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ggran\Desktop\OpenHornet\OpenHornet\release\"/>
    </mc:Choice>
  </mc:AlternateContent>
  <xr:revisionPtr revIDLastSave="0" documentId="8_{9EA6AE36-32E0-4465-A9C3-2355E4EA0FE7}" xr6:coauthVersionLast="47" xr6:coauthVersionMax="47" xr10:uidLastSave="{00000000-0000-0000-0000-000000000000}"/>
  <bookViews>
    <workbookView xWindow="-120" yWindow="-120" windowWidth="38640" windowHeight="21120" xr2:uid="{00000000-000D-0000-FFFF-FFFF00000000}"/>
  </bookViews>
  <sheets>
    <sheet name="Cover Sheet" sheetId="5" r:id="rId1"/>
    <sheet name="Master Parts List" sheetId="8" r:id="rId2"/>
    <sheet name="OH Parts" sheetId="3" r:id="rId3"/>
    <sheet name="PCBs" sheetId="4" r:id="rId4"/>
    <sheet name="COTS by Subassembly" sheetId="2" r:id="rId5"/>
    <sheet name="COTS by Console" sheetId="6" r:id="rId6"/>
    <sheet name="OPENHORNET BOM V39" sheetId="1" state="hidden" r:id="rId7"/>
  </sheets>
  <definedNames>
    <definedName name="_xlnm._FilterDatabase" localSheetId="6" hidden="1">'OPENHORNET BOM V39'!$A$1:$Q$2885</definedName>
  </definedNames>
  <calcPr calcId="191029"/>
  <pivotCaches>
    <pivotCache cacheId="28"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2175" i="1" l="1" a="1"/>
  <c r="Q2175" i="1" s="1"/>
  <c r="N2175" i="1" a="1"/>
  <c r="N2175" i="1" s="1"/>
  <c r="O2175" i="1" a="1"/>
  <c r="O2175" i="1" s="1"/>
  <c r="P2175" i="1" a="1"/>
  <c r="P2175" i="1" s="1"/>
  <c r="Q2885" i="1" a="1"/>
  <c r="Q2885" i="1" s="1"/>
  <c r="N2885" i="1" a="1"/>
  <c r="N2885" i="1" s="1"/>
  <c r="O2885" i="1" a="1"/>
  <c r="O2885" i="1" s="1"/>
  <c r="P2885" i="1" a="1"/>
  <c r="P2885" i="1" s="1"/>
  <c r="N2" i="1" l="1" a="1"/>
  <c r="N2" i="1" s="1"/>
  <c r="N2653" i="1" a="1"/>
  <c r="N2653" i="1" s="1"/>
  <c r="K2654" i="1" a="1"/>
  <c r="K2654" i="1" s="1"/>
  <c r="K2653" i="1" a="1"/>
  <c r="K2653" i="1" s="1"/>
  <c r="K1174" i="1" a="1"/>
  <c r="K1174" i="1" s="1"/>
  <c r="K1132" i="1" a="1"/>
  <c r="K1132" i="1" s="1"/>
  <c r="K1051" i="1" a="1"/>
  <c r="K1051" i="1" s="1"/>
  <c r="K966" i="1" a="1"/>
  <c r="K966" i="1" s="1"/>
  <c r="K432" i="1" a="1"/>
  <c r="K432" i="1" s="1"/>
  <c r="K329" i="1" a="1"/>
  <c r="K329" i="1" s="1"/>
  <c r="K328" i="1" a="1"/>
  <c r="K328" i="1" s="1"/>
  <c r="K184" i="1" a="1"/>
  <c r="K184" i="1" s="1"/>
  <c r="K157" i="1" a="1"/>
  <c r="K157" i="1" s="1"/>
  <c r="K135" i="1" a="1"/>
  <c r="K135" i="1" s="1"/>
  <c r="O2884" i="1" a="1"/>
  <c r="O2884" i="1" s="1"/>
  <c r="O2883" i="1" a="1"/>
  <c r="O2883" i="1" s="1"/>
  <c r="O2882" i="1" a="1"/>
  <c r="O2882" i="1" s="1"/>
  <c r="O2881" i="1" a="1"/>
  <c r="O2881" i="1" s="1"/>
  <c r="O2880" i="1" a="1"/>
  <c r="O2880" i="1" s="1"/>
  <c r="O2879" i="1" a="1"/>
  <c r="O2879" i="1" s="1"/>
  <c r="O2878" i="1" a="1"/>
  <c r="O2878" i="1" s="1"/>
  <c r="O2877" i="1" a="1"/>
  <c r="O2877" i="1" s="1"/>
  <c r="O2876" i="1" a="1"/>
  <c r="O2876" i="1" s="1"/>
  <c r="O2875" i="1" a="1"/>
  <c r="O2875" i="1" s="1"/>
  <c r="O2874" i="1" a="1"/>
  <c r="O2874" i="1" s="1"/>
  <c r="O2873" i="1" a="1"/>
  <c r="O2873" i="1" s="1"/>
  <c r="O2872" i="1" a="1"/>
  <c r="O2872" i="1" s="1"/>
  <c r="O2871" i="1" a="1"/>
  <c r="O2871" i="1" s="1"/>
  <c r="O2870" i="1" a="1"/>
  <c r="O2870" i="1" s="1"/>
  <c r="O2869" i="1" a="1"/>
  <c r="O2869" i="1" s="1"/>
  <c r="O2868" i="1" a="1"/>
  <c r="O2868" i="1" s="1"/>
  <c r="O2867" i="1" a="1"/>
  <c r="O2867" i="1" s="1"/>
  <c r="O2866" i="1" a="1"/>
  <c r="O2866" i="1" s="1"/>
  <c r="O2865" i="1" a="1"/>
  <c r="O2865" i="1" s="1"/>
  <c r="O2864" i="1" a="1"/>
  <c r="O2864" i="1" s="1"/>
  <c r="O2863" i="1" a="1"/>
  <c r="O2863" i="1" s="1"/>
  <c r="O2862" i="1" a="1"/>
  <c r="O2862" i="1" s="1"/>
  <c r="O2861" i="1" a="1"/>
  <c r="O2861" i="1" s="1"/>
  <c r="O2860" i="1" a="1"/>
  <c r="O2860" i="1" s="1"/>
  <c r="O2859" i="1" a="1"/>
  <c r="O2859" i="1" s="1"/>
  <c r="O2858" i="1" a="1"/>
  <c r="O2858" i="1" s="1"/>
  <c r="O2857" i="1" a="1"/>
  <c r="O2857" i="1" s="1"/>
  <c r="O2856" i="1" a="1"/>
  <c r="O2856" i="1" s="1"/>
  <c r="O2855" i="1" a="1"/>
  <c r="O2855" i="1" s="1"/>
  <c r="O2854" i="1" a="1"/>
  <c r="O2854" i="1" s="1"/>
  <c r="O2853" i="1" a="1"/>
  <c r="O2853" i="1" s="1"/>
  <c r="O2852" i="1" a="1"/>
  <c r="O2852" i="1" s="1"/>
  <c r="O2851" i="1" a="1"/>
  <c r="O2851" i="1" s="1"/>
  <c r="O2850" i="1" a="1"/>
  <c r="O2850" i="1" s="1"/>
  <c r="O2849" i="1" a="1"/>
  <c r="O2849" i="1" s="1"/>
  <c r="O2848" i="1" a="1"/>
  <c r="O2848" i="1" s="1"/>
  <c r="O2847" i="1" a="1"/>
  <c r="O2847" i="1" s="1"/>
  <c r="O2846" i="1" a="1"/>
  <c r="O2846" i="1" s="1"/>
  <c r="O2845" i="1" a="1"/>
  <c r="O2845" i="1" s="1"/>
  <c r="O2844" i="1" a="1"/>
  <c r="O2844" i="1" s="1"/>
  <c r="O2843" i="1" a="1"/>
  <c r="O2843" i="1" s="1"/>
  <c r="O2842" i="1" a="1"/>
  <c r="O2842" i="1" s="1"/>
  <c r="O2841" i="1" a="1"/>
  <c r="O2841" i="1" s="1"/>
  <c r="O2840" i="1" a="1"/>
  <c r="O2840" i="1" s="1"/>
  <c r="O2839" i="1" a="1"/>
  <c r="O2839" i="1" s="1"/>
  <c r="O2838" i="1" a="1"/>
  <c r="O2838" i="1" s="1"/>
  <c r="O2837" i="1" a="1"/>
  <c r="O2837" i="1" s="1"/>
  <c r="O2836" i="1" a="1"/>
  <c r="O2836" i="1" s="1"/>
  <c r="O2835" i="1" a="1"/>
  <c r="O2835" i="1" s="1"/>
  <c r="O2834" i="1" a="1"/>
  <c r="O2834" i="1" s="1"/>
  <c r="O2833" i="1" a="1"/>
  <c r="O2833" i="1" s="1"/>
  <c r="O2832" i="1" a="1"/>
  <c r="O2832" i="1" s="1"/>
  <c r="O2831" i="1" a="1"/>
  <c r="O2831" i="1" s="1"/>
  <c r="O2830" i="1" a="1"/>
  <c r="O2830" i="1" s="1"/>
  <c r="O2829" i="1" a="1"/>
  <c r="O2829" i="1" s="1"/>
  <c r="O2828" i="1" a="1"/>
  <c r="O2828" i="1" s="1"/>
  <c r="O2827" i="1" a="1"/>
  <c r="O2827" i="1" s="1"/>
  <c r="O2826" i="1" a="1"/>
  <c r="O2826" i="1" s="1"/>
  <c r="O2825" i="1" a="1"/>
  <c r="O2825" i="1" s="1"/>
  <c r="O2824" i="1" a="1"/>
  <c r="O2824" i="1" s="1"/>
  <c r="O2823" i="1" a="1"/>
  <c r="O2823" i="1" s="1"/>
  <c r="O2822" i="1" a="1"/>
  <c r="O2822" i="1" s="1"/>
  <c r="O2821" i="1" a="1"/>
  <c r="O2821" i="1" s="1"/>
  <c r="O2820" i="1" a="1"/>
  <c r="O2820" i="1" s="1"/>
  <c r="O2819" i="1" a="1"/>
  <c r="O2819" i="1" s="1"/>
  <c r="O2818" i="1" a="1"/>
  <c r="O2818" i="1" s="1"/>
  <c r="O2817" i="1" a="1"/>
  <c r="O2817" i="1" s="1"/>
  <c r="O2816" i="1" a="1"/>
  <c r="O2816" i="1" s="1"/>
  <c r="O2815" i="1" a="1"/>
  <c r="O2815" i="1" s="1"/>
  <c r="O2814" i="1" a="1"/>
  <c r="O2814" i="1" s="1"/>
  <c r="O2813" i="1" a="1"/>
  <c r="O2813" i="1" s="1"/>
  <c r="O2812" i="1" a="1"/>
  <c r="O2812" i="1" s="1"/>
  <c r="O2811" i="1" a="1"/>
  <c r="O2811" i="1" s="1"/>
  <c r="O2810" i="1" a="1"/>
  <c r="O2810" i="1" s="1"/>
  <c r="O2809" i="1" a="1"/>
  <c r="O2809" i="1" s="1"/>
  <c r="O2808" i="1" a="1"/>
  <c r="O2808" i="1" s="1"/>
  <c r="O2807" i="1" a="1"/>
  <c r="O2807" i="1" s="1"/>
  <c r="O2806" i="1" a="1"/>
  <c r="O2806" i="1" s="1"/>
  <c r="O2805" i="1" a="1"/>
  <c r="O2805" i="1" s="1"/>
  <c r="O2804" i="1" a="1"/>
  <c r="O2804" i="1" s="1"/>
  <c r="O2803" i="1" a="1"/>
  <c r="O2803" i="1" s="1"/>
  <c r="O2802" i="1" a="1"/>
  <c r="O2802" i="1" s="1"/>
  <c r="O2801" i="1" a="1"/>
  <c r="O2801" i="1" s="1"/>
  <c r="O2800" i="1" a="1"/>
  <c r="O2800" i="1" s="1"/>
  <c r="O2799" i="1" a="1"/>
  <c r="O2799" i="1" s="1"/>
  <c r="O2798" i="1" a="1"/>
  <c r="O2798" i="1" s="1"/>
  <c r="O2797" i="1" a="1"/>
  <c r="O2797" i="1" s="1"/>
  <c r="O2796" i="1" a="1"/>
  <c r="O2796" i="1" s="1"/>
  <c r="O2795" i="1" a="1"/>
  <c r="O2795" i="1" s="1"/>
  <c r="O2794" i="1" a="1"/>
  <c r="O2794" i="1" s="1"/>
  <c r="O2793" i="1" a="1"/>
  <c r="O2793" i="1" s="1"/>
  <c r="O2792" i="1" a="1"/>
  <c r="O2792" i="1" s="1"/>
  <c r="O2791" i="1" a="1"/>
  <c r="O2791" i="1" s="1"/>
  <c r="O2790" i="1" a="1"/>
  <c r="O2790" i="1" s="1"/>
  <c r="O2789" i="1" a="1"/>
  <c r="O2789" i="1" s="1"/>
  <c r="O2788" i="1" a="1"/>
  <c r="O2788" i="1" s="1"/>
  <c r="O2787" i="1" a="1"/>
  <c r="O2787" i="1" s="1"/>
  <c r="O2786" i="1" a="1"/>
  <c r="O2786" i="1" s="1"/>
  <c r="O2785" i="1" a="1"/>
  <c r="O2785" i="1" s="1"/>
  <c r="O2784" i="1" a="1"/>
  <c r="O2784" i="1" s="1"/>
  <c r="O2783" i="1" a="1"/>
  <c r="O2783" i="1" s="1"/>
  <c r="O2782" i="1" a="1"/>
  <c r="O2782" i="1" s="1"/>
  <c r="O2781" i="1" a="1"/>
  <c r="O2781" i="1" s="1"/>
  <c r="O2780" i="1" a="1"/>
  <c r="O2780" i="1" s="1"/>
  <c r="O2779" i="1" a="1"/>
  <c r="O2779" i="1" s="1"/>
  <c r="O2778" i="1" a="1"/>
  <c r="O2778" i="1" s="1"/>
  <c r="O2777" i="1" a="1"/>
  <c r="O2777" i="1" s="1"/>
  <c r="O2776" i="1" a="1"/>
  <c r="O2776" i="1" s="1"/>
  <c r="O2775" i="1" a="1"/>
  <c r="O2775" i="1" s="1"/>
  <c r="O2774" i="1" a="1"/>
  <c r="O2774" i="1" s="1"/>
  <c r="O2773" i="1" a="1"/>
  <c r="O2773" i="1" s="1"/>
  <c r="O2772" i="1" a="1"/>
  <c r="O2772" i="1" s="1"/>
  <c r="O2771" i="1" a="1"/>
  <c r="O2771" i="1" s="1"/>
  <c r="O2770" i="1" a="1"/>
  <c r="O2770" i="1" s="1"/>
  <c r="O2769" i="1" a="1"/>
  <c r="O2769" i="1" s="1"/>
  <c r="O2768" i="1" a="1"/>
  <c r="O2768" i="1" s="1"/>
  <c r="O2767" i="1" a="1"/>
  <c r="O2767" i="1" s="1"/>
  <c r="O2766" i="1" a="1"/>
  <c r="O2766" i="1" s="1"/>
  <c r="O2765" i="1" a="1"/>
  <c r="O2765" i="1" s="1"/>
  <c r="O2764" i="1" a="1"/>
  <c r="O2764" i="1" s="1"/>
  <c r="O2763" i="1" a="1"/>
  <c r="O2763" i="1" s="1"/>
  <c r="O2762" i="1" a="1"/>
  <c r="O2762" i="1" s="1"/>
  <c r="O2761" i="1" a="1"/>
  <c r="O2761" i="1" s="1"/>
  <c r="O2760" i="1" a="1"/>
  <c r="O2760" i="1" s="1"/>
  <c r="O2759" i="1" a="1"/>
  <c r="O2759" i="1" s="1"/>
  <c r="O2758" i="1" a="1"/>
  <c r="O2758" i="1" s="1"/>
  <c r="O2757" i="1" a="1"/>
  <c r="O2757" i="1" s="1"/>
  <c r="O2756" i="1" a="1"/>
  <c r="O2756" i="1" s="1"/>
  <c r="O2755" i="1" a="1"/>
  <c r="O2755" i="1" s="1"/>
  <c r="O2754" i="1" a="1"/>
  <c r="O2754" i="1" s="1"/>
  <c r="O2753" i="1" a="1"/>
  <c r="O2753" i="1" s="1"/>
  <c r="O2752" i="1" a="1"/>
  <c r="O2752" i="1" s="1"/>
  <c r="O2751" i="1" a="1"/>
  <c r="O2751" i="1" s="1"/>
  <c r="O2750" i="1" a="1"/>
  <c r="O2750" i="1" s="1"/>
  <c r="O2749" i="1" a="1"/>
  <c r="O2749" i="1" s="1"/>
  <c r="O2748" i="1" a="1"/>
  <c r="O2748" i="1" s="1"/>
  <c r="O2747" i="1" a="1"/>
  <c r="O2747" i="1" s="1"/>
  <c r="O2746" i="1" a="1"/>
  <c r="O2746" i="1" s="1"/>
  <c r="O2745" i="1" a="1"/>
  <c r="O2745" i="1" s="1"/>
  <c r="O2744" i="1" a="1"/>
  <c r="O2744" i="1" s="1"/>
  <c r="O2743" i="1" a="1"/>
  <c r="O2743" i="1" s="1"/>
  <c r="O2742" i="1" a="1"/>
  <c r="O2742" i="1" s="1"/>
  <c r="O2741" i="1" a="1"/>
  <c r="O2741" i="1" s="1"/>
  <c r="O2740" i="1" a="1"/>
  <c r="O2740" i="1" s="1"/>
  <c r="O2739" i="1" a="1"/>
  <c r="O2739" i="1" s="1"/>
  <c r="O2738" i="1" a="1"/>
  <c r="O2738" i="1" s="1"/>
  <c r="O2737" i="1" a="1"/>
  <c r="O2737" i="1" s="1"/>
  <c r="O2736" i="1" a="1"/>
  <c r="O2736" i="1" s="1"/>
  <c r="O2735" i="1" a="1"/>
  <c r="O2735" i="1" s="1"/>
  <c r="O2734" i="1" a="1"/>
  <c r="O2734" i="1" s="1"/>
  <c r="O2733" i="1" a="1"/>
  <c r="O2733" i="1" s="1"/>
  <c r="O2732" i="1" a="1"/>
  <c r="O2732" i="1" s="1"/>
  <c r="O2731" i="1" a="1"/>
  <c r="O2731" i="1" s="1"/>
  <c r="O2730" i="1" a="1"/>
  <c r="O2730" i="1" s="1"/>
  <c r="O2729" i="1" a="1"/>
  <c r="O2729" i="1" s="1"/>
  <c r="O2728" i="1" a="1"/>
  <c r="O2728" i="1" s="1"/>
  <c r="O2727" i="1" a="1"/>
  <c r="O2727" i="1" s="1"/>
  <c r="O2726" i="1" a="1"/>
  <c r="O2726" i="1" s="1"/>
  <c r="O2725" i="1" a="1"/>
  <c r="O2725" i="1" s="1"/>
  <c r="O2724" i="1" a="1"/>
  <c r="O2724" i="1" s="1"/>
  <c r="O2723" i="1" a="1"/>
  <c r="O2723" i="1" s="1"/>
  <c r="O2722" i="1" a="1"/>
  <c r="O2722" i="1" s="1"/>
  <c r="O2721" i="1" a="1"/>
  <c r="O2721" i="1" s="1"/>
  <c r="O2720" i="1" a="1"/>
  <c r="O2720" i="1" s="1"/>
  <c r="O2719" i="1" a="1"/>
  <c r="O2719" i="1" s="1"/>
  <c r="O2718" i="1" a="1"/>
  <c r="O2718" i="1" s="1"/>
  <c r="O2717" i="1" a="1"/>
  <c r="O2717" i="1" s="1"/>
  <c r="O2716" i="1" a="1"/>
  <c r="O2716" i="1" s="1"/>
  <c r="O2715" i="1" a="1"/>
  <c r="O2715" i="1" s="1"/>
  <c r="O2714" i="1" a="1"/>
  <c r="O2714" i="1" s="1"/>
  <c r="O2713" i="1" a="1"/>
  <c r="O2713" i="1" s="1"/>
  <c r="O2712" i="1" a="1"/>
  <c r="O2712" i="1" s="1"/>
  <c r="O2711" i="1" a="1"/>
  <c r="O2711" i="1" s="1"/>
  <c r="O2710" i="1" a="1"/>
  <c r="O2710" i="1" s="1"/>
  <c r="O2709" i="1" a="1"/>
  <c r="O2709" i="1" s="1"/>
  <c r="O2708" i="1" a="1"/>
  <c r="O2708" i="1" s="1"/>
  <c r="O2707" i="1" a="1"/>
  <c r="O2707" i="1" s="1"/>
  <c r="O2706" i="1" a="1"/>
  <c r="O2706" i="1" s="1"/>
  <c r="O2705" i="1" a="1"/>
  <c r="O2705" i="1" s="1"/>
  <c r="O2704" i="1" a="1"/>
  <c r="O2704" i="1" s="1"/>
  <c r="O2703" i="1" a="1"/>
  <c r="O2703" i="1" s="1"/>
  <c r="O2702" i="1" a="1"/>
  <c r="O2702" i="1" s="1"/>
  <c r="O2701" i="1" a="1"/>
  <c r="O2701" i="1" s="1"/>
  <c r="O2700" i="1" a="1"/>
  <c r="O2700" i="1" s="1"/>
  <c r="O2699" i="1" a="1"/>
  <c r="O2699" i="1" s="1"/>
  <c r="O2698" i="1" a="1"/>
  <c r="O2698" i="1" s="1"/>
  <c r="O2697" i="1" a="1"/>
  <c r="O2697" i="1" s="1"/>
  <c r="O2696" i="1" a="1"/>
  <c r="O2696" i="1" s="1"/>
  <c r="O2695" i="1" a="1"/>
  <c r="O2695" i="1" s="1"/>
  <c r="O2694" i="1" a="1"/>
  <c r="O2694" i="1" s="1"/>
  <c r="O2693" i="1" a="1"/>
  <c r="O2693" i="1" s="1"/>
  <c r="O2692" i="1" a="1"/>
  <c r="O2692" i="1" s="1"/>
  <c r="O2691" i="1" a="1"/>
  <c r="O2691" i="1" s="1"/>
  <c r="O2690" i="1" a="1"/>
  <c r="O2690" i="1" s="1"/>
  <c r="O2689" i="1" a="1"/>
  <c r="O2689" i="1" s="1"/>
  <c r="O2688" i="1" a="1"/>
  <c r="O2688" i="1" s="1"/>
  <c r="O2687" i="1" a="1"/>
  <c r="O2687" i="1" s="1"/>
  <c r="O2686" i="1" a="1"/>
  <c r="O2686" i="1" s="1"/>
  <c r="O2685" i="1" a="1"/>
  <c r="O2685" i="1" s="1"/>
  <c r="O2684" i="1" a="1"/>
  <c r="O2684" i="1" s="1"/>
  <c r="O2683" i="1" a="1"/>
  <c r="O2683" i="1" s="1"/>
  <c r="O2682" i="1" a="1"/>
  <c r="O2682" i="1" s="1"/>
  <c r="O2681" i="1" a="1"/>
  <c r="O2681" i="1" s="1"/>
  <c r="O2680" i="1" a="1"/>
  <c r="O2680" i="1" s="1"/>
  <c r="O2679" i="1" a="1"/>
  <c r="O2679" i="1" s="1"/>
  <c r="O2678" i="1" a="1"/>
  <c r="O2678" i="1" s="1"/>
  <c r="O2677" i="1" a="1"/>
  <c r="O2677" i="1" s="1"/>
  <c r="O2676" i="1" a="1"/>
  <c r="O2676" i="1" s="1"/>
  <c r="O2675" i="1" a="1"/>
  <c r="O2675" i="1" s="1"/>
  <c r="O2674" i="1" a="1"/>
  <c r="O2674" i="1" s="1"/>
  <c r="O2673" i="1" a="1"/>
  <c r="O2673" i="1" s="1"/>
  <c r="O2672" i="1" a="1"/>
  <c r="O2672" i="1" s="1"/>
  <c r="O2671" i="1" a="1"/>
  <c r="O2671" i="1" s="1"/>
  <c r="O2670" i="1" a="1"/>
  <c r="O2670" i="1" s="1"/>
  <c r="O2669" i="1" a="1"/>
  <c r="O2669" i="1" s="1"/>
  <c r="O2668" i="1" a="1"/>
  <c r="O2668" i="1" s="1"/>
  <c r="O2667" i="1" a="1"/>
  <c r="O2667" i="1" s="1"/>
  <c r="O2666" i="1" a="1"/>
  <c r="O2666" i="1" s="1"/>
  <c r="O2665" i="1" a="1"/>
  <c r="O2665" i="1" s="1"/>
  <c r="O2664" i="1" a="1"/>
  <c r="O2664" i="1" s="1"/>
  <c r="O2663" i="1" a="1"/>
  <c r="O2663" i="1" s="1"/>
  <c r="O2662" i="1" a="1"/>
  <c r="O2662" i="1" s="1"/>
  <c r="O2661" i="1" a="1"/>
  <c r="O2661" i="1" s="1"/>
  <c r="O2660" i="1" a="1"/>
  <c r="O2660" i="1" s="1"/>
  <c r="O2659" i="1" a="1"/>
  <c r="O2659" i="1" s="1"/>
  <c r="O2658" i="1" a="1"/>
  <c r="O2658" i="1" s="1"/>
  <c r="O2657" i="1" a="1"/>
  <c r="O2657" i="1" s="1"/>
  <c r="O2656" i="1" a="1"/>
  <c r="O2656" i="1" s="1"/>
  <c r="O2655" i="1" a="1"/>
  <c r="O2655" i="1" s="1"/>
  <c r="O2654" i="1" a="1"/>
  <c r="O2654" i="1" s="1"/>
  <c r="O2653" i="1" a="1"/>
  <c r="O2653" i="1" s="1"/>
  <c r="O2652" i="1" a="1"/>
  <c r="O2652" i="1" s="1"/>
  <c r="O2651" i="1" a="1"/>
  <c r="O2651" i="1" s="1"/>
  <c r="O2650" i="1" a="1"/>
  <c r="O2650" i="1" s="1"/>
  <c r="O2649" i="1" a="1"/>
  <c r="O2649" i="1" s="1"/>
  <c r="O2648" i="1" a="1"/>
  <c r="O2648" i="1" s="1"/>
  <c r="O2647" i="1" a="1"/>
  <c r="O2647" i="1" s="1"/>
  <c r="O2646" i="1" a="1"/>
  <c r="O2646" i="1" s="1"/>
  <c r="O2645" i="1" a="1"/>
  <c r="O2645" i="1" s="1"/>
  <c r="O2644" i="1" a="1"/>
  <c r="O2644" i="1" s="1"/>
  <c r="O2643" i="1" a="1"/>
  <c r="O2643" i="1" s="1"/>
  <c r="O2642" i="1" a="1"/>
  <c r="O2642" i="1" s="1"/>
  <c r="O2641" i="1" a="1"/>
  <c r="O2641" i="1" s="1"/>
  <c r="O2640" i="1" a="1"/>
  <c r="O2640" i="1" s="1"/>
  <c r="O2639" i="1" a="1"/>
  <c r="O2639" i="1" s="1"/>
  <c r="O2638" i="1" a="1"/>
  <c r="O2638" i="1" s="1"/>
  <c r="O2637" i="1" a="1"/>
  <c r="O2637" i="1" s="1"/>
  <c r="O2636" i="1" a="1"/>
  <c r="O2636" i="1" s="1"/>
  <c r="O2635" i="1" a="1"/>
  <c r="O2635" i="1" s="1"/>
  <c r="O2634" i="1" a="1"/>
  <c r="O2634" i="1" s="1"/>
  <c r="O2633" i="1" a="1"/>
  <c r="O2633" i="1" s="1"/>
  <c r="O2632" i="1" a="1"/>
  <c r="O2632" i="1" s="1"/>
  <c r="O2631" i="1" a="1"/>
  <c r="O2631" i="1" s="1"/>
  <c r="O2630" i="1" a="1"/>
  <c r="O2630" i="1" s="1"/>
  <c r="O2629" i="1" a="1"/>
  <c r="O2629" i="1" s="1"/>
  <c r="O2628" i="1" a="1"/>
  <c r="O2628" i="1" s="1"/>
  <c r="O2627" i="1" a="1"/>
  <c r="O2627" i="1" s="1"/>
  <c r="O2626" i="1" a="1"/>
  <c r="O2626" i="1" s="1"/>
  <c r="O2625" i="1" a="1"/>
  <c r="O2625" i="1" s="1"/>
  <c r="O2624" i="1" a="1"/>
  <c r="O2624" i="1" s="1"/>
  <c r="O2623" i="1" a="1"/>
  <c r="O2623" i="1" s="1"/>
  <c r="O2622" i="1" a="1"/>
  <c r="O2622" i="1" s="1"/>
  <c r="O2621" i="1" a="1"/>
  <c r="O2621" i="1" s="1"/>
  <c r="O2620" i="1" a="1"/>
  <c r="O2620" i="1" s="1"/>
  <c r="O2619" i="1" a="1"/>
  <c r="O2619" i="1" s="1"/>
  <c r="O2618" i="1" a="1"/>
  <c r="O2618" i="1" s="1"/>
  <c r="O2617" i="1" a="1"/>
  <c r="O2617" i="1" s="1"/>
  <c r="O2616" i="1" a="1"/>
  <c r="O2616" i="1" s="1"/>
  <c r="O2615" i="1" a="1"/>
  <c r="O2615" i="1" s="1"/>
  <c r="O2614" i="1" a="1"/>
  <c r="O2614" i="1" s="1"/>
  <c r="O2613" i="1" a="1"/>
  <c r="O2613" i="1" s="1"/>
  <c r="O2612" i="1" a="1"/>
  <c r="O2612" i="1" s="1"/>
  <c r="O2611" i="1" a="1"/>
  <c r="O2611" i="1" s="1"/>
  <c r="O2610" i="1" a="1"/>
  <c r="O2610" i="1" s="1"/>
  <c r="O2609" i="1" a="1"/>
  <c r="O2609" i="1" s="1"/>
  <c r="O2608" i="1" a="1"/>
  <c r="O2608" i="1" s="1"/>
  <c r="O2607" i="1" a="1"/>
  <c r="O2607" i="1" s="1"/>
  <c r="O2606" i="1" a="1"/>
  <c r="O2606" i="1" s="1"/>
  <c r="O2605" i="1" a="1"/>
  <c r="O2605" i="1" s="1"/>
  <c r="O2604" i="1" a="1"/>
  <c r="O2604" i="1" s="1"/>
  <c r="O2603" i="1" a="1"/>
  <c r="O2603" i="1" s="1"/>
  <c r="O2602" i="1" a="1"/>
  <c r="O2602" i="1" s="1"/>
  <c r="O2601" i="1" a="1"/>
  <c r="O2601" i="1" s="1"/>
  <c r="O2600" i="1" a="1"/>
  <c r="O2600" i="1" s="1"/>
  <c r="O2599" i="1" a="1"/>
  <c r="O2599" i="1" s="1"/>
  <c r="O2598" i="1" a="1"/>
  <c r="O2598" i="1" s="1"/>
  <c r="O2597" i="1" a="1"/>
  <c r="O2597" i="1" s="1"/>
  <c r="O2596" i="1" a="1"/>
  <c r="O2596" i="1" s="1"/>
  <c r="O2595" i="1" a="1"/>
  <c r="O2595" i="1" s="1"/>
  <c r="O2594" i="1" a="1"/>
  <c r="O2594" i="1" s="1"/>
  <c r="O2593" i="1" a="1"/>
  <c r="O2593" i="1" s="1"/>
  <c r="O2592" i="1" a="1"/>
  <c r="O2592" i="1" s="1"/>
  <c r="O2591" i="1" a="1"/>
  <c r="O2591" i="1" s="1"/>
  <c r="O2590" i="1" a="1"/>
  <c r="O2590" i="1" s="1"/>
  <c r="O2589" i="1" a="1"/>
  <c r="O2589" i="1" s="1"/>
  <c r="O2588" i="1" a="1"/>
  <c r="O2588" i="1" s="1"/>
  <c r="O2587" i="1" a="1"/>
  <c r="O2587" i="1" s="1"/>
  <c r="O2586" i="1" a="1"/>
  <c r="O2586" i="1" s="1"/>
  <c r="O2585" i="1" a="1"/>
  <c r="O2585" i="1" s="1"/>
  <c r="O2584" i="1" a="1"/>
  <c r="O2584" i="1" s="1"/>
  <c r="O2583" i="1" a="1"/>
  <c r="O2583" i="1" s="1"/>
  <c r="O2582" i="1" a="1"/>
  <c r="O2582" i="1" s="1"/>
  <c r="O2581" i="1" a="1"/>
  <c r="O2581" i="1" s="1"/>
  <c r="O2580" i="1" a="1"/>
  <c r="O2580" i="1" s="1"/>
  <c r="O2579" i="1" a="1"/>
  <c r="O2579" i="1" s="1"/>
  <c r="O2578" i="1" a="1"/>
  <c r="O2578" i="1" s="1"/>
  <c r="O2577" i="1" a="1"/>
  <c r="O2577" i="1" s="1"/>
  <c r="O2576" i="1" a="1"/>
  <c r="O2576" i="1" s="1"/>
  <c r="O2575" i="1" a="1"/>
  <c r="O2575" i="1" s="1"/>
  <c r="O2574" i="1" a="1"/>
  <c r="O2574" i="1" s="1"/>
  <c r="O2573" i="1" a="1"/>
  <c r="O2573" i="1" s="1"/>
  <c r="O2572" i="1" a="1"/>
  <c r="O2572" i="1" s="1"/>
  <c r="O2571" i="1" a="1"/>
  <c r="O2571" i="1" s="1"/>
  <c r="O2570" i="1" a="1"/>
  <c r="O2570" i="1" s="1"/>
  <c r="O2569" i="1" a="1"/>
  <c r="O2569" i="1" s="1"/>
  <c r="O2568" i="1" a="1"/>
  <c r="O2568" i="1" s="1"/>
  <c r="O2567" i="1" a="1"/>
  <c r="O2567" i="1" s="1"/>
  <c r="O2566" i="1" a="1"/>
  <c r="O2566" i="1" s="1"/>
  <c r="O2565" i="1" a="1"/>
  <c r="O2565" i="1" s="1"/>
  <c r="O2564" i="1" a="1"/>
  <c r="O2564" i="1" s="1"/>
  <c r="O2563" i="1" a="1"/>
  <c r="O2563" i="1" s="1"/>
  <c r="O2562" i="1" a="1"/>
  <c r="O2562" i="1" s="1"/>
  <c r="O2561" i="1" a="1"/>
  <c r="O2561" i="1" s="1"/>
  <c r="O2560" i="1" a="1"/>
  <c r="O2560" i="1" s="1"/>
  <c r="O2559" i="1" a="1"/>
  <c r="O2559" i="1" s="1"/>
  <c r="O2558" i="1" a="1"/>
  <c r="O2558" i="1" s="1"/>
  <c r="O2557" i="1" a="1"/>
  <c r="O2557" i="1" s="1"/>
  <c r="O2556" i="1" a="1"/>
  <c r="O2556" i="1" s="1"/>
  <c r="O2555" i="1" a="1"/>
  <c r="O2555" i="1" s="1"/>
  <c r="O2554" i="1" a="1"/>
  <c r="O2554" i="1" s="1"/>
  <c r="O2553" i="1" a="1"/>
  <c r="O2553" i="1" s="1"/>
  <c r="O2552" i="1" a="1"/>
  <c r="O2552" i="1" s="1"/>
  <c r="O2551" i="1" a="1"/>
  <c r="O2551" i="1" s="1"/>
  <c r="O2550" i="1" a="1"/>
  <c r="O2550" i="1" s="1"/>
  <c r="O2549" i="1" a="1"/>
  <c r="O2549" i="1" s="1"/>
  <c r="O2548" i="1" a="1"/>
  <c r="O2548" i="1" s="1"/>
  <c r="O2547" i="1" a="1"/>
  <c r="O2547" i="1" s="1"/>
  <c r="O2546" i="1" a="1"/>
  <c r="O2546" i="1" s="1"/>
  <c r="O2545" i="1" a="1"/>
  <c r="O2545" i="1" s="1"/>
  <c r="O2544" i="1" a="1"/>
  <c r="O2544" i="1" s="1"/>
  <c r="O2543" i="1" a="1"/>
  <c r="O2543" i="1" s="1"/>
  <c r="O2542" i="1" a="1"/>
  <c r="O2542" i="1" s="1"/>
  <c r="O2541" i="1" a="1"/>
  <c r="O2541" i="1" s="1"/>
  <c r="O2540" i="1" a="1"/>
  <c r="O2540" i="1" s="1"/>
  <c r="O2539" i="1" a="1"/>
  <c r="O2539" i="1" s="1"/>
  <c r="O2538" i="1" a="1"/>
  <c r="O2538" i="1" s="1"/>
  <c r="O2537" i="1" a="1"/>
  <c r="O2537" i="1" s="1"/>
  <c r="O2536" i="1" a="1"/>
  <c r="O2536" i="1" s="1"/>
  <c r="O2535" i="1" a="1"/>
  <c r="O2535" i="1" s="1"/>
  <c r="O2534" i="1" a="1"/>
  <c r="O2534" i="1" s="1"/>
  <c r="O2533" i="1" a="1"/>
  <c r="O2533" i="1" s="1"/>
  <c r="O2532" i="1" a="1"/>
  <c r="O2532" i="1" s="1"/>
  <c r="O2531" i="1" a="1"/>
  <c r="O2531" i="1" s="1"/>
  <c r="O2530" i="1" a="1"/>
  <c r="O2530" i="1" s="1"/>
  <c r="O2529" i="1" a="1"/>
  <c r="O2529" i="1" s="1"/>
  <c r="O2528" i="1" a="1"/>
  <c r="O2528" i="1" s="1"/>
  <c r="O2527" i="1" a="1"/>
  <c r="O2527" i="1" s="1"/>
  <c r="O2526" i="1" a="1"/>
  <c r="O2526" i="1" s="1"/>
  <c r="O2525" i="1" a="1"/>
  <c r="O2525" i="1" s="1"/>
  <c r="O2524" i="1" a="1"/>
  <c r="O2524" i="1" s="1"/>
  <c r="O2523" i="1" a="1"/>
  <c r="O2523" i="1" s="1"/>
  <c r="O2522" i="1" a="1"/>
  <c r="O2522" i="1" s="1"/>
  <c r="O2521" i="1" a="1"/>
  <c r="O2521" i="1" s="1"/>
  <c r="O2520" i="1" a="1"/>
  <c r="O2520" i="1" s="1"/>
  <c r="O2519" i="1" a="1"/>
  <c r="O2519" i="1" s="1"/>
  <c r="O2518" i="1" a="1"/>
  <c r="O2518" i="1" s="1"/>
  <c r="O2517" i="1" a="1"/>
  <c r="O2517" i="1" s="1"/>
  <c r="O2516" i="1" a="1"/>
  <c r="O2516" i="1" s="1"/>
  <c r="O2515" i="1" a="1"/>
  <c r="O2515" i="1" s="1"/>
  <c r="O2514" i="1" a="1"/>
  <c r="O2514" i="1" s="1"/>
  <c r="O2513" i="1" a="1"/>
  <c r="O2513" i="1" s="1"/>
  <c r="O2512" i="1" a="1"/>
  <c r="O2512" i="1" s="1"/>
  <c r="O2511" i="1" a="1"/>
  <c r="O2511" i="1" s="1"/>
  <c r="O2510" i="1" a="1"/>
  <c r="O2510" i="1" s="1"/>
  <c r="O2509" i="1" a="1"/>
  <c r="O2509" i="1" s="1"/>
  <c r="O2508" i="1" a="1"/>
  <c r="O2508" i="1" s="1"/>
  <c r="O2507" i="1" a="1"/>
  <c r="O2507" i="1" s="1"/>
  <c r="O2506" i="1" a="1"/>
  <c r="O2506" i="1" s="1"/>
  <c r="O2505" i="1" a="1"/>
  <c r="O2505" i="1" s="1"/>
  <c r="O2504" i="1" a="1"/>
  <c r="O2504" i="1" s="1"/>
  <c r="O2503" i="1" a="1"/>
  <c r="O2503" i="1" s="1"/>
  <c r="O2502" i="1" a="1"/>
  <c r="O2502" i="1" s="1"/>
  <c r="O2501" i="1" a="1"/>
  <c r="O2501" i="1" s="1"/>
  <c r="O2500" i="1" a="1"/>
  <c r="O2500" i="1" s="1"/>
  <c r="O2499" i="1" a="1"/>
  <c r="O2499" i="1" s="1"/>
  <c r="O2498" i="1" a="1"/>
  <c r="O2498" i="1" s="1"/>
  <c r="O2497" i="1" a="1"/>
  <c r="O2497" i="1" s="1"/>
  <c r="O2496" i="1" a="1"/>
  <c r="O2496" i="1" s="1"/>
  <c r="O2495" i="1" a="1"/>
  <c r="O2495" i="1" s="1"/>
  <c r="O2494" i="1" a="1"/>
  <c r="O2494" i="1" s="1"/>
  <c r="O2493" i="1" a="1"/>
  <c r="O2493" i="1" s="1"/>
  <c r="O2492" i="1" a="1"/>
  <c r="O2492" i="1" s="1"/>
  <c r="O2491" i="1" a="1"/>
  <c r="O2491" i="1" s="1"/>
  <c r="O2490" i="1" a="1"/>
  <c r="O2490" i="1" s="1"/>
  <c r="O2489" i="1" a="1"/>
  <c r="O2489" i="1" s="1"/>
  <c r="O2488" i="1" a="1"/>
  <c r="O2488" i="1" s="1"/>
  <c r="O2487" i="1" a="1"/>
  <c r="O2487" i="1" s="1"/>
  <c r="O2486" i="1" a="1"/>
  <c r="O2486" i="1" s="1"/>
  <c r="O2485" i="1" a="1"/>
  <c r="O2485" i="1" s="1"/>
  <c r="O2484" i="1" a="1"/>
  <c r="O2484" i="1" s="1"/>
  <c r="O2483" i="1" a="1"/>
  <c r="O2483" i="1" s="1"/>
  <c r="O2482" i="1" a="1"/>
  <c r="O2482" i="1" s="1"/>
  <c r="O2481" i="1" a="1"/>
  <c r="O2481" i="1" s="1"/>
  <c r="O2480" i="1" a="1"/>
  <c r="O2480" i="1" s="1"/>
  <c r="O2479" i="1" a="1"/>
  <c r="O2479" i="1" s="1"/>
  <c r="O2478" i="1" a="1"/>
  <c r="O2478" i="1" s="1"/>
  <c r="O2477" i="1" a="1"/>
  <c r="O2477" i="1" s="1"/>
  <c r="O2476" i="1" a="1"/>
  <c r="O2476" i="1" s="1"/>
  <c r="O2475" i="1" a="1"/>
  <c r="O2475" i="1" s="1"/>
  <c r="O2474" i="1" a="1"/>
  <c r="O2474" i="1" s="1"/>
  <c r="O2473" i="1" a="1"/>
  <c r="O2473" i="1" s="1"/>
  <c r="O2472" i="1" a="1"/>
  <c r="O2472" i="1" s="1"/>
  <c r="O2471" i="1" a="1"/>
  <c r="O2471" i="1" s="1"/>
  <c r="O2470" i="1" a="1"/>
  <c r="O2470" i="1" s="1"/>
  <c r="O2469" i="1" a="1"/>
  <c r="O2469" i="1" s="1"/>
  <c r="O2468" i="1" a="1"/>
  <c r="O2468" i="1" s="1"/>
  <c r="O2467" i="1" a="1"/>
  <c r="O2467" i="1" s="1"/>
  <c r="O2466" i="1" a="1"/>
  <c r="O2466" i="1" s="1"/>
  <c r="O2465" i="1" a="1"/>
  <c r="O2465" i="1" s="1"/>
  <c r="O2464" i="1" a="1"/>
  <c r="O2464" i="1" s="1"/>
  <c r="O2463" i="1" a="1"/>
  <c r="O2463" i="1" s="1"/>
  <c r="O2462" i="1" a="1"/>
  <c r="O2462" i="1" s="1"/>
  <c r="O2461" i="1" a="1"/>
  <c r="O2461" i="1" s="1"/>
  <c r="O2460" i="1" a="1"/>
  <c r="O2460" i="1" s="1"/>
  <c r="O2459" i="1" a="1"/>
  <c r="O2459" i="1" s="1"/>
  <c r="O2458" i="1" a="1"/>
  <c r="O2458" i="1" s="1"/>
  <c r="O2457" i="1" a="1"/>
  <c r="O2457" i="1" s="1"/>
  <c r="O2456" i="1" a="1"/>
  <c r="O2456" i="1" s="1"/>
  <c r="O2455" i="1" a="1"/>
  <c r="O2455" i="1" s="1"/>
  <c r="O2454" i="1" a="1"/>
  <c r="O2454" i="1" s="1"/>
  <c r="O2453" i="1" a="1"/>
  <c r="O2453" i="1" s="1"/>
  <c r="O2452" i="1" a="1"/>
  <c r="O2452" i="1" s="1"/>
  <c r="O2451" i="1" a="1"/>
  <c r="O2451" i="1" s="1"/>
  <c r="O2450" i="1" a="1"/>
  <c r="O2450" i="1" s="1"/>
  <c r="O2449" i="1" a="1"/>
  <c r="O2449" i="1" s="1"/>
  <c r="O2448" i="1" a="1"/>
  <c r="O2448" i="1" s="1"/>
  <c r="O2447" i="1" a="1"/>
  <c r="O2447" i="1" s="1"/>
  <c r="O2446" i="1" a="1"/>
  <c r="O2446" i="1" s="1"/>
  <c r="O2445" i="1" a="1"/>
  <c r="O2445" i="1" s="1"/>
  <c r="O2444" i="1" a="1"/>
  <c r="O2444" i="1" s="1"/>
  <c r="O2443" i="1" a="1"/>
  <c r="O2443" i="1" s="1"/>
  <c r="O2442" i="1" a="1"/>
  <c r="O2442" i="1" s="1"/>
  <c r="O2441" i="1" a="1"/>
  <c r="O2441" i="1" s="1"/>
  <c r="O2440" i="1" a="1"/>
  <c r="O2440" i="1" s="1"/>
  <c r="O2439" i="1" a="1"/>
  <c r="O2439" i="1" s="1"/>
  <c r="O2438" i="1" a="1"/>
  <c r="O2438" i="1" s="1"/>
  <c r="O2437" i="1" a="1"/>
  <c r="O2437" i="1" s="1"/>
  <c r="O2436" i="1" a="1"/>
  <c r="O2436" i="1" s="1"/>
  <c r="O2435" i="1" a="1"/>
  <c r="O2435" i="1" s="1"/>
  <c r="O2434" i="1" a="1"/>
  <c r="O2434" i="1" s="1"/>
  <c r="O2433" i="1" a="1"/>
  <c r="O2433" i="1" s="1"/>
  <c r="O2432" i="1" a="1"/>
  <c r="O2432" i="1" s="1"/>
  <c r="O2431" i="1" a="1"/>
  <c r="O2431" i="1" s="1"/>
  <c r="O2430" i="1" a="1"/>
  <c r="O2430" i="1" s="1"/>
  <c r="O2429" i="1" a="1"/>
  <c r="O2429" i="1" s="1"/>
  <c r="O2428" i="1" a="1"/>
  <c r="O2428" i="1" s="1"/>
  <c r="O2427" i="1" a="1"/>
  <c r="O2427" i="1" s="1"/>
  <c r="O2426" i="1" a="1"/>
  <c r="O2426" i="1" s="1"/>
  <c r="O2425" i="1" a="1"/>
  <c r="O2425" i="1" s="1"/>
  <c r="O2424" i="1" a="1"/>
  <c r="O2424" i="1" s="1"/>
  <c r="O2423" i="1" a="1"/>
  <c r="O2423" i="1" s="1"/>
  <c r="O2422" i="1" a="1"/>
  <c r="O2422" i="1" s="1"/>
  <c r="O2421" i="1" a="1"/>
  <c r="O2421" i="1" s="1"/>
  <c r="O2420" i="1" a="1"/>
  <c r="O2420" i="1" s="1"/>
  <c r="O2419" i="1" a="1"/>
  <c r="O2419" i="1" s="1"/>
  <c r="O2418" i="1" a="1"/>
  <c r="O2418" i="1" s="1"/>
  <c r="O2417" i="1" a="1"/>
  <c r="O2417" i="1" s="1"/>
  <c r="O2416" i="1" a="1"/>
  <c r="O2416" i="1" s="1"/>
  <c r="O2415" i="1" a="1"/>
  <c r="O2415" i="1" s="1"/>
  <c r="O2414" i="1" a="1"/>
  <c r="O2414" i="1" s="1"/>
  <c r="O2413" i="1" a="1"/>
  <c r="O2413" i="1" s="1"/>
  <c r="O2412" i="1" a="1"/>
  <c r="O2412" i="1" s="1"/>
  <c r="O2411" i="1" a="1"/>
  <c r="O2411" i="1" s="1"/>
  <c r="O2410" i="1" a="1"/>
  <c r="O2410" i="1" s="1"/>
  <c r="O2409" i="1" a="1"/>
  <c r="O2409" i="1" s="1"/>
  <c r="O2408" i="1" a="1"/>
  <c r="O2408" i="1" s="1"/>
  <c r="O2407" i="1" a="1"/>
  <c r="O2407" i="1" s="1"/>
  <c r="O2406" i="1" a="1"/>
  <c r="O2406" i="1" s="1"/>
  <c r="O2405" i="1" a="1"/>
  <c r="O2405" i="1" s="1"/>
  <c r="O2404" i="1" a="1"/>
  <c r="O2404" i="1" s="1"/>
  <c r="O2403" i="1" a="1"/>
  <c r="O2403" i="1" s="1"/>
  <c r="O2402" i="1" a="1"/>
  <c r="O2402" i="1" s="1"/>
  <c r="O2401" i="1" a="1"/>
  <c r="O2401" i="1" s="1"/>
  <c r="O2400" i="1" a="1"/>
  <c r="O2400" i="1" s="1"/>
  <c r="O2399" i="1" a="1"/>
  <c r="O2399" i="1" s="1"/>
  <c r="O2398" i="1" a="1"/>
  <c r="O2398" i="1" s="1"/>
  <c r="O2397" i="1" a="1"/>
  <c r="O2397" i="1" s="1"/>
  <c r="O2396" i="1" a="1"/>
  <c r="O2396" i="1" s="1"/>
  <c r="O2395" i="1" a="1"/>
  <c r="O2395" i="1" s="1"/>
  <c r="O2394" i="1" a="1"/>
  <c r="O2394" i="1" s="1"/>
  <c r="O2393" i="1" a="1"/>
  <c r="O2393" i="1" s="1"/>
  <c r="O2392" i="1" a="1"/>
  <c r="O2392" i="1" s="1"/>
  <c r="O2391" i="1" a="1"/>
  <c r="O2391" i="1" s="1"/>
  <c r="O2390" i="1" a="1"/>
  <c r="O2390" i="1" s="1"/>
  <c r="O2389" i="1" a="1"/>
  <c r="O2389" i="1" s="1"/>
  <c r="O2388" i="1" a="1"/>
  <c r="O2388" i="1" s="1"/>
  <c r="O2387" i="1" a="1"/>
  <c r="O2387" i="1" s="1"/>
  <c r="O2386" i="1" a="1"/>
  <c r="O2386" i="1" s="1"/>
  <c r="O2385" i="1" a="1"/>
  <c r="O2385" i="1" s="1"/>
  <c r="O2384" i="1" a="1"/>
  <c r="O2384" i="1" s="1"/>
  <c r="O2383" i="1" a="1"/>
  <c r="O2383" i="1" s="1"/>
  <c r="O2382" i="1" a="1"/>
  <c r="O2382" i="1" s="1"/>
  <c r="O2381" i="1" a="1"/>
  <c r="O2381" i="1" s="1"/>
  <c r="O2380" i="1" a="1"/>
  <c r="O2380" i="1" s="1"/>
  <c r="O2379" i="1" a="1"/>
  <c r="O2379" i="1" s="1"/>
  <c r="O2378" i="1" a="1"/>
  <c r="O2378" i="1" s="1"/>
  <c r="O2377" i="1" a="1"/>
  <c r="O2377" i="1" s="1"/>
  <c r="O2376" i="1" a="1"/>
  <c r="O2376" i="1" s="1"/>
  <c r="O2375" i="1" a="1"/>
  <c r="O2375" i="1" s="1"/>
  <c r="O2374" i="1" a="1"/>
  <c r="O2374" i="1" s="1"/>
  <c r="O2373" i="1" a="1"/>
  <c r="O2373" i="1" s="1"/>
  <c r="O2372" i="1" a="1"/>
  <c r="O2372" i="1" s="1"/>
  <c r="O2371" i="1" a="1"/>
  <c r="O2371" i="1" s="1"/>
  <c r="O2370" i="1" a="1"/>
  <c r="O2370" i="1" s="1"/>
  <c r="O2369" i="1" a="1"/>
  <c r="O2369" i="1" s="1"/>
  <c r="O2368" i="1" a="1"/>
  <c r="O2368" i="1" s="1"/>
  <c r="O2367" i="1" a="1"/>
  <c r="O2367" i="1" s="1"/>
  <c r="O2366" i="1" a="1"/>
  <c r="O2366" i="1" s="1"/>
  <c r="O2365" i="1" a="1"/>
  <c r="O2365" i="1" s="1"/>
  <c r="O2364" i="1" a="1"/>
  <c r="O2364" i="1" s="1"/>
  <c r="O2363" i="1" a="1"/>
  <c r="O2363" i="1" s="1"/>
  <c r="O2362" i="1" a="1"/>
  <c r="O2362" i="1" s="1"/>
  <c r="O2361" i="1" a="1"/>
  <c r="O2361" i="1" s="1"/>
  <c r="O2360" i="1" a="1"/>
  <c r="O2360" i="1" s="1"/>
  <c r="O2359" i="1" a="1"/>
  <c r="O2359" i="1" s="1"/>
  <c r="O2358" i="1" a="1"/>
  <c r="O2358" i="1" s="1"/>
  <c r="O2357" i="1" a="1"/>
  <c r="O2357" i="1" s="1"/>
  <c r="O2356" i="1" a="1"/>
  <c r="O2356" i="1" s="1"/>
  <c r="O2355" i="1" a="1"/>
  <c r="O2355" i="1" s="1"/>
  <c r="O2354" i="1" a="1"/>
  <c r="O2354" i="1" s="1"/>
  <c r="O2353" i="1" a="1"/>
  <c r="O2353" i="1" s="1"/>
  <c r="O2352" i="1" a="1"/>
  <c r="O2352" i="1" s="1"/>
  <c r="O2351" i="1" a="1"/>
  <c r="O2351" i="1" s="1"/>
  <c r="O2350" i="1" a="1"/>
  <c r="O2350" i="1" s="1"/>
  <c r="O2349" i="1" a="1"/>
  <c r="O2349" i="1" s="1"/>
  <c r="O2348" i="1" a="1"/>
  <c r="O2348" i="1" s="1"/>
  <c r="O2347" i="1" a="1"/>
  <c r="O2347" i="1" s="1"/>
  <c r="O2346" i="1" a="1"/>
  <c r="O2346" i="1" s="1"/>
  <c r="O2345" i="1" a="1"/>
  <c r="O2345" i="1" s="1"/>
  <c r="O2344" i="1" a="1"/>
  <c r="O2344" i="1" s="1"/>
  <c r="O2343" i="1" a="1"/>
  <c r="O2343" i="1" s="1"/>
  <c r="O2342" i="1" a="1"/>
  <c r="O2342" i="1" s="1"/>
  <c r="O2341" i="1" a="1"/>
  <c r="O2341" i="1" s="1"/>
  <c r="O2340" i="1" a="1"/>
  <c r="O2340" i="1" s="1"/>
  <c r="O2339" i="1" a="1"/>
  <c r="O2339" i="1" s="1"/>
  <c r="O2338" i="1" a="1"/>
  <c r="O2338" i="1" s="1"/>
  <c r="O2337" i="1" a="1"/>
  <c r="O2337" i="1" s="1"/>
  <c r="O2336" i="1" a="1"/>
  <c r="O2336" i="1" s="1"/>
  <c r="O2335" i="1" a="1"/>
  <c r="O2335" i="1" s="1"/>
  <c r="O2334" i="1" a="1"/>
  <c r="O2334" i="1" s="1"/>
  <c r="O2333" i="1" a="1"/>
  <c r="O2333" i="1" s="1"/>
  <c r="O2332" i="1" a="1"/>
  <c r="O2332" i="1" s="1"/>
  <c r="O2331" i="1" a="1"/>
  <c r="O2331" i="1" s="1"/>
  <c r="O2330" i="1" a="1"/>
  <c r="O2330" i="1" s="1"/>
  <c r="O2329" i="1" a="1"/>
  <c r="O2329" i="1" s="1"/>
  <c r="O2328" i="1" a="1"/>
  <c r="O2328" i="1" s="1"/>
  <c r="O2327" i="1" a="1"/>
  <c r="O2327" i="1" s="1"/>
  <c r="O2326" i="1" a="1"/>
  <c r="O2326" i="1" s="1"/>
  <c r="O2325" i="1" a="1"/>
  <c r="O2325" i="1" s="1"/>
  <c r="O2324" i="1" a="1"/>
  <c r="O2324" i="1" s="1"/>
  <c r="O2323" i="1" a="1"/>
  <c r="O2323" i="1" s="1"/>
  <c r="O2322" i="1" a="1"/>
  <c r="O2322" i="1" s="1"/>
  <c r="O2321" i="1" a="1"/>
  <c r="O2321" i="1" s="1"/>
  <c r="O2320" i="1" a="1"/>
  <c r="O2320" i="1" s="1"/>
  <c r="O2319" i="1" a="1"/>
  <c r="O2319" i="1" s="1"/>
  <c r="O2318" i="1" a="1"/>
  <c r="O2318" i="1" s="1"/>
  <c r="O2317" i="1" a="1"/>
  <c r="O2317" i="1" s="1"/>
  <c r="O2316" i="1" a="1"/>
  <c r="O2316" i="1" s="1"/>
  <c r="O2315" i="1" a="1"/>
  <c r="O2315" i="1" s="1"/>
  <c r="O2314" i="1" a="1"/>
  <c r="O2314" i="1" s="1"/>
  <c r="O2313" i="1" a="1"/>
  <c r="O2313" i="1" s="1"/>
  <c r="O2312" i="1" a="1"/>
  <c r="O2312" i="1" s="1"/>
  <c r="O2311" i="1" a="1"/>
  <c r="O2311" i="1" s="1"/>
  <c r="O2310" i="1" a="1"/>
  <c r="O2310" i="1" s="1"/>
  <c r="O2309" i="1" a="1"/>
  <c r="O2309" i="1" s="1"/>
  <c r="O2308" i="1" a="1"/>
  <c r="O2308" i="1" s="1"/>
  <c r="O2307" i="1" a="1"/>
  <c r="O2307" i="1" s="1"/>
  <c r="O2306" i="1" a="1"/>
  <c r="O2306" i="1" s="1"/>
  <c r="O2305" i="1" a="1"/>
  <c r="O2305" i="1" s="1"/>
  <c r="O2304" i="1" a="1"/>
  <c r="O2304" i="1" s="1"/>
  <c r="O2303" i="1" a="1"/>
  <c r="O2303" i="1" s="1"/>
  <c r="O2302" i="1" a="1"/>
  <c r="O2302" i="1" s="1"/>
  <c r="O2301" i="1" a="1"/>
  <c r="O2301" i="1" s="1"/>
  <c r="O2300" i="1" a="1"/>
  <c r="O2300" i="1" s="1"/>
  <c r="O2299" i="1" a="1"/>
  <c r="O2299" i="1" s="1"/>
  <c r="O2298" i="1" a="1"/>
  <c r="O2298" i="1" s="1"/>
  <c r="O2297" i="1" a="1"/>
  <c r="O2297" i="1" s="1"/>
  <c r="O2296" i="1" a="1"/>
  <c r="O2296" i="1" s="1"/>
  <c r="O2295" i="1" a="1"/>
  <c r="O2295" i="1" s="1"/>
  <c r="O2294" i="1" a="1"/>
  <c r="O2294" i="1" s="1"/>
  <c r="O2293" i="1" a="1"/>
  <c r="O2293" i="1" s="1"/>
  <c r="O2292" i="1" a="1"/>
  <c r="O2292" i="1" s="1"/>
  <c r="O2291" i="1" a="1"/>
  <c r="O2291" i="1" s="1"/>
  <c r="O2290" i="1" a="1"/>
  <c r="O2290" i="1" s="1"/>
  <c r="O2289" i="1" a="1"/>
  <c r="O2289" i="1" s="1"/>
  <c r="O2288" i="1" a="1"/>
  <c r="O2288" i="1" s="1"/>
  <c r="O2287" i="1" a="1"/>
  <c r="O2287" i="1" s="1"/>
  <c r="O2286" i="1" a="1"/>
  <c r="O2286" i="1" s="1"/>
  <c r="O2285" i="1" a="1"/>
  <c r="O2285" i="1" s="1"/>
  <c r="O2284" i="1" a="1"/>
  <c r="O2284" i="1" s="1"/>
  <c r="O2283" i="1" a="1"/>
  <c r="O2283" i="1" s="1"/>
  <c r="O2282" i="1" a="1"/>
  <c r="O2282" i="1" s="1"/>
  <c r="O2281" i="1" a="1"/>
  <c r="O2281" i="1" s="1"/>
  <c r="O2280" i="1" a="1"/>
  <c r="O2280" i="1" s="1"/>
  <c r="O2279" i="1" a="1"/>
  <c r="O2279" i="1" s="1"/>
  <c r="O2278" i="1" a="1"/>
  <c r="O2278" i="1" s="1"/>
  <c r="O2277" i="1" a="1"/>
  <c r="O2277" i="1" s="1"/>
  <c r="O2276" i="1" a="1"/>
  <c r="O2276" i="1" s="1"/>
  <c r="O2275" i="1" a="1"/>
  <c r="O2275" i="1" s="1"/>
  <c r="O2274" i="1" a="1"/>
  <c r="O2274" i="1" s="1"/>
  <c r="O2273" i="1" a="1"/>
  <c r="O2273" i="1" s="1"/>
  <c r="O2272" i="1" a="1"/>
  <c r="O2272" i="1" s="1"/>
  <c r="O2271" i="1" a="1"/>
  <c r="O2271" i="1" s="1"/>
  <c r="O2270" i="1" a="1"/>
  <c r="O2270" i="1" s="1"/>
  <c r="O2269" i="1" a="1"/>
  <c r="O2269" i="1" s="1"/>
  <c r="O2268" i="1" a="1"/>
  <c r="O2268" i="1" s="1"/>
  <c r="O2267" i="1" a="1"/>
  <c r="O2267" i="1" s="1"/>
  <c r="O2266" i="1" a="1"/>
  <c r="O2266" i="1" s="1"/>
  <c r="O2265" i="1" a="1"/>
  <c r="O2265" i="1" s="1"/>
  <c r="O2264" i="1" a="1"/>
  <c r="O2264" i="1" s="1"/>
  <c r="O2263" i="1" a="1"/>
  <c r="O2263" i="1" s="1"/>
  <c r="O2262" i="1" a="1"/>
  <c r="O2262" i="1" s="1"/>
  <c r="O2261" i="1" a="1"/>
  <c r="O2261" i="1" s="1"/>
  <c r="O2260" i="1" a="1"/>
  <c r="O2260" i="1" s="1"/>
  <c r="O2259" i="1" a="1"/>
  <c r="O2259" i="1" s="1"/>
  <c r="O2258" i="1" a="1"/>
  <c r="O2258" i="1" s="1"/>
  <c r="O2257" i="1" a="1"/>
  <c r="O2257" i="1" s="1"/>
  <c r="O2256" i="1" a="1"/>
  <c r="O2256" i="1" s="1"/>
  <c r="O2255" i="1" a="1"/>
  <c r="O2255" i="1" s="1"/>
  <c r="O2254" i="1" a="1"/>
  <c r="O2254" i="1" s="1"/>
  <c r="O2253" i="1" a="1"/>
  <c r="O2253" i="1" s="1"/>
  <c r="O2252" i="1" a="1"/>
  <c r="O2252" i="1" s="1"/>
  <c r="O2251" i="1" a="1"/>
  <c r="O2251" i="1" s="1"/>
  <c r="O2250" i="1" a="1"/>
  <c r="O2250" i="1" s="1"/>
  <c r="O2249" i="1" a="1"/>
  <c r="O2249" i="1" s="1"/>
  <c r="O2248" i="1" a="1"/>
  <c r="O2248" i="1" s="1"/>
  <c r="O2247" i="1" a="1"/>
  <c r="O2247" i="1" s="1"/>
  <c r="O2246" i="1" a="1"/>
  <c r="O2246" i="1" s="1"/>
  <c r="O2245" i="1" a="1"/>
  <c r="O2245" i="1" s="1"/>
  <c r="O2244" i="1" a="1"/>
  <c r="O2244" i="1" s="1"/>
  <c r="O2243" i="1" a="1"/>
  <c r="O2243" i="1" s="1"/>
  <c r="O2242" i="1" a="1"/>
  <c r="O2242" i="1" s="1"/>
  <c r="O2241" i="1" a="1"/>
  <c r="O2241" i="1" s="1"/>
  <c r="O2240" i="1" a="1"/>
  <c r="O2240" i="1" s="1"/>
  <c r="O2239" i="1" a="1"/>
  <c r="O2239" i="1" s="1"/>
  <c r="O2238" i="1" a="1"/>
  <c r="O2238" i="1" s="1"/>
  <c r="O2237" i="1" a="1"/>
  <c r="O2237" i="1" s="1"/>
  <c r="O2236" i="1" a="1"/>
  <c r="O2236" i="1" s="1"/>
  <c r="O2235" i="1" a="1"/>
  <c r="O2235" i="1" s="1"/>
  <c r="O2234" i="1" a="1"/>
  <c r="O2234" i="1" s="1"/>
  <c r="O2233" i="1" a="1"/>
  <c r="O2233" i="1" s="1"/>
  <c r="O2232" i="1" a="1"/>
  <c r="O2232" i="1" s="1"/>
  <c r="O2231" i="1" a="1"/>
  <c r="O2231" i="1" s="1"/>
  <c r="O2230" i="1" a="1"/>
  <c r="O2230" i="1" s="1"/>
  <c r="O2229" i="1" a="1"/>
  <c r="O2229" i="1" s="1"/>
  <c r="O2228" i="1" a="1"/>
  <c r="O2228" i="1" s="1"/>
  <c r="O2227" i="1" a="1"/>
  <c r="O2227" i="1" s="1"/>
  <c r="O2226" i="1" a="1"/>
  <c r="O2226" i="1" s="1"/>
  <c r="O2225" i="1" a="1"/>
  <c r="O2225" i="1" s="1"/>
  <c r="O2224" i="1" a="1"/>
  <c r="O2224" i="1" s="1"/>
  <c r="O2223" i="1" a="1"/>
  <c r="O2223" i="1" s="1"/>
  <c r="O2222" i="1" a="1"/>
  <c r="O2222" i="1" s="1"/>
  <c r="O2221" i="1" a="1"/>
  <c r="O2221" i="1" s="1"/>
  <c r="O2220" i="1" a="1"/>
  <c r="O2220" i="1" s="1"/>
  <c r="O2219" i="1" a="1"/>
  <c r="O2219" i="1" s="1"/>
  <c r="O2218" i="1" a="1"/>
  <c r="O2218" i="1" s="1"/>
  <c r="O2217" i="1" a="1"/>
  <c r="O2217" i="1" s="1"/>
  <c r="O2216" i="1" a="1"/>
  <c r="O2216" i="1" s="1"/>
  <c r="O2215" i="1" a="1"/>
  <c r="O2215" i="1" s="1"/>
  <c r="O2214" i="1" a="1"/>
  <c r="O2214" i="1" s="1"/>
  <c r="O2213" i="1" a="1"/>
  <c r="O2213" i="1" s="1"/>
  <c r="O2212" i="1" a="1"/>
  <c r="O2212" i="1" s="1"/>
  <c r="O2211" i="1" a="1"/>
  <c r="O2211" i="1" s="1"/>
  <c r="O2210" i="1" a="1"/>
  <c r="O2210" i="1" s="1"/>
  <c r="O2209" i="1" a="1"/>
  <c r="O2209" i="1" s="1"/>
  <c r="O2208" i="1" a="1"/>
  <c r="O2208" i="1" s="1"/>
  <c r="O2207" i="1" a="1"/>
  <c r="O2207" i="1" s="1"/>
  <c r="O2206" i="1" a="1"/>
  <c r="O2206" i="1" s="1"/>
  <c r="O2205" i="1" a="1"/>
  <c r="O2205" i="1" s="1"/>
  <c r="O2204" i="1" a="1"/>
  <c r="O2204" i="1" s="1"/>
  <c r="O2203" i="1" a="1"/>
  <c r="O2203" i="1" s="1"/>
  <c r="O2202" i="1" a="1"/>
  <c r="O2202" i="1" s="1"/>
  <c r="O2201" i="1" a="1"/>
  <c r="O2201" i="1" s="1"/>
  <c r="O2200" i="1" a="1"/>
  <c r="O2200" i="1" s="1"/>
  <c r="O2199" i="1" a="1"/>
  <c r="O2199" i="1" s="1"/>
  <c r="O2198" i="1" a="1"/>
  <c r="O2198" i="1" s="1"/>
  <c r="O2197" i="1" a="1"/>
  <c r="O2197" i="1" s="1"/>
  <c r="O2196" i="1" a="1"/>
  <c r="O2196" i="1" s="1"/>
  <c r="O2195" i="1" a="1"/>
  <c r="O2195" i="1" s="1"/>
  <c r="O2194" i="1" a="1"/>
  <c r="O2194" i="1" s="1"/>
  <c r="O2193" i="1" a="1"/>
  <c r="O2193" i="1" s="1"/>
  <c r="O2192" i="1" a="1"/>
  <c r="O2192" i="1" s="1"/>
  <c r="O2191" i="1" a="1"/>
  <c r="O2191" i="1" s="1"/>
  <c r="O2190" i="1" a="1"/>
  <c r="O2190" i="1" s="1"/>
  <c r="O2189" i="1" a="1"/>
  <c r="O2189" i="1" s="1"/>
  <c r="O2188" i="1" a="1"/>
  <c r="O2188" i="1" s="1"/>
  <c r="O2187" i="1" a="1"/>
  <c r="O2187" i="1" s="1"/>
  <c r="O2186" i="1" a="1"/>
  <c r="O2186" i="1" s="1"/>
  <c r="O2185" i="1" a="1"/>
  <c r="O2185" i="1" s="1"/>
  <c r="O2184" i="1" a="1"/>
  <c r="O2184" i="1" s="1"/>
  <c r="O2183" i="1" a="1"/>
  <c r="O2183" i="1" s="1"/>
  <c r="O2182" i="1" a="1"/>
  <c r="O2182" i="1" s="1"/>
  <c r="O2181" i="1" a="1"/>
  <c r="O2181" i="1" s="1"/>
  <c r="O2180" i="1" a="1"/>
  <c r="O2180" i="1" s="1"/>
  <c r="O2179" i="1" a="1"/>
  <c r="O2179" i="1" s="1"/>
  <c r="O2178" i="1" a="1"/>
  <c r="O2178" i="1" s="1"/>
  <c r="O2177" i="1" a="1"/>
  <c r="O2177" i="1" s="1"/>
  <c r="O2176" i="1" a="1"/>
  <c r="O2176" i="1" s="1"/>
  <c r="O2174" i="1" a="1"/>
  <c r="O2174" i="1" s="1"/>
  <c r="O2173" i="1" a="1"/>
  <c r="O2173" i="1" s="1"/>
  <c r="O2172" i="1" a="1"/>
  <c r="O2172" i="1" s="1"/>
  <c r="O2171" i="1" a="1"/>
  <c r="O2171" i="1" s="1"/>
  <c r="O2170" i="1" a="1"/>
  <c r="O2170" i="1" s="1"/>
  <c r="O2169" i="1" a="1"/>
  <c r="O2169" i="1" s="1"/>
  <c r="O2168" i="1" a="1"/>
  <c r="O2168" i="1" s="1"/>
  <c r="O2167" i="1" a="1"/>
  <c r="O2167" i="1" s="1"/>
  <c r="O2166" i="1" a="1"/>
  <c r="O2166" i="1" s="1"/>
  <c r="O2165" i="1" a="1"/>
  <c r="O2165" i="1" s="1"/>
  <c r="O2164" i="1" a="1"/>
  <c r="O2164" i="1" s="1"/>
  <c r="O2163" i="1" a="1"/>
  <c r="O2163" i="1" s="1"/>
  <c r="O2162" i="1" a="1"/>
  <c r="O2162" i="1" s="1"/>
  <c r="O2161" i="1" a="1"/>
  <c r="O2161" i="1" s="1"/>
  <c r="O2160" i="1" a="1"/>
  <c r="O2160" i="1" s="1"/>
  <c r="O2159" i="1" a="1"/>
  <c r="O2159" i="1" s="1"/>
  <c r="O2158" i="1" a="1"/>
  <c r="O2158" i="1" s="1"/>
  <c r="O2157" i="1" a="1"/>
  <c r="O2157" i="1" s="1"/>
  <c r="O2156" i="1" a="1"/>
  <c r="O2156" i="1" s="1"/>
  <c r="O2155" i="1" a="1"/>
  <c r="O2155" i="1" s="1"/>
  <c r="O2154" i="1" a="1"/>
  <c r="O2154" i="1" s="1"/>
  <c r="O2153" i="1" a="1"/>
  <c r="O2153" i="1" s="1"/>
  <c r="O2152" i="1" a="1"/>
  <c r="O2152" i="1" s="1"/>
  <c r="O2151" i="1" a="1"/>
  <c r="O2151" i="1" s="1"/>
  <c r="O2150" i="1" a="1"/>
  <c r="O2150" i="1" s="1"/>
  <c r="O2149" i="1" a="1"/>
  <c r="O2149" i="1" s="1"/>
  <c r="O2148" i="1" a="1"/>
  <c r="O2148" i="1" s="1"/>
  <c r="O2147" i="1" a="1"/>
  <c r="O2147" i="1" s="1"/>
  <c r="O2146" i="1" a="1"/>
  <c r="O2146" i="1" s="1"/>
  <c r="O2145" i="1" a="1"/>
  <c r="O2145" i="1" s="1"/>
  <c r="O2144" i="1" a="1"/>
  <c r="O2144" i="1" s="1"/>
  <c r="O2143" i="1" a="1"/>
  <c r="O2143" i="1" s="1"/>
  <c r="O2142" i="1" a="1"/>
  <c r="O2142" i="1" s="1"/>
  <c r="O2141" i="1" a="1"/>
  <c r="O2141" i="1" s="1"/>
  <c r="O2140" i="1" a="1"/>
  <c r="O2140" i="1" s="1"/>
  <c r="O2139" i="1" a="1"/>
  <c r="O2139" i="1" s="1"/>
  <c r="O2138" i="1" a="1"/>
  <c r="O2138" i="1" s="1"/>
  <c r="O2137" i="1" a="1"/>
  <c r="O2137" i="1" s="1"/>
  <c r="O2136" i="1" a="1"/>
  <c r="O2136" i="1" s="1"/>
  <c r="O2135" i="1" a="1"/>
  <c r="O2135" i="1" s="1"/>
  <c r="O2134" i="1" a="1"/>
  <c r="O2134" i="1" s="1"/>
  <c r="O2133" i="1" a="1"/>
  <c r="O2133" i="1" s="1"/>
  <c r="O2132" i="1" a="1"/>
  <c r="O2132" i="1" s="1"/>
  <c r="O2131" i="1" a="1"/>
  <c r="O2131" i="1" s="1"/>
  <c r="O2130" i="1" a="1"/>
  <c r="O2130" i="1" s="1"/>
  <c r="O2129" i="1" a="1"/>
  <c r="O2129" i="1" s="1"/>
  <c r="O2128" i="1" a="1"/>
  <c r="O2128" i="1" s="1"/>
  <c r="O2127" i="1" a="1"/>
  <c r="O2127" i="1" s="1"/>
  <c r="O2126" i="1" a="1"/>
  <c r="O2126" i="1" s="1"/>
  <c r="O2125" i="1" a="1"/>
  <c r="O2125" i="1" s="1"/>
  <c r="O2124" i="1" a="1"/>
  <c r="O2124" i="1" s="1"/>
  <c r="O2123" i="1" a="1"/>
  <c r="O2123" i="1" s="1"/>
  <c r="O2122" i="1" a="1"/>
  <c r="O2122" i="1" s="1"/>
  <c r="O2121" i="1" a="1"/>
  <c r="O2121" i="1" s="1"/>
  <c r="O2120" i="1" a="1"/>
  <c r="O2120" i="1" s="1"/>
  <c r="O2119" i="1" a="1"/>
  <c r="O2119" i="1" s="1"/>
  <c r="O2118" i="1" a="1"/>
  <c r="O2118" i="1" s="1"/>
  <c r="O2117" i="1" a="1"/>
  <c r="O2117" i="1" s="1"/>
  <c r="O2116" i="1" a="1"/>
  <c r="O2116" i="1" s="1"/>
  <c r="O2115" i="1" a="1"/>
  <c r="O2115" i="1" s="1"/>
  <c r="O2114" i="1" a="1"/>
  <c r="O2114" i="1" s="1"/>
  <c r="O2113" i="1" a="1"/>
  <c r="O2113" i="1" s="1"/>
  <c r="O2112" i="1" a="1"/>
  <c r="O2112" i="1" s="1"/>
  <c r="O2111" i="1" a="1"/>
  <c r="O2111" i="1" s="1"/>
  <c r="O2110" i="1" a="1"/>
  <c r="O2110" i="1" s="1"/>
  <c r="O2109" i="1" a="1"/>
  <c r="O2109" i="1" s="1"/>
  <c r="O2108" i="1" a="1"/>
  <c r="O2108" i="1" s="1"/>
  <c r="O2107" i="1" a="1"/>
  <c r="O2107" i="1" s="1"/>
  <c r="O2106" i="1" a="1"/>
  <c r="O2106" i="1" s="1"/>
  <c r="O2105" i="1" a="1"/>
  <c r="O2105" i="1" s="1"/>
  <c r="O2104" i="1" a="1"/>
  <c r="O2104" i="1" s="1"/>
  <c r="O2103" i="1" a="1"/>
  <c r="O2103" i="1" s="1"/>
  <c r="O2102" i="1" a="1"/>
  <c r="O2102" i="1" s="1"/>
  <c r="O2101" i="1" a="1"/>
  <c r="O2101" i="1" s="1"/>
  <c r="O2100" i="1" a="1"/>
  <c r="O2100" i="1" s="1"/>
  <c r="O2099" i="1" a="1"/>
  <c r="O2099" i="1" s="1"/>
  <c r="O2098" i="1" a="1"/>
  <c r="O2098" i="1" s="1"/>
  <c r="O2097" i="1" a="1"/>
  <c r="O2097" i="1" s="1"/>
  <c r="O2096" i="1" a="1"/>
  <c r="O2096" i="1" s="1"/>
  <c r="O2095" i="1" a="1"/>
  <c r="O2095" i="1" s="1"/>
  <c r="O2094" i="1" a="1"/>
  <c r="O2094" i="1" s="1"/>
  <c r="O2093" i="1" a="1"/>
  <c r="O2093" i="1" s="1"/>
  <c r="O2092" i="1" a="1"/>
  <c r="O2092" i="1" s="1"/>
  <c r="O2091" i="1" a="1"/>
  <c r="O2091" i="1" s="1"/>
  <c r="O2090" i="1" a="1"/>
  <c r="O2090" i="1" s="1"/>
  <c r="O2089" i="1" a="1"/>
  <c r="O2089" i="1" s="1"/>
  <c r="O2088" i="1" a="1"/>
  <c r="O2088" i="1" s="1"/>
  <c r="O2087" i="1" a="1"/>
  <c r="O2087" i="1" s="1"/>
  <c r="O2086" i="1" a="1"/>
  <c r="O2086" i="1" s="1"/>
  <c r="O2085" i="1" a="1"/>
  <c r="O2085" i="1" s="1"/>
  <c r="O2084" i="1" a="1"/>
  <c r="O2084" i="1" s="1"/>
  <c r="O2083" i="1" a="1"/>
  <c r="O2083" i="1" s="1"/>
  <c r="O2082" i="1" a="1"/>
  <c r="O2082" i="1" s="1"/>
  <c r="O2081" i="1" a="1"/>
  <c r="O2081" i="1" s="1"/>
  <c r="O2080" i="1" a="1"/>
  <c r="O2080" i="1" s="1"/>
  <c r="O2079" i="1" a="1"/>
  <c r="O2079" i="1" s="1"/>
  <c r="O2078" i="1" a="1"/>
  <c r="O2078" i="1" s="1"/>
  <c r="O2077" i="1" a="1"/>
  <c r="O2077" i="1" s="1"/>
  <c r="O2076" i="1" a="1"/>
  <c r="O2076" i="1" s="1"/>
  <c r="O2075" i="1" a="1"/>
  <c r="O2075" i="1" s="1"/>
  <c r="O2074" i="1" a="1"/>
  <c r="O2074" i="1" s="1"/>
  <c r="O2073" i="1" a="1"/>
  <c r="O2073" i="1" s="1"/>
  <c r="O2072" i="1" a="1"/>
  <c r="O2072" i="1" s="1"/>
  <c r="O2071" i="1" a="1"/>
  <c r="O2071" i="1" s="1"/>
  <c r="O2070" i="1" a="1"/>
  <c r="O2070" i="1" s="1"/>
  <c r="O2069" i="1" a="1"/>
  <c r="O2069" i="1" s="1"/>
  <c r="O2068" i="1" a="1"/>
  <c r="O2068" i="1" s="1"/>
  <c r="O2067" i="1" a="1"/>
  <c r="O2067" i="1" s="1"/>
  <c r="O2066" i="1" a="1"/>
  <c r="O2066" i="1" s="1"/>
  <c r="O2065" i="1" a="1"/>
  <c r="O2065" i="1" s="1"/>
  <c r="O2064" i="1" a="1"/>
  <c r="O2064" i="1" s="1"/>
  <c r="O2063" i="1" a="1"/>
  <c r="O2063" i="1" s="1"/>
  <c r="O2062" i="1" a="1"/>
  <c r="O2062" i="1" s="1"/>
  <c r="O2061" i="1" a="1"/>
  <c r="O2061" i="1" s="1"/>
  <c r="O2060" i="1" a="1"/>
  <c r="O2060" i="1" s="1"/>
  <c r="O2059" i="1" a="1"/>
  <c r="O2059" i="1" s="1"/>
  <c r="O2058" i="1" a="1"/>
  <c r="O2058" i="1" s="1"/>
  <c r="O2057" i="1" a="1"/>
  <c r="O2057" i="1" s="1"/>
  <c r="O2056" i="1" a="1"/>
  <c r="O2056" i="1" s="1"/>
  <c r="O2055" i="1" a="1"/>
  <c r="O2055" i="1" s="1"/>
  <c r="O2054" i="1" a="1"/>
  <c r="O2054" i="1" s="1"/>
  <c r="O2053" i="1" a="1"/>
  <c r="O2053" i="1" s="1"/>
  <c r="O2052" i="1" a="1"/>
  <c r="O2052" i="1" s="1"/>
  <c r="O2051" i="1" a="1"/>
  <c r="O2051" i="1" s="1"/>
  <c r="O2050" i="1" a="1"/>
  <c r="O2050" i="1" s="1"/>
  <c r="O2049" i="1" a="1"/>
  <c r="O2049" i="1" s="1"/>
  <c r="O2048" i="1" a="1"/>
  <c r="O2048" i="1" s="1"/>
  <c r="O2047" i="1" a="1"/>
  <c r="O2047" i="1" s="1"/>
  <c r="O2046" i="1" a="1"/>
  <c r="O2046" i="1" s="1"/>
  <c r="O2045" i="1" a="1"/>
  <c r="O2045" i="1" s="1"/>
  <c r="O2044" i="1" a="1"/>
  <c r="O2044" i="1" s="1"/>
  <c r="O2043" i="1" a="1"/>
  <c r="O2043" i="1" s="1"/>
  <c r="O2042" i="1" a="1"/>
  <c r="O2042" i="1" s="1"/>
  <c r="O2041" i="1" a="1"/>
  <c r="O2041" i="1" s="1"/>
  <c r="O2040" i="1" a="1"/>
  <c r="O2040" i="1" s="1"/>
  <c r="O2039" i="1" a="1"/>
  <c r="O2039" i="1" s="1"/>
  <c r="O2038" i="1" a="1"/>
  <c r="O2038" i="1" s="1"/>
  <c r="O2037" i="1" a="1"/>
  <c r="O2037" i="1" s="1"/>
  <c r="O2036" i="1" a="1"/>
  <c r="O2036" i="1" s="1"/>
  <c r="O2035" i="1" a="1"/>
  <c r="O2035" i="1" s="1"/>
  <c r="O2034" i="1" a="1"/>
  <c r="O2034" i="1" s="1"/>
  <c r="O2033" i="1" a="1"/>
  <c r="O2033" i="1" s="1"/>
  <c r="O2032" i="1" a="1"/>
  <c r="O2032" i="1" s="1"/>
  <c r="O2031" i="1" a="1"/>
  <c r="O2031" i="1" s="1"/>
  <c r="O2030" i="1" a="1"/>
  <c r="O2030" i="1" s="1"/>
  <c r="O2029" i="1" a="1"/>
  <c r="O2029" i="1" s="1"/>
  <c r="O2028" i="1" a="1"/>
  <c r="O2028" i="1" s="1"/>
  <c r="O2027" i="1" a="1"/>
  <c r="O2027" i="1" s="1"/>
  <c r="O2026" i="1" a="1"/>
  <c r="O2026" i="1" s="1"/>
  <c r="O2025" i="1" a="1"/>
  <c r="O2025" i="1" s="1"/>
  <c r="O2024" i="1" a="1"/>
  <c r="O2024" i="1" s="1"/>
  <c r="O2023" i="1" a="1"/>
  <c r="O2023" i="1" s="1"/>
  <c r="O2022" i="1" a="1"/>
  <c r="O2022" i="1" s="1"/>
  <c r="O2021" i="1" a="1"/>
  <c r="O2021" i="1" s="1"/>
  <c r="O2020" i="1" a="1"/>
  <c r="O2020" i="1" s="1"/>
  <c r="O2019" i="1" a="1"/>
  <c r="O2019" i="1" s="1"/>
  <c r="O2018" i="1" a="1"/>
  <c r="O2018" i="1" s="1"/>
  <c r="O2017" i="1" a="1"/>
  <c r="O2017" i="1" s="1"/>
  <c r="O2016" i="1" a="1"/>
  <c r="O2016" i="1" s="1"/>
  <c r="O2015" i="1" a="1"/>
  <c r="O2015" i="1" s="1"/>
  <c r="O2014" i="1" a="1"/>
  <c r="O2014" i="1" s="1"/>
  <c r="O2013" i="1" a="1"/>
  <c r="O2013" i="1" s="1"/>
  <c r="O2012" i="1" a="1"/>
  <c r="O2012" i="1" s="1"/>
  <c r="O2011" i="1" a="1"/>
  <c r="O2011" i="1" s="1"/>
  <c r="O2010" i="1" a="1"/>
  <c r="O2010" i="1" s="1"/>
  <c r="O2009" i="1" a="1"/>
  <c r="O2009" i="1" s="1"/>
  <c r="O2008" i="1" a="1"/>
  <c r="O2008" i="1" s="1"/>
  <c r="O2007" i="1" a="1"/>
  <c r="O2007" i="1" s="1"/>
  <c r="O2006" i="1" a="1"/>
  <c r="O2006" i="1" s="1"/>
  <c r="O2005" i="1" a="1"/>
  <c r="O2005" i="1" s="1"/>
  <c r="O2004" i="1" a="1"/>
  <c r="O2004" i="1" s="1"/>
  <c r="O2003" i="1" a="1"/>
  <c r="O2003" i="1" s="1"/>
  <c r="O2002" i="1" a="1"/>
  <c r="O2002" i="1" s="1"/>
  <c r="O2001" i="1" a="1"/>
  <c r="O2001" i="1" s="1"/>
  <c r="O2000" i="1" a="1"/>
  <c r="O2000" i="1" s="1"/>
  <c r="O1999" i="1" a="1"/>
  <c r="O1999" i="1" s="1"/>
  <c r="O1998" i="1" a="1"/>
  <c r="O1998" i="1" s="1"/>
  <c r="O1997" i="1" a="1"/>
  <c r="O1997" i="1" s="1"/>
  <c r="O1996" i="1" a="1"/>
  <c r="O1996" i="1" s="1"/>
  <c r="O1995" i="1" a="1"/>
  <c r="O1995" i="1" s="1"/>
  <c r="O1994" i="1" a="1"/>
  <c r="O1994" i="1" s="1"/>
  <c r="O1993" i="1" a="1"/>
  <c r="O1993" i="1" s="1"/>
  <c r="O1992" i="1" a="1"/>
  <c r="O1992" i="1" s="1"/>
  <c r="O1991" i="1" a="1"/>
  <c r="O1991" i="1" s="1"/>
  <c r="O1990" i="1" a="1"/>
  <c r="O1990" i="1" s="1"/>
  <c r="O1989" i="1" a="1"/>
  <c r="O1989" i="1" s="1"/>
  <c r="O1988" i="1" a="1"/>
  <c r="O1988" i="1" s="1"/>
  <c r="O1987" i="1" a="1"/>
  <c r="O1987" i="1" s="1"/>
  <c r="O1986" i="1" a="1"/>
  <c r="O1986" i="1" s="1"/>
  <c r="O1985" i="1" a="1"/>
  <c r="O1985" i="1" s="1"/>
  <c r="O1984" i="1" a="1"/>
  <c r="O1984" i="1" s="1"/>
  <c r="O1983" i="1" a="1"/>
  <c r="O1983" i="1" s="1"/>
  <c r="O1982" i="1" a="1"/>
  <c r="O1982" i="1" s="1"/>
  <c r="O1981" i="1" a="1"/>
  <c r="O1981" i="1" s="1"/>
  <c r="O1980" i="1" a="1"/>
  <c r="O1980" i="1" s="1"/>
  <c r="O1979" i="1" a="1"/>
  <c r="O1979" i="1" s="1"/>
  <c r="O1978" i="1" a="1"/>
  <c r="O1978" i="1" s="1"/>
  <c r="O1977" i="1" a="1"/>
  <c r="O1977" i="1" s="1"/>
  <c r="O1976" i="1" a="1"/>
  <c r="O1976" i="1" s="1"/>
  <c r="O1975" i="1" a="1"/>
  <c r="O1975" i="1" s="1"/>
  <c r="O1974" i="1" a="1"/>
  <c r="O1974" i="1" s="1"/>
  <c r="O1973" i="1" a="1"/>
  <c r="O1973" i="1" s="1"/>
  <c r="O1972" i="1" a="1"/>
  <c r="O1972" i="1" s="1"/>
  <c r="O1971" i="1" a="1"/>
  <c r="O1971" i="1" s="1"/>
  <c r="O1970" i="1" a="1"/>
  <c r="O1970" i="1" s="1"/>
  <c r="O1969" i="1" a="1"/>
  <c r="O1969" i="1" s="1"/>
  <c r="O1968" i="1" a="1"/>
  <c r="O1968" i="1" s="1"/>
  <c r="O1967" i="1" a="1"/>
  <c r="O1967" i="1" s="1"/>
  <c r="O1966" i="1" a="1"/>
  <c r="O1966" i="1" s="1"/>
  <c r="O1965" i="1" a="1"/>
  <c r="O1965" i="1" s="1"/>
  <c r="O1964" i="1" a="1"/>
  <c r="O1964" i="1" s="1"/>
  <c r="O1963" i="1" a="1"/>
  <c r="O1963" i="1" s="1"/>
  <c r="O1962" i="1" a="1"/>
  <c r="O1962" i="1" s="1"/>
  <c r="O1961" i="1" a="1"/>
  <c r="O1961" i="1" s="1"/>
  <c r="O1960" i="1" a="1"/>
  <c r="O1960" i="1" s="1"/>
  <c r="O1959" i="1" a="1"/>
  <c r="O1959" i="1" s="1"/>
  <c r="O1958" i="1" a="1"/>
  <c r="O1958" i="1" s="1"/>
  <c r="O1957" i="1" a="1"/>
  <c r="O1957" i="1" s="1"/>
  <c r="O1956" i="1" a="1"/>
  <c r="O1956" i="1" s="1"/>
  <c r="O1955" i="1" a="1"/>
  <c r="O1955" i="1" s="1"/>
  <c r="O1954" i="1" a="1"/>
  <c r="O1954" i="1" s="1"/>
  <c r="O1953" i="1" a="1"/>
  <c r="O1953" i="1" s="1"/>
  <c r="O1952" i="1" a="1"/>
  <c r="O1952" i="1" s="1"/>
  <c r="O1951" i="1" a="1"/>
  <c r="O1951" i="1" s="1"/>
  <c r="O1950" i="1" a="1"/>
  <c r="O1950" i="1" s="1"/>
  <c r="O1949" i="1" a="1"/>
  <c r="O1949" i="1" s="1"/>
  <c r="O1948" i="1" a="1"/>
  <c r="O1948" i="1" s="1"/>
  <c r="O1947" i="1" a="1"/>
  <c r="O1947" i="1" s="1"/>
  <c r="O1946" i="1" a="1"/>
  <c r="O1946" i="1" s="1"/>
  <c r="O1945" i="1" a="1"/>
  <c r="O1945" i="1" s="1"/>
  <c r="O1944" i="1" a="1"/>
  <c r="O1944" i="1" s="1"/>
  <c r="O1943" i="1" a="1"/>
  <c r="O1943" i="1" s="1"/>
  <c r="O1942" i="1" a="1"/>
  <c r="O1942" i="1" s="1"/>
  <c r="O1941" i="1" a="1"/>
  <c r="O1941" i="1" s="1"/>
  <c r="O1940" i="1" a="1"/>
  <c r="O1940" i="1" s="1"/>
  <c r="O1939" i="1" a="1"/>
  <c r="O1939" i="1" s="1"/>
  <c r="O1938" i="1" a="1"/>
  <c r="O1938" i="1" s="1"/>
  <c r="O1937" i="1" a="1"/>
  <c r="O1937" i="1" s="1"/>
  <c r="O1936" i="1" a="1"/>
  <c r="O1936" i="1" s="1"/>
  <c r="O1935" i="1" a="1"/>
  <c r="O1935" i="1" s="1"/>
  <c r="O1934" i="1" a="1"/>
  <c r="O1934" i="1" s="1"/>
  <c r="O1933" i="1" a="1"/>
  <c r="O1933" i="1" s="1"/>
  <c r="O1932" i="1" a="1"/>
  <c r="O1932" i="1" s="1"/>
  <c r="O1931" i="1" a="1"/>
  <c r="O1931" i="1" s="1"/>
  <c r="O1930" i="1" a="1"/>
  <c r="O1930" i="1" s="1"/>
  <c r="O1929" i="1" a="1"/>
  <c r="O1929" i="1" s="1"/>
  <c r="O1928" i="1" a="1"/>
  <c r="O1928" i="1" s="1"/>
  <c r="O1927" i="1" a="1"/>
  <c r="O1927" i="1" s="1"/>
  <c r="O1926" i="1" a="1"/>
  <c r="O1926" i="1" s="1"/>
  <c r="O1925" i="1" a="1"/>
  <c r="O1925" i="1" s="1"/>
  <c r="O1924" i="1" a="1"/>
  <c r="O1924" i="1" s="1"/>
  <c r="O1923" i="1" a="1"/>
  <c r="O1923" i="1" s="1"/>
  <c r="O1922" i="1" a="1"/>
  <c r="O1922" i="1" s="1"/>
  <c r="O1921" i="1" a="1"/>
  <c r="O1921" i="1" s="1"/>
  <c r="O1920" i="1" a="1"/>
  <c r="O1920" i="1" s="1"/>
  <c r="O1919" i="1" a="1"/>
  <c r="O1919" i="1" s="1"/>
  <c r="O1918" i="1" a="1"/>
  <c r="O1918" i="1" s="1"/>
  <c r="O1917" i="1" a="1"/>
  <c r="O1917" i="1" s="1"/>
  <c r="O1916" i="1" a="1"/>
  <c r="O1916" i="1" s="1"/>
  <c r="O1915" i="1" a="1"/>
  <c r="O1915" i="1" s="1"/>
  <c r="O1914" i="1" a="1"/>
  <c r="O1914" i="1" s="1"/>
  <c r="O1913" i="1" a="1"/>
  <c r="O1913" i="1" s="1"/>
  <c r="O1912" i="1" a="1"/>
  <c r="O1912" i="1" s="1"/>
  <c r="O1911" i="1" a="1"/>
  <c r="O1911" i="1" s="1"/>
  <c r="O1910" i="1" a="1"/>
  <c r="O1910" i="1" s="1"/>
  <c r="O1909" i="1" a="1"/>
  <c r="O1909" i="1" s="1"/>
  <c r="O1908" i="1" a="1"/>
  <c r="O1908" i="1" s="1"/>
  <c r="O1907" i="1" a="1"/>
  <c r="O1907" i="1" s="1"/>
  <c r="O1906" i="1" a="1"/>
  <c r="O1906" i="1" s="1"/>
  <c r="O1905" i="1" a="1"/>
  <c r="O1905" i="1" s="1"/>
  <c r="O1904" i="1" a="1"/>
  <c r="O1904" i="1" s="1"/>
  <c r="O1903" i="1" a="1"/>
  <c r="O1903" i="1" s="1"/>
  <c r="O1902" i="1" a="1"/>
  <c r="O1902" i="1" s="1"/>
  <c r="O1901" i="1" a="1"/>
  <c r="O1901" i="1" s="1"/>
  <c r="O1900" i="1" a="1"/>
  <c r="O1900" i="1" s="1"/>
  <c r="O1899" i="1" a="1"/>
  <c r="O1899" i="1" s="1"/>
  <c r="O1898" i="1" a="1"/>
  <c r="O1898" i="1" s="1"/>
  <c r="O1897" i="1" a="1"/>
  <c r="O1897" i="1" s="1"/>
  <c r="O1896" i="1" a="1"/>
  <c r="O1896" i="1" s="1"/>
  <c r="O1895" i="1" a="1"/>
  <c r="O1895" i="1" s="1"/>
  <c r="O1894" i="1" a="1"/>
  <c r="O1894" i="1" s="1"/>
  <c r="O1893" i="1" a="1"/>
  <c r="O1893" i="1" s="1"/>
  <c r="O1892" i="1" a="1"/>
  <c r="O1892" i="1" s="1"/>
  <c r="O1891" i="1" a="1"/>
  <c r="O1891" i="1" s="1"/>
  <c r="O1890" i="1" a="1"/>
  <c r="O1890" i="1" s="1"/>
  <c r="O1889" i="1" a="1"/>
  <c r="O1889" i="1" s="1"/>
  <c r="O1888" i="1" a="1"/>
  <c r="O1888" i="1" s="1"/>
  <c r="O1887" i="1" a="1"/>
  <c r="O1887" i="1" s="1"/>
  <c r="O1886" i="1" a="1"/>
  <c r="O1886" i="1" s="1"/>
  <c r="O1885" i="1" a="1"/>
  <c r="O1885" i="1" s="1"/>
  <c r="O1884" i="1" a="1"/>
  <c r="O1884" i="1" s="1"/>
  <c r="O1883" i="1" a="1"/>
  <c r="O1883" i="1" s="1"/>
  <c r="O1882" i="1" a="1"/>
  <c r="O1882" i="1" s="1"/>
  <c r="O1881" i="1" a="1"/>
  <c r="O1881" i="1" s="1"/>
  <c r="O1880" i="1" a="1"/>
  <c r="O1880" i="1" s="1"/>
  <c r="O1879" i="1" a="1"/>
  <c r="O1879" i="1" s="1"/>
  <c r="O1878" i="1" a="1"/>
  <c r="O1878" i="1" s="1"/>
  <c r="O1877" i="1" a="1"/>
  <c r="O1877" i="1" s="1"/>
  <c r="O1876" i="1" a="1"/>
  <c r="O1876" i="1" s="1"/>
  <c r="O1875" i="1" a="1"/>
  <c r="O1875" i="1" s="1"/>
  <c r="O1874" i="1" a="1"/>
  <c r="O1874" i="1" s="1"/>
  <c r="O1873" i="1" a="1"/>
  <c r="O1873" i="1" s="1"/>
  <c r="O1872" i="1" a="1"/>
  <c r="O1872" i="1" s="1"/>
  <c r="O1871" i="1" a="1"/>
  <c r="O1871" i="1" s="1"/>
  <c r="O1870" i="1" a="1"/>
  <c r="O1870" i="1" s="1"/>
  <c r="O1869" i="1" a="1"/>
  <c r="O1869" i="1" s="1"/>
  <c r="O1868" i="1" a="1"/>
  <c r="O1868" i="1" s="1"/>
  <c r="O1867" i="1" a="1"/>
  <c r="O1867" i="1" s="1"/>
  <c r="O1866" i="1" a="1"/>
  <c r="O1866" i="1" s="1"/>
  <c r="O1865" i="1" a="1"/>
  <c r="O1865" i="1" s="1"/>
  <c r="O1864" i="1" a="1"/>
  <c r="O1864" i="1" s="1"/>
  <c r="O1863" i="1" a="1"/>
  <c r="O1863" i="1" s="1"/>
  <c r="O1862" i="1" a="1"/>
  <c r="O1862" i="1" s="1"/>
  <c r="O1861" i="1" a="1"/>
  <c r="O1861" i="1" s="1"/>
  <c r="O1860" i="1" a="1"/>
  <c r="O1860" i="1" s="1"/>
  <c r="O1859" i="1" a="1"/>
  <c r="O1859" i="1" s="1"/>
  <c r="O1858" i="1" a="1"/>
  <c r="O1858" i="1" s="1"/>
  <c r="O1857" i="1" a="1"/>
  <c r="O1857" i="1" s="1"/>
  <c r="O1856" i="1" a="1"/>
  <c r="O1856" i="1" s="1"/>
  <c r="O1855" i="1" a="1"/>
  <c r="O1855" i="1" s="1"/>
  <c r="O1854" i="1" a="1"/>
  <c r="O1854" i="1" s="1"/>
  <c r="O1853" i="1" a="1"/>
  <c r="O1853" i="1" s="1"/>
  <c r="O1852" i="1" a="1"/>
  <c r="O1852" i="1" s="1"/>
  <c r="O1851" i="1" a="1"/>
  <c r="O1851" i="1" s="1"/>
  <c r="O1850" i="1" a="1"/>
  <c r="O1850" i="1" s="1"/>
  <c r="O1849" i="1" a="1"/>
  <c r="O1849" i="1" s="1"/>
  <c r="O1848" i="1" a="1"/>
  <c r="O1848" i="1" s="1"/>
  <c r="O1847" i="1" a="1"/>
  <c r="O1847" i="1" s="1"/>
  <c r="O1846" i="1" a="1"/>
  <c r="O1846" i="1" s="1"/>
  <c r="O1845" i="1" a="1"/>
  <c r="O1845" i="1" s="1"/>
  <c r="O1844" i="1" a="1"/>
  <c r="O1844" i="1" s="1"/>
  <c r="O1843" i="1" a="1"/>
  <c r="O1843" i="1" s="1"/>
  <c r="O1842" i="1" a="1"/>
  <c r="O1842" i="1" s="1"/>
  <c r="O1841" i="1" a="1"/>
  <c r="O1841" i="1" s="1"/>
  <c r="O1840" i="1" a="1"/>
  <c r="O1840" i="1" s="1"/>
  <c r="O1839" i="1" a="1"/>
  <c r="O1839" i="1" s="1"/>
  <c r="O1838" i="1" a="1"/>
  <c r="O1838" i="1" s="1"/>
  <c r="O1837" i="1" a="1"/>
  <c r="O1837" i="1" s="1"/>
  <c r="O1836" i="1" a="1"/>
  <c r="O1836" i="1" s="1"/>
  <c r="O1835" i="1" a="1"/>
  <c r="O1835" i="1" s="1"/>
  <c r="O1834" i="1" a="1"/>
  <c r="O1834" i="1" s="1"/>
  <c r="O1833" i="1" a="1"/>
  <c r="O1833" i="1" s="1"/>
  <c r="O1832" i="1" a="1"/>
  <c r="O1832" i="1" s="1"/>
  <c r="O1831" i="1" a="1"/>
  <c r="O1831" i="1" s="1"/>
  <c r="O1830" i="1" a="1"/>
  <c r="O1830" i="1" s="1"/>
  <c r="O1829" i="1" a="1"/>
  <c r="O1829" i="1" s="1"/>
  <c r="O1828" i="1" a="1"/>
  <c r="O1828" i="1" s="1"/>
  <c r="O1827" i="1" a="1"/>
  <c r="O1827" i="1" s="1"/>
  <c r="O1826" i="1" a="1"/>
  <c r="O1826" i="1" s="1"/>
  <c r="O1825" i="1" a="1"/>
  <c r="O1825" i="1" s="1"/>
  <c r="O1824" i="1" a="1"/>
  <c r="O1824" i="1" s="1"/>
  <c r="O1823" i="1" a="1"/>
  <c r="O1823" i="1" s="1"/>
  <c r="O1822" i="1" a="1"/>
  <c r="O1822" i="1" s="1"/>
  <c r="O1821" i="1" a="1"/>
  <c r="O1821" i="1" s="1"/>
  <c r="O1820" i="1" a="1"/>
  <c r="O1820" i="1" s="1"/>
  <c r="O1819" i="1" a="1"/>
  <c r="O1819" i="1" s="1"/>
  <c r="O1818" i="1" a="1"/>
  <c r="O1818" i="1" s="1"/>
  <c r="O1817" i="1" a="1"/>
  <c r="O1817" i="1" s="1"/>
  <c r="O1816" i="1" a="1"/>
  <c r="O1816" i="1" s="1"/>
  <c r="O1815" i="1" a="1"/>
  <c r="O1815" i="1" s="1"/>
  <c r="O1814" i="1" a="1"/>
  <c r="O1814" i="1" s="1"/>
  <c r="O1813" i="1" a="1"/>
  <c r="O1813" i="1" s="1"/>
  <c r="O1812" i="1" a="1"/>
  <c r="O1812" i="1" s="1"/>
  <c r="O1811" i="1" a="1"/>
  <c r="O1811" i="1" s="1"/>
  <c r="O1810" i="1" a="1"/>
  <c r="O1810" i="1" s="1"/>
  <c r="O1809" i="1" a="1"/>
  <c r="O1809" i="1" s="1"/>
  <c r="O1808" i="1" a="1"/>
  <c r="O1808" i="1" s="1"/>
  <c r="O1807" i="1" a="1"/>
  <c r="O1807" i="1" s="1"/>
  <c r="O1806" i="1" a="1"/>
  <c r="O1806" i="1" s="1"/>
  <c r="O1805" i="1" a="1"/>
  <c r="O1805" i="1" s="1"/>
  <c r="O1804" i="1" a="1"/>
  <c r="O1804" i="1" s="1"/>
  <c r="O1803" i="1" a="1"/>
  <c r="O1803" i="1" s="1"/>
  <c r="O1802" i="1" a="1"/>
  <c r="O1802" i="1" s="1"/>
  <c r="O1801" i="1" a="1"/>
  <c r="O1801" i="1" s="1"/>
  <c r="O1800" i="1" a="1"/>
  <c r="O1800" i="1" s="1"/>
  <c r="O1799" i="1" a="1"/>
  <c r="O1799" i="1" s="1"/>
  <c r="O1798" i="1" a="1"/>
  <c r="O1798" i="1" s="1"/>
  <c r="O1797" i="1" a="1"/>
  <c r="O1797" i="1" s="1"/>
  <c r="O1796" i="1" a="1"/>
  <c r="O1796" i="1" s="1"/>
  <c r="O1795" i="1" a="1"/>
  <c r="O1795" i="1" s="1"/>
  <c r="O1794" i="1" a="1"/>
  <c r="O1794" i="1" s="1"/>
  <c r="O1793" i="1" a="1"/>
  <c r="O1793" i="1" s="1"/>
  <c r="O1792" i="1" a="1"/>
  <c r="O1792" i="1" s="1"/>
  <c r="O1791" i="1" a="1"/>
  <c r="O1791" i="1" s="1"/>
  <c r="O1790" i="1" a="1"/>
  <c r="O1790" i="1" s="1"/>
  <c r="O1789" i="1" a="1"/>
  <c r="O1789" i="1" s="1"/>
  <c r="O1788" i="1" a="1"/>
  <c r="O1788" i="1" s="1"/>
  <c r="O1787" i="1" a="1"/>
  <c r="O1787" i="1" s="1"/>
  <c r="O1786" i="1" a="1"/>
  <c r="O1786" i="1" s="1"/>
  <c r="O1785" i="1" a="1"/>
  <c r="O1785" i="1" s="1"/>
  <c r="O1784" i="1" a="1"/>
  <c r="O1784" i="1" s="1"/>
  <c r="O1783" i="1" a="1"/>
  <c r="O1783" i="1" s="1"/>
  <c r="O1782" i="1" a="1"/>
  <c r="O1782" i="1" s="1"/>
  <c r="O1781" i="1" a="1"/>
  <c r="O1781" i="1" s="1"/>
  <c r="O1780" i="1" a="1"/>
  <c r="O1780" i="1" s="1"/>
  <c r="O1779" i="1" a="1"/>
  <c r="O1779" i="1" s="1"/>
  <c r="O1778" i="1" a="1"/>
  <c r="O1778" i="1" s="1"/>
  <c r="O1777" i="1" a="1"/>
  <c r="O1777" i="1" s="1"/>
  <c r="O1776" i="1" a="1"/>
  <c r="O1776" i="1" s="1"/>
  <c r="O1775" i="1" a="1"/>
  <c r="O1775" i="1" s="1"/>
  <c r="O1774" i="1" a="1"/>
  <c r="O1774" i="1" s="1"/>
  <c r="O1773" i="1" a="1"/>
  <c r="O1773" i="1" s="1"/>
  <c r="O1772" i="1" a="1"/>
  <c r="O1772" i="1" s="1"/>
  <c r="O1771" i="1" a="1"/>
  <c r="O1771" i="1" s="1"/>
  <c r="O1770" i="1" a="1"/>
  <c r="O1770" i="1" s="1"/>
  <c r="O1769" i="1" a="1"/>
  <c r="O1769" i="1" s="1"/>
  <c r="O1768" i="1" a="1"/>
  <c r="O1768" i="1" s="1"/>
  <c r="O1767" i="1" a="1"/>
  <c r="O1767" i="1" s="1"/>
  <c r="O1766" i="1" a="1"/>
  <c r="O1766" i="1" s="1"/>
  <c r="O1765" i="1" a="1"/>
  <c r="O1765" i="1" s="1"/>
  <c r="O1764" i="1" a="1"/>
  <c r="O1764" i="1" s="1"/>
  <c r="O1763" i="1" a="1"/>
  <c r="O1763" i="1" s="1"/>
  <c r="O1762" i="1" a="1"/>
  <c r="O1762" i="1" s="1"/>
  <c r="O1761" i="1" a="1"/>
  <c r="O1761" i="1" s="1"/>
  <c r="O1760" i="1" a="1"/>
  <c r="O1760" i="1" s="1"/>
  <c r="O1759" i="1" a="1"/>
  <c r="O1759" i="1" s="1"/>
  <c r="O1758" i="1" a="1"/>
  <c r="O1758" i="1" s="1"/>
  <c r="O1757" i="1" a="1"/>
  <c r="O1757" i="1" s="1"/>
  <c r="O1756" i="1" a="1"/>
  <c r="O1756" i="1" s="1"/>
  <c r="O1755" i="1" a="1"/>
  <c r="O1755" i="1" s="1"/>
  <c r="O1754" i="1" a="1"/>
  <c r="O1754" i="1" s="1"/>
  <c r="O1753" i="1" a="1"/>
  <c r="O1753" i="1" s="1"/>
  <c r="O1752" i="1" a="1"/>
  <c r="O1752" i="1" s="1"/>
  <c r="O1751" i="1" a="1"/>
  <c r="O1751" i="1" s="1"/>
  <c r="O1750" i="1" a="1"/>
  <c r="O1750" i="1" s="1"/>
  <c r="O1749" i="1" a="1"/>
  <c r="O1749" i="1" s="1"/>
  <c r="O1748" i="1" a="1"/>
  <c r="O1748" i="1" s="1"/>
  <c r="O1747" i="1" a="1"/>
  <c r="O1747" i="1" s="1"/>
  <c r="O1746" i="1" a="1"/>
  <c r="O1746" i="1" s="1"/>
  <c r="O1745" i="1" a="1"/>
  <c r="O1745" i="1" s="1"/>
  <c r="O1744" i="1" a="1"/>
  <c r="O1744" i="1" s="1"/>
  <c r="O1743" i="1" a="1"/>
  <c r="O1743" i="1" s="1"/>
  <c r="O1742" i="1" a="1"/>
  <c r="O1742" i="1" s="1"/>
  <c r="O1741" i="1" a="1"/>
  <c r="O1741" i="1" s="1"/>
  <c r="O1740" i="1" a="1"/>
  <c r="O1740" i="1" s="1"/>
  <c r="O1739" i="1" a="1"/>
  <c r="O1739" i="1" s="1"/>
  <c r="O1738" i="1" a="1"/>
  <c r="O1738" i="1" s="1"/>
  <c r="O1737" i="1" a="1"/>
  <c r="O1737" i="1" s="1"/>
  <c r="O1736" i="1" a="1"/>
  <c r="O1736" i="1" s="1"/>
  <c r="O1735" i="1" a="1"/>
  <c r="O1735" i="1" s="1"/>
  <c r="O1734" i="1" a="1"/>
  <c r="O1734" i="1" s="1"/>
  <c r="O1733" i="1" a="1"/>
  <c r="O1733" i="1" s="1"/>
  <c r="O1732" i="1" a="1"/>
  <c r="O1732" i="1" s="1"/>
  <c r="O1731" i="1" a="1"/>
  <c r="O1731" i="1" s="1"/>
  <c r="O1730" i="1" a="1"/>
  <c r="O1730" i="1" s="1"/>
  <c r="O1729" i="1" a="1"/>
  <c r="O1729" i="1" s="1"/>
  <c r="O1728" i="1" a="1"/>
  <c r="O1728" i="1" s="1"/>
  <c r="O1727" i="1" a="1"/>
  <c r="O1727" i="1" s="1"/>
  <c r="O1726" i="1" a="1"/>
  <c r="O1726" i="1" s="1"/>
  <c r="O1725" i="1" a="1"/>
  <c r="O1725" i="1" s="1"/>
  <c r="O1724" i="1" a="1"/>
  <c r="O1724" i="1" s="1"/>
  <c r="O1723" i="1" a="1"/>
  <c r="O1723" i="1" s="1"/>
  <c r="O1722" i="1" a="1"/>
  <c r="O1722" i="1" s="1"/>
  <c r="O1721" i="1" a="1"/>
  <c r="O1721" i="1" s="1"/>
  <c r="O1720" i="1" a="1"/>
  <c r="O1720" i="1" s="1"/>
  <c r="O1719" i="1" a="1"/>
  <c r="O1719" i="1" s="1"/>
  <c r="O1718" i="1" a="1"/>
  <c r="O1718" i="1" s="1"/>
  <c r="O1717" i="1" a="1"/>
  <c r="O1717" i="1" s="1"/>
  <c r="O1716" i="1" a="1"/>
  <c r="O1716" i="1" s="1"/>
  <c r="O1715" i="1" a="1"/>
  <c r="O1715" i="1" s="1"/>
  <c r="O1714" i="1" a="1"/>
  <c r="O1714" i="1" s="1"/>
  <c r="O1713" i="1" a="1"/>
  <c r="O1713" i="1" s="1"/>
  <c r="O1712" i="1" a="1"/>
  <c r="O1712" i="1" s="1"/>
  <c r="O1711" i="1" a="1"/>
  <c r="O1711" i="1" s="1"/>
  <c r="O1710" i="1" a="1"/>
  <c r="O1710" i="1" s="1"/>
  <c r="O1709" i="1" a="1"/>
  <c r="O1709" i="1" s="1"/>
  <c r="O1708" i="1" a="1"/>
  <c r="O1708" i="1" s="1"/>
  <c r="O1707" i="1" a="1"/>
  <c r="O1707" i="1" s="1"/>
  <c r="O1706" i="1" a="1"/>
  <c r="O1706" i="1" s="1"/>
  <c r="O1705" i="1" a="1"/>
  <c r="O1705" i="1" s="1"/>
  <c r="O1704" i="1" a="1"/>
  <c r="O1704" i="1" s="1"/>
  <c r="O1703" i="1" a="1"/>
  <c r="O1703" i="1" s="1"/>
  <c r="O1702" i="1" a="1"/>
  <c r="O1702" i="1" s="1"/>
  <c r="O1701" i="1" a="1"/>
  <c r="O1701" i="1" s="1"/>
  <c r="O1700" i="1" a="1"/>
  <c r="O1700" i="1" s="1"/>
  <c r="O1699" i="1" a="1"/>
  <c r="O1699" i="1" s="1"/>
  <c r="O1698" i="1" a="1"/>
  <c r="O1698" i="1" s="1"/>
  <c r="O1697" i="1" a="1"/>
  <c r="O1697" i="1" s="1"/>
  <c r="O1696" i="1" a="1"/>
  <c r="O1696" i="1" s="1"/>
  <c r="O1695" i="1" a="1"/>
  <c r="O1695" i="1" s="1"/>
  <c r="O1694" i="1" a="1"/>
  <c r="O1694" i="1" s="1"/>
  <c r="O1693" i="1" a="1"/>
  <c r="O1693" i="1" s="1"/>
  <c r="O1692" i="1" a="1"/>
  <c r="O1692" i="1" s="1"/>
  <c r="O1691" i="1" a="1"/>
  <c r="O1691" i="1" s="1"/>
  <c r="O1690" i="1" a="1"/>
  <c r="O1690" i="1" s="1"/>
  <c r="O1689" i="1" a="1"/>
  <c r="O1689" i="1" s="1"/>
  <c r="O1688" i="1" a="1"/>
  <c r="O1688" i="1" s="1"/>
  <c r="O1687" i="1" a="1"/>
  <c r="O1687" i="1" s="1"/>
  <c r="O1686" i="1" a="1"/>
  <c r="O1686" i="1" s="1"/>
  <c r="O1685" i="1" a="1"/>
  <c r="O1685" i="1" s="1"/>
  <c r="O1684" i="1" a="1"/>
  <c r="O1684" i="1" s="1"/>
  <c r="O1683" i="1" a="1"/>
  <c r="O1683" i="1" s="1"/>
  <c r="O1682" i="1" a="1"/>
  <c r="O1682" i="1" s="1"/>
  <c r="O1681" i="1" a="1"/>
  <c r="O1681" i="1" s="1"/>
  <c r="O1680" i="1" a="1"/>
  <c r="O1680" i="1" s="1"/>
  <c r="O1679" i="1" a="1"/>
  <c r="O1679" i="1" s="1"/>
  <c r="O1678" i="1" a="1"/>
  <c r="O1678" i="1" s="1"/>
  <c r="O1677" i="1" a="1"/>
  <c r="O1677" i="1" s="1"/>
  <c r="O1676" i="1" a="1"/>
  <c r="O1676" i="1" s="1"/>
  <c r="O1675" i="1" a="1"/>
  <c r="O1675" i="1" s="1"/>
  <c r="O1674" i="1" a="1"/>
  <c r="O1674" i="1" s="1"/>
  <c r="O1673" i="1" a="1"/>
  <c r="O1673" i="1" s="1"/>
  <c r="O1672" i="1" a="1"/>
  <c r="O1672" i="1" s="1"/>
  <c r="O1671" i="1" a="1"/>
  <c r="O1671" i="1" s="1"/>
  <c r="O1670" i="1" a="1"/>
  <c r="O1670" i="1" s="1"/>
  <c r="O1669" i="1" a="1"/>
  <c r="O1669" i="1" s="1"/>
  <c r="O1668" i="1" a="1"/>
  <c r="O1668" i="1" s="1"/>
  <c r="O1667" i="1" a="1"/>
  <c r="O1667" i="1" s="1"/>
  <c r="O1666" i="1" a="1"/>
  <c r="O1666" i="1" s="1"/>
  <c r="O1665" i="1" a="1"/>
  <c r="O1665" i="1" s="1"/>
  <c r="O1664" i="1" a="1"/>
  <c r="O1664" i="1" s="1"/>
  <c r="O1663" i="1" a="1"/>
  <c r="O1663" i="1" s="1"/>
  <c r="O1662" i="1" a="1"/>
  <c r="O1662" i="1" s="1"/>
  <c r="O1661" i="1" a="1"/>
  <c r="O1661" i="1" s="1"/>
  <c r="O1660" i="1" a="1"/>
  <c r="O1660" i="1" s="1"/>
  <c r="O1659" i="1" a="1"/>
  <c r="O1659" i="1" s="1"/>
  <c r="O1658" i="1" a="1"/>
  <c r="O1658" i="1" s="1"/>
  <c r="O1657" i="1" a="1"/>
  <c r="O1657" i="1" s="1"/>
  <c r="O1656" i="1" a="1"/>
  <c r="O1656" i="1" s="1"/>
  <c r="O1655" i="1" a="1"/>
  <c r="O1655" i="1" s="1"/>
  <c r="O1654" i="1" a="1"/>
  <c r="O1654" i="1" s="1"/>
  <c r="O1653" i="1" a="1"/>
  <c r="O1653" i="1" s="1"/>
  <c r="O1652" i="1" a="1"/>
  <c r="O1652" i="1" s="1"/>
  <c r="O1651" i="1" a="1"/>
  <c r="O1651" i="1" s="1"/>
  <c r="O1650" i="1" a="1"/>
  <c r="O1650" i="1" s="1"/>
  <c r="O1649" i="1" a="1"/>
  <c r="O1649" i="1" s="1"/>
  <c r="O1648" i="1" a="1"/>
  <c r="O1648" i="1" s="1"/>
  <c r="O1647" i="1" a="1"/>
  <c r="O1647" i="1" s="1"/>
  <c r="O1646" i="1" a="1"/>
  <c r="O1646" i="1" s="1"/>
  <c r="O1645" i="1" a="1"/>
  <c r="O1645" i="1" s="1"/>
  <c r="O1644" i="1" a="1"/>
  <c r="O1644" i="1" s="1"/>
  <c r="O1643" i="1" a="1"/>
  <c r="O1643" i="1" s="1"/>
  <c r="O1642" i="1" a="1"/>
  <c r="O1642" i="1" s="1"/>
  <c r="O1641" i="1" a="1"/>
  <c r="O1641" i="1" s="1"/>
  <c r="O1640" i="1" a="1"/>
  <c r="O1640" i="1" s="1"/>
  <c r="O1639" i="1" a="1"/>
  <c r="O1639" i="1" s="1"/>
  <c r="O1638" i="1" a="1"/>
  <c r="O1638" i="1" s="1"/>
  <c r="O1637" i="1" a="1"/>
  <c r="O1637" i="1" s="1"/>
  <c r="O1636" i="1" a="1"/>
  <c r="O1636" i="1" s="1"/>
  <c r="O1635" i="1" a="1"/>
  <c r="O1635" i="1" s="1"/>
  <c r="O1634" i="1" a="1"/>
  <c r="O1634" i="1" s="1"/>
  <c r="O1633" i="1" a="1"/>
  <c r="O1633" i="1" s="1"/>
  <c r="O1632" i="1" a="1"/>
  <c r="O1632" i="1" s="1"/>
  <c r="O1631" i="1" a="1"/>
  <c r="O1631" i="1" s="1"/>
  <c r="O1630" i="1" a="1"/>
  <c r="O1630" i="1" s="1"/>
  <c r="O1629" i="1" a="1"/>
  <c r="O1629" i="1" s="1"/>
  <c r="O1628" i="1" a="1"/>
  <c r="O1628" i="1" s="1"/>
  <c r="O1627" i="1" a="1"/>
  <c r="O1627" i="1" s="1"/>
  <c r="O1626" i="1" a="1"/>
  <c r="O1626" i="1" s="1"/>
  <c r="O1625" i="1" a="1"/>
  <c r="O1625" i="1" s="1"/>
  <c r="O1624" i="1" a="1"/>
  <c r="O1624" i="1" s="1"/>
  <c r="O1623" i="1" a="1"/>
  <c r="O1623" i="1" s="1"/>
  <c r="O1622" i="1" a="1"/>
  <c r="O1622" i="1" s="1"/>
  <c r="O1621" i="1" a="1"/>
  <c r="O1621" i="1" s="1"/>
  <c r="O1620" i="1" a="1"/>
  <c r="O1620" i="1" s="1"/>
  <c r="O1619" i="1" a="1"/>
  <c r="O1619" i="1" s="1"/>
  <c r="O1618" i="1" a="1"/>
  <c r="O1618" i="1" s="1"/>
  <c r="O1617" i="1" a="1"/>
  <c r="O1617" i="1" s="1"/>
  <c r="O1616" i="1" a="1"/>
  <c r="O1616" i="1" s="1"/>
  <c r="O1615" i="1" a="1"/>
  <c r="O1615" i="1" s="1"/>
  <c r="O1614" i="1" a="1"/>
  <c r="O1614" i="1" s="1"/>
  <c r="O1613" i="1" a="1"/>
  <c r="O1613" i="1" s="1"/>
  <c r="O1612" i="1" a="1"/>
  <c r="O1612" i="1" s="1"/>
  <c r="O1611" i="1" a="1"/>
  <c r="O1611" i="1" s="1"/>
  <c r="O1610" i="1" a="1"/>
  <c r="O1610" i="1" s="1"/>
  <c r="O1609" i="1" a="1"/>
  <c r="O1609" i="1" s="1"/>
  <c r="O1608" i="1" a="1"/>
  <c r="O1608" i="1" s="1"/>
  <c r="O1607" i="1" a="1"/>
  <c r="O1607" i="1" s="1"/>
  <c r="O1606" i="1" a="1"/>
  <c r="O1606" i="1" s="1"/>
  <c r="O1605" i="1" a="1"/>
  <c r="O1605" i="1" s="1"/>
  <c r="O1604" i="1" a="1"/>
  <c r="O1604" i="1" s="1"/>
  <c r="O1603" i="1" a="1"/>
  <c r="O1603" i="1" s="1"/>
  <c r="O1602" i="1" a="1"/>
  <c r="O1602" i="1" s="1"/>
  <c r="O1601" i="1" a="1"/>
  <c r="O1601" i="1" s="1"/>
  <c r="O1600" i="1" a="1"/>
  <c r="O1600" i="1" s="1"/>
  <c r="O1599" i="1" a="1"/>
  <c r="O1599" i="1" s="1"/>
  <c r="O1598" i="1" a="1"/>
  <c r="O1598" i="1" s="1"/>
  <c r="O1597" i="1" a="1"/>
  <c r="O1597" i="1" s="1"/>
  <c r="O1596" i="1" a="1"/>
  <c r="O1596" i="1" s="1"/>
  <c r="O1595" i="1" a="1"/>
  <c r="O1595" i="1" s="1"/>
  <c r="O1594" i="1" a="1"/>
  <c r="O1594" i="1" s="1"/>
  <c r="O1593" i="1" a="1"/>
  <c r="O1593" i="1" s="1"/>
  <c r="O1592" i="1" a="1"/>
  <c r="O1592" i="1" s="1"/>
  <c r="O1591" i="1" a="1"/>
  <c r="O1591" i="1" s="1"/>
  <c r="O1590" i="1" a="1"/>
  <c r="O1590" i="1" s="1"/>
  <c r="O1589" i="1" a="1"/>
  <c r="O1589" i="1" s="1"/>
  <c r="O1588" i="1" a="1"/>
  <c r="O1588" i="1" s="1"/>
  <c r="O1587" i="1" a="1"/>
  <c r="O1587" i="1" s="1"/>
  <c r="O1586" i="1" a="1"/>
  <c r="O1586" i="1" s="1"/>
  <c r="O1585" i="1" a="1"/>
  <c r="O1585" i="1" s="1"/>
  <c r="O1584" i="1" a="1"/>
  <c r="O1584" i="1" s="1"/>
  <c r="O1583" i="1" a="1"/>
  <c r="O1583" i="1" s="1"/>
  <c r="O1582" i="1" a="1"/>
  <c r="O1582" i="1" s="1"/>
  <c r="O1581" i="1" a="1"/>
  <c r="O1581" i="1" s="1"/>
  <c r="O1580" i="1" a="1"/>
  <c r="O1580" i="1" s="1"/>
  <c r="O1579" i="1" a="1"/>
  <c r="O1579" i="1" s="1"/>
  <c r="O1578" i="1" a="1"/>
  <c r="O1578" i="1" s="1"/>
  <c r="O1577" i="1" a="1"/>
  <c r="O1577" i="1" s="1"/>
  <c r="O1576" i="1" a="1"/>
  <c r="O1576" i="1" s="1"/>
  <c r="O1575" i="1" a="1"/>
  <c r="O1575" i="1" s="1"/>
  <c r="O1574" i="1" a="1"/>
  <c r="O1574" i="1" s="1"/>
  <c r="O1573" i="1" a="1"/>
  <c r="O1573" i="1" s="1"/>
  <c r="O1572" i="1" a="1"/>
  <c r="O1572" i="1" s="1"/>
  <c r="O1571" i="1" a="1"/>
  <c r="O1571" i="1" s="1"/>
  <c r="O1570" i="1" a="1"/>
  <c r="O1570" i="1" s="1"/>
  <c r="O1569" i="1" a="1"/>
  <c r="O1569" i="1" s="1"/>
  <c r="O1568" i="1" a="1"/>
  <c r="O1568" i="1" s="1"/>
  <c r="O1567" i="1" a="1"/>
  <c r="O1567" i="1" s="1"/>
  <c r="O1566" i="1" a="1"/>
  <c r="O1566" i="1" s="1"/>
  <c r="O1565" i="1" a="1"/>
  <c r="O1565" i="1" s="1"/>
  <c r="O1564" i="1" a="1"/>
  <c r="O1564" i="1" s="1"/>
  <c r="O1563" i="1" a="1"/>
  <c r="O1563" i="1" s="1"/>
  <c r="O1562" i="1" a="1"/>
  <c r="O1562" i="1" s="1"/>
  <c r="O1561" i="1" a="1"/>
  <c r="O1561" i="1" s="1"/>
  <c r="O1560" i="1" a="1"/>
  <c r="O1560" i="1" s="1"/>
  <c r="O1559" i="1" a="1"/>
  <c r="O1559" i="1" s="1"/>
  <c r="O1558" i="1" a="1"/>
  <c r="O1558" i="1" s="1"/>
  <c r="O1557" i="1" a="1"/>
  <c r="O1557" i="1" s="1"/>
  <c r="O1556" i="1" a="1"/>
  <c r="O1556" i="1" s="1"/>
  <c r="O1555" i="1" a="1"/>
  <c r="O1555" i="1" s="1"/>
  <c r="O1554" i="1" a="1"/>
  <c r="O1554" i="1" s="1"/>
  <c r="O1553" i="1" a="1"/>
  <c r="O1553" i="1" s="1"/>
  <c r="O1552" i="1" a="1"/>
  <c r="O1552" i="1" s="1"/>
  <c r="O1551" i="1" a="1"/>
  <c r="O1551" i="1" s="1"/>
  <c r="O1550" i="1" a="1"/>
  <c r="O1550" i="1" s="1"/>
  <c r="O1549" i="1" a="1"/>
  <c r="O1549" i="1" s="1"/>
  <c r="O1548" i="1" a="1"/>
  <c r="O1548" i="1" s="1"/>
  <c r="O1547" i="1" a="1"/>
  <c r="O1547" i="1" s="1"/>
  <c r="O1546" i="1" a="1"/>
  <c r="O1546" i="1" s="1"/>
  <c r="O1545" i="1" a="1"/>
  <c r="O1545" i="1" s="1"/>
  <c r="O1544" i="1" a="1"/>
  <c r="O1544" i="1" s="1"/>
  <c r="O1543" i="1" a="1"/>
  <c r="O1543" i="1" s="1"/>
  <c r="O1542" i="1" a="1"/>
  <c r="O1542" i="1" s="1"/>
  <c r="O1541" i="1" a="1"/>
  <c r="O1541" i="1" s="1"/>
  <c r="O1540" i="1" a="1"/>
  <c r="O1540" i="1" s="1"/>
  <c r="O1539" i="1" a="1"/>
  <c r="O1539" i="1" s="1"/>
  <c r="O1538" i="1" a="1"/>
  <c r="O1538" i="1" s="1"/>
  <c r="O1537" i="1" a="1"/>
  <c r="O1537" i="1" s="1"/>
  <c r="O1536" i="1" a="1"/>
  <c r="O1536" i="1" s="1"/>
  <c r="O1535" i="1" a="1"/>
  <c r="O1535" i="1" s="1"/>
  <c r="O1534" i="1" a="1"/>
  <c r="O1534" i="1" s="1"/>
  <c r="O1533" i="1" a="1"/>
  <c r="O1533" i="1" s="1"/>
  <c r="O1532" i="1" a="1"/>
  <c r="O1532" i="1" s="1"/>
  <c r="O1531" i="1" a="1"/>
  <c r="O1531" i="1" s="1"/>
  <c r="O1530" i="1" a="1"/>
  <c r="O1530" i="1" s="1"/>
  <c r="O1529" i="1" a="1"/>
  <c r="O1529" i="1" s="1"/>
  <c r="O1528" i="1" a="1"/>
  <c r="O1528" i="1" s="1"/>
  <c r="O1527" i="1" a="1"/>
  <c r="O1527" i="1" s="1"/>
  <c r="O1526" i="1" a="1"/>
  <c r="O1526" i="1" s="1"/>
  <c r="O1525" i="1" a="1"/>
  <c r="O1525" i="1" s="1"/>
  <c r="O1524" i="1" a="1"/>
  <c r="O1524" i="1" s="1"/>
  <c r="O1523" i="1" a="1"/>
  <c r="O1523" i="1" s="1"/>
  <c r="O1522" i="1" a="1"/>
  <c r="O1522" i="1" s="1"/>
  <c r="O1521" i="1" a="1"/>
  <c r="O1521" i="1" s="1"/>
  <c r="O1520" i="1" a="1"/>
  <c r="O1520" i="1" s="1"/>
  <c r="O1519" i="1" a="1"/>
  <c r="O1519" i="1" s="1"/>
  <c r="O1518" i="1" a="1"/>
  <c r="O1518" i="1" s="1"/>
  <c r="O1517" i="1" a="1"/>
  <c r="O1517" i="1" s="1"/>
  <c r="O1516" i="1" a="1"/>
  <c r="O1516" i="1" s="1"/>
  <c r="O1515" i="1" a="1"/>
  <c r="O1515" i="1" s="1"/>
  <c r="O1514" i="1" a="1"/>
  <c r="O1514" i="1" s="1"/>
  <c r="O1513" i="1" a="1"/>
  <c r="O1513" i="1" s="1"/>
  <c r="O1512" i="1" a="1"/>
  <c r="O1512" i="1" s="1"/>
  <c r="O1511" i="1" a="1"/>
  <c r="O1511" i="1" s="1"/>
  <c r="O1510" i="1" a="1"/>
  <c r="O1510" i="1" s="1"/>
  <c r="O1509" i="1" a="1"/>
  <c r="O1509" i="1" s="1"/>
  <c r="O1508" i="1" a="1"/>
  <c r="O1508" i="1" s="1"/>
  <c r="O1507" i="1" a="1"/>
  <c r="O1507" i="1" s="1"/>
  <c r="O1506" i="1" a="1"/>
  <c r="O1506" i="1" s="1"/>
  <c r="O1505" i="1" a="1"/>
  <c r="O1505" i="1" s="1"/>
  <c r="O1504" i="1" a="1"/>
  <c r="O1504" i="1" s="1"/>
  <c r="O1503" i="1" a="1"/>
  <c r="O1503" i="1" s="1"/>
  <c r="O1502" i="1" a="1"/>
  <c r="O1502" i="1" s="1"/>
  <c r="O1501" i="1" a="1"/>
  <c r="O1501" i="1" s="1"/>
  <c r="O1500" i="1" a="1"/>
  <c r="O1500" i="1" s="1"/>
  <c r="O1499" i="1" a="1"/>
  <c r="O1499" i="1" s="1"/>
  <c r="O1498" i="1" a="1"/>
  <c r="O1498" i="1" s="1"/>
  <c r="O1497" i="1" a="1"/>
  <c r="O1497" i="1" s="1"/>
  <c r="O1496" i="1" a="1"/>
  <c r="O1496" i="1" s="1"/>
  <c r="O1495" i="1" a="1"/>
  <c r="O1495" i="1" s="1"/>
  <c r="O1494" i="1" a="1"/>
  <c r="O1494" i="1" s="1"/>
  <c r="O1493" i="1" a="1"/>
  <c r="O1493" i="1" s="1"/>
  <c r="O1492" i="1" a="1"/>
  <c r="O1492" i="1" s="1"/>
  <c r="O1491" i="1" a="1"/>
  <c r="O1491" i="1" s="1"/>
  <c r="O1490" i="1" a="1"/>
  <c r="O1490" i="1" s="1"/>
  <c r="O1489" i="1" a="1"/>
  <c r="O1489" i="1" s="1"/>
  <c r="O1488" i="1" a="1"/>
  <c r="O1488" i="1" s="1"/>
  <c r="O1487" i="1" a="1"/>
  <c r="O1487" i="1" s="1"/>
  <c r="O1486" i="1" a="1"/>
  <c r="O1486" i="1" s="1"/>
  <c r="O1485" i="1" a="1"/>
  <c r="O1485" i="1" s="1"/>
  <c r="O1484" i="1" a="1"/>
  <c r="O1484" i="1" s="1"/>
  <c r="O1483" i="1" a="1"/>
  <c r="O1483" i="1" s="1"/>
  <c r="O1482" i="1" a="1"/>
  <c r="O1482" i="1" s="1"/>
  <c r="O1481" i="1" a="1"/>
  <c r="O1481" i="1" s="1"/>
  <c r="O1480" i="1" a="1"/>
  <c r="O1480" i="1" s="1"/>
  <c r="O1479" i="1" a="1"/>
  <c r="O1479" i="1" s="1"/>
  <c r="O1478" i="1" a="1"/>
  <c r="O1478" i="1" s="1"/>
  <c r="O1477" i="1" a="1"/>
  <c r="O1477" i="1" s="1"/>
  <c r="O1476" i="1" a="1"/>
  <c r="O1476" i="1" s="1"/>
  <c r="O1475" i="1" a="1"/>
  <c r="O1475" i="1" s="1"/>
  <c r="O1474" i="1" a="1"/>
  <c r="O1474" i="1" s="1"/>
  <c r="O1473" i="1" a="1"/>
  <c r="O1473" i="1" s="1"/>
  <c r="O1472" i="1" a="1"/>
  <c r="O1472" i="1" s="1"/>
  <c r="O1471" i="1" a="1"/>
  <c r="O1471" i="1" s="1"/>
  <c r="O1470" i="1" a="1"/>
  <c r="O1470" i="1" s="1"/>
  <c r="O1469" i="1" a="1"/>
  <c r="O1469" i="1" s="1"/>
  <c r="O1468" i="1" a="1"/>
  <c r="O1468" i="1" s="1"/>
  <c r="O1467" i="1" a="1"/>
  <c r="O1467" i="1" s="1"/>
  <c r="O1466" i="1" a="1"/>
  <c r="O1466" i="1" s="1"/>
  <c r="O1465" i="1" a="1"/>
  <c r="O1465" i="1" s="1"/>
  <c r="O1464" i="1" a="1"/>
  <c r="O1464" i="1" s="1"/>
  <c r="O1463" i="1" a="1"/>
  <c r="O1463" i="1" s="1"/>
  <c r="O1462" i="1" a="1"/>
  <c r="O1462" i="1" s="1"/>
  <c r="O1461" i="1" a="1"/>
  <c r="O1461" i="1" s="1"/>
  <c r="O1460" i="1" a="1"/>
  <c r="O1460" i="1" s="1"/>
  <c r="O1459" i="1" a="1"/>
  <c r="O1459" i="1" s="1"/>
  <c r="O1458" i="1" a="1"/>
  <c r="O1458" i="1" s="1"/>
  <c r="O1457" i="1" a="1"/>
  <c r="O1457" i="1" s="1"/>
  <c r="O1456" i="1" a="1"/>
  <c r="O1456" i="1" s="1"/>
  <c r="O1455" i="1" a="1"/>
  <c r="O1455" i="1" s="1"/>
  <c r="O1454" i="1" a="1"/>
  <c r="O1454" i="1" s="1"/>
  <c r="O1453" i="1" a="1"/>
  <c r="O1453" i="1" s="1"/>
  <c r="O1452" i="1" a="1"/>
  <c r="O1452" i="1" s="1"/>
  <c r="O1451" i="1" a="1"/>
  <c r="O1451" i="1" s="1"/>
  <c r="O1450" i="1" a="1"/>
  <c r="O1450" i="1" s="1"/>
  <c r="O1449" i="1" a="1"/>
  <c r="O1449" i="1" s="1"/>
  <c r="O1448" i="1" a="1"/>
  <c r="O1448" i="1" s="1"/>
  <c r="O1447" i="1" a="1"/>
  <c r="O1447" i="1" s="1"/>
  <c r="O1446" i="1" a="1"/>
  <c r="O1446" i="1" s="1"/>
  <c r="O1445" i="1" a="1"/>
  <c r="O1445" i="1" s="1"/>
  <c r="O1444" i="1" a="1"/>
  <c r="O1444" i="1" s="1"/>
  <c r="O1443" i="1" a="1"/>
  <c r="O1443" i="1" s="1"/>
  <c r="O1442" i="1" a="1"/>
  <c r="O1442" i="1" s="1"/>
  <c r="O1441" i="1" a="1"/>
  <c r="O1441" i="1" s="1"/>
  <c r="O1440" i="1" a="1"/>
  <c r="O1440" i="1" s="1"/>
  <c r="O1439" i="1" a="1"/>
  <c r="O1439" i="1" s="1"/>
  <c r="O1438" i="1" a="1"/>
  <c r="O1438" i="1" s="1"/>
  <c r="O1437" i="1" a="1"/>
  <c r="O1437" i="1" s="1"/>
  <c r="O1436" i="1" a="1"/>
  <c r="O1436" i="1" s="1"/>
  <c r="O1435" i="1" a="1"/>
  <c r="O1435" i="1" s="1"/>
  <c r="O1434" i="1" a="1"/>
  <c r="O1434" i="1" s="1"/>
  <c r="O1433" i="1" a="1"/>
  <c r="O1433" i="1" s="1"/>
  <c r="O1432" i="1" a="1"/>
  <c r="O1432" i="1" s="1"/>
  <c r="O1431" i="1" a="1"/>
  <c r="O1431" i="1" s="1"/>
  <c r="O1430" i="1" a="1"/>
  <c r="O1430" i="1" s="1"/>
  <c r="O1429" i="1" a="1"/>
  <c r="O1429" i="1" s="1"/>
  <c r="O1428" i="1" a="1"/>
  <c r="O1428" i="1" s="1"/>
  <c r="O1427" i="1" a="1"/>
  <c r="O1427" i="1" s="1"/>
  <c r="O1426" i="1" a="1"/>
  <c r="O1426" i="1" s="1"/>
  <c r="O1425" i="1" a="1"/>
  <c r="O1425" i="1" s="1"/>
  <c r="O1424" i="1" a="1"/>
  <c r="O1424" i="1" s="1"/>
  <c r="O1423" i="1" a="1"/>
  <c r="O1423" i="1" s="1"/>
  <c r="O1422" i="1" a="1"/>
  <c r="O1422" i="1" s="1"/>
  <c r="O1421" i="1" a="1"/>
  <c r="O1421" i="1" s="1"/>
  <c r="O1420" i="1" a="1"/>
  <c r="O1420" i="1" s="1"/>
  <c r="O1419" i="1" a="1"/>
  <c r="O1419" i="1" s="1"/>
  <c r="O1418" i="1" a="1"/>
  <c r="O1418" i="1" s="1"/>
  <c r="O1417" i="1" a="1"/>
  <c r="O1417" i="1" s="1"/>
  <c r="O1416" i="1" a="1"/>
  <c r="O1416" i="1" s="1"/>
  <c r="O1415" i="1" a="1"/>
  <c r="O1415" i="1" s="1"/>
  <c r="O1414" i="1" a="1"/>
  <c r="O1414" i="1" s="1"/>
  <c r="O1413" i="1" a="1"/>
  <c r="O1413" i="1" s="1"/>
  <c r="O1412" i="1" a="1"/>
  <c r="O1412" i="1" s="1"/>
  <c r="O1411" i="1" a="1"/>
  <c r="O1411" i="1" s="1"/>
  <c r="O1410" i="1" a="1"/>
  <c r="O1410" i="1" s="1"/>
  <c r="O1409" i="1" a="1"/>
  <c r="O1409" i="1" s="1"/>
  <c r="O1408" i="1" a="1"/>
  <c r="O1408" i="1" s="1"/>
  <c r="O1407" i="1" a="1"/>
  <c r="O1407" i="1" s="1"/>
  <c r="O1406" i="1" a="1"/>
  <c r="O1406" i="1" s="1"/>
  <c r="O1405" i="1" a="1"/>
  <c r="O1405" i="1" s="1"/>
  <c r="O1404" i="1" a="1"/>
  <c r="O1404" i="1" s="1"/>
  <c r="O1403" i="1" a="1"/>
  <c r="O1403" i="1" s="1"/>
  <c r="O1402" i="1" a="1"/>
  <c r="O1402" i="1" s="1"/>
  <c r="O1401" i="1" a="1"/>
  <c r="O1401" i="1" s="1"/>
  <c r="O1400" i="1" a="1"/>
  <c r="O1400" i="1" s="1"/>
  <c r="O1399" i="1" a="1"/>
  <c r="O1399" i="1" s="1"/>
  <c r="O1398" i="1" a="1"/>
  <c r="O1398" i="1" s="1"/>
  <c r="O1397" i="1" a="1"/>
  <c r="O1397" i="1" s="1"/>
  <c r="O1396" i="1" a="1"/>
  <c r="O1396" i="1" s="1"/>
  <c r="O1395" i="1" a="1"/>
  <c r="O1395" i="1" s="1"/>
  <c r="O1394" i="1" a="1"/>
  <c r="O1394" i="1" s="1"/>
  <c r="O1393" i="1" a="1"/>
  <c r="O1393" i="1" s="1"/>
  <c r="O1392" i="1" a="1"/>
  <c r="O1392" i="1" s="1"/>
  <c r="O1391" i="1" a="1"/>
  <c r="O1391" i="1" s="1"/>
  <c r="O1390" i="1" a="1"/>
  <c r="O1390" i="1" s="1"/>
  <c r="O1389" i="1" a="1"/>
  <c r="O1389" i="1" s="1"/>
  <c r="O1388" i="1" a="1"/>
  <c r="O1388" i="1" s="1"/>
  <c r="O1387" i="1" a="1"/>
  <c r="O1387" i="1" s="1"/>
  <c r="O1386" i="1" a="1"/>
  <c r="O1386" i="1" s="1"/>
  <c r="O1385" i="1" a="1"/>
  <c r="O1385" i="1" s="1"/>
  <c r="O1384" i="1" a="1"/>
  <c r="O1384" i="1" s="1"/>
  <c r="O1383" i="1" a="1"/>
  <c r="O1383" i="1" s="1"/>
  <c r="O1382" i="1" a="1"/>
  <c r="O1382" i="1" s="1"/>
  <c r="O1381" i="1" a="1"/>
  <c r="O1381" i="1" s="1"/>
  <c r="O1380" i="1" a="1"/>
  <c r="O1380" i="1" s="1"/>
  <c r="O1379" i="1" a="1"/>
  <c r="O1379" i="1" s="1"/>
  <c r="O1378" i="1" a="1"/>
  <c r="O1378" i="1" s="1"/>
  <c r="O1377" i="1" a="1"/>
  <c r="O1377" i="1" s="1"/>
  <c r="O1376" i="1" a="1"/>
  <c r="O1376" i="1" s="1"/>
  <c r="O1375" i="1" a="1"/>
  <c r="O1375" i="1" s="1"/>
  <c r="O1374" i="1" a="1"/>
  <c r="O1374" i="1" s="1"/>
  <c r="O1373" i="1" a="1"/>
  <c r="O1373" i="1" s="1"/>
  <c r="O1372" i="1" a="1"/>
  <c r="O1372" i="1" s="1"/>
  <c r="O1371" i="1" a="1"/>
  <c r="O1371" i="1" s="1"/>
  <c r="O1370" i="1" a="1"/>
  <c r="O1370" i="1" s="1"/>
  <c r="O1369" i="1" a="1"/>
  <c r="O1369" i="1" s="1"/>
  <c r="O1368" i="1" a="1"/>
  <c r="O1368" i="1" s="1"/>
  <c r="O1367" i="1" a="1"/>
  <c r="O1367" i="1" s="1"/>
  <c r="O1366" i="1" a="1"/>
  <c r="O1366" i="1" s="1"/>
  <c r="O1365" i="1" a="1"/>
  <c r="O1365" i="1" s="1"/>
  <c r="O1364" i="1" a="1"/>
  <c r="O1364" i="1" s="1"/>
  <c r="O1363" i="1" a="1"/>
  <c r="O1363" i="1" s="1"/>
  <c r="O1362" i="1" a="1"/>
  <c r="O1362" i="1" s="1"/>
  <c r="O1361" i="1" a="1"/>
  <c r="O1361" i="1" s="1"/>
  <c r="O1360" i="1" a="1"/>
  <c r="O1360" i="1" s="1"/>
  <c r="O1359" i="1" a="1"/>
  <c r="O1359" i="1" s="1"/>
  <c r="O1358" i="1" a="1"/>
  <c r="O1358" i="1" s="1"/>
  <c r="O1357" i="1" a="1"/>
  <c r="O1357" i="1" s="1"/>
  <c r="O1356" i="1" a="1"/>
  <c r="O1356" i="1" s="1"/>
  <c r="O1355" i="1" a="1"/>
  <c r="O1355" i="1" s="1"/>
  <c r="O1354" i="1" a="1"/>
  <c r="O1354" i="1" s="1"/>
  <c r="O1353" i="1" a="1"/>
  <c r="O1353" i="1" s="1"/>
  <c r="O1352" i="1" a="1"/>
  <c r="O1352" i="1" s="1"/>
  <c r="O1351" i="1" a="1"/>
  <c r="O1351" i="1" s="1"/>
  <c r="O1350" i="1" a="1"/>
  <c r="O1350" i="1" s="1"/>
  <c r="O1349" i="1" a="1"/>
  <c r="O1349" i="1" s="1"/>
  <c r="O1348" i="1" a="1"/>
  <c r="O1348" i="1" s="1"/>
  <c r="O1347" i="1" a="1"/>
  <c r="O1347" i="1" s="1"/>
  <c r="O1346" i="1" a="1"/>
  <c r="O1346" i="1" s="1"/>
  <c r="O1345" i="1" a="1"/>
  <c r="O1345" i="1" s="1"/>
  <c r="O1344" i="1" a="1"/>
  <c r="O1344" i="1" s="1"/>
  <c r="O1343" i="1" a="1"/>
  <c r="O1343" i="1" s="1"/>
  <c r="O1342" i="1" a="1"/>
  <c r="O1342" i="1" s="1"/>
  <c r="O1341" i="1" a="1"/>
  <c r="O1341" i="1" s="1"/>
  <c r="O1340" i="1" a="1"/>
  <c r="O1340" i="1" s="1"/>
  <c r="O1339" i="1" a="1"/>
  <c r="O1339" i="1" s="1"/>
  <c r="O1338" i="1" a="1"/>
  <c r="O1338" i="1" s="1"/>
  <c r="O1337" i="1" a="1"/>
  <c r="O1337" i="1" s="1"/>
  <c r="O1336" i="1" a="1"/>
  <c r="O1336" i="1" s="1"/>
  <c r="O1335" i="1" a="1"/>
  <c r="O1335" i="1" s="1"/>
  <c r="O1334" i="1" a="1"/>
  <c r="O1334" i="1" s="1"/>
  <c r="O1333" i="1" a="1"/>
  <c r="O1333" i="1" s="1"/>
  <c r="O1332" i="1" a="1"/>
  <c r="O1332" i="1" s="1"/>
  <c r="O1331" i="1" a="1"/>
  <c r="O1331" i="1" s="1"/>
  <c r="O1330" i="1" a="1"/>
  <c r="O1330" i="1" s="1"/>
  <c r="O1329" i="1" a="1"/>
  <c r="O1329" i="1" s="1"/>
  <c r="O1328" i="1" a="1"/>
  <c r="O1328" i="1" s="1"/>
  <c r="O1327" i="1" a="1"/>
  <c r="O1327" i="1" s="1"/>
  <c r="O1326" i="1" a="1"/>
  <c r="O1326" i="1" s="1"/>
  <c r="O1325" i="1" a="1"/>
  <c r="O1325" i="1" s="1"/>
  <c r="O1324" i="1" a="1"/>
  <c r="O1324" i="1" s="1"/>
  <c r="O1323" i="1" a="1"/>
  <c r="O1323" i="1" s="1"/>
  <c r="O1322" i="1" a="1"/>
  <c r="O1322" i="1" s="1"/>
  <c r="O1321" i="1" a="1"/>
  <c r="O1321" i="1" s="1"/>
  <c r="O1320" i="1" a="1"/>
  <c r="O1320" i="1" s="1"/>
  <c r="O1319" i="1" a="1"/>
  <c r="O1319" i="1" s="1"/>
  <c r="O1318" i="1" a="1"/>
  <c r="O1318" i="1" s="1"/>
  <c r="O1317" i="1" a="1"/>
  <c r="O1317" i="1" s="1"/>
  <c r="O1316" i="1" a="1"/>
  <c r="O1316" i="1" s="1"/>
  <c r="O1315" i="1" a="1"/>
  <c r="O1315" i="1" s="1"/>
  <c r="O1314" i="1" a="1"/>
  <c r="O1314" i="1" s="1"/>
  <c r="O1313" i="1" a="1"/>
  <c r="O1313" i="1" s="1"/>
  <c r="O1312" i="1" a="1"/>
  <c r="O1312" i="1" s="1"/>
  <c r="O1311" i="1" a="1"/>
  <c r="O1311" i="1" s="1"/>
  <c r="O1310" i="1" a="1"/>
  <c r="O1310" i="1" s="1"/>
  <c r="O1309" i="1" a="1"/>
  <c r="O1309" i="1" s="1"/>
  <c r="O1308" i="1" a="1"/>
  <c r="O1308" i="1" s="1"/>
  <c r="O1307" i="1" a="1"/>
  <c r="O1307" i="1" s="1"/>
  <c r="O1306" i="1" a="1"/>
  <c r="O1306" i="1" s="1"/>
  <c r="O1305" i="1" a="1"/>
  <c r="O1305" i="1" s="1"/>
  <c r="O1304" i="1" a="1"/>
  <c r="O1304" i="1" s="1"/>
  <c r="O1303" i="1" a="1"/>
  <c r="O1303" i="1" s="1"/>
  <c r="O1302" i="1" a="1"/>
  <c r="O1302" i="1" s="1"/>
  <c r="O1301" i="1" a="1"/>
  <c r="O1301" i="1" s="1"/>
  <c r="O1300" i="1" a="1"/>
  <c r="O1300" i="1" s="1"/>
  <c r="O1299" i="1" a="1"/>
  <c r="O1299" i="1" s="1"/>
  <c r="O1298" i="1" a="1"/>
  <c r="O1298" i="1" s="1"/>
  <c r="O1297" i="1" a="1"/>
  <c r="O1297" i="1" s="1"/>
  <c r="O1296" i="1" a="1"/>
  <c r="O1296" i="1" s="1"/>
  <c r="O1295" i="1" a="1"/>
  <c r="O1295" i="1" s="1"/>
  <c r="O1294" i="1" a="1"/>
  <c r="O1294" i="1" s="1"/>
  <c r="O1293" i="1" a="1"/>
  <c r="O1293" i="1" s="1"/>
  <c r="O1292" i="1" a="1"/>
  <c r="O1292" i="1" s="1"/>
  <c r="O1291" i="1" a="1"/>
  <c r="O1291" i="1" s="1"/>
  <c r="O1290" i="1" a="1"/>
  <c r="O1290" i="1" s="1"/>
  <c r="O1289" i="1" a="1"/>
  <c r="O1289" i="1" s="1"/>
  <c r="O1288" i="1" a="1"/>
  <c r="O1288" i="1" s="1"/>
  <c r="O1287" i="1" a="1"/>
  <c r="O1287" i="1" s="1"/>
  <c r="O1286" i="1" a="1"/>
  <c r="O1286" i="1" s="1"/>
  <c r="O1285" i="1" a="1"/>
  <c r="O1285" i="1" s="1"/>
  <c r="O1284" i="1" a="1"/>
  <c r="O1284" i="1" s="1"/>
  <c r="O1283" i="1" a="1"/>
  <c r="O1283" i="1" s="1"/>
  <c r="O1282" i="1" a="1"/>
  <c r="O1282" i="1" s="1"/>
  <c r="O1281" i="1" a="1"/>
  <c r="O1281" i="1" s="1"/>
  <c r="O1280" i="1" a="1"/>
  <c r="O1280" i="1" s="1"/>
  <c r="O1279" i="1" a="1"/>
  <c r="O1279" i="1" s="1"/>
  <c r="O1278" i="1" a="1"/>
  <c r="O1278" i="1" s="1"/>
  <c r="O1277" i="1" a="1"/>
  <c r="O1277" i="1" s="1"/>
  <c r="O1276" i="1" a="1"/>
  <c r="O1276" i="1" s="1"/>
  <c r="O1275" i="1" a="1"/>
  <c r="O1275" i="1" s="1"/>
  <c r="O1274" i="1" a="1"/>
  <c r="O1274" i="1" s="1"/>
  <c r="O1273" i="1" a="1"/>
  <c r="O1273" i="1" s="1"/>
  <c r="O1272" i="1" a="1"/>
  <c r="O1272" i="1" s="1"/>
  <c r="O1271" i="1" a="1"/>
  <c r="O1271" i="1" s="1"/>
  <c r="O1270" i="1" a="1"/>
  <c r="O1270" i="1" s="1"/>
  <c r="O1269" i="1" a="1"/>
  <c r="O1269" i="1" s="1"/>
  <c r="O1268" i="1" a="1"/>
  <c r="O1268" i="1" s="1"/>
  <c r="O1267" i="1" a="1"/>
  <c r="O1267" i="1" s="1"/>
  <c r="O1266" i="1" a="1"/>
  <c r="O1266" i="1" s="1"/>
  <c r="O1265" i="1" a="1"/>
  <c r="O1265" i="1" s="1"/>
  <c r="O1264" i="1" a="1"/>
  <c r="O1264" i="1" s="1"/>
  <c r="O1263" i="1" a="1"/>
  <c r="O1263" i="1" s="1"/>
  <c r="O1262" i="1" a="1"/>
  <c r="O1262" i="1" s="1"/>
  <c r="O1261" i="1" a="1"/>
  <c r="O1261" i="1" s="1"/>
  <c r="O1260" i="1" a="1"/>
  <c r="O1260" i="1" s="1"/>
  <c r="O1259" i="1" a="1"/>
  <c r="O1259" i="1" s="1"/>
  <c r="O1258" i="1" a="1"/>
  <c r="O1258" i="1" s="1"/>
  <c r="O1257" i="1" a="1"/>
  <c r="O1257" i="1" s="1"/>
  <c r="O1256" i="1" a="1"/>
  <c r="O1256" i="1" s="1"/>
  <c r="O1255" i="1" a="1"/>
  <c r="O1255" i="1" s="1"/>
  <c r="O1254" i="1" a="1"/>
  <c r="O1254" i="1" s="1"/>
  <c r="O1253" i="1" a="1"/>
  <c r="O1253" i="1" s="1"/>
  <c r="O1252" i="1" a="1"/>
  <c r="O1252" i="1" s="1"/>
  <c r="O1251" i="1" a="1"/>
  <c r="O1251" i="1" s="1"/>
  <c r="O1250" i="1" a="1"/>
  <c r="O1250" i="1" s="1"/>
  <c r="O1249" i="1" a="1"/>
  <c r="O1249" i="1" s="1"/>
  <c r="O1248" i="1" a="1"/>
  <c r="O1248" i="1" s="1"/>
  <c r="O1247" i="1" a="1"/>
  <c r="O1247" i="1" s="1"/>
  <c r="O1246" i="1" a="1"/>
  <c r="O1246" i="1" s="1"/>
  <c r="O1245" i="1" a="1"/>
  <c r="O1245" i="1" s="1"/>
  <c r="O1244" i="1" a="1"/>
  <c r="O1244" i="1" s="1"/>
  <c r="O1243" i="1" a="1"/>
  <c r="O1243" i="1" s="1"/>
  <c r="O1242" i="1" a="1"/>
  <c r="O1242" i="1" s="1"/>
  <c r="O1241" i="1" a="1"/>
  <c r="O1241" i="1" s="1"/>
  <c r="O1240" i="1" a="1"/>
  <c r="O1240" i="1" s="1"/>
  <c r="O1239" i="1" a="1"/>
  <c r="O1239" i="1" s="1"/>
  <c r="O1238" i="1" a="1"/>
  <c r="O1238" i="1" s="1"/>
  <c r="O1237" i="1" a="1"/>
  <c r="O1237" i="1" s="1"/>
  <c r="O1236" i="1" a="1"/>
  <c r="O1236" i="1" s="1"/>
  <c r="O1235" i="1" a="1"/>
  <c r="O1235" i="1" s="1"/>
  <c r="O1234" i="1" a="1"/>
  <c r="O1234" i="1" s="1"/>
  <c r="O1233" i="1" a="1"/>
  <c r="O1233" i="1" s="1"/>
  <c r="O1232" i="1" a="1"/>
  <c r="O1232" i="1" s="1"/>
  <c r="O1231" i="1" a="1"/>
  <c r="O1231" i="1" s="1"/>
  <c r="O1230" i="1" a="1"/>
  <c r="O1230" i="1" s="1"/>
  <c r="O1229" i="1" a="1"/>
  <c r="O1229" i="1" s="1"/>
  <c r="O1228" i="1" a="1"/>
  <c r="O1228" i="1" s="1"/>
  <c r="O1227" i="1" a="1"/>
  <c r="O1227" i="1" s="1"/>
  <c r="O1226" i="1" a="1"/>
  <c r="O1226" i="1" s="1"/>
  <c r="O1225" i="1" a="1"/>
  <c r="O1225" i="1" s="1"/>
  <c r="O1224" i="1" a="1"/>
  <c r="O1224" i="1" s="1"/>
  <c r="O1223" i="1" a="1"/>
  <c r="O1223" i="1" s="1"/>
  <c r="O1222" i="1" a="1"/>
  <c r="O1222" i="1" s="1"/>
  <c r="O1221" i="1" a="1"/>
  <c r="O1221" i="1" s="1"/>
  <c r="O1220" i="1" a="1"/>
  <c r="O1220" i="1" s="1"/>
  <c r="O1219" i="1" a="1"/>
  <c r="O1219" i="1" s="1"/>
  <c r="O1218" i="1" a="1"/>
  <c r="O1218" i="1" s="1"/>
  <c r="O1217" i="1" a="1"/>
  <c r="O1217" i="1" s="1"/>
  <c r="O1216" i="1" a="1"/>
  <c r="O1216" i="1" s="1"/>
  <c r="O1215" i="1" a="1"/>
  <c r="O1215" i="1" s="1"/>
  <c r="O1214" i="1" a="1"/>
  <c r="O1214" i="1" s="1"/>
  <c r="O1213" i="1" a="1"/>
  <c r="O1213" i="1" s="1"/>
  <c r="O1212" i="1" a="1"/>
  <c r="O1212" i="1" s="1"/>
  <c r="O1211" i="1" a="1"/>
  <c r="O1211" i="1" s="1"/>
  <c r="O1210" i="1" a="1"/>
  <c r="O1210" i="1" s="1"/>
  <c r="O1209" i="1" a="1"/>
  <c r="O1209" i="1" s="1"/>
  <c r="O1208" i="1" a="1"/>
  <c r="O1208" i="1" s="1"/>
  <c r="O1207" i="1" a="1"/>
  <c r="O1207" i="1" s="1"/>
  <c r="O1206" i="1" a="1"/>
  <c r="O1206" i="1" s="1"/>
  <c r="O1205" i="1" a="1"/>
  <c r="O1205" i="1" s="1"/>
  <c r="O1204" i="1" a="1"/>
  <c r="O1204" i="1" s="1"/>
  <c r="O1203" i="1" a="1"/>
  <c r="O1203" i="1" s="1"/>
  <c r="O1202" i="1" a="1"/>
  <c r="O1202" i="1" s="1"/>
  <c r="O1201" i="1" a="1"/>
  <c r="O1201" i="1" s="1"/>
  <c r="O1200" i="1" a="1"/>
  <c r="O1200" i="1" s="1"/>
  <c r="O1199" i="1" a="1"/>
  <c r="O1199" i="1" s="1"/>
  <c r="O1198" i="1" a="1"/>
  <c r="O1198" i="1" s="1"/>
  <c r="O1197" i="1" a="1"/>
  <c r="O1197" i="1" s="1"/>
  <c r="O1196" i="1" a="1"/>
  <c r="O1196" i="1" s="1"/>
  <c r="O1195" i="1" a="1"/>
  <c r="O1195" i="1" s="1"/>
  <c r="O1194" i="1" a="1"/>
  <c r="O1194" i="1" s="1"/>
  <c r="O1193" i="1" a="1"/>
  <c r="O1193" i="1" s="1"/>
  <c r="O1192" i="1" a="1"/>
  <c r="O1192" i="1" s="1"/>
  <c r="O1191" i="1" a="1"/>
  <c r="O1191" i="1" s="1"/>
  <c r="O1190" i="1" a="1"/>
  <c r="O1190" i="1" s="1"/>
  <c r="O1189" i="1" a="1"/>
  <c r="O1189" i="1" s="1"/>
  <c r="O1188" i="1" a="1"/>
  <c r="O1188" i="1" s="1"/>
  <c r="O1187" i="1" a="1"/>
  <c r="O1187" i="1" s="1"/>
  <c r="O1186" i="1" a="1"/>
  <c r="O1186" i="1" s="1"/>
  <c r="O1185" i="1" a="1"/>
  <c r="O1185" i="1" s="1"/>
  <c r="O1184" i="1" a="1"/>
  <c r="O1184" i="1" s="1"/>
  <c r="O1183" i="1" a="1"/>
  <c r="O1183" i="1" s="1"/>
  <c r="O1182" i="1" a="1"/>
  <c r="O1182" i="1" s="1"/>
  <c r="O1181" i="1" a="1"/>
  <c r="O1181" i="1" s="1"/>
  <c r="O1180" i="1" a="1"/>
  <c r="O1180" i="1" s="1"/>
  <c r="O1179" i="1" a="1"/>
  <c r="O1179" i="1" s="1"/>
  <c r="O1178" i="1" a="1"/>
  <c r="O1178" i="1" s="1"/>
  <c r="O1177" i="1" a="1"/>
  <c r="O1177" i="1" s="1"/>
  <c r="O1176" i="1" a="1"/>
  <c r="O1176" i="1" s="1"/>
  <c r="O1175" i="1" a="1"/>
  <c r="O1175" i="1" s="1"/>
  <c r="O1174" i="1" a="1"/>
  <c r="O1174" i="1" s="1"/>
  <c r="O1173" i="1" a="1"/>
  <c r="O1173" i="1" s="1"/>
  <c r="O1172" i="1" a="1"/>
  <c r="O1172" i="1" s="1"/>
  <c r="O1171" i="1" a="1"/>
  <c r="O1171" i="1" s="1"/>
  <c r="O1170" i="1" a="1"/>
  <c r="O1170" i="1" s="1"/>
  <c r="O1169" i="1" a="1"/>
  <c r="O1169" i="1" s="1"/>
  <c r="O1168" i="1" a="1"/>
  <c r="O1168" i="1" s="1"/>
  <c r="O1167" i="1" a="1"/>
  <c r="O1167" i="1" s="1"/>
  <c r="O1166" i="1" a="1"/>
  <c r="O1166" i="1" s="1"/>
  <c r="O1165" i="1" a="1"/>
  <c r="O1165" i="1" s="1"/>
  <c r="O1164" i="1" a="1"/>
  <c r="O1164" i="1" s="1"/>
  <c r="O1163" i="1" a="1"/>
  <c r="O1163" i="1" s="1"/>
  <c r="O1162" i="1" a="1"/>
  <c r="O1162" i="1" s="1"/>
  <c r="O1161" i="1" a="1"/>
  <c r="O1161" i="1" s="1"/>
  <c r="O1160" i="1" a="1"/>
  <c r="O1160" i="1" s="1"/>
  <c r="O1159" i="1" a="1"/>
  <c r="O1159" i="1" s="1"/>
  <c r="O1158" i="1" a="1"/>
  <c r="O1158" i="1" s="1"/>
  <c r="O1157" i="1" a="1"/>
  <c r="O1157" i="1" s="1"/>
  <c r="O1156" i="1" a="1"/>
  <c r="O1156" i="1" s="1"/>
  <c r="O1155" i="1" a="1"/>
  <c r="O1155" i="1" s="1"/>
  <c r="O1154" i="1" a="1"/>
  <c r="O1154" i="1" s="1"/>
  <c r="O1153" i="1" a="1"/>
  <c r="O1153" i="1" s="1"/>
  <c r="O1152" i="1" a="1"/>
  <c r="O1152" i="1" s="1"/>
  <c r="O1151" i="1" a="1"/>
  <c r="O1151" i="1" s="1"/>
  <c r="O1150" i="1" a="1"/>
  <c r="O1150" i="1" s="1"/>
  <c r="O1149" i="1" a="1"/>
  <c r="O1149" i="1" s="1"/>
  <c r="O1148" i="1" a="1"/>
  <c r="O1148" i="1" s="1"/>
  <c r="O1147" i="1" a="1"/>
  <c r="O1147" i="1" s="1"/>
  <c r="O1146" i="1" a="1"/>
  <c r="O1146" i="1" s="1"/>
  <c r="O1145" i="1" a="1"/>
  <c r="O1145" i="1" s="1"/>
  <c r="O1144" i="1" a="1"/>
  <c r="O1144" i="1" s="1"/>
  <c r="O1143" i="1" a="1"/>
  <c r="O1143" i="1" s="1"/>
  <c r="O1142" i="1" a="1"/>
  <c r="O1142" i="1" s="1"/>
  <c r="O1141" i="1" a="1"/>
  <c r="O1141" i="1" s="1"/>
  <c r="O1140" i="1" a="1"/>
  <c r="O1140" i="1" s="1"/>
  <c r="O1139" i="1" a="1"/>
  <c r="O1139" i="1" s="1"/>
  <c r="O1138" i="1" a="1"/>
  <c r="O1138" i="1" s="1"/>
  <c r="O1137" i="1" a="1"/>
  <c r="O1137" i="1" s="1"/>
  <c r="O1136" i="1" a="1"/>
  <c r="O1136" i="1" s="1"/>
  <c r="O1135" i="1" a="1"/>
  <c r="O1135" i="1" s="1"/>
  <c r="O1134" i="1" a="1"/>
  <c r="O1134" i="1" s="1"/>
  <c r="O1133" i="1" a="1"/>
  <c r="O1133" i="1" s="1"/>
  <c r="O1132" i="1" a="1"/>
  <c r="O1132" i="1" s="1"/>
  <c r="O1131" i="1" a="1"/>
  <c r="O1131" i="1" s="1"/>
  <c r="O1130" i="1" a="1"/>
  <c r="O1130" i="1" s="1"/>
  <c r="O1129" i="1" a="1"/>
  <c r="O1129" i="1" s="1"/>
  <c r="O1128" i="1" a="1"/>
  <c r="O1128" i="1" s="1"/>
  <c r="O1127" i="1" a="1"/>
  <c r="O1127" i="1" s="1"/>
  <c r="O1126" i="1" a="1"/>
  <c r="O1126" i="1" s="1"/>
  <c r="O1125" i="1" a="1"/>
  <c r="O1125" i="1" s="1"/>
  <c r="O1124" i="1" a="1"/>
  <c r="O1124" i="1" s="1"/>
  <c r="O1123" i="1" a="1"/>
  <c r="O1123" i="1" s="1"/>
  <c r="O1122" i="1" a="1"/>
  <c r="O1122" i="1" s="1"/>
  <c r="O1121" i="1" a="1"/>
  <c r="O1121" i="1" s="1"/>
  <c r="O1120" i="1" a="1"/>
  <c r="O1120" i="1" s="1"/>
  <c r="O1119" i="1" a="1"/>
  <c r="O1119" i="1" s="1"/>
  <c r="O1118" i="1" a="1"/>
  <c r="O1118" i="1" s="1"/>
  <c r="O1117" i="1" a="1"/>
  <c r="O1117" i="1" s="1"/>
  <c r="O1116" i="1" a="1"/>
  <c r="O1116" i="1" s="1"/>
  <c r="O1115" i="1" a="1"/>
  <c r="O1115" i="1" s="1"/>
  <c r="O1114" i="1" a="1"/>
  <c r="O1114" i="1" s="1"/>
  <c r="O1113" i="1" a="1"/>
  <c r="O1113" i="1" s="1"/>
  <c r="O1112" i="1" a="1"/>
  <c r="O1112" i="1" s="1"/>
  <c r="O1111" i="1" a="1"/>
  <c r="O1111" i="1" s="1"/>
  <c r="O1110" i="1" a="1"/>
  <c r="O1110" i="1" s="1"/>
  <c r="O1109" i="1" a="1"/>
  <c r="O1109" i="1" s="1"/>
  <c r="O1108" i="1" a="1"/>
  <c r="O1108" i="1" s="1"/>
  <c r="O1107" i="1" a="1"/>
  <c r="O1107" i="1" s="1"/>
  <c r="O1106" i="1" a="1"/>
  <c r="O1106" i="1" s="1"/>
  <c r="O1105" i="1" a="1"/>
  <c r="O1105" i="1" s="1"/>
  <c r="O1104" i="1" a="1"/>
  <c r="O1104" i="1" s="1"/>
  <c r="O1103" i="1" a="1"/>
  <c r="O1103" i="1" s="1"/>
  <c r="O1102" i="1" a="1"/>
  <c r="O1102" i="1" s="1"/>
  <c r="O1101" i="1" a="1"/>
  <c r="O1101" i="1" s="1"/>
  <c r="O1100" i="1" a="1"/>
  <c r="O1100" i="1" s="1"/>
  <c r="O1099" i="1" a="1"/>
  <c r="O1099" i="1" s="1"/>
  <c r="O1098" i="1" a="1"/>
  <c r="O1098" i="1" s="1"/>
  <c r="O1097" i="1" a="1"/>
  <c r="O1097" i="1" s="1"/>
  <c r="O1096" i="1" a="1"/>
  <c r="O1096" i="1" s="1"/>
  <c r="O1095" i="1" a="1"/>
  <c r="O1095" i="1" s="1"/>
  <c r="O1094" i="1" a="1"/>
  <c r="O1094" i="1" s="1"/>
  <c r="O1093" i="1" a="1"/>
  <c r="O1093" i="1" s="1"/>
  <c r="O1092" i="1" a="1"/>
  <c r="O1092" i="1" s="1"/>
  <c r="O1091" i="1" a="1"/>
  <c r="O1091" i="1" s="1"/>
  <c r="O1090" i="1" a="1"/>
  <c r="O1090" i="1" s="1"/>
  <c r="O1089" i="1" a="1"/>
  <c r="O1089" i="1" s="1"/>
  <c r="O1088" i="1" a="1"/>
  <c r="O1088" i="1" s="1"/>
  <c r="O1087" i="1" a="1"/>
  <c r="O1087" i="1" s="1"/>
  <c r="O1086" i="1" a="1"/>
  <c r="O1086" i="1" s="1"/>
  <c r="O1085" i="1" a="1"/>
  <c r="O1085" i="1" s="1"/>
  <c r="O1084" i="1" a="1"/>
  <c r="O1084" i="1" s="1"/>
  <c r="O1083" i="1" a="1"/>
  <c r="O1083" i="1" s="1"/>
  <c r="O1082" i="1" a="1"/>
  <c r="O1082" i="1" s="1"/>
  <c r="O1081" i="1" a="1"/>
  <c r="O1081" i="1" s="1"/>
  <c r="O1080" i="1" a="1"/>
  <c r="O1080" i="1" s="1"/>
  <c r="O1079" i="1" a="1"/>
  <c r="O1079" i="1" s="1"/>
  <c r="O1078" i="1" a="1"/>
  <c r="O1078" i="1" s="1"/>
  <c r="O1077" i="1" a="1"/>
  <c r="O1077" i="1" s="1"/>
  <c r="O1076" i="1" a="1"/>
  <c r="O1076" i="1" s="1"/>
  <c r="O1075" i="1" a="1"/>
  <c r="O1075" i="1" s="1"/>
  <c r="O1074" i="1" a="1"/>
  <c r="O1074" i="1" s="1"/>
  <c r="O1073" i="1" a="1"/>
  <c r="O1073" i="1" s="1"/>
  <c r="O1072" i="1" a="1"/>
  <c r="O1072" i="1" s="1"/>
  <c r="O1071" i="1" a="1"/>
  <c r="O1071" i="1" s="1"/>
  <c r="O1070" i="1" a="1"/>
  <c r="O1070" i="1" s="1"/>
  <c r="O1069" i="1" a="1"/>
  <c r="O1069" i="1" s="1"/>
  <c r="O1068" i="1" a="1"/>
  <c r="O1068" i="1" s="1"/>
  <c r="O1067" i="1" a="1"/>
  <c r="O1067" i="1" s="1"/>
  <c r="O1066" i="1" a="1"/>
  <c r="O1066" i="1" s="1"/>
  <c r="O1065" i="1" a="1"/>
  <c r="O1065" i="1" s="1"/>
  <c r="O1064" i="1" a="1"/>
  <c r="O1064" i="1" s="1"/>
  <c r="O1063" i="1" a="1"/>
  <c r="O1063" i="1" s="1"/>
  <c r="O1062" i="1" a="1"/>
  <c r="O1062" i="1" s="1"/>
  <c r="O1061" i="1" a="1"/>
  <c r="O1061" i="1" s="1"/>
  <c r="O1060" i="1" a="1"/>
  <c r="O1060" i="1" s="1"/>
  <c r="O1059" i="1" a="1"/>
  <c r="O1059" i="1" s="1"/>
  <c r="O1058" i="1" a="1"/>
  <c r="O1058" i="1" s="1"/>
  <c r="O1057" i="1" a="1"/>
  <c r="O1057" i="1" s="1"/>
  <c r="O1056" i="1" a="1"/>
  <c r="O1056" i="1" s="1"/>
  <c r="O1055" i="1" a="1"/>
  <c r="O1055" i="1" s="1"/>
  <c r="O1054" i="1" a="1"/>
  <c r="O1054" i="1" s="1"/>
  <c r="O1053" i="1" a="1"/>
  <c r="O1053" i="1" s="1"/>
  <c r="O1052" i="1" a="1"/>
  <c r="O1052" i="1" s="1"/>
  <c r="O1051" i="1" a="1"/>
  <c r="O1051" i="1" s="1"/>
  <c r="O1050" i="1" a="1"/>
  <c r="O1050" i="1" s="1"/>
  <c r="O1049" i="1" a="1"/>
  <c r="O1049" i="1" s="1"/>
  <c r="O1048" i="1" a="1"/>
  <c r="O1048" i="1" s="1"/>
  <c r="O1047" i="1" a="1"/>
  <c r="O1047" i="1" s="1"/>
  <c r="O1046" i="1" a="1"/>
  <c r="O1046" i="1" s="1"/>
  <c r="O1045" i="1" a="1"/>
  <c r="O1045" i="1" s="1"/>
  <c r="O1044" i="1" a="1"/>
  <c r="O1044" i="1" s="1"/>
  <c r="O1043" i="1" a="1"/>
  <c r="O1043" i="1" s="1"/>
  <c r="O1042" i="1" a="1"/>
  <c r="O1042" i="1" s="1"/>
  <c r="O1041" i="1" a="1"/>
  <c r="O1041" i="1" s="1"/>
  <c r="O1040" i="1" a="1"/>
  <c r="O1040" i="1" s="1"/>
  <c r="O1039" i="1" a="1"/>
  <c r="O1039" i="1" s="1"/>
  <c r="O1038" i="1" a="1"/>
  <c r="O1038" i="1" s="1"/>
  <c r="O1037" i="1" a="1"/>
  <c r="O1037" i="1" s="1"/>
  <c r="O1036" i="1" a="1"/>
  <c r="O1036" i="1" s="1"/>
  <c r="O1035" i="1" a="1"/>
  <c r="O1035" i="1" s="1"/>
  <c r="O1034" i="1" a="1"/>
  <c r="O1034" i="1" s="1"/>
  <c r="O1033" i="1" a="1"/>
  <c r="O1033" i="1" s="1"/>
  <c r="O1032" i="1" a="1"/>
  <c r="O1032" i="1" s="1"/>
  <c r="O1031" i="1" a="1"/>
  <c r="O1031" i="1" s="1"/>
  <c r="O1030" i="1" a="1"/>
  <c r="O1030" i="1" s="1"/>
  <c r="O1029" i="1" a="1"/>
  <c r="O1029" i="1" s="1"/>
  <c r="O1028" i="1" a="1"/>
  <c r="O1028" i="1" s="1"/>
  <c r="O1027" i="1" a="1"/>
  <c r="O1027" i="1" s="1"/>
  <c r="O1026" i="1" a="1"/>
  <c r="O1026" i="1" s="1"/>
  <c r="O1025" i="1" a="1"/>
  <c r="O1025" i="1" s="1"/>
  <c r="O1024" i="1" a="1"/>
  <c r="O1024" i="1" s="1"/>
  <c r="O1023" i="1" a="1"/>
  <c r="O1023" i="1" s="1"/>
  <c r="O1022" i="1" a="1"/>
  <c r="O1022" i="1" s="1"/>
  <c r="O1021" i="1" a="1"/>
  <c r="O1021" i="1" s="1"/>
  <c r="O1020" i="1" a="1"/>
  <c r="O1020" i="1" s="1"/>
  <c r="O1019" i="1" a="1"/>
  <c r="O1019" i="1" s="1"/>
  <c r="O1018" i="1" a="1"/>
  <c r="O1018" i="1" s="1"/>
  <c r="O1017" i="1" a="1"/>
  <c r="O1017" i="1" s="1"/>
  <c r="O1016" i="1" a="1"/>
  <c r="O1016" i="1" s="1"/>
  <c r="O1015" i="1" a="1"/>
  <c r="O1015" i="1" s="1"/>
  <c r="O1014" i="1" a="1"/>
  <c r="O1014" i="1" s="1"/>
  <c r="O1013" i="1" a="1"/>
  <c r="O1013" i="1" s="1"/>
  <c r="O1012" i="1" a="1"/>
  <c r="O1012" i="1" s="1"/>
  <c r="O1011" i="1" a="1"/>
  <c r="O1011" i="1" s="1"/>
  <c r="O1010" i="1" a="1"/>
  <c r="O1010" i="1" s="1"/>
  <c r="O1009" i="1" a="1"/>
  <c r="O1009" i="1" s="1"/>
  <c r="O1008" i="1" a="1"/>
  <c r="O1008" i="1" s="1"/>
  <c r="O1007" i="1" a="1"/>
  <c r="O1007" i="1" s="1"/>
  <c r="O1006" i="1" a="1"/>
  <c r="O1006" i="1" s="1"/>
  <c r="O1005" i="1" a="1"/>
  <c r="O1005" i="1" s="1"/>
  <c r="O1004" i="1" a="1"/>
  <c r="O1004" i="1" s="1"/>
  <c r="O1003" i="1" a="1"/>
  <c r="O1003" i="1" s="1"/>
  <c r="O1002" i="1" a="1"/>
  <c r="O1002" i="1" s="1"/>
  <c r="O1001" i="1" a="1"/>
  <c r="O1001" i="1" s="1"/>
  <c r="O1000" i="1" a="1"/>
  <c r="O1000" i="1" s="1"/>
  <c r="O999" i="1" a="1"/>
  <c r="O999" i="1" s="1"/>
  <c r="O998" i="1" a="1"/>
  <c r="O998" i="1" s="1"/>
  <c r="O997" i="1" a="1"/>
  <c r="O997" i="1" s="1"/>
  <c r="O996" i="1" a="1"/>
  <c r="O996" i="1" s="1"/>
  <c r="O995" i="1" a="1"/>
  <c r="O995" i="1" s="1"/>
  <c r="O994" i="1" a="1"/>
  <c r="O994" i="1" s="1"/>
  <c r="O993" i="1" a="1"/>
  <c r="O993" i="1" s="1"/>
  <c r="O992" i="1" a="1"/>
  <c r="O992" i="1" s="1"/>
  <c r="O991" i="1" a="1"/>
  <c r="O991" i="1" s="1"/>
  <c r="O990" i="1" a="1"/>
  <c r="O990" i="1" s="1"/>
  <c r="O989" i="1" a="1"/>
  <c r="O989" i="1" s="1"/>
  <c r="O988" i="1" a="1"/>
  <c r="O988" i="1" s="1"/>
  <c r="O987" i="1" a="1"/>
  <c r="O987" i="1" s="1"/>
  <c r="O986" i="1" a="1"/>
  <c r="O986" i="1" s="1"/>
  <c r="O985" i="1" a="1"/>
  <c r="O985" i="1" s="1"/>
  <c r="O984" i="1" a="1"/>
  <c r="O984" i="1" s="1"/>
  <c r="O983" i="1" a="1"/>
  <c r="O983" i="1" s="1"/>
  <c r="O982" i="1" a="1"/>
  <c r="O982" i="1" s="1"/>
  <c r="O981" i="1" a="1"/>
  <c r="O981" i="1" s="1"/>
  <c r="O980" i="1" a="1"/>
  <c r="O980" i="1" s="1"/>
  <c r="O979" i="1" a="1"/>
  <c r="O979" i="1" s="1"/>
  <c r="O978" i="1" a="1"/>
  <c r="O978" i="1" s="1"/>
  <c r="O977" i="1" a="1"/>
  <c r="O977" i="1" s="1"/>
  <c r="O976" i="1" a="1"/>
  <c r="O976" i="1" s="1"/>
  <c r="O975" i="1" a="1"/>
  <c r="O975" i="1" s="1"/>
  <c r="O974" i="1" a="1"/>
  <c r="O974" i="1" s="1"/>
  <c r="O973" i="1" a="1"/>
  <c r="O973" i="1" s="1"/>
  <c r="O972" i="1" a="1"/>
  <c r="O972" i="1" s="1"/>
  <c r="O971" i="1" a="1"/>
  <c r="O971" i="1" s="1"/>
  <c r="O970" i="1" a="1"/>
  <c r="O970" i="1" s="1"/>
  <c r="O969" i="1" a="1"/>
  <c r="O969" i="1" s="1"/>
  <c r="O968" i="1" a="1"/>
  <c r="O968" i="1" s="1"/>
  <c r="O967" i="1" a="1"/>
  <c r="O967" i="1" s="1"/>
  <c r="O966" i="1" a="1"/>
  <c r="O966" i="1" s="1"/>
  <c r="O965" i="1" a="1"/>
  <c r="O965" i="1" s="1"/>
  <c r="O964" i="1" a="1"/>
  <c r="O964" i="1" s="1"/>
  <c r="O963" i="1" a="1"/>
  <c r="O963" i="1" s="1"/>
  <c r="O962" i="1" a="1"/>
  <c r="O962" i="1" s="1"/>
  <c r="O961" i="1" a="1"/>
  <c r="O961" i="1" s="1"/>
  <c r="O960" i="1" a="1"/>
  <c r="O960" i="1" s="1"/>
  <c r="O959" i="1" a="1"/>
  <c r="O959" i="1" s="1"/>
  <c r="O958" i="1" a="1"/>
  <c r="O958" i="1" s="1"/>
  <c r="O957" i="1" a="1"/>
  <c r="O957" i="1" s="1"/>
  <c r="O956" i="1" a="1"/>
  <c r="O956" i="1" s="1"/>
  <c r="O955" i="1" a="1"/>
  <c r="O955" i="1" s="1"/>
  <c r="O954" i="1" a="1"/>
  <c r="O954" i="1" s="1"/>
  <c r="O953" i="1" a="1"/>
  <c r="O953" i="1" s="1"/>
  <c r="O952" i="1" a="1"/>
  <c r="O952" i="1" s="1"/>
  <c r="O951" i="1" a="1"/>
  <c r="O951" i="1" s="1"/>
  <c r="O950" i="1" a="1"/>
  <c r="O950" i="1" s="1"/>
  <c r="O949" i="1" a="1"/>
  <c r="O949" i="1" s="1"/>
  <c r="O948" i="1" a="1"/>
  <c r="O948" i="1" s="1"/>
  <c r="O947" i="1" a="1"/>
  <c r="O947" i="1" s="1"/>
  <c r="O946" i="1" a="1"/>
  <c r="O946" i="1" s="1"/>
  <c r="O945" i="1" a="1"/>
  <c r="O945" i="1" s="1"/>
  <c r="O944" i="1" a="1"/>
  <c r="O944" i="1" s="1"/>
  <c r="O943" i="1" a="1"/>
  <c r="O943" i="1" s="1"/>
  <c r="O942" i="1" a="1"/>
  <c r="O942" i="1" s="1"/>
  <c r="O941" i="1" a="1"/>
  <c r="O941" i="1" s="1"/>
  <c r="O940" i="1" a="1"/>
  <c r="O940" i="1" s="1"/>
  <c r="O939" i="1" a="1"/>
  <c r="O939" i="1" s="1"/>
  <c r="O938" i="1" a="1"/>
  <c r="O938" i="1" s="1"/>
  <c r="O937" i="1" a="1"/>
  <c r="O937" i="1" s="1"/>
  <c r="O936" i="1" a="1"/>
  <c r="O936" i="1" s="1"/>
  <c r="O935" i="1" a="1"/>
  <c r="O935" i="1" s="1"/>
  <c r="O934" i="1" a="1"/>
  <c r="O934" i="1" s="1"/>
  <c r="O933" i="1" a="1"/>
  <c r="O933" i="1" s="1"/>
  <c r="O932" i="1" a="1"/>
  <c r="O932" i="1" s="1"/>
  <c r="O931" i="1" a="1"/>
  <c r="O931" i="1" s="1"/>
  <c r="O930" i="1" a="1"/>
  <c r="O930" i="1" s="1"/>
  <c r="O929" i="1" a="1"/>
  <c r="O929" i="1" s="1"/>
  <c r="O928" i="1" a="1"/>
  <c r="O928" i="1" s="1"/>
  <c r="O927" i="1" a="1"/>
  <c r="O927" i="1" s="1"/>
  <c r="O926" i="1" a="1"/>
  <c r="O926" i="1" s="1"/>
  <c r="O925" i="1" a="1"/>
  <c r="O925" i="1" s="1"/>
  <c r="O924" i="1" a="1"/>
  <c r="O924" i="1" s="1"/>
  <c r="O923" i="1" a="1"/>
  <c r="O923" i="1" s="1"/>
  <c r="O922" i="1" a="1"/>
  <c r="O922" i="1" s="1"/>
  <c r="O921" i="1" a="1"/>
  <c r="O921" i="1" s="1"/>
  <c r="O920" i="1" a="1"/>
  <c r="O920" i="1" s="1"/>
  <c r="O919" i="1" a="1"/>
  <c r="O919" i="1" s="1"/>
  <c r="O918" i="1" a="1"/>
  <c r="O918" i="1" s="1"/>
  <c r="O917" i="1" a="1"/>
  <c r="O917" i="1" s="1"/>
  <c r="O916" i="1" a="1"/>
  <c r="O916" i="1" s="1"/>
  <c r="O915" i="1" a="1"/>
  <c r="O915" i="1" s="1"/>
  <c r="O914" i="1" a="1"/>
  <c r="O914" i="1" s="1"/>
  <c r="O913" i="1" a="1"/>
  <c r="O913" i="1" s="1"/>
  <c r="O912" i="1" a="1"/>
  <c r="O912" i="1" s="1"/>
  <c r="O911" i="1" a="1"/>
  <c r="O911" i="1" s="1"/>
  <c r="O910" i="1" a="1"/>
  <c r="O910" i="1" s="1"/>
  <c r="O909" i="1" a="1"/>
  <c r="O909" i="1" s="1"/>
  <c r="O908" i="1" a="1"/>
  <c r="O908" i="1" s="1"/>
  <c r="O907" i="1" a="1"/>
  <c r="O907" i="1" s="1"/>
  <c r="O906" i="1" a="1"/>
  <c r="O906" i="1" s="1"/>
  <c r="O905" i="1" a="1"/>
  <c r="O905" i="1" s="1"/>
  <c r="O904" i="1" a="1"/>
  <c r="O904" i="1" s="1"/>
  <c r="O903" i="1" a="1"/>
  <c r="O903" i="1" s="1"/>
  <c r="O902" i="1" a="1"/>
  <c r="O902" i="1" s="1"/>
  <c r="O901" i="1" a="1"/>
  <c r="O901" i="1" s="1"/>
  <c r="O900" i="1" a="1"/>
  <c r="O900" i="1" s="1"/>
  <c r="O899" i="1" a="1"/>
  <c r="O899" i="1" s="1"/>
  <c r="O898" i="1" a="1"/>
  <c r="O898" i="1" s="1"/>
  <c r="O897" i="1" a="1"/>
  <c r="O897" i="1" s="1"/>
  <c r="O896" i="1" a="1"/>
  <c r="O896" i="1" s="1"/>
  <c r="O895" i="1" a="1"/>
  <c r="O895" i="1" s="1"/>
  <c r="O894" i="1" a="1"/>
  <c r="O894" i="1" s="1"/>
  <c r="O893" i="1" a="1"/>
  <c r="O893" i="1" s="1"/>
  <c r="O892" i="1" a="1"/>
  <c r="O892" i="1" s="1"/>
  <c r="O891" i="1" a="1"/>
  <c r="O891" i="1" s="1"/>
  <c r="O890" i="1" a="1"/>
  <c r="O890" i="1" s="1"/>
  <c r="O889" i="1" a="1"/>
  <c r="O889" i="1" s="1"/>
  <c r="O888" i="1" a="1"/>
  <c r="O888" i="1" s="1"/>
  <c r="O887" i="1" a="1"/>
  <c r="O887" i="1" s="1"/>
  <c r="O886" i="1" a="1"/>
  <c r="O886" i="1" s="1"/>
  <c r="O885" i="1" a="1"/>
  <c r="O885" i="1" s="1"/>
  <c r="O884" i="1" a="1"/>
  <c r="O884" i="1" s="1"/>
  <c r="O883" i="1" a="1"/>
  <c r="O883" i="1" s="1"/>
  <c r="O882" i="1" a="1"/>
  <c r="O882" i="1" s="1"/>
  <c r="O881" i="1" a="1"/>
  <c r="O881" i="1" s="1"/>
  <c r="O880" i="1" a="1"/>
  <c r="O880" i="1" s="1"/>
  <c r="O879" i="1" a="1"/>
  <c r="O879" i="1" s="1"/>
  <c r="O878" i="1" a="1"/>
  <c r="O878" i="1" s="1"/>
  <c r="O877" i="1" a="1"/>
  <c r="O877" i="1" s="1"/>
  <c r="O876" i="1" a="1"/>
  <c r="O876" i="1" s="1"/>
  <c r="O875" i="1" a="1"/>
  <c r="O875" i="1" s="1"/>
  <c r="O874" i="1" a="1"/>
  <c r="O874" i="1" s="1"/>
  <c r="O873" i="1" a="1"/>
  <c r="O873" i="1" s="1"/>
  <c r="O872" i="1" a="1"/>
  <c r="O872" i="1" s="1"/>
  <c r="O871" i="1" a="1"/>
  <c r="O871" i="1" s="1"/>
  <c r="O870" i="1" a="1"/>
  <c r="O870" i="1" s="1"/>
  <c r="O869" i="1" a="1"/>
  <c r="O869" i="1" s="1"/>
  <c r="O868" i="1" a="1"/>
  <c r="O868" i="1" s="1"/>
  <c r="O867" i="1" a="1"/>
  <c r="O867" i="1" s="1"/>
  <c r="O866" i="1" a="1"/>
  <c r="O866" i="1" s="1"/>
  <c r="O865" i="1" a="1"/>
  <c r="O865" i="1" s="1"/>
  <c r="O864" i="1" a="1"/>
  <c r="O864" i="1" s="1"/>
  <c r="O863" i="1" a="1"/>
  <c r="O863" i="1" s="1"/>
  <c r="O862" i="1" a="1"/>
  <c r="O862" i="1" s="1"/>
  <c r="O861" i="1" a="1"/>
  <c r="O861" i="1" s="1"/>
  <c r="O860" i="1" a="1"/>
  <c r="O860" i="1" s="1"/>
  <c r="O859" i="1" a="1"/>
  <c r="O859" i="1" s="1"/>
  <c r="O858" i="1" a="1"/>
  <c r="O858" i="1" s="1"/>
  <c r="O857" i="1" a="1"/>
  <c r="O857" i="1" s="1"/>
  <c r="O856" i="1" a="1"/>
  <c r="O856" i="1" s="1"/>
  <c r="O855" i="1" a="1"/>
  <c r="O855" i="1" s="1"/>
  <c r="O854" i="1" a="1"/>
  <c r="O854" i="1" s="1"/>
  <c r="O853" i="1" a="1"/>
  <c r="O853" i="1" s="1"/>
  <c r="O852" i="1" a="1"/>
  <c r="O852" i="1" s="1"/>
  <c r="O851" i="1" a="1"/>
  <c r="O851" i="1" s="1"/>
  <c r="O850" i="1" a="1"/>
  <c r="O850" i="1" s="1"/>
  <c r="O849" i="1" a="1"/>
  <c r="O849" i="1" s="1"/>
  <c r="O848" i="1" a="1"/>
  <c r="O848" i="1" s="1"/>
  <c r="O847" i="1" a="1"/>
  <c r="O847" i="1" s="1"/>
  <c r="O846" i="1" a="1"/>
  <c r="O846" i="1" s="1"/>
  <c r="O845" i="1" a="1"/>
  <c r="O845" i="1" s="1"/>
  <c r="O844" i="1" a="1"/>
  <c r="O844" i="1" s="1"/>
  <c r="O843" i="1" a="1"/>
  <c r="O843" i="1" s="1"/>
  <c r="O842" i="1" a="1"/>
  <c r="O842" i="1" s="1"/>
  <c r="O841" i="1" a="1"/>
  <c r="O841" i="1" s="1"/>
  <c r="O840" i="1" a="1"/>
  <c r="O840" i="1" s="1"/>
  <c r="O839" i="1" a="1"/>
  <c r="O839" i="1" s="1"/>
  <c r="O838" i="1" a="1"/>
  <c r="O838" i="1" s="1"/>
  <c r="O837" i="1" a="1"/>
  <c r="O837" i="1" s="1"/>
  <c r="O836" i="1" a="1"/>
  <c r="O836" i="1" s="1"/>
  <c r="O835" i="1" a="1"/>
  <c r="O835" i="1" s="1"/>
  <c r="O834" i="1" a="1"/>
  <c r="O834" i="1" s="1"/>
  <c r="O833" i="1" a="1"/>
  <c r="O833" i="1" s="1"/>
  <c r="O832" i="1" a="1"/>
  <c r="O832" i="1" s="1"/>
  <c r="O831" i="1" a="1"/>
  <c r="O831" i="1" s="1"/>
  <c r="O830" i="1" a="1"/>
  <c r="O830" i="1" s="1"/>
  <c r="O829" i="1" a="1"/>
  <c r="O829" i="1" s="1"/>
  <c r="O828" i="1" a="1"/>
  <c r="O828" i="1" s="1"/>
  <c r="O827" i="1" a="1"/>
  <c r="O827" i="1" s="1"/>
  <c r="O826" i="1" a="1"/>
  <c r="O826" i="1" s="1"/>
  <c r="O825" i="1" a="1"/>
  <c r="O825" i="1" s="1"/>
  <c r="O824" i="1" a="1"/>
  <c r="O824" i="1" s="1"/>
  <c r="O823" i="1" a="1"/>
  <c r="O823" i="1" s="1"/>
  <c r="O822" i="1" a="1"/>
  <c r="O822" i="1" s="1"/>
  <c r="O821" i="1" a="1"/>
  <c r="O821" i="1" s="1"/>
  <c r="O820" i="1" a="1"/>
  <c r="O820" i="1" s="1"/>
  <c r="O819" i="1" a="1"/>
  <c r="O819" i="1" s="1"/>
  <c r="O818" i="1" a="1"/>
  <c r="O818" i="1" s="1"/>
  <c r="O817" i="1" a="1"/>
  <c r="O817" i="1" s="1"/>
  <c r="O816" i="1" a="1"/>
  <c r="O816" i="1" s="1"/>
  <c r="O815" i="1" a="1"/>
  <c r="O815" i="1" s="1"/>
  <c r="O814" i="1" a="1"/>
  <c r="O814" i="1" s="1"/>
  <c r="O813" i="1" a="1"/>
  <c r="O813" i="1" s="1"/>
  <c r="O812" i="1" a="1"/>
  <c r="O812" i="1" s="1"/>
  <c r="O811" i="1" a="1"/>
  <c r="O811" i="1" s="1"/>
  <c r="O810" i="1" a="1"/>
  <c r="O810" i="1" s="1"/>
  <c r="O809" i="1" a="1"/>
  <c r="O809" i="1" s="1"/>
  <c r="O808" i="1" a="1"/>
  <c r="O808" i="1" s="1"/>
  <c r="O807" i="1" a="1"/>
  <c r="O807" i="1" s="1"/>
  <c r="O806" i="1" a="1"/>
  <c r="O806" i="1" s="1"/>
  <c r="O805" i="1" a="1"/>
  <c r="O805" i="1" s="1"/>
  <c r="O804" i="1" a="1"/>
  <c r="O804" i="1" s="1"/>
  <c r="O803" i="1" a="1"/>
  <c r="O803" i="1" s="1"/>
  <c r="O802" i="1" a="1"/>
  <c r="O802" i="1" s="1"/>
  <c r="O801" i="1" a="1"/>
  <c r="O801" i="1" s="1"/>
  <c r="O800" i="1" a="1"/>
  <c r="O800" i="1" s="1"/>
  <c r="O799" i="1" a="1"/>
  <c r="O799" i="1" s="1"/>
  <c r="O798" i="1" a="1"/>
  <c r="O798" i="1" s="1"/>
  <c r="O797" i="1" a="1"/>
  <c r="O797" i="1" s="1"/>
  <c r="O796" i="1" a="1"/>
  <c r="O796" i="1" s="1"/>
  <c r="O795" i="1" a="1"/>
  <c r="O795" i="1" s="1"/>
  <c r="O794" i="1" a="1"/>
  <c r="O794" i="1" s="1"/>
  <c r="O793" i="1" a="1"/>
  <c r="O793" i="1" s="1"/>
  <c r="O792" i="1" a="1"/>
  <c r="O792" i="1" s="1"/>
  <c r="O791" i="1" a="1"/>
  <c r="O791" i="1" s="1"/>
  <c r="O790" i="1" a="1"/>
  <c r="O790" i="1" s="1"/>
  <c r="O789" i="1" a="1"/>
  <c r="O789" i="1" s="1"/>
  <c r="O788" i="1" a="1"/>
  <c r="O788" i="1" s="1"/>
  <c r="O787" i="1" a="1"/>
  <c r="O787" i="1" s="1"/>
  <c r="O786" i="1" a="1"/>
  <c r="O786" i="1" s="1"/>
  <c r="O785" i="1" a="1"/>
  <c r="O785" i="1" s="1"/>
  <c r="O784" i="1" a="1"/>
  <c r="O784" i="1" s="1"/>
  <c r="O783" i="1" a="1"/>
  <c r="O783" i="1" s="1"/>
  <c r="O782" i="1" a="1"/>
  <c r="O782" i="1" s="1"/>
  <c r="O781" i="1" a="1"/>
  <c r="O781" i="1" s="1"/>
  <c r="O780" i="1" a="1"/>
  <c r="O780" i="1" s="1"/>
  <c r="O779" i="1" a="1"/>
  <c r="O779" i="1" s="1"/>
  <c r="O778" i="1" a="1"/>
  <c r="O778" i="1" s="1"/>
  <c r="O777" i="1" a="1"/>
  <c r="O777" i="1" s="1"/>
  <c r="O776" i="1" a="1"/>
  <c r="O776" i="1" s="1"/>
  <c r="O775" i="1" a="1"/>
  <c r="O775" i="1" s="1"/>
  <c r="O774" i="1" a="1"/>
  <c r="O774" i="1" s="1"/>
  <c r="O773" i="1" a="1"/>
  <c r="O773" i="1" s="1"/>
  <c r="O772" i="1" a="1"/>
  <c r="O772" i="1" s="1"/>
  <c r="O771" i="1" a="1"/>
  <c r="O771" i="1" s="1"/>
  <c r="O770" i="1" a="1"/>
  <c r="O770" i="1" s="1"/>
  <c r="O769" i="1" a="1"/>
  <c r="O769" i="1" s="1"/>
  <c r="O768" i="1" a="1"/>
  <c r="O768" i="1" s="1"/>
  <c r="O767" i="1" a="1"/>
  <c r="O767" i="1" s="1"/>
  <c r="O766" i="1" a="1"/>
  <c r="O766" i="1" s="1"/>
  <c r="O765" i="1" a="1"/>
  <c r="O765" i="1" s="1"/>
  <c r="O764" i="1" a="1"/>
  <c r="O764" i="1" s="1"/>
  <c r="O763" i="1" a="1"/>
  <c r="O763" i="1" s="1"/>
  <c r="O762" i="1" a="1"/>
  <c r="O762" i="1" s="1"/>
  <c r="O761" i="1" a="1"/>
  <c r="O761" i="1" s="1"/>
  <c r="O760" i="1" a="1"/>
  <c r="O760" i="1" s="1"/>
  <c r="O759" i="1" a="1"/>
  <c r="O759" i="1" s="1"/>
  <c r="O758" i="1" a="1"/>
  <c r="O758" i="1" s="1"/>
  <c r="O757" i="1" a="1"/>
  <c r="O757" i="1" s="1"/>
  <c r="O756" i="1" a="1"/>
  <c r="O756" i="1" s="1"/>
  <c r="O755" i="1" a="1"/>
  <c r="O755" i="1" s="1"/>
  <c r="O754" i="1" a="1"/>
  <c r="O754" i="1" s="1"/>
  <c r="O753" i="1" a="1"/>
  <c r="O753" i="1" s="1"/>
  <c r="O752" i="1" a="1"/>
  <c r="O752" i="1" s="1"/>
  <c r="O751" i="1" a="1"/>
  <c r="O751" i="1" s="1"/>
  <c r="O750" i="1" a="1"/>
  <c r="O750" i="1" s="1"/>
  <c r="O749" i="1" a="1"/>
  <c r="O749" i="1" s="1"/>
  <c r="O748" i="1" a="1"/>
  <c r="O748" i="1" s="1"/>
  <c r="O747" i="1" a="1"/>
  <c r="O747" i="1" s="1"/>
  <c r="O746" i="1" a="1"/>
  <c r="O746" i="1" s="1"/>
  <c r="O745" i="1" a="1"/>
  <c r="O745" i="1" s="1"/>
  <c r="O744" i="1" a="1"/>
  <c r="O744" i="1" s="1"/>
  <c r="O743" i="1" a="1"/>
  <c r="O743" i="1" s="1"/>
  <c r="O742" i="1" a="1"/>
  <c r="O742" i="1" s="1"/>
  <c r="O741" i="1" a="1"/>
  <c r="O741" i="1" s="1"/>
  <c r="O740" i="1" a="1"/>
  <c r="O740" i="1" s="1"/>
  <c r="O739" i="1" a="1"/>
  <c r="O739" i="1" s="1"/>
  <c r="O738" i="1" a="1"/>
  <c r="O738" i="1" s="1"/>
  <c r="O737" i="1" a="1"/>
  <c r="O737" i="1" s="1"/>
  <c r="O736" i="1" a="1"/>
  <c r="O736" i="1" s="1"/>
  <c r="O735" i="1" a="1"/>
  <c r="O735" i="1" s="1"/>
  <c r="O734" i="1" a="1"/>
  <c r="O734" i="1" s="1"/>
  <c r="O733" i="1" a="1"/>
  <c r="O733" i="1" s="1"/>
  <c r="O732" i="1" a="1"/>
  <c r="O732" i="1" s="1"/>
  <c r="O731" i="1" a="1"/>
  <c r="O731" i="1" s="1"/>
  <c r="O730" i="1" a="1"/>
  <c r="O730" i="1" s="1"/>
  <c r="O729" i="1" a="1"/>
  <c r="O729" i="1" s="1"/>
  <c r="O728" i="1" a="1"/>
  <c r="O728" i="1" s="1"/>
  <c r="O727" i="1" a="1"/>
  <c r="O727" i="1" s="1"/>
  <c r="O726" i="1" a="1"/>
  <c r="O726" i="1" s="1"/>
  <c r="O725" i="1" a="1"/>
  <c r="O725" i="1" s="1"/>
  <c r="O724" i="1" a="1"/>
  <c r="O724" i="1" s="1"/>
  <c r="O723" i="1" a="1"/>
  <c r="O723" i="1" s="1"/>
  <c r="O722" i="1" a="1"/>
  <c r="O722" i="1" s="1"/>
  <c r="O721" i="1" a="1"/>
  <c r="O721" i="1" s="1"/>
  <c r="O720" i="1" a="1"/>
  <c r="O720" i="1" s="1"/>
  <c r="O719" i="1" a="1"/>
  <c r="O719" i="1" s="1"/>
  <c r="O718" i="1" a="1"/>
  <c r="O718" i="1" s="1"/>
  <c r="O717" i="1" a="1"/>
  <c r="O717" i="1" s="1"/>
  <c r="O716" i="1" a="1"/>
  <c r="O716" i="1" s="1"/>
  <c r="O715" i="1" a="1"/>
  <c r="O715" i="1" s="1"/>
  <c r="O714" i="1" a="1"/>
  <c r="O714" i="1" s="1"/>
  <c r="O713" i="1" a="1"/>
  <c r="O713" i="1" s="1"/>
  <c r="O712" i="1" a="1"/>
  <c r="O712" i="1" s="1"/>
  <c r="O711" i="1" a="1"/>
  <c r="O711" i="1" s="1"/>
  <c r="O710" i="1" a="1"/>
  <c r="O710" i="1" s="1"/>
  <c r="O709" i="1" a="1"/>
  <c r="O709" i="1" s="1"/>
  <c r="O708" i="1" a="1"/>
  <c r="O708" i="1" s="1"/>
  <c r="O707" i="1" a="1"/>
  <c r="O707" i="1" s="1"/>
  <c r="O706" i="1" a="1"/>
  <c r="O706" i="1" s="1"/>
  <c r="O705" i="1" a="1"/>
  <c r="O705" i="1" s="1"/>
  <c r="O704" i="1" a="1"/>
  <c r="O704" i="1" s="1"/>
  <c r="O703" i="1" a="1"/>
  <c r="O703" i="1" s="1"/>
  <c r="O702" i="1" a="1"/>
  <c r="O702" i="1" s="1"/>
  <c r="O701" i="1" a="1"/>
  <c r="O701" i="1" s="1"/>
  <c r="O700" i="1" a="1"/>
  <c r="O700" i="1" s="1"/>
  <c r="O699" i="1" a="1"/>
  <c r="O699" i="1" s="1"/>
  <c r="O698" i="1" a="1"/>
  <c r="O698" i="1" s="1"/>
  <c r="O697" i="1" a="1"/>
  <c r="O697" i="1" s="1"/>
  <c r="O696" i="1" a="1"/>
  <c r="O696" i="1" s="1"/>
  <c r="O695" i="1" a="1"/>
  <c r="O695" i="1" s="1"/>
  <c r="O694" i="1" a="1"/>
  <c r="O694" i="1" s="1"/>
  <c r="O693" i="1" a="1"/>
  <c r="O693" i="1" s="1"/>
  <c r="O692" i="1" a="1"/>
  <c r="O692" i="1" s="1"/>
  <c r="O691" i="1" a="1"/>
  <c r="O691" i="1" s="1"/>
  <c r="O690" i="1" a="1"/>
  <c r="O690" i="1" s="1"/>
  <c r="O689" i="1" a="1"/>
  <c r="O689" i="1" s="1"/>
  <c r="O688" i="1" a="1"/>
  <c r="O688" i="1" s="1"/>
  <c r="O687" i="1" a="1"/>
  <c r="O687" i="1" s="1"/>
  <c r="O686" i="1" a="1"/>
  <c r="O686" i="1" s="1"/>
  <c r="O685" i="1" a="1"/>
  <c r="O685" i="1" s="1"/>
  <c r="O684" i="1" a="1"/>
  <c r="O684" i="1" s="1"/>
  <c r="O683" i="1" a="1"/>
  <c r="O683" i="1" s="1"/>
  <c r="O682" i="1" a="1"/>
  <c r="O682" i="1" s="1"/>
  <c r="O681" i="1" a="1"/>
  <c r="O681" i="1" s="1"/>
  <c r="O680" i="1" a="1"/>
  <c r="O680" i="1" s="1"/>
  <c r="O679" i="1" a="1"/>
  <c r="O679" i="1" s="1"/>
  <c r="O678" i="1" a="1"/>
  <c r="O678" i="1" s="1"/>
  <c r="O677" i="1" a="1"/>
  <c r="O677" i="1" s="1"/>
  <c r="O676" i="1" a="1"/>
  <c r="O676" i="1" s="1"/>
  <c r="O675" i="1" a="1"/>
  <c r="O675" i="1" s="1"/>
  <c r="O674" i="1" a="1"/>
  <c r="O674" i="1" s="1"/>
  <c r="O673" i="1" a="1"/>
  <c r="O673" i="1" s="1"/>
  <c r="O672" i="1" a="1"/>
  <c r="O672" i="1" s="1"/>
  <c r="O671" i="1" a="1"/>
  <c r="O671" i="1" s="1"/>
  <c r="O670" i="1" a="1"/>
  <c r="O670" i="1" s="1"/>
  <c r="O669" i="1" a="1"/>
  <c r="O669" i="1" s="1"/>
  <c r="O668" i="1" a="1"/>
  <c r="O668" i="1" s="1"/>
  <c r="O667" i="1" a="1"/>
  <c r="O667" i="1" s="1"/>
  <c r="O666" i="1" a="1"/>
  <c r="O666" i="1" s="1"/>
  <c r="O665" i="1" a="1"/>
  <c r="O665" i="1" s="1"/>
  <c r="O664" i="1" a="1"/>
  <c r="O664" i="1" s="1"/>
  <c r="O663" i="1" a="1"/>
  <c r="O663" i="1" s="1"/>
  <c r="O662" i="1" a="1"/>
  <c r="O662" i="1" s="1"/>
  <c r="O661" i="1" a="1"/>
  <c r="O661" i="1" s="1"/>
  <c r="O660" i="1" a="1"/>
  <c r="O660" i="1" s="1"/>
  <c r="O659" i="1" a="1"/>
  <c r="O659" i="1" s="1"/>
  <c r="O658" i="1" a="1"/>
  <c r="O658" i="1" s="1"/>
  <c r="O657" i="1" a="1"/>
  <c r="O657" i="1" s="1"/>
  <c r="O656" i="1" a="1"/>
  <c r="O656" i="1" s="1"/>
  <c r="O655" i="1" a="1"/>
  <c r="O655" i="1" s="1"/>
  <c r="O654" i="1" a="1"/>
  <c r="O654" i="1" s="1"/>
  <c r="O653" i="1" a="1"/>
  <c r="O653" i="1" s="1"/>
  <c r="O652" i="1" a="1"/>
  <c r="O652" i="1" s="1"/>
  <c r="O651" i="1" a="1"/>
  <c r="O651" i="1" s="1"/>
  <c r="O650" i="1" a="1"/>
  <c r="O650" i="1" s="1"/>
  <c r="O649" i="1" a="1"/>
  <c r="O649" i="1" s="1"/>
  <c r="O648" i="1" a="1"/>
  <c r="O648" i="1" s="1"/>
  <c r="O647" i="1" a="1"/>
  <c r="O647" i="1" s="1"/>
  <c r="O646" i="1" a="1"/>
  <c r="O646" i="1" s="1"/>
  <c r="O645" i="1" a="1"/>
  <c r="O645" i="1" s="1"/>
  <c r="O644" i="1" a="1"/>
  <c r="O644" i="1" s="1"/>
  <c r="O643" i="1" a="1"/>
  <c r="O643" i="1" s="1"/>
  <c r="O642" i="1" a="1"/>
  <c r="O642" i="1" s="1"/>
  <c r="O641" i="1" a="1"/>
  <c r="O641" i="1" s="1"/>
  <c r="O640" i="1" a="1"/>
  <c r="O640" i="1" s="1"/>
  <c r="O639" i="1" a="1"/>
  <c r="O639" i="1" s="1"/>
  <c r="O638" i="1" a="1"/>
  <c r="O638" i="1" s="1"/>
  <c r="O637" i="1" a="1"/>
  <c r="O637" i="1" s="1"/>
  <c r="O636" i="1" a="1"/>
  <c r="O636" i="1" s="1"/>
  <c r="O635" i="1" a="1"/>
  <c r="O635" i="1" s="1"/>
  <c r="O634" i="1" a="1"/>
  <c r="O634" i="1" s="1"/>
  <c r="O633" i="1" a="1"/>
  <c r="O633" i="1" s="1"/>
  <c r="O632" i="1" a="1"/>
  <c r="O632" i="1" s="1"/>
  <c r="O631" i="1" a="1"/>
  <c r="O631" i="1" s="1"/>
  <c r="O630" i="1" a="1"/>
  <c r="O630" i="1" s="1"/>
  <c r="O629" i="1" a="1"/>
  <c r="O629" i="1" s="1"/>
  <c r="O628" i="1" a="1"/>
  <c r="O628" i="1" s="1"/>
  <c r="O627" i="1" a="1"/>
  <c r="O627" i="1" s="1"/>
  <c r="O626" i="1" a="1"/>
  <c r="O626" i="1" s="1"/>
  <c r="O625" i="1" a="1"/>
  <c r="O625" i="1" s="1"/>
  <c r="O624" i="1" a="1"/>
  <c r="O624" i="1" s="1"/>
  <c r="O623" i="1" a="1"/>
  <c r="O623" i="1" s="1"/>
  <c r="O622" i="1" a="1"/>
  <c r="O622" i="1" s="1"/>
  <c r="O621" i="1" a="1"/>
  <c r="O621" i="1" s="1"/>
  <c r="O620" i="1" a="1"/>
  <c r="O620" i="1" s="1"/>
  <c r="O619" i="1" a="1"/>
  <c r="O619" i="1" s="1"/>
  <c r="O618" i="1" a="1"/>
  <c r="O618" i="1" s="1"/>
  <c r="O617" i="1" a="1"/>
  <c r="O617" i="1" s="1"/>
  <c r="O616" i="1" a="1"/>
  <c r="O616" i="1" s="1"/>
  <c r="O615" i="1" a="1"/>
  <c r="O615" i="1" s="1"/>
  <c r="O614" i="1" a="1"/>
  <c r="O614" i="1" s="1"/>
  <c r="O613" i="1" a="1"/>
  <c r="O613" i="1" s="1"/>
  <c r="O612" i="1" a="1"/>
  <c r="O612" i="1" s="1"/>
  <c r="O611" i="1" a="1"/>
  <c r="O611" i="1" s="1"/>
  <c r="O610" i="1" a="1"/>
  <c r="O610" i="1" s="1"/>
  <c r="O609" i="1" a="1"/>
  <c r="O609" i="1" s="1"/>
  <c r="O608" i="1" a="1"/>
  <c r="O608" i="1" s="1"/>
  <c r="O607" i="1" a="1"/>
  <c r="O607" i="1" s="1"/>
  <c r="O606" i="1" a="1"/>
  <c r="O606" i="1" s="1"/>
  <c r="O605" i="1" a="1"/>
  <c r="O605" i="1" s="1"/>
  <c r="O604" i="1" a="1"/>
  <c r="O604" i="1" s="1"/>
  <c r="O603" i="1" a="1"/>
  <c r="O603" i="1" s="1"/>
  <c r="O602" i="1" a="1"/>
  <c r="O602" i="1" s="1"/>
  <c r="O601" i="1" a="1"/>
  <c r="O601" i="1" s="1"/>
  <c r="O600" i="1" a="1"/>
  <c r="O600" i="1" s="1"/>
  <c r="O599" i="1" a="1"/>
  <c r="O599" i="1" s="1"/>
  <c r="O598" i="1" a="1"/>
  <c r="O598" i="1" s="1"/>
  <c r="O597" i="1" a="1"/>
  <c r="O597" i="1" s="1"/>
  <c r="O596" i="1" a="1"/>
  <c r="O596" i="1" s="1"/>
  <c r="O595" i="1" a="1"/>
  <c r="O595" i="1" s="1"/>
  <c r="O594" i="1" a="1"/>
  <c r="O594" i="1" s="1"/>
  <c r="O593" i="1" a="1"/>
  <c r="O593" i="1" s="1"/>
  <c r="O592" i="1" a="1"/>
  <c r="O592" i="1" s="1"/>
  <c r="O591" i="1" a="1"/>
  <c r="O591" i="1" s="1"/>
  <c r="O590" i="1" a="1"/>
  <c r="O590" i="1" s="1"/>
  <c r="O589" i="1" a="1"/>
  <c r="O589" i="1" s="1"/>
  <c r="O588" i="1" a="1"/>
  <c r="O588" i="1" s="1"/>
  <c r="O587" i="1" a="1"/>
  <c r="O587" i="1" s="1"/>
  <c r="O586" i="1" a="1"/>
  <c r="O586" i="1" s="1"/>
  <c r="O585" i="1" a="1"/>
  <c r="O585" i="1" s="1"/>
  <c r="O584" i="1" a="1"/>
  <c r="O584" i="1" s="1"/>
  <c r="O583" i="1" a="1"/>
  <c r="O583" i="1" s="1"/>
  <c r="O582" i="1" a="1"/>
  <c r="O582" i="1" s="1"/>
  <c r="O581" i="1" a="1"/>
  <c r="O581" i="1" s="1"/>
  <c r="O580" i="1" a="1"/>
  <c r="O580" i="1" s="1"/>
  <c r="O579" i="1" a="1"/>
  <c r="O579" i="1" s="1"/>
  <c r="O578" i="1" a="1"/>
  <c r="O578" i="1" s="1"/>
  <c r="O577" i="1" a="1"/>
  <c r="O577" i="1" s="1"/>
  <c r="O576" i="1" a="1"/>
  <c r="O576" i="1" s="1"/>
  <c r="O575" i="1" a="1"/>
  <c r="O575" i="1" s="1"/>
  <c r="O574" i="1" a="1"/>
  <c r="O574" i="1" s="1"/>
  <c r="O573" i="1" a="1"/>
  <c r="O573" i="1" s="1"/>
  <c r="O572" i="1" a="1"/>
  <c r="O572" i="1" s="1"/>
  <c r="O571" i="1" a="1"/>
  <c r="O571" i="1" s="1"/>
  <c r="O570" i="1" a="1"/>
  <c r="O570" i="1" s="1"/>
  <c r="O569" i="1" a="1"/>
  <c r="O569" i="1" s="1"/>
  <c r="O568" i="1" a="1"/>
  <c r="O568" i="1" s="1"/>
  <c r="O567" i="1" a="1"/>
  <c r="O567" i="1" s="1"/>
  <c r="O566" i="1" a="1"/>
  <c r="O566" i="1" s="1"/>
  <c r="O565" i="1" a="1"/>
  <c r="O565" i="1" s="1"/>
  <c r="O564" i="1" a="1"/>
  <c r="O564" i="1" s="1"/>
  <c r="O563" i="1" a="1"/>
  <c r="O563" i="1" s="1"/>
  <c r="O562" i="1" a="1"/>
  <c r="O562" i="1" s="1"/>
  <c r="O561" i="1" a="1"/>
  <c r="O561" i="1" s="1"/>
  <c r="O560" i="1" a="1"/>
  <c r="O560" i="1" s="1"/>
  <c r="O559" i="1" a="1"/>
  <c r="O559" i="1" s="1"/>
  <c r="O558" i="1" a="1"/>
  <c r="O558" i="1" s="1"/>
  <c r="O557" i="1" a="1"/>
  <c r="O557" i="1" s="1"/>
  <c r="O556" i="1" a="1"/>
  <c r="O556" i="1" s="1"/>
  <c r="O555" i="1" a="1"/>
  <c r="O555" i="1" s="1"/>
  <c r="O554" i="1" a="1"/>
  <c r="O554" i="1" s="1"/>
  <c r="O553" i="1" a="1"/>
  <c r="O553" i="1" s="1"/>
  <c r="O552" i="1" a="1"/>
  <c r="O552" i="1" s="1"/>
  <c r="O551" i="1" a="1"/>
  <c r="O551" i="1" s="1"/>
  <c r="O550" i="1" a="1"/>
  <c r="O550" i="1" s="1"/>
  <c r="O549" i="1" a="1"/>
  <c r="O549" i="1" s="1"/>
  <c r="O548" i="1" a="1"/>
  <c r="O548" i="1" s="1"/>
  <c r="O547" i="1" a="1"/>
  <c r="O547" i="1" s="1"/>
  <c r="O546" i="1" a="1"/>
  <c r="O546" i="1" s="1"/>
  <c r="O545" i="1" a="1"/>
  <c r="O545" i="1" s="1"/>
  <c r="O544" i="1" a="1"/>
  <c r="O544" i="1" s="1"/>
  <c r="O543" i="1" a="1"/>
  <c r="O543" i="1" s="1"/>
  <c r="O542" i="1" a="1"/>
  <c r="O542" i="1" s="1"/>
  <c r="O541" i="1" a="1"/>
  <c r="O541" i="1" s="1"/>
  <c r="O540" i="1" a="1"/>
  <c r="O540" i="1" s="1"/>
  <c r="O539" i="1" a="1"/>
  <c r="O539" i="1" s="1"/>
  <c r="O538" i="1" a="1"/>
  <c r="O538" i="1" s="1"/>
  <c r="O537" i="1" a="1"/>
  <c r="O537" i="1" s="1"/>
  <c r="O536" i="1" a="1"/>
  <c r="O536" i="1" s="1"/>
  <c r="O535" i="1" a="1"/>
  <c r="O535" i="1" s="1"/>
  <c r="O534" i="1" a="1"/>
  <c r="O534" i="1" s="1"/>
  <c r="O533" i="1" a="1"/>
  <c r="O533" i="1" s="1"/>
  <c r="O532" i="1" a="1"/>
  <c r="O532" i="1" s="1"/>
  <c r="O531" i="1" a="1"/>
  <c r="O531" i="1" s="1"/>
  <c r="O530" i="1" a="1"/>
  <c r="O530" i="1" s="1"/>
  <c r="O529" i="1" a="1"/>
  <c r="O529" i="1" s="1"/>
  <c r="O528" i="1" a="1"/>
  <c r="O528" i="1" s="1"/>
  <c r="O527" i="1" a="1"/>
  <c r="O527" i="1" s="1"/>
  <c r="O526" i="1" a="1"/>
  <c r="O526" i="1" s="1"/>
  <c r="O525" i="1" a="1"/>
  <c r="O525" i="1" s="1"/>
  <c r="O524" i="1" a="1"/>
  <c r="O524" i="1" s="1"/>
  <c r="O523" i="1" a="1"/>
  <c r="O523" i="1" s="1"/>
  <c r="O522" i="1" a="1"/>
  <c r="O522" i="1" s="1"/>
  <c r="O521" i="1" a="1"/>
  <c r="O521" i="1" s="1"/>
  <c r="O520" i="1" a="1"/>
  <c r="O520" i="1" s="1"/>
  <c r="O519" i="1" a="1"/>
  <c r="O519" i="1" s="1"/>
  <c r="O518" i="1" a="1"/>
  <c r="O518" i="1" s="1"/>
  <c r="O517" i="1" a="1"/>
  <c r="O517" i="1" s="1"/>
  <c r="O516" i="1" a="1"/>
  <c r="O516" i="1" s="1"/>
  <c r="O515" i="1" a="1"/>
  <c r="O515" i="1" s="1"/>
  <c r="O514" i="1" a="1"/>
  <c r="O514" i="1" s="1"/>
  <c r="O513" i="1" a="1"/>
  <c r="O513" i="1" s="1"/>
  <c r="O512" i="1" a="1"/>
  <c r="O512" i="1" s="1"/>
  <c r="O511" i="1" a="1"/>
  <c r="O511" i="1" s="1"/>
  <c r="O510" i="1" a="1"/>
  <c r="O510" i="1" s="1"/>
  <c r="O509" i="1" a="1"/>
  <c r="O509" i="1" s="1"/>
  <c r="O508" i="1" a="1"/>
  <c r="O508" i="1" s="1"/>
  <c r="O507" i="1" a="1"/>
  <c r="O507" i="1" s="1"/>
  <c r="O506" i="1" a="1"/>
  <c r="O506" i="1" s="1"/>
  <c r="O505" i="1" a="1"/>
  <c r="O505" i="1" s="1"/>
  <c r="O504" i="1" a="1"/>
  <c r="O504" i="1" s="1"/>
  <c r="O503" i="1" a="1"/>
  <c r="O503" i="1" s="1"/>
  <c r="O502" i="1" a="1"/>
  <c r="O502" i="1" s="1"/>
  <c r="O501" i="1" a="1"/>
  <c r="O501" i="1" s="1"/>
  <c r="O500" i="1" a="1"/>
  <c r="O500" i="1" s="1"/>
  <c r="O499" i="1" a="1"/>
  <c r="O499" i="1" s="1"/>
  <c r="O498" i="1" a="1"/>
  <c r="O498" i="1" s="1"/>
  <c r="O497" i="1" a="1"/>
  <c r="O497" i="1" s="1"/>
  <c r="O496" i="1" a="1"/>
  <c r="O496" i="1" s="1"/>
  <c r="O495" i="1" a="1"/>
  <c r="O495" i="1" s="1"/>
  <c r="O494" i="1" a="1"/>
  <c r="O494" i="1" s="1"/>
  <c r="O493" i="1" a="1"/>
  <c r="O493" i="1" s="1"/>
  <c r="O492" i="1" a="1"/>
  <c r="O492" i="1" s="1"/>
  <c r="O491" i="1" a="1"/>
  <c r="O491" i="1" s="1"/>
  <c r="O490" i="1" a="1"/>
  <c r="O490" i="1" s="1"/>
  <c r="O489" i="1" a="1"/>
  <c r="O489" i="1" s="1"/>
  <c r="O488" i="1" a="1"/>
  <c r="O488" i="1" s="1"/>
  <c r="O487" i="1" a="1"/>
  <c r="O487" i="1" s="1"/>
  <c r="O486" i="1" a="1"/>
  <c r="O486" i="1" s="1"/>
  <c r="O485" i="1" a="1"/>
  <c r="O485" i="1" s="1"/>
  <c r="O484" i="1" a="1"/>
  <c r="O484" i="1" s="1"/>
  <c r="O483" i="1" a="1"/>
  <c r="O483" i="1" s="1"/>
  <c r="O482" i="1" a="1"/>
  <c r="O482" i="1" s="1"/>
  <c r="O481" i="1" a="1"/>
  <c r="O481" i="1" s="1"/>
  <c r="O480" i="1" a="1"/>
  <c r="O480" i="1" s="1"/>
  <c r="O479" i="1" a="1"/>
  <c r="O479" i="1" s="1"/>
  <c r="O478" i="1" a="1"/>
  <c r="O478" i="1" s="1"/>
  <c r="O477" i="1" a="1"/>
  <c r="O477" i="1" s="1"/>
  <c r="O476" i="1" a="1"/>
  <c r="O476" i="1" s="1"/>
  <c r="O475" i="1" a="1"/>
  <c r="O475" i="1" s="1"/>
  <c r="O474" i="1" a="1"/>
  <c r="O474" i="1" s="1"/>
  <c r="O473" i="1" a="1"/>
  <c r="O473" i="1" s="1"/>
  <c r="O472" i="1" a="1"/>
  <c r="O472" i="1" s="1"/>
  <c r="O471" i="1" a="1"/>
  <c r="O471" i="1" s="1"/>
  <c r="O470" i="1" a="1"/>
  <c r="O470" i="1" s="1"/>
  <c r="O469" i="1" a="1"/>
  <c r="O469" i="1" s="1"/>
  <c r="O468" i="1" a="1"/>
  <c r="O468" i="1" s="1"/>
  <c r="O467" i="1" a="1"/>
  <c r="O467" i="1" s="1"/>
  <c r="O466" i="1" a="1"/>
  <c r="O466" i="1" s="1"/>
  <c r="O465" i="1" a="1"/>
  <c r="O465" i="1" s="1"/>
  <c r="O464" i="1" a="1"/>
  <c r="O464" i="1" s="1"/>
  <c r="O463" i="1" a="1"/>
  <c r="O463" i="1" s="1"/>
  <c r="O462" i="1" a="1"/>
  <c r="O462" i="1" s="1"/>
  <c r="O461" i="1" a="1"/>
  <c r="O461" i="1" s="1"/>
  <c r="O460" i="1" a="1"/>
  <c r="O460" i="1" s="1"/>
  <c r="O459" i="1" a="1"/>
  <c r="O459" i="1" s="1"/>
  <c r="O458" i="1" a="1"/>
  <c r="O458" i="1" s="1"/>
  <c r="O457" i="1" a="1"/>
  <c r="O457" i="1" s="1"/>
  <c r="O456" i="1" a="1"/>
  <c r="O456" i="1" s="1"/>
  <c r="O455" i="1" a="1"/>
  <c r="O455" i="1" s="1"/>
  <c r="O454" i="1" a="1"/>
  <c r="O454" i="1" s="1"/>
  <c r="O453" i="1" a="1"/>
  <c r="O453" i="1" s="1"/>
  <c r="O452" i="1" a="1"/>
  <c r="O452" i="1" s="1"/>
  <c r="O451" i="1" a="1"/>
  <c r="O451" i="1" s="1"/>
  <c r="O450" i="1" a="1"/>
  <c r="O450" i="1" s="1"/>
  <c r="O449" i="1" a="1"/>
  <c r="O449" i="1" s="1"/>
  <c r="O448" i="1" a="1"/>
  <c r="O448" i="1" s="1"/>
  <c r="O447" i="1" a="1"/>
  <c r="O447" i="1" s="1"/>
  <c r="O446" i="1" a="1"/>
  <c r="O446" i="1" s="1"/>
  <c r="O445" i="1" a="1"/>
  <c r="O445" i="1" s="1"/>
  <c r="O444" i="1" a="1"/>
  <c r="O444" i="1" s="1"/>
  <c r="O443" i="1" a="1"/>
  <c r="O443" i="1" s="1"/>
  <c r="O442" i="1" a="1"/>
  <c r="O442" i="1" s="1"/>
  <c r="O441" i="1" a="1"/>
  <c r="O441" i="1" s="1"/>
  <c r="O440" i="1" a="1"/>
  <c r="O440" i="1" s="1"/>
  <c r="O439" i="1" a="1"/>
  <c r="O439" i="1" s="1"/>
  <c r="O438" i="1" a="1"/>
  <c r="O438" i="1" s="1"/>
  <c r="O437" i="1" a="1"/>
  <c r="O437" i="1" s="1"/>
  <c r="O436" i="1" a="1"/>
  <c r="O436" i="1" s="1"/>
  <c r="O435" i="1" a="1"/>
  <c r="O435" i="1" s="1"/>
  <c r="O434" i="1" a="1"/>
  <c r="O434" i="1" s="1"/>
  <c r="O433" i="1" a="1"/>
  <c r="O433" i="1" s="1"/>
  <c r="O432" i="1" a="1"/>
  <c r="O432" i="1" s="1"/>
  <c r="O431" i="1" a="1"/>
  <c r="O431" i="1" s="1"/>
  <c r="O430" i="1" a="1"/>
  <c r="O430" i="1" s="1"/>
  <c r="O429" i="1" a="1"/>
  <c r="O429" i="1" s="1"/>
  <c r="O428" i="1" a="1"/>
  <c r="O428" i="1" s="1"/>
  <c r="O427" i="1" a="1"/>
  <c r="O427" i="1" s="1"/>
  <c r="O426" i="1" a="1"/>
  <c r="O426" i="1" s="1"/>
  <c r="O425" i="1" a="1"/>
  <c r="O425" i="1" s="1"/>
  <c r="O424" i="1" a="1"/>
  <c r="O424" i="1" s="1"/>
  <c r="O423" i="1" a="1"/>
  <c r="O423" i="1" s="1"/>
  <c r="O422" i="1" a="1"/>
  <c r="O422" i="1" s="1"/>
  <c r="O421" i="1" a="1"/>
  <c r="O421" i="1" s="1"/>
  <c r="O420" i="1" a="1"/>
  <c r="O420" i="1" s="1"/>
  <c r="O419" i="1" a="1"/>
  <c r="O419" i="1" s="1"/>
  <c r="O418" i="1" a="1"/>
  <c r="O418" i="1" s="1"/>
  <c r="O417" i="1" a="1"/>
  <c r="O417" i="1" s="1"/>
  <c r="O416" i="1" a="1"/>
  <c r="O416" i="1" s="1"/>
  <c r="O415" i="1" a="1"/>
  <c r="O415" i="1" s="1"/>
  <c r="O414" i="1" a="1"/>
  <c r="O414" i="1" s="1"/>
  <c r="O413" i="1" a="1"/>
  <c r="O413" i="1" s="1"/>
  <c r="O412" i="1" a="1"/>
  <c r="O412" i="1" s="1"/>
  <c r="O411" i="1" a="1"/>
  <c r="O411" i="1" s="1"/>
  <c r="O410" i="1" a="1"/>
  <c r="O410" i="1" s="1"/>
  <c r="O409" i="1" a="1"/>
  <c r="O409" i="1" s="1"/>
  <c r="O408" i="1" a="1"/>
  <c r="O408" i="1" s="1"/>
  <c r="O407" i="1" a="1"/>
  <c r="O407" i="1" s="1"/>
  <c r="O406" i="1" a="1"/>
  <c r="O406" i="1" s="1"/>
  <c r="O405" i="1" a="1"/>
  <c r="O405" i="1" s="1"/>
  <c r="O404" i="1" a="1"/>
  <c r="O404" i="1" s="1"/>
  <c r="O403" i="1" a="1"/>
  <c r="O403" i="1" s="1"/>
  <c r="O402" i="1" a="1"/>
  <c r="O402" i="1" s="1"/>
  <c r="O401" i="1" a="1"/>
  <c r="O401" i="1" s="1"/>
  <c r="O400" i="1" a="1"/>
  <c r="O400" i="1" s="1"/>
  <c r="O399" i="1" a="1"/>
  <c r="O399" i="1" s="1"/>
  <c r="O398" i="1" a="1"/>
  <c r="O398" i="1" s="1"/>
  <c r="O397" i="1" a="1"/>
  <c r="O397" i="1" s="1"/>
  <c r="O396" i="1" a="1"/>
  <c r="O396" i="1" s="1"/>
  <c r="O395" i="1" a="1"/>
  <c r="O395" i="1" s="1"/>
  <c r="O394" i="1" a="1"/>
  <c r="O394" i="1" s="1"/>
  <c r="O393" i="1" a="1"/>
  <c r="O393" i="1" s="1"/>
  <c r="O392" i="1" a="1"/>
  <c r="O392" i="1" s="1"/>
  <c r="O391" i="1" a="1"/>
  <c r="O391" i="1" s="1"/>
  <c r="O390" i="1" a="1"/>
  <c r="O390" i="1" s="1"/>
  <c r="O389" i="1" a="1"/>
  <c r="O389" i="1" s="1"/>
  <c r="O388" i="1" a="1"/>
  <c r="O388" i="1" s="1"/>
  <c r="O387" i="1" a="1"/>
  <c r="O387" i="1" s="1"/>
  <c r="O386" i="1" a="1"/>
  <c r="O386" i="1" s="1"/>
  <c r="O385" i="1" a="1"/>
  <c r="O385" i="1" s="1"/>
  <c r="O384" i="1" a="1"/>
  <c r="O384" i="1" s="1"/>
  <c r="O383" i="1" a="1"/>
  <c r="O383" i="1" s="1"/>
  <c r="O382" i="1" a="1"/>
  <c r="O382" i="1" s="1"/>
  <c r="O381" i="1" a="1"/>
  <c r="O381" i="1" s="1"/>
  <c r="O380" i="1" a="1"/>
  <c r="O380" i="1" s="1"/>
  <c r="O379" i="1" a="1"/>
  <c r="O379" i="1" s="1"/>
  <c r="O378" i="1" a="1"/>
  <c r="O378" i="1" s="1"/>
  <c r="O377" i="1" a="1"/>
  <c r="O377" i="1" s="1"/>
  <c r="O376" i="1" a="1"/>
  <c r="O376" i="1" s="1"/>
  <c r="O375" i="1" a="1"/>
  <c r="O375" i="1" s="1"/>
  <c r="O374" i="1" a="1"/>
  <c r="O374" i="1" s="1"/>
  <c r="O373" i="1" a="1"/>
  <c r="O373" i="1" s="1"/>
  <c r="O372" i="1" a="1"/>
  <c r="O372" i="1" s="1"/>
  <c r="O371" i="1" a="1"/>
  <c r="O371" i="1" s="1"/>
  <c r="O370" i="1" a="1"/>
  <c r="O370" i="1" s="1"/>
  <c r="O369" i="1" a="1"/>
  <c r="O369" i="1" s="1"/>
  <c r="O368" i="1" a="1"/>
  <c r="O368" i="1" s="1"/>
  <c r="O367" i="1" a="1"/>
  <c r="O367" i="1" s="1"/>
  <c r="O366" i="1" a="1"/>
  <c r="O366" i="1" s="1"/>
  <c r="O365" i="1" a="1"/>
  <c r="O365" i="1" s="1"/>
  <c r="O364" i="1" a="1"/>
  <c r="O364" i="1" s="1"/>
  <c r="O363" i="1" a="1"/>
  <c r="O363" i="1" s="1"/>
  <c r="O362" i="1" a="1"/>
  <c r="O362" i="1" s="1"/>
  <c r="O361" i="1" a="1"/>
  <c r="O361" i="1" s="1"/>
  <c r="O360" i="1" a="1"/>
  <c r="O360" i="1" s="1"/>
  <c r="O359" i="1" a="1"/>
  <c r="O359" i="1" s="1"/>
  <c r="O358" i="1" a="1"/>
  <c r="O358" i="1" s="1"/>
  <c r="O357" i="1" a="1"/>
  <c r="O357" i="1" s="1"/>
  <c r="O356" i="1" a="1"/>
  <c r="O356" i="1" s="1"/>
  <c r="O355" i="1" a="1"/>
  <c r="O355" i="1" s="1"/>
  <c r="O354" i="1" a="1"/>
  <c r="O354" i="1" s="1"/>
  <c r="O353" i="1" a="1"/>
  <c r="O353" i="1" s="1"/>
  <c r="O352" i="1" a="1"/>
  <c r="O352" i="1" s="1"/>
  <c r="O351" i="1" a="1"/>
  <c r="O351" i="1" s="1"/>
  <c r="O350" i="1" a="1"/>
  <c r="O350" i="1" s="1"/>
  <c r="O349" i="1" a="1"/>
  <c r="O349" i="1" s="1"/>
  <c r="O348" i="1" a="1"/>
  <c r="O348" i="1" s="1"/>
  <c r="O347" i="1" a="1"/>
  <c r="O347" i="1" s="1"/>
  <c r="O346" i="1" a="1"/>
  <c r="O346" i="1" s="1"/>
  <c r="O345" i="1" a="1"/>
  <c r="O345" i="1" s="1"/>
  <c r="O344" i="1" a="1"/>
  <c r="O344" i="1" s="1"/>
  <c r="O343" i="1" a="1"/>
  <c r="O343" i="1" s="1"/>
  <c r="O342" i="1" a="1"/>
  <c r="O342" i="1" s="1"/>
  <c r="O341" i="1" a="1"/>
  <c r="O341" i="1" s="1"/>
  <c r="O340" i="1" a="1"/>
  <c r="O340" i="1" s="1"/>
  <c r="O339" i="1" a="1"/>
  <c r="O339" i="1" s="1"/>
  <c r="O338" i="1" a="1"/>
  <c r="O338" i="1" s="1"/>
  <c r="O337" i="1" a="1"/>
  <c r="O337" i="1" s="1"/>
  <c r="O336" i="1" a="1"/>
  <c r="O336" i="1" s="1"/>
  <c r="O335" i="1" a="1"/>
  <c r="O335" i="1" s="1"/>
  <c r="O334" i="1" a="1"/>
  <c r="O334" i="1" s="1"/>
  <c r="O333" i="1" a="1"/>
  <c r="O333" i="1" s="1"/>
  <c r="O332" i="1" a="1"/>
  <c r="O332" i="1" s="1"/>
  <c r="O331" i="1" a="1"/>
  <c r="O331" i="1" s="1"/>
  <c r="O330" i="1" a="1"/>
  <c r="O330" i="1" s="1"/>
  <c r="O329" i="1" a="1"/>
  <c r="O329" i="1" s="1"/>
  <c r="O328" i="1" a="1"/>
  <c r="O328" i="1" s="1"/>
  <c r="O327" i="1" a="1"/>
  <c r="O327" i="1" s="1"/>
  <c r="O326" i="1" a="1"/>
  <c r="O326" i="1" s="1"/>
  <c r="O325" i="1" a="1"/>
  <c r="O325" i="1" s="1"/>
  <c r="O324" i="1" a="1"/>
  <c r="O324" i="1" s="1"/>
  <c r="O323" i="1" a="1"/>
  <c r="O323" i="1" s="1"/>
  <c r="O322" i="1" a="1"/>
  <c r="O322" i="1" s="1"/>
  <c r="O321" i="1" a="1"/>
  <c r="O321" i="1" s="1"/>
  <c r="O320" i="1" a="1"/>
  <c r="O320" i="1" s="1"/>
  <c r="O319" i="1" a="1"/>
  <c r="O319" i="1" s="1"/>
  <c r="O318" i="1" a="1"/>
  <c r="O318" i="1" s="1"/>
  <c r="O317" i="1" a="1"/>
  <c r="O317" i="1" s="1"/>
  <c r="O316" i="1" a="1"/>
  <c r="O316" i="1" s="1"/>
  <c r="O315" i="1" a="1"/>
  <c r="O315" i="1" s="1"/>
  <c r="O314" i="1" a="1"/>
  <c r="O314" i="1" s="1"/>
  <c r="O313" i="1" a="1"/>
  <c r="O313" i="1" s="1"/>
  <c r="O312" i="1" a="1"/>
  <c r="O312" i="1" s="1"/>
  <c r="O311" i="1" a="1"/>
  <c r="O311" i="1" s="1"/>
  <c r="O310" i="1" a="1"/>
  <c r="O310" i="1" s="1"/>
  <c r="O309" i="1" a="1"/>
  <c r="O309" i="1" s="1"/>
  <c r="O308" i="1" a="1"/>
  <c r="O308" i="1" s="1"/>
  <c r="O307" i="1" a="1"/>
  <c r="O307" i="1" s="1"/>
  <c r="O306" i="1" a="1"/>
  <c r="O306" i="1" s="1"/>
  <c r="O305" i="1" a="1"/>
  <c r="O305" i="1" s="1"/>
  <c r="O304" i="1" a="1"/>
  <c r="O304" i="1" s="1"/>
  <c r="O303" i="1" a="1"/>
  <c r="O303" i="1" s="1"/>
  <c r="O302" i="1" a="1"/>
  <c r="O302" i="1" s="1"/>
  <c r="O301" i="1" a="1"/>
  <c r="O301" i="1" s="1"/>
  <c r="O300" i="1" a="1"/>
  <c r="O300" i="1" s="1"/>
  <c r="O299" i="1" a="1"/>
  <c r="O299" i="1" s="1"/>
  <c r="O298" i="1" a="1"/>
  <c r="O298" i="1" s="1"/>
  <c r="O297" i="1" a="1"/>
  <c r="O297" i="1" s="1"/>
  <c r="O296" i="1" a="1"/>
  <c r="O296" i="1" s="1"/>
  <c r="O295" i="1" a="1"/>
  <c r="O295" i="1" s="1"/>
  <c r="O294" i="1" a="1"/>
  <c r="O294" i="1" s="1"/>
  <c r="O293" i="1" a="1"/>
  <c r="O293" i="1" s="1"/>
  <c r="O292" i="1" a="1"/>
  <c r="O292" i="1" s="1"/>
  <c r="O291" i="1" a="1"/>
  <c r="O291" i="1" s="1"/>
  <c r="O290" i="1" a="1"/>
  <c r="O290" i="1" s="1"/>
  <c r="O289" i="1" a="1"/>
  <c r="O289" i="1" s="1"/>
  <c r="O288" i="1" a="1"/>
  <c r="O288" i="1" s="1"/>
  <c r="O287" i="1" a="1"/>
  <c r="O287" i="1" s="1"/>
  <c r="O286" i="1" a="1"/>
  <c r="O286" i="1" s="1"/>
  <c r="O285" i="1" a="1"/>
  <c r="O285" i="1" s="1"/>
  <c r="O284" i="1" a="1"/>
  <c r="O284" i="1" s="1"/>
  <c r="O283" i="1" a="1"/>
  <c r="O283" i="1" s="1"/>
  <c r="O282" i="1" a="1"/>
  <c r="O282" i="1" s="1"/>
  <c r="O281" i="1" a="1"/>
  <c r="O281" i="1" s="1"/>
  <c r="O280" i="1" a="1"/>
  <c r="O280" i="1" s="1"/>
  <c r="O279" i="1" a="1"/>
  <c r="O279" i="1" s="1"/>
  <c r="O278" i="1" a="1"/>
  <c r="O278" i="1" s="1"/>
  <c r="O277" i="1" a="1"/>
  <c r="O277" i="1" s="1"/>
  <c r="O276" i="1" a="1"/>
  <c r="O276" i="1" s="1"/>
  <c r="O275" i="1" a="1"/>
  <c r="O275" i="1" s="1"/>
  <c r="O274" i="1" a="1"/>
  <c r="O274" i="1" s="1"/>
  <c r="O273" i="1" a="1"/>
  <c r="O273" i="1" s="1"/>
  <c r="O272" i="1" a="1"/>
  <c r="O272" i="1" s="1"/>
  <c r="O271" i="1" a="1"/>
  <c r="O271" i="1" s="1"/>
  <c r="O270" i="1" a="1"/>
  <c r="O270" i="1" s="1"/>
  <c r="O269" i="1" a="1"/>
  <c r="O269" i="1" s="1"/>
  <c r="O268" i="1" a="1"/>
  <c r="O268" i="1" s="1"/>
  <c r="O267" i="1" a="1"/>
  <c r="O267" i="1" s="1"/>
  <c r="O266" i="1" a="1"/>
  <c r="O266" i="1" s="1"/>
  <c r="O265" i="1" a="1"/>
  <c r="O265" i="1" s="1"/>
  <c r="O264" i="1" a="1"/>
  <c r="O264" i="1" s="1"/>
  <c r="O263" i="1" a="1"/>
  <c r="O263" i="1" s="1"/>
  <c r="O262" i="1" a="1"/>
  <c r="O262" i="1" s="1"/>
  <c r="O261" i="1" a="1"/>
  <c r="O261" i="1" s="1"/>
  <c r="O260" i="1" a="1"/>
  <c r="O260" i="1" s="1"/>
  <c r="O259" i="1" a="1"/>
  <c r="O259" i="1" s="1"/>
  <c r="O258" i="1" a="1"/>
  <c r="O258" i="1" s="1"/>
  <c r="O257" i="1" a="1"/>
  <c r="O257" i="1" s="1"/>
  <c r="O256" i="1" a="1"/>
  <c r="O256" i="1" s="1"/>
  <c r="O255" i="1" a="1"/>
  <c r="O255" i="1" s="1"/>
  <c r="O254" i="1" a="1"/>
  <c r="O254" i="1" s="1"/>
  <c r="O253" i="1" a="1"/>
  <c r="O253" i="1" s="1"/>
  <c r="O252" i="1" a="1"/>
  <c r="O252" i="1" s="1"/>
  <c r="O251" i="1" a="1"/>
  <c r="O251" i="1" s="1"/>
  <c r="O250" i="1" a="1"/>
  <c r="O250" i="1" s="1"/>
  <c r="O249" i="1" a="1"/>
  <c r="O249" i="1" s="1"/>
  <c r="O248" i="1" a="1"/>
  <c r="O248" i="1" s="1"/>
  <c r="O247" i="1" a="1"/>
  <c r="O247" i="1" s="1"/>
  <c r="O246" i="1" a="1"/>
  <c r="O246" i="1" s="1"/>
  <c r="O245" i="1" a="1"/>
  <c r="O245" i="1" s="1"/>
  <c r="O244" i="1" a="1"/>
  <c r="O244" i="1" s="1"/>
  <c r="O243" i="1" a="1"/>
  <c r="O243" i="1" s="1"/>
  <c r="O242" i="1" a="1"/>
  <c r="O242" i="1" s="1"/>
  <c r="O241" i="1" a="1"/>
  <c r="O241" i="1" s="1"/>
  <c r="O240" i="1" a="1"/>
  <c r="O240" i="1" s="1"/>
  <c r="O239" i="1" a="1"/>
  <c r="O239" i="1" s="1"/>
  <c r="O238" i="1" a="1"/>
  <c r="O238" i="1" s="1"/>
  <c r="O237" i="1" a="1"/>
  <c r="O237" i="1" s="1"/>
  <c r="O236" i="1" a="1"/>
  <c r="O236" i="1" s="1"/>
  <c r="O235" i="1" a="1"/>
  <c r="O235" i="1" s="1"/>
  <c r="O234" i="1" a="1"/>
  <c r="O234" i="1" s="1"/>
  <c r="O233" i="1" a="1"/>
  <c r="O233" i="1" s="1"/>
  <c r="O232" i="1" a="1"/>
  <c r="O232" i="1" s="1"/>
  <c r="O231" i="1" a="1"/>
  <c r="O231" i="1" s="1"/>
  <c r="O230" i="1" a="1"/>
  <c r="O230" i="1" s="1"/>
  <c r="O229" i="1" a="1"/>
  <c r="O229" i="1" s="1"/>
  <c r="O228" i="1" a="1"/>
  <c r="O228" i="1" s="1"/>
  <c r="O227" i="1" a="1"/>
  <c r="O227" i="1" s="1"/>
  <c r="O226" i="1" a="1"/>
  <c r="O226" i="1" s="1"/>
  <c r="O225" i="1" a="1"/>
  <c r="O225" i="1" s="1"/>
  <c r="O224" i="1" a="1"/>
  <c r="O224" i="1" s="1"/>
  <c r="O223" i="1" a="1"/>
  <c r="O223" i="1" s="1"/>
  <c r="O222" i="1" a="1"/>
  <c r="O222" i="1" s="1"/>
  <c r="O221" i="1" a="1"/>
  <c r="O221" i="1" s="1"/>
  <c r="O220" i="1" a="1"/>
  <c r="O220" i="1" s="1"/>
  <c r="O219" i="1" a="1"/>
  <c r="O219" i="1" s="1"/>
  <c r="O218" i="1" a="1"/>
  <c r="O218" i="1" s="1"/>
  <c r="O217" i="1" a="1"/>
  <c r="O217" i="1" s="1"/>
  <c r="O216" i="1" a="1"/>
  <c r="O216" i="1" s="1"/>
  <c r="O215" i="1" a="1"/>
  <c r="O215" i="1" s="1"/>
  <c r="O214" i="1" a="1"/>
  <c r="O214" i="1" s="1"/>
  <c r="O213" i="1" a="1"/>
  <c r="O213" i="1" s="1"/>
  <c r="O212" i="1" a="1"/>
  <c r="O212" i="1" s="1"/>
  <c r="O211" i="1" a="1"/>
  <c r="O211" i="1" s="1"/>
  <c r="O210" i="1" a="1"/>
  <c r="O210" i="1" s="1"/>
  <c r="O209" i="1" a="1"/>
  <c r="O209" i="1" s="1"/>
  <c r="O208" i="1" a="1"/>
  <c r="O208" i="1" s="1"/>
  <c r="O207" i="1" a="1"/>
  <c r="O207" i="1" s="1"/>
  <c r="O206" i="1" a="1"/>
  <c r="O206" i="1" s="1"/>
  <c r="O205" i="1" a="1"/>
  <c r="O205" i="1" s="1"/>
  <c r="O204" i="1" a="1"/>
  <c r="O204" i="1" s="1"/>
  <c r="O203" i="1" a="1"/>
  <c r="O203" i="1" s="1"/>
  <c r="O202" i="1" a="1"/>
  <c r="O202" i="1" s="1"/>
  <c r="O201" i="1" a="1"/>
  <c r="O201" i="1" s="1"/>
  <c r="O200" i="1" a="1"/>
  <c r="O200" i="1" s="1"/>
  <c r="O199" i="1" a="1"/>
  <c r="O199" i="1" s="1"/>
  <c r="O198" i="1" a="1"/>
  <c r="O198" i="1" s="1"/>
  <c r="O197" i="1" a="1"/>
  <c r="O197" i="1" s="1"/>
  <c r="O196" i="1" a="1"/>
  <c r="O196" i="1" s="1"/>
  <c r="O195" i="1" a="1"/>
  <c r="O195" i="1" s="1"/>
  <c r="O194" i="1" a="1"/>
  <c r="O194" i="1" s="1"/>
  <c r="O193" i="1" a="1"/>
  <c r="O193" i="1" s="1"/>
  <c r="O192" i="1" a="1"/>
  <c r="O192" i="1" s="1"/>
  <c r="O191" i="1" a="1"/>
  <c r="O191" i="1" s="1"/>
  <c r="O190" i="1" a="1"/>
  <c r="O190" i="1" s="1"/>
  <c r="O189" i="1" a="1"/>
  <c r="O189" i="1" s="1"/>
  <c r="O188" i="1" a="1"/>
  <c r="O188" i="1" s="1"/>
  <c r="O187" i="1" a="1"/>
  <c r="O187" i="1" s="1"/>
  <c r="O186" i="1" a="1"/>
  <c r="O186" i="1" s="1"/>
  <c r="O185" i="1" a="1"/>
  <c r="O185" i="1" s="1"/>
  <c r="O184" i="1" a="1"/>
  <c r="O184" i="1" s="1"/>
  <c r="O183" i="1" a="1"/>
  <c r="O183" i="1" s="1"/>
  <c r="O182" i="1" a="1"/>
  <c r="O182" i="1" s="1"/>
  <c r="O181" i="1" a="1"/>
  <c r="O181" i="1" s="1"/>
  <c r="O180" i="1" a="1"/>
  <c r="O180" i="1" s="1"/>
  <c r="O179" i="1" a="1"/>
  <c r="O179" i="1" s="1"/>
  <c r="O178" i="1" a="1"/>
  <c r="O178" i="1" s="1"/>
  <c r="O177" i="1" a="1"/>
  <c r="O177" i="1" s="1"/>
  <c r="O176" i="1" a="1"/>
  <c r="O176" i="1" s="1"/>
  <c r="O175" i="1" a="1"/>
  <c r="O175" i="1" s="1"/>
  <c r="O174" i="1" a="1"/>
  <c r="O174" i="1" s="1"/>
  <c r="O173" i="1" a="1"/>
  <c r="O173" i="1" s="1"/>
  <c r="O172" i="1" a="1"/>
  <c r="O172" i="1" s="1"/>
  <c r="O171" i="1" a="1"/>
  <c r="O171" i="1" s="1"/>
  <c r="O170" i="1" a="1"/>
  <c r="O170" i="1" s="1"/>
  <c r="O169" i="1" a="1"/>
  <c r="O169" i="1" s="1"/>
  <c r="O168" i="1" a="1"/>
  <c r="O168" i="1" s="1"/>
  <c r="O167" i="1" a="1"/>
  <c r="O167" i="1" s="1"/>
  <c r="O166" i="1" a="1"/>
  <c r="O166" i="1" s="1"/>
  <c r="O165" i="1" a="1"/>
  <c r="O165" i="1" s="1"/>
  <c r="O164" i="1" a="1"/>
  <c r="O164" i="1" s="1"/>
  <c r="O163" i="1" a="1"/>
  <c r="O163" i="1" s="1"/>
  <c r="O162" i="1" a="1"/>
  <c r="O162" i="1" s="1"/>
  <c r="O161" i="1" a="1"/>
  <c r="O161" i="1" s="1"/>
  <c r="O160" i="1" a="1"/>
  <c r="O160" i="1" s="1"/>
  <c r="O159" i="1" a="1"/>
  <c r="O159" i="1" s="1"/>
  <c r="O158" i="1" a="1"/>
  <c r="O158" i="1" s="1"/>
  <c r="O157" i="1" a="1"/>
  <c r="O157" i="1" s="1"/>
  <c r="O156" i="1" a="1"/>
  <c r="O156" i="1" s="1"/>
  <c r="O155" i="1" a="1"/>
  <c r="O155" i="1" s="1"/>
  <c r="O154" i="1" a="1"/>
  <c r="O154" i="1" s="1"/>
  <c r="O153" i="1" a="1"/>
  <c r="O153" i="1" s="1"/>
  <c r="O152" i="1" a="1"/>
  <c r="O152" i="1" s="1"/>
  <c r="O151" i="1" a="1"/>
  <c r="O151" i="1" s="1"/>
  <c r="O150" i="1" a="1"/>
  <c r="O150" i="1" s="1"/>
  <c r="O149" i="1" a="1"/>
  <c r="O149" i="1" s="1"/>
  <c r="O148" i="1" a="1"/>
  <c r="O148" i="1" s="1"/>
  <c r="O147" i="1" a="1"/>
  <c r="O147" i="1" s="1"/>
  <c r="O146" i="1" a="1"/>
  <c r="O146" i="1" s="1"/>
  <c r="O145" i="1" a="1"/>
  <c r="O145" i="1" s="1"/>
  <c r="O144" i="1" a="1"/>
  <c r="O144" i="1" s="1"/>
  <c r="O143" i="1" a="1"/>
  <c r="O143" i="1" s="1"/>
  <c r="O142" i="1" a="1"/>
  <c r="O142" i="1" s="1"/>
  <c r="O141" i="1" a="1"/>
  <c r="O141" i="1" s="1"/>
  <c r="O140" i="1" a="1"/>
  <c r="O140" i="1" s="1"/>
  <c r="O139" i="1" a="1"/>
  <c r="O139" i="1" s="1"/>
  <c r="O138" i="1" a="1"/>
  <c r="O138" i="1" s="1"/>
  <c r="O137" i="1" a="1"/>
  <c r="O137" i="1" s="1"/>
  <c r="O136" i="1" a="1"/>
  <c r="O136" i="1" s="1"/>
  <c r="O135" i="1" a="1"/>
  <c r="O135" i="1" s="1"/>
  <c r="O134" i="1" a="1"/>
  <c r="O134" i="1" s="1"/>
  <c r="O133" i="1" a="1"/>
  <c r="O133" i="1" s="1"/>
  <c r="O132" i="1" a="1"/>
  <c r="O132" i="1" s="1"/>
  <c r="O131" i="1" a="1"/>
  <c r="O131" i="1" s="1"/>
  <c r="O130" i="1" a="1"/>
  <c r="O130" i="1" s="1"/>
  <c r="O129" i="1" a="1"/>
  <c r="O129" i="1" s="1"/>
  <c r="O128" i="1" a="1"/>
  <c r="O128" i="1" s="1"/>
  <c r="O127" i="1" a="1"/>
  <c r="O127" i="1" s="1"/>
  <c r="O126" i="1" a="1"/>
  <c r="O126" i="1" s="1"/>
  <c r="O125" i="1" a="1"/>
  <c r="O125" i="1" s="1"/>
  <c r="O124" i="1" a="1"/>
  <c r="O124" i="1" s="1"/>
  <c r="O123" i="1" a="1"/>
  <c r="O123" i="1" s="1"/>
  <c r="O122" i="1" a="1"/>
  <c r="O122" i="1" s="1"/>
  <c r="O121" i="1" a="1"/>
  <c r="O121" i="1" s="1"/>
  <c r="O120" i="1" a="1"/>
  <c r="O120" i="1" s="1"/>
  <c r="O119" i="1" a="1"/>
  <c r="O119" i="1" s="1"/>
  <c r="O118" i="1" a="1"/>
  <c r="O118" i="1" s="1"/>
  <c r="O117" i="1" a="1"/>
  <c r="O117" i="1" s="1"/>
  <c r="O116" i="1" a="1"/>
  <c r="O116" i="1" s="1"/>
  <c r="O115" i="1" a="1"/>
  <c r="O115" i="1" s="1"/>
  <c r="O114" i="1" a="1"/>
  <c r="O114" i="1" s="1"/>
  <c r="O113" i="1" a="1"/>
  <c r="O113" i="1" s="1"/>
  <c r="O112" i="1" a="1"/>
  <c r="O112" i="1" s="1"/>
  <c r="O111" i="1" a="1"/>
  <c r="O111" i="1" s="1"/>
  <c r="O110" i="1" a="1"/>
  <c r="O110" i="1" s="1"/>
  <c r="O109" i="1" a="1"/>
  <c r="O109" i="1" s="1"/>
  <c r="O108" i="1" a="1"/>
  <c r="O108" i="1" s="1"/>
  <c r="O107" i="1" a="1"/>
  <c r="O107" i="1" s="1"/>
  <c r="O106" i="1" a="1"/>
  <c r="O106" i="1" s="1"/>
  <c r="O105" i="1" a="1"/>
  <c r="O105" i="1" s="1"/>
  <c r="O104" i="1" a="1"/>
  <c r="O104" i="1" s="1"/>
  <c r="O103" i="1" a="1"/>
  <c r="O103" i="1" s="1"/>
  <c r="O102" i="1" a="1"/>
  <c r="O102" i="1" s="1"/>
  <c r="O101" i="1" a="1"/>
  <c r="O101" i="1" s="1"/>
  <c r="O100" i="1" a="1"/>
  <c r="O100" i="1" s="1"/>
  <c r="O99" i="1" a="1"/>
  <c r="O99" i="1" s="1"/>
  <c r="O98" i="1" a="1"/>
  <c r="O98" i="1" s="1"/>
  <c r="O97" i="1" a="1"/>
  <c r="O97" i="1" s="1"/>
  <c r="O96" i="1" a="1"/>
  <c r="O96" i="1" s="1"/>
  <c r="O95" i="1" a="1"/>
  <c r="O95" i="1" s="1"/>
  <c r="O94" i="1" a="1"/>
  <c r="O94" i="1" s="1"/>
  <c r="O93" i="1" a="1"/>
  <c r="O93" i="1" s="1"/>
  <c r="O92" i="1" a="1"/>
  <c r="O92" i="1" s="1"/>
  <c r="O91" i="1" a="1"/>
  <c r="O91" i="1" s="1"/>
  <c r="O90" i="1" a="1"/>
  <c r="O90" i="1" s="1"/>
  <c r="O89" i="1" a="1"/>
  <c r="O89" i="1" s="1"/>
  <c r="O88" i="1" a="1"/>
  <c r="O88" i="1" s="1"/>
  <c r="O87" i="1" a="1"/>
  <c r="O87" i="1" s="1"/>
  <c r="O86" i="1" a="1"/>
  <c r="O86" i="1" s="1"/>
  <c r="O85" i="1" a="1"/>
  <c r="O85" i="1" s="1"/>
  <c r="O84" i="1" a="1"/>
  <c r="O84" i="1" s="1"/>
  <c r="O83" i="1" a="1"/>
  <c r="O83" i="1" s="1"/>
  <c r="O82" i="1" a="1"/>
  <c r="O82" i="1" s="1"/>
  <c r="O81" i="1" a="1"/>
  <c r="O81" i="1" s="1"/>
  <c r="O80" i="1" a="1"/>
  <c r="O80" i="1" s="1"/>
  <c r="O79" i="1" a="1"/>
  <c r="O79" i="1" s="1"/>
  <c r="O78" i="1" a="1"/>
  <c r="O78" i="1" s="1"/>
  <c r="O77" i="1" a="1"/>
  <c r="O77" i="1" s="1"/>
  <c r="O76" i="1" a="1"/>
  <c r="O76" i="1" s="1"/>
  <c r="O75" i="1" a="1"/>
  <c r="O75" i="1" s="1"/>
  <c r="O74" i="1" a="1"/>
  <c r="O74" i="1" s="1"/>
  <c r="O73" i="1" a="1"/>
  <c r="O73" i="1" s="1"/>
  <c r="O72" i="1" a="1"/>
  <c r="O72" i="1" s="1"/>
  <c r="O71" i="1" a="1"/>
  <c r="O71" i="1" s="1"/>
  <c r="O70" i="1" a="1"/>
  <c r="O70" i="1" s="1"/>
  <c r="O69" i="1" a="1"/>
  <c r="O69" i="1" s="1"/>
  <c r="O68" i="1" a="1"/>
  <c r="O68" i="1" s="1"/>
  <c r="O67" i="1" a="1"/>
  <c r="O67" i="1" s="1"/>
  <c r="O66" i="1" a="1"/>
  <c r="O66" i="1" s="1"/>
  <c r="O65" i="1" a="1"/>
  <c r="O65" i="1" s="1"/>
  <c r="O64" i="1" a="1"/>
  <c r="O64" i="1" s="1"/>
  <c r="O63" i="1" a="1"/>
  <c r="O63" i="1" s="1"/>
  <c r="O62" i="1" a="1"/>
  <c r="O62" i="1" s="1"/>
  <c r="O61" i="1" a="1"/>
  <c r="O61" i="1" s="1"/>
  <c r="O60" i="1" a="1"/>
  <c r="O60" i="1" s="1"/>
  <c r="O59" i="1" a="1"/>
  <c r="O59" i="1" s="1"/>
  <c r="O58" i="1" a="1"/>
  <c r="O58" i="1" s="1"/>
  <c r="O57" i="1" a="1"/>
  <c r="O57" i="1" s="1"/>
  <c r="O56" i="1" a="1"/>
  <c r="O56" i="1" s="1"/>
  <c r="O55" i="1" a="1"/>
  <c r="O55" i="1" s="1"/>
  <c r="O54" i="1" a="1"/>
  <c r="O54" i="1" s="1"/>
  <c r="O53" i="1" a="1"/>
  <c r="O53" i="1" s="1"/>
  <c r="O52" i="1" a="1"/>
  <c r="O52" i="1" s="1"/>
  <c r="O51" i="1" a="1"/>
  <c r="O51" i="1" s="1"/>
  <c r="O50" i="1" a="1"/>
  <c r="O50" i="1" s="1"/>
  <c r="O49" i="1" a="1"/>
  <c r="O49" i="1" s="1"/>
  <c r="O48" i="1" a="1"/>
  <c r="O48" i="1" s="1"/>
  <c r="O47" i="1" a="1"/>
  <c r="O47" i="1" s="1"/>
  <c r="O46" i="1" a="1"/>
  <c r="O46" i="1" s="1"/>
  <c r="O45" i="1" a="1"/>
  <c r="O45" i="1" s="1"/>
  <c r="O44" i="1" a="1"/>
  <c r="O44" i="1" s="1"/>
  <c r="O43" i="1" a="1"/>
  <c r="O43" i="1" s="1"/>
  <c r="O42" i="1" a="1"/>
  <c r="O42" i="1" s="1"/>
  <c r="O41" i="1" a="1"/>
  <c r="O41" i="1" s="1"/>
  <c r="O40" i="1" a="1"/>
  <c r="O40" i="1" s="1"/>
  <c r="O39" i="1" a="1"/>
  <c r="O39" i="1" s="1"/>
  <c r="O38" i="1" a="1"/>
  <c r="O38" i="1" s="1"/>
  <c r="O37" i="1" a="1"/>
  <c r="O37" i="1" s="1"/>
  <c r="O36" i="1" a="1"/>
  <c r="O36" i="1" s="1"/>
  <c r="O35" i="1" a="1"/>
  <c r="O35" i="1" s="1"/>
  <c r="O34" i="1" a="1"/>
  <c r="O34" i="1" s="1"/>
  <c r="O33" i="1" a="1"/>
  <c r="O33" i="1" s="1"/>
  <c r="O32" i="1" a="1"/>
  <c r="O32" i="1" s="1"/>
  <c r="O31" i="1" a="1"/>
  <c r="O31" i="1" s="1"/>
  <c r="O30" i="1" a="1"/>
  <c r="O30" i="1" s="1"/>
  <c r="O29" i="1" a="1"/>
  <c r="O29" i="1" s="1"/>
  <c r="O28" i="1" a="1"/>
  <c r="O28" i="1" s="1"/>
  <c r="O27" i="1" a="1"/>
  <c r="O27" i="1" s="1"/>
  <c r="O26" i="1" a="1"/>
  <c r="O26" i="1" s="1"/>
  <c r="O25" i="1" a="1"/>
  <c r="O25" i="1" s="1"/>
  <c r="O24" i="1" a="1"/>
  <c r="O24" i="1" s="1"/>
  <c r="O23" i="1" a="1"/>
  <c r="O23" i="1" s="1"/>
  <c r="O22" i="1" a="1"/>
  <c r="O22" i="1" s="1"/>
  <c r="O21" i="1" a="1"/>
  <c r="O21" i="1" s="1"/>
  <c r="O20" i="1" a="1"/>
  <c r="O20" i="1" s="1"/>
  <c r="O19" i="1" a="1"/>
  <c r="O19" i="1" s="1"/>
  <c r="O18" i="1" a="1"/>
  <c r="O18" i="1" s="1"/>
  <c r="O17" i="1" a="1"/>
  <c r="O17" i="1" s="1"/>
  <c r="O16" i="1" a="1"/>
  <c r="O16" i="1" s="1"/>
  <c r="O15" i="1" a="1"/>
  <c r="O15" i="1" s="1"/>
  <c r="O14" i="1" a="1"/>
  <c r="O14" i="1" s="1"/>
  <c r="O13" i="1" a="1"/>
  <c r="O13" i="1" s="1"/>
  <c r="O12" i="1" a="1"/>
  <c r="O12" i="1" s="1"/>
  <c r="O11" i="1" a="1"/>
  <c r="O11" i="1" s="1"/>
  <c r="O10" i="1" a="1"/>
  <c r="O10" i="1" s="1"/>
  <c r="O9" i="1" a="1"/>
  <c r="O9" i="1" s="1"/>
  <c r="O8" i="1" a="1"/>
  <c r="O8" i="1" s="1"/>
  <c r="O7" i="1" a="1"/>
  <c r="O7" i="1" s="1"/>
  <c r="O6" i="1" a="1"/>
  <c r="O6" i="1" s="1"/>
  <c r="O5" i="1" a="1"/>
  <c r="O5" i="1" s="1"/>
  <c r="O4" i="1" a="1"/>
  <c r="O4" i="1" s="1"/>
  <c r="O3" i="1" a="1"/>
  <c r="O3" i="1" s="1"/>
  <c r="O2" i="1" a="1"/>
  <c r="O2" i="1" s="1"/>
  <c r="N2884" i="1" a="1"/>
  <c r="N2884" i="1" s="1"/>
  <c r="N2883" i="1" a="1"/>
  <c r="N2883" i="1" s="1"/>
  <c r="N2882" i="1" a="1"/>
  <c r="N2882" i="1" s="1"/>
  <c r="N2881" i="1" a="1"/>
  <c r="N2881" i="1" s="1"/>
  <c r="N2880" i="1" a="1"/>
  <c r="N2880" i="1" s="1"/>
  <c r="N2879" i="1" a="1"/>
  <c r="N2879" i="1" s="1"/>
  <c r="N2878" i="1" a="1"/>
  <c r="N2878" i="1" s="1"/>
  <c r="N2877" i="1" a="1"/>
  <c r="N2877" i="1" s="1"/>
  <c r="N2876" i="1" a="1"/>
  <c r="N2876" i="1" s="1"/>
  <c r="N2875" i="1" a="1"/>
  <c r="N2875" i="1" s="1"/>
  <c r="N2874" i="1" a="1"/>
  <c r="N2874" i="1" s="1"/>
  <c r="N2873" i="1" a="1"/>
  <c r="N2873" i="1" s="1"/>
  <c r="N2872" i="1" a="1"/>
  <c r="N2872" i="1" s="1"/>
  <c r="N2871" i="1" a="1"/>
  <c r="N2871" i="1" s="1"/>
  <c r="N2870" i="1" a="1"/>
  <c r="N2870" i="1" s="1"/>
  <c r="N2869" i="1" a="1"/>
  <c r="N2869" i="1" s="1"/>
  <c r="N2868" i="1" a="1"/>
  <c r="N2868" i="1" s="1"/>
  <c r="N2867" i="1" a="1"/>
  <c r="N2867" i="1" s="1"/>
  <c r="N2866" i="1" a="1"/>
  <c r="N2866" i="1" s="1"/>
  <c r="N2865" i="1" a="1"/>
  <c r="N2865" i="1" s="1"/>
  <c r="N2864" i="1" a="1"/>
  <c r="N2864" i="1" s="1"/>
  <c r="N2863" i="1" a="1"/>
  <c r="N2863" i="1" s="1"/>
  <c r="N2862" i="1" a="1"/>
  <c r="N2862" i="1" s="1"/>
  <c r="N2861" i="1" a="1"/>
  <c r="N2861" i="1" s="1"/>
  <c r="N2860" i="1" a="1"/>
  <c r="N2860" i="1" s="1"/>
  <c r="N2859" i="1" a="1"/>
  <c r="N2859" i="1" s="1"/>
  <c r="N2858" i="1" a="1"/>
  <c r="N2858" i="1" s="1"/>
  <c r="N2857" i="1" a="1"/>
  <c r="N2857" i="1" s="1"/>
  <c r="N2856" i="1" a="1"/>
  <c r="N2856" i="1" s="1"/>
  <c r="N2855" i="1" a="1"/>
  <c r="N2855" i="1" s="1"/>
  <c r="N2854" i="1" a="1"/>
  <c r="N2854" i="1" s="1"/>
  <c r="N2853" i="1" a="1"/>
  <c r="N2853" i="1" s="1"/>
  <c r="N2852" i="1" a="1"/>
  <c r="N2852" i="1" s="1"/>
  <c r="N2851" i="1" a="1"/>
  <c r="N2851" i="1" s="1"/>
  <c r="N2850" i="1" a="1"/>
  <c r="N2850" i="1" s="1"/>
  <c r="N2849" i="1" a="1"/>
  <c r="N2849" i="1" s="1"/>
  <c r="N2848" i="1" a="1"/>
  <c r="N2848" i="1" s="1"/>
  <c r="N2847" i="1" a="1"/>
  <c r="N2847" i="1" s="1"/>
  <c r="N2846" i="1" a="1"/>
  <c r="N2846" i="1" s="1"/>
  <c r="N2845" i="1" a="1"/>
  <c r="N2845" i="1" s="1"/>
  <c r="N2844" i="1" a="1"/>
  <c r="N2844" i="1" s="1"/>
  <c r="N2843" i="1" a="1"/>
  <c r="N2843" i="1" s="1"/>
  <c r="N2842" i="1" a="1"/>
  <c r="N2842" i="1" s="1"/>
  <c r="N2841" i="1" a="1"/>
  <c r="N2841" i="1" s="1"/>
  <c r="N2840" i="1" a="1"/>
  <c r="N2840" i="1" s="1"/>
  <c r="N2839" i="1" a="1"/>
  <c r="N2839" i="1" s="1"/>
  <c r="N2838" i="1" a="1"/>
  <c r="N2838" i="1" s="1"/>
  <c r="N2837" i="1" a="1"/>
  <c r="N2837" i="1" s="1"/>
  <c r="N2836" i="1" a="1"/>
  <c r="N2836" i="1" s="1"/>
  <c r="N2835" i="1" a="1"/>
  <c r="N2835" i="1" s="1"/>
  <c r="N2834" i="1" a="1"/>
  <c r="N2834" i="1" s="1"/>
  <c r="N2833" i="1" a="1"/>
  <c r="N2833" i="1" s="1"/>
  <c r="N2832" i="1" a="1"/>
  <c r="N2832" i="1" s="1"/>
  <c r="N2831" i="1" a="1"/>
  <c r="N2831" i="1" s="1"/>
  <c r="N2830" i="1" a="1"/>
  <c r="N2830" i="1" s="1"/>
  <c r="N2829" i="1" a="1"/>
  <c r="N2829" i="1" s="1"/>
  <c r="N2828" i="1" a="1"/>
  <c r="N2828" i="1" s="1"/>
  <c r="N2827" i="1" a="1"/>
  <c r="N2827" i="1" s="1"/>
  <c r="N2826" i="1" a="1"/>
  <c r="N2826" i="1" s="1"/>
  <c r="N2825" i="1" a="1"/>
  <c r="N2825" i="1" s="1"/>
  <c r="N2824" i="1" a="1"/>
  <c r="N2824" i="1" s="1"/>
  <c r="N2823" i="1" a="1"/>
  <c r="N2823" i="1" s="1"/>
  <c r="N2822" i="1" a="1"/>
  <c r="N2822" i="1" s="1"/>
  <c r="N2821" i="1" a="1"/>
  <c r="N2821" i="1" s="1"/>
  <c r="N2820" i="1" a="1"/>
  <c r="N2820" i="1" s="1"/>
  <c r="N2819" i="1" a="1"/>
  <c r="N2819" i="1" s="1"/>
  <c r="N2818" i="1" a="1"/>
  <c r="N2818" i="1" s="1"/>
  <c r="N2817" i="1" a="1"/>
  <c r="N2817" i="1" s="1"/>
  <c r="N2816" i="1" a="1"/>
  <c r="N2816" i="1" s="1"/>
  <c r="N2815" i="1" a="1"/>
  <c r="N2815" i="1" s="1"/>
  <c r="N2814" i="1" a="1"/>
  <c r="N2814" i="1" s="1"/>
  <c r="N2813" i="1" a="1"/>
  <c r="N2813" i="1" s="1"/>
  <c r="N2812" i="1" a="1"/>
  <c r="N2812" i="1" s="1"/>
  <c r="N2811" i="1" a="1"/>
  <c r="N2811" i="1" s="1"/>
  <c r="N2810" i="1" a="1"/>
  <c r="N2810" i="1" s="1"/>
  <c r="N2809" i="1" a="1"/>
  <c r="N2809" i="1" s="1"/>
  <c r="N2808" i="1" a="1"/>
  <c r="N2808" i="1" s="1"/>
  <c r="N2807" i="1" a="1"/>
  <c r="N2807" i="1" s="1"/>
  <c r="N2806" i="1" a="1"/>
  <c r="N2806" i="1" s="1"/>
  <c r="N2805" i="1" a="1"/>
  <c r="N2805" i="1" s="1"/>
  <c r="N2804" i="1" a="1"/>
  <c r="N2804" i="1" s="1"/>
  <c r="N2803" i="1" a="1"/>
  <c r="N2803" i="1" s="1"/>
  <c r="N2802" i="1" a="1"/>
  <c r="N2802" i="1" s="1"/>
  <c r="N2801" i="1" a="1"/>
  <c r="N2801" i="1" s="1"/>
  <c r="N2800" i="1" a="1"/>
  <c r="N2800" i="1" s="1"/>
  <c r="N2799" i="1" a="1"/>
  <c r="N2799" i="1" s="1"/>
  <c r="N2798" i="1" a="1"/>
  <c r="N2798" i="1" s="1"/>
  <c r="N2797" i="1" a="1"/>
  <c r="N2797" i="1" s="1"/>
  <c r="N2796" i="1" a="1"/>
  <c r="N2796" i="1" s="1"/>
  <c r="N2795" i="1" a="1"/>
  <c r="N2795" i="1" s="1"/>
  <c r="N2794" i="1" a="1"/>
  <c r="N2794" i="1" s="1"/>
  <c r="N2793" i="1" a="1"/>
  <c r="N2793" i="1" s="1"/>
  <c r="N2792" i="1" a="1"/>
  <c r="N2792" i="1" s="1"/>
  <c r="N2791" i="1" a="1"/>
  <c r="N2791" i="1" s="1"/>
  <c r="N2790" i="1" a="1"/>
  <c r="N2790" i="1" s="1"/>
  <c r="N2789" i="1" a="1"/>
  <c r="N2789" i="1" s="1"/>
  <c r="N2788" i="1" a="1"/>
  <c r="N2788" i="1" s="1"/>
  <c r="N2787" i="1" a="1"/>
  <c r="N2787" i="1" s="1"/>
  <c r="N2786" i="1" a="1"/>
  <c r="N2786" i="1" s="1"/>
  <c r="N2785" i="1" a="1"/>
  <c r="N2785" i="1" s="1"/>
  <c r="N2784" i="1" a="1"/>
  <c r="N2784" i="1" s="1"/>
  <c r="N2783" i="1" a="1"/>
  <c r="N2783" i="1" s="1"/>
  <c r="N2782" i="1" a="1"/>
  <c r="N2782" i="1" s="1"/>
  <c r="N2781" i="1" a="1"/>
  <c r="N2781" i="1" s="1"/>
  <c r="N2780" i="1" a="1"/>
  <c r="N2780" i="1" s="1"/>
  <c r="N2779" i="1" a="1"/>
  <c r="N2779" i="1" s="1"/>
  <c r="N2778" i="1" a="1"/>
  <c r="N2778" i="1" s="1"/>
  <c r="N2777" i="1" a="1"/>
  <c r="N2777" i="1" s="1"/>
  <c r="N2776" i="1" a="1"/>
  <c r="N2776" i="1" s="1"/>
  <c r="N2775" i="1" a="1"/>
  <c r="N2775" i="1" s="1"/>
  <c r="N2774" i="1" a="1"/>
  <c r="N2774" i="1" s="1"/>
  <c r="N2773" i="1" a="1"/>
  <c r="N2773" i="1" s="1"/>
  <c r="N2772" i="1" a="1"/>
  <c r="N2772" i="1" s="1"/>
  <c r="N2771" i="1" a="1"/>
  <c r="N2771" i="1" s="1"/>
  <c r="N2770" i="1" a="1"/>
  <c r="N2770" i="1" s="1"/>
  <c r="N2769" i="1" a="1"/>
  <c r="N2769" i="1" s="1"/>
  <c r="N2768" i="1" a="1"/>
  <c r="N2768" i="1" s="1"/>
  <c r="N2767" i="1" a="1"/>
  <c r="N2767" i="1" s="1"/>
  <c r="N2766" i="1" a="1"/>
  <c r="N2766" i="1" s="1"/>
  <c r="N2765" i="1" a="1"/>
  <c r="N2765" i="1" s="1"/>
  <c r="N2764" i="1" a="1"/>
  <c r="N2764" i="1" s="1"/>
  <c r="N2763" i="1" a="1"/>
  <c r="N2763" i="1" s="1"/>
  <c r="N2762" i="1" a="1"/>
  <c r="N2762" i="1" s="1"/>
  <c r="N2761" i="1" a="1"/>
  <c r="N2761" i="1" s="1"/>
  <c r="N2760" i="1" a="1"/>
  <c r="N2760" i="1" s="1"/>
  <c r="N2759" i="1" a="1"/>
  <c r="N2759" i="1" s="1"/>
  <c r="N2758" i="1" a="1"/>
  <c r="N2758" i="1" s="1"/>
  <c r="N2757" i="1" a="1"/>
  <c r="N2757" i="1" s="1"/>
  <c r="N2756" i="1" a="1"/>
  <c r="N2756" i="1" s="1"/>
  <c r="N2755" i="1" a="1"/>
  <c r="N2755" i="1" s="1"/>
  <c r="N2754" i="1" a="1"/>
  <c r="N2754" i="1" s="1"/>
  <c r="N2753" i="1" a="1"/>
  <c r="N2753" i="1" s="1"/>
  <c r="N2752" i="1" a="1"/>
  <c r="N2752" i="1" s="1"/>
  <c r="N2751" i="1" a="1"/>
  <c r="N2751" i="1" s="1"/>
  <c r="N2750" i="1" a="1"/>
  <c r="N2750" i="1" s="1"/>
  <c r="N2749" i="1" a="1"/>
  <c r="N2749" i="1" s="1"/>
  <c r="N2748" i="1" a="1"/>
  <c r="N2748" i="1" s="1"/>
  <c r="N2747" i="1" a="1"/>
  <c r="N2747" i="1" s="1"/>
  <c r="N2746" i="1" a="1"/>
  <c r="N2746" i="1" s="1"/>
  <c r="N2745" i="1" a="1"/>
  <c r="N2745" i="1" s="1"/>
  <c r="N2744" i="1" a="1"/>
  <c r="N2744" i="1" s="1"/>
  <c r="N2743" i="1" a="1"/>
  <c r="N2743" i="1" s="1"/>
  <c r="N2742" i="1" a="1"/>
  <c r="N2742" i="1" s="1"/>
  <c r="N2741" i="1" a="1"/>
  <c r="N2741" i="1" s="1"/>
  <c r="N2740" i="1" a="1"/>
  <c r="N2740" i="1" s="1"/>
  <c r="N2739" i="1" a="1"/>
  <c r="N2739" i="1" s="1"/>
  <c r="N2738" i="1" a="1"/>
  <c r="N2738" i="1" s="1"/>
  <c r="N2737" i="1" a="1"/>
  <c r="N2737" i="1" s="1"/>
  <c r="N2736" i="1" a="1"/>
  <c r="N2736" i="1" s="1"/>
  <c r="N2735" i="1" a="1"/>
  <c r="N2735" i="1" s="1"/>
  <c r="N2734" i="1" a="1"/>
  <c r="N2734" i="1" s="1"/>
  <c r="N2733" i="1" a="1"/>
  <c r="N2733" i="1" s="1"/>
  <c r="N2732" i="1" a="1"/>
  <c r="N2732" i="1" s="1"/>
  <c r="N2731" i="1" a="1"/>
  <c r="N2731" i="1" s="1"/>
  <c r="N2730" i="1" a="1"/>
  <c r="N2730" i="1" s="1"/>
  <c r="N2729" i="1" a="1"/>
  <c r="N2729" i="1" s="1"/>
  <c r="N2728" i="1" a="1"/>
  <c r="N2728" i="1" s="1"/>
  <c r="N2727" i="1" a="1"/>
  <c r="N2727" i="1" s="1"/>
  <c r="N2726" i="1" a="1"/>
  <c r="N2726" i="1" s="1"/>
  <c r="N2725" i="1" a="1"/>
  <c r="N2725" i="1" s="1"/>
  <c r="N2724" i="1" a="1"/>
  <c r="N2724" i="1" s="1"/>
  <c r="N2723" i="1" a="1"/>
  <c r="N2723" i="1" s="1"/>
  <c r="N2722" i="1" a="1"/>
  <c r="N2722" i="1" s="1"/>
  <c r="N2721" i="1" a="1"/>
  <c r="N2721" i="1" s="1"/>
  <c r="N2720" i="1" a="1"/>
  <c r="N2720" i="1" s="1"/>
  <c r="N2719" i="1" a="1"/>
  <c r="N2719" i="1" s="1"/>
  <c r="N2718" i="1" a="1"/>
  <c r="N2718" i="1" s="1"/>
  <c r="N2717" i="1" a="1"/>
  <c r="N2717" i="1" s="1"/>
  <c r="N2716" i="1" a="1"/>
  <c r="N2716" i="1" s="1"/>
  <c r="N2715" i="1" a="1"/>
  <c r="N2715" i="1" s="1"/>
  <c r="N2714" i="1" a="1"/>
  <c r="N2714" i="1" s="1"/>
  <c r="N2713" i="1" a="1"/>
  <c r="N2713" i="1" s="1"/>
  <c r="N2712" i="1" a="1"/>
  <c r="N2712" i="1" s="1"/>
  <c r="N2711" i="1" a="1"/>
  <c r="N2711" i="1" s="1"/>
  <c r="N2710" i="1" a="1"/>
  <c r="N2710" i="1" s="1"/>
  <c r="N2709" i="1" a="1"/>
  <c r="N2709" i="1" s="1"/>
  <c r="N2708" i="1" a="1"/>
  <c r="N2708" i="1" s="1"/>
  <c r="N2707" i="1" a="1"/>
  <c r="N2707" i="1" s="1"/>
  <c r="N2706" i="1" a="1"/>
  <c r="N2706" i="1" s="1"/>
  <c r="N2705" i="1" a="1"/>
  <c r="N2705" i="1" s="1"/>
  <c r="N2704" i="1" a="1"/>
  <c r="N2704" i="1" s="1"/>
  <c r="N2703" i="1" a="1"/>
  <c r="N2703" i="1" s="1"/>
  <c r="N2702" i="1" a="1"/>
  <c r="N2702" i="1" s="1"/>
  <c r="N2701" i="1" a="1"/>
  <c r="N2701" i="1" s="1"/>
  <c r="N2700" i="1" a="1"/>
  <c r="N2700" i="1" s="1"/>
  <c r="N2699" i="1" a="1"/>
  <c r="N2699" i="1" s="1"/>
  <c r="N2698" i="1" a="1"/>
  <c r="N2698" i="1" s="1"/>
  <c r="N2697" i="1" a="1"/>
  <c r="N2697" i="1" s="1"/>
  <c r="N2696" i="1" a="1"/>
  <c r="N2696" i="1" s="1"/>
  <c r="N2695" i="1" a="1"/>
  <c r="N2695" i="1" s="1"/>
  <c r="N2694" i="1" a="1"/>
  <c r="N2694" i="1" s="1"/>
  <c r="N2693" i="1" a="1"/>
  <c r="N2693" i="1" s="1"/>
  <c r="N2692" i="1" a="1"/>
  <c r="N2692" i="1" s="1"/>
  <c r="N2691" i="1" a="1"/>
  <c r="N2691" i="1" s="1"/>
  <c r="N2690" i="1" a="1"/>
  <c r="N2690" i="1" s="1"/>
  <c r="N2689" i="1" a="1"/>
  <c r="N2689" i="1" s="1"/>
  <c r="N2688" i="1" a="1"/>
  <c r="N2688" i="1" s="1"/>
  <c r="N2687" i="1" a="1"/>
  <c r="N2687" i="1" s="1"/>
  <c r="N2686" i="1" a="1"/>
  <c r="N2686" i="1" s="1"/>
  <c r="N2685" i="1" a="1"/>
  <c r="N2685" i="1" s="1"/>
  <c r="N2684" i="1" a="1"/>
  <c r="N2684" i="1" s="1"/>
  <c r="N2683" i="1" a="1"/>
  <c r="N2683" i="1" s="1"/>
  <c r="N2682" i="1" a="1"/>
  <c r="N2682" i="1" s="1"/>
  <c r="N2681" i="1" a="1"/>
  <c r="N2681" i="1" s="1"/>
  <c r="N2680" i="1" a="1"/>
  <c r="N2680" i="1" s="1"/>
  <c r="N2679" i="1" a="1"/>
  <c r="N2679" i="1" s="1"/>
  <c r="N2678" i="1" a="1"/>
  <c r="N2678" i="1" s="1"/>
  <c r="N2677" i="1" a="1"/>
  <c r="N2677" i="1" s="1"/>
  <c r="N2676" i="1" a="1"/>
  <c r="N2676" i="1" s="1"/>
  <c r="N2675" i="1" a="1"/>
  <c r="N2675" i="1" s="1"/>
  <c r="N2674" i="1" a="1"/>
  <c r="N2674" i="1" s="1"/>
  <c r="N2673" i="1" a="1"/>
  <c r="N2673" i="1" s="1"/>
  <c r="N2672" i="1" a="1"/>
  <c r="N2672" i="1" s="1"/>
  <c r="N2671" i="1" a="1"/>
  <c r="N2671" i="1" s="1"/>
  <c r="N2670" i="1" a="1"/>
  <c r="N2670" i="1" s="1"/>
  <c r="N2669" i="1" a="1"/>
  <c r="N2669" i="1" s="1"/>
  <c r="N2668" i="1" a="1"/>
  <c r="N2668" i="1" s="1"/>
  <c r="N2667" i="1" a="1"/>
  <c r="N2667" i="1" s="1"/>
  <c r="N2666" i="1" a="1"/>
  <c r="N2666" i="1" s="1"/>
  <c r="N2665" i="1" a="1"/>
  <c r="N2665" i="1" s="1"/>
  <c r="N2664" i="1" a="1"/>
  <c r="N2664" i="1" s="1"/>
  <c r="N2663" i="1" a="1"/>
  <c r="N2663" i="1" s="1"/>
  <c r="N2662" i="1" a="1"/>
  <c r="N2662" i="1" s="1"/>
  <c r="N2661" i="1" a="1"/>
  <c r="N2661" i="1" s="1"/>
  <c r="N2660" i="1" a="1"/>
  <c r="N2660" i="1" s="1"/>
  <c r="N2659" i="1" a="1"/>
  <c r="N2659" i="1" s="1"/>
  <c r="N2658" i="1" a="1"/>
  <c r="N2658" i="1" s="1"/>
  <c r="N2657" i="1" a="1"/>
  <c r="N2657" i="1" s="1"/>
  <c r="N2656" i="1" a="1"/>
  <c r="N2656" i="1" s="1"/>
  <c r="N2655" i="1" a="1"/>
  <c r="N2655" i="1" s="1"/>
  <c r="N2654" i="1" a="1"/>
  <c r="N2654" i="1" s="1"/>
  <c r="N2652" i="1" a="1"/>
  <c r="N2652" i="1" s="1"/>
  <c r="N2651" i="1" a="1"/>
  <c r="N2651" i="1" s="1"/>
  <c r="N2650" i="1" a="1"/>
  <c r="N2650" i="1" s="1"/>
  <c r="N2649" i="1" a="1"/>
  <c r="N2649" i="1" s="1"/>
  <c r="N2648" i="1" a="1"/>
  <c r="N2648" i="1" s="1"/>
  <c r="N2647" i="1" a="1"/>
  <c r="N2647" i="1" s="1"/>
  <c r="N2646" i="1" a="1"/>
  <c r="N2646" i="1" s="1"/>
  <c r="N2645" i="1" a="1"/>
  <c r="N2645" i="1" s="1"/>
  <c r="N2644" i="1" a="1"/>
  <c r="N2644" i="1" s="1"/>
  <c r="N2643" i="1" a="1"/>
  <c r="N2643" i="1" s="1"/>
  <c r="N2642" i="1" a="1"/>
  <c r="N2642" i="1" s="1"/>
  <c r="N2641" i="1" a="1"/>
  <c r="N2641" i="1" s="1"/>
  <c r="N2640" i="1" a="1"/>
  <c r="N2640" i="1" s="1"/>
  <c r="N2639" i="1" a="1"/>
  <c r="N2639" i="1" s="1"/>
  <c r="N2638" i="1" a="1"/>
  <c r="N2638" i="1" s="1"/>
  <c r="N2637" i="1" a="1"/>
  <c r="N2637" i="1" s="1"/>
  <c r="N2636" i="1" a="1"/>
  <c r="N2636" i="1" s="1"/>
  <c r="N2635" i="1" a="1"/>
  <c r="N2635" i="1" s="1"/>
  <c r="N2634" i="1" a="1"/>
  <c r="N2634" i="1" s="1"/>
  <c r="N2633" i="1" a="1"/>
  <c r="N2633" i="1" s="1"/>
  <c r="N2632" i="1" a="1"/>
  <c r="N2632" i="1" s="1"/>
  <c r="N2631" i="1" a="1"/>
  <c r="N2631" i="1" s="1"/>
  <c r="N2630" i="1" a="1"/>
  <c r="N2630" i="1" s="1"/>
  <c r="N2629" i="1" a="1"/>
  <c r="N2629" i="1" s="1"/>
  <c r="N2628" i="1" a="1"/>
  <c r="N2628" i="1" s="1"/>
  <c r="N2627" i="1" a="1"/>
  <c r="N2627" i="1" s="1"/>
  <c r="N2626" i="1" a="1"/>
  <c r="N2626" i="1" s="1"/>
  <c r="N2625" i="1" a="1"/>
  <c r="N2625" i="1" s="1"/>
  <c r="N2624" i="1" a="1"/>
  <c r="N2624" i="1" s="1"/>
  <c r="N2623" i="1" a="1"/>
  <c r="N2623" i="1" s="1"/>
  <c r="N2622" i="1" a="1"/>
  <c r="N2622" i="1" s="1"/>
  <c r="N2621" i="1" a="1"/>
  <c r="N2621" i="1" s="1"/>
  <c r="N2620" i="1" a="1"/>
  <c r="N2620" i="1" s="1"/>
  <c r="N2619" i="1" a="1"/>
  <c r="N2619" i="1" s="1"/>
  <c r="N2618" i="1" a="1"/>
  <c r="N2618" i="1" s="1"/>
  <c r="N2617" i="1" a="1"/>
  <c r="N2617" i="1" s="1"/>
  <c r="N2616" i="1" a="1"/>
  <c r="N2616" i="1" s="1"/>
  <c r="N2615" i="1" a="1"/>
  <c r="N2615" i="1" s="1"/>
  <c r="N2614" i="1" a="1"/>
  <c r="N2614" i="1" s="1"/>
  <c r="N2613" i="1" a="1"/>
  <c r="N2613" i="1" s="1"/>
  <c r="N2612" i="1" a="1"/>
  <c r="N2612" i="1" s="1"/>
  <c r="N2611" i="1" a="1"/>
  <c r="N2611" i="1" s="1"/>
  <c r="N2610" i="1" a="1"/>
  <c r="N2610" i="1" s="1"/>
  <c r="N2609" i="1" a="1"/>
  <c r="N2609" i="1" s="1"/>
  <c r="N2608" i="1" a="1"/>
  <c r="N2608" i="1" s="1"/>
  <c r="N2607" i="1" a="1"/>
  <c r="N2607" i="1" s="1"/>
  <c r="N2606" i="1" a="1"/>
  <c r="N2606" i="1" s="1"/>
  <c r="N2605" i="1" a="1"/>
  <c r="N2605" i="1" s="1"/>
  <c r="N2604" i="1" a="1"/>
  <c r="N2604" i="1" s="1"/>
  <c r="N2603" i="1" a="1"/>
  <c r="N2603" i="1" s="1"/>
  <c r="N2602" i="1" a="1"/>
  <c r="N2602" i="1" s="1"/>
  <c r="N2601" i="1" a="1"/>
  <c r="N2601" i="1" s="1"/>
  <c r="N2600" i="1" a="1"/>
  <c r="N2600" i="1" s="1"/>
  <c r="N2599" i="1" a="1"/>
  <c r="N2599" i="1" s="1"/>
  <c r="N2598" i="1" a="1"/>
  <c r="N2598" i="1" s="1"/>
  <c r="N2597" i="1" a="1"/>
  <c r="N2597" i="1" s="1"/>
  <c r="N2596" i="1" a="1"/>
  <c r="N2596" i="1" s="1"/>
  <c r="N2595" i="1" a="1"/>
  <c r="N2595" i="1" s="1"/>
  <c r="N2594" i="1" a="1"/>
  <c r="N2594" i="1" s="1"/>
  <c r="N2593" i="1" a="1"/>
  <c r="N2593" i="1" s="1"/>
  <c r="N2592" i="1" a="1"/>
  <c r="N2592" i="1" s="1"/>
  <c r="N2591" i="1" a="1"/>
  <c r="N2591" i="1" s="1"/>
  <c r="N2590" i="1" a="1"/>
  <c r="N2590" i="1" s="1"/>
  <c r="N2589" i="1" a="1"/>
  <c r="N2589" i="1" s="1"/>
  <c r="N2588" i="1" a="1"/>
  <c r="N2588" i="1" s="1"/>
  <c r="N2587" i="1" a="1"/>
  <c r="N2587" i="1" s="1"/>
  <c r="N2586" i="1" a="1"/>
  <c r="N2586" i="1" s="1"/>
  <c r="N2585" i="1" a="1"/>
  <c r="N2585" i="1" s="1"/>
  <c r="N2584" i="1" a="1"/>
  <c r="N2584" i="1" s="1"/>
  <c r="N2583" i="1" a="1"/>
  <c r="N2583" i="1" s="1"/>
  <c r="N2582" i="1" a="1"/>
  <c r="N2582" i="1" s="1"/>
  <c r="N2581" i="1" a="1"/>
  <c r="N2581" i="1" s="1"/>
  <c r="N2580" i="1" a="1"/>
  <c r="N2580" i="1" s="1"/>
  <c r="N2579" i="1" a="1"/>
  <c r="N2579" i="1" s="1"/>
  <c r="N2578" i="1" a="1"/>
  <c r="N2578" i="1" s="1"/>
  <c r="N2577" i="1" a="1"/>
  <c r="N2577" i="1" s="1"/>
  <c r="N2576" i="1" a="1"/>
  <c r="N2576" i="1" s="1"/>
  <c r="N2575" i="1" a="1"/>
  <c r="N2575" i="1" s="1"/>
  <c r="N2574" i="1" a="1"/>
  <c r="N2574" i="1" s="1"/>
  <c r="N2573" i="1" a="1"/>
  <c r="N2573" i="1" s="1"/>
  <c r="N2572" i="1" a="1"/>
  <c r="N2572" i="1" s="1"/>
  <c r="N2571" i="1" a="1"/>
  <c r="N2571" i="1" s="1"/>
  <c r="N2570" i="1" a="1"/>
  <c r="N2570" i="1" s="1"/>
  <c r="N2569" i="1" a="1"/>
  <c r="N2569" i="1" s="1"/>
  <c r="N2568" i="1" a="1"/>
  <c r="N2568" i="1" s="1"/>
  <c r="N2567" i="1" a="1"/>
  <c r="N2567" i="1" s="1"/>
  <c r="N2566" i="1" a="1"/>
  <c r="N2566" i="1" s="1"/>
  <c r="N2565" i="1" a="1"/>
  <c r="N2565" i="1" s="1"/>
  <c r="N2564" i="1" a="1"/>
  <c r="N2564" i="1" s="1"/>
  <c r="N2563" i="1" a="1"/>
  <c r="N2563" i="1" s="1"/>
  <c r="N2562" i="1" a="1"/>
  <c r="N2562" i="1" s="1"/>
  <c r="N2561" i="1" a="1"/>
  <c r="N2561" i="1" s="1"/>
  <c r="N2560" i="1" a="1"/>
  <c r="N2560" i="1" s="1"/>
  <c r="N2559" i="1" a="1"/>
  <c r="N2559" i="1" s="1"/>
  <c r="N2558" i="1" a="1"/>
  <c r="N2558" i="1" s="1"/>
  <c r="N2557" i="1" a="1"/>
  <c r="N2557" i="1" s="1"/>
  <c r="N2556" i="1" a="1"/>
  <c r="N2556" i="1" s="1"/>
  <c r="N2555" i="1" a="1"/>
  <c r="N2555" i="1" s="1"/>
  <c r="N2554" i="1" a="1"/>
  <c r="N2554" i="1" s="1"/>
  <c r="N2553" i="1" a="1"/>
  <c r="N2553" i="1" s="1"/>
  <c r="N2552" i="1" a="1"/>
  <c r="N2552" i="1" s="1"/>
  <c r="N2551" i="1" a="1"/>
  <c r="N2551" i="1" s="1"/>
  <c r="N2550" i="1" a="1"/>
  <c r="N2550" i="1" s="1"/>
  <c r="N2549" i="1" a="1"/>
  <c r="N2549" i="1" s="1"/>
  <c r="N2548" i="1" a="1"/>
  <c r="N2548" i="1" s="1"/>
  <c r="N2547" i="1" a="1"/>
  <c r="N2547" i="1" s="1"/>
  <c r="N2546" i="1" a="1"/>
  <c r="N2546" i="1" s="1"/>
  <c r="N2545" i="1" a="1"/>
  <c r="N2545" i="1" s="1"/>
  <c r="N2544" i="1" a="1"/>
  <c r="N2544" i="1" s="1"/>
  <c r="N2543" i="1" a="1"/>
  <c r="N2543" i="1" s="1"/>
  <c r="N2542" i="1" a="1"/>
  <c r="N2542" i="1" s="1"/>
  <c r="N2541" i="1" a="1"/>
  <c r="N2541" i="1" s="1"/>
  <c r="N2540" i="1" a="1"/>
  <c r="N2540" i="1" s="1"/>
  <c r="N2539" i="1" a="1"/>
  <c r="N2539" i="1" s="1"/>
  <c r="N2538" i="1" a="1"/>
  <c r="N2538" i="1" s="1"/>
  <c r="N2537" i="1" a="1"/>
  <c r="N2537" i="1" s="1"/>
  <c r="N2536" i="1" a="1"/>
  <c r="N2536" i="1" s="1"/>
  <c r="N2535" i="1" a="1"/>
  <c r="N2535" i="1" s="1"/>
  <c r="N2534" i="1" a="1"/>
  <c r="N2534" i="1" s="1"/>
  <c r="N2533" i="1" a="1"/>
  <c r="N2533" i="1" s="1"/>
  <c r="N2532" i="1" a="1"/>
  <c r="N2532" i="1" s="1"/>
  <c r="N2531" i="1" a="1"/>
  <c r="N2531" i="1" s="1"/>
  <c r="N2530" i="1" a="1"/>
  <c r="N2530" i="1" s="1"/>
  <c r="N2529" i="1" a="1"/>
  <c r="N2529" i="1" s="1"/>
  <c r="N2528" i="1" a="1"/>
  <c r="N2528" i="1" s="1"/>
  <c r="N2527" i="1" a="1"/>
  <c r="N2527" i="1" s="1"/>
  <c r="N2526" i="1" a="1"/>
  <c r="N2526" i="1" s="1"/>
  <c r="N2525" i="1" a="1"/>
  <c r="N2525" i="1" s="1"/>
  <c r="N2524" i="1" a="1"/>
  <c r="N2524" i="1" s="1"/>
  <c r="N2523" i="1" a="1"/>
  <c r="N2523" i="1" s="1"/>
  <c r="N2522" i="1" a="1"/>
  <c r="N2522" i="1" s="1"/>
  <c r="N2521" i="1" a="1"/>
  <c r="N2521" i="1" s="1"/>
  <c r="N2520" i="1" a="1"/>
  <c r="N2520" i="1" s="1"/>
  <c r="N2519" i="1" a="1"/>
  <c r="N2519" i="1" s="1"/>
  <c r="N2518" i="1" a="1"/>
  <c r="N2518" i="1" s="1"/>
  <c r="N2517" i="1" a="1"/>
  <c r="N2517" i="1" s="1"/>
  <c r="N2516" i="1" a="1"/>
  <c r="N2516" i="1" s="1"/>
  <c r="N2515" i="1" a="1"/>
  <c r="N2515" i="1" s="1"/>
  <c r="N2514" i="1" a="1"/>
  <c r="N2514" i="1" s="1"/>
  <c r="N2513" i="1" a="1"/>
  <c r="N2513" i="1" s="1"/>
  <c r="N2512" i="1" a="1"/>
  <c r="N2512" i="1" s="1"/>
  <c r="N2511" i="1" a="1"/>
  <c r="N2511" i="1" s="1"/>
  <c r="N2510" i="1" a="1"/>
  <c r="N2510" i="1" s="1"/>
  <c r="N2509" i="1" a="1"/>
  <c r="N2509" i="1" s="1"/>
  <c r="N2508" i="1" a="1"/>
  <c r="N2508" i="1" s="1"/>
  <c r="N2507" i="1" a="1"/>
  <c r="N2507" i="1" s="1"/>
  <c r="N2506" i="1" a="1"/>
  <c r="N2506" i="1" s="1"/>
  <c r="N2505" i="1" a="1"/>
  <c r="N2505" i="1" s="1"/>
  <c r="N2504" i="1" a="1"/>
  <c r="N2504" i="1" s="1"/>
  <c r="N2503" i="1" a="1"/>
  <c r="N2503" i="1" s="1"/>
  <c r="N2502" i="1" a="1"/>
  <c r="N2502" i="1" s="1"/>
  <c r="N2501" i="1" a="1"/>
  <c r="N2501" i="1" s="1"/>
  <c r="N2500" i="1" a="1"/>
  <c r="N2500" i="1" s="1"/>
  <c r="N2499" i="1" a="1"/>
  <c r="N2499" i="1" s="1"/>
  <c r="N2498" i="1" a="1"/>
  <c r="N2498" i="1" s="1"/>
  <c r="N2497" i="1" a="1"/>
  <c r="N2497" i="1" s="1"/>
  <c r="N2496" i="1" a="1"/>
  <c r="N2496" i="1" s="1"/>
  <c r="N2495" i="1" a="1"/>
  <c r="N2495" i="1" s="1"/>
  <c r="N2494" i="1" a="1"/>
  <c r="N2494" i="1" s="1"/>
  <c r="N2493" i="1" a="1"/>
  <c r="N2493" i="1" s="1"/>
  <c r="N2492" i="1" a="1"/>
  <c r="N2492" i="1" s="1"/>
  <c r="N2491" i="1" a="1"/>
  <c r="N2491" i="1" s="1"/>
  <c r="N2490" i="1" a="1"/>
  <c r="N2490" i="1" s="1"/>
  <c r="N2489" i="1" a="1"/>
  <c r="N2489" i="1" s="1"/>
  <c r="N2488" i="1" a="1"/>
  <c r="N2488" i="1" s="1"/>
  <c r="N2487" i="1" a="1"/>
  <c r="N2487" i="1" s="1"/>
  <c r="N2486" i="1" a="1"/>
  <c r="N2486" i="1" s="1"/>
  <c r="N2485" i="1" a="1"/>
  <c r="N2485" i="1" s="1"/>
  <c r="N2484" i="1" a="1"/>
  <c r="N2484" i="1" s="1"/>
  <c r="N2483" i="1" a="1"/>
  <c r="N2483" i="1" s="1"/>
  <c r="N2482" i="1" a="1"/>
  <c r="N2482" i="1" s="1"/>
  <c r="N2481" i="1" a="1"/>
  <c r="N2481" i="1" s="1"/>
  <c r="N2480" i="1" a="1"/>
  <c r="N2480" i="1" s="1"/>
  <c r="N2479" i="1" a="1"/>
  <c r="N2479" i="1" s="1"/>
  <c r="N2478" i="1" a="1"/>
  <c r="N2478" i="1" s="1"/>
  <c r="N2477" i="1" a="1"/>
  <c r="N2477" i="1" s="1"/>
  <c r="N2476" i="1" a="1"/>
  <c r="N2476" i="1" s="1"/>
  <c r="N2475" i="1" a="1"/>
  <c r="N2475" i="1" s="1"/>
  <c r="N2474" i="1" a="1"/>
  <c r="N2474" i="1" s="1"/>
  <c r="N2473" i="1" a="1"/>
  <c r="N2473" i="1" s="1"/>
  <c r="N2472" i="1" a="1"/>
  <c r="N2472" i="1" s="1"/>
  <c r="N2471" i="1" a="1"/>
  <c r="N2471" i="1" s="1"/>
  <c r="N2470" i="1" a="1"/>
  <c r="N2470" i="1" s="1"/>
  <c r="N2469" i="1" a="1"/>
  <c r="N2469" i="1" s="1"/>
  <c r="N2468" i="1" a="1"/>
  <c r="N2468" i="1" s="1"/>
  <c r="N2467" i="1" a="1"/>
  <c r="N2467" i="1" s="1"/>
  <c r="N2466" i="1" a="1"/>
  <c r="N2466" i="1" s="1"/>
  <c r="N2465" i="1" a="1"/>
  <c r="N2465" i="1" s="1"/>
  <c r="N2464" i="1" a="1"/>
  <c r="N2464" i="1" s="1"/>
  <c r="N2463" i="1" a="1"/>
  <c r="N2463" i="1" s="1"/>
  <c r="N2462" i="1" a="1"/>
  <c r="N2462" i="1" s="1"/>
  <c r="N2461" i="1" a="1"/>
  <c r="N2461" i="1" s="1"/>
  <c r="N2460" i="1" a="1"/>
  <c r="N2460" i="1" s="1"/>
  <c r="N2459" i="1" a="1"/>
  <c r="N2459" i="1" s="1"/>
  <c r="N2458" i="1" a="1"/>
  <c r="N2458" i="1" s="1"/>
  <c r="N2457" i="1" a="1"/>
  <c r="N2457" i="1" s="1"/>
  <c r="N2456" i="1" a="1"/>
  <c r="N2456" i="1" s="1"/>
  <c r="N2455" i="1" a="1"/>
  <c r="N2455" i="1" s="1"/>
  <c r="N2454" i="1" a="1"/>
  <c r="N2454" i="1" s="1"/>
  <c r="N2453" i="1" a="1"/>
  <c r="N2453" i="1" s="1"/>
  <c r="N2452" i="1" a="1"/>
  <c r="N2452" i="1" s="1"/>
  <c r="N2451" i="1" a="1"/>
  <c r="N2451" i="1" s="1"/>
  <c r="N2450" i="1" a="1"/>
  <c r="N2450" i="1" s="1"/>
  <c r="N2449" i="1" a="1"/>
  <c r="N2449" i="1" s="1"/>
  <c r="N2448" i="1" a="1"/>
  <c r="N2448" i="1" s="1"/>
  <c r="N2447" i="1" a="1"/>
  <c r="N2447" i="1" s="1"/>
  <c r="N2446" i="1" a="1"/>
  <c r="N2446" i="1" s="1"/>
  <c r="N2445" i="1" a="1"/>
  <c r="N2445" i="1" s="1"/>
  <c r="N2444" i="1" a="1"/>
  <c r="N2444" i="1" s="1"/>
  <c r="N2443" i="1" a="1"/>
  <c r="N2443" i="1" s="1"/>
  <c r="N2442" i="1" a="1"/>
  <c r="N2442" i="1" s="1"/>
  <c r="N2441" i="1" a="1"/>
  <c r="N2441" i="1" s="1"/>
  <c r="N2440" i="1" a="1"/>
  <c r="N2440" i="1" s="1"/>
  <c r="N2439" i="1" a="1"/>
  <c r="N2439" i="1" s="1"/>
  <c r="N2438" i="1" a="1"/>
  <c r="N2438" i="1" s="1"/>
  <c r="N2437" i="1" a="1"/>
  <c r="N2437" i="1" s="1"/>
  <c r="N2436" i="1" a="1"/>
  <c r="N2436" i="1" s="1"/>
  <c r="N2435" i="1" a="1"/>
  <c r="N2435" i="1" s="1"/>
  <c r="N2434" i="1" a="1"/>
  <c r="N2434" i="1" s="1"/>
  <c r="N2433" i="1" a="1"/>
  <c r="N2433" i="1" s="1"/>
  <c r="N2432" i="1" a="1"/>
  <c r="N2432" i="1" s="1"/>
  <c r="N2431" i="1" a="1"/>
  <c r="N2431" i="1" s="1"/>
  <c r="N2430" i="1" a="1"/>
  <c r="N2430" i="1" s="1"/>
  <c r="N2429" i="1" a="1"/>
  <c r="N2429" i="1" s="1"/>
  <c r="N2428" i="1" a="1"/>
  <c r="N2428" i="1" s="1"/>
  <c r="N2427" i="1" a="1"/>
  <c r="N2427" i="1" s="1"/>
  <c r="N2426" i="1" a="1"/>
  <c r="N2426" i="1" s="1"/>
  <c r="N2425" i="1" a="1"/>
  <c r="N2425" i="1" s="1"/>
  <c r="N2424" i="1" a="1"/>
  <c r="N2424" i="1" s="1"/>
  <c r="N2423" i="1" a="1"/>
  <c r="N2423" i="1" s="1"/>
  <c r="N2422" i="1" a="1"/>
  <c r="N2422" i="1" s="1"/>
  <c r="N2421" i="1" a="1"/>
  <c r="N2421" i="1" s="1"/>
  <c r="N2420" i="1" a="1"/>
  <c r="N2420" i="1" s="1"/>
  <c r="N2419" i="1" a="1"/>
  <c r="N2419" i="1" s="1"/>
  <c r="N2418" i="1" a="1"/>
  <c r="N2418" i="1" s="1"/>
  <c r="N2417" i="1" a="1"/>
  <c r="N2417" i="1" s="1"/>
  <c r="N2416" i="1" a="1"/>
  <c r="N2416" i="1" s="1"/>
  <c r="N2415" i="1" a="1"/>
  <c r="N2415" i="1" s="1"/>
  <c r="N2414" i="1" a="1"/>
  <c r="N2414" i="1" s="1"/>
  <c r="N2413" i="1" a="1"/>
  <c r="N2413" i="1" s="1"/>
  <c r="N2412" i="1" a="1"/>
  <c r="N2412" i="1" s="1"/>
  <c r="N2411" i="1" a="1"/>
  <c r="N2411" i="1" s="1"/>
  <c r="N2410" i="1" a="1"/>
  <c r="N2410" i="1" s="1"/>
  <c r="N2409" i="1" a="1"/>
  <c r="N2409" i="1" s="1"/>
  <c r="N2408" i="1" a="1"/>
  <c r="N2408" i="1" s="1"/>
  <c r="N2407" i="1" a="1"/>
  <c r="N2407" i="1" s="1"/>
  <c r="N2406" i="1" a="1"/>
  <c r="N2406" i="1" s="1"/>
  <c r="N2405" i="1" a="1"/>
  <c r="N2405" i="1" s="1"/>
  <c r="N2404" i="1" a="1"/>
  <c r="N2404" i="1" s="1"/>
  <c r="N2403" i="1" a="1"/>
  <c r="N2403" i="1" s="1"/>
  <c r="N2402" i="1" a="1"/>
  <c r="N2402" i="1" s="1"/>
  <c r="N2401" i="1" a="1"/>
  <c r="N2401" i="1" s="1"/>
  <c r="N2400" i="1" a="1"/>
  <c r="N2400" i="1" s="1"/>
  <c r="N2399" i="1" a="1"/>
  <c r="N2399" i="1" s="1"/>
  <c r="N2398" i="1" a="1"/>
  <c r="N2398" i="1" s="1"/>
  <c r="N2397" i="1" a="1"/>
  <c r="N2397" i="1" s="1"/>
  <c r="N2396" i="1" a="1"/>
  <c r="N2396" i="1" s="1"/>
  <c r="N2395" i="1" a="1"/>
  <c r="N2395" i="1" s="1"/>
  <c r="N2394" i="1" a="1"/>
  <c r="N2394" i="1" s="1"/>
  <c r="N2393" i="1" a="1"/>
  <c r="N2393" i="1" s="1"/>
  <c r="N2392" i="1" a="1"/>
  <c r="N2392" i="1" s="1"/>
  <c r="N2391" i="1" a="1"/>
  <c r="N2391" i="1" s="1"/>
  <c r="N2390" i="1" a="1"/>
  <c r="N2390" i="1" s="1"/>
  <c r="N2389" i="1" a="1"/>
  <c r="N2389" i="1" s="1"/>
  <c r="N2388" i="1" a="1"/>
  <c r="N2388" i="1" s="1"/>
  <c r="N2387" i="1" a="1"/>
  <c r="N2387" i="1" s="1"/>
  <c r="N2386" i="1" a="1"/>
  <c r="N2386" i="1" s="1"/>
  <c r="N2385" i="1" a="1"/>
  <c r="N2385" i="1" s="1"/>
  <c r="N2384" i="1" a="1"/>
  <c r="N2384" i="1" s="1"/>
  <c r="N2383" i="1" a="1"/>
  <c r="N2383" i="1" s="1"/>
  <c r="N2382" i="1" a="1"/>
  <c r="N2382" i="1" s="1"/>
  <c r="N2381" i="1" a="1"/>
  <c r="N2381" i="1" s="1"/>
  <c r="N2380" i="1" a="1"/>
  <c r="N2380" i="1" s="1"/>
  <c r="N2379" i="1" a="1"/>
  <c r="N2379" i="1" s="1"/>
  <c r="N2378" i="1" a="1"/>
  <c r="N2378" i="1" s="1"/>
  <c r="N2377" i="1" a="1"/>
  <c r="N2377" i="1" s="1"/>
  <c r="N2376" i="1" a="1"/>
  <c r="N2376" i="1" s="1"/>
  <c r="N2375" i="1" a="1"/>
  <c r="N2375" i="1" s="1"/>
  <c r="N2374" i="1" a="1"/>
  <c r="N2374" i="1" s="1"/>
  <c r="N2373" i="1" a="1"/>
  <c r="N2373" i="1" s="1"/>
  <c r="N2372" i="1" a="1"/>
  <c r="N2372" i="1" s="1"/>
  <c r="N2371" i="1" a="1"/>
  <c r="N2371" i="1" s="1"/>
  <c r="N2370" i="1" a="1"/>
  <c r="N2370" i="1" s="1"/>
  <c r="N2369" i="1" a="1"/>
  <c r="N2369" i="1" s="1"/>
  <c r="N2368" i="1" a="1"/>
  <c r="N2368" i="1" s="1"/>
  <c r="N2367" i="1" a="1"/>
  <c r="N2367" i="1" s="1"/>
  <c r="N2366" i="1" a="1"/>
  <c r="N2366" i="1" s="1"/>
  <c r="N2365" i="1" a="1"/>
  <c r="N2365" i="1" s="1"/>
  <c r="N2364" i="1" a="1"/>
  <c r="N2364" i="1" s="1"/>
  <c r="N2363" i="1" a="1"/>
  <c r="N2363" i="1" s="1"/>
  <c r="N2362" i="1" a="1"/>
  <c r="N2362" i="1" s="1"/>
  <c r="N2361" i="1" a="1"/>
  <c r="N2361" i="1" s="1"/>
  <c r="N2360" i="1" a="1"/>
  <c r="N2360" i="1" s="1"/>
  <c r="N2359" i="1" a="1"/>
  <c r="N2359" i="1" s="1"/>
  <c r="N2358" i="1" a="1"/>
  <c r="N2358" i="1" s="1"/>
  <c r="N2357" i="1" a="1"/>
  <c r="N2357" i="1" s="1"/>
  <c r="N2356" i="1" a="1"/>
  <c r="N2356" i="1" s="1"/>
  <c r="N2355" i="1" a="1"/>
  <c r="N2355" i="1" s="1"/>
  <c r="N2354" i="1" a="1"/>
  <c r="N2354" i="1" s="1"/>
  <c r="N2353" i="1" a="1"/>
  <c r="N2353" i="1" s="1"/>
  <c r="N2352" i="1" a="1"/>
  <c r="N2352" i="1" s="1"/>
  <c r="N2351" i="1" a="1"/>
  <c r="N2351" i="1" s="1"/>
  <c r="N2350" i="1" a="1"/>
  <c r="N2350" i="1" s="1"/>
  <c r="N2349" i="1" a="1"/>
  <c r="N2349" i="1" s="1"/>
  <c r="N2348" i="1" a="1"/>
  <c r="N2348" i="1" s="1"/>
  <c r="N2347" i="1" a="1"/>
  <c r="N2347" i="1" s="1"/>
  <c r="N2346" i="1" a="1"/>
  <c r="N2346" i="1" s="1"/>
  <c r="N2345" i="1" a="1"/>
  <c r="N2345" i="1" s="1"/>
  <c r="N2344" i="1" a="1"/>
  <c r="N2344" i="1" s="1"/>
  <c r="N2343" i="1" a="1"/>
  <c r="N2343" i="1" s="1"/>
  <c r="N2342" i="1" a="1"/>
  <c r="N2342" i="1" s="1"/>
  <c r="N2341" i="1" a="1"/>
  <c r="N2341" i="1" s="1"/>
  <c r="N2340" i="1" a="1"/>
  <c r="N2340" i="1" s="1"/>
  <c r="N2339" i="1" a="1"/>
  <c r="N2339" i="1" s="1"/>
  <c r="N2338" i="1" a="1"/>
  <c r="N2338" i="1" s="1"/>
  <c r="N2337" i="1" a="1"/>
  <c r="N2337" i="1" s="1"/>
  <c r="N2336" i="1" a="1"/>
  <c r="N2336" i="1" s="1"/>
  <c r="N2335" i="1" a="1"/>
  <c r="N2335" i="1" s="1"/>
  <c r="N2334" i="1" a="1"/>
  <c r="N2334" i="1" s="1"/>
  <c r="N2333" i="1" a="1"/>
  <c r="N2333" i="1" s="1"/>
  <c r="N2332" i="1" a="1"/>
  <c r="N2332" i="1" s="1"/>
  <c r="N2331" i="1" a="1"/>
  <c r="N2331" i="1" s="1"/>
  <c r="N2330" i="1" a="1"/>
  <c r="N2330" i="1" s="1"/>
  <c r="N2329" i="1" a="1"/>
  <c r="N2329" i="1" s="1"/>
  <c r="N2328" i="1" a="1"/>
  <c r="N2328" i="1" s="1"/>
  <c r="N2327" i="1" a="1"/>
  <c r="N2327" i="1" s="1"/>
  <c r="N2326" i="1" a="1"/>
  <c r="N2326" i="1" s="1"/>
  <c r="N2325" i="1" a="1"/>
  <c r="N2325" i="1" s="1"/>
  <c r="N2324" i="1" a="1"/>
  <c r="N2324" i="1" s="1"/>
  <c r="N2323" i="1" a="1"/>
  <c r="N2323" i="1" s="1"/>
  <c r="N2322" i="1" a="1"/>
  <c r="N2322" i="1" s="1"/>
  <c r="N2321" i="1" a="1"/>
  <c r="N2321" i="1" s="1"/>
  <c r="N2320" i="1" a="1"/>
  <c r="N2320" i="1" s="1"/>
  <c r="N2319" i="1" a="1"/>
  <c r="N2319" i="1" s="1"/>
  <c r="N2318" i="1" a="1"/>
  <c r="N2318" i="1" s="1"/>
  <c r="N2317" i="1" a="1"/>
  <c r="N2317" i="1" s="1"/>
  <c r="N2316" i="1" a="1"/>
  <c r="N2316" i="1" s="1"/>
  <c r="N2315" i="1" a="1"/>
  <c r="N2315" i="1" s="1"/>
  <c r="N2314" i="1" a="1"/>
  <c r="N2314" i="1" s="1"/>
  <c r="N2313" i="1" a="1"/>
  <c r="N2313" i="1" s="1"/>
  <c r="N2312" i="1" a="1"/>
  <c r="N2312" i="1" s="1"/>
  <c r="N2311" i="1" a="1"/>
  <c r="N2311" i="1" s="1"/>
  <c r="N2310" i="1" a="1"/>
  <c r="N2310" i="1" s="1"/>
  <c r="N2309" i="1" a="1"/>
  <c r="N2309" i="1" s="1"/>
  <c r="N2308" i="1" a="1"/>
  <c r="N2308" i="1" s="1"/>
  <c r="N2307" i="1" a="1"/>
  <c r="N2307" i="1" s="1"/>
  <c r="N2306" i="1" a="1"/>
  <c r="N2306" i="1" s="1"/>
  <c r="N2305" i="1" a="1"/>
  <c r="N2305" i="1" s="1"/>
  <c r="N2304" i="1" a="1"/>
  <c r="N2304" i="1" s="1"/>
  <c r="N2303" i="1" a="1"/>
  <c r="N2303" i="1" s="1"/>
  <c r="N2302" i="1" a="1"/>
  <c r="N2302" i="1" s="1"/>
  <c r="N2301" i="1" a="1"/>
  <c r="N2301" i="1" s="1"/>
  <c r="N2300" i="1" a="1"/>
  <c r="N2300" i="1" s="1"/>
  <c r="N2299" i="1" a="1"/>
  <c r="N2299" i="1" s="1"/>
  <c r="N2298" i="1" a="1"/>
  <c r="N2298" i="1" s="1"/>
  <c r="N2297" i="1" a="1"/>
  <c r="N2297" i="1" s="1"/>
  <c r="N2296" i="1" a="1"/>
  <c r="N2296" i="1" s="1"/>
  <c r="N2295" i="1" a="1"/>
  <c r="N2295" i="1" s="1"/>
  <c r="N2294" i="1" a="1"/>
  <c r="N2294" i="1" s="1"/>
  <c r="N2293" i="1" a="1"/>
  <c r="N2293" i="1" s="1"/>
  <c r="N2292" i="1" a="1"/>
  <c r="N2292" i="1" s="1"/>
  <c r="N2291" i="1" a="1"/>
  <c r="N2291" i="1" s="1"/>
  <c r="N2290" i="1" a="1"/>
  <c r="N2290" i="1" s="1"/>
  <c r="N2289" i="1" a="1"/>
  <c r="N2289" i="1" s="1"/>
  <c r="N2288" i="1" a="1"/>
  <c r="N2288" i="1" s="1"/>
  <c r="N2287" i="1" a="1"/>
  <c r="N2287" i="1" s="1"/>
  <c r="N2286" i="1" a="1"/>
  <c r="N2286" i="1" s="1"/>
  <c r="N2285" i="1" a="1"/>
  <c r="N2285" i="1" s="1"/>
  <c r="N2284" i="1" a="1"/>
  <c r="N2284" i="1" s="1"/>
  <c r="N2283" i="1" a="1"/>
  <c r="N2283" i="1" s="1"/>
  <c r="N2282" i="1" a="1"/>
  <c r="N2282" i="1" s="1"/>
  <c r="N2281" i="1" a="1"/>
  <c r="N2281" i="1" s="1"/>
  <c r="N2280" i="1" a="1"/>
  <c r="N2280" i="1" s="1"/>
  <c r="N2279" i="1" a="1"/>
  <c r="N2279" i="1" s="1"/>
  <c r="N2278" i="1" a="1"/>
  <c r="N2278" i="1" s="1"/>
  <c r="N2277" i="1" a="1"/>
  <c r="N2277" i="1" s="1"/>
  <c r="N2276" i="1" a="1"/>
  <c r="N2276" i="1" s="1"/>
  <c r="N2275" i="1" a="1"/>
  <c r="N2275" i="1" s="1"/>
  <c r="N2274" i="1" a="1"/>
  <c r="N2274" i="1" s="1"/>
  <c r="N2273" i="1" a="1"/>
  <c r="N2273" i="1" s="1"/>
  <c r="N2272" i="1" a="1"/>
  <c r="N2272" i="1" s="1"/>
  <c r="N2271" i="1" a="1"/>
  <c r="N2271" i="1" s="1"/>
  <c r="N2270" i="1" a="1"/>
  <c r="N2270" i="1" s="1"/>
  <c r="N2269" i="1" a="1"/>
  <c r="N2269" i="1" s="1"/>
  <c r="N2268" i="1" a="1"/>
  <c r="N2268" i="1" s="1"/>
  <c r="N2267" i="1" a="1"/>
  <c r="N2267" i="1" s="1"/>
  <c r="N2266" i="1" a="1"/>
  <c r="N2266" i="1" s="1"/>
  <c r="N2265" i="1" a="1"/>
  <c r="N2265" i="1" s="1"/>
  <c r="N2264" i="1" a="1"/>
  <c r="N2264" i="1" s="1"/>
  <c r="N2263" i="1" a="1"/>
  <c r="N2263" i="1" s="1"/>
  <c r="N2262" i="1" a="1"/>
  <c r="N2262" i="1" s="1"/>
  <c r="N2261" i="1" a="1"/>
  <c r="N2261" i="1" s="1"/>
  <c r="N2260" i="1" a="1"/>
  <c r="N2260" i="1" s="1"/>
  <c r="N2259" i="1" a="1"/>
  <c r="N2259" i="1" s="1"/>
  <c r="N2258" i="1" a="1"/>
  <c r="N2258" i="1" s="1"/>
  <c r="N2257" i="1" a="1"/>
  <c r="N2257" i="1" s="1"/>
  <c r="N2256" i="1" a="1"/>
  <c r="N2256" i="1" s="1"/>
  <c r="N2255" i="1" a="1"/>
  <c r="N2255" i="1" s="1"/>
  <c r="N2254" i="1" a="1"/>
  <c r="N2254" i="1" s="1"/>
  <c r="N2253" i="1" a="1"/>
  <c r="N2253" i="1" s="1"/>
  <c r="N2252" i="1" a="1"/>
  <c r="N2252" i="1" s="1"/>
  <c r="N2251" i="1" a="1"/>
  <c r="N2251" i="1" s="1"/>
  <c r="N2250" i="1" a="1"/>
  <c r="N2250" i="1" s="1"/>
  <c r="N2249" i="1" a="1"/>
  <c r="N2249" i="1" s="1"/>
  <c r="N2248" i="1" a="1"/>
  <c r="N2248" i="1" s="1"/>
  <c r="N2247" i="1" a="1"/>
  <c r="N2247" i="1" s="1"/>
  <c r="N2246" i="1" a="1"/>
  <c r="N2246" i="1" s="1"/>
  <c r="N2245" i="1" a="1"/>
  <c r="N2245" i="1" s="1"/>
  <c r="N2244" i="1" a="1"/>
  <c r="N2244" i="1" s="1"/>
  <c r="N2243" i="1" a="1"/>
  <c r="N2243" i="1" s="1"/>
  <c r="N2242" i="1" a="1"/>
  <c r="N2242" i="1" s="1"/>
  <c r="N2241" i="1" a="1"/>
  <c r="N2241" i="1" s="1"/>
  <c r="N2240" i="1" a="1"/>
  <c r="N2240" i="1" s="1"/>
  <c r="N2239" i="1" a="1"/>
  <c r="N2239" i="1" s="1"/>
  <c r="N2238" i="1" a="1"/>
  <c r="N2238" i="1" s="1"/>
  <c r="N2237" i="1" a="1"/>
  <c r="N2237" i="1" s="1"/>
  <c r="N2236" i="1" a="1"/>
  <c r="N2236" i="1" s="1"/>
  <c r="N2235" i="1" a="1"/>
  <c r="N2235" i="1" s="1"/>
  <c r="N2234" i="1" a="1"/>
  <c r="N2234" i="1" s="1"/>
  <c r="N2233" i="1" a="1"/>
  <c r="N2233" i="1" s="1"/>
  <c r="N2232" i="1" a="1"/>
  <c r="N2232" i="1" s="1"/>
  <c r="N2231" i="1" a="1"/>
  <c r="N2231" i="1" s="1"/>
  <c r="N2230" i="1" a="1"/>
  <c r="N2230" i="1" s="1"/>
  <c r="N2229" i="1" a="1"/>
  <c r="N2229" i="1" s="1"/>
  <c r="N2228" i="1" a="1"/>
  <c r="N2228" i="1" s="1"/>
  <c r="N2227" i="1" a="1"/>
  <c r="N2227" i="1" s="1"/>
  <c r="N2226" i="1" a="1"/>
  <c r="N2226" i="1" s="1"/>
  <c r="N2225" i="1" a="1"/>
  <c r="N2225" i="1" s="1"/>
  <c r="N2224" i="1" a="1"/>
  <c r="N2224" i="1" s="1"/>
  <c r="N2223" i="1" a="1"/>
  <c r="N2223" i="1" s="1"/>
  <c r="N2222" i="1" a="1"/>
  <c r="N2222" i="1" s="1"/>
  <c r="N2221" i="1" a="1"/>
  <c r="N2221" i="1" s="1"/>
  <c r="N2220" i="1" a="1"/>
  <c r="N2220" i="1" s="1"/>
  <c r="N2219" i="1" a="1"/>
  <c r="N2219" i="1" s="1"/>
  <c r="N2218" i="1" a="1"/>
  <c r="N2218" i="1" s="1"/>
  <c r="N2217" i="1" a="1"/>
  <c r="N2217" i="1" s="1"/>
  <c r="N2216" i="1" a="1"/>
  <c r="N2216" i="1" s="1"/>
  <c r="N2215" i="1" a="1"/>
  <c r="N2215" i="1" s="1"/>
  <c r="N2214" i="1" a="1"/>
  <c r="N2214" i="1" s="1"/>
  <c r="N2213" i="1" a="1"/>
  <c r="N2213" i="1" s="1"/>
  <c r="N2212" i="1" a="1"/>
  <c r="N2212" i="1" s="1"/>
  <c r="N2211" i="1" a="1"/>
  <c r="N2211" i="1" s="1"/>
  <c r="N2210" i="1" a="1"/>
  <c r="N2210" i="1" s="1"/>
  <c r="N2209" i="1" a="1"/>
  <c r="N2209" i="1" s="1"/>
  <c r="N2208" i="1" a="1"/>
  <c r="N2208" i="1" s="1"/>
  <c r="N2207" i="1" a="1"/>
  <c r="N2207" i="1" s="1"/>
  <c r="N2206" i="1" a="1"/>
  <c r="N2206" i="1" s="1"/>
  <c r="N2205" i="1" a="1"/>
  <c r="N2205" i="1" s="1"/>
  <c r="N2204" i="1" a="1"/>
  <c r="N2204" i="1" s="1"/>
  <c r="N2203" i="1" a="1"/>
  <c r="N2203" i="1" s="1"/>
  <c r="N2202" i="1" a="1"/>
  <c r="N2202" i="1" s="1"/>
  <c r="N2201" i="1" a="1"/>
  <c r="N2201" i="1" s="1"/>
  <c r="N2200" i="1" a="1"/>
  <c r="N2200" i="1" s="1"/>
  <c r="N2199" i="1" a="1"/>
  <c r="N2199" i="1" s="1"/>
  <c r="N2198" i="1" a="1"/>
  <c r="N2198" i="1" s="1"/>
  <c r="N2197" i="1" a="1"/>
  <c r="N2197" i="1" s="1"/>
  <c r="N2196" i="1" a="1"/>
  <c r="N2196" i="1" s="1"/>
  <c r="N2195" i="1" a="1"/>
  <c r="N2195" i="1" s="1"/>
  <c r="N2194" i="1" a="1"/>
  <c r="N2194" i="1" s="1"/>
  <c r="N2193" i="1" a="1"/>
  <c r="N2193" i="1" s="1"/>
  <c r="N2192" i="1" a="1"/>
  <c r="N2192" i="1" s="1"/>
  <c r="N2191" i="1" a="1"/>
  <c r="N2191" i="1" s="1"/>
  <c r="N2190" i="1" a="1"/>
  <c r="N2190" i="1" s="1"/>
  <c r="N2189" i="1" a="1"/>
  <c r="N2189" i="1" s="1"/>
  <c r="N2188" i="1" a="1"/>
  <c r="N2188" i="1" s="1"/>
  <c r="N2187" i="1" a="1"/>
  <c r="N2187" i="1" s="1"/>
  <c r="N2186" i="1" a="1"/>
  <c r="N2186" i="1" s="1"/>
  <c r="N2185" i="1" a="1"/>
  <c r="N2185" i="1" s="1"/>
  <c r="N2184" i="1" a="1"/>
  <c r="N2184" i="1" s="1"/>
  <c r="N2183" i="1" a="1"/>
  <c r="N2183" i="1" s="1"/>
  <c r="N2182" i="1" a="1"/>
  <c r="N2182" i="1" s="1"/>
  <c r="N2181" i="1" a="1"/>
  <c r="N2181" i="1" s="1"/>
  <c r="N2180" i="1" a="1"/>
  <c r="N2180" i="1" s="1"/>
  <c r="N2179" i="1" a="1"/>
  <c r="N2179" i="1" s="1"/>
  <c r="N2178" i="1" a="1"/>
  <c r="N2178" i="1" s="1"/>
  <c r="N2177" i="1" a="1"/>
  <c r="N2177" i="1" s="1"/>
  <c r="N2176" i="1" a="1"/>
  <c r="N2176" i="1" s="1"/>
  <c r="N2174" i="1" a="1"/>
  <c r="N2174" i="1" s="1"/>
  <c r="N2173" i="1" a="1"/>
  <c r="N2173" i="1" s="1"/>
  <c r="N2172" i="1" a="1"/>
  <c r="N2172" i="1" s="1"/>
  <c r="N2171" i="1" a="1"/>
  <c r="N2171" i="1" s="1"/>
  <c r="N2170" i="1" a="1"/>
  <c r="N2170" i="1" s="1"/>
  <c r="N2169" i="1" a="1"/>
  <c r="N2169" i="1" s="1"/>
  <c r="N2168" i="1" a="1"/>
  <c r="N2168" i="1" s="1"/>
  <c r="N2167" i="1" a="1"/>
  <c r="N2167" i="1" s="1"/>
  <c r="N2166" i="1" a="1"/>
  <c r="N2166" i="1" s="1"/>
  <c r="N2165" i="1" a="1"/>
  <c r="N2165" i="1" s="1"/>
  <c r="N2164" i="1" a="1"/>
  <c r="N2164" i="1" s="1"/>
  <c r="N2163" i="1" a="1"/>
  <c r="N2163" i="1" s="1"/>
  <c r="N2162" i="1" a="1"/>
  <c r="N2162" i="1" s="1"/>
  <c r="N2161" i="1" a="1"/>
  <c r="N2161" i="1" s="1"/>
  <c r="N2160" i="1" a="1"/>
  <c r="N2160" i="1" s="1"/>
  <c r="N2159" i="1" a="1"/>
  <c r="N2159" i="1" s="1"/>
  <c r="N2158" i="1" a="1"/>
  <c r="N2158" i="1" s="1"/>
  <c r="N2157" i="1" a="1"/>
  <c r="N2157" i="1" s="1"/>
  <c r="N2156" i="1" a="1"/>
  <c r="N2156" i="1" s="1"/>
  <c r="N2155" i="1" a="1"/>
  <c r="N2155" i="1" s="1"/>
  <c r="N2154" i="1" a="1"/>
  <c r="N2154" i="1" s="1"/>
  <c r="N2153" i="1" a="1"/>
  <c r="N2153" i="1" s="1"/>
  <c r="N2152" i="1" a="1"/>
  <c r="N2152" i="1" s="1"/>
  <c r="N2151" i="1" a="1"/>
  <c r="N2151" i="1" s="1"/>
  <c r="N2150" i="1" a="1"/>
  <c r="N2150" i="1" s="1"/>
  <c r="N2149" i="1" a="1"/>
  <c r="N2149" i="1" s="1"/>
  <c r="N2148" i="1" a="1"/>
  <c r="N2148" i="1" s="1"/>
  <c r="N2147" i="1" a="1"/>
  <c r="N2147" i="1" s="1"/>
  <c r="N2146" i="1" a="1"/>
  <c r="N2146" i="1" s="1"/>
  <c r="N2145" i="1" a="1"/>
  <c r="N2145" i="1" s="1"/>
  <c r="N2144" i="1" a="1"/>
  <c r="N2144" i="1" s="1"/>
  <c r="N2143" i="1" a="1"/>
  <c r="N2143" i="1" s="1"/>
  <c r="N2142" i="1" a="1"/>
  <c r="N2142" i="1" s="1"/>
  <c r="N2141" i="1" a="1"/>
  <c r="N2141" i="1" s="1"/>
  <c r="N2140" i="1" a="1"/>
  <c r="N2140" i="1" s="1"/>
  <c r="N2139" i="1" a="1"/>
  <c r="N2139" i="1" s="1"/>
  <c r="N2138" i="1" a="1"/>
  <c r="N2138" i="1" s="1"/>
  <c r="N2137" i="1" a="1"/>
  <c r="N2137" i="1" s="1"/>
  <c r="N2136" i="1" a="1"/>
  <c r="N2136" i="1" s="1"/>
  <c r="N2135" i="1" a="1"/>
  <c r="N2135" i="1" s="1"/>
  <c r="N2134" i="1" a="1"/>
  <c r="N2134" i="1" s="1"/>
  <c r="N2133" i="1" a="1"/>
  <c r="N2133" i="1" s="1"/>
  <c r="N2132" i="1" a="1"/>
  <c r="N2132" i="1" s="1"/>
  <c r="N2131" i="1" a="1"/>
  <c r="N2131" i="1" s="1"/>
  <c r="N2130" i="1" a="1"/>
  <c r="N2130" i="1" s="1"/>
  <c r="N2129" i="1" a="1"/>
  <c r="N2129" i="1" s="1"/>
  <c r="N2128" i="1" a="1"/>
  <c r="N2128" i="1" s="1"/>
  <c r="N2127" i="1" a="1"/>
  <c r="N2127" i="1" s="1"/>
  <c r="N2126" i="1" a="1"/>
  <c r="N2126" i="1" s="1"/>
  <c r="N2125" i="1" a="1"/>
  <c r="N2125" i="1" s="1"/>
  <c r="N2124" i="1" a="1"/>
  <c r="N2124" i="1" s="1"/>
  <c r="N2123" i="1" a="1"/>
  <c r="N2123" i="1" s="1"/>
  <c r="N2122" i="1" a="1"/>
  <c r="N2122" i="1" s="1"/>
  <c r="N2121" i="1" a="1"/>
  <c r="N2121" i="1" s="1"/>
  <c r="N2120" i="1" a="1"/>
  <c r="N2120" i="1" s="1"/>
  <c r="N2119" i="1" a="1"/>
  <c r="N2119" i="1" s="1"/>
  <c r="N2118" i="1" a="1"/>
  <c r="N2118" i="1" s="1"/>
  <c r="N2117" i="1" a="1"/>
  <c r="N2117" i="1" s="1"/>
  <c r="N2116" i="1" a="1"/>
  <c r="N2116" i="1" s="1"/>
  <c r="N2115" i="1" a="1"/>
  <c r="N2115" i="1" s="1"/>
  <c r="N2114" i="1" a="1"/>
  <c r="N2114" i="1" s="1"/>
  <c r="N2113" i="1" a="1"/>
  <c r="N2113" i="1" s="1"/>
  <c r="N2112" i="1" a="1"/>
  <c r="N2112" i="1" s="1"/>
  <c r="N2111" i="1" a="1"/>
  <c r="N2111" i="1" s="1"/>
  <c r="N2110" i="1" a="1"/>
  <c r="N2110" i="1" s="1"/>
  <c r="N2109" i="1" a="1"/>
  <c r="N2109" i="1" s="1"/>
  <c r="N2108" i="1" a="1"/>
  <c r="N2108" i="1" s="1"/>
  <c r="N2107" i="1" a="1"/>
  <c r="N2107" i="1" s="1"/>
  <c r="N2106" i="1" a="1"/>
  <c r="N2106" i="1" s="1"/>
  <c r="N2105" i="1" a="1"/>
  <c r="N2105" i="1" s="1"/>
  <c r="N2104" i="1" a="1"/>
  <c r="N2104" i="1" s="1"/>
  <c r="N2103" i="1" a="1"/>
  <c r="N2103" i="1" s="1"/>
  <c r="N2102" i="1" a="1"/>
  <c r="N2102" i="1" s="1"/>
  <c r="N2101" i="1" a="1"/>
  <c r="N2101" i="1" s="1"/>
  <c r="N2100" i="1" a="1"/>
  <c r="N2100" i="1" s="1"/>
  <c r="N2099" i="1" a="1"/>
  <c r="N2099" i="1" s="1"/>
  <c r="N2098" i="1" a="1"/>
  <c r="N2098" i="1" s="1"/>
  <c r="N2097" i="1" a="1"/>
  <c r="N2097" i="1" s="1"/>
  <c r="N2096" i="1" a="1"/>
  <c r="N2096" i="1" s="1"/>
  <c r="N2095" i="1" a="1"/>
  <c r="N2095" i="1" s="1"/>
  <c r="N2094" i="1" a="1"/>
  <c r="N2094" i="1" s="1"/>
  <c r="N2093" i="1" a="1"/>
  <c r="N2093" i="1" s="1"/>
  <c r="N2092" i="1" a="1"/>
  <c r="N2092" i="1" s="1"/>
  <c r="N2091" i="1" a="1"/>
  <c r="N2091" i="1" s="1"/>
  <c r="N2090" i="1" a="1"/>
  <c r="N2090" i="1" s="1"/>
  <c r="N2089" i="1" a="1"/>
  <c r="N2089" i="1" s="1"/>
  <c r="N2088" i="1" a="1"/>
  <c r="N2088" i="1" s="1"/>
  <c r="N2087" i="1" a="1"/>
  <c r="N2087" i="1" s="1"/>
  <c r="N2086" i="1" a="1"/>
  <c r="N2086" i="1" s="1"/>
  <c r="N2085" i="1" a="1"/>
  <c r="N2085" i="1" s="1"/>
  <c r="N2084" i="1" a="1"/>
  <c r="N2084" i="1" s="1"/>
  <c r="N2083" i="1" a="1"/>
  <c r="N2083" i="1" s="1"/>
  <c r="N2082" i="1" a="1"/>
  <c r="N2082" i="1" s="1"/>
  <c r="N2081" i="1" a="1"/>
  <c r="N2081" i="1" s="1"/>
  <c r="N2080" i="1" a="1"/>
  <c r="N2080" i="1" s="1"/>
  <c r="N2079" i="1" a="1"/>
  <c r="N2079" i="1" s="1"/>
  <c r="N2078" i="1" a="1"/>
  <c r="N2078" i="1" s="1"/>
  <c r="N2077" i="1" a="1"/>
  <c r="N2077" i="1" s="1"/>
  <c r="N2076" i="1" a="1"/>
  <c r="N2076" i="1" s="1"/>
  <c r="N2075" i="1" a="1"/>
  <c r="N2075" i="1" s="1"/>
  <c r="N2074" i="1" a="1"/>
  <c r="N2074" i="1" s="1"/>
  <c r="N2073" i="1" a="1"/>
  <c r="N2073" i="1" s="1"/>
  <c r="N2072" i="1" a="1"/>
  <c r="N2072" i="1" s="1"/>
  <c r="N2071" i="1" a="1"/>
  <c r="N2071" i="1" s="1"/>
  <c r="N2070" i="1" a="1"/>
  <c r="N2070" i="1" s="1"/>
  <c r="N2069" i="1" a="1"/>
  <c r="N2069" i="1" s="1"/>
  <c r="N2068" i="1" a="1"/>
  <c r="N2068" i="1" s="1"/>
  <c r="N2067" i="1" a="1"/>
  <c r="N2067" i="1" s="1"/>
  <c r="N2066" i="1" a="1"/>
  <c r="N2066" i="1" s="1"/>
  <c r="N2065" i="1" a="1"/>
  <c r="N2065" i="1" s="1"/>
  <c r="N2064" i="1" a="1"/>
  <c r="N2064" i="1" s="1"/>
  <c r="N2063" i="1" a="1"/>
  <c r="N2063" i="1" s="1"/>
  <c r="N2062" i="1" a="1"/>
  <c r="N2062" i="1" s="1"/>
  <c r="N2061" i="1" a="1"/>
  <c r="N2061" i="1" s="1"/>
  <c r="N2060" i="1" a="1"/>
  <c r="N2060" i="1" s="1"/>
  <c r="N2059" i="1" a="1"/>
  <c r="N2059" i="1" s="1"/>
  <c r="N2058" i="1" a="1"/>
  <c r="N2058" i="1" s="1"/>
  <c r="N2057" i="1" a="1"/>
  <c r="N2057" i="1" s="1"/>
  <c r="N2056" i="1" a="1"/>
  <c r="N2056" i="1" s="1"/>
  <c r="N2055" i="1" a="1"/>
  <c r="N2055" i="1" s="1"/>
  <c r="N2054" i="1" a="1"/>
  <c r="N2054" i="1" s="1"/>
  <c r="N2053" i="1" a="1"/>
  <c r="N2053" i="1" s="1"/>
  <c r="N2052" i="1" a="1"/>
  <c r="N2052" i="1" s="1"/>
  <c r="N2051" i="1" a="1"/>
  <c r="N2051" i="1" s="1"/>
  <c r="N2050" i="1" a="1"/>
  <c r="N2050" i="1" s="1"/>
  <c r="N2049" i="1" a="1"/>
  <c r="N2049" i="1" s="1"/>
  <c r="N2048" i="1" a="1"/>
  <c r="N2048" i="1" s="1"/>
  <c r="N2047" i="1" a="1"/>
  <c r="N2047" i="1" s="1"/>
  <c r="N2046" i="1" a="1"/>
  <c r="N2046" i="1" s="1"/>
  <c r="N2045" i="1" a="1"/>
  <c r="N2045" i="1" s="1"/>
  <c r="N2044" i="1" a="1"/>
  <c r="N2044" i="1" s="1"/>
  <c r="N2043" i="1" a="1"/>
  <c r="N2043" i="1" s="1"/>
  <c r="N2042" i="1" a="1"/>
  <c r="N2042" i="1" s="1"/>
  <c r="N2041" i="1" a="1"/>
  <c r="N2041" i="1" s="1"/>
  <c r="N2040" i="1" a="1"/>
  <c r="N2040" i="1" s="1"/>
  <c r="N2039" i="1" a="1"/>
  <c r="N2039" i="1" s="1"/>
  <c r="N2038" i="1" a="1"/>
  <c r="N2038" i="1" s="1"/>
  <c r="N2037" i="1" a="1"/>
  <c r="N2037" i="1" s="1"/>
  <c r="N2036" i="1" a="1"/>
  <c r="N2036" i="1" s="1"/>
  <c r="N2035" i="1" a="1"/>
  <c r="N2035" i="1" s="1"/>
  <c r="N2034" i="1" a="1"/>
  <c r="N2034" i="1" s="1"/>
  <c r="N2033" i="1" a="1"/>
  <c r="N2033" i="1" s="1"/>
  <c r="N2032" i="1" a="1"/>
  <c r="N2032" i="1" s="1"/>
  <c r="N2031" i="1" a="1"/>
  <c r="N2031" i="1" s="1"/>
  <c r="N2030" i="1" a="1"/>
  <c r="N2030" i="1" s="1"/>
  <c r="N2029" i="1" a="1"/>
  <c r="N2029" i="1" s="1"/>
  <c r="N2028" i="1" a="1"/>
  <c r="N2028" i="1" s="1"/>
  <c r="N2027" i="1" a="1"/>
  <c r="N2027" i="1" s="1"/>
  <c r="N2026" i="1" a="1"/>
  <c r="N2026" i="1" s="1"/>
  <c r="N2025" i="1" a="1"/>
  <c r="N2025" i="1" s="1"/>
  <c r="N2024" i="1" a="1"/>
  <c r="N2024" i="1" s="1"/>
  <c r="N2023" i="1" a="1"/>
  <c r="N2023" i="1" s="1"/>
  <c r="N2022" i="1" a="1"/>
  <c r="N2022" i="1" s="1"/>
  <c r="N2021" i="1" a="1"/>
  <c r="N2021" i="1" s="1"/>
  <c r="N2020" i="1" a="1"/>
  <c r="N2020" i="1" s="1"/>
  <c r="N2019" i="1" a="1"/>
  <c r="N2019" i="1" s="1"/>
  <c r="N2018" i="1" a="1"/>
  <c r="N2018" i="1" s="1"/>
  <c r="N2017" i="1" a="1"/>
  <c r="N2017" i="1" s="1"/>
  <c r="N2016" i="1" a="1"/>
  <c r="N2016" i="1" s="1"/>
  <c r="N2015" i="1" a="1"/>
  <c r="N2015" i="1" s="1"/>
  <c r="N2014" i="1" a="1"/>
  <c r="N2014" i="1" s="1"/>
  <c r="N2013" i="1" a="1"/>
  <c r="N2013" i="1" s="1"/>
  <c r="N2012" i="1" a="1"/>
  <c r="N2012" i="1" s="1"/>
  <c r="N2011" i="1" a="1"/>
  <c r="N2011" i="1" s="1"/>
  <c r="N2010" i="1" a="1"/>
  <c r="N2010" i="1" s="1"/>
  <c r="N2009" i="1" a="1"/>
  <c r="N2009" i="1" s="1"/>
  <c r="N2008" i="1" a="1"/>
  <c r="N2008" i="1" s="1"/>
  <c r="N2007" i="1" a="1"/>
  <c r="N2007" i="1" s="1"/>
  <c r="N2006" i="1" a="1"/>
  <c r="N2006" i="1" s="1"/>
  <c r="N2005" i="1" a="1"/>
  <c r="N2005" i="1" s="1"/>
  <c r="N2004" i="1" a="1"/>
  <c r="N2004" i="1" s="1"/>
  <c r="N2003" i="1" a="1"/>
  <c r="N2003" i="1" s="1"/>
  <c r="N2002" i="1" a="1"/>
  <c r="N2002" i="1" s="1"/>
  <c r="N2001" i="1" a="1"/>
  <c r="N2001" i="1" s="1"/>
  <c r="N2000" i="1" a="1"/>
  <c r="N2000" i="1" s="1"/>
  <c r="N1999" i="1" a="1"/>
  <c r="N1999" i="1" s="1"/>
  <c r="N1998" i="1" a="1"/>
  <c r="N1998" i="1" s="1"/>
  <c r="N1997" i="1" a="1"/>
  <c r="N1997" i="1" s="1"/>
  <c r="N1996" i="1" a="1"/>
  <c r="N1996" i="1" s="1"/>
  <c r="N1995" i="1" a="1"/>
  <c r="N1995" i="1" s="1"/>
  <c r="N1994" i="1" a="1"/>
  <c r="N1994" i="1" s="1"/>
  <c r="N1993" i="1" a="1"/>
  <c r="N1993" i="1" s="1"/>
  <c r="N1992" i="1" a="1"/>
  <c r="N1992" i="1" s="1"/>
  <c r="N1991" i="1" a="1"/>
  <c r="N1991" i="1" s="1"/>
  <c r="N1990" i="1" a="1"/>
  <c r="N1990" i="1" s="1"/>
  <c r="N1989" i="1" a="1"/>
  <c r="N1989" i="1" s="1"/>
  <c r="N1988" i="1" a="1"/>
  <c r="N1988" i="1" s="1"/>
  <c r="N1987" i="1" a="1"/>
  <c r="N1987" i="1" s="1"/>
  <c r="N1986" i="1" a="1"/>
  <c r="N1986" i="1" s="1"/>
  <c r="N1985" i="1" a="1"/>
  <c r="N1985" i="1" s="1"/>
  <c r="N1984" i="1" a="1"/>
  <c r="N1984" i="1" s="1"/>
  <c r="N1983" i="1" a="1"/>
  <c r="N1983" i="1" s="1"/>
  <c r="N1982" i="1" a="1"/>
  <c r="N1982" i="1" s="1"/>
  <c r="N1981" i="1" a="1"/>
  <c r="N1981" i="1" s="1"/>
  <c r="N1980" i="1" a="1"/>
  <c r="N1980" i="1" s="1"/>
  <c r="N1979" i="1" a="1"/>
  <c r="N1979" i="1" s="1"/>
  <c r="N1978" i="1" a="1"/>
  <c r="N1978" i="1" s="1"/>
  <c r="N1977" i="1" a="1"/>
  <c r="N1977" i="1" s="1"/>
  <c r="N1976" i="1" a="1"/>
  <c r="N1976" i="1" s="1"/>
  <c r="N1975" i="1" a="1"/>
  <c r="N1975" i="1" s="1"/>
  <c r="N1974" i="1" a="1"/>
  <c r="N1974" i="1" s="1"/>
  <c r="N1973" i="1" a="1"/>
  <c r="N1973" i="1" s="1"/>
  <c r="N1972" i="1" a="1"/>
  <c r="N1972" i="1" s="1"/>
  <c r="N1971" i="1" a="1"/>
  <c r="N1971" i="1" s="1"/>
  <c r="N1970" i="1" a="1"/>
  <c r="N1970" i="1" s="1"/>
  <c r="N1969" i="1" a="1"/>
  <c r="N1969" i="1" s="1"/>
  <c r="N1968" i="1" a="1"/>
  <c r="N1968" i="1" s="1"/>
  <c r="N1967" i="1" a="1"/>
  <c r="N1967" i="1" s="1"/>
  <c r="N1966" i="1" a="1"/>
  <c r="N1966" i="1" s="1"/>
  <c r="N1965" i="1" a="1"/>
  <c r="N1965" i="1" s="1"/>
  <c r="N1964" i="1" a="1"/>
  <c r="N1964" i="1" s="1"/>
  <c r="N1963" i="1" a="1"/>
  <c r="N1963" i="1" s="1"/>
  <c r="N1962" i="1" a="1"/>
  <c r="N1962" i="1" s="1"/>
  <c r="N1961" i="1" a="1"/>
  <c r="N1961" i="1" s="1"/>
  <c r="N1960" i="1" a="1"/>
  <c r="N1960" i="1" s="1"/>
  <c r="N1959" i="1" a="1"/>
  <c r="N1959" i="1" s="1"/>
  <c r="N1958" i="1" a="1"/>
  <c r="N1958" i="1" s="1"/>
  <c r="N1957" i="1" a="1"/>
  <c r="N1957" i="1" s="1"/>
  <c r="N1956" i="1" a="1"/>
  <c r="N1956" i="1" s="1"/>
  <c r="N1955" i="1" a="1"/>
  <c r="N1955" i="1" s="1"/>
  <c r="N1954" i="1" a="1"/>
  <c r="N1954" i="1" s="1"/>
  <c r="N1953" i="1" a="1"/>
  <c r="N1953" i="1" s="1"/>
  <c r="N1952" i="1" a="1"/>
  <c r="N1952" i="1" s="1"/>
  <c r="N1951" i="1" a="1"/>
  <c r="N1951" i="1" s="1"/>
  <c r="N1950" i="1" a="1"/>
  <c r="N1950" i="1" s="1"/>
  <c r="N1949" i="1" a="1"/>
  <c r="N1949" i="1" s="1"/>
  <c r="N1948" i="1" a="1"/>
  <c r="N1948" i="1" s="1"/>
  <c r="N1947" i="1" a="1"/>
  <c r="N1947" i="1" s="1"/>
  <c r="N1946" i="1" a="1"/>
  <c r="N1946" i="1" s="1"/>
  <c r="N1945" i="1" a="1"/>
  <c r="N1945" i="1" s="1"/>
  <c r="N1944" i="1" a="1"/>
  <c r="N1944" i="1" s="1"/>
  <c r="N1943" i="1" a="1"/>
  <c r="N1943" i="1" s="1"/>
  <c r="N1942" i="1" a="1"/>
  <c r="N1942" i="1" s="1"/>
  <c r="N1941" i="1" a="1"/>
  <c r="N1941" i="1" s="1"/>
  <c r="N1940" i="1" a="1"/>
  <c r="N1940" i="1" s="1"/>
  <c r="N1939" i="1" a="1"/>
  <c r="N1939" i="1" s="1"/>
  <c r="N1938" i="1" a="1"/>
  <c r="N1938" i="1" s="1"/>
  <c r="N1937" i="1" a="1"/>
  <c r="N1937" i="1" s="1"/>
  <c r="N1936" i="1" a="1"/>
  <c r="N1936" i="1" s="1"/>
  <c r="N1935" i="1" a="1"/>
  <c r="N1935" i="1" s="1"/>
  <c r="N1934" i="1" a="1"/>
  <c r="N1934" i="1" s="1"/>
  <c r="N1933" i="1" a="1"/>
  <c r="N1933" i="1" s="1"/>
  <c r="N1932" i="1" a="1"/>
  <c r="N1932" i="1" s="1"/>
  <c r="N1931" i="1" a="1"/>
  <c r="N1931" i="1" s="1"/>
  <c r="N1930" i="1" a="1"/>
  <c r="N1930" i="1" s="1"/>
  <c r="N1929" i="1" a="1"/>
  <c r="N1929" i="1" s="1"/>
  <c r="N1928" i="1" a="1"/>
  <c r="N1928" i="1" s="1"/>
  <c r="N1927" i="1" a="1"/>
  <c r="N1927" i="1" s="1"/>
  <c r="N1926" i="1" a="1"/>
  <c r="N1926" i="1" s="1"/>
  <c r="N1925" i="1" a="1"/>
  <c r="N1925" i="1" s="1"/>
  <c r="N1924" i="1" a="1"/>
  <c r="N1924" i="1" s="1"/>
  <c r="N1923" i="1" a="1"/>
  <c r="N1923" i="1" s="1"/>
  <c r="N1922" i="1" a="1"/>
  <c r="N1922" i="1" s="1"/>
  <c r="N1921" i="1" a="1"/>
  <c r="N1921" i="1" s="1"/>
  <c r="N1920" i="1" a="1"/>
  <c r="N1920" i="1" s="1"/>
  <c r="N1919" i="1" a="1"/>
  <c r="N1919" i="1" s="1"/>
  <c r="N1918" i="1" a="1"/>
  <c r="N1918" i="1" s="1"/>
  <c r="N1917" i="1" a="1"/>
  <c r="N1917" i="1" s="1"/>
  <c r="N1916" i="1" a="1"/>
  <c r="N1916" i="1" s="1"/>
  <c r="N1915" i="1" a="1"/>
  <c r="N1915" i="1" s="1"/>
  <c r="N1914" i="1" a="1"/>
  <c r="N1914" i="1" s="1"/>
  <c r="N1913" i="1" a="1"/>
  <c r="N1913" i="1" s="1"/>
  <c r="N1912" i="1" a="1"/>
  <c r="N1912" i="1" s="1"/>
  <c r="N1911" i="1" a="1"/>
  <c r="N1911" i="1" s="1"/>
  <c r="N1910" i="1" a="1"/>
  <c r="N1910" i="1" s="1"/>
  <c r="N1909" i="1" a="1"/>
  <c r="N1909" i="1" s="1"/>
  <c r="N1908" i="1" a="1"/>
  <c r="N1908" i="1" s="1"/>
  <c r="N1907" i="1" a="1"/>
  <c r="N1907" i="1" s="1"/>
  <c r="N1906" i="1" a="1"/>
  <c r="N1906" i="1" s="1"/>
  <c r="N1905" i="1" a="1"/>
  <c r="N1905" i="1" s="1"/>
  <c r="N1904" i="1" a="1"/>
  <c r="N1904" i="1" s="1"/>
  <c r="N1903" i="1" a="1"/>
  <c r="N1903" i="1" s="1"/>
  <c r="N1902" i="1" a="1"/>
  <c r="N1902" i="1" s="1"/>
  <c r="N1901" i="1" a="1"/>
  <c r="N1901" i="1" s="1"/>
  <c r="N1900" i="1" a="1"/>
  <c r="N1900" i="1" s="1"/>
  <c r="N1899" i="1" a="1"/>
  <c r="N1899" i="1" s="1"/>
  <c r="N1898" i="1" a="1"/>
  <c r="N1898" i="1" s="1"/>
  <c r="N1897" i="1" a="1"/>
  <c r="N1897" i="1" s="1"/>
  <c r="N1896" i="1" a="1"/>
  <c r="N1896" i="1" s="1"/>
  <c r="N1895" i="1" a="1"/>
  <c r="N1895" i="1" s="1"/>
  <c r="N1894" i="1" a="1"/>
  <c r="N1894" i="1" s="1"/>
  <c r="N1893" i="1" a="1"/>
  <c r="N1893" i="1" s="1"/>
  <c r="N1892" i="1" a="1"/>
  <c r="N1892" i="1" s="1"/>
  <c r="N1891" i="1" a="1"/>
  <c r="N1891" i="1" s="1"/>
  <c r="N1890" i="1" a="1"/>
  <c r="N1890" i="1" s="1"/>
  <c r="N1889" i="1" a="1"/>
  <c r="N1889" i="1" s="1"/>
  <c r="N1888" i="1" a="1"/>
  <c r="N1888" i="1" s="1"/>
  <c r="N1887" i="1" a="1"/>
  <c r="N1887" i="1" s="1"/>
  <c r="N1886" i="1" a="1"/>
  <c r="N1886" i="1" s="1"/>
  <c r="N1885" i="1" a="1"/>
  <c r="N1885" i="1" s="1"/>
  <c r="N1884" i="1" a="1"/>
  <c r="N1884" i="1" s="1"/>
  <c r="N1883" i="1" a="1"/>
  <c r="N1883" i="1" s="1"/>
  <c r="N1882" i="1" a="1"/>
  <c r="N1882" i="1" s="1"/>
  <c r="N1881" i="1" a="1"/>
  <c r="N1881" i="1" s="1"/>
  <c r="N1880" i="1" a="1"/>
  <c r="N1880" i="1" s="1"/>
  <c r="N1879" i="1" a="1"/>
  <c r="N1879" i="1" s="1"/>
  <c r="N1878" i="1" a="1"/>
  <c r="N1878" i="1" s="1"/>
  <c r="N1877" i="1" a="1"/>
  <c r="N1877" i="1" s="1"/>
  <c r="N1876" i="1" a="1"/>
  <c r="N1876" i="1" s="1"/>
  <c r="N1875" i="1" a="1"/>
  <c r="N1875" i="1" s="1"/>
  <c r="N1874" i="1" a="1"/>
  <c r="N1874" i="1" s="1"/>
  <c r="N1873" i="1" a="1"/>
  <c r="N1873" i="1" s="1"/>
  <c r="N1872" i="1" a="1"/>
  <c r="N1872" i="1" s="1"/>
  <c r="N1871" i="1" a="1"/>
  <c r="N1871" i="1" s="1"/>
  <c r="N1870" i="1" a="1"/>
  <c r="N1870" i="1" s="1"/>
  <c r="N1869" i="1" a="1"/>
  <c r="N1869" i="1" s="1"/>
  <c r="N1868" i="1" a="1"/>
  <c r="N1868" i="1" s="1"/>
  <c r="N1867" i="1" a="1"/>
  <c r="N1867" i="1" s="1"/>
  <c r="N1866" i="1" a="1"/>
  <c r="N1866" i="1" s="1"/>
  <c r="N1865" i="1" a="1"/>
  <c r="N1865" i="1" s="1"/>
  <c r="N1864" i="1" a="1"/>
  <c r="N1864" i="1" s="1"/>
  <c r="N1863" i="1" a="1"/>
  <c r="N1863" i="1" s="1"/>
  <c r="N1862" i="1" a="1"/>
  <c r="N1862" i="1" s="1"/>
  <c r="N1861" i="1" a="1"/>
  <c r="N1861" i="1" s="1"/>
  <c r="N1860" i="1" a="1"/>
  <c r="N1860" i="1" s="1"/>
  <c r="N1859" i="1" a="1"/>
  <c r="N1859" i="1" s="1"/>
  <c r="N1858" i="1" a="1"/>
  <c r="N1858" i="1" s="1"/>
  <c r="N1857" i="1" a="1"/>
  <c r="N1857" i="1" s="1"/>
  <c r="N1856" i="1" a="1"/>
  <c r="N1856" i="1" s="1"/>
  <c r="N1855" i="1" a="1"/>
  <c r="N1855" i="1" s="1"/>
  <c r="N1854" i="1" a="1"/>
  <c r="N1854" i="1" s="1"/>
  <c r="N1853" i="1" a="1"/>
  <c r="N1853" i="1" s="1"/>
  <c r="N1852" i="1" a="1"/>
  <c r="N1852" i="1" s="1"/>
  <c r="N1851" i="1" a="1"/>
  <c r="N1851" i="1" s="1"/>
  <c r="N1850" i="1" a="1"/>
  <c r="N1850" i="1" s="1"/>
  <c r="N1849" i="1" a="1"/>
  <c r="N1849" i="1" s="1"/>
  <c r="N1848" i="1" a="1"/>
  <c r="N1848" i="1" s="1"/>
  <c r="N1847" i="1" a="1"/>
  <c r="N1847" i="1" s="1"/>
  <c r="N1846" i="1" a="1"/>
  <c r="N1846" i="1" s="1"/>
  <c r="N1845" i="1" a="1"/>
  <c r="N1845" i="1" s="1"/>
  <c r="N1844" i="1" a="1"/>
  <c r="N1844" i="1" s="1"/>
  <c r="N1843" i="1" a="1"/>
  <c r="N1843" i="1" s="1"/>
  <c r="N1842" i="1" a="1"/>
  <c r="N1842" i="1" s="1"/>
  <c r="N1841" i="1" a="1"/>
  <c r="N1841" i="1" s="1"/>
  <c r="N1840" i="1" a="1"/>
  <c r="N1840" i="1" s="1"/>
  <c r="N1839" i="1" a="1"/>
  <c r="N1839" i="1" s="1"/>
  <c r="N1838" i="1" a="1"/>
  <c r="N1838" i="1" s="1"/>
  <c r="N1837" i="1" a="1"/>
  <c r="N1837" i="1" s="1"/>
  <c r="N1836" i="1" a="1"/>
  <c r="N1836" i="1" s="1"/>
  <c r="N1835" i="1" a="1"/>
  <c r="N1835" i="1" s="1"/>
  <c r="N1834" i="1" a="1"/>
  <c r="N1834" i="1" s="1"/>
  <c r="N1833" i="1" a="1"/>
  <c r="N1833" i="1" s="1"/>
  <c r="N1832" i="1" a="1"/>
  <c r="N1832" i="1" s="1"/>
  <c r="N1831" i="1" a="1"/>
  <c r="N1831" i="1" s="1"/>
  <c r="N1830" i="1" a="1"/>
  <c r="N1830" i="1" s="1"/>
  <c r="N1829" i="1" a="1"/>
  <c r="N1829" i="1" s="1"/>
  <c r="N1828" i="1" a="1"/>
  <c r="N1828" i="1" s="1"/>
  <c r="N1827" i="1" a="1"/>
  <c r="N1827" i="1" s="1"/>
  <c r="N1826" i="1" a="1"/>
  <c r="N1826" i="1" s="1"/>
  <c r="N1825" i="1" a="1"/>
  <c r="N1825" i="1" s="1"/>
  <c r="N1824" i="1" a="1"/>
  <c r="N1824" i="1" s="1"/>
  <c r="N1823" i="1" a="1"/>
  <c r="N1823" i="1" s="1"/>
  <c r="N1822" i="1" a="1"/>
  <c r="N1822" i="1" s="1"/>
  <c r="N1821" i="1" a="1"/>
  <c r="N1821" i="1" s="1"/>
  <c r="N1820" i="1" a="1"/>
  <c r="N1820" i="1" s="1"/>
  <c r="N1819" i="1" a="1"/>
  <c r="N1819" i="1" s="1"/>
  <c r="N1818" i="1" a="1"/>
  <c r="N1818" i="1" s="1"/>
  <c r="N1817" i="1" a="1"/>
  <c r="N1817" i="1" s="1"/>
  <c r="N1816" i="1" a="1"/>
  <c r="N1816" i="1" s="1"/>
  <c r="N1815" i="1" a="1"/>
  <c r="N1815" i="1" s="1"/>
  <c r="N1814" i="1" a="1"/>
  <c r="N1814" i="1" s="1"/>
  <c r="N1813" i="1" a="1"/>
  <c r="N1813" i="1" s="1"/>
  <c r="N1812" i="1" a="1"/>
  <c r="N1812" i="1" s="1"/>
  <c r="N1811" i="1" a="1"/>
  <c r="N1811" i="1" s="1"/>
  <c r="N1810" i="1" a="1"/>
  <c r="N1810" i="1" s="1"/>
  <c r="N1809" i="1" a="1"/>
  <c r="N1809" i="1" s="1"/>
  <c r="N1808" i="1" a="1"/>
  <c r="N1808" i="1" s="1"/>
  <c r="N1807" i="1" a="1"/>
  <c r="N1807" i="1" s="1"/>
  <c r="N1806" i="1" a="1"/>
  <c r="N1806" i="1" s="1"/>
  <c r="N1805" i="1" a="1"/>
  <c r="N1805" i="1" s="1"/>
  <c r="N1804" i="1" a="1"/>
  <c r="N1804" i="1" s="1"/>
  <c r="N1803" i="1" a="1"/>
  <c r="N1803" i="1" s="1"/>
  <c r="N1802" i="1" a="1"/>
  <c r="N1802" i="1" s="1"/>
  <c r="N1801" i="1" a="1"/>
  <c r="N1801" i="1" s="1"/>
  <c r="N1800" i="1" a="1"/>
  <c r="N1800" i="1" s="1"/>
  <c r="N1799" i="1" a="1"/>
  <c r="N1799" i="1" s="1"/>
  <c r="N1798" i="1" a="1"/>
  <c r="N1798" i="1" s="1"/>
  <c r="N1797" i="1" a="1"/>
  <c r="N1797" i="1" s="1"/>
  <c r="N1796" i="1" a="1"/>
  <c r="N1796" i="1" s="1"/>
  <c r="N1795" i="1" a="1"/>
  <c r="N1795" i="1" s="1"/>
  <c r="N1794" i="1" a="1"/>
  <c r="N1794" i="1" s="1"/>
  <c r="N1793" i="1" a="1"/>
  <c r="N1793" i="1" s="1"/>
  <c r="N1792" i="1" a="1"/>
  <c r="N1792" i="1" s="1"/>
  <c r="N1791" i="1" a="1"/>
  <c r="N1791" i="1" s="1"/>
  <c r="N1790" i="1" a="1"/>
  <c r="N1790" i="1" s="1"/>
  <c r="N1789" i="1" a="1"/>
  <c r="N1789" i="1" s="1"/>
  <c r="N1788" i="1" a="1"/>
  <c r="N1788" i="1" s="1"/>
  <c r="N1787" i="1" a="1"/>
  <c r="N1787" i="1" s="1"/>
  <c r="N1786" i="1" a="1"/>
  <c r="N1786" i="1" s="1"/>
  <c r="N1785" i="1" a="1"/>
  <c r="N1785" i="1" s="1"/>
  <c r="N1784" i="1" a="1"/>
  <c r="N1784" i="1" s="1"/>
  <c r="N1783" i="1" a="1"/>
  <c r="N1783" i="1" s="1"/>
  <c r="N1782" i="1" a="1"/>
  <c r="N1782" i="1" s="1"/>
  <c r="N1781" i="1" a="1"/>
  <c r="N1781" i="1" s="1"/>
  <c r="N1780" i="1" a="1"/>
  <c r="N1780" i="1" s="1"/>
  <c r="N1779" i="1" a="1"/>
  <c r="N1779" i="1" s="1"/>
  <c r="N1778" i="1" a="1"/>
  <c r="N1778" i="1" s="1"/>
  <c r="N1777" i="1" a="1"/>
  <c r="N1777" i="1" s="1"/>
  <c r="N1776" i="1" a="1"/>
  <c r="N1776" i="1" s="1"/>
  <c r="N1775" i="1" a="1"/>
  <c r="N1775" i="1" s="1"/>
  <c r="N1774" i="1" a="1"/>
  <c r="N1774" i="1" s="1"/>
  <c r="N1773" i="1" a="1"/>
  <c r="N1773" i="1" s="1"/>
  <c r="N1772" i="1" a="1"/>
  <c r="N1772" i="1" s="1"/>
  <c r="N1771" i="1" a="1"/>
  <c r="N1771" i="1" s="1"/>
  <c r="N1770" i="1" a="1"/>
  <c r="N1770" i="1" s="1"/>
  <c r="N1769" i="1" a="1"/>
  <c r="N1769" i="1" s="1"/>
  <c r="N1768" i="1" a="1"/>
  <c r="N1768" i="1" s="1"/>
  <c r="N1767" i="1" a="1"/>
  <c r="N1767" i="1" s="1"/>
  <c r="N1766" i="1" a="1"/>
  <c r="N1766" i="1" s="1"/>
  <c r="N1765" i="1" a="1"/>
  <c r="N1765" i="1" s="1"/>
  <c r="N1764" i="1" a="1"/>
  <c r="N1764" i="1" s="1"/>
  <c r="N1763" i="1" a="1"/>
  <c r="N1763" i="1" s="1"/>
  <c r="N1762" i="1" a="1"/>
  <c r="N1762" i="1" s="1"/>
  <c r="N1761" i="1" a="1"/>
  <c r="N1761" i="1" s="1"/>
  <c r="N1760" i="1" a="1"/>
  <c r="N1760" i="1" s="1"/>
  <c r="N1759" i="1" a="1"/>
  <c r="N1759" i="1" s="1"/>
  <c r="N1758" i="1" a="1"/>
  <c r="N1758" i="1" s="1"/>
  <c r="N1757" i="1" a="1"/>
  <c r="N1757" i="1" s="1"/>
  <c r="N1756" i="1" a="1"/>
  <c r="N1756" i="1" s="1"/>
  <c r="N1755" i="1" a="1"/>
  <c r="N1755" i="1" s="1"/>
  <c r="N1754" i="1" a="1"/>
  <c r="N1754" i="1" s="1"/>
  <c r="N1753" i="1" a="1"/>
  <c r="N1753" i="1" s="1"/>
  <c r="N1752" i="1" a="1"/>
  <c r="N1752" i="1" s="1"/>
  <c r="N1751" i="1" a="1"/>
  <c r="N1751" i="1" s="1"/>
  <c r="N1750" i="1" a="1"/>
  <c r="N1750" i="1" s="1"/>
  <c r="N1749" i="1" a="1"/>
  <c r="N1749" i="1" s="1"/>
  <c r="N1748" i="1" a="1"/>
  <c r="N1748" i="1" s="1"/>
  <c r="N1747" i="1" a="1"/>
  <c r="N1747" i="1" s="1"/>
  <c r="N1746" i="1" a="1"/>
  <c r="N1746" i="1" s="1"/>
  <c r="N1745" i="1" a="1"/>
  <c r="N1745" i="1" s="1"/>
  <c r="N1744" i="1" a="1"/>
  <c r="N1744" i="1" s="1"/>
  <c r="N1743" i="1" a="1"/>
  <c r="N1743" i="1" s="1"/>
  <c r="N1742" i="1" a="1"/>
  <c r="N1742" i="1" s="1"/>
  <c r="N1741" i="1" a="1"/>
  <c r="N1741" i="1" s="1"/>
  <c r="N1740" i="1" a="1"/>
  <c r="N1740" i="1" s="1"/>
  <c r="N1739" i="1" a="1"/>
  <c r="N1739" i="1" s="1"/>
  <c r="N1738" i="1" a="1"/>
  <c r="N1738" i="1" s="1"/>
  <c r="N1737" i="1" a="1"/>
  <c r="N1737" i="1" s="1"/>
  <c r="N1736" i="1" a="1"/>
  <c r="N1736" i="1" s="1"/>
  <c r="N1735" i="1" a="1"/>
  <c r="N1735" i="1" s="1"/>
  <c r="N1734" i="1" a="1"/>
  <c r="N1734" i="1" s="1"/>
  <c r="N1733" i="1" a="1"/>
  <c r="N1733" i="1" s="1"/>
  <c r="N1732" i="1" a="1"/>
  <c r="N1732" i="1" s="1"/>
  <c r="N1731" i="1" a="1"/>
  <c r="N1731" i="1" s="1"/>
  <c r="N1730" i="1" a="1"/>
  <c r="N1730" i="1" s="1"/>
  <c r="N1729" i="1" a="1"/>
  <c r="N1729" i="1" s="1"/>
  <c r="N1728" i="1" a="1"/>
  <c r="N1728" i="1" s="1"/>
  <c r="N1727" i="1" a="1"/>
  <c r="N1727" i="1" s="1"/>
  <c r="N1726" i="1" a="1"/>
  <c r="N1726" i="1" s="1"/>
  <c r="N1725" i="1" a="1"/>
  <c r="N1725" i="1" s="1"/>
  <c r="N1724" i="1" a="1"/>
  <c r="N1724" i="1" s="1"/>
  <c r="N1723" i="1" a="1"/>
  <c r="N1723" i="1" s="1"/>
  <c r="N1722" i="1" a="1"/>
  <c r="N1722" i="1" s="1"/>
  <c r="N1721" i="1" a="1"/>
  <c r="N1721" i="1" s="1"/>
  <c r="N1720" i="1" a="1"/>
  <c r="N1720" i="1" s="1"/>
  <c r="N1719" i="1" a="1"/>
  <c r="N1719" i="1" s="1"/>
  <c r="N1718" i="1" a="1"/>
  <c r="N1718" i="1" s="1"/>
  <c r="N1717" i="1" a="1"/>
  <c r="N1717" i="1" s="1"/>
  <c r="N1716" i="1" a="1"/>
  <c r="N1716" i="1" s="1"/>
  <c r="N1715" i="1" a="1"/>
  <c r="N1715" i="1" s="1"/>
  <c r="N1714" i="1" a="1"/>
  <c r="N1714" i="1" s="1"/>
  <c r="N1713" i="1" a="1"/>
  <c r="N1713" i="1" s="1"/>
  <c r="N1712" i="1" a="1"/>
  <c r="N1712" i="1" s="1"/>
  <c r="N1711" i="1" a="1"/>
  <c r="N1711" i="1" s="1"/>
  <c r="N1710" i="1" a="1"/>
  <c r="N1710" i="1" s="1"/>
  <c r="N1709" i="1" a="1"/>
  <c r="N1709" i="1" s="1"/>
  <c r="N1708" i="1" a="1"/>
  <c r="N1708" i="1" s="1"/>
  <c r="N1707" i="1" a="1"/>
  <c r="N1707" i="1" s="1"/>
  <c r="N1706" i="1" a="1"/>
  <c r="N1706" i="1" s="1"/>
  <c r="N1705" i="1" a="1"/>
  <c r="N1705" i="1" s="1"/>
  <c r="N1704" i="1" a="1"/>
  <c r="N1704" i="1" s="1"/>
  <c r="N1703" i="1" a="1"/>
  <c r="N1703" i="1" s="1"/>
  <c r="N1702" i="1" a="1"/>
  <c r="N1702" i="1" s="1"/>
  <c r="N1701" i="1" a="1"/>
  <c r="N1701" i="1" s="1"/>
  <c r="N1700" i="1" a="1"/>
  <c r="N1700" i="1" s="1"/>
  <c r="N1699" i="1" a="1"/>
  <c r="N1699" i="1" s="1"/>
  <c r="N1698" i="1" a="1"/>
  <c r="N1698" i="1" s="1"/>
  <c r="N1697" i="1" a="1"/>
  <c r="N1697" i="1" s="1"/>
  <c r="N1696" i="1" a="1"/>
  <c r="N1696" i="1" s="1"/>
  <c r="N1695" i="1" a="1"/>
  <c r="N1695" i="1" s="1"/>
  <c r="N1694" i="1" a="1"/>
  <c r="N1694" i="1" s="1"/>
  <c r="N1693" i="1" a="1"/>
  <c r="N1693" i="1" s="1"/>
  <c r="N1692" i="1" a="1"/>
  <c r="N1692" i="1" s="1"/>
  <c r="N1691" i="1" a="1"/>
  <c r="N1691" i="1" s="1"/>
  <c r="N1690" i="1" a="1"/>
  <c r="N1690" i="1" s="1"/>
  <c r="N1689" i="1" a="1"/>
  <c r="N1689" i="1" s="1"/>
  <c r="N1688" i="1" a="1"/>
  <c r="N1688" i="1" s="1"/>
  <c r="N1687" i="1" a="1"/>
  <c r="N1687" i="1" s="1"/>
  <c r="N1686" i="1" a="1"/>
  <c r="N1686" i="1" s="1"/>
  <c r="N1685" i="1" a="1"/>
  <c r="N1685" i="1" s="1"/>
  <c r="N1684" i="1" a="1"/>
  <c r="N1684" i="1" s="1"/>
  <c r="N1683" i="1" a="1"/>
  <c r="N1683" i="1" s="1"/>
  <c r="N1682" i="1" a="1"/>
  <c r="N1682" i="1" s="1"/>
  <c r="N1681" i="1" a="1"/>
  <c r="N1681" i="1" s="1"/>
  <c r="N1680" i="1" a="1"/>
  <c r="N1680" i="1" s="1"/>
  <c r="N1679" i="1" a="1"/>
  <c r="N1679" i="1" s="1"/>
  <c r="N1678" i="1" a="1"/>
  <c r="N1678" i="1" s="1"/>
  <c r="N1677" i="1" a="1"/>
  <c r="N1677" i="1" s="1"/>
  <c r="N1676" i="1" a="1"/>
  <c r="N1676" i="1" s="1"/>
  <c r="N1675" i="1" a="1"/>
  <c r="N1675" i="1" s="1"/>
  <c r="N1674" i="1" a="1"/>
  <c r="N1674" i="1" s="1"/>
  <c r="N1673" i="1" a="1"/>
  <c r="N1673" i="1" s="1"/>
  <c r="N1672" i="1" a="1"/>
  <c r="N1672" i="1" s="1"/>
  <c r="N1671" i="1" a="1"/>
  <c r="N1671" i="1" s="1"/>
  <c r="N1670" i="1" a="1"/>
  <c r="N1670" i="1" s="1"/>
  <c r="N1669" i="1" a="1"/>
  <c r="N1669" i="1" s="1"/>
  <c r="N1668" i="1" a="1"/>
  <c r="N1668" i="1" s="1"/>
  <c r="N1667" i="1" a="1"/>
  <c r="N1667" i="1" s="1"/>
  <c r="N1666" i="1" a="1"/>
  <c r="N1666" i="1" s="1"/>
  <c r="N1665" i="1" a="1"/>
  <c r="N1665" i="1" s="1"/>
  <c r="N1664" i="1" a="1"/>
  <c r="N1664" i="1" s="1"/>
  <c r="N1663" i="1" a="1"/>
  <c r="N1663" i="1" s="1"/>
  <c r="N1662" i="1" a="1"/>
  <c r="N1662" i="1" s="1"/>
  <c r="N1661" i="1" a="1"/>
  <c r="N1661" i="1" s="1"/>
  <c r="N1660" i="1" a="1"/>
  <c r="N1660" i="1" s="1"/>
  <c r="N1659" i="1" a="1"/>
  <c r="N1659" i="1" s="1"/>
  <c r="N1658" i="1" a="1"/>
  <c r="N1658" i="1" s="1"/>
  <c r="N1657" i="1" a="1"/>
  <c r="N1657" i="1" s="1"/>
  <c r="N1656" i="1" a="1"/>
  <c r="N1656" i="1" s="1"/>
  <c r="N1655" i="1" a="1"/>
  <c r="N1655" i="1" s="1"/>
  <c r="N1654" i="1" a="1"/>
  <c r="N1654" i="1" s="1"/>
  <c r="N1653" i="1" a="1"/>
  <c r="N1653" i="1" s="1"/>
  <c r="N1652" i="1" a="1"/>
  <c r="N1652" i="1" s="1"/>
  <c r="N1651" i="1" a="1"/>
  <c r="N1651" i="1" s="1"/>
  <c r="N1650" i="1" a="1"/>
  <c r="N1650" i="1" s="1"/>
  <c r="N1649" i="1" a="1"/>
  <c r="N1649" i="1" s="1"/>
  <c r="N1648" i="1" a="1"/>
  <c r="N1648" i="1" s="1"/>
  <c r="N1647" i="1" a="1"/>
  <c r="N1647" i="1" s="1"/>
  <c r="N1646" i="1" a="1"/>
  <c r="N1646" i="1" s="1"/>
  <c r="N1645" i="1" a="1"/>
  <c r="N1645" i="1" s="1"/>
  <c r="N1644" i="1" a="1"/>
  <c r="N1644" i="1" s="1"/>
  <c r="N1643" i="1" a="1"/>
  <c r="N1643" i="1" s="1"/>
  <c r="N1642" i="1" a="1"/>
  <c r="N1642" i="1" s="1"/>
  <c r="N1641" i="1" a="1"/>
  <c r="N1641" i="1" s="1"/>
  <c r="N1640" i="1" a="1"/>
  <c r="N1640" i="1" s="1"/>
  <c r="N1639" i="1" a="1"/>
  <c r="N1639" i="1" s="1"/>
  <c r="N1638" i="1" a="1"/>
  <c r="N1638" i="1" s="1"/>
  <c r="N1637" i="1" a="1"/>
  <c r="N1637" i="1" s="1"/>
  <c r="N1636" i="1" a="1"/>
  <c r="N1636" i="1" s="1"/>
  <c r="N1635" i="1" a="1"/>
  <c r="N1635" i="1" s="1"/>
  <c r="N1634" i="1" a="1"/>
  <c r="N1634" i="1" s="1"/>
  <c r="N1633" i="1" a="1"/>
  <c r="N1633" i="1" s="1"/>
  <c r="N1632" i="1" a="1"/>
  <c r="N1632" i="1" s="1"/>
  <c r="N1631" i="1" a="1"/>
  <c r="N1631" i="1" s="1"/>
  <c r="N1630" i="1" a="1"/>
  <c r="N1630" i="1" s="1"/>
  <c r="N1629" i="1" a="1"/>
  <c r="N1629" i="1" s="1"/>
  <c r="N1628" i="1" a="1"/>
  <c r="N1628" i="1" s="1"/>
  <c r="N1627" i="1" a="1"/>
  <c r="N1627" i="1" s="1"/>
  <c r="N1626" i="1" a="1"/>
  <c r="N1626" i="1" s="1"/>
  <c r="N1625" i="1" a="1"/>
  <c r="N1625" i="1" s="1"/>
  <c r="N1624" i="1" a="1"/>
  <c r="N1624" i="1" s="1"/>
  <c r="N1623" i="1" a="1"/>
  <c r="N1623" i="1" s="1"/>
  <c r="N1622" i="1" a="1"/>
  <c r="N1622" i="1" s="1"/>
  <c r="N1621" i="1" a="1"/>
  <c r="N1621" i="1" s="1"/>
  <c r="N1620" i="1" a="1"/>
  <c r="N1620" i="1" s="1"/>
  <c r="N1619" i="1" a="1"/>
  <c r="N1619" i="1" s="1"/>
  <c r="N1618" i="1" a="1"/>
  <c r="N1618" i="1" s="1"/>
  <c r="N1617" i="1" a="1"/>
  <c r="N1617" i="1" s="1"/>
  <c r="N1616" i="1" a="1"/>
  <c r="N1616" i="1" s="1"/>
  <c r="N1615" i="1" a="1"/>
  <c r="N1615" i="1" s="1"/>
  <c r="N1614" i="1" a="1"/>
  <c r="N1614" i="1" s="1"/>
  <c r="N1613" i="1" a="1"/>
  <c r="N1613" i="1" s="1"/>
  <c r="N1612" i="1" a="1"/>
  <c r="N1612" i="1" s="1"/>
  <c r="N1611" i="1" a="1"/>
  <c r="N1611" i="1" s="1"/>
  <c r="N1610" i="1" a="1"/>
  <c r="N1610" i="1" s="1"/>
  <c r="N1609" i="1" a="1"/>
  <c r="N1609" i="1" s="1"/>
  <c r="N1608" i="1" a="1"/>
  <c r="N1608" i="1" s="1"/>
  <c r="N1607" i="1" a="1"/>
  <c r="N1607" i="1" s="1"/>
  <c r="N1606" i="1" a="1"/>
  <c r="N1606" i="1" s="1"/>
  <c r="N1605" i="1" a="1"/>
  <c r="N1605" i="1" s="1"/>
  <c r="N1604" i="1" a="1"/>
  <c r="N1604" i="1" s="1"/>
  <c r="N1603" i="1" a="1"/>
  <c r="N1603" i="1" s="1"/>
  <c r="N1602" i="1" a="1"/>
  <c r="N1602" i="1" s="1"/>
  <c r="N1601" i="1" a="1"/>
  <c r="N1601" i="1" s="1"/>
  <c r="N1600" i="1" a="1"/>
  <c r="N1600" i="1" s="1"/>
  <c r="N1599" i="1" a="1"/>
  <c r="N1599" i="1" s="1"/>
  <c r="N1598" i="1" a="1"/>
  <c r="N1598" i="1" s="1"/>
  <c r="N1597" i="1" a="1"/>
  <c r="N1597" i="1" s="1"/>
  <c r="N1596" i="1" a="1"/>
  <c r="N1596" i="1" s="1"/>
  <c r="N1595" i="1" a="1"/>
  <c r="N1595" i="1" s="1"/>
  <c r="N1594" i="1" a="1"/>
  <c r="N1594" i="1" s="1"/>
  <c r="N1593" i="1" a="1"/>
  <c r="N1593" i="1" s="1"/>
  <c r="N1592" i="1" a="1"/>
  <c r="N1592" i="1" s="1"/>
  <c r="N1591" i="1" a="1"/>
  <c r="N1591" i="1" s="1"/>
  <c r="N1590" i="1" a="1"/>
  <c r="N1590" i="1" s="1"/>
  <c r="N1589" i="1" a="1"/>
  <c r="N1589" i="1" s="1"/>
  <c r="N1588" i="1" a="1"/>
  <c r="N1588" i="1" s="1"/>
  <c r="N1587" i="1" a="1"/>
  <c r="N1587" i="1" s="1"/>
  <c r="N1586" i="1" a="1"/>
  <c r="N1586" i="1" s="1"/>
  <c r="N1585" i="1" a="1"/>
  <c r="N1585" i="1" s="1"/>
  <c r="N1584" i="1" a="1"/>
  <c r="N1584" i="1" s="1"/>
  <c r="N1583" i="1" a="1"/>
  <c r="N1583" i="1" s="1"/>
  <c r="N1582" i="1" a="1"/>
  <c r="N1582" i="1" s="1"/>
  <c r="N1581" i="1" a="1"/>
  <c r="N1581" i="1" s="1"/>
  <c r="N1580" i="1" a="1"/>
  <c r="N1580" i="1" s="1"/>
  <c r="N1579" i="1" a="1"/>
  <c r="N1579" i="1" s="1"/>
  <c r="N1578" i="1" a="1"/>
  <c r="N1578" i="1" s="1"/>
  <c r="N1577" i="1" a="1"/>
  <c r="N1577" i="1" s="1"/>
  <c r="N1576" i="1" a="1"/>
  <c r="N1576" i="1" s="1"/>
  <c r="N1575" i="1" a="1"/>
  <c r="N1575" i="1" s="1"/>
  <c r="N1574" i="1" a="1"/>
  <c r="N1574" i="1" s="1"/>
  <c r="N1573" i="1" a="1"/>
  <c r="N1573" i="1" s="1"/>
  <c r="N1572" i="1" a="1"/>
  <c r="N1572" i="1" s="1"/>
  <c r="N1571" i="1" a="1"/>
  <c r="N1571" i="1" s="1"/>
  <c r="N1570" i="1" a="1"/>
  <c r="N1570" i="1" s="1"/>
  <c r="N1569" i="1" a="1"/>
  <c r="N1569" i="1" s="1"/>
  <c r="N1568" i="1" a="1"/>
  <c r="N1568" i="1" s="1"/>
  <c r="N1567" i="1" a="1"/>
  <c r="N1567" i="1" s="1"/>
  <c r="N1566" i="1" a="1"/>
  <c r="N1566" i="1" s="1"/>
  <c r="N1565" i="1" a="1"/>
  <c r="N1565" i="1" s="1"/>
  <c r="N1564" i="1" a="1"/>
  <c r="N1564" i="1" s="1"/>
  <c r="N1563" i="1" a="1"/>
  <c r="N1563" i="1" s="1"/>
  <c r="N1562" i="1" a="1"/>
  <c r="N1562" i="1" s="1"/>
  <c r="N1561" i="1" a="1"/>
  <c r="N1561" i="1" s="1"/>
  <c r="N1560" i="1" a="1"/>
  <c r="N1560" i="1" s="1"/>
  <c r="N1559" i="1" a="1"/>
  <c r="N1559" i="1" s="1"/>
  <c r="N1558" i="1" a="1"/>
  <c r="N1558" i="1" s="1"/>
  <c r="N1557" i="1" a="1"/>
  <c r="N1557" i="1" s="1"/>
  <c r="N1556" i="1" a="1"/>
  <c r="N1556" i="1" s="1"/>
  <c r="N1555" i="1" a="1"/>
  <c r="N1555" i="1" s="1"/>
  <c r="N1554" i="1" a="1"/>
  <c r="N1554" i="1" s="1"/>
  <c r="N1553" i="1" a="1"/>
  <c r="N1553" i="1" s="1"/>
  <c r="N1552" i="1" a="1"/>
  <c r="N1552" i="1" s="1"/>
  <c r="N1551" i="1" a="1"/>
  <c r="N1551" i="1" s="1"/>
  <c r="N1550" i="1" a="1"/>
  <c r="N1550" i="1" s="1"/>
  <c r="N1549" i="1" a="1"/>
  <c r="N1549" i="1" s="1"/>
  <c r="N1548" i="1" a="1"/>
  <c r="N1548" i="1" s="1"/>
  <c r="N1547" i="1" a="1"/>
  <c r="N1547" i="1" s="1"/>
  <c r="N1546" i="1" a="1"/>
  <c r="N1546" i="1" s="1"/>
  <c r="N1545" i="1" a="1"/>
  <c r="N1545" i="1" s="1"/>
  <c r="N1544" i="1" a="1"/>
  <c r="N1544" i="1" s="1"/>
  <c r="N1543" i="1" a="1"/>
  <c r="N1543" i="1" s="1"/>
  <c r="N1542" i="1" a="1"/>
  <c r="N1542" i="1" s="1"/>
  <c r="N1541" i="1" a="1"/>
  <c r="N1541" i="1" s="1"/>
  <c r="N1540" i="1" a="1"/>
  <c r="N1540" i="1" s="1"/>
  <c r="N1539" i="1" a="1"/>
  <c r="N1539" i="1" s="1"/>
  <c r="N1538" i="1" a="1"/>
  <c r="N1538" i="1" s="1"/>
  <c r="N1537" i="1" a="1"/>
  <c r="N1537" i="1" s="1"/>
  <c r="N1536" i="1" a="1"/>
  <c r="N1536" i="1" s="1"/>
  <c r="N1535" i="1" a="1"/>
  <c r="N1535" i="1" s="1"/>
  <c r="N1534" i="1" a="1"/>
  <c r="N1534" i="1" s="1"/>
  <c r="N1533" i="1" a="1"/>
  <c r="N1533" i="1" s="1"/>
  <c r="N1532" i="1" a="1"/>
  <c r="N1532" i="1" s="1"/>
  <c r="N1531" i="1" a="1"/>
  <c r="N1531" i="1" s="1"/>
  <c r="N1530" i="1" a="1"/>
  <c r="N1530" i="1" s="1"/>
  <c r="N1529" i="1" a="1"/>
  <c r="N1529" i="1" s="1"/>
  <c r="N1528" i="1" a="1"/>
  <c r="N1528" i="1" s="1"/>
  <c r="N1527" i="1" a="1"/>
  <c r="N1527" i="1" s="1"/>
  <c r="N1526" i="1" a="1"/>
  <c r="N1526" i="1" s="1"/>
  <c r="N1525" i="1" a="1"/>
  <c r="N1525" i="1" s="1"/>
  <c r="N1524" i="1" a="1"/>
  <c r="N1524" i="1" s="1"/>
  <c r="N1523" i="1" a="1"/>
  <c r="N1523" i="1" s="1"/>
  <c r="N1522" i="1" a="1"/>
  <c r="N1522" i="1" s="1"/>
  <c r="N1521" i="1" a="1"/>
  <c r="N1521" i="1" s="1"/>
  <c r="N1520" i="1" a="1"/>
  <c r="N1520" i="1" s="1"/>
  <c r="N1519" i="1" a="1"/>
  <c r="N1519" i="1" s="1"/>
  <c r="N1518" i="1" a="1"/>
  <c r="N1518" i="1" s="1"/>
  <c r="N1517" i="1" a="1"/>
  <c r="N1517" i="1" s="1"/>
  <c r="N1516" i="1" a="1"/>
  <c r="N1516" i="1" s="1"/>
  <c r="N1515" i="1" a="1"/>
  <c r="N1515" i="1" s="1"/>
  <c r="N1514" i="1" a="1"/>
  <c r="N1514" i="1" s="1"/>
  <c r="N1513" i="1" a="1"/>
  <c r="N1513" i="1" s="1"/>
  <c r="N1512" i="1" a="1"/>
  <c r="N1512" i="1" s="1"/>
  <c r="N1511" i="1" a="1"/>
  <c r="N1511" i="1" s="1"/>
  <c r="N1510" i="1" a="1"/>
  <c r="N1510" i="1" s="1"/>
  <c r="N1509" i="1" a="1"/>
  <c r="N1509" i="1" s="1"/>
  <c r="N1508" i="1" a="1"/>
  <c r="N1508" i="1" s="1"/>
  <c r="N1507" i="1" a="1"/>
  <c r="N1507" i="1" s="1"/>
  <c r="N1506" i="1" a="1"/>
  <c r="N1506" i="1" s="1"/>
  <c r="N1505" i="1" a="1"/>
  <c r="N1505" i="1" s="1"/>
  <c r="N1504" i="1" a="1"/>
  <c r="N1504" i="1" s="1"/>
  <c r="N1503" i="1" a="1"/>
  <c r="N1503" i="1" s="1"/>
  <c r="N1502" i="1" a="1"/>
  <c r="N1502" i="1" s="1"/>
  <c r="N1501" i="1" a="1"/>
  <c r="N1501" i="1" s="1"/>
  <c r="N1500" i="1" a="1"/>
  <c r="N1500" i="1" s="1"/>
  <c r="N1499" i="1" a="1"/>
  <c r="N1499" i="1" s="1"/>
  <c r="N1498" i="1" a="1"/>
  <c r="N1498" i="1" s="1"/>
  <c r="N1497" i="1" a="1"/>
  <c r="N1497" i="1" s="1"/>
  <c r="N1496" i="1" a="1"/>
  <c r="N1496" i="1" s="1"/>
  <c r="N1495" i="1" a="1"/>
  <c r="N1495" i="1" s="1"/>
  <c r="N1494" i="1" a="1"/>
  <c r="N1494" i="1" s="1"/>
  <c r="N1493" i="1" a="1"/>
  <c r="N1493" i="1" s="1"/>
  <c r="N1492" i="1" a="1"/>
  <c r="N1492" i="1" s="1"/>
  <c r="N1491" i="1" a="1"/>
  <c r="N1491" i="1" s="1"/>
  <c r="N1490" i="1" a="1"/>
  <c r="N1490" i="1" s="1"/>
  <c r="N1489" i="1" a="1"/>
  <c r="N1489" i="1" s="1"/>
  <c r="N1488" i="1" a="1"/>
  <c r="N1488" i="1" s="1"/>
  <c r="N1487" i="1" a="1"/>
  <c r="N1487" i="1" s="1"/>
  <c r="N1486" i="1" a="1"/>
  <c r="N1486" i="1" s="1"/>
  <c r="N1485" i="1" a="1"/>
  <c r="N1485" i="1" s="1"/>
  <c r="N1484" i="1" a="1"/>
  <c r="N1484" i="1" s="1"/>
  <c r="N1483" i="1" a="1"/>
  <c r="N1483" i="1" s="1"/>
  <c r="N1482" i="1" a="1"/>
  <c r="N1482" i="1" s="1"/>
  <c r="N1481" i="1" a="1"/>
  <c r="N1481" i="1" s="1"/>
  <c r="N1480" i="1" a="1"/>
  <c r="N1480" i="1" s="1"/>
  <c r="N1479" i="1" a="1"/>
  <c r="N1479" i="1" s="1"/>
  <c r="N1478" i="1" a="1"/>
  <c r="N1478" i="1" s="1"/>
  <c r="N1477" i="1" a="1"/>
  <c r="N1477" i="1" s="1"/>
  <c r="N1476" i="1" a="1"/>
  <c r="N1476" i="1" s="1"/>
  <c r="N1475" i="1" a="1"/>
  <c r="N1475" i="1" s="1"/>
  <c r="N1474" i="1" a="1"/>
  <c r="N1474" i="1" s="1"/>
  <c r="N1473" i="1" a="1"/>
  <c r="N1473" i="1" s="1"/>
  <c r="N1472" i="1" a="1"/>
  <c r="N1472" i="1" s="1"/>
  <c r="N1471" i="1" a="1"/>
  <c r="N1471" i="1" s="1"/>
  <c r="N1470" i="1" a="1"/>
  <c r="N1470" i="1" s="1"/>
  <c r="N1469" i="1" a="1"/>
  <c r="N1469" i="1" s="1"/>
  <c r="N1468" i="1" a="1"/>
  <c r="N1468" i="1" s="1"/>
  <c r="N1467" i="1" a="1"/>
  <c r="N1467" i="1" s="1"/>
  <c r="N1466" i="1" a="1"/>
  <c r="N1466" i="1" s="1"/>
  <c r="N1465" i="1" a="1"/>
  <c r="N1465" i="1" s="1"/>
  <c r="N1464" i="1" a="1"/>
  <c r="N1464" i="1" s="1"/>
  <c r="N1463" i="1" a="1"/>
  <c r="N1463" i="1" s="1"/>
  <c r="N1462" i="1" a="1"/>
  <c r="N1462" i="1" s="1"/>
  <c r="N1461" i="1" a="1"/>
  <c r="N1461" i="1" s="1"/>
  <c r="N1460" i="1" a="1"/>
  <c r="N1460" i="1" s="1"/>
  <c r="N1459" i="1" a="1"/>
  <c r="N1459" i="1" s="1"/>
  <c r="N1458" i="1" a="1"/>
  <c r="N1458" i="1" s="1"/>
  <c r="N1457" i="1" a="1"/>
  <c r="N1457" i="1" s="1"/>
  <c r="N1456" i="1" a="1"/>
  <c r="N1456" i="1" s="1"/>
  <c r="N1455" i="1" a="1"/>
  <c r="N1455" i="1" s="1"/>
  <c r="N1454" i="1" a="1"/>
  <c r="N1454" i="1" s="1"/>
  <c r="N1453" i="1" a="1"/>
  <c r="N1453" i="1" s="1"/>
  <c r="N1452" i="1" a="1"/>
  <c r="N1452" i="1" s="1"/>
  <c r="N1451" i="1" a="1"/>
  <c r="N1451" i="1" s="1"/>
  <c r="N1450" i="1" a="1"/>
  <c r="N1450" i="1" s="1"/>
  <c r="N1449" i="1" a="1"/>
  <c r="N1449" i="1" s="1"/>
  <c r="N1448" i="1" a="1"/>
  <c r="N1448" i="1" s="1"/>
  <c r="N1447" i="1" a="1"/>
  <c r="N1447" i="1" s="1"/>
  <c r="N1446" i="1" a="1"/>
  <c r="N1446" i="1" s="1"/>
  <c r="N1445" i="1" a="1"/>
  <c r="N1445" i="1" s="1"/>
  <c r="N1444" i="1" a="1"/>
  <c r="N1444" i="1" s="1"/>
  <c r="N1443" i="1" a="1"/>
  <c r="N1443" i="1" s="1"/>
  <c r="N1442" i="1" a="1"/>
  <c r="N1442" i="1" s="1"/>
  <c r="N1441" i="1" a="1"/>
  <c r="N1441" i="1" s="1"/>
  <c r="N1440" i="1" a="1"/>
  <c r="N1440" i="1" s="1"/>
  <c r="N1439" i="1" a="1"/>
  <c r="N1439" i="1" s="1"/>
  <c r="N1438" i="1" a="1"/>
  <c r="N1438" i="1" s="1"/>
  <c r="N1437" i="1" a="1"/>
  <c r="N1437" i="1" s="1"/>
  <c r="N1436" i="1" a="1"/>
  <c r="N1436" i="1" s="1"/>
  <c r="N1435" i="1" a="1"/>
  <c r="N1435" i="1" s="1"/>
  <c r="N1434" i="1" a="1"/>
  <c r="N1434" i="1" s="1"/>
  <c r="N1433" i="1" a="1"/>
  <c r="N1433" i="1" s="1"/>
  <c r="N1432" i="1" a="1"/>
  <c r="N1432" i="1" s="1"/>
  <c r="N1431" i="1" a="1"/>
  <c r="N1431" i="1" s="1"/>
  <c r="N1430" i="1" a="1"/>
  <c r="N1430" i="1" s="1"/>
  <c r="N1429" i="1" a="1"/>
  <c r="N1429" i="1" s="1"/>
  <c r="N1428" i="1" a="1"/>
  <c r="N1428" i="1" s="1"/>
  <c r="N1427" i="1" a="1"/>
  <c r="N1427" i="1" s="1"/>
  <c r="N1426" i="1" a="1"/>
  <c r="N1426" i="1" s="1"/>
  <c r="N1425" i="1" a="1"/>
  <c r="N1425" i="1" s="1"/>
  <c r="N1424" i="1" a="1"/>
  <c r="N1424" i="1" s="1"/>
  <c r="N1423" i="1" a="1"/>
  <c r="N1423" i="1" s="1"/>
  <c r="N1422" i="1" a="1"/>
  <c r="N1422" i="1" s="1"/>
  <c r="N1421" i="1" a="1"/>
  <c r="N1421" i="1" s="1"/>
  <c r="N1420" i="1" a="1"/>
  <c r="N1420" i="1" s="1"/>
  <c r="N1419" i="1" a="1"/>
  <c r="N1419" i="1" s="1"/>
  <c r="N1418" i="1" a="1"/>
  <c r="N1418" i="1" s="1"/>
  <c r="N1417" i="1" a="1"/>
  <c r="N1417" i="1" s="1"/>
  <c r="N1416" i="1" a="1"/>
  <c r="N1416" i="1" s="1"/>
  <c r="N1415" i="1" a="1"/>
  <c r="N1415" i="1" s="1"/>
  <c r="N1414" i="1" a="1"/>
  <c r="N1414" i="1" s="1"/>
  <c r="N1413" i="1" a="1"/>
  <c r="N1413" i="1" s="1"/>
  <c r="N1412" i="1" a="1"/>
  <c r="N1412" i="1" s="1"/>
  <c r="N1411" i="1" a="1"/>
  <c r="N1411" i="1" s="1"/>
  <c r="N1410" i="1" a="1"/>
  <c r="N1410" i="1" s="1"/>
  <c r="N1409" i="1" a="1"/>
  <c r="N1409" i="1" s="1"/>
  <c r="N1408" i="1" a="1"/>
  <c r="N1408" i="1" s="1"/>
  <c r="N1407" i="1" a="1"/>
  <c r="N1407" i="1" s="1"/>
  <c r="N1406" i="1" a="1"/>
  <c r="N1406" i="1" s="1"/>
  <c r="N1405" i="1" a="1"/>
  <c r="N1405" i="1" s="1"/>
  <c r="N1404" i="1" a="1"/>
  <c r="N1404" i="1" s="1"/>
  <c r="N1403" i="1" a="1"/>
  <c r="N1403" i="1" s="1"/>
  <c r="N1402" i="1" a="1"/>
  <c r="N1402" i="1" s="1"/>
  <c r="N1401" i="1" a="1"/>
  <c r="N1401" i="1" s="1"/>
  <c r="N1400" i="1" a="1"/>
  <c r="N1400" i="1" s="1"/>
  <c r="N1399" i="1" a="1"/>
  <c r="N1399" i="1" s="1"/>
  <c r="N1398" i="1" a="1"/>
  <c r="N1398" i="1" s="1"/>
  <c r="N1397" i="1" a="1"/>
  <c r="N1397" i="1" s="1"/>
  <c r="N1396" i="1" a="1"/>
  <c r="N1396" i="1" s="1"/>
  <c r="N1395" i="1" a="1"/>
  <c r="N1395" i="1" s="1"/>
  <c r="N1394" i="1" a="1"/>
  <c r="N1394" i="1" s="1"/>
  <c r="N1393" i="1" a="1"/>
  <c r="N1393" i="1" s="1"/>
  <c r="N1392" i="1" a="1"/>
  <c r="N1392" i="1" s="1"/>
  <c r="N1391" i="1" a="1"/>
  <c r="N1391" i="1" s="1"/>
  <c r="N1390" i="1" a="1"/>
  <c r="N1390" i="1" s="1"/>
  <c r="N1389" i="1" a="1"/>
  <c r="N1389" i="1" s="1"/>
  <c r="N1388" i="1" a="1"/>
  <c r="N1388" i="1" s="1"/>
  <c r="N1387" i="1" a="1"/>
  <c r="N1387" i="1" s="1"/>
  <c r="N1386" i="1" a="1"/>
  <c r="N1386" i="1" s="1"/>
  <c r="N1385" i="1" a="1"/>
  <c r="N1385" i="1" s="1"/>
  <c r="N1384" i="1" a="1"/>
  <c r="N1384" i="1" s="1"/>
  <c r="N1383" i="1" a="1"/>
  <c r="N1383" i="1" s="1"/>
  <c r="N1382" i="1" a="1"/>
  <c r="N1382" i="1" s="1"/>
  <c r="N1381" i="1" a="1"/>
  <c r="N1381" i="1" s="1"/>
  <c r="N1380" i="1" a="1"/>
  <c r="N1380" i="1" s="1"/>
  <c r="N1379" i="1" a="1"/>
  <c r="N1379" i="1" s="1"/>
  <c r="N1378" i="1" a="1"/>
  <c r="N1378" i="1" s="1"/>
  <c r="N1377" i="1" a="1"/>
  <c r="N1377" i="1" s="1"/>
  <c r="N1376" i="1" a="1"/>
  <c r="N1376" i="1" s="1"/>
  <c r="N1375" i="1" a="1"/>
  <c r="N1375" i="1" s="1"/>
  <c r="N1374" i="1" a="1"/>
  <c r="N1374" i="1" s="1"/>
  <c r="N1373" i="1" a="1"/>
  <c r="N1373" i="1" s="1"/>
  <c r="N1372" i="1" a="1"/>
  <c r="N1372" i="1" s="1"/>
  <c r="N1371" i="1" a="1"/>
  <c r="N1371" i="1" s="1"/>
  <c r="N1370" i="1" a="1"/>
  <c r="N1370" i="1" s="1"/>
  <c r="N1369" i="1" a="1"/>
  <c r="N1369" i="1" s="1"/>
  <c r="N1368" i="1" a="1"/>
  <c r="N1368" i="1" s="1"/>
  <c r="N1367" i="1" a="1"/>
  <c r="N1367" i="1" s="1"/>
  <c r="N1366" i="1" a="1"/>
  <c r="N1366" i="1" s="1"/>
  <c r="N1365" i="1" a="1"/>
  <c r="N1365" i="1" s="1"/>
  <c r="N1364" i="1" a="1"/>
  <c r="N1364" i="1" s="1"/>
  <c r="N1363" i="1" a="1"/>
  <c r="N1363" i="1" s="1"/>
  <c r="N1362" i="1" a="1"/>
  <c r="N1362" i="1" s="1"/>
  <c r="N1361" i="1" a="1"/>
  <c r="N1361" i="1" s="1"/>
  <c r="N1360" i="1" a="1"/>
  <c r="N1360" i="1" s="1"/>
  <c r="N1359" i="1" a="1"/>
  <c r="N1359" i="1" s="1"/>
  <c r="N1358" i="1" a="1"/>
  <c r="N1358" i="1" s="1"/>
  <c r="N1357" i="1" a="1"/>
  <c r="N1357" i="1" s="1"/>
  <c r="N1356" i="1" a="1"/>
  <c r="N1356" i="1" s="1"/>
  <c r="N1355" i="1" a="1"/>
  <c r="N1355" i="1" s="1"/>
  <c r="N1354" i="1" a="1"/>
  <c r="N1354" i="1" s="1"/>
  <c r="N1353" i="1" a="1"/>
  <c r="N1353" i="1" s="1"/>
  <c r="N1352" i="1" a="1"/>
  <c r="N1352" i="1" s="1"/>
  <c r="N1351" i="1" a="1"/>
  <c r="N1351" i="1" s="1"/>
  <c r="N1350" i="1" a="1"/>
  <c r="N1350" i="1" s="1"/>
  <c r="N1349" i="1" a="1"/>
  <c r="N1349" i="1" s="1"/>
  <c r="N1348" i="1" a="1"/>
  <c r="N1348" i="1" s="1"/>
  <c r="N1347" i="1" a="1"/>
  <c r="N1347" i="1" s="1"/>
  <c r="N1346" i="1" a="1"/>
  <c r="N1346" i="1" s="1"/>
  <c r="N1345" i="1" a="1"/>
  <c r="N1345" i="1" s="1"/>
  <c r="N1344" i="1" a="1"/>
  <c r="N1344" i="1" s="1"/>
  <c r="N1343" i="1" a="1"/>
  <c r="N1343" i="1" s="1"/>
  <c r="N1342" i="1" a="1"/>
  <c r="N1342" i="1" s="1"/>
  <c r="N1341" i="1" a="1"/>
  <c r="N1341" i="1" s="1"/>
  <c r="N1340" i="1" a="1"/>
  <c r="N1340" i="1" s="1"/>
  <c r="N1339" i="1" a="1"/>
  <c r="N1339" i="1" s="1"/>
  <c r="N1338" i="1" a="1"/>
  <c r="N1338" i="1" s="1"/>
  <c r="N1337" i="1" a="1"/>
  <c r="N1337" i="1" s="1"/>
  <c r="N1336" i="1" a="1"/>
  <c r="N1336" i="1" s="1"/>
  <c r="N1335" i="1" a="1"/>
  <c r="N1335" i="1" s="1"/>
  <c r="N1334" i="1" a="1"/>
  <c r="N1334" i="1" s="1"/>
  <c r="N1333" i="1" a="1"/>
  <c r="N1333" i="1" s="1"/>
  <c r="N1332" i="1" a="1"/>
  <c r="N1332" i="1" s="1"/>
  <c r="N1331" i="1" a="1"/>
  <c r="N1331" i="1" s="1"/>
  <c r="N1330" i="1" a="1"/>
  <c r="N1330" i="1" s="1"/>
  <c r="N1329" i="1" a="1"/>
  <c r="N1329" i="1" s="1"/>
  <c r="N1328" i="1" a="1"/>
  <c r="N1328" i="1" s="1"/>
  <c r="N1327" i="1" a="1"/>
  <c r="N1327" i="1" s="1"/>
  <c r="N1326" i="1" a="1"/>
  <c r="N1326" i="1" s="1"/>
  <c r="N1325" i="1" a="1"/>
  <c r="N1325" i="1" s="1"/>
  <c r="N1324" i="1" a="1"/>
  <c r="N1324" i="1" s="1"/>
  <c r="N1323" i="1" a="1"/>
  <c r="N1323" i="1" s="1"/>
  <c r="N1322" i="1" a="1"/>
  <c r="N1322" i="1" s="1"/>
  <c r="N1321" i="1" a="1"/>
  <c r="N1321" i="1" s="1"/>
  <c r="N1320" i="1" a="1"/>
  <c r="N1320" i="1" s="1"/>
  <c r="N1319" i="1" a="1"/>
  <c r="N1319" i="1" s="1"/>
  <c r="N1318" i="1" a="1"/>
  <c r="N1318" i="1" s="1"/>
  <c r="N1317" i="1" a="1"/>
  <c r="N1317" i="1" s="1"/>
  <c r="N1316" i="1" a="1"/>
  <c r="N1316" i="1" s="1"/>
  <c r="N1315" i="1" a="1"/>
  <c r="N1315" i="1" s="1"/>
  <c r="N1314" i="1" a="1"/>
  <c r="N1314" i="1" s="1"/>
  <c r="N1313" i="1" a="1"/>
  <c r="N1313" i="1" s="1"/>
  <c r="N1312" i="1" a="1"/>
  <c r="N1312" i="1" s="1"/>
  <c r="N1311" i="1" a="1"/>
  <c r="N1311" i="1" s="1"/>
  <c r="N1310" i="1" a="1"/>
  <c r="N1310" i="1" s="1"/>
  <c r="N1309" i="1" a="1"/>
  <c r="N1309" i="1" s="1"/>
  <c r="N1308" i="1" a="1"/>
  <c r="N1308" i="1" s="1"/>
  <c r="N1307" i="1" a="1"/>
  <c r="N1307" i="1" s="1"/>
  <c r="N1306" i="1" a="1"/>
  <c r="N1306" i="1" s="1"/>
  <c r="N1305" i="1" a="1"/>
  <c r="N1305" i="1" s="1"/>
  <c r="N1304" i="1" a="1"/>
  <c r="N1304" i="1" s="1"/>
  <c r="N1303" i="1" a="1"/>
  <c r="N1303" i="1" s="1"/>
  <c r="N1302" i="1" a="1"/>
  <c r="N1302" i="1" s="1"/>
  <c r="N1301" i="1" a="1"/>
  <c r="N1301" i="1" s="1"/>
  <c r="N1300" i="1" a="1"/>
  <c r="N1300" i="1" s="1"/>
  <c r="N1299" i="1" a="1"/>
  <c r="N1299" i="1" s="1"/>
  <c r="N1298" i="1" a="1"/>
  <c r="N1298" i="1" s="1"/>
  <c r="N1297" i="1" a="1"/>
  <c r="N1297" i="1" s="1"/>
  <c r="N1296" i="1" a="1"/>
  <c r="N1296" i="1" s="1"/>
  <c r="N1295" i="1" a="1"/>
  <c r="N1295" i="1" s="1"/>
  <c r="N1294" i="1" a="1"/>
  <c r="N1294" i="1" s="1"/>
  <c r="N1293" i="1" a="1"/>
  <c r="N1293" i="1" s="1"/>
  <c r="N1292" i="1" a="1"/>
  <c r="N1292" i="1" s="1"/>
  <c r="N1291" i="1" a="1"/>
  <c r="N1291" i="1" s="1"/>
  <c r="N1290" i="1" a="1"/>
  <c r="N1290" i="1" s="1"/>
  <c r="N1289" i="1" a="1"/>
  <c r="N1289" i="1" s="1"/>
  <c r="N1288" i="1" a="1"/>
  <c r="N1288" i="1" s="1"/>
  <c r="N1287" i="1" a="1"/>
  <c r="N1287" i="1" s="1"/>
  <c r="N1286" i="1" a="1"/>
  <c r="N1286" i="1" s="1"/>
  <c r="N1285" i="1" a="1"/>
  <c r="N1285" i="1" s="1"/>
  <c r="N1284" i="1" a="1"/>
  <c r="N1284" i="1" s="1"/>
  <c r="N1283" i="1" a="1"/>
  <c r="N1283" i="1" s="1"/>
  <c r="N1282" i="1" a="1"/>
  <c r="N1282" i="1" s="1"/>
  <c r="N1281" i="1" a="1"/>
  <c r="N1281" i="1" s="1"/>
  <c r="N1280" i="1" a="1"/>
  <c r="N1280" i="1" s="1"/>
  <c r="N1279" i="1" a="1"/>
  <c r="N1279" i="1" s="1"/>
  <c r="N1278" i="1" a="1"/>
  <c r="N1278" i="1" s="1"/>
  <c r="N1277" i="1" a="1"/>
  <c r="N1277" i="1" s="1"/>
  <c r="N1276" i="1" a="1"/>
  <c r="N1276" i="1" s="1"/>
  <c r="N1275" i="1" a="1"/>
  <c r="N1275" i="1" s="1"/>
  <c r="N1274" i="1" a="1"/>
  <c r="N1274" i="1" s="1"/>
  <c r="N1273" i="1" a="1"/>
  <c r="N1273" i="1" s="1"/>
  <c r="N1272" i="1" a="1"/>
  <c r="N1272" i="1" s="1"/>
  <c r="N1271" i="1" a="1"/>
  <c r="N1271" i="1" s="1"/>
  <c r="N1270" i="1" a="1"/>
  <c r="N1270" i="1" s="1"/>
  <c r="N1269" i="1" a="1"/>
  <c r="N1269" i="1" s="1"/>
  <c r="N1268" i="1" a="1"/>
  <c r="N1268" i="1" s="1"/>
  <c r="N1267" i="1" a="1"/>
  <c r="N1267" i="1" s="1"/>
  <c r="N1266" i="1" a="1"/>
  <c r="N1266" i="1" s="1"/>
  <c r="N1265" i="1" a="1"/>
  <c r="N1265" i="1" s="1"/>
  <c r="N1264" i="1" a="1"/>
  <c r="N1264" i="1" s="1"/>
  <c r="N1263" i="1" a="1"/>
  <c r="N1263" i="1" s="1"/>
  <c r="N1262" i="1" a="1"/>
  <c r="N1262" i="1" s="1"/>
  <c r="N1261" i="1" a="1"/>
  <c r="N1261" i="1" s="1"/>
  <c r="N1260" i="1" a="1"/>
  <c r="N1260" i="1" s="1"/>
  <c r="N1259" i="1" a="1"/>
  <c r="N1259" i="1" s="1"/>
  <c r="N1258" i="1" a="1"/>
  <c r="N1258" i="1" s="1"/>
  <c r="N1257" i="1" a="1"/>
  <c r="N1257" i="1" s="1"/>
  <c r="N1256" i="1" a="1"/>
  <c r="N1256" i="1" s="1"/>
  <c r="N1255" i="1" a="1"/>
  <c r="N1255" i="1" s="1"/>
  <c r="N1254" i="1" a="1"/>
  <c r="N1254" i="1" s="1"/>
  <c r="N1253" i="1" a="1"/>
  <c r="N1253" i="1" s="1"/>
  <c r="N1252" i="1" a="1"/>
  <c r="N1252" i="1" s="1"/>
  <c r="N1251" i="1" a="1"/>
  <c r="N1251" i="1" s="1"/>
  <c r="N1250" i="1" a="1"/>
  <c r="N1250" i="1" s="1"/>
  <c r="N1249" i="1" a="1"/>
  <c r="N1249" i="1" s="1"/>
  <c r="N1248" i="1" a="1"/>
  <c r="N1248" i="1" s="1"/>
  <c r="N1247" i="1" a="1"/>
  <c r="N1247" i="1" s="1"/>
  <c r="N1246" i="1" a="1"/>
  <c r="N1246" i="1" s="1"/>
  <c r="N1245" i="1" a="1"/>
  <c r="N1245" i="1" s="1"/>
  <c r="N1244" i="1" a="1"/>
  <c r="N1244" i="1" s="1"/>
  <c r="N1243" i="1" a="1"/>
  <c r="N1243" i="1" s="1"/>
  <c r="N1242" i="1" a="1"/>
  <c r="N1242" i="1" s="1"/>
  <c r="N1241" i="1" a="1"/>
  <c r="N1241" i="1" s="1"/>
  <c r="N1240" i="1" a="1"/>
  <c r="N1240" i="1" s="1"/>
  <c r="N1239" i="1" a="1"/>
  <c r="N1239" i="1" s="1"/>
  <c r="N1238" i="1" a="1"/>
  <c r="N1238" i="1" s="1"/>
  <c r="N1237" i="1" a="1"/>
  <c r="N1237" i="1" s="1"/>
  <c r="N1236" i="1" a="1"/>
  <c r="N1236" i="1" s="1"/>
  <c r="N1235" i="1" a="1"/>
  <c r="N1235" i="1" s="1"/>
  <c r="N1234" i="1" a="1"/>
  <c r="N1234" i="1" s="1"/>
  <c r="N1233" i="1" a="1"/>
  <c r="N1233" i="1" s="1"/>
  <c r="N1232" i="1" a="1"/>
  <c r="N1232" i="1" s="1"/>
  <c r="N1231" i="1" a="1"/>
  <c r="N1231" i="1" s="1"/>
  <c r="N1230" i="1" a="1"/>
  <c r="N1230" i="1" s="1"/>
  <c r="N1229" i="1" a="1"/>
  <c r="N1229" i="1" s="1"/>
  <c r="N1228" i="1" a="1"/>
  <c r="N1228" i="1" s="1"/>
  <c r="N1227" i="1" a="1"/>
  <c r="N1227" i="1" s="1"/>
  <c r="N1226" i="1" a="1"/>
  <c r="N1226" i="1" s="1"/>
  <c r="N1225" i="1" a="1"/>
  <c r="N1225" i="1" s="1"/>
  <c r="N1224" i="1" a="1"/>
  <c r="N1224" i="1" s="1"/>
  <c r="N1223" i="1" a="1"/>
  <c r="N1223" i="1" s="1"/>
  <c r="N1222" i="1" a="1"/>
  <c r="N1222" i="1" s="1"/>
  <c r="N1221" i="1" a="1"/>
  <c r="N1221" i="1" s="1"/>
  <c r="N1220" i="1" a="1"/>
  <c r="N1220" i="1" s="1"/>
  <c r="N1219" i="1" a="1"/>
  <c r="N1219" i="1" s="1"/>
  <c r="N1218" i="1" a="1"/>
  <c r="N1218" i="1" s="1"/>
  <c r="N1217" i="1" a="1"/>
  <c r="N1217" i="1" s="1"/>
  <c r="N1216" i="1" a="1"/>
  <c r="N1216" i="1" s="1"/>
  <c r="N1215" i="1" a="1"/>
  <c r="N1215" i="1" s="1"/>
  <c r="N1214" i="1" a="1"/>
  <c r="N1214" i="1" s="1"/>
  <c r="N1213" i="1" a="1"/>
  <c r="N1213" i="1" s="1"/>
  <c r="N1212" i="1" a="1"/>
  <c r="N1212" i="1" s="1"/>
  <c r="N1211" i="1" a="1"/>
  <c r="N1211" i="1" s="1"/>
  <c r="N1210" i="1" a="1"/>
  <c r="N1210" i="1" s="1"/>
  <c r="N1209" i="1" a="1"/>
  <c r="N1209" i="1" s="1"/>
  <c r="N1208" i="1" a="1"/>
  <c r="N1208" i="1" s="1"/>
  <c r="N1207" i="1" a="1"/>
  <c r="N1207" i="1" s="1"/>
  <c r="N1206" i="1" a="1"/>
  <c r="N1206" i="1" s="1"/>
  <c r="N1205" i="1" a="1"/>
  <c r="N1205" i="1" s="1"/>
  <c r="N1204" i="1" a="1"/>
  <c r="N1204" i="1" s="1"/>
  <c r="N1203" i="1" a="1"/>
  <c r="N1203" i="1" s="1"/>
  <c r="N1202" i="1" a="1"/>
  <c r="N1202" i="1" s="1"/>
  <c r="N1201" i="1" a="1"/>
  <c r="N1201" i="1" s="1"/>
  <c r="N1200" i="1" a="1"/>
  <c r="N1200" i="1" s="1"/>
  <c r="N1199" i="1" a="1"/>
  <c r="N1199" i="1" s="1"/>
  <c r="N1198" i="1" a="1"/>
  <c r="N1198" i="1" s="1"/>
  <c r="N1197" i="1" a="1"/>
  <c r="N1197" i="1" s="1"/>
  <c r="N1196" i="1" a="1"/>
  <c r="N1196" i="1" s="1"/>
  <c r="N1195" i="1" a="1"/>
  <c r="N1195" i="1" s="1"/>
  <c r="N1194" i="1" a="1"/>
  <c r="N1194" i="1" s="1"/>
  <c r="N1193" i="1" a="1"/>
  <c r="N1193" i="1" s="1"/>
  <c r="N1192" i="1" a="1"/>
  <c r="N1192" i="1" s="1"/>
  <c r="N1191" i="1" a="1"/>
  <c r="N1191" i="1" s="1"/>
  <c r="N1190" i="1" a="1"/>
  <c r="N1190" i="1" s="1"/>
  <c r="N1189" i="1" a="1"/>
  <c r="N1189" i="1" s="1"/>
  <c r="N1188" i="1" a="1"/>
  <c r="N1188" i="1" s="1"/>
  <c r="N1187" i="1" a="1"/>
  <c r="N1187" i="1" s="1"/>
  <c r="N1186" i="1" a="1"/>
  <c r="N1186" i="1" s="1"/>
  <c r="N1185" i="1" a="1"/>
  <c r="N1185" i="1" s="1"/>
  <c r="N1184" i="1" a="1"/>
  <c r="N1184" i="1" s="1"/>
  <c r="N1183" i="1" a="1"/>
  <c r="N1183" i="1" s="1"/>
  <c r="N1182" i="1" a="1"/>
  <c r="N1182" i="1" s="1"/>
  <c r="N1181" i="1" a="1"/>
  <c r="N1181" i="1" s="1"/>
  <c r="N1180" i="1" a="1"/>
  <c r="N1180" i="1" s="1"/>
  <c r="N1179" i="1" a="1"/>
  <c r="N1179" i="1" s="1"/>
  <c r="N1178" i="1" a="1"/>
  <c r="N1178" i="1" s="1"/>
  <c r="N1177" i="1" a="1"/>
  <c r="N1177" i="1" s="1"/>
  <c r="N1176" i="1" a="1"/>
  <c r="N1176" i="1" s="1"/>
  <c r="N1175" i="1" a="1"/>
  <c r="N1175" i="1" s="1"/>
  <c r="N1174" i="1" a="1"/>
  <c r="N1174" i="1" s="1"/>
  <c r="N1173" i="1" a="1"/>
  <c r="N1173" i="1" s="1"/>
  <c r="N1172" i="1" a="1"/>
  <c r="N1172" i="1" s="1"/>
  <c r="N1171" i="1" a="1"/>
  <c r="N1171" i="1" s="1"/>
  <c r="N1170" i="1" a="1"/>
  <c r="N1170" i="1" s="1"/>
  <c r="N1169" i="1" a="1"/>
  <c r="N1169" i="1" s="1"/>
  <c r="N1168" i="1" a="1"/>
  <c r="N1168" i="1" s="1"/>
  <c r="N1167" i="1" a="1"/>
  <c r="N1167" i="1" s="1"/>
  <c r="N1166" i="1" a="1"/>
  <c r="N1166" i="1" s="1"/>
  <c r="N1165" i="1" a="1"/>
  <c r="N1165" i="1" s="1"/>
  <c r="N1164" i="1" a="1"/>
  <c r="N1164" i="1" s="1"/>
  <c r="N1163" i="1" a="1"/>
  <c r="N1163" i="1" s="1"/>
  <c r="N1162" i="1" a="1"/>
  <c r="N1162" i="1" s="1"/>
  <c r="N1161" i="1" a="1"/>
  <c r="N1161" i="1" s="1"/>
  <c r="N1160" i="1" a="1"/>
  <c r="N1160" i="1" s="1"/>
  <c r="N1159" i="1" a="1"/>
  <c r="N1159" i="1" s="1"/>
  <c r="N1158" i="1" a="1"/>
  <c r="N1158" i="1" s="1"/>
  <c r="N1157" i="1" a="1"/>
  <c r="N1157" i="1" s="1"/>
  <c r="N1156" i="1" a="1"/>
  <c r="N1156" i="1" s="1"/>
  <c r="N1155" i="1" a="1"/>
  <c r="N1155" i="1" s="1"/>
  <c r="N1154" i="1" a="1"/>
  <c r="N1154" i="1" s="1"/>
  <c r="N1153" i="1" a="1"/>
  <c r="N1153" i="1" s="1"/>
  <c r="N1152" i="1" a="1"/>
  <c r="N1152" i="1" s="1"/>
  <c r="N1151" i="1" a="1"/>
  <c r="N1151" i="1" s="1"/>
  <c r="N1150" i="1" a="1"/>
  <c r="N1150" i="1" s="1"/>
  <c r="N1149" i="1" a="1"/>
  <c r="N1149" i="1" s="1"/>
  <c r="N1148" i="1" a="1"/>
  <c r="N1148" i="1" s="1"/>
  <c r="N1147" i="1" a="1"/>
  <c r="N1147" i="1" s="1"/>
  <c r="N1146" i="1" a="1"/>
  <c r="N1146" i="1" s="1"/>
  <c r="N1145" i="1" a="1"/>
  <c r="N1145" i="1" s="1"/>
  <c r="N1144" i="1" a="1"/>
  <c r="N1144" i="1" s="1"/>
  <c r="N1143" i="1" a="1"/>
  <c r="N1143" i="1" s="1"/>
  <c r="N1142" i="1" a="1"/>
  <c r="N1142" i="1" s="1"/>
  <c r="N1141" i="1" a="1"/>
  <c r="N1141" i="1" s="1"/>
  <c r="N1140" i="1" a="1"/>
  <c r="N1140" i="1" s="1"/>
  <c r="N1139" i="1" a="1"/>
  <c r="N1139" i="1" s="1"/>
  <c r="N1138" i="1" a="1"/>
  <c r="N1138" i="1" s="1"/>
  <c r="N1137" i="1" a="1"/>
  <c r="N1137" i="1" s="1"/>
  <c r="N1136" i="1" a="1"/>
  <c r="N1136" i="1" s="1"/>
  <c r="N1135" i="1" a="1"/>
  <c r="N1135" i="1" s="1"/>
  <c r="N1134" i="1" a="1"/>
  <c r="N1134" i="1" s="1"/>
  <c r="N1133" i="1" a="1"/>
  <c r="N1133" i="1" s="1"/>
  <c r="N1132" i="1" a="1"/>
  <c r="N1132" i="1" s="1"/>
  <c r="N1131" i="1" a="1"/>
  <c r="N1131" i="1" s="1"/>
  <c r="N1130" i="1" a="1"/>
  <c r="N1130" i="1" s="1"/>
  <c r="N1129" i="1" a="1"/>
  <c r="N1129" i="1" s="1"/>
  <c r="N1128" i="1" a="1"/>
  <c r="N1128" i="1" s="1"/>
  <c r="N1127" i="1" a="1"/>
  <c r="N1127" i="1" s="1"/>
  <c r="N1126" i="1" a="1"/>
  <c r="N1126" i="1" s="1"/>
  <c r="N1125" i="1" a="1"/>
  <c r="N1125" i="1" s="1"/>
  <c r="N1124" i="1" a="1"/>
  <c r="N1124" i="1" s="1"/>
  <c r="N1123" i="1" a="1"/>
  <c r="N1123" i="1" s="1"/>
  <c r="N1122" i="1" a="1"/>
  <c r="N1122" i="1" s="1"/>
  <c r="N1121" i="1" a="1"/>
  <c r="N1121" i="1" s="1"/>
  <c r="N1120" i="1" a="1"/>
  <c r="N1120" i="1" s="1"/>
  <c r="N1119" i="1" a="1"/>
  <c r="N1119" i="1" s="1"/>
  <c r="N1118" i="1" a="1"/>
  <c r="N1118" i="1" s="1"/>
  <c r="N1117" i="1" a="1"/>
  <c r="N1117" i="1" s="1"/>
  <c r="N1116" i="1" a="1"/>
  <c r="N1116" i="1" s="1"/>
  <c r="N1115" i="1" a="1"/>
  <c r="N1115" i="1" s="1"/>
  <c r="N1114" i="1" a="1"/>
  <c r="N1114" i="1" s="1"/>
  <c r="N1113" i="1" a="1"/>
  <c r="N1113" i="1" s="1"/>
  <c r="N1112" i="1" a="1"/>
  <c r="N1112" i="1" s="1"/>
  <c r="N1111" i="1" a="1"/>
  <c r="N1111" i="1" s="1"/>
  <c r="N1110" i="1" a="1"/>
  <c r="N1110" i="1" s="1"/>
  <c r="N1109" i="1" a="1"/>
  <c r="N1109" i="1" s="1"/>
  <c r="N1108" i="1" a="1"/>
  <c r="N1108" i="1" s="1"/>
  <c r="N1107" i="1" a="1"/>
  <c r="N1107" i="1" s="1"/>
  <c r="N1106" i="1" a="1"/>
  <c r="N1106" i="1" s="1"/>
  <c r="N1105" i="1" a="1"/>
  <c r="N1105" i="1" s="1"/>
  <c r="N1104" i="1" a="1"/>
  <c r="N1104" i="1" s="1"/>
  <c r="N1103" i="1" a="1"/>
  <c r="N1103" i="1" s="1"/>
  <c r="N1102" i="1" a="1"/>
  <c r="N1102" i="1" s="1"/>
  <c r="N1101" i="1" a="1"/>
  <c r="N1101" i="1" s="1"/>
  <c r="N1100" i="1" a="1"/>
  <c r="N1100" i="1" s="1"/>
  <c r="N1099" i="1" a="1"/>
  <c r="N1099" i="1" s="1"/>
  <c r="N1098" i="1" a="1"/>
  <c r="N1098" i="1" s="1"/>
  <c r="N1097" i="1" a="1"/>
  <c r="N1097" i="1" s="1"/>
  <c r="N1096" i="1" a="1"/>
  <c r="N1096" i="1" s="1"/>
  <c r="N1095" i="1" a="1"/>
  <c r="N1095" i="1" s="1"/>
  <c r="N1094" i="1" a="1"/>
  <c r="N1094" i="1" s="1"/>
  <c r="N1093" i="1" a="1"/>
  <c r="N1093" i="1" s="1"/>
  <c r="N1092" i="1" a="1"/>
  <c r="N1092" i="1" s="1"/>
  <c r="N1091" i="1" a="1"/>
  <c r="N1091" i="1" s="1"/>
  <c r="N1090" i="1" a="1"/>
  <c r="N1090" i="1" s="1"/>
  <c r="N1089" i="1" a="1"/>
  <c r="N1089" i="1" s="1"/>
  <c r="N1088" i="1" a="1"/>
  <c r="N1088" i="1" s="1"/>
  <c r="N1087" i="1" a="1"/>
  <c r="N1087" i="1" s="1"/>
  <c r="N1086" i="1" a="1"/>
  <c r="N1086" i="1" s="1"/>
  <c r="N1085" i="1" a="1"/>
  <c r="N1085" i="1" s="1"/>
  <c r="N1084" i="1" a="1"/>
  <c r="N1084" i="1" s="1"/>
  <c r="N1083" i="1" a="1"/>
  <c r="N1083" i="1" s="1"/>
  <c r="N1082" i="1" a="1"/>
  <c r="N1082" i="1" s="1"/>
  <c r="N1081" i="1" a="1"/>
  <c r="N1081" i="1" s="1"/>
  <c r="N1080" i="1" a="1"/>
  <c r="N1080" i="1" s="1"/>
  <c r="N1079" i="1" a="1"/>
  <c r="N1079" i="1" s="1"/>
  <c r="N1078" i="1" a="1"/>
  <c r="N1078" i="1" s="1"/>
  <c r="N1077" i="1" a="1"/>
  <c r="N1077" i="1" s="1"/>
  <c r="N1076" i="1" a="1"/>
  <c r="N1076" i="1" s="1"/>
  <c r="N1075" i="1" a="1"/>
  <c r="N1075" i="1" s="1"/>
  <c r="N1074" i="1" a="1"/>
  <c r="N1074" i="1" s="1"/>
  <c r="N1073" i="1" a="1"/>
  <c r="N1073" i="1" s="1"/>
  <c r="N1072" i="1" a="1"/>
  <c r="N1072" i="1" s="1"/>
  <c r="N1071" i="1" a="1"/>
  <c r="N1071" i="1" s="1"/>
  <c r="N1070" i="1" a="1"/>
  <c r="N1070" i="1" s="1"/>
  <c r="N1069" i="1" a="1"/>
  <c r="N1069" i="1" s="1"/>
  <c r="N1068" i="1" a="1"/>
  <c r="N1068" i="1" s="1"/>
  <c r="N1067" i="1" a="1"/>
  <c r="N1067" i="1" s="1"/>
  <c r="N1066" i="1" a="1"/>
  <c r="N1066" i="1" s="1"/>
  <c r="N1065" i="1" a="1"/>
  <c r="N1065" i="1" s="1"/>
  <c r="N1064" i="1" a="1"/>
  <c r="N1064" i="1" s="1"/>
  <c r="N1063" i="1" a="1"/>
  <c r="N1063" i="1" s="1"/>
  <c r="N1062" i="1" a="1"/>
  <c r="N1062" i="1" s="1"/>
  <c r="N1061" i="1" a="1"/>
  <c r="N1061" i="1" s="1"/>
  <c r="N1060" i="1" a="1"/>
  <c r="N1060" i="1" s="1"/>
  <c r="N1059" i="1" a="1"/>
  <c r="N1059" i="1" s="1"/>
  <c r="N1058" i="1" a="1"/>
  <c r="N1058" i="1" s="1"/>
  <c r="N1057" i="1" a="1"/>
  <c r="N1057" i="1" s="1"/>
  <c r="N1056" i="1" a="1"/>
  <c r="N1056" i="1" s="1"/>
  <c r="N1055" i="1" a="1"/>
  <c r="N1055" i="1" s="1"/>
  <c r="N1054" i="1" a="1"/>
  <c r="N1054" i="1" s="1"/>
  <c r="N1053" i="1" a="1"/>
  <c r="N1053" i="1" s="1"/>
  <c r="N1052" i="1" a="1"/>
  <c r="N1052" i="1" s="1"/>
  <c r="N1051" i="1" a="1"/>
  <c r="N1051" i="1" s="1"/>
  <c r="N1050" i="1" a="1"/>
  <c r="N1050" i="1" s="1"/>
  <c r="N1049" i="1" a="1"/>
  <c r="N1049" i="1" s="1"/>
  <c r="N1048" i="1" a="1"/>
  <c r="N1048" i="1" s="1"/>
  <c r="N1047" i="1" a="1"/>
  <c r="N1047" i="1" s="1"/>
  <c r="N1046" i="1" a="1"/>
  <c r="N1046" i="1" s="1"/>
  <c r="N1045" i="1" a="1"/>
  <c r="N1045" i="1" s="1"/>
  <c r="N1044" i="1" a="1"/>
  <c r="N1044" i="1" s="1"/>
  <c r="N1043" i="1" a="1"/>
  <c r="N1043" i="1" s="1"/>
  <c r="N1042" i="1" a="1"/>
  <c r="N1042" i="1" s="1"/>
  <c r="N1041" i="1" a="1"/>
  <c r="N1041" i="1" s="1"/>
  <c r="N1040" i="1" a="1"/>
  <c r="N1040" i="1" s="1"/>
  <c r="N1039" i="1" a="1"/>
  <c r="N1039" i="1" s="1"/>
  <c r="N1038" i="1" a="1"/>
  <c r="N1038" i="1" s="1"/>
  <c r="N1037" i="1" a="1"/>
  <c r="N1037" i="1" s="1"/>
  <c r="N1036" i="1" a="1"/>
  <c r="N1036" i="1" s="1"/>
  <c r="N1035" i="1" a="1"/>
  <c r="N1035" i="1" s="1"/>
  <c r="N1034" i="1" a="1"/>
  <c r="N1034" i="1" s="1"/>
  <c r="N1033" i="1" a="1"/>
  <c r="N1033" i="1" s="1"/>
  <c r="N1032" i="1" a="1"/>
  <c r="N1032" i="1" s="1"/>
  <c r="N1031" i="1" a="1"/>
  <c r="N1031" i="1" s="1"/>
  <c r="N1030" i="1" a="1"/>
  <c r="N1030" i="1" s="1"/>
  <c r="N1029" i="1" a="1"/>
  <c r="N1029" i="1" s="1"/>
  <c r="N1028" i="1" a="1"/>
  <c r="N1028" i="1" s="1"/>
  <c r="N1027" i="1" a="1"/>
  <c r="N1027" i="1" s="1"/>
  <c r="N1026" i="1" a="1"/>
  <c r="N1026" i="1" s="1"/>
  <c r="N1025" i="1" a="1"/>
  <c r="N1025" i="1" s="1"/>
  <c r="N1024" i="1" a="1"/>
  <c r="N1024" i="1" s="1"/>
  <c r="N1023" i="1" a="1"/>
  <c r="N1023" i="1" s="1"/>
  <c r="N1022" i="1" a="1"/>
  <c r="N1022" i="1" s="1"/>
  <c r="N1021" i="1" a="1"/>
  <c r="N1021" i="1" s="1"/>
  <c r="N1020" i="1" a="1"/>
  <c r="N1020" i="1" s="1"/>
  <c r="N1019" i="1" a="1"/>
  <c r="N1019" i="1" s="1"/>
  <c r="N1018" i="1" a="1"/>
  <c r="N1018" i="1" s="1"/>
  <c r="N1017" i="1" a="1"/>
  <c r="N1017" i="1" s="1"/>
  <c r="N1016" i="1" a="1"/>
  <c r="N1016" i="1" s="1"/>
  <c r="N1015" i="1" a="1"/>
  <c r="N1015" i="1" s="1"/>
  <c r="N1014" i="1" a="1"/>
  <c r="N1014" i="1" s="1"/>
  <c r="N1013" i="1" a="1"/>
  <c r="N1013" i="1" s="1"/>
  <c r="N1012" i="1" a="1"/>
  <c r="N1012" i="1" s="1"/>
  <c r="N1011" i="1" a="1"/>
  <c r="N1011" i="1" s="1"/>
  <c r="N1010" i="1" a="1"/>
  <c r="N1010" i="1" s="1"/>
  <c r="N1009" i="1" a="1"/>
  <c r="N1009" i="1" s="1"/>
  <c r="N1008" i="1" a="1"/>
  <c r="N1008" i="1" s="1"/>
  <c r="N1007" i="1" a="1"/>
  <c r="N1007" i="1" s="1"/>
  <c r="N1006" i="1" a="1"/>
  <c r="N1006" i="1" s="1"/>
  <c r="N1005" i="1" a="1"/>
  <c r="N1005" i="1" s="1"/>
  <c r="N1004" i="1" a="1"/>
  <c r="N1004" i="1" s="1"/>
  <c r="N1003" i="1" a="1"/>
  <c r="N1003" i="1" s="1"/>
  <c r="N1002" i="1" a="1"/>
  <c r="N1002" i="1" s="1"/>
  <c r="N1001" i="1" a="1"/>
  <c r="N1001" i="1" s="1"/>
  <c r="N1000" i="1" a="1"/>
  <c r="N1000" i="1" s="1"/>
  <c r="N999" i="1" a="1"/>
  <c r="N999" i="1" s="1"/>
  <c r="N998" i="1" a="1"/>
  <c r="N998" i="1" s="1"/>
  <c r="N997" i="1" a="1"/>
  <c r="N997" i="1" s="1"/>
  <c r="N996" i="1" a="1"/>
  <c r="N996" i="1" s="1"/>
  <c r="N995" i="1" a="1"/>
  <c r="N995" i="1" s="1"/>
  <c r="N994" i="1" a="1"/>
  <c r="N994" i="1" s="1"/>
  <c r="N993" i="1" a="1"/>
  <c r="N993" i="1" s="1"/>
  <c r="N992" i="1" a="1"/>
  <c r="N992" i="1" s="1"/>
  <c r="N991" i="1" a="1"/>
  <c r="N991" i="1" s="1"/>
  <c r="N990" i="1" a="1"/>
  <c r="N990" i="1" s="1"/>
  <c r="N989" i="1" a="1"/>
  <c r="N989" i="1" s="1"/>
  <c r="N988" i="1" a="1"/>
  <c r="N988" i="1" s="1"/>
  <c r="N987" i="1" a="1"/>
  <c r="N987" i="1" s="1"/>
  <c r="N986" i="1" a="1"/>
  <c r="N986" i="1" s="1"/>
  <c r="N985" i="1" a="1"/>
  <c r="N985" i="1" s="1"/>
  <c r="N984" i="1" a="1"/>
  <c r="N984" i="1" s="1"/>
  <c r="N983" i="1" a="1"/>
  <c r="N983" i="1" s="1"/>
  <c r="N982" i="1" a="1"/>
  <c r="N982" i="1" s="1"/>
  <c r="N981" i="1" a="1"/>
  <c r="N981" i="1" s="1"/>
  <c r="N980" i="1" a="1"/>
  <c r="N980" i="1" s="1"/>
  <c r="N979" i="1" a="1"/>
  <c r="N979" i="1" s="1"/>
  <c r="N978" i="1" a="1"/>
  <c r="N978" i="1" s="1"/>
  <c r="N977" i="1" a="1"/>
  <c r="N977" i="1" s="1"/>
  <c r="N976" i="1" a="1"/>
  <c r="N976" i="1" s="1"/>
  <c r="N975" i="1" a="1"/>
  <c r="N975" i="1" s="1"/>
  <c r="N974" i="1" a="1"/>
  <c r="N974" i="1" s="1"/>
  <c r="N973" i="1" a="1"/>
  <c r="N973" i="1" s="1"/>
  <c r="N972" i="1" a="1"/>
  <c r="N972" i="1" s="1"/>
  <c r="N971" i="1" a="1"/>
  <c r="N971" i="1" s="1"/>
  <c r="N970" i="1" a="1"/>
  <c r="N970" i="1" s="1"/>
  <c r="N969" i="1" a="1"/>
  <c r="N969" i="1" s="1"/>
  <c r="N968" i="1" a="1"/>
  <c r="N968" i="1" s="1"/>
  <c r="N967" i="1" a="1"/>
  <c r="N967" i="1" s="1"/>
  <c r="N966" i="1" a="1"/>
  <c r="N966" i="1" s="1"/>
  <c r="N965" i="1" a="1"/>
  <c r="N965" i="1" s="1"/>
  <c r="N964" i="1" a="1"/>
  <c r="N964" i="1" s="1"/>
  <c r="N963" i="1" a="1"/>
  <c r="N963" i="1" s="1"/>
  <c r="N962" i="1" a="1"/>
  <c r="N962" i="1" s="1"/>
  <c r="N961" i="1" a="1"/>
  <c r="N961" i="1" s="1"/>
  <c r="N960" i="1" a="1"/>
  <c r="N960" i="1" s="1"/>
  <c r="N959" i="1" a="1"/>
  <c r="N959" i="1" s="1"/>
  <c r="N958" i="1" a="1"/>
  <c r="N958" i="1" s="1"/>
  <c r="N957" i="1" a="1"/>
  <c r="N957" i="1" s="1"/>
  <c r="N956" i="1" a="1"/>
  <c r="N956" i="1" s="1"/>
  <c r="N955" i="1" a="1"/>
  <c r="N955" i="1" s="1"/>
  <c r="N954" i="1" a="1"/>
  <c r="N954" i="1" s="1"/>
  <c r="N953" i="1" a="1"/>
  <c r="N953" i="1" s="1"/>
  <c r="N952" i="1" a="1"/>
  <c r="N952" i="1" s="1"/>
  <c r="N951" i="1" a="1"/>
  <c r="N951" i="1" s="1"/>
  <c r="N950" i="1" a="1"/>
  <c r="N950" i="1" s="1"/>
  <c r="N949" i="1" a="1"/>
  <c r="N949" i="1" s="1"/>
  <c r="N948" i="1" a="1"/>
  <c r="N948" i="1" s="1"/>
  <c r="N947" i="1" a="1"/>
  <c r="N947" i="1" s="1"/>
  <c r="N946" i="1" a="1"/>
  <c r="N946" i="1" s="1"/>
  <c r="N945" i="1" a="1"/>
  <c r="N945" i="1" s="1"/>
  <c r="N944" i="1" a="1"/>
  <c r="N944" i="1" s="1"/>
  <c r="N943" i="1" a="1"/>
  <c r="N943" i="1" s="1"/>
  <c r="N942" i="1" a="1"/>
  <c r="N942" i="1" s="1"/>
  <c r="N941" i="1" a="1"/>
  <c r="N941" i="1" s="1"/>
  <c r="N940" i="1" a="1"/>
  <c r="N940" i="1" s="1"/>
  <c r="N939" i="1" a="1"/>
  <c r="N939" i="1" s="1"/>
  <c r="N938" i="1" a="1"/>
  <c r="N938" i="1" s="1"/>
  <c r="N937" i="1" a="1"/>
  <c r="N937" i="1" s="1"/>
  <c r="N936" i="1" a="1"/>
  <c r="N936" i="1" s="1"/>
  <c r="N935" i="1" a="1"/>
  <c r="N935" i="1" s="1"/>
  <c r="N934" i="1" a="1"/>
  <c r="N934" i="1" s="1"/>
  <c r="N933" i="1" a="1"/>
  <c r="N933" i="1" s="1"/>
  <c r="N932" i="1" a="1"/>
  <c r="N932" i="1" s="1"/>
  <c r="N931" i="1" a="1"/>
  <c r="N931" i="1" s="1"/>
  <c r="N930" i="1" a="1"/>
  <c r="N930" i="1" s="1"/>
  <c r="N929" i="1" a="1"/>
  <c r="N929" i="1" s="1"/>
  <c r="N928" i="1" a="1"/>
  <c r="N928" i="1" s="1"/>
  <c r="N927" i="1" a="1"/>
  <c r="N927" i="1" s="1"/>
  <c r="N926" i="1" a="1"/>
  <c r="N926" i="1" s="1"/>
  <c r="N925" i="1" a="1"/>
  <c r="N925" i="1" s="1"/>
  <c r="N924" i="1" a="1"/>
  <c r="N924" i="1" s="1"/>
  <c r="N923" i="1" a="1"/>
  <c r="N923" i="1" s="1"/>
  <c r="N922" i="1" a="1"/>
  <c r="N922" i="1" s="1"/>
  <c r="N921" i="1" a="1"/>
  <c r="N921" i="1" s="1"/>
  <c r="N920" i="1" a="1"/>
  <c r="N920" i="1" s="1"/>
  <c r="N919" i="1" a="1"/>
  <c r="N919" i="1" s="1"/>
  <c r="N918" i="1" a="1"/>
  <c r="N918" i="1" s="1"/>
  <c r="N917" i="1" a="1"/>
  <c r="N917" i="1" s="1"/>
  <c r="N916" i="1" a="1"/>
  <c r="N916" i="1" s="1"/>
  <c r="N915" i="1" a="1"/>
  <c r="N915" i="1" s="1"/>
  <c r="N914" i="1" a="1"/>
  <c r="N914" i="1" s="1"/>
  <c r="N913" i="1" a="1"/>
  <c r="N913" i="1" s="1"/>
  <c r="N912" i="1" a="1"/>
  <c r="N912" i="1" s="1"/>
  <c r="N911" i="1" a="1"/>
  <c r="N911" i="1" s="1"/>
  <c r="N910" i="1" a="1"/>
  <c r="N910" i="1" s="1"/>
  <c r="N909" i="1" a="1"/>
  <c r="N909" i="1" s="1"/>
  <c r="N908" i="1" a="1"/>
  <c r="N908" i="1" s="1"/>
  <c r="N907" i="1" a="1"/>
  <c r="N907" i="1" s="1"/>
  <c r="N906" i="1" a="1"/>
  <c r="N906" i="1" s="1"/>
  <c r="N905" i="1" a="1"/>
  <c r="N905" i="1" s="1"/>
  <c r="N904" i="1" a="1"/>
  <c r="N904" i="1" s="1"/>
  <c r="N903" i="1" a="1"/>
  <c r="N903" i="1" s="1"/>
  <c r="N902" i="1" a="1"/>
  <c r="N902" i="1" s="1"/>
  <c r="N901" i="1" a="1"/>
  <c r="N901" i="1" s="1"/>
  <c r="N900" i="1" a="1"/>
  <c r="N900" i="1" s="1"/>
  <c r="N899" i="1" a="1"/>
  <c r="N899" i="1" s="1"/>
  <c r="N898" i="1" a="1"/>
  <c r="N898" i="1" s="1"/>
  <c r="N897" i="1" a="1"/>
  <c r="N897" i="1" s="1"/>
  <c r="N896" i="1" a="1"/>
  <c r="N896" i="1" s="1"/>
  <c r="N895" i="1" a="1"/>
  <c r="N895" i="1" s="1"/>
  <c r="N894" i="1" a="1"/>
  <c r="N894" i="1" s="1"/>
  <c r="N893" i="1" a="1"/>
  <c r="N893" i="1" s="1"/>
  <c r="N892" i="1" a="1"/>
  <c r="N892" i="1" s="1"/>
  <c r="N891" i="1" a="1"/>
  <c r="N891" i="1" s="1"/>
  <c r="N890" i="1" a="1"/>
  <c r="N890" i="1" s="1"/>
  <c r="N889" i="1" a="1"/>
  <c r="N889" i="1" s="1"/>
  <c r="N888" i="1" a="1"/>
  <c r="N888" i="1" s="1"/>
  <c r="N887" i="1" a="1"/>
  <c r="N887" i="1" s="1"/>
  <c r="N886" i="1" a="1"/>
  <c r="N886" i="1" s="1"/>
  <c r="N885" i="1" a="1"/>
  <c r="N885" i="1" s="1"/>
  <c r="N884" i="1" a="1"/>
  <c r="N884" i="1" s="1"/>
  <c r="N883" i="1" a="1"/>
  <c r="N883" i="1" s="1"/>
  <c r="N882" i="1" a="1"/>
  <c r="N882" i="1" s="1"/>
  <c r="N881" i="1" a="1"/>
  <c r="N881" i="1" s="1"/>
  <c r="N880" i="1" a="1"/>
  <c r="N880" i="1" s="1"/>
  <c r="N879" i="1" a="1"/>
  <c r="N879" i="1" s="1"/>
  <c r="N878" i="1" a="1"/>
  <c r="N878" i="1" s="1"/>
  <c r="N877" i="1" a="1"/>
  <c r="N877" i="1" s="1"/>
  <c r="N876" i="1" a="1"/>
  <c r="N876" i="1" s="1"/>
  <c r="N875" i="1" a="1"/>
  <c r="N875" i="1" s="1"/>
  <c r="N874" i="1" a="1"/>
  <c r="N874" i="1" s="1"/>
  <c r="N873" i="1" a="1"/>
  <c r="N873" i="1" s="1"/>
  <c r="N872" i="1" a="1"/>
  <c r="N872" i="1" s="1"/>
  <c r="N871" i="1" a="1"/>
  <c r="N871" i="1" s="1"/>
  <c r="N870" i="1" a="1"/>
  <c r="N870" i="1" s="1"/>
  <c r="N869" i="1" a="1"/>
  <c r="N869" i="1" s="1"/>
  <c r="N868" i="1" a="1"/>
  <c r="N868" i="1" s="1"/>
  <c r="N867" i="1" a="1"/>
  <c r="N867" i="1" s="1"/>
  <c r="N866" i="1" a="1"/>
  <c r="N866" i="1" s="1"/>
  <c r="N865" i="1" a="1"/>
  <c r="N865" i="1" s="1"/>
  <c r="N864" i="1" a="1"/>
  <c r="N864" i="1" s="1"/>
  <c r="N863" i="1" a="1"/>
  <c r="N863" i="1" s="1"/>
  <c r="N862" i="1" a="1"/>
  <c r="N862" i="1" s="1"/>
  <c r="N861" i="1" a="1"/>
  <c r="N861" i="1" s="1"/>
  <c r="N860" i="1" a="1"/>
  <c r="N860" i="1" s="1"/>
  <c r="N859" i="1" a="1"/>
  <c r="N859" i="1" s="1"/>
  <c r="N858" i="1" a="1"/>
  <c r="N858" i="1" s="1"/>
  <c r="N857" i="1" a="1"/>
  <c r="N857" i="1" s="1"/>
  <c r="N856" i="1" a="1"/>
  <c r="N856" i="1" s="1"/>
  <c r="N855" i="1" a="1"/>
  <c r="N855" i="1" s="1"/>
  <c r="N854" i="1" a="1"/>
  <c r="N854" i="1" s="1"/>
  <c r="N853" i="1" a="1"/>
  <c r="N853" i="1" s="1"/>
  <c r="N852" i="1" a="1"/>
  <c r="N852" i="1" s="1"/>
  <c r="N851" i="1" a="1"/>
  <c r="N851" i="1" s="1"/>
  <c r="N850" i="1" a="1"/>
  <c r="N850" i="1" s="1"/>
  <c r="N849" i="1" a="1"/>
  <c r="N849" i="1" s="1"/>
  <c r="N848" i="1" a="1"/>
  <c r="N848" i="1" s="1"/>
  <c r="N847" i="1" a="1"/>
  <c r="N847" i="1" s="1"/>
  <c r="N846" i="1" a="1"/>
  <c r="N846" i="1" s="1"/>
  <c r="N845" i="1" a="1"/>
  <c r="N845" i="1" s="1"/>
  <c r="N844" i="1" a="1"/>
  <c r="N844" i="1" s="1"/>
  <c r="N843" i="1" a="1"/>
  <c r="N843" i="1" s="1"/>
  <c r="N842" i="1" a="1"/>
  <c r="N842" i="1" s="1"/>
  <c r="N841" i="1" a="1"/>
  <c r="N841" i="1" s="1"/>
  <c r="N840" i="1" a="1"/>
  <c r="N840" i="1" s="1"/>
  <c r="N839" i="1" a="1"/>
  <c r="N839" i="1" s="1"/>
  <c r="N838" i="1" a="1"/>
  <c r="N838" i="1" s="1"/>
  <c r="N837" i="1" a="1"/>
  <c r="N837" i="1" s="1"/>
  <c r="N836" i="1" a="1"/>
  <c r="N836" i="1" s="1"/>
  <c r="N835" i="1" a="1"/>
  <c r="N835" i="1" s="1"/>
  <c r="N834" i="1" a="1"/>
  <c r="N834" i="1" s="1"/>
  <c r="N833" i="1" a="1"/>
  <c r="N833" i="1" s="1"/>
  <c r="N832" i="1" a="1"/>
  <c r="N832" i="1" s="1"/>
  <c r="N831" i="1" a="1"/>
  <c r="N831" i="1" s="1"/>
  <c r="N830" i="1" a="1"/>
  <c r="N830" i="1" s="1"/>
  <c r="N829" i="1" a="1"/>
  <c r="N829" i="1" s="1"/>
  <c r="N828" i="1" a="1"/>
  <c r="N828" i="1" s="1"/>
  <c r="N827" i="1" a="1"/>
  <c r="N827" i="1" s="1"/>
  <c r="N826" i="1" a="1"/>
  <c r="N826" i="1" s="1"/>
  <c r="N825" i="1" a="1"/>
  <c r="N825" i="1" s="1"/>
  <c r="N824" i="1" a="1"/>
  <c r="N824" i="1" s="1"/>
  <c r="N823" i="1" a="1"/>
  <c r="N823" i="1" s="1"/>
  <c r="N822" i="1" a="1"/>
  <c r="N822" i="1" s="1"/>
  <c r="N821" i="1" a="1"/>
  <c r="N821" i="1" s="1"/>
  <c r="N820" i="1" a="1"/>
  <c r="N820" i="1" s="1"/>
  <c r="N819" i="1" a="1"/>
  <c r="N819" i="1" s="1"/>
  <c r="N818" i="1" a="1"/>
  <c r="N818" i="1" s="1"/>
  <c r="N817" i="1" a="1"/>
  <c r="N817" i="1" s="1"/>
  <c r="N816" i="1" a="1"/>
  <c r="N816" i="1" s="1"/>
  <c r="N815" i="1" a="1"/>
  <c r="N815" i="1" s="1"/>
  <c r="N814" i="1" a="1"/>
  <c r="N814" i="1" s="1"/>
  <c r="N813" i="1" a="1"/>
  <c r="N813" i="1" s="1"/>
  <c r="N812" i="1" a="1"/>
  <c r="N812" i="1" s="1"/>
  <c r="N811" i="1" a="1"/>
  <c r="N811" i="1" s="1"/>
  <c r="N810" i="1" a="1"/>
  <c r="N810" i="1" s="1"/>
  <c r="N809" i="1" a="1"/>
  <c r="N809" i="1" s="1"/>
  <c r="N808" i="1" a="1"/>
  <c r="N808" i="1" s="1"/>
  <c r="N807" i="1" a="1"/>
  <c r="N807" i="1" s="1"/>
  <c r="N806" i="1" a="1"/>
  <c r="N806" i="1" s="1"/>
  <c r="N805" i="1" a="1"/>
  <c r="N805" i="1" s="1"/>
  <c r="N804" i="1" a="1"/>
  <c r="N804" i="1" s="1"/>
  <c r="N803" i="1" a="1"/>
  <c r="N803" i="1" s="1"/>
  <c r="N802" i="1" a="1"/>
  <c r="N802" i="1" s="1"/>
  <c r="N801" i="1" a="1"/>
  <c r="N801" i="1" s="1"/>
  <c r="N800" i="1" a="1"/>
  <c r="N800" i="1" s="1"/>
  <c r="N799" i="1" a="1"/>
  <c r="N799" i="1" s="1"/>
  <c r="N798" i="1" a="1"/>
  <c r="N798" i="1" s="1"/>
  <c r="N797" i="1" a="1"/>
  <c r="N797" i="1" s="1"/>
  <c r="N796" i="1" a="1"/>
  <c r="N796" i="1" s="1"/>
  <c r="N795" i="1" a="1"/>
  <c r="N795" i="1" s="1"/>
  <c r="N794" i="1" a="1"/>
  <c r="N794" i="1" s="1"/>
  <c r="N793" i="1" a="1"/>
  <c r="N793" i="1" s="1"/>
  <c r="N792" i="1" a="1"/>
  <c r="N792" i="1" s="1"/>
  <c r="N791" i="1" a="1"/>
  <c r="N791" i="1" s="1"/>
  <c r="N790" i="1" a="1"/>
  <c r="N790" i="1" s="1"/>
  <c r="N789" i="1" a="1"/>
  <c r="N789" i="1" s="1"/>
  <c r="N788" i="1" a="1"/>
  <c r="N788" i="1" s="1"/>
  <c r="N787" i="1" a="1"/>
  <c r="N787" i="1" s="1"/>
  <c r="N786" i="1" a="1"/>
  <c r="N786" i="1" s="1"/>
  <c r="N785" i="1" a="1"/>
  <c r="N785" i="1" s="1"/>
  <c r="N784" i="1" a="1"/>
  <c r="N784" i="1" s="1"/>
  <c r="N783" i="1" a="1"/>
  <c r="N783" i="1" s="1"/>
  <c r="N782" i="1" a="1"/>
  <c r="N782" i="1" s="1"/>
  <c r="N781" i="1" a="1"/>
  <c r="N781" i="1" s="1"/>
  <c r="N780" i="1" a="1"/>
  <c r="N780" i="1" s="1"/>
  <c r="N779" i="1" a="1"/>
  <c r="N779" i="1" s="1"/>
  <c r="N778" i="1" a="1"/>
  <c r="N778" i="1" s="1"/>
  <c r="N777" i="1" a="1"/>
  <c r="N777" i="1" s="1"/>
  <c r="N776" i="1" a="1"/>
  <c r="N776" i="1" s="1"/>
  <c r="N775" i="1" a="1"/>
  <c r="N775" i="1" s="1"/>
  <c r="N774" i="1" a="1"/>
  <c r="N774" i="1" s="1"/>
  <c r="N773" i="1" a="1"/>
  <c r="N773" i="1" s="1"/>
  <c r="N772" i="1" a="1"/>
  <c r="N772" i="1" s="1"/>
  <c r="N771" i="1" a="1"/>
  <c r="N771" i="1" s="1"/>
  <c r="N770" i="1" a="1"/>
  <c r="N770" i="1" s="1"/>
  <c r="N769" i="1" a="1"/>
  <c r="N769" i="1" s="1"/>
  <c r="N768" i="1" a="1"/>
  <c r="N768" i="1" s="1"/>
  <c r="N767" i="1" a="1"/>
  <c r="N767" i="1" s="1"/>
  <c r="N766" i="1" a="1"/>
  <c r="N766" i="1" s="1"/>
  <c r="N765" i="1" a="1"/>
  <c r="N765" i="1" s="1"/>
  <c r="N764" i="1" a="1"/>
  <c r="N764" i="1" s="1"/>
  <c r="N763" i="1" a="1"/>
  <c r="N763" i="1" s="1"/>
  <c r="N762" i="1" a="1"/>
  <c r="N762" i="1" s="1"/>
  <c r="N761" i="1" a="1"/>
  <c r="N761" i="1" s="1"/>
  <c r="N760" i="1" a="1"/>
  <c r="N760" i="1" s="1"/>
  <c r="N759" i="1" a="1"/>
  <c r="N759" i="1" s="1"/>
  <c r="N758" i="1" a="1"/>
  <c r="N758" i="1" s="1"/>
  <c r="N757" i="1" a="1"/>
  <c r="N757" i="1" s="1"/>
  <c r="N756" i="1" a="1"/>
  <c r="N756" i="1" s="1"/>
  <c r="N755" i="1" a="1"/>
  <c r="N755" i="1" s="1"/>
  <c r="N754" i="1" a="1"/>
  <c r="N754" i="1" s="1"/>
  <c r="N753" i="1" a="1"/>
  <c r="N753" i="1" s="1"/>
  <c r="N752" i="1" a="1"/>
  <c r="N752" i="1" s="1"/>
  <c r="N751" i="1" a="1"/>
  <c r="N751" i="1" s="1"/>
  <c r="N750" i="1" a="1"/>
  <c r="N750" i="1" s="1"/>
  <c r="N749" i="1" a="1"/>
  <c r="N749" i="1" s="1"/>
  <c r="N748" i="1" a="1"/>
  <c r="N748" i="1" s="1"/>
  <c r="N747" i="1" a="1"/>
  <c r="N747" i="1" s="1"/>
  <c r="N746" i="1" a="1"/>
  <c r="N746" i="1" s="1"/>
  <c r="N745" i="1" a="1"/>
  <c r="N745" i="1" s="1"/>
  <c r="N744" i="1" a="1"/>
  <c r="N744" i="1" s="1"/>
  <c r="N743" i="1" a="1"/>
  <c r="N743" i="1" s="1"/>
  <c r="N742" i="1" a="1"/>
  <c r="N742" i="1" s="1"/>
  <c r="N741" i="1" a="1"/>
  <c r="N741" i="1" s="1"/>
  <c r="N740" i="1" a="1"/>
  <c r="N740" i="1" s="1"/>
  <c r="N739" i="1" a="1"/>
  <c r="N739" i="1" s="1"/>
  <c r="N738" i="1" a="1"/>
  <c r="N738" i="1" s="1"/>
  <c r="N737" i="1" a="1"/>
  <c r="N737" i="1" s="1"/>
  <c r="N736" i="1" a="1"/>
  <c r="N736" i="1" s="1"/>
  <c r="N735" i="1" a="1"/>
  <c r="N735" i="1" s="1"/>
  <c r="N734" i="1" a="1"/>
  <c r="N734" i="1" s="1"/>
  <c r="N733" i="1" a="1"/>
  <c r="N733" i="1" s="1"/>
  <c r="N732" i="1" a="1"/>
  <c r="N732" i="1" s="1"/>
  <c r="N731" i="1" a="1"/>
  <c r="N731" i="1" s="1"/>
  <c r="N730" i="1" a="1"/>
  <c r="N730" i="1" s="1"/>
  <c r="N729" i="1" a="1"/>
  <c r="N729" i="1" s="1"/>
  <c r="N728" i="1" a="1"/>
  <c r="N728" i="1" s="1"/>
  <c r="N727" i="1" a="1"/>
  <c r="N727" i="1" s="1"/>
  <c r="N726" i="1" a="1"/>
  <c r="N726" i="1" s="1"/>
  <c r="N725" i="1" a="1"/>
  <c r="N725" i="1" s="1"/>
  <c r="N724" i="1" a="1"/>
  <c r="N724" i="1" s="1"/>
  <c r="N723" i="1" a="1"/>
  <c r="N723" i="1" s="1"/>
  <c r="N722" i="1" a="1"/>
  <c r="N722" i="1" s="1"/>
  <c r="N721" i="1" a="1"/>
  <c r="N721" i="1" s="1"/>
  <c r="N720" i="1" a="1"/>
  <c r="N720" i="1" s="1"/>
  <c r="N719" i="1" a="1"/>
  <c r="N719" i="1" s="1"/>
  <c r="N718" i="1" a="1"/>
  <c r="N718" i="1" s="1"/>
  <c r="N717" i="1" a="1"/>
  <c r="N717" i="1" s="1"/>
  <c r="N716" i="1" a="1"/>
  <c r="N716" i="1" s="1"/>
  <c r="N715" i="1" a="1"/>
  <c r="N715" i="1" s="1"/>
  <c r="N714" i="1" a="1"/>
  <c r="N714" i="1" s="1"/>
  <c r="N713" i="1" a="1"/>
  <c r="N713" i="1" s="1"/>
  <c r="N712" i="1" a="1"/>
  <c r="N712" i="1" s="1"/>
  <c r="N711" i="1" a="1"/>
  <c r="N711" i="1" s="1"/>
  <c r="N710" i="1" a="1"/>
  <c r="N710" i="1" s="1"/>
  <c r="N709" i="1" a="1"/>
  <c r="N709" i="1" s="1"/>
  <c r="N708" i="1" a="1"/>
  <c r="N708" i="1" s="1"/>
  <c r="N707" i="1" a="1"/>
  <c r="N707" i="1" s="1"/>
  <c r="N706" i="1" a="1"/>
  <c r="N706" i="1" s="1"/>
  <c r="N705" i="1" a="1"/>
  <c r="N705" i="1" s="1"/>
  <c r="N704" i="1" a="1"/>
  <c r="N704" i="1" s="1"/>
  <c r="N703" i="1" a="1"/>
  <c r="N703" i="1" s="1"/>
  <c r="N702" i="1" a="1"/>
  <c r="N702" i="1" s="1"/>
  <c r="N701" i="1" a="1"/>
  <c r="N701" i="1" s="1"/>
  <c r="N700" i="1" a="1"/>
  <c r="N700" i="1" s="1"/>
  <c r="N699" i="1" a="1"/>
  <c r="N699" i="1" s="1"/>
  <c r="N698" i="1" a="1"/>
  <c r="N698" i="1" s="1"/>
  <c r="N697" i="1" a="1"/>
  <c r="N697" i="1" s="1"/>
  <c r="N696" i="1" a="1"/>
  <c r="N696" i="1" s="1"/>
  <c r="N695" i="1" a="1"/>
  <c r="N695" i="1" s="1"/>
  <c r="N694" i="1" a="1"/>
  <c r="N694" i="1" s="1"/>
  <c r="N693" i="1" a="1"/>
  <c r="N693" i="1" s="1"/>
  <c r="N692" i="1" a="1"/>
  <c r="N692" i="1" s="1"/>
  <c r="N691" i="1" a="1"/>
  <c r="N691" i="1" s="1"/>
  <c r="N690" i="1" a="1"/>
  <c r="N690" i="1" s="1"/>
  <c r="N689" i="1" a="1"/>
  <c r="N689" i="1" s="1"/>
  <c r="N688" i="1" a="1"/>
  <c r="N688" i="1" s="1"/>
  <c r="N687" i="1" a="1"/>
  <c r="N687" i="1" s="1"/>
  <c r="N686" i="1" a="1"/>
  <c r="N686" i="1" s="1"/>
  <c r="N685" i="1" a="1"/>
  <c r="N685" i="1" s="1"/>
  <c r="N684" i="1" a="1"/>
  <c r="N684" i="1" s="1"/>
  <c r="N683" i="1" a="1"/>
  <c r="N683" i="1" s="1"/>
  <c r="N682" i="1" a="1"/>
  <c r="N682" i="1" s="1"/>
  <c r="N681" i="1" a="1"/>
  <c r="N681" i="1" s="1"/>
  <c r="N680" i="1" a="1"/>
  <c r="N680" i="1" s="1"/>
  <c r="N679" i="1" a="1"/>
  <c r="N679" i="1" s="1"/>
  <c r="N678" i="1" a="1"/>
  <c r="N678" i="1" s="1"/>
  <c r="N677" i="1" a="1"/>
  <c r="N677" i="1" s="1"/>
  <c r="N676" i="1" a="1"/>
  <c r="N676" i="1" s="1"/>
  <c r="N675" i="1" a="1"/>
  <c r="N675" i="1" s="1"/>
  <c r="N674" i="1" a="1"/>
  <c r="N674" i="1" s="1"/>
  <c r="N673" i="1" a="1"/>
  <c r="N673" i="1" s="1"/>
  <c r="N672" i="1" a="1"/>
  <c r="N672" i="1" s="1"/>
  <c r="N671" i="1" a="1"/>
  <c r="N671" i="1" s="1"/>
  <c r="N670" i="1" a="1"/>
  <c r="N670" i="1" s="1"/>
  <c r="N669" i="1" a="1"/>
  <c r="N669" i="1" s="1"/>
  <c r="N668" i="1" a="1"/>
  <c r="N668" i="1" s="1"/>
  <c r="N667" i="1" a="1"/>
  <c r="N667" i="1" s="1"/>
  <c r="N666" i="1" a="1"/>
  <c r="N666" i="1" s="1"/>
  <c r="N665" i="1" a="1"/>
  <c r="N665" i="1" s="1"/>
  <c r="N664" i="1" a="1"/>
  <c r="N664" i="1" s="1"/>
  <c r="N663" i="1" a="1"/>
  <c r="N663" i="1" s="1"/>
  <c r="N662" i="1" a="1"/>
  <c r="N662" i="1" s="1"/>
  <c r="N661" i="1" a="1"/>
  <c r="N661" i="1" s="1"/>
  <c r="N660" i="1" a="1"/>
  <c r="N660" i="1" s="1"/>
  <c r="N659" i="1" a="1"/>
  <c r="N659" i="1" s="1"/>
  <c r="N658" i="1" a="1"/>
  <c r="N658" i="1" s="1"/>
  <c r="N657" i="1" a="1"/>
  <c r="N657" i="1" s="1"/>
  <c r="N656" i="1" a="1"/>
  <c r="N656" i="1" s="1"/>
  <c r="N655" i="1" a="1"/>
  <c r="N655" i="1" s="1"/>
  <c r="N654" i="1" a="1"/>
  <c r="N654" i="1" s="1"/>
  <c r="N653" i="1" a="1"/>
  <c r="N653" i="1" s="1"/>
  <c r="N652" i="1" a="1"/>
  <c r="N652" i="1" s="1"/>
  <c r="N651" i="1" a="1"/>
  <c r="N651" i="1" s="1"/>
  <c r="N650" i="1" a="1"/>
  <c r="N650" i="1" s="1"/>
  <c r="N649" i="1" a="1"/>
  <c r="N649" i="1" s="1"/>
  <c r="N648" i="1" a="1"/>
  <c r="N648" i="1" s="1"/>
  <c r="N647" i="1" a="1"/>
  <c r="N647" i="1" s="1"/>
  <c r="N646" i="1" a="1"/>
  <c r="N646" i="1" s="1"/>
  <c r="N645" i="1" a="1"/>
  <c r="N645" i="1" s="1"/>
  <c r="N644" i="1" a="1"/>
  <c r="N644" i="1" s="1"/>
  <c r="N643" i="1" a="1"/>
  <c r="N643" i="1" s="1"/>
  <c r="N642" i="1" a="1"/>
  <c r="N642" i="1" s="1"/>
  <c r="N641" i="1" a="1"/>
  <c r="N641" i="1" s="1"/>
  <c r="N640" i="1" a="1"/>
  <c r="N640" i="1" s="1"/>
  <c r="N639" i="1" a="1"/>
  <c r="N639" i="1" s="1"/>
  <c r="N638" i="1" a="1"/>
  <c r="N638" i="1" s="1"/>
  <c r="N637" i="1" a="1"/>
  <c r="N637" i="1" s="1"/>
  <c r="N636" i="1" a="1"/>
  <c r="N636" i="1" s="1"/>
  <c r="N635" i="1" a="1"/>
  <c r="N635" i="1" s="1"/>
  <c r="N634" i="1" a="1"/>
  <c r="N634" i="1" s="1"/>
  <c r="N633" i="1" a="1"/>
  <c r="N633" i="1" s="1"/>
  <c r="N632" i="1" a="1"/>
  <c r="N632" i="1" s="1"/>
  <c r="N631" i="1" a="1"/>
  <c r="N631" i="1" s="1"/>
  <c r="N630" i="1" a="1"/>
  <c r="N630" i="1" s="1"/>
  <c r="N629" i="1" a="1"/>
  <c r="N629" i="1" s="1"/>
  <c r="N628" i="1" a="1"/>
  <c r="N628" i="1" s="1"/>
  <c r="N627" i="1" a="1"/>
  <c r="N627" i="1" s="1"/>
  <c r="N626" i="1" a="1"/>
  <c r="N626" i="1" s="1"/>
  <c r="N625" i="1" a="1"/>
  <c r="N625" i="1" s="1"/>
  <c r="N624" i="1" a="1"/>
  <c r="N624" i="1" s="1"/>
  <c r="N623" i="1" a="1"/>
  <c r="N623" i="1" s="1"/>
  <c r="N622" i="1" a="1"/>
  <c r="N622" i="1" s="1"/>
  <c r="N621" i="1" a="1"/>
  <c r="N621" i="1" s="1"/>
  <c r="N620" i="1" a="1"/>
  <c r="N620" i="1" s="1"/>
  <c r="N619" i="1" a="1"/>
  <c r="N619" i="1" s="1"/>
  <c r="N618" i="1" a="1"/>
  <c r="N618" i="1" s="1"/>
  <c r="N617" i="1" a="1"/>
  <c r="N617" i="1" s="1"/>
  <c r="N616" i="1" a="1"/>
  <c r="N616" i="1" s="1"/>
  <c r="N615" i="1" a="1"/>
  <c r="N615" i="1" s="1"/>
  <c r="N614" i="1" a="1"/>
  <c r="N614" i="1" s="1"/>
  <c r="N613" i="1" a="1"/>
  <c r="N613" i="1" s="1"/>
  <c r="N612" i="1" a="1"/>
  <c r="N612" i="1" s="1"/>
  <c r="N611" i="1" a="1"/>
  <c r="N611" i="1" s="1"/>
  <c r="N610" i="1" a="1"/>
  <c r="N610" i="1" s="1"/>
  <c r="N609" i="1" a="1"/>
  <c r="N609" i="1" s="1"/>
  <c r="N608" i="1" a="1"/>
  <c r="N608" i="1" s="1"/>
  <c r="N607" i="1" a="1"/>
  <c r="N607" i="1" s="1"/>
  <c r="N606" i="1" a="1"/>
  <c r="N606" i="1" s="1"/>
  <c r="N605" i="1" a="1"/>
  <c r="N605" i="1" s="1"/>
  <c r="N604" i="1" a="1"/>
  <c r="N604" i="1" s="1"/>
  <c r="N603" i="1" a="1"/>
  <c r="N603" i="1" s="1"/>
  <c r="N602" i="1" a="1"/>
  <c r="N602" i="1" s="1"/>
  <c r="N601" i="1" a="1"/>
  <c r="N601" i="1" s="1"/>
  <c r="N600" i="1" a="1"/>
  <c r="N600" i="1" s="1"/>
  <c r="N599" i="1" a="1"/>
  <c r="N599" i="1" s="1"/>
  <c r="N598" i="1" a="1"/>
  <c r="N598" i="1" s="1"/>
  <c r="N597" i="1" a="1"/>
  <c r="N597" i="1" s="1"/>
  <c r="N596" i="1" a="1"/>
  <c r="N596" i="1" s="1"/>
  <c r="N595" i="1" a="1"/>
  <c r="N595" i="1" s="1"/>
  <c r="N594" i="1" a="1"/>
  <c r="N594" i="1" s="1"/>
  <c r="N593" i="1" a="1"/>
  <c r="N593" i="1" s="1"/>
  <c r="N592" i="1" a="1"/>
  <c r="N592" i="1" s="1"/>
  <c r="N591" i="1" a="1"/>
  <c r="N591" i="1" s="1"/>
  <c r="N590" i="1" a="1"/>
  <c r="N590" i="1" s="1"/>
  <c r="N589" i="1" a="1"/>
  <c r="N589" i="1" s="1"/>
  <c r="N588" i="1" a="1"/>
  <c r="N588" i="1" s="1"/>
  <c r="N587" i="1" a="1"/>
  <c r="N587" i="1" s="1"/>
  <c r="N586" i="1" a="1"/>
  <c r="N586" i="1" s="1"/>
  <c r="N585" i="1" a="1"/>
  <c r="N585" i="1" s="1"/>
  <c r="N584" i="1" a="1"/>
  <c r="N584" i="1" s="1"/>
  <c r="N583" i="1" a="1"/>
  <c r="N583" i="1" s="1"/>
  <c r="N582" i="1" a="1"/>
  <c r="N582" i="1" s="1"/>
  <c r="N581" i="1" a="1"/>
  <c r="N581" i="1" s="1"/>
  <c r="N580" i="1" a="1"/>
  <c r="N580" i="1" s="1"/>
  <c r="N579" i="1" a="1"/>
  <c r="N579" i="1" s="1"/>
  <c r="N578" i="1" a="1"/>
  <c r="N578" i="1" s="1"/>
  <c r="N577" i="1" a="1"/>
  <c r="N577" i="1" s="1"/>
  <c r="N576" i="1" a="1"/>
  <c r="N576" i="1" s="1"/>
  <c r="N575" i="1" a="1"/>
  <c r="N575" i="1" s="1"/>
  <c r="N574" i="1" a="1"/>
  <c r="N574" i="1" s="1"/>
  <c r="N573" i="1" a="1"/>
  <c r="N573" i="1" s="1"/>
  <c r="N572" i="1" a="1"/>
  <c r="N572" i="1" s="1"/>
  <c r="N571" i="1" a="1"/>
  <c r="N571" i="1" s="1"/>
  <c r="N570" i="1" a="1"/>
  <c r="N570" i="1" s="1"/>
  <c r="N569" i="1" a="1"/>
  <c r="N569" i="1" s="1"/>
  <c r="N568" i="1" a="1"/>
  <c r="N568" i="1" s="1"/>
  <c r="N567" i="1" a="1"/>
  <c r="N567" i="1" s="1"/>
  <c r="N566" i="1" a="1"/>
  <c r="N566" i="1" s="1"/>
  <c r="N565" i="1" a="1"/>
  <c r="N565" i="1" s="1"/>
  <c r="N564" i="1" a="1"/>
  <c r="N564" i="1" s="1"/>
  <c r="N563" i="1" a="1"/>
  <c r="N563" i="1" s="1"/>
  <c r="N562" i="1" a="1"/>
  <c r="N562" i="1" s="1"/>
  <c r="N561" i="1" a="1"/>
  <c r="N561" i="1" s="1"/>
  <c r="N560" i="1" a="1"/>
  <c r="N560" i="1" s="1"/>
  <c r="N559" i="1" a="1"/>
  <c r="N559" i="1" s="1"/>
  <c r="N558" i="1" a="1"/>
  <c r="N558" i="1" s="1"/>
  <c r="N557" i="1" a="1"/>
  <c r="N557" i="1" s="1"/>
  <c r="N556" i="1" a="1"/>
  <c r="N556" i="1" s="1"/>
  <c r="N555" i="1" a="1"/>
  <c r="N555" i="1" s="1"/>
  <c r="N554" i="1" a="1"/>
  <c r="N554" i="1" s="1"/>
  <c r="N553" i="1" a="1"/>
  <c r="N553" i="1" s="1"/>
  <c r="N552" i="1" a="1"/>
  <c r="N552" i="1" s="1"/>
  <c r="N551" i="1" a="1"/>
  <c r="N551" i="1" s="1"/>
  <c r="N550" i="1" a="1"/>
  <c r="N550" i="1" s="1"/>
  <c r="N549" i="1" a="1"/>
  <c r="N549" i="1" s="1"/>
  <c r="N548" i="1" a="1"/>
  <c r="N548" i="1" s="1"/>
  <c r="N547" i="1" a="1"/>
  <c r="N547" i="1" s="1"/>
  <c r="N546" i="1" a="1"/>
  <c r="N546" i="1" s="1"/>
  <c r="N545" i="1" a="1"/>
  <c r="N545" i="1" s="1"/>
  <c r="N544" i="1" a="1"/>
  <c r="N544" i="1" s="1"/>
  <c r="N543" i="1" a="1"/>
  <c r="N543" i="1" s="1"/>
  <c r="N542" i="1" a="1"/>
  <c r="N542" i="1" s="1"/>
  <c r="N541" i="1" a="1"/>
  <c r="N541" i="1" s="1"/>
  <c r="N540" i="1" a="1"/>
  <c r="N540" i="1" s="1"/>
  <c r="N539" i="1" a="1"/>
  <c r="N539" i="1" s="1"/>
  <c r="N538" i="1" a="1"/>
  <c r="N538" i="1" s="1"/>
  <c r="N537" i="1" a="1"/>
  <c r="N537" i="1" s="1"/>
  <c r="N536" i="1" a="1"/>
  <c r="N536" i="1" s="1"/>
  <c r="N535" i="1" a="1"/>
  <c r="N535" i="1" s="1"/>
  <c r="N534" i="1" a="1"/>
  <c r="N534" i="1" s="1"/>
  <c r="N533" i="1" a="1"/>
  <c r="N533" i="1" s="1"/>
  <c r="N532" i="1" a="1"/>
  <c r="N532" i="1" s="1"/>
  <c r="N531" i="1" a="1"/>
  <c r="N531" i="1" s="1"/>
  <c r="N530" i="1" a="1"/>
  <c r="N530" i="1" s="1"/>
  <c r="N529" i="1" a="1"/>
  <c r="N529" i="1" s="1"/>
  <c r="N528" i="1" a="1"/>
  <c r="N528" i="1" s="1"/>
  <c r="N527" i="1" a="1"/>
  <c r="N527" i="1" s="1"/>
  <c r="N526" i="1" a="1"/>
  <c r="N526" i="1" s="1"/>
  <c r="N525" i="1" a="1"/>
  <c r="N525" i="1" s="1"/>
  <c r="N524" i="1" a="1"/>
  <c r="N524" i="1" s="1"/>
  <c r="N523" i="1" a="1"/>
  <c r="N523" i="1" s="1"/>
  <c r="N522" i="1" a="1"/>
  <c r="N522" i="1" s="1"/>
  <c r="N521" i="1" a="1"/>
  <c r="N521" i="1" s="1"/>
  <c r="N520" i="1" a="1"/>
  <c r="N520" i="1" s="1"/>
  <c r="N519" i="1" a="1"/>
  <c r="N519" i="1" s="1"/>
  <c r="N518" i="1" a="1"/>
  <c r="N518" i="1" s="1"/>
  <c r="N517" i="1" a="1"/>
  <c r="N517" i="1" s="1"/>
  <c r="N516" i="1" a="1"/>
  <c r="N516" i="1" s="1"/>
  <c r="N515" i="1" a="1"/>
  <c r="N515" i="1" s="1"/>
  <c r="N514" i="1" a="1"/>
  <c r="N514" i="1" s="1"/>
  <c r="N513" i="1" a="1"/>
  <c r="N513" i="1" s="1"/>
  <c r="N512" i="1" a="1"/>
  <c r="N512" i="1" s="1"/>
  <c r="N511" i="1" a="1"/>
  <c r="N511" i="1" s="1"/>
  <c r="N510" i="1" a="1"/>
  <c r="N510" i="1" s="1"/>
  <c r="N509" i="1" a="1"/>
  <c r="N509" i="1" s="1"/>
  <c r="N508" i="1" a="1"/>
  <c r="N508" i="1" s="1"/>
  <c r="N507" i="1" a="1"/>
  <c r="N507" i="1" s="1"/>
  <c r="N506" i="1" a="1"/>
  <c r="N506" i="1" s="1"/>
  <c r="N505" i="1" a="1"/>
  <c r="N505" i="1" s="1"/>
  <c r="N504" i="1" a="1"/>
  <c r="N504" i="1" s="1"/>
  <c r="N503" i="1" a="1"/>
  <c r="N503" i="1" s="1"/>
  <c r="N502" i="1" a="1"/>
  <c r="N502" i="1" s="1"/>
  <c r="N501" i="1" a="1"/>
  <c r="N501" i="1" s="1"/>
  <c r="N500" i="1" a="1"/>
  <c r="N500" i="1" s="1"/>
  <c r="N499" i="1" a="1"/>
  <c r="N499" i="1" s="1"/>
  <c r="N498" i="1" a="1"/>
  <c r="N498" i="1" s="1"/>
  <c r="N497" i="1" a="1"/>
  <c r="N497" i="1" s="1"/>
  <c r="N496" i="1" a="1"/>
  <c r="N496" i="1" s="1"/>
  <c r="N495" i="1" a="1"/>
  <c r="N495" i="1" s="1"/>
  <c r="N494" i="1" a="1"/>
  <c r="N494" i="1" s="1"/>
  <c r="N493" i="1" a="1"/>
  <c r="N493" i="1" s="1"/>
  <c r="N492" i="1" a="1"/>
  <c r="N492" i="1" s="1"/>
  <c r="N491" i="1" a="1"/>
  <c r="N491" i="1" s="1"/>
  <c r="N490" i="1" a="1"/>
  <c r="N490" i="1" s="1"/>
  <c r="N489" i="1" a="1"/>
  <c r="N489" i="1" s="1"/>
  <c r="N488" i="1" a="1"/>
  <c r="N488" i="1" s="1"/>
  <c r="N487" i="1" a="1"/>
  <c r="N487" i="1" s="1"/>
  <c r="N486" i="1" a="1"/>
  <c r="N486" i="1" s="1"/>
  <c r="N485" i="1" a="1"/>
  <c r="N485" i="1" s="1"/>
  <c r="N484" i="1" a="1"/>
  <c r="N484" i="1" s="1"/>
  <c r="N483" i="1" a="1"/>
  <c r="N483" i="1" s="1"/>
  <c r="N482" i="1" a="1"/>
  <c r="N482" i="1" s="1"/>
  <c r="N481" i="1" a="1"/>
  <c r="N481" i="1" s="1"/>
  <c r="N480" i="1" a="1"/>
  <c r="N480" i="1" s="1"/>
  <c r="N479" i="1" a="1"/>
  <c r="N479" i="1" s="1"/>
  <c r="N478" i="1" a="1"/>
  <c r="N478" i="1" s="1"/>
  <c r="N477" i="1" a="1"/>
  <c r="N477" i="1" s="1"/>
  <c r="N476" i="1" a="1"/>
  <c r="N476" i="1" s="1"/>
  <c r="N475" i="1" a="1"/>
  <c r="N475" i="1" s="1"/>
  <c r="N474" i="1" a="1"/>
  <c r="N474" i="1" s="1"/>
  <c r="N473" i="1" a="1"/>
  <c r="N473" i="1" s="1"/>
  <c r="N472" i="1" a="1"/>
  <c r="N472" i="1" s="1"/>
  <c r="N471" i="1" a="1"/>
  <c r="N471" i="1" s="1"/>
  <c r="N470" i="1" a="1"/>
  <c r="N470" i="1" s="1"/>
  <c r="N469" i="1" a="1"/>
  <c r="N469" i="1" s="1"/>
  <c r="N468" i="1" a="1"/>
  <c r="N468" i="1" s="1"/>
  <c r="N467" i="1" a="1"/>
  <c r="N467" i="1" s="1"/>
  <c r="N466" i="1" a="1"/>
  <c r="N466" i="1" s="1"/>
  <c r="N465" i="1" a="1"/>
  <c r="N465" i="1" s="1"/>
  <c r="N464" i="1" a="1"/>
  <c r="N464" i="1" s="1"/>
  <c r="N463" i="1" a="1"/>
  <c r="N463" i="1" s="1"/>
  <c r="N462" i="1" a="1"/>
  <c r="N462" i="1" s="1"/>
  <c r="N461" i="1" a="1"/>
  <c r="N461" i="1" s="1"/>
  <c r="N460" i="1" a="1"/>
  <c r="N460" i="1" s="1"/>
  <c r="N459" i="1" a="1"/>
  <c r="N459" i="1" s="1"/>
  <c r="N458" i="1" a="1"/>
  <c r="N458" i="1" s="1"/>
  <c r="N457" i="1" a="1"/>
  <c r="N457" i="1" s="1"/>
  <c r="N456" i="1" a="1"/>
  <c r="N456" i="1" s="1"/>
  <c r="N455" i="1" a="1"/>
  <c r="N455" i="1" s="1"/>
  <c r="N454" i="1" a="1"/>
  <c r="N454" i="1" s="1"/>
  <c r="N453" i="1" a="1"/>
  <c r="N453" i="1" s="1"/>
  <c r="N452" i="1" a="1"/>
  <c r="N452" i="1" s="1"/>
  <c r="N451" i="1" a="1"/>
  <c r="N451" i="1" s="1"/>
  <c r="N450" i="1" a="1"/>
  <c r="N450" i="1" s="1"/>
  <c r="N449" i="1" a="1"/>
  <c r="N449" i="1" s="1"/>
  <c r="N448" i="1" a="1"/>
  <c r="N448" i="1" s="1"/>
  <c r="N447" i="1" a="1"/>
  <c r="N447" i="1" s="1"/>
  <c r="N446" i="1" a="1"/>
  <c r="N446" i="1" s="1"/>
  <c r="N445" i="1" a="1"/>
  <c r="N445" i="1" s="1"/>
  <c r="N444" i="1" a="1"/>
  <c r="N444" i="1" s="1"/>
  <c r="N443" i="1" a="1"/>
  <c r="N443" i="1" s="1"/>
  <c r="N442" i="1" a="1"/>
  <c r="N442" i="1" s="1"/>
  <c r="N441" i="1" a="1"/>
  <c r="N441" i="1" s="1"/>
  <c r="N440" i="1" a="1"/>
  <c r="N440" i="1" s="1"/>
  <c r="N439" i="1" a="1"/>
  <c r="N439" i="1" s="1"/>
  <c r="N438" i="1" a="1"/>
  <c r="N438" i="1" s="1"/>
  <c r="N437" i="1" a="1"/>
  <c r="N437" i="1" s="1"/>
  <c r="N436" i="1" a="1"/>
  <c r="N436" i="1" s="1"/>
  <c r="N435" i="1" a="1"/>
  <c r="N435" i="1" s="1"/>
  <c r="N434" i="1" a="1"/>
  <c r="N434" i="1" s="1"/>
  <c r="N433" i="1" a="1"/>
  <c r="N433" i="1" s="1"/>
  <c r="N432" i="1" a="1"/>
  <c r="N432" i="1" s="1"/>
  <c r="N431" i="1" a="1"/>
  <c r="N431" i="1" s="1"/>
  <c r="N430" i="1" a="1"/>
  <c r="N430" i="1" s="1"/>
  <c r="N429" i="1" a="1"/>
  <c r="N429" i="1" s="1"/>
  <c r="N428" i="1" a="1"/>
  <c r="N428" i="1" s="1"/>
  <c r="N427" i="1" a="1"/>
  <c r="N427" i="1" s="1"/>
  <c r="N426" i="1" a="1"/>
  <c r="N426" i="1" s="1"/>
  <c r="N425" i="1" a="1"/>
  <c r="N425" i="1" s="1"/>
  <c r="N424" i="1" a="1"/>
  <c r="N424" i="1" s="1"/>
  <c r="N423" i="1" a="1"/>
  <c r="N423" i="1" s="1"/>
  <c r="N422" i="1" a="1"/>
  <c r="N422" i="1" s="1"/>
  <c r="N421" i="1" a="1"/>
  <c r="N421" i="1" s="1"/>
  <c r="N420" i="1" a="1"/>
  <c r="N420" i="1" s="1"/>
  <c r="N419" i="1" a="1"/>
  <c r="N419" i="1" s="1"/>
  <c r="N418" i="1" a="1"/>
  <c r="N418" i="1" s="1"/>
  <c r="N417" i="1" a="1"/>
  <c r="N417" i="1" s="1"/>
  <c r="N416" i="1" a="1"/>
  <c r="N416" i="1" s="1"/>
  <c r="N415" i="1" a="1"/>
  <c r="N415" i="1" s="1"/>
  <c r="N414" i="1" a="1"/>
  <c r="N414" i="1" s="1"/>
  <c r="N413" i="1" a="1"/>
  <c r="N413" i="1" s="1"/>
  <c r="N412" i="1" a="1"/>
  <c r="N412" i="1" s="1"/>
  <c r="N411" i="1" a="1"/>
  <c r="N411" i="1" s="1"/>
  <c r="N410" i="1" a="1"/>
  <c r="N410" i="1" s="1"/>
  <c r="N409" i="1" a="1"/>
  <c r="N409" i="1" s="1"/>
  <c r="N408" i="1" a="1"/>
  <c r="N408" i="1" s="1"/>
  <c r="N407" i="1" a="1"/>
  <c r="N407" i="1" s="1"/>
  <c r="N406" i="1" a="1"/>
  <c r="N406" i="1" s="1"/>
  <c r="N405" i="1" a="1"/>
  <c r="N405" i="1" s="1"/>
  <c r="N404" i="1" a="1"/>
  <c r="N404" i="1" s="1"/>
  <c r="N403" i="1" a="1"/>
  <c r="N403" i="1" s="1"/>
  <c r="N402" i="1" a="1"/>
  <c r="N402" i="1" s="1"/>
  <c r="N401" i="1" a="1"/>
  <c r="N401" i="1" s="1"/>
  <c r="N400" i="1" a="1"/>
  <c r="N400" i="1" s="1"/>
  <c r="N399" i="1" a="1"/>
  <c r="N399" i="1" s="1"/>
  <c r="N398" i="1" a="1"/>
  <c r="N398" i="1" s="1"/>
  <c r="N397" i="1" a="1"/>
  <c r="N397" i="1" s="1"/>
  <c r="N396" i="1" a="1"/>
  <c r="N396" i="1" s="1"/>
  <c r="N395" i="1" a="1"/>
  <c r="N395" i="1" s="1"/>
  <c r="N394" i="1" a="1"/>
  <c r="N394" i="1" s="1"/>
  <c r="N393" i="1" a="1"/>
  <c r="N393" i="1" s="1"/>
  <c r="N392" i="1" a="1"/>
  <c r="N392" i="1" s="1"/>
  <c r="N391" i="1" a="1"/>
  <c r="N391" i="1" s="1"/>
  <c r="N390" i="1" a="1"/>
  <c r="N390" i="1" s="1"/>
  <c r="N389" i="1" a="1"/>
  <c r="N389" i="1" s="1"/>
  <c r="N388" i="1" a="1"/>
  <c r="N388" i="1" s="1"/>
  <c r="N387" i="1" a="1"/>
  <c r="N387" i="1" s="1"/>
  <c r="N386" i="1" a="1"/>
  <c r="N386" i="1" s="1"/>
  <c r="N385" i="1" a="1"/>
  <c r="N385" i="1" s="1"/>
  <c r="N384" i="1" a="1"/>
  <c r="N384" i="1" s="1"/>
  <c r="N383" i="1" a="1"/>
  <c r="N383" i="1" s="1"/>
  <c r="N382" i="1" a="1"/>
  <c r="N382" i="1" s="1"/>
  <c r="N381" i="1" a="1"/>
  <c r="N381" i="1" s="1"/>
  <c r="N380" i="1" a="1"/>
  <c r="N380" i="1" s="1"/>
  <c r="N379" i="1" a="1"/>
  <c r="N379" i="1" s="1"/>
  <c r="N378" i="1" a="1"/>
  <c r="N378" i="1" s="1"/>
  <c r="N377" i="1" a="1"/>
  <c r="N377" i="1" s="1"/>
  <c r="N376" i="1" a="1"/>
  <c r="N376" i="1" s="1"/>
  <c r="N375" i="1" a="1"/>
  <c r="N375" i="1" s="1"/>
  <c r="N374" i="1" a="1"/>
  <c r="N374" i="1" s="1"/>
  <c r="N373" i="1" a="1"/>
  <c r="N373" i="1" s="1"/>
  <c r="N372" i="1" a="1"/>
  <c r="N372" i="1" s="1"/>
  <c r="N371" i="1" a="1"/>
  <c r="N371" i="1" s="1"/>
  <c r="N370" i="1" a="1"/>
  <c r="N370" i="1" s="1"/>
  <c r="N369" i="1" a="1"/>
  <c r="N369" i="1" s="1"/>
  <c r="N368" i="1" a="1"/>
  <c r="N368" i="1" s="1"/>
  <c r="N367" i="1" a="1"/>
  <c r="N367" i="1" s="1"/>
  <c r="N366" i="1" a="1"/>
  <c r="N366" i="1" s="1"/>
  <c r="N365" i="1" a="1"/>
  <c r="N365" i="1" s="1"/>
  <c r="N364" i="1" a="1"/>
  <c r="N364" i="1" s="1"/>
  <c r="N363" i="1" a="1"/>
  <c r="N363" i="1" s="1"/>
  <c r="N362" i="1" a="1"/>
  <c r="N362" i="1" s="1"/>
  <c r="N361" i="1" a="1"/>
  <c r="N361" i="1" s="1"/>
  <c r="N360" i="1" a="1"/>
  <c r="N360" i="1" s="1"/>
  <c r="N359" i="1" a="1"/>
  <c r="N359" i="1" s="1"/>
  <c r="N358" i="1" a="1"/>
  <c r="N358" i="1" s="1"/>
  <c r="N357" i="1" a="1"/>
  <c r="N357" i="1" s="1"/>
  <c r="N356" i="1" a="1"/>
  <c r="N356" i="1" s="1"/>
  <c r="N355" i="1" a="1"/>
  <c r="N355" i="1" s="1"/>
  <c r="N354" i="1" a="1"/>
  <c r="N354" i="1" s="1"/>
  <c r="N353" i="1" a="1"/>
  <c r="N353" i="1" s="1"/>
  <c r="N352" i="1" a="1"/>
  <c r="N352" i="1" s="1"/>
  <c r="N351" i="1" a="1"/>
  <c r="N351" i="1" s="1"/>
  <c r="N350" i="1" a="1"/>
  <c r="N350" i="1" s="1"/>
  <c r="N349" i="1" a="1"/>
  <c r="N349" i="1" s="1"/>
  <c r="N348" i="1" a="1"/>
  <c r="N348" i="1" s="1"/>
  <c r="N347" i="1" a="1"/>
  <c r="N347" i="1" s="1"/>
  <c r="N346" i="1" a="1"/>
  <c r="N346" i="1" s="1"/>
  <c r="N345" i="1" a="1"/>
  <c r="N345" i="1" s="1"/>
  <c r="N344" i="1" a="1"/>
  <c r="N344" i="1" s="1"/>
  <c r="N343" i="1" a="1"/>
  <c r="N343" i="1" s="1"/>
  <c r="N342" i="1" a="1"/>
  <c r="N342" i="1" s="1"/>
  <c r="N341" i="1" a="1"/>
  <c r="N341" i="1" s="1"/>
  <c r="N340" i="1" a="1"/>
  <c r="N340" i="1" s="1"/>
  <c r="N339" i="1" a="1"/>
  <c r="N339" i="1" s="1"/>
  <c r="N338" i="1" a="1"/>
  <c r="N338" i="1" s="1"/>
  <c r="N337" i="1" a="1"/>
  <c r="N337" i="1" s="1"/>
  <c r="N336" i="1" a="1"/>
  <c r="N336" i="1" s="1"/>
  <c r="N335" i="1" a="1"/>
  <c r="N335" i="1" s="1"/>
  <c r="N334" i="1" a="1"/>
  <c r="N334" i="1" s="1"/>
  <c r="N333" i="1" a="1"/>
  <c r="N333" i="1" s="1"/>
  <c r="N332" i="1" a="1"/>
  <c r="N332" i="1" s="1"/>
  <c r="N331" i="1" a="1"/>
  <c r="N331" i="1" s="1"/>
  <c r="N330" i="1" a="1"/>
  <c r="N330" i="1" s="1"/>
  <c r="N329" i="1" a="1"/>
  <c r="N329" i="1" s="1"/>
  <c r="N328" i="1" a="1"/>
  <c r="N328" i="1" s="1"/>
  <c r="N327" i="1" a="1"/>
  <c r="N327" i="1" s="1"/>
  <c r="N326" i="1" a="1"/>
  <c r="N326" i="1" s="1"/>
  <c r="N325" i="1" a="1"/>
  <c r="N325" i="1" s="1"/>
  <c r="N324" i="1" a="1"/>
  <c r="N324" i="1" s="1"/>
  <c r="N323" i="1" a="1"/>
  <c r="N323" i="1" s="1"/>
  <c r="N322" i="1" a="1"/>
  <c r="N322" i="1" s="1"/>
  <c r="N321" i="1" a="1"/>
  <c r="N321" i="1" s="1"/>
  <c r="N320" i="1" a="1"/>
  <c r="N320" i="1" s="1"/>
  <c r="N319" i="1" a="1"/>
  <c r="N319" i="1" s="1"/>
  <c r="N318" i="1" a="1"/>
  <c r="N318" i="1" s="1"/>
  <c r="N317" i="1" a="1"/>
  <c r="N317" i="1" s="1"/>
  <c r="N316" i="1" a="1"/>
  <c r="N316" i="1" s="1"/>
  <c r="N315" i="1" a="1"/>
  <c r="N315" i="1" s="1"/>
  <c r="N314" i="1" a="1"/>
  <c r="N314" i="1" s="1"/>
  <c r="N313" i="1" a="1"/>
  <c r="N313" i="1" s="1"/>
  <c r="N312" i="1" a="1"/>
  <c r="N312" i="1" s="1"/>
  <c r="N311" i="1" a="1"/>
  <c r="N311" i="1" s="1"/>
  <c r="N310" i="1" a="1"/>
  <c r="N310" i="1" s="1"/>
  <c r="N309" i="1" a="1"/>
  <c r="N309" i="1" s="1"/>
  <c r="N308" i="1" a="1"/>
  <c r="N308" i="1" s="1"/>
  <c r="N307" i="1" a="1"/>
  <c r="N307" i="1" s="1"/>
  <c r="N306" i="1" a="1"/>
  <c r="N306" i="1" s="1"/>
  <c r="N305" i="1" a="1"/>
  <c r="N305" i="1" s="1"/>
  <c r="N304" i="1" a="1"/>
  <c r="N304" i="1" s="1"/>
  <c r="N303" i="1" a="1"/>
  <c r="N303" i="1" s="1"/>
  <c r="N302" i="1" a="1"/>
  <c r="N302" i="1" s="1"/>
  <c r="N301" i="1" a="1"/>
  <c r="N301" i="1" s="1"/>
  <c r="N300" i="1" a="1"/>
  <c r="N300" i="1" s="1"/>
  <c r="N299" i="1" a="1"/>
  <c r="N299" i="1" s="1"/>
  <c r="N298" i="1" a="1"/>
  <c r="N298" i="1" s="1"/>
  <c r="N297" i="1" a="1"/>
  <c r="N297" i="1" s="1"/>
  <c r="N296" i="1" a="1"/>
  <c r="N296" i="1" s="1"/>
  <c r="N295" i="1" a="1"/>
  <c r="N295" i="1" s="1"/>
  <c r="N294" i="1" a="1"/>
  <c r="N294" i="1" s="1"/>
  <c r="N293" i="1" a="1"/>
  <c r="N293" i="1" s="1"/>
  <c r="N292" i="1" a="1"/>
  <c r="N292" i="1" s="1"/>
  <c r="N291" i="1" a="1"/>
  <c r="N291" i="1" s="1"/>
  <c r="N290" i="1" a="1"/>
  <c r="N290" i="1" s="1"/>
  <c r="N289" i="1" a="1"/>
  <c r="N289" i="1" s="1"/>
  <c r="N288" i="1" a="1"/>
  <c r="N288" i="1" s="1"/>
  <c r="N287" i="1" a="1"/>
  <c r="N287" i="1" s="1"/>
  <c r="N286" i="1" a="1"/>
  <c r="N286" i="1" s="1"/>
  <c r="N285" i="1" a="1"/>
  <c r="N285" i="1" s="1"/>
  <c r="N284" i="1" a="1"/>
  <c r="N284" i="1" s="1"/>
  <c r="N283" i="1" a="1"/>
  <c r="N283" i="1" s="1"/>
  <c r="N282" i="1" a="1"/>
  <c r="N282" i="1" s="1"/>
  <c r="N281" i="1" a="1"/>
  <c r="N281" i="1" s="1"/>
  <c r="N280" i="1" a="1"/>
  <c r="N280" i="1" s="1"/>
  <c r="N279" i="1" a="1"/>
  <c r="N279" i="1" s="1"/>
  <c r="N278" i="1" a="1"/>
  <c r="N278" i="1" s="1"/>
  <c r="N277" i="1" a="1"/>
  <c r="N277" i="1" s="1"/>
  <c r="N276" i="1" a="1"/>
  <c r="N276" i="1" s="1"/>
  <c r="N275" i="1" a="1"/>
  <c r="N275" i="1" s="1"/>
  <c r="N274" i="1" a="1"/>
  <c r="N274" i="1" s="1"/>
  <c r="N273" i="1" a="1"/>
  <c r="N273" i="1" s="1"/>
  <c r="N272" i="1" a="1"/>
  <c r="N272" i="1" s="1"/>
  <c r="N271" i="1" a="1"/>
  <c r="N271" i="1" s="1"/>
  <c r="N270" i="1" a="1"/>
  <c r="N270" i="1" s="1"/>
  <c r="N269" i="1" a="1"/>
  <c r="N269" i="1" s="1"/>
  <c r="N268" i="1" a="1"/>
  <c r="N268" i="1" s="1"/>
  <c r="N267" i="1" a="1"/>
  <c r="N267" i="1" s="1"/>
  <c r="N266" i="1" a="1"/>
  <c r="N266" i="1" s="1"/>
  <c r="N265" i="1" a="1"/>
  <c r="N265" i="1" s="1"/>
  <c r="N264" i="1" a="1"/>
  <c r="N264" i="1" s="1"/>
  <c r="N263" i="1" a="1"/>
  <c r="N263" i="1" s="1"/>
  <c r="N262" i="1" a="1"/>
  <c r="N262" i="1" s="1"/>
  <c r="N261" i="1" a="1"/>
  <c r="N261" i="1" s="1"/>
  <c r="N260" i="1" a="1"/>
  <c r="N260" i="1" s="1"/>
  <c r="N259" i="1" a="1"/>
  <c r="N259" i="1" s="1"/>
  <c r="N258" i="1" a="1"/>
  <c r="N258" i="1" s="1"/>
  <c r="N257" i="1" a="1"/>
  <c r="N257" i="1" s="1"/>
  <c r="N256" i="1" a="1"/>
  <c r="N256" i="1" s="1"/>
  <c r="N255" i="1" a="1"/>
  <c r="N255" i="1" s="1"/>
  <c r="N254" i="1" a="1"/>
  <c r="N254" i="1" s="1"/>
  <c r="N253" i="1" a="1"/>
  <c r="N253" i="1" s="1"/>
  <c r="N252" i="1" a="1"/>
  <c r="N252" i="1" s="1"/>
  <c r="N251" i="1" a="1"/>
  <c r="N251" i="1" s="1"/>
  <c r="N250" i="1" a="1"/>
  <c r="N250" i="1" s="1"/>
  <c r="N249" i="1" a="1"/>
  <c r="N249" i="1" s="1"/>
  <c r="N248" i="1" a="1"/>
  <c r="N248" i="1" s="1"/>
  <c r="N247" i="1" a="1"/>
  <c r="N247" i="1" s="1"/>
  <c r="N246" i="1" a="1"/>
  <c r="N246" i="1" s="1"/>
  <c r="N245" i="1" a="1"/>
  <c r="N245" i="1" s="1"/>
  <c r="N244" i="1" a="1"/>
  <c r="N244" i="1" s="1"/>
  <c r="N243" i="1" a="1"/>
  <c r="N243" i="1" s="1"/>
  <c r="N242" i="1" a="1"/>
  <c r="N242" i="1" s="1"/>
  <c r="N241" i="1" a="1"/>
  <c r="N241" i="1" s="1"/>
  <c r="N240" i="1" a="1"/>
  <c r="N240" i="1" s="1"/>
  <c r="N239" i="1" a="1"/>
  <c r="N239" i="1" s="1"/>
  <c r="N238" i="1" a="1"/>
  <c r="N238" i="1" s="1"/>
  <c r="N237" i="1" a="1"/>
  <c r="N237" i="1" s="1"/>
  <c r="N236" i="1" a="1"/>
  <c r="N236" i="1" s="1"/>
  <c r="N235" i="1" a="1"/>
  <c r="N235" i="1" s="1"/>
  <c r="N234" i="1" a="1"/>
  <c r="N234" i="1" s="1"/>
  <c r="N233" i="1" a="1"/>
  <c r="N233" i="1" s="1"/>
  <c r="N232" i="1" a="1"/>
  <c r="N232" i="1" s="1"/>
  <c r="N231" i="1" a="1"/>
  <c r="N231" i="1" s="1"/>
  <c r="N230" i="1" a="1"/>
  <c r="N230" i="1" s="1"/>
  <c r="N229" i="1" a="1"/>
  <c r="N229" i="1" s="1"/>
  <c r="N228" i="1" a="1"/>
  <c r="N228" i="1" s="1"/>
  <c r="N227" i="1" a="1"/>
  <c r="N227" i="1" s="1"/>
  <c r="N226" i="1" a="1"/>
  <c r="N226" i="1" s="1"/>
  <c r="N225" i="1" a="1"/>
  <c r="N225" i="1" s="1"/>
  <c r="N224" i="1" a="1"/>
  <c r="N224" i="1" s="1"/>
  <c r="N223" i="1" a="1"/>
  <c r="N223" i="1" s="1"/>
  <c r="N222" i="1" a="1"/>
  <c r="N222" i="1" s="1"/>
  <c r="N221" i="1" a="1"/>
  <c r="N221" i="1" s="1"/>
  <c r="N220" i="1" a="1"/>
  <c r="N220" i="1" s="1"/>
  <c r="N219" i="1" a="1"/>
  <c r="N219" i="1" s="1"/>
  <c r="N218" i="1" a="1"/>
  <c r="N218" i="1" s="1"/>
  <c r="N217" i="1" a="1"/>
  <c r="N217" i="1" s="1"/>
  <c r="N216" i="1" a="1"/>
  <c r="N216" i="1" s="1"/>
  <c r="N215" i="1" a="1"/>
  <c r="N215" i="1" s="1"/>
  <c r="N214" i="1" a="1"/>
  <c r="N214" i="1" s="1"/>
  <c r="N213" i="1" a="1"/>
  <c r="N213" i="1" s="1"/>
  <c r="N212" i="1" a="1"/>
  <c r="N212" i="1" s="1"/>
  <c r="N211" i="1" a="1"/>
  <c r="N211" i="1" s="1"/>
  <c r="N210" i="1" a="1"/>
  <c r="N210" i="1" s="1"/>
  <c r="N209" i="1" a="1"/>
  <c r="N209" i="1" s="1"/>
  <c r="N208" i="1" a="1"/>
  <c r="N208" i="1" s="1"/>
  <c r="N207" i="1" a="1"/>
  <c r="N207" i="1" s="1"/>
  <c r="N206" i="1" a="1"/>
  <c r="N206" i="1" s="1"/>
  <c r="N205" i="1" a="1"/>
  <c r="N205" i="1" s="1"/>
  <c r="N204" i="1" a="1"/>
  <c r="N204" i="1" s="1"/>
  <c r="N203" i="1" a="1"/>
  <c r="N203" i="1" s="1"/>
  <c r="N202" i="1" a="1"/>
  <c r="N202" i="1" s="1"/>
  <c r="N201" i="1" a="1"/>
  <c r="N201" i="1" s="1"/>
  <c r="N200" i="1" a="1"/>
  <c r="N200" i="1" s="1"/>
  <c r="N199" i="1" a="1"/>
  <c r="N199" i="1" s="1"/>
  <c r="N198" i="1" a="1"/>
  <c r="N198" i="1" s="1"/>
  <c r="N197" i="1" a="1"/>
  <c r="N197" i="1" s="1"/>
  <c r="N196" i="1" a="1"/>
  <c r="N196" i="1" s="1"/>
  <c r="N195" i="1" a="1"/>
  <c r="N195" i="1" s="1"/>
  <c r="N194" i="1" a="1"/>
  <c r="N194" i="1" s="1"/>
  <c r="N193" i="1" a="1"/>
  <c r="N193" i="1" s="1"/>
  <c r="N192" i="1" a="1"/>
  <c r="N192" i="1" s="1"/>
  <c r="N191" i="1" a="1"/>
  <c r="N191" i="1" s="1"/>
  <c r="N190" i="1" a="1"/>
  <c r="N190" i="1" s="1"/>
  <c r="N189" i="1" a="1"/>
  <c r="N189" i="1" s="1"/>
  <c r="N188" i="1" a="1"/>
  <c r="N188" i="1" s="1"/>
  <c r="N187" i="1" a="1"/>
  <c r="N187" i="1" s="1"/>
  <c r="N186" i="1" a="1"/>
  <c r="N186" i="1" s="1"/>
  <c r="N185" i="1" a="1"/>
  <c r="N185" i="1" s="1"/>
  <c r="N184" i="1" a="1"/>
  <c r="N184" i="1" s="1"/>
  <c r="N183" i="1" a="1"/>
  <c r="N183" i="1" s="1"/>
  <c r="N182" i="1" a="1"/>
  <c r="N182" i="1" s="1"/>
  <c r="N181" i="1" a="1"/>
  <c r="N181" i="1" s="1"/>
  <c r="N180" i="1" a="1"/>
  <c r="N180" i="1" s="1"/>
  <c r="N179" i="1" a="1"/>
  <c r="N179" i="1" s="1"/>
  <c r="N178" i="1" a="1"/>
  <c r="N178" i="1" s="1"/>
  <c r="N177" i="1" a="1"/>
  <c r="N177" i="1" s="1"/>
  <c r="N176" i="1" a="1"/>
  <c r="N176" i="1" s="1"/>
  <c r="N175" i="1" a="1"/>
  <c r="N175" i="1" s="1"/>
  <c r="N174" i="1" a="1"/>
  <c r="N174" i="1" s="1"/>
  <c r="N173" i="1" a="1"/>
  <c r="N173" i="1" s="1"/>
  <c r="N172" i="1" a="1"/>
  <c r="N172" i="1" s="1"/>
  <c r="N171" i="1" a="1"/>
  <c r="N171" i="1" s="1"/>
  <c r="N170" i="1" a="1"/>
  <c r="N170" i="1" s="1"/>
  <c r="N169" i="1" a="1"/>
  <c r="N169" i="1" s="1"/>
  <c r="N168" i="1" a="1"/>
  <c r="N168" i="1" s="1"/>
  <c r="N167" i="1" a="1"/>
  <c r="N167" i="1" s="1"/>
  <c r="N166" i="1" a="1"/>
  <c r="N166" i="1" s="1"/>
  <c r="N165" i="1" a="1"/>
  <c r="N165" i="1" s="1"/>
  <c r="N164" i="1" a="1"/>
  <c r="N164" i="1" s="1"/>
  <c r="N163" i="1" a="1"/>
  <c r="N163" i="1" s="1"/>
  <c r="N162" i="1" a="1"/>
  <c r="N162" i="1" s="1"/>
  <c r="N161" i="1" a="1"/>
  <c r="N161" i="1" s="1"/>
  <c r="N160" i="1" a="1"/>
  <c r="N160" i="1" s="1"/>
  <c r="N159" i="1" a="1"/>
  <c r="N159" i="1" s="1"/>
  <c r="N158" i="1" a="1"/>
  <c r="N158" i="1" s="1"/>
  <c r="N157" i="1" a="1"/>
  <c r="N157" i="1" s="1"/>
  <c r="N156" i="1" a="1"/>
  <c r="N156" i="1" s="1"/>
  <c r="N155" i="1" a="1"/>
  <c r="N155" i="1" s="1"/>
  <c r="N154" i="1" a="1"/>
  <c r="N154" i="1" s="1"/>
  <c r="N153" i="1" a="1"/>
  <c r="N153" i="1" s="1"/>
  <c r="N152" i="1" a="1"/>
  <c r="N152" i="1" s="1"/>
  <c r="N151" i="1" a="1"/>
  <c r="N151" i="1" s="1"/>
  <c r="N150" i="1" a="1"/>
  <c r="N150" i="1" s="1"/>
  <c r="N149" i="1" a="1"/>
  <c r="N149" i="1" s="1"/>
  <c r="N148" i="1" a="1"/>
  <c r="N148" i="1" s="1"/>
  <c r="N147" i="1" a="1"/>
  <c r="N147" i="1" s="1"/>
  <c r="N146" i="1" a="1"/>
  <c r="N146" i="1" s="1"/>
  <c r="N145" i="1" a="1"/>
  <c r="N145" i="1" s="1"/>
  <c r="N144" i="1" a="1"/>
  <c r="N144" i="1" s="1"/>
  <c r="N143" i="1" a="1"/>
  <c r="N143" i="1" s="1"/>
  <c r="N142" i="1" a="1"/>
  <c r="N142" i="1" s="1"/>
  <c r="N141" i="1" a="1"/>
  <c r="N141" i="1" s="1"/>
  <c r="N140" i="1" a="1"/>
  <c r="N140" i="1" s="1"/>
  <c r="N139" i="1" a="1"/>
  <c r="N139" i="1" s="1"/>
  <c r="N138" i="1" a="1"/>
  <c r="N138" i="1" s="1"/>
  <c r="N137" i="1" a="1"/>
  <c r="N137" i="1" s="1"/>
  <c r="N136" i="1" a="1"/>
  <c r="N136" i="1" s="1"/>
  <c r="N135" i="1" a="1"/>
  <c r="N135" i="1" s="1"/>
  <c r="N134" i="1" a="1"/>
  <c r="N134" i="1" s="1"/>
  <c r="N133" i="1" a="1"/>
  <c r="N133" i="1" s="1"/>
  <c r="N132" i="1" a="1"/>
  <c r="N132" i="1" s="1"/>
  <c r="N131" i="1" a="1"/>
  <c r="N131" i="1" s="1"/>
  <c r="N130" i="1" a="1"/>
  <c r="N130" i="1" s="1"/>
  <c r="N129" i="1" a="1"/>
  <c r="N129" i="1" s="1"/>
  <c r="N128" i="1" a="1"/>
  <c r="N128" i="1" s="1"/>
  <c r="N127" i="1" a="1"/>
  <c r="N127" i="1" s="1"/>
  <c r="N126" i="1" a="1"/>
  <c r="N126" i="1" s="1"/>
  <c r="N125" i="1" a="1"/>
  <c r="N125" i="1" s="1"/>
  <c r="N124" i="1" a="1"/>
  <c r="N124" i="1" s="1"/>
  <c r="N123" i="1" a="1"/>
  <c r="N123" i="1" s="1"/>
  <c r="N122" i="1" a="1"/>
  <c r="N122" i="1" s="1"/>
  <c r="N121" i="1" a="1"/>
  <c r="N121" i="1" s="1"/>
  <c r="N120" i="1" a="1"/>
  <c r="N120" i="1" s="1"/>
  <c r="N119" i="1" a="1"/>
  <c r="N119" i="1" s="1"/>
  <c r="N118" i="1" a="1"/>
  <c r="N118" i="1" s="1"/>
  <c r="N117" i="1" a="1"/>
  <c r="N117" i="1" s="1"/>
  <c r="N116" i="1" a="1"/>
  <c r="N116" i="1" s="1"/>
  <c r="N115" i="1" a="1"/>
  <c r="N115" i="1" s="1"/>
  <c r="N114" i="1" a="1"/>
  <c r="N114" i="1" s="1"/>
  <c r="N113" i="1" a="1"/>
  <c r="N113" i="1" s="1"/>
  <c r="N112" i="1" a="1"/>
  <c r="N112" i="1" s="1"/>
  <c r="N111" i="1" a="1"/>
  <c r="N111" i="1" s="1"/>
  <c r="N110" i="1" a="1"/>
  <c r="N110" i="1" s="1"/>
  <c r="N109" i="1" a="1"/>
  <c r="N109" i="1" s="1"/>
  <c r="N108" i="1" a="1"/>
  <c r="N108" i="1" s="1"/>
  <c r="N107" i="1" a="1"/>
  <c r="N107" i="1" s="1"/>
  <c r="N106" i="1" a="1"/>
  <c r="N106" i="1" s="1"/>
  <c r="N105" i="1" a="1"/>
  <c r="N105" i="1" s="1"/>
  <c r="N104" i="1" a="1"/>
  <c r="N104" i="1" s="1"/>
  <c r="N103" i="1" a="1"/>
  <c r="N103" i="1" s="1"/>
  <c r="N102" i="1" a="1"/>
  <c r="N102" i="1" s="1"/>
  <c r="N101" i="1" a="1"/>
  <c r="N101" i="1" s="1"/>
  <c r="N100" i="1" a="1"/>
  <c r="N100" i="1" s="1"/>
  <c r="N99" i="1" a="1"/>
  <c r="N99" i="1" s="1"/>
  <c r="N98" i="1" a="1"/>
  <c r="N98" i="1" s="1"/>
  <c r="N97" i="1" a="1"/>
  <c r="N97" i="1" s="1"/>
  <c r="N96" i="1" a="1"/>
  <c r="N96" i="1" s="1"/>
  <c r="N95" i="1" a="1"/>
  <c r="N95" i="1" s="1"/>
  <c r="N94" i="1" a="1"/>
  <c r="N94" i="1" s="1"/>
  <c r="N93" i="1" a="1"/>
  <c r="N93" i="1" s="1"/>
  <c r="N92" i="1" a="1"/>
  <c r="N92" i="1" s="1"/>
  <c r="N91" i="1" a="1"/>
  <c r="N91" i="1" s="1"/>
  <c r="N90" i="1" a="1"/>
  <c r="N90" i="1" s="1"/>
  <c r="N89" i="1" a="1"/>
  <c r="N89" i="1" s="1"/>
  <c r="N88" i="1" a="1"/>
  <c r="N88" i="1" s="1"/>
  <c r="N87" i="1" a="1"/>
  <c r="N87" i="1" s="1"/>
  <c r="N86" i="1" a="1"/>
  <c r="N86" i="1" s="1"/>
  <c r="N85" i="1" a="1"/>
  <c r="N85" i="1" s="1"/>
  <c r="N84" i="1" a="1"/>
  <c r="N84" i="1" s="1"/>
  <c r="N83" i="1" a="1"/>
  <c r="N83" i="1" s="1"/>
  <c r="N82" i="1" a="1"/>
  <c r="N82" i="1" s="1"/>
  <c r="N81" i="1" a="1"/>
  <c r="N81" i="1" s="1"/>
  <c r="N80" i="1" a="1"/>
  <c r="N80" i="1" s="1"/>
  <c r="N79" i="1" a="1"/>
  <c r="N79" i="1" s="1"/>
  <c r="N78" i="1" a="1"/>
  <c r="N78" i="1" s="1"/>
  <c r="N77" i="1" a="1"/>
  <c r="N77" i="1" s="1"/>
  <c r="N76" i="1" a="1"/>
  <c r="N76" i="1" s="1"/>
  <c r="N75" i="1" a="1"/>
  <c r="N75" i="1" s="1"/>
  <c r="N74" i="1" a="1"/>
  <c r="N74" i="1" s="1"/>
  <c r="N73" i="1" a="1"/>
  <c r="N73" i="1" s="1"/>
  <c r="N72" i="1" a="1"/>
  <c r="N72" i="1" s="1"/>
  <c r="N71" i="1" a="1"/>
  <c r="N71" i="1" s="1"/>
  <c r="N70" i="1" a="1"/>
  <c r="N70" i="1" s="1"/>
  <c r="N69" i="1" a="1"/>
  <c r="N69" i="1" s="1"/>
  <c r="N68" i="1" a="1"/>
  <c r="N68" i="1" s="1"/>
  <c r="N67" i="1" a="1"/>
  <c r="N67" i="1" s="1"/>
  <c r="N66" i="1" a="1"/>
  <c r="N66" i="1" s="1"/>
  <c r="N65" i="1" a="1"/>
  <c r="N65" i="1" s="1"/>
  <c r="N64" i="1" a="1"/>
  <c r="N64" i="1" s="1"/>
  <c r="N63" i="1" a="1"/>
  <c r="N63" i="1" s="1"/>
  <c r="N62" i="1" a="1"/>
  <c r="N62" i="1" s="1"/>
  <c r="N61" i="1" a="1"/>
  <c r="N61" i="1" s="1"/>
  <c r="N60" i="1" a="1"/>
  <c r="N60" i="1" s="1"/>
  <c r="N59" i="1" a="1"/>
  <c r="N59" i="1" s="1"/>
  <c r="N58" i="1" a="1"/>
  <c r="N58" i="1" s="1"/>
  <c r="N57" i="1" a="1"/>
  <c r="N57" i="1" s="1"/>
  <c r="N56" i="1" a="1"/>
  <c r="N56" i="1" s="1"/>
  <c r="N55" i="1" a="1"/>
  <c r="N55" i="1" s="1"/>
  <c r="N54" i="1" a="1"/>
  <c r="N54" i="1" s="1"/>
  <c r="N53" i="1" a="1"/>
  <c r="N53" i="1" s="1"/>
  <c r="N52" i="1" a="1"/>
  <c r="N52" i="1" s="1"/>
  <c r="N51" i="1" a="1"/>
  <c r="N51" i="1" s="1"/>
  <c r="N50" i="1" a="1"/>
  <c r="N50" i="1" s="1"/>
  <c r="N49" i="1" a="1"/>
  <c r="N49" i="1" s="1"/>
  <c r="N48" i="1" a="1"/>
  <c r="N48" i="1" s="1"/>
  <c r="N47" i="1" a="1"/>
  <c r="N47" i="1" s="1"/>
  <c r="N46" i="1" a="1"/>
  <c r="N46" i="1" s="1"/>
  <c r="N45" i="1" a="1"/>
  <c r="N45" i="1" s="1"/>
  <c r="N44" i="1" a="1"/>
  <c r="N44" i="1" s="1"/>
  <c r="N43" i="1" a="1"/>
  <c r="N43" i="1" s="1"/>
  <c r="N42" i="1" a="1"/>
  <c r="N42" i="1" s="1"/>
  <c r="N41" i="1" a="1"/>
  <c r="N41" i="1" s="1"/>
  <c r="N40" i="1" a="1"/>
  <c r="N40" i="1" s="1"/>
  <c r="N39" i="1" a="1"/>
  <c r="N39" i="1" s="1"/>
  <c r="N38" i="1" a="1"/>
  <c r="N38" i="1" s="1"/>
  <c r="N37" i="1" a="1"/>
  <c r="N37" i="1" s="1"/>
  <c r="N36" i="1" a="1"/>
  <c r="N36" i="1" s="1"/>
  <c r="N35" i="1" a="1"/>
  <c r="N35" i="1" s="1"/>
  <c r="N34" i="1" a="1"/>
  <c r="N34" i="1" s="1"/>
  <c r="N33" i="1" a="1"/>
  <c r="N33" i="1" s="1"/>
  <c r="N32" i="1" a="1"/>
  <c r="N32" i="1" s="1"/>
  <c r="N31" i="1" a="1"/>
  <c r="N31" i="1" s="1"/>
  <c r="N30" i="1" a="1"/>
  <c r="N30" i="1" s="1"/>
  <c r="N29" i="1" a="1"/>
  <c r="N29" i="1" s="1"/>
  <c r="N28" i="1" a="1"/>
  <c r="N28" i="1" s="1"/>
  <c r="N27" i="1" a="1"/>
  <c r="N27" i="1" s="1"/>
  <c r="N26" i="1" a="1"/>
  <c r="N26" i="1" s="1"/>
  <c r="N25" i="1" a="1"/>
  <c r="N25" i="1" s="1"/>
  <c r="N24" i="1" a="1"/>
  <c r="N24" i="1" s="1"/>
  <c r="N23" i="1" a="1"/>
  <c r="N23" i="1" s="1"/>
  <c r="N22" i="1" a="1"/>
  <c r="N22" i="1" s="1"/>
  <c r="N21" i="1" a="1"/>
  <c r="N21" i="1" s="1"/>
  <c r="N20" i="1" a="1"/>
  <c r="N20" i="1" s="1"/>
  <c r="N19" i="1" a="1"/>
  <c r="N19" i="1" s="1"/>
  <c r="N18" i="1" a="1"/>
  <c r="N18" i="1" s="1"/>
  <c r="N17" i="1" a="1"/>
  <c r="N17" i="1" s="1"/>
  <c r="N16" i="1" a="1"/>
  <c r="N16" i="1" s="1"/>
  <c r="N15" i="1" a="1"/>
  <c r="N15" i="1" s="1"/>
  <c r="N14" i="1" a="1"/>
  <c r="N14" i="1" s="1"/>
  <c r="N13" i="1" a="1"/>
  <c r="N13" i="1" s="1"/>
  <c r="N12" i="1" a="1"/>
  <c r="N12" i="1" s="1"/>
  <c r="N11" i="1" a="1"/>
  <c r="N11" i="1" s="1"/>
  <c r="N10" i="1" a="1"/>
  <c r="N10" i="1" s="1"/>
  <c r="N9" i="1" a="1"/>
  <c r="N9" i="1" s="1"/>
  <c r="N8" i="1" a="1"/>
  <c r="N8" i="1" s="1"/>
  <c r="N7" i="1" a="1"/>
  <c r="N7" i="1" s="1"/>
  <c r="N6" i="1" a="1"/>
  <c r="N6" i="1" s="1"/>
  <c r="N5" i="1" a="1"/>
  <c r="N5" i="1" s="1"/>
  <c r="N4" i="1" a="1"/>
  <c r="N4" i="1" s="1"/>
  <c r="N3" i="1" a="1"/>
  <c r="N3" i="1" s="1"/>
  <c r="Q2884" i="1" a="1"/>
  <c r="Q2884" i="1" s="1"/>
  <c r="Q2883" i="1" a="1"/>
  <c r="Q2883" i="1" s="1"/>
  <c r="Q2882" i="1" a="1"/>
  <c r="Q2882" i="1" s="1"/>
  <c r="Q2881" i="1" a="1"/>
  <c r="Q2881" i="1" s="1"/>
  <c r="Q2880" i="1" a="1"/>
  <c r="Q2880" i="1" s="1"/>
  <c r="Q2879" i="1" a="1"/>
  <c r="Q2879" i="1" s="1"/>
  <c r="Q2878" i="1" a="1"/>
  <c r="Q2878" i="1" s="1"/>
  <c r="Q2877" i="1" a="1"/>
  <c r="Q2877" i="1" s="1"/>
  <c r="Q2876" i="1" a="1"/>
  <c r="Q2876" i="1" s="1"/>
  <c r="Q2875" i="1" a="1"/>
  <c r="Q2875" i="1" s="1"/>
  <c r="Q2874" i="1" a="1"/>
  <c r="Q2874" i="1" s="1"/>
  <c r="Q2873" i="1" a="1"/>
  <c r="Q2873" i="1" s="1"/>
  <c r="Q2872" i="1" a="1"/>
  <c r="Q2872" i="1" s="1"/>
  <c r="Q2871" i="1" a="1"/>
  <c r="Q2871" i="1" s="1"/>
  <c r="Q2870" i="1" a="1"/>
  <c r="Q2870" i="1" s="1"/>
  <c r="Q2869" i="1" a="1"/>
  <c r="Q2869" i="1" s="1"/>
  <c r="Q2868" i="1" a="1"/>
  <c r="Q2868" i="1" s="1"/>
  <c r="Q2867" i="1" a="1"/>
  <c r="Q2867" i="1" s="1"/>
  <c r="Q2866" i="1" a="1"/>
  <c r="Q2866" i="1" s="1"/>
  <c r="Q2865" i="1" a="1"/>
  <c r="Q2865" i="1" s="1"/>
  <c r="Q2864" i="1" a="1"/>
  <c r="Q2864" i="1" s="1"/>
  <c r="Q2863" i="1" a="1"/>
  <c r="Q2863" i="1" s="1"/>
  <c r="Q2862" i="1" a="1"/>
  <c r="Q2862" i="1" s="1"/>
  <c r="Q2861" i="1" a="1"/>
  <c r="Q2861" i="1" s="1"/>
  <c r="Q2860" i="1" a="1"/>
  <c r="Q2860" i="1" s="1"/>
  <c r="Q2859" i="1" a="1"/>
  <c r="Q2859" i="1" s="1"/>
  <c r="Q2858" i="1" a="1"/>
  <c r="Q2858" i="1" s="1"/>
  <c r="Q2857" i="1" a="1"/>
  <c r="Q2857" i="1" s="1"/>
  <c r="Q2856" i="1" a="1"/>
  <c r="Q2856" i="1" s="1"/>
  <c r="Q2855" i="1" a="1"/>
  <c r="Q2855" i="1" s="1"/>
  <c r="Q2854" i="1" a="1"/>
  <c r="Q2854" i="1" s="1"/>
  <c r="Q2853" i="1" a="1"/>
  <c r="Q2853" i="1" s="1"/>
  <c r="Q2852" i="1" a="1"/>
  <c r="Q2852" i="1" s="1"/>
  <c r="Q2851" i="1" a="1"/>
  <c r="Q2851" i="1" s="1"/>
  <c r="Q2850" i="1" a="1"/>
  <c r="Q2850" i="1" s="1"/>
  <c r="Q2849" i="1" a="1"/>
  <c r="Q2849" i="1" s="1"/>
  <c r="Q2848" i="1" a="1"/>
  <c r="Q2848" i="1" s="1"/>
  <c r="Q2847" i="1" a="1"/>
  <c r="Q2847" i="1" s="1"/>
  <c r="Q2846" i="1" a="1"/>
  <c r="Q2846" i="1" s="1"/>
  <c r="Q2845" i="1" a="1"/>
  <c r="Q2845" i="1" s="1"/>
  <c r="Q2844" i="1" a="1"/>
  <c r="Q2844" i="1" s="1"/>
  <c r="Q2843" i="1" a="1"/>
  <c r="Q2843" i="1" s="1"/>
  <c r="Q2842" i="1" a="1"/>
  <c r="Q2842" i="1" s="1"/>
  <c r="Q2841" i="1" a="1"/>
  <c r="Q2841" i="1" s="1"/>
  <c r="Q2840" i="1" a="1"/>
  <c r="Q2840" i="1" s="1"/>
  <c r="Q2839" i="1" a="1"/>
  <c r="Q2839" i="1" s="1"/>
  <c r="Q2838" i="1" a="1"/>
  <c r="Q2838" i="1" s="1"/>
  <c r="Q2837" i="1" a="1"/>
  <c r="Q2837" i="1" s="1"/>
  <c r="Q2836" i="1" a="1"/>
  <c r="Q2836" i="1" s="1"/>
  <c r="Q2835" i="1" a="1"/>
  <c r="Q2835" i="1" s="1"/>
  <c r="Q2834" i="1" a="1"/>
  <c r="Q2834" i="1" s="1"/>
  <c r="Q2833" i="1" a="1"/>
  <c r="Q2833" i="1" s="1"/>
  <c r="Q2832" i="1" a="1"/>
  <c r="Q2832" i="1" s="1"/>
  <c r="Q2831" i="1" a="1"/>
  <c r="Q2831" i="1" s="1"/>
  <c r="Q2830" i="1" a="1"/>
  <c r="Q2830" i="1" s="1"/>
  <c r="Q2829" i="1" a="1"/>
  <c r="Q2829" i="1" s="1"/>
  <c r="Q2828" i="1" a="1"/>
  <c r="Q2828" i="1" s="1"/>
  <c r="Q2827" i="1" a="1"/>
  <c r="Q2827" i="1" s="1"/>
  <c r="Q2826" i="1" a="1"/>
  <c r="Q2826" i="1" s="1"/>
  <c r="Q2825" i="1" a="1"/>
  <c r="Q2825" i="1" s="1"/>
  <c r="Q2824" i="1" a="1"/>
  <c r="Q2824" i="1" s="1"/>
  <c r="Q2823" i="1" a="1"/>
  <c r="Q2823" i="1" s="1"/>
  <c r="Q2822" i="1" a="1"/>
  <c r="Q2822" i="1" s="1"/>
  <c r="Q2821" i="1" a="1"/>
  <c r="Q2821" i="1" s="1"/>
  <c r="Q2820" i="1" a="1"/>
  <c r="Q2820" i="1" s="1"/>
  <c r="Q2819" i="1" a="1"/>
  <c r="Q2819" i="1" s="1"/>
  <c r="Q2818" i="1" a="1"/>
  <c r="Q2818" i="1" s="1"/>
  <c r="Q2817" i="1" a="1"/>
  <c r="Q2817" i="1" s="1"/>
  <c r="Q2816" i="1" a="1"/>
  <c r="Q2816" i="1" s="1"/>
  <c r="Q2815" i="1" a="1"/>
  <c r="Q2815" i="1" s="1"/>
  <c r="Q2814" i="1" a="1"/>
  <c r="Q2814" i="1" s="1"/>
  <c r="Q2813" i="1" a="1"/>
  <c r="Q2813" i="1" s="1"/>
  <c r="Q2812" i="1" a="1"/>
  <c r="Q2812" i="1" s="1"/>
  <c r="Q2811" i="1" a="1"/>
  <c r="Q2811" i="1" s="1"/>
  <c r="Q2810" i="1" a="1"/>
  <c r="Q2810" i="1" s="1"/>
  <c r="Q2809" i="1" a="1"/>
  <c r="Q2809" i="1" s="1"/>
  <c r="Q2808" i="1" a="1"/>
  <c r="Q2808" i="1" s="1"/>
  <c r="Q2807" i="1" a="1"/>
  <c r="Q2807" i="1" s="1"/>
  <c r="Q2806" i="1" a="1"/>
  <c r="Q2806" i="1" s="1"/>
  <c r="Q2805" i="1" a="1"/>
  <c r="Q2805" i="1" s="1"/>
  <c r="Q2804" i="1" a="1"/>
  <c r="Q2804" i="1" s="1"/>
  <c r="Q2803" i="1" a="1"/>
  <c r="Q2803" i="1" s="1"/>
  <c r="Q2802" i="1" a="1"/>
  <c r="Q2802" i="1" s="1"/>
  <c r="Q2801" i="1" a="1"/>
  <c r="Q2801" i="1" s="1"/>
  <c r="Q2800" i="1" a="1"/>
  <c r="Q2800" i="1" s="1"/>
  <c r="Q2799" i="1" a="1"/>
  <c r="Q2799" i="1" s="1"/>
  <c r="Q2798" i="1" a="1"/>
  <c r="Q2798" i="1" s="1"/>
  <c r="Q2797" i="1" a="1"/>
  <c r="Q2797" i="1" s="1"/>
  <c r="Q2796" i="1" a="1"/>
  <c r="Q2796" i="1" s="1"/>
  <c r="Q2795" i="1" a="1"/>
  <c r="Q2795" i="1" s="1"/>
  <c r="Q2794" i="1" a="1"/>
  <c r="Q2794" i="1" s="1"/>
  <c r="Q2793" i="1" a="1"/>
  <c r="Q2793" i="1" s="1"/>
  <c r="Q2792" i="1" a="1"/>
  <c r="Q2792" i="1" s="1"/>
  <c r="Q2791" i="1" a="1"/>
  <c r="Q2791" i="1" s="1"/>
  <c r="Q2790" i="1" a="1"/>
  <c r="Q2790" i="1" s="1"/>
  <c r="Q2789" i="1" a="1"/>
  <c r="Q2789" i="1" s="1"/>
  <c r="Q2788" i="1" a="1"/>
  <c r="Q2788" i="1" s="1"/>
  <c r="Q2787" i="1" a="1"/>
  <c r="Q2787" i="1" s="1"/>
  <c r="Q2786" i="1" a="1"/>
  <c r="Q2786" i="1" s="1"/>
  <c r="Q2785" i="1" a="1"/>
  <c r="Q2785" i="1" s="1"/>
  <c r="Q2784" i="1" a="1"/>
  <c r="Q2784" i="1" s="1"/>
  <c r="Q2783" i="1" a="1"/>
  <c r="Q2783" i="1" s="1"/>
  <c r="Q2782" i="1" a="1"/>
  <c r="Q2782" i="1" s="1"/>
  <c r="Q2781" i="1" a="1"/>
  <c r="Q2781" i="1" s="1"/>
  <c r="Q2780" i="1" a="1"/>
  <c r="Q2780" i="1" s="1"/>
  <c r="Q2779" i="1" a="1"/>
  <c r="Q2779" i="1" s="1"/>
  <c r="Q2778" i="1" a="1"/>
  <c r="Q2778" i="1" s="1"/>
  <c r="Q2777" i="1" a="1"/>
  <c r="Q2777" i="1" s="1"/>
  <c r="Q2776" i="1" a="1"/>
  <c r="Q2776" i="1" s="1"/>
  <c r="Q2775" i="1" a="1"/>
  <c r="Q2775" i="1" s="1"/>
  <c r="Q2774" i="1" a="1"/>
  <c r="Q2774" i="1" s="1"/>
  <c r="Q2773" i="1" a="1"/>
  <c r="Q2773" i="1" s="1"/>
  <c r="Q2772" i="1" a="1"/>
  <c r="Q2772" i="1" s="1"/>
  <c r="Q2771" i="1" a="1"/>
  <c r="Q2771" i="1" s="1"/>
  <c r="Q2770" i="1" a="1"/>
  <c r="Q2770" i="1" s="1"/>
  <c r="Q2769" i="1" a="1"/>
  <c r="Q2769" i="1" s="1"/>
  <c r="Q2768" i="1" a="1"/>
  <c r="Q2768" i="1" s="1"/>
  <c r="Q2767" i="1" a="1"/>
  <c r="Q2767" i="1" s="1"/>
  <c r="Q2766" i="1" a="1"/>
  <c r="Q2766" i="1" s="1"/>
  <c r="Q2765" i="1" a="1"/>
  <c r="Q2765" i="1" s="1"/>
  <c r="Q2764" i="1" a="1"/>
  <c r="Q2764" i="1" s="1"/>
  <c r="Q2763" i="1" a="1"/>
  <c r="Q2763" i="1" s="1"/>
  <c r="Q2762" i="1" a="1"/>
  <c r="Q2762" i="1" s="1"/>
  <c r="Q2761" i="1" a="1"/>
  <c r="Q2761" i="1" s="1"/>
  <c r="Q2760" i="1" a="1"/>
  <c r="Q2760" i="1" s="1"/>
  <c r="Q2759" i="1" a="1"/>
  <c r="Q2759" i="1" s="1"/>
  <c r="Q2758" i="1" a="1"/>
  <c r="Q2758" i="1" s="1"/>
  <c r="Q2757" i="1" a="1"/>
  <c r="Q2757" i="1" s="1"/>
  <c r="Q2756" i="1" a="1"/>
  <c r="Q2756" i="1" s="1"/>
  <c r="Q2755" i="1" a="1"/>
  <c r="Q2755" i="1" s="1"/>
  <c r="Q2754" i="1" a="1"/>
  <c r="Q2754" i="1" s="1"/>
  <c r="Q2753" i="1" a="1"/>
  <c r="Q2753" i="1" s="1"/>
  <c r="Q2752" i="1" a="1"/>
  <c r="Q2752" i="1" s="1"/>
  <c r="Q2751" i="1" a="1"/>
  <c r="Q2751" i="1" s="1"/>
  <c r="Q2750" i="1" a="1"/>
  <c r="Q2750" i="1" s="1"/>
  <c r="Q2749" i="1" a="1"/>
  <c r="Q2749" i="1" s="1"/>
  <c r="Q2748" i="1" a="1"/>
  <c r="Q2748" i="1" s="1"/>
  <c r="Q2747" i="1" a="1"/>
  <c r="Q2747" i="1" s="1"/>
  <c r="Q2746" i="1" a="1"/>
  <c r="Q2746" i="1" s="1"/>
  <c r="Q2745" i="1" a="1"/>
  <c r="Q2745" i="1" s="1"/>
  <c r="Q2744" i="1" a="1"/>
  <c r="Q2744" i="1" s="1"/>
  <c r="Q2743" i="1" a="1"/>
  <c r="Q2743" i="1" s="1"/>
  <c r="Q2742" i="1" a="1"/>
  <c r="Q2742" i="1" s="1"/>
  <c r="Q2741" i="1" a="1"/>
  <c r="Q2741" i="1" s="1"/>
  <c r="Q2740" i="1" a="1"/>
  <c r="Q2740" i="1" s="1"/>
  <c r="Q2739" i="1" a="1"/>
  <c r="Q2739" i="1" s="1"/>
  <c r="Q2738" i="1" a="1"/>
  <c r="Q2738" i="1" s="1"/>
  <c r="Q2737" i="1" a="1"/>
  <c r="Q2737" i="1" s="1"/>
  <c r="Q2736" i="1" a="1"/>
  <c r="Q2736" i="1" s="1"/>
  <c r="Q2735" i="1" a="1"/>
  <c r="Q2735" i="1" s="1"/>
  <c r="Q2734" i="1" a="1"/>
  <c r="Q2734" i="1" s="1"/>
  <c r="Q2733" i="1" a="1"/>
  <c r="Q2733" i="1" s="1"/>
  <c r="Q2732" i="1" a="1"/>
  <c r="Q2732" i="1" s="1"/>
  <c r="Q2731" i="1" a="1"/>
  <c r="Q2731" i="1" s="1"/>
  <c r="Q2730" i="1" a="1"/>
  <c r="Q2730" i="1" s="1"/>
  <c r="Q2729" i="1" a="1"/>
  <c r="Q2729" i="1" s="1"/>
  <c r="Q2728" i="1" a="1"/>
  <c r="Q2728" i="1" s="1"/>
  <c r="Q2727" i="1" a="1"/>
  <c r="Q2727" i="1" s="1"/>
  <c r="Q2726" i="1" a="1"/>
  <c r="Q2726" i="1" s="1"/>
  <c r="Q2725" i="1" a="1"/>
  <c r="Q2725" i="1" s="1"/>
  <c r="Q2724" i="1" a="1"/>
  <c r="Q2724" i="1" s="1"/>
  <c r="Q2723" i="1" a="1"/>
  <c r="Q2723" i="1" s="1"/>
  <c r="Q2722" i="1" a="1"/>
  <c r="Q2722" i="1" s="1"/>
  <c r="Q2721" i="1" a="1"/>
  <c r="Q2721" i="1" s="1"/>
  <c r="Q2720" i="1" a="1"/>
  <c r="Q2720" i="1" s="1"/>
  <c r="Q2719" i="1" a="1"/>
  <c r="Q2719" i="1" s="1"/>
  <c r="Q2718" i="1" a="1"/>
  <c r="Q2718" i="1" s="1"/>
  <c r="Q2717" i="1" a="1"/>
  <c r="Q2717" i="1" s="1"/>
  <c r="Q2716" i="1" a="1"/>
  <c r="Q2716" i="1" s="1"/>
  <c r="Q2715" i="1" a="1"/>
  <c r="Q2715" i="1" s="1"/>
  <c r="Q2714" i="1" a="1"/>
  <c r="Q2714" i="1" s="1"/>
  <c r="Q2713" i="1" a="1"/>
  <c r="Q2713" i="1" s="1"/>
  <c r="Q2712" i="1" a="1"/>
  <c r="Q2712" i="1" s="1"/>
  <c r="Q2711" i="1" a="1"/>
  <c r="Q2711" i="1" s="1"/>
  <c r="Q2710" i="1" a="1"/>
  <c r="Q2710" i="1" s="1"/>
  <c r="Q2709" i="1" a="1"/>
  <c r="Q2709" i="1" s="1"/>
  <c r="Q2708" i="1" a="1"/>
  <c r="Q2708" i="1" s="1"/>
  <c r="Q2707" i="1" a="1"/>
  <c r="Q2707" i="1" s="1"/>
  <c r="Q2706" i="1" a="1"/>
  <c r="Q2706" i="1" s="1"/>
  <c r="Q2705" i="1" a="1"/>
  <c r="Q2705" i="1" s="1"/>
  <c r="Q2704" i="1" a="1"/>
  <c r="Q2704" i="1" s="1"/>
  <c r="Q2703" i="1" a="1"/>
  <c r="Q2703" i="1" s="1"/>
  <c r="Q2702" i="1" a="1"/>
  <c r="Q2702" i="1" s="1"/>
  <c r="Q2701" i="1" a="1"/>
  <c r="Q2701" i="1" s="1"/>
  <c r="Q2700" i="1" a="1"/>
  <c r="Q2700" i="1" s="1"/>
  <c r="Q2699" i="1" a="1"/>
  <c r="Q2699" i="1" s="1"/>
  <c r="Q2698" i="1" a="1"/>
  <c r="Q2698" i="1" s="1"/>
  <c r="Q2697" i="1" a="1"/>
  <c r="Q2697" i="1" s="1"/>
  <c r="Q2696" i="1" a="1"/>
  <c r="Q2696" i="1" s="1"/>
  <c r="Q2695" i="1" a="1"/>
  <c r="Q2695" i="1" s="1"/>
  <c r="Q2694" i="1" a="1"/>
  <c r="Q2694" i="1" s="1"/>
  <c r="Q2693" i="1" a="1"/>
  <c r="Q2693" i="1" s="1"/>
  <c r="Q2692" i="1" a="1"/>
  <c r="Q2692" i="1" s="1"/>
  <c r="Q2691" i="1" a="1"/>
  <c r="Q2691" i="1" s="1"/>
  <c r="Q2690" i="1" a="1"/>
  <c r="Q2690" i="1" s="1"/>
  <c r="Q2689" i="1" a="1"/>
  <c r="Q2689" i="1" s="1"/>
  <c r="Q2688" i="1" a="1"/>
  <c r="Q2688" i="1" s="1"/>
  <c r="Q2687" i="1" a="1"/>
  <c r="Q2687" i="1" s="1"/>
  <c r="Q2686" i="1" a="1"/>
  <c r="Q2686" i="1" s="1"/>
  <c r="Q2685" i="1" a="1"/>
  <c r="Q2685" i="1" s="1"/>
  <c r="Q2684" i="1" a="1"/>
  <c r="Q2684" i="1" s="1"/>
  <c r="Q2683" i="1" a="1"/>
  <c r="Q2683" i="1" s="1"/>
  <c r="Q2682" i="1" a="1"/>
  <c r="Q2682" i="1" s="1"/>
  <c r="Q2681" i="1" a="1"/>
  <c r="Q2681" i="1" s="1"/>
  <c r="Q2680" i="1" a="1"/>
  <c r="Q2680" i="1" s="1"/>
  <c r="Q2679" i="1" a="1"/>
  <c r="Q2679" i="1" s="1"/>
  <c r="Q2678" i="1" a="1"/>
  <c r="Q2678" i="1" s="1"/>
  <c r="Q2677" i="1" a="1"/>
  <c r="Q2677" i="1" s="1"/>
  <c r="Q2676" i="1" a="1"/>
  <c r="Q2676" i="1" s="1"/>
  <c r="Q2675" i="1" a="1"/>
  <c r="Q2675" i="1" s="1"/>
  <c r="Q2674" i="1" a="1"/>
  <c r="Q2674" i="1" s="1"/>
  <c r="Q2673" i="1" a="1"/>
  <c r="Q2673" i="1" s="1"/>
  <c r="Q2672" i="1" a="1"/>
  <c r="Q2672" i="1" s="1"/>
  <c r="Q2671" i="1" a="1"/>
  <c r="Q2671" i="1" s="1"/>
  <c r="Q2670" i="1" a="1"/>
  <c r="Q2670" i="1" s="1"/>
  <c r="Q2669" i="1" a="1"/>
  <c r="Q2669" i="1" s="1"/>
  <c r="Q2668" i="1" a="1"/>
  <c r="Q2668" i="1" s="1"/>
  <c r="Q2667" i="1" a="1"/>
  <c r="Q2667" i="1" s="1"/>
  <c r="Q2666" i="1" a="1"/>
  <c r="Q2666" i="1" s="1"/>
  <c r="Q2665" i="1" a="1"/>
  <c r="Q2665" i="1" s="1"/>
  <c r="Q2664" i="1" a="1"/>
  <c r="Q2664" i="1" s="1"/>
  <c r="Q2663" i="1" a="1"/>
  <c r="Q2663" i="1" s="1"/>
  <c r="Q2662" i="1" a="1"/>
  <c r="Q2662" i="1" s="1"/>
  <c r="Q2661" i="1" a="1"/>
  <c r="Q2661" i="1" s="1"/>
  <c r="Q2660" i="1" a="1"/>
  <c r="Q2660" i="1" s="1"/>
  <c r="Q2659" i="1" a="1"/>
  <c r="Q2659" i="1" s="1"/>
  <c r="Q2658" i="1" a="1"/>
  <c r="Q2658" i="1" s="1"/>
  <c r="Q2657" i="1" a="1"/>
  <c r="Q2657" i="1" s="1"/>
  <c r="Q2656" i="1" a="1"/>
  <c r="Q2656" i="1" s="1"/>
  <c r="Q2655" i="1" a="1"/>
  <c r="Q2655" i="1" s="1"/>
  <c r="Q2654" i="1" a="1"/>
  <c r="Q2654" i="1" s="1"/>
  <c r="Q2653" i="1" a="1"/>
  <c r="Q2653" i="1" s="1"/>
  <c r="Q2652" i="1" a="1"/>
  <c r="Q2652" i="1" s="1"/>
  <c r="Q2651" i="1" a="1"/>
  <c r="Q2651" i="1" s="1"/>
  <c r="Q2650" i="1" a="1"/>
  <c r="Q2650" i="1" s="1"/>
  <c r="Q2649" i="1" a="1"/>
  <c r="Q2649" i="1" s="1"/>
  <c r="Q2648" i="1" a="1"/>
  <c r="Q2648" i="1" s="1"/>
  <c r="Q2647" i="1" a="1"/>
  <c r="Q2647" i="1" s="1"/>
  <c r="Q2646" i="1" a="1"/>
  <c r="Q2646" i="1" s="1"/>
  <c r="Q2645" i="1" a="1"/>
  <c r="Q2645" i="1" s="1"/>
  <c r="Q2644" i="1" a="1"/>
  <c r="Q2644" i="1" s="1"/>
  <c r="Q2643" i="1" a="1"/>
  <c r="Q2643" i="1" s="1"/>
  <c r="Q2642" i="1" a="1"/>
  <c r="Q2642" i="1" s="1"/>
  <c r="Q2641" i="1" a="1"/>
  <c r="Q2641" i="1" s="1"/>
  <c r="Q2640" i="1" a="1"/>
  <c r="Q2640" i="1" s="1"/>
  <c r="Q2639" i="1" a="1"/>
  <c r="Q2639" i="1" s="1"/>
  <c r="Q2638" i="1" a="1"/>
  <c r="Q2638" i="1" s="1"/>
  <c r="Q2637" i="1" a="1"/>
  <c r="Q2637" i="1" s="1"/>
  <c r="Q2636" i="1" a="1"/>
  <c r="Q2636" i="1" s="1"/>
  <c r="Q2635" i="1" a="1"/>
  <c r="Q2635" i="1" s="1"/>
  <c r="Q2634" i="1" a="1"/>
  <c r="Q2634" i="1" s="1"/>
  <c r="Q2633" i="1" a="1"/>
  <c r="Q2633" i="1" s="1"/>
  <c r="Q2632" i="1" a="1"/>
  <c r="Q2632" i="1" s="1"/>
  <c r="Q2631" i="1" a="1"/>
  <c r="Q2631" i="1" s="1"/>
  <c r="Q2630" i="1" a="1"/>
  <c r="Q2630" i="1" s="1"/>
  <c r="Q2629" i="1" a="1"/>
  <c r="Q2629" i="1" s="1"/>
  <c r="Q2628" i="1" a="1"/>
  <c r="Q2628" i="1" s="1"/>
  <c r="Q2627" i="1" a="1"/>
  <c r="Q2627" i="1" s="1"/>
  <c r="Q2626" i="1" a="1"/>
  <c r="Q2626" i="1" s="1"/>
  <c r="Q2625" i="1" a="1"/>
  <c r="Q2625" i="1" s="1"/>
  <c r="Q2624" i="1" a="1"/>
  <c r="Q2624" i="1" s="1"/>
  <c r="Q2623" i="1" a="1"/>
  <c r="Q2623" i="1" s="1"/>
  <c r="Q2622" i="1" a="1"/>
  <c r="Q2622" i="1" s="1"/>
  <c r="Q2621" i="1" a="1"/>
  <c r="Q2621" i="1" s="1"/>
  <c r="Q2620" i="1" a="1"/>
  <c r="Q2620" i="1" s="1"/>
  <c r="Q2619" i="1" a="1"/>
  <c r="Q2619" i="1" s="1"/>
  <c r="Q2618" i="1" a="1"/>
  <c r="Q2618" i="1" s="1"/>
  <c r="Q2617" i="1" a="1"/>
  <c r="Q2617" i="1" s="1"/>
  <c r="Q2616" i="1" a="1"/>
  <c r="Q2616" i="1" s="1"/>
  <c r="Q2615" i="1" a="1"/>
  <c r="Q2615" i="1" s="1"/>
  <c r="Q2614" i="1" a="1"/>
  <c r="Q2614" i="1" s="1"/>
  <c r="Q2613" i="1" a="1"/>
  <c r="Q2613" i="1" s="1"/>
  <c r="Q2612" i="1" a="1"/>
  <c r="Q2612" i="1" s="1"/>
  <c r="Q2611" i="1" a="1"/>
  <c r="Q2611" i="1" s="1"/>
  <c r="Q2610" i="1" a="1"/>
  <c r="Q2610" i="1" s="1"/>
  <c r="Q2609" i="1" a="1"/>
  <c r="Q2609" i="1" s="1"/>
  <c r="Q2608" i="1" a="1"/>
  <c r="Q2608" i="1" s="1"/>
  <c r="Q2607" i="1" a="1"/>
  <c r="Q2607" i="1" s="1"/>
  <c r="Q2606" i="1" a="1"/>
  <c r="Q2606" i="1" s="1"/>
  <c r="Q2605" i="1" a="1"/>
  <c r="Q2605" i="1" s="1"/>
  <c r="Q2604" i="1" a="1"/>
  <c r="Q2604" i="1" s="1"/>
  <c r="Q2603" i="1" a="1"/>
  <c r="Q2603" i="1" s="1"/>
  <c r="Q2602" i="1" a="1"/>
  <c r="Q2602" i="1" s="1"/>
  <c r="Q2601" i="1" a="1"/>
  <c r="Q2601" i="1" s="1"/>
  <c r="Q2600" i="1" a="1"/>
  <c r="Q2600" i="1" s="1"/>
  <c r="Q2599" i="1" a="1"/>
  <c r="Q2599" i="1" s="1"/>
  <c r="Q2598" i="1" a="1"/>
  <c r="Q2598" i="1" s="1"/>
  <c r="Q2597" i="1" a="1"/>
  <c r="Q2597" i="1" s="1"/>
  <c r="Q2596" i="1" a="1"/>
  <c r="Q2596" i="1" s="1"/>
  <c r="Q2595" i="1" a="1"/>
  <c r="Q2595" i="1" s="1"/>
  <c r="Q2594" i="1" a="1"/>
  <c r="Q2594" i="1" s="1"/>
  <c r="Q2593" i="1" a="1"/>
  <c r="Q2593" i="1" s="1"/>
  <c r="Q2592" i="1" a="1"/>
  <c r="Q2592" i="1" s="1"/>
  <c r="Q2591" i="1" a="1"/>
  <c r="Q2591" i="1" s="1"/>
  <c r="Q2590" i="1" a="1"/>
  <c r="Q2590" i="1" s="1"/>
  <c r="Q2589" i="1" a="1"/>
  <c r="Q2589" i="1" s="1"/>
  <c r="Q2588" i="1" a="1"/>
  <c r="Q2588" i="1" s="1"/>
  <c r="Q2587" i="1" a="1"/>
  <c r="Q2587" i="1" s="1"/>
  <c r="Q2586" i="1" a="1"/>
  <c r="Q2586" i="1" s="1"/>
  <c r="Q2585" i="1" a="1"/>
  <c r="Q2585" i="1" s="1"/>
  <c r="Q2584" i="1" a="1"/>
  <c r="Q2584" i="1" s="1"/>
  <c r="Q2583" i="1" a="1"/>
  <c r="Q2583" i="1" s="1"/>
  <c r="Q2582" i="1" a="1"/>
  <c r="Q2582" i="1" s="1"/>
  <c r="Q2581" i="1" a="1"/>
  <c r="Q2581" i="1" s="1"/>
  <c r="Q2580" i="1" a="1"/>
  <c r="Q2580" i="1" s="1"/>
  <c r="Q2579" i="1" a="1"/>
  <c r="Q2579" i="1" s="1"/>
  <c r="Q2578" i="1" a="1"/>
  <c r="Q2578" i="1" s="1"/>
  <c r="Q2577" i="1" a="1"/>
  <c r="Q2577" i="1" s="1"/>
  <c r="Q2576" i="1" a="1"/>
  <c r="Q2576" i="1" s="1"/>
  <c r="Q2575" i="1" a="1"/>
  <c r="Q2575" i="1" s="1"/>
  <c r="Q2574" i="1" a="1"/>
  <c r="Q2574" i="1" s="1"/>
  <c r="Q2573" i="1" a="1"/>
  <c r="Q2573" i="1" s="1"/>
  <c r="Q2572" i="1" a="1"/>
  <c r="Q2572" i="1" s="1"/>
  <c r="Q2571" i="1" a="1"/>
  <c r="Q2571" i="1" s="1"/>
  <c r="Q2570" i="1" a="1"/>
  <c r="Q2570" i="1" s="1"/>
  <c r="Q2569" i="1" a="1"/>
  <c r="Q2569" i="1" s="1"/>
  <c r="Q2568" i="1" a="1"/>
  <c r="Q2568" i="1" s="1"/>
  <c r="Q2567" i="1" a="1"/>
  <c r="Q2567" i="1" s="1"/>
  <c r="Q2566" i="1" a="1"/>
  <c r="Q2566" i="1" s="1"/>
  <c r="Q2565" i="1" a="1"/>
  <c r="Q2565" i="1" s="1"/>
  <c r="Q2564" i="1" a="1"/>
  <c r="Q2564" i="1" s="1"/>
  <c r="Q2563" i="1" a="1"/>
  <c r="Q2563" i="1" s="1"/>
  <c r="Q2562" i="1" a="1"/>
  <c r="Q2562" i="1" s="1"/>
  <c r="Q2561" i="1" a="1"/>
  <c r="Q2561" i="1" s="1"/>
  <c r="Q2560" i="1" a="1"/>
  <c r="Q2560" i="1" s="1"/>
  <c r="Q2559" i="1" a="1"/>
  <c r="Q2559" i="1" s="1"/>
  <c r="Q2558" i="1" a="1"/>
  <c r="Q2558" i="1" s="1"/>
  <c r="Q2557" i="1" a="1"/>
  <c r="Q2557" i="1" s="1"/>
  <c r="Q2556" i="1" a="1"/>
  <c r="Q2556" i="1" s="1"/>
  <c r="Q2555" i="1" a="1"/>
  <c r="Q2555" i="1" s="1"/>
  <c r="Q2554" i="1" a="1"/>
  <c r="Q2554" i="1" s="1"/>
  <c r="Q2553" i="1" a="1"/>
  <c r="Q2553" i="1" s="1"/>
  <c r="Q2552" i="1" a="1"/>
  <c r="Q2552" i="1" s="1"/>
  <c r="Q2551" i="1" a="1"/>
  <c r="Q2551" i="1" s="1"/>
  <c r="Q2550" i="1" a="1"/>
  <c r="Q2550" i="1" s="1"/>
  <c r="Q2549" i="1" a="1"/>
  <c r="Q2549" i="1" s="1"/>
  <c r="Q2548" i="1" a="1"/>
  <c r="Q2548" i="1" s="1"/>
  <c r="Q2547" i="1" a="1"/>
  <c r="Q2547" i="1" s="1"/>
  <c r="Q2546" i="1" a="1"/>
  <c r="Q2546" i="1" s="1"/>
  <c r="Q2545" i="1" a="1"/>
  <c r="Q2545" i="1" s="1"/>
  <c r="Q2544" i="1" a="1"/>
  <c r="Q2544" i="1" s="1"/>
  <c r="Q2543" i="1" a="1"/>
  <c r="Q2543" i="1" s="1"/>
  <c r="Q2542" i="1" a="1"/>
  <c r="Q2542" i="1" s="1"/>
  <c r="Q2541" i="1" a="1"/>
  <c r="Q2541" i="1" s="1"/>
  <c r="Q2540" i="1" a="1"/>
  <c r="Q2540" i="1" s="1"/>
  <c r="Q2539" i="1" a="1"/>
  <c r="Q2539" i="1" s="1"/>
  <c r="Q2538" i="1" a="1"/>
  <c r="Q2538" i="1" s="1"/>
  <c r="Q2537" i="1" a="1"/>
  <c r="Q2537" i="1" s="1"/>
  <c r="Q2536" i="1" a="1"/>
  <c r="Q2536" i="1" s="1"/>
  <c r="Q2535" i="1" a="1"/>
  <c r="Q2535" i="1" s="1"/>
  <c r="Q2534" i="1" a="1"/>
  <c r="Q2534" i="1" s="1"/>
  <c r="Q2533" i="1" a="1"/>
  <c r="Q2533" i="1" s="1"/>
  <c r="Q2532" i="1" a="1"/>
  <c r="Q2532" i="1" s="1"/>
  <c r="Q2531" i="1" a="1"/>
  <c r="Q2531" i="1" s="1"/>
  <c r="Q2530" i="1" a="1"/>
  <c r="Q2530" i="1" s="1"/>
  <c r="Q2529" i="1" a="1"/>
  <c r="Q2529" i="1" s="1"/>
  <c r="Q2528" i="1" a="1"/>
  <c r="Q2528" i="1" s="1"/>
  <c r="Q2527" i="1" a="1"/>
  <c r="Q2527" i="1" s="1"/>
  <c r="Q2526" i="1" a="1"/>
  <c r="Q2526" i="1" s="1"/>
  <c r="Q2525" i="1" a="1"/>
  <c r="Q2525" i="1" s="1"/>
  <c r="Q2524" i="1" a="1"/>
  <c r="Q2524" i="1" s="1"/>
  <c r="Q2523" i="1" a="1"/>
  <c r="Q2523" i="1" s="1"/>
  <c r="Q2522" i="1" a="1"/>
  <c r="Q2522" i="1" s="1"/>
  <c r="Q2521" i="1" a="1"/>
  <c r="Q2521" i="1" s="1"/>
  <c r="Q2520" i="1" a="1"/>
  <c r="Q2520" i="1" s="1"/>
  <c r="Q2519" i="1" a="1"/>
  <c r="Q2519" i="1" s="1"/>
  <c r="Q2518" i="1" a="1"/>
  <c r="Q2518" i="1" s="1"/>
  <c r="Q2517" i="1" a="1"/>
  <c r="Q2517" i="1" s="1"/>
  <c r="Q2516" i="1" a="1"/>
  <c r="Q2516" i="1" s="1"/>
  <c r="Q2515" i="1" a="1"/>
  <c r="Q2515" i="1" s="1"/>
  <c r="Q2514" i="1" a="1"/>
  <c r="Q2514" i="1" s="1"/>
  <c r="Q2513" i="1" a="1"/>
  <c r="Q2513" i="1" s="1"/>
  <c r="Q2512" i="1" a="1"/>
  <c r="Q2512" i="1" s="1"/>
  <c r="Q2511" i="1" a="1"/>
  <c r="Q2511" i="1" s="1"/>
  <c r="Q2510" i="1" a="1"/>
  <c r="Q2510" i="1" s="1"/>
  <c r="Q2509" i="1" a="1"/>
  <c r="Q2509" i="1" s="1"/>
  <c r="Q2508" i="1" a="1"/>
  <c r="Q2508" i="1" s="1"/>
  <c r="Q2507" i="1" a="1"/>
  <c r="Q2507" i="1" s="1"/>
  <c r="Q2506" i="1" a="1"/>
  <c r="Q2506" i="1" s="1"/>
  <c r="Q2505" i="1" a="1"/>
  <c r="Q2505" i="1" s="1"/>
  <c r="Q2504" i="1" a="1"/>
  <c r="Q2504" i="1" s="1"/>
  <c r="Q2503" i="1" a="1"/>
  <c r="Q2503" i="1" s="1"/>
  <c r="Q2502" i="1" a="1"/>
  <c r="Q2502" i="1" s="1"/>
  <c r="Q2501" i="1" a="1"/>
  <c r="Q2501" i="1" s="1"/>
  <c r="Q2500" i="1" a="1"/>
  <c r="Q2500" i="1" s="1"/>
  <c r="Q2499" i="1" a="1"/>
  <c r="Q2499" i="1" s="1"/>
  <c r="Q2498" i="1" a="1"/>
  <c r="Q2498" i="1" s="1"/>
  <c r="Q2497" i="1" a="1"/>
  <c r="Q2497" i="1" s="1"/>
  <c r="Q2496" i="1" a="1"/>
  <c r="Q2496" i="1" s="1"/>
  <c r="Q2495" i="1" a="1"/>
  <c r="Q2495" i="1" s="1"/>
  <c r="Q2494" i="1" a="1"/>
  <c r="Q2494" i="1" s="1"/>
  <c r="Q2493" i="1" a="1"/>
  <c r="Q2493" i="1" s="1"/>
  <c r="Q2492" i="1" a="1"/>
  <c r="Q2492" i="1" s="1"/>
  <c r="Q2491" i="1" a="1"/>
  <c r="Q2491" i="1" s="1"/>
  <c r="Q2490" i="1" a="1"/>
  <c r="Q2490" i="1" s="1"/>
  <c r="Q2489" i="1" a="1"/>
  <c r="Q2489" i="1" s="1"/>
  <c r="Q2488" i="1" a="1"/>
  <c r="Q2488" i="1" s="1"/>
  <c r="Q2487" i="1" a="1"/>
  <c r="Q2487" i="1" s="1"/>
  <c r="Q2486" i="1" a="1"/>
  <c r="Q2486" i="1" s="1"/>
  <c r="Q2485" i="1" a="1"/>
  <c r="Q2485" i="1" s="1"/>
  <c r="Q2484" i="1" a="1"/>
  <c r="Q2484" i="1" s="1"/>
  <c r="Q2483" i="1" a="1"/>
  <c r="Q2483" i="1" s="1"/>
  <c r="Q2482" i="1" a="1"/>
  <c r="Q2482" i="1" s="1"/>
  <c r="Q2481" i="1" a="1"/>
  <c r="Q2481" i="1" s="1"/>
  <c r="Q2480" i="1" a="1"/>
  <c r="Q2480" i="1" s="1"/>
  <c r="Q2479" i="1" a="1"/>
  <c r="Q2479" i="1" s="1"/>
  <c r="Q2478" i="1" a="1"/>
  <c r="Q2478" i="1" s="1"/>
  <c r="Q2477" i="1" a="1"/>
  <c r="Q2477" i="1" s="1"/>
  <c r="Q2476" i="1" a="1"/>
  <c r="Q2476" i="1" s="1"/>
  <c r="Q2475" i="1" a="1"/>
  <c r="Q2475" i="1" s="1"/>
  <c r="Q2474" i="1" a="1"/>
  <c r="Q2474" i="1" s="1"/>
  <c r="Q2473" i="1" a="1"/>
  <c r="Q2473" i="1" s="1"/>
  <c r="Q2472" i="1" a="1"/>
  <c r="Q2472" i="1" s="1"/>
  <c r="Q2471" i="1" a="1"/>
  <c r="Q2471" i="1" s="1"/>
  <c r="Q2470" i="1" a="1"/>
  <c r="Q2470" i="1" s="1"/>
  <c r="Q2469" i="1" a="1"/>
  <c r="Q2469" i="1" s="1"/>
  <c r="Q2468" i="1" a="1"/>
  <c r="Q2468" i="1" s="1"/>
  <c r="Q2467" i="1" a="1"/>
  <c r="Q2467" i="1" s="1"/>
  <c r="Q2466" i="1" a="1"/>
  <c r="Q2466" i="1" s="1"/>
  <c r="Q2465" i="1" a="1"/>
  <c r="Q2465" i="1" s="1"/>
  <c r="Q2464" i="1" a="1"/>
  <c r="Q2464" i="1" s="1"/>
  <c r="Q2463" i="1" a="1"/>
  <c r="Q2463" i="1" s="1"/>
  <c r="Q2462" i="1" a="1"/>
  <c r="Q2462" i="1" s="1"/>
  <c r="Q2461" i="1" a="1"/>
  <c r="Q2461" i="1" s="1"/>
  <c r="Q2460" i="1" a="1"/>
  <c r="Q2460" i="1" s="1"/>
  <c r="Q2459" i="1" a="1"/>
  <c r="Q2459" i="1" s="1"/>
  <c r="Q2458" i="1" a="1"/>
  <c r="Q2458" i="1" s="1"/>
  <c r="Q2457" i="1" a="1"/>
  <c r="Q2457" i="1" s="1"/>
  <c r="Q2456" i="1" a="1"/>
  <c r="Q2456" i="1" s="1"/>
  <c r="Q2455" i="1" a="1"/>
  <c r="Q2455" i="1" s="1"/>
  <c r="Q2454" i="1" a="1"/>
  <c r="Q2454" i="1" s="1"/>
  <c r="Q2453" i="1" a="1"/>
  <c r="Q2453" i="1" s="1"/>
  <c r="Q2452" i="1" a="1"/>
  <c r="Q2452" i="1" s="1"/>
  <c r="Q2451" i="1" a="1"/>
  <c r="Q2451" i="1" s="1"/>
  <c r="Q2450" i="1" a="1"/>
  <c r="Q2450" i="1" s="1"/>
  <c r="Q2449" i="1" a="1"/>
  <c r="Q2449" i="1" s="1"/>
  <c r="Q2448" i="1" a="1"/>
  <c r="Q2448" i="1" s="1"/>
  <c r="Q2447" i="1" a="1"/>
  <c r="Q2447" i="1" s="1"/>
  <c r="Q2446" i="1" a="1"/>
  <c r="Q2446" i="1" s="1"/>
  <c r="Q2445" i="1" a="1"/>
  <c r="Q2445" i="1" s="1"/>
  <c r="Q2444" i="1" a="1"/>
  <c r="Q2444" i="1" s="1"/>
  <c r="Q2443" i="1" a="1"/>
  <c r="Q2443" i="1" s="1"/>
  <c r="Q2442" i="1" a="1"/>
  <c r="Q2442" i="1" s="1"/>
  <c r="Q2441" i="1" a="1"/>
  <c r="Q2441" i="1" s="1"/>
  <c r="Q2440" i="1" a="1"/>
  <c r="Q2440" i="1" s="1"/>
  <c r="Q2439" i="1" a="1"/>
  <c r="Q2439" i="1" s="1"/>
  <c r="Q2438" i="1" a="1"/>
  <c r="Q2438" i="1" s="1"/>
  <c r="Q2437" i="1" a="1"/>
  <c r="Q2437" i="1" s="1"/>
  <c r="Q2436" i="1" a="1"/>
  <c r="Q2436" i="1" s="1"/>
  <c r="Q2435" i="1" a="1"/>
  <c r="Q2435" i="1" s="1"/>
  <c r="Q2434" i="1" a="1"/>
  <c r="Q2434" i="1" s="1"/>
  <c r="Q2433" i="1" a="1"/>
  <c r="Q2433" i="1" s="1"/>
  <c r="Q2432" i="1" a="1"/>
  <c r="Q2432" i="1" s="1"/>
  <c r="Q2431" i="1" a="1"/>
  <c r="Q2431" i="1" s="1"/>
  <c r="Q2430" i="1" a="1"/>
  <c r="Q2430" i="1" s="1"/>
  <c r="Q2429" i="1" a="1"/>
  <c r="Q2429" i="1" s="1"/>
  <c r="Q2428" i="1" a="1"/>
  <c r="Q2428" i="1" s="1"/>
  <c r="Q2427" i="1" a="1"/>
  <c r="Q2427" i="1" s="1"/>
  <c r="Q2426" i="1" a="1"/>
  <c r="Q2426" i="1" s="1"/>
  <c r="Q2425" i="1" a="1"/>
  <c r="Q2425" i="1" s="1"/>
  <c r="Q2424" i="1" a="1"/>
  <c r="Q2424" i="1" s="1"/>
  <c r="Q2423" i="1" a="1"/>
  <c r="Q2423" i="1" s="1"/>
  <c r="Q2422" i="1" a="1"/>
  <c r="Q2422" i="1" s="1"/>
  <c r="Q2421" i="1" a="1"/>
  <c r="Q2421" i="1" s="1"/>
  <c r="Q2420" i="1" a="1"/>
  <c r="Q2420" i="1" s="1"/>
  <c r="Q2419" i="1" a="1"/>
  <c r="Q2419" i="1" s="1"/>
  <c r="Q2418" i="1" a="1"/>
  <c r="Q2418" i="1" s="1"/>
  <c r="Q2417" i="1" a="1"/>
  <c r="Q2417" i="1" s="1"/>
  <c r="Q2416" i="1" a="1"/>
  <c r="Q2416" i="1" s="1"/>
  <c r="Q2415" i="1" a="1"/>
  <c r="Q2415" i="1" s="1"/>
  <c r="Q2414" i="1" a="1"/>
  <c r="Q2414" i="1" s="1"/>
  <c r="Q2413" i="1" a="1"/>
  <c r="Q2413" i="1" s="1"/>
  <c r="Q2412" i="1" a="1"/>
  <c r="Q2412" i="1" s="1"/>
  <c r="Q2411" i="1" a="1"/>
  <c r="Q2411" i="1" s="1"/>
  <c r="Q2410" i="1" a="1"/>
  <c r="Q2410" i="1" s="1"/>
  <c r="Q2409" i="1" a="1"/>
  <c r="Q2409" i="1" s="1"/>
  <c r="Q2408" i="1" a="1"/>
  <c r="Q2408" i="1" s="1"/>
  <c r="Q2407" i="1" a="1"/>
  <c r="Q2407" i="1" s="1"/>
  <c r="Q2406" i="1" a="1"/>
  <c r="Q2406" i="1" s="1"/>
  <c r="Q2405" i="1" a="1"/>
  <c r="Q2405" i="1" s="1"/>
  <c r="Q2404" i="1" a="1"/>
  <c r="Q2404" i="1" s="1"/>
  <c r="Q2403" i="1" a="1"/>
  <c r="Q2403" i="1" s="1"/>
  <c r="Q2402" i="1" a="1"/>
  <c r="Q2402" i="1" s="1"/>
  <c r="Q2401" i="1" a="1"/>
  <c r="Q2401" i="1" s="1"/>
  <c r="Q2400" i="1" a="1"/>
  <c r="Q2400" i="1" s="1"/>
  <c r="Q2399" i="1" a="1"/>
  <c r="Q2399" i="1" s="1"/>
  <c r="Q2398" i="1" a="1"/>
  <c r="Q2398" i="1" s="1"/>
  <c r="Q2397" i="1" a="1"/>
  <c r="Q2397" i="1" s="1"/>
  <c r="Q2396" i="1" a="1"/>
  <c r="Q2396" i="1" s="1"/>
  <c r="Q2395" i="1" a="1"/>
  <c r="Q2395" i="1" s="1"/>
  <c r="Q2394" i="1" a="1"/>
  <c r="Q2394" i="1" s="1"/>
  <c r="Q2393" i="1" a="1"/>
  <c r="Q2393" i="1" s="1"/>
  <c r="Q2392" i="1" a="1"/>
  <c r="Q2392" i="1" s="1"/>
  <c r="Q2391" i="1" a="1"/>
  <c r="Q2391" i="1" s="1"/>
  <c r="Q2390" i="1" a="1"/>
  <c r="Q2390" i="1" s="1"/>
  <c r="Q2389" i="1" a="1"/>
  <c r="Q2389" i="1" s="1"/>
  <c r="Q2388" i="1" a="1"/>
  <c r="Q2388" i="1" s="1"/>
  <c r="Q2387" i="1" a="1"/>
  <c r="Q2387" i="1" s="1"/>
  <c r="Q2386" i="1" a="1"/>
  <c r="Q2386" i="1" s="1"/>
  <c r="Q2385" i="1" a="1"/>
  <c r="Q2385" i="1" s="1"/>
  <c r="Q2384" i="1" a="1"/>
  <c r="Q2384" i="1" s="1"/>
  <c r="Q2383" i="1" a="1"/>
  <c r="Q2383" i="1" s="1"/>
  <c r="Q2382" i="1" a="1"/>
  <c r="Q2382" i="1" s="1"/>
  <c r="Q2381" i="1" a="1"/>
  <c r="Q2381" i="1" s="1"/>
  <c r="Q2380" i="1" a="1"/>
  <c r="Q2380" i="1" s="1"/>
  <c r="Q2379" i="1" a="1"/>
  <c r="Q2379" i="1" s="1"/>
  <c r="Q2378" i="1" a="1"/>
  <c r="Q2378" i="1" s="1"/>
  <c r="Q2377" i="1" a="1"/>
  <c r="Q2377" i="1" s="1"/>
  <c r="Q2376" i="1" a="1"/>
  <c r="Q2376" i="1" s="1"/>
  <c r="Q2375" i="1" a="1"/>
  <c r="Q2375" i="1" s="1"/>
  <c r="Q2374" i="1" a="1"/>
  <c r="Q2374" i="1" s="1"/>
  <c r="Q2373" i="1" a="1"/>
  <c r="Q2373" i="1" s="1"/>
  <c r="Q2372" i="1" a="1"/>
  <c r="Q2372" i="1" s="1"/>
  <c r="Q2371" i="1" a="1"/>
  <c r="Q2371" i="1" s="1"/>
  <c r="Q2370" i="1" a="1"/>
  <c r="Q2370" i="1" s="1"/>
  <c r="Q2369" i="1" a="1"/>
  <c r="Q2369" i="1" s="1"/>
  <c r="Q2368" i="1" a="1"/>
  <c r="Q2368" i="1" s="1"/>
  <c r="Q2367" i="1" a="1"/>
  <c r="Q2367" i="1" s="1"/>
  <c r="Q2366" i="1" a="1"/>
  <c r="Q2366" i="1" s="1"/>
  <c r="Q2365" i="1" a="1"/>
  <c r="Q2365" i="1" s="1"/>
  <c r="Q2364" i="1" a="1"/>
  <c r="Q2364" i="1" s="1"/>
  <c r="Q2363" i="1" a="1"/>
  <c r="Q2363" i="1" s="1"/>
  <c r="Q2362" i="1" a="1"/>
  <c r="Q2362" i="1" s="1"/>
  <c r="Q2361" i="1" a="1"/>
  <c r="Q2361" i="1" s="1"/>
  <c r="Q2360" i="1" a="1"/>
  <c r="Q2360" i="1" s="1"/>
  <c r="Q2359" i="1" a="1"/>
  <c r="Q2359" i="1" s="1"/>
  <c r="Q2358" i="1" a="1"/>
  <c r="Q2358" i="1" s="1"/>
  <c r="Q2357" i="1" a="1"/>
  <c r="Q2357" i="1" s="1"/>
  <c r="Q2356" i="1" a="1"/>
  <c r="Q2356" i="1" s="1"/>
  <c r="Q2355" i="1" a="1"/>
  <c r="Q2355" i="1" s="1"/>
  <c r="Q2354" i="1" a="1"/>
  <c r="Q2354" i="1" s="1"/>
  <c r="Q2353" i="1" a="1"/>
  <c r="Q2353" i="1" s="1"/>
  <c r="Q2352" i="1" a="1"/>
  <c r="Q2352" i="1" s="1"/>
  <c r="Q2351" i="1" a="1"/>
  <c r="Q2351" i="1" s="1"/>
  <c r="Q2350" i="1" a="1"/>
  <c r="Q2350" i="1" s="1"/>
  <c r="Q2349" i="1" a="1"/>
  <c r="Q2349" i="1" s="1"/>
  <c r="Q2348" i="1" a="1"/>
  <c r="Q2348" i="1" s="1"/>
  <c r="Q2347" i="1" a="1"/>
  <c r="Q2347" i="1" s="1"/>
  <c r="Q2346" i="1" a="1"/>
  <c r="Q2346" i="1" s="1"/>
  <c r="Q2345" i="1" a="1"/>
  <c r="Q2345" i="1" s="1"/>
  <c r="Q2344" i="1" a="1"/>
  <c r="Q2344" i="1" s="1"/>
  <c r="Q2343" i="1" a="1"/>
  <c r="Q2343" i="1" s="1"/>
  <c r="Q2342" i="1" a="1"/>
  <c r="Q2342" i="1" s="1"/>
  <c r="Q2341" i="1" a="1"/>
  <c r="Q2341" i="1" s="1"/>
  <c r="Q2340" i="1" a="1"/>
  <c r="Q2340" i="1" s="1"/>
  <c r="Q2339" i="1" a="1"/>
  <c r="Q2339" i="1" s="1"/>
  <c r="Q2338" i="1" a="1"/>
  <c r="Q2338" i="1" s="1"/>
  <c r="Q2337" i="1" a="1"/>
  <c r="Q2337" i="1" s="1"/>
  <c r="Q2336" i="1" a="1"/>
  <c r="Q2336" i="1" s="1"/>
  <c r="Q2335" i="1" a="1"/>
  <c r="Q2335" i="1" s="1"/>
  <c r="Q2334" i="1" a="1"/>
  <c r="Q2334" i="1" s="1"/>
  <c r="Q2333" i="1" a="1"/>
  <c r="Q2333" i="1" s="1"/>
  <c r="Q2332" i="1" a="1"/>
  <c r="Q2332" i="1" s="1"/>
  <c r="Q2331" i="1" a="1"/>
  <c r="Q2331" i="1" s="1"/>
  <c r="Q2330" i="1" a="1"/>
  <c r="Q2330" i="1" s="1"/>
  <c r="Q2329" i="1" a="1"/>
  <c r="Q2329" i="1" s="1"/>
  <c r="Q2328" i="1" a="1"/>
  <c r="Q2328" i="1" s="1"/>
  <c r="Q2327" i="1" a="1"/>
  <c r="Q2327" i="1" s="1"/>
  <c r="Q2326" i="1" a="1"/>
  <c r="Q2326" i="1" s="1"/>
  <c r="Q2325" i="1" a="1"/>
  <c r="Q2325" i="1" s="1"/>
  <c r="Q2324" i="1" a="1"/>
  <c r="Q2324" i="1" s="1"/>
  <c r="Q2323" i="1" a="1"/>
  <c r="Q2323" i="1" s="1"/>
  <c r="Q2322" i="1" a="1"/>
  <c r="Q2322" i="1" s="1"/>
  <c r="Q2321" i="1" a="1"/>
  <c r="Q2321" i="1" s="1"/>
  <c r="Q2320" i="1" a="1"/>
  <c r="Q2320" i="1" s="1"/>
  <c r="Q2319" i="1" a="1"/>
  <c r="Q2319" i="1" s="1"/>
  <c r="Q2318" i="1" a="1"/>
  <c r="Q2318" i="1" s="1"/>
  <c r="Q2317" i="1" a="1"/>
  <c r="Q2317" i="1" s="1"/>
  <c r="Q2316" i="1" a="1"/>
  <c r="Q2316" i="1" s="1"/>
  <c r="Q2315" i="1" a="1"/>
  <c r="Q2315" i="1" s="1"/>
  <c r="Q2314" i="1" a="1"/>
  <c r="Q2314" i="1" s="1"/>
  <c r="Q2313" i="1" a="1"/>
  <c r="Q2313" i="1" s="1"/>
  <c r="Q2312" i="1" a="1"/>
  <c r="Q2312" i="1" s="1"/>
  <c r="Q2311" i="1" a="1"/>
  <c r="Q2311" i="1" s="1"/>
  <c r="Q2310" i="1" a="1"/>
  <c r="Q2310" i="1" s="1"/>
  <c r="Q2309" i="1" a="1"/>
  <c r="Q2309" i="1" s="1"/>
  <c r="Q2308" i="1" a="1"/>
  <c r="Q2308" i="1" s="1"/>
  <c r="Q2307" i="1" a="1"/>
  <c r="Q2307" i="1" s="1"/>
  <c r="Q2306" i="1" a="1"/>
  <c r="Q2306" i="1" s="1"/>
  <c r="Q2305" i="1" a="1"/>
  <c r="Q2305" i="1" s="1"/>
  <c r="Q2304" i="1" a="1"/>
  <c r="Q2304" i="1" s="1"/>
  <c r="Q2303" i="1" a="1"/>
  <c r="Q2303" i="1" s="1"/>
  <c r="Q2302" i="1" a="1"/>
  <c r="Q2302" i="1" s="1"/>
  <c r="Q2301" i="1" a="1"/>
  <c r="Q2301" i="1" s="1"/>
  <c r="Q2300" i="1" a="1"/>
  <c r="Q2300" i="1" s="1"/>
  <c r="Q2299" i="1" a="1"/>
  <c r="Q2299" i="1" s="1"/>
  <c r="Q2298" i="1" a="1"/>
  <c r="Q2298" i="1" s="1"/>
  <c r="Q2297" i="1" a="1"/>
  <c r="Q2297" i="1" s="1"/>
  <c r="Q2296" i="1" a="1"/>
  <c r="Q2296" i="1" s="1"/>
  <c r="Q2295" i="1" a="1"/>
  <c r="Q2295" i="1" s="1"/>
  <c r="Q2294" i="1" a="1"/>
  <c r="Q2294" i="1" s="1"/>
  <c r="Q2293" i="1" a="1"/>
  <c r="Q2293" i="1" s="1"/>
  <c r="Q2292" i="1" a="1"/>
  <c r="Q2292" i="1" s="1"/>
  <c r="Q2291" i="1" a="1"/>
  <c r="Q2291" i="1" s="1"/>
  <c r="Q2290" i="1" a="1"/>
  <c r="Q2290" i="1" s="1"/>
  <c r="Q2289" i="1" a="1"/>
  <c r="Q2289" i="1" s="1"/>
  <c r="Q2288" i="1" a="1"/>
  <c r="Q2288" i="1" s="1"/>
  <c r="Q2287" i="1" a="1"/>
  <c r="Q2287" i="1" s="1"/>
  <c r="Q2286" i="1" a="1"/>
  <c r="Q2286" i="1" s="1"/>
  <c r="Q2285" i="1" a="1"/>
  <c r="Q2285" i="1" s="1"/>
  <c r="Q2284" i="1" a="1"/>
  <c r="Q2284" i="1" s="1"/>
  <c r="Q2283" i="1" a="1"/>
  <c r="Q2283" i="1" s="1"/>
  <c r="Q2282" i="1" a="1"/>
  <c r="Q2282" i="1" s="1"/>
  <c r="Q2281" i="1" a="1"/>
  <c r="Q2281" i="1" s="1"/>
  <c r="Q2280" i="1" a="1"/>
  <c r="Q2280" i="1" s="1"/>
  <c r="Q2279" i="1" a="1"/>
  <c r="Q2279" i="1" s="1"/>
  <c r="Q2278" i="1" a="1"/>
  <c r="Q2278" i="1" s="1"/>
  <c r="Q2277" i="1" a="1"/>
  <c r="Q2277" i="1" s="1"/>
  <c r="Q2276" i="1" a="1"/>
  <c r="Q2276" i="1" s="1"/>
  <c r="Q2275" i="1" a="1"/>
  <c r="Q2275" i="1" s="1"/>
  <c r="Q2274" i="1" a="1"/>
  <c r="Q2274" i="1" s="1"/>
  <c r="Q2273" i="1" a="1"/>
  <c r="Q2273" i="1" s="1"/>
  <c r="Q2272" i="1" a="1"/>
  <c r="Q2272" i="1" s="1"/>
  <c r="Q2271" i="1" a="1"/>
  <c r="Q2271" i="1" s="1"/>
  <c r="Q2270" i="1" a="1"/>
  <c r="Q2270" i="1" s="1"/>
  <c r="Q2269" i="1" a="1"/>
  <c r="Q2269" i="1" s="1"/>
  <c r="Q2268" i="1" a="1"/>
  <c r="Q2268" i="1" s="1"/>
  <c r="Q2267" i="1" a="1"/>
  <c r="Q2267" i="1" s="1"/>
  <c r="Q2266" i="1" a="1"/>
  <c r="Q2266" i="1" s="1"/>
  <c r="Q2265" i="1" a="1"/>
  <c r="Q2265" i="1" s="1"/>
  <c r="Q2264" i="1" a="1"/>
  <c r="Q2264" i="1" s="1"/>
  <c r="Q2263" i="1" a="1"/>
  <c r="Q2263" i="1" s="1"/>
  <c r="Q2262" i="1" a="1"/>
  <c r="Q2262" i="1" s="1"/>
  <c r="Q2261" i="1" a="1"/>
  <c r="Q2261" i="1" s="1"/>
  <c r="Q2260" i="1" a="1"/>
  <c r="Q2260" i="1" s="1"/>
  <c r="Q2259" i="1" a="1"/>
  <c r="Q2259" i="1" s="1"/>
  <c r="Q2258" i="1" a="1"/>
  <c r="Q2258" i="1" s="1"/>
  <c r="Q2257" i="1" a="1"/>
  <c r="Q2257" i="1" s="1"/>
  <c r="Q2256" i="1" a="1"/>
  <c r="Q2256" i="1" s="1"/>
  <c r="Q2255" i="1" a="1"/>
  <c r="Q2255" i="1" s="1"/>
  <c r="Q2254" i="1" a="1"/>
  <c r="Q2254" i="1" s="1"/>
  <c r="Q2253" i="1" a="1"/>
  <c r="Q2253" i="1" s="1"/>
  <c r="Q2252" i="1" a="1"/>
  <c r="Q2252" i="1" s="1"/>
  <c r="Q2251" i="1" a="1"/>
  <c r="Q2251" i="1" s="1"/>
  <c r="Q2250" i="1" a="1"/>
  <c r="Q2250" i="1" s="1"/>
  <c r="Q2249" i="1" a="1"/>
  <c r="Q2249" i="1" s="1"/>
  <c r="Q2248" i="1" a="1"/>
  <c r="Q2248" i="1" s="1"/>
  <c r="Q2247" i="1" a="1"/>
  <c r="Q2247" i="1" s="1"/>
  <c r="Q2246" i="1" a="1"/>
  <c r="Q2246" i="1" s="1"/>
  <c r="Q2245" i="1" a="1"/>
  <c r="Q2245" i="1" s="1"/>
  <c r="Q2244" i="1" a="1"/>
  <c r="Q2244" i="1" s="1"/>
  <c r="Q2243" i="1" a="1"/>
  <c r="Q2243" i="1" s="1"/>
  <c r="Q2242" i="1" a="1"/>
  <c r="Q2242" i="1" s="1"/>
  <c r="Q2241" i="1" a="1"/>
  <c r="Q2241" i="1" s="1"/>
  <c r="Q2240" i="1" a="1"/>
  <c r="Q2240" i="1" s="1"/>
  <c r="Q2239" i="1" a="1"/>
  <c r="Q2239" i="1" s="1"/>
  <c r="Q2238" i="1" a="1"/>
  <c r="Q2238" i="1" s="1"/>
  <c r="Q2237" i="1" a="1"/>
  <c r="Q2237" i="1" s="1"/>
  <c r="Q2236" i="1" a="1"/>
  <c r="Q2236" i="1" s="1"/>
  <c r="Q2235" i="1" a="1"/>
  <c r="Q2235" i="1" s="1"/>
  <c r="Q2234" i="1" a="1"/>
  <c r="Q2234" i="1" s="1"/>
  <c r="Q2233" i="1" a="1"/>
  <c r="Q2233" i="1" s="1"/>
  <c r="Q2232" i="1" a="1"/>
  <c r="Q2232" i="1" s="1"/>
  <c r="Q2231" i="1" a="1"/>
  <c r="Q2231" i="1" s="1"/>
  <c r="Q2230" i="1" a="1"/>
  <c r="Q2230" i="1" s="1"/>
  <c r="Q2229" i="1" a="1"/>
  <c r="Q2229" i="1" s="1"/>
  <c r="Q2228" i="1" a="1"/>
  <c r="Q2228" i="1" s="1"/>
  <c r="Q2227" i="1" a="1"/>
  <c r="Q2227" i="1" s="1"/>
  <c r="Q2226" i="1" a="1"/>
  <c r="Q2226" i="1" s="1"/>
  <c r="Q2225" i="1" a="1"/>
  <c r="Q2225" i="1" s="1"/>
  <c r="Q2224" i="1" a="1"/>
  <c r="Q2224" i="1" s="1"/>
  <c r="Q2223" i="1" a="1"/>
  <c r="Q2223" i="1" s="1"/>
  <c r="Q2222" i="1" a="1"/>
  <c r="Q2222" i="1" s="1"/>
  <c r="Q2221" i="1" a="1"/>
  <c r="Q2221" i="1" s="1"/>
  <c r="Q2220" i="1" a="1"/>
  <c r="Q2220" i="1" s="1"/>
  <c r="Q2219" i="1" a="1"/>
  <c r="Q2219" i="1" s="1"/>
  <c r="Q2218" i="1" a="1"/>
  <c r="Q2218" i="1" s="1"/>
  <c r="Q2217" i="1" a="1"/>
  <c r="Q2217" i="1" s="1"/>
  <c r="Q2216" i="1" a="1"/>
  <c r="Q2216" i="1" s="1"/>
  <c r="Q2215" i="1" a="1"/>
  <c r="Q2215" i="1" s="1"/>
  <c r="Q2214" i="1" a="1"/>
  <c r="Q2214" i="1" s="1"/>
  <c r="Q2213" i="1" a="1"/>
  <c r="Q2213" i="1" s="1"/>
  <c r="Q2212" i="1" a="1"/>
  <c r="Q2212" i="1" s="1"/>
  <c r="Q2211" i="1" a="1"/>
  <c r="Q2211" i="1" s="1"/>
  <c r="Q2210" i="1" a="1"/>
  <c r="Q2210" i="1" s="1"/>
  <c r="Q2209" i="1" a="1"/>
  <c r="Q2209" i="1" s="1"/>
  <c r="Q2208" i="1" a="1"/>
  <c r="Q2208" i="1" s="1"/>
  <c r="Q2207" i="1" a="1"/>
  <c r="Q2207" i="1" s="1"/>
  <c r="Q2206" i="1" a="1"/>
  <c r="Q2206" i="1" s="1"/>
  <c r="Q2205" i="1" a="1"/>
  <c r="Q2205" i="1" s="1"/>
  <c r="Q2204" i="1" a="1"/>
  <c r="Q2204" i="1" s="1"/>
  <c r="Q2203" i="1" a="1"/>
  <c r="Q2203" i="1" s="1"/>
  <c r="Q2202" i="1" a="1"/>
  <c r="Q2202" i="1" s="1"/>
  <c r="Q2201" i="1" a="1"/>
  <c r="Q2201" i="1" s="1"/>
  <c r="Q2200" i="1" a="1"/>
  <c r="Q2200" i="1" s="1"/>
  <c r="Q2199" i="1" a="1"/>
  <c r="Q2199" i="1" s="1"/>
  <c r="Q2198" i="1" a="1"/>
  <c r="Q2198" i="1" s="1"/>
  <c r="Q2197" i="1" a="1"/>
  <c r="Q2197" i="1" s="1"/>
  <c r="Q2196" i="1" a="1"/>
  <c r="Q2196" i="1" s="1"/>
  <c r="Q2195" i="1" a="1"/>
  <c r="Q2195" i="1" s="1"/>
  <c r="Q2194" i="1" a="1"/>
  <c r="Q2194" i="1" s="1"/>
  <c r="Q2193" i="1" a="1"/>
  <c r="Q2193" i="1" s="1"/>
  <c r="Q2192" i="1" a="1"/>
  <c r="Q2192" i="1" s="1"/>
  <c r="Q2191" i="1" a="1"/>
  <c r="Q2191" i="1" s="1"/>
  <c r="Q2190" i="1" a="1"/>
  <c r="Q2190" i="1" s="1"/>
  <c r="Q2189" i="1" a="1"/>
  <c r="Q2189" i="1" s="1"/>
  <c r="Q2188" i="1" a="1"/>
  <c r="Q2188" i="1" s="1"/>
  <c r="Q2187" i="1" a="1"/>
  <c r="Q2187" i="1" s="1"/>
  <c r="Q2186" i="1" a="1"/>
  <c r="Q2186" i="1" s="1"/>
  <c r="Q2185" i="1" a="1"/>
  <c r="Q2185" i="1" s="1"/>
  <c r="Q2184" i="1" a="1"/>
  <c r="Q2184" i="1" s="1"/>
  <c r="Q2183" i="1" a="1"/>
  <c r="Q2183" i="1" s="1"/>
  <c r="Q2182" i="1" a="1"/>
  <c r="Q2182" i="1" s="1"/>
  <c r="Q2181" i="1" a="1"/>
  <c r="Q2181" i="1" s="1"/>
  <c r="Q2180" i="1" a="1"/>
  <c r="Q2180" i="1" s="1"/>
  <c r="Q2179" i="1" a="1"/>
  <c r="Q2179" i="1" s="1"/>
  <c r="Q2178" i="1" a="1"/>
  <c r="Q2178" i="1" s="1"/>
  <c r="Q2177" i="1" a="1"/>
  <c r="Q2177" i="1" s="1"/>
  <c r="Q2176" i="1" a="1"/>
  <c r="Q2176" i="1" s="1"/>
  <c r="Q2174" i="1" a="1"/>
  <c r="Q2174" i="1" s="1"/>
  <c r="Q2173" i="1" a="1"/>
  <c r="Q2173" i="1" s="1"/>
  <c r="Q2172" i="1" a="1"/>
  <c r="Q2172" i="1" s="1"/>
  <c r="Q2171" i="1" a="1"/>
  <c r="Q2171" i="1" s="1"/>
  <c r="Q2170" i="1" a="1"/>
  <c r="Q2170" i="1" s="1"/>
  <c r="Q2169" i="1" a="1"/>
  <c r="Q2169" i="1" s="1"/>
  <c r="Q2168" i="1" a="1"/>
  <c r="Q2168" i="1" s="1"/>
  <c r="Q2167" i="1" a="1"/>
  <c r="Q2167" i="1" s="1"/>
  <c r="Q2166" i="1" a="1"/>
  <c r="Q2166" i="1" s="1"/>
  <c r="Q2165" i="1" a="1"/>
  <c r="Q2165" i="1" s="1"/>
  <c r="Q2164" i="1" a="1"/>
  <c r="Q2164" i="1" s="1"/>
  <c r="Q2163" i="1" a="1"/>
  <c r="Q2163" i="1" s="1"/>
  <c r="Q2162" i="1" a="1"/>
  <c r="Q2162" i="1" s="1"/>
  <c r="Q2161" i="1" a="1"/>
  <c r="Q2161" i="1" s="1"/>
  <c r="Q2160" i="1" a="1"/>
  <c r="Q2160" i="1" s="1"/>
  <c r="Q2159" i="1" a="1"/>
  <c r="Q2159" i="1" s="1"/>
  <c r="Q2158" i="1" a="1"/>
  <c r="Q2158" i="1" s="1"/>
  <c r="Q2157" i="1" a="1"/>
  <c r="Q2157" i="1" s="1"/>
  <c r="Q2156" i="1" a="1"/>
  <c r="Q2156" i="1" s="1"/>
  <c r="Q2155" i="1" a="1"/>
  <c r="Q2155" i="1" s="1"/>
  <c r="Q2154" i="1" a="1"/>
  <c r="Q2154" i="1" s="1"/>
  <c r="Q2153" i="1" a="1"/>
  <c r="Q2153" i="1" s="1"/>
  <c r="Q2152" i="1" a="1"/>
  <c r="Q2152" i="1" s="1"/>
  <c r="Q2151" i="1" a="1"/>
  <c r="Q2151" i="1" s="1"/>
  <c r="Q2150" i="1" a="1"/>
  <c r="Q2150" i="1" s="1"/>
  <c r="Q2149" i="1" a="1"/>
  <c r="Q2149" i="1" s="1"/>
  <c r="Q2148" i="1" a="1"/>
  <c r="Q2148" i="1" s="1"/>
  <c r="Q2147" i="1" a="1"/>
  <c r="Q2147" i="1" s="1"/>
  <c r="Q2146" i="1" a="1"/>
  <c r="Q2146" i="1" s="1"/>
  <c r="Q2145" i="1" a="1"/>
  <c r="Q2145" i="1" s="1"/>
  <c r="Q2144" i="1" a="1"/>
  <c r="Q2144" i="1" s="1"/>
  <c r="Q2143" i="1" a="1"/>
  <c r="Q2143" i="1" s="1"/>
  <c r="Q2142" i="1" a="1"/>
  <c r="Q2142" i="1" s="1"/>
  <c r="Q2141" i="1" a="1"/>
  <c r="Q2141" i="1" s="1"/>
  <c r="Q2140" i="1" a="1"/>
  <c r="Q2140" i="1" s="1"/>
  <c r="Q2139" i="1" a="1"/>
  <c r="Q2139" i="1" s="1"/>
  <c r="Q2138" i="1" a="1"/>
  <c r="Q2138" i="1" s="1"/>
  <c r="Q2137" i="1" a="1"/>
  <c r="Q2137" i="1" s="1"/>
  <c r="Q2136" i="1" a="1"/>
  <c r="Q2136" i="1" s="1"/>
  <c r="Q2135" i="1" a="1"/>
  <c r="Q2135" i="1" s="1"/>
  <c r="Q2134" i="1" a="1"/>
  <c r="Q2134" i="1" s="1"/>
  <c r="Q2133" i="1" a="1"/>
  <c r="Q2133" i="1" s="1"/>
  <c r="Q2132" i="1" a="1"/>
  <c r="Q2132" i="1" s="1"/>
  <c r="Q2131" i="1" a="1"/>
  <c r="Q2131" i="1" s="1"/>
  <c r="Q2130" i="1" a="1"/>
  <c r="Q2130" i="1" s="1"/>
  <c r="Q2129" i="1" a="1"/>
  <c r="Q2129" i="1" s="1"/>
  <c r="Q2128" i="1" a="1"/>
  <c r="Q2128" i="1" s="1"/>
  <c r="Q2127" i="1" a="1"/>
  <c r="Q2127" i="1" s="1"/>
  <c r="Q2126" i="1" a="1"/>
  <c r="Q2126" i="1" s="1"/>
  <c r="Q2125" i="1" a="1"/>
  <c r="Q2125" i="1" s="1"/>
  <c r="Q2124" i="1" a="1"/>
  <c r="Q2124" i="1" s="1"/>
  <c r="Q2123" i="1" a="1"/>
  <c r="Q2123" i="1" s="1"/>
  <c r="Q2122" i="1" a="1"/>
  <c r="Q2122" i="1" s="1"/>
  <c r="Q2121" i="1" a="1"/>
  <c r="Q2121" i="1" s="1"/>
  <c r="Q2120" i="1" a="1"/>
  <c r="Q2120" i="1" s="1"/>
  <c r="Q2119" i="1" a="1"/>
  <c r="Q2119" i="1" s="1"/>
  <c r="Q2118" i="1" a="1"/>
  <c r="Q2118" i="1" s="1"/>
  <c r="Q2117" i="1" a="1"/>
  <c r="Q2117" i="1" s="1"/>
  <c r="Q2116" i="1" a="1"/>
  <c r="Q2116" i="1" s="1"/>
  <c r="Q2115" i="1" a="1"/>
  <c r="Q2115" i="1" s="1"/>
  <c r="Q2114" i="1" a="1"/>
  <c r="Q2114" i="1" s="1"/>
  <c r="Q2113" i="1" a="1"/>
  <c r="Q2113" i="1" s="1"/>
  <c r="Q2112" i="1" a="1"/>
  <c r="Q2112" i="1" s="1"/>
  <c r="Q2111" i="1" a="1"/>
  <c r="Q2111" i="1" s="1"/>
  <c r="Q2110" i="1" a="1"/>
  <c r="Q2110" i="1" s="1"/>
  <c r="Q2109" i="1" a="1"/>
  <c r="Q2109" i="1" s="1"/>
  <c r="Q2108" i="1" a="1"/>
  <c r="Q2108" i="1" s="1"/>
  <c r="Q2107" i="1" a="1"/>
  <c r="Q2107" i="1" s="1"/>
  <c r="Q2106" i="1" a="1"/>
  <c r="Q2106" i="1" s="1"/>
  <c r="Q2105" i="1" a="1"/>
  <c r="Q2105" i="1" s="1"/>
  <c r="Q2104" i="1" a="1"/>
  <c r="Q2104" i="1" s="1"/>
  <c r="Q2103" i="1" a="1"/>
  <c r="Q2103" i="1" s="1"/>
  <c r="Q2102" i="1" a="1"/>
  <c r="Q2102" i="1" s="1"/>
  <c r="Q2101" i="1" a="1"/>
  <c r="Q2101" i="1" s="1"/>
  <c r="Q2100" i="1" a="1"/>
  <c r="Q2100" i="1" s="1"/>
  <c r="Q2099" i="1" a="1"/>
  <c r="Q2099" i="1" s="1"/>
  <c r="Q2098" i="1" a="1"/>
  <c r="Q2098" i="1" s="1"/>
  <c r="Q2097" i="1" a="1"/>
  <c r="Q2097" i="1" s="1"/>
  <c r="Q2096" i="1" a="1"/>
  <c r="Q2096" i="1" s="1"/>
  <c r="Q2095" i="1" a="1"/>
  <c r="Q2095" i="1" s="1"/>
  <c r="Q2094" i="1" a="1"/>
  <c r="Q2094" i="1" s="1"/>
  <c r="Q2093" i="1" a="1"/>
  <c r="Q2093" i="1" s="1"/>
  <c r="Q2092" i="1" a="1"/>
  <c r="Q2092" i="1" s="1"/>
  <c r="Q2091" i="1" a="1"/>
  <c r="Q2091" i="1" s="1"/>
  <c r="Q2090" i="1" a="1"/>
  <c r="Q2090" i="1" s="1"/>
  <c r="Q2089" i="1" a="1"/>
  <c r="Q2089" i="1" s="1"/>
  <c r="Q2088" i="1" a="1"/>
  <c r="Q2088" i="1" s="1"/>
  <c r="Q2087" i="1" a="1"/>
  <c r="Q2087" i="1" s="1"/>
  <c r="Q2086" i="1" a="1"/>
  <c r="Q2086" i="1" s="1"/>
  <c r="Q2085" i="1" a="1"/>
  <c r="Q2085" i="1" s="1"/>
  <c r="Q2084" i="1" a="1"/>
  <c r="Q2084" i="1" s="1"/>
  <c r="Q2083" i="1" a="1"/>
  <c r="Q2083" i="1" s="1"/>
  <c r="Q2082" i="1" a="1"/>
  <c r="Q2082" i="1" s="1"/>
  <c r="Q2081" i="1" a="1"/>
  <c r="Q2081" i="1" s="1"/>
  <c r="Q2080" i="1" a="1"/>
  <c r="Q2080" i="1" s="1"/>
  <c r="Q2079" i="1" a="1"/>
  <c r="Q2079" i="1" s="1"/>
  <c r="Q2078" i="1" a="1"/>
  <c r="Q2078" i="1" s="1"/>
  <c r="Q2077" i="1" a="1"/>
  <c r="Q2077" i="1" s="1"/>
  <c r="Q2076" i="1" a="1"/>
  <c r="Q2076" i="1" s="1"/>
  <c r="Q2075" i="1" a="1"/>
  <c r="Q2075" i="1" s="1"/>
  <c r="Q2074" i="1" a="1"/>
  <c r="Q2074" i="1" s="1"/>
  <c r="Q2073" i="1" a="1"/>
  <c r="Q2073" i="1" s="1"/>
  <c r="Q2072" i="1" a="1"/>
  <c r="Q2072" i="1" s="1"/>
  <c r="Q2071" i="1" a="1"/>
  <c r="Q2071" i="1" s="1"/>
  <c r="Q2070" i="1" a="1"/>
  <c r="Q2070" i="1" s="1"/>
  <c r="Q2069" i="1" a="1"/>
  <c r="Q2069" i="1" s="1"/>
  <c r="Q2068" i="1" a="1"/>
  <c r="Q2068" i="1" s="1"/>
  <c r="Q2067" i="1" a="1"/>
  <c r="Q2067" i="1" s="1"/>
  <c r="Q2066" i="1" a="1"/>
  <c r="Q2066" i="1" s="1"/>
  <c r="Q2065" i="1" a="1"/>
  <c r="Q2065" i="1" s="1"/>
  <c r="Q2064" i="1" a="1"/>
  <c r="Q2064" i="1" s="1"/>
  <c r="Q2063" i="1" a="1"/>
  <c r="Q2063" i="1" s="1"/>
  <c r="Q2062" i="1" a="1"/>
  <c r="Q2062" i="1" s="1"/>
  <c r="Q2061" i="1" a="1"/>
  <c r="Q2061" i="1" s="1"/>
  <c r="Q2060" i="1" a="1"/>
  <c r="Q2060" i="1" s="1"/>
  <c r="Q2059" i="1" a="1"/>
  <c r="Q2059" i="1" s="1"/>
  <c r="Q2058" i="1" a="1"/>
  <c r="Q2058" i="1" s="1"/>
  <c r="Q2057" i="1" a="1"/>
  <c r="Q2057" i="1" s="1"/>
  <c r="Q2056" i="1" a="1"/>
  <c r="Q2056" i="1" s="1"/>
  <c r="Q2055" i="1" a="1"/>
  <c r="Q2055" i="1" s="1"/>
  <c r="Q2054" i="1" a="1"/>
  <c r="Q2054" i="1" s="1"/>
  <c r="Q2053" i="1" a="1"/>
  <c r="Q2053" i="1" s="1"/>
  <c r="Q2052" i="1" a="1"/>
  <c r="Q2052" i="1" s="1"/>
  <c r="Q2051" i="1" a="1"/>
  <c r="Q2051" i="1" s="1"/>
  <c r="Q2050" i="1" a="1"/>
  <c r="Q2050" i="1" s="1"/>
  <c r="Q2049" i="1" a="1"/>
  <c r="Q2049" i="1" s="1"/>
  <c r="Q2048" i="1" a="1"/>
  <c r="Q2048" i="1" s="1"/>
  <c r="Q2047" i="1" a="1"/>
  <c r="Q2047" i="1" s="1"/>
  <c r="Q2046" i="1" a="1"/>
  <c r="Q2046" i="1" s="1"/>
  <c r="Q2045" i="1" a="1"/>
  <c r="Q2045" i="1" s="1"/>
  <c r="Q2044" i="1" a="1"/>
  <c r="Q2044" i="1" s="1"/>
  <c r="Q2043" i="1" a="1"/>
  <c r="Q2043" i="1" s="1"/>
  <c r="Q2042" i="1" a="1"/>
  <c r="Q2042" i="1" s="1"/>
  <c r="Q2041" i="1" a="1"/>
  <c r="Q2041" i="1" s="1"/>
  <c r="Q2040" i="1" a="1"/>
  <c r="Q2040" i="1" s="1"/>
  <c r="Q2039" i="1" a="1"/>
  <c r="Q2039" i="1" s="1"/>
  <c r="Q2038" i="1" a="1"/>
  <c r="Q2038" i="1" s="1"/>
  <c r="Q2037" i="1" a="1"/>
  <c r="Q2037" i="1" s="1"/>
  <c r="Q2036" i="1" a="1"/>
  <c r="Q2036" i="1" s="1"/>
  <c r="Q2035" i="1" a="1"/>
  <c r="Q2035" i="1" s="1"/>
  <c r="Q2034" i="1" a="1"/>
  <c r="Q2034" i="1" s="1"/>
  <c r="Q2033" i="1" a="1"/>
  <c r="Q2033" i="1" s="1"/>
  <c r="Q2032" i="1" a="1"/>
  <c r="Q2032" i="1" s="1"/>
  <c r="Q2031" i="1" a="1"/>
  <c r="Q2031" i="1" s="1"/>
  <c r="Q2030" i="1" a="1"/>
  <c r="Q2030" i="1" s="1"/>
  <c r="Q2029" i="1" a="1"/>
  <c r="Q2029" i="1" s="1"/>
  <c r="Q2028" i="1" a="1"/>
  <c r="Q2028" i="1" s="1"/>
  <c r="Q2027" i="1" a="1"/>
  <c r="Q2027" i="1" s="1"/>
  <c r="Q2026" i="1" a="1"/>
  <c r="Q2026" i="1" s="1"/>
  <c r="Q2025" i="1" a="1"/>
  <c r="Q2025" i="1" s="1"/>
  <c r="Q2024" i="1" a="1"/>
  <c r="Q2024" i="1" s="1"/>
  <c r="Q2023" i="1" a="1"/>
  <c r="Q2023" i="1" s="1"/>
  <c r="Q2022" i="1" a="1"/>
  <c r="Q2022" i="1" s="1"/>
  <c r="Q2021" i="1" a="1"/>
  <c r="Q2021" i="1" s="1"/>
  <c r="Q2020" i="1" a="1"/>
  <c r="Q2020" i="1" s="1"/>
  <c r="Q2019" i="1" a="1"/>
  <c r="Q2019" i="1" s="1"/>
  <c r="Q2018" i="1" a="1"/>
  <c r="Q2018" i="1" s="1"/>
  <c r="Q2017" i="1" a="1"/>
  <c r="Q2017" i="1" s="1"/>
  <c r="Q2016" i="1" a="1"/>
  <c r="Q2016" i="1" s="1"/>
  <c r="Q2015" i="1" a="1"/>
  <c r="Q2015" i="1" s="1"/>
  <c r="Q2014" i="1" a="1"/>
  <c r="Q2014" i="1" s="1"/>
  <c r="Q2013" i="1" a="1"/>
  <c r="Q2013" i="1" s="1"/>
  <c r="Q2012" i="1" a="1"/>
  <c r="Q2012" i="1" s="1"/>
  <c r="Q2011" i="1" a="1"/>
  <c r="Q2011" i="1" s="1"/>
  <c r="Q2010" i="1" a="1"/>
  <c r="Q2010" i="1" s="1"/>
  <c r="Q2009" i="1" a="1"/>
  <c r="Q2009" i="1" s="1"/>
  <c r="Q2008" i="1" a="1"/>
  <c r="Q2008" i="1" s="1"/>
  <c r="Q2007" i="1" a="1"/>
  <c r="Q2007" i="1" s="1"/>
  <c r="Q2006" i="1" a="1"/>
  <c r="Q2006" i="1" s="1"/>
  <c r="Q2005" i="1" a="1"/>
  <c r="Q2005" i="1" s="1"/>
  <c r="Q2004" i="1" a="1"/>
  <c r="Q2004" i="1" s="1"/>
  <c r="Q2003" i="1" a="1"/>
  <c r="Q2003" i="1" s="1"/>
  <c r="Q2002" i="1" a="1"/>
  <c r="Q2002" i="1" s="1"/>
  <c r="Q2001" i="1" a="1"/>
  <c r="Q2001" i="1" s="1"/>
  <c r="Q2000" i="1" a="1"/>
  <c r="Q2000" i="1" s="1"/>
  <c r="Q1999" i="1" a="1"/>
  <c r="Q1999" i="1" s="1"/>
  <c r="Q1998" i="1" a="1"/>
  <c r="Q1998" i="1" s="1"/>
  <c r="Q1997" i="1" a="1"/>
  <c r="Q1997" i="1" s="1"/>
  <c r="Q1996" i="1" a="1"/>
  <c r="Q1996" i="1" s="1"/>
  <c r="Q1995" i="1" a="1"/>
  <c r="Q1995" i="1" s="1"/>
  <c r="Q1994" i="1" a="1"/>
  <c r="Q1994" i="1" s="1"/>
  <c r="Q1993" i="1" a="1"/>
  <c r="Q1993" i="1" s="1"/>
  <c r="Q1992" i="1" a="1"/>
  <c r="Q1992" i="1" s="1"/>
  <c r="Q1991" i="1" a="1"/>
  <c r="Q1991" i="1" s="1"/>
  <c r="Q1990" i="1" a="1"/>
  <c r="Q1990" i="1" s="1"/>
  <c r="Q1989" i="1" a="1"/>
  <c r="Q1989" i="1" s="1"/>
  <c r="Q1988" i="1" a="1"/>
  <c r="Q1988" i="1" s="1"/>
  <c r="Q1987" i="1" a="1"/>
  <c r="Q1987" i="1" s="1"/>
  <c r="Q1986" i="1" a="1"/>
  <c r="Q1986" i="1" s="1"/>
  <c r="Q1985" i="1" a="1"/>
  <c r="Q1985" i="1" s="1"/>
  <c r="Q1984" i="1" a="1"/>
  <c r="Q1984" i="1" s="1"/>
  <c r="Q1983" i="1" a="1"/>
  <c r="Q1983" i="1" s="1"/>
  <c r="Q1982" i="1" a="1"/>
  <c r="Q1982" i="1" s="1"/>
  <c r="Q1981" i="1" a="1"/>
  <c r="Q1981" i="1" s="1"/>
  <c r="Q1980" i="1" a="1"/>
  <c r="Q1980" i="1" s="1"/>
  <c r="Q1979" i="1" a="1"/>
  <c r="Q1979" i="1" s="1"/>
  <c r="Q1978" i="1" a="1"/>
  <c r="Q1978" i="1" s="1"/>
  <c r="Q1977" i="1" a="1"/>
  <c r="Q1977" i="1" s="1"/>
  <c r="Q1976" i="1" a="1"/>
  <c r="Q1976" i="1" s="1"/>
  <c r="Q1975" i="1" a="1"/>
  <c r="Q1975" i="1" s="1"/>
  <c r="Q1974" i="1" a="1"/>
  <c r="Q1974" i="1" s="1"/>
  <c r="Q1973" i="1" a="1"/>
  <c r="Q1973" i="1" s="1"/>
  <c r="Q1972" i="1" a="1"/>
  <c r="Q1972" i="1" s="1"/>
  <c r="Q1971" i="1" a="1"/>
  <c r="Q1971" i="1" s="1"/>
  <c r="Q1970" i="1" a="1"/>
  <c r="Q1970" i="1" s="1"/>
  <c r="Q1969" i="1" a="1"/>
  <c r="Q1969" i="1" s="1"/>
  <c r="Q1968" i="1" a="1"/>
  <c r="Q1968" i="1" s="1"/>
  <c r="Q1967" i="1" a="1"/>
  <c r="Q1967" i="1" s="1"/>
  <c r="Q1966" i="1" a="1"/>
  <c r="Q1966" i="1" s="1"/>
  <c r="Q1965" i="1" a="1"/>
  <c r="Q1965" i="1" s="1"/>
  <c r="Q1964" i="1" a="1"/>
  <c r="Q1964" i="1" s="1"/>
  <c r="Q1963" i="1" a="1"/>
  <c r="Q1963" i="1" s="1"/>
  <c r="Q1962" i="1" a="1"/>
  <c r="Q1962" i="1" s="1"/>
  <c r="Q1961" i="1" a="1"/>
  <c r="Q1961" i="1" s="1"/>
  <c r="Q1960" i="1" a="1"/>
  <c r="Q1960" i="1" s="1"/>
  <c r="Q1959" i="1" a="1"/>
  <c r="Q1959" i="1" s="1"/>
  <c r="Q1958" i="1" a="1"/>
  <c r="Q1958" i="1" s="1"/>
  <c r="Q1957" i="1" a="1"/>
  <c r="Q1957" i="1" s="1"/>
  <c r="Q1956" i="1" a="1"/>
  <c r="Q1956" i="1" s="1"/>
  <c r="Q1955" i="1" a="1"/>
  <c r="Q1955" i="1" s="1"/>
  <c r="Q1954" i="1" a="1"/>
  <c r="Q1954" i="1" s="1"/>
  <c r="Q1953" i="1" a="1"/>
  <c r="Q1953" i="1" s="1"/>
  <c r="Q1952" i="1" a="1"/>
  <c r="Q1952" i="1" s="1"/>
  <c r="Q1951" i="1" a="1"/>
  <c r="Q1951" i="1" s="1"/>
  <c r="Q1950" i="1" a="1"/>
  <c r="Q1950" i="1" s="1"/>
  <c r="Q1949" i="1" a="1"/>
  <c r="Q1949" i="1" s="1"/>
  <c r="Q1948" i="1" a="1"/>
  <c r="Q1948" i="1" s="1"/>
  <c r="Q1947" i="1" a="1"/>
  <c r="Q1947" i="1" s="1"/>
  <c r="Q1946" i="1" a="1"/>
  <c r="Q1946" i="1" s="1"/>
  <c r="Q1945" i="1" a="1"/>
  <c r="Q1945" i="1" s="1"/>
  <c r="Q1944" i="1" a="1"/>
  <c r="Q1944" i="1" s="1"/>
  <c r="Q1943" i="1" a="1"/>
  <c r="Q1943" i="1" s="1"/>
  <c r="Q1942" i="1" a="1"/>
  <c r="Q1942" i="1" s="1"/>
  <c r="Q1941" i="1" a="1"/>
  <c r="Q1941" i="1" s="1"/>
  <c r="Q1940" i="1" a="1"/>
  <c r="Q1940" i="1" s="1"/>
  <c r="Q1939" i="1" a="1"/>
  <c r="Q1939" i="1" s="1"/>
  <c r="Q1938" i="1" a="1"/>
  <c r="Q1938" i="1" s="1"/>
  <c r="Q1937" i="1" a="1"/>
  <c r="Q1937" i="1" s="1"/>
  <c r="Q1936" i="1" a="1"/>
  <c r="Q1936" i="1" s="1"/>
  <c r="Q1935" i="1" a="1"/>
  <c r="Q1935" i="1" s="1"/>
  <c r="Q1934" i="1" a="1"/>
  <c r="Q1934" i="1" s="1"/>
  <c r="Q1933" i="1" a="1"/>
  <c r="Q1933" i="1" s="1"/>
  <c r="Q1932" i="1" a="1"/>
  <c r="Q1932" i="1" s="1"/>
  <c r="Q1931" i="1" a="1"/>
  <c r="Q1931" i="1" s="1"/>
  <c r="Q1930" i="1" a="1"/>
  <c r="Q1930" i="1" s="1"/>
  <c r="Q1929" i="1" a="1"/>
  <c r="Q1929" i="1" s="1"/>
  <c r="Q1928" i="1" a="1"/>
  <c r="Q1928" i="1" s="1"/>
  <c r="Q1927" i="1" a="1"/>
  <c r="Q1927" i="1" s="1"/>
  <c r="Q1926" i="1" a="1"/>
  <c r="Q1926" i="1" s="1"/>
  <c r="Q1925" i="1" a="1"/>
  <c r="Q1925" i="1" s="1"/>
  <c r="Q1924" i="1" a="1"/>
  <c r="Q1924" i="1" s="1"/>
  <c r="Q1923" i="1" a="1"/>
  <c r="Q1923" i="1" s="1"/>
  <c r="Q1922" i="1" a="1"/>
  <c r="Q1922" i="1" s="1"/>
  <c r="Q1921" i="1" a="1"/>
  <c r="Q1921" i="1" s="1"/>
  <c r="Q1920" i="1" a="1"/>
  <c r="Q1920" i="1" s="1"/>
  <c r="Q1919" i="1" a="1"/>
  <c r="Q1919" i="1" s="1"/>
  <c r="Q1918" i="1" a="1"/>
  <c r="Q1918" i="1" s="1"/>
  <c r="Q1917" i="1" a="1"/>
  <c r="Q1917" i="1" s="1"/>
  <c r="Q1916" i="1" a="1"/>
  <c r="Q1916" i="1" s="1"/>
  <c r="Q1915" i="1" a="1"/>
  <c r="Q1915" i="1" s="1"/>
  <c r="Q1914" i="1" a="1"/>
  <c r="Q1914" i="1" s="1"/>
  <c r="Q1913" i="1" a="1"/>
  <c r="Q1913" i="1" s="1"/>
  <c r="Q1912" i="1" a="1"/>
  <c r="Q1912" i="1" s="1"/>
  <c r="Q1911" i="1" a="1"/>
  <c r="Q1911" i="1" s="1"/>
  <c r="Q1910" i="1" a="1"/>
  <c r="Q1910" i="1" s="1"/>
  <c r="Q1909" i="1" a="1"/>
  <c r="Q1909" i="1" s="1"/>
  <c r="Q1908" i="1" a="1"/>
  <c r="Q1908" i="1" s="1"/>
  <c r="Q1907" i="1" a="1"/>
  <c r="Q1907" i="1" s="1"/>
  <c r="Q1906" i="1" a="1"/>
  <c r="Q1906" i="1" s="1"/>
  <c r="Q1905" i="1" a="1"/>
  <c r="Q1905" i="1" s="1"/>
  <c r="Q1904" i="1" a="1"/>
  <c r="Q1904" i="1" s="1"/>
  <c r="Q1903" i="1" a="1"/>
  <c r="Q1903" i="1" s="1"/>
  <c r="Q1902" i="1" a="1"/>
  <c r="Q1902" i="1" s="1"/>
  <c r="Q1901" i="1" a="1"/>
  <c r="Q1901" i="1" s="1"/>
  <c r="Q1900" i="1" a="1"/>
  <c r="Q1900" i="1" s="1"/>
  <c r="Q1899" i="1" a="1"/>
  <c r="Q1899" i="1" s="1"/>
  <c r="Q1898" i="1" a="1"/>
  <c r="Q1898" i="1" s="1"/>
  <c r="Q1897" i="1" a="1"/>
  <c r="Q1897" i="1" s="1"/>
  <c r="Q1896" i="1" a="1"/>
  <c r="Q1896" i="1" s="1"/>
  <c r="Q1895" i="1" a="1"/>
  <c r="Q1895" i="1" s="1"/>
  <c r="Q1894" i="1" a="1"/>
  <c r="Q1894" i="1" s="1"/>
  <c r="Q1893" i="1" a="1"/>
  <c r="Q1893" i="1" s="1"/>
  <c r="Q1892" i="1" a="1"/>
  <c r="Q1892" i="1" s="1"/>
  <c r="Q1891" i="1" a="1"/>
  <c r="Q1891" i="1" s="1"/>
  <c r="Q1890" i="1" a="1"/>
  <c r="Q1890" i="1" s="1"/>
  <c r="Q1889" i="1" a="1"/>
  <c r="Q1889" i="1" s="1"/>
  <c r="Q1888" i="1" a="1"/>
  <c r="Q1888" i="1" s="1"/>
  <c r="Q1887" i="1" a="1"/>
  <c r="Q1887" i="1" s="1"/>
  <c r="Q1886" i="1" a="1"/>
  <c r="Q1886" i="1" s="1"/>
  <c r="Q1885" i="1" a="1"/>
  <c r="Q1885" i="1" s="1"/>
  <c r="Q1884" i="1" a="1"/>
  <c r="Q1884" i="1" s="1"/>
  <c r="Q1883" i="1" a="1"/>
  <c r="Q1883" i="1" s="1"/>
  <c r="Q1882" i="1" a="1"/>
  <c r="Q1882" i="1" s="1"/>
  <c r="Q1881" i="1" a="1"/>
  <c r="Q1881" i="1" s="1"/>
  <c r="Q1880" i="1" a="1"/>
  <c r="Q1880" i="1" s="1"/>
  <c r="Q1879" i="1" a="1"/>
  <c r="Q1879" i="1" s="1"/>
  <c r="Q1878" i="1" a="1"/>
  <c r="Q1878" i="1" s="1"/>
  <c r="Q1877" i="1" a="1"/>
  <c r="Q1877" i="1" s="1"/>
  <c r="Q1876" i="1" a="1"/>
  <c r="Q1876" i="1" s="1"/>
  <c r="Q1875" i="1" a="1"/>
  <c r="Q1875" i="1" s="1"/>
  <c r="Q1874" i="1" a="1"/>
  <c r="Q1874" i="1" s="1"/>
  <c r="Q1873" i="1" a="1"/>
  <c r="Q1873" i="1" s="1"/>
  <c r="Q1872" i="1" a="1"/>
  <c r="Q1872" i="1" s="1"/>
  <c r="Q1871" i="1" a="1"/>
  <c r="Q1871" i="1" s="1"/>
  <c r="Q1870" i="1" a="1"/>
  <c r="Q1870" i="1" s="1"/>
  <c r="Q1869" i="1" a="1"/>
  <c r="Q1869" i="1" s="1"/>
  <c r="Q1868" i="1" a="1"/>
  <c r="Q1868" i="1" s="1"/>
  <c r="Q1867" i="1" a="1"/>
  <c r="Q1867" i="1" s="1"/>
  <c r="Q1866" i="1" a="1"/>
  <c r="Q1866" i="1" s="1"/>
  <c r="Q1865" i="1" a="1"/>
  <c r="Q1865" i="1" s="1"/>
  <c r="Q1864" i="1" a="1"/>
  <c r="Q1864" i="1" s="1"/>
  <c r="Q1863" i="1" a="1"/>
  <c r="Q1863" i="1" s="1"/>
  <c r="Q1862" i="1" a="1"/>
  <c r="Q1862" i="1" s="1"/>
  <c r="Q1861" i="1" a="1"/>
  <c r="Q1861" i="1" s="1"/>
  <c r="Q1860" i="1" a="1"/>
  <c r="Q1860" i="1" s="1"/>
  <c r="Q1859" i="1" a="1"/>
  <c r="Q1859" i="1" s="1"/>
  <c r="Q1858" i="1" a="1"/>
  <c r="Q1858" i="1" s="1"/>
  <c r="Q1857" i="1" a="1"/>
  <c r="Q1857" i="1" s="1"/>
  <c r="Q1856" i="1" a="1"/>
  <c r="Q1856" i="1" s="1"/>
  <c r="Q1855" i="1" a="1"/>
  <c r="Q1855" i="1" s="1"/>
  <c r="Q1854" i="1" a="1"/>
  <c r="Q1854" i="1" s="1"/>
  <c r="Q1853" i="1" a="1"/>
  <c r="Q1853" i="1" s="1"/>
  <c r="Q1852" i="1" a="1"/>
  <c r="Q1852" i="1" s="1"/>
  <c r="Q1851" i="1" a="1"/>
  <c r="Q1851" i="1" s="1"/>
  <c r="Q1850" i="1" a="1"/>
  <c r="Q1850" i="1" s="1"/>
  <c r="Q1849" i="1" a="1"/>
  <c r="Q1849" i="1" s="1"/>
  <c r="Q1848" i="1" a="1"/>
  <c r="Q1848" i="1" s="1"/>
  <c r="Q1847" i="1" a="1"/>
  <c r="Q1847" i="1" s="1"/>
  <c r="Q1846" i="1" a="1"/>
  <c r="Q1846" i="1" s="1"/>
  <c r="Q1845" i="1" a="1"/>
  <c r="Q1845" i="1" s="1"/>
  <c r="Q1844" i="1" a="1"/>
  <c r="Q1844" i="1" s="1"/>
  <c r="Q1843" i="1" a="1"/>
  <c r="Q1843" i="1" s="1"/>
  <c r="Q1842" i="1" a="1"/>
  <c r="Q1842" i="1" s="1"/>
  <c r="Q1841" i="1" a="1"/>
  <c r="Q1841" i="1" s="1"/>
  <c r="Q1840" i="1" a="1"/>
  <c r="Q1840" i="1" s="1"/>
  <c r="Q1839" i="1" a="1"/>
  <c r="Q1839" i="1" s="1"/>
  <c r="Q1838" i="1" a="1"/>
  <c r="Q1838" i="1" s="1"/>
  <c r="Q1837" i="1" a="1"/>
  <c r="Q1837" i="1" s="1"/>
  <c r="Q1836" i="1" a="1"/>
  <c r="Q1836" i="1" s="1"/>
  <c r="Q1835" i="1" a="1"/>
  <c r="Q1835" i="1" s="1"/>
  <c r="Q1834" i="1" a="1"/>
  <c r="Q1834" i="1" s="1"/>
  <c r="Q1833" i="1" a="1"/>
  <c r="Q1833" i="1" s="1"/>
  <c r="Q1832" i="1" a="1"/>
  <c r="Q1832" i="1" s="1"/>
  <c r="Q1831" i="1" a="1"/>
  <c r="Q1831" i="1" s="1"/>
  <c r="Q1830" i="1" a="1"/>
  <c r="Q1830" i="1" s="1"/>
  <c r="Q1829" i="1" a="1"/>
  <c r="Q1829" i="1" s="1"/>
  <c r="Q1828" i="1" a="1"/>
  <c r="Q1828" i="1" s="1"/>
  <c r="Q1827" i="1" a="1"/>
  <c r="Q1827" i="1" s="1"/>
  <c r="Q1826" i="1" a="1"/>
  <c r="Q1826" i="1" s="1"/>
  <c r="Q1825" i="1" a="1"/>
  <c r="Q1825" i="1" s="1"/>
  <c r="Q1824" i="1" a="1"/>
  <c r="Q1824" i="1" s="1"/>
  <c r="Q1823" i="1" a="1"/>
  <c r="Q1823" i="1" s="1"/>
  <c r="Q1822" i="1" a="1"/>
  <c r="Q1822" i="1" s="1"/>
  <c r="Q1821" i="1" a="1"/>
  <c r="Q1821" i="1" s="1"/>
  <c r="Q1820" i="1" a="1"/>
  <c r="Q1820" i="1" s="1"/>
  <c r="Q1819" i="1" a="1"/>
  <c r="Q1819" i="1" s="1"/>
  <c r="Q1818" i="1" a="1"/>
  <c r="Q1818" i="1" s="1"/>
  <c r="Q1817" i="1" a="1"/>
  <c r="Q1817" i="1" s="1"/>
  <c r="Q1816" i="1" a="1"/>
  <c r="Q1816" i="1" s="1"/>
  <c r="Q1815" i="1" a="1"/>
  <c r="Q1815" i="1" s="1"/>
  <c r="Q1814" i="1" a="1"/>
  <c r="Q1814" i="1" s="1"/>
  <c r="Q1813" i="1" a="1"/>
  <c r="Q1813" i="1" s="1"/>
  <c r="Q1812" i="1" a="1"/>
  <c r="Q1812" i="1" s="1"/>
  <c r="Q1811" i="1" a="1"/>
  <c r="Q1811" i="1" s="1"/>
  <c r="Q1810" i="1" a="1"/>
  <c r="Q1810" i="1" s="1"/>
  <c r="Q1809" i="1" a="1"/>
  <c r="Q1809" i="1" s="1"/>
  <c r="Q1808" i="1" a="1"/>
  <c r="Q1808" i="1" s="1"/>
  <c r="Q1807" i="1" a="1"/>
  <c r="Q1807" i="1" s="1"/>
  <c r="Q1806" i="1" a="1"/>
  <c r="Q1806" i="1" s="1"/>
  <c r="Q1805" i="1" a="1"/>
  <c r="Q1805" i="1" s="1"/>
  <c r="Q1804" i="1" a="1"/>
  <c r="Q1804" i="1" s="1"/>
  <c r="Q1803" i="1" a="1"/>
  <c r="Q1803" i="1" s="1"/>
  <c r="Q1802" i="1" a="1"/>
  <c r="Q1802" i="1" s="1"/>
  <c r="Q1801" i="1" a="1"/>
  <c r="Q1801" i="1" s="1"/>
  <c r="Q1800" i="1" a="1"/>
  <c r="Q1800" i="1" s="1"/>
  <c r="Q1799" i="1" a="1"/>
  <c r="Q1799" i="1" s="1"/>
  <c r="Q1798" i="1" a="1"/>
  <c r="Q1798" i="1" s="1"/>
  <c r="Q1797" i="1" a="1"/>
  <c r="Q1797" i="1" s="1"/>
  <c r="Q1796" i="1" a="1"/>
  <c r="Q1796" i="1" s="1"/>
  <c r="Q1795" i="1" a="1"/>
  <c r="Q1795" i="1" s="1"/>
  <c r="Q1794" i="1" a="1"/>
  <c r="Q1794" i="1" s="1"/>
  <c r="Q1793" i="1" a="1"/>
  <c r="Q1793" i="1" s="1"/>
  <c r="Q1792" i="1" a="1"/>
  <c r="Q1792" i="1" s="1"/>
  <c r="Q1791" i="1" a="1"/>
  <c r="Q1791" i="1" s="1"/>
  <c r="Q1790" i="1" a="1"/>
  <c r="Q1790" i="1" s="1"/>
  <c r="Q1789" i="1" a="1"/>
  <c r="Q1789" i="1" s="1"/>
  <c r="Q1788" i="1" a="1"/>
  <c r="Q1788" i="1" s="1"/>
  <c r="Q1787" i="1" a="1"/>
  <c r="Q1787" i="1" s="1"/>
  <c r="Q1786" i="1" a="1"/>
  <c r="Q1786" i="1" s="1"/>
  <c r="Q1785" i="1" a="1"/>
  <c r="Q1785" i="1" s="1"/>
  <c r="Q1784" i="1" a="1"/>
  <c r="Q1784" i="1" s="1"/>
  <c r="Q1783" i="1" a="1"/>
  <c r="Q1783" i="1" s="1"/>
  <c r="Q1782" i="1" a="1"/>
  <c r="Q1782" i="1" s="1"/>
  <c r="Q1781" i="1" a="1"/>
  <c r="Q1781" i="1" s="1"/>
  <c r="Q1780" i="1" a="1"/>
  <c r="Q1780" i="1" s="1"/>
  <c r="Q1779" i="1" a="1"/>
  <c r="Q1779" i="1" s="1"/>
  <c r="Q1778" i="1" a="1"/>
  <c r="Q1778" i="1" s="1"/>
  <c r="Q1777" i="1" a="1"/>
  <c r="Q1777" i="1" s="1"/>
  <c r="Q1776" i="1" a="1"/>
  <c r="Q1776" i="1" s="1"/>
  <c r="Q1775" i="1" a="1"/>
  <c r="Q1775" i="1" s="1"/>
  <c r="Q1774" i="1" a="1"/>
  <c r="Q1774" i="1" s="1"/>
  <c r="Q1773" i="1" a="1"/>
  <c r="Q1773" i="1" s="1"/>
  <c r="Q1772" i="1" a="1"/>
  <c r="Q1772" i="1" s="1"/>
  <c r="Q1771" i="1" a="1"/>
  <c r="Q1771" i="1" s="1"/>
  <c r="Q1770" i="1" a="1"/>
  <c r="Q1770" i="1" s="1"/>
  <c r="Q1769" i="1" a="1"/>
  <c r="Q1769" i="1" s="1"/>
  <c r="Q1768" i="1" a="1"/>
  <c r="Q1768" i="1" s="1"/>
  <c r="Q1767" i="1" a="1"/>
  <c r="Q1767" i="1" s="1"/>
  <c r="Q1766" i="1" a="1"/>
  <c r="Q1766" i="1" s="1"/>
  <c r="Q1765" i="1" a="1"/>
  <c r="Q1765" i="1" s="1"/>
  <c r="Q1764" i="1" a="1"/>
  <c r="Q1764" i="1" s="1"/>
  <c r="Q1763" i="1" a="1"/>
  <c r="Q1763" i="1" s="1"/>
  <c r="Q1762" i="1" a="1"/>
  <c r="Q1762" i="1" s="1"/>
  <c r="Q1761" i="1" a="1"/>
  <c r="Q1761" i="1" s="1"/>
  <c r="Q1760" i="1" a="1"/>
  <c r="Q1760" i="1" s="1"/>
  <c r="Q1759" i="1" a="1"/>
  <c r="Q1759" i="1" s="1"/>
  <c r="Q1758" i="1" a="1"/>
  <c r="Q1758" i="1" s="1"/>
  <c r="Q1757" i="1" a="1"/>
  <c r="Q1757" i="1" s="1"/>
  <c r="Q1756" i="1" a="1"/>
  <c r="Q1756" i="1" s="1"/>
  <c r="Q1755" i="1" a="1"/>
  <c r="Q1755" i="1" s="1"/>
  <c r="Q1754" i="1" a="1"/>
  <c r="Q1754" i="1" s="1"/>
  <c r="Q1753" i="1" a="1"/>
  <c r="Q1753" i="1" s="1"/>
  <c r="Q1752" i="1" a="1"/>
  <c r="Q1752" i="1" s="1"/>
  <c r="Q1751" i="1" a="1"/>
  <c r="Q1751" i="1" s="1"/>
  <c r="Q1750" i="1" a="1"/>
  <c r="Q1750" i="1" s="1"/>
  <c r="Q1749" i="1" a="1"/>
  <c r="Q1749" i="1" s="1"/>
  <c r="Q1748" i="1" a="1"/>
  <c r="Q1748" i="1" s="1"/>
  <c r="Q1747" i="1" a="1"/>
  <c r="Q1747" i="1" s="1"/>
  <c r="Q1746" i="1" a="1"/>
  <c r="Q1746" i="1" s="1"/>
  <c r="Q1745" i="1" a="1"/>
  <c r="Q1745" i="1" s="1"/>
  <c r="Q1744" i="1" a="1"/>
  <c r="Q1744" i="1" s="1"/>
  <c r="Q1743" i="1" a="1"/>
  <c r="Q1743" i="1" s="1"/>
  <c r="Q1742" i="1" a="1"/>
  <c r="Q1742" i="1" s="1"/>
  <c r="Q1741" i="1" a="1"/>
  <c r="Q1741" i="1" s="1"/>
  <c r="Q1740" i="1" a="1"/>
  <c r="Q1740" i="1" s="1"/>
  <c r="Q1739" i="1" a="1"/>
  <c r="Q1739" i="1" s="1"/>
  <c r="Q1738" i="1" a="1"/>
  <c r="Q1738" i="1" s="1"/>
  <c r="Q1737" i="1" a="1"/>
  <c r="Q1737" i="1" s="1"/>
  <c r="Q1736" i="1" a="1"/>
  <c r="Q1736" i="1" s="1"/>
  <c r="Q1735" i="1" a="1"/>
  <c r="Q1735" i="1" s="1"/>
  <c r="Q1734" i="1" a="1"/>
  <c r="Q1734" i="1" s="1"/>
  <c r="Q1733" i="1" a="1"/>
  <c r="Q1733" i="1" s="1"/>
  <c r="Q1732" i="1" a="1"/>
  <c r="Q1732" i="1" s="1"/>
  <c r="Q1731" i="1" a="1"/>
  <c r="Q1731" i="1" s="1"/>
  <c r="Q1730" i="1" a="1"/>
  <c r="Q1730" i="1" s="1"/>
  <c r="Q1729" i="1" a="1"/>
  <c r="Q1729" i="1" s="1"/>
  <c r="Q1728" i="1" a="1"/>
  <c r="Q1728" i="1" s="1"/>
  <c r="Q1727" i="1" a="1"/>
  <c r="Q1727" i="1" s="1"/>
  <c r="Q1726" i="1" a="1"/>
  <c r="Q1726" i="1" s="1"/>
  <c r="Q1725" i="1" a="1"/>
  <c r="Q1725" i="1" s="1"/>
  <c r="Q1724" i="1" a="1"/>
  <c r="Q1724" i="1" s="1"/>
  <c r="Q1723" i="1" a="1"/>
  <c r="Q1723" i="1" s="1"/>
  <c r="Q1722" i="1" a="1"/>
  <c r="Q1722" i="1" s="1"/>
  <c r="Q1721" i="1" a="1"/>
  <c r="Q1721" i="1" s="1"/>
  <c r="Q1720" i="1" a="1"/>
  <c r="Q1720" i="1" s="1"/>
  <c r="Q1719" i="1" a="1"/>
  <c r="Q1719" i="1" s="1"/>
  <c r="Q1718" i="1" a="1"/>
  <c r="Q1718" i="1" s="1"/>
  <c r="Q1717" i="1" a="1"/>
  <c r="Q1717" i="1" s="1"/>
  <c r="Q1716" i="1" a="1"/>
  <c r="Q1716" i="1" s="1"/>
  <c r="Q1715" i="1" a="1"/>
  <c r="Q1715" i="1" s="1"/>
  <c r="Q1714" i="1" a="1"/>
  <c r="Q1714" i="1" s="1"/>
  <c r="Q1713" i="1" a="1"/>
  <c r="Q1713" i="1" s="1"/>
  <c r="Q1712" i="1" a="1"/>
  <c r="Q1712" i="1" s="1"/>
  <c r="Q1711" i="1" a="1"/>
  <c r="Q1711" i="1" s="1"/>
  <c r="Q1710" i="1" a="1"/>
  <c r="Q1710" i="1" s="1"/>
  <c r="Q1709" i="1" a="1"/>
  <c r="Q1709" i="1" s="1"/>
  <c r="Q1708" i="1" a="1"/>
  <c r="Q1708" i="1" s="1"/>
  <c r="Q1707" i="1" a="1"/>
  <c r="Q1707" i="1" s="1"/>
  <c r="Q1706" i="1" a="1"/>
  <c r="Q1706" i="1" s="1"/>
  <c r="Q1705" i="1" a="1"/>
  <c r="Q1705" i="1" s="1"/>
  <c r="Q1704" i="1" a="1"/>
  <c r="Q1704" i="1" s="1"/>
  <c r="Q1703" i="1" a="1"/>
  <c r="Q1703" i="1" s="1"/>
  <c r="Q1702" i="1" a="1"/>
  <c r="Q1702" i="1" s="1"/>
  <c r="Q1701" i="1" a="1"/>
  <c r="Q1701" i="1" s="1"/>
  <c r="Q1700" i="1" a="1"/>
  <c r="Q1700" i="1" s="1"/>
  <c r="Q1699" i="1" a="1"/>
  <c r="Q1699" i="1" s="1"/>
  <c r="Q1698" i="1" a="1"/>
  <c r="Q1698" i="1" s="1"/>
  <c r="Q1697" i="1" a="1"/>
  <c r="Q1697" i="1" s="1"/>
  <c r="Q1696" i="1" a="1"/>
  <c r="Q1696" i="1" s="1"/>
  <c r="Q1695" i="1" a="1"/>
  <c r="Q1695" i="1" s="1"/>
  <c r="Q1694" i="1" a="1"/>
  <c r="Q1694" i="1" s="1"/>
  <c r="Q1693" i="1" a="1"/>
  <c r="Q1693" i="1" s="1"/>
  <c r="Q1692" i="1" a="1"/>
  <c r="Q1692" i="1" s="1"/>
  <c r="Q1691" i="1" a="1"/>
  <c r="Q1691" i="1" s="1"/>
  <c r="Q1690" i="1" a="1"/>
  <c r="Q1690" i="1" s="1"/>
  <c r="Q1689" i="1" a="1"/>
  <c r="Q1689" i="1" s="1"/>
  <c r="Q1688" i="1" a="1"/>
  <c r="Q1688" i="1" s="1"/>
  <c r="Q1687" i="1" a="1"/>
  <c r="Q1687" i="1" s="1"/>
  <c r="Q1686" i="1" a="1"/>
  <c r="Q1686" i="1" s="1"/>
  <c r="Q1685" i="1" a="1"/>
  <c r="Q1685" i="1" s="1"/>
  <c r="Q1684" i="1" a="1"/>
  <c r="Q1684" i="1" s="1"/>
  <c r="Q1683" i="1" a="1"/>
  <c r="Q1683" i="1" s="1"/>
  <c r="Q1682" i="1" a="1"/>
  <c r="Q1682" i="1" s="1"/>
  <c r="Q1681" i="1" a="1"/>
  <c r="Q1681" i="1" s="1"/>
  <c r="Q1680" i="1" a="1"/>
  <c r="Q1680" i="1" s="1"/>
  <c r="Q1679" i="1" a="1"/>
  <c r="Q1679" i="1" s="1"/>
  <c r="Q1678" i="1" a="1"/>
  <c r="Q1678" i="1" s="1"/>
  <c r="Q1677" i="1" a="1"/>
  <c r="Q1677" i="1" s="1"/>
  <c r="Q1676" i="1" a="1"/>
  <c r="Q1676" i="1" s="1"/>
  <c r="Q1675" i="1" a="1"/>
  <c r="Q1675" i="1" s="1"/>
  <c r="Q1674" i="1" a="1"/>
  <c r="Q1674" i="1" s="1"/>
  <c r="Q1673" i="1" a="1"/>
  <c r="Q1673" i="1" s="1"/>
  <c r="Q1672" i="1" a="1"/>
  <c r="Q1672" i="1" s="1"/>
  <c r="Q1671" i="1" a="1"/>
  <c r="Q1671" i="1" s="1"/>
  <c r="Q1670" i="1" a="1"/>
  <c r="Q1670" i="1" s="1"/>
  <c r="Q1669" i="1" a="1"/>
  <c r="Q1669" i="1" s="1"/>
  <c r="Q1668" i="1" a="1"/>
  <c r="Q1668" i="1" s="1"/>
  <c r="Q1667" i="1" a="1"/>
  <c r="Q1667" i="1" s="1"/>
  <c r="Q1666" i="1" a="1"/>
  <c r="Q1666" i="1" s="1"/>
  <c r="Q1665" i="1" a="1"/>
  <c r="Q1665" i="1" s="1"/>
  <c r="Q1664" i="1" a="1"/>
  <c r="Q1664" i="1" s="1"/>
  <c r="Q1663" i="1" a="1"/>
  <c r="Q1663" i="1" s="1"/>
  <c r="Q1662" i="1" a="1"/>
  <c r="Q1662" i="1" s="1"/>
  <c r="Q1661" i="1" a="1"/>
  <c r="Q1661" i="1" s="1"/>
  <c r="Q1660" i="1" a="1"/>
  <c r="Q1660" i="1" s="1"/>
  <c r="Q1659" i="1" a="1"/>
  <c r="Q1659" i="1" s="1"/>
  <c r="Q1658" i="1" a="1"/>
  <c r="Q1658" i="1" s="1"/>
  <c r="Q1657" i="1" a="1"/>
  <c r="Q1657" i="1" s="1"/>
  <c r="Q1656" i="1" a="1"/>
  <c r="Q1656" i="1" s="1"/>
  <c r="Q1655" i="1" a="1"/>
  <c r="Q1655" i="1" s="1"/>
  <c r="Q1654" i="1" a="1"/>
  <c r="Q1654" i="1" s="1"/>
  <c r="Q1653" i="1" a="1"/>
  <c r="Q1653" i="1" s="1"/>
  <c r="Q1652" i="1" a="1"/>
  <c r="Q1652" i="1" s="1"/>
  <c r="Q1651" i="1" a="1"/>
  <c r="Q1651" i="1" s="1"/>
  <c r="Q1650" i="1" a="1"/>
  <c r="Q1650" i="1" s="1"/>
  <c r="Q1649" i="1" a="1"/>
  <c r="Q1649" i="1" s="1"/>
  <c r="Q1648" i="1" a="1"/>
  <c r="Q1648" i="1" s="1"/>
  <c r="Q1647" i="1" a="1"/>
  <c r="Q1647" i="1" s="1"/>
  <c r="Q1646" i="1" a="1"/>
  <c r="Q1646" i="1" s="1"/>
  <c r="Q1645" i="1" a="1"/>
  <c r="Q1645" i="1" s="1"/>
  <c r="Q1644" i="1" a="1"/>
  <c r="Q1644" i="1" s="1"/>
  <c r="Q1643" i="1" a="1"/>
  <c r="Q1643" i="1" s="1"/>
  <c r="Q1642" i="1" a="1"/>
  <c r="Q1642" i="1" s="1"/>
  <c r="Q1641" i="1" a="1"/>
  <c r="Q1641" i="1" s="1"/>
  <c r="Q1640" i="1" a="1"/>
  <c r="Q1640" i="1" s="1"/>
  <c r="Q1639" i="1" a="1"/>
  <c r="Q1639" i="1" s="1"/>
  <c r="Q1638" i="1" a="1"/>
  <c r="Q1638" i="1" s="1"/>
  <c r="Q1637" i="1" a="1"/>
  <c r="Q1637" i="1" s="1"/>
  <c r="Q1636" i="1" a="1"/>
  <c r="Q1636" i="1" s="1"/>
  <c r="Q1635" i="1" a="1"/>
  <c r="Q1635" i="1" s="1"/>
  <c r="Q1634" i="1" a="1"/>
  <c r="Q1634" i="1" s="1"/>
  <c r="Q1633" i="1" a="1"/>
  <c r="Q1633" i="1" s="1"/>
  <c r="Q1632" i="1" a="1"/>
  <c r="Q1632" i="1" s="1"/>
  <c r="Q1631" i="1" a="1"/>
  <c r="Q1631" i="1" s="1"/>
  <c r="Q1630" i="1" a="1"/>
  <c r="Q1630" i="1" s="1"/>
  <c r="Q1629" i="1" a="1"/>
  <c r="Q1629" i="1" s="1"/>
  <c r="Q1628" i="1" a="1"/>
  <c r="Q1628" i="1" s="1"/>
  <c r="Q1627" i="1" a="1"/>
  <c r="Q1627" i="1" s="1"/>
  <c r="Q1626" i="1" a="1"/>
  <c r="Q1626" i="1" s="1"/>
  <c r="Q1625" i="1" a="1"/>
  <c r="Q1625" i="1" s="1"/>
  <c r="Q1624" i="1" a="1"/>
  <c r="Q1624" i="1" s="1"/>
  <c r="Q1623" i="1" a="1"/>
  <c r="Q1623" i="1" s="1"/>
  <c r="Q1622" i="1" a="1"/>
  <c r="Q1622" i="1" s="1"/>
  <c r="Q1621" i="1" a="1"/>
  <c r="Q1621" i="1" s="1"/>
  <c r="Q1620" i="1" a="1"/>
  <c r="Q1620" i="1" s="1"/>
  <c r="Q1619" i="1" a="1"/>
  <c r="Q1619" i="1" s="1"/>
  <c r="Q1618" i="1" a="1"/>
  <c r="Q1618" i="1" s="1"/>
  <c r="Q1617" i="1" a="1"/>
  <c r="Q1617" i="1" s="1"/>
  <c r="Q1616" i="1" a="1"/>
  <c r="Q1616" i="1" s="1"/>
  <c r="Q1615" i="1" a="1"/>
  <c r="Q1615" i="1" s="1"/>
  <c r="Q1614" i="1" a="1"/>
  <c r="Q1614" i="1" s="1"/>
  <c r="Q1613" i="1" a="1"/>
  <c r="Q1613" i="1" s="1"/>
  <c r="Q1612" i="1" a="1"/>
  <c r="Q1612" i="1" s="1"/>
  <c r="Q1611" i="1" a="1"/>
  <c r="Q1611" i="1" s="1"/>
  <c r="Q1610" i="1" a="1"/>
  <c r="Q1610" i="1" s="1"/>
  <c r="Q1609" i="1" a="1"/>
  <c r="Q1609" i="1" s="1"/>
  <c r="Q1608" i="1" a="1"/>
  <c r="Q1608" i="1" s="1"/>
  <c r="Q1607" i="1" a="1"/>
  <c r="Q1607" i="1" s="1"/>
  <c r="Q1606" i="1" a="1"/>
  <c r="Q1606" i="1" s="1"/>
  <c r="Q1605" i="1" a="1"/>
  <c r="Q1605" i="1" s="1"/>
  <c r="Q1604" i="1" a="1"/>
  <c r="Q1604" i="1" s="1"/>
  <c r="Q1603" i="1" a="1"/>
  <c r="Q1603" i="1" s="1"/>
  <c r="Q1602" i="1" a="1"/>
  <c r="Q1602" i="1" s="1"/>
  <c r="Q1601" i="1" a="1"/>
  <c r="Q1601" i="1" s="1"/>
  <c r="Q1600" i="1" a="1"/>
  <c r="Q1600" i="1" s="1"/>
  <c r="Q1599" i="1" a="1"/>
  <c r="Q1599" i="1" s="1"/>
  <c r="Q1598" i="1" a="1"/>
  <c r="Q1598" i="1" s="1"/>
  <c r="Q1597" i="1" a="1"/>
  <c r="Q1597" i="1" s="1"/>
  <c r="Q1596" i="1" a="1"/>
  <c r="Q1596" i="1" s="1"/>
  <c r="Q1595" i="1" a="1"/>
  <c r="Q1595" i="1" s="1"/>
  <c r="Q1594" i="1" a="1"/>
  <c r="Q1594" i="1" s="1"/>
  <c r="Q1593" i="1" a="1"/>
  <c r="Q1593" i="1" s="1"/>
  <c r="Q1592" i="1" a="1"/>
  <c r="Q1592" i="1" s="1"/>
  <c r="Q1591" i="1" a="1"/>
  <c r="Q1591" i="1" s="1"/>
  <c r="Q1590" i="1" a="1"/>
  <c r="Q1590" i="1" s="1"/>
  <c r="Q1589" i="1" a="1"/>
  <c r="Q1589" i="1" s="1"/>
  <c r="Q1588" i="1" a="1"/>
  <c r="Q1588" i="1" s="1"/>
  <c r="Q1587" i="1" a="1"/>
  <c r="Q1587" i="1" s="1"/>
  <c r="Q1586" i="1" a="1"/>
  <c r="Q1586" i="1" s="1"/>
  <c r="Q1585" i="1" a="1"/>
  <c r="Q1585" i="1" s="1"/>
  <c r="Q1584" i="1" a="1"/>
  <c r="Q1584" i="1" s="1"/>
  <c r="Q1583" i="1" a="1"/>
  <c r="Q1583" i="1" s="1"/>
  <c r="Q1582" i="1" a="1"/>
  <c r="Q1582" i="1" s="1"/>
  <c r="Q1581" i="1" a="1"/>
  <c r="Q1581" i="1" s="1"/>
  <c r="Q1580" i="1" a="1"/>
  <c r="Q1580" i="1" s="1"/>
  <c r="Q1579" i="1" a="1"/>
  <c r="Q1579" i="1" s="1"/>
  <c r="Q1578" i="1" a="1"/>
  <c r="Q1578" i="1" s="1"/>
  <c r="Q1577" i="1" a="1"/>
  <c r="Q1577" i="1" s="1"/>
  <c r="Q1576" i="1" a="1"/>
  <c r="Q1576" i="1" s="1"/>
  <c r="Q1575" i="1" a="1"/>
  <c r="Q1575" i="1" s="1"/>
  <c r="Q1574" i="1" a="1"/>
  <c r="Q1574" i="1" s="1"/>
  <c r="Q1573" i="1" a="1"/>
  <c r="Q1573" i="1" s="1"/>
  <c r="Q1572" i="1" a="1"/>
  <c r="Q1572" i="1" s="1"/>
  <c r="Q1571" i="1" a="1"/>
  <c r="Q1571" i="1" s="1"/>
  <c r="Q1570" i="1" a="1"/>
  <c r="Q1570" i="1" s="1"/>
  <c r="Q1569" i="1" a="1"/>
  <c r="Q1569" i="1" s="1"/>
  <c r="Q1568" i="1" a="1"/>
  <c r="Q1568" i="1" s="1"/>
  <c r="Q1567" i="1" a="1"/>
  <c r="Q1567" i="1" s="1"/>
  <c r="Q1566" i="1" a="1"/>
  <c r="Q1566" i="1" s="1"/>
  <c r="Q1565" i="1" a="1"/>
  <c r="Q1565" i="1" s="1"/>
  <c r="Q1564" i="1" a="1"/>
  <c r="Q1564" i="1" s="1"/>
  <c r="Q1563" i="1" a="1"/>
  <c r="Q1563" i="1" s="1"/>
  <c r="Q1562" i="1" a="1"/>
  <c r="Q1562" i="1" s="1"/>
  <c r="Q1561" i="1" a="1"/>
  <c r="Q1561" i="1" s="1"/>
  <c r="Q1560" i="1" a="1"/>
  <c r="Q1560" i="1" s="1"/>
  <c r="Q1559" i="1" a="1"/>
  <c r="Q1559" i="1" s="1"/>
  <c r="Q1558" i="1" a="1"/>
  <c r="Q1558" i="1" s="1"/>
  <c r="Q1557" i="1" a="1"/>
  <c r="Q1557" i="1" s="1"/>
  <c r="Q1556" i="1" a="1"/>
  <c r="Q1556" i="1" s="1"/>
  <c r="Q1555" i="1" a="1"/>
  <c r="Q1555" i="1" s="1"/>
  <c r="Q1554" i="1" a="1"/>
  <c r="Q1554" i="1" s="1"/>
  <c r="Q1553" i="1" a="1"/>
  <c r="Q1553" i="1" s="1"/>
  <c r="Q1552" i="1" a="1"/>
  <c r="Q1552" i="1" s="1"/>
  <c r="Q1551" i="1" a="1"/>
  <c r="Q1551" i="1" s="1"/>
  <c r="Q1550" i="1" a="1"/>
  <c r="Q1550" i="1" s="1"/>
  <c r="Q1549" i="1" a="1"/>
  <c r="Q1549" i="1" s="1"/>
  <c r="Q1548" i="1" a="1"/>
  <c r="Q1548" i="1" s="1"/>
  <c r="Q1547" i="1" a="1"/>
  <c r="Q1547" i="1" s="1"/>
  <c r="Q1546" i="1" a="1"/>
  <c r="Q1546" i="1" s="1"/>
  <c r="Q1545" i="1" a="1"/>
  <c r="Q1545" i="1" s="1"/>
  <c r="Q1544" i="1" a="1"/>
  <c r="Q1544" i="1" s="1"/>
  <c r="Q1543" i="1" a="1"/>
  <c r="Q1543" i="1" s="1"/>
  <c r="Q1542" i="1" a="1"/>
  <c r="Q1542" i="1" s="1"/>
  <c r="Q1541" i="1" a="1"/>
  <c r="Q1541" i="1" s="1"/>
  <c r="Q1540" i="1" a="1"/>
  <c r="Q1540" i="1" s="1"/>
  <c r="Q1539" i="1" a="1"/>
  <c r="Q1539" i="1" s="1"/>
  <c r="Q1538" i="1" a="1"/>
  <c r="Q1538" i="1" s="1"/>
  <c r="Q1537" i="1" a="1"/>
  <c r="Q1537" i="1" s="1"/>
  <c r="Q1536" i="1" a="1"/>
  <c r="Q1536" i="1" s="1"/>
  <c r="Q1535" i="1" a="1"/>
  <c r="Q1535" i="1" s="1"/>
  <c r="Q1534" i="1" a="1"/>
  <c r="Q1534" i="1" s="1"/>
  <c r="Q1533" i="1" a="1"/>
  <c r="Q1533" i="1" s="1"/>
  <c r="Q1532" i="1" a="1"/>
  <c r="Q1532" i="1" s="1"/>
  <c r="Q1531" i="1" a="1"/>
  <c r="Q1531" i="1" s="1"/>
  <c r="Q1530" i="1" a="1"/>
  <c r="Q1530" i="1" s="1"/>
  <c r="Q1529" i="1" a="1"/>
  <c r="Q1529" i="1" s="1"/>
  <c r="Q1528" i="1" a="1"/>
  <c r="Q1528" i="1" s="1"/>
  <c r="Q1527" i="1" a="1"/>
  <c r="Q1527" i="1" s="1"/>
  <c r="Q1526" i="1" a="1"/>
  <c r="Q1526" i="1" s="1"/>
  <c r="Q1525" i="1" a="1"/>
  <c r="Q1525" i="1" s="1"/>
  <c r="Q1524" i="1" a="1"/>
  <c r="Q1524" i="1" s="1"/>
  <c r="Q1523" i="1" a="1"/>
  <c r="Q1523" i="1" s="1"/>
  <c r="Q1522" i="1" a="1"/>
  <c r="Q1522" i="1" s="1"/>
  <c r="Q1521" i="1" a="1"/>
  <c r="Q1521" i="1" s="1"/>
  <c r="Q1520" i="1" a="1"/>
  <c r="Q1520" i="1" s="1"/>
  <c r="Q1519" i="1" a="1"/>
  <c r="Q1519" i="1" s="1"/>
  <c r="Q1518" i="1" a="1"/>
  <c r="Q1518" i="1" s="1"/>
  <c r="Q1517" i="1" a="1"/>
  <c r="Q1517" i="1" s="1"/>
  <c r="Q1516" i="1" a="1"/>
  <c r="Q1516" i="1" s="1"/>
  <c r="Q1515" i="1" a="1"/>
  <c r="Q1515" i="1" s="1"/>
  <c r="Q1514" i="1" a="1"/>
  <c r="Q1514" i="1" s="1"/>
  <c r="Q1513" i="1" a="1"/>
  <c r="Q1513" i="1" s="1"/>
  <c r="Q1512" i="1" a="1"/>
  <c r="Q1512" i="1" s="1"/>
  <c r="Q1511" i="1" a="1"/>
  <c r="Q1511" i="1" s="1"/>
  <c r="Q1510" i="1" a="1"/>
  <c r="Q1510" i="1" s="1"/>
  <c r="Q1509" i="1" a="1"/>
  <c r="Q1509" i="1" s="1"/>
  <c r="Q1508" i="1" a="1"/>
  <c r="Q1508" i="1" s="1"/>
  <c r="Q1507" i="1" a="1"/>
  <c r="Q1507" i="1" s="1"/>
  <c r="Q1506" i="1" a="1"/>
  <c r="Q1506" i="1" s="1"/>
  <c r="Q1505" i="1" a="1"/>
  <c r="Q1505" i="1" s="1"/>
  <c r="Q1504" i="1" a="1"/>
  <c r="Q1504" i="1" s="1"/>
  <c r="Q1503" i="1" a="1"/>
  <c r="Q1503" i="1" s="1"/>
  <c r="Q1502" i="1" a="1"/>
  <c r="Q1502" i="1" s="1"/>
  <c r="Q1501" i="1" a="1"/>
  <c r="Q1501" i="1" s="1"/>
  <c r="Q1500" i="1" a="1"/>
  <c r="Q1500" i="1" s="1"/>
  <c r="Q1499" i="1" a="1"/>
  <c r="Q1499" i="1" s="1"/>
  <c r="Q1498" i="1" a="1"/>
  <c r="Q1498" i="1" s="1"/>
  <c r="Q1497" i="1" a="1"/>
  <c r="Q1497" i="1" s="1"/>
  <c r="Q1496" i="1" a="1"/>
  <c r="Q1496" i="1" s="1"/>
  <c r="Q1495" i="1" a="1"/>
  <c r="Q1495" i="1" s="1"/>
  <c r="Q1494" i="1" a="1"/>
  <c r="Q1494" i="1" s="1"/>
  <c r="Q1493" i="1" a="1"/>
  <c r="Q1493" i="1" s="1"/>
  <c r="Q1492" i="1" a="1"/>
  <c r="Q1492" i="1" s="1"/>
  <c r="Q1491" i="1" a="1"/>
  <c r="Q1491" i="1" s="1"/>
  <c r="Q1490" i="1" a="1"/>
  <c r="Q1490" i="1" s="1"/>
  <c r="Q1489" i="1" a="1"/>
  <c r="Q1489" i="1" s="1"/>
  <c r="Q1488" i="1" a="1"/>
  <c r="Q1488" i="1" s="1"/>
  <c r="Q1487" i="1" a="1"/>
  <c r="Q1487" i="1" s="1"/>
  <c r="Q1486" i="1" a="1"/>
  <c r="Q1486" i="1" s="1"/>
  <c r="Q1485" i="1" a="1"/>
  <c r="Q1485" i="1" s="1"/>
  <c r="Q1484" i="1" a="1"/>
  <c r="Q1484" i="1" s="1"/>
  <c r="Q1483" i="1" a="1"/>
  <c r="Q1483" i="1" s="1"/>
  <c r="Q1482" i="1" a="1"/>
  <c r="Q1482" i="1" s="1"/>
  <c r="Q1481" i="1" a="1"/>
  <c r="Q1481" i="1" s="1"/>
  <c r="Q1480" i="1" a="1"/>
  <c r="Q1480" i="1" s="1"/>
  <c r="Q1479" i="1" a="1"/>
  <c r="Q1479" i="1" s="1"/>
  <c r="Q1478" i="1" a="1"/>
  <c r="Q1478" i="1" s="1"/>
  <c r="Q1477" i="1" a="1"/>
  <c r="Q1477" i="1" s="1"/>
  <c r="Q1476" i="1" a="1"/>
  <c r="Q1476" i="1" s="1"/>
  <c r="Q1475" i="1" a="1"/>
  <c r="Q1475" i="1" s="1"/>
  <c r="Q1474" i="1" a="1"/>
  <c r="Q1474" i="1" s="1"/>
  <c r="Q1473" i="1" a="1"/>
  <c r="Q1473" i="1" s="1"/>
  <c r="Q1472" i="1" a="1"/>
  <c r="Q1472" i="1" s="1"/>
  <c r="Q1471" i="1" a="1"/>
  <c r="Q1471" i="1" s="1"/>
  <c r="Q1470" i="1" a="1"/>
  <c r="Q1470" i="1" s="1"/>
  <c r="Q1469" i="1" a="1"/>
  <c r="Q1469" i="1" s="1"/>
  <c r="Q1468" i="1" a="1"/>
  <c r="Q1468" i="1" s="1"/>
  <c r="Q1467" i="1" a="1"/>
  <c r="Q1467" i="1" s="1"/>
  <c r="Q1466" i="1" a="1"/>
  <c r="Q1466" i="1" s="1"/>
  <c r="Q1465" i="1" a="1"/>
  <c r="Q1465" i="1" s="1"/>
  <c r="Q1464" i="1" a="1"/>
  <c r="Q1464" i="1" s="1"/>
  <c r="Q1463" i="1" a="1"/>
  <c r="Q1463" i="1" s="1"/>
  <c r="Q1462" i="1" a="1"/>
  <c r="Q1462" i="1" s="1"/>
  <c r="Q1461" i="1" a="1"/>
  <c r="Q1461" i="1" s="1"/>
  <c r="Q1460" i="1" a="1"/>
  <c r="Q1460" i="1" s="1"/>
  <c r="Q1459" i="1" a="1"/>
  <c r="Q1459" i="1" s="1"/>
  <c r="Q1458" i="1" a="1"/>
  <c r="Q1458" i="1" s="1"/>
  <c r="Q1457" i="1" a="1"/>
  <c r="Q1457" i="1" s="1"/>
  <c r="Q1456" i="1" a="1"/>
  <c r="Q1456" i="1" s="1"/>
  <c r="Q1455" i="1" a="1"/>
  <c r="Q1455" i="1" s="1"/>
  <c r="Q1454" i="1" a="1"/>
  <c r="Q1454" i="1" s="1"/>
  <c r="Q1453" i="1" a="1"/>
  <c r="Q1453" i="1" s="1"/>
  <c r="Q1452" i="1" a="1"/>
  <c r="Q1452" i="1" s="1"/>
  <c r="Q1451" i="1" a="1"/>
  <c r="Q1451" i="1" s="1"/>
  <c r="Q1450" i="1" a="1"/>
  <c r="Q1450" i="1" s="1"/>
  <c r="Q1449" i="1" a="1"/>
  <c r="Q1449" i="1" s="1"/>
  <c r="Q1448" i="1" a="1"/>
  <c r="Q1448" i="1" s="1"/>
  <c r="Q1447" i="1" a="1"/>
  <c r="Q1447" i="1" s="1"/>
  <c r="Q1446" i="1" a="1"/>
  <c r="Q1446" i="1" s="1"/>
  <c r="Q1445" i="1" a="1"/>
  <c r="Q1445" i="1" s="1"/>
  <c r="Q1444" i="1" a="1"/>
  <c r="Q1444" i="1" s="1"/>
  <c r="Q1443" i="1" a="1"/>
  <c r="Q1443" i="1" s="1"/>
  <c r="Q1442" i="1" a="1"/>
  <c r="Q1442" i="1" s="1"/>
  <c r="Q1441" i="1" a="1"/>
  <c r="Q1441" i="1" s="1"/>
  <c r="Q1440" i="1" a="1"/>
  <c r="Q1440" i="1" s="1"/>
  <c r="Q1439" i="1" a="1"/>
  <c r="Q1439" i="1" s="1"/>
  <c r="Q1438" i="1" a="1"/>
  <c r="Q1438" i="1" s="1"/>
  <c r="Q1437" i="1" a="1"/>
  <c r="Q1437" i="1" s="1"/>
  <c r="Q1436" i="1" a="1"/>
  <c r="Q1436" i="1" s="1"/>
  <c r="Q1435" i="1" a="1"/>
  <c r="Q1435" i="1" s="1"/>
  <c r="Q1434" i="1" a="1"/>
  <c r="Q1434" i="1" s="1"/>
  <c r="Q1433" i="1" a="1"/>
  <c r="Q1433" i="1" s="1"/>
  <c r="Q1432" i="1" a="1"/>
  <c r="Q1432" i="1" s="1"/>
  <c r="Q1431" i="1" a="1"/>
  <c r="Q1431" i="1" s="1"/>
  <c r="Q1430" i="1" a="1"/>
  <c r="Q1430" i="1" s="1"/>
  <c r="Q1429" i="1" a="1"/>
  <c r="Q1429" i="1" s="1"/>
  <c r="Q1428" i="1" a="1"/>
  <c r="Q1428" i="1" s="1"/>
  <c r="Q1427" i="1" a="1"/>
  <c r="Q1427" i="1" s="1"/>
  <c r="Q1426" i="1" a="1"/>
  <c r="Q1426" i="1" s="1"/>
  <c r="Q1425" i="1" a="1"/>
  <c r="Q1425" i="1" s="1"/>
  <c r="Q1424" i="1" a="1"/>
  <c r="Q1424" i="1" s="1"/>
  <c r="Q1423" i="1" a="1"/>
  <c r="Q1423" i="1" s="1"/>
  <c r="Q1422" i="1" a="1"/>
  <c r="Q1422" i="1" s="1"/>
  <c r="Q1421" i="1" a="1"/>
  <c r="Q1421" i="1" s="1"/>
  <c r="Q1420" i="1" a="1"/>
  <c r="Q1420" i="1" s="1"/>
  <c r="Q1419" i="1" a="1"/>
  <c r="Q1419" i="1" s="1"/>
  <c r="Q1418" i="1" a="1"/>
  <c r="Q1418" i="1" s="1"/>
  <c r="Q1417" i="1" a="1"/>
  <c r="Q1417" i="1" s="1"/>
  <c r="Q1416" i="1" a="1"/>
  <c r="Q1416" i="1" s="1"/>
  <c r="Q1415" i="1" a="1"/>
  <c r="Q1415" i="1" s="1"/>
  <c r="Q1414" i="1" a="1"/>
  <c r="Q1414" i="1" s="1"/>
  <c r="Q1413" i="1" a="1"/>
  <c r="Q1413" i="1" s="1"/>
  <c r="Q1412" i="1" a="1"/>
  <c r="Q1412" i="1" s="1"/>
  <c r="Q1411" i="1" a="1"/>
  <c r="Q1411" i="1" s="1"/>
  <c r="Q1410" i="1" a="1"/>
  <c r="Q1410" i="1" s="1"/>
  <c r="Q1409" i="1" a="1"/>
  <c r="Q1409" i="1" s="1"/>
  <c r="Q1408" i="1" a="1"/>
  <c r="Q1408" i="1" s="1"/>
  <c r="Q1407" i="1" a="1"/>
  <c r="Q1407" i="1" s="1"/>
  <c r="Q1406" i="1" a="1"/>
  <c r="Q1406" i="1" s="1"/>
  <c r="Q1405" i="1" a="1"/>
  <c r="Q1405" i="1" s="1"/>
  <c r="Q1404" i="1" a="1"/>
  <c r="Q1404" i="1" s="1"/>
  <c r="Q1403" i="1" a="1"/>
  <c r="Q1403" i="1" s="1"/>
  <c r="Q1402" i="1" a="1"/>
  <c r="Q1402" i="1" s="1"/>
  <c r="Q1401" i="1" a="1"/>
  <c r="Q1401" i="1" s="1"/>
  <c r="Q1400" i="1" a="1"/>
  <c r="Q1400" i="1" s="1"/>
  <c r="Q1399" i="1" a="1"/>
  <c r="Q1399" i="1" s="1"/>
  <c r="Q1398" i="1" a="1"/>
  <c r="Q1398" i="1" s="1"/>
  <c r="Q1397" i="1" a="1"/>
  <c r="Q1397" i="1" s="1"/>
  <c r="Q1396" i="1" a="1"/>
  <c r="Q1396" i="1" s="1"/>
  <c r="Q1395" i="1" a="1"/>
  <c r="Q1395" i="1" s="1"/>
  <c r="Q1394" i="1" a="1"/>
  <c r="Q1394" i="1" s="1"/>
  <c r="Q1393" i="1" a="1"/>
  <c r="Q1393" i="1" s="1"/>
  <c r="Q1392" i="1" a="1"/>
  <c r="Q1392" i="1" s="1"/>
  <c r="Q1391" i="1" a="1"/>
  <c r="Q1391" i="1" s="1"/>
  <c r="Q1390" i="1" a="1"/>
  <c r="Q1390" i="1" s="1"/>
  <c r="Q1389" i="1" a="1"/>
  <c r="Q1389" i="1" s="1"/>
  <c r="Q1388" i="1" a="1"/>
  <c r="Q1388" i="1" s="1"/>
  <c r="Q1387" i="1" a="1"/>
  <c r="Q1387" i="1" s="1"/>
  <c r="Q1386" i="1" a="1"/>
  <c r="Q1386" i="1" s="1"/>
  <c r="Q1385" i="1" a="1"/>
  <c r="Q1385" i="1" s="1"/>
  <c r="Q1384" i="1" a="1"/>
  <c r="Q1384" i="1" s="1"/>
  <c r="Q1383" i="1" a="1"/>
  <c r="Q1383" i="1" s="1"/>
  <c r="Q1382" i="1" a="1"/>
  <c r="Q1382" i="1" s="1"/>
  <c r="Q1381" i="1" a="1"/>
  <c r="Q1381" i="1" s="1"/>
  <c r="Q1380" i="1" a="1"/>
  <c r="Q1380" i="1" s="1"/>
  <c r="Q1379" i="1" a="1"/>
  <c r="Q1379" i="1" s="1"/>
  <c r="Q1378" i="1" a="1"/>
  <c r="Q1378" i="1" s="1"/>
  <c r="Q1377" i="1" a="1"/>
  <c r="Q1377" i="1" s="1"/>
  <c r="Q1376" i="1" a="1"/>
  <c r="Q1376" i="1" s="1"/>
  <c r="Q1375" i="1" a="1"/>
  <c r="Q1375" i="1" s="1"/>
  <c r="Q1374" i="1" a="1"/>
  <c r="Q1374" i="1" s="1"/>
  <c r="Q1373" i="1" a="1"/>
  <c r="Q1373" i="1" s="1"/>
  <c r="Q1372" i="1" a="1"/>
  <c r="Q1372" i="1" s="1"/>
  <c r="Q1371" i="1" a="1"/>
  <c r="Q1371" i="1" s="1"/>
  <c r="Q1370" i="1" a="1"/>
  <c r="Q1370" i="1" s="1"/>
  <c r="Q1369" i="1" a="1"/>
  <c r="Q1369" i="1" s="1"/>
  <c r="Q1368" i="1" a="1"/>
  <c r="Q1368" i="1" s="1"/>
  <c r="Q1367" i="1" a="1"/>
  <c r="Q1367" i="1" s="1"/>
  <c r="Q1366" i="1" a="1"/>
  <c r="Q1366" i="1" s="1"/>
  <c r="Q1365" i="1" a="1"/>
  <c r="Q1365" i="1" s="1"/>
  <c r="Q1364" i="1" a="1"/>
  <c r="Q1364" i="1" s="1"/>
  <c r="Q1363" i="1" a="1"/>
  <c r="Q1363" i="1" s="1"/>
  <c r="Q1362" i="1" a="1"/>
  <c r="Q1362" i="1" s="1"/>
  <c r="Q1361" i="1" a="1"/>
  <c r="Q1361" i="1" s="1"/>
  <c r="Q1360" i="1" a="1"/>
  <c r="Q1360" i="1" s="1"/>
  <c r="Q1359" i="1" a="1"/>
  <c r="Q1359" i="1" s="1"/>
  <c r="Q1358" i="1" a="1"/>
  <c r="Q1358" i="1" s="1"/>
  <c r="Q1357" i="1" a="1"/>
  <c r="Q1357" i="1" s="1"/>
  <c r="Q1356" i="1" a="1"/>
  <c r="Q1356" i="1" s="1"/>
  <c r="Q1355" i="1" a="1"/>
  <c r="Q1355" i="1" s="1"/>
  <c r="Q1354" i="1" a="1"/>
  <c r="Q1354" i="1" s="1"/>
  <c r="Q1353" i="1" a="1"/>
  <c r="Q1353" i="1" s="1"/>
  <c r="Q1352" i="1" a="1"/>
  <c r="Q1352" i="1" s="1"/>
  <c r="Q1351" i="1" a="1"/>
  <c r="Q1351" i="1" s="1"/>
  <c r="Q1350" i="1" a="1"/>
  <c r="Q1350" i="1" s="1"/>
  <c r="Q1349" i="1" a="1"/>
  <c r="Q1349" i="1" s="1"/>
  <c r="Q1348" i="1" a="1"/>
  <c r="Q1348" i="1" s="1"/>
  <c r="Q1347" i="1" a="1"/>
  <c r="Q1347" i="1" s="1"/>
  <c r="Q1346" i="1" a="1"/>
  <c r="Q1346" i="1" s="1"/>
  <c r="Q1345" i="1" a="1"/>
  <c r="Q1345" i="1" s="1"/>
  <c r="Q1344" i="1" a="1"/>
  <c r="Q1344" i="1" s="1"/>
  <c r="Q1343" i="1" a="1"/>
  <c r="Q1343" i="1" s="1"/>
  <c r="Q1342" i="1" a="1"/>
  <c r="Q1342" i="1" s="1"/>
  <c r="Q1341" i="1" a="1"/>
  <c r="Q1341" i="1" s="1"/>
  <c r="Q1340" i="1" a="1"/>
  <c r="Q1340" i="1" s="1"/>
  <c r="Q1339" i="1" a="1"/>
  <c r="Q1339" i="1" s="1"/>
  <c r="Q1338" i="1" a="1"/>
  <c r="Q1338" i="1" s="1"/>
  <c r="Q1337" i="1" a="1"/>
  <c r="Q1337" i="1" s="1"/>
  <c r="Q1336" i="1" a="1"/>
  <c r="Q1336" i="1" s="1"/>
  <c r="Q1335" i="1" a="1"/>
  <c r="Q1335" i="1" s="1"/>
  <c r="Q1334" i="1" a="1"/>
  <c r="Q1334" i="1" s="1"/>
  <c r="Q1333" i="1" a="1"/>
  <c r="Q1333" i="1" s="1"/>
  <c r="Q1332" i="1" a="1"/>
  <c r="Q1332" i="1" s="1"/>
  <c r="Q1331" i="1" a="1"/>
  <c r="Q1331" i="1" s="1"/>
  <c r="Q1330" i="1" a="1"/>
  <c r="Q1330" i="1" s="1"/>
  <c r="Q1329" i="1" a="1"/>
  <c r="Q1329" i="1" s="1"/>
  <c r="Q1328" i="1" a="1"/>
  <c r="Q1328" i="1" s="1"/>
  <c r="Q1327" i="1" a="1"/>
  <c r="Q1327" i="1" s="1"/>
  <c r="Q1326" i="1" a="1"/>
  <c r="Q1326" i="1" s="1"/>
  <c r="Q1325" i="1" a="1"/>
  <c r="Q1325" i="1" s="1"/>
  <c r="Q1324" i="1" a="1"/>
  <c r="Q1324" i="1" s="1"/>
  <c r="Q1323" i="1" a="1"/>
  <c r="Q1323" i="1" s="1"/>
  <c r="Q1322" i="1" a="1"/>
  <c r="Q1322" i="1" s="1"/>
  <c r="Q1321" i="1" a="1"/>
  <c r="Q1321" i="1" s="1"/>
  <c r="Q1320" i="1" a="1"/>
  <c r="Q1320" i="1" s="1"/>
  <c r="Q1319" i="1" a="1"/>
  <c r="Q1319" i="1" s="1"/>
  <c r="Q1318" i="1" a="1"/>
  <c r="Q1318" i="1" s="1"/>
  <c r="Q1317" i="1" a="1"/>
  <c r="Q1317" i="1" s="1"/>
  <c r="Q1316" i="1" a="1"/>
  <c r="Q1316" i="1" s="1"/>
  <c r="Q1315" i="1" a="1"/>
  <c r="Q1315" i="1" s="1"/>
  <c r="Q1314" i="1" a="1"/>
  <c r="Q1314" i="1" s="1"/>
  <c r="Q1313" i="1" a="1"/>
  <c r="Q1313" i="1" s="1"/>
  <c r="Q1312" i="1" a="1"/>
  <c r="Q1312" i="1" s="1"/>
  <c r="Q1311" i="1" a="1"/>
  <c r="Q1311" i="1" s="1"/>
  <c r="Q1310" i="1" a="1"/>
  <c r="Q1310" i="1" s="1"/>
  <c r="Q1309" i="1" a="1"/>
  <c r="Q1309" i="1" s="1"/>
  <c r="Q1308" i="1" a="1"/>
  <c r="Q1308" i="1" s="1"/>
  <c r="Q1307" i="1" a="1"/>
  <c r="Q1307" i="1" s="1"/>
  <c r="Q1306" i="1" a="1"/>
  <c r="Q1306" i="1" s="1"/>
  <c r="Q1305" i="1" a="1"/>
  <c r="Q1305" i="1" s="1"/>
  <c r="Q1304" i="1" a="1"/>
  <c r="Q1304" i="1" s="1"/>
  <c r="Q1303" i="1" a="1"/>
  <c r="Q1303" i="1" s="1"/>
  <c r="Q1302" i="1" a="1"/>
  <c r="Q1302" i="1" s="1"/>
  <c r="Q1301" i="1" a="1"/>
  <c r="Q1301" i="1" s="1"/>
  <c r="Q1300" i="1" a="1"/>
  <c r="Q1300" i="1" s="1"/>
  <c r="Q1299" i="1" a="1"/>
  <c r="Q1299" i="1" s="1"/>
  <c r="Q1298" i="1" a="1"/>
  <c r="Q1298" i="1" s="1"/>
  <c r="Q1297" i="1" a="1"/>
  <c r="Q1297" i="1" s="1"/>
  <c r="Q1296" i="1" a="1"/>
  <c r="Q1296" i="1" s="1"/>
  <c r="Q1295" i="1" a="1"/>
  <c r="Q1295" i="1" s="1"/>
  <c r="Q1294" i="1" a="1"/>
  <c r="Q1294" i="1" s="1"/>
  <c r="Q1293" i="1" a="1"/>
  <c r="Q1293" i="1" s="1"/>
  <c r="Q1292" i="1" a="1"/>
  <c r="Q1292" i="1" s="1"/>
  <c r="Q1291" i="1" a="1"/>
  <c r="Q1291" i="1" s="1"/>
  <c r="Q1290" i="1" a="1"/>
  <c r="Q1290" i="1" s="1"/>
  <c r="Q1289" i="1" a="1"/>
  <c r="Q1289" i="1" s="1"/>
  <c r="Q1288" i="1" a="1"/>
  <c r="Q1288" i="1" s="1"/>
  <c r="Q1287" i="1" a="1"/>
  <c r="Q1287" i="1" s="1"/>
  <c r="Q1286" i="1" a="1"/>
  <c r="Q1286" i="1" s="1"/>
  <c r="Q1285" i="1" a="1"/>
  <c r="Q1285" i="1" s="1"/>
  <c r="Q1284" i="1" a="1"/>
  <c r="Q1284" i="1" s="1"/>
  <c r="Q1283" i="1" a="1"/>
  <c r="Q1283" i="1" s="1"/>
  <c r="Q1282" i="1" a="1"/>
  <c r="Q1282" i="1" s="1"/>
  <c r="Q1281" i="1" a="1"/>
  <c r="Q1281" i="1" s="1"/>
  <c r="Q1280" i="1" a="1"/>
  <c r="Q1280" i="1" s="1"/>
  <c r="Q1279" i="1" a="1"/>
  <c r="Q1279" i="1" s="1"/>
  <c r="Q1278" i="1" a="1"/>
  <c r="Q1278" i="1" s="1"/>
  <c r="Q1277" i="1" a="1"/>
  <c r="Q1277" i="1" s="1"/>
  <c r="Q1276" i="1" a="1"/>
  <c r="Q1276" i="1" s="1"/>
  <c r="Q1275" i="1" a="1"/>
  <c r="Q1275" i="1" s="1"/>
  <c r="Q1274" i="1" a="1"/>
  <c r="Q1274" i="1" s="1"/>
  <c r="Q1273" i="1" a="1"/>
  <c r="Q1273" i="1" s="1"/>
  <c r="Q1272" i="1" a="1"/>
  <c r="Q1272" i="1" s="1"/>
  <c r="Q1271" i="1" a="1"/>
  <c r="Q1271" i="1" s="1"/>
  <c r="Q1270" i="1" a="1"/>
  <c r="Q1270" i="1" s="1"/>
  <c r="Q1269" i="1" a="1"/>
  <c r="Q1269" i="1" s="1"/>
  <c r="Q1268" i="1" a="1"/>
  <c r="Q1268" i="1" s="1"/>
  <c r="Q1267" i="1" a="1"/>
  <c r="Q1267" i="1" s="1"/>
  <c r="Q1266" i="1" a="1"/>
  <c r="Q1266" i="1" s="1"/>
  <c r="Q1265" i="1" a="1"/>
  <c r="Q1265" i="1" s="1"/>
  <c r="Q1264" i="1" a="1"/>
  <c r="Q1264" i="1" s="1"/>
  <c r="Q1263" i="1" a="1"/>
  <c r="Q1263" i="1" s="1"/>
  <c r="Q1262" i="1" a="1"/>
  <c r="Q1262" i="1" s="1"/>
  <c r="Q1261" i="1" a="1"/>
  <c r="Q1261" i="1" s="1"/>
  <c r="Q1260" i="1" a="1"/>
  <c r="Q1260" i="1" s="1"/>
  <c r="Q1259" i="1" a="1"/>
  <c r="Q1259" i="1" s="1"/>
  <c r="Q1258" i="1" a="1"/>
  <c r="Q1258" i="1" s="1"/>
  <c r="Q1257" i="1" a="1"/>
  <c r="Q1257" i="1" s="1"/>
  <c r="Q1256" i="1" a="1"/>
  <c r="Q1256" i="1" s="1"/>
  <c r="Q1255" i="1" a="1"/>
  <c r="Q1255" i="1" s="1"/>
  <c r="Q1254" i="1" a="1"/>
  <c r="Q1254" i="1" s="1"/>
  <c r="Q1253" i="1" a="1"/>
  <c r="Q1253" i="1" s="1"/>
  <c r="Q1252" i="1" a="1"/>
  <c r="Q1252" i="1" s="1"/>
  <c r="Q1251" i="1" a="1"/>
  <c r="Q1251" i="1" s="1"/>
  <c r="Q1250" i="1" a="1"/>
  <c r="Q1250" i="1" s="1"/>
  <c r="Q1249" i="1" a="1"/>
  <c r="Q1249" i="1" s="1"/>
  <c r="Q1248" i="1" a="1"/>
  <c r="Q1248" i="1" s="1"/>
  <c r="Q1247" i="1" a="1"/>
  <c r="Q1247" i="1" s="1"/>
  <c r="Q1246" i="1" a="1"/>
  <c r="Q1246" i="1" s="1"/>
  <c r="Q1245" i="1" a="1"/>
  <c r="Q1245" i="1" s="1"/>
  <c r="Q1244" i="1" a="1"/>
  <c r="Q1244" i="1" s="1"/>
  <c r="Q1243" i="1" a="1"/>
  <c r="Q1243" i="1" s="1"/>
  <c r="Q1242" i="1" a="1"/>
  <c r="Q1242" i="1" s="1"/>
  <c r="Q1241" i="1" a="1"/>
  <c r="Q1241" i="1" s="1"/>
  <c r="Q1240" i="1" a="1"/>
  <c r="Q1240" i="1" s="1"/>
  <c r="Q1239" i="1" a="1"/>
  <c r="Q1239" i="1" s="1"/>
  <c r="Q1238" i="1" a="1"/>
  <c r="Q1238" i="1" s="1"/>
  <c r="Q1237" i="1" a="1"/>
  <c r="Q1237" i="1" s="1"/>
  <c r="Q1236" i="1" a="1"/>
  <c r="Q1236" i="1" s="1"/>
  <c r="Q1235" i="1" a="1"/>
  <c r="Q1235" i="1" s="1"/>
  <c r="Q1234" i="1" a="1"/>
  <c r="Q1234" i="1" s="1"/>
  <c r="Q1233" i="1" a="1"/>
  <c r="Q1233" i="1" s="1"/>
  <c r="Q1232" i="1" a="1"/>
  <c r="Q1232" i="1" s="1"/>
  <c r="Q1231" i="1" a="1"/>
  <c r="Q1231" i="1" s="1"/>
  <c r="Q1230" i="1" a="1"/>
  <c r="Q1230" i="1" s="1"/>
  <c r="Q1229" i="1" a="1"/>
  <c r="Q1229" i="1" s="1"/>
  <c r="Q1228" i="1" a="1"/>
  <c r="Q1228" i="1" s="1"/>
  <c r="Q1227" i="1" a="1"/>
  <c r="Q1227" i="1" s="1"/>
  <c r="Q1226" i="1" a="1"/>
  <c r="Q1226" i="1" s="1"/>
  <c r="Q1225" i="1" a="1"/>
  <c r="Q1225" i="1" s="1"/>
  <c r="Q1224" i="1" a="1"/>
  <c r="Q1224" i="1" s="1"/>
  <c r="Q1223" i="1" a="1"/>
  <c r="Q1223" i="1" s="1"/>
  <c r="Q1222" i="1" a="1"/>
  <c r="Q1222" i="1" s="1"/>
  <c r="Q1221" i="1" a="1"/>
  <c r="Q1221" i="1" s="1"/>
  <c r="Q1220" i="1" a="1"/>
  <c r="Q1220" i="1" s="1"/>
  <c r="Q1219" i="1" a="1"/>
  <c r="Q1219" i="1" s="1"/>
  <c r="Q1218" i="1" a="1"/>
  <c r="Q1218" i="1" s="1"/>
  <c r="Q1217" i="1" a="1"/>
  <c r="Q1217" i="1" s="1"/>
  <c r="Q1216" i="1" a="1"/>
  <c r="Q1216" i="1" s="1"/>
  <c r="Q1215" i="1" a="1"/>
  <c r="Q1215" i="1" s="1"/>
  <c r="Q1214" i="1" a="1"/>
  <c r="Q1214" i="1" s="1"/>
  <c r="Q1213" i="1" a="1"/>
  <c r="Q1213" i="1" s="1"/>
  <c r="Q1212" i="1" a="1"/>
  <c r="Q1212" i="1" s="1"/>
  <c r="Q1211" i="1" a="1"/>
  <c r="Q1211" i="1" s="1"/>
  <c r="Q1210" i="1" a="1"/>
  <c r="Q1210" i="1" s="1"/>
  <c r="Q1209" i="1" a="1"/>
  <c r="Q1209" i="1" s="1"/>
  <c r="Q1208" i="1" a="1"/>
  <c r="Q1208" i="1" s="1"/>
  <c r="Q1207" i="1" a="1"/>
  <c r="Q1207" i="1" s="1"/>
  <c r="Q1206" i="1" a="1"/>
  <c r="Q1206" i="1" s="1"/>
  <c r="Q1205" i="1" a="1"/>
  <c r="Q1205" i="1" s="1"/>
  <c r="Q1204" i="1" a="1"/>
  <c r="Q1204" i="1" s="1"/>
  <c r="Q1203" i="1" a="1"/>
  <c r="Q1203" i="1" s="1"/>
  <c r="Q1202" i="1" a="1"/>
  <c r="Q1202" i="1" s="1"/>
  <c r="Q1201" i="1" a="1"/>
  <c r="Q1201" i="1" s="1"/>
  <c r="Q1200" i="1" a="1"/>
  <c r="Q1200" i="1" s="1"/>
  <c r="Q1199" i="1" a="1"/>
  <c r="Q1199" i="1" s="1"/>
  <c r="Q1198" i="1" a="1"/>
  <c r="Q1198" i="1" s="1"/>
  <c r="Q1197" i="1" a="1"/>
  <c r="Q1197" i="1" s="1"/>
  <c r="Q1196" i="1" a="1"/>
  <c r="Q1196" i="1" s="1"/>
  <c r="Q1195" i="1" a="1"/>
  <c r="Q1195" i="1" s="1"/>
  <c r="Q1194" i="1" a="1"/>
  <c r="Q1194" i="1" s="1"/>
  <c r="Q1193" i="1" a="1"/>
  <c r="Q1193" i="1" s="1"/>
  <c r="Q1192" i="1" a="1"/>
  <c r="Q1192" i="1" s="1"/>
  <c r="Q1191" i="1" a="1"/>
  <c r="Q1191" i="1" s="1"/>
  <c r="Q1190" i="1" a="1"/>
  <c r="Q1190" i="1" s="1"/>
  <c r="Q1189" i="1" a="1"/>
  <c r="Q1189" i="1" s="1"/>
  <c r="Q1188" i="1" a="1"/>
  <c r="Q1188" i="1" s="1"/>
  <c r="Q1187" i="1" a="1"/>
  <c r="Q1187" i="1" s="1"/>
  <c r="Q1186" i="1" a="1"/>
  <c r="Q1186" i="1" s="1"/>
  <c r="Q1185" i="1" a="1"/>
  <c r="Q1185" i="1" s="1"/>
  <c r="Q1184" i="1" a="1"/>
  <c r="Q1184" i="1" s="1"/>
  <c r="Q1183" i="1" a="1"/>
  <c r="Q1183" i="1" s="1"/>
  <c r="Q1182" i="1" a="1"/>
  <c r="Q1182" i="1" s="1"/>
  <c r="Q1181" i="1" a="1"/>
  <c r="Q1181" i="1" s="1"/>
  <c r="Q1180" i="1" a="1"/>
  <c r="Q1180" i="1" s="1"/>
  <c r="Q1179" i="1" a="1"/>
  <c r="Q1179" i="1" s="1"/>
  <c r="Q1178" i="1" a="1"/>
  <c r="Q1178" i="1" s="1"/>
  <c r="Q1177" i="1" a="1"/>
  <c r="Q1177" i="1" s="1"/>
  <c r="Q1176" i="1" a="1"/>
  <c r="Q1176" i="1" s="1"/>
  <c r="Q1175" i="1" a="1"/>
  <c r="Q1175" i="1" s="1"/>
  <c r="Q1174" i="1" a="1"/>
  <c r="Q1174" i="1" s="1"/>
  <c r="Q1173" i="1" a="1"/>
  <c r="Q1173" i="1" s="1"/>
  <c r="Q1172" i="1" a="1"/>
  <c r="Q1172" i="1" s="1"/>
  <c r="Q1171" i="1" a="1"/>
  <c r="Q1171" i="1" s="1"/>
  <c r="Q1170" i="1" a="1"/>
  <c r="Q1170" i="1" s="1"/>
  <c r="Q1169" i="1" a="1"/>
  <c r="Q1169" i="1" s="1"/>
  <c r="Q1168" i="1" a="1"/>
  <c r="Q1168" i="1" s="1"/>
  <c r="Q1167" i="1" a="1"/>
  <c r="Q1167" i="1" s="1"/>
  <c r="Q1166" i="1" a="1"/>
  <c r="Q1166" i="1" s="1"/>
  <c r="Q1165" i="1" a="1"/>
  <c r="Q1165" i="1" s="1"/>
  <c r="Q1164" i="1" a="1"/>
  <c r="Q1164" i="1" s="1"/>
  <c r="Q1163" i="1" a="1"/>
  <c r="Q1163" i="1" s="1"/>
  <c r="Q1162" i="1" a="1"/>
  <c r="Q1162" i="1" s="1"/>
  <c r="Q1161" i="1" a="1"/>
  <c r="Q1161" i="1" s="1"/>
  <c r="Q1160" i="1" a="1"/>
  <c r="Q1160" i="1" s="1"/>
  <c r="Q1159" i="1" a="1"/>
  <c r="Q1159" i="1" s="1"/>
  <c r="Q1158" i="1" a="1"/>
  <c r="Q1158" i="1" s="1"/>
  <c r="Q1157" i="1" a="1"/>
  <c r="Q1157" i="1" s="1"/>
  <c r="Q1156" i="1" a="1"/>
  <c r="Q1156" i="1" s="1"/>
  <c r="Q1155" i="1" a="1"/>
  <c r="Q1155" i="1" s="1"/>
  <c r="Q1154" i="1" a="1"/>
  <c r="Q1154" i="1" s="1"/>
  <c r="Q1153" i="1" a="1"/>
  <c r="Q1153" i="1" s="1"/>
  <c r="Q1152" i="1" a="1"/>
  <c r="Q1152" i="1" s="1"/>
  <c r="Q1151" i="1" a="1"/>
  <c r="Q1151" i="1" s="1"/>
  <c r="Q1150" i="1" a="1"/>
  <c r="Q1150" i="1" s="1"/>
  <c r="Q1149" i="1" a="1"/>
  <c r="Q1149" i="1" s="1"/>
  <c r="Q1148" i="1" a="1"/>
  <c r="Q1148" i="1" s="1"/>
  <c r="Q1147" i="1" a="1"/>
  <c r="Q1147" i="1" s="1"/>
  <c r="Q1146" i="1" a="1"/>
  <c r="Q1146" i="1" s="1"/>
  <c r="Q1145" i="1" a="1"/>
  <c r="Q1145" i="1" s="1"/>
  <c r="Q1144" i="1" a="1"/>
  <c r="Q1144" i="1" s="1"/>
  <c r="Q1143" i="1" a="1"/>
  <c r="Q1143" i="1" s="1"/>
  <c r="Q1142" i="1" a="1"/>
  <c r="Q1142" i="1" s="1"/>
  <c r="Q1141" i="1" a="1"/>
  <c r="Q1141" i="1" s="1"/>
  <c r="Q1140" i="1" a="1"/>
  <c r="Q1140" i="1" s="1"/>
  <c r="Q1139" i="1" a="1"/>
  <c r="Q1139" i="1" s="1"/>
  <c r="Q1138" i="1" a="1"/>
  <c r="Q1138" i="1" s="1"/>
  <c r="Q1137" i="1" a="1"/>
  <c r="Q1137" i="1" s="1"/>
  <c r="Q1136" i="1" a="1"/>
  <c r="Q1136" i="1" s="1"/>
  <c r="Q1135" i="1" a="1"/>
  <c r="Q1135" i="1" s="1"/>
  <c r="Q1134" i="1" a="1"/>
  <c r="Q1134" i="1" s="1"/>
  <c r="Q1133" i="1" a="1"/>
  <c r="Q1133" i="1" s="1"/>
  <c r="Q1132" i="1" a="1"/>
  <c r="Q1132" i="1" s="1"/>
  <c r="Q1131" i="1" a="1"/>
  <c r="Q1131" i="1" s="1"/>
  <c r="Q1130" i="1" a="1"/>
  <c r="Q1130" i="1" s="1"/>
  <c r="Q1129" i="1" a="1"/>
  <c r="Q1129" i="1" s="1"/>
  <c r="Q1128" i="1" a="1"/>
  <c r="Q1128" i="1" s="1"/>
  <c r="Q1127" i="1" a="1"/>
  <c r="Q1127" i="1" s="1"/>
  <c r="Q1126" i="1" a="1"/>
  <c r="Q1126" i="1" s="1"/>
  <c r="Q1125" i="1" a="1"/>
  <c r="Q1125" i="1" s="1"/>
  <c r="Q1124" i="1" a="1"/>
  <c r="Q1124" i="1" s="1"/>
  <c r="Q1123" i="1" a="1"/>
  <c r="Q1123" i="1" s="1"/>
  <c r="Q1122" i="1" a="1"/>
  <c r="Q1122" i="1" s="1"/>
  <c r="Q1121" i="1" a="1"/>
  <c r="Q1121" i="1" s="1"/>
  <c r="Q1120" i="1" a="1"/>
  <c r="Q1120" i="1" s="1"/>
  <c r="Q1119" i="1" a="1"/>
  <c r="Q1119" i="1" s="1"/>
  <c r="Q1118" i="1" a="1"/>
  <c r="Q1118" i="1" s="1"/>
  <c r="Q1117" i="1" a="1"/>
  <c r="Q1117" i="1" s="1"/>
  <c r="Q1116" i="1" a="1"/>
  <c r="Q1116" i="1" s="1"/>
  <c r="Q1115" i="1" a="1"/>
  <c r="Q1115" i="1" s="1"/>
  <c r="Q1114" i="1" a="1"/>
  <c r="Q1114" i="1" s="1"/>
  <c r="Q1113" i="1" a="1"/>
  <c r="Q1113" i="1" s="1"/>
  <c r="Q1112" i="1" a="1"/>
  <c r="Q1112" i="1" s="1"/>
  <c r="Q1111" i="1" a="1"/>
  <c r="Q1111" i="1" s="1"/>
  <c r="Q1110" i="1" a="1"/>
  <c r="Q1110" i="1" s="1"/>
  <c r="Q1109" i="1" a="1"/>
  <c r="Q1109" i="1" s="1"/>
  <c r="Q1108" i="1" a="1"/>
  <c r="Q1108" i="1" s="1"/>
  <c r="Q1107" i="1" a="1"/>
  <c r="Q1107" i="1" s="1"/>
  <c r="Q1106" i="1" a="1"/>
  <c r="Q1106" i="1" s="1"/>
  <c r="Q1105" i="1" a="1"/>
  <c r="Q1105" i="1" s="1"/>
  <c r="Q1104" i="1" a="1"/>
  <c r="Q1104" i="1" s="1"/>
  <c r="Q1103" i="1" a="1"/>
  <c r="Q1103" i="1" s="1"/>
  <c r="Q1102" i="1" a="1"/>
  <c r="Q1102" i="1" s="1"/>
  <c r="Q1101" i="1" a="1"/>
  <c r="Q1101" i="1" s="1"/>
  <c r="Q1100" i="1" a="1"/>
  <c r="Q1100" i="1" s="1"/>
  <c r="Q1099" i="1" a="1"/>
  <c r="Q1099" i="1" s="1"/>
  <c r="Q1098" i="1" a="1"/>
  <c r="Q1098" i="1" s="1"/>
  <c r="Q1097" i="1" a="1"/>
  <c r="Q1097" i="1" s="1"/>
  <c r="Q1096" i="1" a="1"/>
  <c r="Q1096" i="1" s="1"/>
  <c r="Q1095" i="1" a="1"/>
  <c r="Q1095" i="1" s="1"/>
  <c r="Q1094" i="1" a="1"/>
  <c r="Q1094" i="1" s="1"/>
  <c r="Q1093" i="1" a="1"/>
  <c r="Q1093" i="1" s="1"/>
  <c r="Q1092" i="1" a="1"/>
  <c r="Q1092" i="1" s="1"/>
  <c r="Q1091" i="1" a="1"/>
  <c r="Q1091" i="1" s="1"/>
  <c r="Q1090" i="1" a="1"/>
  <c r="Q1090" i="1" s="1"/>
  <c r="Q1089" i="1" a="1"/>
  <c r="Q1089" i="1" s="1"/>
  <c r="Q1088" i="1" a="1"/>
  <c r="Q1088" i="1" s="1"/>
  <c r="Q1087" i="1" a="1"/>
  <c r="Q1087" i="1" s="1"/>
  <c r="Q1086" i="1" a="1"/>
  <c r="Q1086" i="1" s="1"/>
  <c r="Q1085" i="1" a="1"/>
  <c r="Q1085" i="1" s="1"/>
  <c r="Q1084" i="1" a="1"/>
  <c r="Q1084" i="1" s="1"/>
  <c r="Q1083" i="1" a="1"/>
  <c r="Q1083" i="1" s="1"/>
  <c r="Q1082" i="1" a="1"/>
  <c r="Q1082" i="1" s="1"/>
  <c r="Q1081" i="1" a="1"/>
  <c r="Q1081" i="1" s="1"/>
  <c r="Q1080" i="1" a="1"/>
  <c r="Q1080" i="1" s="1"/>
  <c r="Q1079" i="1" a="1"/>
  <c r="Q1079" i="1" s="1"/>
  <c r="Q1078" i="1" a="1"/>
  <c r="Q1078" i="1" s="1"/>
  <c r="Q1077" i="1" a="1"/>
  <c r="Q1077" i="1" s="1"/>
  <c r="Q1076" i="1" a="1"/>
  <c r="Q1076" i="1" s="1"/>
  <c r="Q1075" i="1" a="1"/>
  <c r="Q1075" i="1" s="1"/>
  <c r="Q1074" i="1" a="1"/>
  <c r="Q1074" i="1" s="1"/>
  <c r="Q1073" i="1" a="1"/>
  <c r="Q1073" i="1" s="1"/>
  <c r="Q1072" i="1" a="1"/>
  <c r="Q1072" i="1" s="1"/>
  <c r="Q1071" i="1" a="1"/>
  <c r="Q1071" i="1" s="1"/>
  <c r="Q1070" i="1" a="1"/>
  <c r="Q1070" i="1" s="1"/>
  <c r="Q1069" i="1" a="1"/>
  <c r="Q1069" i="1" s="1"/>
  <c r="Q1068" i="1" a="1"/>
  <c r="Q1068" i="1" s="1"/>
  <c r="Q1067" i="1" a="1"/>
  <c r="Q1067" i="1" s="1"/>
  <c r="Q1066" i="1" a="1"/>
  <c r="Q1066" i="1" s="1"/>
  <c r="Q1065" i="1" a="1"/>
  <c r="Q1065" i="1" s="1"/>
  <c r="Q1064" i="1" a="1"/>
  <c r="Q1064" i="1" s="1"/>
  <c r="Q1063" i="1" a="1"/>
  <c r="Q1063" i="1" s="1"/>
  <c r="Q1062" i="1" a="1"/>
  <c r="Q1062" i="1" s="1"/>
  <c r="Q1061" i="1" a="1"/>
  <c r="Q1061" i="1" s="1"/>
  <c r="Q1060" i="1" a="1"/>
  <c r="Q1060" i="1" s="1"/>
  <c r="Q1059" i="1" a="1"/>
  <c r="Q1059" i="1" s="1"/>
  <c r="Q1058" i="1" a="1"/>
  <c r="Q1058" i="1" s="1"/>
  <c r="Q1057" i="1" a="1"/>
  <c r="Q1057" i="1" s="1"/>
  <c r="Q1056" i="1" a="1"/>
  <c r="Q1056" i="1" s="1"/>
  <c r="Q1055" i="1" a="1"/>
  <c r="Q1055" i="1" s="1"/>
  <c r="Q1054" i="1" a="1"/>
  <c r="Q1054" i="1" s="1"/>
  <c r="Q1053" i="1" a="1"/>
  <c r="Q1053" i="1" s="1"/>
  <c r="Q1052" i="1" a="1"/>
  <c r="Q1052" i="1" s="1"/>
  <c r="Q1051" i="1" a="1"/>
  <c r="Q1051" i="1" s="1"/>
  <c r="Q1050" i="1" a="1"/>
  <c r="Q1050" i="1" s="1"/>
  <c r="Q1049" i="1" a="1"/>
  <c r="Q1049" i="1" s="1"/>
  <c r="Q1048" i="1" a="1"/>
  <c r="Q1048" i="1" s="1"/>
  <c r="Q1047" i="1" a="1"/>
  <c r="Q1047" i="1" s="1"/>
  <c r="Q1046" i="1" a="1"/>
  <c r="Q1046" i="1" s="1"/>
  <c r="Q1045" i="1" a="1"/>
  <c r="Q1045" i="1" s="1"/>
  <c r="Q1044" i="1" a="1"/>
  <c r="Q1044" i="1" s="1"/>
  <c r="Q1043" i="1" a="1"/>
  <c r="Q1043" i="1" s="1"/>
  <c r="Q1042" i="1" a="1"/>
  <c r="Q1042" i="1" s="1"/>
  <c r="Q1041" i="1" a="1"/>
  <c r="Q1041" i="1" s="1"/>
  <c r="Q1040" i="1" a="1"/>
  <c r="Q1040" i="1" s="1"/>
  <c r="Q1039" i="1" a="1"/>
  <c r="Q1039" i="1" s="1"/>
  <c r="Q1038" i="1" a="1"/>
  <c r="Q1038" i="1" s="1"/>
  <c r="Q1037" i="1" a="1"/>
  <c r="Q1037" i="1" s="1"/>
  <c r="Q1036" i="1" a="1"/>
  <c r="Q1036" i="1" s="1"/>
  <c r="Q1035" i="1" a="1"/>
  <c r="Q1035" i="1" s="1"/>
  <c r="Q1034" i="1" a="1"/>
  <c r="Q1034" i="1" s="1"/>
  <c r="Q1033" i="1" a="1"/>
  <c r="Q1033" i="1" s="1"/>
  <c r="Q1032" i="1" a="1"/>
  <c r="Q1032" i="1" s="1"/>
  <c r="Q1031" i="1" a="1"/>
  <c r="Q1031" i="1" s="1"/>
  <c r="Q1030" i="1" a="1"/>
  <c r="Q1030" i="1" s="1"/>
  <c r="Q1029" i="1" a="1"/>
  <c r="Q1029" i="1" s="1"/>
  <c r="Q1028" i="1" a="1"/>
  <c r="Q1028" i="1" s="1"/>
  <c r="Q1027" i="1" a="1"/>
  <c r="Q1027" i="1" s="1"/>
  <c r="Q1026" i="1" a="1"/>
  <c r="Q1026" i="1" s="1"/>
  <c r="Q1025" i="1" a="1"/>
  <c r="Q1025" i="1" s="1"/>
  <c r="Q1024" i="1" a="1"/>
  <c r="Q1024" i="1" s="1"/>
  <c r="Q1023" i="1" a="1"/>
  <c r="Q1023" i="1" s="1"/>
  <c r="Q1022" i="1" a="1"/>
  <c r="Q1022" i="1" s="1"/>
  <c r="Q1021" i="1" a="1"/>
  <c r="Q1021" i="1" s="1"/>
  <c r="Q1020" i="1" a="1"/>
  <c r="Q1020" i="1" s="1"/>
  <c r="Q1019" i="1" a="1"/>
  <c r="Q1019" i="1" s="1"/>
  <c r="Q1018" i="1" a="1"/>
  <c r="Q1018" i="1" s="1"/>
  <c r="Q1017" i="1" a="1"/>
  <c r="Q1017" i="1" s="1"/>
  <c r="Q1016" i="1" a="1"/>
  <c r="Q1016" i="1" s="1"/>
  <c r="Q1015" i="1" a="1"/>
  <c r="Q1015" i="1" s="1"/>
  <c r="Q1014" i="1" a="1"/>
  <c r="Q1014" i="1" s="1"/>
  <c r="Q1013" i="1" a="1"/>
  <c r="Q1013" i="1" s="1"/>
  <c r="Q1012" i="1" a="1"/>
  <c r="Q1012" i="1" s="1"/>
  <c r="Q1011" i="1" a="1"/>
  <c r="Q1011" i="1" s="1"/>
  <c r="Q1010" i="1" a="1"/>
  <c r="Q1010" i="1" s="1"/>
  <c r="Q1009" i="1" a="1"/>
  <c r="Q1009" i="1" s="1"/>
  <c r="Q1008" i="1" a="1"/>
  <c r="Q1008" i="1" s="1"/>
  <c r="Q1007" i="1" a="1"/>
  <c r="Q1007" i="1" s="1"/>
  <c r="Q1006" i="1" a="1"/>
  <c r="Q1006" i="1" s="1"/>
  <c r="Q1005" i="1" a="1"/>
  <c r="Q1005" i="1" s="1"/>
  <c r="Q1004" i="1" a="1"/>
  <c r="Q1004" i="1" s="1"/>
  <c r="Q1003" i="1" a="1"/>
  <c r="Q1003" i="1" s="1"/>
  <c r="Q1002" i="1" a="1"/>
  <c r="Q1002" i="1" s="1"/>
  <c r="Q1001" i="1" a="1"/>
  <c r="Q1001" i="1" s="1"/>
  <c r="Q1000" i="1" a="1"/>
  <c r="Q1000" i="1" s="1"/>
  <c r="Q999" i="1" a="1"/>
  <c r="Q999" i="1" s="1"/>
  <c r="Q998" i="1" a="1"/>
  <c r="Q998" i="1" s="1"/>
  <c r="Q997" i="1" a="1"/>
  <c r="Q997" i="1" s="1"/>
  <c r="Q996" i="1" a="1"/>
  <c r="Q996" i="1" s="1"/>
  <c r="Q995" i="1" a="1"/>
  <c r="Q995" i="1" s="1"/>
  <c r="Q994" i="1" a="1"/>
  <c r="Q994" i="1" s="1"/>
  <c r="Q993" i="1" a="1"/>
  <c r="Q993" i="1" s="1"/>
  <c r="Q992" i="1" a="1"/>
  <c r="Q992" i="1" s="1"/>
  <c r="Q991" i="1" a="1"/>
  <c r="Q991" i="1" s="1"/>
  <c r="Q990" i="1" a="1"/>
  <c r="Q990" i="1" s="1"/>
  <c r="Q989" i="1" a="1"/>
  <c r="Q989" i="1" s="1"/>
  <c r="Q988" i="1" a="1"/>
  <c r="Q988" i="1" s="1"/>
  <c r="Q987" i="1" a="1"/>
  <c r="Q987" i="1" s="1"/>
  <c r="Q986" i="1" a="1"/>
  <c r="Q986" i="1" s="1"/>
  <c r="Q985" i="1" a="1"/>
  <c r="Q985" i="1" s="1"/>
  <c r="Q984" i="1" a="1"/>
  <c r="Q984" i="1" s="1"/>
  <c r="Q983" i="1" a="1"/>
  <c r="Q983" i="1" s="1"/>
  <c r="Q982" i="1" a="1"/>
  <c r="Q982" i="1" s="1"/>
  <c r="Q981" i="1" a="1"/>
  <c r="Q981" i="1" s="1"/>
  <c r="Q980" i="1" a="1"/>
  <c r="Q980" i="1" s="1"/>
  <c r="Q979" i="1" a="1"/>
  <c r="Q979" i="1" s="1"/>
  <c r="Q978" i="1" a="1"/>
  <c r="Q978" i="1" s="1"/>
  <c r="Q977" i="1" a="1"/>
  <c r="Q977" i="1" s="1"/>
  <c r="Q976" i="1" a="1"/>
  <c r="Q976" i="1" s="1"/>
  <c r="Q975" i="1" a="1"/>
  <c r="Q975" i="1" s="1"/>
  <c r="Q974" i="1" a="1"/>
  <c r="Q974" i="1" s="1"/>
  <c r="Q973" i="1" a="1"/>
  <c r="Q973" i="1" s="1"/>
  <c r="Q972" i="1" a="1"/>
  <c r="Q972" i="1" s="1"/>
  <c r="Q971" i="1" a="1"/>
  <c r="Q971" i="1" s="1"/>
  <c r="Q970" i="1" a="1"/>
  <c r="Q970" i="1" s="1"/>
  <c r="Q969" i="1" a="1"/>
  <c r="Q969" i="1" s="1"/>
  <c r="Q968" i="1" a="1"/>
  <c r="Q968" i="1" s="1"/>
  <c r="Q967" i="1" a="1"/>
  <c r="Q967" i="1" s="1"/>
  <c r="Q966" i="1" a="1"/>
  <c r="Q966" i="1" s="1"/>
  <c r="Q965" i="1" a="1"/>
  <c r="Q965" i="1" s="1"/>
  <c r="Q964" i="1" a="1"/>
  <c r="Q964" i="1" s="1"/>
  <c r="Q963" i="1" a="1"/>
  <c r="Q963" i="1" s="1"/>
  <c r="Q962" i="1" a="1"/>
  <c r="Q962" i="1" s="1"/>
  <c r="Q961" i="1" a="1"/>
  <c r="Q961" i="1" s="1"/>
  <c r="Q960" i="1" a="1"/>
  <c r="Q960" i="1" s="1"/>
  <c r="Q959" i="1" a="1"/>
  <c r="Q959" i="1" s="1"/>
  <c r="Q958" i="1" a="1"/>
  <c r="Q958" i="1" s="1"/>
  <c r="Q957" i="1" a="1"/>
  <c r="Q957" i="1" s="1"/>
  <c r="Q956" i="1" a="1"/>
  <c r="Q956" i="1" s="1"/>
  <c r="Q955" i="1" a="1"/>
  <c r="Q955" i="1" s="1"/>
  <c r="Q954" i="1" a="1"/>
  <c r="Q954" i="1" s="1"/>
  <c r="Q953" i="1" a="1"/>
  <c r="Q953" i="1" s="1"/>
  <c r="Q952" i="1" a="1"/>
  <c r="Q952" i="1" s="1"/>
  <c r="Q951" i="1" a="1"/>
  <c r="Q951" i="1" s="1"/>
  <c r="Q950" i="1" a="1"/>
  <c r="Q950" i="1" s="1"/>
  <c r="Q949" i="1" a="1"/>
  <c r="Q949" i="1" s="1"/>
  <c r="Q948" i="1" a="1"/>
  <c r="Q948" i="1" s="1"/>
  <c r="Q947" i="1" a="1"/>
  <c r="Q947" i="1" s="1"/>
  <c r="Q946" i="1" a="1"/>
  <c r="Q946" i="1" s="1"/>
  <c r="Q945" i="1" a="1"/>
  <c r="Q945" i="1" s="1"/>
  <c r="Q944" i="1" a="1"/>
  <c r="Q944" i="1" s="1"/>
  <c r="Q943" i="1" a="1"/>
  <c r="Q943" i="1" s="1"/>
  <c r="Q942" i="1" a="1"/>
  <c r="Q942" i="1" s="1"/>
  <c r="Q941" i="1" a="1"/>
  <c r="Q941" i="1" s="1"/>
  <c r="Q940" i="1" a="1"/>
  <c r="Q940" i="1" s="1"/>
  <c r="Q939" i="1" a="1"/>
  <c r="Q939" i="1" s="1"/>
  <c r="Q938" i="1" a="1"/>
  <c r="Q938" i="1" s="1"/>
  <c r="Q937" i="1" a="1"/>
  <c r="Q937" i="1" s="1"/>
  <c r="Q936" i="1" a="1"/>
  <c r="Q936" i="1" s="1"/>
  <c r="Q935" i="1" a="1"/>
  <c r="Q935" i="1" s="1"/>
  <c r="Q934" i="1" a="1"/>
  <c r="Q934" i="1" s="1"/>
  <c r="Q933" i="1" a="1"/>
  <c r="Q933" i="1" s="1"/>
  <c r="Q932" i="1" a="1"/>
  <c r="Q932" i="1" s="1"/>
  <c r="Q931" i="1" a="1"/>
  <c r="Q931" i="1" s="1"/>
  <c r="Q930" i="1" a="1"/>
  <c r="Q930" i="1" s="1"/>
  <c r="Q929" i="1" a="1"/>
  <c r="Q929" i="1" s="1"/>
  <c r="Q928" i="1" a="1"/>
  <c r="Q928" i="1" s="1"/>
  <c r="Q927" i="1" a="1"/>
  <c r="Q927" i="1" s="1"/>
  <c r="Q926" i="1" a="1"/>
  <c r="Q926" i="1" s="1"/>
  <c r="Q925" i="1" a="1"/>
  <c r="Q925" i="1" s="1"/>
  <c r="Q924" i="1" a="1"/>
  <c r="Q924" i="1" s="1"/>
  <c r="Q923" i="1" a="1"/>
  <c r="Q923" i="1" s="1"/>
  <c r="Q922" i="1" a="1"/>
  <c r="Q922" i="1" s="1"/>
  <c r="Q921" i="1" a="1"/>
  <c r="Q921" i="1" s="1"/>
  <c r="Q920" i="1" a="1"/>
  <c r="Q920" i="1" s="1"/>
  <c r="Q919" i="1" a="1"/>
  <c r="Q919" i="1" s="1"/>
  <c r="Q918" i="1" a="1"/>
  <c r="Q918" i="1" s="1"/>
  <c r="Q917" i="1" a="1"/>
  <c r="Q917" i="1" s="1"/>
  <c r="Q916" i="1" a="1"/>
  <c r="Q916" i="1" s="1"/>
  <c r="Q915" i="1" a="1"/>
  <c r="Q915" i="1" s="1"/>
  <c r="Q914" i="1" a="1"/>
  <c r="Q914" i="1" s="1"/>
  <c r="Q913" i="1" a="1"/>
  <c r="Q913" i="1" s="1"/>
  <c r="Q912" i="1" a="1"/>
  <c r="Q912" i="1" s="1"/>
  <c r="Q911" i="1" a="1"/>
  <c r="Q911" i="1" s="1"/>
  <c r="Q910" i="1" a="1"/>
  <c r="Q910" i="1" s="1"/>
  <c r="Q909" i="1" a="1"/>
  <c r="Q909" i="1" s="1"/>
  <c r="Q908" i="1" a="1"/>
  <c r="Q908" i="1" s="1"/>
  <c r="Q907" i="1" a="1"/>
  <c r="Q907" i="1" s="1"/>
  <c r="Q906" i="1" a="1"/>
  <c r="Q906" i="1" s="1"/>
  <c r="Q905" i="1" a="1"/>
  <c r="Q905" i="1" s="1"/>
  <c r="Q904" i="1" a="1"/>
  <c r="Q904" i="1" s="1"/>
  <c r="Q903" i="1" a="1"/>
  <c r="Q903" i="1" s="1"/>
  <c r="Q902" i="1" a="1"/>
  <c r="Q902" i="1" s="1"/>
  <c r="Q901" i="1" a="1"/>
  <c r="Q901" i="1" s="1"/>
  <c r="Q900" i="1" a="1"/>
  <c r="Q900" i="1" s="1"/>
  <c r="Q899" i="1" a="1"/>
  <c r="Q899" i="1" s="1"/>
  <c r="Q898" i="1" a="1"/>
  <c r="Q898" i="1" s="1"/>
  <c r="Q897" i="1" a="1"/>
  <c r="Q897" i="1" s="1"/>
  <c r="Q896" i="1" a="1"/>
  <c r="Q896" i="1" s="1"/>
  <c r="Q895" i="1" a="1"/>
  <c r="Q895" i="1" s="1"/>
  <c r="Q894" i="1" a="1"/>
  <c r="Q894" i="1" s="1"/>
  <c r="Q893" i="1" a="1"/>
  <c r="Q893" i="1" s="1"/>
  <c r="Q892" i="1" a="1"/>
  <c r="Q892" i="1" s="1"/>
  <c r="Q891" i="1" a="1"/>
  <c r="Q891" i="1" s="1"/>
  <c r="Q890" i="1" a="1"/>
  <c r="Q890" i="1" s="1"/>
  <c r="Q889" i="1" a="1"/>
  <c r="Q889" i="1" s="1"/>
  <c r="Q888" i="1" a="1"/>
  <c r="Q888" i="1" s="1"/>
  <c r="Q887" i="1" a="1"/>
  <c r="Q887" i="1" s="1"/>
  <c r="Q886" i="1" a="1"/>
  <c r="Q886" i="1" s="1"/>
  <c r="Q885" i="1" a="1"/>
  <c r="Q885" i="1" s="1"/>
  <c r="Q884" i="1" a="1"/>
  <c r="Q884" i="1" s="1"/>
  <c r="Q883" i="1" a="1"/>
  <c r="Q883" i="1" s="1"/>
  <c r="Q882" i="1" a="1"/>
  <c r="Q882" i="1" s="1"/>
  <c r="Q881" i="1" a="1"/>
  <c r="Q881" i="1" s="1"/>
  <c r="Q880" i="1" a="1"/>
  <c r="Q880" i="1" s="1"/>
  <c r="Q879" i="1" a="1"/>
  <c r="Q879" i="1" s="1"/>
  <c r="Q878" i="1" a="1"/>
  <c r="Q878" i="1" s="1"/>
  <c r="Q877" i="1" a="1"/>
  <c r="Q877" i="1" s="1"/>
  <c r="Q876" i="1" a="1"/>
  <c r="Q876" i="1" s="1"/>
  <c r="Q875" i="1" a="1"/>
  <c r="Q875" i="1" s="1"/>
  <c r="Q874" i="1" a="1"/>
  <c r="Q874" i="1" s="1"/>
  <c r="Q873" i="1" a="1"/>
  <c r="Q873" i="1" s="1"/>
  <c r="Q872" i="1" a="1"/>
  <c r="Q872" i="1" s="1"/>
  <c r="Q871" i="1" a="1"/>
  <c r="Q871" i="1" s="1"/>
  <c r="Q870" i="1" a="1"/>
  <c r="Q870" i="1" s="1"/>
  <c r="Q869" i="1" a="1"/>
  <c r="Q869" i="1" s="1"/>
  <c r="Q868" i="1" a="1"/>
  <c r="Q868" i="1" s="1"/>
  <c r="Q867" i="1" a="1"/>
  <c r="Q867" i="1" s="1"/>
  <c r="Q866" i="1" a="1"/>
  <c r="Q866" i="1" s="1"/>
  <c r="Q865" i="1" a="1"/>
  <c r="Q865" i="1" s="1"/>
  <c r="Q864" i="1" a="1"/>
  <c r="Q864" i="1" s="1"/>
  <c r="Q863" i="1" a="1"/>
  <c r="Q863" i="1" s="1"/>
  <c r="Q862" i="1" a="1"/>
  <c r="Q862" i="1" s="1"/>
  <c r="Q861" i="1" a="1"/>
  <c r="Q861" i="1" s="1"/>
  <c r="Q860" i="1" a="1"/>
  <c r="Q860" i="1" s="1"/>
  <c r="Q859" i="1" a="1"/>
  <c r="Q859" i="1" s="1"/>
  <c r="Q858" i="1" a="1"/>
  <c r="Q858" i="1" s="1"/>
  <c r="Q857" i="1" a="1"/>
  <c r="Q857" i="1" s="1"/>
  <c r="Q856" i="1" a="1"/>
  <c r="Q856" i="1" s="1"/>
  <c r="Q855" i="1" a="1"/>
  <c r="Q855" i="1" s="1"/>
  <c r="Q854" i="1" a="1"/>
  <c r="Q854" i="1" s="1"/>
  <c r="Q853" i="1" a="1"/>
  <c r="Q853" i="1" s="1"/>
  <c r="Q852" i="1" a="1"/>
  <c r="Q852" i="1" s="1"/>
  <c r="Q851" i="1" a="1"/>
  <c r="Q851" i="1" s="1"/>
  <c r="Q850" i="1" a="1"/>
  <c r="Q850" i="1" s="1"/>
  <c r="Q849" i="1" a="1"/>
  <c r="Q849" i="1" s="1"/>
  <c r="Q848" i="1" a="1"/>
  <c r="Q848" i="1" s="1"/>
  <c r="Q847" i="1" a="1"/>
  <c r="Q847" i="1" s="1"/>
  <c r="Q846" i="1" a="1"/>
  <c r="Q846" i="1" s="1"/>
  <c r="Q845" i="1" a="1"/>
  <c r="Q845" i="1" s="1"/>
  <c r="Q844" i="1" a="1"/>
  <c r="Q844" i="1" s="1"/>
  <c r="Q843" i="1" a="1"/>
  <c r="Q843" i="1" s="1"/>
  <c r="Q842" i="1" a="1"/>
  <c r="Q842" i="1" s="1"/>
  <c r="Q841" i="1" a="1"/>
  <c r="Q841" i="1" s="1"/>
  <c r="Q840" i="1" a="1"/>
  <c r="Q840" i="1" s="1"/>
  <c r="Q839" i="1" a="1"/>
  <c r="Q839" i="1" s="1"/>
  <c r="Q838" i="1" a="1"/>
  <c r="Q838" i="1" s="1"/>
  <c r="Q837" i="1" a="1"/>
  <c r="Q837" i="1" s="1"/>
  <c r="Q836" i="1" a="1"/>
  <c r="Q836" i="1" s="1"/>
  <c r="Q835" i="1" a="1"/>
  <c r="Q835" i="1" s="1"/>
  <c r="Q834" i="1" a="1"/>
  <c r="Q834" i="1" s="1"/>
  <c r="Q833" i="1" a="1"/>
  <c r="Q833" i="1" s="1"/>
  <c r="Q832" i="1" a="1"/>
  <c r="Q832" i="1" s="1"/>
  <c r="Q831" i="1" a="1"/>
  <c r="Q831" i="1" s="1"/>
  <c r="Q830" i="1" a="1"/>
  <c r="Q830" i="1" s="1"/>
  <c r="Q829" i="1" a="1"/>
  <c r="Q829" i="1" s="1"/>
  <c r="Q828" i="1" a="1"/>
  <c r="Q828" i="1" s="1"/>
  <c r="Q827" i="1" a="1"/>
  <c r="Q827" i="1" s="1"/>
  <c r="Q826" i="1" a="1"/>
  <c r="Q826" i="1" s="1"/>
  <c r="Q825" i="1" a="1"/>
  <c r="Q825" i="1" s="1"/>
  <c r="Q824" i="1" a="1"/>
  <c r="Q824" i="1" s="1"/>
  <c r="Q823" i="1" a="1"/>
  <c r="Q823" i="1" s="1"/>
  <c r="Q822" i="1" a="1"/>
  <c r="Q822" i="1" s="1"/>
  <c r="Q821" i="1" a="1"/>
  <c r="Q821" i="1" s="1"/>
  <c r="Q820" i="1" a="1"/>
  <c r="Q820" i="1" s="1"/>
  <c r="Q819" i="1" a="1"/>
  <c r="Q819" i="1" s="1"/>
  <c r="Q818" i="1" a="1"/>
  <c r="Q818" i="1" s="1"/>
  <c r="Q817" i="1" a="1"/>
  <c r="Q817" i="1" s="1"/>
  <c r="Q816" i="1" a="1"/>
  <c r="Q816" i="1" s="1"/>
  <c r="Q815" i="1" a="1"/>
  <c r="Q815" i="1" s="1"/>
  <c r="Q814" i="1" a="1"/>
  <c r="Q814" i="1" s="1"/>
  <c r="Q813" i="1" a="1"/>
  <c r="Q813" i="1" s="1"/>
  <c r="Q812" i="1" a="1"/>
  <c r="Q812" i="1" s="1"/>
  <c r="Q811" i="1" a="1"/>
  <c r="Q811" i="1" s="1"/>
  <c r="Q810" i="1" a="1"/>
  <c r="Q810" i="1" s="1"/>
  <c r="Q809" i="1" a="1"/>
  <c r="Q809" i="1" s="1"/>
  <c r="Q808" i="1" a="1"/>
  <c r="Q808" i="1" s="1"/>
  <c r="Q807" i="1" a="1"/>
  <c r="Q807" i="1" s="1"/>
  <c r="Q806" i="1" a="1"/>
  <c r="Q806" i="1" s="1"/>
  <c r="Q805" i="1" a="1"/>
  <c r="Q805" i="1" s="1"/>
  <c r="Q804" i="1" a="1"/>
  <c r="Q804" i="1" s="1"/>
  <c r="Q803" i="1" a="1"/>
  <c r="Q803" i="1" s="1"/>
  <c r="Q802" i="1" a="1"/>
  <c r="Q802" i="1" s="1"/>
  <c r="Q801" i="1" a="1"/>
  <c r="Q801" i="1" s="1"/>
  <c r="Q800" i="1" a="1"/>
  <c r="Q800" i="1" s="1"/>
  <c r="Q799" i="1" a="1"/>
  <c r="Q799" i="1" s="1"/>
  <c r="Q798" i="1" a="1"/>
  <c r="Q798" i="1" s="1"/>
  <c r="Q797" i="1" a="1"/>
  <c r="Q797" i="1" s="1"/>
  <c r="Q796" i="1" a="1"/>
  <c r="Q796" i="1" s="1"/>
  <c r="Q795" i="1" a="1"/>
  <c r="Q795" i="1" s="1"/>
  <c r="Q794" i="1" a="1"/>
  <c r="Q794" i="1" s="1"/>
  <c r="Q793" i="1" a="1"/>
  <c r="Q793" i="1" s="1"/>
  <c r="Q792" i="1" a="1"/>
  <c r="Q792" i="1" s="1"/>
  <c r="Q791" i="1" a="1"/>
  <c r="Q791" i="1" s="1"/>
  <c r="Q790" i="1" a="1"/>
  <c r="Q790" i="1" s="1"/>
  <c r="Q789" i="1" a="1"/>
  <c r="Q789" i="1" s="1"/>
  <c r="Q788" i="1" a="1"/>
  <c r="Q788" i="1" s="1"/>
  <c r="Q787" i="1" a="1"/>
  <c r="Q787" i="1" s="1"/>
  <c r="Q786" i="1" a="1"/>
  <c r="Q786" i="1" s="1"/>
  <c r="Q785" i="1" a="1"/>
  <c r="Q785" i="1" s="1"/>
  <c r="Q784" i="1" a="1"/>
  <c r="Q784" i="1" s="1"/>
  <c r="Q783" i="1" a="1"/>
  <c r="Q783" i="1" s="1"/>
  <c r="Q782" i="1" a="1"/>
  <c r="Q782" i="1" s="1"/>
  <c r="Q781" i="1" a="1"/>
  <c r="Q781" i="1" s="1"/>
  <c r="Q780" i="1" a="1"/>
  <c r="Q780" i="1" s="1"/>
  <c r="Q779" i="1" a="1"/>
  <c r="Q779" i="1" s="1"/>
  <c r="Q778" i="1" a="1"/>
  <c r="Q778" i="1" s="1"/>
  <c r="Q777" i="1" a="1"/>
  <c r="Q777" i="1" s="1"/>
  <c r="Q776" i="1" a="1"/>
  <c r="Q776" i="1" s="1"/>
  <c r="Q775" i="1" a="1"/>
  <c r="Q775" i="1" s="1"/>
  <c r="Q774" i="1" a="1"/>
  <c r="Q774" i="1" s="1"/>
  <c r="Q773" i="1" a="1"/>
  <c r="Q773" i="1" s="1"/>
  <c r="Q772" i="1" a="1"/>
  <c r="Q772" i="1" s="1"/>
  <c r="Q771" i="1" a="1"/>
  <c r="Q771" i="1" s="1"/>
  <c r="Q770" i="1" a="1"/>
  <c r="Q770" i="1" s="1"/>
  <c r="Q769" i="1" a="1"/>
  <c r="Q769" i="1" s="1"/>
  <c r="Q768" i="1" a="1"/>
  <c r="Q768" i="1" s="1"/>
  <c r="Q767" i="1" a="1"/>
  <c r="Q767" i="1" s="1"/>
  <c r="Q766" i="1" a="1"/>
  <c r="Q766" i="1" s="1"/>
  <c r="Q765" i="1" a="1"/>
  <c r="Q765" i="1" s="1"/>
  <c r="Q764" i="1" a="1"/>
  <c r="Q764" i="1" s="1"/>
  <c r="Q763" i="1" a="1"/>
  <c r="Q763" i="1" s="1"/>
  <c r="Q762" i="1" a="1"/>
  <c r="Q762" i="1" s="1"/>
  <c r="Q761" i="1" a="1"/>
  <c r="Q761" i="1" s="1"/>
  <c r="Q760" i="1" a="1"/>
  <c r="Q760" i="1" s="1"/>
  <c r="Q759" i="1" a="1"/>
  <c r="Q759" i="1" s="1"/>
  <c r="Q758" i="1" a="1"/>
  <c r="Q758" i="1" s="1"/>
  <c r="Q757" i="1" a="1"/>
  <c r="Q757" i="1" s="1"/>
  <c r="Q756" i="1" a="1"/>
  <c r="Q756" i="1" s="1"/>
  <c r="Q755" i="1" a="1"/>
  <c r="Q755" i="1" s="1"/>
  <c r="Q754" i="1" a="1"/>
  <c r="Q754" i="1" s="1"/>
  <c r="Q753" i="1" a="1"/>
  <c r="Q753" i="1" s="1"/>
  <c r="Q752" i="1" a="1"/>
  <c r="Q752" i="1" s="1"/>
  <c r="Q751" i="1" a="1"/>
  <c r="Q751" i="1" s="1"/>
  <c r="Q750" i="1" a="1"/>
  <c r="Q750" i="1" s="1"/>
  <c r="Q749" i="1" a="1"/>
  <c r="Q749" i="1" s="1"/>
  <c r="Q748" i="1" a="1"/>
  <c r="Q748" i="1" s="1"/>
  <c r="Q747" i="1" a="1"/>
  <c r="Q747" i="1" s="1"/>
  <c r="Q746" i="1" a="1"/>
  <c r="Q746" i="1" s="1"/>
  <c r="Q745" i="1" a="1"/>
  <c r="Q745" i="1" s="1"/>
  <c r="Q744" i="1" a="1"/>
  <c r="Q744" i="1" s="1"/>
  <c r="Q743" i="1" a="1"/>
  <c r="Q743" i="1" s="1"/>
  <c r="Q742" i="1" a="1"/>
  <c r="Q742" i="1" s="1"/>
  <c r="Q741" i="1" a="1"/>
  <c r="Q741" i="1" s="1"/>
  <c r="Q740" i="1" a="1"/>
  <c r="Q740" i="1" s="1"/>
  <c r="Q739" i="1" a="1"/>
  <c r="Q739" i="1" s="1"/>
  <c r="Q738" i="1" a="1"/>
  <c r="Q738" i="1" s="1"/>
  <c r="Q737" i="1" a="1"/>
  <c r="Q737" i="1" s="1"/>
  <c r="Q736" i="1" a="1"/>
  <c r="Q736" i="1" s="1"/>
  <c r="Q735" i="1" a="1"/>
  <c r="Q735" i="1" s="1"/>
  <c r="Q734" i="1" a="1"/>
  <c r="Q734" i="1" s="1"/>
  <c r="Q733" i="1" a="1"/>
  <c r="Q733" i="1" s="1"/>
  <c r="Q732" i="1" a="1"/>
  <c r="Q732" i="1" s="1"/>
  <c r="Q731" i="1" a="1"/>
  <c r="Q731" i="1" s="1"/>
  <c r="Q730" i="1" a="1"/>
  <c r="Q730" i="1" s="1"/>
  <c r="Q729" i="1" a="1"/>
  <c r="Q729" i="1" s="1"/>
  <c r="Q728" i="1" a="1"/>
  <c r="Q728" i="1" s="1"/>
  <c r="Q727" i="1" a="1"/>
  <c r="Q727" i="1" s="1"/>
  <c r="Q726" i="1" a="1"/>
  <c r="Q726" i="1" s="1"/>
  <c r="Q725" i="1" a="1"/>
  <c r="Q725" i="1" s="1"/>
  <c r="Q724" i="1" a="1"/>
  <c r="Q724" i="1" s="1"/>
  <c r="Q723" i="1" a="1"/>
  <c r="Q723" i="1" s="1"/>
  <c r="Q722" i="1" a="1"/>
  <c r="Q722" i="1" s="1"/>
  <c r="Q721" i="1" a="1"/>
  <c r="Q721" i="1" s="1"/>
  <c r="Q720" i="1" a="1"/>
  <c r="Q720" i="1" s="1"/>
  <c r="Q719" i="1" a="1"/>
  <c r="Q719" i="1" s="1"/>
  <c r="Q718" i="1" a="1"/>
  <c r="Q718" i="1" s="1"/>
  <c r="Q717" i="1" a="1"/>
  <c r="Q717" i="1" s="1"/>
  <c r="Q716" i="1" a="1"/>
  <c r="Q716" i="1" s="1"/>
  <c r="Q715" i="1" a="1"/>
  <c r="Q715" i="1" s="1"/>
  <c r="Q714" i="1" a="1"/>
  <c r="Q714" i="1" s="1"/>
  <c r="Q713" i="1" a="1"/>
  <c r="Q713" i="1" s="1"/>
  <c r="Q712" i="1" a="1"/>
  <c r="Q712" i="1" s="1"/>
  <c r="Q711" i="1" a="1"/>
  <c r="Q711" i="1" s="1"/>
  <c r="Q710" i="1" a="1"/>
  <c r="Q710" i="1" s="1"/>
  <c r="Q709" i="1" a="1"/>
  <c r="Q709" i="1" s="1"/>
  <c r="Q708" i="1" a="1"/>
  <c r="Q708" i="1" s="1"/>
  <c r="Q707" i="1" a="1"/>
  <c r="Q707" i="1" s="1"/>
  <c r="Q706" i="1" a="1"/>
  <c r="Q706" i="1" s="1"/>
  <c r="Q705" i="1" a="1"/>
  <c r="Q705" i="1" s="1"/>
  <c r="Q704" i="1" a="1"/>
  <c r="Q704" i="1" s="1"/>
  <c r="Q703" i="1" a="1"/>
  <c r="Q703" i="1" s="1"/>
  <c r="Q702" i="1" a="1"/>
  <c r="Q702" i="1" s="1"/>
  <c r="Q701" i="1" a="1"/>
  <c r="Q701" i="1" s="1"/>
  <c r="Q700" i="1" a="1"/>
  <c r="Q700" i="1" s="1"/>
  <c r="Q699" i="1" a="1"/>
  <c r="Q699" i="1" s="1"/>
  <c r="Q698" i="1" a="1"/>
  <c r="Q698" i="1" s="1"/>
  <c r="Q697" i="1" a="1"/>
  <c r="Q697" i="1" s="1"/>
  <c r="Q696" i="1" a="1"/>
  <c r="Q696" i="1" s="1"/>
  <c r="Q695" i="1" a="1"/>
  <c r="Q695" i="1" s="1"/>
  <c r="Q694" i="1" a="1"/>
  <c r="Q694" i="1" s="1"/>
  <c r="Q693" i="1" a="1"/>
  <c r="Q693" i="1" s="1"/>
  <c r="Q692" i="1" a="1"/>
  <c r="Q692" i="1" s="1"/>
  <c r="Q691" i="1" a="1"/>
  <c r="Q691" i="1" s="1"/>
  <c r="Q690" i="1" a="1"/>
  <c r="Q690" i="1" s="1"/>
  <c r="Q689" i="1" a="1"/>
  <c r="Q689" i="1" s="1"/>
  <c r="Q688" i="1" a="1"/>
  <c r="Q688" i="1" s="1"/>
  <c r="Q687" i="1" a="1"/>
  <c r="Q687" i="1" s="1"/>
  <c r="Q686" i="1" a="1"/>
  <c r="Q686" i="1" s="1"/>
  <c r="Q685" i="1" a="1"/>
  <c r="Q685" i="1" s="1"/>
  <c r="Q684" i="1" a="1"/>
  <c r="Q684" i="1" s="1"/>
  <c r="Q683" i="1" a="1"/>
  <c r="Q683" i="1" s="1"/>
  <c r="Q682" i="1" a="1"/>
  <c r="Q682" i="1" s="1"/>
  <c r="Q681" i="1" a="1"/>
  <c r="Q681" i="1" s="1"/>
  <c r="Q680" i="1" a="1"/>
  <c r="Q680" i="1" s="1"/>
  <c r="Q679" i="1" a="1"/>
  <c r="Q679" i="1" s="1"/>
  <c r="Q678" i="1" a="1"/>
  <c r="Q678" i="1" s="1"/>
  <c r="Q677" i="1" a="1"/>
  <c r="Q677" i="1" s="1"/>
  <c r="Q676" i="1" a="1"/>
  <c r="Q676" i="1" s="1"/>
  <c r="Q675" i="1" a="1"/>
  <c r="Q675" i="1" s="1"/>
  <c r="Q674" i="1" a="1"/>
  <c r="Q674" i="1" s="1"/>
  <c r="Q673" i="1" a="1"/>
  <c r="Q673" i="1" s="1"/>
  <c r="Q672" i="1" a="1"/>
  <c r="Q672" i="1" s="1"/>
  <c r="Q671" i="1" a="1"/>
  <c r="Q671" i="1" s="1"/>
  <c r="Q670" i="1" a="1"/>
  <c r="Q670" i="1" s="1"/>
  <c r="Q669" i="1" a="1"/>
  <c r="Q669" i="1" s="1"/>
  <c r="Q668" i="1" a="1"/>
  <c r="Q668" i="1" s="1"/>
  <c r="Q667" i="1" a="1"/>
  <c r="Q667" i="1" s="1"/>
  <c r="Q666" i="1" a="1"/>
  <c r="Q666" i="1" s="1"/>
  <c r="Q665" i="1" a="1"/>
  <c r="Q665" i="1" s="1"/>
  <c r="Q664" i="1" a="1"/>
  <c r="Q664" i="1" s="1"/>
  <c r="Q663" i="1" a="1"/>
  <c r="Q663" i="1" s="1"/>
  <c r="Q662" i="1" a="1"/>
  <c r="Q662" i="1" s="1"/>
  <c r="Q661" i="1" a="1"/>
  <c r="Q661" i="1" s="1"/>
  <c r="Q660" i="1" a="1"/>
  <c r="Q660" i="1" s="1"/>
  <c r="Q659" i="1" a="1"/>
  <c r="Q659" i="1" s="1"/>
  <c r="Q658" i="1" a="1"/>
  <c r="Q658" i="1" s="1"/>
  <c r="Q657" i="1" a="1"/>
  <c r="Q657" i="1" s="1"/>
  <c r="Q656" i="1" a="1"/>
  <c r="Q656" i="1" s="1"/>
  <c r="Q655" i="1" a="1"/>
  <c r="Q655" i="1" s="1"/>
  <c r="Q654" i="1" a="1"/>
  <c r="Q654" i="1" s="1"/>
  <c r="Q653" i="1" a="1"/>
  <c r="Q653" i="1" s="1"/>
  <c r="Q652" i="1" a="1"/>
  <c r="Q652" i="1" s="1"/>
  <c r="Q651" i="1" a="1"/>
  <c r="Q651" i="1" s="1"/>
  <c r="Q650" i="1" a="1"/>
  <c r="Q650" i="1" s="1"/>
  <c r="Q649" i="1" a="1"/>
  <c r="Q649" i="1" s="1"/>
  <c r="Q648" i="1" a="1"/>
  <c r="Q648" i="1" s="1"/>
  <c r="Q647" i="1" a="1"/>
  <c r="Q647" i="1" s="1"/>
  <c r="Q646" i="1" a="1"/>
  <c r="Q646" i="1" s="1"/>
  <c r="Q645" i="1" a="1"/>
  <c r="Q645" i="1" s="1"/>
  <c r="Q644" i="1" a="1"/>
  <c r="Q644" i="1" s="1"/>
  <c r="Q643" i="1" a="1"/>
  <c r="Q643" i="1" s="1"/>
  <c r="Q642" i="1" a="1"/>
  <c r="Q642" i="1" s="1"/>
  <c r="Q641" i="1" a="1"/>
  <c r="Q641" i="1" s="1"/>
  <c r="Q640" i="1" a="1"/>
  <c r="Q640" i="1" s="1"/>
  <c r="Q639" i="1" a="1"/>
  <c r="Q639" i="1" s="1"/>
  <c r="Q638" i="1" a="1"/>
  <c r="Q638" i="1" s="1"/>
  <c r="Q637" i="1" a="1"/>
  <c r="Q637" i="1" s="1"/>
  <c r="Q636" i="1" a="1"/>
  <c r="Q636" i="1" s="1"/>
  <c r="Q635" i="1" a="1"/>
  <c r="Q635" i="1" s="1"/>
  <c r="Q634" i="1" a="1"/>
  <c r="Q634" i="1" s="1"/>
  <c r="Q633" i="1" a="1"/>
  <c r="Q633" i="1" s="1"/>
  <c r="Q632" i="1" a="1"/>
  <c r="Q632" i="1" s="1"/>
  <c r="Q631" i="1" a="1"/>
  <c r="Q631" i="1" s="1"/>
  <c r="Q630" i="1" a="1"/>
  <c r="Q630" i="1" s="1"/>
  <c r="Q629" i="1" a="1"/>
  <c r="Q629" i="1" s="1"/>
  <c r="Q628" i="1" a="1"/>
  <c r="Q628" i="1" s="1"/>
  <c r="Q627" i="1" a="1"/>
  <c r="Q627" i="1" s="1"/>
  <c r="Q626" i="1" a="1"/>
  <c r="Q626" i="1" s="1"/>
  <c r="Q625" i="1" a="1"/>
  <c r="Q625" i="1" s="1"/>
  <c r="Q624" i="1" a="1"/>
  <c r="Q624" i="1" s="1"/>
  <c r="Q623" i="1" a="1"/>
  <c r="Q623" i="1" s="1"/>
  <c r="Q622" i="1" a="1"/>
  <c r="Q622" i="1" s="1"/>
  <c r="Q621" i="1" a="1"/>
  <c r="Q621" i="1" s="1"/>
  <c r="Q620" i="1" a="1"/>
  <c r="Q620" i="1" s="1"/>
  <c r="Q619" i="1" a="1"/>
  <c r="Q619" i="1" s="1"/>
  <c r="Q618" i="1" a="1"/>
  <c r="Q618" i="1" s="1"/>
  <c r="Q617" i="1" a="1"/>
  <c r="Q617" i="1" s="1"/>
  <c r="Q616" i="1" a="1"/>
  <c r="Q616" i="1" s="1"/>
  <c r="Q615" i="1" a="1"/>
  <c r="Q615" i="1" s="1"/>
  <c r="Q614" i="1" a="1"/>
  <c r="Q614" i="1" s="1"/>
  <c r="Q613" i="1" a="1"/>
  <c r="Q613" i="1" s="1"/>
  <c r="Q612" i="1" a="1"/>
  <c r="Q612" i="1" s="1"/>
  <c r="Q611" i="1" a="1"/>
  <c r="Q611" i="1" s="1"/>
  <c r="Q610" i="1" a="1"/>
  <c r="Q610" i="1" s="1"/>
  <c r="Q609" i="1" a="1"/>
  <c r="Q609" i="1" s="1"/>
  <c r="Q608" i="1" a="1"/>
  <c r="Q608" i="1" s="1"/>
  <c r="Q607" i="1" a="1"/>
  <c r="Q607" i="1" s="1"/>
  <c r="Q606" i="1" a="1"/>
  <c r="Q606" i="1" s="1"/>
  <c r="Q605" i="1" a="1"/>
  <c r="Q605" i="1" s="1"/>
  <c r="Q604" i="1" a="1"/>
  <c r="Q604" i="1" s="1"/>
  <c r="Q603" i="1" a="1"/>
  <c r="Q603" i="1" s="1"/>
  <c r="Q602" i="1" a="1"/>
  <c r="Q602" i="1" s="1"/>
  <c r="Q601" i="1" a="1"/>
  <c r="Q601" i="1" s="1"/>
  <c r="Q600" i="1" a="1"/>
  <c r="Q600" i="1" s="1"/>
  <c r="Q599" i="1" a="1"/>
  <c r="Q599" i="1" s="1"/>
  <c r="Q598" i="1" a="1"/>
  <c r="Q598" i="1" s="1"/>
  <c r="Q597" i="1" a="1"/>
  <c r="Q597" i="1" s="1"/>
  <c r="Q596" i="1" a="1"/>
  <c r="Q596" i="1" s="1"/>
  <c r="Q595" i="1" a="1"/>
  <c r="Q595" i="1" s="1"/>
  <c r="Q594" i="1" a="1"/>
  <c r="Q594" i="1" s="1"/>
  <c r="Q593" i="1" a="1"/>
  <c r="Q593" i="1" s="1"/>
  <c r="Q592" i="1" a="1"/>
  <c r="Q592" i="1" s="1"/>
  <c r="Q591" i="1" a="1"/>
  <c r="Q591" i="1" s="1"/>
  <c r="Q590" i="1" a="1"/>
  <c r="Q590" i="1" s="1"/>
  <c r="Q589" i="1" a="1"/>
  <c r="Q589" i="1" s="1"/>
  <c r="Q588" i="1" a="1"/>
  <c r="Q588" i="1" s="1"/>
  <c r="Q587" i="1" a="1"/>
  <c r="Q587" i="1" s="1"/>
  <c r="Q586" i="1" a="1"/>
  <c r="Q586" i="1" s="1"/>
  <c r="Q585" i="1" a="1"/>
  <c r="Q585" i="1" s="1"/>
  <c r="Q584" i="1" a="1"/>
  <c r="Q584" i="1" s="1"/>
  <c r="Q583" i="1" a="1"/>
  <c r="Q583" i="1" s="1"/>
  <c r="Q582" i="1" a="1"/>
  <c r="Q582" i="1" s="1"/>
  <c r="Q581" i="1" a="1"/>
  <c r="Q581" i="1" s="1"/>
  <c r="Q580" i="1" a="1"/>
  <c r="Q580" i="1" s="1"/>
  <c r="Q579" i="1" a="1"/>
  <c r="Q579" i="1" s="1"/>
  <c r="Q578" i="1" a="1"/>
  <c r="Q578" i="1" s="1"/>
  <c r="Q577" i="1" a="1"/>
  <c r="Q577" i="1" s="1"/>
  <c r="Q576" i="1" a="1"/>
  <c r="Q576" i="1" s="1"/>
  <c r="Q575" i="1" a="1"/>
  <c r="Q575" i="1" s="1"/>
  <c r="Q574" i="1" a="1"/>
  <c r="Q574" i="1" s="1"/>
  <c r="Q573" i="1" a="1"/>
  <c r="Q573" i="1" s="1"/>
  <c r="Q572" i="1" a="1"/>
  <c r="Q572" i="1" s="1"/>
  <c r="Q571" i="1" a="1"/>
  <c r="Q571" i="1" s="1"/>
  <c r="Q570" i="1" a="1"/>
  <c r="Q570" i="1" s="1"/>
  <c r="Q569" i="1" a="1"/>
  <c r="Q569" i="1" s="1"/>
  <c r="Q568" i="1" a="1"/>
  <c r="Q568" i="1" s="1"/>
  <c r="Q567" i="1" a="1"/>
  <c r="Q567" i="1" s="1"/>
  <c r="Q566" i="1" a="1"/>
  <c r="Q566" i="1" s="1"/>
  <c r="Q565" i="1" a="1"/>
  <c r="Q565" i="1" s="1"/>
  <c r="Q564" i="1" a="1"/>
  <c r="Q564" i="1" s="1"/>
  <c r="Q563" i="1" a="1"/>
  <c r="Q563" i="1" s="1"/>
  <c r="Q562" i="1" a="1"/>
  <c r="Q562" i="1" s="1"/>
  <c r="Q561" i="1" a="1"/>
  <c r="Q561" i="1" s="1"/>
  <c r="Q560" i="1" a="1"/>
  <c r="Q560" i="1" s="1"/>
  <c r="Q559" i="1" a="1"/>
  <c r="Q559" i="1" s="1"/>
  <c r="Q558" i="1" a="1"/>
  <c r="Q558" i="1" s="1"/>
  <c r="Q557" i="1" a="1"/>
  <c r="Q557" i="1" s="1"/>
  <c r="Q556" i="1" a="1"/>
  <c r="Q556" i="1" s="1"/>
  <c r="Q555" i="1" a="1"/>
  <c r="Q555" i="1" s="1"/>
  <c r="Q554" i="1" a="1"/>
  <c r="Q554" i="1" s="1"/>
  <c r="Q553" i="1" a="1"/>
  <c r="Q553" i="1" s="1"/>
  <c r="Q552" i="1" a="1"/>
  <c r="Q552" i="1" s="1"/>
  <c r="Q551" i="1" a="1"/>
  <c r="Q551" i="1" s="1"/>
  <c r="Q550" i="1" a="1"/>
  <c r="Q550" i="1" s="1"/>
  <c r="Q549" i="1" a="1"/>
  <c r="Q549" i="1" s="1"/>
  <c r="Q548" i="1" a="1"/>
  <c r="Q548" i="1" s="1"/>
  <c r="Q547" i="1" a="1"/>
  <c r="Q547" i="1" s="1"/>
  <c r="Q546" i="1" a="1"/>
  <c r="Q546" i="1" s="1"/>
  <c r="Q545" i="1" a="1"/>
  <c r="Q545" i="1" s="1"/>
  <c r="Q544" i="1" a="1"/>
  <c r="Q544" i="1" s="1"/>
  <c r="Q543" i="1" a="1"/>
  <c r="Q543" i="1" s="1"/>
  <c r="Q542" i="1" a="1"/>
  <c r="Q542" i="1" s="1"/>
  <c r="Q541" i="1" a="1"/>
  <c r="Q541" i="1" s="1"/>
  <c r="Q540" i="1" a="1"/>
  <c r="Q540" i="1" s="1"/>
  <c r="Q539" i="1" a="1"/>
  <c r="Q539" i="1" s="1"/>
  <c r="Q538" i="1" a="1"/>
  <c r="Q538" i="1" s="1"/>
  <c r="Q537" i="1" a="1"/>
  <c r="Q537" i="1" s="1"/>
  <c r="Q536" i="1" a="1"/>
  <c r="Q536" i="1" s="1"/>
  <c r="Q535" i="1" a="1"/>
  <c r="Q535" i="1" s="1"/>
  <c r="Q534" i="1" a="1"/>
  <c r="Q534" i="1" s="1"/>
  <c r="Q533" i="1" a="1"/>
  <c r="Q533" i="1" s="1"/>
  <c r="Q532" i="1" a="1"/>
  <c r="Q532" i="1" s="1"/>
  <c r="Q531" i="1" a="1"/>
  <c r="Q531" i="1" s="1"/>
  <c r="Q530" i="1" a="1"/>
  <c r="Q530" i="1" s="1"/>
  <c r="Q529" i="1" a="1"/>
  <c r="Q529" i="1" s="1"/>
  <c r="Q528" i="1" a="1"/>
  <c r="Q528" i="1" s="1"/>
  <c r="Q527" i="1" a="1"/>
  <c r="Q527" i="1" s="1"/>
  <c r="Q526" i="1" a="1"/>
  <c r="Q526" i="1" s="1"/>
  <c r="Q525" i="1" a="1"/>
  <c r="Q525" i="1" s="1"/>
  <c r="Q524" i="1" a="1"/>
  <c r="Q524" i="1" s="1"/>
  <c r="Q523" i="1" a="1"/>
  <c r="Q523" i="1" s="1"/>
  <c r="Q522" i="1" a="1"/>
  <c r="Q522" i="1" s="1"/>
  <c r="Q521" i="1" a="1"/>
  <c r="Q521" i="1" s="1"/>
  <c r="Q520" i="1" a="1"/>
  <c r="Q520" i="1" s="1"/>
  <c r="Q519" i="1" a="1"/>
  <c r="Q519" i="1" s="1"/>
  <c r="Q518" i="1" a="1"/>
  <c r="Q518" i="1" s="1"/>
  <c r="Q517" i="1" a="1"/>
  <c r="Q517" i="1" s="1"/>
  <c r="Q516" i="1" a="1"/>
  <c r="Q516" i="1" s="1"/>
  <c r="Q515" i="1" a="1"/>
  <c r="Q515" i="1" s="1"/>
  <c r="Q514" i="1" a="1"/>
  <c r="Q514" i="1" s="1"/>
  <c r="Q513" i="1" a="1"/>
  <c r="Q513" i="1" s="1"/>
  <c r="Q512" i="1" a="1"/>
  <c r="Q512" i="1" s="1"/>
  <c r="Q511" i="1" a="1"/>
  <c r="Q511" i="1" s="1"/>
  <c r="Q510" i="1" a="1"/>
  <c r="Q510" i="1" s="1"/>
  <c r="Q509" i="1" a="1"/>
  <c r="Q509" i="1" s="1"/>
  <c r="Q508" i="1" a="1"/>
  <c r="Q508" i="1" s="1"/>
  <c r="Q507" i="1" a="1"/>
  <c r="Q507" i="1" s="1"/>
  <c r="Q506" i="1" a="1"/>
  <c r="Q506" i="1" s="1"/>
  <c r="Q505" i="1" a="1"/>
  <c r="Q505" i="1" s="1"/>
  <c r="Q504" i="1" a="1"/>
  <c r="Q504" i="1" s="1"/>
  <c r="Q503" i="1" a="1"/>
  <c r="Q503" i="1" s="1"/>
  <c r="Q502" i="1" a="1"/>
  <c r="Q502" i="1" s="1"/>
  <c r="Q501" i="1" a="1"/>
  <c r="Q501" i="1" s="1"/>
  <c r="Q500" i="1" a="1"/>
  <c r="Q500" i="1" s="1"/>
  <c r="Q499" i="1" a="1"/>
  <c r="Q499" i="1" s="1"/>
  <c r="Q498" i="1" a="1"/>
  <c r="Q498" i="1" s="1"/>
  <c r="Q497" i="1" a="1"/>
  <c r="Q497" i="1" s="1"/>
  <c r="Q496" i="1" a="1"/>
  <c r="Q496" i="1" s="1"/>
  <c r="Q495" i="1" a="1"/>
  <c r="Q495" i="1" s="1"/>
  <c r="Q494" i="1" a="1"/>
  <c r="Q494" i="1" s="1"/>
  <c r="Q493" i="1" a="1"/>
  <c r="Q493" i="1" s="1"/>
  <c r="Q492" i="1" a="1"/>
  <c r="Q492" i="1" s="1"/>
  <c r="Q491" i="1" a="1"/>
  <c r="Q491" i="1" s="1"/>
  <c r="Q490" i="1" a="1"/>
  <c r="Q490" i="1" s="1"/>
  <c r="Q489" i="1" a="1"/>
  <c r="Q489" i="1" s="1"/>
  <c r="Q488" i="1" a="1"/>
  <c r="Q488" i="1" s="1"/>
  <c r="Q487" i="1" a="1"/>
  <c r="Q487" i="1" s="1"/>
  <c r="Q486" i="1" a="1"/>
  <c r="Q486" i="1" s="1"/>
  <c r="Q485" i="1" a="1"/>
  <c r="Q485" i="1" s="1"/>
  <c r="Q484" i="1" a="1"/>
  <c r="Q484" i="1" s="1"/>
  <c r="Q483" i="1" a="1"/>
  <c r="Q483" i="1" s="1"/>
  <c r="Q482" i="1" a="1"/>
  <c r="Q482" i="1" s="1"/>
  <c r="Q481" i="1" a="1"/>
  <c r="Q481" i="1" s="1"/>
  <c r="Q480" i="1" a="1"/>
  <c r="Q480" i="1" s="1"/>
  <c r="Q479" i="1" a="1"/>
  <c r="Q479" i="1" s="1"/>
  <c r="Q478" i="1" a="1"/>
  <c r="Q478" i="1" s="1"/>
  <c r="Q477" i="1" a="1"/>
  <c r="Q477" i="1" s="1"/>
  <c r="Q476" i="1" a="1"/>
  <c r="Q476" i="1" s="1"/>
  <c r="Q475" i="1" a="1"/>
  <c r="Q475" i="1" s="1"/>
  <c r="Q474" i="1" a="1"/>
  <c r="Q474" i="1" s="1"/>
  <c r="Q473" i="1" a="1"/>
  <c r="Q473" i="1" s="1"/>
  <c r="Q472" i="1" a="1"/>
  <c r="Q472" i="1" s="1"/>
  <c r="Q471" i="1" a="1"/>
  <c r="Q471" i="1" s="1"/>
  <c r="Q470" i="1" a="1"/>
  <c r="Q470" i="1" s="1"/>
  <c r="Q469" i="1" a="1"/>
  <c r="Q469" i="1" s="1"/>
  <c r="Q468" i="1" a="1"/>
  <c r="Q468" i="1" s="1"/>
  <c r="Q467" i="1" a="1"/>
  <c r="Q467" i="1" s="1"/>
  <c r="Q466" i="1" a="1"/>
  <c r="Q466" i="1" s="1"/>
  <c r="Q465" i="1" a="1"/>
  <c r="Q465" i="1" s="1"/>
  <c r="Q464" i="1" a="1"/>
  <c r="Q464" i="1" s="1"/>
  <c r="Q463" i="1" a="1"/>
  <c r="Q463" i="1" s="1"/>
  <c r="Q462" i="1" a="1"/>
  <c r="Q462" i="1" s="1"/>
  <c r="Q461" i="1" a="1"/>
  <c r="Q461" i="1" s="1"/>
  <c r="Q460" i="1" a="1"/>
  <c r="Q460" i="1" s="1"/>
  <c r="Q459" i="1" a="1"/>
  <c r="Q459" i="1" s="1"/>
  <c r="Q458" i="1" a="1"/>
  <c r="Q458" i="1" s="1"/>
  <c r="Q457" i="1" a="1"/>
  <c r="Q457" i="1" s="1"/>
  <c r="Q456" i="1" a="1"/>
  <c r="Q456" i="1" s="1"/>
  <c r="Q455" i="1" a="1"/>
  <c r="Q455" i="1" s="1"/>
  <c r="Q454" i="1" a="1"/>
  <c r="Q454" i="1" s="1"/>
  <c r="Q453" i="1" a="1"/>
  <c r="Q453" i="1" s="1"/>
  <c r="Q452" i="1" a="1"/>
  <c r="Q452" i="1" s="1"/>
  <c r="Q451" i="1" a="1"/>
  <c r="Q451" i="1" s="1"/>
  <c r="Q450" i="1" a="1"/>
  <c r="Q450" i="1" s="1"/>
  <c r="Q449" i="1" a="1"/>
  <c r="Q449" i="1" s="1"/>
  <c r="Q448" i="1" a="1"/>
  <c r="Q448" i="1" s="1"/>
  <c r="Q447" i="1" a="1"/>
  <c r="Q447" i="1" s="1"/>
  <c r="Q446" i="1" a="1"/>
  <c r="Q446" i="1" s="1"/>
  <c r="Q445" i="1" a="1"/>
  <c r="Q445" i="1" s="1"/>
  <c r="Q444" i="1" a="1"/>
  <c r="Q444" i="1" s="1"/>
  <c r="Q443" i="1" a="1"/>
  <c r="Q443" i="1" s="1"/>
  <c r="Q442" i="1" a="1"/>
  <c r="Q442" i="1" s="1"/>
  <c r="Q441" i="1" a="1"/>
  <c r="Q441" i="1" s="1"/>
  <c r="Q440" i="1" a="1"/>
  <c r="Q440" i="1" s="1"/>
  <c r="Q439" i="1" a="1"/>
  <c r="Q439" i="1" s="1"/>
  <c r="Q438" i="1" a="1"/>
  <c r="Q438" i="1" s="1"/>
  <c r="Q437" i="1" a="1"/>
  <c r="Q437" i="1" s="1"/>
  <c r="Q436" i="1" a="1"/>
  <c r="Q436" i="1" s="1"/>
  <c r="Q435" i="1" a="1"/>
  <c r="Q435" i="1" s="1"/>
  <c r="Q434" i="1" a="1"/>
  <c r="Q434" i="1" s="1"/>
  <c r="Q433" i="1" a="1"/>
  <c r="Q433" i="1" s="1"/>
  <c r="Q432" i="1" a="1"/>
  <c r="Q432" i="1" s="1"/>
  <c r="Q431" i="1" a="1"/>
  <c r="Q431" i="1" s="1"/>
  <c r="Q430" i="1" a="1"/>
  <c r="Q430" i="1" s="1"/>
  <c r="Q429" i="1" a="1"/>
  <c r="Q429" i="1" s="1"/>
  <c r="Q428" i="1" a="1"/>
  <c r="Q428" i="1" s="1"/>
  <c r="Q427" i="1" a="1"/>
  <c r="Q427" i="1" s="1"/>
  <c r="Q426" i="1" a="1"/>
  <c r="Q426" i="1" s="1"/>
  <c r="Q425" i="1" a="1"/>
  <c r="Q425" i="1" s="1"/>
  <c r="Q424" i="1" a="1"/>
  <c r="Q424" i="1" s="1"/>
  <c r="Q423" i="1" a="1"/>
  <c r="Q423" i="1" s="1"/>
  <c r="Q422" i="1" a="1"/>
  <c r="Q422" i="1" s="1"/>
  <c r="Q421" i="1" a="1"/>
  <c r="Q421" i="1" s="1"/>
  <c r="Q420" i="1" a="1"/>
  <c r="Q420" i="1" s="1"/>
  <c r="Q419" i="1" a="1"/>
  <c r="Q419" i="1" s="1"/>
  <c r="Q418" i="1" a="1"/>
  <c r="Q418" i="1" s="1"/>
  <c r="Q417" i="1" a="1"/>
  <c r="Q417" i="1" s="1"/>
  <c r="Q416" i="1" a="1"/>
  <c r="Q416" i="1" s="1"/>
  <c r="Q415" i="1" a="1"/>
  <c r="Q415" i="1" s="1"/>
  <c r="Q414" i="1" a="1"/>
  <c r="Q414" i="1" s="1"/>
  <c r="Q413" i="1" a="1"/>
  <c r="Q413" i="1" s="1"/>
  <c r="Q412" i="1" a="1"/>
  <c r="Q412" i="1" s="1"/>
  <c r="Q411" i="1" a="1"/>
  <c r="Q411" i="1" s="1"/>
  <c r="Q410" i="1" a="1"/>
  <c r="Q410" i="1" s="1"/>
  <c r="Q409" i="1" a="1"/>
  <c r="Q409" i="1" s="1"/>
  <c r="Q408" i="1" a="1"/>
  <c r="Q408" i="1" s="1"/>
  <c r="Q407" i="1" a="1"/>
  <c r="Q407" i="1" s="1"/>
  <c r="Q406" i="1" a="1"/>
  <c r="Q406" i="1" s="1"/>
  <c r="Q405" i="1" a="1"/>
  <c r="Q405" i="1" s="1"/>
  <c r="Q404" i="1" a="1"/>
  <c r="Q404" i="1" s="1"/>
  <c r="Q403" i="1" a="1"/>
  <c r="Q403" i="1" s="1"/>
  <c r="Q402" i="1" a="1"/>
  <c r="Q402" i="1" s="1"/>
  <c r="Q401" i="1" a="1"/>
  <c r="Q401" i="1" s="1"/>
  <c r="Q400" i="1" a="1"/>
  <c r="Q400" i="1" s="1"/>
  <c r="Q399" i="1" a="1"/>
  <c r="Q399" i="1" s="1"/>
  <c r="Q398" i="1" a="1"/>
  <c r="Q398" i="1" s="1"/>
  <c r="Q397" i="1" a="1"/>
  <c r="Q397" i="1" s="1"/>
  <c r="Q396" i="1" a="1"/>
  <c r="Q396" i="1" s="1"/>
  <c r="Q395" i="1" a="1"/>
  <c r="Q395" i="1" s="1"/>
  <c r="Q394" i="1" a="1"/>
  <c r="Q394" i="1" s="1"/>
  <c r="Q393" i="1" a="1"/>
  <c r="Q393" i="1" s="1"/>
  <c r="Q392" i="1" a="1"/>
  <c r="Q392" i="1" s="1"/>
  <c r="Q391" i="1" a="1"/>
  <c r="Q391" i="1" s="1"/>
  <c r="Q390" i="1" a="1"/>
  <c r="Q390" i="1" s="1"/>
  <c r="Q389" i="1" a="1"/>
  <c r="Q389" i="1" s="1"/>
  <c r="Q388" i="1" a="1"/>
  <c r="Q388" i="1" s="1"/>
  <c r="Q387" i="1" a="1"/>
  <c r="Q387" i="1" s="1"/>
  <c r="Q386" i="1" a="1"/>
  <c r="Q386" i="1" s="1"/>
  <c r="Q385" i="1" a="1"/>
  <c r="Q385" i="1" s="1"/>
  <c r="Q384" i="1" a="1"/>
  <c r="Q384" i="1" s="1"/>
  <c r="Q383" i="1" a="1"/>
  <c r="Q383" i="1" s="1"/>
  <c r="Q382" i="1" a="1"/>
  <c r="Q382" i="1" s="1"/>
  <c r="Q381" i="1" a="1"/>
  <c r="Q381" i="1" s="1"/>
  <c r="Q380" i="1" a="1"/>
  <c r="Q380" i="1" s="1"/>
  <c r="Q379" i="1" a="1"/>
  <c r="Q379" i="1" s="1"/>
  <c r="Q378" i="1" a="1"/>
  <c r="Q378" i="1" s="1"/>
  <c r="Q377" i="1" a="1"/>
  <c r="Q377" i="1" s="1"/>
  <c r="Q376" i="1" a="1"/>
  <c r="Q376" i="1" s="1"/>
  <c r="Q375" i="1" a="1"/>
  <c r="Q375" i="1" s="1"/>
  <c r="Q374" i="1" a="1"/>
  <c r="Q374" i="1" s="1"/>
  <c r="Q373" i="1" a="1"/>
  <c r="Q373" i="1" s="1"/>
  <c r="Q372" i="1" a="1"/>
  <c r="Q372" i="1" s="1"/>
  <c r="Q371" i="1" a="1"/>
  <c r="Q371" i="1" s="1"/>
  <c r="Q370" i="1" a="1"/>
  <c r="Q370" i="1" s="1"/>
  <c r="Q369" i="1" a="1"/>
  <c r="Q369" i="1" s="1"/>
  <c r="Q368" i="1" a="1"/>
  <c r="Q368" i="1" s="1"/>
  <c r="Q367" i="1" a="1"/>
  <c r="Q367" i="1" s="1"/>
  <c r="Q366" i="1" a="1"/>
  <c r="Q366" i="1" s="1"/>
  <c r="Q365" i="1" a="1"/>
  <c r="Q365" i="1" s="1"/>
  <c r="Q364" i="1" a="1"/>
  <c r="Q364" i="1" s="1"/>
  <c r="Q363" i="1" a="1"/>
  <c r="Q363" i="1" s="1"/>
  <c r="Q362" i="1" a="1"/>
  <c r="Q362" i="1" s="1"/>
  <c r="Q361" i="1" a="1"/>
  <c r="Q361" i="1" s="1"/>
  <c r="Q360" i="1" a="1"/>
  <c r="Q360" i="1" s="1"/>
  <c r="Q359" i="1" a="1"/>
  <c r="Q359" i="1" s="1"/>
  <c r="Q358" i="1" a="1"/>
  <c r="Q358" i="1" s="1"/>
  <c r="Q357" i="1" a="1"/>
  <c r="Q357" i="1" s="1"/>
  <c r="Q356" i="1" a="1"/>
  <c r="Q356" i="1" s="1"/>
  <c r="Q355" i="1" a="1"/>
  <c r="Q355" i="1" s="1"/>
  <c r="Q354" i="1" a="1"/>
  <c r="Q354" i="1" s="1"/>
  <c r="Q353" i="1" a="1"/>
  <c r="Q353" i="1" s="1"/>
  <c r="Q352" i="1" a="1"/>
  <c r="Q352" i="1" s="1"/>
  <c r="Q351" i="1" a="1"/>
  <c r="Q351" i="1" s="1"/>
  <c r="Q350" i="1" a="1"/>
  <c r="Q350" i="1" s="1"/>
  <c r="Q349" i="1" a="1"/>
  <c r="Q349" i="1" s="1"/>
  <c r="Q348" i="1" a="1"/>
  <c r="Q348" i="1" s="1"/>
  <c r="Q347" i="1" a="1"/>
  <c r="Q347" i="1" s="1"/>
  <c r="Q346" i="1" a="1"/>
  <c r="Q346" i="1" s="1"/>
  <c r="Q345" i="1" a="1"/>
  <c r="Q345" i="1" s="1"/>
  <c r="Q344" i="1" a="1"/>
  <c r="Q344" i="1" s="1"/>
  <c r="Q343" i="1" a="1"/>
  <c r="Q343" i="1" s="1"/>
  <c r="Q342" i="1" a="1"/>
  <c r="Q342" i="1" s="1"/>
  <c r="Q341" i="1" a="1"/>
  <c r="Q341" i="1" s="1"/>
  <c r="Q340" i="1" a="1"/>
  <c r="Q340" i="1" s="1"/>
  <c r="Q339" i="1" a="1"/>
  <c r="Q339" i="1" s="1"/>
  <c r="Q338" i="1" a="1"/>
  <c r="Q338" i="1" s="1"/>
  <c r="Q337" i="1" a="1"/>
  <c r="Q337" i="1" s="1"/>
  <c r="Q336" i="1" a="1"/>
  <c r="Q336" i="1" s="1"/>
  <c r="Q335" i="1" a="1"/>
  <c r="Q335" i="1" s="1"/>
  <c r="Q334" i="1" a="1"/>
  <c r="Q334" i="1" s="1"/>
  <c r="Q333" i="1" a="1"/>
  <c r="Q333" i="1" s="1"/>
  <c r="Q332" i="1" a="1"/>
  <c r="Q332" i="1" s="1"/>
  <c r="Q331" i="1" a="1"/>
  <c r="Q331" i="1" s="1"/>
  <c r="Q330" i="1" a="1"/>
  <c r="Q330" i="1" s="1"/>
  <c r="Q329" i="1" a="1"/>
  <c r="Q329" i="1" s="1"/>
  <c r="Q328" i="1" a="1"/>
  <c r="Q328" i="1" s="1"/>
  <c r="Q327" i="1" a="1"/>
  <c r="Q327" i="1" s="1"/>
  <c r="Q326" i="1" a="1"/>
  <c r="Q326" i="1" s="1"/>
  <c r="Q325" i="1" a="1"/>
  <c r="Q325" i="1" s="1"/>
  <c r="Q324" i="1" a="1"/>
  <c r="Q324" i="1" s="1"/>
  <c r="Q323" i="1" a="1"/>
  <c r="Q323" i="1" s="1"/>
  <c r="Q322" i="1" a="1"/>
  <c r="Q322" i="1" s="1"/>
  <c r="Q321" i="1" a="1"/>
  <c r="Q321" i="1" s="1"/>
  <c r="Q320" i="1" a="1"/>
  <c r="Q320" i="1" s="1"/>
  <c r="Q319" i="1" a="1"/>
  <c r="Q319" i="1" s="1"/>
  <c r="Q318" i="1" a="1"/>
  <c r="Q318" i="1" s="1"/>
  <c r="Q317" i="1" a="1"/>
  <c r="Q317" i="1" s="1"/>
  <c r="Q316" i="1" a="1"/>
  <c r="Q316" i="1" s="1"/>
  <c r="Q315" i="1" a="1"/>
  <c r="Q315" i="1" s="1"/>
  <c r="Q314" i="1" a="1"/>
  <c r="Q314" i="1" s="1"/>
  <c r="Q313" i="1" a="1"/>
  <c r="Q313" i="1" s="1"/>
  <c r="Q312" i="1" a="1"/>
  <c r="Q312" i="1" s="1"/>
  <c r="Q311" i="1" a="1"/>
  <c r="Q311" i="1" s="1"/>
  <c r="Q310" i="1" a="1"/>
  <c r="Q310" i="1" s="1"/>
  <c r="Q309" i="1" a="1"/>
  <c r="Q309" i="1" s="1"/>
  <c r="Q308" i="1" a="1"/>
  <c r="Q308" i="1" s="1"/>
  <c r="Q307" i="1" a="1"/>
  <c r="Q307" i="1" s="1"/>
  <c r="Q306" i="1" a="1"/>
  <c r="Q306" i="1" s="1"/>
  <c r="Q305" i="1" a="1"/>
  <c r="Q305" i="1" s="1"/>
  <c r="Q304" i="1" a="1"/>
  <c r="Q304" i="1" s="1"/>
  <c r="Q303" i="1" a="1"/>
  <c r="Q303" i="1" s="1"/>
  <c r="Q302" i="1" a="1"/>
  <c r="Q302" i="1" s="1"/>
  <c r="Q301" i="1" a="1"/>
  <c r="Q301" i="1" s="1"/>
  <c r="Q300" i="1" a="1"/>
  <c r="Q300" i="1" s="1"/>
  <c r="Q299" i="1" a="1"/>
  <c r="Q299" i="1" s="1"/>
  <c r="Q298" i="1" a="1"/>
  <c r="Q298" i="1" s="1"/>
  <c r="Q297" i="1" a="1"/>
  <c r="Q297" i="1" s="1"/>
  <c r="Q296" i="1" a="1"/>
  <c r="Q296" i="1" s="1"/>
  <c r="Q295" i="1" a="1"/>
  <c r="Q295" i="1" s="1"/>
  <c r="Q294" i="1" a="1"/>
  <c r="Q294" i="1" s="1"/>
  <c r="Q293" i="1" a="1"/>
  <c r="Q293" i="1" s="1"/>
  <c r="Q292" i="1" a="1"/>
  <c r="Q292" i="1" s="1"/>
  <c r="Q291" i="1" a="1"/>
  <c r="Q291" i="1" s="1"/>
  <c r="Q290" i="1" a="1"/>
  <c r="Q290" i="1" s="1"/>
  <c r="Q289" i="1" a="1"/>
  <c r="Q289" i="1" s="1"/>
  <c r="Q288" i="1" a="1"/>
  <c r="Q288" i="1" s="1"/>
  <c r="Q287" i="1" a="1"/>
  <c r="Q287" i="1" s="1"/>
  <c r="Q286" i="1" a="1"/>
  <c r="Q286" i="1" s="1"/>
  <c r="Q285" i="1" a="1"/>
  <c r="Q285" i="1" s="1"/>
  <c r="Q284" i="1" a="1"/>
  <c r="Q284" i="1" s="1"/>
  <c r="Q283" i="1" a="1"/>
  <c r="Q283" i="1" s="1"/>
  <c r="Q282" i="1" a="1"/>
  <c r="Q282" i="1" s="1"/>
  <c r="Q281" i="1" a="1"/>
  <c r="Q281" i="1" s="1"/>
  <c r="Q280" i="1" a="1"/>
  <c r="Q280" i="1" s="1"/>
  <c r="Q279" i="1" a="1"/>
  <c r="Q279" i="1" s="1"/>
  <c r="Q278" i="1" a="1"/>
  <c r="Q278" i="1" s="1"/>
  <c r="Q277" i="1" a="1"/>
  <c r="Q277" i="1" s="1"/>
  <c r="Q276" i="1" a="1"/>
  <c r="Q276" i="1" s="1"/>
  <c r="Q275" i="1" a="1"/>
  <c r="Q275" i="1" s="1"/>
  <c r="Q274" i="1" a="1"/>
  <c r="Q274" i="1" s="1"/>
  <c r="Q273" i="1" a="1"/>
  <c r="Q273" i="1" s="1"/>
  <c r="Q272" i="1" a="1"/>
  <c r="Q272" i="1" s="1"/>
  <c r="Q271" i="1" a="1"/>
  <c r="Q271" i="1" s="1"/>
  <c r="Q270" i="1" a="1"/>
  <c r="Q270" i="1" s="1"/>
  <c r="Q269" i="1" a="1"/>
  <c r="Q269" i="1" s="1"/>
  <c r="Q268" i="1" a="1"/>
  <c r="Q268" i="1" s="1"/>
  <c r="Q267" i="1" a="1"/>
  <c r="Q267" i="1" s="1"/>
  <c r="Q266" i="1" a="1"/>
  <c r="Q266" i="1" s="1"/>
  <c r="Q265" i="1" a="1"/>
  <c r="Q265" i="1" s="1"/>
  <c r="Q264" i="1" a="1"/>
  <c r="Q264" i="1" s="1"/>
  <c r="Q263" i="1" a="1"/>
  <c r="Q263" i="1" s="1"/>
  <c r="Q262" i="1" a="1"/>
  <c r="Q262" i="1" s="1"/>
  <c r="Q261" i="1" a="1"/>
  <c r="Q261" i="1" s="1"/>
  <c r="Q260" i="1" a="1"/>
  <c r="Q260" i="1" s="1"/>
  <c r="Q259" i="1" a="1"/>
  <c r="Q259" i="1" s="1"/>
  <c r="Q258" i="1" a="1"/>
  <c r="Q258" i="1" s="1"/>
  <c r="Q257" i="1" a="1"/>
  <c r="Q257" i="1" s="1"/>
  <c r="Q256" i="1" a="1"/>
  <c r="Q256" i="1" s="1"/>
  <c r="Q255" i="1" a="1"/>
  <c r="Q255" i="1" s="1"/>
  <c r="Q254" i="1" a="1"/>
  <c r="Q254" i="1" s="1"/>
  <c r="Q253" i="1" a="1"/>
  <c r="Q253" i="1" s="1"/>
  <c r="Q252" i="1" a="1"/>
  <c r="Q252" i="1" s="1"/>
  <c r="Q251" i="1" a="1"/>
  <c r="Q251" i="1" s="1"/>
  <c r="Q250" i="1" a="1"/>
  <c r="Q250" i="1" s="1"/>
  <c r="Q249" i="1" a="1"/>
  <c r="Q249" i="1" s="1"/>
  <c r="Q248" i="1" a="1"/>
  <c r="Q248" i="1" s="1"/>
  <c r="Q247" i="1" a="1"/>
  <c r="Q247" i="1" s="1"/>
  <c r="Q246" i="1" a="1"/>
  <c r="Q246" i="1" s="1"/>
  <c r="Q245" i="1" a="1"/>
  <c r="Q245" i="1" s="1"/>
  <c r="Q244" i="1" a="1"/>
  <c r="Q244" i="1" s="1"/>
  <c r="Q243" i="1" a="1"/>
  <c r="Q243" i="1" s="1"/>
  <c r="Q242" i="1" a="1"/>
  <c r="Q242" i="1" s="1"/>
  <c r="Q241" i="1" a="1"/>
  <c r="Q241" i="1" s="1"/>
  <c r="Q240" i="1" a="1"/>
  <c r="Q240" i="1" s="1"/>
  <c r="Q239" i="1" a="1"/>
  <c r="Q239" i="1" s="1"/>
  <c r="Q238" i="1" a="1"/>
  <c r="Q238" i="1" s="1"/>
  <c r="Q237" i="1" a="1"/>
  <c r="Q237" i="1" s="1"/>
  <c r="Q236" i="1" a="1"/>
  <c r="Q236" i="1" s="1"/>
  <c r="Q235" i="1" a="1"/>
  <c r="Q235" i="1" s="1"/>
  <c r="Q234" i="1" a="1"/>
  <c r="Q234" i="1" s="1"/>
  <c r="Q233" i="1" a="1"/>
  <c r="Q233" i="1" s="1"/>
  <c r="Q232" i="1" a="1"/>
  <c r="Q232" i="1" s="1"/>
  <c r="Q231" i="1" a="1"/>
  <c r="Q231" i="1" s="1"/>
  <c r="Q230" i="1" a="1"/>
  <c r="Q230" i="1" s="1"/>
  <c r="Q229" i="1" a="1"/>
  <c r="Q229" i="1" s="1"/>
  <c r="Q228" i="1" a="1"/>
  <c r="Q228" i="1" s="1"/>
  <c r="Q227" i="1" a="1"/>
  <c r="Q227" i="1" s="1"/>
  <c r="Q226" i="1" a="1"/>
  <c r="Q226" i="1" s="1"/>
  <c r="Q225" i="1" a="1"/>
  <c r="Q225" i="1" s="1"/>
  <c r="Q224" i="1" a="1"/>
  <c r="Q224" i="1" s="1"/>
  <c r="Q223" i="1" a="1"/>
  <c r="Q223" i="1" s="1"/>
  <c r="Q222" i="1" a="1"/>
  <c r="Q222" i="1" s="1"/>
  <c r="Q221" i="1" a="1"/>
  <c r="Q221" i="1" s="1"/>
  <c r="Q220" i="1" a="1"/>
  <c r="Q220" i="1" s="1"/>
  <c r="Q219" i="1" a="1"/>
  <c r="Q219" i="1" s="1"/>
  <c r="Q218" i="1" a="1"/>
  <c r="Q218" i="1" s="1"/>
  <c r="Q217" i="1" a="1"/>
  <c r="Q217" i="1" s="1"/>
  <c r="Q216" i="1" a="1"/>
  <c r="Q216" i="1" s="1"/>
  <c r="Q215" i="1" a="1"/>
  <c r="Q215" i="1" s="1"/>
  <c r="Q214" i="1" a="1"/>
  <c r="Q214" i="1" s="1"/>
  <c r="Q213" i="1" a="1"/>
  <c r="Q213" i="1" s="1"/>
  <c r="Q212" i="1" a="1"/>
  <c r="Q212" i="1" s="1"/>
  <c r="Q211" i="1" a="1"/>
  <c r="Q211" i="1" s="1"/>
  <c r="Q210" i="1" a="1"/>
  <c r="Q210" i="1" s="1"/>
  <c r="Q209" i="1" a="1"/>
  <c r="Q209" i="1" s="1"/>
  <c r="Q208" i="1" a="1"/>
  <c r="Q208" i="1" s="1"/>
  <c r="Q207" i="1" a="1"/>
  <c r="Q207" i="1" s="1"/>
  <c r="Q206" i="1" a="1"/>
  <c r="Q206" i="1" s="1"/>
  <c r="Q205" i="1" a="1"/>
  <c r="Q205" i="1" s="1"/>
  <c r="Q204" i="1" a="1"/>
  <c r="Q204" i="1" s="1"/>
  <c r="Q203" i="1" a="1"/>
  <c r="Q203" i="1" s="1"/>
  <c r="Q202" i="1" a="1"/>
  <c r="Q202" i="1" s="1"/>
  <c r="Q201" i="1" a="1"/>
  <c r="Q201" i="1" s="1"/>
  <c r="Q200" i="1" a="1"/>
  <c r="Q200" i="1" s="1"/>
  <c r="Q199" i="1" a="1"/>
  <c r="Q199" i="1" s="1"/>
  <c r="Q198" i="1" a="1"/>
  <c r="Q198" i="1" s="1"/>
  <c r="Q197" i="1" a="1"/>
  <c r="Q197" i="1" s="1"/>
  <c r="Q196" i="1" a="1"/>
  <c r="Q196" i="1" s="1"/>
  <c r="Q195" i="1" a="1"/>
  <c r="Q195" i="1" s="1"/>
  <c r="Q194" i="1" a="1"/>
  <c r="Q194" i="1" s="1"/>
  <c r="Q193" i="1" a="1"/>
  <c r="Q193" i="1" s="1"/>
  <c r="Q192" i="1" a="1"/>
  <c r="Q192" i="1" s="1"/>
  <c r="Q191" i="1" a="1"/>
  <c r="Q191" i="1" s="1"/>
  <c r="Q190" i="1" a="1"/>
  <c r="Q190" i="1" s="1"/>
  <c r="Q189" i="1" a="1"/>
  <c r="Q189" i="1" s="1"/>
  <c r="Q188" i="1" a="1"/>
  <c r="Q188" i="1" s="1"/>
  <c r="Q187" i="1" a="1"/>
  <c r="Q187" i="1" s="1"/>
  <c r="Q186" i="1" a="1"/>
  <c r="Q186" i="1" s="1"/>
  <c r="Q185" i="1" a="1"/>
  <c r="Q185" i="1" s="1"/>
  <c r="Q184" i="1" a="1"/>
  <c r="Q184" i="1" s="1"/>
  <c r="Q183" i="1" a="1"/>
  <c r="Q183" i="1" s="1"/>
  <c r="Q182" i="1" a="1"/>
  <c r="Q182" i="1" s="1"/>
  <c r="Q181" i="1" a="1"/>
  <c r="Q181" i="1" s="1"/>
  <c r="Q180" i="1" a="1"/>
  <c r="Q180" i="1" s="1"/>
  <c r="Q179" i="1" a="1"/>
  <c r="Q179" i="1" s="1"/>
  <c r="Q178" i="1" a="1"/>
  <c r="Q178" i="1" s="1"/>
  <c r="Q177" i="1" a="1"/>
  <c r="Q177" i="1" s="1"/>
  <c r="Q176" i="1" a="1"/>
  <c r="Q176" i="1" s="1"/>
  <c r="Q175" i="1" a="1"/>
  <c r="Q175" i="1" s="1"/>
  <c r="Q174" i="1" a="1"/>
  <c r="Q174" i="1" s="1"/>
  <c r="Q173" i="1" a="1"/>
  <c r="Q173" i="1" s="1"/>
  <c r="Q172" i="1" a="1"/>
  <c r="Q172" i="1" s="1"/>
  <c r="Q171" i="1" a="1"/>
  <c r="Q171" i="1" s="1"/>
  <c r="Q170" i="1" a="1"/>
  <c r="Q170" i="1" s="1"/>
  <c r="Q169" i="1" a="1"/>
  <c r="Q169" i="1" s="1"/>
  <c r="Q168" i="1" a="1"/>
  <c r="Q168" i="1" s="1"/>
  <c r="Q167" i="1" a="1"/>
  <c r="Q167" i="1" s="1"/>
  <c r="Q166" i="1" a="1"/>
  <c r="Q166" i="1" s="1"/>
  <c r="Q165" i="1" a="1"/>
  <c r="Q165" i="1" s="1"/>
  <c r="Q164" i="1" a="1"/>
  <c r="Q164" i="1" s="1"/>
  <c r="Q163" i="1" a="1"/>
  <c r="Q163" i="1" s="1"/>
  <c r="Q162" i="1" a="1"/>
  <c r="Q162" i="1" s="1"/>
  <c r="Q161" i="1" a="1"/>
  <c r="Q161" i="1" s="1"/>
  <c r="Q160" i="1" a="1"/>
  <c r="Q160" i="1" s="1"/>
  <c r="Q159" i="1" a="1"/>
  <c r="Q159" i="1" s="1"/>
  <c r="Q158" i="1" a="1"/>
  <c r="Q158" i="1" s="1"/>
  <c r="Q157" i="1" a="1"/>
  <c r="Q157" i="1" s="1"/>
  <c r="Q156" i="1" a="1"/>
  <c r="Q156" i="1" s="1"/>
  <c r="Q155" i="1" a="1"/>
  <c r="Q155" i="1" s="1"/>
  <c r="Q154" i="1" a="1"/>
  <c r="Q154" i="1" s="1"/>
  <c r="Q153" i="1" a="1"/>
  <c r="Q153" i="1" s="1"/>
  <c r="Q152" i="1" a="1"/>
  <c r="Q152" i="1" s="1"/>
  <c r="Q151" i="1" a="1"/>
  <c r="Q151" i="1" s="1"/>
  <c r="Q150" i="1" a="1"/>
  <c r="Q150" i="1" s="1"/>
  <c r="Q149" i="1" a="1"/>
  <c r="Q149" i="1" s="1"/>
  <c r="Q148" i="1" a="1"/>
  <c r="Q148" i="1" s="1"/>
  <c r="Q147" i="1" a="1"/>
  <c r="Q147" i="1" s="1"/>
  <c r="Q146" i="1" a="1"/>
  <c r="Q146" i="1" s="1"/>
  <c r="Q145" i="1" a="1"/>
  <c r="Q145" i="1" s="1"/>
  <c r="Q144" i="1" a="1"/>
  <c r="Q144" i="1" s="1"/>
  <c r="Q143" i="1" a="1"/>
  <c r="Q143" i="1" s="1"/>
  <c r="Q142" i="1" a="1"/>
  <c r="Q142" i="1" s="1"/>
  <c r="Q141" i="1" a="1"/>
  <c r="Q141" i="1" s="1"/>
  <c r="Q140" i="1" a="1"/>
  <c r="Q140" i="1" s="1"/>
  <c r="Q139" i="1" a="1"/>
  <c r="Q139" i="1" s="1"/>
  <c r="Q138" i="1" a="1"/>
  <c r="Q138" i="1" s="1"/>
  <c r="Q137" i="1" a="1"/>
  <c r="Q137" i="1" s="1"/>
  <c r="Q136" i="1" a="1"/>
  <c r="Q136" i="1" s="1"/>
  <c r="Q135" i="1" a="1"/>
  <c r="Q135" i="1" s="1"/>
  <c r="Q134" i="1" a="1"/>
  <c r="Q134" i="1" s="1"/>
  <c r="Q133" i="1" a="1"/>
  <c r="Q133" i="1" s="1"/>
  <c r="Q132" i="1" a="1"/>
  <c r="Q132" i="1" s="1"/>
  <c r="Q131" i="1" a="1"/>
  <c r="Q131" i="1" s="1"/>
  <c r="Q130" i="1" a="1"/>
  <c r="Q130" i="1" s="1"/>
  <c r="Q129" i="1" a="1"/>
  <c r="Q129" i="1" s="1"/>
  <c r="Q128" i="1" a="1"/>
  <c r="Q128" i="1" s="1"/>
  <c r="Q127" i="1" a="1"/>
  <c r="Q127" i="1" s="1"/>
  <c r="Q126" i="1" a="1"/>
  <c r="Q126" i="1" s="1"/>
  <c r="Q125" i="1" a="1"/>
  <c r="Q125" i="1" s="1"/>
  <c r="Q124" i="1" a="1"/>
  <c r="Q124" i="1" s="1"/>
  <c r="Q123" i="1" a="1"/>
  <c r="Q123" i="1" s="1"/>
  <c r="Q122" i="1" a="1"/>
  <c r="Q122" i="1" s="1"/>
  <c r="Q121" i="1" a="1"/>
  <c r="Q121" i="1" s="1"/>
  <c r="Q120" i="1" a="1"/>
  <c r="Q120" i="1" s="1"/>
  <c r="Q119" i="1" a="1"/>
  <c r="Q119" i="1" s="1"/>
  <c r="Q118" i="1" a="1"/>
  <c r="Q118" i="1" s="1"/>
  <c r="Q117" i="1" a="1"/>
  <c r="Q117" i="1" s="1"/>
  <c r="Q116" i="1" a="1"/>
  <c r="Q116" i="1" s="1"/>
  <c r="Q115" i="1" a="1"/>
  <c r="Q115" i="1" s="1"/>
  <c r="Q114" i="1" a="1"/>
  <c r="Q114" i="1" s="1"/>
  <c r="Q113" i="1" a="1"/>
  <c r="Q113" i="1" s="1"/>
  <c r="Q112" i="1" a="1"/>
  <c r="Q112" i="1" s="1"/>
  <c r="Q111" i="1" a="1"/>
  <c r="Q111" i="1" s="1"/>
  <c r="Q110" i="1" a="1"/>
  <c r="Q110" i="1" s="1"/>
  <c r="Q109" i="1" a="1"/>
  <c r="Q109" i="1" s="1"/>
  <c r="Q108" i="1" a="1"/>
  <c r="Q108" i="1" s="1"/>
  <c r="Q107" i="1" a="1"/>
  <c r="Q107" i="1" s="1"/>
  <c r="Q106" i="1" a="1"/>
  <c r="Q106" i="1" s="1"/>
  <c r="Q105" i="1" a="1"/>
  <c r="Q105" i="1" s="1"/>
  <c r="Q104" i="1" a="1"/>
  <c r="Q104" i="1" s="1"/>
  <c r="Q103" i="1" a="1"/>
  <c r="Q103" i="1" s="1"/>
  <c r="Q102" i="1" a="1"/>
  <c r="Q102" i="1" s="1"/>
  <c r="Q101" i="1" a="1"/>
  <c r="Q101" i="1" s="1"/>
  <c r="Q100" i="1" a="1"/>
  <c r="Q100" i="1" s="1"/>
  <c r="Q99" i="1" a="1"/>
  <c r="Q99" i="1" s="1"/>
  <c r="Q98" i="1" a="1"/>
  <c r="Q98" i="1" s="1"/>
  <c r="Q97" i="1" a="1"/>
  <c r="Q97" i="1" s="1"/>
  <c r="Q96" i="1" a="1"/>
  <c r="Q96" i="1" s="1"/>
  <c r="Q95" i="1" a="1"/>
  <c r="Q95" i="1" s="1"/>
  <c r="Q94" i="1" a="1"/>
  <c r="Q94" i="1" s="1"/>
  <c r="Q93" i="1" a="1"/>
  <c r="Q93" i="1" s="1"/>
  <c r="Q92" i="1" a="1"/>
  <c r="Q92" i="1" s="1"/>
  <c r="Q91" i="1" a="1"/>
  <c r="Q91" i="1" s="1"/>
  <c r="Q90" i="1" a="1"/>
  <c r="Q90" i="1" s="1"/>
  <c r="Q89" i="1" a="1"/>
  <c r="Q89" i="1" s="1"/>
  <c r="Q88" i="1" a="1"/>
  <c r="Q88" i="1" s="1"/>
  <c r="Q87" i="1" a="1"/>
  <c r="Q87" i="1" s="1"/>
  <c r="Q86" i="1" a="1"/>
  <c r="Q86" i="1" s="1"/>
  <c r="Q85" i="1" a="1"/>
  <c r="Q85" i="1" s="1"/>
  <c r="Q84" i="1" a="1"/>
  <c r="Q84" i="1" s="1"/>
  <c r="Q83" i="1" a="1"/>
  <c r="Q83" i="1" s="1"/>
  <c r="Q82" i="1" a="1"/>
  <c r="Q82" i="1" s="1"/>
  <c r="Q81" i="1" a="1"/>
  <c r="Q81" i="1" s="1"/>
  <c r="Q80" i="1" a="1"/>
  <c r="Q80" i="1" s="1"/>
  <c r="Q79" i="1" a="1"/>
  <c r="Q79" i="1" s="1"/>
  <c r="Q78" i="1" a="1"/>
  <c r="Q78" i="1" s="1"/>
  <c r="Q77" i="1" a="1"/>
  <c r="Q77" i="1" s="1"/>
  <c r="Q76" i="1" a="1"/>
  <c r="Q76" i="1" s="1"/>
  <c r="Q75" i="1" a="1"/>
  <c r="Q75" i="1" s="1"/>
  <c r="Q74" i="1" a="1"/>
  <c r="Q74" i="1" s="1"/>
  <c r="Q73" i="1" a="1"/>
  <c r="Q73" i="1" s="1"/>
  <c r="Q72" i="1" a="1"/>
  <c r="Q72" i="1" s="1"/>
  <c r="Q71" i="1" a="1"/>
  <c r="Q71" i="1" s="1"/>
  <c r="Q70" i="1" a="1"/>
  <c r="Q70" i="1" s="1"/>
  <c r="Q69" i="1" a="1"/>
  <c r="Q69" i="1" s="1"/>
  <c r="Q68" i="1" a="1"/>
  <c r="Q68" i="1" s="1"/>
  <c r="Q67" i="1" a="1"/>
  <c r="Q67" i="1" s="1"/>
  <c r="Q66" i="1" a="1"/>
  <c r="Q66" i="1" s="1"/>
  <c r="Q65" i="1" a="1"/>
  <c r="Q65" i="1" s="1"/>
  <c r="Q64" i="1" a="1"/>
  <c r="Q64"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Q16" i="1" a="1"/>
  <c r="Q16" i="1" s="1"/>
  <c r="Q15" i="1" a="1"/>
  <c r="Q15" i="1" s="1"/>
  <c r="Q14" i="1" a="1"/>
  <c r="Q14" i="1" s="1"/>
  <c r="Q13" i="1" a="1"/>
  <c r="Q13" i="1" s="1"/>
  <c r="Q12" i="1" a="1"/>
  <c r="Q12" i="1" s="1"/>
  <c r="Q11" i="1" a="1"/>
  <c r="Q11" i="1" s="1"/>
  <c r="Q10" i="1" a="1"/>
  <c r="Q10" i="1" s="1"/>
  <c r="Q9" i="1" a="1"/>
  <c r="Q9" i="1" s="1"/>
  <c r="Q8" i="1" a="1"/>
  <c r="Q8" i="1" s="1"/>
  <c r="Q7" i="1" a="1"/>
  <c r="Q7" i="1" s="1"/>
  <c r="Q6" i="1" a="1"/>
  <c r="Q6" i="1" s="1"/>
  <c r="Q5" i="1" a="1"/>
  <c r="Q5" i="1" s="1"/>
  <c r="Q4" i="1" a="1"/>
  <c r="Q4" i="1" s="1"/>
  <c r="Q3" i="1" a="1"/>
  <c r="Q3" i="1" s="1"/>
  <c r="Q2" i="1" a="1"/>
  <c r="Q2" i="1" s="1"/>
  <c r="P2884" i="1" a="1"/>
  <c r="P2884" i="1" s="1"/>
  <c r="P2883" i="1" a="1"/>
  <c r="P2883" i="1" s="1"/>
  <c r="P2882" i="1" a="1"/>
  <c r="P2882" i="1" s="1"/>
  <c r="P2881" i="1" a="1"/>
  <c r="P2881" i="1" s="1"/>
  <c r="P2880" i="1" a="1"/>
  <c r="P2880" i="1" s="1"/>
  <c r="P2879" i="1" a="1"/>
  <c r="P2879" i="1" s="1"/>
  <c r="P2878" i="1" a="1"/>
  <c r="P2878" i="1" s="1"/>
  <c r="P2877" i="1" a="1"/>
  <c r="P2877" i="1" s="1"/>
  <c r="P2876" i="1" a="1"/>
  <c r="P2876" i="1" s="1"/>
  <c r="P2875" i="1" a="1"/>
  <c r="P2875" i="1" s="1"/>
  <c r="P2874" i="1" a="1"/>
  <c r="P2874" i="1" s="1"/>
  <c r="P2873" i="1" a="1"/>
  <c r="P2873" i="1" s="1"/>
  <c r="P2872" i="1" a="1"/>
  <c r="P2872" i="1" s="1"/>
  <c r="P2871" i="1" a="1"/>
  <c r="P2871" i="1" s="1"/>
  <c r="P2870" i="1" a="1"/>
  <c r="P2870" i="1" s="1"/>
  <c r="P2869" i="1" a="1"/>
  <c r="P2869" i="1" s="1"/>
  <c r="P2868" i="1" a="1"/>
  <c r="P2868" i="1" s="1"/>
  <c r="P2867" i="1" a="1"/>
  <c r="P2867" i="1" s="1"/>
  <c r="P2866" i="1" a="1"/>
  <c r="P2866" i="1" s="1"/>
  <c r="P2865" i="1" a="1"/>
  <c r="P2865" i="1" s="1"/>
  <c r="P2864" i="1" a="1"/>
  <c r="P2864" i="1" s="1"/>
  <c r="P2863" i="1" a="1"/>
  <c r="P2863" i="1" s="1"/>
  <c r="P2862" i="1" a="1"/>
  <c r="P2862" i="1" s="1"/>
  <c r="P2861" i="1" a="1"/>
  <c r="P2861" i="1" s="1"/>
  <c r="P2860" i="1" a="1"/>
  <c r="P2860" i="1" s="1"/>
  <c r="P2859" i="1" a="1"/>
  <c r="P2859" i="1" s="1"/>
  <c r="P2858" i="1" a="1"/>
  <c r="P2858" i="1" s="1"/>
  <c r="P2857" i="1" a="1"/>
  <c r="P2857" i="1" s="1"/>
  <c r="P2856" i="1" a="1"/>
  <c r="P2856" i="1" s="1"/>
  <c r="P2855" i="1" a="1"/>
  <c r="P2855" i="1" s="1"/>
  <c r="P2854" i="1" a="1"/>
  <c r="P2854" i="1" s="1"/>
  <c r="P2853" i="1" a="1"/>
  <c r="P2853" i="1" s="1"/>
  <c r="P2852" i="1" a="1"/>
  <c r="P2852" i="1" s="1"/>
  <c r="P2851" i="1" a="1"/>
  <c r="P2851" i="1" s="1"/>
  <c r="P2850" i="1" a="1"/>
  <c r="P2850" i="1" s="1"/>
  <c r="P2849" i="1" a="1"/>
  <c r="P2849" i="1" s="1"/>
  <c r="P2848" i="1" a="1"/>
  <c r="P2848" i="1" s="1"/>
  <c r="P2847" i="1" a="1"/>
  <c r="P2847" i="1" s="1"/>
  <c r="P2846" i="1" a="1"/>
  <c r="P2846" i="1" s="1"/>
  <c r="P2845" i="1" a="1"/>
  <c r="P2845" i="1" s="1"/>
  <c r="P2844" i="1" a="1"/>
  <c r="P2844" i="1" s="1"/>
  <c r="P2843" i="1" a="1"/>
  <c r="P2843" i="1" s="1"/>
  <c r="P2842" i="1" a="1"/>
  <c r="P2842" i="1" s="1"/>
  <c r="P2841" i="1" a="1"/>
  <c r="P2841" i="1" s="1"/>
  <c r="P2840" i="1" a="1"/>
  <c r="P2840" i="1" s="1"/>
  <c r="P2839" i="1" a="1"/>
  <c r="P2839" i="1" s="1"/>
  <c r="P2838" i="1" a="1"/>
  <c r="P2838" i="1" s="1"/>
  <c r="P2837" i="1" a="1"/>
  <c r="P2837" i="1" s="1"/>
  <c r="P2836" i="1" a="1"/>
  <c r="P2836" i="1" s="1"/>
  <c r="P2835" i="1" a="1"/>
  <c r="P2835" i="1" s="1"/>
  <c r="P2834" i="1" a="1"/>
  <c r="P2834" i="1" s="1"/>
  <c r="P2833" i="1" a="1"/>
  <c r="P2833" i="1" s="1"/>
  <c r="P2832" i="1" a="1"/>
  <c r="P2832" i="1" s="1"/>
  <c r="P2831" i="1" a="1"/>
  <c r="P2831" i="1" s="1"/>
  <c r="P2830" i="1" a="1"/>
  <c r="P2830" i="1" s="1"/>
  <c r="P2829" i="1" a="1"/>
  <c r="P2829" i="1" s="1"/>
  <c r="P2828" i="1" a="1"/>
  <c r="P2828" i="1" s="1"/>
  <c r="P2827" i="1" a="1"/>
  <c r="P2827" i="1" s="1"/>
  <c r="P2826" i="1" a="1"/>
  <c r="P2826" i="1" s="1"/>
  <c r="P2825" i="1" a="1"/>
  <c r="P2825" i="1" s="1"/>
  <c r="P2824" i="1" a="1"/>
  <c r="P2824" i="1" s="1"/>
  <c r="P2823" i="1" a="1"/>
  <c r="P2823" i="1" s="1"/>
  <c r="P2822" i="1" a="1"/>
  <c r="P2822" i="1" s="1"/>
  <c r="P2821" i="1" a="1"/>
  <c r="P2821" i="1" s="1"/>
  <c r="P2820" i="1" a="1"/>
  <c r="P2820" i="1" s="1"/>
  <c r="P2819" i="1" a="1"/>
  <c r="P2819" i="1" s="1"/>
  <c r="P2818" i="1" a="1"/>
  <c r="P2818" i="1" s="1"/>
  <c r="P2817" i="1" a="1"/>
  <c r="P2817" i="1" s="1"/>
  <c r="P2816" i="1" a="1"/>
  <c r="P2816" i="1" s="1"/>
  <c r="P2815" i="1" a="1"/>
  <c r="P2815" i="1" s="1"/>
  <c r="P2814" i="1" a="1"/>
  <c r="P2814" i="1" s="1"/>
  <c r="P2813" i="1" a="1"/>
  <c r="P2813" i="1" s="1"/>
  <c r="P2812" i="1" a="1"/>
  <c r="P2812" i="1" s="1"/>
  <c r="P2811" i="1" a="1"/>
  <c r="P2811" i="1" s="1"/>
  <c r="P2810" i="1" a="1"/>
  <c r="P2810" i="1" s="1"/>
  <c r="P2809" i="1" a="1"/>
  <c r="P2809" i="1" s="1"/>
  <c r="P2808" i="1" a="1"/>
  <c r="P2808" i="1" s="1"/>
  <c r="P2807" i="1" a="1"/>
  <c r="P2807" i="1" s="1"/>
  <c r="P2806" i="1" a="1"/>
  <c r="P2806" i="1" s="1"/>
  <c r="P2805" i="1" a="1"/>
  <c r="P2805" i="1" s="1"/>
  <c r="P2804" i="1" a="1"/>
  <c r="P2804" i="1" s="1"/>
  <c r="P2803" i="1" a="1"/>
  <c r="P2803" i="1" s="1"/>
  <c r="P2802" i="1" a="1"/>
  <c r="P2802" i="1" s="1"/>
  <c r="P2801" i="1" a="1"/>
  <c r="P2801" i="1" s="1"/>
  <c r="P2800" i="1" a="1"/>
  <c r="P2800" i="1" s="1"/>
  <c r="P2799" i="1" a="1"/>
  <c r="P2799" i="1" s="1"/>
  <c r="P2798" i="1" a="1"/>
  <c r="P2798" i="1" s="1"/>
  <c r="P2797" i="1" a="1"/>
  <c r="P2797" i="1" s="1"/>
  <c r="P2796" i="1" a="1"/>
  <c r="P2796" i="1" s="1"/>
  <c r="P2795" i="1" a="1"/>
  <c r="P2795" i="1" s="1"/>
  <c r="P2794" i="1" a="1"/>
  <c r="P2794" i="1" s="1"/>
  <c r="P2793" i="1" a="1"/>
  <c r="P2793" i="1" s="1"/>
  <c r="P2792" i="1" a="1"/>
  <c r="P2792" i="1" s="1"/>
  <c r="P2791" i="1" a="1"/>
  <c r="P2791" i="1" s="1"/>
  <c r="P2790" i="1" a="1"/>
  <c r="P2790" i="1" s="1"/>
  <c r="P2789" i="1" a="1"/>
  <c r="P2789" i="1" s="1"/>
  <c r="P2788" i="1" a="1"/>
  <c r="P2788" i="1" s="1"/>
  <c r="P2787" i="1" a="1"/>
  <c r="P2787" i="1" s="1"/>
  <c r="P2786" i="1" a="1"/>
  <c r="P2786" i="1" s="1"/>
  <c r="P2785" i="1" a="1"/>
  <c r="P2785" i="1" s="1"/>
  <c r="P2784" i="1" a="1"/>
  <c r="P2784" i="1" s="1"/>
  <c r="P2783" i="1" a="1"/>
  <c r="P2783" i="1" s="1"/>
  <c r="P2782" i="1" a="1"/>
  <c r="P2782" i="1" s="1"/>
  <c r="P2781" i="1" a="1"/>
  <c r="P2781" i="1" s="1"/>
  <c r="P2780" i="1" a="1"/>
  <c r="P2780" i="1" s="1"/>
  <c r="P2779" i="1" a="1"/>
  <c r="P2779" i="1" s="1"/>
  <c r="P2778" i="1" a="1"/>
  <c r="P2778" i="1" s="1"/>
  <c r="P2777" i="1" a="1"/>
  <c r="P2777" i="1" s="1"/>
  <c r="P2776" i="1" a="1"/>
  <c r="P2776" i="1" s="1"/>
  <c r="P2775" i="1" a="1"/>
  <c r="P2775" i="1" s="1"/>
  <c r="P2774" i="1" a="1"/>
  <c r="P2774" i="1" s="1"/>
  <c r="P2773" i="1" a="1"/>
  <c r="P2773" i="1" s="1"/>
  <c r="P2772" i="1" a="1"/>
  <c r="P2772" i="1" s="1"/>
  <c r="P2771" i="1" a="1"/>
  <c r="P2771" i="1" s="1"/>
  <c r="P2770" i="1" a="1"/>
  <c r="P2770" i="1" s="1"/>
  <c r="P2769" i="1" a="1"/>
  <c r="P2769" i="1" s="1"/>
  <c r="P2768" i="1" a="1"/>
  <c r="P2768" i="1" s="1"/>
  <c r="P2767" i="1" a="1"/>
  <c r="P2767" i="1" s="1"/>
  <c r="P2766" i="1" a="1"/>
  <c r="P2766" i="1" s="1"/>
  <c r="P2765" i="1" a="1"/>
  <c r="P2765" i="1" s="1"/>
  <c r="P2764" i="1" a="1"/>
  <c r="P2764" i="1" s="1"/>
  <c r="P2763" i="1" a="1"/>
  <c r="P2763" i="1" s="1"/>
  <c r="P2762" i="1" a="1"/>
  <c r="P2762" i="1" s="1"/>
  <c r="P2761" i="1" a="1"/>
  <c r="P2761" i="1" s="1"/>
  <c r="P2760" i="1" a="1"/>
  <c r="P2760" i="1" s="1"/>
  <c r="P2759" i="1" a="1"/>
  <c r="P2759" i="1" s="1"/>
  <c r="P2758" i="1" a="1"/>
  <c r="P2758" i="1" s="1"/>
  <c r="P2757" i="1" a="1"/>
  <c r="P2757" i="1" s="1"/>
  <c r="P2756" i="1" a="1"/>
  <c r="P2756" i="1" s="1"/>
  <c r="P2755" i="1" a="1"/>
  <c r="P2755" i="1" s="1"/>
  <c r="P2754" i="1" a="1"/>
  <c r="P2754" i="1" s="1"/>
  <c r="P2753" i="1" a="1"/>
  <c r="P2753" i="1" s="1"/>
  <c r="P2752" i="1" a="1"/>
  <c r="P2752" i="1" s="1"/>
  <c r="P2751" i="1" a="1"/>
  <c r="P2751" i="1" s="1"/>
  <c r="P2750" i="1" a="1"/>
  <c r="P2750" i="1" s="1"/>
  <c r="P2749" i="1" a="1"/>
  <c r="P2749" i="1" s="1"/>
  <c r="P2748" i="1" a="1"/>
  <c r="P2748" i="1" s="1"/>
  <c r="P2747" i="1" a="1"/>
  <c r="P2747" i="1" s="1"/>
  <c r="P2746" i="1" a="1"/>
  <c r="P2746" i="1" s="1"/>
  <c r="P2745" i="1" a="1"/>
  <c r="P2745" i="1" s="1"/>
  <c r="P2744" i="1" a="1"/>
  <c r="P2744" i="1" s="1"/>
  <c r="P2743" i="1" a="1"/>
  <c r="P2743" i="1" s="1"/>
  <c r="P2742" i="1" a="1"/>
  <c r="P2742" i="1" s="1"/>
  <c r="P2741" i="1" a="1"/>
  <c r="P2741" i="1" s="1"/>
  <c r="P2740" i="1" a="1"/>
  <c r="P2740" i="1" s="1"/>
  <c r="P2739" i="1" a="1"/>
  <c r="P2739" i="1" s="1"/>
  <c r="P2738" i="1" a="1"/>
  <c r="P2738" i="1" s="1"/>
  <c r="P2737" i="1" a="1"/>
  <c r="P2737" i="1" s="1"/>
  <c r="P2736" i="1" a="1"/>
  <c r="P2736" i="1" s="1"/>
  <c r="P2735" i="1" a="1"/>
  <c r="P2735" i="1" s="1"/>
  <c r="P2734" i="1" a="1"/>
  <c r="P2734" i="1" s="1"/>
  <c r="P2733" i="1" a="1"/>
  <c r="P2733" i="1" s="1"/>
  <c r="P2732" i="1" a="1"/>
  <c r="P2732" i="1" s="1"/>
  <c r="P2731" i="1" a="1"/>
  <c r="P2731" i="1" s="1"/>
  <c r="P2730" i="1" a="1"/>
  <c r="P2730" i="1" s="1"/>
  <c r="P2729" i="1" a="1"/>
  <c r="P2729" i="1" s="1"/>
  <c r="P2728" i="1" a="1"/>
  <c r="P2728" i="1" s="1"/>
  <c r="P2727" i="1" a="1"/>
  <c r="P2727" i="1" s="1"/>
  <c r="P2726" i="1" a="1"/>
  <c r="P2726" i="1" s="1"/>
  <c r="P2725" i="1" a="1"/>
  <c r="P2725" i="1" s="1"/>
  <c r="P2724" i="1" a="1"/>
  <c r="P2724" i="1" s="1"/>
  <c r="P2723" i="1" a="1"/>
  <c r="P2723" i="1" s="1"/>
  <c r="P2722" i="1" a="1"/>
  <c r="P2722" i="1" s="1"/>
  <c r="P2721" i="1" a="1"/>
  <c r="P2721" i="1" s="1"/>
  <c r="P2720" i="1" a="1"/>
  <c r="P2720" i="1" s="1"/>
  <c r="P2719" i="1" a="1"/>
  <c r="P2719" i="1" s="1"/>
  <c r="P2718" i="1" a="1"/>
  <c r="P2718" i="1" s="1"/>
  <c r="P2717" i="1" a="1"/>
  <c r="P2717" i="1" s="1"/>
  <c r="P2716" i="1" a="1"/>
  <c r="P2716" i="1" s="1"/>
  <c r="P2715" i="1" a="1"/>
  <c r="P2715" i="1" s="1"/>
  <c r="P2714" i="1" a="1"/>
  <c r="P2714" i="1" s="1"/>
  <c r="P2713" i="1" a="1"/>
  <c r="P2713" i="1" s="1"/>
  <c r="P2712" i="1" a="1"/>
  <c r="P2712" i="1" s="1"/>
  <c r="P2711" i="1" a="1"/>
  <c r="P2711" i="1" s="1"/>
  <c r="P2710" i="1" a="1"/>
  <c r="P2710" i="1" s="1"/>
  <c r="P2709" i="1" a="1"/>
  <c r="P2709" i="1" s="1"/>
  <c r="P2708" i="1" a="1"/>
  <c r="P2708" i="1" s="1"/>
  <c r="P2707" i="1" a="1"/>
  <c r="P2707" i="1" s="1"/>
  <c r="P2706" i="1" a="1"/>
  <c r="P2706" i="1" s="1"/>
  <c r="P2705" i="1" a="1"/>
  <c r="P2705" i="1" s="1"/>
  <c r="P2704" i="1" a="1"/>
  <c r="P2704" i="1" s="1"/>
  <c r="P2703" i="1" a="1"/>
  <c r="P2703" i="1" s="1"/>
  <c r="P2702" i="1" a="1"/>
  <c r="P2702" i="1" s="1"/>
  <c r="P2701" i="1" a="1"/>
  <c r="P2701" i="1" s="1"/>
  <c r="P2700" i="1" a="1"/>
  <c r="P2700" i="1" s="1"/>
  <c r="P2699" i="1" a="1"/>
  <c r="P2699" i="1" s="1"/>
  <c r="P2698" i="1" a="1"/>
  <c r="P2698" i="1" s="1"/>
  <c r="P2697" i="1" a="1"/>
  <c r="P2697" i="1" s="1"/>
  <c r="P2696" i="1" a="1"/>
  <c r="P2696" i="1" s="1"/>
  <c r="P2695" i="1" a="1"/>
  <c r="P2695" i="1" s="1"/>
  <c r="P2694" i="1" a="1"/>
  <c r="P2694" i="1" s="1"/>
  <c r="P2693" i="1" a="1"/>
  <c r="P2693" i="1" s="1"/>
  <c r="P2692" i="1" a="1"/>
  <c r="P2692" i="1" s="1"/>
  <c r="P2691" i="1" a="1"/>
  <c r="P2691" i="1" s="1"/>
  <c r="P2690" i="1" a="1"/>
  <c r="P2690" i="1" s="1"/>
  <c r="P2689" i="1" a="1"/>
  <c r="P2689" i="1" s="1"/>
  <c r="P2688" i="1" a="1"/>
  <c r="P2688" i="1" s="1"/>
  <c r="P2687" i="1" a="1"/>
  <c r="P2687" i="1" s="1"/>
  <c r="P2686" i="1" a="1"/>
  <c r="P2686" i="1" s="1"/>
  <c r="P2685" i="1" a="1"/>
  <c r="P2685" i="1" s="1"/>
  <c r="P2684" i="1" a="1"/>
  <c r="P2684" i="1" s="1"/>
  <c r="P2683" i="1" a="1"/>
  <c r="P2683" i="1" s="1"/>
  <c r="P2682" i="1" a="1"/>
  <c r="P2682" i="1" s="1"/>
  <c r="P2681" i="1" a="1"/>
  <c r="P2681" i="1" s="1"/>
  <c r="P2680" i="1" a="1"/>
  <c r="P2680" i="1" s="1"/>
  <c r="P2679" i="1" a="1"/>
  <c r="P2679" i="1" s="1"/>
  <c r="P2678" i="1" a="1"/>
  <c r="P2678" i="1" s="1"/>
  <c r="P2677" i="1" a="1"/>
  <c r="P2677" i="1" s="1"/>
  <c r="P2676" i="1" a="1"/>
  <c r="P2676" i="1" s="1"/>
  <c r="P2675" i="1" a="1"/>
  <c r="P2675" i="1" s="1"/>
  <c r="P2674" i="1" a="1"/>
  <c r="P2674" i="1" s="1"/>
  <c r="P2673" i="1" a="1"/>
  <c r="P2673" i="1" s="1"/>
  <c r="P2672" i="1" a="1"/>
  <c r="P2672" i="1" s="1"/>
  <c r="P2671" i="1" a="1"/>
  <c r="P2671" i="1" s="1"/>
  <c r="P2670" i="1" a="1"/>
  <c r="P2670" i="1" s="1"/>
  <c r="P2669" i="1" a="1"/>
  <c r="P2669" i="1" s="1"/>
  <c r="P2668" i="1" a="1"/>
  <c r="P2668" i="1" s="1"/>
  <c r="P2667" i="1" a="1"/>
  <c r="P2667" i="1" s="1"/>
  <c r="P2666" i="1" a="1"/>
  <c r="P2666" i="1" s="1"/>
  <c r="P2665" i="1" a="1"/>
  <c r="P2665" i="1" s="1"/>
  <c r="P2664" i="1" a="1"/>
  <c r="P2664" i="1" s="1"/>
  <c r="P2663" i="1" a="1"/>
  <c r="P2663" i="1" s="1"/>
  <c r="P2662" i="1" a="1"/>
  <c r="P2662" i="1" s="1"/>
  <c r="P2661" i="1" a="1"/>
  <c r="P2661" i="1" s="1"/>
  <c r="P2660" i="1" a="1"/>
  <c r="P2660" i="1" s="1"/>
  <c r="P2659" i="1" a="1"/>
  <c r="P2659" i="1" s="1"/>
  <c r="P2658" i="1" a="1"/>
  <c r="P2658" i="1" s="1"/>
  <c r="P2657" i="1" a="1"/>
  <c r="P2657" i="1" s="1"/>
  <c r="P2656" i="1" a="1"/>
  <c r="P2656" i="1" s="1"/>
  <c r="P2655" i="1" a="1"/>
  <c r="P2655" i="1" s="1"/>
  <c r="P2654" i="1" a="1"/>
  <c r="P2654" i="1" s="1"/>
  <c r="P2653" i="1" a="1"/>
  <c r="P2653" i="1" s="1"/>
  <c r="P2652" i="1" a="1"/>
  <c r="P2652" i="1" s="1"/>
  <c r="P2651" i="1" a="1"/>
  <c r="P2651" i="1" s="1"/>
  <c r="P2650" i="1" a="1"/>
  <c r="P2650" i="1" s="1"/>
  <c r="P2649" i="1" a="1"/>
  <c r="P2649" i="1" s="1"/>
  <c r="P2648" i="1" a="1"/>
  <c r="P2648" i="1" s="1"/>
  <c r="P2647" i="1" a="1"/>
  <c r="P2647" i="1" s="1"/>
  <c r="P2646" i="1" a="1"/>
  <c r="P2646" i="1" s="1"/>
  <c r="P2645" i="1" a="1"/>
  <c r="P2645" i="1" s="1"/>
  <c r="P2644" i="1" a="1"/>
  <c r="P2644" i="1" s="1"/>
  <c r="P2643" i="1" a="1"/>
  <c r="P2643" i="1" s="1"/>
  <c r="P2642" i="1" a="1"/>
  <c r="P2642" i="1" s="1"/>
  <c r="P2641" i="1" a="1"/>
  <c r="P2641" i="1" s="1"/>
  <c r="P2640" i="1" a="1"/>
  <c r="P2640" i="1" s="1"/>
  <c r="P2639" i="1" a="1"/>
  <c r="P2639" i="1" s="1"/>
  <c r="P2638" i="1" a="1"/>
  <c r="P2638" i="1" s="1"/>
  <c r="P2637" i="1" a="1"/>
  <c r="P2637" i="1" s="1"/>
  <c r="P2636" i="1" a="1"/>
  <c r="P2636" i="1" s="1"/>
  <c r="P2635" i="1" a="1"/>
  <c r="P2635" i="1" s="1"/>
  <c r="P2634" i="1" a="1"/>
  <c r="P2634" i="1" s="1"/>
  <c r="P2633" i="1" a="1"/>
  <c r="P2633" i="1" s="1"/>
  <c r="P2632" i="1" a="1"/>
  <c r="P2632" i="1" s="1"/>
  <c r="P2631" i="1" a="1"/>
  <c r="P2631" i="1" s="1"/>
  <c r="P2630" i="1" a="1"/>
  <c r="P2630" i="1" s="1"/>
  <c r="P2629" i="1" a="1"/>
  <c r="P2629" i="1" s="1"/>
  <c r="P2628" i="1" a="1"/>
  <c r="P2628" i="1" s="1"/>
  <c r="P2627" i="1" a="1"/>
  <c r="P2627" i="1" s="1"/>
  <c r="P2626" i="1" a="1"/>
  <c r="P2626" i="1" s="1"/>
  <c r="P2625" i="1" a="1"/>
  <c r="P2625" i="1" s="1"/>
  <c r="P2624" i="1" a="1"/>
  <c r="P2624" i="1" s="1"/>
  <c r="P2623" i="1" a="1"/>
  <c r="P2623" i="1" s="1"/>
  <c r="P2622" i="1" a="1"/>
  <c r="P2622" i="1" s="1"/>
  <c r="P2621" i="1" a="1"/>
  <c r="P2621" i="1" s="1"/>
  <c r="P2620" i="1" a="1"/>
  <c r="P2620" i="1" s="1"/>
  <c r="P2619" i="1" a="1"/>
  <c r="P2619" i="1" s="1"/>
  <c r="P2618" i="1" a="1"/>
  <c r="P2618" i="1" s="1"/>
  <c r="P2617" i="1" a="1"/>
  <c r="P2617" i="1" s="1"/>
  <c r="P2616" i="1" a="1"/>
  <c r="P2616" i="1" s="1"/>
  <c r="P2615" i="1" a="1"/>
  <c r="P2615" i="1" s="1"/>
  <c r="P2614" i="1" a="1"/>
  <c r="P2614" i="1" s="1"/>
  <c r="P2613" i="1" a="1"/>
  <c r="P2613" i="1" s="1"/>
  <c r="P2612" i="1" a="1"/>
  <c r="P2612" i="1" s="1"/>
  <c r="P2611" i="1" a="1"/>
  <c r="P2611" i="1" s="1"/>
  <c r="P2610" i="1" a="1"/>
  <c r="P2610" i="1" s="1"/>
  <c r="P2609" i="1" a="1"/>
  <c r="P2609" i="1" s="1"/>
  <c r="P2608" i="1" a="1"/>
  <c r="P2608" i="1" s="1"/>
  <c r="P2607" i="1" a="1"/>
  <c r="P2607" i="1" s="1"/>
  <c r="P2606" i="1" a="1"/>
  <c r="P2606" i="1" s="1"/>
  <c r="P2605" i="1" a="1"/>
  <c r="P2605" i="1" s="1"/>
  <c r="P2604" i="1" a="1"/>
  <c r="P2604" i="1" s="1"/>
  <c r="P2603" i="1" a="1"/>
  <c r="P2603" i="1" s="1"/>
  <c r="P2602" i="1" a="1"/>
  <c r="P2602" i="1" s="1"/>
  <c r="P2601" i="1" a="1"/>
  <c r="P2601" i="1" s="1"/>
  <c r="P2600" i="1" a="1"/>
  <c r="P2600" i="1" s="1"/>
  <c r="P2599" i="1" a="1"/>
  <c r="P2599" i="1" s="1"/>
  <c r="P2598" i="1" a="1"/>
  <c r="P2598" i="1" s="1"/>
  <c r="P2597" i="1" a="1"/>
  <c r="P2597" i="1" s="1"/>
  <c r="P2596" i="1" a="1"/>
  <c r="P2596" i="1" s="1"/>
  <c r="P2595" i="1" a="1"/>
  <c r="P2595" i="1" s="1"/>
  <c r="P2594" i="1" a="1"/>
  <c r="P2594" i="1" s="1"/>
  <c r="P2593" i="1" a="1"/>
  <c r="P2593" i="1" s="1"/>
  <c r="P2592" i="1" a="1"/>
  <c r="P2592" i="1" s="1"/>
  <c r="P2591" i="1" a="1"/>
  <c r="P2591" i="1" s="1"/>
  <c r="P2590" i="1" a="1"/>
  <c r="P2590" i="1" s="1"/>
  <c r="P2589" i="1" a="1"/>
  <c r="P2589" i="1" s="1"/>
  <c r="P2588" i="1" a="1"/>
  <c r="P2588" i="1" s="1"/>
  <c r="P2587" i="1" a="1"/>
  <c r="P2587" i="1" s="1"/>
  <c r="P2586" i="1" a="1"/>
  <c r="P2586" i="1" s="1"/>
  <c r="P2585" i="1" a="1"/>
  <c r="P2585" i="1" s="1"/>
  <c r="P2584" i="1" a="1"/>
  <c r="P2584" i="1" s="1"/>
  <c r="P2583" i="1" a="1"/>
  <c r="P2583" i="1" s="1"/>
  <c r="P2582" i="1" a="1"/>
  <c r="P2582" i="1" s="1"/>
  <c r="P2581" i="1" a="1"/>
  <c r="P2581" i="1" s="1"/>
  <c r="P2580" i="1" a="1"/>
  <c r="P2580" i="1" s="1"/>
  <c r="P2579" i="1" a="1"/>
  <c r="P2579" i="1" s="1"/>
  <c r="P2578" i="1" a="1"/>
  <c r="P2578" i="1" s="1"/>
  <c r="P2577" i="1" a="1"/>
  <c r="P2577" i="1" s="1"/>
  <c r="P2576" i="1" a="1"/>
  <c r="P2576" i="1" s="1"/>
  <c r="P2575" i="1" a="1"/>
  <c r="P2575" i="1" s="1"/>
  <c r="P2574" i="1" a="1"/>
  <c r="P2574" i="1" s="1"/>
  <c r="P2573" i="1" a="1"/>
  <c r="P2573" i="1" s="1"/>
  <c r="P2572" i="1" a="1"/>
  <c r="P2572" i="1" s="1"/>
  <c r="P2571" i="1" a="1"/>
  <c r="P2571" i="1" s="1"/>
  <c r="P2570" i="1" a="1"/>
  <c r="P2570" i="1" s="1"/>
  <c r="P2569" i="1" a="1"/>
  <c r="P2569" i="1" s="1"/>
  <c r="P2568" i="1" a="1"/>
  <c r="P2568" i="1" s="1"/>
  <c r="P2567" i="1" a="1"/>
  <c r="P2567" i="1" s="1"/>
  <c r="P2566" i="1" a="1"/>
  <c r="P2566" i="1" s="1"/>
  <c r="P2565" i="1" a="1"/>
  <c r="P2565" i="1" s="1"/>
  <c r="P2564" i="1" a="1"/>
  <c r="P2564" i="1" s="1"/>
  <c r="P2563" i="1" a="1"/>
  <c r="P2563" i="1" s="1"/>
  <c r="P2562" i="1" a="1"/>
  <c r="P2562" i="1" s="1"/>
  <c r="P2561" i="1" a="1"/>
  <c r="P2561" i="1" s="1"/>
  <c r="P2560" i="1" a="1"/>
  <c r="P2560" i="1" s="1"/>
  <c r="P2559" i="1" a="1"/>
  <c r="P2559" i="1" s="1"/>
  <c r="P2558" i="1" a="1"/>
  <c r="P2558" i="1" s="1"/>
  <c r="P2557" i="1" a="1"/>
  <c r="P2557" i="1" s="1"/>
  <c r="P2556" i="1" a="1"/>
  <c r="P2556" i="1" s="1"/>
  <c r="P2555" i="1" a="1"/>
  <c r="P2555" i="1" s="1"/>
  <c r="P2554" i="1" a="1"/>
  <c r="P2554" i="1" s="1"/>
  <c r="P2553" i="1" a="1"/>
  <c r="P2553" i="1" s="1"/>
  <c r="P2552" i="1" a="1"/>
  <c r="P2552" i="1" s="1"/>
  <c r="P2551" i="1" a="1"/>
  <c r="P2551" i="1" s="1"/>
  <c r="P2550" i="1" a="1"/>
  <c r="P2550" i="1" s="1"/>
  <c r="P2549" i="1" a="1"/>
  <c r="P2549" i="1" s="1"/>
  <c r="P2548" i="1" a="1"/>
  <c r="P2548" i="1" s="1"/>
  <c r="P2547" i="1" a="1"/>
  <c r="P2547" i="1" s="1"/>
  <c r="P2546" i="1" a="1"/>
  <c r="P2546" i="1" s="1"/>
  <c r="P2545" i="1" a="1"/>
  <c r="P2545" i="1" s="1"/>
  <c r="P2544" i="1" a="1"/>
  <c r="P2544" i="1" s="1"/>
  <c r="P2543" i="1" a="1"/>
  <c r="P2543" i="1" s="1"/>
  <c r="P2542" i="1" a="1"/>
  <c r="P2542" i="1" s="1"/>
  <c r="P2541" i="1" a="1"/>
  <c r="P2541" i="1" s="1"/>
  <c r="P2540" i="1" a="1"/>
  <c r="P2540" i="1" s="1"/>
  <c r="P2539" i="1" a="1"/>
  <c r="P2539" i="1" s="1"/>
  <c r="P2538" i="1" a="1"/>
  <c r="P2538" i="1" s="1"/>
  <c r="P2537" i="1" a="1"/>
  <c r="P2537" i="1" s="1"/>
  <c r="P2536" i="1" a="1"/>
  <c r="P2536" i="1" s="1"/>
  <c r="P2535" i="1" a="1"/>
  <c r="P2535" i="1" s="1"/>
  <c r="P2534" i="1" a="1"/>
  <c r="P2534" i="1" s="1"/>
  <c r="P2533" i="1" a="1"/>
  <c r="P2533" i="1" s="1"/>
  <c r="P2532" i="1" a="1"/>
  <c r="P2532" i="1" s="1"/>
  <c r="P2531" i="1" a="1"/>
  <c r="P2531" i="1" s="1"/>
  <c r="P2530" i="1" a="1"/>
  <c r="P2530" i="1" s="1"/>
  <c r="P2529" i="1" a="1"/>
  <c r="P2529" i="1" s="1"/>
  <c r="P2528" i="1" a="1"/>
  <c r="P2528" i="1" s="1"/>
  <c r="P2527" i="1" a="1"/>
  <c r="P2527" i="1" s="1"/>
  <c r="P2526" i="1" a="1"/>
  <c r="P2526" i="1" s="1"/>
  <c r="P2525" i="1" a="1"/>
  <c r="P2525" i="1" s="1"/>
  <c r="P2524" i="1" a="1"/>
  <c r="P2524" i="1" s="1"/>
  <c r="P2523" i="1" a="1"/>
  <c r="P2523" i="1" s="1"/>
  <c r="P2522" i="1" a="1"/>
  <c r="P2522" i="1" s="1"/>
  <c r="P2521" i="1" a="1"/>
  <c r="P2521" i="1" s="1"/>
  <c r="P2520" i="1" a="1"/>
  <c r="P2520" i="1" s="1"/>
  <c r="P2519" i="1" a="1"/>
  <c r="P2519" i="1" s="1"/>
  <c r="P2518" i="1" a="1"/>
  <c r="P2518" i="1" s="1"/>
  <c r="P2517" i="1" a="1"/>
  <c r="P2517" i="1" s="1"/>
  <c r="P2516" i="1" a="1"/>
  <c r="P2516" i="1" s="1"/>
  <c r="P2515" i="1" a="1"/>
  <c r="P2515" i="1" s="1"/>
  <c r="P2514" i="1" a="1"/>
  <c r="P2514" i="1" s="1"/>
  <c r="P2513" i="1" a="1"/>
  <c r="P2513" i="1" s="1"/>
  <c r="P2512" i="1" a="1"/>
  <c r="P2512" i="1" s="1"/>
  <c r="P2511" i="1" a="1"/>
  <c r="P2511" i="1" s="1"/>
  <c r="P2510" i="1" a="1"/>
  <c r="P2510" i="1" s="1"/>
  <c r="P2509" i="1" a="1"/>
  <c r="P2509" i="1" s="1"/>
  <c r="P2508" i="1" a="1"/>
  <c r="P2508" i="1" s="1"/>
  <c r="P2507" i="1" a="1"/>
  <c r="P2507" i="1" s="1"/>
  <c r="P2506" i="1" a="1"/>
  <c r="P2506" i="1" s="1"/>
  <c r="P2505" i="1" a="1"/>
  <c r="P2505" i="1" s="1"/>
  <c r="P2504" i="1" a="1"/>
  <c r="P2504" i="1" s="1"/>
  <c r="P2503" i="1" a="1"/>
  <c r="P2503" i="1" s="1"/>
  <c r="P2502" i="1" a="1"/>
  <c r="P2502" i="1" s="1"/>
  <c r="P2501" i="1" a="1"/>
  <c r="P2501" i="1" s="1"/>
  <c r="P2500" i="1" a="1"/>
  <c r="P2500" i="1" s="1"/>
  <c r="P2499" i="1" a="1"/>
  <c r="P2499" i="1" s="1"/>
  <c r="P2498" i="1" a="1"/>
  <c r="P2498" i="1" s="1"/>
  <c r="P2497" i="1" a="1"/>
  <c r="P2497" i="1" s="1"/>
  <c r="P2496" i="1" a="1"/>
  <c r="P2496" i="1" s="1"/>
  <c r="P2495" i="1" a="1"/>
  <c r="P2495" i="1" s="1"/>
  <c r="P2494" i="1" a="1"/>
  <c r="P2494" i="1" s="1"/>
  <c r="P2493" i="1" a="1"/>
  <c r="P2493" i="1" s="1"/>
  <c r="P2492" i="1" a="1"/>
  <c r="P2492" i="1" s="1"/>
  <c r="P2491" i="1" a="1"/>
  <c r="P2491" i="1" s="1"/>
  <c r="P2490" i="1" a="1"/>
  <c r="P2490" i="1" s="1"/>
  <c r="P2489" i="1" a="1"/>
  <c r="P2489" i="1" s="1"/>
  <c r="P2488" i="1" a="1"/>
  <c r="P2488" i="1" s="1"/>
  <c r="P2487" i="1" a="1"/>
  <c r="P2487" i="1" s="1"/>
  <c r="P2486" i="1" a="1"/>
  <c r="P2486" i="1" s="1"/>
  <c r="P2485" i="1" a="1"/>
  <c r="P2485" i="1" s="1"/>
  <c r="P2484" i="1" a="1"/>
  <c r="P2484" i="1" s="1"/>
  <c r="P2483" i="1" a="1"/>
  <c r="P2483" i="1" s="1"/>
  <c r="P2482" i="1" a="1"/>
  <c r="P2482" i="1" s="1"/>
  <c r="P2481" i="1" a="1"/>
  <c r="P2481" i="1" s="1"/>
  <c r="P2480" i="1" a="1"/>
  <c r="P2480" i="1" s="1"/>
  <c r="P2479" i="1" a="1"/>
  <c r="P2479" i="1" s="1"/>
  <c r="P2478" i="1" a="1"/>
  <c r="P2478" i="1" s="1"/>
  <c r="P2477" i="1" a="1"/>
  <c r="P2477" i="1" s="1"/>
  <c r="P2476" i="1" a="1"/>
  <c r="P2476" i="1" s="1"/>
  <c r="P2475" i="1" a="1"/>
  <c r="P2475" i="1" s="1"/>
  <c r="P2474" i="1" a="1"/>
  <c r="P2474" i="1" s="1"/>
  <c r="P2473" i="1" a="1"/>
  <c r="P2473" i="1" s="1"/>
  <c r="P2472" i="1" a="1"/>
  <c r="P2472" i="1" s="1"/>
  <c r="P2471" i="1" a="1"/>
  <c r="P2471" i="1" s="1"/>
  <c r="P2470" i="1" a="1"/>
  <c r="P2470" i="1" s="1"/>
  <c r="P2469" i="1" a="1"/>
  <c r="P2469" i="1" s="1"/>
  <c r="P2468" i="1" a="1"/>
  <c r="P2468" i="1" s="1"/>
  <c r="P2467" i="1" a="1"/>
  <c r="P2467" i="1" s="1"/>
  <c r="P2466" i="1" a="1"/>
  <c r="P2466" i="1" s="1"/>
  <c r="P2465" i="1" a="1"/>
  <c r="P2465" i="1" s="1"/>
  <c r="P2464" i="1" a="1"/>
  <c r="P2464" i="1" s="1"/>
  <c r="P2463" i="1" a="1"/>
  <c r="P2463" i="1" s="1"/>
  <c r="P2462" i="1" a="1"/>
  <c r="P2462" i="1" s="1"/>
  <c r="P2461" i="1" a="1"/>
  <c r="P2461" i="1" s="1"/>
  <c r="P2460" i="1" a="1"/>
  <c r="P2460" i="1" s="1"/>
  <c r="P2459" i="1" a="1"/>
  <c r="P2459" i="1" s="1"/>
  <c r="P2458" i="1" a="1"/>
  <c r="P2458" i="1" s="1"/>
  <c r="P2457" i="1" a="1"/>
  <c r="P2457" i="1" s="1"/>
  <c r="P2456" i="1" a="1"/>
  <c r="P2456" i="1" s="1"/>
  <c r="P2455" i="1" a="1"/>
  <c r="P2455" i="1" s="1"/>
  <c r="P2454" i="1" a="1"/>
  <c r="P2454" i="1" s="1"/>
  <c r="P2453" i="1" a="1"/>
  <c r="P2453" i="1" s="1"/>
  <c r="P2452" i="1" a="1"/>
  <c r="P2452" i="1" s="1"/>
  <c r="P2451" i="1" a="1"/>
  <c r="P2451" i="1" s="1"/>
  <c r="P2450" i="1" a="1"/>
  <c r="P2450" i="1" s="1"/>
  <c r="P2449" i="1" a="1"/>
  <c r="P2449" i="1" s="1"/>
  <c r="P2448" i="1" a="1"/>
  <c r="P2448" i="1" s="1"/>
  <c r="P2447" i="1" a="1"/>
  <c r="P2447" i="1" s="1"/>
  <c r="P2446" i="1" a="1"/>
  <c r="P2446" i="1" s="1"/>
  <c r="P2445" i="1" a="1"/>
  <c r="P2445" i="1" s="1"/>
  <c r="P2444" i="1" a="1"/>
  <c r="P2444" i="1" s="1"/>
  <c r="P2443" i="1" a="1"/>
  <c r="P2443" i="1" s="1"/>
  <c r="P2442" i="1" a="1"/>
  <c r="P2442" i="1" s="1"/>
  <c r="P2441" i="1" a="1"/>
  <c r="P2441" i="1" s="1"/>
  <c r="P2440" i="1" a="1"/>
  <c r="P2440" i="1" s="1"/>
  <c r="P2439" i="1" a="1"/>
  <c r="P2439" i="1" s="1"/>
  <c r="P2438" i="1" a="1"/>
  <c r="P2438" i="1" s="1"/>
  <c r="P2437" i="1" a="1"/>
  <c r="P2437" i="1" s="1"/>
  <c r="P2436" i="1" a="1"/>
  <c r="P2436" i="1" s="1"/>
  <c r="P2435" i="1" a="1"/>
  <c r="P2435" i="1" s="1"/>
  <c r="P2434" i="1" a="1"/>
  <c r="P2434" i="1" s="1"/>
  <c r="P2433" i="1" a="1"/>
  <c r="P2433" i="1" s="1"/>
  <c r="P2432" i="1" a="1"/>
  <c r="P2432" i="1" s="1"/>
  <c r="P2431" i="1" a="1"/>
  <c r="P2431" i="1" s="1"/>
  <c r="P2430" i="1" a="1"/>
  <c r="P2430" i="1" s="1"/>
  <c r="P2429" i="1" a="1"/>
  <c r="P2429" i="1" s="1"/>
  <c r="P2428" i="1" a="1"/>
  <c r="P2428" i="1" s="1"/>
  <c r="P2427" i="1" a="1"/>
  <c r="P2427" i="1" s="1"/>
  <c r="P2426" i="1" a="1"/>
  <c r="P2426" i="1" s="1"/>
  <c r="P2425" i="1" a="1"/>
  <c r="P2425" i="1" s="1"/>
  <c r="P2424" i="1" a="1"/>
  <c r="P2424" i="1" s="1"/>
  <c r="P2423" i="1" a="1"/>
  <c r="P2423" i="1" s="1"/>
  <c r="P2422" i="1" a="1"/>
  <c r="P2422" i="1" s="1"/>
  <c r="P2421" i="1" a="1"/>
  <c r="P2421" i="1" s="1"/>
  <c r="P2420" i="1" a="1"/>
  <c r="P2420" i="1" s="1"/>
  <c r="P2419" i="1" a="1"/>
  <c r="P2419" i="1" s="1"/>
  <c r="P2418" i="1" a="1"/>
  <c r="P2418" i="1" s="1"/>
  <c r="P2417" i="1" a="1"/>
  <c r="P2417" i="1" s="1"/>
  <c r="P2416" i="1" a="1"/>
  <c r="P2416" i="1" s="1"/>
  <c r="P2415" i="1" a="1"/>
  <c r="P2415" i="1" s="1"/>
  <c r="P2414" i="1" a="1"/>
  <c r="P2414" i="1" s="1"/>
  <c r="P2413" i="1" a="1"/>
  <c r="P2413" i="1" s="1"/>
  <c r="P2412" i="1" a="1"/>
  <c r="P2412" i="1" s="1"/>
  <c r="P2411" i="1" a="1"/>
  <c r="P2411" i="1" s="1"/>
  <c r="P2410" i="1" a="1"/>
  <c r="P2410" i="1" s="1"/>
  <c r="P2409" i="1" a="1"/>
  <c r="P2409" i="1" s="1"/>
  <c r="P2408" i="1" a="1"/>
  <c r="P2408" i="1" s="1"/>
  <c r="P2407" i="1" a="1"/>
  <c r="P2407" i="1" s="1"/>
  <c r="P2406" i="1" a="1"/>
  <c r="P2406" i="1" s="1"/>
  <c r="P2405" i="1" a="1"/>
  <c r="P2405" i="1" s="1"/>
  <c r="P2404" i="1" a="1"/>
  <c r="P2404" i="1" s="1"/>
  <c r="P2403" i="1" a="1"/>
  <c r="P2403" i="1" s="1"/>
  <c r="P2402" i="1" a="1"/>
  <c r="P2402" i="1" s="1"/>
  <c r="P2401" i="1" a="1"/>
  <c r="P2401" i="1" s="1"/>
  <c r="P2400" i="1" a="1"/>
  <c r="P2400" i="1" s="1"/>
  <c r="P2399" i="1" a="1"/>
  <c r="P2399" i="1" s="1"/>
  <c r="P2398" i="1" a="1"/>
  <c r="P2398" i="1" s="1"/>
  <c r="P2397" i="1" a="1"/>
  <c r="P2397" i="1" s="1"/>
  <c r="P2396" i="1" a="1"/>
  <c r="P2396" i="1" s="1"/>
  <c r="P2395" i="1" a="1"/>
  <c r="P2395" i="1" s="1"/>
  <c r="P2394" i="1" a="1"/>
  <c r="P2394" i="1" s="1"/>
  <c r="P2393" i="1" a="1"/>
  <c r="P2393" i="1" s="1"/>
  <c r="P2392" i="1" a="1"/>
  <c r="P2392" i="1" s="1"/>
  <c r="P2391" i="1" a="1"/>
  <c r="P2391" i="1" s="1"/>
  <c r="P2390" i="1" a="1"/>
  <c r="P2390" i="1" s="1"/>
  <c r="P2389" i="1" a="1"/>
  <c r="P2389" i="1" s="1"/>
  <c r="P2388" i="1" a="1"/>
  <c r="P2388" i="1" s="1"/>
  <c r="P2387" i="1" a="1"/>
  <c r="P2387" i="1" s="1"/>
  <c r="P2386" i="1" a="1"/>
  <c r="P2386" i="1" s="1"/>
  <c r="P2385" i="1" a="1"/>
  <c r="P2385" i="1" s="1"/>
  <c r="P2384" i="1" a="1"/>
  <c r="P2384" i="1" s="1"/>
  <c r="P2383" i="1" a="1"/>
  <c r="P2383" i="1" s="1"/>
  <c r="P2382" i="1" a="1"/>
  <c r="P2382" i="1" s="1"/>
  <c r="P2381" i="1" a="1"/>
  <c r="P2381" i="1" s="1"/>
  <c r="P2380" i="1" a="1"/>
  <c r="P2380" i="1" s="1"/>
  <c r="P2379" i="1" a="1"/>
  <c r="P2379" i="1" s="1"/>
  <c r="P2378" i="1" a="1"/>
  <c r="P2378" i="1" s="1"/>
  <c r="P2377" i="1" a="1"/>
  <c r="P2377" i="1" s="1"/>
  <c r="P2376" i="1" a="1"/>
  <c r="P2376" i="1" s="1"/>
  <c r="P2375" i="1" a="1"/>
  <c r="P2375" i="1" s="1"/>
  <c r="P2374" i="1" a="1"/>
  <c r="P2374" i="1" s="1"/>
  <c r="P2373" i="1" a="1"/>
  <c r="P2373" i="1" s="1"/>
  <c r="P2372" i="1" a="1"/>
  <c r="P2372" i="1" s="1"/>
  <c r="P2371" i="1" a="1"/>
  <c r="P2371" i="1" s="1"/>
  <c r="P2370" i="1" a="1"/>
  <c r="P2370" i="1" s="1"/>
  <c r="P2369" i="1" a="1"/>
  <c r="P2369" i="1" s="1"/>
  <c r="P2368" i="1" a="1"/>
  <c r="P2368" i="1" s="1"/>
  <c r="P2367" i="1" a="1"/>
  <c r="P2367" i="1" s="1"/>
  <c r="P2366" i="1" a="1"/>
  <c r="P2366" i="1" s="1"/>
  <c r="P2365" i="1" a="1"/>
  <c r="P2365" i="1" s="1"/>
  <c r="P2364" i="1" a="1"/>
  <c r="P2364" i="1" s="1"/>
  <c r="P2363" i="1" a="1"/>
  <c r="P2363" i="1" s="1"/>
  <c r="P2362" i="1" a="1"/>
  <c r="P2362" i="1" s="1"/>
  <c r="P2361" i="1" a="1"/>
  <c r="P2361" i="1" s="1"/>
  <c r="P2360" i="1" a="1"/>
  <c r="P2360" i="1" s="1"/>
  <c r="P2359" i="1" a="1"/>
  <c r="P2359" i="1" s="1"/>
  <c r="P2358" i="1" a="1"/>
  <c r="P2358" i="1" s="1"/>
  <c r="P2357" i="1" a="1"/>
  <c r="P2357" i="1" s="1"/>
  <c r="P2356" i="1" a="1"/>
  <c r="P2356" i="1" s="1"/>
  <c r="P2355" i="1" a="1"/>
  <c r="P2355" i="1" s="1"/>
  <c r="P2354" i="1" a="1"/>
  <c r="P2354" i="1" s="1"/>
  <c r="P2353" i="1" a="1"/>
  <c r="P2353" i="1" s="1"/>
  <c r="P2352" i="1" a="1"/>
  <c r="P2352" i="1" s="1"/>
  <c r="P2351" i="1" a="1"/>
  <c r="P2351" i="1" s="1"/>
  <c r="P2350" i="1" a="1"/>
  <c r="P2350" i="1" s="1"/>
  <c r="P2349" i="1" a="1"/>
  <c r="P2349" i="1" s="1"/>
  <c r="P2348" i="1" a="1"/>
  <c r="P2348" i="1" s="1"/>
  <c r="P2347" i="1" a="1"/>
  <c r="P2347" i="1" s="1"/>
  <c r="P2346" i="1" a="1"/>
  <c r="P2346" i="1" s="1"/>
  <c r="P2345" i="1" a="1"/>
  <c r="P2345" i="1" s="1"/>
  <c r="P2344" i="1" a="1"/>
  <c r="P2344" i="1" s="1"/>
  <c r="P2343" i="1" a="1"/>
  <c r="P2343" i="1" s="1"/>
  <c r="P2342" i="1" a="1"/>
  <c r="P2342" i="1" s="1"/>
  <c r="P2341" i="1" a="1"/>
  <c r="P2341" i="1" s="1"/>
  <c r="P2340" i="1" a="1"/>
  <c r="P2340" i="1" s="1"/>
  <c r="P2339" i="1" a="1"/>
  <c r="P2339" i="1" s="1"/>
  <c r="P2338" i="1" a="1"/>
  <c r="P2338" i="1" s="1"/>
  <c r="P2337" i="1" a="1"/>
  <c r="P2337" i="1" s="1"/>
  <c r="P2336" i="1" a="1"/>
  <c r="P2336" i="1" s="1"/>
  <c r="P2335" i="1" a="1"/>
  <c r="P2335" i="1" s="1"/>
  <c r="P2334" i="1" a="1"/>
  <c r="P2334" i="1" s="1"/>
  <c r="P2333" i="1" a="1"/>
  <c r="P2333" i="1" s="1"/>
  <c r="P2332" i="1" a="1"/>
  <c r="P2332" i="1" s="1"/>
  <c r="P2331" i="1" a="1"/>
  <c r="P2331" i="1" s="1"/>
  <c r="P2330" i="1" a="1"/>
  <c r="P2330" i="1" s="1"/>
  <c r="P2329" i="1" a="1"/>
  <c r="P2329" i="1" s="1"/>
  <c r="P2328" i="1" a="1"/>
  <c r="P2328" i="1" s="1"/>
  <c r="P2327" i="1" a="1"/>
  <c r="P2327" i="1" s="1"/>
  <c r="P2326" i="1" a="1"/>
  <c r="P2326" i="1" s="1"/>
  <c r="P2325" i="1" a="1"/>
  <c r="P2325" i="1" s="1"/>
  <c r="P2324" i="1" a="1"/>
  <c r="P2324" i="1" s="1"/>
  <c r="P2323" i="1" a="1"/>
  <c r="P2323" i="1" s="1"/>
  <c r="P2322" i="1" a="1"/>
  <c r="P2322" i="1" s="1"/>
  <c r="P2321" i="1" a="1"/>
  <c r="P2321" i="1" s="1"/>
  <c r="P2320" i="1" a="1"/>
  <c r="P2320" i="1" s="1"/>
  <c r="P2319" i="1" a="1"/>
  <c r="P2319" i="1" s="1"/>
  <c r="P2318" i="1" a="1"/>
  <c r="P2318" i="1" s="1"/>
  <c r="P2317" i="1" a="1"/>
  <c r="P2317" i="1" s="1"/>
  <c r="P2316" i="1" a="1"/>
  <c r="P2316" i="1" s="1"/>
  <c r="P2315" i="1" a="1"/>
  <c r="P2315" i="1" s="1"/>
  <c r="P2314" i="1" a="1"/>
  <c r="P2314" i="1" s="1"/>
  <c r="P2313" i="1" a="1"/>
  <c r="P2313" i="1" s="1"/>
  <c r="P2312" i="1" a="1"/>
  <c r="P2312" i="1" s="1"/>
  <c r="P2311" i="1" a="1"/>
  <c r="P2311" i="1" s="1"/>
  <c r="P2310" i="1" a="1"/>
  <c r="P2310" i="1" s="1"/>
  <c r="P2309" i="1" a="1"/>
  <c r="P2309" i="1" s="1"/>
  <c r="P2308" i="1" a="1"/>
  <c r="P2308" i="1" s="1"/>
  <c r="P2307" i="1" a="1"/>
  <c r="P2307" i="1" s="1"/>
  <c r="P2306" i="1" a="1"/>
  <c r="P2306" i="1" s="1"/>
  <c r="P2305" i="1" a="1"/>
  <c r="P2305" i="1" s="1"/>
  <c r="P2304" i="1" a="1"/>
  <c r="P2304" i="1" s="1"/>
  <c r="P2303" i="1" a="1"/>
  <c r="P2303" i="1" s="1"/>
  <c r="P2302" i="1" a="1"/>
  <c r="P2302" i="1" s="1"/>
  <c r="P2301" i="1" a="1"/>
  <c r="P2301" i="1" s="1"/>
  <c r="P2300" i="1" a="1"/>
  <c r="P2300" i="1" s="1"/>
  <c r="P2299" i="1" a="1"/>
  <c r="P2299" i="1" s="1"/>
  <c r="P2298" i="1" a="1"/>
  <c r="P2298" i="1" s="1"/>
  <c r="P2297" i="1" a="1"/>
  <c r="P2297" i="1" s="1"/>
  <c r="P2296" i="1" a="1"/>
  <c r="P2296" i="1" s="1"/>
  <c r="P2295" i="1" a="1"/>
  <c r="P2295" i="1" s="1"/>
  <c r="P2294" i="1" a="1"/>
  <c r="P2294" i="1" s="1"/>
  <c r="P2293" i="1" a="1"/>
  <c r="P2293" i="1" s="1"/>
  <c r="P2292" i="1" a="1"/>
  <c r="P2292" i="1" s="1"/>
  <c r="P2291" i="1" a="1"/>
  <c r="P2291" i="1" s="1"/>
  <c r="P2290" i="1" a="1"/>
  <c r="P2290" i="1" s="1"/>
  <c r="P2289" i="1" a="1"/>
  <c r="P2289" i="1" s="1"/>
  <c r="P2288" i="1" a="1"/>
  <c r="P2288" i="1" s="1"/>
  <c r="P2287" i="1" a="1"/>
  <c r="P2287" i="1" s="1"/>
  <c r="P2286" i="1" a="1"/>
  <c r="P2286" i="1" s="1"/>
  <c r="P2285" i="1" a="1"/>
  <c r="P2285" i="1" s="1"/>
  <c r="P2284" i="1" a="1"/>
  <c r="P2284" i="1" s="1"/>
  <c r="P2283" i="1" a="1"/>
  <c r="P2283" i="1" s="1"/>
  <c r="P2282" i="1" a="1"/>
  <c r="P2282" i="1" s="1"/>
  <c r="P2281" i="1" a="1"/>
  <c r="P2281" i="1" s="1"/>
  <c r="P2280" i="1" a="1"/>
  <c r="P2280" i="1" s="1"/>
  <c r="P2279" i="1" a="1"/>
  <c r="P2279" i="1" s="1"/>
  <c r="P2278" i="1" a="1"/>
  <c r="P2278" i="1" s="1"/>
  <c r="P2277" i="1" a="1"/>
  <c r="P2277" i="1" s="1"/>
  <c r="P2276" i="1" a="1"/>
  <c r="P2276" i="1" s="1"/>
  <c r="P2275" i="1" a="1"/>
  <c r="P2275" i="1" s="1"/>
  <c r="P2274" i="1" a="1"/>
  <c r="P2274" i="1" s="1"/>
  <c r="P2273" i="1" a="1"/>
  <c r="P2273" i="1" s="1"/>
  <c r="P2272" i="1" a="1"/>
  <c r="P2272" i="1" s="1"/>
  <c r="P2271" i="1" a="1"/>
  <c r="P2271" i="1" s="1"/>
  <c r="P2270" i="1" a="1"/>
  <c r="P2270" i="1" s="1"/>
  <c r="P2269" i="1" a="1"/>
  <c r="P2269" i="1" s="1"/>
  <c r="P2268" i="1" a="1"/>
  <c r="P2268" i="1" s="1"/>
  <c r="P2267" i="1" a="1"/>
  <c r="P2267" i="1" s="1"/>
  <c r="P2266" i="1" a="1"/>
  <c r="P2266" i="1" s="1"/>
  <c r="P2265" i="1" a="1"/>
  <c r="P2265" i="1" s="1"/>
  <c r="P2264" i="1" a="1"/>
  <c r="P2264" i="1" s="1"/>
  <c r="P2263" i="1" a="1"/>
  <c r="P2263" i="1" s="1"/>
  <c r="P2262" i="1" a="1"/>
  <c r="P2262" i="1" s="1"/>
  <c r="P2261" i="1" a="1"/>
  <c r="P2261" i="1" s="1"/>
  <c r="P2260" i="1" a="1"/>
  <c r="P2260" i="1" s="1"/>
  <c r="P2259" i="1" a="1"/>
  <c r="P2259" i="1" s="1"/>
  <c r="P2258" i="1" a="1"/>
  <c r="P2258" i="1" s="1"/>
  <c r="P2257" i="1" a="1"/>
  <c r="P2257" i="1" s="1"/>
  <c r="P2256" i="1" a="1"/>
  <c r="P2256" i="1" s="1"/>
  <c r="P2255" i="1" a="1"/>
  <c r="P2255" i="1" s="1"/>
  <c r="P2254" i="1" a="1"/>
  <c r="P2254" i="1" s="1"/>
  <c r="P2253" i="1" a="1"/>
  <c r="P2253" i="1" s="1"/>
  <c r="P2252" i="1" a="1"/>
  <c r="P2252" i="1" s="1"/>
  <c r="P2251" i="1" a="1"/>
  <c r="P2251" i="1" s="1"/>
  <c r="P2250" i="1" a="1"/>
  <c r="P2250" i="1" s="1"/>
  <c r="P2249" i="1" a="1"/>
  <c r="P2249" i="1" s="1"/>
  <c r="P2248" i="1" a="1"/>
  <c r="P2248" i="1" s="1"/>
  <c r="P2247" i="1" a="1"/>
  <c r="P2247" i="1" s="1"/>
  <c r="P2246" i="1" a="1"/>
  <c r="P2246" i="1" s="1"/>
  <c r="P2245" i="1" a="1"/>
  <c r="P2245" i="1" s="1"/>
  <c r="P2244" i="1" a="1"/>
  <c r="P2244" i="1" s="1"/>
  <c r="P2243" i="1" a="1"/>
  <c r="P2243" i="1" s="1"/>
  <c r="P2242" i="1" a="1"/>
  <c r="P2242" i="1" s="1"/>
  <c r="P2241" i="1" a="1"/>
  <c r="P2241" i="1" s="1"/>
  <c r="P2240" i="1" a="1"/>
  <c r="P2240" i="1" s="1"/>
  <c r="P2239" i="1" a="1"/>
  <c r="P2239" i="1" s="1"/>
  <c r="P2238" i="1" a="1"/>
  <c r="P2238" i="1" s="1"/>
  <c r="P2237" i="1" a="1"/>
  <c r="P2237" i="1" s="1"/>
  <c r="P2236" i="1" a="1"/>
  <c r="P2236" i="1" s="1"/>
  <c r="P2235" i="1" a="1"/>
  <c r="P2235" i="1" s="1"/>
  <c r="P2234" i="1" a="1"/>
  <c r="P2234" i="1" s="1"/>
  <c r="P2233" i="1" a="1"/>
  <c r="P2233" i="1" s="1"/>
  <c r="P2232" i="1" a="1"/>
  <c r="P2232" i="1" s="1"/>
  <c r="P2231" i="1" a="1"/>
  <c r="P2231" i="1" s="1"/>
  <c r="P2230" i="1" a="1"/>
  <c r="P2230" i="1" s="1"/>
  <c r="P2229" i="1" a="1"/>
  <c r="P2229" i="1" s="1"/>
  <c r="P2228" i="1" a="1"/>
  <c r="P2228" i="1" s="1"/>
  <c r="P2227" i="1" a="1"/>
  <c r="P2227" i="1" s="1"/>
  <c r="P2226" i="1" a="1"/>
  <c r="P2226" i="1" s="1"/>
  <c r="P2225" i="1" a="1"/>
  <c r="P2225" i="1" s="1"/>
  <c r="P2224" i="1" a="1"/>
  <c r="P2224" i="1" s="1"/>
  <c r="P2223" i="1" a="1"/>
  <c r="P2223" i="1" s="1"/>
  <c r="P2222" i="1" a="1"/>
  <c r="P2222" i="1" s="1"/>
  <c r="P2221" i="1" a="1"/>
  <c r="P2221" i="1" s="1"/>
  <c r="P2220" i="1" a="1"/>
  <c r="P2220" i="1" s="1"/>
  <c r="P2219" i="1" a="1"/>
  <c r="P2219" i="1" s="1"/>
  <c r="P2218" i="1" a="1"/>
  <c r="P2218" i="1" s="1"/>
  <c r="P2217" i="1" a="1"/>
  <c r="P2217" i="1" s="1"/>
  <c r="P2216" i="1" a="1"/>
  <c r="P2216" i="1" s="1"/>
  <c r="P2215" i="1" a="1"/>
  <c r="P2215" i="1" s="1"/>
  <c r="P2214" i="1" a="1"/>
  <c r="P2214" i="1" s="1"/>
  <c r="P2213" i="1" a="1"/>
  <c r="P2213" i="1" s="1"/>
  <c r="P2212" i="1" a="1"/>
  <c r="P2212" i="1" s="1"/>
  <c r="P2211" i="1" a="1"/>
  <c r="P2211" i="1" s="1"/>
  <c r="P2210" i="1" a="1"/>
  <c r="P2210" i="1" s="1"/>
  <c r="P2209" i="1" a="1"/>
  <c r="P2209" i="1" s="1"/>
  <c r="P2208" i="1" a="1"/>
  <c r="P2208" i="1" s="1"/>
  <c r="P2207" i="1" a="1"/>
  <c r="P2207" i="1" s="1"/>
  <c r="P2206" i="1" a="1"/>
  <c r="P2206" i="1" s="1"/>
  <c r="P2205" i="1" a="1"/>
  <c r="P2205" i="1" s="1"/>
  <c r="P2204" i="1" a="1"/>
  <c r="P2204" i="1" s="1"/>
  <c r="P2203" i="1" a="1"/>
  <c r="P2203" i="1" s="1"/>
  <c r="P2202" i="1" a="1"/>
  <c r="P2202" i="1" s="1"/>
  <c r="P2201" i="1" a="1"/>
  <c r="P2201" i="1" s="1"/>
  <c r="P2200" i="1" a="1"/>
  <c r="P2200" i="1" s="1"/>
  <c r="P2199" i="1" a="1"/>
  <c r="P2199" i="1" s="1"/>
  <c r="P2198" i="1" a="1"/>
  <c r="P2198" i="1" s="1"/>
  <c r="P2197" i="1" a="1"/>
  <c r="P2197" i="1" s="1"/>
  <c r="P2196" i="1" a="1"/>
  <c r="P2196" i="1" s="1"/>
  <c r="P2195" i="1" a="1"/>
  <c r="P2195" i="1" s="1"/>
  <c r="P2194" i="1" a="1"/>
  <c r="P2194" i="1" s="1"/>
  <c r="P2193" i="1" a="1"/>
  <c r="P2193" i="1" s="1"/>
  <c r="P2192" i="1" a="1"/>
  <c r="P2192" i="1" s="1"/>
  <c r="P2191" i="1" a="1"/>
  <c r="P2191" i="1" s="1"/>
  <c r="P2190" i="1" a="1"/>
  <c r="P2190" i="1" s="1"/>
  <c r="P2189" i="1" a="1"/>
  <c r="P2189" i="1" s="1"/>
  <c r="P2188" i="1" a="1"/>
  <c r="P2188" i="1" s="1"/>
  <c r="P2187" i="1" a="1"/>
  <c r="P2187" i="1" s="1"/>
  <c r="P2186" i="1" a="1"/>
  <c r="P2186" i="1" s="1"/>
  <c r="P2185" i="1" a="1"/>
  <c r="P2185" i="1" s="1"/>
  <c r="P2184" i="1" a="1"/>
  <c r="P2184" i="1" s="1"/>
  <c r="P2183" i="1" a="1"/>
  <c r="P2183" i="1" s="1"/>
  <c r="P2182" i="1" a="1"/>
  <c r="P2182" i="1" s="1"/>
  <c r="P2181" i="1" a="1"/>
  <c r="P2181" i="1" s="1"/>
  <c r="P2180" i="1" a="1"/>
  <c r="P2180" i="1" s="1"/>
  <c r="P2179" i="1" a="1"/>
  <c r="P2179" i="1" s="1"/>
  <c r="P2178" i="1" a="1"/>
  <c r="P2178" i="1" s="1"/>
  <c r="P2177" i="1" a="1"/>
  <c r="P2177" i="1" s="1"/>
  <c r="P2176" i="1" a="1"/>
  <c r="P2176" i="1" s="1"/>
  <c r="P2174" i="1" a="1"/>
  <c r="P2174" i="1" s="1"/>
  <c r="P2173" i="1" a="1"/>
  <c r="P2173" i="1" s="1"/>
  <c r="P2172" i="1" a="1"/>
  <c r="P2172" i="1" s="1"/>
  <c r="P2171" i="1" a="1"/>
  <c r="P2171" i="1" s="1"/>
  <c r="P2170" i="1" a="1"/>
  <c r="P2170" i="1" s="1"/>
  <c r="P2169" i="1" a="1"/>
  <c r="P2169" i="1" s="1"/>
  <c r="P2168" i="1" a="1"/>
  <c r="P2168" i="1" s="1"/>
  <c r="P2167" i="1" a="1"/>
  <c r="P2167" i="1" s="1"/>
  <c r="P2166" i="1" a="1"/>
  <c r="P2166" i="1" s="1"/>
  <c r="P2165" i="1" a="1"/>
  <c r="P2165" i="1" s="1"/>
  <c r="P2164" i="1" a="1"/>
  <c r="P2164" i="1" s="1"/>
  <c r="P2163" i="1" a="1"/>
  <c r="P2163" i="1" s="1"/>
  <c r="P2162" i="1" a="1"/>
  <c r="P2162" i="1" s="1"/>
  <c r="P2161" i="1" a="1"/>
  <c r="P2161" i="1" s="1"/>
  <c r="P2160" i="1" a="1"/>
  <c r="P2160" i="1" s="1"/>
  <c r="P2159" i="1" a="1"/>
  <c r="P2159" i="1" s="1"/>
  <c r="P2158" i="1" a="1"/>
  <c r="P2158" i="1" s="1"/>
  <c r="P2157" i="1" a="1"/>
  <c r="P2157" i="1" s="1"/>
  <c r="P2156" i="1" a="1"/>
  <c r="P2156" i="1" s="1"/>
  <c r="P2155" i="1" a="1"/>
  <c r="P2155" i="1" s="1"/>
  <c r="P2154" i="1" a="1"/>
  <c r="P2154" i="1" s="1"/>
  <c r="P2153" i="1" a="1"/>
  <c r="P2153" i="1" s="1"/>
  <c r="P2152" i="1" a="1"/>
  <c r="P2152" i="1" s="1"/>
  <c r="P2151" i="1" a="1"/>
  <c r="P2151" i="1" s="1"/>
  <c r="P2150" i="1" a="1"/>
  <c r="P2150" i="1" s="1"/>
  <c r="P2149" i="1" a="1"/>
  <c r="P2149" i="1" s="1"/>
  <c r="P2148" i="1" a="1"/>
  <c r="P2148" i="1" s="1"/>
  <c r="P2147" i="1" a="1"/>
  <c r="P2147" i="1" s="1"/>
  <c r="P2146" i="1" a="1"/>
  <c r="P2146" i="1" s="1"/>
  <c r="P2145" i="1" a="1"/>
  <c r="P2145" i="1" s="1"/>
  <c r="P2144" i="1" a="1"/>
  <c r="P2144" i="1" s="1"/>
  <c r="P2143" i="1" a="1"/>
  <c r="P2143" i="1" s="1"/>
  <c r="P2142" i="1" a="1"/>
  <c r="P2142" i="1" s="1"/>
  <c r="P2141" i="1" a="1"/>
  <c r="P2141" i="1" s="1"/>
  <c r="P2140" i="1" a="1"/>
  <c r="P2140" i="1" s="1"/>
  <c r="P2139" i="1" a="1"/>
  <c r="P2139" i="1" s="1"/>
  <c r="P2138" i="1" a="1"/>
  <c r="P2138" i="1" s="1"/>
  <c r="P2137" i="1" a="1"/>
  <c r="P2137" i="1" s="1"/>
  <c r="P2136" i="1" a="1"/>
  <c r="P2136" i="1" s="1"/>
  <c r="P2135" i="1" a="1"/>
  <c r="P2135" i="1" s="1"/>
  <c r="P2134" i="1" a="1"/>
  <c r="P2134" i="1" s="1"/>
  <c r="P2133" i="1" a="1"/>
  <c r="P2133" i="1" s="1"/>
  <c r="P2132" i="1" a="1"/>
  <c r="P2132" i="1" s="1"/>
  <c r="P2131" i="1" a="1"/>
  <c r="P2131" i="1" s="1"/>
  <c r="P2130" i="1" a="1"/>
  <c r="P2130" i="1" s="1"/>
  <c r="P2129" i="1" a="1"/>
  <c r="P2129" i="1" s="1"/>
  <c r="P2128" i="1" a="1"/>
  <c r="P2128" i="1" s="1"/>
  <c r="P2127" i="1" a="1"/>
  <c r="P2127" i="1" s="1"/>
  <c r="P2126" i="1" a="1"/>
  <c r="P2126" i="1" s="1"/>
  <c r="P2125" i="1" a="1"/>
  <c r="P2125" i="1" s="1"/>
  <c r="P2124" i="1" a="1"/>
  <c r="P2124" i="1" s="1"/>
  <c r="P2123" i="1" a="1"/>
  <c r="P2123" i="1" s="1"/>
  <c r="P2122" i="1" a="1"/>
  <c r="P2122" i="1" s="1"/>
  <c r="P2121" i="1" a="1"/>
  <c r="P2121" i="1" s="1"/>
  <c r="P2120" i="1" a="1"/>
  <c r="P2120" i="1" s="1"/>
  <c r="P2119" i="1" a="1"/>
  <c r="P2119" i="1" s="1"/>
  <c r="P2118" i="1" a="1"/>
  <c r="P2118" i="1" s="1"/>
  <c r="P2117" i="1" a="1"/>
  <c r="P2117" i="1" s="1"/>
  <c r="P2116" i="1" a="1"/>
  <c r="P2116" i="1" s="1"/>
  <c r="P2115" i="1" a="1"/>
  <c r="P2115" i="1" s="1"/>
  <c r="P2114" i="1" a="1"/>
  <c r="P2114" i="1" s="1"/>
  <c r="P2113" i="1" a="1"/>
  <c r="P2113" i="1" s="1"/>
  <c r="P2112" i="1" a="1"/>
  <c r="P2112" i="1" s="1"/>
  <c r="P2111" i="1" a="1"/>
  <c r="P2111" i="1" s="1"/>
  <c r="P2110" i="1" a="1"/>
  <c r="P2110" i="1" s="1"/>
  <c r="P2109" i="1" a="1"/>
  <c r="P2109" i="1" s="1"/>
  <c r="P2108" i="1" a="1"/>
  <c r="P2108" i="1" s="1"/>
  <c r="P2107" i="1" a="1"/>
  <c r="P2107" i="1" s="1"/>
  <c r="P2106" i="1" a="1"/>
  <c r="P2106" i="1" s="1"/>
  <c r="P2105" i="1" a="1"/>
  <c r="P2105" i="1" s="1"/>
  <c r="P2104" i="1" a="1"/>
  <c r="P2104" i="1" s="1"/>
  <c r="P2103" i="1" a="1"/>
  <c r="P2103" i="1" s="1"/>
  <c r="P2102" i="1" a="1"/>
  <c r="P2102" i="1" s="1"/>
  <c r="P2101" i="1" a="1"/>
  <c r="P2101" i="1" s="1"/>
  <c r="P2100" i="1" a="1"/>
  <c r="P2100" i="1" s="1"/>
  <c r="P2099" i="1" a="1"/>
  <c r="P2099" i="1" s="1"/>
  <c r="P2098" i="1" a="1"/>
  <c r="P2098" i="1" s="1"/>
  <c r="P2097" i="1" a="1"/>
  <c r="P2097" i="1" s="1"/>
  <c r="P2096" i="1" a="1"/>
  <c r="P2096" i="1" s="1"/>
  <c r="P2095" i="1" a="1"/>
  <c r="P2095" i="1" s="1"/>
  <c r="P2094" i="1" a="1"/>
  <c r="P2094" i="1" s="1"/>
  <c r="P2093" i="1" a="1"/>
  <c r="P2093" i="1" s="1"/>
  <c r="P2092" i="1" a="1"/>
  <c r="P2092" i="1" s="1"/>
  <c r="P2091" i="1" a="1"/>
  <c r="P2091" i="1" s="1"/>
  <c r="P2090" i="1" a="1"/>
  <c r="P2090" i="1" s="1"/>
  <c r="P2089" i="1" a="1"/>
  <c r="P2089" i="1" s="1"/>
  <c r="P2088" i="1" a="1"/>
  <c r="P2088" i="1" s="1"/>
  <c r="P2087" i="1" a="1"/>
  <c r="P2087" i="1" s="1"/>
  <c r="P2086" i="1" a="1"/>
  <c r="P2086" i="1" s="1"/>
  <c r="P2085" i="1" a="1"/>
  <c r="P2085" i="1" s="1"/>
  <c r="P2084" i="1" a="1"/>
  <c r="P2084" i="1" s="1"/>
  <c r="P2083" i="1" a="1"/>
  <c r="P2083" i="1" s="1"/>
  <c r="P2082" i="1" a="1"/>
  <c r="P2082" i="1" s="1"/>
  <c r="P2081" i="1" a="1"/>
  <c r="P2081" i="1" s="1"/>
  <c r="P2080" i="1" a="1"/>
  <c r="P2080" i="1" s="1"/>
  <c r="P2079" i="1" a="1"/>
  <c r="P2079" i="1" s="1"/>
  <c r="P2078" i="1" a="1"/>
  <c r="P2078" i="1" s="1"/>
  <c r="P2077" i="1" a="1"/>
  <c r="P2077" i="1" s="1"/>
  <c r="P2076" i="1" a="1"/>
  <c r="P2076" i="1" s="1"/>
  <c r="P2075" i="1" a="1"/>
  <c r="P2075" i="1" s="1"/>
  <c r="P2074" i="1" a="1"/>
  <c r="P2074" i="1" s="1"/>
  <c r="P2073" i="1" a="1"/>
  <c r="P2073" i="1" s="1"/>
  <c r="P2072" i="1" a="1"/>
  <c r="P2072" i="1" s="1"/>
  <c r="P2071" i="1" a="1"/>
  <c r="P2071" i="1" s="1"/>
  <c r="P2070" i="1" a="1"/>
  <c r="P2070" i="1" s="1"/>
  <c r="P2069" i="1" a="1"/>
  <c r="P2069" i="1" s="1"/>
  <c r="P2068" i="1" a="1"/>
  <c r="P2068" i="1" s="1"/>
  <c r="P2067" i="1" a="1"/>
  <c r="P2067" i="1" s="1"/>
  <c r="P2066" i="1" a="1"/>
  <c r="P2066" i="1" s="1"/>
  <c r="P2065" i="1" a="1"/>
  <c r="P2065" i="1" s="1"/>
  <c r="P2064" i="1" a="1"/>
  <c r="P2064" i="1" s="1"/>
  <c r="P2063" i="1" a="1"/>
  <c r="P2063" i="1" s="1"/>
  <c r="P2062" i="1" a="1"/>
  <c r="P2062" i="1" s="1"/>
  <c r="P2061" i="1" a="1"/>
  <c r="P2061" i="1" s="1"/>
  <c r="P2060" i="1" a="1"/>
  <c r="P2060" i="1" s="1"/>
  <c r="P2059" i="1" a="1"/>
  <c r="P2059" i="1" s="1"/>
  <c r="P2058" i="1" a="1"/>
  <c r="P2058" i="1" s="1"/>
  <c r="P2057" i="1" a="1"/>
  <c r="P2057" i="1" s="1"/>
  <c r="P2056" i="1" a="1"/>
  <c r="P2056" i="1" s="1"/>
  <c r="P2055" i="1" a="1"/>
  <c r="P2055" i="1" s="1"/>
  <c r="P2054" i="1" a="1"/>
  <c r="P2054" i="1" s="1"/>
  <c r="P2053" i="1" a="1"/>
  <c r="P2053" i="1" s="1"/>
  <c r="P2052" i="1" a="1"/>
  <c r="P2052" i="1" s="1"/>
  <c r="P2051" i="1" a="1"/>
  <c r="P2051" i="1" s="1"/>
  <c r="P2050" i="1" a="1"/>
  <c r="P2050" i="1" s="1"/>
  <c r="P2049" i="1" a="1"/>
  <c r="P2049" i="1" s="1"/>
  <c r="P2048" i="1" a="1"/>
  <c r="P2048" i="1" s="1"/>
  <c r="P2047" i="1" a="1"/>
  <c r="P2047" i="1" s="1"/>
  <c r="P2046" i="1" a="1"/>
  <c r="P2046" i="1" s="1"/>
  <c r="P2045" i="1" a="1"/>
  <c r="P2045" i="1" s="1"/>
  <c r="P2044" i="1" a="1"/>
  <c r="P2044" i="1" s="1"/>
  <c r="P2043" i="1" a="1"/>
  <c r="P2043" i="1" s="1"/>
  <c r="P2042" i="1" a="1"/>
  <c r="P2042" i="1" s="1"/>
  <c r="P2041" i="1" a="1"/>
  <c r="P2041" i="1" s="1"/>
  <c r="P2040" i="1" a="1"/>
  <c r="P2040" i="1" s="1"/>
  <c r="P2039" i="1" a="1"/>
  <c r="P2039" i="1" s="1"/>
  <c r="P2038" i="1" a="1"/>
  <c r="P2038" i="1" s="1"/>
  <c r="P2037" i="1" a="1"/>
  <c r="P2037" i="1" s="1"/>
  <c r="P2036" i="1" a="1"/>
  <c r="P2036" i="1" s="1"/>
  <c r="P2035" i="1" a="1"/>
  <c r="P2035" i="1" s="1"/>
  <c r="P2034" i="1" a="1"/>
  <c r="P2034" i="1" s="1"/>
  <c r="P2033" i="1" a="1"/>
  <c r="P2033" i="1" s="1"/>
  <c r="P2032" i="1" a="1"/>
  <c r="P2032" i="1" s="1"/>
  <c r="P2031" i="1" a="1"/>
  <c r="P2031" i="1" s="1"/>
  <c r="P2030" i="1" a="1"/>
  <c r="P2030" i="1" s="1"/>
  <c r="P2029" i="1" a="1"/>
  <c r="P2029" i="1" s="1"/>
  <c r="P2028" i="1" a="1"/>
  <c r="P2028" i="1" s="1"/>
  <c r="P2027" i="1" a="1"/>
  <c r="P2027" i="1" s="1"/>
  <c r="P2026" i="1" a="1"/>
  <c r="P2026" i="1" s="1"/>
  <c r="P2025" i="1" a="1"/>
  <c r="P2025" i="1" s="1"/>
  <c r="P2024" i="1" a="1"/>
  <c r="P2024" i="1" s="1"/>
  <c r="P2023" i="1" a="1"/>
  <c r="P2023" i="1" s="1"/>
  <c r="P2022" i="1" a="1"/>
  <c r="P2022" i="1" s="1"/>
  <c r="P2021" i="1" a="1"/>
  <c r="P2021" i="1" s="1"/>
  <c r="P2020" i="1" a="1"/>
  <c r="P2020" i="1" s="1"/>
  <c r="P2019" i="1" a="1"/>
  <c r="P2019" i="1" s="1"/>
  <c r="P2018" i="1" a="1"/>
  <c r="P2018" i="1" s="1"/>
  <c r="P2017" i="1" a="1"/>
  <c r="P2017" i="1" s="1"/>
  <c r="P2016" i="1" a="1"/>
  <c r="P2016" i="1" s="1"/>
  <c r="P2015" i="1" a="1"/>
  <c r="P2015" i="1" s="1"/>
  <c r="P2014" i="1" a="1"/>
  <c r="P2014" i="1" s="1"/>
  <c r="P2013" i="1" a="1"/>
  <c r="P2013" i="1" s="1"/>
  <c r="P2012" i="1" a="1"/>
  <c r="P2012" i="1" s="1"/>
  <c r="P2011" i="1" a="1"/>
  <c r="P2011" i="1" s="1"/>
  <c r="P2010" i="1" a="1"/>
  <c r="P2010" i="1" s="1"/>
  <c r="P2009" i="1" a="1"/>
  <c r="P2009" i="1" s="1"/>
  <c r="P2008" i="1" a="1"/>
  <c r="P2008" i="1" s="1"/>
  <c r="P2007" i="1" a="1"/>
  <c r="P2007" i="1" s="1"/>
  <c r="P2006" i="1" a="1"/>
  <c r="P2006" i="1" s="1"/>
  <c r="P2005" i="1" a="1"/>
  <c r="P2005" i="1" s="1"/>
  <c r="P2004" i="1" a="1"/>
  <c r="P2004" i="1" s="1"/>
  <c r="P2003" i="1" a="1"/>
  <c r="P2003" i="1" s="1"/>
  <c r="P2002" i="1" a="1"/>
  <c r="P2002" i="1" s="1"/>
  <c r="P2001" i="1" a="1"/>
  <c r="P2001" i="1" s="1"/>
  <c r="P2000" i="1" a="1"/>
  <c r="P2000" i="1" s="1"/>
  <c r="P1999" i="1" a="1"/>
  <c r="P1999" i="1" s="1"/>
  <c r="P1998" i="1" a="1"/>
  <c r="P1998" i="1" s="1"/>
  <c r="P1997" i="1" a="1"/>
  <c r="P1997" i="1" s="1"/>
  <c r="P1996" i="1" a="1"/>
  <c r="P1996" i="1" s="1"/>
  <c r="P1995" i="1" a="1"/>
  <c r="P1995" i="1" s="1"/>
  <c r="P1994" i="1" a="1"/>
  <c r="P1994" i="1" s="1"/>
  <c r="P1993" i="1" a="1"/>
  <c r="P1993" i="1" s="1"/>
  <c r="P1992" i="1" a="1"/>
  <c r="P1992" i="1" s="1"/>
  <c r="P1991" i="1" a="1"/>
  <c r="P1991" i="1" s="1"/>
  <c r="P1990" i="1" a="1"/>
  <c r="P1990" i="1" s="1"/>
  <c r="P1989" i="1" a="1"/>
  <c r="P1989" i="1" s="1"/>
  <c r="P1988" i="1" a="1"/>
  <c r="P1988" i="1" s="1"/>
  <c r="P1987" i="1" a="1"/>
  <c r="P1987" i="1" s="1"/>
  <c r="P1986" i="1" a="1"/>
  <c r="P1986" i="1" s="1"/>
  <c r="P1985" i="1" a="1"/>
  <c r="P1985" i="1" s="1"/>
  <c r="P1984" i="1" a="1"/>
  <c r="P1984" i="1" s="1"/>
  <c r="P1983" i="1" a="1"/>
  <c r="P1983" i="1" s="1"/>
  <c r="P1982" i="1" a="1"/>
  <c r="P1982" i="1" s="1"/>
  <c r="P1981" i="1" a="1"/>
  <c r="P1981" i="1" s="1"/>
  <c r="P1980" i="1" a="1"/>
  <c r="P1980" i="1" s="1"/>
  <c r="P1979" i="1" a="1"/>
  <c r="P1979" i="1" s="1"/>
  <c r="P1978" i="1" a="1"/>
  <c r="P1978" i="1" s="1"/>
  <c r="P1977" i="1" a="1"/>
  <c r="P1977" i="1" s="1"/>
  <c r="P1976" i="1" a="1"/>
  <c r="P1976" i="1" s="1"/>
  <c r="P1975" i="1" a="1"/>
  <c r="P1975" i="1" s="1"/>
  <c r="P1974" i="1" a="1"/>
  <c r="P1974" i="1" s="1"/>
  <c r="P1973" i="1" a="1"/>
  <c r="P1973" i="1" s="1"/>
  <c r="P1972" i="1" a="1"/>
  <c r="P1972" i="1" s="1"/>
  <c r="P1971" i="1" a="1"/>
  <c r="P1971" i="1" s="1"/>
  <c r="P1970" i="1" a="1"/>
  <c r="P1970" i="1" s="1"/>
  <c r="P1969" i="1" a="1"/>
  <c r="P1969" i="1" s="1"/>
  <c r="P1968" i="1" a="1"/>
  <c r="P1968" i="1" s="1"/>
  <c r="P1967" i="1" a="1"/>
  <c r="P1967" i="1" s="1"/>
  <c r="P1966" i="1" a="1"/>
  <c r="P1966" i="1" s="1"/>
  <c r="P1965" i="1" a="1"/>
  <c r="P1965" i="1" s="1"/>
  <c r="P1964" i="1" a="1"/>
  <c r="P1964" i="1" s="1"/>
  <c r="P1963" i="1" a="1"/>
  <c r="P1963" i="1" s="1"/>
  <c r="P1962" i="1" a="1"/>
  <c r="P1962" i="1" s="1"/>
  <c r="P1961" i="1" a="1"/>
  <c r="P1961" i="1" s="1"/>
  <c r="P1960" i="1" a="1"/>
  <c r="P1960" i="1" s="1"/>
  <c r="P1959" i="1" a="1"/>
  <c r="P1959" i="1" s="1"/>
  <c r="P1958" i="1" a="1"/>
  <c r="P1958" i="1" s="1"/>
  <c r="P1957" i="1" a="1"/>
  <c r="P1957" i="1" s="1"/>
  <c r="P1956" i="1" a="1"/>
  <c r="P1956" i="1" s="1"/>
  <c r="P1955" i="1" a="1"/>
  <c r="P1955" i="1" s="1"/>
  <c r="P1954" i="1" a="1"/>
  <c r="P1954" i="1" s="1"/>
  <c r="P1953" i="1" a="1"/>
  <c r="P1953" i="1" s="1"/>
  <c r="P1952" i="1" a="1"/>
  <c r="P1952" i="1" s="1"/>
  <c r="P1951" i="1" a="1"/>
  <c r="P1951" i="1" s="1"/>
  <c r="P1950" i="1" a="1"/>
  <c r="P1950" i="1" s="1"/>
  <c r="P1949" i="1" a="1"/>
  <c r="P1949" i="1" s="1"/>
  <c r="P1948" i="1" a="1"/>
  <c r="P1948" i="1" s="1"/>
  <c r="P1947" i="1" a="1"/>
  <c r="P1947" i="1" s="1"/>
  <c r="P1946" i="1" a="1"/>
  <c r="P1946" i="1" s="1"/>
  <c r="P1945" i="1" a="1"/>
  <c r="P1945" i="1" s="1"/>
  <c r="P1944" i="1" a="1"/>
  <c r="P1944" i="1" s="1"/>
  <c r="P1943" i="1" a="1"/>
  <c r="P1943" i="1" s="1"/>
  <c r="P1942" i="1" a="1"/>
  <c r="P1942" i="1" s="1"/>
  <c r="P1941" i="1" a="1"/>
  <c r="P1941" i="1" s="1"/>
  <c r="P1940" i="1" a="1"/>
  <c r="P1940" i="1" s="1"/>
  <c r="P1939" i="1" a="1"/>
  <c r="P1939" i="1" s="1"/>
  <c r="P1938" i="1" a="1"/>
  <c r="P1938" i="1" s="1"/>
  <c r="P1937" i="1" a="1"/>
  <c r="P1937" i="1" s="1"/>
  <c r="P1936" i="1" a="1"/>
  <c r="P1936" i="1" s="1"/>
  <c r="P1935" i="1" a="1"/>
  <c r="P1935" i="1" s="1"/>
  <c r="P1934" i="1" a="1"/>
  <c r="P1934" i="1" s="1"/>
  <c r="P1933" i="1" a="1"/>
  <c r="P1933" i="1" s="1"/>
  <c r="P1932" i="1" a="1"/>
  <c r="P1932" i="1" s="1"/>
  <c r="P1931" i="1" a="1"/>
  <c r="P1931" i="1" s="1"/>
  <c r="P1930" i="1" a="1"/>
  <c r="P1930" i="1" s="1"/>
  <c r="P1929" i="1" a="1"/>
  <c r="P1929" i="1" s="1"/>
  <c r="P1928" i="1" a="1"/>
  <c r="P1928" i="1" s="1"/>
  <c r="P1927" i="1" a="1"/>
  <c r="P1927" i="1" s="1"/>
  <c r="P1926" i="1" a="1"/>
  <c r="P1926" i="1" s="1"/>
  <c r="P1925" i="1" a="1"/>
  <c r="P1925" i="1" s="1"/>
  <c r="P1924" i="1" a="1"/>
  <c r="P1924" i="1" s="1"/>
  <c r="P1923" i="1" a="1"/>
  <c r="P1923" i="1" s="1"/>
  <c r="P1922" i="1" a="1"/>
  <c r="P1922" i="1" s="1"/>
  <c r="P1921" i="1" a="1"/>
  <c r="P1921" i="1" s="1"/>
  <c r="P1920" i="1" a="1"/>
  <c r="P1920" i="1" s="1"/>
  <c r="P1919" i="1" a="1"/>
  <c r="P1919" i="1" s="1"/>
  <c r="P1918" i="1" a="1"/>
  <c r="P1918" i="1" s="1"/>
  <c r="P1917" i="1" a="1"/>
  <c r="P1917" i="1" s="1"/>
  <c r="P1916" i="1" a="1"/>
  <c r="P1916" i="1" s="1"/>
  <c r="P1915" i="1" a="1"/>
  <c r="P1915" i="1" s="1"/>
  <c r="P1914" i="1" a="1"/>
  <c r="P1914" i="1" s="1"/>
  <c r="P1913" i="1" a="1"/>
  <c r="P1913" i="1" s="1"/>
  <c r="P1912" i="1" a="1"/>
  <c r="P1912" i="1" s="1"/>
  <c r="P1911" i="1" a="1"/>
  <c r="P1911" i="1" s="1"/>
  <c r="P1910" i="1" a="1"/>
  <c r="P1910" i="1" s="1"/>
  <c r="P1909" i="1" a="1"/>
  <c r="P1909" i="1" s="1"/>
  <c r="P1908" i="1" a="1"/>
  <c r="P1908" i="1" s="1"/>
  <c r="P1907" i="1" a="1"/>
  <c r="P1907" i="1" s="1"/>
  <c r="P1906" i="1" a="1"/>
  <c r="P1906" i="1" s="1"/>
  <c r="P1905" i="1" a="1"/>
  <c r="P1905" i="1" s="1"/>
  <c r="P1904" i="1" a="1"/>
  <c r="P1904" i="1" s="1"/>
  <c r="P1903" i="1" a="1"/>
  <c r="P1903" i="1" s="1"/>
  <c r="P1902" i="1" a="1"/>
  <c r="P1902" i="1" s="1"/>
  <c r="P1901" i="1" a="1"/>
  <c r="P1901" i="1" s="1"/>
  <c r="P1900" i="1" a="1"/>
  <c r="P1900" i="1" s="1"/>
  <c r="P1899" i="1" a="1"/>
  <c r="P1899" i="1" s="1"/>
  <c r="P1898" i="1" a="1"/>
  <c r="P1898" i="1" s="1"/>
  <c r="P1897" i="1" a="1"/>
  <c r="P1897" i="1" s="1"/>
  <c r="P1896" i="1" a="1"/>
  <c r="P1896" i="1" s="1"/>
  <c r="P1895" i="1" a="1"/>
  <c r="P1895" i="1" s="1"/>
  <c r="P1894" i="1" a="1"/>
  <c r="P1894" i="1" s="1"/>
  <c r="P1893" i="1" a="1"/>
  <c r="P1893" i="1" s="1"/>
  <c r="P1892" i="1" a="1"/>
  <c r="P1892" i="1" s="1"/>
  <c r="P1891" i="1" a="1"/>
  <c r="P1891" i="1" s="1"/>
  <c r="P1890" i="1" a="1"/>
  <c r="P1890" i="1" s="1"/>
  <c r="P1889" i="1" a="1"/>
  <c r="P1889" i="1" s="1"/>
  <c r="P1888" i="1" a="1"/>
  <c r="P1888" i="1" s="1"/>
  <c r="P1887" i="1" a="1"/>
  <c r="P1887" i="1" s="1"/>
  <c r="P1886" i="1" a="1"/>
  <c r="P1886" i="1" s="1"/>
  <c r="P1885" i="1" a="1"/>
  <c r="P1885" i="1" s="1"/>
  <c r="P1884" i="1" a="1"/>
  <c r="P1884" i="1" s="1"/>
  <c r="P1883" i="1" a="1"/>
  <c r="P1883" i="1" s="1"/>
  <c r="P1882" i="1" a="1"/>
  <c r="P1882" i="1" s="1"/>
  <c r="P1881" i="1" a="1"/>
  <c r="P1881" i="1" s="1"/>
  <c r="P1880" i="1" a="1"/>
  <c r="P1880" i="1" s="1"/>
  <c r="P1879" i="1" a="1"/>
  <c r="P1879" i="1" s="1"/>
  <c r="P1878" i="1" a="1"/>
  <c r="P1878" i="1" s="1"/>
  <c r="P1877" i="1" a="1"/>
  <c r="P1877" i="1" s="1"/>
  <c r="P1876" i="1" a="1"/>
  <c r="P1876" i="1" s="1"/>
  <c r="P1875" i="1" a="1"/>
  <c r="P1875" i="1" s="1"/>
  <c r="P1874" i="1" a="1"/>
  <c r="P1874" i="1" s="1"/>
  <c r="P1873" i="1" a="1"/>
  <c r="P1873" i="1" s="1"/>
  <c r="P1872" i="1" a="1"/>
  <c r="P1872" i="1" s="1"/>
  <c r="P1871" i="1" a="1"/>
  <c r="P1871" i="1" s="1"/>
  <c r="P1870" i="1" a="1"/>
  <c r="P1870" i="1" s="1"/>
  <c r="P1869" i="1" a="1"/>
  <c r="P1869" i="1" s="1"/>
  <c r="P1868" i="1" a="1"/>
  <c r="P1868" i="1" s="1"/>
  <c r="P1867" i="1" a="1"/>
  <c r="P1867" i="1" s="1"/>
  <c r="P1866" i="1" a="1"/>
  <c r="P1866" i="1" s="1"/>
  <c r="P1865" i="1" a="1"/>
  <c r="P1865" i="1" s="1"/>
  <c r="P1864" i="1" a="1"/>
  <c r="P1864" i="1" s="1"/>
  <c r="P1863" i="1" a="1"/>
  <c r="P1863" i="1" s="1"/>
  <c r="P1862" i="1" a="1"/>
  <c r="P1862" i="1" s="1"/>
  <c r="P1861" i="1" a="1"/>
  <c r="P1861" i="1" s="1"/>
  <c r="P1860" i="1" a="1"/>
  <c r="P1860" i="1" s="1"/>
  <c r="P1859" i="1" a="1"/>
  <c r="P1859" i="1" s="1"/>
  <c r="P1858" i="1" a="1"/>
  <c r="P1858" i="1" s="1"/>
  <c r="P1857" i="1" a="1"/>
  <c r="P1857" i="1" s="1"/>
  <c r="P1856" i="1" a="1"/>
  <c r="P1856" i="1" s="1"/>
  <c r="P1855" i="1" a="1"/>
  <c r="P1855" i="1" s="1"/>
  <c r="P1854" i="1" a="1"/>
  <c r="P1854" i="1" s="1"/>
  <c r="P1853" i="1" a="1"/>
  <c r="P1853" i="1" s="1"/>
  <c r="P1852" i="1" a="1"/>
  <c r="P1852" i="1" s="1"/>
  <c r="P1851" i="1" a="1"/>
  <c r="P1851" i="1" s="1"/>
  <c r="P1850" i="1" a="1"/>
  <c r="P1850" i="1" s="1"/>
  <c r="P1849" i="1" a="1"/>
  <c r="P1849" i="1" s="1"/>
  <c r="P1848" i="1" a="1"/>
  <c r="P1848" i="1" s="1"/>
  <c r="P1847" i="1" a="1"/>
  <c r="P1847" i="1" s="1"/>
  <c r="P1846" i="1" a="1"/>
  <c r="P1846" i="1" s="1"/>
  <c r="P1845" i="1" a="1"/>
  <c r="P1845" i="1" s="1"/>
  <c r="P1844" i="1" a="1"/>
  <c r="P1844" i="1" s="1"/>
  <c r="P1843" i="1" a="1"/>
  <c r="P1843" i="1" s="1"/>
  <c r="P1842" i="1" a="1"/>
  <c r="P1842" i="1" s="1"/>
  <c r="P1841" i="1" a="1"/>
  <c r="P1841" i="1" s="1"/>
  <c r="P1840" i="1" a="1"/>
  <c r="P1840" i="1" s="1"/>
  <c r="P1839" i="1" a="1"/>
  <c r="P1839" i="1" s="1"/>
  <c r="P1838" i="1" a="1"/>
  <c r="P1838" i="1" s="1"/>
  <c r="P1837" i="1" a="1"/>
  <c r="P1837" i="1" s="1"/>
  <c r="P1836" i="1" a="1"/>
  <c r="P1836" i="1" s="1"/>
  <c r="P1835" i="1" a="1"/>
  <c r="P1835" i="1" s="1"/>
  <c r="P1834" i="1" a="1"/>
  <c r="P1834" i="1" s="1"/>
  <c r="P1833" i="1" a="1"/>
  <c r="P1833" i="1" s="1"/>
  <c r="P1832" i="1" a="1"/>
  <c r="P1832" i="1" s="1"/>
  <c r="P1831" i="1" a="1"/>
  <c r="P1831" i="1" s="1"/>
  <c r="P1830" i="1" a="1"/>
  <c r="P1830" i="1" s="1"/>
  <c r="P1829" i="1" a="1"/>
  <c r="P1829" i="1" s="1"/>
  <c r="P1828" i="1" a="1"/>
  <c r="P1828" i="1" s="1"/>
  <c r="P1827" i="1" a="1"/>
  <c r="P1827" i="1" s="1"/>
  <c r="P1826" i="1" a="1"/>
  <c r="P1826" i="1" s="1"/>
  <c r="P1825" i="1" a="1"/>
  <c r="P1825" i="1" s="1"/>
  <c r="P1824" i="1" a="1"/>
  <c r="P1824" i="1" s="1"/>
  <c r="P1823" i="1" a="1"/>
  <c r="P1823" i="1" s="1"/>
  <c r="P1822" i="1" a="1"/>
  <c r="P1822" i="1" s="1"/>
  <c r="P1821" i="1" a="1"/>
  <c r="P1821" i="1" s="1"/>
  <c r="P1820" i="1" a="1"/>
  <c r="P1820" i="1" s="1"/>
  <c r="P1819" i="1" a="1"/>
  <c r="P1819" i="1" s="1"/>
  <c r="P1818" i="1" a="1"/>
  <c r="P1818" i="1" s="1"/>
  <c r="P1817" i="1" a="1"/>
  <c r="P1817" i="1" s="1"/>
  <c r="P1816" i="1" a="1"/>
  <c r="P1816" i="1" s="1"/>
  <c r="P1815" i="1" a="1"/>
  <c r="P1815" i="1" s="1"/>
  <c r="P1814" i="1" a="1"/>
  <c r="P1814" i="1" s="1"/>
  <c r="P1813" i="1" a="1"/>
  <c r="P1813" i="1" s="1"/>
  <c r="P1812" i="1" a="1"/>
  <c r="P1812" i="1" s="1"/>
  <c r="P1811" i="1" a="1"/>
  <c r="P1811" i="1" s="1"/>
  <c r="P1810" i="1" a="1"/>
  <c r="P1810" i="1" s="1"/>
  <c r="P1809" i="1" a="1"/>
  <c r="P1809" i="1" s="1"/>
  <c r="P1808" i="1" a="1"/>
  <c r="P1808" i="1" s="1"/>
  <c r="P1807" i="1" a="1"/>
  <c r="P1807" i="1" s="1"/>
  <c r="P1806" i="1" a="1"/>
  <c r="P1806" i="1" s="1"/>
  <c r="P1805" i="1" a="1"/>
  <c r="P1805" i="1" s="1"/>
  <c r="P1804" i="1" a="1"/>
  <c r="P1804" i="1" s="1"/>
  <c r="P1803" i="1" a="1"/>
  <c r="P1803" i="1" s="1"/>
  <c r="P1802" i="1" a="1"/>
  <c r="P1802" i="1" s="1"/>
  <c r="P1801" i="1" a="1"/>
  <c r="P1801" i="1" s="1"/>
  <c r="P1800" i="1" a="1"/>
  <c r="P1800" i="1" s="1"/>
  <c r="P1799" i="1" a="1"/>
  <c r="P1799" i="1" s="1"/>
  <c r="P1798" i="1" a="1"/>
  <c r="P1798" i="1" s="1"/>
  <c r="P1797" i="1" a="1"/>
  <c r="P1797" i="1" s="1"/>
  <c r="P1796" i="1" a="1"/>
  <c r="P1796" i="1" s="1"/>
  <c r="P1795" i="1" a="1"/>
  <c r="P1795" i="1" s="1"/>
  <c r="P1794" i="1" a="1"/>
  <c r="P1794" i="1" s="1"/>
  <c r="P1793" i="1" a="1"/>
  <c r="P1793" i="1" s="1"/>
  <c r="P1792" i="1" a="1"/>
  <c r="P1792" i="1" s="1"/>
  <c r="P1791" i="1" a="1"/>
  <c r="P1791" i="1" s="1"/>
  <c r="P1790" i="1" a="1"/>
  <c r="P1790" i="1" s="1"/>
  <c r="P1789" i="1" a="1"/>
  <c r="P1789" i="1" s="1"/>
  <c r="P1788" i="1" a="1"/>
  <c r="P1788" i="1" s="1"/>
  <c r="P1787" i="1" a="1"/>
  <c r="P1787" i="1" s="1"/>
  <c r="P1786" i="1" a="1"/>
  <c r="P1786" i="1" s="1"/>
  <c r="P1785" i="1" a="1"/>
  <c r="P1785" i="1" s="1"/>
  <c r="P1784" i="1" a="1"/>
  <c r="P1784" i="1" s="1"/>
  <c r="P1783" i="1" a="1"/>
  <c r="P1783" i="1" s="1"/>
  <c r="P1782" i="1" a="1"/>
  <c r="P1782" i="1" s="1"/>
  <c r="P1781" i="1" a="1"/>
  <c r="P1781" i="1" s="1"/>
  <c r="P1780" i="1" a="1"/>
  <c r="P1780" i="1" s="1"/>
  <c r="P1779" i="1" a="1"/>
  <c r="P1779" i="1" s="1"/>
  <c r="P1778" i="1" a="1"/>
  <c r="P1778" i="1" s="1"/>
  <c r="P1777" i="1" a="1"/>
  <c r="P1777" i="1" s="1"/>
  <c r="P1776" i="1" a="1"/>
  <c r="P1776" i="1" s="1"/>
  <c r="P1775" i="1" a="1"/>
  <c r="P1775" i="1" s="1"/>
  <c r="P1774" i="1" a="1"/>
  <c r="P1774" i="1" s="1"/>
  <c r="P1773" i="1" a="1"/>
  <c r="P1773" i="1" s="1"/>
  <c r="P1772" i="1" a="1"/>
  <c r="P1772" i="1" s="1"/>
  <c r="P1771" i="1" a="1"/>
  <c r="P1771" i="1" s="1"/>
  <c r="P1770" i="1" a="1"/>
  <c r="P1770" i="1" s="1"/>
  <c r="P1769" i="1" a="1"/>
  <c r="P1769" i="1" s="1"/>
  <c r="P1768" i="1" a="1"/>
  <c r="P1768" i="1" s="1"/>
  <c r="P1767" i="1" a="1"/>
  <c r="P1767" i="1" s="1"/>
  <c r="P1766" i="1" a="1"/>
  <c r="P1766" i="1" s="1"/>
  <c r="P1765" i="1" a="1"/>
  <c r="P1765" i="1" s="1"/>
  <c r="P1764" i="1" a="1"/>
  <c r="P1764" i="1" s="1"/>
  <c r="P1763" i="1" a="1"/>
  <c r="P1763" i="1" s="1"/>
  <c r="P1762" i="1" a="1"/>
  <c r="P1762" i="1" s="1"/>
  <c r="P1761" i="1" a="1"/>
  <c r="P1761" i="1" s="1"/>
  <c r="P1760" i="1" a="1"/>
  <c r="P1760" i="1" s="1"/>
  <c r="P1759" i="1" a="1"/>
  <c r="P1759" i="1" s="1"/>
  <c r="P1758" i="1" a="1"/>
  <c r="P1758" i="1" s="1"/>
  <c r="P1757" i="1" a="1"/>
  <c r="P1757" i="1" s="1"/>
  <c r="P1756" i="1" a="1"/>
  <c r="P1756" i="1" s="1"/>
  <c r="P1755" i="1" a="1"/>
  <c r="P1755" i="1" s="1"/>
  <c r="P1754" i="1" a="1"/>
  <c r="P1754" i="1" s="1"/>
  <c r="P1753" i="1" a="1"/>
  <c r="P1753" i="1" s="1"/>
  <c r="P1752" i="1" a="1"/>
  <c r="P1752" i="1" s="1"/>
  <c r="P1751" i="1" a="1"/>
  <c r="P1751" i="1" s="1"/>
  <c r="P1750" i="1" a="1"/>
  <c r="P1750" i="1" s="1"/>
  <c r="P1749" i="1" a="1"/>
  <c r="P1749" i="1" s="1"/>
  <c r="P1748" i="1" a="1"/>
  <c r="P1748" i="1" s="1"/>
  <c r="P1747" i="1" a="1"/>
  <c r="P1747" i="1" s="1"/>
  <c r="P1746" i="1" a="1"/>
  <c r="P1746" i="1" s="1"/>
  <c r="P1745" i="1" a="1"/>
  <c r="P1745" i="1" s="1"/>
  <c r="P1744" i="1" a="1"/>
  <c r="P1744" i="1" s="1"/>
  <c r="P1743" i="1" a="1"/>
  <c r="P1743" i="1" s="1"/>
  <c r="P1742" i="1" a="1"/>
  <c r="P1742" i="1" s="1"/>
  <c r="P1741" i="1" a="1"/>
  <c r="P1741" i="1" s="1"/>
  <c r="P1740" i="1" a="1"/>
  <c r="P1740" i="1" s="1"/>
  <c r="P1739" i="1" a="1"/>
  <c r="P1739" i="1" s="1"/>
  <c r="P1738" i="1" a="1"/>
  <c r="P1738" i="1" s="1"/>
  <c r="P1737" i="1" a="1"/>
  <c r="P1737" i="1" s="1"/>
  <c r="P1736" i="1" a="1"/>
  <c r="P1736" i="1" s="1"/>
  <c r="P1735" i="1" a="1"/>
  <c r="P1735" i="1" s="1"/>
  <c r="P1734" i="1" a="1"/>
  <c r="P1734" i="1" s="1"/>
  <c r="P1733" i="1" a="1"/>
  <c r="P1733" i="1" s="1"/>
  <c r="P1732" i="1" a="1"/>
  <c r="P1732" i="1" s="1"/>
  <c r="P1731" i="1" a="1"/>
  <c r="P1731" i="1" s="1"/>
  <c r="P1730" i="1" a="1"/>
  <c r="P1730" i="1" s="1"/>
  <c r="P1729" i="1" a="1"/>
  <c r="P1729" i="1" s="1"/>
  <c r="P1728" i="1" a="1"/>
  <c r="P1728" i="1" s="1"/>
  <c r="P1727" i="1" a="1"/>
  <c r="P1727" i="1" s="1"/>
  <c r="P1726" i="1" a="1"/>
  <c r="P1726" i="1" s="1"/>
  <c r="P1725" i="1" a="1"/>
  <c r="P1725" i="1" s="1"/>
  <c r="P1724" i="1" a="1"/>
  <c r="P1724" i="1" s="1"/>
  <c r="P1723" i="1" a="1"/>
  <c r="P1723" i="1" s="1"/>
  <c r="P1722" i="1" a="1"/>
  <c r="P1722" i="1" s="1"/>
  <c r="P1721" i="1" a="1"/>
  <c r="P1721" i="1" s="1"/>
  <c r="P1720" i="1" a="1"/>
  <c r="P1720" i="1" s="1"/>
  <c r="P1719" i="1" a="1"/>
  <c r="P1719" i="1" s="1"/>
  <c r="P1718" i="1" a="1"/>
  <c r="P1718" i="1" s="1"/>
  <c r="P1717" i="1" a="1"/>
  <c r="P1717" i="1" s="1"/>
  <c r="P1716" i="1" a="1"/>
  <c r="P1716" i="1" s="1"/>
  <c r="P1715" i="1" a="1"/>
  <c r="P1715" i="1" s="1"/>
  <c r="P1714" i="1" a="1"/>
  <c r="P1714" i="1" s="1"/>
  <c r="P1713" i="1" a="1"/>
  <c r="P1713" i="1" s="1"/>
  <c r="P1712" i="1" a="1"/>
  <c r="P1712" i="1" s="1"/>
  <c r="P1711" i="1" a="1"/>
  <c r="P1711" i="1" s="1"/>
  <c r="P1710" i="1" a="1"/>
  <c r="P1710" i="1" s="1"/>
  <c r="P1709" i="1" a="1"/>
  <c r="P1709" i="1" s="1"/>
  <c r="P1708" i="1" a="1"/>
  <c r="P1708" i="1" s="1"/>
  <c r="P1707" i="1" a="1"/>
  <c r="P1707" i="1" s="1"/>
  <c r="P1706" i="1" a="1"/>
  <c r="P1706" i="1" s="1"/>
  <c r="P1705" i="1" a="1"/>
  <c r="P1705" i="1" s="1"/>
  <c r="P1704" i="1" a="1"/>
  <c r="P1704" i="1" s="1"/>
  <c r="P1703" i="1" a="1"/>
  <c r="P1703" i="1" s="1"/>
  <c r="P1702" i="1" a="1"/>
  <c r="P1702" i="1" s="1"/>
  <c r="P1701" i="1" a="1"/>
  <c r="P1701" i="1" s="1"/>
  <c r="P1700" i="1" a="1"/>
  <c r="P1700" i="1" s="1"/>
  <c r="P1699" i="1" a="1"/>
  <c r="P1699" i="1" s="1"/>
  <c r="P1698" i="1" a="1"/>
  <c r="P1698" i="1" s="1"/>
  <c r="P1697" i="1" a="1"/>
  <c r="P1697" i="1" s="1"/>
  <c r="P1696" i="1" a="1"/>
  <c r="P1696" i="1" s="1"/>
  <c r="P1695" i="1" a="1"/>
  <c r="P1695" i="1" s="1"/>
  <c r="P1694" i="1" a="1"/>
  <c r="P1694" i="1" s="1"/>
  <c r="P1693" i="1" a="1"/>
  <c r="P1693" i="1" s="1"/>
  <c r="P1692" i="1" a="1"/>
  <c r="P1692" i="1" s="1"/>
  <c r="P1691" i="1" a="1"/>
  <c r="P1691" i="1" s="1"/>
  <c r="P1690" i="1" a="1"/>
  <c r="P1690" i="1" s="1"/>
  <c r="P1689" i="1" a="1"/>
  <c r="P1689" i="1" s="1"/>
  <c r="P1688" i="1" a="1"/>
  <c r="P1688" i="1" s="1"/>
  <c r="P1687" i="1" a="1"/>
  <c r="P1687" i="1" s="1"/>
  <c r="P1686" i="1" a="1"/>
  <c r="P1686" i="1" s="1"/>
  <c r="P1685" i="1" a="1"/>
  <c r="P1685" i="1" s="1"/>
  <c r="P1684" i="1" a="1"/>
  <c r="P1684" i="1" s="1"/>
  <c r="P1683" i="1" a="1"/>
  <c r="P1683" i="1" s="1"/>
  <c r="P1682" i="1" a="1"/>
  <c r="P1682" i="1" s="1"/>
  <c r="P1681" i="1" a="1"/>
  <c r="P1681" i="1" s="1"/>
  <c r="P1680" i="1" a="1"/>
  <c r="P1680" i="1" s="1"/>
  <c r="P1679" i="1" a="1"/>
  <c r="P1679" i="1" s="1"/>
  <c r="P1678" i="1" a="1"/>
  <c r="P1678" i="1" s="1"/>
  <c r="P1677" i="1" a="1"/>
  <c r="P1677" i="1" s="1"/>
  <c r="P1676" i="1" a="1"/>
  <c r="P1676" i="1" s="1"/>
  <c r="P1675" i="1" a="1"/>
  <c r="P1675" i="1" s="1"/>
  <c r="P1674" i="1" a="1"/>
  <c r="P1674" i="1" s="1"/>
  <c r="P1673" i="1" a="1"/>
  <c r="P1673" i="1" s="1"/>
  <c r="P1672" i="1" a="1"/>
  <c r="P1672" i="1" s="1"/>
  <c r="P1671" i="1" a="1"/>
  <c r="P1671" i="1" s="1"/>
  <c r="P1670" i="1" a="1"/>
  <c r="P1670" i="1" s="1"/>
  <c r="P1669" i="1" a="1"/>
  <c r="P1669" i="1" s="1"/>
  <c r="P1668" i="1" a="1"/>
  <c r="P1668" i="1" s="1"/>
  <c r="P1667" i="1" a="1"/>
  <c r="P1667" i="1" s="1"/>
  <c r="P1666" i="1" a="1"/>
  <c r="P1666" i="1" s="1"/>
  <c r="P1665" i="1" a="1"/>
  <c r="P1665" i="1" s="1"/>
  <c r="P1664" i="1" a="1"/>
  <c r="P1664" i="1" s="1"/>
  <c r="P1663" i="1" a="1"/>
  <c r="P1663" i="1" s="1"/>
  <c r="P1662" i="1" a="1"/>
  <c r="P1662" i="1" s="1"/>
  <c r="P1661" i="1" a="1"/>
  <c r="P1661" i="1" s="1"/>
  <c r="P1660" i="1" a="1"/>
  <c r="P1660" i="1" s="1"/>
  <c r="P1659" i="1" a="1"/>
  <c r="P1659" i="1" s="1"/>
  <c r="P1658" i="1" a="1"/>
  <c r="P1658" i="1" s="1"/>
  <c r="P1657" i="1" a="1"/>
  <c r="P1657" i="1" s="1"/>
  <c r="P1656" i="1" a="1"/>
  <c r="P1656" i="1" s="1"/>
  <c r="P1655" i="1" a="1"/>
  <c r="P1655" i="1" s="1"/>
  <c r="P1654" i="1" a="1"/>
  <c r="P1654" i="1" s="1"/>
  <c r="P1653" i="1" a="1"/>
  <c r="P1653" i="1" s="1"/>
  <c r="P1652" i="1" a="1"/>
  <c r="P1652" i="1" s="1"/>
  <c r="P1651" i="1" a="1"/>
  <c r="P1651" i="1" s="1"/>
  <c r="P1650" i="1" a="1"/>
  <c r="P1650" i="1" s="1"/>
  <c r="P1649" i="1" a="1"/>
  <c r="P1649" i="1" s="1"/>
  <c r="P1648" i="1" a="1"/>
  <c r="P1648" i="1" s="1"/>
  <c r="P1647" i="1" a="1"/>
  <c r="P1647" i="1" s="1"/>
  <c r="P1646" i="1" a="1"/>
  <c r="P1646" i="1" s="1"/>
  <c r="P1645" i="1" a="1"/>
  <c r="P1645" i="1" s="1"/>
  <c r="P1644" i="1" a="1"/>
  <c r="P1644" i="1" s="1"/>
  <c r="P1643" i="1" a="1"/>
  <c r="P1643" i="1" s="1"/>
  <c r="P1642" i="1" a="1"/>
  <c r="P1642" i="1" s="1"/>
  <c r="P1641" i="1" a="1"/>
  <c r="P1641" i="1" s="1"/>
  <c r="P1640" i="1" a="1"/>
  <c r="P1640" i="1" s="1"/>
  <c r="P1639" i="1" a="1"/>
  <c r="P1639" i="1" s="1"/>
  <c r="P1638" i="1" a="1"/>
  <c r="P1638" i="1" s="1"/>
  <c r="P1637" i="1" a="1"/>
  <c r="P1637" i="1" s="1"/>
  <c r="P1636" i="1" a="1"/>
  <c r="P1636" i="1" s="1"/>
  <c r="P1635" i="1" a="1"/>
  <c r="P1635" i="1" s="1"/>
  <c r="P1634" i="1" a="1"/>
  <c r="P1634" i="1" s="1"/>
  <c r="P1633" i="1" a="1"/>
  <c r="P1633" i="1" s="1"/>
  <c r="P1632" i="1" a="1"/>
  <c r="P1632" i="1" s="1"/>
  <c r="P1631" i="1" a="1"/>
  <c r="P1631" i="1" s="1"/>
  <c r="P1630" i="1" a="1"/>
  <c r="P1630" i="1" s="1"/>
  <c r="P1629" i="1" a="1"/>
  <c r="P1629" i="1" s="1"/>
  <c r="P1628" i="1" a="1"/>
  <c r="P1628" i="1" s="1"/>
  <c r="P1627" i="1" a="1"/>
  <c r="P1627" i="1" s="1"/>
  <c r="P1626" i="1" a="1"/>
  <c r="P1626" i="1" s="1"/>
  <c r="P1625" i="1" a="1"/>
  <c r="P1625" i="1" s="1"/>
  <c r="P1624" i="1" a="1"/>
  <c r="P1624" i="1" s="1"/>
  <c r="P1623" i="1" a="1"/>
  <c r="P1623" i="1" s="1"/>
  <c r="P1622" i="1" a="1"/>
  <c r="P1622" i="1" s="1"/>
  <c r="P1621" i="1" a="1"/>
  <c r="P1621" i="1" s="1"/>
  <c r="P1620" i="1" a="1"/>
  <c r="P1620" i="1" s="1"/>
  <c r="P1619" i="1" a="1"/>
  <c r="P1619" i="1" s="1"/>
  <c r="P1618" i="1" a="1"/>
  <c r="P1618" i="1" s="1"/>
  <c r="P1617" i="1" a="1"/>
  <c r="P1617" i="1" s="1"/>
  <c r="P1616" i="1" a="1"/>
  <c r="P1616" i="1" s="1"/>
  <c r="P1615" i="1" a="1"/>
  <c r="P1615" i="1" s="1"/>
  <c r="P1614" i="1" a="1"/>
  <c r="P1614" i="1" s="1"/>
  <c r="P1613" i="1" a="1"/>
  <c r="P1613" i="1" s="1"/>
  <c r="P1612" i="1" a="1"/>
  <c r="P1612" i="1" s="1"/>
  <c r="P1611" i="1" a="1"/>
  <c r="P1611" i="1" s="1"/>
  <c r="P1610" i="1" a="1"/>
  <c r="P1610" i="1" s="1"/>
  <c r="P1609" i="1" a="1"/>
  <c r="P1609" i="1" s="1"/>
  <c r="P1608" i="1" a="1"/>
  <c r="P1608" i="1" s="1"/>
  <c r="P1607" i="1" a="1"/>
  <c r="P1607" i="1" s="1"/>
  <c r="P1606" i="1" a="1"/>
  <c r="P1606" i="1" s="1"/>
  <c r="P1605" i="1" a="1"/>
  <c r="P1605" i="1" s="1"/>
  <c r="P1604" i="1" a="1"/>
  <c r="P1604" i="1" s="1"/>
  <c r="P1603" i="1" a="1"/>
  <c r="P1603" i="1" s="1"/>
  <c r="P1602" i="1" a="1"/>
  <c r="P1602" i="1" s="1"/>
  <c r="P1601" i="1" a="1"/>
  <c r="P1601" i="1" s="1"/>
  <c r="P1600" i="1" a="1"/>
  <c r="P1600" i="1" s="1"/>
  <c r="P1599" i="1" a="1"/>
  <c r="P1599" i="1" s="1"/>
  <c r="P1598" i="1" a="1"/>
  <c r="P1598" i="1" s="1"/>
  <c r="P1597" i="1" a="1"/>
  <c r="P1597" i="1" s="1"/>
  <c r="P1596" i="1" a="1"/>
  <c r="P1596" i="1" s="1"/>
  <c r="P1595" i="1" a="1"/>
  <c r="P1595" i="1" s="1"/>
  <c r="P1594" i="1" a="1"/>
  <c r="P1594" i="1" s="1"/>
  <c r="P1593" i="1" a="1"/>
  <c r="P1593" i="1" s="1"/>
  <c r="P1592" i="1" a="1"/>
  <c r="P1592" i="1" s="1"/>
  <c r="P1591" i="1" a="1"/>
  <c r="P1591" i="1" s="1"/>
  <c r="P1590" i="1" a="1"/>
  <c r="P1590" i="1" s="1"/>
  <c r="P1589" i="1" a="1"/>
  <c r="P1589" i="1" s="1"/>
  <c r="P1588" i="1" a="1"/>
  <c r="P1588" i="1" s="1"/>
  <c r="P1587" i="1" a="1"/>
  <c r="P1587" i="1" s="1"/>
  <c r="P1586" i="1" a="1"/>
  <c r="P1586" i="1" s="1"/>
  <c r="P1585" i="1" a="1"/>
  <c r="P1585" i="1" s="1"/>
  <c r="P1584" i="1" a="1"/>
  <c r="P1584" i="1" s="1"/>
  <c r="P1583" i="1" a="1"/>
  <c r="P1583" i="1" s="1"/>
  <c r="P1582" i="1" a="1"/>
  <c r="P1582" i="1" s="1"/>
  <c r="P1581" i="1" a="1"/>
  <c r="P1581" i="1" s="1"/>
  <c r="P1580" i="1" a="1"/>
  <c r="P1580" i="1" s="1"/>
  <c r="P1579" i="1" a="1"/>
  <c r="P1579" i="1" s="1"/>
  <c r="P1578" i="1" a="1"/>
  <c r="P1578" i="1" s="1"/>
  <c r="P1577" i="1" a="1"/>
  <c r="P1577" i="1" s="1"/>
  <c r="P1576" i="1" a="1"/>
  <c r="P1576" i="1" s="1"/>
  <c r="P1575" i="1" a="1"/>
  <c r="P1575" i="1" s="1"/>
  <c r="P1574" i="1" a="1"/>
  <c r="P1574" i="1" s="1"/>
  <c r="P1573" i="1" a="1"/>
  <c r="P1573" i="1" s="1"/>
  <c r="P1572" i="1" a="1"/>
  <c r="P1572" i="1" s="1"/>
  <c r="P1571" i="1" a="1"/>
  <c r="P1571" i="1" s="1"/>
  <c r="P1570" i="1" a="1"/>
  <c r="P1570" i="1" s="1"/>
  <c r="P1569" i="1" a="1"/>
  <c r="P1569" i="1" s="1"/>
  <c r="P1568" i="1" a="1"/>
  <c r="P1568" i="1" s="1"/>
  <c r="P1567" i="1" a="1"/>
  <c r="P1567" i="1" s="1"/>
  <c r="P1566" i="1" a="1"/>
  <c r="P1566" i="1" s="1"/>
  <c r="P1565" i="1" a="1"/>
  <c r="P1565" i="1" s="1"/>
  <c r="P1564" i="1" a="1"/>
  <c r="P1564" i="1" s="1"/>
  <c r="P1563" i="1" a="1"/>
  <c r="P1563" i="1" s="1"/>
  <c r="P1562" i="1" a="1"/>
  <c r="P1562" i="1" s="1"/>
  <c r="P1561" i="1" a="1"/>
  <c r="P1561" i="1" s="1"/>
  <c r="P1560" i="1" a="1"/>
  <c r="P1560" i="1" s="1"/>
  <c r="P1559" i="1" a="1"/>
  <c r="P1559" i="1" s="1"/>
  <c r="P1558" i="1" a="1"/>
  <c r="P1558" i="1" s="1"/>
  <c r="P1557" i="1" a="1"/>
  <c r="P1557" i="1" s="1"/>
  <c r="P1556" i="1" a="1"/>
  <c r="P1556" i="1" s="1"/>
  <c r="P1555" i="1" a="1"/>
  <c r="P1555" i="1" s="1"/>
  <c r="P1554" i="1" a="1"/>
  <c r="P1554" i="1" s="1"/>
  <c r="P1553" i="1" a="1"/>
  <c r="P1553" i="1" s="1"/>
  <c r="P1552" i="1" a="1"/>
  <c r="P1552" i="1" s="1"/>
  <c r="P1551" i="1" a="1"/>
  <c r="P1551" i="1" s="1"/>
  <c r="P1550" i="1" a="1"/>
  <c r="P1550" i="1" s="1"/>
  <c r="P1549" i="1" a="1"/>
  <c r="P1549" i="1" s="1"/>
  <c r="P1548" i="1" a="1"/>
  <c r="P1548" i="1" s="1"/>
  <c r="P1547" i="1" a="1"/>
  <c r="P1547" i="1" s="1"/>
  <c r="P1546" i="1" a="1"/>
  <c r="P1546" i="1" s="1"/>
  <c r="P1545" i="1" a="1"/>
  <c r="P1545" i="1" s="1"/>
  <c r="P1544" i="1" a="1"/>
  <c r="P1544" i="1" s="1"/>
  <c r="P1543" i="1" a="1"/>
  <c r="P1543" i="1" s="1"/>
  <c r="P1542" i="1" a="1"/>
  <c r="P1542" i="1" s="1"/>
  <c r="P1541" i="1" a="1"/>
  <c r="P1541" i="1" s="1"/>
  <c r="P1540" i="1" a="1"/>
  <c r="P1540" i="1" s="1"/>
  <c r="P1539" i="1" a="1"/>
  <c r="P1539" i="1" s="1"/>
  <c r="P1538" i="1" a="1"/>
  <c r="P1538" i="1" s="1"/>
  <c r="P1537" i="1" a="1"/>
  <c r="P1537" i="1" s="1"/>
  <c r="P1536" i="1" a="1"/>
  <c r="P1536" i="1" s="1"/>
  <c r="P1535" i="1" a="1"/>
  <c r="P1535" i="1" s="1"/>
  <c r="P1534" i="1" a="1"/>
  <c r="P1534" i="1" s="1"/>
  <c r="P1533" i="1" a="1"/>
  <c r="P1533" i="1" s="1"/>
  <c r="P1532" i="1" a="1"/>
  <c r="P1532" i="1" s="1"/>
  <c r="P1531" i="1" a="1"/>
  <c r="P1531" i="1" s="1"/>
  <c r="P1530" i="1" a="1"/>
  <c r="P1530" i="1" s="1"/>
  <c r="P1529" i="1" a="1"/>
  <c r="P1529" i="1" s="1"/>
  <c r="P1528" i="1" a="1"/>
  <c r="P1528" i="1" s="1"/>
  <c r="P1527" i="1" a="1"/>
  <c r="P1527" i="1" s="1"/>
  <c r="P1526" i="1" a="1"/>
  <c r="P1526" i="1" s="1"/>
  <c r="P1525" i="1" a="1"/>
  <c r="P1525" i="1" s="1"/>
  <c r="P1524" i="1" a="1"/>
  <c r="P1524" i="1" s="1"/>
  <c r="P1523" i="1" a="1"/>
  <c r="P1523" i="1" s="1"/>
  <c r="P1522" i="1" a="1"/>
  <c r="P1522" i="1" s="1"/>
  <c r="P1521" i="1" a="1"/>
  <c r="P1521" i="1" s="1"/>
  <c r="P1520" i="1" a="1"/>
  <c r="P1520" i="1" s="1"/>
  <c r="P1519" i="1" a="1"/>
  <c r="P1519" i="1" s="1"/>
  <c r="P1518" i="1" a="1"/>
  <c r="P1518" i="1" s="1"/>
  <c r="P1517" i="1" a="1"/>
  <c r="P1517" i="1" s="1"/>
  <c r="P1516" i="1" a="1"/>
  <c r="P1516" i="1" s="1"/>
  <c r="P1515" i="1" a="1"/>
  <c r="P1515" i="1" s="1"/>
  <c r="P1514" i="1" a="1"/>
  <c r="P1514" i="1" s="1"/>
  <c r="P1513" i="1" a="1"/>
  <c r="P1513" i="1" s="1"/>
  <c r="P1512" i="1" a="1"/>
  <c r="P1512" i="1" s="1"/>
  <c r="P1511" i="1" a="1"/>
  <c r="P1511" i="1" s="1"/>
  <c r="P1510" i="1" a="1"/>
  <c r="P1510" i="1" s="1"/>
  <c r="P1509" i="1" a="1"/>
  <c r="P1509" i="1" s="1"/>
  <c r="P1508" i="1" a="1"/>
  <c r="P1508" i="1" s="1"/>
  <c r="P1507" i="1" a="1"/>
  <c r="P1507" i="1" s="1"/>
  <c r="P1506" i="1" a="1"/>
  <c r="P1506" i="1" s="1"/>
  <c r="P1505" i="1" a="1"/>
  <c r="P1505" i="1" s="1"/>
  <c r="P1504" i="1" a="1"/>
  <c r="P1504" i="1" s="1"/>
  <c r="P1503" i="1" a="1"/>
  <c r="P1503" i="1" s="1"/>
  <c r="P1502" i="1" a="1"/>
  <c r="P1502" i="1" s="1"/>
  <c r="P1501" i="1" a="1"/>
  <c r="P1501" i="1" s="1"/>
  <c r="P1500" i="1" a="1"/>
  <c r="P1500" i="1" s="1"/>
  <c r="P1499" i="1" a="1"/>
  <c r="P1499" i="1" s="1"/>
  <c r="P1498" i="1" a="1"/>
  <c r="P1498" i="1" s="1"/>
  <c r="P1497" i="1" a="1"/>
  <c r="P1497" i="1" s="1"/>
  <c r="P1496" i="1" a="1"/>
  <c r="P1496" i="1" s="1"/>
  <c r="P1495" i="1" a="1"/>
  <c r="P1495" i="1" s="1"/>
  <c r="P1494" i="1" a="1"/>
  <c r="P1494" i="1" s="1"/>
  <c r="P1493" i="1" a="1"/>
  <c r="P1493" i="1" s="1"/>
  <c r="P1492" i="1" a="1"/>
  <c r="P1492" i="1" s="1"/>
  <c r="P1491" i="1" a="1"/>
  <c r="P1491" i="1" s="1"/>
  <c r="P1490" i="1" a="1"/>
  <c r="P1490" i="1" s="1"/>
  <c r="P1489" i="1" a="1"/>
  <c r="P1489" i="1" s="1"/>
  <c r="P1488" i="1" a="1"/>
  <c r="P1488" i="1" s="1"/>
  <c r="P1487" i="1" a="1"/>
  <c r="P1487" i="1" s="1"/>
  <c r="P1486" i="1" a="1"/>
  <c r="P1486" i="1" s="1"/>
  <c r="P1485" i="1" a="1"/>
  <c r="P1485" i="1" s="1"/>
  <c r="P1484" i="1" a="1"/>
  <c r="P1484" i="1" s="1"/>
  <c r="P1483" i="1" a="1"/>
  <c r="P1483" i="1" s="1"/>
  <c r="P1482" i="1" a="1"/>
  <c r="P1482" i="1" s="1"/>
  <c r="P1481" i="1" a="1"/>
  <c r="P1481" i="1" s="1"/>
  <c r="P1480" i="1" a="1"/>
  <c r="P1480" i="1" s="1"/>
  <c r="P1479" i="1" a="1"/>
  <c r="P1479" i="1" s="1"/>
  <c r="P1478" i="1" a="1"/>
  <c r="P1478" i="1" s="1"/>
  <c r="P1477" i="1" a="1"/>
  <c r="P1477" i="1" s="1"/>
  <c r="P1476" i="1" a="1"/>
  <c r="P1476" i="1" s="1"/>
  <c r="P1475" i="1" a="1"/>
  <c r="P1475" i="1" s="1"/>
  <c r="P1474" i="1" a="1"/>
  <c r="P1474" i="1" s="1"/>
  <c r="P1473" i="1" a="1"/>
  <c r="P1473" i="1" s="1"/>
  <c r="P1472" i="1" a="1"/>
  <c r="P1472" i="1" s="1"/>
  <c r="P1471" i="1" a="1"/>
  <c r="P1471" i="1" s="1"/>
  <c r="P1470" i="1" a="1"/>
  <c r="P1470" i="1" s="1"/>
  <c r="P1469" i="1" a="1"/>
  <c r="P1469" i="1" s="1"/>
  <c r="P1468" i="1" a="1"/>
  <c r="P1468" i="1" s="1"/>
  <c r="P1467" i="1" a="1"/>
  <c r="P1467" i="1" s="1"/>
  <c r="P1466" i="1" a="1"/>
  <c r="P1466" i="1" s="1"/>
  <c r="P1465" i="1" a="1"/>
  <c r="P1465" i="1" s="1"/>
  <c r="P1464" i="1" a="1"/>
  <c r="P1464" i="1" s="1"/>
  <c r="P1463" i="1" a="1"/>
  <c r="P1463" i="1" s="1"/>
  <c r="P1462" i="1" a="1"/>
  <c r="P1462" i="1" s="1"/>
  <c r="P1461" i="1" a="1"/>
  <c r="P1461" i="1" s="1"/>
  <c r="P1460" i="1" a="1"/>
  <c r="P1460" i="1" s="1"/>
  <c r="P1459" i="1" a="1"/>
  <c r="P1459" i="1" s="1"/>
  <c r="P1458" i="1" a="1"/>
  <c r="P1458" i="1" s="1"/>
  <c r="P1457" i="1" a="1"/>
  <c r="P1457" i="1" s="1"/>
  <c r="P1456" i="1" a="1"/>
  <c r="P1456" i="1" s="1"/>
  <c r="P1455" i="1" a="1"/>
  <c r="P1455" i="1" s="1"/>
  <c r="P1454" i="1" a="1"/>
  <c r="P1454" i="1" s="1"/>
  <c r="P1453" i="1" a="1"/>
  <c r="P1453" i="1" s="1"/>
  <c r="P1452" i="1" a="1"/>
  <c r="P1452" i="1" s="1"/>
  <c r="P1451" i="1" a="1"/>
  <c r="P1451" i="1" s="1"/>
  <c r="P1450" i="1" a="1"/>
  <c r="P1450" i="1" s="1"/>
  <c r="P1449" i="1" a="1"/>
  <c r="P1449" i="1" s="1"/>
  <c r="P1448" i="1" a="1"/>
  <c r="P1448" i="1" s="1"/>
  <c r="P1447" i="1" a="1"/>
  <c r="P1447" i="1" s="1"/>
  <c r="P1446" i="1" a="1"/>
  <c r="P1446" i="1" s="1"/>
  <c r="P1445" i="1" a="1"/>
  <c r="P1445" i="1" s="1"/>
  <c r="P1444" i="1" a="1"/>
  <c r="P1444" i="1" s="1"/>
  <c r="P1443" i="1" a="1"/>
  <c r="P1443" i="1" s="1"/>
  <c r="P1442" i="1" a="1"/>
  <c r="P1442" i="1" s="1"/>
  <c r="P1441" i="1" a="1"/>
  <c r="P1441" i="1" s="1"/>
  <c r="P1440" i="1" a="1"/>
  <c r="P1440" i="1" s="1"/>
  <c r="P1439" i="1" a="1"/>
  <c r="P1439" i="1" s="1"/>
  <c r="P1438" i="1" a="1"/>
  <c r="P1438" i="1" s="1"/>
  <c r="P1437" i="1" a="1"/>
  <c r="P1437" i="1" s="1"/>
  <c r="P1436" i="1" a="1"/>
  <c r="P1436" i="1" s="1"/>
  <c r="P1435" i="1" a="1"/>
  <c r="P1435" i="1" s="1"/>
  <c r="P1434" i="1" a="1"/>
  <c r="P1434" i="1" s="1"/>
  <c r="P1433" i="1" a="1"/>
  <c r="P1433" i="1" s="1"/>
  <c r="P1432" i="1" a="1"/>
  <c r="P1432" i="1" s="1"/>
  <c r="P1431" i="1" a="1"/>
  <c r="P1431" i="1" s="1"/>
  <c r="P1430" i="1" a="1"/>
  <c r="P1430" i="1" s="1"/>
  <c r="P1429" i="1" a="1"/>
  <c r="P1429" i="1" s="1"/>
  <c r="P1428" i="1" a="1"/>
  <c r="P1428" i="1" s="1"/>
  <c r="P1427" i="1" a="1"/>
  <c r="P1427" i="1" s="1"/>
  <c r="P1426" i="1" a="1"/>
  <c r="P1426" i="1" s="1"/>
  <c r="P1425" i="1" a="1"/>
  <c r="P1425" i="1" s="1"/>
  <c r="P1424" i="1" a="1"/>
  <c r="P1424" i="1" s="1"/>
  <c r="P1423" i="1" a="1"/>
  <c r="P1423" i="1" s="1"/>
  <c r="P1422" i="1" a="1"/>
  <c r="P1422" i="1" s="1"/>
  <c r="P1421" i="1" a="1"/>
  <c r="P1421" i="1" s="1"/>
  <c r="P1420" i="1" a="1"/>
  <c r="P1420" i="1" s="1"/>
  <c r="P1419" i="1" a="1"/>
  <c r="P1419" i="1" s="1"/>
  <c r="P1418" i="1" a="1"/>
  <c r="P1418" i="1" s="1"/>
  <c r="P1417" i="1" a="1"/>
  <c r="P1417" i="1" s="1"/>
  <c r="P1416" i="1" a="1"/>
  <c r="P1416" i="1" s="1"/>
  <c r="P1415" i="1" a="1"/>
  <c r="P1415" i="1" s="1"/>
  <c r="P1414" i="1" a="1"/>
  <c r="P1414" i="1" s="1"/>
  <c r="P1413" i="1" a="1"/>
  <c r="P1413" i="1" s="1"/>
  <c r="P1412" i="1" a="1"/>
  <c r="P1412" i="1" s="1"/>
  <c r="P1411" i="1" a="1"/>
  <c r="P1411" i="1" s="1"/>
  <c r="P1410" i="1" a="1"/>
  <c r="P1410" i="1" s="1"/>
  <c r="P1409" i="1" a="1"/>
  <c r="P1409" i="1" s="1"/>
  <c r="P1408" i="1" a="1"/>
  <c r="P1408" i="1" s="1"/>
  <c r="P1407" i="1" a="1"/>
  <c r="P1407" i="1" s="1"/>
  <c r="P1406" i="1" a="1"/>
  <c r="P1406" i="1" s="1"/>
  <c r="P1405" i="1" a="1"/>
  <c r="P1405" i="1" s="1"/>
  <c r="P1404" i="1" a="1"/>
  <c r="P1404" i="1" s="1"/>
  <c r="P1403" i="1" a="1"/>
  <c r="P1403" i="1" s="1"/>
  <c r="P1402" i="1" a="1"/>
  <c r="P1402" i="1" s="1"/>
  <c r="P1401" i="1" a="1"/>
  <c r="P1401" i="1" s="1"/>
  <c r="P1400" i="1" a="1"/>
  <c r="P1400" i="1" s="1"/>
  <c r="P1399" i="1" a="1"/>
  <c r="P1399" i="1" s="1"/>
  <c r="P1398" i="1" a="1"/>
  <c r="P1398" i="1" s="1"/>
  <c r="P1397" i="1" a="1"/>
  <c r="P1397" i="1" s="1"/>
  <c r="P1396" i="1" a="1"/>
  <c r="P1396" i="1" s="1"/>
  <c r="P1395" i="1" a="1"/>
  <c r="P1395" i="1" s="1"/>
  <c r="P1394" i="1" a="1"/>
  <c r="P1394" i="1" s="1"/>
  <c r="P1393" i="1" a="1"/>
  <c r="P1393" i="1" s="1"/>
  <c r="P1392" i="1" a="1"/>
  <c r="P1392" i="1" s="1"/>
  <c r="P1391" i="1" a="1"/>
  <c r="P1391" i="1" s="1"/>
  <c r="P1390" i="1" a="1"/>
  <c r="P1390" i="1" s="1"/>
  <c r="P1389" i="1" a="1"/>
  <c r="P1389" i="1" s="1"/>
  <c r="P1388" i="1" a="1"/>
  <c r="P1388" i="1" s="1"/>
  <c r="P1387" i="1" a="1"/>
  <c r="P1387" i="1" s="1"/>
  <c r="P1386" i="1" a="1"/>
  <c r="P1386" i="1" s="1"/>
  <c r="P1385" i="1" a="1"/>
  <c r="P1385" i="1" s="1"/>
  <c r="P1384" i="1" a="1"/>
  <c r="P1384" i="1" s="1"/>
  <c r="P1383" i="1" a="1"/>
  <c r="P1383" i="1" s="1"/>
  <c r="P1382" i="1" a="1"/>
  <c r="P1382" i="1" s="1"/>
  <c r="P1381" i="1" a="1"/>
  <c r="P1381" i="1" s="1"/>
  <c r="P1380" i="1" a="1"/>
  <c r="P1380" i="1" s="1"/>
  <c r="P1379" i="1" a="1"/>
  <c r="P1379" i="1" s="1"/>
  <c r="P1378" i="1" a="1"/>
  <c r="P1378" i="1" s="1"/>
  <c r="P1377" i="1" a="1"/>
  <c r="P1377" i="1" s="1"/>
  <c r="P1376" i="1" a="1"/>
  <c r="P1376" i="1" s="1"/>
  <c r="P1375" i="1" a="1"/>
  <c r="P1375" i="1" s="1"/>
  <c r="P1374" i="1" a="1"/>
  <c r="P1374" i="1" s="1"/>
  <c r="P1373" i="1" a="1"/>
  <c r="P1373" i="1" s="1"/>
  <c r="P1372" i="1" a="1"/>
  <c r="P1372" i="1" s="1"/>
  <c r="P1371" i="1" a="1"/>
  <c r="P1371" i="1" s="1"/>
  <c r="P1370" i="1" a="1"/>
  <c r="P1370" i="1" s="1"/>
  <c r="P1369" i="1" a="1"/>
  <c r="P1369" i="1" s="1"/>
  <c r="P1368" i="1" a="1"/>
  <c r="P1368" i="1" s="1"/>
  <c r="P1367" i="1" a="1"/>
  <c r="P1367" i="1" s="1"/>
  <c r="P1366" i="1" a="1"/>
  <c r="P1366" i="1" s="1"/>
  <c r="P1365" i="1" a="1"/>
  <c r="P1365" i="1" s="1"/>
  <c r="P1364" i="1" a="1"/>
  <c r="P1364" i="1" s="1"/>
  <c r="P1363" i="1" a="1"/>
  <c r="P1363" i="1" s="1"/>
  <c r="P1362" i="1" a="1"/>
  <c r="P1362" i="1" s="1"/>
  <c r="P1361" i="1" a="1"/>
  <c r="P1361" i="1" s="1"/>
  <c r="P1360" i="1" a="1"/>
  <c r="P1360" i="1" s="1"/>
  <c r="P1359" i="1" a="1"/>
  <c r="P1359" i="1" s="1"/>
  <c r="P1358" i="1" a="1"/>
  <c r="P1358" i="1" s="1"/>
  <c r="P1357" i="1" a="1"/>
  <c r="P1357" i="1" s="1"/>
  <c r="P1356" i="1" a="1"/>
  <c r="P1356" i="1" s="1"/>
  <c r="P1355" i="1" a="1"/>
  <c r="P1355" i="1" s="1"/>
  <c r="P1354" i="1" a="1"/>
  <c r="P1354" i="1" s="1"/>
  <c r="P1353" i="1" a="1"/>
  <c r="P1353" i="1" s="1"/>
  <c r="P1352" i="1" a="1"/>
  <c r="P1352" i="1" s="1"/>
  <c r="P1351" i="1" a="1"/>
  <c r="P1351" i="1" s="1"/>
  <c r="P1350" i="1" a="1"/>
  <c r="P1350" i="1" s="1"/>
  <c r="P1349" i="1" a="1"/>
  <c r="P1349" i="1" s="1"/>
  <c r="P1348" i="1" a="1"/>
  <c r="P1348" i="1" s="1"/>
  <c r="P1347" i="1" a="1"/>
  <c r="P1347" i="1" s="1"/>
  <c r="P1346" i="1" a="1"/>
  <c r="P1346" i="1" s="1"/>
  <c r="P1345" i="1" a="1"/>
  <c r="P1345" i="1" s="1"/>
  <c r="P1344" i="1" a="1"/>
  <c r="P1344" i="1" s="1"/>
  <c r="P1343" i="1" a="1"/>
  <c r="P1343" i="1" s="1"/>
  <c r="P1342" i="1" a="1"/>
  <c r="P1342" i="1" s="1"/>
  <c r="P1341" i="1" a="1"/>
  <c r="P1341" i="1" s="1"/>
  <c r="P1340" i="1" a="1"/>
  <c r="P1340" i="1" s="1"/>
  <c r="P1339" i="1" a="1"/>
  <c r="P1339" i="1" s="1"/>
  <c r="P1338" i="1" a="1"/>
  <c r="P1338" i="1" s="1"/>
  <c r="P1337" i="1" a="1"/>
  <c r="P1337" i="1" s="1"/>
  <c r="P1336" i="1" a="1"/>
  <c r="P1336" i="1" s="1"/>
  <c r="P1335" i="1" a="1"/>
  <c r="P1335" i="1" s="1"/>
  <c r="P1334" i="1" a="1"/>
  <c r="P1334" i="1" s="1"/>
  <c r="P1333" i="1" a="1"/>
  <c r="P1333" i="1" s="1"/>
  <c r="P1332" i="1" a="1"/>
  <c r="P1332" i="1" s="1"/>
  <c r="P1331" i="1" a="1"/>
  <c r="P1331" i="1" s="1"/>
  <c r="P1330" i="1" a="1"/>
  <c r="P1330" i="1" s="1"/>
  <c r="P1329" i="1" a="1"/>
  <c r="P1329" i="1" s="1"/>
  <c r="P1328" i="1" a="1"/>
  <c r="P1328" i="1" s="1"/>
  <c r="P1327" i="1" a="1"/>
  <c r="P1327" i="1" s="1"/>
  <c r="P1326" i="1" a="1"/>
  <c r="P1326" i="1" s="1"/>
  <c r="P1325" i="1" a="1"/>
  <c r="P1325" i="1" s="1"/>
  <c r="P1324" i="1" a="1"/>
  <c r="P1324" i="1" s="1"/>
  <c r="P1323" i="1" a="1"/>
  <c r="P1323" i="1" s="1"/>
  <c r="P1322" i="1" a="1"/>
  <c r="P1322" i="1" s="1"/>
  <c r="P1321" i="1" a="1"/>
  <c r="P1321" i="1" s="1"/>
  <c r="P1320" i="1" a="1"/>
  <c r="P1320" i="1" s="1"/>
  <c r="P1319" i="1" a="1"/>
  <c r="P1319" i="1" s="1"/>
  <c r="P1318" i="1" a="1"/>
  <c r="P1318" i="1" s="1"/>
  <c r="P1317" i="1" a="1"/>
  <c r="P1317" i="1" s="1"/>
  <c r="P1316" i="1" a="1"/>
  <c r="P1316" i="1" s="1"/>
  <c r="P1315" i="1" a="1"/>
  <c r="P1315" i="1" s="1"/>
  <c r="P1314" i="1" a="1"/>
  <c r="P1314" i="1" s="1"/>
  <c r="P1313" i="1" a="1"/>
  <c r="P1313" i="1" s="1"/>
  <c r="P1312" i="1" a="1"/>
  <c r="P1312" i="1" s="1"/>
  <c r="P1311" i="1" a="1"/>
  <c r="P1311" i="1" s="1"/>
  <c r="P1310" i="1" a="1"/>
  <c r="P1310" i="1" s="1"/>
  <c r="P1309" i="1" a="1"/>
  <c r="P1309" i="1" s="1"/>
  <c r="P1308" i="1" a="1"/>
  <c r="P1308" i="1" s="1"/>
  <c r="P1307" i="1" a="1"/>
  <c r="P1307" i="1" s="1"/>
  <c r="P1306" i="1" a="1"/>
  <c r="P1306" i="1" s="1"/>
  <c r="P1305" i="1" a="1"/>
  <c r="P1305" i="1" s="1"/>
  <c r="P1304" i="1" a="1"/>
  <c r="P1304" i="1" s="1"/>
  <c r="P1303" i="1" a="1"/>
  <c r="P1303" i="1" s="1"/>
  <c r="P1302" i="1" a="1"/>
  <c r="P1302" i="1" s="1"/>
  <c r="P1301" i="1" a="1"/>
  <c r="P1301" i="1" s="1"/>
  <c r="P1300" i="1" a="1"/>
  <c r="P1300" i="1" s="1"/>
  <c r="P1299" i="1" a="1"/>
  <c r="P1299" i="1" s="1"/>
  <c r="P1298" i="1" a="1"/>
  <c r="P1298" i="1" s="1"/>
  <c r="P1297" i="1" a="1"/>
  <c r="P1297" i="1" s="1"/>
  <c r="P1296" i="1" a="1"/>
  <c r="P1296" i="1" s="1"/>
  <c r="P1295" i="1" a="1"/>
  <c r="P1295" i="1" s="1"/>
  <c r="P1294" i="1" a="1"/>
  <c r="P1294" i="1" s="1"/>
  <c r="P1293" i="1" a="1"/>
  <c r="P1293" i="1" s="1"/>
  <c r="P1292" i="1" a="1"/>
  <c r="P1292" i="1" s="1"/>
  <c r="P1291" i="1" a="1"/>
  <c r="P1291" i="1" s="1"/>
  <c r="P1290" i="1" a="1"/>
  <c r="P1290" i="1" s="1"/>
  <c r="P1289" i="1" a="1"/>
  <c r="P1289" i="1" s="1"/>
  <c r="P1288" i="1" a="1"/>
  <c r="P1288" i="1" s="1"/>
  <c r="P1287" i="1" a="1"/>
  <c r="P1287" i="1" s="1"/>
  <c r="P1286" i="1" a="1"/>
  <c r="P1286" i="1" s="1"/>
  <c r="P1285" i="1" a="1"/>
  <c r="P1285" i="1" s="1"/>
  <c r="P1284" i="1" a="1"/>
  <c r="P1284" i="1" s="1"/>
  <c r="P1283" i="1" a="1"/>
  <c r="P1283" i="1" s="1"/>
  <c r="P1282" i="1" a="1"/>
  <c r="P1282" i="1" s="1"/>
  <c r="P1281" i="1" a="1"/>
  <c r="P1281" i="1" s="1"/>
  <c r="P1280" i="1" a="1"/>
  <c r="P1280" i="1" s="1"/>
  <c r="P1279" i="1" a="1"/>
  <c r="P1279" i="1" s="1"/>
  <c r="P1278" i="1" a="1"/>
  <c r="P1278" i="1" s="1"/>
  <c r="P1277" i="1" a="1"/>
  <c r="P1277" i="1" s="1"/>
  <c r="P1276" i="1" a="1"/>
  <c r="P1276" i="1" s="1"/>
  <c r="P1275" i="1" a="1"/>
  <c r="P1275" i="1" s="1"/>
  <c r="P1274" i="1" a="1"/>
  <c r="P1274" i="1" s="1"/>
  <c r="P1273" i="1" a="1"/>
  <c r="P1273" i="1" s="1"/>
  <c r="P1272" i="1" a="1"/>
  <c r="P1272" i="1" s="1"/>
  <c r="P1271" i="1" a="1"/>
  <c r="P1271" i="1" s="1"/>
  <c r="P1270" i="1" a="1"/>
  <c r="P1270" i="1" s="1"/>
  <c r="P1269" i="1" a="1"/>
  <c r="P1269" i="1" s="1"/>
  <c r="P1268" i="1" a="1"/>
  <c r="P1268" i="1" s="1"/>
  <c r="P1267" i="1" a="1"/>
  <c r="P1267" i="1" s="1"/>
  <c r="P1266" i="1" a="1"/>
  <c r="P1266" i="1" s="1"/>
  <c r="P1265" i="1" a="1"/>
  <c r="P1265" i="1" s="1"/>
  <c r="P1264" i="1" a="1"/>
  <c r="P1264" i="1" s="1"/>
  <c r="P1263" i="1" a="1"/>
  <c r="P1263" i="1" s="1"/>
  <c r="P1262" i="1" a="1"/>
  <c r="P1262" i="1" s="1"/>
  <c r="P1261" i="1" a="1"/>
  <c r="P1261" i="1" s="1"/>
  <c r="P1260" i="1" a="1"/>
  <c r="P1260" i="1" s="1"/>
  <c r="P1259" i="1" a="1"/>
  <c r="P1259" i="1" s="1"/>
  <c r="P1258" i="1" a="1"/>
  <c r="P1258" i="1" s="1"/>
  <c r="P1257" i="1" a="1"/>
  <c r="P1257" i="1" s="1"/>
  <c r="P1256" i="1" a="1"/>
  <c r="P1256" i="1" s="1"/>
  <c r="P1255" i="1" a="1"/>
  <c r="P1255" i="1" s="1"/>
  <c r="P1254" i="1" a="1"/>
  <c r="P1254" i="1" s="1"/>
  <c r="P1253" i="1" a="1"/>
  <c r="P1253" i="1" s="1"/>
  <c r="P1252" i="1" a="1"/>
  <c r="P1252" i="1" s="1"/>
  <c r="P1251" i="1" a="1"/>
  <c r="P1251" i="1" s="1"/>
  <c r="P1250" i="1" a="1"/>
  <c r="P1250" i="1" s="1"/>
  <c r="P1249" i="1" a="1"/>
  <c r="P1249" i="1" s="1"/>
  <c r="P1248" i="1" a="1"/>
  <c r="P1248" i="1" s="1"/>
  <c r="P1247" i="1" a="1"/>
  <c r="P1247" i="1" s="1"/>
  <c r="P1246" i="1" a="1"/>
  <c r="P1246" i="1" s="1"/>
  <c r="P1245" i="1" a="1"/>
  <c r="P1245" i="1" s="1"/>
  <c r="P1244" i="1" a="1"/>
  <c r="P1244" i="1" s="1"/>
  <c r="P1243" i="1" a="1"/>
  <c r="P1243" i="1" s="1"/>
  <c r="P1242" i="1" a="1"/>
  <c r="P1242" i="1" s="1"/>
  <c r="P1241" i="1" a="1"/>
  <c r="P1241" i="1" s="1"/>
  <c r="P1240" i="1" a="1"/>
  <c r="P1240" i="1" s="1"/>
  <c r="P1239" i="1" a="1"/>
  <c r="P1239" i="1" s="1"/>
  <c r="P1238" i="1" a="1"/>
  <c r="P1238" i="1" s="1"/>
  <c r="P1237" i="1" a="1"/>
  <c r="P1237" i="1" s="1"/>
  <c r="P1236" i="1" a="1"/>
  <c r="P1236" i="1" s="1"/>
  <c r="P1235" i="1" a="1"/>
  <c r="P1235" i="1" s="1"/>
  <c r="P1234" i="1" a="1"/>
  <c r="P1234" i="1" s="1"/>
  <c r="P1233" i="1" a="1"/>
  <c r="P1233" i="1" s="1"/>
  <c r="P1232" i="1" a="1"/>
  <c r="P1232" i="1" s="1"/>
  <c r="P1231" i="1" a="1"/>
  <c r="P1231" i="1" s="1"/>
  <c r="P1230" i="1" a="1"/>
  <c r="P1230" i="1" s="1"/>
  <c r="P1229" i="1" a="1"/>
  <c r="P1229" i="1" s="1"/>
  <c r="P1228" i="1" a="1"/>
  <c r="P1228" i="1" s="1"/>
  <c r="P1227" i="1" a="1"/>
  <c r="P1227" i="1" s="1"/>
  <c r="P1226" i="1" a="1"/>
  <c r="P1226" i="1" s="1"/>
  <c r="P1225" i="1" a="1"/>
  <c r="P1225" i="1" s="1"/>
  <c r="P1224" i="1" a="1"/>
  <c r="P1224" i="1" s="1"/>
  <c r="P1223" i="1" a="1"/>
  <c r="P1223" i="1" s="1"/>
  <c r="P1222" i="1" a="1"/>
  <c r="P1222" i="1" s="1"/>
  <c r="P1221" i="1" a="1"/>
  <c r="P1221" i="1" s="1"/>
  <c r="P1220" i="1" a="1"/>
  <c r="P1220" i="1" s="1"/>
  <c r="P1219" i="1" a="1"/>
  <c r="P1219" i="1" s="1"/>
  <c r="P1218" i="1" a="1"/>
  <c r="P1218" i="1" s="1"/>
  <c r="P1217" i="1" a="1"/>
  <c r="P1217" i="1" s="1"/>
  <c r="P1216" i="1" a="1"/>
  <c r="P1216" i="1" s="1"/>
  <c r="P1215" i="1" a="1"/>
  <c r="P1215" i="1" s="1"/>
  <c r="P1214" i="1" a="1"/>
  <c r="P1214" i="1" s="1"/>
  <c r="P1213" i="1" a="1"/>
  <c r="P1213" i="1" s="1"/>
  <c r="P1212" i="1" a="1"/>
  <c r="P1212" i="1" s="1"/>
  <c r="P1211" i="1" a="1"/>
  <c r="P1211" i="1" s="1"/>
  <c r="P1210" i="1" a="1"/>
  <c r="P1210" i="1" s="1"/>
  <c r="P1209" i="1" a="1"/>
  <c r="P1209" i="1" s="1"/>
  <c r="P1208" i="1" a="1"/>
  <c r="P1208" i="1" s="1"/>
  <c r="P1207" i="1" a="1"/>
  <c r="P1207" i="1" s="1"/>
  <c r="P1206" i="1" a="1"/>
  <c r="P1206" i="1" s="1"/>
  <c r="P1205" i="1" a="1"/>
  <c r="P1205" i="1" s="1"/>
  <c r="P1204" i="1" a="1"/>
  <c r="P1204" i="1" s="1"/>
  <c r="P1203" i="1" a="1"/>
  <c r="P1203" i="1" s="1"/>
  <c r="P1202" i="1" a="1"/>
  <c r="P1202" i="1" s="1"/>
  <c r="P1201" i="1" a="1"/>
  <c r="P1201" i="1" s="1"/>
  <c r="P1200" i="1" a="1"/>
  <c r="P1200" i="1" s="1"/>
  <c r="P1199" i="1" a="1"/>
  <c r="P1199" i="1" s="1"/>
  <c r="P1198" i="1" a="1"/>
  <c r="P1198" i="1" s="1"/>
  <c r="P1197" i="1" a="1"/>
  <c r="P1197" i="1" s="1"/>
  <c r="P1196" i="1" a="1"/>
  <c r="P1196" i="1" s="1"/>
  <c r="P1195" i="1" a="1"/>
  <c r="P1195" i="1" s="1"/>
  <c r="P1194" i="1" a="1"/>
  <c r="P1194" i="1" s="1"/>
  <c r="P1193" i="1" a="1"/>
  <c r="P1193" i="1" s="1"/>
  <c r="P1192" i="1" a="1"/>
  <c r="P1192" i="1" s="1"/>
  <c r="P1191" i="1" a="1"/>
  <c r="P1191" i="1" s="1"/>
  <c r="P1190" i="1" a="1"/>
  <c r="P1190" i="1" s="1"/>
  <c r="P1189" i="1" a="1"/>
  <c r="P1189" i="1" s="1"/>
  <c r="P1188" i="1" a="1"/>
  <c r="P1188" i="1" s="1"/>
  <c r="P1187" i="1" a="1"/>
  <c r="P1187" i="1" s="1"/>
  <c r="P1186" i="1" a="1"/>
  <c r="P1186" i="1" s="1"/>
  <c r="P1185" i="1" a="1"/>
  <c r="P1185" i="1" s="1"/>
  <c r="P1184" i="1" a="1"/>
  <c r="P1184" i="1" s="1"/>
  <c r="P1183" i="1" a="1"/>
  <c r="P1183" i="1" s="1"/>
  <c r="P1182" i="1" a="1"/>
  <c r="P1182" i="1" s="1"/>
  <c r="P1181" i="1" a="1"/>
  <c r="P1181" i="1" s="1"/>
  <c r="P1180" i="1" a="1"/>
  <c r="P1180" i="1" s="1"/>
  <c r="P1179" i="1" a="1"/>
  <c r="P1179" i="1" s="1"/>
  <c r="P1178" i="1" a="1"/>
  <c r="P1178" i="1" s="1"/>
  <c r="P1177" i="1" a="1"/>
  <c r="P1177" i="1" s="1"/>
  <c r="P1176" i="1" a="1"/>
  <c r="P1176" i="1" s="1"/>
  <c r="P1175" i="1" a="1"/>
  <c r="P1175" i="1" s="1"/>
  <c r="P1174" i="1" a="1"/>
  <c r="P1174" i="1" s="1"/>
  <c r="P1173" i="1" a="1"/>
  <c r="P1173" i="1" s="1"/>
  <c r="P1172" i="1" a="1"/>
  <c r="P1172" i="1" s="1"/>
  <c r="P1171" i="1" a="1"/>
  <c r="P1171" i="1" s="1"/>
  <c r="P1170" i="1" a="1"/>
  <c r="P1170" i="1" s="1"/>
  <c r="P1169" i="1" a="1"/>
  <c r="P1169" i="1" s="1"/>
  <c r="P1168" i="1" a="1"/>
  <c r="P1168" i="1" s="1"/>
  <c r="P1167" i="1" a="1"/>
  <c r="P1167" i="1" s="1"/>
  <c r="P1166" i="1" a="1"/>
  <c r="P1166" i="1" s="1"/>
  <c r="P1165" i="1" a="1"/>
  <c r="P1165" i="1" s="1"/>
  <c r="P1164" i="1" a="1"/>
  <c r="P1164" i="1" s="1"/>
  <c r="P1163" i="1" a="1"/>
  <c r="P1163" i="1" s="1"/>
  <c r="P1162" i="1" a="1"/>
  <c r="P1162" i="1" s="1"/>
  <c r="P1161" i="1" a="1"/>
  <c r="P1161" i="1" s="1"/>
  <c r="P1160" i="1" a="1"/>
  <c r="P1160" i="1" s="1"/>
  <c r="P1159" i="1" a="1"/>
  <c r="P1159" i="1" s="1"/>
  <c r="P1158" i="1" a="1"/>
  <c r="P1158" i="1" s="1"/>
  <c r="P1157" i="1" a="1"/>
  <c r="P1157" i="1" s="1"/>
  <c r="P1156" i="1" a="1"/>
  <c r="P1156" i="1" s="1"/>
  <c r="P1155" i="1" a="1"/>
  <c r="P1155" i="1" s="1"/>
  <c r="P1154" i="1" a="1"/>
  <c r="P1154" i="1" s="1"/>
  <c r="P1153" i="1" a="1"/>
  <c r="P1153" i="1" s="1"/>
  <c r="P1152" i="1" a="1"/>
  <c r="P1152" i="1" s="1"/>
  <c r="P1151" i="1" a="1"/>
  <c r="P1151" i="1" s="1"/>
  <c r="P1150" i="1" a="1"/>
  <c r="P1150" i="1" s="1"/>
  <c r="P1149" i="1" a="1"/>
  <c r="P1149" i="1" s="1"/>
  <c r="P1148" i="1" a="1"/>
  <c r="P1148" i="1" s="1"/>
  <c r="P1147" i="1" a="1"/>
  <c r="P1147" i="1" s="1"/>
  <c r="P1146" i="1" a="1"/>
  <c r="P1146" i="1" s="1"/>
  <c r="P1145" i="1" a="1"/>
  <c r="P1145" i="1" s="1"/>
  <c r="P1144" i="1" a="1"/>
  <c r="P1144" i="1" s="1"/>
  <c r="P1143" i="1" a="1"/>
  <c r="P1143" i="1" s="1"/>
  <c r="P1142" i="1" a="1"/>
  <c r="P1142" i="1" s="1"/>
  <c r="P1141" i="1" a="1"/>
  <c r="P1141" i="1" s="1"/>
  <c r="P1140" i="1" a="1"/>
  <c r="P1140" i="1" s="1"/>
  <c r="P1139" i="1" a="1"/>
  <c r="P1139" i="1" s="1"/>
  <c r="P1138" i="1" a="1"/>
  <c r="P1138" i="1" s="1"/>
  <c r="P1137" i="1" a="1"/>
  <c r="P1137" i="1" s="1"/>
  <c r="P1136" i="1" a="1"/>
  <c r="P1136" i="1" s="1"/>
  <c r="P1135" i="1" a="1"/>
  <c r="P1135" i="1" s="1"/>
  <c r="P1134" i="1" a="1"/>
  <c r="P1134" i="1" s="1"/>
  <c r="P1133" i="1" a="1"/>
  <c r="P1133" i="1" s="1"/>
  <c r="P1132" i="1" a="1"/>
  <c r="P1132" i="1" s="1"/>
  <c r="P1131" i="1" a="1"/>
  <c r="P1131" i="1" s="1"/>
  <c r="P1130" i="1" a="1"/>
  <c r="P1130" i="1" s="1"/>
  <c r="P1129" i="1" a="1"/>
  <c r="P1129" i="1" s="1"/>
  <c r="P1128" i="1" a="1"/>
  <c r="P1128" i="1" s="1"/>
  <c r="P1127" i="1" a="1"/>
  <c r="P1127" i="1" s="1"/>
  <c r="P1126" i="1" a="1"/>
  <c r="P1126" i="1" s="1"/>
  <c r="P1125" i="1" a="1"/>
  <c r="P1125" i="1" s="1"/>
  <c r="P1124" i="1" a="1"/>
  <c r="P1124" i="1" s="1"/>
  <c r="P1123" i="1" a="1"/>
  <c r="P1123" i="1" s="1"/>
  <c r="P1122" i="1" a="1"/>
  <c r="P1122" i="1" s="1"/>
  <c r="P1121" i="1" a="1"/>
  <c r="P1121" i="1" s="1"/>
  <c r="P1120" i="1" a="1"/>
  <c r="P1120" i="1" s="1"/>
  <c r="P1119" i="1" a="1"/>
  <c r="P1119" i="1" s="1"/>
  <c r="P1118" i="1" a="1"/>
  <c r="P1118" i="1" s="1"/>
  <c r="P1117" i="1" a="1"/>
  <c r="P1117" i="1" s="1"/>
  <c r="P1116" i="1" a="1"/>
  <c r="P1116" i="1" s="1"/>
  <c r="P1115" i="1" a="1"/>
  <c r="P1115" i="1" s="1"/>
  <c r="P1114" i="1" a="1"/>
  <c r="P1114" i="1" s="1"/>
  <c r="P1113" i="1" a="1"/>
  <c r="P1113" i="1" s="1"/>
  <c r="P1112" i="1" a="1"/>
  <c r="P1112" i="1" s="1"/>
  <c r="P1111" i="1" a="1"/>
  <c r="P1111" i="1" s="1"/>
  <c r="P1110" i="1" a="1"/>
  <c r="P1110" i="1" s="1"/>
  <c r="P1109" i="1" a="1"/>
  <c r="P1109" i="1" s="1"/>
  <c r="P1108" i="1" a="1"/>
  <c r="P1108" i="1" s="1"/>
  <c r="P1107" i="1" a="1"/>
  <c r="P1107" i="1" s="1"/>
  <c r="P1106" i="1" a="1"/>
  <c r="P1106" i="1" s="1"/>
  <c r="P1105" i="1" a="1"/>
  <c r="P1105" i="1" s="1"/>
  <c r="P1104" i="1" a="1"/>
  <c r="P1104" i="1" s="1"/>
  <c r="P1103" i="1" a="1"/>
  <c r="P1103" i="1" s="1"/>
  <c r="P1102" i="1" a="1"/>
  <c r="P1102" i="1" s="1"/>
  <c r="P1101" i="1" a="1"/>
  <c r="P1101" i="1" s="1"/>
  <c r="P1100" i="1" a="1"/>
  <c r="P1100" i="1" s="1"/>
  <c r="P1099" i="1" a="1"/>
  <c r="P1099" i="1" s="1"/>
  <c r="P1098" i="1" a="1"/>
  <c r="P1098" i="1" s="1"/>
  <c r="P1097" i="1" a="1"/>
  <c r="P1097" i="1" s="1"/>
  <c r="P1096" i="1" a="1"/>
  <c r="P1096" i="1" s="1"/>
  <c r="P1095" i="1" a="1"/>
  <c r="P1095" i="1" s="1"/>
  <c r="P1094" i="1" a="1"/>
  <c r="P1094" i="1" s="1"/>
  <c r="P1093" i="1" a="1"/>
  <c r="P1093" i="1" s="1"/>
  <c r="P1092" i="1" a="1"/>
  <c r="P1092" i="1" s="1"/>
  <c r="P1091" i="1" a="1"/>
  <c r="P1091" i="1" s="1"/>
  <c r="P1090" i="1" a="1"/>
  <c r="P1090" i="1" s="1"/>
  <c r="P1089" i="1" a="1"/>
  <c r="P1089" i="1" s="1"/>
  <c r="P1088" i="1" a="1"/>
  <c r="P1088" i="1" s="1"/>
  <c r="P1087" i="1" a="1"/>
  <c r="P1087" i="1" s="1"/>
  <c r="P1086" i="1" a="1"/>
  <c r="P1086" i="1" s="1"/>
  <c r="P1085" i="1" a="1"/>
  <c r="P1085" i="1" s="1"/>
  <c r="P1084" i="1" a="1"/>
  <c r="P1084" i="1" s="1"/>
  <c r="P1083" i="1" a="1"/>
  <c r="P1083" i="1" s="1"/>
  <c r="P1082" i="1" a="1"/>
  <c r="P1082" i="1" s="1"/>
  <c r="P1081" i="1" a="1"/>
  <c r="P1081" i="1" s="1"/>
  <c r="P1080" i="1" a="1"/>
  <c r="P1080" i="1" s="1"/>
  <c r="P1079" i="1" a="1"/>
  <c r="P1079" i="1" s="1"/>
  <c r="P1078" i="1" a="1"/>
  <c r="P1078" i="1" s="1"/>
  <c r="P1077" i="1" a="1"/>
  <c r="P1077" i="1" s="1"/>
  <c r="P1076" i="1" a="1"/>
  <c r="P1076" i="1" s="1"/>
  <c r="P1075" i="1" a="1"/>
  <c r="P1075" i="1" s="1"/>
  <c r="P1074" i="1" a="1"/>
  <c r="P1074" i="1" s="1"/>
  <c r="P1073" i="1" a="1"/>
  <c r="P1073" i="1" s="1"/>
  <c r="P1072" i="1" a="1"/>
  <c r="P1072" i="1" s="1"/>
  <c r="P1071" i="1" a="1"/>
  <c r="P1071" i="1" s="1"/>
  <c r="P1070" i="1" a="1"/>
  <c r="P1070" i="1" s="1"/>
  <c r="P1069" i="1" a="1"/>
  <c r="P1069" i="1" s="1"/>
  <c r="P1068" i="1" a="1"/>
  <c r="P1068" i="1" s="1"/>
  <c r="P1067" i="1" a="1"/>
  <c r="P1067" i="1" s="1"/>
  <c r="P1066" i="1" a="1"/>
  <c r="P1066" i="1" s="1"/>
  <c r="P1065" i="1" a="1"/>
  <c r="P1065" i="1" s="1"/>
  <c r="P1064" i="1" a="1"/>
  <c r="P1064" i="1" s="1"/>
  <c r="P1063" i="1" a="1"/>
  <c r="P1063" i="1" s="1"/>
  <c r="P1062" i="1" a="1"/>
  <c r="P1062" i="1" s="1"/>
  <c r="P1061" i="1" a="1"/>
  <c r="P1061" i="1" s="1"/>
  <c r="P1060" i="1" a="1"/>
  <c r="P1060" i="1" s="1"/>
  <c r="P1059" i="1" a="1"/>
  <c r="P1059" i="1" s="1"/>
  <c r="P1058" i="1" a="1"/>
  <c r="P1058" i="1" s="1"/>
  <c r="P1057" i="1" a="1"/>
  <c r="P1057" i="1" s="1"/>
  <c r="P1056" i="1" a="1"/>
  <c r="P1056" i="1" s="1"/>
  <c r="P1055" i="1" a="1"/>
  <c r="P1055" i="1" s="1"/>
  <c r="P1054" i="1" a="1"/>
  <c r="P1054" i="1" s="1"/>
  <c r="P1053" i="1" a="1"/>
  <c r="P1053" i="1" s="1"/>
  <c r="P1052" i="1" a="1"/>
  <c r="P1052" i="1" s="1"/>
  <c r="P1051" i="1" a="1"/>
  <c r="P1051" i="1" s="1"/>
  <c r="P1050" i="1" a="1"/>
  <c r="P1050" i="1" s="1"/>
  <c r="P1049" i="1" a="1"/>
  <c r="P1049" i="1" s="1"/>
  <c r="P1048" i="1" a="1"/>
  <c r="P1048" i="1" s="1"/>
  <c r="P1047" i="1" a="1"/>
  <c r="P1047" i="1" s="1"/>
  <c r="P1046" i="1" a="1"/>
  <c r="P1046" i="1" s="1"/>
  <c r="P1045" i="1" a="1"/>
  <c r="P1045" i="1" s="1"/>
  <c r="P1044" i="1" a="1"/>
  <c r="P1044" i="1" s="1"/>
  <c r="P1043" i="1" a="1"/>
  <c r="P1043" i="1" s="1"/>
  <c r="P1042" i="1" a="1"/>
  <c r="P1042" i="1" s="1"/>
  <c r="P1041" i="1" a="1"/>
  <c r="P1041" i="1" s="1"/>
  <c r="P1040" i="1" a="1"/>
  <c r="P1040" i="1" s="1"/>
  <c r="P1039" i="1" a="1"/>
  <c r="P1039" i="1" s="1"/>
  <c r="P1038" i="1" a="1"/>
  <c r="P1038" i="1" s="1"/>
  <c r="P1037" i="1" a="1"/>
  <c r="P1037" i="1" s="1"/>
  <c r="P1036" i="1" a="1"/>
  <c r="P1036" i="1" s="1"/>
  <c r="P1035" i="1" a="1"/>
  <c r="P1035" i="1" s="1"/>
  <c r="P1034" i="1" a="1"/>
  <c r="P1034" i="1" s="1"/>
  <c r="P1033" i="1" a="1"/>
  <c r="P1033" i="1" s="1"/>
  <c r="P1032" i="1" a="1"/>
  <c r="P1032" i="1" s="1"/>
  <c r="P1031" i="1" a="1"/>
  <c r="P1031" i="1" s="1"/>
  <c r="P1030" i="1" a="1"/>
  <c r="P1030" i="1" s="1"/>
  <c r="P1029" i="1" a="1"/>
  <c r="P1029" i="1" s="1"/>
  <c r="P1028" i="1" a="1"/>
  <c r="P1028" i="1" s="1"/>
  <c r="P1027" i="1" a="1"/>
  <c r="P1027" i="1" s="1"/>
  <c r="P1026" i="1" a="1"/>
  <c r="P1026" i="1" s="1"/>
  <c r="P1025" i="1" a="1"/>
  <c r="P1025" i="1" s="1"/>
  <c r="P1024" i="1" a="1"/>
  <c r="P1024" i="1" s="1"/>
  <c r="P1023" i="1" a="1"/>
  <c r="P1023" i="1" s="1"/>
  <c r="P1022" i="1" a="1"/>
  <c r="P1022" i="1" s="1"/>
  <c r="P1021" i="1" a="1"/>
  <c r="P1021" i="1" s="1"/>
  <c r="P1020" i="1" a="1"/>
  <c r="P1020" i="1" s="1"/>
  <c r="P1019" i="1" a="1"/>
  <c r="P1019" i="1" s="1"/>
  <c r="P1018" i="1" a="1"/>
  <c r="P1018" i="1" s="1"/>
  <c r="P1017" i="1" a="1"/>
  <c r="P1017" i="1" s="1"/>
  <c r="P1016" i="1" a="1"/>
  <c r="P1016" i="1" s="1"/>
  <c r="P1015" i="1" a="1"/>
  <c r="P1015" i="1" s="1"/>
  <c r="P1014" i="1" a="1"/>
  <c r="P1014" i="1" s="1"/>
  <c r="P1013" i="1" a="1"/>
  <c r="P1013" i="1" s="1"/>
  <c r="P1012" i="1" a="1"/>
  <c r="P1012" i="1" s="1"/>
  <c r="P1011" i="1" a="1"/>
  <c r="P1011" i="1" s="1"/>
  <c r="P1010" i="1" a="1"/>
  <c r="P1010" i="1" s="1"/>
  <c r="P1009" i="1" a="1"/>
  <c r="P1009" i="1" s="1"/>
  <c r="P1008" i="1" a="1"/>
  <c r="P1008" i="1" s="1"/>
  <c r="P1007" i="1" a="1"/>
  <c r="P1007" i="1" s="1"/>
  <c r="P1006" i="1" a="1"/>
  <c r="P1006" i="1" s="1"/>
  <c r="P1005" i="1" a="1"/>
  <c r="P1005" i="1" s="1"/>
  <c r="P1004" i="1" a="1"/>
  <c r="P1004" i="1" s="1"/>
  <c r="P1003" i="1" a="1"/>
  <c r="P1003" i="1" s="1"/>
  <c r="P1002" i="1" a="1"/>
  <c r="P1002" i="1" s="1"/>
  <c r="P1001" i="1" a="1"/>
  <c r="P1001" i="1" s="1"/>
  <c r="P1000" i="1" a="1"/>
  <c r="P1000" i="1" s="1"/>
  <c r="P999" i="1" a="1"/>
  <c r="P999" i="1" s="1"/>
  <c r="P998" i="1" a="1"/>
  <c r="P998" i="1" s="1"/>
  <c r="P997" i="1" a="1"/>
  <c r="P997" i="1" s="1"/>
  <c r="P996" i="1" a="1"/>
  <c r="P996" i="1" s="1"/>
  <c r="P995" i="1" a="1"/>
  <c r="P995" i="1" s="1"/>
  <c r="P994" i="1" a="1"/>
  <c r="P994" i="1" s="1"/>
  <c r="P993" i="1" a="1"/>
  <c r="P993" i="1" s="1"/>
  <c r="P992" i="1" a="1"/>
  <c r="P992" i="1" s="1"/>
  <c r="P991" i="1" a="1"/>
  <c r="P991" i="1" s="1"/>
  <c r="P990" i="1" a="1"/>
  <c r="P990" i="1" s="1"/>
  <c r="P989" i="1" a="1"/>
  <c r="P989" i="1" s="1"/>
  <c r="P988" i="1" a="1"/>
  <c r="P988" i="1" s="1"/>
  <c r="P987" i="1" a="1"/>
  <c r="P987" i="1" s="1"/>
  <c r="P986" i="1" a="1"/>
  <c r="P986" i="1" s="1"/>
  <c r="P985" i="1" a="1"/>
  <c r="P985" i="1" s="1"/>
  <c r="P984" i="1" a="1"/>
  <c r="P984" i="1" s="1"/>
  <c r="P983" i="1" a="1"/>
  <c r="P983" i="1" s="1"/>
  <c r="P982" i="1" a="1"/>
  <c r="P982" i="1" s="1"/>
  <c r="P981" i="1" a="1"/>
  <c r="P981" i="1" s="1"/>
  <c r="P980" i="1" a="1"/>
  <c r="P980" i="1" s="1"/>
  <c r="P979" i="1" a="1"/>
  <c r="P979" i="1" s="1"/>
  <c r="P978" i="1" a="1"/>
  <c r="P978" i="1" s="1"/>
  <c r="P977" i="1" a="1"/>
  <c r="P977" i="1" s="1"/>
  <c r="P976" i="1" a="1"/>
  <c r="P976" i="1" s="1"/>
  <c r="P975" i="1" a="1"/>
  <c r="P975" i="1" s="1"/>
  <c r="P974" i="1" a="1"/>
  <c r="P974" i="1" s="1"/>
  <c r="P973" i="1" a="1"/>
  <c r="P973" i="1" s="1"/>
  <c r="P972" i="1" a="1"/>
  <c r="P972" i="1" s="1"/>
  <c r="P971" i="1" a="1"/>
  <c r="P971" i="1" s="1"/>
  <c r="P970" i="1" a="1"/>
  <c r="P970" i="1" s="1"/>
  <c r="P969" i="1" a="1"/>
  <c r="P969" i="1" s="1"/>
  <c r="P968" i="1" a="1"/>
  <c r="P968" i="1" s="1"/>
  <c r="P967" i="1" a="1"/>
  <c r="P967" i="1" s="1"/>
  <c r="P966" i="1" a="1"/>
  <c r="P966" i="1" s="1"/>
  <c r="P965" i="1" a="1"/>
  <c r="P965" i="1" s="1"/>
  <c r="P964" i="1" a="1"/>
  <c r="P964" i="1" s="1"/>
  <c r="P963" i="1" a="1"/>
  <c r="P963" i="1" s="1"/>
  <c r="P962" i="1" a="1"/>
  <c r="P962" i="1" s="1"/>
  <c r="P961" i="1" a="1"/>
  <c r="P961" i="1" s="1"/>
  <c r="P960" i="1" a="1"/>
  <c r="P960" i="1" s="1"/>
  <c r="P959" i="1" a="1"/>
  <c r="P959" i="1" s="1"/>
  <c r="P958" i="1" a="1"/>
  <c r="P958" i="1" s="1"/>
  <c r="P957" i="1" a="1"/>
  <c r="P957" i="1" s="1"/>
  <c r="P956" i="1" a="1"/>
  <c r="P956" i="1" s="1"/>
  <c r="P955" i="1" a="1"/>
  <c r="P955" i="1" s="1"/>
  <c r="P954" i="1" a="1"/>
  <c r="P954" i="1" s="1"/>
  <c r="P953" i="1" a="1"/>
  <c r="P953" i="1" s="1"/>
  <c r="P952" i="1" a="1"/>
  <c r="P952" i="1" s="1"/>
  <c r="P951" i="1" a="1"/>
  <c r="P951" i="1" s="1"/>
  <c r="P950" i="1" a="1"/>
  <c r="P950" i="1" s="1"/>
  <c r="P949" i="1" a="1"/>
  <c r="P949" i="1" s="1"/>
  <c r="P948" i="1" a="1"/>
  <c r="P948" i="1" s="1"/>
  <c r="P947" i="1" a="1"/>
  <c r="P947" i="1" s="1"/>
  <c r="P946" i="1" a="1"/>
  <c r="P946" i="1" s="1"/>
  <c r="P945" i="1" a="1"/>
  <c r="P945" i="1" s="1"/>
  <c r="P944" i="1" a="1"/>
  <c r="P944" i="1" s="1"/>
  <c r="P943" i="1" a="1"/>
  <c r="P943" i="1" s="1"/>
  <c r="P942" i="1" a="1"/>
  <c r="P942" i="1" s="1"/>
  <c r="P941" i="1" a="1"/>
  <c r="P941" i="1" s="1"/>
  <c r="P940" i="1" a="1"/>
  <c r="P940" i="1" s="1"/>
  <c r="P939" i="1" a="1"/>
  <c r="P939" i="1" s="1"/>
  <c r="P938" i="1" a="1"/>
  <c r="P938" i="1" s="1"/>
  <c r="P937" i="1" a="1"/>
  <c r="P937" i="1" s="1"/>
  <c r="P936" i="1" a="1"/>
  <c r="P936" i="1" s="1"/>
  <c r="P935" i="1" a="1"/>
  <c r="P935" i="1" s="1"/>
  <c r="P934" i="1" a="1"/>
  <c r="P934" i="1" s="1"/>
  <c r="P933" i="1" a="1"/>
  <c r="P933" i="1" s="1"/>
  <c r="P932" i="1" a="1"/>
  <c r="P932" i="1" s="1"/>
  <c r="P931" i="1" a="1"/>
  <c r="P931" i="1" s="1"/>
  <c r="P930" i="1" a="1"/>
  <c r="P930" i="1" s="1"/>
  <c r="P929" i="1" a="1"/>
  <c r="P929" i="1" s="1"/>
  <c r="P928" i="1" a="1"/>
  <c r="P928" i="1" s="1"/>
  <c r="P927" i="1" a="1"/>
  <c r="P927" i="1" s="1"/>
  <c r="P926" i="1" a="1"/>
  <c r="P926" i="1" s="1"/>
  <c r="P925" i="1" a="1"/>
  <c r="P925" i="1" s="1"/>
  <c r="P924" i="1" a="1"/>
  <c r="P924" i="1" s="1"/>
  <c r="P923" i="1" a="1"/>
  <c r="P923" i="1" s="1"/>
  <c r="P922" i="1" a="1"/>
  <c r="P922" i="1" s="1"/>
  <c r="P921" i="1" a="1"/>
  <c r="P921" i="1" s="1"/>
  <c r="P920" i="1" a="1"/>
  <c r="P920" i="1" s="1"/>
  <c r="P919" i="1" a="1"/>
  <c r="P919" i="1" s="1"/>
  <c r="P918" i="1" a="1"/>
  <c r="P918" i="1" s="1"/>
  <c r="P917" i="1" a="1"/>
  <c r="P917" i="1" s="1"/>
  <c r="P916" i="1" a="1"/>
  <c r="P916" i="1" s="1"/>
  <c r="P915" i="1" a="1"/>
  <c r="P915" i="1" s="1"/>
  <c r="P914" i="1" a="1"/>
  <c r="P914" i="1" s="1"/>
  <c r="P913" i="1" a="1"/>
  <c r="P913" i="1" s="1"/>
  <c r="P912" i="1" a="1"/>
  <c r="P912" i="1" s="1"/>
  <c r="P911" i="1" a="1"/>
  <c r="P911" i="1" s="1"/>
  <c r="P910" i="1" a="1"/>
  <c r="P910" i="1" s="1"/>
  <c r="P909" i="1" a="1"/>
  <c r="P909" i="1" s="1"/>
  <c r="P908" i="1" a="1"/>
  <c r="P908" i="1" s="1"/>
  <c r="P907" i="1" a="1"/>
  <c r="P907" i="1" s="1"/>
  <c r="P906" i="1" a="1"/>
  <c r="P906" i="1" s="1"/>
  <c r="P905" i="1" a="1"/>
  <c r="P905" i="1" s="1"/>
  <c r="P904" i="1" a="1"/>
  <c r="P904" i="1" s="1"/>
  <c r="P903" i="1" a="1"/>
  <c r="P903" i="1" s="1"/>
  <c r="P902" i="1" a="1"/>
  <c r="P902" i="1" s="1"/>
  <c r="P901" i="1" a="1"/>
  <c r="P901" i="1" s="1"/>
  <c r="P900" i="1" a="1"/>
  <c r="P900" i="1" s="1"/>
  <c r="P899" i="1" a="1"/>
  <c r="P899" i="1" s="1"/>
  <c r="P898" i="1" a="1"/>
  <c r="P898" i="1" s="1"/>
  <c r="P897" i="1" a="1"/>
  <c r="P897" i="1" s="1"/>
  <c r="P896" i="1" a="1"/>
  <c r="P896" i="1" s="1"/>
  <c r="P895" i="1" a="1"/>
  <c r="P895" i="1" s="1"/>
  <c r="P894" i="1" a="1"/>
  <c r="P894" i="1" s="1"/>
  <c r="P893" i="1" a="1"/>
  <c r="P893" i="1" s="1"/>
  <c r="P892" i="1" a="1"/>
  <c r="P892" i="1" s="1"/>
  <c r="P891" i="1" a="1"/>
  <c r="P891" i="1" s="1"/>
  <c r="P890" i="1" a="1"/>
  <c r="P890" i="1" s="1"/>
  <c r="P889" i="1" a="1"/>
  <c r="P889" i="1" s="1"/>
  <c r="P888" i="1" a="1"/>
  <c r="P888" i="1" s="1"/>
  <c r="P887" i="1" a="1"/>
  <c r="P887" i="1" s="1"/>
  <c r="P886" i="1" a="1"/>
  <c r="P886" i="1" s="1"/>
  <c r="P885" i="1" a="1"/>
  <c r="P885" i="1" s="1"/>
  <c r="P884" i="1" a="1"/>
  <c r="P884" i="1" s="1"/>
  <c r="P883" i="1" a="1"/>
  <c r="P883" i="1" s="1"/>
  <c r="P882" i="1" a="1"/>
  <c r="P882" i="1" s="1"/>
  <c r="P881" i="1" a="1"/>
  <c r="P881" i="1" s="1"/>
  <c r="P880" i="1" a="1"/>
  <c r="P880" i="1" s="1"/>
  <c r="P879" i="1" a="1"/>
  <c r="P879" i="1" s="1"/>
  <c r="P878" i="1" a="1"/>
  <c r="P878" i="1" s="1"/>
  <c r="P877" i="1" a="1"/>
  <c r="P877" i="1" s="1"/>
  <c r="P876" i="1" a="1"/>
  <c r="P876" i="1" s="1"/>
  <c r="P875" i="1" a="1"/>
  <c r="P875" i="1" s="1"/>
  <c r="P874" i="1" a="1"/>
  <c r="P874" i="1" s="1"/>
  <c r="P873" i="1" a="1"/>
  <c r="P873" i="1" s="1"/>
  <c r="P872" i="1" a="1"/>
  <c r="P872" i="1" s="1"/>
  <c r="P871" i="1" a="1"/>
  <c r="P871" i="1" s="1"/>
  <c r="P870" i="1" a="1"/>
  <c r="P870" i="1" s="1"/>
  <c r="P869" i="1" a="1"/>
  <c r="P869" i="1" s="1"/>
  <c r="P868" i="1" a="1"/>
  <c r="P868" i="1" s="1"/>
  <c r="P867" i="1" a="1"/>
  <c r="P867" i="1" s="1"/>
  <c r="P866" i="1" a="1"/>
  <c r="P866" i="1" s="1"/>
  <c r="P865" i="1" a="1"/>
  <c r="P865" i="1" s="1"/>
  <c r="P864" i="1" a="1"/>
  <c r="P864" i="1" s="1"/>
  <c r="P863" i="1" a="1"/>
  <c r="P863" i="1" s="1"/>
  <c r="P862" i="1" a="1"/>
  <c r="P862" i="1" s="1"/>
  <c r="P861" i="1" a="1"/>
  <c r="P861" i="1" s="1"/>
  <c r="P860" i="1" a="1"/>
  <c r="P860" i="1" s="1"/>
  <c r="P859" i="1" a="1"/>
  <c r="P859" i="1" s="1"/>
  <c r="P858" i="1" a="1"/>
  <c r="P858" i="1" s="1"/>
  <c r="P857" i="1" a="1"/>
  <c r="P857" i="1" s="1"/>
  <c r="P856" i="1" a="1"/>
  <c r="P856" i="1" s="1"/>
  <c r="P855" i="1" a="1"/>
  <c r="P855" i="1" s="1"/>
  <c r="P854" i="1" a="1"/>
  <c r="P854" i="1" s="1"/>
  <c r="P853" i="1" a="1"/>
  <c r="P853" i="1" s="1"/>
  <c r="P852" i="1" a="1"/>
  <c r="P852" i="1" s="1"/>
  <c r="P851" i="1" a="1"/>
  <c r="P851" i="1" s="1"/>
  <c r="P850" i="1" a="1"/>
  <c r="P850" i="1" s="1"/>
  <c r="P849" i="1" a="1"/>
  <c r="P849" i="1" s="1"/>
  <c r="P848" i="1" a="1"/>
  <c r="P848" i="1" s="1"/>
  <c r="P847" i="1" a="1"/>
  <c r="P847" i="1" s="1"/>
  <c r="P846" i="1" a="1"/>
  <c r="P846" i="1" s="1"/>
  <c r="P845" i="1" a="1"/>
  <c r="P845" i="1" s="1"/>
  <c r="P844" i="1" a="1"/>
  <c r="P844" i="1" s="1"/>
  <c r="P843" i="1" a="1"/>
  <c r="P843" i="1" s="1"/>
  <c r="P842" i="1" a="1"/>
  <c r="P842" i="1" s="1"/>
  <c r="P841" i="1" a="1"/>
  <c r="P841" i="1" s="1"/>
  <c r="P840" i="1" a="1"/>
  <c r="P840" i="1" s="1"/>
  <c r="P839" i="1" a="1"/>
  <c r="P839" i="1" s="1"/>
  <c r="P838" i="1" a="1"/>
  <c r="P838" i="1" s="1"/>
  <c r="P837" i="1" a="1"/>
  <c r="P837" i="1" s="1"/>
  <c r="P836" i="1" a="1"/>
  <c r="P836" i="1" s="1"/>
  <c r="P835" i="1" a="1"/>
  <c r="P835" i="1" s="1"/>
  <c r="P834" i="1" a="1"/>
  <c r="P834" i="1" s="1"/>
  <c r="P833" i="1" a="1"/>
  <c r="P833" i="1" s="1"/>
  <c r="P832" i="1" a="1"/>
  <c r="P832" i="1" s="1"/>
  <c r="P831" i="1" a="1"/>
  <c r="P831" i="1" s="1"/>
  <c r="P830" i="1" a="1"/>
  <c r="P830" i="1" s="1"/>
  <c r="P829" i="1" a="1"/>
  <c r="P829" i="1" s="1"/>
  <c r="P828" i="1" a="1"/>
  <c r="P828" i="1" s="1"/>
  <c r="P827" i="1" a="1"/>
  <c r="P827" i="1" s="1"/>
  <c r="P826" i="1" a="1"/>
  <c r="P826" i="1" s="1"/>
  <c r="P825" i="1" a="1"/>
  <c r="P825" i="1" s="1"/>
  <c r="P824" i="1" a="1"/>
  <c r="P824" i="1" s="1"/>
  <c r="P823" i="1" a="1"/>
  <c r="P823" i="1" s="1"/>
  <c r="P822" i="1" a="1"/>
  <c r="P822" i="1" s="1"/>
  <c r="P821" i="1" a="1"/>
  <c r="P821" i="1" s="1"/>
  <c r="P820" i="1" a="1"/>
  <c r="P820" i="1" s="1"/>
  <c r="P819" i="1" a="1"/>
  <c r="P819" i="1" s="1"/>
  <c r="P818" i="1" a="1"/>
  <c r="P818" i="1" s="1"/>
  <c r="P817" i="1" a="1"/>
  <c r="P817" i="1" s="1"/>
  <c r="P816" i="1" a="1"/>
  <c r="P816" i="1" s="1"/>
  <c r="P815" i="1" a="1"/>
  <c r="P815" i="1" s="1"/>
  <c r="P814" i="1" a="1"/>
  <c r="P814" i="1" s="1"/>
  <c r="P813" i="1" a="1"/>
  <c r="P813" i="1" s="1"/>
  <c r="P812" i="1" a="1"/>
  <c r="P812" i="1" s="1"/>
  <c r="P811" i="1" a="1"/>
  <c r="P811" i="1" s="1"/>
  <c r="P810" i="1" a="1"/>
  <c r="P810" i="1" s="1"/>
  <c r="P809" i="1" a="1"/>
  <c r="P809" i="1" s="1"/>
  <c r="P808" i="1" a="1"/>
  <c r="P808" i="1" s="1"/>
  <c r="P807" i="1" a="1"/>
  <c r="P807" i="1" s="1"/>
  <c r="P806" i="1" a="1"/>
  <c r="P806" i="1" s="1"/>
  <c r="P805" i="1" a="1"/>
  <c r="P805" i="1" s="1"/>
  <c r="P804" i="1" a="1"/>
  <c r="P804" i="1" s="1"/>
  <c r="P803" i="1" a="1"/>
  <c r="P803" i="1" s="1"/>
  <c r="P802" i="1" a="1"/>
  <c r="P802" i="1" s="1"/>
  <c r="P801" i="1" a="1"/>
  <c r="P801" i="1" s="1"/>
  <c r="P800" i="1" a="1"/>
  <c r="P800" i="1" s="1"/>
  <c r="P799" i="1" a="1"/>
  <c r="P799" i="1" s="1"/>
  <c r="P798" i="1" a="1"/>
  <c r="P798" i="1" s="1"/>
  <c r="P797" i="1" a="1"/>
  <c r="P797" i="1" s="1"/>
  <c r="P796" i="1" a="1"/>
  <c r="P796" i="1" s="1"/>
  <c r="P795" i="1" a="1"/>
  <c r="P795" i="1" s="1"/>
  <c r="P794" i="1" a="1"/>
  <c r="P794" i="1" s="1"/>
  <c r="P793" i="1" a="1"/>
  <c r="P793" i="1" s="1"/>
  <c r="P792" i="1" a="1"/>
  <c r="P792" i="1" s="1"/>
  <c r="P791" i="1" a="1"/>
  <c r="P791" i="1" s="1"/>
  <c r="P790" i="1" a="1"/>
  <c r="P790" i="1" s="1"/>
  <c r="P789" i="1" a="1"/>
  <c r="P789" i="1" s="1"/>
  <c r="P788" i="1" a="1"/>
  <c r="P788" i="1" s="1"/>
  <c r="P787" i="1" a="1"/>
  <c r="P787" i="1" s="1"/>
  <c r="P786" i="1" a="1"/>
  <c r="P786" i="1" s="1"/>
  <c r="P785" i="1" a="1"/>
  <c r="P785" i="1" s="1"/>
  <c r="P784" i="1" a="1"/>
  <c r="P784" i="1" s="1"/>
  <c r="P783" i="1" a="1"/>
  <c r="P783" i="1" s="1"/>
  <c r="P782" i="1" a="1"/>
  <c r="P782" i="1" s="1"/>
  <c r="P781" i="1" a="1"/>
  <c r="P781" i="1" s="1"/>
  <c r="P780" i="1" a="1"/>
  <c r="P780" i="1" s="1"/>
  <c r="P779" i="1" a="1"/>
  <c r="P779" i="1" s="1"/>
  <c r="P778" i="1" a="1"/>
  <c r="P778" i="1" s="1"/>
  <c r="P777" i="1" a="1"/>
  <c r="P777" i="1" s="1"/>
  <c r="P776" i="1" a="1"/>
  <c r="P776" i="1" s="1"/>
  <c r="P775" i="1" a="1"/>
  <c r="P775" i="1" s="1"/>
  <c r="P774" i="1" a="1"/>
  <c r="P774" i="1" s="1"/>
  <c r="P773" i="1" a="1"/>
  <c r="P773" i="1" s="1"/>
  <c r="P772" i="1" a="1"/>
  <c r="P772" i="1" s="1"/>
  <c r="P771" i="1" a="1"/>
  <c r="P771" i="1" s="1"/>
  <c r="P770" i="1" a="1"/>
  <c r="P770" i="1" s="1"/>
  <c r="P769" i="1" a="1"/>
  <c r="P769" i="1" s="1"/>
  <c r="P768" i="1" a="1"/>
  <c r="P768" i="1" s="1"/>
  <c r="P767" i="1" a="1"/>
  <c r="P767" i="1" s="1"/>
  <c r="P766" i="1" a="1"/>
  <c r="P766" i="1" s="1"/>
  <c r="P765" i="1" a="1"/>
  <c r="P765" i="1" s="1"/>
  <c r="P764" i="1" a="1"/>
  <c r="P764" i="1" s="1"/>
  <c r="P763" i="1" a="1"/>
  <c r="P763" i="1" s="1"/>
  <c r="P762" i="1" a="1"/>
  <c r="P762" i="1" s="1"/>
  <c r="P761" i="1" a="1"/>
  <c r="P761" i="1" s="1"/>
  <c r="P760" i="1" a="1"/>
  <c r="P760" i="1" s="1"/>
  <c r="P759" i="1" a="1"/>
  <c r="P759" i="1" s="1"/>
  <c r="P758" i="1" a="1"/>
  <c r="P758" i="1" s="1"/>
  <c r="P757" i="1" a="1"/>
  <c r="P757" i="1" s="1"/>
  <c r="P756" i="1" a="1"/>
  <c r="P756" i="1" s="1"/>
  <c r="P755" i="1" a="1"/>
  <c r="P755" i="1" s="1"/>
  <c r="P754" i="1" a="1"/>
  <c r="P754" i="1" s="1"/>
  <c r="P753" i="1" a="1"/>
  <c r="P753" i="1" s="1"/>
  <c r="P752" i="1" a="1"/>
  <c r="P752" i="1" s="1"/>
  <c r="P751" i="1" a="1"/>
  <c r="P751" i="1" s="1"/>
  <c r="P750" i="1" a="1"/>
  <c r="P750" i="1" s="1"/>
  <c r="P749" i="1" a="1"/>
  <c r="P749" i="1" s="1"/>
  <c r="P748" i="1" a="1"/>
  <c r="P748" i="1" s="1"/>
  <c r="P747" i="1" a="1"/>
  <c r="P747" i="1" s="1"/>
  <c r="P746" i="1" a="1"/>
  <c r="P746" i="1" s="1"/>
  <c r="P745" i="1" a="1"/>
  <c r="P745" i="1" s="1"/>
  <c r="P744" i="1" a="1"/>
  <c r="P744" i="1" s="1"/>
  <c r="P743" i="1" a="1"/>
  <c r="P743" i="1" s="1"/>
  <c r="P742" i="1" a="1"/>
  <c r="P742" i="1" s="1"/>
  <c r="P741" i="1" a="1"/>
  <c r="P741" i="1" s="1"/>
  <c r="P740" i="1" a="1"/>
  <c r="P740" i="1" s="1"/>
  <c r="P739" i="1" a="1"/>
  <c r="P739" i="1" s="1"/>
  <c r="P738" i="1" a="1"/>
  <c r="P738" i="1" s="1"/>
  <c r="P737" i="1" a="1"/>
  <c r="P737" i="1" s="1"/>
  <c r="P736" i="1" a="1"/>
  <c r="P736" i="1" s="1"/>
  <c r="P735" i="1" a="1"/>
  <c r="P735" i="1" s="1"/>
  <c r="P734" i="1" a="1"/>
  <c r="P734" i="1" s="1"/>
  <c r="P733" i="1" a="1"/>
  <c r="P733" i="1" s="1"/>
  <c r="P732" i="1" a="1"/>
  <c r="P732" i="1" s="1"/>
  <c r="P731" i="1" a="1"/>
  <c r="P731" i="1" s="1"/>
  <c r="P730" i="1" a="1"/>
  <c r="P730" i="1" s="1"/>
  <c r="P729" i="1" a="1"/>
  <c r="P729" i="1" s="1"/>
  <c r="P728" i="1" a="1"/>
  <c r="P728" i="1" s="1"/>
  <c r="P727" i="1" a="1"/>
  <c r="P727" i="1" s="1"/>
  <c r="P726" i="1" a="1"/>
  <c r="P726" i="1" s="1"/>
  <c r="P725" i="1" a="1"/>
  <c r="P725" i="1" s="1"/>
  <c r="P724" i="1" a="1"/>
  <c r="P724" i="1" s="1"/>
  <c r="P723" i="1" a="1"/>
  <c r="P723" i="1" s="1"/>
  <c r="P722" i="1" a="1"/>
  <c r="P722" i="1" s="1"/>
  <c r="P721" i="1" a="1"/>
  <c r="P721" i="1" s="1"/>
  <c r="P720" i="1" a="1"/>
  <c r="P720" i="1" s="1"/>
  <c r="P719" i="1" a="1"/>
  <c r="P719" i="1" s="1"/>
  <c r="P718" i="1" a="1"/>
  <c r="P718" i="1" s="1"/>
  <c r="P717" i="1" a="1"/>
  <c r="P717" i="1" s="1"/>
  <c r="P716" i="1" a="1"/>
  <c r="P716" i="1" s="1"/>
  <c r="P715" i="1" a="1"/>
  <c r="P715" i="1" s="1"/>
  <c r="P714" i="1" a="1"/>
  <c r="P714" i="1" s="1"/>
  <c r="P713" i="1" a="1"/>
  <c r="P713" i="1" s="1"/>
  <c r="P712" i="1" a="1"/>
  <c r="P712" i="1" s="1"/>
  <c r="P711" i="1" a="1"/>
  <c r="P711" i="1" s="1"/>
  <c r="P710" i="1" a="1"/>
  <c r="P710" i="1" s="1"/>
  <c r="P709" i="1" a="1"/>
  <c r="P709" i="1" s="1"/>
  <c r="P708" i="1" a="1"/>
  <c r="P708" i="1" s="1"/>
  <c r="P707" i="1" a="1"/>
  <c r="P707" i="1" s="1"/>
  <c r="P706" i="1" a="1"/>
  <c r="P706" i="1" s="1"/>
  <c r="P705" i="1" a="1"/>
  <c r="P705" i="1" s="1"/>
  <c r="P704" i="1" a="1"/>
  <c r="P704" i="1" s="1"/>
  <c r="P703" i="1" a="1"/>
  <c r="P703" i="1" s="1"/>
  <c r="P702" i="1" a="1"/>
  <c r="P702" i="1" s="1"/>
  <c r="P701" i="1" a="1"/>
  <c r="P701" i="1" s="1"/>
  <c r="P700" i="1" a="1"/>
  <c r="P700" i="1" s="1"/>
  <c r="P699" i="1" a="1"/>
  <c r="P699" i="1" s="1"/>
  <c r="P698" i="1" a="1"/>
  <c r="P698" i="1" s="1"/>
  <c r="P697" i="1" a="1"/>
  <c r="P697" i="1" s="1"/>
  <c r="P696" i="1" a="1"/>
  <c r="P696" i="1" s="1"/>
  <c r="P695" i="1" a="1"/>
  <c r="P695" i="1" s="1"/>
  <c r="P694" i="1" a="1"/>
  <c r="P694" i="1" s="1"/>
  <c r="P693" i="1" a="1"/>
  <c r="P693" i="1" s="1"/>
  <c r="P692" i="1" a="1"/>
  <c r="P692" i="1" s="1"/>
  <c r="P691" i="1" a="1"/>
  <c r="P691" i="1" s="1"/>
  <c r="P690" i="1" a="1"/>
  <c r="P690" i="1" s="1"/>
  <c r="P689" i="1" a="1"/>
  <c r="P689" i="1" s="1"/>
  <c r="P688" i="1" a="1"/>
  <c r="P688" i="1" s="1"/>
  <c r="P687" i="1" a="1"/>
  <c r="P687" i="1" s="1"/>
  <c r="P686" i="1" a="1"/>
  <c r="P686" i="1" s="1"/>
  <c r="P685" i="1" a="1"/>
  <c r="P685" i="1" s="1"/>
  <c r="P684" i="1" a="1"/>
  <c r="P684" i="1" s="1"/>
  <c r="P683" i="1" a="1"/>
  <c r="P683" i="1" s="1"/>
  <c r="P682" i="1" a="1"/>
  <c r="P682" i="1" s="1"/>
  <c r="P681" i="1" a="1"/>
  <c r="P681" i="1" s="1"/>
  <c r="P680" i="1" a="1"/>
  <c r="P680" i="1" s="1"/>
  <c r="P679" i="1" a="1"/>
  <c r="P679" i="1" s="1"/>
  <c r="P678" i="1" a="1"/>
  <c r="P678" i="1" s="1"/>
  <c r="P677" i="1" a="1"/>
  <c r="P677" i="1" s="1"/>
  <c r="P676" i="1" a="1"/>
  <c r="P676" i="1" s="1"/>
  <c r="P675" i="1" a="1"/>
  <c r="P675" i="1" s="1"/>
  <c r="P674" i="1" a="1"/>
  <c r="P674" i="1" s="1"/>
  <c r="P673" i="1" a="1"/>
  <c r="P673" i="1" s="1"/>
  <c r="P672" i="1" a="1"/>
  <c r="P672" i="1" s="1"/>
  <c r="P671" i="1" a="1"/>
  <c r="P671" i="1" s="1"/>
  <c r="P670" i="1" a="1"/>
  <c r="P670" i="1" s="1"/>
  <c r="P669" i="1" a="1"/>
  <c r="P669" i="1" s="1"/>
  <c r="P668" i="1" a="1"/>
  <c r="P668" i="1" s="1"/>
  <c r="P667" i="1" a="1"/>
  <c r="P667" i="1" s="1"/>
  <c r="P666" i="1" a="1"/>
  <c r="P666" i="1" s="1"/>
  <c r="P665" i="1" a="1"/>
  <c r="P665" i="1" s="1"/>
  <c r="P664" i="1" a="1"/>
  <c r="P664" i="1" s="1"/>
  <c r="P663" i="1" a="1"/>
  <c r="P663" i="1" s="1"/>
  <c r="P662" i="1" a="1"/>
  <c r="P662" i="1" s="1"/>
  <c r="P661" i="1" a="1"/>
  <c r="P661" i="1" s="1"/>
  <c r="P660" i="1" a="1"/>
  <c r="P660" i="1" s="1"/>
  <c r="P659" i="1" a="1"/>
  <c r="P659" i="1" s="1"/>
  <c r="P658" i="1" a="1"/>
  <c r="P658" i="1" s="1"/>
  <c r="P657" i="1" a="1"/>
  <c r="P657" i="1" s="1"/>
  <c r="P656" i="1" a="1"/>
  <c r="P656" i="1" s="1"/>
  <c r="P655" i="1" a="1"/>
  <c r="P655" i="1" s="1"/>
  <c r="P654" i="1" a="1"/>
  <c r="P654" i="1" s="1"/>
  <c r="P653" i="1" a="1"/>
  <c r="P653" i="1" s="1"/>
  <c r="P652" i="1" a="1"/>
  <c r="P652" i="1" s="1"/>
  <c r="P651" i="1" a="1"/>
  <c r="P651" i="1" s="1"/>
  <c r="P650" i="1" a="1"/>
  <c r="P650" i="1" s="1"/>
  <c r="P649" i="1" a="1"/>
  <c r="P649" i="1" s="1"/>
  <c r="P648" i="1" a="1"/>
  <c r="P648" i="1" s="1"/>
  <c r="P647" i="1" a="1"/>
  <c r="P647" i="1" s="1"/>
  <c r="P646" i="1" a="1"/>
  <c r="P646" i="1" s="1"/>
  <c r="P645" i="1" a="1"/>
  <c r="P645" i="1" s="1"/>
  <c r="P644" i="1" a="1"/>
  <c r="P644" i="1" s="1"/>
  <c r="P643" i="1" a="1"/>
  <c r="P643" i="1" s="1"/>
  <c r="P642" i="1" a="1"/>
  <c r="P642" i="1" s="1"/>
  <c r="P641" i="1" a="1"/>
  <c r="P641" i="1" s="1"/>
  <c r="P640" i="1" a="1"/>
  <c r="P640" i="1" s="1"/>
  <c r="P639" i="1" a="1"/>
  <c r="P639" i="1" s="1"/>
  <c r="P638" i="1" a="1"/>
  <c r="P638" i="1" s="1"/>
  <c r="P637" i="1" a="1"/>
  <c r="P637" i="1" s="1"/>
  <c r="P636" i="1" a="1"/>
  <c r="P636" i="1" s="1"/>
  <c r="P635" i="1" a="1"/>
  <c r="P635" i="1" s="1"/>
  <c r="P634" i="1" a="1"/>
  <c r="P634" i="1" s="1"/>
  <c r="P633" i="1" a="1"/>
  <c r="P633" i="1" s="1"/>
  <c r="P632" i="1" a="1"/>
  <c r="P632" i="1" s="1"/>
  <c r="P631" i="1" a="1"/>
  <c r="P631" i="1" s="1"/>
  <c r="P630" i="1" a="1"/>
  <c r="P630" i="1" s="1"/>
  <c r="P629" i="1" a="1"/>
  <c r="P629" i="1" s="1"/>
  <c r="P628" i="1" a="1"/>
  <c r="P628" i="1" s="1"/>
  <c r="P627" i="1" a="1"/>
  <c r="P627" i="1" s="1"/>
  <c r="P626" i="1" a="1"/>
  <c r="P626" i="1" s="1"/>
  <c r="P625" i="1" a="1"/>
  <c r="P625" i="1" s="1"/>
  <c r="P624" i="1" a="1"/>
  <c r="P624" i="1" s="1"/>
  <c r="P623" i="1" a="1"/>
  <c r="P623" i="1" s="1"/>
  <c r="P622" i="1" a="1"/>
  <c r="P622" i="1" s="1"/>
  <c r="P621" i="1" a="1"/>
  <c r="P621" i="1" s="1"/>
  <c r="P620" i="1" a="1"/>
  <c r="P620" i="1" s="1"/>
  <c r="P619" i="1" a="1"/>
  <c r="P619" i="1" s="1"/>
  <c r="P618" i="1" a="1"/>
  <c r="P618" i="1" s="1"/>
  <c r="P617" i="1" a="1"/>
  <c r="P617" i="1" s="1"/>
  <c r="P616" i="1" a="1"/>
  <c r="P616" i="1" s="1"/>
  <c r="P615" i="1" a="1"/>
  <c r="P615" i="1" s="1"/>
  <c r="P614" i="1" a="1"/>
  <c r="P614" i="1" s="1"/>
  <c r="P613" i="1" a="1"/>
  <c r="P613" i="1" s="1"/>
  <c r="P612" i="1" a="1"/>
  <c r="P612" i="1" s="1"/>
  <c r="P611" i="1" a="1"/>
  <c r="P611" i="1" s="1"/>
  <c r="P610" i="1" a="1"/>
  <c r="P610" i="1" s="1"/>
  <c r="P609" i="1" a="1"/>
  <c r="P609" i="1" s="1"/>
  <c r="P608" i="1" a="1"/>
  <c r="P608" i="1" s="1"/>
  <c r="P607" i="1" a="1"/>
  <c r="P607" i="1" s="1"/>
  <c r="P606" i="1" a="1"/>
  <c r="P606" i="1" s="1"/>
  <c r="P605" i="1" a="1"/>
  <c r="P605" i="1" s="1"/>
  <c r="P604" i="1" a="1"/>
  <c r="P604" i="1" s="1"/>
  <c r="P603" i="1" a="1"/>
  <c r="P603" i="1" s="1"/>
  <c r="P602" i="1" a="1"/>
  <c r="P602" i="1" s="1"/>
  <c r="P601" i="1" a="1"/>
  <c r="P601" i="1" s="1"/>
  <c r="P600" i="1" a="1"/>
  <c r="P600" i="1" s="1"/>
  <c r="P599" i="1" a="1"/>
  <c r="P599" i="1" s="1"/>
  <c r="P598" i="1" a="1"/>
  <c r="P598" i="1" s="1"/>
  <c r="P597" i="1" a="1"/>
  <c r="P597" i="1" s="1"/>
  <c r="P596" i="1" a="1"/>
  <c r="P596" i="1" s="1"/>
  <c r="P595" i="1" a="1"/>
  <c r="P595" i="1" s="1"/>
  <c r="P594" i="1" a="1"/>
  <c r="P594" i="1" s="1"/>
  <c r="P593" i="1" a="1"/>
  <c r="P593" i="1" s="1"/>
  <c r="P592" i="1" a="1"/>
  <c r="P592" i="1" s="1"/>
  <c r="P591" i="1" a="1"/>
  <c r="P591" i="1" s="1"/>
  <c r="P590" i="1" a="1"/>
  <c r="P590" i="1" s="1"/>
  <c r="P589" i="1" a="1"/>
  <c r="P589" i="1" s="1"/>
  <c r="P588" i="1" a="1"/>
  <c r="P588" i="1" s="1"/>
  <c r="P587" i="1" a="1"/>
  <c r="P587" i="1" s="1"/>
  <c r="P586" i="1" a="1"/>
  <c r="P586" i="1" s="1"/>
  <c r="P585" i="1" a="1"/>
  <c r="P585" i="1" s="1"/>
  <c r="P584" i="1" a="1"/>
  <c r="P584" i="1" s="1"/>
  <c r="P583" i="1" a="1"/>
  <c r="P583" i="1" s="1"/>
  <c r="P582" i="1" a="1"/>
  <c r="P582" i="1" s="1"/>
  <c r="P581" i="1" a="1"/>
  <c r="P581" i="1" s="1"/>
  <c r="P580" i="1" a="1"/>
  <c r="P580" i="1" s="1"/>
  <c r="P579" i="1" a="1"/>
  <c r="P579" i="1" s="1"/>
  <c r="P578" i="1" a="1"/>
  <c r="P578" i="1" s="1"/>
  <c r="P577" i="1" a="1"/>
  <c r="P577" i="1" s="1"/>
  <c r="P576" i="1" a="1"/>
  <c r="P576" i="1" s="1"/>
  <c r="P575" i="1" a="1"/>
  <c r="P575" i="1" s="1"/>
  <c r="P574" i="1" a="1"/>
  <c r="P574" i="1" s="1"/>
  <c r="P573" i="1" a="1"/>
  <c r="P573" i="1" s="1"/>
  <c r="P572" i="1" a="1"/>
  <c r="P572" i="1" s="1"/>
  <c r="P571" i="1" a="1"/>
  <c r="P571" i="1" s="1"/>
  <c r="P570" i="1" a="1"/>
  <c r="P570" i="1" s="1"/>
  <c r="P569" i="1" a="1"/>
  <c r="P569" i="1" s="1"/>
  <c r="P568" i="1" a="1"/>
  <c r="P568" i="1" s="1"/>
  <c r="P567" i="1" a="1"/>
  <c r="P567" i="1" s="1"/>
  <c r="P566" i="1" a="1"/>
  <c r="P566" i="1" s="1"/>
  <c r="P565" i="1" a="1"/>
  <c r="P565" i="1" s="1"/>
  <c r="P564" i="1" a="1"/>
  <c r="P564" i="1" s="1"/>
  <c r="P563" i="1" a="1"/>
  <c r="P563" i="1" s="1"/>
  <c r="P562" i="1" a="1"/>
  <c r="P562" i="1" s="1"/>
  <c r="P561" i="1" a="1"/>
  <c r="P561" i="1" s="1"/>
  <c r="P560" i="1" a="1"/>
  <c r="P560" i="1" s="1"/>
  <c r="P559" i="1" a="1"/>
  <c r="P559" i="1" s="1"/>
  <c r="P558" i="1" a="1"/>
  <c r="P558" i="1" s="1"/>
  <c r="P557" i="1" a="1"/>
  <c r="P557" i="1" s="1"/>
  <c r="P556" i="1" a="1"/>
  <c r="P556" i="1" s="1"/>
  <c r="P555" i="1" a="1"/>
  <c r="P555" i="1" s="1"/>
  <c r="P554" i="1" a="1"/>
  <c r="P554" i="1" s="1"/>
  <c r="P553" i="1" a="1"/>
  <c r="P553" i="1" s="1"/>
  <c r="P552" i="1" a="1"/>
  <c r="P552" i="1" s="1"/>
  <c r="P551" i="1" a="1"/>
  <c r="P551" i="1" s="1"/>
  <c r="P550" i="1" a="1"/>
  <c r="P550" i="1" s="1"/>
  <c r="P549" i="1" a="1"/>
  <c r="P549" i="1" s="1"/>
  <c r="P548" i="1" a="1"/>
  <c r="P548" i="1" s="1"/>
  <c r="P547" i="1" a="1"/>
  <c r="P547" i="1" s="1"/>
  <c r="P546" i="1" a="1"/>
  <c r="P546" i="1" s="1"/>
  <c r="P545" i="1" a="1"/>
  <c r="P545" i="1" s="1"/>
  <c r="P544" i="1" a="1"/>
  <c r="P544" i="1" s="1"/>
  <c r="P543" i="1" a="1"/>
  <c r="P543" i="1" s="1"/>
  <c r="P542" i="1" a="1"/>
  <c r="P542" i="1" s="1"/>
  <c r="P541" i="1" a="1"/>
  <c r="P541" i="1" s="1"/>
  <c r="P540" i="1" a="1"/>
  <c r="P540" i="1" s="1"/>
  <c r="P539" i="1" a="1"/>
  <c r="P539" i="1" s="1"/>
  <c r="P538" i="1" a="1"/>
  <c r="P538" i="1" s="1"/>
  <c r="P537" i="1" a="1"/>
  <c r="P537" i="1" s="1"/>
  <c r="P536" i="1" a="1"/>
  <c r="P536" i="1" s="1"/>
  <c r="P535" i="1" a="1"/>
  <c r="P535" i="1" s="1"/>
  <c r="P534" i="1" a="1"/>
  <c r="P534" i="1" s="1"/>
  <c r="P533" i="1" a="1"/>
  <c r="P533" i="1" s="1"/>
  <c r="P532" i="1" a="1"/>
  <c r="P532" i="1" s="1"/>
  <c r="P531" i="1" a="1"/>
  <c r="P531" i="1" s="1"/>
  <c r="P530" i="1" a="1"/>
  <c r="P530" i="1" s="1"/>
  <c r="P529" i="1" a="1"/>
  <c r="P529" i="1" s="1"/>
  <c r="P528" i="1" a="1"/>
  <c r="P528" i="1" s="1"/>
  <c r="P527" i="1" a="1"/>
  <c r="P527" i="1" s="1"/>
  <c r="P526" i="1" a="1"/>
  <c r="P526" i="1" s="1"/>
  <c r="P525" i="1" a="1"/>
  <c r="P525" i="1" s="1"/>
  <c r="P524" i="1" a="1"/>
  <c r="P524" i="1" s="1"/>
  <c r="P523" i="1" a="1"/>
  <c r="P523" i="1" s="1"/>
  <c r="P522" i="1" a="1"/>
  <c r="P522" i="1" s="1"/>
  <c r="P521" i="1" a="1"/>
  <c r="P521" i="1" s="1"/>
  <c r="P520" i="1" a="1"/>
  <c r="P520" i="1" s="1"/>
  <c r="P519" i="1" a="1"/>
  <c r="P519" i="1" s="1"/>
  <c r="P518" i="1" a="1"/>
  <c r="P518" i="1" s="1"/>
  <c r="P517" i="1" a="1"/>
  <c r="P517" i="1" s="1"/>
  <c r="P516" i="1" a="1"/>
  <c r="P516" i="1" s="1"/>
  <c r="P515" i="1" a="1"/>
  <c r="P515" i="1" s="1"/>
  <c r="P514" i="1" a="1"/>
  <c r="P514" i="1" s="1"/>
  <c r="P513" i="1" a="1"/>
  <c r="P513" i="1" s="1"/>
  <c r="P512" i="1" a="1"/>
  <c r="P512" i="1" s="1"/>
  <c r="P511" i="1" a="1"/>
  <c r="P511" i="1" s="1"/>
  <c r="P510" i="1" a="1"/>
  <c r="P510" i="1" s="1"/>
  <c r="P509" i="1" a="1"/>
  <c r="P509" i="1" s="1"/>
  <c r="P508" i="1" a="1"/>
  <c r="P508" i="1" s="1"/>
  <c r="P507" i="1" a="1"/>
  <c r="P507" i="1" s="1"/>
  <c r="P506" i="1" a="1"/>
  <c r="P506" i="1" s="1"/>
  <c r="P505" i="1" a="1"/>
  <c r="P505" i="1" s="1"/>
  <c r="P504" i="1" a="1"/>
  <c r="P504" i="1" s="1"/>
  <c r="P503" i="1" a="1"/>
  <c r="P503" i="1" s="1"/>
  <c r="P502" i="1" a="1"/>
  <c r="P502" i="1" s="1"/>
  <c r="P501" i="1" a="1"/>
  <c r="P501" i="1" s="1"/>
  <c r="P500" i="1" a="1"/>
  <c r="P500" i="1" s="1"/>
  <c r="P499" i="1" a="1"/>
  <c r="P499" i="1" s="1"/>
  <c r="P498" i="1" a="1"/>
  <c r="P498" i="1" s="1"/>
  <c r="P497" i="1" a="1"/>
  <c r="P497" i="1" s="1"/>
  <c r="P496" i="1" a="1"/>
  <c r="P496" i="1" s="1"/>
  <c r="P495" i="1" a="1"/>
  <c r="P495" i="1" s="1"/>
  <c r="P494" i="1" a="1"/>
  <c r="P494" i="1" s="1"/>
  <c r="P493" i="1" a="1"/>
  <c r="P493" i="1" s="1"/>
  <c r="P492" i="1" a="1"/>
  <c r="P492" i="1" s="1"/>
  <c r="P491" i="1" a="1"/>
  <c r="P491" i="1" s="1"/>
  <c r="P490" i="1" a="1"/>
  <c r="P490" i="1" s="1"/>
  <c r="P489" i="1" a="1"/>
  <c r="P489" i="1" s="1"/>
  <c r="P488" i="1" a="1"/>
  <c r="P488" i="1" s="1"/>
  <c r="P487" i="1" a="1"/>
  <c r="P487" i="1" s="1"/>
  <c r="P486" i="1" a="1"/>
  <c r="P486" i="1" s="1"/>
  <c r="P485" i="1" a="1"/>
  <c r="P485" i="1" s="1"/>
  <c r="P484" i="1" a="1"/>
  <c r="P484" i="1" s="1"/>
  <c r="P483" i="1" a="1"/>
  <c r="P483" i="1" s="1"/>
  <c r="P482" i="1" a="1"/>
  <c r="P482" i="1" s="1"/>
  <c r="P481" i="1" a="1"/>
  <c r="P481" i="1" s="1"/>
  <c r="P480" i="1" a="1"/>
  <c r="P480" i="1" s="1"/>
  <c r="P479" i="1" a="1"/>
  <c r="P479" i="1" s="1"/>
  <c r="P478" i="1" a="1"/>
  <c r="P478" i="1" s="1"/>
  <c r="P477" i="1" a="1"/>
  <c r="P477" i="1" s="1"/>
  <c r="P476" i="1" a="1"/>
  <c r="P476" i="1" s="1"/>
  <c r="P475" i="1" a="1"/>
  <c r="P475" i="1" s="1"/>
  <c r="P474" i="1" a="1"/>
  <c r="P474" i="1" s="1"/>
  <c r="P473" i="1" a="1"/>
  <c r="P473" i="1" s="1"/>
  <c r="P472" i="1" a="1"/>
  <c r="P472" i="1" s="1"/>
  <c r="P471" i="1" a="1"/>
  <c r="P471" i="1" s="1"/>
  <c r="P470" i="1" a="1"/>
  <c r="P470" i="1" s="1"/>
  <c r="P469" i="1" a="1"/>
  <c r="P469" i="1" s="1"/>
  <c r="P468" i="1" a="1"/>
  <c r="P468" i="1" s="1"/>
  <c r="P467" i="1" a="1"/>
  <c r="P467" i="1" s="1"/>
  <c r="P466" i="1" a="1"/>
  <c r="P466" i="1" s="1"/>
  <c r="P465" i="1" a="1"/>
  <c r="P465" i="1" s="1"/>
  <c r="P464" i="1" a="1"/>
  <c r="P464" i="1" s="1"/>
  <c r="P463" i="1" a="1"/>
  <c r="P463" i="1" s="1"/>
  <c r="P462" i="1" a="1"/>
  <c r="P462" i="1" s="1"/>
  <c r="P461" i="1" a="1"/>
  <c r="P461" i="1" s="1"/>
  <c r="P460" i="1" a="1"/>
  <c r="P460" i="1" s="1"/>
  <c r="P459" i="1" a="1"/>
  <c r="P459" i="1" s="1"/>
  <c r="P458" i="1" a="1"/>
  <c r="P458" i="1" s="1"/>
  <c r="P457" i="1" a="1"/>
  <c r="P457" i="1" s="1"/>
  <c r="P456" i="1" a="1"/>
  <c r="P456" i="1" s="1"/>
  <c r="P455" i="1" a="1"/>
  <c r="P455" i="1" s="1"/>
  <c r="P454" i="1" a="1"/>
  <c r="P454" i="1" s="1"/>
  <c r="P453" i="1" a="1"/>
  <c r="P453" i="1" s="1"/>
  <c r="P452" i="1" a="1"/>
  <c r="P452" i="1" s="1"/>
  <c r="P451" i="1" a="1"/>
  <c r="P451" i="1" s="1"/>
  <c r="P450" i="1" a="1"/>
  <c r="P450" i="1" s="1"/>
  <c r="P449" i="1" a="1"/>
  <c r="P449" i="1" s="1"/>
  <c r="P448" i="1" a="1"/>
  <c r="P448" i="1" s="1"/>
  <c r="P447" i="1" a="1"/>
  <c r="P447" i="1" s="1"/>
  <c r="P446" i="1" a="1"/>
  <c r="P446" i="1" s="1"/>
  <c r="P445" i="1" a="1"/>
  <c r="P445" i="1" s="1"/>
  <c r="P444" i="1" a="1"/>
  <c r="P444" i="1" s="1"/>
  <c r="P443" i="1" a="1"/>
  <c r="P443" i="1" s="1"/>
  <c r="P442" i="1" a="1"/>
  <c r="P442" i="1" s="1"/>
  <c r="P441" i="1" a="1"/>
  <c r="P441" i="1" s="1"/>
  <c r="P440" i="1" a="1"/>
  <c r="P440" i="1" s="1"/>
  <c r="P439" i="1" a="1"/>
  <c r="P439" i="1" s="1"/>
  <c r="P438" i="1" a="1"/>
  <c r="P438" i="1" s="1"/>
  <c r="P437" i="1" a="1"/>
  <c r="P437" i="1" s="1"/>
  <c r="P436" i="1" a="1"/>
  <c r="P436" i="1" s="1"/>
  <c r="P435" i="1" a="1"/>
  <c r="P435" i="1" s="1"/>
  <c r="P434" i="1" a="1"/>
  <c r="P434" i="1" s="1"/>
  <c r="P433" i="1" a="1"/>
  <c r="P433" i="1" s="1"/>
  <c r="P432" i="1" a="1"/>
  <c r="P432" i="1" s="1"/>
  <c r="P431" i="1" a="1"/>
  <c r="P431" i="1" s="1"/>
  <c r="P430" i="1" a="1"/>
  <c r="P430" i="1" s="1"/>
  <c r="P429" i="1" a="1"/>
  <c r="P429" i="1" s="1"/>
  <c r="P428" i="1" a="1"/>
  <c r="P428" i="1" s="1"/>
  <c r="P427" i="1" a="1"/>
  <c r="P427" i="1" s="1"/>
  <c r="P426" i="1" a="1"/>
  <c r="P426" i="1" s="1"/>
  <c r="P425" i="1" a="1"/>
  <c r="P425" i="1" s="1"/>
  <c r="P424" i="1" a="1"/>
  <c r="P424" i="1" s="1"/>
  <c r="P423" i="1" a="1"/>
  <c r="P423" i="1" s="1"/>
  <c r="P422" i="1" a="1"/>
  <c r="P422" i="1" s="1"/>
  <c r="P421" i="1" a="1"/>
  <c r="P421" i="1" s="1"/>
  <c r="P420" i="1" a="1"/>
  <c r="P420" i="1" s="1"/>
  <c r="P419" i="1" a="1"/>
  <c r="P419" i="1" s="1"/>
  <c r="P418" i="1" a="1"/>
  <c r="P418" i="1" s="1"/>
  <c r="P417" i="1" a="1"/>
  <c r="P417" i="1" s="1"/>
  <c r="P416" i="1" a="1"/>
  <c r="P416" i="1" s="1"/>
  <c r="P415" i="1" a="1"/>
  <c r="P415" i="1" s="1"/>
  <c r="P414" i="1" a="1"/>
  <c r="P414" i="1" s="1"/>
  <c r="P413" i="1" a="1"/>
  <c r="P413" i="1" s="1"/>
  <c r="P412" i="1" a="1"/>
  <c r="P412" i="1" s="1"/>
  <c r="P411" i="1" a="1"/>
  <c r="P411" i="1" s="1"/>
  <c r="P410" i="1" a="1"/>
  <c r="P410" i="1" s="1"/>
  <c r="P409" i="1" a="1"/>
  <c r="P409" i="1" s="1"/>
  <c r="P408" i="1" a="1"/>
  <c r="P408" i="1" s="1"/>
  <c r="P407" i="1" a="1"/>
  <c r="P407" i="1" s="1"/>
  <c r="P406" i="1" a="1"/>
  <c r="P406" i="1" s="1"/>
  <c r="P405" i="1" a="1"/>
  <c r="P405" i="1" s="1"/>
  <c r="P404" i="1" a="1"/>
  <c r="P404" i="1" s="1"/>
  <c r="P403" i="1" a="1"/>
  <c r="P403" i="1" s="1"/>
  <c r="P402" i="1" a="1"/>
  <c r="P402" i="1" s="1"/>
  <c r="P401" i="1" a="1"/>
  <c r="P401" i="1" s="1"/>
  <c r="P400" i="1" a="1"/>
  <c r="P400" i="1" s="1"/>
  <c r="P399" i="1" a="1"/>
  <c r="P399" i="1" s="1"/>
  <c r="P398" i="1" a="1"/>
  <c r="P398" i="1" s="1"/>
  <c r="P397" i="1" a="1"/>
  <c r="P397" i="1" s="1"/>
  <c r="P396" i="1" a="1"/>
  <c r="P396" i="1" s="1"/>
  <c r="P395" i="1" a="1"/>
  <c r="P395" i="1" s="1"/>
  <c r="P394" i="1" a="1"/>
  <c r="P394" i="1" s="1"/>
  <c r="P393" i="1" a="1"/>
  <c r="P393" i="1" s="1"/>
  <c r="P392" i="1" a="1"/>
  <c r="P392" i="1" s="1"/>
  <c r="P391" i="1" a="1"/>
  <c r="P391" i="1" s="1"/>
  <c r="P390" i="1" a="1"/>
  <c r="P390" i="1" s="1"/>
  <c r="P389" i="1" a="1"/>
  <c r="P389" i="1" s="1"/>
  <c r="P388" i="1" a="1"/>
  <c r="P388" i="1" s="1"/>
  <c r="P387" i="1" a="1"/>
  <c r="P387" i="1" s="1"/>
  <c r="P386" i="1" a="1"/>
  <c r="P386" i="1" s="1"/>
  <c r="P385" i="1" a="1"/>
  <c r="P385" i="1" s="1"/>
  <c r="P384" i="1" a="1"/>
  <c r="P384" i="1" s="1"/>
  <c r="P383" i="1" a="1"/>
  <c r="P383" i="1" s="1"/>
  <c r="P382" i="1" a="1"/>
  <c r="P382" i="1" s="1"/>
  <c r="P381" i="1" a="1"/>
  <c r="P381" i="1" s="1"/>
  <c r="P380" i="1" a="1"/>
  <c r="P380" i="1" s="1"/>
  <c r="P379" i="1" a="1"/>
  <c r="P379" i="1" s="1"/>
  <c r="P378" i="1" a="1"/>
  <c r="P378" i="1" s="1"/>
  <c r="P377" i="1" a="1"/>
  <c r="P377" i="1" s="1"/>
  <c r="P376" i="1" a="1"/>
  <c r="P376" i="1" s="1"/>
  <c r="P375" i="1" a="1"/>
  <c r="P375" i="1" s="1"/>
  <c r="P374" i="1" a="1"/>
  <c r="P374" i="1" s="1"/>
  <c r="P373" i="1" a="1"/>
  <c r="P373" i="1" s="1"/>
  <c r="P372" i="1" a="1"/>
  <c r="P372" i="1" s="1"/>
  <c r="P371" i="1" a="1"/>
  <c r="P371" i="1" s="1"/>
  <c r="P370" i="1" a="1"/>
  <c r="P370" i="1" s="1"/>
  <c r="P369" i="1" a="1"/>
  <c r="P369" i="1" s="1"/>
  <c r="P368" i="1" a="1"/>
  <c r="P368" i="1" s="1"/>
  <c r="P367" i="1" a="1"/>
  <c r="P367" i="1" s="1"/>
  <c r="P366" i="1" a="1"/>
  <c r="P366" i="1" s="1"/>
  <c r="P365" i="1" a="1"/>
  <c r="P365" i="1" s="1"/>
  <c r="P364" i="1" a="1"/>
  <c r="P364" i="1" s="1"/>
  <c r="P363" i="1" a="1"/>
  <c r="P363" i="1" s="1"/>
  <c r="P362" i="1" a="1"/>
  <c r="P362" i="1" s="1"/>
  <c r="P361" i="1" a="1"/>
  <c r="P361" i="1" s="1"/>
  <c r="P360" i="1" a="1"/>
  <c r="P360" i="1" s="1"/>
  <c r="P359" i="1" a="1"/>
  <c r="P359" i="1" s="1"/>
  <c r="P358" i="1" a="1"/>
  <c r="P358" i="1" s="1"/>
  <c r="P357" i="1" a="1"/>
  <c r="P357" i="1" s="1"/>
  <c r="P356" i="1" a="1"/>
  <c r="P356" i="1" s="1"/>
  <c r="P355" i="1" a="1"/>
  <c r="P355" i="1" s="1"/>
  <c r="P354" i="1" a="1"/>
  <c r="P354" i="1" s="1"/>
  <c r="P353" i="1" a="1"/>
  <c r="P353" i="1" s="1"/>
  <c r="P352" i="1" a="1"/>
  <c r="P352" i="1" s="1"/>
  <c r="P351" i="1" a="1"/>
  <c r="P351" i="1" s="1"/>
  <c r="P350" i="1" a="1"/>
  <c r="P350" i="1" s="1"/>
  <c r="P349" i="1" a="1"/>
  <c r="P349" i="1" s="1"/>
  <c r="P348" i="1" a="1"/>
  <c r="P348" i="1" s="1"/>
  <c r="P347" i="1" a="1"/>
  <c r="P347" i="1" s="1"/>
  <c r="P346" i="1" a="1"/>
  <c r="P346" i="1" s="1"/>
  <c r="P345" i="1" a="1"/>
  <c r="P345" i="1" s="1"/>
  <c r="P344" i="1" a="1"/>
  <c r="P344" i="1" s="1"/>
  <c r="P343" i="1" a="1"/>
  <c r="P343" i="1" s="1"/>
  <c r="P342" i="1" a="1"/>
  <c r="P342" i="1" s="1"/>
  <c r="P341" i="1" a="1"/>
  <c r="P341" i="1" s="1"/>
  <c r="P340" i="1" a="1"/>
  <c r="P340" i="1" s="1"/>
  <c r="P339" i="1" a="1"/>
  <c r="P339" i="1" s="1"/>
  <c r="P338" i="1" a="1"/>
  <c r="P338" i="1" s="1"/>
  <c r="P337" i="1" a="1"/>
  <c r="P337" i="1" s="1"/>
  <c r="P336" i="1" a="1"/>
  <c r="P336" i="1" s="1"/>
  <c r="P335" i="1" a="1"/>
  <c r="P335" i="1" s="1"/>
  <c r="P334" i="1" a="1"/>
  <c r="P334" i="1" s="1"/>
  <c r="P333" i="1" a="1"/>
  <c r="P333" i="1" s="1"/>
  <c r="P332" i="1" a="1"/>
  <c r="P332" i="1" s="1"/>
  <c r="P331" i="1" a="1"/>
  <c r="P331" i="1" s="1"/>
  <c r="P330" i="1" a="1"/>
  <c r="P330" i="1" s="1"/>
  <c r="P329" i="1" a="1"/>
  <c r="P329" i="1" s="1"/>
  <c r="P328" i="1" a="1"/>
  <c r="P328" i="1" s="1"/>
  <c r="P327" i="1" a="1"/>
  <c r="P327" i="1" s="1"/>
  <c r="P326" i="1" a="1"/>
  <c r="P326" i="1" s="1"/>
  <c r="P325" i="1" a="1"/>
  <c r="P325" i="1" s="1"/>
  <c r="P324" i="1" a="1"/>
  <c r="P324" i="1" s="1"/>
  <c r="P323" i="1" a="1"/>
  <c r="P323" i="1" s="1"/>
  <c r="P322" i="1" a="1"/>
  <c r="P322" i="1" s="1"/>
  <c r="P321" i="1" a="1"/>
  <c r="P321" i="1" s="1"/>
  <c r="P320" i="1" a="1"/>
  <c r="P320" i="1" s="1"/>
  <c r="P319" i="1" a="1"/>
  <c r="P319" i="1" s="1"/>
  <c r="P318" i="1" a="1"/>
  <c r="P318" i="1" s="1"/>
  <c r="P317" i="1" a="1"/>
  <c r="P317" i="1" s="1"/>
  <c r="P316" i="1" a="1"/>
  <c r="P316" i="1" s="1"/>
  <c r="P315" i="1" a="1"/>
  <c r="P315" i="1" s="1"/>
  <c r="P314" i="1" a="1"/>
  <c r="P314" i="1" s="1"/>
  <c r="P313" i="1" a="1"/>
  <c r="P313" i="1" s="1"/>
  <c r="P312" i="1" a="1"/>
  <c r="P312" i="1" s="1"/>
  <c r="P311" i="1" a="1"/>
  <c r="P311" i="1" s="1"/>
  <c r="P310" i="1" a="1"/>
  <c r="P310" i="1" s="1"/>
  <c r="P309" i="1" a="1"/>
  <c r="P309" i="1" s="1"/>
  <c r="P308" i="1" a="1"/>
  <c r="P308" i="1" s="1"/>
  <c r="P307" i="1" a="1"/>
  <c r="P307" i="1" s="1"/>
  <c r="P306" i="1" a="1"/>
  <c r="P306" i="1" s="1"/>
  <c r="P305" i="1" a="1"/>
  <c r="P305" i="1" s="1"/>
  <c r="P304" i="1" a="1"/>
  <c r="P304" i="1" s="1"/>
  <c r="P303" i="1" a="1"/>
  <c r="P303" i="1" s="1"/>
  <c r="P302" i="1" a="1"/>
  <c r="P302" i="1" s="1"/>
  <c r="P301" i="1" a="1"/>
  <c r="P301" i="1" s="1"/>
  <c r="P300" i="1" a="1"/>
  <c r="P300" i="1" s="1"/>
  <c r="P299" i="1" a="1"/>
  <c r="P299" i="1" s="1"/>
  <c r="P298" i="1" a="1"/>
  <c r="P298" i="1" s="1"/>
  <c r="P297" i="1" a="1"/>
  <c r="P297" i="1" s="1"/>
  <c r="P296" i="1" a="1"/>
  <c r="P296" i="1" s="1"/>
  <c r="P295" i="1" a="1"/>
  <c r="P295" i="1" s="1"/>
  <c r="P294" i="1" a="1"/>
  <c r="P294" i="1" s="1"/>
  <c r="P293" i="1" a="1"/>
  <c r="P293" i="1" s="1"/>
  <c r="P292" i="1" a="1"/>
  <c r="P292" i="1" s="1"/>
  <c r="P291" i="1" a="1"/>
  <c r="P291" i="1" s="1"/>
  <c r="P290" i="1" a="1"/>
  <c r="P290" i="1" s="1"/>
  <c r="P289" i="1" a="1"/>
  <c r="P289" i="1" s="1"/>
  <c r="P288" i="1" a="1"/>
  <c r="P288" i="1" s="1"/>
  <c r="P287" i="1" a="1"/>
  <c r="P287" i="1" s="1"/>
  <c r="P286" i="1" a="1"/>
  <c r="P286" i="1" s="1"/>
  <c r="P285" i="1" a="1"/>
  <c r="P285" i="1" s="1"/>
  <c r="P284" i="1" a="1"/>
  <c r="P284" i="1" s="1"/>
  <c r="P283" i="1" a="1"/>
  <c r="P283" i="1" s="1"/>
  <c r="P282" i="1" a="1"/>
  <c r="P282" i="1" s="1"/>
  <c r="P281" i="1" a="1"/>
  <c r="P281" i="1" s="1"/>
  <c r="P280" i="1" a="1"/>
  <c r="P280" i="1" s="1"/>
  <c r="P279" i="1" a="1"/>
  <c r="P279" i="1" s="1"/>
  <c r="P278" i="1" a="1"/>
  <c r="P278" i="1" s="1"/>
  <c r="P277" i="1" a="1"/>
  <c r="P277" i="1" s="1"/>
  <c r="P276" i="1" a="1"/>
  <c r="P276" i="1" s="1"/>
  <c r="P275" i="1" a="1"/>
  <c r="P275" i="1" s="1"/>
  <c r="P274" i="1" a="1"/>
  <c r="P274" i="1" s="1"/>
  <c r="P273" i="1" a="1"/>
  <c r="P273" i="1" s="1"/>
  <c r="P272" i="1" a="1"/>
  <c r="P272" i="1" s="1"/>
  <c r="P271" i="1" a="1"/>
  <c r="P271" i="1" s="1"/>
  <c r="P270" i="1" a="1"/>
  <c r="P270" i="1" s="1"/>
  <c r="P269" i="1" a="1"/>
  <c r="P269" i="1" s="1"/>
  <c r="P268" i="1" a="1"/>
  <c r="P268" i="1" s="1"/>
  <c r="P267" i="1" a="1"/>
  <c r="P267" i="1" s="1"/>
  <c r="P266" i="1" a="1"/>
  <c r="P266" i="1" s="1"/>
  <c r="P265" i="1" a="1"/>
  <c r="P265" i="1" s="1"/>
  <c r="P264" i="1" a="1"/>
  <c r="P264" i="1" s="1"/>
  <c r="P263" i="1" a="1"/>
  <c r="P263" i="1" s="1"/>
  <c r="P262" i="1" a="1"/>
  <c r="P262" i="1" s="1"/>
  <c r="P261" i="1" a="1"/>
  <c r="P261" i="1" s="1"/>
  <c r="P260" i="1" a="1"/>
  <c r="P260" i="1" s="1"/>
  <c r="P259" i="1" a="1"/>
  <c r="P259" i="1" s="1"/>
  <c r="P258" i="1" a="1"/>
  <c r="P258" i="1" s="1"/>
  <c r="P257" i="1" a="1"/>
  <c r="P257" i="1" s="1"/>
  <c r="P256" i="1" a="1"/>
  <c r="P256" i="1" s="1"/>
  <c r="P255" i="1" a="1"/>
  <c r="P255" i="1" s="1"/>
  <c r="P254" i="1" a="1"/>
  <c r="P254" i="1" s="1"/>
  <c r="P253" i="1" a="1"/>
  <c r="P253" i="1" s="1"/>
  <c r="P252" i="1" a="1"/>
  <c r="P252" i="1" s="1"/>
  <c r="P251" i="1" a="1"/>
  <c r="P251" i="1" s="1"/>
  <c r="P250" i="1" a="1"/>
  <c r="P250" i="1" s="1"/>
  <c r="P249" i="1" a="1"/>
  <c r="P249" i="1" s="1"/>
  <c r="P248" i="1" a="1"/>
  <c r="P248" i="1" s="1"/>
  <c r="P247" i="1" a="1"/>
  <c r="P247" i="1" s="1"/>
  <c r="P246" i="1" a="1"/>
  <c r="P246" i="1" s="1"/>
  <c r="P245" i="1" a="1"/>
  <c r="P245" i="1" s="1"/>
  <c r="P244" i="1" a="1"/>
  <c r="P244" i="1" s="1"/>
  <c r="P243" i="1" a="1"/>
  <c r="P243" i="1" s="1"/>
  <c r="P242" i="1" a="1"/>
  <c r="P242" i="1" s="1"/>
  <c r="P241" i="1" a="1"/>
  <c r="P241" i="1" s="1"/>
  <c r="P240" i="1" a="1"/>
  <c r="P240" i="1" s="1"/>
  <c r="P239" i="1" a="1"/>
  <c r="P239" i="1" s="1"/>
  <c r="P238" i="1" a="1"/>
  <c r="P238" i="1" s="1"/>
  <c r="P237" i="1" a="1"/>
  <c r="P237" i="1" s="1"/>
  <c r="P236" i="1" a="1"/>
  <c r="P236" i="1" s="1"/>
  <c r="P235" i="1" a="1"/>
  <c r="P235" i="1" s="1"/>
  <c r="P234" i="1" a="1"/>
  <c r="P234" i="1" s="1"/>
  <c r="P233" i="1" a="1"/>
  <c r="P233" i="1" s="1"/>
  <c r="P232" i="1" a="1"/>
  <c r="P232" i="1" s="1"/>
  <c r="P231" i="1" a="1"/>
  <c r="P231" i="1" s="1"/>
  <c r="P230" i="1" a="1"/>
  <c r="P230" i="1" s="1"/>
  <c r="P229" i="1" a="1"/>
  <c r="P229" i="1" s="1"/>
  <c r="P228" i="1" a="1"/>
  <c r="P228" i="1" s="1"/>
  <c r="P227" i="1" a="1"/>
  <c r="P227" i="1" s="1"/>
  <c r="P226" i="1" a="1"/>
  <c r="P226" i="1" s="1"/>
  <c r="P225" i="1" a="1"/>
  <c r="P225" i="1" s="1"/>
  <c r="P224" i="1" a="1"/>
  <c r="P224" i="1" s="1"/>
  <c r="P223" i="1" a="1"/>
  <c r="P223" i="1" s="1"/>
  <c r="P222" i="1" a="1"/>
  <c r="P222" i="1" s="1"/>
  <c r="P221" i="1" a="1"/>
  <c r="P221" i="1" s="1"/>
  <c r="P220" i="1" a="1"/>
  <c r="P220" i="1" s="1"/>
  <c r="P219" i="1" a="1"/>
  <c r="P219" i="1" s="1"/>
  <c r="P218" i="1" a="1"/>
  <c r="P218" i="1" s="1"/>
  <c r="P217" i="1" a="1"/>
  <c r="P217" i="1" s="1"/>
  <c r="P216" i="1" a="1"/>
  <c r="P216" i="1" s="1"/>
  <c r="P215" i="1" a="1"/>
  <c r="P215" i="1" s="1"/>
  <c r="P214" i="1" a="1"/>
  <c r="P214" i="1" s="1"/>
  <c r="P213" i="1" a="1"/>
  <c r="P213" i="1" s="1"/>
  <c r="P212" i="1" a="1"/>
  <c r="P212" i="1" s="1"/>
  <c r="P211" i="1" a="1"/>
  <c r="P211" i="1" s="1"/>
  <c r="P210" i="1" a="1"/>
  <c r="P210" i="1" s="1"/>
  <c r="P209" i="1" a="1"/>
  <c r="P209" i="1" s="1"/>
  <c r="P208" i="1" a="1"/>
  <c r="P208" i="1" s="1"/>
  <c r="P207" i="1" a="1"/>
  <c r="P207" i="1" s="1"/>
  <c r="P206" i="1" a="1"/>
  <c r="P206" i="1" s="1"/>
  <c r="P205" i="1" a="1"/>
  <c r="P205" i="1" s="1"/>
  <c r="P204" i="1" a="1"/>
  <c r="P204" i="1" s="1"/>
  <c r="P203" i="1" a="1"/>
  <c r="P203" i="1" s="1"/>
  <c r="P202" i="1" a="1"/>
  <c r="P202" i="1" s="1"/>
  <c r="P201" i="1" a="1"/>
  <c r="P201" i="1" s="1"/>
  <c r="P200" i="1" a="1"/>
  <c r="P200" i="1" s="1"/>
  <c r="P199" i="1" a="1"/>
  <c r="P199" i="1" s="1"/>
  <c r="P198" i="1" a="1"/>
  <c r="P198" i="1" s="1"/>
  <c r="P197" i="1" a="1"/>
  <c r="P197" i="1" s="1"/>
  <c r="P196" i="1" a="1"/>
  <c r="P196" i="1" s="1"/>
  <c r="P195" i="1" a="1"/>
  <c r="P195" i="1" s="1"/>
  <c r="P194" i="1" a="1"/>
  <c r="P194" i="1" s="1"/>
  <c r="P193" i="1" a="1"/>
  <c r="P193" i="1" s="1"/>
  <c r="P192" i="1" a="1"/>
  <c r="P192" i="1" s="1"/>
  <c r="P191" i="1" a="1"/>
  <c r="P191" i="1" s="1"/>
  <c r="P190" i="1" a="1"/>
  <c r="P190" i="1" s="1"/>
  <c r="P189" i="1" a="1"/>
  <c r="P189" i="1" s="1"/>
  <c r="P188" i="1" a="1"/>
  <c r="P188" i="1" s="1"/>
  <c r="P187" i="1" a="1"/>
  <c r="P187" i="1" s="1"/>
  <c r="P186" i="1" a="1"/>
  <c r="P186" i="1" s="1"/>
  <c r="P185" i="1" a="1"/>
  <c r="P185" i="1" s="1"/>
  <c r="P184" i="1" a="1"/>
  <c r="P184" i="1" s="1"/>
  <c r="P183" i="1" a="1"/>
  <c r="P183" i="1" s="1"/>
  <c r="P182" i="1" a="1"/>
  <c r="P182" i="1" s="1"/>
  <c r="P181" i="1" a="1"/>
  <c r="P181" i="1" s="1"/>
  <c r="P180" i="1" a="1"/>
  <c r="P180" i="1" s="1"/>
  <c r="P179" i="1" a="1"/>
  <c r="P179" i="1" s="1"/>
  <c r="P178" i="1" a="1"/>
  <c r="P178" i="1" s="1"/>
  <c r="P177" i="1" a="1"/>
  <c r="P177" i="1" s="1"/>
  <c r="P176" i="1" a="1"/>
  <c r="P176" i="1" s="1"/>
  <c r="P175" i="1" a="1"/>
  <c r="P175" i="1" s="1"/>
  <c r="P174" i="1" a="1"/>
  <c r="P174" i="1" s="1"/>
  <c r="P173" i="1" a="1"/>
  <c r="P173" i="1" s="1"/>
  <c r="P172" i="1" a="1"/>
  <c r="P172" i="1" s="1"/>
  <c r="P171" i="1" a="1"/>
  <c r="P171" i="1" s="1"/>
  <c r="P170" i="1" a="1"/>
  <c r="P170" i="1" s="1"/>
  <c r="P169" i="1" a="1"/>
  <c r="P169" i="1" s="1"/>
  <c r="P168" i="1" a="1"/>
  <c r="P168" i="1" s="1"/>
  <c r="P167" i="1" a="1"/>
  <c r="P167" i="1" s="1"/>
  <c r="P166" i="1" a="1"/>
  <c r="P166" i="1" s="1"/>
  <c r="P165" i="1" a="1"/>
  <c r="P165" i="1" s="1"/>
  <c r="P164" i="1" a="1"/>
  <c r="P164" i="1" s="1"/>
  <c r="P163" i="1" a="1"/>
  <c r="P163" i="1" s="1"/>
  <c r="P162" i="1" a="1"/>
  <c r="P162" i="1" s="1"/>
  <c r="P161" i="1" a="1"/>
  <c r="P161" i="1" s="1"/>
  <c r="P160" i="1" a="1"/>
  <c r="P160" i="1" s="1"/>
  <c r="P159" i="1" a="1"/>
  <c r="P159" i="1" s="1"/>
  <c r="P158" i="1" a="1"/>
  <c r="P158" i="1" s="1"/>
  <c r="P157" i="1" a="1"/>
  <c r="P157" i="1" s="1"/>
  <c r="P156" i="1" a="1"/>
  <c r="P156" i="1" s="1"/>
  <c r="P155" i="1" a="1"/>
  <c r="P155" i="1" s="1"/>
  <c r="P154" i="1" a="1"/>
  <c r="P154" i="1" s="1"/>
  <c r="P153" i="1" a="1"/>
  <c r="P153" i="1" s="1"/>
  <c r="P152" i="1" a="1"/>
  <c r="P152" i="1" s="1"/>
  <c r="P151" i="1" a="1"/>
  <c r="P151" i="1" s="1"/>
  <c r="P150" i="1" a="1"/>
  <c r="P150" i="1" s="1"/>
  <c r="P149" i="1" a="1"/>
  <c r="P149" i="1" s="1"/>
  <c r="P148" i="1" a="1"/>
  <c r="P148" i="1" s="1"/>
  <c r="P147" i="1" a="1"/>
  <c r="P147" i="1" s="1"/>
  <c r="P146" i="1" a="1"/>
  <c r="P146" i="1" s="1"/>
  <c r="P145" i="1" a="1"/>
  <c r="P145" i="1" s="1"/>
  <c r="P144" i="1" a="1"/>
  <c r="P144" i="1" s="1"/>
  <c r="P143" i="1" a="1"/>
  <c r="P143" i="1" s="1"/>
  <c r="P142" i="1" a="1"/>
  <c r="P142" i="1" s="1"/>
  <c r="P141" i="1" a="1"/>
  <c r="P141" i="1" s="1"/>
  <c r="P140" i="1" a="1"/>
  <c r="P140" i="1" s="1"/>
  <c r="P139" i="1" a="1"/>
  <c r="P139" i="1" s="1"/>
  <c r="P138" i="1" a="1"/>
  <c r="P138" i="1" s="1"/>
  <c r="P137" i="1" a="1"/>
  <c r="P137" i="1" s="1"/>
  <c r="P136" i="1" a="1"/>
  <c r="P136" i="1" s="1"/>
  <c r="P135" i="1" a="1"/>
  <c r="P135" i="1" s="1"/>
  <c r="P134" i="1" a="1"/>
  <c r="P134" i="1" s="1"/>
  <c r="P133" i="1" a="1"/>
  <c r="P133" i="1" s="1"/>
  <c r="P132" i="1" a="1"/>
  <c r="P132" i="1" s="1"/>
  <c r="P131" i="1" a="1"/>
  <c r="P131" i="1" s="1"/>
  <c r="P130" i="1" a="1"/>
  <c r="P130" i="1" s="1"/>
  <c r="P129" i="1" a="1"/>
  <c r="P129" i="1" s="1"/>
  <c r="P128" i="1" a="1"/>
  <c r="P128" i="1" s="1"/>
  <c r="P127" i="1" a="1"/>
  <c r="P127" i="1" s="1"/>
  <c r="P126" i="1" a="1"/>
  <c r="P126" i="1" s="1"/>
  <c r="P125" i="1" a="1"/>
  <c r="P125" i="1" s="1"/>
  <c r="P124" i="1" a="1"/>
  <c r="P124" i="1" s="1"/>
  <c r="P123" i="1" a="1"/>
  <c r="P123" i="1" s="1"/>
  <c r="P122" i="1" a="1"/>
  <c r="P122" i="1" s="1"/>
  <c r="P121" i="1" a="1"/>
  <c r="P121" i="1" s="1"/>
  <c r="P120" i="1" a="1"/>
  <c r="P120" i="1" s="1"/>
  <c r="P119" i="1" a="1"/>
  <c r="P119" i="1" s="1"/>
  <c r="P118" i="1" a="1"/>
  <c r="P118" i="1" s="1"/>
  <c r="P117" i="1" a="1"/>
  <c r="P117" i="1" s="1"/>
  <c r="P116" i="1" a="1"/>
  <c r="P116" i="1" s="1"/>
  <c r="P115" i="1" a="1"/>
  <c r="P115" i="1" s="1"/>
  <c r="P114" i="1" a="1"/>
  <c r="P114" i="1" s="1"/>
  <c r="P113" i="1" a="1"/>
  <c r="P113" i="1" s="1"/>
  <c r="P112" i="1" a="1"/>
  <c r="P112" i="1" s="1"/>
  <c r="P111" i="1" a="1"/>
  <c r="P111" i="1" s="1"/>
  <c r="P110" i="1" a="1"/>
  <c r="P110" i="1" s="1"/>
  <c r="P109" i="1" a="1"/>
  <c r="P109" i="1" s="1"/>
  <c r="P108" i="1" a="1"/>
  <c r="P108" i="1" s="1"/>
  <c r="P107" i="1" a="1"/>
  <c r="P107" i="1" s="1"/>
  <c r="P106" i="1" a="1"/>
  <c r="P106" i="1" s="1"/>
  <c r="P105" i="1" a="1"/>
  <c r="P105" i="1" s="1"/>
  <c r="P104" i="1" a="1"/>
  <c r="P104" i="1" s="1"/>
  <c r="P103" i="1" a="1"/>
  <c r="P103" i="1" s="1"/>
  <c r="P102" i="1" a="1"/>
  <c r="P102" i="1" s="1"/>
  <c r="P101" i="1" a="1"/>
  <c r="P101" i="1" s="1"/>
  <c r="P100" i="1" a="1"/>
  <c r="P100" i="1" s="1"/>
  <c r="P99" i="1" a="1"/>
  <c r="P99" i="1" s="1"/>
  <c r="P98" i="1" a="1"/>
  <c r="P98" i="1" s="1"/>
  <c r="P97" i="1" a="1"/>
  <c r="P97" i="1" s="1"/>
  <c r="P96" i="1" a="1"/>
  <c r="P96" i="1" s="1"/>
  <c r="P95" i="1" a="1"/>
  <c r="P95" i="1" s="1"/>
  <c r="P94" i="1" a="1"/>
  <c r="P94" i="1" s="1"/>
  <c r="P93" i="1" a="1"/>
  <c r="P93" i="1" s="1"/>
  <c r="P92" i="1" a="1"/>
  <c r="P92" i="1" s="1"/>
  <c r="P91" i="1" a="1"/>
  <c r="P91" i="1" s="1"/>
  <c r="P90" i="1" a="1"/>
  <c r="P90" i="1" s="1"/>
  <c r="P89" i="1" a="1"/>
  <c r="P89" i="1" s="1"/>
  <c r="P88" i="1" a="1"/>
  <c r="P88" i="1" s="1"/>
  <c r="P87" i="1" a="1"/>
  <c r="P87" i="1" s="1"/>
  <c r="P86" i="1" a="1"/>
  <c r="P86" i="1" s="1"/>
  <c r="P85" i="1" a="1"/>
  <c r="P85" i="1" s="1"/>
  <c r="P84" i="1" a="1"/>
  <c r="P84" i="1" s="1"/>
  <c r="P83" i="1" a="1"/>
  <c r="P83" i="1" s="1"/>
  <c r="P82" i="1" a="1"/>
  <c r="P82" i="1" s="1"/>
  <c r="P81" i="1" a="1"/>
  <c r="P81" i="1" s="1"/>
  <c r="P80" i="1" a="1"/>
  <c r="P80" i="1" s="1"/>
  <c r="P79" i="1" a="1"/>
  <c r="P79" i="1" s="1"/>
  <c r="P78" i="1" a="1"/>
  <c r="P78" i="1" s="1"/>
  <c r="P77" i="1" a="1"/>
  <c r="P77" i="1" s="1"/>
  <c r="P76" i="1" a="1"/>
  <c r="P76" i="1" s="1"/>
  <c r="P75" i="1" a="1"/>
  <c r="P75" i="1" s="1"/>
  <c r="P74" i="1" a="1"/>
  <c r="P74" i="1" s="1"/>
  <c r="P73" i="1" a="1"/>
  <c r="P73" i="1" s="1"/>
  <c r="P72" i="1" a="1"/>
  <c r="P72" i="1" s="1"/>
  <c r="P71" i="1" a="1"/>
  <c r="P71" i="1" s="1"/>
  <c r="P70" i="1" a="1"/>
  <c r="P70" i="1" s="1"/>
  <c r="P69" i="1" a="1"/>
  <c r="P69" i="1" s="1"/>
  <c r="P68" i="1" a="1"/>
  <c r="P68" i="1" s="1"/>
  <c r="P67" i="1" a="1"/>
  <c r="P67" i="1" s="1"/>
  <c r="P66" i="1" a="1"/>
  <c r="P66" i="1" s="1"/>
  <c r="P65" i="1" a="1"/>
  <c r="P65" i="1" s="1"/>
  <c r="P64" i="1" a="1"/>
  <c r="P64" i="1" s="1"/>
  <c r="P63" i="1" a="1"/>
  <c r="P63" i="1" s="1"/>
  <c r="P62" i="1" a="1"/>
  <c r="P62" i="1" s="1"/>
  <c r="P61" i="1" a="1"/>
  <c r="P61" i="1" s="1"/>
  <c r="P60" i="1" a="1"/>
  <c r="P60" i="1" s="1"/>
  <c r="P59" i="1" a="1"/>
  <c r="P59" i="1" s="1"/>
  <c r="P58" i="1" a="1"/>
  <c r="P58" i="1" s="1"/>
  <c r="P57" i="1" a="1"/>
  <c r="P57" i="1" s="1"/>
  <c r="P56" i="1" a="1"/>
  <c r="P56" i="1" s="1"/>
  <c r="P55" i="1" a="1"/>
  <c r="P55" i="1" s="1"/>
  <c r="P54" i="1" a="1"/>
  <c r="P54" i="1" s="1"/>
  <c r="P53" i="1" a="1"/>
  <c r="P53" i="1" s="1"/>
  <c r="P52" i="1" a="1"/>
  <c r="P52" i="1" s="1"/>
  <c r="P51" i="1" a="1"/>
  <c r="P51" i="1" s="1"/>
  <c r="P50" i="1" a="1"/>
  <c r="P50" i="1" s="1"/>
  <c r="P49" i="1" a="1"/>
  <c r="P49" i="1" s="1"/>
  <c r="P48" i="1" a="1"/>
  <c r="P48" i="1" s="1"/>
  <c r="P47" i="1" a="1"/>
  <c r="P47" i="1" s="1"/>
  <c r="P46" i="1" a="1"/>
  <c r="P46" i="1" s="1"/>
  <c r="P45" i="1" a="1"/>
  <c r="P45" i="1" s="1"/>
  <c r="P44" i="1" a="1"/>
  <c r="P44" i="1" s="1"/>
  <c r="P43" i="1" a="1"/>
  <c r="P43" i="1" s="1"/>
  <c r="P42" i="1" a="1"/>
  <c r="P42" i="1" s="1"/>
  <c r="P41" i="1" a="1"/>
  <c r="P41" i="1" s="1"/>
  <c r="P40" i="1" a="1"/>
  <c r="P40" i="1" s="1"/>
  <c r="P39" i="1" a="1"/>
  <c r="P39" i="1" s="1"/>
  <c r="P38" i="1" a="1"/>
  <c r="P38" i="1" s="1"/>
  <c r="P37" i="1" a="1"/>
  <c r="P37" i="1" s="1"/>
  <c r="P36" i="1" a="1"/>
  <c r="P36" i="1" s="1"/>
  <c r="P35" i="1" a="1"/>
  <c r="P35" i="1" s="1"/>
  <c r="P34" i="1" a="1"/>
  <c r="P34" i="1" s="1"/>
  <c r="P33" i="1" a="1"/>
  <c r="P33" i="1" s="1"/>
  <c r="P32" i="1" a="1"/>
  <c r="P32" i="1" s="1"/>
  <c r="P31" i="1" a="1"/>
  <c r="P31" i="1" s="1"/>
  <c r="P30" i="1" a="1"/>
  <c r="P30" i="1" s="1"/>
  <c r="P29" i="1" a="1"/>
  <c r="P29" i="1" s="1"/>
  <c r="P28" i="1" a="1"/>
  <c r="P28" i="1" s="1"/>
  <c r="P27" i="1" a="1"/>
  <c r="P27" i="1" s="1"/>
  <c r="P26" i="1" a="1"/>
  <c r="P26" i="1" s="1"/>
  <c r="P25" i="1" a="1"/>
  <c r="P25" i="1" s="1"/>
  <c r="P24" i="1" a="1"/>
  <c r="P24" i="1" s="1"/>
  <c r="P23" i="1" a="1"/>
  <c r="P23" i="1" s="1"/>
  <c r="P22" i="1" a="1"/>
  <c r="P22" i="1" s="1"/>
  <c r="P21" i="1" a="1"/>
  <c r="P21" i="1" s="1"/>
  <c r="P20" i="1" a="1"/>
  <c r="P20" i="1" s="1"/>
  <c r="P19" i="1" a="1"/>
  <c r="P19" i="1" s="1"/>
  <c r="P18" i="1" a="1"/>
  <c r="P18" i="1" s="1"/>
  <c r="P17" i="1" a="1"/>
  <c r="P17" i="1" s="1"/>
  <c r="P16" i="1" a="1"/>
  <c r="P16" i="1" s="1"/>
  <c r="P15" i="1" a="1"/>
  <c r="P15" i="1" s="1"/>
  <c r="P14" i="1" a="1"/>
  <c r="P14" i="1" s="1"/>
  <c r="P13" i="1" a="1"/>
  <c r="P13" i="1" s="1"/>
  <c r="P12" i="1" a="1"/>
  <c r="P12" i="1" s="1"/>
  <c r="P11" i="1" a="1"/>
  <c r="P11" i="1" s="1"/>
  <c r="P10" i="1" a="1"/>
  <c r="P10" i="1" s="1"/>
  <c r="P9" i="1" a="1"/>
  <c r="P9" i="1" s="1"/>
  <c r="P8" i="1" a="1"/>
  <c r="P8" i="1" s="1"/>
  <c r="P7" i="1" a="1"/>
  <c r="P7" i="1" s="1"/>
  <c r="P6" i="1" a="1"/>
  <c r="P6" i="1" s="1"/>
  <c r="P5" i="1" a="1"/>
  <c r="P5" i="1" s="1"/>
  <c r="P4" i="1" a="1"/>
  <c r="P4" i="1" s="1"/>
  <c r="P3" i="1" a="1"/>
  <c r="P3" i="1" s="1"/>
  <c r="P2" i="1" a="1"/>
  <c r="P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Marrash</author>
  </authors>
  <commentList>
    <comment ref="C620" authorId="0" shapeId="0" xr:uid="{00000000-0006-0000-0000-000001000000}">
      <text>
        <r>
          <rPr>
            <sz val="9"/>
            <color indexed="81"/>
            <rFont val="Tahoma"/>
            <family val="2"/>
          </rPr>
          <t>doubled all of the components here since there are 2 of these DDIs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<sst xmlns="http://schemas.openxmlformats.org/spreadsheetml/2006/main" count="38418" uniqueCount="7997">
  <si>
    <t>ITEM</t>
  </si>
  <si>
    <t>QTY</t>
  </si>
  <si>
    <t>PART NUMBER</t>
  </si>
  <si>
    <t>DESCRIPTION</t>
  </si>
  <si>
    <t>MATERIAL</t>
  </si>
  <si>
    <t>OH0A1-100</t>
  </si>
  <si>
    <t>ASSY, LOWER &amp; UPPER INSTRUMENT PANEL</t>
  </si>
  <si>
    <t>OH2A1-1</t>
  </si>
  <si>
    <t>ASSY, LOWER INSTRUMENT PANEL</t>
  </si>
  <si>
    <t>1.1.1</t>
  </si>
  <si>
    <t>OH2A1-10</t>
  </si>
  <si>
    <t>STANDBY INSTRUMENT MODULE MOUNTING BRACKET</t>
  </si>
  <si>
    <t>OH2A1-10 - STANDBY INSTRUMENT MODULE MOUNTING BRACKET</t>
  </si>
  <si>
    <t>PETG</t>
  </si>
  <si>
    <t>1.1.2</t>
  </si>
  <si>
    <t>OH2A1-11</t>
  </si>
  <si>
    <t>LEFT MIP MODULE MOUNTING BRACKET</t>
  </si>
  <si>
    <t>OH2A1-11 - LEFT MIP MODULE MOUNTING BRACKET</t>
  </si>
  <si>
    <t>1.1.3</t>
  </si>
  <si>
    <t>OH2A1-12</t>
  </si>
  <si>
    <t>LEFT MIP MODULE INBOARD MOUNTING BRACKET</t>
  </si>
  <si>
    <t>OH2A1-12 - LEFT MIP MODULE INBOARD MOUNTING BRACKET</t>
  </si>
  <si>
    <t>1.1.4</t>
  </si>
  <si>
    <t>OH2A1-25</t>
  </si>
  <si>
    <t>LIP R EXT SKIN</t>
  </si>
  <si>
    <t>OH2A1-25 - LIP R EXT SKIN</t>
  </si>
  <si>
    <t>ABS</t>
  </si>
  <si>
    <t>1.1.5</t>
  </si>
  <si>
    <t>OH2A1-26</t>
  </si>
  <si>
    <t>LIP L EXT SKIN</t>
  </si>
  <si>
    <t>OH2A1-26 - LIP L EXT SKIN</t>
  </si>
  <si>
    <t>1.1.6</t>
  </si>
  <si>
    <t>OH2A1A1-1</t>
  </si>
  <si>
    <t>ASSY, LOWER INSTRUMENT PANEL STRUCTURE</t>
  </si>
  <si>
    <t>1.1.6.1</t>
  </si>
  <si>
    <t>OH2A1A1-10</t>
  </si>
  <si>
    <t>RIB N</t>
  </si>
  <si>
    <t>OH2A1A1-10 - RIB N</t>
  </si>
  <si>
    <t>MDF</t>
  </si>
  <si>
    <t>1.1.6.2</t>
  </si>
  <si>
    <t>OH2A1A1-11</t>
  </si>
  <si>
    <t>RIB M</t>
  </si>
  <si>
    <t>OH2A1A1-11 - RIB M</t>
  </si>
  <si>
    <t>1.1.6.3</t>
  </si>
  <si>
    <t>OH2A1A1-12</t>
  </si>
  <si>
    <t>RIB L</t>
  </si>
  <si>
    <t>OH2A1A1-12 - RIB L</t>
  </si>
  <si>
    <t>1.1.6.4</t>
  </si>
  <si>
    <t>OH2A1A1-13</t>
  </si>
  <si>
    <t>RIB K</t>
  </si>
  <si>
    <t>OH2A1A1-13 - RIB K</t>
  </si>
  <si>
    <t>1.1.6.5</t>
  </si>
  <si>
    <t>OH2A1A1-14</t>
  </si>
  <si>
    <t>RIB R</t>
  </si>
  <si>
    <t>OH2A1A1-14 - RIB R</t>
  </si>
  <si>
    <t>1.1.6.6</t>
  </si>
  <si>
    <t>OH2A1A1-15</t>
  </si>
  <si>
    <t>RIB Q</t>
  </si>
  <si>
    <t>OH2A1A1-15 - RIB Q</t>
  </si>
  <si>
    <t>1.1.6.7</t>
  </si>
  <si>
    <t>OH2A1A1-16</t>
  </si>
  <si>
    <t>RIB P</t>
  </si>
  <si>
    <t>OH2A1A1-16 - RIB P</t>
  </si>
  <si>
    <t>1.1.6.8</t>
  </si>
  <si>
    <t>OH2A1A1-17</t>
  </si>
  <si>
    <t>RIB O</t>
  </si>
  <si>
    <t>OH2A1A1-17 - RIB O</t>
  </si>
  <si>
    <t>1.1.6.9</t>
  </si>
  <si>
    <t>OH2A1A1-18</t>
  </si>
  <si>
    <t>LEFT FOOTWELL FLOOR</t>
  </si>
  <si>
    <t>OH2A1A1-18 - LEFT FOOTWELL FLOOR</t>
  </si>
  <si>
    <t>1.1.6.10</t>
  </si>
  <si>
    <t>OH2A1A1-19</t>
  </si>
  <si>
    <t>SUBFLOOR BRACE B</t>
  </si>
  <si>
    <t>OH2A1A1-19 - SUBFLOOR BRACE B</t>
  </si>
  <si>
    <t>1.1.6.11</t>
  </si>
  <si>
    <t>OH2A1A1-20</t>
  </si>
  <si>
    <t>SUBFLOOR BRACE A</t>
  </si>
  <si>
    <t>OH2A1A1-20 - SUBFLOOR BRACE A</t>
  </si>
  <si>
    <t>1.1.6.12</t>
  </si>
  <si>
    <t>OH2A1A1-21</t>
  </si>
  <si>
    <t>SUBFLOOR BRACE E</t>
  </si>
  <si>
    <t>OH2A1A1-21 - SUBFLOOR BRACE E</t>
  </si>
  <si>
    <t>1.1.6.13</t>
  </si>
  <si>
    <t>OH2A1A1-22</t>
  </si>
  <si>
    <t>SUBFLOOR BRACE D</t>
  </si>
  <si>
    <t>OH2A1A1-22 - SUBFLOOR BRACE D</t>
  </si>
  <si>
    <t>1.1.6.14</t>
  </si>
  <si>
    <t>OH2A1A1-23</t>
  </si>
  <si>
    <t>SUBFLOOR BRACE C</t>
  </si>
  <si>
    <t>OH2A1A1-23 - SUBFLOOR BRACE C</t>
  </si>
  <si>
    <t>1.1.6.15</t>
  </si>
  <si>
    <t>OH2A1A1-24</t>
  </si>
  <si>
    <t>RIGHT FOOTWELL FLOOR</t>
  </si>
  <si>
    <t>OH2A1A1-24 - RIGHT FOOTWELL FLOOR</t>
  </si>
  <si>
    <t>1.1.6.16</t>
  </si>
  <si>
    <t>OH2A1A1-25</t>
  </si>
  <si>
    <t>SUBFLOOR BRACE H</t>
  </si>
  <si>
    <t>OH2A1A1-25 - SUBFLOOR BRACE H</t>
  </si>
  <si>
    <t>1.1.6.17</t>
  </si>
  <si>
    <t>OH2A1A1-26</t>
  </si>
  <si>
    <t>SUBFLOOR BRACE G</t>
  </si>
  <si>
    <t>OH2A1A1-26 - SUBFLOOR BRACE G</t>
  </si>
  <si>
    <t>1.1.6.18</t>
  </si>
  <si>
    <t>OH2A1A1-27</t>
  </si>
  <si>
    <t>SUBFLOOR BRACE F</t>
  </si>
  <si>
    <t>OH2A1A1-27 - SUBFLOOR BRACE F</t>
  </si>
  <si>
    <t>1.1.6.19</t>
  </si>
  <si>
    <t>OH2A1A1-28</t>
  </si>
  <si>
    <t>LOWER INSTRUMENT PANEL BASE</t>
  </si>
  <si>
    <t>OH2A1A1-28 - LOWER INSTRUMENT PANEL BASE</t>
  </si>
  <si>
    <t>1.1.6.20</t>
  </si>
  <si>
    <t>OH2A1A1-29</t>
  </si>
  <si>
    <t>LEFT INBOARD FOOTWELL WALL</t>
  </si>
  <si>
    <t>OH2A1A1-29 - LEFT INBOARD FOOTWELL WALL</t>
  </si>
  <si>
    <t>1.1.6.21</t>
  </si>
  <si>
    <t>OH2A1A1-30</t>
  </si>
  <si>
    <t>RIGHT INBOARD FOOTWELL WALL</t>
  </si>
  <si>
    <t>OH2A1A1-30 - RIGHT INBOARD FOOTWELL WALL</t>
  </si>
  <si>
    <t>1.1.6.22</t>
  </si>
  <si>
    <t>OH2A1A1-31</t>
  </si>
  <si>
    <t>CENTER PEDESTAL LOWER TRIM</t>
  </si>
  <si>
    <t>OH2A1A1-31 - CENTER PEDESTAL LOWER TRIM</t>
  </si>
  <si>
    <t>1.1.6.23</t>
  </si>
  <si>
    <t>OH2A1A1-32</t>
  </si>
  <si>
    <t>LOWER ECS VENT</t>
  </si>
  <si>
    <t>OH2A1A1-32 - LOWER ECS VENT</t>
  </si>
  <si>
    <t>1.1.6.24</t>
  </si>
  <si>
    <t>OH2A1A1-33</t>
  </si>
  <si>
    <t>CENTER PEDESTAL LOWER MOUNT</t>
  </si>
  <si>
    <t>OH2A1A1-33 - CENTER PEDESTAL LOWER MOUNT</t>
  </si>
  <si>
    <t>1.1.6.25</t>
  </si>
  <si>
    <t>OH2A1A1-34</t>
  </si>
  <si>
    <t>LEFT OUTBOARD FOOTWELL WALL</t>
  </si>
  <si>
    <t>OH2A1A1-34 - LEFT OUTBOARD FOOTWELL WALL</t>
  </si>
  <si>
    <t>1.1.6.26</t>
  </si>
  <si>
    <t>OH2A1A1-35</t>
  </si>
  <si>
    <t>RIGHT OUTBOARD FOOTWELL WALL</t>
  </si>
  <si>
    <t>OH2A1A1-35 - RIGHT OUTBOARD FOOTWELL WALL</t>
  </si>
  <si>
    <t>1.1.6.27</t>
  </si>
  <si>
    <t>OH2A1A1-36</t>
  </si>
  <si>
    <t>LEFT OUTBOARD BULKHEAD</t>
  </si>
  <si>
    <t>OH2A1A1-36 - LEFT OUTBOARD BULKHEAD</t>
  </si>
  <si>
    <t>1.1.6.28</t>
  </si>
  <si>
    <t>OH2A1A1-37</t>
  </si>
  <si>
    <t>RIGHT OUTBOARD BULKHEAD</t>
  </si>
  <si>
    <t>OH2A1A1-37 - RIGHT OUTBOARD BULKHEAD</t>
  </si>
  <si>
    <t>1.1.6.29</t>
  </si>
  <si>
    <t>OH2A1A1-38</t>
  </si>
  <si>
    <t>UPPER INSTRUMENT PANEL MOUNT</t>
  </si>
  <si>
    <t>OH2A1A1-38 - UPPER INSTRUMENT PANEL MOUNT</t>
  </si>
  <si>
    <t>1.1.6.30</t>
  </si>
  <si>
    <t>OH2A1A1-39</t>
  </si>
  <si>
    <t>OUTBOARD UPPER INSTRUMENT PANEL LONGERON</t>
  </si>
  <si>
    <t>OH2A1A1-39 - OUTBOARD UPPER INSTRUMENT PANEL LONGERON</t>
  </si>
  <si>
    <t>1.1.6.31</t>
  </si>
  <si>
    <t>OH2A1A1-40</t>
  </si>
  <si>
    <t>OUTBOARD UPPER RIGHT INSTRUMENT PANEL LONGERON</t>
  </si>
  <si>
    <t>OH2A1A1-40 - OUTBOARD UPPER RIGHT INSTRUMENT PANEL LONGERON</t>
  </si>
  <si>
    <t>1.1.6.32</t>
  </si>
  <si>
    <t>OH2A1A1-41</t>
  </si>
  <si>
    <t>LOWER LEFT LIP AUX SUPPORT BRACKET</t>
  </si>
  <si>
    <t>OH2A1A1-41 - LOWER LEFT LIP AUX SUPPORT BRACKET</t>
  </si>
  <si>
    <t>1.1.6.33</t>
  </si>
  <si>
    <t>OH2A1A1-42</t>
  </si>
  <si>
    <t>UPPER LEFT LIP AUX SUPPORT BRACKET</t>
  </si>
  <si>
    <t>OH2A1A1-42 - UPPER LEFT LIP AUX SUPPORT BRACKET</t>
  </si>
  <si>
    <t>1.1.6.34</t>
  </si>
  <si>
    <t>OH2A1A1-43</t>
  </si>
  <si>
    <t>LOWER RIGHT LIP AUX SUPPORT BRACKET</t>
  </si>
  <si>
    <t>OH2A1A1-43 - LOWER RIGHT LIP AUX SUPPORT BRACKET</t>
  </si>
  <si>
    <t>1.1.6.35</t>
  </si>
  <si>
    <t>OH2A1A1-44</t>
  </si>
  <si>
    <t>UPPER RIGHT LIP AUX SUPPORT BRACKET1</t>
  </si>
  <si>
    <t>OH2A1A1-44 - UPPER RIGHT LIP AUX SUPPORT BRACKET1</t>
  </si>
  <si>
    <t>1.1.6.36</t>
  </si>
  <si>
    <t>OH2A1A1-45</t>
  </si>
  <si>
    <t>LEFT LIP CANOPY SILL</t>
  </si>
  <si>
    <t>OH2A1A1-45 - LEFT LIP CANOPY SILL</t>
  </si>
  <si>
    <t>1.1.6.37</t>
  </si>
  <si>
    <t>OH2A1A1-46</t>
  </si>
  <si>
    <t>AFT LIP SILL BRACKET</t>
  </si>
  <si>
    <t>OH2A1A1-46 - AFT LIP SILL BRACKET</t>
  </si>
  <si>
    <t>1.1.6.38</t>
  </si>
  <si>
    <t>OH2A1A1-47</t>
  </si>
  <si>
    <t>LIP SILL BRACKET A-L</t>
  </si>
  <si>
    <t>OH2A1A1-47 - LIP SILL BRACKET A-L</t>
  </si>
  <si>
    <t>1.1.6.39</t>
  </si>
  <si>
    <t>OH2A1A1-48</t>
  </si>
  <si>
    <t>LIP SILL BRACKET B-L</t>
  </si>
  <si>
    <t>OH2A1A1-48 - LIP SILL BRACKET B-L</t>
  </si>
  <si>
    <t>1.1.6.40</t>
  </si>
  <si>
    <t>OH2A1A1-49</t>
  </si>
  <si>
    <t>RIGHT LIP CANOPY SILL1</t>
  </si>
  <si>
    <t>OH2A1A1-49 - RIGHT LIP CANOPY SILL1</t>
  </si>
  <si>
    <t>1.1.6.41</t>
  </si>
  <si>
    <t>OH2A1A1-50</t>
  </si>
  <si>
    <t>AFT RIGHT LIP SILL BRACKET1</t>
  </si>
  <si>
    <t>OH2A1A1-50 - AFT RIGHT LIP SILL BRACKET1</t>
  </si>
  <si>
    <t>1.1.6.42</t>
  </si>
  <si>
    <t>OH2A1A1-51</t>
  </si>
  <si>
    <t>LIP SILL BRACKET A-R</t>
  </si>
  <si>
    <t>OH2A1A1-51 - LIP SILL BRACKET A-R</t>
  </si>
  <si>
    <t>1.1.6.43</t>
  </si>
  <si>
    <t>OH2A1A1-52</t>
  </si>
  <si>
    <t>LIP SILL BRACKET B-R</t>
  </si>
  <si>
    <t>OH2A1A1-52 - LIP SILL BRACKET B-R</t>
  </si>
  <si>
    <t>1.1.6.44</t>
  </si>
  <si>
    <t>90252A115</t>
  </si>
  <si>
    <t>FHWS, 82DEG, #8 X 1.50, STEEL, BLK, FOR MDF</t>
  </si>
  <si>
    <t>STL</t>
  </si>
  <si>
    <t>1.1.6.45</t>
  </si>
  <si>
    <t>92105A660</t>
  </si>
  <si>
    <t>INSERT, 8-32, SELF TAPPING, FOR SOFTWOOD</t>
  </si>
  <si>
    <t>ZINC</t>
  </si>
  <si>
    <t>1.1.6.46</t>
  </si>
  <si>
    <t>90471A436</t>
  </si>
  <si>
    <t>FHS, 100DEG, #8-32 X 1.25, STEEL</t>
  </si>
  <si>
    <t>1.1.6.47</t>
  </si>
  <si>
    <t>90471A435</t>
  </si>
  <si>
    <t>FHS, 100DEG, #8-32 X .625, STEEL</t>
  </si>
  <si>
    <t>1.1.6.48</t>
  </si>
  <si>
    <t>93365A140</t>
  </si>
  <si>
    <t>INSERT, 8-32, BRASS, FOR PLASTICS</t>
  </si>
  <si>
    <t>BRS</t>
  </si>
  <si>
    <t>1.1.6.49</t>
  </si>
  <si>
    <t>91841A009</t>
  </si>
  <si>
    <t>NUT, #8-32, 18-8</t>
  </si>
  <si>
    <t>SS</t>
  </si>
  <si>
    <t>1.1.6.50</t>
  </si>
  <si>
    <t>98023A113</t>
  </si>
  <si>
    <t>WASHER, #8, STEEL, ZINC</t>
  </si>
  <si>
    <t>1.1.6.51</t>
  </si>
  <si>
    <t>90272A203</t>
  </si>
  <si>
    <t>PHS, #8-32 X 1.50, STEEL</t>
  </si>
  <si>
    <t>1.1.6.52</t>
  </si>
  <si>
    <t>90272A201</t>
  </si>
  <si>
    <t>PHS, #8-32 X 1.250, STEEL</t>
  </si>
  <si>
    <t>1.1.6.53</t>
  </si>
  <si>
    <t>90252A112</t>
  </si>
  <si>
    <t>FHWS, 82DEG, #8 X 1.00, STEEL, BLK, FOR MDF</t>
  </si>
  <si>
    <t>1.1.6.54</t>
  </si>
  <si>
    <t>OH2A1A-54</t>
  </si>
  <si>
    <t>LIP CENTER PEDESTAL UPPER BRACKET</t>
  </si>
  <si>
    <t>OH2A1A-54 - LIP CENTER PEDESTAL UPPER BRACKET</t>
  </si>
  <si>
    <t>1.1.6.55</t>
  </si>
  <si>
    <t>90471A276</t>
  </si>
  <si>
    <t>FHS, 100DEG, #8-32 X 1.00, STEEL</t>
  </si>
  <si>
    <t>1.1.7</t>
  </si>
  <si>
    <t>OH2A7A1-1</t>
  </si>
  <si>
    <t>ASSY, STANDBY INSTRUMENT MODULE</t>
  </si>
  <si>
    <t>1.1.7.1</t>
  </si>
  <si>
    <t>OH2A7A1-11</t>
  </si>
  <si>
    <t>STANDBY_CONTROLLER</t>
  </si>
  <si>
    <t>OH2A7A1-11 - STANDBY_CONTROLLER</t>
  </si>
  <si>
    <t>N/A</t>
  </si>
  <si>
    <t>1.1.7.2</t>
  </si>
  <si>
    <t>OH2A7A1-10A</t>
  </si>
  <si>
    <t>SUBASSY, ANALOG RIGHT LOWER INSTRUMENT PANEL</t>
  </si>
  <si>
    <t>OH2A7A1-10A - SUBASSY, ANALOG RIGHT LOWER INSTRUMENT PANEL</t>
  </si>
  <si>
    <t>1.1.7.2.1</t>
  </si>
  <si>
    <t>OH2A7A1-10</t>
  </si>
  <si>
    <t>ANALOG RIGHT LOWER INSTRUMENT PANEL</t>
  </si>
  <si>
    <t>OH2A7A1-10 - ANALOG RIGHT LOWER INSTRUMENT PANEL</t>
  </si>
  <si>
    <t>1.1.7.2.2</t>
  </si>
  <si>
    <t>93365A130</t>
  </si>
  <si>
    <t>INSERT, 6-32, BRASS, FOR PLASTIC</t>
  </si>
  <si>
    <t>1.1.7.2.3</t>
  </si>
  <si>
    <t>93365A110</t>
  </si>
  <si>
    <t>INSERT, 2-56, BRASS, FOR PLASTIC</t>
  </si>
  <si>
    <t>1.1.7.3</t>
  </si>
  <si>
    <t>OH2A7A1-100</t>
  </si>
  <si>
    <t>AIRSPEED INDICATOR</t>
  </si>
  <si>
    <t>1.1.7.3.1</t>
  </si>
  <si>
    <t>OH2A7A1-101</t>
  </si>
  <si>
    <t>AIRSPEED INDICATOR BEZEL</t>
  </si>
  <si>
    <t>OH2A7A1-101 - AIRSPEED INDICATOR BEZEL</t>
  </si>
  <si>
    <t>1.1.7.3.2</t>
  </si>
  <si>
    <t>OH2A7A1-104</t>
  </si>
  <si>
    <t>AIRSPEED INDICATOR DIAL FACE</t>
  </si>
  <si>
    <t>OH2A7A1-104 - AIRSPEED INDICATOR DIAL FACE</t>
  </si>
  <si>
    <t>RMRK</t>
  </si>
  <si>
    <t>1.1.7.3.3</t>
  </si>
  <si>
    <t>OHC0007-1</t>
  </si>
  <si>
    <t>ASSY, 2IN GAUGE SGL STPR MECH W/ ZERO DETECT</t>
  </si>
  <si>
    <t>1.1.7.3.3.1</t>
  </si>
  <si>
    <t>OHC0007-101</t>
  </si>
  <si>
    <t>2IN GAUGE STEPPER MOUNT</t>
  </si>
  <si>
    <t>OHC0007-101 - 2IN GAUGE STEPPER MOUNT</t>
  </si>
  <si>
    <t>1.1.7.3.3.2</t>
  </si>
  <si>
    <t>OHC0007-103</t>
  </si>
  <si>
    <t>2IN GAUGE ZERO WHEEL</t>
  </si>
  <si>
    <t>OHC0007-103 - 2IN GAUGE ZERO WHEEL</t>
  </si>
  <si>
    <t>ACRL</t>
  </si>
  <si>
    <t>1.1.7.3.3.3</t>
  </si>
  <si>
    <t>LED, NEOPIXEL, DIFFUSED 5MM TH</t>
  </si>
  <si>
    <t>1.1.7.3.3.4</t>
  </si>
  <si>
    <t>91780A028</t>
  </si>
  <si>
    <t>STANDOFF, #2-56 X .375, .125 HEX, FEMALE, 6061</t>
  </si>
  <si>
    <t>ALU</t>
  </si>
  <si>
    <t>1.1.7.3.3.5</t>
  </si>
  <si>
    <t>90471A115</t>
  </si>
  <si>
    <t>FHS, 100DEG, #2-56 X .250, STEEL</t>
  </si>
  <si>
    <t>1.1.7.3.3.6</t>
  </si>
  <si>
    <t>90272A077</t>
  </si>
  <si>
    <t>PHS, #2-56 X .250, STEEL</t>
  </si>
  <si>
    <t>1.1.7.3.3.7</t>
  </si>
  <si>
    <t>99461A914</t>
  </si>
  <si>
    <t>PHS, M2, 5MM, SELF-TAP, 18-8</t>
  </si>
  <si>
    <t>1.1.7.3.3.8</t>
  </si>
  <si>
    <t>VID29-02P</t>
  </si>
  <si>
    <t>MICROSTEPPER, GAUGE, 315 DEG ROT (MODIFIED)</t>
  </si>
  <si>
    <t>1.1.7.3.3.9</t>
  </si>
  <si>
    <t>OHC0007-100</t>
  </si>
  <si>
    <t>UTIL PHOTOSWITCH</t>
  </si>
  <si>
    <t>1.1.7.3.3.10</t>
  </si>
  <si>
    <t>OHC0007-14</t>
  </si>
  <si>
    <t>2 IN GAUGE STEPPER PCB</t>
  </si>
  <si>
    <t>1.1.7.3.4</t>
  </si>
  <si>
    <t>OHC0007-11</t>
  </si>
  <si>
    <t>2IN GAUGE COVER GLASS</t>
  </si>
  <si>
    <t>1.1.7.3.5</t>
  </si>
  <si>
    <t>OHC0007-12</t>
  </si>
  <si>
    <t>2IN GAUGE DIAL FACE SPACER</t>
  </si>
  <si>
    <t>1.1.7.3.6</t>
  </si>
  <si>
    <t>OHC0007-13</t>
  </si>
  <si>
    <t>2IN GAUGE POINTER</t>
  </si>
  <si>
    <t>1.1.7.4</t>
  </si>
  <si>
    <t>OH2A7A1-200</t>
  </si>
  <si>
    <t>ALTIMETER</t>
  </si>
  <si>
    <t>1.1.7.4.1</t>
  </si>
  <si>
    <t>OH2A7A1-201</t>
  </si>
  <si>
    <t>ALTIMETER BEZEL</t>
  </si>
  <si>
    <t>OH2A7A1-201 - ALTIMETER BEZEL</t>
  </si>
  <si>
    <t>1.1.7.4.2</t>
  </si>
  <si>
    <t>OH2A7A1-204</t>
  </si>
  <si>
    <t>ALTIMETER DIAL FACE</t>
  </si>
  <si>
    <t>OH2A7A1-204 - ALTIMETER DIAL FACE</t>
  </si>
  <si>
    <t>1.1.7.4.3</t>
  </si>
  <si>
    <t>OH2A7A1-205</t>
  </si>
  <si>
    <t>ALTIMETER STEPPER MOUNT</t>
  </si>
  <si>
    <t>OH2A7A1-205 - ALTIMETER STEPPER MOUNT</t>
  </si>
  <si>
    <t>1.1.7.4.4</t>
  </si>
  <si>
    <t>OH2A7A1-206</t>
  </si>
  <si>
    <t>ALTIMETER INDICATOR POINTER</t>
  </si>
  <si>
    <t>OH2A7A1-206 - ALTIMETER INDICATOR POINTER</t>
  </si>
  <si>
    <t>1.1.7.4.5</t>
  </si>
  <si>
    <t>OH2A7A1-110</t>
  </si>
  <si>
    <t>ALTIMETER ZERO WHEEL</t>
  </si>
  <si>
    <t>OH2A7A1-110 - ALTIMETER ZERO WHEEL</t>
  </si>
  <si>
    <t>1.1.7.4.6</t>
  </si>
  <si>
    <t>OH2A7A1-207A</t>
  </si>
  <si>
    <t>ASSY, ALTIMETER KNOB</t>
  </si>
  <si>
    <t>OH2A7A1-207A - ASSY, ALTIMETER KNOB</t>
  </si>
  <si>
    <t>1.1.7.4.6.1</t>
  </si>
  <si>
    <t>OH2A7A1-207</t>
  </si>
  <si>
    <t>ALTIMETER KNOB</t>
  </si>
  <si>
    <t>OH2A7A1-207 - ALTIMETER KNOB</t>
  </si>
  <si>
    <t>RESN</t>
  </si>
  <si>
    <t>1.1.7.4.6.2</t>
  </si>
  <si>
    <t>92311A102</t>
  </si>
  <si>
    <t>SET SCREW, 4-40 X .093 CUP POINT, 18-8</t>
  </si>
  <si>
    <t>1.1.7.4.7</t>
  </si>
  <si>
    <t>PEC11R-4230F-N0024</t>
  </si>
  <si>
    <t>ENCODER, INC, QUAD, DETENT, NO SWITCH, 24PPR, 6MM DIA X 30MM FLAT SHAFT</t>
  </si>
  <si>
    <t>1.1.7.4.8</t>
  </si>
  <si>
    <t>PEC11R NUT</t>
  </si>
  <si>
    <t>HEX NUT FOR SWITCH, M7 X .75</t>
  </si>
  <si>
    <t>1.1.7.4.9</t>
  </si>
  <si>
    <t>1.1.7.4.10</t>
  </si>
  <si>
    <t>1.1.7.4.11</t>
  </si>
  <si>
    <t>1.1.7.4.12</t>
  </si>
  <si>
    <t>1.1.7.4.13</t>
  </si>
  <si>
    <t>ER-OLEDM0.91-1W-I2C</t>
  </si>
  <si>
    <t>OLED, 0.91IN, WHT ON BLK, 128X32, SPI</t>
  </si>
  <si>
    <t>1.1.7.4.14</t>
  </si>
  <si>
    <t>1.1.7.4.15</t>
  </si>
  <si>
    <t>1.1.7.4.16</t>
  </si>
  <si>
    <t>OH2A7A1-210</t>
  </si>
  <si>
    <t>PCB, STANDBY ALTIMETER</t>
  </si>
  <si>
    <t>1.1.7.4.17</t>
  </si>
  <si>
    <t>1.1.7.4.18</t>
  </si>
  <si>
    <t>1.1.7.4.19</t>
  </si>
  <si>
    <t>OH2A7A1-111</t>
  </si>
  <si>
    <t>ALTIMETER ZERO WHEEL SPACER A</t>
  </si>
  <si>
    <t>OH2A7A1-111 - ALTIMETER ZERO WHEEL SPACER A</t>
  </si>
  <si>
    <t>1.1.7.4.20</t>
  </si>
  <si>
    <t>OH2A7A1-112</t>
  </si>
  <si>
    <t>ALTIMETER ZERO WHEEL SPACER B</t>
  </si>
  <si>
    <t>OH2A7A1-112 - ALTIMETER ZERO WHEEL SPACER B</t>
  </si>
  <si>
    <t>1.1.7.4.21</t>
  </si>
  <si>
    <t>1.1.7.5</t>
  </si>
  <si>
    <t>OH2A7A1-300</t>
  </si>
  <si>
    <t>VERTICAL VELOCITY INDICATOR</t>
  </si>
  <si>
    <t>1.1.7.5.1</t>
  </si>
  <si>
    <t>OH2A7A1-301</t>
  </si>
  <si>
    <t>VVI BEZEL</t>
  </si>
  <si>
    <t>OH2A7A1-301 - VVI BEZEL</t>
  </si>
  <si>
    <t>1.1.7.5.2</t>
  </si>
  <si>
    <t>OH2A7A1-304</t>
  </si>
  <si>
    <t>VVI DIAL FACE</t>
  </si>
  <si>
    <t>OH2A7A1-304 - VVI DIAL FACE</t>
  </si>
  <si>
    <t>1.1.7.5.3</t>
  </si>
  <si>
    <t>1.1.7.5.4</t>
  </si>
  <si>
    <t>1.1.7.5.5</t>
  </si>
  <si>
    <t>1.1.7.5.5.1</t>
  </si>
  <si>
    <t>1.1.7.5.5.2</t>
  </si>
  <si>
    <t>1.1.7.5.5.3</t>
  </si>
  <si>
    <t>1.1.7.5.5.4</t>
  </si>
  <si>
    <t>1.1.7.5.5.5</t>
  </si>
  <si>
    <t>1.1.7.5.5.6</t>
  </si>
  <si>
    <t>1.1.7.5.5.7</t>
  </si>
  <si>
    <t>1.1.7.5.5.8</t>
  </si>
  <si>
    <t>1.1.7.5.5.9</t>
  </si>
  <si>
    <t>1.1.7.5.5.10</t>
  </si>
  <si>
    <t>1.1.7.5.6</t>
  </si>
  <si>
    <t>1.1.7.5.7</t>
  </si>
  <si>
    <t>OH2A7A1-302 - VVI BEZEL RING</t>
  </si>
  <si>
    <t>1.1.7.6</t>
  </si>
  <si>
    <t>OH2A7A1-400</t>
  </si>
  <si>
    <t>RWR</t>
  </si>
  <si>
    <t>1.1.7.6.1</t>
  </si>
  <si>
    <t>OH2A7A1-401</t>
  </si>
  <si>
    <t>RWR BEZEL</t>
  </si>
  <si>
    <t>OH2A7A1-401 - RWR BEZEL</t>
  </si>
  <si>
    <t>1.1.7.6.2</t>
  </si>
  <si>
    <t>OH2A7A1-402</t>
  </si>
  <si>
    <t>RWR KNOB</t>
  </si>
  <si>
    <t>OH2A7A1-402 - RWR KNOB</t>
  </si>
  <si>
    <t>1.1.7.6.3</t>
  </si>
  <si>
    <t>92311A105</t>
  </si>
  <si>
    <t>SET SCREW, 4-40 X .1875, CUP POINT, 18-8</t>
  </si>
  <si>
    <t>1.1.7.6.4</t>
  </si>
  <si>
    <t>3310P-101-103L</t>
  </si>
  <si>
    <t>POT, 10K LINEAR, 9MM SQ, 3.18 X 12.7 D-SHAFT</t>
  </si>
  <si>
    <t>1.1.7.6.5</t>
  </si>
  <si>
    <t>GL276TFT01A</t>
  </si>
  <si>
    <t>LCD, 2.8 ROUND, 480X480 RESOLUTION</t>
  </si>
  <si>
    <t>1.1.7.6.6</t>
  </si>
  <si>
    <t>93365A120</t>
  </si>
  <si>
    <t>INSERT, 4-40, BRASS, FOR PLASTICS</t>
  </si>
  <si>
    <t>1.1.7.6.7</t>
  </si>
  <si>
    <t>90618A200</t>
  </si>
  <si>
    <t>WASHER, #4 X .250, 18-8, BLACK OXIDE, MS15795-803B</t>
  </si>
  <si>
    <t>1.1.7.6.8</t>
  </si>
  <si>
    <t>91249A111</t>
  </si>
  <si>
    <t>PHS, #4-40 X .50, 18-8, BLK</t>
  </si>
  <si>
    <t>1.1.7.6.9</t>
  </si>
  <si>
    <t>LRX_H2TTL40PSPI_V2.1</t>
  </si>
  <si>
    <t>PCB, RGB TO HDMI CONVERTER</t>
  </si>
  <si>
    <t>1.1.7.6.10</t>
  </si>
  <si>
    <t>OH2A7A1-403</t>
  </si>
  <si>
    <t>RWR PCB MOUNTING BRACKET</t>
  </si>
  <si>
    <t>OH2A7A1-403 - RWR PCB MOUNTING BRACKET</t>
  </si>
  <si>
    <t>1.1.7.6.11</t>
  </si>
  <si>
    <t>OH2A7A1-404</t>
  </si>
  <si>
    <t>RWR SCREEN SUPPORT BRACKET</t>
  </si>
  <si>
    <t>OH2A7A1-404 - RWR SCREEN SUPPORT BRACKET</t>
  </si>
  <si>
    <t>1.1.7.6.12</t>
  </si>
  <si>
    <t>1.1.7.6.13</t>
  </si>
  <si>
    <t>94070A076</t>
  </si>
  <si>
    <t>PHS, #2-56 X .1875, BRASS</t>
  </si>
  <si>
    <t>1.1.7.6.14</t>
  </si>
  <si>
    <t>1.1.7.6.15</t>
  </si>
  <si>
    <t>95130A105</t>
  </si>
  <si>
    <t>NUT, #2-56, NARROW, BRASS</t>
  </si>
  <si>
    <t>1.1.7.6.16</t>
  </si>
  <si>
    <t>OH2A7A1-405</t>
  </si>
  <si>
    <t>RWR LEGEND PLATE</t>
  </si>
  <si>
    <t>OH2A7A1-405 - RWR LEGEND PLATE</t>
  </si>
  <si>
    <t>1.1.7.7</t>
  </si>
  <si>
    <t>OH2A7A1-500</t>
  </si>
  <si>
    <t>SARI</t>
  </si>
  <si>
    <t>1.1.7.7.1</t>
  </si>
  <si>
    <t>OH2A7A1-501</t>
  </si>
  <si>
    <t>SARI BEZEL</t>
  </si>
  <si>
    <t>OH2A7A1-501 - SARI BEZEL</t>
  </si>
  <si>
    <t>1.1.7.7.2</t>
  </si>
  <si>
    <t>OH2A7A1-502</t>
  </si>
  <si>
    <t>SARI KNOB</t>
  </si>
  <si>
    <t>OH2A7A1-502 - SARI KNOB</t>
  </si>
  <si>
    <t>1.1.7.7.3</t>
  </si>
  <si>
    <t>PEC11R-4220F-S0012</t>
  </si>
  <si>
    <t>ENCODER, INC, QUAD, DETENT, SWITCH, 12PPR, 6MM DIA X 20MM FLAT SHAFT</t>
  </si>
  <si>
    <t>STEEL</t>
  </si>
  <si>
    <t>1.1.7.7.4</t>
  </si>
  <si>
    <t>1.1.7.7.5</t>
  </si>
  <si>
    <t>9533NCDK</t>
  </si>
  <si>
    <t>SWITCH, PUSHBUTTON, MICRO, APEM</t>
  </si>
  <si>
    <t>1.1.7.7.6</t>
  </si>
  <si>
    <t>1.1.7.7.7</t>
  </si>
  <si>
    <t>PEC11R WASHER</t>
  </si>
  <si>
    <t>WASHER FOR SWITCH, M7, 12 MM OD</t>
  </si>
  <si>
    <t>1.1.7.7.8</t>
  </si>
  <si>
    <t>OH2A7A1-505</t>
  </si>
  <si>
    <t>SARI PCB MOUNTING BRACKET</t>
  </si>
  <si>
    <t>OH2A7A1-505 - SARI PCB MOUNTING BRACKET</t>
  </si>
  <si>
    <t>1.1.7.7.9</t>
  </si>
  <si>
    <t>OH2A7A1-504</t>
  </si>
  <si>
    <t>SARI SCREEN SUPPORT BRACKET</t>
  </si>
  <si>
    <t>OH2A7A1-504 - SARI SCREEN SUPPORT BRACKET</t>
  </si>
  <si>
    <t>1.1.7.7.10</t>
  </si>
  <si>
    <t>1.1.7.7.11</t>
  </si>
  <si>
    <t>1.1.7.7.12</t>
  </si>
  <si>
    <t>OH2A7A1-503</t>
  </si>
  <si>
    <t>SARI LEGEND PLATE</t>
  </si>
  <si>
    <t>OH2A7A1-503 - SARI LEGEND PLATE</t>
  </si>
  <si>
    <t>1.1.7.7.13</t>
  </si>
  <si>
    <t>1.1.7.7.14</t>
  </si>
  <si>
    <t>1.1.7.7.15</t>
  </si>
  <si>
    <t>1.1.7.7.16</t>
  </si>
  <si>
    <t>1.1.7.8</t>
  </si>
  <si>
    <t>93505A217</t>
  </si>
  <si>
    <t>STANDOFF, #2-56 X 1.00, .1875 HEX, MALE-FEMALE, ALUMINUM</t>
  </si>
  <si>
    <t>1.1.7.9</t>
  </si>
  <si>
    <t>1.1.7.10</t>
  </si>
  <si>
    <t>A000067</t>
  </si>
  <si>
    <t>ARDUINO MEGA 2560 R3</t>
  </si>
  <si>
    <t>1.1.7.11</t>
  </si>
  <si>
    <t>91249A151</t>
  </si>
  <si>
    <t>PHS, #6-32 X .625, 18-8, BLK</t>
  </si>
  <si>
    <t>1.1.8</t>
  </si>
  <si>
    <t>OH2A2A1-1</t>
  </si>
  <si>
    <t>ASSY, LEFT LIP MODULE</t>
  </si>
  <si>
    <t>1.1.8.1</t>
  </si>
  <si>
    <t>OH2A2A1-100</t>
  </si>
  <si>
    <t>ASSY, JETT STATION SELECT PLACARD</t>
  </si>
  <si>
    <t>OH2A2A1-100 - ASSY, JETT STATION SELECT PLACARD</t>
  </si>
  <si>
    <t>1.1.8.1.1</t>
  </si>
  <si>
    <t>OH2A2A1-101</t>
  </si>
  <si>
    <t>JETT STATION SELECT PLACARD</t>
  </si>
  <si>
    <t>OH2A2A1-101 - JETT STATION SELECT PLACARD</t>
  </si>
  <si>
    <t>1.1.8.1.2</t>
  </si>
  <si>
    <t>OH2A2A1-102</t>
  </si>
  <si>
    <t>JETT STATION SELECT PLACARD LIGHTPLATE</t>
  </si>
  <si>
    <t>OH2A2A1-102 - JETT STATION SELECT PLACARD LIGHTPLATE</t>
  </si>
  <si>
    <t>1.1.8.1.3</t>
  </si>
  <si>
    <t>OH2A2A1-103</t>
  </si>
  <si>
    <t>JETT STATION SELECT BACKPLATE</t>
  </si>
  <si>
    <t>OH2A2A1-103 - JETT STATION SELECT BACKPLATE</t>
  </si>
  <si>
    <t>1.1.8.1.4</t>
  </si>
  <si>
    <t>OH2A2A1-104</t>
  </si>
  <si>
    <t>PCB, JETT STATION SELECT PLACARD</t>
  </si>
  <si>
    <t>OH2A2A1-104 - PCB, JETT STATION SELECT PLACARD</t>
  </si>
  <si>
    <t>1.1.8.2</t>
  </si>
  <si>
    <t>7598A71</t>
  </si>
  <si>
    <t>TAPE, LIGHT DUTY, DOUBLE SIDED, FOAM</t>
  </si>
  <si>
    <t>7598A71 - TAPE, LIGHT DUTY, DOUBLE SIDED, FOAM</t>
  </si>
  <si>
    <t>1.1.8.3</t>
  </si>
  <si>
    <t>OH2A2A1-11</t>
  </si>
  <si>
    <t>LEFT LIP AVIONICS TRAY</t>
  </si>
  <si>
    <t>OH2A2A1-11 - LEFT LIP AVIONICS TRAY</t>
  </si>
  <si>
    <t>1.1.8.4</t>
  </si>
  <si>
    <t>OH2A2A1-10A</t>
  </si>
  <si>
    <t>SUBASSY, LEFT LOWER INSTRUMENT PANEL</t>
  </si>
  <si>
    <t>OH2A2A1-10A - SUBASSY, LEFT LOWER INSTRUMENT PANEL</t>
  </si>
  <si>
    <t>1.1.8.4.1</t>
  </si>
  <si>
    <t>OH2A2A1-10</t>
  </si>
  <si>
    <t>LEFT LOWER INSTRUMENT PANEL</t>
  </si>
  <si>
    <t>OH2A2A1-10 - LEFT LOWER INSTRUMENT PANEL</t>
  </si>
  <si>
    <t>1.1.8.4.2</t>
  </si>
  <si>
    <t>1.1.8.4.3</t>
  </si>
  <si>
    <t>1.1.8.5</t>
  </si>
  <si>
    <t>91249A148</t>
  </si>
  <si>
    <t>PHS, #6-32 X .50, 18-8, BLK</t>
  </si>
  <si>
    <t>1.1.8.6</t>
  </si>
  <si>
    <t>91249A156</t>
  </si>
  <si>
    <t>PHS, #6-32 X .8750, 18-8, BLK</t>
  </si>
  <si>
    <t>1.1.8.7</t>
  </si>
  <si>
    <t>91249A146</t>
  </si>
  <si>
    <t>PHS, #6-32 X .375, 18-8, BLK</t>
  </si>
  <si>
    <t>1.1.8.8</t>
  </si>
  <si>
    <t>ER-TFTV070A1-6</t>
  </si>
  <si>
    <t>1.1.8.9</t>
  </si>
  <si>
    <t>ER-TFTV101A1-1 - CONTROLLER</t>
  </si>
  <si>
    <t>PCB, HDMI CONTROLLER FOR LCD PANEL</t>
  </si>
  <si>
    <t>1.1.8.10</t>
  </si>
  <si>
    <t>91780A337</t>
  </si>
  <si>
    <t>STANDOFF, #6-32 X 1.50, .25 HEX, FEMALE, ALUMINUM</t>
  </si>
  <si>
    <t>1.1.8.11</t>
  </si>
  <si>
    <t>90471A220</t>
  </si>
  <si>
    <t>FHS, 100DEG, #6-32 X .500, STEEL</t>
  </si>
  <si>
    <t>1.1.8.12</t>
  </si>
  <si>
    <t>91780A105</t>
  </si>
  <si>
    <t>STANDOFF, #2-56 X .375, .1875 HEX, FEMALE, ALUMINUM</t>
  </si>
  <si>
    <t>1.1.8.13</t>
  </si>
  <si>
    <t>90272A079</t>
  </si>
  <si>
    <t>PHS, #2-56 X .375, STEEL</t>
  </si>
  <si>
    <t>1.1.8.14</t>
  </si>
  <si>
    <t>ASSY, ABSIS HID BUS MASTER</t>
  </si>
  <si>
    <t>1.1.8.14.1</t>
  </si>
  <si>
    <t>1.1.8.14.2</t>
  </si>
  <si>
    <t>(GENERIC)</t>
  </si>
  <si>
    <t>HEADER, PIN, .1 SPACING</t>
  </si>
  <si>
    <t>(GENERIC) - HEADER, PIN, .1 SPACING</t>
  </si>
  <si>
    <t>1.1.8.14.3</t>
  </si>
  <si>
    <t>DEV-12640</t>
  </si>
  <si>
    <t>ARDUINO PRO MICRO, 5V, 16 MHZ, SPARKFUN</t>
  </si>
  <si>
    <t>1.1.8.15</t>
  </si>
  <si>
    <t>1.1.8.16</t>
  </si>
  <si>
    <t>OH2A2A1-12</t>
  </si>
  <si>
    <t>LEFT LIP UPPER MONITOR CLIP</t>
  </si>
  <si>
    <t>OH2A2A1-12 - LEFT LIP UPPER MONITOR CLIP</t>
  </si>
  <si>
    <t>1.1.8.17</t>
  </si>
  <si>
    <t>OH2A2A1-13</t>
  </si>
  <si>
    <t>LEFT LIP LOWER MONITOR CLIP</t>
  </si>
  <si>
    <t>OH2A2A1-13 - LEFT LIP LOWER MONITOR CLIP</t>
  </si>
  <si>
    <t>1.1.8.18</t>
  </si>
  <si>
    <t>1.1.8.19</t>
  </si>
  <si>
    <t>92141A003</t>
  </si>
  <si>
    <t>WASHER, #2 X .250 OD, 18-8</t>
  </si>
  <si>
    <t>1.1.8.20</t>
  </si>
  <si>
    <t>1.1.8.21</t>
  </si>
  <si>
    <t>ABSIS001</t>
  </si>
  <si>
    <t>ASSY, ABSIS ALE</t>
  </si>
  <si>
    <t>1.1.8.21.1</t>
  </si>
  <si>
    <t>ABSIS001-10</t>
  </si>
  <si>
    <t>PCB, ABSIS ALE</t>
  </si>
  <si>
    <t>1.1.8.21.2</t>
  </si>
  <si>
    <t>1.1.8.22</t>
  </si>
  <si>
    <t>OH2A2A1A2-1</t>
  </si>
  <si>
    <t>ASSY, PANEL, IFEI</t>
  </si>
  <si>
    <t>1.1.8.22.1</t>
  </si>
  <si>
    <t>OH2A2A1A2-10</t>
  </si>
  <si>
    <t>IFEI BACKPLATE</t>
  </si>
  <si>
    <t>OH2A2A1A2-10 - IFEI BACKPLATE</t>
  </si>
  <si>
    <t>1.1.8.22.2</t>
  </si>
  <si>
    <t>OH2A2A1A2-11</t>
  </si>
  <si>
    <t>IFEI LIGHTPLATE</t>
  </si>
  <si>
    <t>OH2A2A1A2-11 - IFEI LIGHTPLATE</t>
  </si>
  <si>
    <t>1.1.8.22.3</t>
  </si>
  <si>
    <t>OH2A2A1A2-12</t>
  </si>
  <si>
    <t>IFEI LEGEND PLATE</t>
  </si>
  <si>
    <t>OH2A2A1A2-12 - IFEI LEGEND PLATE</t>
  </si>
  <si>
    <t>1.1.8.22.4</t>
  </si>
  <si>
    <t>OH2A2A1A2-13</t>
  </si>
  <si>
    <t>IFEI BUTTON BEZEL</t>
  </si>
  <si>
    <t>OH2A2A1A2-13 - IFEI BUTTON BEZEL</t>
  </si>
  <si>
    <t>1.1.8.22.5</t>
  </si>
  <si>
    <t>OH2A2A1A2-14</t>
  </si>
  <si>
    <t>IFEI BUTTON, MODE</t>
  </si>
  <si>
    <t>OH2A2A1A2-14 - IFEI BUTTON, MODE</t>
  </si>
  <si>
    <t>1.1.8.22.6</t>
  </si>
  <si>
    <t>OH2A2A1A2-15</t>
  </si>
  <si>
    <t>IFEI BUTTON RETAINER</t>
  </si>
  <si>
    <t>OH2A2A1A2-15 - IFEI BUTTON RETAINER</t>
  </si>
  <si>
    <t>1.1.8.22.7</t>
  </si>
  <si>
    <t>OH2A2A1A2-16</t>
  </si>
  <si>
    <t>PCB, IFEI</t>
  </si>
  <si>
    <t>OH2A2A1A2-16 - PCB, IFEI</t>
  </si>
  <si>
    <t>1.1.8.22.8</t>
  </si>
  <si>
    <t>OH2A2A1A2-17</t>
  </si>
  <si>
    <t>IFEI BUTTON, QTY</t>
  </si>
  <si>
    <t>OH2A2A1A2-17 - IFEI BUTTON, QTY</t>
  </si>
  <si>
    <t>1.1.8.22.9</t>
  </si>
  <si>
    <t>OH2A2A1A2-18</t>
  </si>
  <si>
    <t>IFEI BUTTON, ARROW</t>
  </si>
  <si>
    <t>OH2A2A1A2-18 - IFEI BUTTON, ARROW</t>
  </si>
  <si>
    <t>1.1.8.22.10</t>
  </si>
  <si>
    <t>OH2A2A1A2-19</t>
  </si>
  <si>
    <t>IFEI BUTTON, ZONE</t>
  </si>
  <si>
    <t>OH2A2A1A2-19 - IFEI BUTTON, ZONE</t>
  </si>
  <si>
    <t>1.1.8.22.11</t>
  </si>
  <si>
    <t>OH2A2A1A2-20</t>
  </si>
  <si>
    <t>IFEI BUTTON, ET</t>
  </si>
  <si>
    <t>OH2A2A1A2-20 - IFEI BUTTON, ET</t>
  </si>
  <si>
    <t>1.1.8.22.12</t>
  </si>
  <si>
    <t>91249A021</t>
  </si>
  <si>
    <t>PHS, #0-80 X 0.375, 18-8, BLK</t>
  </si>
  <si>
    <t>1.1.8.22.13</t>
  </si>
  <si>
    <t>92671A115</t>
  </si>
  <si>
    <t>NUT, #0-80, BRASS</t>
  </si>
  <si>
    <t>1.1.8.23</t>
  </si>
  <si>
    <t>OH2A2A1A3-1</t>
  </si>
  <si>
    <t>ASSY, PANEL, VIDEO RECORD</t>
  </si>
  <si>
    <t>1.1.8.23.1</t>
  </si>
  <si>
    <t>OH2A2A1A3-10</t>
  </si>
  <si>
    <t>HUD VIDEO RECORD PANEL BACKPLATE</t>
  </si>
  <si>
    <t>OH2A2A1A3-10 - HUD VIDEO RECORD PANEL BACKPLATE</t>
  </si>
  <si>
    <t>1.1.8.23.2</t>
  </si>
  <si>
    <t>OH2A2A1A3-11</t>
  </si>
  <si>
    <t>HUD VIDEO RECORD PANEL LIGHTPLATE</t>
  </si>
  <si>
    <t>OH2A2A1A3-11 - HUD VIDEO RECORD PANEL LIGHTPLATE</t>
  </si>
  <si>
    <t>1.1.8.23.3</t>
  </si>
  <si>
    <t>OH2A2A1A3-12</t>
  </si>
  <si>
    <t>HUD VIDEO RECORD PANEL LEGEND PLATE</t>
  </si>
  <si>
    <t>OH2A2A1A3-12 - HUD VIDEO RECORD PANEL LEGEND PLATE</t>
  </si>
  <si>
    <t>1.1.8.23.4</t>
  </si>
  <si>
    <t>OH2A2A1A3-13</t>
  </si>
  <si>
    <t>PCB, HUD VID RCD PANEL</t>
  </si>
  <si>
    <t>OH2A2A1A3-13 - PCB, HUD VID RCD PANEL</t>
  </si>
  <si>
    <t>1.1.8.23.5</t>
  </si>
  <si>
    <t>100SP3T8B13M1QEH</t>
  </si>
  <si>
    <t>SWITCH, TOGGLE, ON-OFF-ON, SPDT, 18MM BAT</t>
  </si>
  <si>
    <t>1.1.8.23.6</t>
  </si>
  <si>
    <t>HDW17</t>
  </si>
  <si>
    <t xml:space="preserve"> LOCKING RING FOR SWITCH, B13</t>
  </si>
  <si>
    <t>1.1.8.23.7</t>
  </si>
  <si>
    <t>HDW12</t>
  </si>
  <si>
    <t>LOCK WASHER FOR SWITCH, B13</t>
  </si>
  <si>
    <t>1.1.8.23.8</t>
  </si>
  <si>
    <t>HDW4</t>
  </si>
  <si>
    <t>HEX NUT FOR SWITCH, 15/32-32NS</t>
  </si>
  <si>
    <t>1.1.8.23.9</t>
  </si>
  <si>
    <t>100SP1T8B13M1QEH</t>
  </si>
  <si>
    <t>SWITCH, TOGGLE, ON-ON, SPDT, 2-POSN, 18MM BAT</t>
  </si>
  <si>
    <t>1.1.8.23.10</t>
  </si>
  <si>
    <t>P170S-FC20BR10K</t>
  </si>
  <si>
    <t>POT, 10K, PNL MNT, SIDE ADJUST, SLDR LUGS, ON-OFF SW</t>
  </si>
  <si>
    <t>1.1.8.23.11</t>
  </si>
  <si>
    <t>OHC0003-A-012FGB3</t>
  </si>
  <si>
    <t>ASSY, KNOB, GREY, .25 D-SHAFT</t>
  </si>
  <si>
    <t>1.1.8.23.11.1</t>
  </si>
  <si>
    <t>OHC0003-012FGB3</t>
  </si>
  <si>
    <t>KNOB, GREY, .25 D-SHAFT</t>
  </si>
  <si>
    <t>OHC0003-012FGB3 - KNOB, GREY, .25 D-SHAFT</t>
  </si>
  <si>
    <t>1.1.8.23.11.2</t>
  </si>
  <si>
    <t>1.1.8.23.12</t>
  </si>
  <si>
    <t>NUT (PO P170S-FC20BR10K)</t>
  </si>
  <si>
    <t>1.1.8.23.13</t>
  </si>
  <si>
    <t>OH2A2A1A3-14</t>
  </si>
  <si>
    <t>INSULATING WASHER</t>
  </si>
  <si>
    <t>OH2A2A1A3-14 - INSULATING WASHER</t>
  </si>
  <si>
    <t>1.1.8.24</t>
  </si>
  <si>
    <t>OH2A2A1A1-1</t>
  </si>
  <si>
    <t>ASSY, PANEL, JETT SELECT</t>
  </si>
  <si>
    <t>1.1.8.24.1</t>
  </si>
  <si>
    <t>OH2A2A1A1-10</t>
  </si>
  <si>
    <t>JETT SELECT BODY</t>
  </si>
  <si>
    <t>OH2A2A1A1-10 - JETT SELECT BODY</t>
  </si>
  <si>
    <t>1.1.8.24.2</t>
  </si>
  <si>
    <t>OH2A2A1A1-11A</t>
  </si>
  <si>
    <t>SUBASSY, JETT SELECT MOUNTING PLATE</t>
  </si>
  <si>
    <t>OH2A2A1A1-11A - SUBASSY, JETT SELECT MOUNTING PLATE</t>
  </si>
  <si>
    <t>1.1.8.24.2.1</t>
  </si>
  <si>
    <t>OH2A2A1A1-11</t>
  </si>
  <si>
    <t>JETT SELECT MOUNTING PLATE</t>
  </si>
  <si>
    <t>OH2A2A1A1-11 - JETT SELECT MOUNTING PLATE</t>
  </si>
  <si>
    <t>1.1.8.24.2.2</t>
  </si>
  <si>
    <t>1.1.8.24.3</t>
  </si>
  <si>
    <t>OH2A2A1A1-32</t>
  </si>
  <si>
    <t>PCB, JETT STATION SELECT</t>
  </si>
  <si>
    <t>OH2A2A1A1-32 - PCB, JETT STATION SELECT</t>
  </si>
  <si>
    <t>1.1.8.24.4</t>
  </si>
  <si>
    <t>1.1.8.24.5</t>
  </si>
  <si>
    <t>OH2A2A1A1-100RO</t>
  </si>
  <si>
    <t>ASSY, JETT SELECT PUSHBUTTON, RO</t>
  </si>
  <si>
    <t>OH2A2A1A1-100RO - ASSY, JETT SELECT PUSHBUTTON, RO</t>
  </si>
  <si>
    <t>1.1.8.24.5.1</t>
  </si>
  <si>
    <t>OH2A2A1A1-12</t>
  </si>
  <si>
    <t>.55 SQ INDICATOR BEZEL</t>
  </si>
  <si>
    <t>OH2A2A1A1-12 - .55 SQ INDICATOR BEZEL</t>
  </si>
  <si>
    <t>1.1.8.24.5.2</t>
  </si>
  <si>
    <t>OH2A2A1A1-13</t>
  </si>
  <si>
    <t>JETT STATION SEL LEGEND COVER, RO</t>
  </si>
  <si>
    <t>OH2A2A1A1-13 - JETT STATION SEL LEGEND COVER, RO</t>
  </si>
  <si>
    <t>1.1.8.24.5.3</t>
  </si>
  <si>
    <t>OH2A2A1A1-14</t>
  </si>
  <si>
    <t>JETT STATION SEL LEGEND, TRIANGLE</t>
  </si>
  <si>
    <t>OH2A2A1A1-14 - JETT STATION SEL LEGEND, TRIANGLE</t>
  </si>
  <si>
    <t>1.1.8.24.5.4</t>
  </si>
  <si>
    <t>OH2A2A1A1-15</t>
  </si>
  <si>
    <t>.55 SQ INDICATOR ACTUATOR</t>
  </si>
  <si>
    <t>OH2A2A1A1-15 - .55 SQ INDICATOR ACTUATOR</t>
  </si>
  <si>
    <t>1.1.8.24.5.5</t>
  </si>
  <si>
    <t>OH2A2A1A1-16</t>
  </si>
  <si>
    <t>JETT STATION SEL INDICATOR LEGEND DIFFUSER</t>
  </si>
  <si>
    <t>OH2A2A1A1-16 - JETT STATION SEL INDICATOR LEGEND DIFFUSER</t>
  </si>
  <si>
    <t>1.1.8.24.6</t>
  </si>
  <si>
    <t>OH2A2A1A1-100LI</t>
  </si>
  <si>
    <t>ASSY, JETT SELECT PUSHBUTTON, LI</t>
  </si>
  <si>
    <t>OH2A2A1A1-100LI - ASSY, JETT SELECT PUSHBUTTON, LI</t>
  </si>
  <si>
    <t>1.1.8.24.6.1</t>
  </si>
  <si>
    <t>1.1.8.24.6.2</t>
  </si>
  <si>
    <t>OH2A2A1A1-17</t>
  </si>
  <si>
    <t>JETT STATION SEL LEGEND COVER, LI</t>
  </si>
  <si>
    <t>OH2A2A1A1-17 - JETT STATION SEL LEGEND COVER, LI</t>
  </si>
  <si>
    <t>1.1.8.24.6.3</t>
  </si>
  <si>
    <t>1.1.8.24.6.4</t>
  </si>
  <si>
    <t>1.1.8.24.6.5</t>
  </si>
  <si>
    <t>1.1.8.24.7</t>
  </si>
  <si>
    <t>OH2A2A1A1-100LO</t>
  </si>
  <si>
    <t>ASSY, JETT SELECT PUSHBUTTON, LO</t>
  </si>
  <si>
    <t>OH2A2A1A1-100LO - ASSY, JETT SELECT PUSHBUTTON, LO</t>
  </si>
  <si>
    <t>1.1.8.24.7.1</t>
  </si>
  <si>
    <t>OH2A2A1A1-19</t>
  </si>
  <si>
    <t>JETT STATION SEL LEGEND COVER, LO</t>
  </si>
  <si>
    <t>OH2A2A1A1-19 - JETT STATION SEL LEGEND COVER, LO</t>
  </si>
  <si>
    <t>1.1.8.24.7.2</t>
  </si>
  <si>
    <t>1.1.8.24.7.3</t>
  </si>
  <si>
    <t>1.1.8.24.7.4</t>
  </si>
  <si>
    <t>1.1.8.24.7.5</t>
  </si>
  <si>
    <t>1.1.8.24.8</t>
  </si>
  <si>
    <t>OH2A2A1A1-100RI</t>
  </si>
  <si>
    <t>ASSY, JETT SELECT PUSHBUTTON, RI</t>
  </si>
  <si>
    <t>OH2A2A1A1-100RI - ASSY, JETT SELECT PUSHBUTTON, RI</t>
  </si>
  <si>
    <t>1.1.8.24.8.1</t>
  </si>
  <si>
    <t>OH2A2A1A1-18</t>
  </si>
  <si>
    <t>JETT STATION SEL LEGEND COVER, RI</t>
  </si>
  <si>
    <t>OH2A2A1A1-18 - JETT STATION SEL LEGEND COVER, RI</t>
  </si>
  <si>
    <t>1.1.8.24.8.2</t>
  </si>
  <si>
    <t>1.1.8.24.8.3</t>
  </si>
  <si>
    <t>1.1.8.24.8.4</t>
  </si>
  <si>
    <t>1.1.8.24.8.5</t>
  </si>
  <si>
    <t>1.1.8.24.9</t>
  </si>
  <si>
    <t>OH2A2A1A1-100CTR</t>
  </si>
  <si>
    <t>ASSY, JETT SELECT PUSHBUTTON, CTR</t>
  </si>
  <si>
    <t>OH2A2A1A1-100CTR - ASSY, JETT SELECT PUSHBUTTON, CTR</t>
  </si>
  <si>
    <t>1.1.8.24.9.1</t>
  </si>
  <si>
    <t>OH2A2A1A1-20</t>
  </si>
  <si>
    <t>JETT STATION SEL LEGEND COVER, CTR</t>
  </si>
  <si>
    <t>OH2A2A1A1-20 - JETT STATION SEL LEGEND COVER, CTR</t>
  </si>
  <si>
    <t>1.1.8.24.9.2</t>
  </si>
  <si>
    <t>1.1.8.24.9.3</t>
  </si>
  <si>
    <t>1.1.8.24.9.4</t>
  </si>
  <si>
    <t>1.1.8.24.9.5</t>
  </si>
  <si>
    <t>1.1.8.24.10</t>
  </si>
  <si>
    <t>OH2A2A1A1-200NS</t>
  </si>
  <si>
    <t>ASSY, JETT SELECT INDICATOR, NOSE</t>
  </si>
  <si>
    <t>OH2A2A1A1-200NS - ASSY, JETT SELECT INDICATOR, NOSE</t>
  </si>
  <si>
    <t>1.1.8.24.10.1</t>
  </si>
  <si>
    <t>OH2A2A1A1-21</t>
  </si>
  <si>
    <t>JETT SELECT INDICATOR LEGEND COVER</t>
  </si>
  <si>
    <t>OH2A2A1A1-21 - JETT SELECT INDICATOR LEGEND COVER</t>
  </si>
  <si>
    <t>1.1.8.24.10.2</t>
  </si>
  <si>
    <t>OH2A2A1A1-22</t>
  </si>
  <si>
    <t>JETT SELECT INDICATOR LEGEND, NOSE</t>
  </si>
  <si>
    <t>OH2A2A1A1-22 - JETT SELECT INDICATOR LEGEND, NOSE</t>
  </si>
  <si>
    <t>1.1.8.24.10.3</t>
  </si>
  <si>
    <t>OH2A2A1A1-23</t>
  </si>
  <si>
    <t>JETT SELECT INDICATOR LEGEND DIFFUSER</t>
  </si>
  <si>
    <t>OH2A2A1A1-23 - JETT SELECT INDICATOR LEGEND DIFFUSER</t>
  </si>
  <si>
    <t>1.1.8.24.10.4</t>
  </si>
  <si>
    <t>OH2A2A1A1-24</t>
  </si>
  <si>
    <t>JETT SELECT INDICATOR STANDOFF</t>
  </si>
  <si>
    <t>OH2A2A1A1-24 - JETT SELECT INDICATOR STANDOFF</t>
  </si>
  <si>
    <t>1.1.8.24.10.5</t>
  </si>
  <si>
    <t>OH2A2A1A1-25</t>
  </si>
  <si>
    <t>JETT SELECT INDICATOR BEZEL</t>
  </si>
  <si>
    <t>OH2A2A1A1-25 - JETT SELECT INDICATOR BEZEL</t>
  </si>
  <si>
    <t>1.1.8.24.11</t>
  </si>
  <si>
    <t>OH2A2A1A1-200LT</t>
  </si>
  <si>
    <t>ASSY, JETT SELECT INDICATOR, LEFT</t>
  </si>
  <si>
    <t>OH2A2A1A1-200LT - ASSY, JETT SELECT INDICATOR, LEFT</t>
  </si>
  <si>
    <t>1.1.8.24.11.1</t>
  </si>
  <si>
    <t>OH2A2A1A1-26</t>
  </si>
  <si>
    <t>JETT SELECT INDICATOR LEGEND, LEFT</t>
  </si>
  <si>
    <t>OH2A2A1A1-26 - JETT SELECT INDICATOR LEGEND, LEFT</t>
  </si>
  <si>
    <t>1.1.8.24.11.2</t>
  </si>
  <si>
    <t>1.1.8.24.11.3</t>
  </si>
  <si>
    <t>1.1.8.24.11.4</t>
  </si>
  <si>
    <t>1.1.8.24.11.5</t>
  </si>
  <si>
    <t>1.1.8.24.12</t>
  </si>
  <si>
    <t>OH2A2A1A1-200RT</t>
  </si>
  <si>
    <t>ASSY, JETT SELECT INDICATOR, RIGHT</t>
  </si>
  <si>
    <t>OH2A2A1A1-200RT - ASSY, JETT SELECT INDICATOR, RIGHT</t>
  </si>
  <si>
    <t>1.1.8.24.12.1</t>
  </si>
  <si>
    <t>OH2A2A1A1-27</t>
  </si>
  <si>
    <t>JETT SELECT INDICATOR LEGEND, RIGHT</t>
  </si>
  <si>
    <t>OH2A2A1A1-27 - JETT SELECT INDICATOR LEGEND, RIGHT</t>
  </si>
  <si>
    <t>1.1.8.24.12.2</t>
  </si>
  <si>
    <t>1.1.8.24.12.3</t>
  </si>
  <si>
    <t>1.1.8.24.12.4</t>
  </si>
  <si>
    <t>1.1.8.24.12.5</t>
  </si>
  <si>
    <t>1.1.8.24.13</t>
  </si>
  <si>
    <t>OH2A2A1A1-200HLF</t>
  </si>
  <si>
    <t>ASSY, JETT SELECT INDICATOR, HALF</t>
  </si>
  <si>
    <t>OH2A2A1A1-200HLF - ASSY, JETT SELECT INDICATOR, HALF</t>
  </si>
  <si>
    <t>1.1.8.24.13.1</t>
  </si>
  <si>
    <t>OH2A2A1A1-28</t>
  </si>
  <si>
    <t>JETT SELECT INDICATOR LEGEND, HALF</t>
  </si>
  <si>
    <t>OH2A2A1A1-28 - JETT SELECT INDICATOR LEGEND, HALF</t>
  </si>
  <si>
    <t>1.1.8.24.13.2</t>
  </si>
  <si>
    <t>1.1.8.24.13.3</t>
  </si>
  <si>
    <t>1.1.8.24.13.4</t>
  </si>
  <si>
    <t>1.1.8.24.13.5</t>
  </si>
  <si>
    <t>1.1.8.24.14</t>
  </si>
  <si>
    <t>OH2A2A1A1-200FUL</t>
  </si>
  <si>
    <t>ASSY, JETT SELECT INDICATOR, FULL</t>
  </si>
  <si>
    <t>OH2A2A1A1-200FUL - ASSY, JETT SELECT INDICATOR, FULL</t>
  </si>
  <si>
    <t>1.1.8.24.14.1</t>
  </si>
  <si>
    <t>OH2A2A1A1-29</t>
  </si>
  <si>
    <t>JETT SELECT INDICATOR LEGEND, FULL</t>
  </si>
  <si>
    <t>OH2A2A1A1-29 - JETT SELECT INDICATOR LEGEND, FULL</t>
  </si>
  <si>
    <t>1.1.8.24.14.2</t>
  </si>
  <si>
    <t>1.1.8.24.14.3</t>
  </si>
  <si>
    <t>1.1.8.24.14.4</t>
  </si>
  <si>
    <t>1.1.8.24.14.5</t>
  </si>
  <si>
    <t>1.1.8.24.15</t>
  </si>
  <si>
    <t>OH2A2A1A1-200FLP</t>
  </si>
  <si>
    <t>ASSY, JETT SELECT INDICATOR, FLAPS</t>
  </si>
  <si>
    <t>OH2A2A1A1-200FLP - ASSY, JETT SELECT INDICATOR, FLAPS</t>
  </si>
  <si>
    <t>1.1.8.24.15.1</t>
  </si>
  <si>
    <t>OH2A2A1A1-30</t>
  </si>
  <si>
    <t>JETT SELECT INDICATOR LEGEND, FLAPS</t>
  </si>
  <si>
    <t>OH2A2A1A1-30 - JETT SELECT INDICATOR LEGEND, FLAPS</t>
  </si>
  <si>
    <t>1.1.8.24.15.2</t>
  </si>
  <si>
    <t>1.1.8.24.15.3</t>
  </si>
  <si>
    <t>1.1.8.24.15.4</t>
  </si>
  <si>
    <t>1.1.8.24.15.5</t>
  </si>
  <si>
    <t>1.1.9</t>
  </si>
  <si>
    <t>X502-1</t>
  </si>
  <si>
    <t>MONO POWER AMPLIFIER, CL D, 1000W, KENWOOD</t>
  </si>
  <si>
    <t>1.1.10</t>
  </si>
  <si>
    <t>92141A008</t>
  </si>
  <si>
    <t>WASHER, #6 X .3125 OD, 18-8</t>
  </si>
  <si>
    <t>1.1.11</t>
  </si>
  <si>
    <t>91831A007</t>
  </si>
  <si>
    <t>NYLOC NUT, #6-32, 18-8</t>
  </si>
  <si>
    <t>1.1.12</t>
  </si>
  <si>
    <t>91249A161</t>
  </si>
  <si>
    <t>PHS, #6-32 X 1.50, 18-8, BLK</t>
  </si>
  <si>
    <t>1.1.13</t>
  </si>
  <si>
    <t>1.1.14</t>
  </si>
  <si>
    <t>1.1.15</t>
  </si>
  <si>
    <t>91249A197</t>
  </si>
  <si>
    <t>PHS, #8-32 X .750, 18-8, BLK</t>
  </si>
  <si>
    <t>1.1.16</t>
  </si>
  <si>
    <t>1.1.17</t>
  </si>
  <si>
    <t>1.1.18</t>
  </si>
  <si>
    <t>7658K17</t>
  </si>
  <si>
    <t>SWITCH, LIMIT, SUBMINIATURE, SNAP-ACTING, SPST</t>
  </si>
  <si>
    <t>1.1.19</t>
  </si>
  <si>
    <t>1.1.20</t>
  </si>
  <si>
    <t>91771A141</t>
  </si>
  <si>
    <t>FHS, 82DEG, #2-56 X 1.25, 18-8</t>
  </si>
  <si>
    <t>1.1.21</t>
  </si>
  <si>
    <t>90176A102</t>
  </si>
  <si>
    <t>SPACER, #4 X .188 OD X .125 L, NYLON, BLK</t>
  </si>
  <si>
    <t>NYL</t>
  </si>
  <si>
    <t>1.1.22</t>
  </si>
  <si>
    <t>1.1.23</t>
  </si>
  <si>
    <t>91841A005</t>
  </si>
  <si>
    <t>NUT, #4-40, 18-1</t>
  </si>
  <si>
    <t>1.1.24</t>
  </si>
  <si>
    <t>91771A119</t>
  </si>
  <si>
    <t>FHS, 82DEG, #4-40 X 1.50, 18-8</t>
  </si>
  <si>
    <t>1.1.25</t>
  </si>
  <si>
    <t>7383N341</t>
  </si>
  <si>
    <t>SPRING, EXTENSION, 1.0L X .24OD X .018 WIRE, 1.18LBF MAX</t>
  </si>
  <si>
    <t>1.1.26</t>
  </si>
  <si>
    <t>90760A007</t>
  </si>
  <si>
    <t>NUT, JAM, #6-32, STEEL</t>
  </si>
  <si>
    <t>1.1.27</t>
  </si>
  <si>
    <t>90273A157</t>
  </si>
  <si>
    <t>FHS, 82DEG, #6-32 X 1.50, STEEL</t>
  </si>
  <si>
    <t>1.1.28</t>
  </si>
  <si>
    <t>92200A197</t>
  </si>
  <si>
    <t>SHCS, #8-32 X .750, 18-8</t>
  </si>
  <si>
    <t>1.1.29</t>
  </si>
  <si>
    <t>96765A120</t>
  </si>
  <si>
    <t>WASHER, #8 X .375 OD, 18-8, BLACK</t>
  </si>
  <si>
    <t>1.1.30</t>
  </si>
  <si>
    <t>OH2A8A1-1</t>
  </si>
  <si>
    <t>ASSY, RUDDER PEDALS</t>
  </si>
  <si>
    <t>1.1.30.1</t>
  </si>
  <si>
    <t>PA-18-12-150</t>
  </si>
  <si>
    <t>TRACK LINEAR ACTUATOR, 12IN</t>
  </si>
  <si>
    <t>1.1.30.2</t>
  </si>
  <si>
    <t>BRK-19A</t>
  </si>
  <si>
    <t>MOUNTING BRACKET FOR PA-18</t>
  </si>
  <si>
    <t>1.1.30.3</t>
  </si>
  <si>
    <t>BRK-19B</t>
  </si>
  <si>
    <t>1.1.30.4</t>
  </si>
  <si>
    <t>OH2A1-23</t>
  </si>
  <si>
    <t>RUDDER GANTRY RISER</t>
  </si>
  <si>
    <t>1.1.30.5</t>
  </si>
  <si>
    <t>OH2A1-24</t>
  </si>
  <si>
    <t>RUDDER GANTRY PLATE</t>
  </si>
  <si>
    <t>1.1.30.6</t>
  </si>
  <si>
    <t>OH2A8A1-100</t>
  </si>
  <si>
    <t>ASSY, MFG CROSSWIND WITH OH PEDALS</t>
  </si>
  <si>
    <t>1.1.30.6.1</t>
  </si>
  <si>
    <t>MFG CROSSWIND V3 GRAPHITE - BASE</t>
  </si>
  <si>
    <t>1.1.30.6.2</t>
  </si>
  <si>
    <t>OH2A8A1-10</t>
  </si>
  <si>
    <t>LH RUDDER PEDAL FOR MFG</t>
  </si>
  <si>
    <t>1.1.30.6.3</t>
  </si>
  <si>
    <t>OH2A8A1-11</t>
  </si>
  <si>
    <t>RH RUDDER PEDAL FOR MFG</t>
  </si>
  <si>
    <t>1.1.30.6.4</t>
  </si>
  <si>
    <t>92855A628</t>
  </si>
  <si>
    <t>SHCS, M6X1.0, 35MM, 18-1, LOW-PROFILE</t>
  </si>
  <si>
    <t>1.1.30.7</t>
  </si>
  <si>
    <t>97416A113</t>
  </si>
  <si>
    <t>WASHER, #8, STEEL, BLACK-OXIDE</t>
  </si>
  <si>
    <t>1.1.30.8</t>
  </si>
  <si>
    <t>1.1.30.9</t>
  </si>
  <si>
    <t>OH2A8A1-200L</t>
  </si>
  <si>
    <t>ASSY, PEDAL SUPPORT WHEEL</t>
  </si>
  <si>
    <t>1.1.30.9.1</t>
  </si>
  <si>
    <t>OH2A8A1-20L</t>
  </si>
  <si>
    <t>PEDAL SUPPORT WHEEL BRACKET, LEFT</t>
  </si>
  <si>
    <t>OH2A8A1-20L - PEDAL SUPPORT WHEEL BRACKET, LEFT</t>
  </si>
  <si>
    <t>ABS PLASTIC</t>
  </si>
  <si>
    <t>1.1.30.9.2</t>
  </si>
  <si>
    <t>2337T1</t>
  </si>
  <si>
    <t>WHEEL, 1.625IN OD, RUBBER</t>
  </si>
  <si>
    <t>1.1.30.9.3</t>
  </si>
  <si>
    <t>92196A303</t>
  </si>
  <si>
    <t>SHCS, #12-24 X 1.750, 18-8</t>
  </si>
  <si>
    <t>1.1.30.9.4</t>
  </si>
  <si>
    <t>92141A013</t>
  </si>
  <si>
    <t>WASHER, #12 X 0.50 OD, 18-8</t>
  </si>
  <si>
    <t>1.1.30.9.5</t>
  </si>
  <si>
    <t>91831A025</t>
  </si>
  <si>
    <t>NYLOC NUT, #12-24, 18-8</t>
  </si>
  <si>
    <t>1.1.30.10</t>
  </si>
  <si>
    <t>91309A542</t>
  </si>
  <si>
    <t>HHCS, .25-20 X 1.00, STEEL, ZINC</t>
  </si>
  <si>
    <t>1.1.30.11</t>
  </si>
  <si>
    <t>95615A120</t>
  </si>
  <si>
    <t>NYLOC NUT, .25-20, GR5, STEEL</t>
  </si>
  <si>
    <t>1.1.30.12</t>
  </si>
  <si>
    <t>OH2A8A1-200R</t>
  </si>
  <si>
    <t>1.1.30.12.1</t>
  </si>
  <si>
    <t>OH2A8A1-20R - PEDAL SUPPORT WHEEL BRACKET, RIGHT</t>
  </si>
  <si>
    <t>1.1.30.12.2</t>
  </si>
  <si>
    <t>1.1.30.12.3</t>
  </si>
  <si>
    <t>1.1.30.12.4</t>
  </si>
  <si>
    <t>1.1.30.12.5</t>
  </si>
  <si>
    <t>1.1.30.13</t>
  </si>
  <si>
    <t>91247A546</t>
  </si>
  <si>
    <t>HHCS, .25-20 X 1.50, GR8, STEEL</t>
  </si>
  <si>
    <t>1.1.30.14</t>
  </si>
  <si>
    <t>90126A029</t>
  </si>
  <si>
    <t>WASHER, .25 X .625, STEEL, ZINC</t>
  </si>
  <si>
    <t>1.1.31</t>
  </si>
  <si>
    <t>1.1.32</t>
  </si>
  <si>
    <t>OHC0013-3</t>
  </si>
  <si>
    <t>ASSY, LEFT FWD BULKHEAD INTERCONNECT PANEL</t>
  </si>
  <si>
    <t>1.1.32.1</t>
  </si>
  <si>
    <t>OHC0013-10</t>
  </si>
  <si>
    <t>BULKHEAD INTERCONNECT PANEL</t>
  </si>
  <si>
    <t>1.1.32.2</t>
  </si>
  <si>
    <t>39-01-2221</t>
  </si>
  <si>
    <t>MOLEX, MINI-FIT JR, 5559-SERIES, PNL MNT, 22 POS</t>
  </si>
  <si>
    <t>1.1.32.3</t>
  </si>
  <si>
    <t>39-01-2081</t>
  </si>
  <si>
    <t>MOLEX, MINI-FIT JR, 5559-SERIES, PNL MNT, 8 POS</t>
  </si>
  <si>
    <t>1.1.32.4</t>
  </si>
  <si>
    <t>39-01-2041</t>
  </si>
  <si>
    <t>MOLEX, MINI-FIT JR, 5559-SERIES, PNL MNT, 4 POS</t>
  </si>
  <si>
    <t>1.1.32.5</t>
  </si>
  <si>
    <t>NL2MPXX</t>
  </si>
  <si>
    <t>CONNECTOR, LOUDSPEAKER, 2-POLE, NEUTRIK</t>
  </si>
  <si>
    <t>1.1.32.6</t>
  </si>
  <si>
    <t>1.1.32.7</t>
  </si>
  <si>
    <t>90471A160</t>
  </si>
  <si>
    <t>FHS, 100DEG, #4-40 X .375, STEEL</t>
  </si>
  <si>
    <t>1.1.32.8</t>
  </si>
  <si>
    <t>1698-01C</t>
  </si>
  <si>
    <t>CABLE, USB 3.0, PNL MOUNT, TYPE A TO TYPE A, 1 FT</t>
  </si>
  <si>
    <t>1.1.33</t>
  </si>
  <si>
    <t>OHC0013-4</t>
  </si>
  <si>
    <t>ASSY, RIGHT FWD BULKHEAD INTERCONNECT PANEL</t>
  </si>
  <si>
    <t>1.1.33.1</t>
  </si>
  <si>
    <t>1.1.33.2</t>
  </si>
  <si>
    <t>1.1.33.3</t>
  </si>
  <si>
    <t>1.1.33.4</t>
  </si>
  <si>
    <t>1.1.33.5</t>
  </si>
  <si>
    <t>1698-04C</t>
  </si>
  <si>
    <t>CABLE, USB 3.0, PNL MOUNT, TYPE A TO TYPE A, 4 FT</t>
  </si>
  <si>
    <t>1.1.34</t>
  </si>
  <si>
    <t>1.1.35</t>
  </si>
  <si>
    <t>USB32HD4</t>
  </si>
  <si>
    <t>ADAPTER, 4X HDMI TO USB 3.0 A, STARTECH</t>
  </si>
  <si>
    <t>1.1.36</t>
  </si>
  <si>
    <t>ABSIS005</t>
  </si>
  <si>
    <t>ASSY, ABSIS BACKLIGHT CONTROLLER</t>
  </si>
  <si>
    <t>1.1.36.1</t>
  </si>
  <si>
    <t>ABSIS005A1</t>
  </si>
  <si>
    <t>PCB, ABSIS_BACKLIGHT_CONTROLLER</t>
  </si>
  <si>
    <t>ABSIS005A1 - PCB, ABSIS_BACKLIGHT_CONTROLLER</t>
  </si>
  <si>
    <t>1.1.36.2</t>
  </si>
  <si>
    <t>A000067 - ARDUINO MEGA 2560 R3</t>
  </si>
  <si>
    <t>1.1.37</t>
  </si>
  <si>
    <t>B09V6WY1SD</t>
  </si>
  <si>
    <t>HUB, USB 3.0, 7-PORT, 5VDC</t>
  </si>
  <si>
    <t>1.1.38</t>
  </si>
  <si>
    <t>CP-9020195-NA</t>
  </si>
  <si>
    <t>RM SERIES™ RM750</t>
  </si>
  <si>
    <t>1.1.39</t>
  </si>
  <si>
    <t>PCB, ATX PSU BREAKOUT</t>
  </si>
  <si>
    <t>1.1.40</t>
  </si>
  <si>
    <t>OHC0013-5</t>
  </si>
  <si>
    <t>ASSY, LEFT LIP-UIP BULKHEAD PANEL</t>
  </si>
  <si>
    <t>1.1.40.1</t>
  </si>
  <si>
    <t>OHC0013-20</t>
  </si>
  <si>
    <t>LEFT LIP-UIP BULKHEAD PANEL</t>
  </si>
  <si>
    <t>1.1.40.2</t>
  </si>
  <si>
    <t>1.1.40.3</t>
  </si>
  <si>
    <t>1.1.40.4</t>
  </si>
  <si>
    <t>1698-02C</t>
  </si>
  <si>
    <t>CABLE, USB 3.0, PNL MOUNT, TYPE A TO TYPE A, 2 FT</t>
  </si>
  <si>
    <t>1.1.41</t>
  </si>
  <si>
    <t>OHC0013-6</t>
  </si>
  <si>
    <t>ASSY, RIGHT LIP-UIP BULKHEAD PANEL</t>
  </si>
  <si>
    <t>1.1.41.1</t>
  </si>
  <si>
    <t>OHC0013-30</t>
  </si>
  <si>
    <t>RIGHT LIP-UIP BULKHEAD PANEL</t>
  </si>
  <si>
    <t>1.1.41.2</t>
  </si>
  <si>
    <t>P164-000-KPBK8K</t>
  </si>
  <si>
    <t>COUPLER, HDMI, F-F, KEYSTONE</t>
  </si>
  <si>
    <t>1.1.41.3</t>
  </si>
  <si>
    <t>39-01-2021</t>
  </si>
  <si>
    <t>MOLEX, MINI-FIT JR, 5559-SERIES, PNL MNT, 2 POS</t>
  </si>
  <si>
    <t>1.1.42</t>
  </si>
  <si>
    <t>ABSIS007</t>
  </si>
  <si>
    <t>ASSY, ABSIS PIT MANAGEMENT SYSTEM</t>
  </si>
  <si>
    <t>1.1.42.1</t>
  </si>
  <si>
    <t>ABSIS007-10</t>
  </si>
  <si>
    <t>PCB, ABSIS PIT MANAGEMENT SYSTEM</t>
  </si>
  <si>
    <t>1.1.42.2</t>
  </si>
  <si>
    <t>1.1.43</t>
  </si>
  <si>
    <t>OHC0013-7</t>
  </si>
  <si>
    <t>ASSY, SHORE BULKHEAD PANEL</t>
  </si>
  <si>
    <t>1.1.43.1</t>
  </si>
  <si>
    <t>OHC0013-40</t>
  </si>
  <si>
    <t>SHORE BULKHEAD PANEL</t>
  </si>
  <si>
    <t>1.1.43.2</t>
  </si>
  <si>
    <t>9291-02HV</t>
  </si>
  <si>
    <t>CABLE, POWER, PNL MNT, C14 TO C13, 125-250VAC</t>
  </si>
  <si>
    <t>1.1.43.3</t>
  </si>
  <si>
    <t>1.1.43.4</t>
  </si>
  <si>
    <t>1689-03C</t>
  </si>
  <si>
    <t>CABLE, USB 3.0, PNL MNT, TYPE-B TO MICRO-B, 3 FEET</t>
  </si>
  <si>
    <t>1.1.44</t>
  </si>
  <si>
    <t>OH2A1-27</t>
  </si>
  <si>
    <t>USB BRACKET LOWER</t>
  </si>
  <si>
    <t xml:space="preserve">OH2A1-27 - USB BRACKET LOWER </t>
  </si>
  <si>
    <t>1.1.45</t>
  </si>
  <si>
    <t>OH2A1-28</t>
  </si>
  <si>
    <t>USB BRACKET UPPER</t>
  </si>
  <si>
    <t>OH2A1-28 - USB BRACKET UPPER</t>
  </si>
  <si>
    <t>1.1.46</t>
  </si>
  <si>
    <t>91249A155</t>
  </si>
  <si>
    <t>PHS, #6-32 X .750, 18-8, BLK</t>
  </si>
  <si>
    <t>1.1.47</t>
  </si>
  <si>
    <t>1.1.48</t>
  </si>
  <si>
    <t>1.1.49</t>
  </si>
  <si>
    <t>1.1.50</t>
  </si>
  <si>
    <t>OH2A1-31</t>
  </si>
  <si>
    <t>PSU BRACKET UPPER</t>
  </si>
  <si>
    <t>1.1.51</t>
  </si>
  <si>
    <t>90273A153</t>
  </si>
  <si>
    <t>FHS, 82DEG, #6-32 X 1.00, STEEL</t>
  </si>
  <si>
    <t>1.1.52</t>
  </si>
  <si>
    <t>OH2A1-30</t>
  </si>
  <si>
    <t>PSU BRACKET LOWER</t>
  </si>
  <si>
    <t>1.1.53</t>
  </si>
  <si>
    <t>OH2A1-32</t>
  </si>
  <si>
    <t>PSU BRACKET LOWER HOLDER</t>
  </si>
  <si>
    <t>1.1.54</t>
  </si>
  <si>
    <t>91249A060</t>
  </si>
  <si>
    <t>PHS, #2-56 X .625, 18-8, BLK</t>
  </si>
  <si>
    <t>1.1.55</t>
  </si>
  <si>
    <t>90471A223</t>
  </si>
  <si>
    <t>FHS, 100 DEG, #6-32 X .750, STEEL</t>
  </si>
  <si>
    <t>1.1.56</t>
  </si>
  <si>
    <t>OH2A1-100</t>
  </si>
  <si>
    <t>ASSY, UPPER CENTER PEDESTAL</t>
  </si>
  <si>
    <t>OH2A1-100 - ASSY, UPPER CENTER PEDESTAL</t>
  </si>
  <si>
    <t>1.1.56.1</t>
  </si>
  <si>
    <t>OH2A1-17</t>
  </si>
  <si>
    <t>UPPER CENTER PEDESTAL FACE</t>
  </si>
  <si>
    <t>OH2A1-17 - UPPER CENTER PEDESTAL FACE</t>
  </si>
  <si>
    <t>1.1.56.2</t>
  </si>
  <si>
    <t>OH2A1-18</t>
  </si>
  <si>
    <t>UPPER CENTER PEDESTAL AMPCD TRIM</t>
  </si>
  <si>
    <t>OH2A1-18 - UPPER CENTER PEDESTAL AMPCD TRIM</t>
  </si>
  <si>
    <t>1.1.56.3</t>
  </si>
  <si>
    <t>OH2A3A1-1</t>
  </si>
  <si>
    <t>ASSY, AMPCD MODULE</t>
  </si>
  <si>
    <t>1.1.56.3.1</t>
  </si>
  <si>
    <t>OH2A3A1-10</t>
  </si>
  <si>
    <t>AMPCD - CRS-HDG BASE SUPPORT</t>
  </si>
  <si>
    <t>OH2A3A1-10 - AMPCD - CRS-HDG BASE SUPPORT</t>
  </si>
  <si>
    <t>1.1.56.3.2</t>
  </si>
  <si>
    <t>OH2A3A1-11</t>
  </si>
  <si>
    <t>HDG-CRS SET SPACER</t>
  </si>
  <si>
    <t>OH2A3A1-11 - HDG-CRS SET SPACER</t>
  </si>
  <si>
    <t>1.1.56.3.3</t>
  </si>
  <si>
    <t>OH2A3A1-12</t>
  </si>
  <si>
    <t>HDG-CRS SET SPACER LIGHTPLATE</t>
  </si>
  <si>
    <t>OH2A3A1-12 - HDG-CRS SET SPACER LIGHTPLATE</t>
  </si>
  <si>
    <t>1.1.56.3.4</t>
  </si>
  <si>
    <t>OH2A3A1-13</t>
  </si>
  <si>
    <t>HDG-CRS SET SPACER LEGEND PLATE</t>
  </si>
  <si>
    <t>OH2A3A1-13 - HDG-CRS SET SPACER LEGEND PLATE</t>
  </si>
  <si>
    <t>1.1.56.3.5</t>
  </si>
  <si>
    <t>OH2A3A1-14</t>
  </si>
  <si>
    <t>AMPCD BEZEL</t>
  </si>
  <si>
    <t>OH2A3A1-14 - AMPCD BEZEL</t>
  </si>
  <si>
    <t>1.1.56.3.6</t>
  </si>
  <si>
    <t>OH2A3A1-15</t>
  </si>
  <si>
    <t>AMPCD FINGER GUARD A</t>
  </si>
  <si>
    <t>OH2A3A1-15 - AMPCD FINGER GUARD A</t>
  </si>
  <si>
    <t>1.1.56.3.7</t>
  </si>
  <si>
    <t>OH2A3A1-16</t>
  </si>
  <si>
    <t>AMPCD FINGER GUARD B</t>
  </si>
  <si>
    <t>OH2A3A1-16 - AMPCD FINGER GUARD B</t>
  </si>
  <si>
    <t>1.1.56.3.8</t>
  </si>
  <si>
    <t>OH2A3A1-17</t>
  </si>
  <si>
    <t>AMPCD FINGER GUARD C</t>
  </si>
  <si>
    <t>OH2A3A1-17 - AMPCD FINGER GUARD C</t>
  </si>
  <si>
    <t>1.1.56.3.9</t>
  </si>
  <si>
    <t>OH2A3A1-18</t>
  </si>
  <si>
    <t>AMPCD BUTTON</t>
  </si>
  <si>
    <t>OH2A3A1-18 - AMPCD BUTTON</t>
  </si>
  <si>
    <t>1.1.56.3.10</t>
  </si>
  <si>
    <t>OH2A3A1-19</t>
  </si>
  <si>
    <t>AMPCD BUTTON INSERT</t>
  </si>
  <si>
    <t>OH2A3A1-19 - AMPCD BUTTON INSERT</t>
  </si>
  <si>
    <t>1.1.56.3.11</t>
  </si>
  <si>
    <t>OH2A3A1-20</t>
  </si>
  <si>
    <t>AMPCD ROCKER</t>
  </si>
  <si>
    <t>OH2A3A1-20 - AMPCD ROCKER</t>
  </si>
  <si>
    <t>1.1.56.3.12</t>
  </si>
  <si>
    <t>OH2A3A1-21</t>
  </si>
  <si>
    <t>AMPCD ROCKER INSERT</t>
  </si>
  <si>
    <t>OH2A3A1-21 - AMPCD ROCKER INSERT</t>
  </si>
  <si>
    <t>1.1.56.3.13</t>
  </si>
  <si>
    <t>OH2A3A1-22</t>
  </si>
  <si>
    <t>AMPCD LEGEND PLATE, DAY</t>
  </si>
  <si>
    <t>OH2A3A1-22 - AMPCD LEGEND PLATE, DAY</t>
  </si>
  <si>
    <t>1.1.56.3.14</t>
  </si>
  <si>
    <t>OH2A3A1-23</t>
  </si>
  <si>
    <t>AMPCD LEGEND PLATE, NGT</t>
  </si>
  <si>
    <t>OH2A3A1-23 - AMPCD LEGEND PLATE, NGT</t>
  </si>
  <si>
    <t>1.1.56.3.15</t>
  </si>
  <si>
    <t>OH2A3A1-24</t>
  </si>
  <si>
    <t>AMPCD LEGEND PLATE, OFF</t>
  </si>
  <si>
    <t>OH2A3A1-24 - AMPCD LEGEND PLATE, OFF</t>
  </si>
  <si>
    <t>1.1.56.3.16</t>
  </si>
  <si>
    <t>OH2A3A1-25</t>
  </si>
  <si>
    <t>AMPCD LEGEND PLATE, GAIN</t>
  </si>
  <si>
    <t>OH2A3A1-25 - AMPCD LEGEND PLATE, GAIN</t>
  </si>
  <si>
    <t>1.1.56.3.17</t>
  </si>
  <si>
    <t>OH2A3A1-26</t>
  </si>
  <si>
    <t>AMPCD LEGEND PLATE, SYM</t>
  </si>
  <si>
    <t>OH2A3A1-26 - AMPCD LEGEND PLATE, SYM</t>
  </si>
  <si>
    <t>1.1.56.3.18</t>
  </si>
  <si>
    <t>OH2A3A1-27</t>
  </si>
  <si>
    <t>AMPCD LEGEND PLATE, BRT</t>
  </si>
  <si>
    <t>OH2A3A1-27 - AMPCD LEGEND PLATE, BRT</t>
  </si>
  <si>
    <t>1.1.56.3.19</t>
  </si>
  <si>
    <t>OH2A3A1-28</t>
  </si>
  <si>
    <t>AMPCD LEGEND PLATE, CONT</t>
  </si>
  <si>
    <t>OH2A3A1-28 - AMPCD LEGEND PLATE, CONT</t>
  </si>
  <si>
    <t>1.1.56.3.21</t>
  </si>
  <si>
    <t>TAPE, LIGHT DUTY, DOUBLE SIDED, FOAM (1)</t>
  </si>
  <si>
    <t>7598A71 - TAPE, LIGHT DUTY, DOUBLE SIDED, FOAM (1)</t>
  </si>
  <si>
    <t>1.1.56.3.22</t>
  </si>
  <si>
    <t>ER-TFTV101A1-1</t>
  </si>
  <si>
    <t>ER-TFTV101A1-1_HDMI_CONTROLLER_PCB</t>
  </si>
  <si>
    <t>1.1.56.3.23</t>
  </si>
  <si>
    <t>1.1.56.3.24</t>
  </si>
  <si>
    <t>OH2A3A1-29</t>
  </si>
  <si>
    <t>AMPCD_BUTTON_BOARD</t>
  </si>
  <si>
    <t>OH2A3A1-29 - AMPCD_BUTTON_BOARD</t>
  </si>
  <si>
    <t>1.1.56.3.25</t>
  </si>
  <si>
    <t>3846N371</t>
  </si>
  <si>
    <t>1.0 X 36.0, STRIP, NPRN, ADHESIVE BACK, 40A DURO</t>
  </si>
  <si>
    <t>3846N371 - 1.0 X 36.0, STRIP, NPRN, ADHESIVE BACK, 40A DURO</t>
  </si>
  <si>
    <t>RBR</t>
  </si>
  <si>
    <t>1.1.56.3.26</t>
  </si>
  <si>
    <t>OH2A3A1-30</t>
  </si>
  <si>
    <t>AMPCD FINGER GUARD D</t>
  </si>
  <si>
    <t>OH2A3A1-30 - AMPCD FINGER GUARD D</t>
  </si>
  <si>
    <t>1.1.56.3.27</t>
  </si>
  <si>
    <t>39SB-1RB-103</t>
  </si>
  <si>
    <t>POT, 10K LINEAR, .125 SHAFT, DETENT SWITCH</t>
  </si>
  <si>
    <t>1.1.56.3.28</t>
  </si>
  <si>
    <t>100SP4T8B13M1QEH</t>
  </si>
  <si>
    <t>SWITCH, TOGGLE, (ON)-OFF-(ON), SPDT, 18MM BAT</t>
  </si>
  <si>
    <t>1.1.56.3.29</t>
  </si>
  <si>
    <t>1.1.56.3.30</t>
  </si>
  <si>
    <t>1.1.56.3.31</t>
  </si>
  <si>
    <t>1.1.56.3.32</t>
  </si>
  <si>
    <t>1.1.56.3.33</t>
  </si>
  <si>
    <t>1.1.56.3.34</t>
  </si>
  <si>
    <t>1.1.56.3.35</t>
  </si>
  <si>
    <t>1.1.56.3.36</t>
  </si>
  <si>
    <t>1.1.56.3.37</t>
  </si>
  <si>
    <t>91251A115</t>
  </si>
  <si>
    <t>SHCS, #4-40 X 1.00, STEEL, BLK</t>
  </si>
  <si>
    <t>1.1.56.3.38</t>
  </si>
  <si>
    <t>91251A107</t>
  </si>
  <si>
    <t>SHCS, #4-40 X .3125, STEEL, BLK</t>
  </si>
  <si>
    <t>1.1.56.3.39</t>
  </si>
  <si>
    <t>1.1.56.3.40</t>
  </si>
  <si>
    <t>OHC0015-1</t>
  </si>
  <si>
    <t>ASSY, DDI_AMPCD_CONTROLLER</t>
  </si>
  <si>
    <t>1.1.56.3.40.1</t>
  </si>
  <si>
    <t>OHC0015-10</t>
  </si>
  <si>
    <t>DDI_AMPCD_CONTROLLER</t>
  </si>
  <si>
    <t>1.1.56.3.40.2</t>
  </si>
  <si>
    <t>1.1.56.3.41</t>
  </si>
  <si>
    <t>OHC0003-412FGB2</t>
  </si>
  <si>
    <t>ASSY, KNOB, GREY, .125 RECESSED D-SHAFT</t>
  </si>
  <si>
    <t>1.1.56.3.41.1</t>
  </si>
  <si>
    <t>1.1.56.3.41.2</t>
  </si>
  <si>
    <t>OHC0003-412FGB2 - ASSY, KNOB, GREY, .125 RECESSED D-SHAFT</t>
  </si>
  <si>
    <t>1.1.56.4</t>
  </si>
  <si>
    <t>1.1.56.5</t>
  </si>
  <si>
    <t>1.1.56.6</t>
  </si>
  <si>
    <t>1.1.56.7</t>
  </si>
  <si>
    <t>1.1.56.8</t>
  </si>
  <si>
    <t>91078A029</t>
  </si>
  <si>
    <t>NUT, THIN, .25-20, STEEL</t>
  </si>
  <si>
    <t>1.1.57</t>
  </si>
  <si>
    <t>OH2A1-200</t>
  </si>
  <si>
    <t>ASSY, LOWER CENTER PEDESTAL</t>
  </si>
  <si>
    <t>OH2A1-200 - ASSY, LOWER CENTER PEDESTAL</t>
  </si>
  <si>
    <t>1.1.57.1</t>
  </si>
  <si>
    <t>OH2A1-13</t>
  </si>
  <si>
    <t>LOWER CENTER PEDESTAL FACE</t>
  </si>
  <si>
    <t>OH2A1-13 - LOWER CENTER PEDESTAL FACE</t>
  </si>
  <si>
    <t>1.1.57.2</t>
  </si>
  <si>
    <t>OH2A1-14</t>
  </si>
  <si>
    <t>RUDDER PEDAL ADJUST KNOB</t>
  </si>
  <si>
    <t>OH2A1-14 - RUDDER PEDAL ADJUST KNOB</t>
  </si>
  <si>
    <t>1.1.57.3</t>
  </si>
  <si>
    <t>OH2A1-15</t>
  </si>
  <si>
    <t>RUDDER PEDAL ADJUST LEVER</t>
  </si>
  <si>
    <t>OH2A1-15 - RUDDER PEDAL ADJUST LEVER</t>
  </si>
  <si>
    <t>1.1.57.4</t>
  </si>
  <si>
    <t>OH2A1-16</t>
  </si>
  <si>
    <t>CLOCK COVER</t>
  </si>
  <si>
    <t>OH2A1-16 - CLOCK COVER</t>
  </si>
  <si>
    <t>1.1.57.5</t>
  </si>
  <si>
    <t>OH2A4A1-1</t>
  </si>
  <si>
    <t>ASSY, PANEL, RWR CONTROL</t>
  </si>
  <si>
    <t>1.1.57.5.1</t>
  </si>
  <si>
    <t>OH2A4A1-10</t>
  </si>
  <si>
    <t>RWR CONTROL PANEL BACKPLATE</t>
  </si>
  <si>
    <t>OH2A4A1-10 - RWR CONTROL PANEL BACKPLATE</t>
  </si>
  <si>
    <t>1.1.57.5.2</t>
  </si>
  <si>
    <t>OH2A4A1-11</t>
  </si>
  <si>
    <t>RWR CONTROL PANEL LEGEND PLATE</t>
  </si>
  <si>
    <t>OH2A4A1-11 - RWR CONTROL PANEL LEGEND PLATE</t>
  </si>
  <si>
    <t>1.1.57.5.3</t>
  </si>
  <si>
    <t>OH2A4A1-12</t>
  </si>
  <si>
    <t>RWR CONTROL PANEL COVER</t>
  </si>
  <si>
    <t>OH2A4A1-12 - RWR CONTROL PANEL COVER</t>
  </si>
  <si>
    <t>1.1.57.5.4</t>
  </si>
  <si>
    <t>OH2A4A1-100</t>
  </si>
  <si>
    <t>RWR CONTROL INDICATOR, FAIL BIT</t>
  </si>
  <si>
    <t>OH2A4A1-100 - RWR CONTROL INDICATOR, FAIL BIT</t>
  </si>
  <si>
    <t>1.1.57.5.4.1</t>
  </si>
  <si>
    <t>1.1.57.5.4.2</t>
  </si>
  <si>
    <t>OH2A5A1-102</t>
  </si>
  <si>
    <t>.55 SQ INDICATOR COVER, BLANK</t>
  </si>
  <si>
    <t>OH2A5A1-102 - .55 SQ INDICATOR COVER, BLANK</t>
  </si>
  <si>
    <t>1.1.57.5.4.3</t>
  </si>
  <si>
    <t>OH2A4A1-103</t>
  </si>
  <si>
    <t>RWR CONTROL INDICATOR LEGEND, FAIL BIT</t>
  </si>
  <si>
    <t>OH2A4A1-103 - RWR CONTROL INDICATOR LEGEND, FAIL BIT</t>
  </si>
  <si>
    <t>1.1.57.5.4.4</t>
  </si>
  <si>
    <t>1.1.57.5.4.5</t>
  </si>
  <si>
    <t>1.1.57.5.5</t>
  </si>
  <si>
    <t>OH2A4A1-200</t>
  </si>
  <si>
    <t>RWR CONTROL INDICATOR, ENABLE OFFSET</t>
  </si>
  <si>
    <t>OH2A4A1-200 - RWR CONTROL INDICATOR, ENABLE OFFSET</t>
  </si>
  <si>
    <t>1.1.57.5.5.1</t>
  </si>
  <si>
    <t>1.1.57.5.5.2</t>
  </si>
  <si>
    <t>1.1.57.5.5.3</t>
  </si>
  <si>
    <t>OH2A4A1-203</t>
  </si>
  <si>
    <t>RWR CONTROL INDICATORLEGEND, ENABLE OFFSET</t>
  </si>
  <si>
    <t>OH2A4A1-203 - RWR CONTROL INDICATORLEGEND, ENABLE OFFSET</t>
  </si>
  <si>
    <t>1.1.57.5.5.4</t>
  </si>
  <si>
    <t>1.1.57.5.5.5</t>
  </si>
  <si>
    <t>1.1.57.5.6</t>
  </si>
  <si>
    <t>OH2A4A1-300</t>
  </si>
  <si>
    <t>RWR CONTROL INDICATOR, ENABLE SPECIAL</t>
  </si>
  <si>
    <t>OH2A4A1-300 - RWR CONTROL INDICATOR, ENABLE SPECIAL</t>
  </si>
  <si>
    <t>1.1.57.5.6.1</t>
  </si>
  <si>
    <t>1.1.57.5.6.2</t>
  </si>
  <si>
    <t>1.1.57.5.6.3</t>
  </si>
  <si>
    <t>OH2A4A1-303</t>
  </si>
  <si>
    <t>RWR CONTROL INDICATOR LEGEND, ENABLE SPECIAL</t>
  </si>
  <si>
    <t>OH2A4A1-303 - RWR CONTROL INDICATOR LEGEND, ENABLE SPECIAL</t>
  </si>
  <si>
    <t>1.1.57.5.6.4</t>
  </si>
  <si>
    <t>1.1.57.5.6.5</t>
  </si>
  <si>
    <t>1.1.57.5.7</t>
  </si>
  <si>
    <t>OH2A4A1-400</t>
  </si>
  <si>
    <t>RWR CONTROL INDICATOR, LIMIT DISP</t>
  </si>
  <si>
    <t>OH2A4A1-400 - RWR CONTROL INDICATOR, LIMIT DISP</t>
  </si>
  <si>
    <t>1.1.57.5.7.1</t>
  </si>
  <si>
    <t>1.1.57.5.7.2</t>
  </si>
  <si>
    <t>1.1.57.5.7.3</t>
  </si>
  <si>
    <t>OH2A4A1-403</t>
  </si>
  <si>
    <t>RWR CONTROL INDICATOR LEGEND, LIMIT DISP</t>
  </si>
  <si>
    <t>OH2A4A1-403 - RWR CONTROL INDICATOR LEGEND, LIMIT DISP</t>
  </si>
  <si>
    <t>1.1.57.5.7.4</t>
  </si>
  <si>
    <t>1.1.57.5.7.5</t>
  </si>
  <si>
    <t>1.1.57.5.8</t>
  </si>
  <si>
    <t>OH2A4A1-500</t>
  </si>
  <si>
    <t>RWR CONTROL INDICATOR, ALR-67 PWR</t>
  </si>
  <si>
    <t>OH2A4A1-500 - RWR CONTROL INDICATOR, ALR-67 PWR</t>
  </si>
  <si>
    <t>1.1.57.5.8.1</t>
  </si>
  <si>
    <t>1.1.57.5.8.2</t>
  </si>
  <si>
    <t>OH2A4A1-502</t>
  </si>
  <si>
    <t>RWR CONTROL LEGEND COVER, ALR-67 PWR</t>
  </si>
  <si>
    <t>OH2A4A1-502 - RWR CONTROL LEGEND COVER, ALR-67 PWR</t>
  </si>
  <si>
    <t>1.1.57.5.8.3</t>
  </si>
  <si>
    <t>OH2A4A1-503</t>
  </si>
  <si>
    <t>RWR CONTROL LEGEND, ON</t>
  </si>
  <si>
    <t>OH2A4A1-503 - RWR CONTROL LEGEND, ON</t>
  </si>
  <si>
    <t>1.1.57.5.8.4</t>
  </si>
  <si>
    <t>1.1.57.5.8.5</t>
  </si>
  <si>
    <t>1.1.57.5.9</t>
  </si>
  <si>
    <t>OH2A4A1-506</t>
  </si>
  <si>
    <t>PCB, RWR CONTROL PANEL</t>
  </si>
  <si>
    <t>OH2A4A1-506 - PCB, RWR CONTROL PANEL</t>
  </si>
  <si>
    <t>1.1.57.5.10</t>
  </si>
  <si>
    <t>50A36-01-1-05N</t>
  </si>
  <si>
    <t>SWITCH, ROTARY, 36DEG, 5 POS, .125 FLAT SHAFT</t>
  </si>
  <si>
    <t>1.1.57.5.11</t>
  </si>
  <si>
    <t>3310Y-101-103L</t>
  </si>
  <si>
    <t>POT, 10K LINEAR, .125 FLAT X .50 SHAFT, .25 DIA BUSHING</t>
  </si>
  <si>
    <t>1.1.57.5.12</t>
  </si>
  <si>
    <t>1.1.57.5.13</t>
  </si>
  <si>
    <t>1.1.57.5.14</t>
  </si>
  <si>
    <t>91251A146</t>
  </si>
  <si>
    <t>SHCS, 6-32 X .375, STEEL, BLK</t>
  </si>
  <si>
    <t>1.1.57.5.15</t>
  </si>
  <si>
    <t>H-38-15</t>
  </si>
  <si>
    <t>HEX NUT FOR POTENTIOMETER, 1/4-28-UNF-2B</t>
  </si>
  <si>
    <t>1.1.57.5.16</t>
  </si>
  <si>
    <t>OH2A4A1-13</t>
  </si>
  <si>
    <t>RWR CONTROL PANEL PCB SUPPORT</t>
  </si>
  <si>
    <t>OH2A4A1-13 - RWR CONTROL PANEL PCB SUPPORT</t>
  </si>
  <si>
    <t>1.1.57.5.17</t>
  </si>
  <si>
    <t>93225A413</t>
  </si>
  <si>
    <t>ROD, THREADED, 2-56 X 2.0</t>
  </si>
  <si>
    <t>1.1.57.5.18</t>
  </si>
  <si>
    <t>1.1.57.5.19</t>
  </si>
  <si>
    <t>1.1.57.5.19.1</t>
  </si>
  <si>
    <t>1.1.57.5.19.2</t>
  </si>
  <si>
    <t>1.1.57.5.20</t>
  </si>
  <si>
    <t>1.1.57.5.21</t>
  </si>
  <si>
    <t>OH2A4A1-14</t>
  </si>
  <si>
    <t>RWR CONTROL PANEL ABSIS ADAPTER PLATE</t>
  </si>
  <si>
    <t>OH2A4A1-14 - RWR CONTROL PANEL ABSIS ADAPTER PLATE</t>
  </si>
  <si>
    <t>1.1.57.5.22</t>
  </si>
  <si>
    <t>1.1.57.5.23</t>
  </si>
  <si>
    <t>1.1.57.5.24</t>
  </si>
  <si>
    <t>OHC0003-A-028ABW2</t>
  </si>
  <si>
    <t>ASSY, KNOB, BLACK, ROUND, .125 D-SHAFT</t>
  </si>
  <si>
    <t>1.1.57.5.24.1</t>
  </si>
  <si>
    <t>OHC0003-028ABW2</t>
  </si>
  <si>
    <t>KNOB, BLACK, ROUND, .125 D-SHAFT</t>
  </si>
  <si>
    <t>OHC0003-028ABW2 - KNOB, BLACK, ROUND, .125 D-SHAFT</t>
  </si>
  <si>
    <t>1.1.57.5.24.2</t>
  </si>
  <si>
    <t>1.1.57.5.25</t>
  </si>
  <si>
    <t>OHC0003-A-028ABN2</t>
  </si>
  <si>
    <t>1.1.57.5.25.1</t>
  </si>
  <si>
    <t>OHC0003-028ABN2</t>
  </si>
  <si>
    <t>OHC0003-028ABN2 - KNOB, BLACK, ROUND, .125 D-SHAFT</t>
  </si>
  <si>
    <t>1.1.57.5.25.2</t>
  </si>
  <si>
    <t>1.1.57.5.26</t>
  </si>
  <si>
    <t>TOP NUT (PO 50A36-01-1-05N)</t>
  </si>
  <si>
    <t>1.1.57.6</t>
  </si>
  <si>
    <t>OH2A5A1-1</t>
  </si>
  <si>
    <t>ASSY, PANEL, ECM/DISP</t>
  </si>
  <si>
    <t>1.1.57.6.1</t>
  </si>
  <si>
    <t>OH2A5A1-10</t>
  </si>
  <si>
    <t>DISP-EMC PANEL BACKPLATE</t>
  </si>
  <si>
    <t>OH2A5A1-10 - DISP-EMC PANEL BACKPLATE</t>
  </si>
  <si>
    <t>1.1.57.6.2</t>
  </si>
  <si>
    <t>OH2A5A1-11</t>
  </si>
  <si>
    <t>DISP-EMC PANEL  LIGHTPLATE</t>
  </si>
  <si>
    <t>OH2A5A1-11 - DISP-EMC PANEL  LIGHTPLATE</t>
  </si>
  <si>
    <t>1.1.57.6.3</t>
  </si>
  <si>
    <t>OH2A5A1-12</t>
  </si>
  <si>
    <t>DISP-EMC PANEL LEGENDPLATE</t>
  </si>
  <si>
    <t>OH2A5A1-12 - DISP-EMC PANEL LEGENDPLATE</t>
  </si>
  <si>
    <t>1.1.57.6.4</t>
  </si>
  <si>
    <t>OH2A5A1-100</t>
  </si>
  <si>
    <t>ECM JETT SEL INDICATOR</t>
  </si>
  <si>
    <t>OH2A5A1-100 - ECM JETT SEL INDICATOR</t>
  </si>
  <si>
    <t>1.1.57.6.4.1</t>
  </si>
  <si>
    <t>1.1.57.6.4.2</t>
  </si>
  <si>
    <t>OH2A5A1-14</t>
  </si>
  <si>
    <t>ECM JETT INDICATOR COVER</t>
  </si>
  <si>
    <t>OH2A5A1-14 - ECM JETT INDICATOR COVER</t>
  </si>
  <si>
    <t>1.1.57.6.4.3</t>
  </si>
  <si>
    <t>1.1.57.6.4.4</t>
  </si>
  <si>
    <t>1.1.57.6.4.5</t>
  </si>
  <si>
    <t>OH2A5A1-105</t>
  </si>
  <si>
    <t>.55 SQ INDICATOR BASE</t>
  </si>
  <si>
    <t>OH2A5A1-105 - .55 SQ INDICATOR BASE</t>
  </si>
  <si>
    <t>1.1.57.6.4.6</t>
  </si>
  <si>
    <t>OH2A5A1-106</t>
  </si>
  <si>
    <t>.55 SQ LEGENDPLATE INSERT</t>
  </si>
  <si>
    <t>OH2A5A1-106 - .55 SQ LEGENDPLATE INSERT</t>
  </si>
  <si>
    <t>1.1.57.6.4.7</t>
  </si>
  <si>
    <t>OH2A5A1-107</t>
  </si>
  <si>
    <t>ECM JETT SEL LEGEND</t>
  </si>
  <si>
    <t>OH2A5A1-107 - ECM JETT SEL LEGEND</t>
  </si>
  <si>
    <t>1.1.57.6.5</t>
  </si>
  <si>
    <t>OH2A5A1-13</t>
  </si>
  <si>
    <t>PCB, DISP-EMC PANEL V2.5</t>
  </si>
  <si>
    <t>OH2A5A1-13 - PCB, DISP-EMC PANEL V2.5</t>
  </si>
  <si>
    <t>1.1.57.6.6</t>
  </si>
  <si>
    <t>DISP - EMC PANEL ABSIS ADAPTER PLATE</t>
  </si>
  <si>
    <t>OH2A5A1-14 - DISP - EMC PANEL ABSIS ADAPTER PLATE</t>
  </si>
  <si>
    <t>1.1.57.6.7</t>
  </si>
  <si>
    <t>OHC0001-4</t>
  </si>
  <si>
    <t>ASSY, SWITCH, S3AL, ROUND BAT</t>
  </si>
  <si>
    <t>1.1.57.6.7.1</t>
  </si>
  <si>
    <t>S3AL</t>
  </si>
  <si>
    <t>SWITCH, TOGGLE, LOCKING, SPDT, 3-POSN, NO BAT</t>
  </si>
  <si>
    <t>1.1.57.6.7.2</t>
  </si>
  <si>
    <t>OHC0001-10</t>
  </si>
  <si>
    <t>BAT, ROUND, FOR NKK SXAL SWITCH</t>
  </si>
  <si>
    <t>1.1.57.6.8</t>
  </si>
  <si>
    <t>OHC0001-2</t>
  </si>
  <si>
    <t>ASSY, SWITCH, S1AL, CONICAL BAT</t>
  </si>
  <si>
    <t>1.1.57.6.8.1</t>
  </si>
  <si>
    <t>S1AL</t>
  </si>
  <si>
    <t>SWITCH, TOGGLE, LOCKING, SPST, 2-POSN, NO BAT</t>
  </si>
  <si>
    <t>1.1.57.6.8.2</t>
  </si>
  <si>
    <t>OHC0001-20</t>
  </si>
  <si>
    <t>BAT, CONICAL, FOR NKK SXAL SWITCH</t>
  </si>
  <si>
    <t>1.1.57.6.9</t>
  </si>
  <si>
    <t>AT503M</t>
  </si>
  <si>
    <t>HEX NUT FOR SWITCH, M12-1</t>
  </si>
  <si>
    <t>1.1.57.6.10</t>
  </si>
  <si>
    <t>71B36-01-2-05N</t>
  </si>
  <si>
    <t>SWITCH, ROTARY, 5 POS, 36 DEG, .25 D-SHAFT</t>
  </si>
  <si>
    <t>1.1.57.6.11</t>
  </si>
  <si>
    <t>99461A505</t>
  </si>
  <si>
    <t>PHS, 0-42 X .125, SELF TAPPING, 18-8</t>
  </si>
  <si>
    <t>1.1.57.6.12</t>
  </si>
  <si>
    <t>1.1.57.6.13</t>
  </si>
  <si>
    <t>1.1.57.6.14</t>
  </si>
  <si>
    <t>1.1.57.6.15</t>
  </si>
  <si>
    <t>1.1.57.6.16</t>
  </si>
  <si>
    <t>90272A144</t>
  </si>
  <si>
    <t>PHS, #6-32 X 0.250, STEEL</t>
  </si>
  <si>
    <t>1.1.57.6.17</t>
  </si>
  <si>
    <t>OHC0003-A-385CGB4-LO</t>
  </si>
  <si>
    <t>ASSY, KNOB, GREY, .25 D-SHAFT, MOD FOR ECM</t>
  </si>
  <si>
    <t>1.1.57.6.17.1</t>
  </si>
  <si>
    <t>OHC0003-385CGB4-LO</t>
  </si>
  <si>
    <t>KNOB, GREY, .25 D-SHAFT, MOD</t>
  </si>
  <si>
    <t>OHC0003-385CGB4-LO - KNOB, GREY, .25 D-SHAFT, MOD</t>
  </si>
  <si>
    <t>1.1.57.6.17.2</t>
  </si>
  <si>
    <t>92311A189</t>
  </si>
  <si>
    <t>SET SCREW, 8-32 X .1875, CUP POINT, 18-8</t>
  </si>
  <si>
    <t>1.1.57.6.18</t>
  </si>
  <si>
    <t>1.1.57.6.19</t>
  </si>
  <si>
    <t>91772A058</t>
  </si>
  <si>
    <t>PHS, #0-80 X 0.2187, 18-8</t>
  </si>
  <si>
    <t>1.1.57.6.20</t>
  </si>
  <si>
    <t>1.1.57.6.20.1</t>
  </si>
  <si>
    <t>1.1.57.6.20.2</t>
  </si>
  <si>
    <t>1.1.57.6.21</t>
  </si>
  <si>
    <t>1.1.57.6.22</t>
  </si>
  <si>
    <t>1.1.57.7</t>
  </si>
  <si>
    <t>OH2A6A1-1</t>
  </si>
  <si>
    <t>ASSY, CABIN PRESSURE GAUGE</t>
  </si>
  <si>
    <t>1.1.57.7.1</t>
  </si>
  <si>
    <t>1.1.57.7.2</t>
  </si>
  <si>
    <t>OH2A6A1-13</t>
  </si>
  <si>
    <t>CABIN PRESS DIAL FACE</t>
  </si>
  <si>
    <t>OH2A6A1-13 - CABIN PRESS DIAL FACE</t>
  </si>
  <si>
    <t>1.1.57.7.3</t>
  </si>
  <si>
    <t>1.1.57.7.4</t>
  </si>
  <si>
    <t>1.1.57.7.5</t>
  </si>
  <si>
    <t>OHC0007-2</t>
  </si>
  <si>
    <t>ASSY, 2IN GAUGE SGL STPR MECH W/O ZERO DETECT</t>
  </si>
  <si>
    <t>1.1.57.7.5.1</t>
  </si>
  <si>
    <t>1.1.57.7.5.2</t>
  </si>
  <si>
    <t>1.1.57.7.5.3</t>
  </si>
  <si>
    <t>1.1.57.7.5.4</t>
  </si>
  <si>
    <t>1.1.57.7.5.5</t>
  </si>
  <si>
    <t>1.1.57.7.5.6</t>
  </si>
  <si>
    <t>MICROSTEPPER, GAUGE, 315 DEG ROT</t>
  </si>
  <si>
    <t>1.1.57.7.5.7</t>
  </si>
  <si>
    <t>1.1.57.7.5.8</t>
  </si>
  <si>
    <t>1.1.57.7.6</t>
  </si>
  <si>
    <t>1.1.57.8</t>
  </si>
  <si>
    <t>1.1.57.9</t>
  </si>
  <si>
    <t>1.1.57.10</t>
  </si>
  <si>
    <t>1.1.57.11</t>
  </si>
  <si>
    <t>1.1.57.12</t>
  </si>
  <si>
    <t>57155K371</t>
  </si>
  <si>
    <t>BEARING, SEALED, .1563 ID X .3125 OD X .125 THK, R155-2Z</t>
  </si>
  <si>
    <t>1.1.57.13</t>
  </si>
  <si>
    <t>1.1.57.14</t>
  </si>
  <si>
    <t>1.1.57.15</t>
  </si>
  <si>
    <t>1.1.58</t>
  </si>
  <si>
    <t>OH2A1-29</t>
  </si>
  <si>
    <t>USB TO HDMI ADAPTER</t>
  </si>
  <si>
    <t>OH2A1-29 - USB TO HDMI ADAPTER</t>
  </si>
  <si>
    <t>OH1A1-1</t>
  </si>
  <si>
    <t>ASSY, UPPER INSTRUMENT PANEL</t>
  </si>
  <si>
    <t>1.2.1</t>
  </si>
  <si>
    <t>OH1A1-10</t>
  </si>
  <si>
    <t>UIP LEFT GLARESHIELD</t>
  </si>
  <si>
    <t>OH1A1-10 - UIP LEFT GLARESHIELD</t>
  </si>
  <si>
    <t>1.2.2</t>
  </si>
  <si>
    <t>8693K18</t>
  </si>
  <si>
    <t>(MOD_1) TRIM, .125 X .25 ID, EPDM RUBBER, BLACK</t>
  </si>
  <si>
    <t>8693K18 - (MOD_1) TRIM, .125 X .25 ID, EPDM RUBBER, BLACK (1)</t>
  </si>
  <si>
    <t>1.2.3</t>
  </si>
  <si>
    <t xml:space="preserve">8693K18 </t>
  </si>
  <si>
    <t>(MOD_2) TRIM, .125 X .25 ID, EPDM RUBBER, BLACK</t>
  </si>
  <si>
    <t>8693K18 - (MOD_2) TRIM, .125 X .25 ID, EPDM RUBBER, BLACK</t>
  </si>
  <si>
    <t>1.2.4</t>
  </si>
  <si>
    <t>OH1A1-11</t>
  </si>
  <si>
    <t>UIP UPPER HUD BOX COVER</t>
  </si>
  <si>
    <t>OH1A1-11 - UIP UPPER HUD BOX COVER</t>
  </si>
  <si>
    <t>1.2.5</t>
  </si>
  <si>
    <t>OH1A1-100</t>
  </si>
  <si>
    <t>GLARESHIELD MOUNTING TAB GROUP, LH</t>
  </si>
  <si>
    <t>OH1A1-100 - GLARESHIELD MOUNTING TAB GROUP, LH</t>
  </si>
  <si>
    <t>1.2.5.1</t>
  </si>
  <si>
    <t>OH1A1-101</t>
  </si>
  <si>
    <t>GLARESHIELD MOUNTING TAB, LH</t>
  </si>
  <si>
    <t>OH1A1-101 - GLARESHIELD MOUNTING TAB, LH</t>
  </si>
  <si>
    <t>1.2.5.2</t>
  </si>
  <si>
    <t>93365A160</t>
  </si>
  <si>
    <t>INSERT, .25-20, BRASS, FOR PLASTICS</t>
  </si>
  <si>
    <t>1.2.6</t>
  </si>
  <si>
    <t>OH1A1-200</t>
  </si>
  <si>
    <t>GLARESHIELD MOUNTING TAB GROUP, RH</t>
  </si>
  <si>
    <t>OH1A1-200 - GLARESHIELD MOUNTING TAB GROUP, RH</t>
  </si>
  <si>
    <t>1.2.6.1</t>
  </si>
  <si>
    <t>OH1A1-201</t>
  </si>
  <si>
    <t>GLARESHIELD MOUNTING TAB, RH</t>
  </si>
  <si>
    <t>OH1A1-201 - GLARESHIELD MOUNTING TAB, RH</t>
  </si>
  <si>
    <t>1.2.6.2</t>
  </si>
  <si>
    <t>1.2.7</t>
  </si>
  <si>
    <t>OH1A1-12</t>
  </si>
  <si>
    <t>UPPER INSTRUMENT PANEL FACE</t>
  </si>
  <si>
    <t>OH1A1-12 - UPPER INSTRUMENT PANEL FACE</t>
  </si>
  <si>
    <t>1.2.8</t>
  </si>
  <si>
    <t>OH1A1-13</t>
  </si>
  <si>
    <t>UIP LEFT OUTBOARD LONGERON</t>
  </si>
  <si>
    <t>OH1A1-13 - UIP LEFT OUTBOARD LONGERON</t>
  </si>
  <si>
    <t>1.2.9</t>
  </si>
  <si>
    <t>OH1A1-14</t>
  </si>
  <si>
    <t>UIP LEFT INBOARD LONGERON</t>
  </si>
  <si>
    <t>OH1A1-14 - UIP LEFT INBOARD LONGERON</t>
  </si>
  <si>
    <t>1.2.10</t>
  </si>
  <si>
    <t>OH1A1-15</t>
  </si>
  <si>
    <t>UIP FLOOR</t>
  </si>
  <si>
    <t>OH1A1-15 - UIP FLOOR</t>
  </si>
  <si>
    <t>1.2.11</t>
  </si>
  <si>
    <t>OH1A1-16</t>
  </si>
  <si>
    <t>UPPER HUD BOX SUPPORT</t>
  </si>
  <si>
    <t>OH1A1-16 - UPPER HUD BOX SUPPORT</t>
  </si>
  <si>
    <t>1.2.12</t>
  </si>
  <si>
    <t>OH1A1-17</t>
  </si>
  <si>
    <t>UIP FWD BULKHEAD</t>
  </si>
  <si>
    <t>OH1A1-17 - UIP FWD BULKHEAD</t>
  </si>
  <si>
    <t>1.2.13</t>
  </si>
  <si>
    <t>OH1A1-18</t>
  </si>
  <si>
    <t>UPPER UIP FACE MOUNT, LEFT</t>
  </si>
  <si>
    <t>OH1A1-18 - UPPER UIP FACE MOUNT, LEFT</t>
  </si>
  <si>
    <t>1.2.14</t>
  </si>
  <si>
    <t>OH1A1-19</t>
  </si>
  <si>
    <t>MFD LOWER SUPPORT A</t>
  </si>
  <si>
    <t>OH1A1-19 - MFD LOWER SUPPORT A</t>
  </si>
  <si>
    <t>1.2.15</t>
  </si>
  <si>
    <t>OH1A1-20</t>
  </si>
  <si>
    <t>MFD LOWER SUPPORT B</t>
  </si>
  <si>
    <t>OH1A1-20 - MFD LOWER SUPPORT B</t>
  </si>
  <si>
    <t>1.2.16</t>
  </si>
  <si>
    <t>OH1A1-21</t>
  </si>
  <si>
    <t>MFD LOWER SUPPORT C</t>
  </si>
  <si>
    <t>OH1A1-21 - MFD LOWER SUPPORT C</t>
  </si>
  <si>
    <t>1.2.17</t>
  </si>
  <si>
    <t>OH1A1-22</t>
  </si>
  <si>
    <t>UIP DISPLAY PRESSURE FOOT</t>
  </si>
  <si>
    <t>OH1A1-22 - UIP DISPLAY PRESSURE FOOT</t>
  </si>
  <si>
    <t>1.2.18</t>
  </si>
  <si>
    <t>OH1A1-23</t>
  </si>
  <si>
    <t>HUD PANEL AFT SUPPORT</t>
  </si>
  <si>
    <t>OH1A1-23 - HUD PANEL AFT SUPPORT</t>
  </si>
  <si>
    <t>1.2.19</t>
  </si>
  <si>
    <t>OH1A1-24</t>
  </si>
  <si>
    <t>HUD PANEL CONNECTION BRACKET</t>
  </si>
  <si>
    <t>OH1A1-24 - HUD PANEL CONNECTION BRACKET</t>
  </si>
  <si>
    <t>1.2.20</t>
  </si>
  <si>
    <t>OH1A1-25</t>
  </si>
  <si>
    <t>UIP CENTRAL TIE BRACKET</t>
  </si>
  <si>
    <t>OH1A1-25 - UIP CENTRAL TIE BRACKET</t>
  </si>
  <si>
    <t>1.2.21</t>
  </si>
  <si>
    <t>1.0 X 36.0, STRIP, NEO RBR, ADHESIVE BACK, 40A DURO, BLACK</t>
  </si>
  <si>
    <t>3846N371 - 1.0 X 36.0, STRIP, NEO RBR, ADHESIVE BACK, 40A DURO, BLACK</t>
  </si>
  <si>
    <t>1.2.22</t>
  </si>
  <si>
    <t>OH1A1-26</t>
  </si>
  <si>
    <t>MIRRORMFD LOWER SUPPORT A</t>
  </si>
  <si>
    <t>OH1A1-26 - MIRRORMFD LOWER SUPPORT A</t>
  </si>
  <si>
    <t>1.2.23</t>
  </si>
  <si>
    <t>OH1A1-27</t>
  </si>
  <si>
    <t>UIP RIGHT INBOARD LONGERON</t>
  </si>
  <si>
    <t>OH1A1-27 - UIP RIGHT INBOARD LONGERON</t>
  </si>
  <si>
    <t>1.2.24</t>
  </si>
  <si>
    <t>OH1A1-29</t>
  </si>
  <si>
    <t>UIP RIGHT GLARESHIELD</t>
  </si>
  <si>
    <t>OH1A1-29 - UIP RIGHT GLARESHIELD</t>
  </si>
  <si>
    <t>1.2.25</t>
  </si>
  <si>
    <t>8693K18 - (MOD_1) TRIM, .125 X .25 ID, EPDM RUBBER, BLACK</t>
  </si>
  <si>
    <t>1.2.26</t>
  </si>
  <si>
    <t>8693K18 - (MOD_2) TRIM, .125 X .25 ID, EPDM RUBBER, BLACK (1)</t>
  </si>
  <si>
    <t>1.2.27</t>
  </si>
  <si>
    <t>1.2.28</t>
  </si>
  <si>
    <t>1.2.29</t>
  </si>
  <si>
    <t>OH1A1-28</t>
  </si>
  <si>
    <t>UPPER UIP FACE MOUNT, RIGHT</t>
  </si>
  <si>
    <t>OH1A1-28 - UPPER UIP FACE MOUNT, RIGHT</t>
  </si>
  <si>
    <t>1.2.30</t>
  </si>
  <si>
    <t>OH1A3-1</t>
  </si>
  <si>
    <t>ASSY, DDIV2</t>
  </si>
  <si>
    <t>1.2.30.1</t>
  </si>
  <si>
    <t>OH1A3-10</t>
  </si>
  <si>
    <t>DDI BEZEL</t>
  </si>
  <si>
    <t>OH1A3-10 - DDI BEZEL</t>
  </si>
  <si>
    <t>1.2.30.2</t>
  </si>
  <si>
    <t>OH1A3-11</t>
  </si>
  <si>
    <t>DDI BUTTON</t>
  </si>
  <si>
    <t>OH1A3-11 - DDI BUTTON</t>
  </si>
  <si>
    <t>1.2.30.3</t>
  </si>
  <si>
    <t>OH1A3-12</t>
  </si>
  <si>
    <t>DDI BUTTON INSERT</t>
  </si>
  <si>
    <t>OH1A3-12 - DDI BUTTON INSERT</t>
  </si>
  <si>
    <t>1.2.30.4</t>
  </si>
  <si>
    <t>OH1A3-13</t>
  </si>
  <si>
    <t>PCB, DDI_V4</t>
  </si>
  <si>
    <t>OH1A3-13 - PCB, DDI_V4</t>
  </si>
  <si>
    <t>1.2.30.5</t>
  </si>
  <si>
    <t>OH1A3-14</t>
  </si>
  <si>
    <t>DDI LEGEND PLATE, BRT</t>
  </si>
  <si>
    <t>OH1A3-14 - DDI LEGEND PLATE, BRT</t>
  </si>
  <si>
    <t>1.2.30.6</t>
  </si>
  <si>
    <t>OH1A3-15</t>
  </si>
  <si>
    <t>DDI LEGEND PLATE, CONT</t>
  </si>
  <si>
    <t>OH1A3-15 - DDI LEGEND PLATE, CONT</t>
  </si>
  <si>
    <t>1.2.30.7</t>
  </si>
  <si>
    <t>OH1A3-16</t>
  </si>
  <si>
    <t>DDI LEGEND PLATE, MODE</t>
  </si>
  <si>
    <t>OH1A3-16 - DDI LEGEND PLATE, MODE</t>
  </si>
  <si>
    <t>1.2.30.8</t>
  </si>
  <si>
    <t>OH1A3-17</t>
  </si>
  <si>
    <t>DDI FINGERGUARDS</t>
  </si>
  <si>
    <t>OH1A3-17 - DDI FINGERGUARDS</t>
  </si>
  <si>
    <t>1.2.30.9</t>
  </si>
  <si>
    <t>OH1A3-18</t>
  </si>
  <si>
    <t>DDI MOUNTING SPACER</t>
  </si>
  <si>
    <t>OH1A3-18 - DDI MOUNTING SPACER</t>
  </si>
  <si>
    <t>1.2.30.10</t>
  </si>
  <si>
    <t>OH1A3-19</t>
  </si>
  <si>
    <t>DDI FINGERGUARDS, SHORT LEFT</t>
  </si>
  <si>
    <t>OH1A3-19 - DDI FINGERGUARDS, SHORT LEFT</t>
  </si>
  <si>
    <t>1.2.30.11</t>
  </si>
  <si>
    <t>OH1A3-20</t>
  </si>
  <si>
    <t>DDI FINGERGUARDS, SHORT RIGHT</t>
  </si>
  <si>
    <t>OH1A3-20 - DDI FINGERGUARDS, SHORT RIGHT</t>
  </si>
  <si>
    <t>1.2.30.12</t>
  </si>
  <si>
    <t>92196A084</t>
  </si>
  <si>
    <t>SHCS, #2-56 X .750, 18-8</t>
  </si>
  <si>
    <t>1.2.30.13</t>
  </si>
  <si>
    <t>1.2.30.14</t>
  </si>
  <si>
    <t>1.2.30.15</t>
  </si>
  <si>
    <t>PEC11R-4220F-N0024</t>
  </si>
  <si>
    <t>ENCODER, INC, QUAD, DETENT, NO SWITCH, 12PPR, 6MM DIA X 20MM FLAT SHAFT</t>
  </si>
  <si>
    <t>1.2.30.16</t>
  </si>
  <si>
    <t>AT507M</t>
  </si>
  <si>
    <t>LOCKING RING FOR SWITCH, 6 MM ID</t>
  </si>
  <si>
    <t>1.2.30.17</t>
  </si>
  <si>
    <t>OHC0003-A-08FLGB1-SR</t>
  </si>
  <si>
    <t>ASSY, KNOB, GREY, .125 SHAFT</t>
  </si>
  <si>
    <t>1.2.30.17.1</t>
  </si>
  <si>
    <t>OHC0003-08FLGB1-SR</t>
  </si>
  <si>
    <t>KNOB, GREY, .125 SHAFT</t>
  </si>
  <si>
    <t>OHC0003-08FLGB1-SR - KNOB, GREY, .125 SHAFT</t>
  </si>
  <si>
    <t>1.2.30.17.2</t>
  </si>
  <si>
    <t>92311A103</t>
  </si>
  <si>
    <t>SET SCREW, 4-40 X .125, CUP POINT, 18-8</t>
  </si>
  <si>
    <t>1.2.30.18</t>
  </si>
  <si>
    <t>OHC0003-A-08FLGN3-SR</t>
  </si>
  <si>
    <t>ASSY, KNOB, GREY, .25 SHAFT, SINGLE SETSCREW</t>
  </si>
  <si>
    <t>1.2.30.18.1</t>
  </si>
  <si>
    <t>OHC0003-08FLGN3-SR</t>
  </si>
  <si>
    <t>KNOB, GREY, .25 SHAFT, SINGLE SETSCREW</t>
  </si>
  <si>
    <t>OHC0003-08FLGN3-SR - KNOB, GREY, .25 SHAFT, SINGLE SETSCREW</t>
  </si>
  <si>
    <t>1.2.30.18.2</t>
  </si>
  <si>
    <t>1.2.30.19</t>
  </si>
  <si>
    <t>AT509</t>
  </si>
  <si>
    <t>LOCK WASHER FOR SWITCH, M6</t>
  </si>
  <si>
    <t>1.2.30.20</t>
  </si>
  <si>
    <t>AT513M</t>
  </si>
  <si>
    <t>HEX NUT FOR SWITCH, M6 X .75</t>
  </si>
  <si>
    <t>1.2.30.21</t>
  </si>
  <si>
    <t>MRX108</t>
  </si>
  <si>
    <t>SWITCH, ROTARY, 45 DEG, 2-8 POS, NKK</t>
  </si>
  <si>
    <t>1.2.31</t>
  </si>
  <si>
    <t>OH1A4-1</t>
  </si>
  <si>
    <t>ASSY, EYEBROW WARNING MODULE, LEFT</t>
  </si>
  <si>
    <t>1.2.31.1</t>
  </si>
  <si>
    <t>OH1A5-13</t>
  </si>
  <si>
    <t>EWI FIRE FINGER GUARD</t>
  </si>
  <si>
    <t>OH1A5-13 - EWI FIRE FINGER GUARD</t>
  </si>
  <si>
    <t>1.2.31.2</t>
  </si>
  <si>
    <t>OH1A5-14</t>
  </si>
  <si>
    <t>EWI FIRE FINGER GUARD MOUNTING BLOCK</t>
  </si>
  <si>
    <t>OH1A5-14 - EWI FIRE FINGER GUARD MOUNTING BLOCK</t>
  </si>
  <si>
    <t>1.2.31.3</t>
  </si>
  <si>
    <t>OH1A5-16</t>
  </si>
  <si>
    <t>EYEBROW WARNING SMALL LEGEND COVER</t>
  </si>
  <si>
    <t>OH1A5-16 - EYEBROW WARNING SMALL LEGEND COVER</t>
  </si>
  <si>
    <t>1.2.31.4</t>
  </si>
  <si>
    <t>OH1A4-13</t>
  </si>
  <si>
    <t>EYEBROW WARNING SMALL LEGEND, STBY</t>
  </si>
  <si>
    <t>OH1A4-13 - EYEBROW WARNING SMALL LEGEND, STBY</t>
  </si>
  <si>
    <t>1.2.31.5</t>
  </si>
  <si>
    <t>OH1A4-14</t>
  </si>
  <si>
    <t>EYEBROW WARNING SMALL LEGEND, R BLEED</t>
  </si>
  <si>
    <t>OH1A4-14 - EYEBROW WARNING SMALL LEGEND, R BLEED</t>
  </si>
  <si>
    <t>1.2.31.6</t>
  </si>
  <si>
    <t>OH1A4-15</t>
  </si>
  <si>
    <t>EYEBROW WARNING SMALL LEGEND, XMIT</t>
  </si>
  <si>
    <t>OH1A4-15 - EYEBROW WARNING SMALL LEGEND, XMIT</t>
  </si>
  <si>
    <t>1.2.31.7</t>
  </si>
  <si>
    <t>OH1A4-16</t>
  </si>
  <si>
    <t>EYEBROW WARNING SMALL LEGEND, REC</t>
  </si>
  <si>
    <t>OH1A4-16 - EYEBROW WARNING SMALL LEGEND, REC</t>
  </si>
  <si>
    <t>1.2.31.8</t>
  </si>
  <si>
    <t>OH1A4-17</t>
  </si>
  <si>
    <t>EYEBROW WARNING SMALL LEGEND, GO</t>
  </si>
  <si>
    <t>OH1A4-17 - EYEBROW WARNING SMALL LEGEND, GO</t>
  </si>
  <si>
    <t>1.2.31.9</t>
  </si>
  <si>
    <t>OH1A4-18</t>
  </si>
  <si>
    <t>EYEBROW WARNING SMALL LEGEND, ASPJ ON</t>
  </si>
  <si>
    <t>OH1A4-18 - EYEBROW WARNING SMALL LEGEND, ASPJ ON</t>
  </si>
  <si>
    <t>1.2.31.10</t>
  </si>
  <si>
    <t>OH1A4-19</t>
  </si>
  <si>
    <t>EYEBROW WARNING SMALL LEGEND, SPD BRK</t>
  </si>
  <si>
    <t>OH1A4-19 - EYEBROW WARNING SMALL LEGEND, SPD BRK</t>
  </si>
  <si>
    <t>1.2.31.11</t>
  </si>
  <si>
    <t>OH1A4-20</t>
  </si>
  <si>
    <t>EYEBROW WARNING SMALL LEGEND, NO GO</t>
  </si>
  <si>
    <t>OH1A4-20 - EYEBROW WARNING SMALL LEGEND, NO GO</t>
  </si>
  <si>
    <t>1.2.31.12</t>
  </si>
  <si>
    <t>OH1A4-21</t>
  </si>
  <si>
    <t>EYEBROW WARNING SMALL LEGEND, L BLEED</t>
  </si>
  <si>
    <t>OH1A4-21 - EYEBROW WARNING SMALL LEGEND, L BLEED</t>
  </si>
  <si>
    <t>1.2.31.13</t>
  </si>
  <si>
    <t>OH1A4-22</t>
  </si>
  <si>
    <t>EYEBROW WARNING SMALL LEGEND, L BAR</t>
  </si>
  <si>
    <t>OH1A4-22 - EYEBROW WARNING SMALL LEGEND, L BAR</t>
  </si>
  <si>
    <t>1.2.31.14</t>
  </si>
  <si>
    <t>OH1A5-18</t>
  </si>
  <si>
    <t>EYEBROW WARNING SMALL LEGEND DIFFUSER</t>
  </si>
  <si>
    <t>OH1A5-18 - EYEBROW WARNING SMALL LEGEND DIFFUSER</t>
  </si>
  <si>
    <t>1.2.31.15</t>
  </si>
  <si>
    <t>OH1A4-24</t>
  </si>
  <si>
    <t>EYEBROW WARNING SMALL LEGEND DIFFUSER (1)</t>
  </si>
  <si>
    <t>OH1A4-24 - EYEBROW WARNING SMALL LEGEND DIFFUSER (1)</t>
  </si>
  <si>
    <t>1.2.31.16</t>
  </si>
  <si>
    <t>OH1A4-25</t>
  </si>
  <si>
    <t>EYEBROW WARNING SMALL LEGEND DIFFUSER (2)</t>
  </si>
  <si>
    <t>OH1A4-25 - EYEBROW WARNING SMALL LEGEND DIFFUSER (2)</t>
  </si>
  <si>
    <t>1.2.31.17</t>
  </si>
  <si>
    <t>OH1A4-26</t>
  </si>
  <si>
    <t>EYEBROW WARNING LARGE LEGEND, MASTER CAUTION</t>
  </si>
  <si>
    <t>OH1A4-26 - EYEBROW WARNING LARGE LEGEND, MASTER CAUTION</t>
  </si>
  <si>
    <t>1.2.31.18</t>
  </si>
  <si>
    <t>OH1A5-19</t>
  </si>
  <si>
    <t>EYEBROW WARNING LARGE LEGEND COVER</t>
  </si>
  <si>
    <t>OH1A5-19 - EYEBROW WARNING LARGE LEGEND COVER</t>
  </si>
  <si>
    <t>1.2.31.19</t>
  </si>
  <si>
    <t>OH1A5-22</t>
  </si>
  <si>
    <t>PUSHBUTTON INDICATOR STANDOFF</t>
  </si>
  <si>
    <t>OH1A5-22 - PUSHBUTTON INDICATOR STANDOFF</t>
  </si>
  <si>
    <t>1.2.31.20</t>
  </si>
  <si>
    <t>OH1A4-29</t>
  </si>
  <si>
    <t>EYEBROW WARNING LARGE LEGEND DIFFUSER (1)</t>
  </si>
  <si>
    <t>OH1A4-29 - EYEBROW WARNING LARGE LEGEND DIFFUSER (1)</t>
  </si>
  <si>
    <t>1.2.31.21</t>
  </si>
  <si>
    <t>OH1A5-21</t>
  </si>
  <si>
    <t>EYEBROW WARNING LARGE LEGEND DIFFUSER</t>
  </si>
  <si>
    <t>OH1A5-21 - EYEBROW WARNING LARGE LEGEND DIFFUSER</t>
  </si>
  <si>
    <t>1.2.31.22</t>
  </si>
  <si>
    <t>OH1A5-20</t>
  </si>
  <si>
    <t>EYEBROW WARNING LARGE LEGEND, FIRE</t>
  </si>
  <si>
    <t>OH1A5-20 - EYEBROW WARNING LARGE LEGEND, FIRE</t>
  </si>
  <si>
    <t>1.2.31.23</t>
  </si>
  <si>
    <t>OH1A4-32</t>
  </si>
  <si>
    <t>MIRROREWI CHASSIS - RIGHT</t>
  </si>
  <si>
    <t>OH1A4-32 - MIRROREWI CHASSIS - RIGHT</t>
  </si>
  <si>
    <t>1.2.31.24</t>
  </si>
  <si>
    <t>OH1A4-33</t>
  </si>
  <si>
    <t>MIRROREWI LEGEND PLATE - RIGHT</t>
  </si>
  <si>
    <t>OH1A4-33 - MIRROREWI LEGEND PLATE - RIGHT</t>
  </si>
  <si>
    <t>1.2.31.25</t>
  </si>
  <si>
    <t>OH1A4-34</t>
  </si>
  <si>
    <t>PCB, EWI_V3_LEFT</t>
  </si>
  <si>
    <t>OH1A4-34 - PCB, EWI_V3_LEFT</t>
  </si>
  <si>
    <t>1.2.31.26</t>
  </si>
  <si>
    <t>OH1A5-12</t>
  </si>
  <si>
    <t>EWI LIGHT CHANNELS - RIGHT</t>
  </si>
  <si>
    <t>OH1A5-12 - EWI LIGHT CHANNELS - RIGHT</t>
  </si>
  <si>
    <t>1.2.31.27</t>
  </si>
  <si>
    <t>1568A640</t>
  </si>
  <si>
    <t>HANDLE, 4-40 FEMALE X 2.0 CENTERS X 1.0 PROTRUSION, ALUM, ANODIZED BLK</t>
  </si>
  <si>
    <t>1.2.31.28</t>
  </si>
  <si>
    <t>90276A143</t>
  </si>
  <si>
    <t>RHS, SLOTTED, 6-32 X .1875, STEEL</t>
  </si>
  <si>
    <t>1.2.31.29</t>
  </si>
  <si>
    <t>1.2.31.30</t>
  </si>
  <si>
    <t>1.2.31.31</t>
  </si>
  <si>
    <t>1.2.31.32</t>
  </si>
  <si>
    <t>1.2.31.33</t>
  </si>
  <si>
    <t>90471A427</t>
  </si>
  <si>
    <t>FHS, 100DEG, #4-40 X .625, STEEL</t>
  </si>
  <si>
    <t>1.2.31.34</t>
  </si>
  <si>
    <t>93085A116</t>
  </si>
  <si>
    <t>FHS, 100DEG, #4-40 X .875, 18-8</t>
  </si>
  <si>
    <t>1.2.32</t>
  </si>
  <si>
    <t>OH1A5-1</t>
  </si>
  <si>
    <t>ASSY, EYEBROW WARNING MODULE, RIGHT</t>
  </si>
  <si>
    <t>1.2.32.1</t>
  </si>
  <si>
    <t>OH1A5-10</t>
  </si>
  <si>
    <t>EWI LEGEND PLATE - RIGHT</t>
  </si>
  <si>
    <t>OH1A5-10 - EWI LEGEND PLATE - RIGHT</t>
  </si>
  <si>
    <t>1.2.32.2</t>
  </si>
  <si>
    <t>OH1A5-11</t>
  </si>
  <si>
    <t>EWI CHASSIS - RIGHT</t>
  </si>
  <si>
    <t>OH1A5-11 - EWI CHASSIS - RIGHT</t>
  </si>
  <si>
    <t>1.2.32.3</t>
  </si>
  <si>
    <t>1.2.32.4</t>
  </si>
  <si>
    <t>1.2.32.5</t>
  </si>
  <si>
    <t>1.2.32.6</t>
  </si>
  <si>
    <t>OH1A5-15</t>
  </si>
  <si>
    <t>PCB, EWI_V3_RIGHT</t>
  </si>
  <si>
    <t>OH1A5-15 - PCB, EWI_V3_RIGHT</t>
  </si>
  <si>
    <t>1.2.32.7</t>
  </si>
  <si>
    <t>1.2.32.8</t>
  </si>
  <si>
    <t>OH1A5-17</t>
  </si>
  <si>
    <t>EYEBROW WARNING SMALL LEGEND, RCDRON</t>
  </si>
  <si>
    <t>OH1A5-17 - EYEBROW WARNING SMALL LEGEND, RCDRON</t>
  </si>
  <si>
    <t>1.2.32.9</t>
  </si>
  <si>
    <t>1.2.32.10</t>
  </si>
  <si>
    <t>1.2.32.11</t>
  </si>
  <si>
    <t>1.2.32.12</t>
  </si>
  <si>
    <t>1.2.32.13</t>
  </si>
  <si>
    <t>1.2.32.14</t>
  </si>
  <si>
    <t>OH1A5-23</t>
  </si>
  <si>
    <t>EYEBROW WARNING LARGE LEGEND, APU FIRE</t>
  </si>
  <si>
    <t>OH1A5-23 - EYEBROW WARNING LARGE LEGEND, APU FIRE</t>
  </si>
  <si>
    <t>1.2.32.15</t>
  </si>
  <si>
    <t>OH1A5-24</t>
  </si>
  <si>
    <t>EYEBROW WARNING SMALL LEGEND, LINE</t>
  </si>
  <si>
    <t>OH1A5-24 - EYEBROW WARNING SMALL LEGEND, LINE</t>
  </si>
  <si>
    <t>1.2.32.16</t>
  </si>
  <si>
    <t>OH1A5-25</t>
  </si>
  <si>
    <t>EYEBROW WARNING SMALL LEGEND, AI</t>
  </si>
  <si>
    <t>OH1A5-25 - EYEBROW WARNING SMALL LEGEND, AI</t>
  </si>
  <si>
    <t>1.2.32.17</t>
  </si>
  <si>
    <t>OH1A5-26</t>
  </si>
  <si>
    <t>EYEBROW WARNING SMALL LEGEND, CW</t>
  </si>
  <si>
    <t>OH1A5-26 - EYEBROW WARNING SMALL LEGEND, CW</t>
  </si>
  <si>
    <t>1.2.32.18</t>
  </si>
  <si>
    <t>OH1A5-27</t>
  </si>
  <si>
    <t>EYEBROW WARNING SMALL LEGEND, DISP</t>
  </si>
  <si>
    <t>OH1A5-27 - EYEBROW WARNING SMALL LEGEND, DISP</t>
  </si>
  <si>
    <t>1.2.32.19</t>
  </si>
  <si>
    <t>OH1A5-28</t>
  </si>
  <si>
    <t>EYEBROW WARNING SMALL LEGEND, SAM</t>
  </si>
  <si>
    <t>OH1A5-28 - EYEBROW WARNING SMALL LEGEND, SAM</t>
  </si>
  <si>
    <t>1.2.32.20</t>
  </si>
  <si>
    <t>OH1A5-29</t>
  </si>
  <si>
    <t>EYEBROW WARNING SMALL LEGEND, AAA</t>
  </si>
  <si>
    <t>OH1A5-29 - EYEBROW WARNING SMALL LEGEND, AAA</t>
  </si>
  <si>
    <t>1.2.32.21</t>
  </si>
  <si>
    <t>1.2.32.22</t>
  </si>
  <si>
    <t>1.2.32.23</t>
  </si>
  <si>
    <t>1.2.32.24</t>
  </si>
  <si>
    <t>1.2.32.25</t>
  </si>
  <si>
    <t>1.2.32.26</t>
  </si>
  <si>
    <t>1.2.32.27</t>
  </si>
  <si>
    <t>1.2.32.28</t>
  </si>
  <si>
    <t>1.2.33</t>
  </si>
  <si>
    <t>OH1A2-1</t>
  </si>
  <si>
    <t>ASSY, PANEL, MASTER ARM</t>
  </si>
  <si>
    <t>1.2.33.1</t>
  </si>
  <si>
    <t>OH1A2-10</t>
  </si>
  <si>
    <t>MASTER ARM BACKPLATE</t>
  </si>
  <si>
    <t>OH1A2-10 - MASTER ARM BACKPLATE</t>
  </si>
  <si>
    <t>1.2.33.2</t>
  </si>
  <si>
    <t>OH1A2-11</t>
  </si>
  <si>
    <t>MASTERMODEPUSHBUTTONV2</t>
  </si>
  <si>
    <t>OH1A2-11 - MASTERMODEPUSHBUTTONV2</t>
  </si>
  <si>
    <t>1.2.33.3</t>
  </si>
  <si>
    <t>OH1A2-12</t>
  </si>
  <si>
    <t>MASTER ARM LIGHTPLATE</t>
  </si>
  <si>
    <t>OH1A2-12 - MASTER ARM LIGHTPLATE</t>
  </si>
  <si>
    <t>1.2.33.4</t>
  </si>
  <si>
    <t>OH1A2-13</t>
  </si>
  <si>
    <t>MASTER ARM LEGEND PLATE</t>
  </si>
  <si>
    <t>OH1A2-13 - MASTER ARM LEGEND PLATE</t>
  </si>
  <si>
    <t>1.2.33.5</t>
  </si>
  <si>
    <t>OH1A2-14</t>
  </si>
  <si>
    <t>MASTER ARM MODULE SPACER</t>
  </si>
  <si>
    <t>OH1A2-14 - MASTER ARM MODULE SPACER</t>
  </si>
  <si>
    <t>1.2.33.6</t>
  </si>
  <si>
    <t>OH1A2-15</t>
  </si>
  <si>
    <t>EMERG JETT BRKT</t>
  </si>
  <si>
    <t>OH1A2-15 - EMERG JETT BRKT</t>
  </si>
  <si>
    <t>1.2.33.7</t>
  </si>
  <si>
    <t>OH1A2-100</t>
  </si>
  <si>
    <t>MASTER MODE PUSHBUTTON</t>
  </si>
  <si>
    <t>OH1A2-100 - MASTER MODE PUSHBUTTON</t>
  </si>
  <si>
    <t>1.2.33.7.1</t>
  </si>
  <si>
    <t>OH1A2-101</t>
  </si>
  <si>
    <t>MASTER MODE PUSHBUTTON BASE</t>
  </si>
  <si>
    <t>OH1A2-101 - MASTER MODE PUSHBUTTON BASE</t>
  </si>
  <si>
    <t>1.2.33.7.2</t>
  </si>
  <si>
    <t>OH1A2-102</t>
  </si>
  <si>
    <t>MASTER MODE PUSHBUTTON BEZEL</t>
  </si>
  <si>
    <t>OH1A2-102 - MASTER MODE PUSHBUTTON BEZEL</t>
  </si>
  <si>
    <t>1.2.33.7.3</t>
  </si>
  <si>
    <t>OH1A2-103</t>
  </si>
  <si>
    <t>MASTER MODE PUSHBUTTON LEGEND AG</t>
  </si>
  <si>
    <t>OH1A2-103 - MASTER MODE PUSHBUTTON LEGEND AG</t>
  </si>
  <si>
    <t>1.2.33.7.4</t>
  </si>
  <si>
    <t>OH1A2-104</t>
  </si>
  <si>
    <t>MASTER MODE PUSHBUTTON LEGEND COVER</t>
  </si>
  <si>
    <t>OH1A2-104 - MASTER MODE PUSHBUTTON LEGEND COVER</t>
  </si>
  <si>
    <t>1.2.33.7.5</t>
  </si>
  <si>
    <t>OH1A2-105</t>
  </si>
  <si>
    <t>MASTER MODE PUSHBUTTON LEGEND DIFFUSER</t>
  </si>
  <si>
    <t>OH1A2-105 - MASTER MODE PUSHBUTTON LEGEND DIFFUSER</t>
  </si>
  <si>
    <t>1.2.33.7.6</t>
  </si>
  <si>
    <t>OH1A2-106</t>
  </si>
  <si>
    <t>MASTER MODE PUSHBUTTON ACTUATOR</t>
  </si>
  <si>
    <t>OH1A2-106 - MASTER MODE PUSHBUTTON ACTUATOR</t>
  </si>
  <si>
    <t>1.2.33.7.7</t>
  </si>
  <si>
    <t>OH1A2-107</t>
  </si>
  <si>
    <t>MASTER MODE PUSHBUTTON LEGEND AA</t>
  </si>
  <si>
    <t>OH1A2-107 - MASTER MODE PUSHBUTTON LEGEND AA</t>
  </si>
  <si>
    <t>1.2.33.7.8</t>
  </si>
  <si>
    <t>1.2.33.8</t>
  </si>
  <si>
    <t>OH1A2-200</t>
  </si>
  <si>
    <t>READY DISCH INDICATOR</t>
  </si>
  <si>
    <t>OH1A2-200 - READY DISCH INDICATOR</t>
  </si>
  <si>
    <t>1.2.33.8.1</t>
  </si>
  <si>
    <t>OH1A2-201</t>
  </si>
  <si>
    <t>OH1A2-201 - .55 SQ INDICATOR BEZEL</t>
  </si>
  <si>
    <t>1.2.33.8.2</t>
  </si>
  <si>
    <t>OH1A2-202</t>
  </si>
  <si>
    <t>READY DISCH INDICATOR LEGEND COVER</t>
  </si>
  <si>
    <t>OH1A2-202 - READY DISCH INDICATOR LEGEND COVER</t>
  </si>
  <si>
    <t>1.2.33.8.3</t>
  </si>
  <si>
    <t>OH1A2-203</t>
  </si>
  <si>
    <t>READY DISCH INDICATOR LEGEND</t>
  </si>
  <si>
    <t>OH1A2-203 - READY DISCH INDICATOR LEGEND</t>
  </si>
  <si>
    <t>1.2.33.8.4</t>
  </si>
  <si>
    <t>OH1A2-204</t>
  </si>
  <si>
    <t>OH1A2-204 - .55 SQ INDICATOR ACTUATOR</t>
  </si>
  <si>
    <t>1.2.33.8.5</t>
  </si>
  <si>
    <t>OH1A2-205</t>
  </si>
  <si>
    <t>.55 SQ INDICATOR LEGEND DIFFUSER</t>
  </si>
  <si>
    <t>OH1A2-205 - .55 SQ INDICATOR LEGEND DIFFUSER</t>
  </si>
  <si>
    <t>1.2.33.8.6</t>
  </si>
  <si>
    <t>OH1A2-207</t>
  </si>
  <si>
    <t>OH1A2-207 - .55 SQ INDICATOR BASE</t>
  </si>
  <si>
    <t>1.2.33.8.7</t>
  </si>
  <si>
    <t>1.2.33.9</t>
  </si>
  <si>
    <t>OH1A2-16</t>
  </si>
  <si>
    <t>EMERG JETT HOUSING</t>
  </si>
  <si>
    <t>OH1A2-16 - EMERG JETT HOUSING</t>
  </si>
  <si>
    <t>1.2.33.10</t>
  </si>
  <si>
    <t>OH1A2-17</t>
  </si>
  <si>
    <t>EMERG JETT BUTTON</t>
  </si>
  <si>
    <t>OH1A2-17 - EMERG JETT BUTTON</t>
  </si>
  <si>
    <t>1.2.33.11</t>
  </si>
  <si>
    <t>1.2.33.11.1</t>
  </si>
  <si>
    <t>1.2.33.11.2</t>
  </si>
  <si>
    <t>1.2.33.12</t>
  </si>
  <si>
    <t>1.2.33.13</t>
  </si>
  <si>
    <t>AT508</t>
  </si>
  <si>
    <t>LOCK WASHER FOR SWITCH, M12</t>
  </si>
  <si>
    <t>1.2.33.14</t>
  </si>
  <si>
    <t>1.2.33.15</t>
  </si>
  <si>
    <t>KM1101RR02QE</t>
  </si>
  <si>
    <t>PUSHBUTTON, SPST, SUBMINIATURE, PANEL MOUNT</t>
  </si>
  <si>
    <t>1.2.33.16</t>
  </si>
  <si>
    <t>1692K52</t>
  </si>
  <si>
    <t>SPRING, CONICAL COMPRESSION, .375 OAL X .600 X .313, .262LBS MAX LOAD</t>
  </si>
  <si>
    <t>1.2.33.17</t>
  </si>
  <si>
    <t>98430A116</t>
  </si>
  <si>
    <t>RING, RETAINING, EXTERNAL, SELF-LOCKING, .125 OD</t>
  </si>
  <si>
    <t>98430A116 - RING, RETAINING, EXTERNAL, SELF-LOCKING, .125 OD V1</t>
  </si>
  <si>
    <t>1.2.33.18</t>
  </si>
  <si>
    <t>1.2.33.19</t>
  </si>
  <si>
    <t>1.2.33.20</t>
  </si>
  <si>
    <t>1.2.33.21</t>
  </si>
  <si>
    <t>1.2.33.22</t>
  </si>
  <si>
    <t>1.2.33.23</t>
  </si>
  <si>
    <t>1.2.33.24</t>
  </si>
  <si>
    <t>1.2.33.25</t>
  </si>
  <si>
    <t>1.2.33.26</t>
  </si>
  <si>
    <t>1.2.33.26.1</t>
  </si>
  <si>
    <t>1.2.33.26.2</t>
  </si>
  <si>
    <t>1.2.34</t>
  </si>
  <si>
    <t>OH1A6-1</t>
  </si>
  <si>
    <t>ASSY, PANEL, SPIN RECOVERY</t>
  </si>
  <si>
    <t>1.2.34.1</t>
  </si>
  <si>
    <t>OH1A6-10</t>
  </si>
  <si>
    <t>SPIN PANEL BACKPLATE</t>
  </si>
  <si>
    <t>OH1A6-10 - SPIN PANEL BACKPLATE</t>
  </si>
  <si>
    <t>1.2.34.2</t>
  </si>
  <si>
    <t>OH1A6-11</t>
  </si>
  <si>
    <t>SPIN PANEL LIGHTPLATE</t>
  </si>
  <si>
    <t>OH1A6-11 - SPIN PANEL LIGHTPLATE</t>
  </si>
  <si>
    <t>1.2.34.3</t>
  </si>
  <si>
    <t>OH1A6-12</t>
  </si>
  <si>
    <t>SPIN PANEL LEGEND PLATE</t>
  </si>
  <si>
    <t>OH1A6-12 - SPIN PANEL LEGEND PLATE</t>
  </si>
  <si>
    <t>1.2.34.4</t>
  </si>
  <si>
    <t>OH1A6-100</t>
  </si>
  <si>
    <t>SPN INDICATOR</t>
  </si>
  <si>
    <t>OH1A6-100 - SPN INDICATOR</t>
  </si>
  <si>
    <t>1.2.34.4.1</t>
  </si>
  <si>
    <t>OH1A6-101</t>
  </si>
  <si>
    <t>SPN INDICATOR BODY</t>
  </si>
  <si>
    <t>OH1A6-101 - SPN INDICATOR BODY</t>
  </si>
  <si>
    <t>1.2.34.4.2</t>
  </si>
  <si>
    <t>OH1A6-102</t>
  </si>
  <si>
    <t>SPN INDICATOR COVER</t>
  </si>
  <si>
    <t>OH1A6-102 - SPN INDICATOR COVER</t>
  </si>
  <si>
    <t>1.2.34.4.3</t>
  </si>
  <si>
    <t>OH1A6-103</t>
  </si>
  <si>
    <t>SPN INDICATOR LEGEND</t>
  </si>
  <si>
    <t>OH1A6-103 - SPN INDICATOR LEGEND</t>
  </si>
  <si>
    <t>1.2.34.4.4</t>
  </si>
  <si>
    <t>OH1A6-104</t>
  </si>
  <si>
    <t>SPN INDICATOR DIFFUSER</t>
  </si>
  <si>
    <t>OH1A6-104 - SPN INDICATOR DIFFUSER</t>
  </si>
  <si>
    <t>1.2.34.5</t>
  </si>
  <si>
    <t>OH1A6-13</t>
  </si>
  <si>
    <t>PCB, SPIN RCV PANEL V1</t>
  </si>
  <si>
    <t>1.2.34.6</t>
  </si>
  <si>
    <t>OH1A6-14</t>
  </si>
  <si>
    <t>SPIN PANEL MODULE BRACKET</t>
  </si>
  <si>
    <t>OH1A6-14 - SPIN PANEL MODULE BRACKET</t>
  </si>
  <si>
    <t>1.2.34.7</t>
  </si>
  <si>
    <t>MS25224-2</t>
  </si>
  <si>
    <t>GUARD, TOGGLE SWITCH, 3-HOLE</t>
  </si>
  <si>
    <t>1.2.34.8</t>
  </si>
  <si>
    <t>1.2.34.9</t>
  </si>
  <si>
    <t>1.2.34.10</t>
  </si>
  <si>
    <t>1.2.34.11</t>
  </si>
  <si>
    <t>1.2.34.12</t>
  </si>
  <si>
    <t>1.2.34.13</t>
  </si>
  <si>
    <t>91772A162</t>
  </si>
  <si>
    <t>PHS, #6-32 X .5625, 18-8</t>
  </si>
  <si>
    <t>1.2.34.14</t>
  </si>
  <si>
    <t>1.2.34.15</t>
  </si>
  <si>
    <t>1.2.34.16</t>
  </si>
  <si>
    <t>1.2.34.17</t>
  </si>
  <si>
    <t>1.2.34.18</t>
  </si>
  <si>
    <t>1.2.34.19</t>
  </si>
  <si>
    <t>1.2.34.20</t>
  </si>
  <si>
    <t>1.2.34.21</t>
  </si>
  <si>
    <t>OHC0003-A-18FLGB4</t>
  </si>
  <si>
    <t>1.2.34.21.1</t>
  </si>
  <si>
    <t>OHC0003-18FLGB4</t>
  </si>
  <si>
    <t>OHC0003-18FLGB4 - KNOB, GREY, .25 D-SHAFT</t>
  </si>
  <si>
    <t>1.2.34.21.2</t>
  </si>
  <si>
    <t>92311A188</t>
  </si>
  <si>
    <t>1.2.34.22</t>
  </si>
  <si>
    <t>1.2.34.23</t>
  </si>
  <si>
    <t>1.2.34.23.1</t>
  </si>
  <si>
    <t>1.2.34.23.2</t>
  </si>
  <si>
    <t>1.2.34.24</t>
  </si>
  <si>
    <t>OH1A6-15</t>
  </si>
  <si>
    <t>OH1A6-15 - INSULATING WASHER</t>
  </si>
  <si>
    <t>1.2.34.25</t>
  </si>
  <si>
    <t>1.2.35</t>
  </si>
  <si>
    <t>OH1A7-1</t>
  </si>
  <si>
    <t>ASSY, PANEL, HUD</t>
  </si>
  <si>
    <t>1.2.35.1</t>
  </si>
  <si>
    <t>OH1A7-100</t>
  </si>
  <si>
    <t>ASSY, HUD PANEL</t>
  </si>
  <si>
    <t>OH1A7-100 - ASSY, HUD PANEL</t>
  </si>
  <si>
    <t>1.2.35.1.1</t>
  </si>
  <si>
    <t>OH1A7-103</t>
  </si>
  <si>
    <t>HUD PANEL LIGHT PLATE</t>
  </si>
  <si>
    <t>OH1A7-103 - HUD PANEL LIGHT PLATE</t>
  </si>
  <si>
    <t>1.2.35.1.2</t>
  </si>
  <si>
    <t>OH1A7-104</t>
  </si>
  <si>
    <t>HUD PANEL LEGEND PLATE</t>
  </si>
  <si>
    <t>OH1A7-104 - HUD PANEL LEGEND PLATE</t>
  </si>
  <si>
    <t>1.2.35.1.3</t>
  </si>
  <si>
    <t>96765A115</t>
  </si>
  <si>
    <t>WASHER, #6 X .375 OD, 18-8, BLACK-OXIDE</t>
  </si>
  <si>
    <t>1.2.35.1.4</t>
  </si>
  <si>
    <t>1.2.35.1.5</t>
  </si>
  <si>
    <t>1.2.35.1.6</t>
  </si>
  <si>
    <t>1.2.35.1.7</t>
  </si>
  <si>
    <t>1.2.35.1.8</t>
  </si>
  <si>
    <t>1.2.35.1.9</t>
  </si>
  <si>
    <t>1.2.35.1.10</t>
  </si>
  <si>
    <t>P0915N-FC20BR10K</t>
  </si>
  <si>
    <t>POTENTIOMETER, 9MM ROTARY, PANEL MOUNT</t>
  </si>
  <si>
    <t>1.2.35.1.11</t>
  </si>
  <si>
    <t>OHC0003-A-1TS5GB4</t>
  </si>
  <si>
    <t>1.2.35.1.11.1</t>
  </si>
  <si>
    <t>OHC0003-1TS5GB4</t>
  </si>
  <si>
    <t>OHC0003-1TS5GB4 - KNOB, GREY, .25 D-SHAFT</t>
  </si>
  <si>
    <t>1.2.35.1.11.2</t>
  </si>
  <si>
    <t>1.2.35.1.12</t>
  </si>
  <si>
    <t>OHC0003-A-287AGB4</t>
  </si>
  <si>
    <t>1.2.35.1.12.1</t>
  </si>
  <si>
    <t>OHC0003-287AGB4</t>
  </si>
  <si>
    <t>OHC0003-287AGB4 - ASSY, KNOB, GREY, .25 D-SHAFT</t>
  </si>
  <si>
    <t>1.2.35.1.12.2</t>
  </si>
  <si>
    <t>1.2.35.1.13</t>
  </si>
  <si>
    <t>1.2.35.1.14</t>
  </si>
  <si>
    <t>P09X NUT</t>
  </si>
  <si>
    <t>HEX NUT FOR POTENTIOMETER, M7X0.75</t>
  </si>
  <si>
    <t>1.2.35.1.15</t>
  </si>
  <si>
    <t>OH1A7-102</t>
  </si>
  <si>
    <t>HUD PANEL BACKPLATE</t>
  </si>
  <si>
    <t>OH1A7-102 - HUD PANEL BACKPLATE</t>
  </si>
  <si>
    <t>1.2.35.2</t>
  </si>
  <si>
    <t>1.2.35.3</t>
  </si>
  <si>
    <t>OH1A7-200</t>
  </si>
  <si>
    <t>ASSY, HUD PANEL FWD SUPPORT</t>
  </si>
  <si>
    <t>OH1A7-200 - ASSY, HUD PANEL FWD SUPPORT</t>
  </si>
  <si>
    <t>1.2.35.3.1</t>
  </si>
  <si>
    <t>OH1A7-201</t>
  </si>
  <si>
    <t>HUD PANEL FWD SUPPORT</t>
  </si>
  <si>
    <t>OH1A7-201 - HUD PANEL FWD SUPPORT</t>
  </si>
  <si>
    <t>1.2.35.3.2</t>
  </si>
  <si>
    <t>1.2.36</t>
  </si>
  <si>
    <t>OH1A8-1</t>
  </si>
  <si>
    <t>ASSY, UPFRONT CONTROL PANEL</t>
  </si>
  <si>
    <t>1.2.36.1</t>
  </si>
  <si>
    <t>OH1A8A1-13</t>
  </si>
  <si>
    <t>FWD HUD BOX SUPPORT</t>
  </si>
  <si>
    <t>OH1A8A1-13 - FWD HUD BOX SUPPORT</t>
  </si>
  <si>
    <t>1.2.36.2</t>
  </si>
  <si>
    <t>1.2.36.3</t>
  </si>
  <si>
    <t>1.2.36.4</t>
  </si>
  <si>
    <t>1.2.36.5</t>
  </si>
  <si>
    <t>91251A540</t>
  </si>
  <si>
    <t>SHCS, .25-20 X .750, STEEL, BLK</t>
  </si>
  <si>
    <t>1.2.36.6</t>
  </si>
  <si>
    <t>1.2.36.7</t>
  </si>
  <si>
    <t>OH1A8A1-1</t>
  </si>
  <si>
    <t>ASSY, FWD UFC</t>
  </si>
  <si>
    <t>1.2.36.7.1</t>
  </si>
  <si>
    <t>OH1A8A1-10</t>
  </si>
  <si>
    <t>UFC PANEL SUPPORT STRUCTURE</t>
  </si>
  <si>
    <t>OH1A8A1-10 - UFC PANEL SUPPORT STRUCTURE</t>
  </si>
  <si>
    <t>1.2.36.7.2</t>
  </si>
  <si>
    <t>OH1A8A1-11</t>
  </si>
  <si>
    <t>FWD UFC GUARD</t>
  </si>
  <si>
    <t>OH1A8A1-11 - FWD UFC GUARD</t>
  </si>
  <si>
    <t>1.2.36.7.3</t>
  </si>
  <si>
    <t>OH1A8A1-12</t>
  </si>
  <si>
    <t>UFC COMM KNOB</t>
  </si>
  <si>
    <t>OH1A8A1-12 - UFC COMM KNOB</t>
  </si>
  <si>
    <t>1.2.36.7.4</t>
  </si>
  <si>
    <t>1.2.36.7.5</t>
  </si>
  <si>
    <t>1.2.36.7.6</t>
  </si>
  <si>
    <t>1.2.36.7.7</t>
  </si>
  <si>
    <t>1.2.36.7.8</t>
  </si>
  <si>
    <t>91251A535</t>
  </si>
  <si>
    <t>SHCS, .25-20 X .375, STEEL, BLK</t>
  </si>
  <si>
    <t>1.2.36.7.9</t>
  </si>
  <si>
    <t>1.2.36.7.10</t>
  </si>
  <si>
    <t>OH1A8A1-100</t>
  </si>
  <si>
    <t>UFC PANEL V4</t>
  </si>
  <si>
    <t>1.2.36.7.10.1</t>
  </si>
  <si>
    <t>OH1A8A1-101</t>
  </si>
  <si>
    <t>UFC COMM BEZEL</t>
  </si>
  <si>
    <t>OH1A8A1-101 - UFC COMM BEZEL</t>
  </si>
  <si>
    <t>1.2.36.7.10.2</t>
  </si>
  <si>
    <t>OH1A8A1-102</t>
  </si>
  <si>
    <t>UFC COMM BEZEL GUARD</t>
  </si>
  <si>
    <t>OH1A8A1-102 - UFC COMM BEZEL GUARD</t>
  </si>
  <si>
    <t>1.2.36.7.10.3</t>
  </si>
  <si>
    <t>OH1A8A1-103</t>
  </si>
  <si>
    <t>UFC OPT BEZEL</t>
  </si>
  <si>
    <t>OH1A8A1-103 - UFC OPT BEZEL</t>
  </si>
  <si>
    <t>1.2.36.7.10.4</t>
  </si>
  <si>
    <t>OH1A8A1-104</t>
  </si>
  <si>
    <t>UFC OPT BEZEL GUARD</t>
  </si>
  <si>
    <t>OH1A8A1-104 - UFC OPT BEZEL GUARD</t>
  </si>
  <si>
    <t>1.2.36.7.10.5</t>
  </si>
  <si>
    <t>OH1A8A1-105</t>
  </si>
  <si>
    <t>UFC SCRATCHPAD BEZEL</t>
  </si>
  <si>
    <t>OH1A8A1-105 - UFC SCRATCHPAD BEZEL</t>
  </si>
  <si>
    <t>1.2.36.7.10.6</t>
  </si>
  <si>
    <t>OH1A8A1-106</t>
  </si>
  <si>
    <t>UFC SCRATCHPAD BEZEL GUARD</t>
  </si>
  <si>
    <t>OH1A8A1-106 - UFC SCRATCHPAD BEZEL GUARD</t>
  </si>
  <si>
    <t>1.2.36.7.10.7</t>
  </si>
  <si>
    <t>OH1A8A1-109</t>
  </si>
  <si>
    <t>UFC SQUARE BUTTON, 1</t>
  </si>
  <si>
    <t>OH1A8A1-109 - UFC SQUARE BUTTON, 1</t>
  </si>
  <si>
    <t>1.2.36.7.10.8</t>
  </si>
  <si>
    <t>OH1A8A1-110</t>
  </si>
  <si>
    <t>UFC SQUARE BUTTON, EM CON</t>
  </si>
  <si>
    <t>OH1A8A1-110 - UFC SQUARE BUTTON, EM CON</t>
  </si>
  <si>
    <t>1.2.36.7.10.9</t>
  </si>
  <si>
    <t>OH1A8A1-112</t>
  </si>
  <si>
    <t>UFC ROUND BUTTON</t>
  </si>
  <si>
    <t>OH1A8A1-112 - UFC ROUND BUTTON</t>
  </si>
  <si>
    <t>1.2.36.7.10.10</t>
  </si>
  <si>
    <t>OH1A8A1-113</t>
  </si>
  <si>
    <t>UFC ROUND BUTTON GUARD</t>
  </si>
  <si>
    <t>OH1A8A1-113 - UFC ROUND BUTTON GUARD</t>
  </si>
  <si>
    <t>1.2.36.7.10.11</t>
  </si>
  <si>
    <t>OH1A8A1-114</t>
  </si>
  <si>
    <t>UFC LEGEND PLATE</t>
  </si>
  <si>
    <t>OH1A8A1-114 - UFC LEGEND PLATE</t>
  </si>
  <si>
    <t>1.2.36.7.10.12</t>
  </si>
  <si>
    <t>OH1A8A1-115</t>
  </si>
  <si>
    <t>UFC INNER SPACER PLATE</t>
  </si>
  <si>
    <t>OH1A8A1-115 - UFC INNER SPACER PLATE</t>
  </si>
  <si>
    <t>1.2.36.7.10.13</t>
  </si>
  <si>
    <t>OH1A8A1-116</t>
  </si>
  <si>
    <t>UFC FINGER GUARD</t>
  </si>
  <si>
    <t>OH1A8A1-116 - UFC FINGER GUARD</t>
  </si>
  <si>
    <t>1.2.36.7.10.14</t>
  </si>
  <si>
    <t>OH1A8A1-117</t>
  </si>
  <si>
    <t>UFC BACKPLATE</t>
  </si>
  <si>
    <t>OH1A8A1-117 - UFC BACKPLATE</t>
  </si>
  <si>
    <t>1.2.36.7.10.15</t>
  </si>
  <si>
    <t>OH1A8A1-118</t>
  </si>
  <si>
    <t>UFC SQUARE BUTTON, 4</t>
  </si>
  <si>
    <t>OH1A8A1-118 - UFC SQUARE BUTTON, 4</t>
  </si>
  <si>
    <t>1.2.36.7.10.16</t>
  </si>
  <si>
    <t>OH1A8A1-119</t>
  </si>
  <si>
    <t>UFC SQUARE BUTTON, 7</t>
  </si>
  <si>
    <t>OH1A8A1-119 - UFC SQUARE BUTTON, 7</t>
  </si>
  <si>
    <t>1.2.36.7.10.17</t>
  </si>
  <si>
    <t>OH1A8A1-120</t>
  </si>
  <si>
    <t>UFC SQUARE BUTTON, CLR</t>
  </si>
  <si>
    <t>OH1A8A1-120 - UFC SQUARE BUTTON, CLR</t>
  </si>
  <si>
    <t>1.2.36.7.10.18</t>
  </si>
  <si>
    <t>OH1A8A1-121</t>
  </si>
  <si>
    <t>UFC SQUARE BUTTON, 2</t>
  </si>
  <si>
    <t>OH1A8A1-121 - UFC SQUARE BUTTON, 2</t>
  </si>
  <si>
    <t>1.2.36.7.10.19</t>
  </si>
  <si>
    <t>OH1A8A1-122</t>
  </si>
  <si>
    <t>UFC SQUARE BUTTON, 5</t>
  </si>
  <si>
    <t>OH1A8A1-122 - UFC SQUARE BUTTON, 5</t>
  </si>
  <si>
    <t>1.2.36.7.10.20</t>
  </si>
  <si>
    <t>OH1A8A1-123</t>
  </si>
  <si>
    <t>UFC SQUARE BUTTON, 8</t>
  </si>
  <si>
    <t>OH1A8A1-123 - UFC SQUARE BUTTON, 8</t>
  </si>
  <si>
    <t>1.2.36.7.10.21</t>
  </si>
  <si>
    <t>OH1A8A1-124</t>
  </si>
  <si>
    <t>UFC SQUARE BUTTON, 0</t>
  </si>
  <si>
    <t>OH1A8A1-124 - UFC SQUARE BUTTON, 0</t>
  </si>
  <si>
    <t>1.2.36.7.10.22</t>
  </si>
  <si>
    <t>OH1A8A1-125</t>
  </si>
  <si>
    <t>UFC SQUARE BUTTON, 3</t>
  </si>
  <si>
    <t>OH1A8A1-125 - UFC SQUARE BUTTON, 3</t>
  </si>
  <si>
    <t>1.2.36.7.10.23</t>
  </si>
  <si>
    <t>OH1A8A1-126</t>
  </si>
  <si>
    <t>UFC SQUARE BUTTON, 6</t>
  </si>
  <si>
    <t>OH1A8A1-126 - UFC SQUARE BUTTON, 6</t>
  </si>
  <si>
    <t>1.2.36.7.10.24</t>
  </si>
  <si>
    <t>OH1A8A1-127</t>
  </si>
  <si>
    <t>UFC SQUARE BUTTON, 9</t>
  </si>
  <si>
    <t>OH1A8A1-127 - UFC SQUARE BUTTON, 9</t>
  </si>
  <si>
    <t>1.2.36.7.10.25</t>
  </si>
  <si>
    <t>OH1A8A1-128</t>
  </si>
  <si>
    <t>UFC SQUARE BUTTON, ENT</t>
  </si>
  <si>
    <t>OH1A8A1-128 - UFC SQUARE BUTTON, ENT</t>
  </si>
  <si>
    <t>1.2.36.7.10.26</t>
  </si>
  <si>
    <t>96006A231</t>
  </si>
  <si>
    <t>SHCS, #2-56 X .125, 18-8, BLK</t>
  </si>
  <si>
    <t>1.2.36.7.10.27</t>
  </si>
  <si>
    <t>1.2.36.7.10.27.1</t>
  </si>
  <si>
    <t>1.2.36.7.10.27.2</t>
  </si>
  <si>
    <t>1.2.36.7.10.28</t>
  </si>
  <si>
    <t>OH1A8A1-200</t>
  </si>
  <si>
    <t>ASSY, PCB, UFC_MAIN</t>
  </si>
  <si>
    <t>1.2.36.7.10.28.1</t>
  </si>
  <si>
    <t>OH1A8A1-201</t>
  </si>
  <si>
    <t>PCB, UFC_MAIN V6</t>
  </si>
  <si>
    <t>1.2.36.7.10.28.2</t>
  </si>
  <si>
    <t>UFCSCRATCHPADBACKLIGHT</t>
  </si>
  <si>
    <t>BACKLIGHT, LCD, SCRATCHPAD, TEKCREATIONS</t>
  </si>
  <si>
    <t>1.2.36.7.10.28.3</t>
  </si>
  <si>
    <t>UFCSKETCHPADLCD</t>
  </si>
  <si>
    <t>DISPLAY, LCD, UFC SKETCHPAD, TEKCREATIONS</t>
  </si>
  <si>
    <t>1.2.36.7.10.28.4</t>
  </si>
  <si>
    <t>UFCOPTIONDIGIT</t>
  </si>
  <si>
    <t>DISPLAY, LED, 16X4+2 SEG, GRN, TEKCREATIONS</t>
  </si>
  <si>
    <t>1.2.36.7.10.28.5</t>
  </si>
  <si>
    <t>UFCSINGLEDIGIT</t>
  </si>
  <si>
    <t>DISPLAY, LED, 16 SEG, GRN, TEKCREATIONS</t>
  </si>
  <si>
    <t>1.2.36.7.10.28.6</t>
  </si>
  <si>
    <t>100SP3T2B3M2RE</t>
  </si>
  <si>
    <t>TOGGLE, MICRO, 3 POS, .250 THD BUSHING, SHORT BAT</t>
  </si>
  <si>
    <t>1.2.36.7.10.28.7</t>
  </si>
  <si>
    <t>HDW2</t>
  </si>
  <si>
    <t>HEX NUT FOR SWITCH .25-40UNS</t>
  </si>
  <si>
    <t>1.2.36.7.10.28.8</t>
  </si>
  <si>
    <t>1.2.36.7.10.28.9</t>
  </si>
  <si>
    <t>P09X WASHER</t>
  </si>
  <si>
    <t>WASHER FOR POTENTIOMETER, M7</t>
  </si>
  <si>
    <t>1.2.36.7.10.28.10</t>
  </si>
  <si>
    <t>1.2.36.7.10.28.11</t>
  </si>
  <si>
    <t>VARIOUS</t>
  </si>
  <si>
    <t>SOCKET, HEADER, 2X8, .100 PITCH</t>
  </si>
  <si>
    <t>1.2.36.7.10.28.12</t>
  </si>
  <si>
    <t>S2 MINI</t>
  </si>
  <si>
    <t>MCR, WEMOS S2 MINI, ESP32-S2</t>
  </si>
  <si>
    <t>1.2.36.7.10.28.13</t>
  </si>
  <si>
    <t>OH1A8A1-202</t>
  </si>
  <si>
    <t>STRIP, RUBBER, 3MM THK</t>
  </si>
  <si>
    <t>OH1A8A1-202 - STRIP, RUBBER, 3MM THK</t>
  </si>
  <si>
    <t>1.2.36.7.10.28.14</t>
  </si>
  <si>
    <t>OH1A8A1-203</t>
  </si>
  <si>
    <t>OH1A8A1-203 - STRIP, RUBBER, 3MM THK</t>
  </si>
  <si>
    <t>1.2.36.7.10.28.15</t>
  </si>
  <si>
    <t>OH1A8A1-204</t>
  </si>
  <si>
    <t>STRIP, RUBBER, 2MM THK, 15MM W</t>
  </si>
  <si>
    <t>OH1A8A1-204 - STRIP, RUBBER, 2MM THK, 15MM W</t>
  </si>
  <si>
    <t>1.2.36.7.10.29</t>
  </si>
  <si>
    <t>OH1A8A1-111</t>
  </si>
  <si>
    <t>SQUARE BUTTON TRIM</t>
  </si>
  <si>
    <t>OH1A8A1-111 - SQUARE BUTTON TRIM</t>
  </si>
  <si>
    <t>1.2.36.7.11</t>
  </si>
  <si>
    <t>OH1A8A3-1</t>
  </si>
  <si>
    <t>ASSY, AP SWITCH MODULE</t>
  </si>
  <si>
    <t>1.2.36.7.11.1</t>
  </si>
  <si>
    <t>OH1A8A3-10</t>
  </si>
  <si>
    <t>AP MODULE FWD BODY</t>
  </si>
  <si>
    <t>OH1A8A3-10 - AP MODULE FWD BODY</t>
  </si>
  <si>
    <t>1.2.36.7.11.2</t>
  </si>
  <si>
    <t>OH1A8A3-11</t>
  </si>
  <si>
    <t>AP MODULE MOUNTING PLATE</t>
  </si>
  <si>
    <t>OH1A8A3-11 - AP MODULE MOUNTING PLATE</t>
  </si>
  <si>
    <t>1.2.36.7.11.3</t>
  </si>
  <si>
    <t>OH1A8A3-15</t>
  </si>
  <si>
    <t>PCB, UFC_FUNCTION SELECT</t>
  </si>
  <si>
    <t>1.2.36.7.11.4</t>
  </si>
  <si>
    <t>1.2.36.7.11.5</t>
  </si>
  <si>
    <t>1.2.36.7.11.6</t>
  </si>
  <si>
    <t>OH1A8A3-14</t>
  </si>
  <si>
    <t>AP SQUARE BUTTON, A/P</t>
  </si>
  <si>
    <t>OH1A8A3-14 - AP SQUARE BUTTON, A/P</t>
  </si>
  <si>
    <t>1.2.36.7.11.7</t>
  </si>
  <si>
    <t>OH1A8A3-16</t>
  </si>
  <si>
    <t>AP SQUARE BUTTON, IFF</t>
  </si>
  <si>
    <t>OH1A8A3-16 - AP SQUARE BUTTON, IFF</t>
  </si>
  <si>
    <t>1.2.36.7.11.8</t>
  </si>
  <si>
    <t>OH1A8A3-17</t>
  </si>
  <si>
    <t>AP SQUARE BUTTON, TCN</t>
  </si>
  <si>
    <t>OH1A8A3-17 - AP SQUARE BUTTON, TCN</t>
  </si>
  <si>
    <t>1.2.36.7.11.9</t>
  </si>
  <si>
    <t>OH1A8A3-18</t>
  </si>
  <si>
    <t>AP SQUARE BUTTON, ILS</t>
  </si>
  <si>
    <t>OH1A8A3-18 - AP SQUARE BUTTON, ILS</t>
  </si>
  <si>
    <t>1.2.36.7.11.10</t>
  </si>
  <si>
    <t>OH1A8A3-19</t>
  </si>
  <si>
    <t>AP SQUARE BUTTON, D/L</t>
  </si>
  <si>
    <t>OH1A8A3-19 - AP SQUARE BUTTON, D/L</t>
  </si>
  <si>
    <t>1.2.36.7.11.11</t>
  </si>
  <si>
    <t>OH1A8A3-20</t>
  </si>
  <si>
    <t>AP SQUARE BUTTON, BCN</t>
  </si>
  <si>
    <t>OH1A8A3-20 - AP SQUARE BUTTON, BCN</t>
  </si>
  <si>
    <t>1.2.36.7.11.12</t>
  </si>
  <si>
    <t>OH1A8A3-21</t>
  </si>
  <si>
    <t>AP SQUARE BUTTON, ON/OFF</t>
  </si>
  <si>
    <t>OH1A8A3-21 - AP SQUARE BUTTON, ON/OFF</t>
  </si>
  <si>
    <t>1.2.36.7.11.13</t>
  </si>
  <si>
    <t>OH1A8A3-22</t>
  </si>
  <si>
    <t>AP SQUARE BUTTON TRIM</t>
  </si>
  <si>
    <t>OH1A8A3-22 - AP SQUARE BUTTON TRIM</t>
  </si>
  <si>
    <t>1.2.36.7.12</t>
  </si>
  <si>
    <t>1.2.36.7.13</t>
  </si>
  <si>
    <t>1.2.36.8</t>
  </si>
  <si>
    <t>OH1A8A4-1</t>
  </si>
  <si>
    <t>ASSY, HUD BIT BOX</t>
  </si>
  <si>
    <t>1.2.36.8.1</t>
  </si>
  <si>
    <t>OH1A8A4-10</t>
  </si>
  <si>
    <t>HUD BIT BOX</t>
  </si>
  <si>
    <t>OH1A8A4-10 - HUD BIT BOX</t>
  </si>
  <si>
    <t>1.2.36.8.2</t>
  </si>
  <si>
    <t>OH1A8A4-11</t>
  </si>
  <si>
    <t>HUD BIT BOX LID</t>
  </si>
  <si>
    <t>OH1A8A4-11 - HUD BIT BOX LID</t>
  </si>
  <si>
    <t>1.2.36.8.3</t>
  </si>
  <si>
    <t>OH1A8A4-12</t>
  </si>
  <si>
    <t>HUD CAMERA</t>
  </si>
  <si>
    <t>OH1A8A4-12 - HUD CAMERA</t>
  </si>
  <si>
    <t>1.2.36.8.4</t>
  </si>
  <si>
    <t>1.2.36.8.5</t>
  </si>
  <si>
    <t>97763A141</t>
  </si>
  <si>
    <t>BHCS, #6-32 X .250, 18-8, BLK</t>
  </si>
  <si>
    <t>1.2.36.8.6</t>
  </si>
  <si>
    <t>334-15/X1C5-1QSA</t>
  </si>
  <si>
    <t>LED, 5MM (T1.75), WHITE, 3.2V, 20MA, PTH</t>
  </si>
  <si>
    <t>1.2.36.8.7</t>
  </si>
  <si>
    <t>CMC 441 GTP</t>
  </si>
  <si>
    <t>LENS CAP, GREEN</t>
  </si>
  <si>
    <t>1.2.36.8.8</t>
  </si>
  <si>
    <t>CMC 441 YTP</t>
  </si>
  <si>
    <t>LENS CAP, YELLOW</t>
  </si>
  <si>
    <t>1.2.36.8.9</t>
  </si>
  <si>
    <t>N5040G 2</t>
  </si>
  <si>
    <t>DUST BOOT, GREY, .25-32, M5423-SLASH-10-01</t>
  </si>
  <si>
    <t>1.2.36.8.10</t>
  </si>
  <si>
    <t>30-3UL</t>
  </si>
  <si>
    <t>SWITCH PUSH SPST-NO 5A 120V</t>
  </si>
  <si>
    <t>1.2.36.8.11</t>
  </si>
  <si>
    <t>1.2.36.8.12</t>
  </si>
  <si>
    <t>96640A295</t>
  </si>
  <si>
    <t>FHS, 100DEG, #2-56 X .250, 18-8, BLK</t>
  </si>
  <si>
    <t>1.2.36.8.13</t>
  </si>
  <si>
    <t>1.2.36.8.14</t>
  </si>
  <si>
    <t>1.2.36.8.15</t>
  </si>
  <si>
    <t>96640A334</t>
  </si>
  <si>
    <t>FHS, 100DEG, #4-40 X .250, 18-8, BLK</t>
  </si>
  <si>
    <t>1.2.36.9</t>
  </si>
  <si>
    <t>OH1A8-9001</t>
  </si>
  <si>
    <t>DECAL, TV LENS</t>
  </si>
  <si>
    <t>VYNL</t>
  </si>
  <si>
    <t>1.2.37</t>
  </si>
  <si>
    <t>1.2.37.1</t>
  </si>
  <si>
    <t>1.2.37.2</t>
  </si>
  <si>
    <t>1.2.38</t>
  </si>
  <si>
    <t>92316A536</t>
  </si>
  <si>
    <t>HHCS, .25-20 X .500, GR8, STEEL, BLACK PHOS</t>
  </si>
  <si>
    <t>1.2.39</t>
  </si>
  <si>
    <t>1.2.40</t>
  </si>
  <si>
    <t>1.2.41</t>
  </si>
  <si>
    <t>1.2.42</t>
  </si>
  <si>
    <t>1.2.43</t>
  </si>
  <si>
    <t>90471A445</t>
  </si>
  <si>
    <t>FHS, 100 DEG CSK, .25-20 X .625, STEEL</t>
  </si>
  <si>
    <t>1.2.44</t>
  </si>
  <si>
    <t>1.2.45</t>
  </si>
  <si>
    <t>1.2.46</t>
  </si>
  <si>
    <t>1.2.47</t>
  </si>
  <si>
    <t>1.2.48</t>
  </si>
  <si>
    <t>1.2.49</t>
  </si>
  <si>
    <t>1.2.50</t>
  </si>
  <si>
    <t>1.2.51</t>
  </si>
  <si>
    <t>1.2.52</t>
  </si>
  <si>
    <t>1.2.53</t>
  </si>
  <si>
    <t>1.2.54</t>
  </si>
  <si>
    <t>1.2.55</t>
  </si>
  <si>
    <t>1.2.56</t>
  </si>
  <si>
    <t>1.2.57</t>
  </si>
  <si>
    <t>1.2.58</t>
  </si>
  <si>
    <t>1.2.59</t>
  </si>
  <si>
    <t>1.2.60</t>
  </si>
  <si>
    <t>1.2.61</t>
  </si>
  <si>
    <t>1.2.62</t>
  </si>
  <si>
    <t>1.2.63</t>
  </si>
  <si>
    <t>ER-TFTV101A1-1 DISPLAY</t>
  </si>
  <si>
    <t>10 IN LCD DISPLAY</t>
  </si>
  <si>
    <t>1.2.64</t>
  </si>
  <si>
    <t>1.2.65</t>
  </si>
  <si>
    <t>1.2.65.1</t>
  </si>
  <si>
    <t>1.2.65.2</t>
  </si>
  <si>
    <t>1.2.65.3</t>
  </si>
  <si>
    <t>1.2.66</t>
  </si>
  <si>
    <t>1.2.67</t>
  </si>
  <si>
    <t>1.2.67.1</t>
  </si>
  <si>
    <t>1.2.67.2</t>
  </si>
  <si>
    <t>1.2.68</t>
  </si>
  <si>
    <t>91780A117</t>
  </si>
  <si>
    <t>STANDOFF, #2-56 X 1.00, .1875 HEX, FEMALE, ALUMINUM</t>
  </si>
  <si>
    <t>1.2.69</t>
  </si>
  <si>
    <t>90471A130</t>
  </si>
  <si>
    <t>FHS, 100DEG, #2-56 X .375, STEEL</t>
  </si>
  <si>
    <t>92198A692</t>
  </si>
  <si>
    <t>HHCS, .3125-18 X 2.25, PART THD, 18-8</t>
  </si>
  <si>
    <t>96765A145</t>
  </si>
  <si>
    <t>WASHER, .3125 X .750 X .05 THK, 18-8, BLK</t>
  </si>
  <si>
    <t>92673A119</t>
  </si>
  <si>
    <t>NUT, .3125-18, 18-8</t>
  </si>
  <si>
    <t>OH3A1-1</t>
  </si>
  <si>
    <t>ASSY, CENTER TUB</t>
  </si>
  <si>
    <t>OH3A1A1</t>
  </si>
  <si>
    <t>ASSY, MAIN CENTER TUB</t>
  </si>
  <si>
    <t>2.1.1</t>
  </si>
  <si>
    <t>OH3A1-101</t>
  </si>
  <si>
    <t>CENTER TUB FLOOR</t>
  </si>
  <si>
    <t>OH3A1-101 - CENTER TUB FLOOR</t>
  </si>
  <si>
    <t>2.1.2</t>
  </si>
  <si>
    <t xml:space="preserve">OH3A1-102 </t>
  </si>
  <si>
    <t>CENTER TUB KEYSTONE</t>
  </si>
  <si>
    <t>OH3A1-102 - CENTER TUB KEYSTONE</t>
  </si>
  <si>
    <t>2.1.3</t>
  </si>
  <si>
    <t xml:space="preserve">OH3A1-103 </t>
  </si>
  <si>
    <t>CENTER TUB AFT BULKHEAD</t>
  </si>
  <si>
    <t>OH3A1-103 - CENTER TUB AFT BULKHEAD</t>
  </si>
  <si>
    <t>2.1.4</t>
  </si>
  <si>
    <t xml:space="preserve">OH3A1-104 </t>
  </si>
  <si>
    <t>CENTER TUB LEFT WALL</t>
  </si>
  <si>
    <t>OH3A1-104 - CENTER TUB LEFT WALL</t>
  </si>
  <si>
    <t>2.1.5</t>
  </si>
  <si>
    <t>OH3A1-106</t>
  </si>
  <si>
    <t>CENTER TUB FWD BULKHEAD</t>
  </si>
  <si>
    <t>OH3A1-106 - CENTER TUB FWD BULKHEAD</t>
  </si>
  <si>
    <t>2.1.6</t>
  </si>
  <si>
    <t xml:space="preserve">OH3A1-107  </t>
  </si>
  <si>
    <t>REAR HUMP OUTBOARD INTERNAL SUPPORT</t>
  </si>
  <si>
    <t>OH3A1-107 - REAR HUMP OUTBOARD INTERNAL SUPPORT</t>
  </si>
  <si>
    <t>2.1.7</t>
  </si>
  <si>
    <t xml:space="preserve">OH3A1-108 </t>
  </si>
  <si>
    <t>REAR HUMP LATERAL STRINGER</t>
  </si>
  <si>
    <t>OH3A1-108 - REAR HUMP LATERAL STRINGER</t>
  </si>
  <si>
    <t>2.1.8</t>
  </si>
  <si>
    <t xml:space="preserve">OH3A1-105 </t>
  </si>
  <si>
    <t>CENTER TUB RIGHT WALL</t>
  </si>
  <si>
    <t>OH3A1-105 - CENTER TUB RIGHT WALL</t>
  </si>
  <si>
    <t>2.1.9</t>
  </si>
  <si>
    <t xml:space="preserve">OH3A1-109 </t>
  </si>
  <si>
    <t xml:space="preserve"> SEAT MOUNT ANGLE A, .125 X 2.0 X 2.0, 6063-T52</t>
  </si>
  <si>
    <t>OH3A1-109 - SEAT MOUNT ANGLE A, .125 X 2.0 X 2.0, 6063-T52</t>
  </si>
  <si>
    <t>2.1.10</t>
  </si>
  <si>
    <t>OH3A1-110</t>
  </si>
  <si>
    <t>STRIP A, .50 X 2.0, 60A DUROMETER, RUBBER, ADHESIVE BACKED</t>
  </si>
  <si>
    <t>OH3A1-110 - STRIP A, .50 X 2.0, 60A DUROMETER, RUBBER, ADHESIVE BACKED</t>
  </si>
  <si>
    <t>2.1.11</t>
  </si>
  <si>
    <t xml:space="preserve">OH3A1-111 </t>
  </si>
  <si>
    <t xml:space="preserve"> SEAT MOUNT ANGLE B, .125 X 2.0 X 2.0, 6063-T52</t>
  </si>
  <si>
    <t>OH3A1-111 - SEAT MOUNT ANGLE B, .125 X 2.0 X 2.0, 6063-T52</t>
  </si>
  <si>
    <t>2.1.12</t>
  </si>
  <si>
    <t>OH3A1-112</t>
  </si>
  <si>
    <t>STRIP B, .50 X 2.0, 60A DUROMETER, RUBBER, ADHESIVE BACKED</t>
  </si>
  <si>
    <t>OH3A1-112 - STRIP B, .50 X 2.0, 60A DUROMETER, RUBBER, ADHESIVE BACKED</t>
  </si>
  <si>
    <t>2.1.13</t>
  </si>
  <si>
    <t>92105A675</t>
  </si>
  <si>
    <t>INSERT, .25-20, SELF TAPPING, FOR SOFTWOOD</t>
  </si>
  <si>
    <t>2.1.14</t>
  </si>
  <si>
    <t>2.1.15</t>
  </si>
  <si>
    <t>3225T24</t>
  </si>
  <si>
    <t>VIBRATION-DAMPING LOOP CLAMP</t>
  </si>
  <si>
    <t>2.1.16</t>
  </si>
  <si>
    <t>2.1.17</t>
  </si>
  <si>
    <t>2.1.18</t>
  </si>
  <si>
    <t>2.1.19</t>
  </si>
  <si>
    <t>2.1.20</t>
  </si>
  <si>
    <t>2.1.21</t>
  </si>
  <si>
    <t>90252A118</t>
  </si>
  <si>
    <t>FHWS, 82DEG, #8 X 2.00, STEEL, BLK, FOR MDF</t>
  </si>
  <si>
    <t>2.1.22</t>
  </si>
  <si>
    <t>J15BF.1.15N</t>
  </si>
  <si>
    <t>DRAG CHAIN, 15 X 15MM, ABS</t>
  </si>
  <si>
    <t>OH3A2-1</t>
  </si>
  <si>
    <t>ASSY, EJECTION SEAT, SJU-17</t>
  </si>
  <si>
    <t>2.2.1</t>
  </si>
  <si>
    <t>OH3A2-100</t>
  </si>
  <si>
    <t>DROGUE DEPLOYMENT CATAPULT</t>
  </si>
  <si>
    <t>OH3A2-100 - DROGUE DEPLOYMENT CATAPULT</t>
  </si>
  <si>
    <t>2.2.1.1</t>
  </si>
  <si>
    <t>OH3A2-101</t>
  </si>
  <si>
    <t>DROGUE DEPLOYMENT CATAPULT UPPER CAP</t>
  </si>
  <si>
    <t>OH3A2-101 - DROGUE DEPLOYMENT CATAPULT UPPER CAP</t>
  </si>
  <si>
    <t>2.2.1.2</t>
  </si>
  <si>
    <t>OH3A2-102</t>
  </si>
  <si>
    <t>DROGUE DEPLOYMENT CATAPULT LOWER CAP</t>
  </si>
  <si>
    <t>OH3A2-102 - DROGUE DEPLOYMENT CATAPULT LOWER CAP</t>
  </si>
  <si>
    <t>2.2.1.3</t>
  </si>
  <si>
    <t>OH3A2-103</t>
  </si>
  <si>
    <t>DROGUE DEPLOYMENT CATAPULT BODY</t>
  </si>
  <si>
    <t>OH3A2-103 - DROGUE DEPLOYMENT CATAPULT BODY</t>
  </si>
  <si>
    <t>PVC</t>
  </si>
  <si>
    <t>2.2.1.4</t>
  </si>
  <si>
    <t>OH3A2-104</t>
  </si>
  <si>
    <t>DROGUE DEPLOYMENT CATAPULT MOUNT</t>
  </si>
  <si>
    <t>OH3A2-104 - DROGUE DEPLOYMENT CATAPULT MOUNT</t>
  </si>
  <si>
    <t>2.2.1.5</t>
  </si>
  <si>
    <t>OH3A2-105</t>
  </si>
  <si>
    <t>DROGUE DEPLOYMENT CASTLE NUT</t>
  </si>
  <si>
    <t>OH3A2-105 - DROGUE DEPLOYMENT CASTLE NUT</t>
  </si>
  <si>
    <t>2.2.2</t>
  </si>
  <si>
    <t>OH3A2-27</t>
  </si>
  <si>
    <t>UPPER PARACHUTE DEPLOYMENT ROCKET ARM</t>
  </si>
  <si>
    <t>OH3A2-27 - UPPER PARACHUTE DEPLOYMENT ROCKET ARM</t>
  </si>
  <si>
    <t>2.2.3</t>
  </si>
  <si>
    <t>OH3A2-200</t>
  </si>
  <si>
    <t>PARACHUTE DEPLOYMENT ROCKET</t>
  </si>
  <si>
    <t>OH3A2-200 - PARACHUTE DEPLOYMENT ROCKET</t>
  </si>
  <si>
    <t>2.2.3.1</t>
  </si>
  <si>
    <t>OH3A2-201</t>
  </si>
  <si>
    <t>PARACHUTE DEPLOYMENT ROCKET BODY</t>
  </si>
  <si>
    <t>OH3A2-201 - PARACHUTE DEPLOYMENT ROCKET BODY</t>
  </si>
  <si>
    <t>2.2.3.2</t>
  </si>
  <si>
    <t>OH3A2-202</t>
  </si>
  <si>
    <t>PARACHUTE DEPLOYMENT ROCKET LOWER BODY</t>
  </si>
  <si>
    <t>OH3A2-202 - PARACHUTE DEPLOYMENT ROCKET LOWER BODY</t>
  </si>
  <si>
    <t>2.2.3.3</t>
  </si>
  <si>
    <t>OH3A2-203</t>
  </si>
  <si>
    <t>PARACHUTE DEPLOYMENT ROCKET UPPER CAP</t>
  </si>
  <si>
    <t>OH3A2-203 - PARACHUTE DEPLOYMENT ROCKET UPPER CAP</t>
  </si>
  <si>
    <t>2.2.4</t>
  </si>
  <si>
    <t>OH3A2A-100</t>
  </si>
  <si>
    <t>ASSY, SEAT BUCKET, SJU-17</t>
  </si>
  <si>
    <t>OH3A2A-100 - ASSY, SEAT BUCKET, SJU-17</t>
  </si>
  <si>
    <t>2.2.4.1</t>
  </si>
  <si>
    <t>2.2.4.2</t>
  </si>
  <si>
    <t>2.2.4.3</t>
  </si>
  <si>
    <t>2.2.4.4</t>
  </si>
  <si>
    <t>2.2.4.5</t>
  </si>
  <si>
    <t>OH3A2A-1100</t>
  </si>
  <si>
    <t>ASSY, RIGHT SEAT BUCKET</t>
  </si>
  <si>
    <t>OH3A2A-1100 - ASSY, RIGHT SEAT BUCKET</t>
  </si>
  <si>
    <t>2.2.4.5.1</t>
  </si>
  <si>
    <t>OH3A2A-135</t>
  </si>
  <si>
    <t>MANUAL OVERRIDE HANDLE MECHANISM GUARD</t>
  </si>
  <si>
    <t>OH3A2A-135 - MANUAL OVERRIDE HANDLE MECHANISM GUARD</t>
  </si>
  <si>
    <t>2.2.4.5.2</t>
  </si>
  <si>
    <t>OH3A2A-134</t>
  </si>
  <si>
    <t>MANUAL OVERRIDE HANDLE SWITCH MOUNT</t>
  </si>
  <si>
    <t>OH3A2A-134 - MANUAL OVERRIDE HANDLE SWITCH MOUNT</t>
  </si>
  <si>
    <t>2.2.4.5.3</t>
  </si>
  <si>
    <t>OH3A2A-132</t>
  </si>
  <si>
    <t>MANUAL OVERRIDE HANDLE</t>
  </si>
  <si>
    <t>OH3A2A-132 - MANUAL OVERRIDE HANDLE</t>
  </si>
  <si>
    <t>2.2.4.5.4</t>
  </si>
  <si>
    <t>OH3A2A-137</t>
  </si>
  <si>
    <t>CRANK ARM, SEAT ARMING LEVER</t>
  </si>
  <si>
    <t>OH3A2A-137 - CRANK ARM, SEAT ARMING LEVER</t>
  </si>
  <si>
    <t>2.2.4.5.5</t>
  </si>
  <si>
    <t>OH3A2A-133</t>
  </si>
  <si>
    <t>SEAT ARMING LEVER</t>
  </si>
  <si>
    <t>OH3A2A-133 - SEAT ARMING LEVER</t>
  </si>
  <si>
    <t>2.2.4.5.6</t>
  </si>
  <si>
    <t>OH3A2A-125</t>
  </si>
  <si>
    <t>RIGHT SEAT BUCKET SKIN</t>
  </si>
  <si>
    <t>OH3A2A-125 - RIGHT SEAT BUCKET SKIN</t>
  </si>
  <si>
    <t>2.2.4.5.7</t>
  </si>
  <si>
    <t>91654A144</t>
  </si>
  <si>
    <t>SCREW NAIL, DOMED, .14 X .25 SHANK X .25 HD DIA, 18-8</t>
  </si>
  <si>
    <t>91654A144 - SCREW NAIL, DOMED, .14 X .25 SHANK X .25 HD DIA, 18-8 V1</t>
  </si>
  <si>
    <t>2.2.4.5.8</t>
  </si>
  <si>
    <t>2.2.4.5.9</t>
  </si>
  <si>
    <t>2.2.4.5.10</t>
  </si>
  <si>
    <t>2.2.4.5.11</t>
  </si>
  <si>
    <t>2.2.4.5.12</t>
  </si>
  <si>
    <t>91772A060</t>
  </si>
  <si>
    <t>PHS, #0-80 X 0.625, 18-8</t>
  </si>
  <si>
    <t>2.2.4.5.13</t>
  </si>
  <si>
    <t>90272A832</t>
  </si>
  <si>
    <t>PHS, #10-32 X .875, STEEL</t>
  </si>
  <si>
    <t>2.2.4.5.14</t>
  </si>
  <si>
    <t>92141A011</t>
  </si>
  <si>
    <t>WASHER, #10 X .438 OD, 18-8</t>
  </si>
  <si>
    <t>2.2.4.5.15</t>
  </si>
  <si>
    <t>91771A140</t>
  </si>
  <si>
    <t>FHS, 82DEG, #2-56 X 1.00, 18-8</t>
  </si>
  <si>
    <t>2.2.4.5.16</t>
  </si>
  <si>
    <t>93365A102</t>
  </si>
  <si>
    <t>INSERT, 0-80, BRASS, FOR PLASTICS</t>
  </si>
  <si>
    <t>2.2.4.5.17</t>
  </si>
  <si>
    <t>91772A064</t>
  </si>
  <si>
    <t>PHS, #0-80 X 0.4375, 18-8</t>
  </si>
  <si>
    <t>2.2.4.5.18</t>
  </si>
  <si>
    <t>2.2.4.5.19</t>
  </si>
  <si>
    <t>92735A605</t>
  </si>
  <si>
    <t>GROOVED CLEVIS PIN, .3125 OD X .625 UL X .75 OAL, STEEL</t>
  </si>
  <si>
    <t>2.2.4.5.20</t>
  </si>
  <si>
    <t>92735A610</t>
  </si>
  <si>
    <t>GROOVED CLEVIS PIN, .3125 OD X .875 UL X 1.0 OAL, STEEL</t>
  </si>
  <si>
    <t>2.2.4.5.21</t>
  </si>
  <si>
    <t>90969A310</t>
  </si>
  <si>
    <t>SCREW, ULTRA LOW PROFILE SHOULDER, .375 X .50 L X .3125-18 X .50</t>
  </si>
  <si>
    <t>90969A310 - SCREW, ULTRA LOW PROFILE SHOULDER, .375 X .50 L X .3125-18 X .50 V1</t>
  </si>
  <si>
    <t>2.2.4.5.22</t>
  </si>
  <si>
    <t>2.2.4.5.23</t>
  </si>
  <si>
    <t>84835A23</t>
  </si>
  <si>
    <t>SPRING PLUNGER, BALL-NOSE, PRESS-FIT, 0.25 IN DIA, 6-13 LB FORCE</t>
  </si>
  <si>
    <t>2.2.4.5.24</t>
  </si>
  <si>
    <t>6627K412</t>
  </si>
  <si>
    <t>BEARING, SLEEVE, .4698 OD X .25 L X .6875 FLANGE OD X .375 SHFT, PEEK</t>
  </si>
  <si>
    <t>PEEK</t>
  </si>
  <si>
    <t>2.2.4.5.25</t>
  </si>
  <si>
    <t>6294K432</t>
  </si>
  <si>
    <t>BEARING, SLEEVE, .3125 OD X .25 L X .375 FLANGE, NYLON</t>
  </si>
  <si>
    <t>2.2.4.5.26</t>
  </si>
  <si>
    <t>60645K311</t>
  </si>
  <si>
    <t>ROD END, BALL JOINT, 10-32 FEMALE X .3125 ID, STEEL, ZINC</t>
  </si>
  <si>
    <t>2.2.4.5.27</t>
  </si>
  <si>
    <t>9657K328</t>
  </si>
  <si>
    <t>SPRING, COMPRESSION, .198 ID X .25 OD X 1.25OAL X .32 CL, STEEL, 5.7LBS-IN FORCE</t>
  </si>
  <si>
    <t>2.2.4.5.28</t>
  </si>
  <si>
    <t>6516K120</t>
  </si>
  <si>
    <t>ROD, CONNECTING, 10-32 X 1.1875, 12 OAL, STEEL</t>
  </si>
  <si>
    <t>2.2.4.5.29</t>
  </si>
  <si>
    <t>90480A195</t>
  </si>
  <si>
    <t>NUT, #10-32, THIN, STEEL</t>
  </si>
  <si>
    <t>2.2.4.5.30</t>
  </si>
  <si>
    <t>1394A230</t>
  </si>
  <si>
    <t>BRACKET, FLAT, 1.5 X 0.5 X .06, 2X #5 HOLE, STEEL</t>
  </si>
  <si>
    <t>2.2.4.5.31</t>
  </si>
  <si>
    <t>60645K111 (LH)</t>
  </si>
  <si>
    <t>ROD END, BALL JOINT, 10-32 X .750 X .3125 ID, STEEL</t>
  </si>
  <si>
    <t>2.2.4.5.32</t>
  </si>
  <si>
    <t>60645K111 (RH)</t>
  </si>
  <si>
    <t>ROD END, BALL JOINT, 10-32 X .750 X .3125 ID, RH, STEEL</t>
  </si>
  <si>
    <t>2.2.4.5.33</t>
  </si>
  <si>
    <t>93330A564</t>
  </si>
  <si>
    <t>STANDOFF, #10-32 X 4.00, .25 OD, FEMALE, ALUMINUM</t>
  </si>
  <si>
    <t>2.2.4.5.34</t>
  </si>
  <si>
    <t>93330A554</t>
  </si>
  <si>
    <t>STANDOFF, #10-32 X 3.50, .25 OD, FEMALE, ALUMINUM</t>
  </si>
  <si>
    <t>2.2.4.5.35</t>
  </si>
  <si>
    <t>90322A639</t>
  </si>
  <si>
    <t>ROD, THREADED, 10-32 X 1.0, STEEL</t>
  </si>
  <si>
    <t>2.2.4.5.36</t>
  </si>
  <si>
    <t>2.2.4.6</t>
  </si>
  <si>
    <t>OH3A2A-1200</t>
  </si>
  <si>
    <t>ASSY, LEFT SEAT BUCKET</t>
  </si>
  <si>
    <t>OH3A2A-1200 - ASSY, LEFT SEAT BUCKET</t>
  </si>
  <si>
    <t>2.2.4.6.1</t>
  </si>
  <si>
    <t>OH3A2A-127</t>
  </si>
  <si>
    <t>SEAT HEIGHT ACTUATOR SWITCH HOUSING</t>
  </si>
  <si>
    <t>OH3A2A-127 - SEAT HEIGHT ACTUATOR SWITCH HOUSING</t>
  </si>
  <si>
    <t>2.2.4.6.2</t>
  </si>
  <si>
    <t>OH3A2A-128</t>
  </si>
  <si>
    <t>OUTER SHOULDER HARNESS CONTROL LEVER HOUSING</t>
  </si>
  <si>
    <t>OH3A2A-128 - OUTER SHOULDER HARNESS CONTROL LEVER HOUSING</t>
  </si>
  <si>
    <t>2.2.4.6.3</t>
  </si>
  <si>
    <t>OH3A2A-129</t>
  </si>
  <si>
    <t>INNER SHOULDER HARNESS CONTROL LEVER HOUSING</t>
  </si>
  <si>
    <t>OH3A2A-129 - INNER SHOULDER HARNESS CONTROL LEVER HOUSING</t>
  </si>
  <si>
    <t>2.2.4.6.4</t>
  </si>
  <si>
    <t xml:space="preserve">OH3A2A-130 </t>
  </si>
  <si>
    <t>SHOULDER HARNESS CONTROL LEVER</t>
  </si>
  <si>
    <t>OH3A2A-130 - SHOULDER HARNESS CONTROL LEVER</t>
  </si>
  <si>
    <t>2.2.4.6.5</t>
  </si>
  <si>
    <t>OH3A2A-131</t>
  </si>
  <si>
    <t>SHOULDER HARNESS CONTROL LEVER HANDLE</t>
  </si>
  <si>
    <t>OH3A2A-131 - SHOULDER HARNESS CONTROL LEVER HANDLE</t>
  </si>
  <si>
    <t>2.2.4.6.6</t>
  </si>
  <si>
    <t>OH3A2A-126</t>
  </si>
  <si>
    <t>LEFT SEAT BUCKET SKIN</t>
  </si>
  <si>
    <t>OH3A2A-126 - LEFT SEAT BUCKET SKIN</t>
  </si>
  <si>
    <t>2.2.4.6.7</t>
  </si>
  <si>
    <t>2.2.4.6.8</t>
  </si>
  <si>
    <t>2.2.4.6.9</t>
  </si>
  <si>
    <t>2.2.4.6.10</t>
  </si>
  <si>
    <t>2.2.4.6.11</t>
  </si>
  <si>
    <t>2.2.4.6.12</t>
  </si>
  <si>
    <t>2.2.4.6.13</t>
  </si>
  <si>
    <t>5901A122</t>
  </si>
  <si>
    <t>SPRING PLUNGER, BALL-NOSE, 8-32 HEX DRIVE</t>
  </si>
  <si>
    <t>2.2.4.6.14</t>
  </si>
  <si>
    <t>2.2.4.6.15</t>
  </si>
  <si>
    <t>2.2.4.6.16</t>
  </si>
  <si>
    <t>2.2.4.6.17</t>
  </si>
  <si>
    <t>2.2.4.6.18</t>
  </si>
  <si>
    <t>2.2.4.7</t>
  </si>
  <si>
    <t>OH3A2A-1300</t>
  </si>
  <si>
    <t>ASSY, EJECTION HANDLE</t>
  </si>
  <si>
    <t>OH3A2A-1300 - ASSY, EJECTION HANDLE</t>
  </si>
  <si>
    <t>2.2.4.7.1</t>
  </si>
  <si>
    <t>OH3A2A-142</t>
  </si>
  <si>
    <t>EJECTION HANDLE CAP SUPPORT</t>
  </si>
  <si>
    <t>OH3A2A-142 - EJECTION HANDLE CAP SUPPORT</t>
  </si>
  <si>
    <t>2.2.4.7.2</t>
  </si>
  <si>
    <t>7856K18</t>
  </si>
  <si>
    <t>HEAT-SHRINK, .75ID SHRINK TO .375ID, POLYOLEFIN, YELLOW</t>
  </si>
  <si>
    <t>7856K18 - HEAT-SHRINK, .75ID SHRINK TO .375ID, POLYOLEFIN, YELLOW</t>
  </si>
  <si>
    <t>2.2.4.7.3</t>
  </si>
  <si>
    <t>PTN0.50SS</t>
  </si>
  <si>
    <t>SLEEVING, BRAIDED, SAFETY STRIPE (YELLOW-BLACK), .500 DIA, PET</t>
  </si>
  <si>
    <t>PTN0.50SS - SLEEVING, BRAIDED, SAFETY STRIPE (YELLOW-BLACK), .500 DIA, PET</t>
  </si>
  <si>
    <t>2.2.4.7.4</t>
  </si>
  <si>
    <t>5648K33</t>
  </si>
  <si>
    <t>TUBING, .500OD X .3281 ID, 95A DUROMETER, POLYURETHANE, YELLOW</t>
  </si>
  <si>
    <t>5648K33 - TUBING, .500OD X .3281 ID, 95A DUROMETER, POLYURETHANE, YELLOW</t>
  </si>
  <si>
    <t>2.2.4.7.5</t>
  </si>
  <si>
    <t>8912T54</t>
  </si>
  <si>
    <t>ROPE, WIRE, COATED, .1875 ROPE DIA, .3125 COATING DIAMETER, BLACK</t>
  </si>
  <si>
    <t>8912T54 - ROPE, WIRE, COATED, .1875 ROPE DIA, .3125 COATING DIAMETER, BLACK</t>
  </si>
  <si>
    <t>2.2.4.7.6</t>
  </si>
  <si>
    <t>OH3A2A-143</t>
  </si>
  <si>
    <t>EJECTION HANDLE CAP</t>
  </si>
  <si>
    <t>OH3A2A-143 - EJECTION HANDLE CAP</t>
  </si>
  <si>
    <t>2.2.4.7.7</t>
  </si>
  <si>
    <t>OH3A2A-144</t>
  </si>
  <si>
    <t>EJECTION HANDLE SWITCH ACTUATOR</t>
  </si>
  <si>
    <t>OH3A2A-144 - EJECTION HANDLE SWITCH ACTUATOR</t>
  </si>
  <si>
    <t>2.2.4.7.8</t>
  </si>
  <si>
    <t>OH3A2A-145</t>
  </si>
  <si>
    <t>LOWER EJECTION HANDLE BASE</t>
  </si>
  <si>
    <t>OH3A2A-145 - LOWER EJECTION HANDLE BASE</t>
  </si>
  <si>
    <t>2.2.4.7.9</t>
  </si>
  <si>
    <t>OH3A2A-146</t>
  </si>
  <si>
    <t>UPPER EJECTION HANDLE BASE</t>
  </si>
  <si>
    <t>OH3A2A-146 - UPPER EJECTION HANDLE BASE</t>
  </si>
  <si>
    <t>2.2.4.7.10</t>
  </si>
  <si>
    <t>2.2.4.7.11</t>
  </si>
  <si>
    <t>2.2.4.7.12</t>
  </si>
  <si>
    <t>2.2.4.7.13</t>
  </si>
  <si>
    <t>95412A560</t>
  </si>
  <si>
    <t>ROD, .25-20 X 4.500, 18-8</t>
  </si>
  <si>
    <t>2.2.4.7.14</t>
  </si>
  <si>
    <t>2.2.4.7.15</t>
  </si>
  <si>
    <t>2.2.4.7.16</t>
  </si>
  <si>
    <t>9657K332</t>
  </si>
  <si>
    <t>SPRING, COMPRESSION, 0.296 ID X 0.36 OD X 1.25 OAL X 0.27 CL, STEEL, 6.7 LBF MAX</t>
  </si>
  <si>
    <t>2.2.4.7.17</t>
  </si>
  <si>
    <t>2.2.4.7.18</t>
  </si>
  <si>
    <t>2.2.4.7.19</t>
  </si>
  <si>
    <t>2.2.4.7.20</t>
  </si>
  <si>
    <t>3914T5</t>
  </si>
  <si>
    <t>STOP, WIRE ROPE, .1875 WIRE DIA</t>
  </si>
  <si>
    <t>2.2.4.7.21</t>
  </si>
  <si>
    <t>2.2.4.8</t>
  </si>
  <si>
    <t>OH3A2A-1000</t>
  </si>
  <si>
    <t>ASSY, CENTER SEAT BUCKET</t>
  </si>
  <si>
    <t>OH3A2A-1000 - ASSY, CENTER SEAT BUCKET</t>
  </si>
  <si>
    <t>2.2.4.8.1</t>
  </si>
  <si>
    <t>OH3A2A-140</t>
  </si>
  <si>
    <t>RIGHT KNEE GUARD SUPPORT</t>
  </si>
  <si>
    <t>OH3A2A-140 - RIGHT KNEE GUARD SUPPORT</t>
  </si>
  <si>
    <t>2.2.4.8.2</t>
  </si>
  <si>
    <t>OH3A2A-141</t>
  </si>
  <si>
    <t>KNEE GUARD SUPPORT BRACKET</t>
  </si>
  <si>
    <t>OH3A2A-141 - KNEE GUARD SUPPORT BRACKET</t>
  </si>
  <si>
    <t>2.2.4.8.3</t>
  </si>
  <si>
    <t>OH3A2A-101</t>
  </si>
  <si>
    <t>SEAT BASE</t>
  </si>
  <si>
    <t>OH3A2A-101 - SEAT BASE</t>
  </si>
  <si>
    <t>2.2.4.8.4</t>
  </si>
  <si>
    <t>OH3A2A-102</t>
  </si>
  <si>
    <t>UPPER SEAT BASE</t>
  </si>
  <si>
    <t>OH3A2A-102 - UPPER SEAT BASE</t>
  </si>
  <si>
    <t>2.2.4.8.5</t>
  </si>
  <si>
    <t>OH3A2A-103</t>
  </si>
  <si>
    <t>RIGHT OUTBOARD UPPER SEAT PAN LONGERON</t>
  </si>
  <si>
    <t>OH3A2A-103 - RIGHT OUTBOARD UPPER SEAT PAN LONGERON</t>
  </si>
  <si>
    <t>2.2.4.8.6</t>
  </si>
  <si>
    <t>OH3A2A-105</t>
  </si>
  <si>
    <t>UPPER SEAT PAN DETAIL B</t>
  </si>
  <si>
    <t>OH3A2A-105 - UPPER SEAT PAN DETAIL B</t>
  </si>
  <si>
    <t>2.2.4.8.7</t>
  </si>
  <si>
    <t>OH3A2A-106</t>
  </si>
  <si>
    <t>UPPER SEAT PAN DETAIL C</t>
  </si>
  <si>
    <t>OH3A2A-106 - UPPER SEAT PAN DETAIL C</t>
  </si>
  <si>
    <t>2.2.4.8.8</t>
  </si>
  <si>
    <t>OH3A2A-107</t>
  </si>
  <si>
    <t>RIGHT INBOARD UPPER SEAT PAN LONGERON</t>
  </si>
  <si>
    <t>OH3A2A-107 - RIGHT INBOARD UPPER SEAT PAN LONGERON</t>
  </si>
  <si>
    <t>2.2.4.8.9</t>
  </si>
  <si>
    <t>OH3A2A-108</t>
  </si>
  <si>
    <t>RIGHT THIGH SUPPORT</t>
  </si>
  <si>
    <t>OH3A2A-108 - RIGHT THIGH SUPPORT</t>
  </si>
  <si>
    <t>2.2.4.8.10</t>
  </si>
  <si>
    <t>OH3A2A-109</t>
  </si>
  <si>
    <t>FWD UPPER SEAT PAN TRIM</t>
  </si>
  <si>
    <t>OH3A2A-109 - FWD UPPER SEAT PAN TRIM</t>
  </si>
  <si>
    <t>2.2.4.8.11</t>
  </si>
  <si>
    <t>LEFT INBOARD UPPER SEAT PAN LONGERON</t>
  </si>
  <si>
    <t>OH3A2A-107 - LEFT INBOARD UPPER SEAT PAN LONGERON</t>
  </si>
  <si>
    <t>2.2.4.8.12</t>
  </si>
  <si>
    <t>LEFT THIGH SUPPORT</t>
  </si>
  <si>
    <t>OH3A2A-108 - LEFT THIGH SUPPORT</t>
  </si>
  <si>
    <t>2.2.4.8.13</t>
  </si>
  <si>
    <t>OH3A2A-110</t>
  </si>
  <si>
    <t>LEFT OUTBOARD UPPER SEAT PAN LONGERON</t>
  </si>
  <si>
    <t>OH3A2A-110 - LEFT OUTBOARD UPPER SEAT PAN LONGERON</t>
  </si>
  <si>
    <t>2.2.4.8.14</t>
  </si>
  <si>
    <t>OH3A2A-112</t>
  </si>
  <si>
    <t>UPPER SEAT PAN DETAIL E</t>
  </si>
  <si>
    <t>OH3A2A-112 - UPPER SEAT PAN DETAIL E</t>
  </si>
  <si>
    <t>2.2.4.8.15</t>
  </si>
  <si>
    <t>OH3A2A-115</t>
  </si>
  <si>
    <t>REAR UPPER SEAT PAN SUPPORT</t>
  </si>
  <si>
    <t>OH3A2A-115 - REAR UPPER SEAT PAN SUPPORT</t>
  </si>
  <si>
    <t>2.2.4.8.16</t>
  </si>
  <si>
    <t>OH3A2A-116</t>
  </si>
  <si>
    <t>FWD SEAT PAN TOP SUPPORT</t>
  </si>
  <si>
    <t>OH3A2A-116 - FWD SEAT PAN TOP SUPPORT</t>
  </si>
  <si>
    <t>2.2.4.8.17</t>
  </si>
  <si>
    <t>OH3A2A-117</t>
  </si>
  <si>
    <t>SEAT PAN TOP</t>
  </si>
  <si>
    <t>OH3A2A-117 - SEAT PAN TOP</t>
  </si>
  <si>
    <t>2.2.4.8.18</t>
  </si>
  <si>
    <t xml:space="preserve">OH3A2A-138 </t>
  </si>
  <si>
    <t>ACCESS PANEL, SEAT PAN</t>
  </si>
  <si>
    <t>OH3A2A-138 - ACCESS PANEL, SEAT PAN</t>
  </si>
  <si>
    <t>2.2.4.8.19</t>
  </si>
  <si>
    <t>OH3A2A-119</t>
  </si>
  <si>
    <t>SEAT BACK BASE</t>
  </si>
  <si>
    <t>OH3A2A-119 - SEAT BACK BASE</t>
  </si>
  <si>
    <t>2.2.4.8.20</t>
  </si>
  <si>
    <t>OH3A2A-120</t>
  </si>
  <si>
    <t>SEAT BACK RIB A</t>
  </si>
  <si>
    <t>OH3A2A-120 - SEAT BACK RIB A</t>
  </si>
  <si>
    <t>2.2.4.8.21</t>
  </si>
  <si>
    <t>OH3A2A-121</t>
  </si>
  <si>
    <t>SEAT BACK RIB B</t>
  </si>
  <si>
    <t>OH3A2A-121 - SEAT BACK RIB B</t>
  </si>
  <si>
    <t>2.2.4.8.22</t>
  </si>
  <si>
    <t>OH3A2A-122</t>
  </si>
  <si>
    <t>RIGHT SEAT BACK DOUBLER PLATE</t>
  </si>
  <si>
    <t>OH3A2A-122 - RIGHT SEAT BACK DOUBLER PLATE</t>
  </si>
  <si>
    <t>2.2.4.8.23</t>
  </si>
  <si>
    <t>OH3A2A-124</t>
  </si>
  <si>
    <t>SEAT BACK SKIN</t>
  </si>
  <si>
    <t>OH3A2A-124 - SEAT BACK SKIN</t>
  </si>
  <si>
    <t>2.2.4.8.24</t>
  </si>
  <si>
    <t>OH3A2A-123</t>
  </si>
  <si>
    <t>LEFT SEAT BACK DOUBLER PLATE</t>
  </si>
  <si>
    <t>OH3A2A-123 - LEFT SEAT BACK DOUBLER PLATE</t>
  </si>
  <si>
    <t>2.2.4.8.25</t>
  </si>
  <si>
    <t>OH3A2A-147</t>
  </si>
  <si>
    <t>LEFT KNEE GUARD SUPPORT</t>
  </si>
  <si>
    <t>OH3A2A-147 - LEFT KNEE GUARD SUPPORT</t>
  </si>
  <si>
    <t>2.2.4.8.26</t>
  </si>
  <si>
    <t>2.2.4.8.27</t>
  </si>
  <si>
    <t>2.2.4.8.28</t>
  </si>
  <si>
    <t>2.2.4.8.29</t>
  </si>
  <si>
    <t>2.2.4.8.30</t>
  </si>
  <si>
    <t>2.2.4.8.31</t>
  </si>
  <si>
    <t>2.2.4.8.32</t>
  </si>
  <si>
    <t>2.2.4.8.33</t>
  </si>
  <si>
    <t>4280-BLACK</t>
  </si>
  <si>
    <t>BRACKET, SLOTTED, INSIDE CORNER</t>
  </si>
  <si>
    <t>2.2.4.8.34</t>
  </si>
  <si>
    <t>2.2.4.8.35</t>
  </si>
  <si>
    <t>2.2.4.8.36</t>
  </si>
  <si>
    <t>90377A165</t>
  </si>
  <si>
    <t>WASHER, .3125 X 1.50 OD, 18-8, BLK</t>
  </si>
  <si>
    <t>2.2.4.8.37</t>
  </si>
  <si>
    <t>2.2.4.8.38</t>
  </si>
  <si>
    <t>2.2.4.8.39</t>
  </si>
  <si>
    <t>91780A035</t>
  </si>
  <si>
    <t>STANDOFF, #2-56 X 1.50, .1875 HEX, FEMALE, 6061</t>
  </si>
  <si>
    <t>2.2.4.8.40</t>
  </si>
  <si>
    <t>2.2.4.8.41</t>
  </si>
  <si>
    <t>2.2.4.8.41.1</t>
  </si>
  <si>
    <t>2.2.4.8.41.2</t>
  </si>
  <si>
    <t>2.2.5</t>
  </si>
  <si>
    <t>OH3A2-33</t>
  </si>
  <si>
    <t>SEAT PAN CUSHION</t>
  </si>
  <si>
    <t>OH3A2-33 - SEAT PAN CUSHION</t>
  </si>
  <si>
    <t>2.2.6</t>
  </si>
  <si>
    <t>OH3A2-34</t>
  </si>
  <si>
    <t>SEAT BACK CUSHION</t>
  </si>
  <si>
    <t>OH3A2-34 - SEAT BACK CUSHION</t>
  </si>
  <si>
    <t>2.2.7</t>
  </si>
  <si>
    <t>OH3A2A-200</t>
  </si>
  <si>
    <t>ASSY, PARACHUTE CONTAINER, SJU-17</t>
  </si>
  <si>
    <t>OH3A2A-200 - ASSY, PARACHUTE CONTAINER, SJU-17</t>
  </si>
  <si>
    <t>2.2.7.1</t>
  </si>
  <si>
    <t>OH3A2A-221</t>
  </si>
  <si>
    <t>PCM PARACHUTE CONTAINER INTERFACE PLATE</t>
  </si>
  <si>
    <t>OH3A2A-221 - PCM PARACHUTE CONTAINER INTERFACE PLATE</t>
  </si>
  <si>
    <t>2.2.7.2</t>
  </si>
  <si>
    <t>OH3A2A-222</t>
  </si>
  <si>
    <t>PCM UPPER RAIL INTERFACE PLATE</t>
  </si>
  <si>
    <t>OH3A2A-222 - PCM UPPER RAIL INTERFACE PLATE</t>
  </si>
  <si>
    <t>2.2.7.3</t>
  </si>
  <si>
    <t>OH3A2A-223</t>
  </si>
  <si>
    <t>PCM SUPPORT</t>
  </si>
  <si>
    <t>OH3A2A-223 - PCM SUPPORT</t>
  </si>
  <si>
    <t>2.2.7.4</t>
  </si>
  <si>
    <t>OH3A2A-201</t>
  </si>
  <si>
    <t>LOWER PARACHUTE CONTAINER BASE</t>
  </si>
  <si>
    <t>OH3A2A-201 - LOWER PARACHUTE CONTAINER BASE</t>
  </si>
  <si>
    <t>2.2.7.5</t>
  </si>
  <si>
    <t>OH3A2A-202</t>
  </si>
  <si>
    <t>FWD PARACHUTE CONTAINER SUPPORT</t>
  </si>
  <si>
    <t>OH3A2A-202 - FWD PARACHUTE CONTAINER SUPPORT</t>
  </si>
  <si>
    <t>2.2.7.6</t>
  </si>
  <si>
    <t>OH3A2A-203</t>
  </si>
  <si>
    <t>TOP PARACHUTE CONTAINER BASE</t>
  </si>
  <si>
    <t>OH3A2A-203 - TOP PARACHUTE CONTAINER BASE</t>
  </si>
  <si>
    <t>2.2.7.7</t>
  </si>
  <si>
    <t>OH3A2A-204</t>
  </si>
  <si>
    <t>LEFT SIDE PARACHUTE CONTAINER SUPPORT</t>
  </si>
  <si>
    <t>OH3A2A-204 - LEFT SIDE PARACHUTE CONTAINER SUPPORT</t>
  </si>
  <si>
    <t>2.2.7.8</t>
  </si>
  <si>
    <t>OH3A2A-205</t>
  </si>
  <si>
    <t>AFT PARACHUTE CONTAINER SUPPORT</t>
  </si>
  <si>
    <t>OH3A2A-205 - AFT PARACHUTE CONTAINER SUPPORT</t>
  </si>
  <si>
    <t>2.2.7.9</t>
  </si>
  <si>
    <t>OH3A2A-206</t>
  </si>
  <si>
    <t>RIGHT SIDE PARACHUTE CONTAINER SUPPORT</t>
  </si>
  <si>
    <t>OH3A2A-206 - RIGHT SIDE PARACHUTE CONTAINER SUPPORT</t>
  </si>
  <si>
    <t>2.2.7.10</t>
  </si>
  <si>
    <t>OH3A2A-207</t>
  </si>
  <si>
    <t>LH CANOPY BREAKER</t>
  </si>
  <si>
    <t>OH3A2A-207 - LH CANOPY BREAKER</t>
  </si>
  <si>
    <t>2.2.7.11</t>
  </si>
  <si>
    <t>OH3A2A-208</t>
  </si>
  <si>
    <t>RH CANOPY BREAKER</t>
  </si>
  <si>
    <t>OH3A2A-208 - RH CANOPY BREAKER</t>
  </si>
  <si>
    <t>2.2.7.12</t>
  </si>
  <si>
    <t>OH3A2A-209</t>
  </si>
  <si>
    <t>LH PARACHUTE CONTAINER LID</t>
  </si>
  <si>
    <t>OH3A2A-209 - LH PARACHUTE CONTAINER LID</t>
  </si>
  <si>
    <t>2.2.7.13</t>
  </si>
  <si>
    <t>OH3A2A-210</t>
  </si>
  <si>
    <t>RH PARACHUTE CONTAINER LID</t>
  </si>
  <si>
    <t>OH3A2A-210 - RH PARACHUTE CONTAINER LID</t>
  </si>
  <si>
    <t>2.2.7.14</t>
  </si>
  <si>
    <t>OH3A2A-211</t>
  </si>
  <si>
    <t>SJU-17 HEADREST A</t>
  </si>
  <si>
    <t>OH3A2A-211 - SJU-17 HEADREST A</t>
  </si>
  <si>
    <t>2.2.7.15</t>
  </si>
  <si>
    <t>OH3A2A-212</t>
  </si>
  <si>
    <t>SJU-17 HEADREST D</t>
  </si>
  <si>
    <t>OH3A2A-212 - SJU-17 HEADREST D</t>
  </si>
  <si>
    <t>2.2.7.16</t>
  </si>
  <si>
    <t>OH3A2A-213</t>
  </si>
  <si>
    <t>SJU-17 HEADREST C</t>
  </si>
  <si>
    <t>OH3A2A-213 - SJU-17 HEADREST C</t>
  </si>
  <si>
    <t>2.2.7.17</t>
  </si>
  <si>
    <t>OH3A2A-214</t>
  </si>
  <si>
    <t>SJU-17 HEADREST B</t>
  </si>
  <si>
    <t>OH3A2A-214 - SJU-17 HEADREST B</t>
  </si>
  <si>
    <t>2.2.7.18</t>
  </si>
  <si>
    <t>OH3A2A-215</t>
  </si>
  <si>
    <t>OUTSIDE PARACHUTE CONTAINER SKIN</t>
  </si>
  <si>
    <t>OH3A2A-215 - OUTSIDE PARACHUTE CONTAINER SKIN</t>
  </si>
  <si>
    <t>2.2.7.19</t>
  </si>
  <si>
    <t>OH3A2A-216</t>
  </si>
  <si>
    <t>LOWER PARACHUTE CONTAINER SKIN TRIM</t>
  </si>
  <si>
    <t>OH3A2A-216 - LOWER PARACHUTE CONTAINER SKIN TRIM</t>
  </si>
  <si>
    <t>2.2.7.20</t>
  </si>
  <si>
    <t>OH3A2A-217</t>
  </si>
  <si>
    <t>RIGHT OUTSIDE PARACHUTE CONTAINER SKIN</t>
  </si>
  <si>
    <t>OH3A2A-217 - RIGHT OUTSIDE PARACHUTE CONTAINER SKIN</t>
  </si>
  <si>
    <t>2.2.7.21</t>
  </si>
  <si>
    <t>OH3A2A-218</t>
  </si>
  <si>
    <t>RIGHT LOWER PARACHUTE CONTAINER SKIN TRIM</t>
  </si>
  <si>
    <t>OH3A2A-218 - RIGHT LOWER PARACHUTE CONTAINER SKIN TRIM</t>
  </si>
  <si>
    <t>2.2.7.22</t>
  </si>
  <si>
    <t>2.2.7.23</t>
  </si>
  <si>
    <t>2.2.7.24</t>
  </si>
  <si>
    <t>2.2.7.25</t>
  </si>
  <si>
    <t>2.2.7.26</t>
  </si>
  <si>
    <t>91309A587</t>
  </si>
  <si>
    <t>HHCS, .3125-18 X 1.5, STEEL</t>
  </si>
  <si>
    <t>2.2.7.27</t>
  </si>
  <si>
    <t>2.2.7.28</t>
  </si>
  <si>
    <t>2.2.7.29</t>
  </si>
  <si>
    <t>2.2.7.30</t>
  </si>
  <si>
    <t>2.2.7.31</t>
  </si>
  <si>
    <t>2.2.7.32</t>
  </si>
  <si>
    <t>60645K131</t>
  </si>
  <si>
    <t>ROD END, BALL JOINT, .3125-24 X 1.25 SHANK X .875 OAW, STEEL</t>
  </si>
  <si>
    <t>2.2.7.33</t>
  </si>
  <si>
    <t>2.2.7.34</t>
  </si>
  <si>
    <t>2.2.7.35</t>
  </si>
  <si>
    <t>2.2.7.36</t>
  </si>
  <si>
    <t>90275A196</t>
  </si>
  <si>
    <t>FHS, 82DEG, #8-32 X .625, STEEL</t>
  </si>
  <si>
    <t>2.2.7.37</t>
  </si>
  <si>
    <t>2.2.8</t>
  </si>
  <si>
    <t>2.2.9</t>
  </si>
  <si>
    <t>2.2.10</t>
  </si>
  <si>
    <t>2.2.11</t>
  </si>
  <si>
    <t>2.2.12</t>
  </si>
  <si>
    <t>2.2.13</t>
  </si>
  <si>
    <t>93085A854</t>
  </si>
  <si>
    <t>FHS, 100DEG, #8-32 X 2.00, 18-8</t>
  </si>
  <si>
    <t>2.2.14</t>
  </si>
  <si>
    <t>2.2.15</t>
  </si>
  <si>
    <t>2.2.16</t>
  </si>
  <si>
    <t>2.2.17</t>
  </si>
  <si>
    <t>98060A580</t>
  </si>
  <si>
    <t>BOLT, CARRIAGE, KNURLED-NECK, .3125-18 X 1.75L, GR5</t>
  </si>
  <si>
    <t>98060A580 - BOLT, CARRIAGE, KNURLED-NECK, .3125-18 X 1.75L, GR5 V1</t>
  </si>
  <si>
    <t>2.2.18</t>
  </si>
  <si>
    <t>57715K26</t>
  </si>
  <si>
    <t>KNOB, THREE-ARM, .3125-18, THRU-HOLE, PLASTIC</t>
  </si>
  <si>
    <t>2.2.19</t>
  </si>
  <si>
    <t>OH3A2A-9003</t>
  </si>
  <si>
    <t>DECAL, BUCKET-SEAT ASSY</t>
  </si>
  <si>
    <t>2.2.20</t>
  </si>
  <si>
    <t>OH3A2A-9002</t>
  </si>
  <si>
    <t>DECAL, BRIDLE AND BOX</t>
  </si>
  <si>
    <t>2.2.21</t>
  </si>
  <si>
    <t>OH3A2A-9005</t>
  </si>
  <si>
    <t>DECAL, DO NOT HOLD</t>
  </si>
  <si>
    <t>2.2.22</t>
  </si>
  <si>
    <t>OH3A2A-9004</t>
  </si>
  <si>
    <t>DECAL, DANGER DO NOT PULL</t>
  </si>
  <si>
    <t>2.2.23</t>
  </si>
  <si>
    <t>OH3A2A-9008</t>
  </si>
  <si>
    <t>DECAL, SEAT BUCKET MECH</t>
  </si>
  <si>
    <t>2.2.24</t>
  </si>
  <si>
    <t>OH3A2A-9006</t>
  </si>
  <si>
    <t>DECAL, NACES PFCL</t>
  </si>
  <si>
    <t>2.2.25</t>
  </si>
  <si>
    <t>OH3A2A-9007</t>
  </si>
  <si>
    <t>DECAL, PARACHUTE ASSY</t>
  </si>
  <si>
    <t>2.2.26</t>
  </si>
  <si>
    <t>OH3A2A-9010</t>
  </si>
  <si>
    <t>DECAL, SEAT, AIRCRAFT EJECTION</t>
  </si>
  <si>
    <t>2.2.27</t>
  </si>
  <si>
    <t>OH3A2A-9011</t>
  </si>
  <si>
    <t>DECAL, SEAT APPLICATION</t>
  </si>
  <si>
    <t>2.2.28</t>
  </si>
  <si>
    <t>OH3A2A-9014</t>
  </si>
  <si>
    <t>DECAL, SURVIVAL KIT, OXYGEN, AIRCRAFT SEAT</t>
  </si>
  <si>
    <t>2.2.29</t>
  </si>
  <si>
    <t>OH3A2A-9016</t>
  </si>
  <si>
    <t>DECAL, DROGUE ASSY</t>
  </si>
  <si>
    <t>2.2.30</t>
  </si>
  <si>
    <t>OH3A2-300</t>
  </si>
  <si>
    <t>ASSY, SEAT BASE &amp; RAILS</t>
  </si>
  <si>
    <t>OH3A2-300 - ASSY, SEAT BASE &amp; RAILS</t>
  </si>
  <si>
    <t>2.2.30.1</t>
  </si>
  <si>
    <t>OH3A2-10</t>
  </si>
  <si>
    <t>FWD SEAT MOUNT CROSSMEMBER</t>
  </si>
  <si>
    <t>OH3A2-10 - FWD SEAT MOUNT CROSSMEMBER</t>
  </si>
  <si>
    <t>2.2.30.2</t>
  </si>
  <si>
    <t>OH3A2-11</t>
  </si>
  <si>
    <t>SEAT CATAPULT</t>
  </si>
  <si>
    <t>OH3A2-11 - SEAT CATAPULT</t>
  </si>
  <si>
    <t>2.2.30.3</t>
  </si>
  <si>
    <t>OH3A2-12</t>
  </si>
  <si>
    <t>SEAT CATAPULT MOUNT</t>
  </si>
  <si>
    <t>OH3A2-12 - SEAT CATAPULT MOUNT</t>
  </si>
  <si>
    <t>2.2.30.4</t>
  </si>
  <si>
    <t>OH3A2-13</t>
  </si>
  <si>
    <t>SEAT CATAPULT DETAIL RING</t>
  </si>
  <si>
    <t>OH3A2-13 - SEAT CATAPULT DETAIL RING</t>
  </si>
  <si>
    <t>2.2.30.5</t>
  </si>
  <si>
    <t>OH3A2-14</t>
  </si>
  <si>
    <t>BUTTKICKER MOUNTING PLATE</t>
  </si>
  <si>
    <t>OH3A2-14 - BUTTKICKER MOUNTING PLATE</t>
  </si>
  <si>
    <t>2.2.30.6</t>
  </si>
  <si>
    <t>OH3A2-15</t>
  </si>
  <si>
    <t>OUTBOARD SEAT MOUNT</t>
  </si>
  <si>
    <t>OH3A2-15 - OUTBOARD SEAT MOUNT</t>
  </si>
  <si>
    <t>2.2.30.7</t>
  </si>
  <si>
    <t>OH3A2-16</t>
  </si>
  <si>
    <t>INBOARD SEAT MOUNT</t>
  </si>
  <si>
    <t>OH3A2-16 - INBOARD SEAT MOUNT</t>
  </si>
  <si>
    <t>2.2.30.8</t>
  </si>
  <si>
    <t>OH3A2-17</t>
  </si>
  <si>
    <t>VERTICAL MOUNTING RAIL</t>
  </si>
  <si>
    <t>OH3A2-17 - VERTICAL MOUNTING RAIL</t>
  </si>
  <si>
    <t>2.2.30.9</t>
  </si>
  <si>
    <t>OH3A2-18</t>
  </si>
  <si>
    <t>VERTICAL MOUNTING RAIL, OUTER</t>
  </si>
  <si>
    <t>OH3A2-18 - VERTICAL MOUNTING RAIL, OUTER</t>
  </si>
  <si>
    <t>2.2.30.10</t>
  </si>
  <si>
    <t>OH3A2-19</t>
  </si>
  <si>
    <t>UPPER HORIZONTAL MOUNTING RAIL</t>
  </si>
  <si>
    <t>OH3A2-19 - UPPER HORIZONTAL MOUNTING RAIL</t>
  </si>
  <si>
    <t>2.2.30.11</t>
  </si>
  <si>
    <t>OH3A2-21</t>
  </si>
  <si>
    <t>LOWER HORIZONTAL MOUNTING RAIL</t>
  </si>
  <si>
    <t>OH3A2-21 - LOWER HORIZONTAL MOUNTING RAIL</t>
  </si>
  <si>
    <t>2.2.30.12</t>
  </si>
  <si>
    <t>OH3A2-22</t>
  </si>
  <si>
    <t>UPPER RAIL CAP</t>
  </si>
  <si>
    <t>OH3A2-22 - UPPER RAIL CAP</t>
  </si>
  <si>
    <t>2.2.30.13</t>
  </si>
  <si>
    <t>OH3A2-24</t>
  </si>
  <si>
    <t>SEAT CATAPULT HORIZONTAL SUPPORT</t>
  </si>
  <si>
    <t>OH3A2-24 - SEAT CATAPULT HORIZONTAL SUPPORT</t>
  </si>
  <si>
    <t>2.2.30.14</t>
  </si>
  <si>
    <t>OH3A2-25</t>
  </si>
  <si>
    <t>SEAT REAR RAIL PLATE</t>
  </si>
  <si>
    <t>OH3A2-25 - SEAT REAR RAIL PLATE</t>
  </si>
  <si>
    <t>2.2.30.15</t>
  </si>
  <si>
    <t>OH3A2-26</t>
  </si>
  <si>
    <t>DROGUE DEPLOYMENT MOUNT A</t>
  </si>
  <si>
    <t>OH3A2-26 - DROGUE DEPLOYMENT MOUNT A</t>
  </si>
  <si>
    <t>2.2.30.16</t>
  </si>
  <si>
    <t>OH3A2-28</t>
  </si>
  <si>
    <t>LOWER PARACHUTE DEPLOYMENT ROCKET MOUNT</t>
  </si>
  <si>
    <t>OH3A2-28 - LOWER PARACHUTE DEPLOYMENT ROCKET MOUNT</t>
  </si>
  <si>
    <t>2.2.30.17</t>
  </si>
  <si>
    <t>OH3A2-29</t>
  </si>
  <si>
    <t>RH OUTBOARD SEAT MOUNT</t>
  </si>
  <si>
    <t>OH3A2-29 - RH OUTBOARD SEAT MOUNT</t>
  </si>
  <si>
    <t>2.2.30.18</t>
  </si>
  <si>
    <t>OH3A2-30</t>
  </si>
  <si>
    <t>RH VERTICAL MOUNTING RAIL INNER</t>
  </si>
  <si>
    <t>OH3A2-30 - RH VERTICAL MOUNTING RAIL INNER</t>
  </si>
  <si>
    <t>2.2.30.19</t>
  </si>
  <si>
    <t>OH3A2-31</t>
  </si>
  <si>
    <t>RH VERTICAL MOUNTING RAIL OUTER</t>
  </si>
  <si>
    <t>OH3A2-31 - RH VERTICAL MOUNTING RAIL OUTER</t>
  </si>
  <si>
    <t>2.2.30.20</t>
  </si>
  <si>
    <t>OH3A2-32</t>
  </si>
  <si>
    <t>RH INBOARD SEAT MOUNT</t>
  </si>
  <si>
    <t>OH3A2-32 - RH INBOARD SEAT MOUNT</t>
  </si>
  <si>
    <t>2.2.30.21</t>
  </si>
  <si>
    <t>OH3A2-35</t>
  </si>
  <si>
    <t>LH IGNITION BLOCK</t>
  </si>
  <si>
    <t>OH3A2-35 - LH IGNITION BLOCK</t>
  </si>
  <si>
    <t>2.2.30.22</t>
  </si>
  <si>
    <t>OH3A2-36</t>
  </si>
  <si>
    <t>RH IGNITION BLOCK</t>
  </si>
  <si>
    <t>OH3A2-36 - RH IGNITION BLOCK</t>
  </si>
  <si>
    <t>2.2.30.23</t>
  </si>
  <si>
    <t>OH3A2-37</t>
  </si>
  <si>
    <t>LOWER HEADREST BLOCK B</t>
  </si>
  <si>
    <t>OH3A2-37 - LOWER HEADREST BLOCK B</t>
  </si>
  <si>
    <t>2.2.30.24</t>
  </si>
  <si>
    <t>OH3A2-38</t>
  </si>
  <si>
    <t>LOWER HEADREST BLOCK D</t>
  </si>
  <si>
    <t>OH3A2-38 - LOWER HEADREST BLOCK D</t>
  </si>
  <si>
    <t>2.2.30.25</t>
  </si>
  <si>
    <t>OH3A2-39</t>
  </si>
  <si>
    <t>LOWER HEADREST BLOCK A</t>
  </si>
  <si>
    <t>OH3A2-39 - LOWER HEADREST BLOCK A</t>
  </si>
  <si>
    <t>2.2.30.26</t>
  </si>
  <si>
    <t>OH3A2-40</t>
  </si>
  <si>
    <t>LOWER HEADREST BLOCK A (1)</t>
  </si>
  <si>
    <t>OH3A2-40 - LOWER HEADREST BLOCK A (1)</t>
  </si>
  <si>
    <t>2.2.30.27</t>
  </si>
  <si>
    <t>OH3A2-41</t>
  </si>
  <si>
    <t>SEAT HARNESS REEL</t>
  </si>
  <si>
    <t>OH3A2-41 - SEAT HARNESS REEL</t>
  </si>
  <si>
    <t>2.2.30.28</t>
  </si>
  <si>
    <t>OH3A2-42</t>
  </si>
  <si>
    <t>SEAT SEAWARS PROBE</t>
  </si>
  <si>
    <t>OH3A2-42 - SEAT SEAWARS PROBE</t>
  </si>
  <si>
    <t>2.2.30.29</t>
  </si>
  <si>
    <t>OH3A2-43</t>
  </si>
  <si>
    <t>LOWER HEADREST SKIN</t>
  </si>
  <si>
    <t>OH3A2-43 - LOWER HEADREST SKIN</t>
  </si>
  <si>
    <t>2.2.30.30</t>
  </si>
  <si>
    <t>2.2.30.31</t>
  </si>
  <si>
    <t>2.2.30.32</t>
  </si>
  <si>
    <t>2.2.30.33</t>
  </si>
  <si>
    <t>2.2.30.34</t>
  </si>
  <si>
    <t>2.2.30.35</t>
  </si>
  <si>
    <t>2.2.30.36</t>
  </si>
  <si>
    <t>98381A474</t>
  </si>
  <si>
    <t>2.2.30.37</t>
  </si>
  <si>
    <t>2.2.30.38</t>
  </si>
  <si>
    <t>2.2.30.39</t>
  </si>
  <si>
    <t>2.2.30.40</t>
  </si>
  <si>
    <t>2.2.30.41</t>
  </si>
  <si>
    <t>2.2.30.42</t>
  </si>
  <si>
    <t>2.2.30.43</t>
  </si>
  <si>
    <t>2.2.30.44</t>
  </si>
  <si>
    <t>9994T91</t>
  </si>
  <si>
    <t>CASTER, FIXED, EDGE-MOUNT, 2.0 OD RBR WHEEL</t>
  </si>
  <si>
    <t>2.2.31</t>
  </si>
  <si>
    <t>OH3A2-400</t>
  </si>
  <si>
    <t>ASSY, BRIDLE CONTAINER COVER</t>
  </si>
  <si>
    <t>OH3A2-400 - ASSY, BRIDLE CONTAINER COVER</t>
  </si>
  <si>
    <t>2.2.31.1</t>
  </si>
  <si>
    <t>OH3A2-20</t>
  </si>
  <si>
    <t>DROGUE BRIDLE CONTAINER</t>
  </si>
  <si>
    <t>OH3A2-20 - DROGUE BRIDLE CONTAINER</t>
  </si>
  <si>
    <t>2.2.31.2</t>
  </si>
  <si>
    <t>OH3A2-23</t>
  </si>
  <si>
    <t>AFT RAIL CAP</t>
  </si>
  <si>
    <t>OH3A2-23 - AFT RAIL CAP</t>
  </si>
  <si>
    <t>2.2.31.3</t>
  </si>
  <si>
    <t>2.2.32</t>
  </si>
  <si>
    <t>BK4-4</t>
  </si>
  <si>
    <t>XDCR, BUTTKICKER ADVANCE</t>
  </si>
  <si>
    <t>OH3A3-1</t>
  </si>
  <si>
    <t>ASSY, FLIGHT CONTROL STICK</t>
  </si>
  <si>
    <t>2.5.1</t>
  </si>
  <si>
    <t>OH3A3-10</t>
  </si>
  <si>
    <t>ASSY, STICK PITCH AXIS</t>
  </si>
  <si>
    <t>2.5.1.1</t>
  </si>
  <si>
    <t>OH3A3-100</t>
  </si>
  <si>
    <t>ASSY, STICK YOKE</t>
  </si>
  <si>
    <t>2.5.1.1.1</t>
  </si>
  <si>
    <t>OH3A3-101</t>
  </si>
  <si>
    <t>ASSY, MAIN CASING</t>
  </si>
  <si>
    <t>OH3A3-101 - ASSY, MAIN CASING</t>
  </si>
  <si>
    <t>2.5.1.1.1.1</t>
  </si>
  <si>
    <t>OH3A3-102</t>
  </si>
  <si>
    <t>ASSY, MAIN CASING A</t>
  </si>
  <si>
    <t>OH3A3-102 - ASSY, MAIN CASING A</t>
  </si>
  <si>
    <t>2.5.1.1.1.1.1</t>
  </si>
  <si>
    <t>OH3A3-103</t>
  </si>
  <si>
    <t>MAIN CASING A</t>
  </si>
  <si>
    <t>OH3A3-103 - MAIN CASING A</t>
  </si>
  <si>
    <t>2.5.1.1.1.1.2</t>
  </si>
  <si>
    <t>93625A150</t>
  </si>
  <si>
    <t>NYLOC HEX NUT, M4 X 0.7 MM</t>
  </si>
  <si>
    <t>2.5.1.1.1.2</t>
  </si>
  <si>
    <t>OH3A3-104</t>
  </si>
  <si>
    <t>ASSY, MAIN CASING B</t>
  </si>
  <si>
    <t>OH3A3-104 - ASSY, MAIN CASING B</t>
  </si>
  <si>
    <t>2.5.1.1.1.2.1</t>
  </si>
  <si>
    <t>OH3A3-105</t>
  </si>
  <si>
    <t>MAIN CASING B</t>
  </si>
  <si>
    <t>OH3A3-105 - MAIN CASING B</t>
  </si>
  <si>
    <t>2.5.1.1.1.2.2</t>
  </si>
  <si>
    <t>2.5.1.1.1.3</t>
  </si>
  <si>
    <t>57485K68</t>
  </si>
  <si>
    <t>10 MM CARBON STEEL SET SCREW SHAFT COLLAR</t>
  </si>
  <si>
    <t>2.5.1.1.1.4</t>
  </si>
  <si>
    <t>92015A121</t>
  </si>
  <si>
    <t>SET SCREW, M5 X 0.8 MM, 10 MM LONG</t>
  </si>
  <si>
    <t>2.5.1.1.1.5</t>
  </si>
  <si>
    <t>92125A205</t>
  </si>
  <si>
    <t>FHCS, M4 X 0.7 MM THREAD, 40 MM LONG</t>
  </si>
  <si>
    <t>2.5.1.1.1.6</t>
  </si>
  <si>
    <t>OH3A3-106</t>
  </si>
  <si>
    <t>ROD, PITCH AXIS</t>
  </si>
  <si>
    <t>OH3A3-106 - ROD, PITCH AXIS</t>
  </si>
  <si>
    <t>2.5.1.1.1.7</t>
  </si>
  <si>
    <t>OH3A3-107</t>
  </si>
  <si>
    <t>STUD, SPRING DAMPER</t>
  </si>
  <si>
    <t>OH3A3-107 - STUD, SPRING DAMPER</t>
  </si>
  <si>
    <t>2.5.1.1.1.7.1</t>
  </si>
  <si>
    <t>91287A307</t>
  </si>
  <si>
    <t>HHS, M8 X 1.25 MM THREAD, 45 MM LONG</t>
  </si>
  <si>
    <t>2.5.1.1.1.7.2</t>
  </si>
  <si>
    <t>91116A160</t>
  </si>
  <si>
    <t>OVERSIZED FLAT WASHER, M8, 8.4MM ID 24MM OD</t>
  </si>
  <si>
    <t>2.5.1.1.2</t>
  </si>
  <si>
    <t>OH3A3-108</t>
  </si>
  <si>
    <t>ASSY, PIVOTING STICK RISER MOUNT</t>
  </si>
  <si>
    <t>OH3A3-108 - ASSY, PIVOTING STICK RISER MOUNT</t>
  </si>
  <si>
    <t>2.5.1.1.2.1</t>
  </si>
  <si>
    <t>OH3A3-109</t>
  </si>
  <si>
    <t>MID PLATE</t>
  </si>
  <si>
    <t>OH3A3-109 - MID PLATE</t>
  </si>
  <si>
    <t>2.5.1.1.2.2</t>
  </si>
  <si>
    <t>OH3A3-110</t>
  </si>
  <si>
    <t>ASSY, PIVOT BLOCK A</t>
  </si>
  <si>
    <t>OH3A3-110 - ASSY, PIVOT BLOCK A</t>
  </si>
  <si>
    <t>2.5.1.1.2.2.1</t>
  </si>
  <si>
    <t>OH3A3-111</t>
  </si>
  <si>
    <t>PIVOT BLOCK A</t>
  </si>
  <si>
    <t>OH3A3-111 - PIVOT BLOCK A</t>
  </si>
  <si>
    <t>2.5.1.1.2.2.2</t>
  </si>
  <si>
    <t>94180A331</t>
  </si>
  <si>
    <t>HEAT-SET INSERT, M3 X 0.50 MM</t>
  </si>
  <si>
    <t>2.5.1.1.2.2.3</t>
  </si>
  <si>
    <t>94180A351</t>
  </si>
  <si>
    <t>SCREW-TO-EXPAND INSERT, M2 X 0.4MM</t>
  </si>
  <si>
    <t>2.5.1.1.2.2.4</t>
  </si>
  <si>
    <t>2.5.1.1.2.3</t>
  </si>
  <si>
    <t>OH3A3-114</t>
  </si>
  <si>
    <t>PIVOT TOP PLATE</t>
  </si>
  <si>
    <t>OH3A3-114 - PIVOT TOP PLATE</t>
  </si>
  <si>
    <t>2.5.1.1.2.4</t>
  </si>
  <si>
    <t>92125A204</t>
  </si>
  <si>
    <t>FHCS, M4 X 0.7 MM THREAD, 35 MM LONG</t>
  </si>
  <si>
    <t>2.5.1.1.2.5</t>
  </si>
  <si>
    <t>OH3A3-112</t>
  </si>
  <si>
    <t>ASSY, PIVOT BLOCK B</t>
  </si>
  <si>
    <t>OH3A3-112 - ASSY, PIVOT BLOCK B</t>
  </si>
  <si>
    <t>2.5.1.1.2.5.1</t>
  </si>
  <si>
    <t>OH3A3-113</t>
  </si>
  <si>
    <t>PIVOT BLOCK B</t>
  </si>
  <si>
    <t>OH3A3-113 - PIVOT BLOCK B</t>
  </si>
  <si>
    <t>2.5.1.1.2.5.2</t>
  </si>
  <si>
    <t>2.5.1.1.2.5.3</t>
  </si>
  <si>
    <t>2.5.1.1.2.5.4</t>
  </si>
  <si>
    <t>2.5.1.1.2.6</t>
  </si>
  <si>
    <t>92125A130</t>
  </si>
  <si>
    <t>FHCS, M3 X 0.5 MM, 10 MM LONG</t>
  </si>
  <si>
    <t>2.5.1.1.2.7</t>
  </si>
  <si>
    <t>6658K736</t>
  </si>
  <si>
    <t>8MM ID, 12MM OD, 16MM LG, OIL-EMBEDDED SAE 841 BRONZE SLEEVE BEARING</t>
  </si>
  <si>
    <t>BRONZE</t>
  </si>
  <si>
    <t>2.5.1.1.3</t>
  </si>
  <si>
    <t>OH3A3-118</t>
  </si>
  <si>
    <t>ASSY, FWD PLATE</t>
  </si>
  <si>
    <t>OH3A3-118 - ASSY, FWD PLATE</t>
  </si>
  <si>
    <t>2.5.1.1.3.1</t>
  </si>
  <si>
    <t>OH3A3-119</t>
  </si>
  <si>
    <t>ASSY, FWD MAIN PLATE</t>
  </si>
  <si>
    <t>OH3A3-119 - ASSY, FWD MAIN PLATE</t>
  </si>
  <si>
    <t>2.5.1.1.3.1.1</t>
  </si>
  <si>
    <t>OH3A3-121</t>
  </si>
  <si>
    <t>BEARING PLATE</t>
  </si>
  <si>
    <t>OH3A3-121 - BEARING PLATE</t>
  </si>
  <si>
    <t>2.5.1.1.3.1.2</t>
  </si>
  <si>
    <t>OH3A3-120</t>
  </si>
  <si>
    <t>MAIN PLATE</t>
  </si>
  <si>
    <t>OH3A3-120 - MAIN PLATE</t>
  </si>
  <si>
    <t>2.5.1.1.3.1.3</t>
  </si>
  <si>
    <t>92125A192</t>
  </si>
  <si>
    <t>FHCS, M4 X 0.7 MM, 12 MM LONG</t>
  </si>
  <si>
    <t>2.5.1.1.3.1.4</t>
  </si>
  <si>
    <t>608-2RS</t>
  </si>
  <si>
    <t>8X22X7 SEALED RADIAL BALL BEARING</t>
  </si>
  <si>
    <t>2.5.1.1.3.2</t>
  </si>
  <si>
    <t>FRT-D2-152-G1</t>
  </si>
  <si>
    <t>ROTARY DAMPER WITH 12-TOOTH M1 GEAR</t>
  </si>
  <si>
    <t>2.5.1.1.3.2.1</t>
  </si>
  <si>
    <t>FRT-D2-152</t>
  </si>
  <si>
    <t>ROTARY DAMPER</t>
  </si>
  <si>
    <t>2.5.1.1.3.3</t>
  </si>
  <si>
    <t>92095A194</t>
  </si>
  <si>
    <t>BHCS, M4 X 0.70 MM THREAD, 16 MM LONG</t>
  </si>
  <si>
    <t>2.5.1.1.3.4</t>
  </si>
  <si>
    <t>OH3A3-152</t>
  </si>
  <si>
    <t>ROLL AXIS DAMPER EXTENDED GEAR</t>
  </si>
  <si>
    <t>OH3A3-152 - ROLL AXIS DAMPER EXTENDED GEAR</t>
  </si>
  <si>
    <t>2.5.1.1.3.5</t>
  </si>
  <si>
    <t>OH3A3-153</t>
  </si>
  <si>
    <t>ROLL AXIS MAGNET CUP</t>
  </si>
  <si>
    <t>OH3A3-153 - ROLL AXIS MAGNET CUP</t>
  </si>
  <si>
    <t>2.5.1.1.3.6</t>
  </si>
  <si>
    <t>5862K205</t>
  </si>
  <si>
    <t>MAGNET, .50 OD X .125 THK, NEODYMIUM</t>
  </si>
  <si>
    <t>2.5.1.1.3.7</t>
  </si>
  <si>
    <t>OH3A3-123</t>
  </si>
  <si>
    <t>ASSY, ROLL SENSOR</t>
  </si>
  <si>
    <t>OH3A3-123 - ASSY, ROLL SENSOR</t>
  </si>
  <si>
    <t>2.5.1.1.3.7.1</t>
  </si>
  <si>
    <t>ABSIS004-1</t>
  </si>
  <si>
    <t>PCB, HALL SENSOR, ABSIS</t>
  </si>
  <si>
    <t>2.5.1.1.3.7.2</t>
  </si>
  <si>
    <t>OH3A3-150</t>
  </si>
  <si>
    <t>ROLL SENSOR MOUNT</t>
  </si>
  <si>
    <t>OH3A3-150 - ROLL SENSOR MOUNT</t>
  </si>
  <si>
    <t>2.5.1.1.3.7.3</t>
  </si>
  <si>
    <t>93187A110</t>
  </si>
  <si>
    <t>HEX NUT, M2 X 0.4 MM, BRASS</t>
  </si>
  <si>
    <t>2.5.1.1.3.7.4</t>
  </si>
  <si>
    <t>92095A454</t>
  </si>
  <si>
    <t>BHCS, M2 X 0.4MM, 8 MM LONG</t>
  </si>
  <si>
    <t>2.5.1.1.3.7.5</t>
  </si>
  <si>
    <t>2.5.1.1.4</t>
  </si>
  <si>
    <t>OH3A3-122</t>
  </si>
  <si>
    <t>ASSY, AFT MAIN PLATE</t>
  </si>
  <si>
    <t>OH3A3-122 - ASSY, AFT MAIN PLATE</t>
  </si>
  <si>
    <t>2.5.1.1.4.1</t>
  </si>
  <si>
    <t>2.5.1.1.4.1.1</t>
  </si>
  <si>
    <t>2.5.1.1.4.1.2</t>
  </si>
  <si>
    <t>2.5.1.1.4.1.3</t>
  </si>
  <si>
    <t>2.5.1.1.4.1.4</t>
  </si>
  <si>
    <t>2.5.1.1.4.2</t>
  </si>
  <si>
    <t>2.5.1.1.4.2.1</t>
  </si>
  <si>
    <t>2.5.1.1.4.3</t>
  </si>
  <si>
    <t>2.5.1.1.4.4</t>
  </si>
  <si>
    <t>93475A230</t>
  </si>
  <si>
    <t>FLAT WASHER, M4</t>
  </si>
  <si>
    <t>2.5.1.1.4.5</t>
  </si>
  <si>
    <t>2.5.1.1.5</t>
  </si>
  <si>
    <t>93475A270</t>
  </si>
  <si>
    <t>93475A270 - FLAT WASHER, M8</t>
  </si>
  <si>
    <t>2.5.1.1.6</t>
  </si>
  <si>
    <t>2.5.1.1.7</t>
  </si>
  <si>
    <t>92125A203</t>
  </si>
  <si>
    <t>FHCS - M4 X 0.7 MM THREAD, 30 MM LONG</t>
  </si>
  <si>
    <t>2.5.1.1.8</t>
  </si>
  <si>
    <t>2.5.1.1.9</t>
  </si>
  <si>
    <t>2.5.1.1.10</t>
  </si>
  <si>
    <t>OH3A3-124</t>
  </si>
  <si>
    <t>SCISSOR STOP</t>
  </si>
  <si>
    <t>OH3A3-124 - SCISSOR STOP</t>
  </si>
  <si>
    <t>2.5.1.1.11</t>
  </si>
  <si>
    <t>6658K734</t>
  </si>
  <si>
    <t>8MM ID, 12MM OD, 6MM LG, OIL-EMBEDDED BRONZE SLEEVE BEARING</t>
  </si>
  <si>
    <t>2.5.1.1.12</t>
  </si>
  <si>
    <t>93475A250</t>
  </si>
  <si>
    <t>FLAT WASHER, M6</t>
  </si>
  <si>
    <t>2.5.1.1.13</t>
  </si>
  <si>
    <t>91287A254</t>
  </si>
  <si>
    <t>HHS, M6 X 1 MM, 80 MM LONG</t>
  </si>
  <si>
    <t>2.5.1.1.14</t>
  </si>
  <si>
    <t>93625A250</t>
  </si>
  <si>
    <t>NYLOC HEX NUT, M6 X 1 MM</t>
  </si>
  <si>
    <t>2.5.1.1.15</t>
  </si>
  <si>
    <t>91292A318</t>
  </si>
  <si>
    <t>SHCS, M4 X 0.7 MM, 75 MM LONG</t>
  </si>
  <si>
    <t>2.5.1.1.16</t>
  </si>
  <si>
    <t>OH3A3-115</t>
  </si>
  <si>
    <t>ASSY, ROLL DAMPER ARM A</t>
  </si>
  <si>
    <t>2.5.1.1.16.1</t>
  </si>
  <si>
    <t>OH3A3-116</t>
  </si>
  <si>
    <t>ROLL DAMPER ARM A</t>
  </si>
  <si>
    <t>OH3A3-116 - ROLL DAMPER ARM A</t>
  </si>
  <si>
    <t>2.5.1.1.16.2</t>
  </si>
  <si>
    <t>2.5.1.1.17</t>
  </si>
  <si>
    <t>OH3A3-117</t>
  </si>
  <si>
    <t>ASSY, ROLL DAMPER B</t>
  </si>
  <si>
    <t>2.5.1.1.17.1</t>
  </si>
  <si>
    <t>ROLL DAMPER ARM B</t>
  </si>
  <si>
    <t>OH3A3-118 - ROLL DAMPER ARM B</t>
  </si>
  <si>
    <t>2.5.1.1.17.2</t>
  </si>
  <si>
    <t>2.5.1.1.18</t>
  </si>
  <si>
    <t>92981A230</t>
  </si>
  <si>
    <t>SHOULDER SCREW, M6 X 1MM, 8MM SHOULDER DIA, 80MM SHOULDER LEN</t>
  </si>
  <si>
    <t>2.5.1.1.19</t>
  </si>
  <si>
    <t>92125A373</t>
  </si>
  <si>
    <t>FHCS, M4 X 0.7 MM THREAD, 55 MM LONG</t>
  </si>
  <si>
    <t>2.5.1.1.20</t>
  </si>
  <si>
    <t>OH3A3-125</t>
  </si>
  <si>
    <t>ASSY, SCISSORS</t>
  </si>
  <si>
    <t>OH3A3-125 - ASSY, SCISSORS</t>
  </si>
  <si>
    <t>2.5.1.1.20.1</t>
  </si>
  <si>
    <t>OH3A3-132</t>
  </si>
  <si>
    <t>ASSY, SCISSOR ARM A</t>
  </si>
  <si>
    <t>OH3A3-132 - ASSY, SCISSOR ARM A</t>
  </si>
  <si>
    <t>2.5.1.1.20.1.1</t>
  </si>
  <si>
    <t>OH3A3-133</t>
  </si>
  <si>
    <t>SCISSOR ARM A LINK</t>
  </si>
  <si>
    <t>OH3A3-133 - SCISSOR ARM A LINK</t>
  </si>
  <si>
    <t>2.5.1.1.20.1.2</t>
  </si>
  <si>
    <t>OH3A3-134</t>
  </si>
  <si>
    <t>SCISSOR ARM A BLOCK</t>
  </si>
  <si>
    <t>OH3A3-134 - SCISSOR ARM A BLOCK</t>
  </si>
  <si>
    <t>2.5.1.1.20.1.3</t>
  </si>
  <si>
    <t>2.5.1.1.20.1.4</t>
  </si>
  <si>
    <t>92095A205</t>
  </si>
  <si>
    <t>BHCS, M4 X 0.7 MM THREAD, 45MM LONG</t>
  </si>
  <si>
    <t>2.5.1.1.20.1.5</t>
  </si>
  <si>
    <t>2.5.1.1.20.1.6</t>
  </si>
  <si>
    <t>OH3A3-131</t>
  </si>
  <si>
    <t>SCISSOR CUSHION (1374N12)</t>
  </si>
  <si>
    <t>OH3A3-131 - SCISSOR CUSHION</t>
  </si>
  <si>
    <t>2.5.1.1.20.1.7</t>
  </si>
  <si>
    <t>6659K115</t>
  </si>
  <si>
    <t>8MM ID, 12MM OD, 6MM LG, OIL-EMBEDDED FLANGED SLEEVE BEARING</t>
  </si>
  <si>
    <t>2.5.1.1.20.2</t>
  </si>
  <si>
    <t>OH3A3-126</t>
  </si>
  <si>
    <t>ASSY, SCISSOR ARM B</t>
  </si>
  <si>
    <t>OH3A3-126 - ASSY, SCISSOR ARM B</t>
  </si>
  <si>
    <t>2.5.1.1.20.2.1</t>
  </si>
  <si>
    <t>OH3A3-127</t>
  </si>
  <si>
    <t>SCISSOR ARM B LINK UPPER</t>
  </si>
  <si>
    <t>OH3A3-127 - SCISSOR ARM B LINK UPPER</t>
  </si>
  <si>
    <t>2.5.1.1.20.2.2</t>
  </si>
  <si>
    <t>OH3A3-128</t>
  </si>
  <si>
    <t>SCISSOR ARM B LINK SPACER</t>
  </si>
  <si>
    <t>OH3A3-128 - SCISSOR ARM B LINK SPACER</t>
  </si>
  <si>
    <t>2.5.1.1.20.2.3</t>
  </si>
  <si>
    <t>OH3A3-129</t>
  </si>
  <si>
    <t>SCISSOR ARM B LINK LOWER</t>
  </si>
  <si>
    <t>OH3A3-129 - SCISSOR ARM B LINK LOWER</t>
  </si>
  <si>
    <t>2.5.1.1.20.2.4</t>
  </si>
  <si>
    <t>OH3A3-130</t>
  </si>
  <si>
    <t>SCISSOR ARM B BLOCK</t>
  </si>
  <si>
    <t>OH3A3-130 - SCISSOR ARM B BLOCK</t>
  </si>
  <si>
    <t>2.5.1.1.20.2.5</t>
  </si>
  <si>
    <t>2.5.1.1.20.2.6</t>
  </si>
  <si>
    <t>2.5.1.1.20.2.7</t>
  </si>
  <si>
    <t>2.5.1.1.20.2.8</t>
  </si>
  <si>
    <t>2.5.1.1.20.2.9</t>
  </si>
  <si>
    <t>2.5.1.1.20.3</t>
  </si>
  <si>
    <t>OH3A3-135</t>
  </si>
  <si>
    <t>SCISSOR SPRING SPACER</t>
  </si>
  <si>
    <t>OH3A3-135 - SCISSOR SPRING SPACER</t>
  </si>
  <si>
    <t>2.5.1.1.20.4</t>
  </si>
  <si>
    <t>9654K421</t>
  </si>
  <si>
    <t>2.5.1.1.20.5</t>
  </si>
  <si>
    <t>93475A240</t>
  </si>
  <si>
    <t>FLAT WASHER, M5</t>
  </si>
  <si>
    <t>2.5.1.1.20.6</t>
  </si>
  <si>
    <t>92095A223</t>
  </si>
  <si>
    <t>BHCS M5 X 0.80 MM THREAD, 45 MM LONG</t>
  </si>
  <si>
    <t>2.5.1.1.20.7</t>
  </si>
  <si>
    <t>93625A200</t>
  </si>
  <si>
    <t>NYLOC HEX NUT, M5 X 0.8 MM</t>
  </si>
  <si>
    <t>2.5.1.2</t>
  </si>
  <si>
    <t>OH3A3-11</t>
  </si>
  <si>
    <t>ASSY, LEFT PITCH DAMPER ANCHOR, SPA</t>
  </si>
  <si>
    <t>OH3A3-11 - ASSY, LEFT PITCH DAMPER ANCHOR, SPA</t>
  </si>
  <si>
    <t>2.5.1.2.1</t>
  </si>
  <si>
    <t>OH3A3-136</t>
  </si>
  <si>
    <t>BLOCK, LEFT PITCH DAMPER ANCHOR</t>
  </si>
  <si>
    <t>OH3A3-136 - BLOCK, LEFT PITCH DAMPER ANCHOR</t>
  </si>
  <si>
    <t>2.5.1.2.2</t>
  </si>
  <si>
    <t>2.5.1.2.3</t>
  </si>
  <si>
    <t>93625A300</t>
  </si>
  <si>
    <t>NYLOC HEX NUT, M8 X 1.25MM</t>
  </si>
  <si>
    <t>2.5.1.2.4</t>
  </si>
  <si>
    <t>2.5.1.3</t>
  </si>
  <si>
    <t>OH3A3-12</t>
  </si>
  <si>
    <t>ASSY, RIGHT PITCH DAMPER ANCHOR, SPA</t>
  </si>
  <si>
    <t>OH3A3-12 - ASSY, RIGHT PITCH DAMPER ANCHOR, SPA</t>
  </si>
  <si>
    <t>2.5.1.3.1</t>
  </si>
  <si>
    <t>OH3A3-137</t>
  </si>
  <si>
    <t>BLOCK, RIGHT PITCH DAMPER ANCHOR</t>
  </si>
  <si>
    <t>OH3A3-137 - BLOCK, RIGHT PITCH DAMPER ANCHOR</t>
  </si>
  <si>
    <t>2.5.1.3.2</t>
  </si>
  <si>
    <t>2.5.1.3.3</t>
  </si>
  <si>
    <t>2.5.1.3.4</t>
  </si>
  <si>
    <t>2.5.1.4</t>
  </si>
  <si>
    <t>OH3A3-19L</t>
  </si>
  <si>
    <t>ASSY, LEFT PITCH DAMPER</t>
  </si>
  <si>
    <t>OH3A3-19L - ASSY, LEFT PITCH DAMPER</t>
  </si>
  <si>
    <t>2.5.1.4.1</t>
  </si>
  <si>
    <t>KX-ZNQ-024</t>
  </si>
  <si>
    <t>MOTORCYCLE STEERING DAMPER</t>
  </si>
  <si>
    <t>2.5.1.4.2</t>
  </si>
  <si>
    <t>KX-ZNQ-024 (PO)</t>
  </si>
  <si>
    <t>DAMPER CLAMP</t>
  </si>
  <si>
    <t>2.5.1.4.2.2</t>
  </si>
  <si>
    <t>92095A238</t>
  </si>
  <si>
    <t>BHCS, M6 X 1MM, 16MM LONG</t>
  </si>
  <si>
    <t>2.5.1.5</t>
  </si>
  <si>
    <t>2.5.1.6</t>
  </si>
  <si>
    <t>OH3A3-19R</t>
  </si>
  <si>
    <t>ASSY, RIGHT PITCH DAMPER</t>
  </si>
  <si>
    <t>OH3A3-19R - ASSY, RIGHT PITCH DAMPER</t>
  </si>
  <si>
    <t>2.5.1.6.1</t>
  </si>
  <si>
    <t>2.5.1.6.2</t>
  </si>
  <si>
    <t>2.5.1.6.2.2</t>
  </si>
  <si>
    <t>2.5.1.7</t>
  </si>
  <si>
    <t>93475A280</t>
  </si>
  <si>
    <t>FLAT WASHER, M10</t>
  </si>
  <si>
    <t>2.5.1.8</t>
  </si>
  <si>
    <t>OH3A3-13</t>
  </si>
  <si>
    <t>BASE PLATE, SPA</t>
  </si>
  <si>
    <t>OH3A3-13 - BASE PLATE, SPA</t>
  </si>
  <si>
    <t>2.5.1.9</t>
  </si>
  <si>
    <t>OH3A3-14</t>
  </si>
  <si>
    <t>PITCH BEARING RISER BLOCK, SPA</t>
  </si>
  <si>
    <t>OH3A3-14 - PITCH BEARING RISER BLOCK, SPA</t>
  </si>
  <si>
    <t>2.5.1.10</t>
  </si>
  <si>
    <t>KP000-10MM</t>
  </si>
  <si>
    <t>10MM PILLOW BLOCK RADIAL BALL BEARING</t>
  </si>
  <si>
    <t>2.5.1.11</t>
  </si>
  <si>
    <t>OH3A3-15</t>
  </si>
  <si>
    <t>ASSY, TRAVEL STOP, AFT LEFT</t>
  </si>
  <si>
    <t>OH3A3-15 - ASSY, TRAVEL STOP, AFT LEFT</t>
  </si>
  <si>
    <t>2.5.1.11.1</t>
  </si>
  <si>
    <t>OH3A3-138</t>
  </si>
  <si>
    <t>TRAVEL STOP, AFT LEFT</t>
  </si>
  <si>
    <t>OH3A3-138 - TRAVEL STOP, AFT LEFT</t>
  </si>
  <si>
    <t>2.5.1.11.2</t>
  </si>
  <si>
    <t>91828A241</t>
  </si>
  <si>
    <t>HEX NUT, M5 X 0.8 MM</t>
  </si>
  <si>
    <t>2.5.1.11.3</t>
  </si>
  <si>
    <t>2.5.1.11.4</t>
  </si>
  <si>
    <t>9540K922</t>
  </si>
  <si>
    <t>UNTHREADED BUMPER M5</t>
  </si>
  <si>
    <t>RUBBER, BLACK</t>
  </si>
  <si>
    <t>2.5.1.11.5</t>
  </si>
  <si>
    <t>91292A129</t>
  </si>
  <si>
    <t>SHCS, M5X0.8, 25MM, 18-8</t>
  </si>
  <si>
    <t>2.5.1.12</t>
  </si>
  <si>
    <t>OH3A3-16</t>
  </si>
  <si>
    <t>ASSY, TRAVEL STOP, AFT RIGHT</t>
  </si>
  <si>
    <t>OH3A3-16 - ASSY, TRAVEL STOP, AFT RIGHT</t>
  </si>
  <si>
    <t>2.5.1.12.1</t>
  </si>
  <si>
    <t>2.5.1.12.2</t>
  </si>
  <si>
    <t>2.5.1.12.3</t>
  </si>
  <si>
    <t>2.5.1.12.4</t>
  </si>
  <si>
    <t>2.5.1.12.5</t>
  </si>
  <si>
    <t>OH3A3-139</t>
  </si>
  <si>
    <t>TRAVEL STOP, AFT RIGHT</t>
  </si>
  <si>
    <t>OH3A3-139 - TRAVEL STOP, AFT RIGHT</t>
  </si>
  <si>
    <t>2.5.1.13</t>
  </si>
  <si>
    <t>OH3A3-17</t>
  </si>
  <si>
    <t>ASSY, TRAVEL STOP, FWD LEFT</t>
  </si>
  <si>
    <t>OH3A3-17 - ASSY, TRAVEL STOP, FWD LEFT</t>
  </si>
  <si>
    <t>2.5.1.13.1</t>
  </si>
  <si>
    <t>OH3A3-140</t>
  </si>
  <si>
    <t>TRAVEL STOP, FWD LEFT</t>
  </si>
  <si>
    <t>OH3A3-140 - TRAVEL STOP, FWD LEFT</t>
  </si>
  <si>
    <t>2.5.1.13.2</t>
  </si>
  <si>
    <t>2.5.1.13.3</t>
  </si>
  <si>
    <t>2.5.1.13.4</t>
  </si>
  <si>
    <t>2.5.1.13.5</t>
  </si>
  <si>
    <t>91292A126</t>
  </si>
  <si>
    <t>SHCS, M5X0.8, 16MM, 18-8</t>
  </si>
  <si>
    <t>2.5.1.14</t>
  </si>
  <si>
    <t>OH3A3-18</t>
  </si>
  <si>
    <t>ASSY, TRAVEL STOP, FWD RIGHT</t>
  </si>
  <si>
    <t>OH3A3-18 - ASSY, TRAVEL STOP, FWD RIGHT</t>
  </si>
  <si>
    <t>2.5.1.14.1</t>
  </si>
  <si>
    <t>OH3A3-141</t>
  </si>
  <si>
    <t>TRAVEL STOP, FWD RIGHT</t>
  </si>
  <si>
    <t>OH3A3-141 - TRAVEL STOP, FWD RIGHT</t>
  </si>
  <si>
    <t>2.5.1.14.2</t>
  </si>
  <si>
    <t>2.5.1.14.3</t>
  </si>
  <si>
    <t>2.5.1.14.4</t>
  </si>
  <si>
    <t>2.5.1.14.5</t>
  </si>
  <si>
    <t>2.5.1.15</t>
  </si>
  <si>
    <t>92125A250</t>
  </si>
  <si>
    <t>FHCS, M6 X 1 MM, 45 MM LONG</t>
  </si>
  <si>
    <t>2.5.1.16</t>
  </si>
  <si>
    <t>2.5.1.17</t>
  </si>
  <si>
    <t>2.5.1.18</t>
  </si>
  <si>
    <t>92125A222</t>
  </si>
  <si>
    <t>FHCS, M5 X 0.8 MM, 35 MM LONG</t>
  </si>
  <si>
    <t>2.5.1.19</t>
  </si>
  <si>
    <t>92125A216</t>
  </si>
  <si>
    <t>FHCS, M5 X 0.8 MM, 25 MM LONG</t>
  </si>
  <si>
    <t>2.5.1.20</t>
  </si>
  <si>
    <t>2.5.1.21</t>
  </si>
  <si>
    <t>2.5.1.22</t>
  </si>
  <si>
    <t>91287A155</t>
  </si>
  <si>
    <t>HHS, M8 X 1.25 MM, 35 MM LONG</t>
  </si>
  <si>
    <t>2.5.1.23</t>
  </si>
  <si>
    <t>2.5.1.24</t>
  </si>
  <si>
    <t>2.5.1.25</t>
  </si>
  <si>
    <t>OH3A3-142</t>
  </si>
  <si>
    <t>PITCH SENSOR MAGNET SPACER</t>
  </si>
  <si>
    <t>OH3A3-142 - PITCH SENSOR MAGNET SPACER</t>
  </si>
  <si>
    <t>2.5.1.26</t>
  </si>
  <si>
    <t>2.5.1.27</t>
  </si>
  <si>
    <t>2.5.1.28</t>
  </si>
  <si>
    <t>2.5.1.29</t>
  </si>
  <si>
    <t>OH3A3A1-1</t>
  </si>
  <si>
    <t>ASSY, STICK CONTROLLER PCB</t>
  </si>
  <si>
    <t>2.5.1.29.1</t>
  </si>
  <si>
    <t>OH3A3A1-10</t>
  </si>
  <si>
    <t>PCB, STICK CONTROLLER</t>
  </si>
  <si>
    <t>2.5.1.29.2</t>
  </si>
  <si>
    <t>2.5.1.30</t>
  </si>
  <si>
    <t>OH3A3-143</t>
  </si>
  <si>
    <t>STICK CONTROLLER MOUNT</t>
  </si>
  <si>
    <t>OH3A3-143 - STICK CONTROLLER MOUNT</t>
  </si>
  <si>
    <t>2.5.1.31</t>
  </si>
  <si>
    <t>2.5.2</t>
  </si>
  <si>
    <t>OH3A3-30</t>
  </si>
  <si>
    <t>ASSY, STATIC SSDCT ANCHOR</t>
  </si>
  <si>
    <t>2.5.2.1</t>
  </si>
  <si>
    <t>OH3A3-31</t>
  </si>
  <si>
    <t>BASE PLATE, SSA</t>
  </si>
  <si>
    <t>OH3A3-31 - BASE PLATE, SSA</t>
  </si>
  <si>
    <t>2.5.2.2</t>
  </si>
  <si>
    <t>OH3A3-32</t>
  </si>
  <si>
    <t>RISER, SSA</t>
  </si>
  <si>
    <t>OH3A3-32 - RISER, SSA</t>
  </si>
  <si>
    <t>2.5.2.3</t>
  </si>
  <si>
    <t>OH3A3-33</t>
  </si>
  <si>
    <t>TOP PLATE, SSA</t>
  </si>
  <si>
    <t>OH3A3-33 - TOP PLATE, SSA</t>
  </si>
  <si>
    <t>2.5.2.4</t>
  </si>
  <si>
    <t>2.5.2.5</t>
  </si>
  <si>
    <t>2.5.2.6</t>
  </si>
  <si>
    <t>2.5.3</t>
  </si>
  <si>
    <t>OH3A3-20</t>
  </si>
  <si>
    <t>ASSY, SSDCT</t>
  </si>
  <si>
    <t>2.5.3.1</t>
  </si>
  <si>
    <t>OH3A3-21</t>
  </si>
  <si>
    <t>ASSY, SPRING END, SSDCT</t>
  </si>
  <si>
    <t>OH3A3-21 - ASSY, SPRING END, SSDCT</t>
  </si>
  <si>
    <t>2.5.3.1.1</t>
  </si>
  <si>
    <t>OH3A3-201</t>
  </si>
  <si>
    <t>SPRING END BASE</t>
  </si>
  <si>
    <t>OH3A3-201 - SPRING END BASE</t>
  </si>
  <si>
    <t>2.5.3.1.2</t>
  </si>
  <si>
    <t>OH3A3-202</t>
  </si>
  <si>
    <t>SPRING END PLATE</t>
  </si>
  <si>
    <t>OH3A3-202 - SPRING END PLATE</t>
  </si>
  <si>
    <t>2.5.3.1.3</t>
  </si>
  <si>
    <t>LM8SUU</t>
  </si>
  <si>
    <t>LINEAR BEARING 8MM</t>
  </si>
  <si>
    <t>2.5.3.1.4</t>
  </si>
  <si>
    <t>6659K677</t>
  </si>
  <si>
    <t>8MM OIL-EMBEDDED FLANGED SLEEVE BEARING</t>
  </si>
  <si>
    <t>2.5.3.1.5</t>
  </si>
  <si>
    <t>94180A333</t>
  </si>
  <si>
    <t>2.5.3.1.6</t>
  </si>
  <si>
    <t>92125A132</t>
  </si>
  <si>
    <t>FHCS, M3 X 0.5 MM, 12 MM LONG</t>
  </si>
  <si>
    <t>2.5.3.2</t>
  </si>
  <si>
    <t>OH3A3-22</t>
  </si>
  <si>
    <t>ASSY, FIXED END, SSDCT</t>
  </si>
  <si>
    <t>OH3A3-22 - ASSY, FIXED END, SSDCT</t>
  </si>
  <si>
    <t>2.5.3.2.1</t>
  </si>
  <si>
    <t>OH3A3-204</t>
  </si>
  <si>
    <t>FIXED END BASE B</t>
  </si>
  <si>
    <t>OH3A3-204 - FIXED END BASE B</t>
  </si>
  <si>
    <t>2.5.3.2.2</t>
  </si>
  <si>
    <t>OH3A3-203</t>
  </si>
  <si>
    <t>FIXED END BASE A</t>
  </si>
  <si>
    <t>OH3A3-203 - FIXED END BASE A</t>
  </si>
  <si>
    <t>2.5.3.2.3</t>
  </si>
  <si>
    <t>OH3A3-205</t>
  </si>
  <si>
    <t>ASSY, GUIDE ROD</t>
  </si>
  <si>
    <t>OH3A3-205 - ASSY, GUIDE ROD</t>
  </si>
  <si>
    <t>2.5.3.2.3.1</t>
  </si>
  <si>
    <t>OH3A3-206</t>
  </si>
  <si>
    <t>ROD, 8MM X 180MM, ALU</t>
  </si>
  <si>
    <t>OH3A3-206 - ROD, 8MM X 180MM, ALU</t>
  </si>
  <si>
    <t>2.5.3.2.3.2</t>
  </si>
  <si>
    <t>57485K67</t>
  </si>
  <si>
    <t>8MM SET SCREW SHAFT COLLAR</t>
  </si>
  <si>
    <t>2.5.3.2.4</t>
  </si>
  <si>
    <t>OH3A3-207</t>
  </si>
  <si>
    <t>ASSY, THREADED STUD</t>
  </si>
  <si>
    <t>OH3A3-207 - ASSY, THREADED STUD</t>
  </si>
  <si>
    <t>2.5.3.2.4.1</t>
  </si>
  <si>
    <t>OH3A3-208</t>
  </si>
  <si>
    <t>ROD, M8 X 75MM</t>
  </si>
  <si>
    <t>OH3A3-208 - ROD, M8 X 75MM</t>
  </si>
  <si>
    <t>2.5.3.2.4.2</t>
  </si>
  <si>
    <t>91828A410</t>
  </si>
  <si>
    <t>HEX NUT, M8 X 1.25</t>
  </si>
  <si>
    <t>2.5.3.2.4.3</t>
  </si>
  <si>
    <t>2.5.3.2.5</t>
  </si>
  <si>
    <t>59935K73</t>
  </si>
  <si>
    <t>M8 8MM BALL JOINT ROD END</t>
  </si>
  <si>
    <t>2.5.3.2.6</t>
  </si>
  <si>
    <t>93650A155</t>
  </si>
  <si>
    <t>2.5.3.2.7</t>
  </si>
  <si>
    <t>93625A100</t>
  </si>
  <si>
    <t>NYLOC HEX NUT, M3 X 0.5 MM</t>
  </si>
  <si>
    <t>2.5.3.2.8</t>
  </si>
  <si>
    <t>92125A141</t>
  </si>
  <si>
    <t>FHCS, M3 X 0.5 MM, 35 MM LONG</t>
  </si>
  <si>
    <t>2.5.3.2.9</t>
  </si>
  <si>
    <t>2.5.3.2.10</t>
  </si>
  <si>
    <t>2.5.3.2.11</t>
  </si>
  <si>
    <t>2.5.3.2.12</t>
  </si>
  <si>
    <t>2.5.3.3</t>
  </si>
  <si>
    <t>9657K438</t>
  </si>
  <si>
    <t>3 IN COMPRESSION SPRING</t>
  </si>
  <si>
    <t>2.5.3.4</t>
  </si>
  <si>
    <t>57445K24</t>
  </si>
  <si>
    <t>8MM CLAMPING SHAFT COLLAR</t>
  </si>
  <si>
    <t>2.5.3.5</t>
  </si>
  <si>
    <t>90131A103</t>
  </si>
  <si>
    <t>WASHER, CUSHIONING, 0.375 ID, ABRASION-RESISTANT</t>
  </si>
  <si>
    <t>2.5.3.6</t>
  </si>
  <si>
    <t>OH3A3-23</t>
  </si>
  <si>
    <t>ASSY, PUSHROD, SMOOTH, SSDCT</t>
  </si>
  <si>
    <t>OH3A3-23 - ASSY, PUSHROD, SMOOTH, SSDCT</t>
  </si>
  <si>
    <t>2.5.3.6.1</t>
  </si>
  <si>
    <t>OH3A3-209</t>
  </si>
  <si>
    <t>ROD, 8MM X 140MM</t>
  </si>
  <si>
    <t>OH3A3-209 - ROD, 8MM X 140MM</t>
  </si>
  <si>
    <t>2.5.3.6.2</t>
  </si>
  <si>
    <t>2.5.3.6.3</t>
  </si>
  <si>
    <t>2.5.3.7</t>
  </si>
  <si>
    <t>OH3A3-24</t>
  </si>
  <si>
    <t>ASSY, PUSHROD, THREADED, SSDCT</t>
  </si>
  <si>
    <t>OH3A3-24 - ASSY, PUSHROD, THREADED, SSDCT</t>
  </si>
  <si>
    <t>2.5.3.7.1</t>
  </si>
  <si>
    <t>OH3A3-210</t>
  </si>
  <si>
    <t>ROD, M8 X 1.25 X 117.5MM, FLATTED END</t>
  </si>
  <si>
    <t>OH3A3-210 - ROD, M8 X 1.25 X 117.5MM, FLATTED END</t>
  </si>
  <si>
    <t>2.5.3.7.2</t>
  </si>
  <si>
    <t>5395T211</t>
  </si>
  <si>
    <t>8MM SET SCREW SHAFT COUPLING</t>
  </si>
  <si>
    <t>2.5.3.7.3</t>
  </si>
  <si>
    <t>2.5.3.7.4</t>
  </si>
  <si>
    <t>2.5.3.7.5</t>
  </si>
  <si>
    <t>2.5.4</t>
  </si>
  <si>
    <t>2.5.5</t>
  </si>
  <si>
    <t>2.5.6</t>
  </si>
  <si>
    <t>2.5.7</t>
  </si>
  <si>
    <t>OH3A3-40</t>
  </si>
  <si>
    <t>ASSY, STICK EXTENSION</t>
  </si>
  <si>
    <t>2.5.7.1</t>
  </si>
  <si>
    <t>OH3A3-42</t>
  </si>
  <si>
    <t>PADDLE BOX</t>
  </si>
  <si>
    <t>OH3A3-42 - PADDLE BOX</t>
  </si>
  <si>
    <t>2.5.7.2</t>
  </si>
  <si>
    <t>OH3A3-41</t>
  </si>
  <si>
    <t>STICK RISER</t>
  </si>
  <si>
    <t>OH3A3-41 - STICK RISER</t>
  </si>
  <si>
    <t>2.5.7.3</t>
  </si>
  <si>
    <t>F/A-18C HORNET™ HOTAS ADD-ON GRIP</t>
  </si>
  <si>
    <t>2960812 - F/A-18C HORNET™ HOTAS ADD-ON GRIP</t>
  </si>
  <si>
    <t>2.5.7.4</t>
  </si>
  <si>
    <t>OH3A3-43</t>
  </si>
  <si>
    <t>PADDLE BOX COVER</t>
  </si>
  <si>
    <t>OH3A3-43 - PADDLE BOX COVER</t>
  </si>
  <si>
    <t>2.5.7.5</t>
  </si>
  <si>
    <t>2.5.7.6</t>
  </si>
  <si>
    <t>90471A210</t>
  </si>
  <si>
    <t>FHS, 100DEG, #6-32 X .3125, STEEL</t>
  </si>
  <si>
    <t>2.5.7.7</t>
  </si>
  <si>
    <t>HR10A-7R-5S</t>
  </si>
  <si>
    <t>CONNECTOR, RECEPTACLE, FEMALE, 5P</t>
  </si>
  <si>
    <t>2.5.7.8</t>
  </si>
  <si>
    <t>HR10A-7P-5P</t>
  </si>
  <si>
    <t>CONNECTOR, PLUG, MALE, 5P</t>
  </si>
  <si>
    <t>2.5.7.9</t>
  </si>
  <si>
    <t>2.5.7.10</t>
  </si>
  <si>
    <t>2.5.7.11</t>
  </si>
  <si>
    <t>MD-50PL100</t>
  </si>
  <si>
    <t>CONNECTOR, 5P MINI DIN RCPT, PNL MNT, 10CM LEADS</t>
  </si>
  <si>
    <t>2.5.7.12</t>
  </si>
  <si>
    <t>OH3A3-44</t>
  </si>
  <si>
    <t>RECEPTACLE MOUNTING CUP</t>
  </si>
  <si>
    <t>OH3A3-44 - RECEPTACLE MOUNTING CUP</t>
  </si>
  <si>
    <t>2.5.7.13</t>
  </si>
  <si>
    <t>2.5.7.14</t>
  </si>
  <si>
    <t>OH3A3-45</t>
  </si>
  <si>
    <t>RISER CUP MOUNT</t>
  </si>
  <si>
    <t>OH3A3-45 - RISER CUP MOUNT</t>
  </si>
  <si>
    <t>2.5.8</t>
  </si>
  <si>
    <t>OH3A3-9001</t>
  </si>
  <si>
    <t>DECAL, GRIP ASSY</t>
  </si>
  <si>
    <t>2.5.9</t>
  </si>
  <si>
    <t>2.5.10</t>
  </si>
  <si>
    <t>2.5.11</t>
  </si>
  <si>
    <t>OH4A1-1</t>
  </si>
  <si>
    <t>ASSY, LEFT CONSOLE</t>
  </si>
  <si>
    <t>OH4A1-10</t>
  </si>
  <si>
    <t>LEFT CONSOLE EXT SKIN</t>
  </si>
  <si>
    <t>OH4A1-10 - LEFT CONSOLE EXT SKIN</t>
  </si>
  <si>
    <t>OH4A9A4-1</t>
  </si>
  <si>
    <t>THROTTLE QUADRANT COVER PLATE</t>
  </si>
  <si>
    <t>OH4A9A4-1 - THROTTLE QUADRANT COVER PLATE</t>
  </si>
  <si>
    <t>3.2.1</t>
  </si>
  <si>
    <t>OH4A9A4-10</t>
  </si>
  <si>
    <t>INBOARD THROTTLE QUADRANT CONSOLE COVER PLATE</t>
  </si>
  <si>
    <t>OH4A9A4-10 - INBOARD THROTTLE QUADRANT CONSOLE COVER PLATE</t>
  </si>
  <si>
    <t>3.2.2</t>
  </si>
  <si>
    <t>OH4A9A4-11</t>
  </si>
  <si>
    <t>OUTBOARD THROTTLE QUADRANT LEGEND PLATE</t>
  </si>
  <si>
    <t>OH4A9A4-11 - OUTBOARD THROTTLE QUADRANT LEGEND PLATE</t>
  </si>
  <si>
    <t>3.2.3</t>
  </si>
  <si>
    <t>OH4A9A4-12</t>
  </si>
  <si>
    <t>OUTBOARD THROTTLE QUADRANT BRUSH HOLDER</t>
  </si>
  <si>
    <t>OH4A9A4-12 - OUTBOARD THROTTLE QUADRANT BRUSH HOLDER</t>
  </si>
  <si>
    <t>3.2.4</t>
  </si>
  <si>
    <t>OH4A9A4-13</t>
  </si>
  <si>
    <t>INBOARD THROTTLE QUADRANT LEGEND PLATE</t>
  </si>
  <si>
    <t>OH4A9A4-13 - INBOARD THROTTLE QUADRANT LEGEND PLATE</t>
  </si>
  <si>
    <t>3.2.5</t>
  </si>
  <si>
    <t>7900T707</t>
  </si>
  <si>
    <t xml:space="preserve"> STRIP BRUSH, EASY-CUT, .125 WIDTH  X .0975 THICK, NYLON</t>
  </si>
  <si>
    <t>7900T707 - STRIP BRUSH, EASY-CUT, .125 WIDTH  X .0975 THICK, NYLON</t>
  </si>
  <si>
    <t>3.2.6</t>
  </si>
  <si>
    <t>OH4A9A4-14</t>
  </si>
  <si>
    <t>AFT OUTBOARD THROTTLE QUADRANT RAIL SUPPORT</t>
  </si>
  <si>
    <t>OH4A9A4-14 - AFT OUTBOARD THROTTLE QUADRANT RAIL SUPPORT</t>
  </si>
  <si>
    <t>3.2.7</t>
  </si>
  <si>
    <t>OH4A9A4-15</t>
  </si>
  <si>
    <t>FWD OUTBOARD THROTTLE QUADRANT RAIL SUPPORT</t>
  </si>
  <si>
    <t>OH4A9A4-15 - FWD OUTBOARD THROTTLE QUADRANT RAIL SUPPORT</t>
  </si>
  <si>
    <t>3.2.8</t>
  </si>
  <si>
    <t>3.2.9</t>
  </si>
  <si>
    <t>3.2.10</t>
  </si>
  <si>
    <t>OH4A1-11</t>
  </si>
  <si>
    <t>USB COVER PLATE</t>
  </si>
  <si>
    <t>OH4A1-11 - USB COVER PLATE</t>
  </si>
  <si>
    <t>OH4A1A1-1</t>
  </si>
  <si>
    <t>ASSY, LEFT CONSOLE STRUCTURE</t>
  </si>
  <si>
    <t>3.4.1</t>
  </si>
  <si>
    <t>OH4A1A1-10</t>
  </si>
  <si>
    <t>PRIMARY RIB E</t>
  </si>
  <si>
    <t>OH4A1A1-10 - PRIMARY RIB E</t>
  </si>
  <si>
    <t>3.4.2</t>
  </si>
  <si>
    <t>OH4A1A1-11</t>
  </si>
  <si>
    <t>PRIMARY RIB A</t>
  </si>
  <si>
    <t>OH4A1A1-11 - PRIMARY RIB A</t>
  </si>
  <si>
    <t>3.4.3</t>
  </si>
  <si>
    <t>OH4A1A1-12</t>
  </si>
  <si>
    <t>PRIMARY RIB B</t>
  </si>
  <si>
    <t>OH4A1A1-12 - PRIMARY RIB B</t>
  </si>
  <si>
    <t>3.4.4</t>
  </si>
  <si>
    <t>OH4A1A1-13</t>
  </si>
  <si>
    <t>PRIMARY RIB C</t>
  </si>
  <si>
    <t>OH4A1A1-13 - PRIMARY RIB C</t>
  </si>
  <si>
    <t>3.4.5</t>
  </si>
  <si>
    <t>OH4A1A1-14</t>
  </si>
  <si>
    <t>PRIMARY RIB D</t>
  </si>
  <si>
    <t>OH4A1A1-14 - PRIMARY RIB D</t>
  </si>
  <si>
    <t>3.4.6</t>
  </si>
  <si>
    <t>OH4A1A1-15</t>
  </si>
  <si>
    <t>D-C LEFT INBOARD SPACER</t>
  </si>
  <si>
    <t>OH4A1A1-15 - D-C LEFT INBOARD SPACER</t>
  </si>
  <si>
    <t>3.4.7</t>
  </si>
  <si>
    <t>OH4A1A1-16</t>
  </si>
  <si>
    <t>E-D LEFT INBOARD SPACER</t>
  </si>
  <si>
    <t>OH4A1A1-16 - E-D LEFT INBOARD SPACER</t>
  </si>
  <si>
    <t>3.4.8</t>
  </si>
  <si>
    <t>OH4A1A1-17</t>
  </si>
  <si>
    <t>E-AFT LEFT INBOARD SPACER</t>
  </si>
  <si>
    <t>OH4A1A1-17 - E-AFT LEFT INBOARD SPACER</t>
  </si>
  <si>
    <t>3.4.9</t>
  </si>
  <si>
    <t>OH4A1A1-18</t>
  </si>
  <si>
    <t>LEFT CONSOLE - LEFT AUX SPACER</t>
  </si>
  <si>
    <t>OH4A1A1-18 - LEFT CONSOLE - LEFT AUX SPACER</t>
  </si>
  <si>
    <t>3.4.10</t>
  </si>
  <si>
    <t>OH4A1A1-19</t>
  </si>
  <si>
    <t>A-B LEFT OUTBOARD SPACER</t>
  </si>
  <si>
    <t>OH4A1A1-19 - A-B LEFT OUTBOARD SPACER</t>
  </si>
  <si>
    <t>3.4.11</t>
  </si>
  <si>
    <t>OH4A1A1-20</t>
  </si>
  <si>
    <t>LEFT SUB-CONSOLE RAIL</t>
  </si>
  <si>
    <t>OH4A1A1-20 - LEFT SUB-CONSOLE RAIL</t>
  </si>
  <si>
    <t>3.4.12</t>
  </si>
  <si>
    <t>OH4A1A1-21</t>
  </si>
  <si>
    <t>B-C LEFT OUTBOARD SPACER</t>
  </si>
  <si>
    <t>OH4A1A1-21 - B-C LEFT OUTBOARD SPACER</t>
  </si>
  <si>
    <t>3.4.13</t>
  </si>
  <si>
    <t>OH4A1A1-22</t>
  </si>
  <si>
    <t>C-D LEFT OUTBOARD SPACER</t>
  </si>
  <si>
    <t>OH4A1A1-22 - C-D LEFT OUTBOARD SPACER</t>
  </si>
  <si>
    <t>3.4.14</t>
  </si>
  <si>
    <t>OH4A1A1-23</t>
  </si>
  <si>
    <t>D-E LEFT OUTBOARD SPACER</t>
  </si>
  <si>
    <t>OH4A1A1-23 - D-E LEFT OUTBOARD SPACER</t>
  </si>
  <si>
    <t>3.4.15</t>
  </si>
  <si>
    <t>OH4A1A1-24</t>
  </si>
  <si>
    <t>E-AFT LEFT OUTBOARD SPACER</t>
  </si>
  <si>
    <t>OH4A1A1-24 - E-AFT LEFT OUTBOARD SPACER</t>
  </si>
  <si>
    <t>3.4.16</t>
  </si>
  <si>
    <t>OH4A1A1-25</t>
  </si>
  <si>
    <t>FWD LEFT CONSOLE CANOPY RAIL BRACKET</t>
  </si>
  <si>
    <t>OH4A1A1-25 - FWD LEFT CONSOLE CANOPY RAIL BRACKET</t>
  </si>
  <si>
    <t>3.4.17</t>
  </si>
  <si>
    <t>OH4A1A1-26</t>
  </si>
  <si>
    <t>CANOPY RAIL TRIM</t>
  </si>
  <si>
    <t>OH4A1A1-26 - CANOPY RAIL TRIM</t>
  </si>
  <si>
    <t>3.4.18</t>
  </si>
  <si>
    <t>OH4A1A1-27</t>
  </si>
  <si>
    <t>AFT LEFT CONSOLE CANOPY RAIL BRACKET</t>
  </si>
  <si>
    <t>OH4A1A1-27 - AFT LEFT CONSOLE CANOPY RAIL BRACKET</t>
  </si>
  <si>
    <t>3.4.19</t>
  </si>
  <si>
    <t>OH4A1A1-28</t>
  </si>
  <si>
    <t>CANOPY RAIL</t>
  </si>
  <si>
    <t>OH4A1A1-28 - CANOPY RAIL</t>
  </si>
  <si>
    <t>3.4.20</t>
  </si>
  <si>
    <t>OH4A1A1-29</t>
  </si>
  <si>
    <t>CONSOLE SILL BRACKET A-L</t>
  </si>
  <si>
    <t>OH4A1A1-29 - CONSOLE SILL BRACKET A-L</t>
  </si>
  <si>
    <t>3.4.21</t>
  </si>
  <si>
    <t>OH4A1A1-30</t>
  </si>
  <si>
    <t>CONSOLE SILL BRACKET B-L</t>
  </si>
  <si>
    <t>OH4A1A1-30 - CONSOLE SILL BRACKET B-L</t>
  </si>
  <si>
    <t>3.4.22</t>
  </si>
  <si>
    <t>OH4A1A1-31</t>
  </si>
  <si>
    <t>AFT LEFT UPPER BULKHEAD BRACKET</t>
  </si>
  <si>
    <t>OH4A1A1-31 - AFT LEFT UPPER BULKHEAD BRACKET</t>
  </si>
  <si>
    <t>3.4.23</t>
  </si>
  <si>
    <t>OH4A1A1-32</t>
  </si>
  <si>
    <t>INBOARD LEFT CONSOLE WALL</t>
  </si>
  <si>
    <t>OH4A1A1-32 - INBOARD LEFT CONSOLE WALL</t>
  </si>
  <si>
    <t>3.4.24</t>
  </si>
  <si>
    <t>OH4A1A1-33</t>
  </si>
  <si>
    <t>LEFT CONSOLE FLOOR</t>
  </si>
  <si>
    <t>OH4A1A1-33 - LEFT CONSOLE FLOOR</t>
  </si>
  <si>
    <t>3.4.25</t>
  </si>
  <si>
    <t>OH4A1A1-34</t>
  </si>
  <si>
    <t>LEFT AFT INTERNAL BULKHEAD</t>
  </si>
  <si>
    <t>OH4A1A1-34 - LEFT AFT INTERNAL BULKHEAD</t>
  </si>
  <si>
    <t>3.4.26</t>
  </si>
  <si>
    <t>OH4A1A1-35</t>
  </si>
  <si>
    <t>LEFT AFT BULKHEAD</t>
  </si>
  <si>
    <t>OH4A1A1-35 - LEFT AFT BULKHEAD</t>
  </si>
  <si>
    <t>3.4.27</t>
  </si>
  <si>
    <t>OH4A1A1-36</t>
  </si>
  <si>
    <t>LEFT CONSOLE INBOARD WALL</t>
  </si>
  <si>
    <t>OH4A1A1-36 - LEFT CONSOLE INBOARD WALL</t>
  </si>
  <si>
    <t>3.4.28</t>
  </si>
  <si>
    <t>OH4A1A1-37</t>
  </si>
  <si>
    <t>INBOARD WALL SUPPORT</t>
  </si>
  <si>
    <t>OH4A1A1-37 - INBOARD WALL SUPPORT</t>
  </si>
  <si>
    <t>3.4.29</t>
  </si>
  <si>
    <t>OH4A1A1-38</t>
  </si>
  <si>
    <t>A-B LOWER STRINGER</t>
  </si>
  <si>
    <t>OH4A1A1-38 - A-B LOWER STRINGER</t>
  </si>
  <si>
    <t>3.4.30</t>
  </si>
  <si>
    <t>OH4A1A1-39</t>
  </si>
  <si>
    <t>B-C LOWER STRINGER</t>
  </si>
  <si>
    <t>OH4A1A1-39 - B-C LOWER STRINGER</t>
  </si>
  <si>
    <t>3.4.31</t>
  </si>
  <si>
    <t>OH4A1A1-40</t>
  </si>
  <si>
    <t>C-D LOWER STRINGER</t>
  </si>
  <si>
    <t>OH4A1A1-40 - C-D LOWER STRINGER</t>
  </si>
  <si>
    <t>3.4.32</t>
  </si>
  <si>
    <t>OH4A1A1-41</t>
  </si>
  <si>
    <t>E-F LOWER STRINGER</t>
  </si>
  <si>
    <t>OH4A1A1-41 - E-F LOWER STRINGER</t>
  </si>
  <si>
    <t>3.4.33</t>
  </si>
  <si>
    <t>OH4A1A1-42</t>
  </si>
  <si>
    <t>AFT BULKHEAD STRINGER</t>
  </si>
  <si>
    <t>OH4A1A1-42 - AFT BULKHEAD STRINGER</t>
  </si>
  <si>
    <t>3.4.34</t>
  </si>
  <si>
    <t>OH4A1A1-43</t>
  </si>
  <si>
    <t>INBOARD FWD LEFT CONSOLE TRIM</t>
  </si>
  <si>
    <t>OH4A1A1-43 - INBOARD FWD LEFT CONSOLE TRIM</t>
  </si>
  <si>
    <t>3.4.35</t>
  </si>
  <si>
    <t>OH4A1A1-44</t>
  </si>
  <si>
    <t>LEFT AUX VENT PLUG</t>
  </si>
  <si>
    <t>OH4A1A1-44 - LEFT AUX VENT PLUG</t>
  </si>
  <si>
    <t>3.4.36</t>
  </si>
  <si>
    <t>OH4A1A1-45</t>
  </si>
  <si>
    <t>LEFT AUX PANEL</t>
  </si>
  <si>
    <t>OH4A1A1-45 - LEFT AUX PANEL</t>
  </si>
  <si>
    <t>3.4.37</t>
  </si>
  <si>
    <t>OH4A1A1-46</t>
  </si>
  <si>
    <t>LEFT AUX UPPER BRACKET</t>
  </si>
  <si>
    <t>OH4A1A1-46 - LEFT AUX UPPER BRACKET</t>
  </si>
  <si>
    <t>3.4.38</t>
  </si>
  <si>
    <t>OH4A1A1-47</t>
  </si>
  <si>
    <t>LEFT AUX SUPPORT BRACKET, FWD, OUTBOARD</t>
  </si>
  <si>
    <t>OH4A1A1-47 - LEFT AUX SUPPORT BRACKET, FWD, OUTBOARD</t>
  </si>
  <si>
    <t>3.4.39</t>
  </si>
  <si>
    <t>OH4A1A1-48</t>
  </si>
  <si>
    <t>LEFT AUX SUPPORT BRACKET, LOWER, OUTBOARD</t>
  </si>
  <si>
    <t>OH4A1A1-48 - LEFT AUX SUPPORT BRACKET, LOWER, OUTBOARD</t>
  </si>
  <si>
    <t>3.4.40</t>
  </si>
  <si>
    <t>OH4A1A1-49</t>
  </si>
  <si>
    <t>LEFT AUX SUPPORT BRACKET, LOWER, INBOARD</t>
  </si>
  <si>
    <t>OH4A1A1-49 - LEFT AUX SUPPORT BRACKET, LOWER, INBOARD</t>
  </si>
  <si>
    <t>3.4.41</t>
  </si>
  <si>
    <t>3.4.42</t>
  </si>
  <si>
    <t>3.4.43</t>
  </si>
  <si>
    <t>3.4.44</t>
  </si>
  <si>
    <t>3.4.45</t>
  </si>
  <si>
    <t>3.4.46</t>
  </si>
  <si>
    <t>3.4.47</t>
  </si>
  <si>
    <t>3.4.48</t>
  </si>
  <si>
    <t>91249A192</t>
  </si>
  <si>
    <t>PHS, #8-32 X .375, 18-8, BLK</t>
  </si>
  <si>
    <t>3.4.49</t>
  </si>
  <si>
    <t>3.4.50</t>
  </si>
  <si>
    <t>3.4.51</t>
  </si>
  <si>
    <t>3.4.52</t>
  </si>
  <si>
    <t>3.4.53</t>
  </si>
  <si>
    <t>3.4.54</t>
  </si>
  <si>
    <t>90272A190</t>
  </si>
  <si>
    <t>PHS, #8-32 X 0.250, STEEL</t>
  </si>
  <si>
    <t>OH4A8A2-1</t>
  </si>
  <si>
    <t>ASSY, DISPENSE BUTTON</t>
  </si>
  <si>
    <t>3.5.1</t>
  </si>
  <si>
    <t>OH4A8A2-10</t>
  </si>
  <si>
    <t>DISP BUTTON BASE</t>
  </si>
  <si>
    <t>OH4A8A2-10 - DISP BUTTON BASE</t>
  </si>
  <si>
    <t>3.5.2</t>
  </si>
  <si>
    <t>OH4A8A2-100</t>
  </si>
  <si>
    <t xml:space="preserve">DISP BUTTON HEAD </t>
  </si>
  <si>
    <t>OH4A8A2-100 - DISP BUTTON HEAD</t>
  </si>
  <si>
    <t>3.5.2.1</t>
  </si>
  <si>
    <t>OH4A8A2-101</t>
  </si>
  <si>
    <t>DISP_BUTTON_HEAD</t>
  </si>
  <si>
    <t>OH4A8A2-101 - DISP_BUTTON_HEAD</t>
  </si>
  <si>
    <t>3.5.3</t>
  </si>
  <si>
    <t>OH4A8A2-11</t>
  </si>
  <si>
    <t>DISP BUTTON SHAFT</t>
  </si>
  <si>
    <t>OH4A8A2-11 - DISP BUTTON, SHAFT</t>
  </si>
  <si>
    <t>3.5.4</t>
  </si>
  <si>
    <t>3.5.5</t>
  </si>
  <si>
    <t>7779K61</t>
  </si>
  <si>
    <t>SWITCH, LIMIT, MINIATURE, SNAP-ACTION</t>
  </si>
  <si>
    <t>3.5.6</t>
  </si>
  <si>
    <t>3.5.7</t>
  </si>
  <si>
    <t>91249A115</t>
  </si>
  <si>
    <t>PHS, #4-40 X .625, 18-8, BLK</t>
  </si>
  <si>
    <t>3.5.8</t>
  </si>
  <si>
    <t>6338K411</t>
  </si>
  <si>
    <t>SLEEVE BEARING FOR .250 SHAFT X .375 ID X .250</t>
  </si>
  <si>
    <t>3.5.9</t>
  </si>
  <si>
    <t>9414T6</t>
  </si>
  <si>
    <t>COLLAR, SHAFT, .25 ID X .50 OD X .2813 T, STEEL, BLK</t>
  </si>
  <si>
    <t>3.5.10</t>
  </si>
  <si>
    <t>9657K305</t>
  </si>
  <si>
    <t>SPRING, COMPRESSION, .258 ID X .36 OD X 1.00OAL</t>
  </si>
  <si>
    <t>3.5.11</t>
  </si>
  <si>
    <t>90131A102</t>
  </si>
  <si>
    <t>WASHER, CUSHIONING, 0.250 ID, ABRASION-RESISTANT</t>
  </si>
  <si>
    <t>3.5.12</t>
  </si>
  <si>
    <t>3.5.13</t>
  </si>
  <si>
    <t>OH4A8A3-1</t>
  </si>
  <si>
    <t>ASSY, NUC WEAP SWITCH</t>
  </si>
  <si>
    <t>3.6.1</t>
  </si>
  <si>
    <t>OH4A8A3-10</t>
  </si>
  <si>
    <t>NUC WEAP SWITCH</t>
  </si>
  <si>
    <t>OH4A8A3-10 - NUC WEAP SWITCH</t>
  </si>
  <si>
    <t>3.6.2</t>
  </si>
  <si>
    <t>OH4A8A3-11</t>
  </si>
  <si>
    <t>NUC WEAP PLACARD</t>
  </si>
  <si>
    <t>OH4A8A3-11 - NUC WEAP PLACARD</t>
  </si>
  <si>
    <t>3.6.3</t>
  </si>
  <si>
    <t>OHC0001-1</t>
  </si>
  <si>
    <t>ASSY, SWITCH, S1AL, ROUND BAT</t>
  </si>
  <si>
    <t>3.6.3.1</t>
  </si>
  <si>
    <t>3.6.3.2</t>
  </si>
  <si>
    <t>3.6.4</t>
  </si>
  <si>
    <t>AT537</t>
  </si>
  <si>
    <t>O-RING FOR SWITCH, 12 MM ID</t>
  </si>
  <si>
    <t>3.6.5</t>
  </si>
  <si>
    <t>3.6.6</t>
  </si>
  <si>
    <t>OH4A8A1-1</t>
  </si>
  <si>
    <t>ASSY, LEFT CIRCUIT BREAKERS</t>
  </si>
  <si>
    <t>3.7.1</t>
  </si>
  <si>
    <t>OH4A8A1-10</t>
  </si>
  <si>
    <t>LEFT CIRCUIT BREAKER BRACKET</t>
  </si>
  <si>
    <t>OH4A8A1-10 - LEFT CIRCUIT BREAKER BRACKET</t>
  </si>
  <si>
    <t>3.7.2</t>
  </si>
  <si>
    <t>OH4A8A1-11</t>
  </si>
  <si>
    <t>CIRCUIT BREAKER PLACARD LIGHT PLATE</t>
  </si>
  <si>
    <t>OH4A8A1-11 - CIRCUIT BREAKER PLACARD LIGHT PLATE</t>
  </si>
  <si>
    <t>3.7.3</t>
  </si>
  <si>
    <t>OH4A8A1-12</t>
  </si>
  <si>
    <t>CIRCUIT BREAKER PLACARD LEGEND PLATE</t>
  </si>
  <si>
    <t>OH4A8A1-12 - CIRCUIT BREAKER PLACARD LEGEND PLATE</t>
  </si>
  <si>
    <t>3.7.4</t>
  </si>
  <si>
    <t>3.7.5</t>
  </si>
  <si>
    <t>3.7.6</t>
  </si>
  <si>
    <t>EB2065-CA</t>
  </si>
  <si>
    <t>SWITCH, PUSHBUTTON, SPDT, ON-ON, BLK CAP</t>
  </si>
  <si>
    <t>3.7.7</t>
  </si>
  <si>
    <t>3.7.8</t>
  </si>
  <si>
    <t>LOCKING RING FOR SWITCH, 6MM ID</t>
  </si>
  <si>
    <t>3.7.9</t>
  </si>
  <si>
    <t>OH4A9-1</t>
  </si>
  <si>
    <t>ASSY, THROTTLE QUADRANT</t>
  </si>
  <si>
    <t>3.8.1</t>
  </si>
  <si>
    <t>OH4A9-10</t>
  </si>
  <si>
    <t>LH THROTTLE BASE PLATE</t>
  </si>
  <si>
    <t>OH4A9-10 - LH THROTTLE BASE PLATE</t>
  </si>
  <si>
    <t>3.8.2</t>
  </si>
  <si>
    <t>OH4A9-11</t>
  </si>
  <si>
    <t>RH THROTTLE BASE PLATE</t>
  </si>
  <si>
    <t>OH4A9-11 - RH THROTTLE BASE PLATE</t>
  </si>
  <si>
    <t>3.8.3</t>
  </si>
  <si>
    <t>OH4A9-12</t>
  </si>
  <si>
    <t>THROTTLE QUADRANT MOUNTING BASE</t>
  </si>
  <si>
    <t>OH4A9-12 - THROTTLE QUADRANT MOUNTING BASE</t>
  </si>
  <si>
    <t>3.8.4</t>
  </si>
  <si>
    <t>OH4A9-13</t>
  </si>
  <si>
    <t>THROTTLE ARM GEAR</t>
  </si>
  <si>
    <t>OH4A9-13 - THROTTLE ARM GEAR</t>
  </si>
  <si>
    <t>3.8.5</t>
  </si>
  <si>
    <t>OH4A9-14</t>
  </si>
  <si>
    <t>SPLINE NUT ADAPTER</t>
  </si>
  <si>
    <t>OH4A9-14 - SPLINE NUT ADAPTER</t>
  </si>
  <si>
    <t>3.8.6</t>
  </si>
  <si>
    <t>OH4A9-100</t>
  </si>
  <si>
    <t>ASSY, INBOARD THROTTLE ARM</t>
  </si>
  <si>
    <t>OH4A9-100 - ASSY, INBOARD THROTTLE ARM</t>
  </si>
  <si>
    <t>3.8.6.1</t>
  </si>
  <si>
    <t>OH4A9-106</t>
  </si>
  <si>
    <t>ASSY, INBOARD THROTTLE GRIP</t>
  </si>
  <si>
    <t>OH4A9-106 - ASSY, INBOARD THROTTLE GRIP</t>
  </si>
  <si>
    <t>3.8.6.1.1</t>
  </si>
  <si>
    <t>OH4A9-107</t>
  </si>
  <si>
    <t>RIGHT INBOARD THROTTLE GRIP HOUSING</t>
  </si>
  <si>
    <t>OH4A9-107 - RIGHT INBOARD THROTTLE GRIP HOUSING</t>
  </si>
  <si>
    <t>3.8.6.1.2</t>
  </si>
  <si>
    <t>OH4A9-108</t>
  </si>
  <si>
    <t>LEFT INBOARD THROTTLE GRIP HOUSING</t>
  </si>
  <si>
    <t>OH4A9-108 - LEFT INBOARD THROTTLE GRIP HOUSING</t>
  </si>
  <si>
    <t>3.8.6.1.3</t>
  </si>
  <si>
    <t>OH4A9-109</t>
  </si>
  <si>
    <t>ASSY, ANT ELEV SWITCH</t>
  </si>
  <si>
    <t>OH4A9-109 - ASSY, ANT ELEV SWITCH</t>
  </si>
  <si>
    <t>3.8.6.1.3.1</t>
  </si>
  <si>
    <t>OH4A9-110</t>
  </si>
  <si>
    <t>ANT ELEV MECHANISM BRACKET</t>
  </si>
  <si>
    <t>OH4A9-110 - ANT ELEV MECHANISM BRACKET</t>
  </si>
  <si>
    <t>3.8.6.1.3.2</t>
  </si>
  <si>
    <t>OH4A9-111</t>
  </si>
  <si>
    <t>ANT ELEV WHEEL</t>
  </si>
  <si>
    <t>OH4A9-111 - ANT ELEV WHEEL</t>
  </si>
  <si>
    <t>3.8.6.1.3.3</t>
  </si>
  <si>
    <t>OH4A9-112</t>
  </si>
  <si>
    <t>ANT ELEV MOUNTING PLATE</t>
  </si>
  <si>
    <t>OH4A9-112 - ANT ELEV MOUNTING PLATE</t>
  </si>
  <si>
    <t>3.8.6.1.3.4</t>
  </si>
  <si>
    <t>3.8.6.1.3.5</t>
  </si>
  <si>
    <t>3.8.6.1.3.6</t>
  </si>
  <si>
    <t>9271K631</t>
  </si>
  <si>
    <t>SPRING, TORSION, 360 DEG, RH WOUND, .187 SHAFT X 1.000 LEG, STEEL</t>
  </si>
  <si>
    <t>3.8.6.1.3.7</t>
  </si>
  <si>
    <t>9271K632</t>
  </si>
  <si>
    <t>SPRING, TORSION, 360 DEG, LH WOUND, .187 SHAFT X 1.000 LEG, STEEL</t>
  </si>
  <si>
    <t>3.8.6.1.3.8</t>
  </si>
  <si>
    <t>P081N-271F2CBR10K</t>
  </si>
  <si>
    <t>POTENTIOMETER, LINEAR, 10K</t>
  </si>
  <si>
    <t>3.8.6.1.3.9</t>
  </si>
  <si>
    <t>P08X NUT</t>
  </si>
  <si>
    <t>NUT FOR P08X SERIES POTENTIOMETER, M7 X 0.75</t>
  </si>
  <si>
    <t>3.8.6.1.4</t>
  </si>
  <si>
    <t>OH4A9-126</t>
  </si>
  <si>
    <t>ASSY, TDC SWITCH</t>
  </si>
  <si>
    <t>OH4A9-126 - ASSY, TDC SWITCH</t>
  </si>
  <si>
    <t>3.8.6.1.4.1</t>
  </si>
  <si>
    <t>OH4A9-113</t>
  </si>
  <si>
    <t>TDC SWITCH BODY</t>
  </si>
  <si>
    <t>OH4A9-113 - TDC SWITCH BODY</t>
  </si>
  <si>
    <t>3.8.6.1.4.2</t>
  </si>
  <si>
    <t>OH4A9-114</t>
  </si>
  <si>
    <t>LOWER TDC SWITCH BODY</t>
  </si>
  <si>
    <t>OH4A9-114 - LOWER TDC SWITCH BODY</t>
  </si>
  <si>
    <t>3.8.6.1.4.3</t>
  </si>
  <si>
    <t>OH4A9-120</t>
  </si>
  <si>
    <t>TDC SWITCH CAP</t>
  </si>
  <si>
    <t>OH4A9-120 - TDC SWITCH CAP</t>
  </si>
  <si>
    <t>3.8.6.1.4.4</t>
  </si>
  <si>
    <t>OH4A9-121</t>
  </si>
  <si>
    <t>ANALOG_STICK_BREAKOUT_PCB</t>
  </si>
  <si>
    <t>OH4A9-121 - ANALOG_STICK_BREAKOUT_PCB</t>
  </si>
  <si>
    <t>3.8.6.1.5</t>
  </si>
  <si>
    <t>OH4A9-115</t>
  </si>
  <si>
    <t>ASSY, DISPENSE SWITCH</t>
  </si>
  <si>
    <t>OH4A9-115 - ASSY, DISPENSE SWITCH</t>
  </si>
  <si>
    <t>3.8.6.1.5.1</t>
  </si>
  <si>
    <t>OH4A9-122</t>
  </si>
  <si>
    <t>SPD BRK SWITCH BODY</t>
  </si>
  <si>
    <t>OH4A9-122 - SPD BRK SWITCH BODY</t>
  </si>
  <si>
    <t>3.8.6.1.5.2</t>
  </si>
  <si>
    <t>OH4A9-117</t>
  </si>
  <si>
    <t>SPD BRK SWITCH CAP</t>
  </si>
  <si>
    <t>OH4A9-117 - SPD BRK SWITCH CAP</t>
  </si>
  <si>
    <t>3.8.6.1.5.3</t>
  </si>
  <si>
    <t>200MSP4T1B1M1QE</t>
  </si>
  <si>
    <t>SWITCH, TOGGLE, SUB-MINIATURE, 3-POS, (ON)-OFF-(ON)</t>
  </si>
  <si>
    <t>3.8.6.1.6</t>
  </si>
  <si>
    <t>OH4A9-118</t>
  </si>
  <si>
    <t>COMM 4-WAY SWITCH HAT</t>
  </si>
  <si>
    <t>OH4A9-118 - COMM 4-WAY SWITCH HAT</t>
  </si>
  <si>
    <t>3.8.6.1.7</t>
  </si>
  <si>
    <t>OH4A9-123</t>
  </si>
  <si>
    <t>HAT_SWITCH_BREAKOUT_PCB</t>
  </si>
  <si>
    <t>OH4A9-123 - HAT_SWITCH_BREAKOUT_PCB</t>
  </si>
  <si>
    <t>3.8.6.1.8</t>
  </si>
  <si>
    <t>OH4A9-119</t>
  </si>
  <si>
    <t>ASSY, SPD BRK SWITCH</t>
  </si>
  <si>
    <t>OH4A9-119 - ASSY, SPD BRK SWITCH</t>
  </si>
  <si>
    <t>3.8.6.1.8.1</t>
  </si>
  <si>
    <t>3.8.6.1.8.2</t>
  </si>
  <si>
    <t>3.8.6.1.8.3</t>
  </si>
  <si>
    <t>200MSP5T1B1M1QE</t>
  </si>
  <si>
    <t>SWITCH, TOGGLE, SUB-MINIATURE, 3-POS, ON-OFF-(ON)</t>
  </si>
  <si>
    <t>3.8.6.1.9</t>
  </si>
  <si>
    <t>OH4A9-125</t>
  </si>
  <si>
    <t>THROTTLE_INNER_GRIP_CONTROLLER_PCB</t>
  </si>
  <si>
    <t>OH4A9-125 - THROTTLE_INNER_GRIP_CONTROLLER_PCB</t>
  </si>
  <si>
    <t>3.8.6.1.10</t>
  </si>
  <si>
    <t>3.8.6.1.11</t>
  </si>
  <si>
    <t>3.8.6.1.12</t>
  </si>
  <si>
    <t>3.8.6.1.13</t>
  </si>
  <si>
    <t>3.8.6.1.14</t>
  </si>
  <si>
    <t>3.8.6.1.15</t>
  </si>
  <si>
    <t>90272A106</t>
  </si>
  <si>
    <t>PHS, #4-40 X .250, STEEL</t>
  </si>
  <si>
    <t>3.8.6.1.16</t>
  </si>
  <si>
    <t>P3-11122</t>
  </si>
  <si>
    <t>PUSHBUTTON, OTTO, P3</t>
  </si>
  <si>
    <t>3.8.6.1.17</t>
  </si>
  <si>
    <t>3.8.6.1.18</t>
  </si>
  <si>
    <t>3.8.6.1.19</t>
  </si>
  <si>
    <t>98381A471</t>
  </si>
  <si>
    <t>PIN, DOWEL, .125 X .500, ALLOY STEEL</t>
  </si>
  <si>
    <t>3.8.6.2</t>
  </si>
  <si>
    <t>OH4A9-101</t>
  </si>
  <si>
    <t>INBOARD THROTTLE ARM LOWER FINGER LIFT MOUNT</t>
  </si>
  <si>
    <t>OH4A9-101 - INBOARD THROTTLE ARM LOWER FINGER LIFT MOUNT</t>
  </si>
  <si>
    <t>3.8.6.3</t>
  </si>
  <si>
    <t>OH4A9-102</t>
  </si>
  <si>
    <t>INBOARD THROTTLE ARM GRIP ADAPTER</t>
  </si>
  <si>
    <t>OH4A9-102 - INBOARD THROTTLE ARM GRIP ADAPTER</t>
  </si>
  <si>
    <t>3.8.6.4</t>
  </si>
  <si>
    <t>OH4A9-103</t>
  </si>
  <si>
    <t>INBOARD THROTTLE ARM GRIP ADAPTER SPACER</t>
  </si>
  <si>
    <t>OH4A9-103 - INBOARD THROTTLE ARM GRIP ADAPTER SPACER</t>
  </si>
  <si>
    <t>3.8.6.5</t>
  </si>
  <si>
    <t>OH4A9-104</t>
  </si>
  <si>
    <t>INBOARD FINGER LIFT</t>
  </si>
  <si>
    <t>OH4A9-104 - INBOARD FINGER LIFT</t>
  </si>
  <si>
    <t>3.8.6.6</t>
  </si>
  <si>
    <t>OH4A9-105</t>
  </si>
  <si>
    <t>INBOARD THROTTLE ARM PLATE</t>
  </si>
  <si>
    <t>OH4A9-105 - INBOARD THROTTLE ARM PLATE</t>
  </si>
  <si>
    <t>3.8.6.7</t>
  </si>
  <si>
    <t>96640A344</t>
  </si>
  <si>
    <t>FHS, 100 DEG, #6-32 X .50, STEEL</t>
  </si>
  <si>
    <t>3.8.6.8</t>
  </si>
  <si>
    <t>3.8.6.9</t>
  </si>
  <si>
    <t>3.8.6.10</t>
  </si>
  <si>
    <t>1368A15</t>
  </si>
  <si>
    <t>SPRING PLUNGER, BALL NOSE, PRESS FIT, SEALED</t>
  </si>
  <si>
    <t>3.8.6.11</t>
  </si>
  <si>
    <t>3.8.6.12</t>
  </si>
  <si>
    <t>3.8.6.13</t>
  </si>
  <si>
    <t>3.8.6.14</t>
  </si>
  <si>
    <t>91249A120</t>
  </si>
  <si>
    <t>PHS, #4-40 X .875, 18-8, BLK</t>
  </si>
  <si>
    <t>3.8.6.15</t>
  </si>
  <si>
    <t>90176A105</t>
  </si>
  <si>
    <t>SPACER, #4 X .188 OD X .2188 L, NYLON, BLK</t>
  </si>
  <si>
    <t>3.8.6.16</t>
  </si>
  <si>
    <t>3.8.6.17</t>
  </si>
  <si>
    <t>90176A115</t>
  </si>
  <si>
    <t>SPACER, #4 X .188 OD X .4688 L, NYLON, BLK</t>
  </si>
  <si>
    <t>3.8.6.18</t>
  </si>
  <si>
    <t>3.8.6.19</t>
  </si>
  <si>
    <t>3.8.6.20</t>
  </si>
  <si>
    <t>9657K298</t>
  </si>
  <si>
    <t>SPRING, COMPRESSION, .24 OD X .20 ID X 1.0 LG X .22 LG COMPRESSED, 2.7LBS-IN RATE, STEEL</t>
  </si>
  <si>
    <t>3.8.7</t>
  </si>
  <si>
    <t>OH4A9-200</t>
  </si>
  <si>
    <t>ASSY, OUTBOARD THROTTLE ARM</t>
  </si>
  <si>
    <t>OH4A9-200 - ASSY, OUTBOARD THROTTLE ARM</t>
  </si>
  <si>
    <t>3.8.7.1</t>
  </si>
  <si>
    <t>OH4A9-201</t>
  </si>
  <si>
    <t>OUTBOARD THROTTLE ARM PLATE</t>
  </si>
  <si>
    <t>OH4A9-201 - OUTBOARD THROTTLE ARM PLATE</t>
  </si>
  <si>
    <t>3.8.7.2</t>
  </si>
  <si>
    <t>OH4A9-202</t>
  </si>
  <si>
    <t>OUTBOARD THROTTLE ARM GRIP ADAPTER SPACER</t>
  </si>
  <si>
    <t>OH4A9-202 - OUTBOARD THROTTLE ARM GRIP ADAPTER SPACER</t>
  </si>
  <si>
    <t>3.8.7.3</t>
  </si>
  <si>
    <t>OH4A9-203</t>
  </si>
  <si>
    <t>OUTBOARD THROTTLE ARM GRIP ADAPTER</t>
  </si>
  <si>
    <t>OH4A9-203 - OUTBOARD THROTTLE ARM GRIP ADAPTER</t>
  </si>
  <si>
    <t>3.8.7.4</t>
  </si>
  <si>
    <t>OH4A9-204</t>
  </si>
  <si>
    <t>OUTBOARD FINGER LIFT</t>
  </si>
  <si>
    <t>OH4A9-204 - OUTBOARD FINGER LIFT</t>
  </si>
  <si>
    <t>3.8.7.5</t>
  </si>
  <si>
    <t>OH4A9-205</t>
  </si>
  <si>
    <t>ASSY, OUTBOARD THROTTLE GRIP</t>
  </si>
  <si>
    <t>OH4A9-205 - ASSY, OUTBOARD THROTTLE GRIP</t>
  </si>
  <si>
    <t>3.8.7.5.1</t>
  </si>
  <si>
    <t>OH4A9-206</t>
  </si>
  <si>
    <t>RIGHT OUTBOARD THROTTLE GRIP HOUSING</t>
  </si>
  <si>
    <t>OH4A9-206 - RIGHT OUTBOARD THROTTLE GRIP HOUSING</t>
  </si>
  <si>
    <t>3.8.7.5.2</t>
  </si>
  <si>
    <t>OH4A9-207</t>
  </si>
  <si>
    <t>LEFT OUTBOARD THROTTLE GRIP HOUSING</t>
  </si>
  <si>
    <t>OH4A9-207 - LEFT OUTBOARD THROTTLE GRIP HOUSING</t>
  </si>
  <si>
    <t>3.8.7.5.3</t>
  </si>
  <si>
    <t>3.8.7.5.4</t>
  </si>
  <si>
    <t>3.8.7.5.5</t>
  </si>
  <si>
    <t>3.8.7.5.6</t>
  </si>
  <si>
    <t>3.8.7.5.7</t>
  </si>
  <si>
    <t>3.8.7.5.8</t>
  </si>
  <si>
    <t>3.8.7.5.9</t>
  </si>
  <si>
    <t>3.8.7.5.10</t>
  </si>
  <si>
    <t>M2011B2B1W01</t>
  </si>
  <si>
    <t>SWITCH, TOGGLE, ON - OFF</t>
  </si>
  <si>
    <t>3.8.7.5.11</t>
  </si>
  <si>
    <t>3.8.7.5.12</t>
  </si>
  <si>
    <t>AT506M</t>
  </si>
  <si>
    <t>3.8.7.5.13</t>
  </si>
  <si>
    <t>3.8.7.5.14</t>
  </si>
  <si>
    <t>AT527M</t>
  </si>
  <si>
    <t>HEX NUT FOR SWITCH, M12X1</t>
  </si>
  <si>
    <t>3.8.7.6</t>
  </si>
  <si>
    <t>3.8.7.7</t>
  </si>
  <si>
    <t>3.8.7.8</t>
  </si>
  <si>
    <t>93085A628</t>
  </si>
  <si>
    <t>FHS, 100DEG, #6-32 X .625, 18-8, BLK</t>
  </si>
  <si>
    <t>3.8.7.9</t>
  </si>
  <si>
    <t>3.8.7.10</t>
  </si>
  <si>
    <t>3.8.7.11</t>
  </si>
  <si>
    <t>3.8.7.12</t>
  </si>
  <si>
    <t>3.8.7.13</t>
  </si>
  <si>
    <t>3.8.7.14</t>
  </si>
  <si>
    <t>3.8.7.15</t>
  </si>
  <si>
    <t>3.8.7.16</t>
  </si>
  <si>
    <t>3.8.7.17</t>
  </si>
  <si>
    <t>3.8.7.18</t>
  </si>
  <si>
    <t>3.8.7.19</t>
  </si>
  <si>
    <t>3.8.7.20</t>
  </si>
  <si>
    <t>3.8.7.21</t>
  </si>
  <si>
    <t>OH4A9-208</t>
  </si>
  <si>
    <t>OUTBOARD THROTTLE ARM LOWER FINGERLIFT ADAPTER</t>
  </si>
  <si>
    <t>OH4A9-208 - OUTBOARD THROTTLE ARM LOWER FINGERLIFT ADAPTER</t>
  </si>
  <si>
    <t>3.8.8</t>
  </si>
  <si>
    <t>OH4A9-15</t>
  </si>
  <si>
    <t>IDLE DETENT</t>
  </si>
  <si>
    <t>OH4A9-15 - IDLE DETENT</t>
  </si>
  <si>
    <t>3.8.9</t>
  </si>
  <si>
    <t>OH4A9-16</t>
  </si>
  <si>
    <t>SOLENOID LINKAGE</t>
  </si>
  <si>
    <t>OH4A9-16 - SOLENOID LINKAGE</t>
  </si>
  <si>
    <t>3.8.10</t>
  </si>
  <si>
    <t>OH4A9-17</t>
  </si>
  <si>
    <t>SOLENOID MOUNT</t>
  </si>
  <si>
    <t>OH4A9-17 - SOLENOID MOUNT</t>
  </si>
  <si>
    <t>3.8.11</t>
  </si>
  <si>
    <t>OH4A9-18</t>
  </si>
  <si>
    <t>SOLENOID SPRING RETAINER</t>
  </si>
  <si>
    <t>OH4A9-18 - SOLENOID SPRING RETAINER</t>
  </si>
  <si>
    <t>3.8.12</t>
  </si>
  <si>
    <t>OH4A9-19</t>
  </si>
  <si>
    <t>AFTERBURNER DETENT</t>
  </si>
  <si>
    <t>OH4A9-19 - AFTERBURNER DETENT</t>
  </si>
  <si>
    <t>3.8.13</t>
  </si>
  <si>
    <t>OH4A9-20</t>
  </si>
  <si>
    <t>THROTTLE AB DETENT</t>
  </si>
  <si>
    <t>OH4A9-20 - THROTTLE AB DETENT</t>
  </si>
  <si>
    <t>3.8.14</t>
  </si>
  <si>
    <t>OH4A9-21</t>
  </si>
  <si>
    <t>HALL SENSOR GEAR</t>
  </si>
  <si>
    <t>OH4A9-21 - HALL SENSOR GEAR</t>
  </si>
  <si>
    <t>3.8.15</t>
  </si>
  <si>
    <t>OH4A9-22</t>
  </si>
  <si>
    <t>HALL SENSOR GEAR MAGNET CUP</t>
  </si>
  <si>
    <t>OH4A9-22 - HALL SENSOR GEAR MAGNET CUP</t>
  </si>
  <si>
    <t>3.8.16</t>
  </si>
  <si>
    <t>OH4A9-23</t>
  </si>
  <si>
    <t>THROTTLE HALL SENSOR MOUNTING PLATE</t>
  </si>
  <si>
    <t>OH4A9-23 - THROTTLE HALL SENSOR MOUNTING PLATE</t>
  </si>
  <si>
    <t>3.8.17</t>
  </si>
  <si>
    <t>OH4A9-24</t>
  </si>
  <si>
    <t>FRICTION LOCK LEVER</t>
  </si>
  <si>
    <t>OH4A9-24 - FRICTION LOCK LEVER</t>
  </si>
  <si>
    <t>3.8.18</t>
  </si>
  <si>
    <t>OH4A9-25</t>
  </si>
  <si>
    <t>FRICTION ANTI-ROTATION PLATE</t>
  </si>
  <si>
    <t>OH4A9-25 - FRICTION ANTI-ROTATION PLATE</t>
  </si>
  <si>
    <t>3.8.19</t>
  </si>
  <si>
    <t>OH4A9-29</t>
  </si>
  <si>
    <t>THROTTLE ARM SHAFT</t>
  </si>
  <si>
    <t>OH4A9-29 - THROTTLE ARM SHAFT</t>
  </si>
  <si>
    <t>3.8.20</t>
  </si>
  <si>
    <t>OH4A9-30</t>
  </si>
  <si>
    <t>OUTBOARD THROTTLE HALL SENSOR MOUNTING PLATE</t>
  </si>
  <si>
    <t>OH4A9-30 - OUTBOARD THROTTLE HALL SENSOR MOUNTING PLATE</t>
  </si>
  <si>
    <t>3.8.21</t>
  </si>
  <si>
    <t>OH4A9-300</t>
  </si>
  <si>
    <t>ASSY, PCB, CONTROLLER, THROTTLE</t>
  </si>
  <si>
    <t>OH4A9-300 - ASSY, PCB, CONTROLLER, THROTTLE</t>
  </si>
  <si>
    <t>3.8.21.1</t>
  </si>
  <si>
    <t>OH4A9-301</t>
  </si>
  <si>
    <t>PCB, CONTROLLER, THROTTLE</t>
  </si>
  <si>
    <t>OH4A9-301 - PCB, CONTROLLER, THROTTLE</t>
  </si>
  <si>
    <t>3.8.21.2</t>
  </si>
  <si>
    <t>3.8.22</t>
  </si>
  <si>
    <t>7421K4</t>
  </si>
  <si>
    <t>BEARING, THRUST, PTFE IMPREG, .502 ID X .75 OD X .0625 THK, 841 BRONZE</t>
  </si>
  <si>
    <t>3.8.23</t>
  </si>
  <si>
    <t>60355K704</t>
  </si>
  <si>
    <t>BEARING, SEALED, .50 SHAFT X 1.125 OD X .3125 THK, R8-2RS</t>
  </si>
  <si>
    <t>3.8.24</t>
  </si>
  <si>
    <t>7421K28</t>
  </si>
  <si>
    <t>BEARING, THRUST, PTFE IMPREG, 1.2535 ID X 2.0 OD X .0625 THK, 841 BRONZE</t>
  </si>
  <si>
    <t>3.8.25</t>
  </si>
  <si>
    <t>9714K66</t>
  </si>
  <si>
    <t>SPRING, WAVE DISC, 1.201 ID X 1.543 OD, 21LBF</t>
  </si>
  <si>
    <t>3.8.26</t>
  </si>
  <si>
    <t>DSTL-0840-05</t>
  </si>
  <si>
    <t>SOLENOID, TUBULAR, CONTINUOUS PULL, .75 STROKE, 5VDC</t>
  </si>
  <si>
    <t>3.8.27</t>
  </si>
  <si>
    <t>DSTL-0840 NUT</t>
  </si>
  <si>
    <t>HEX NUT FOR DSTL-0840, 6/16-18 UNF-2B</t>
  </si>
  <si>
    <t>3.8.28</t>
  </si>
  <si>
    <t>DSTL-0840 WASHER</t>
  </si>
  <si>
    <t>WASHER FOR DSTL-0840</t>
  </si>
  <si>
    <t>3.8.29</t>
  </si>
  <si>
    <t>91585A240</t>
  </si>
  <si>
    <t>DOWEL PIN, 2 MM DIA, 20 MM LG, 18-8</t>
  </si>
  <si>
    <t>3.8.30</t>
  </si>
  <si>
    <t>92383A698</t>
  </si>
  <si>
    <t>PIN, SLOTTED SPRING, 0.125 DIA, 0.8125 LG</t>
  </si>
  <si>
    <t>3.8.31</t>
  </si>
  <si>
    <t>90760A005</t>
  </si>
  <si>
    <t>NUT, NARROW, #4-40, STEEL</t>
  </si>
  <si>
    <t>3.8.32</t>
  </si>
  <si>
    <t>93330A438</t>
  </si>
  <si>
    <t>STANDOFF, #4-40 X .875, .25 OD, FEMALE, ALUMINUM</t>
  </si>
  <si>
    <t>3.8.33</t>
  </si>
  <si>
    <t>9434K165</t>
  </si>
  <si>
    <t>SPRING, COMPRESSION, PRECISION, 0.48 OD X 0.875 L</t>
  </si>
  <si>
    <t>3.8.34</t>
  </si>
  <si>
    <t>3.8.35</t>
  </si>
  <si>
    <t>90272A110</t>
  </si>
  <si>
    <t>PHS, #4-40 X .500, STEEL</t>
  </si>
  <si>
    <t>3.8.36</t>
  </si>
  <si>
    <t>91780A209</t>
  </si>
  <si>
    <t>STANDOFF, #6-32 X .875, .250 HEX, FEMALE, ALUMINUM</t>
  </si>
  <si>
    <t>3.8.37</t>
  </si>
  <si>
    <t>3.8.38</t>
  </si>
  <si>
    <t>3.8.39</t>
  </si>
  <si>
    <t>90272A112</t>
  </si>
  <si>
    <t>PHS, #4-40 X .625, STEEL</t>
  </si>
  <si>
    <t>3.8.40</t>
  </si>
  <si>
    <t>3.8.41</t>
  </si>
  <si>
    <t>3.8.42</t>
  </si>
  <si>
    <t>3.8.43</t>
  </si>
  <si>
    <t>3.8.44</t>
  </si>
  <si>
    <t>3.8.45</t>
  </si>
  <si>
    <t>7779K52</t>
  </si>
  <si>
    <t>SWITCH, LIMIT, MINIATURE, ROLLER LEVER, SPDT</t>
  </si>
  <si>
    <t>3.8.46</t>
  </si>
  <si>
    <t>90618A127</t>
  </si>
  <si>
    <t>WASHER, .25 X .438 OD X .029-.035 THK, MS15795-854B, 18-8, BLK</t>
  </si>
  <si>
    <t>3.8.47</t>
  </si>
  <si>
    <t>90807A112</t>
  </si>
  <si>
    <t>SHSS, .25-20 X .375 THD, .250 X .375 SHOULDER, STEEL</t>
  </si>
  <si>
    <t>3.8.48</t>
  </si>
  <si>
    <t>3.8.49</t>
  </si>
  <si>
    <t>3.8.50</t>
  </si>
  <si>
    <t>93505A445</t>
  </si>
  <si>
    <t>STANDOFF, 6-32 X .875, .25 HEX, MALE-FEMALE, ALUMINUM</t>
  </si>
  <si>
    <t>3.8.51</t>
  </si>
  <si>
    <t>6436K14</t>
  </si>
  <si>
    <t>SHAFT COLLAR, .50 ID X 1.125 OD X .40625 THK, STEEL, BLK</t>
  </si>
  <si>
    <t>3.8.52</t>
  </si>
  <si>
    <t>3.8.53</t>
  </si>
  <si>
    <t>98320A132</t>
  </si>
  <si>
    <t>PIN, QR, .250 DIA X 1.1875 UL, STEEL</t>
  </si>
  <si>
    <t>3.8.54</t>
  </si>
  <si>
    <t>91309A553</t>
  </si>
  <si>
    <t>HHCS, .25-20 X 2.75, STEEL, ZINC</t>
  </si>
  <si>
    <t>3.8.55</t>
  </si>
  <si>
    <t>3.8.56</t>
  </si>
  <si>
    <t>60355K701</t>
  </si>
  <si>
    <t>BEARING, SEALED, .25 SHAFT X .625 OD X .196 THK, R4-2RS</t>
  </si>
  <si>
    <t>3.8.57</t>
  </si>
  <si>
    <t>OH4A4A1-1</t>
  </si>
  <si>
    <t>ASSY, FIRE TEST PANEL</t>
  </si>
  <si>
    <t>3.9.1</t>
  </si>
  <si>
    <t>OH4A4A1-10</t>
  </si>
  <si>
    <t>FIRE TEST PANEL PCB V2</t>
  </si>
  <si>
    <t>OH4A4A1-10 - FIRE TEST PANEL PCB V2</t>
  </si>
  <si>
    <t>3.9.2</t>
  </si>
  <si>
    <t>OH4A4A1-11</t>
  </si>
  <si>
    <t>FIRE TEST PANEL BACKPLATE</t>
  </si>
  <si>
    <t>OH4A4A1-11 - FIRE TEST PANEL BACKPLATE</t>
  </si>
  <si>
    <t>3.9.3</t>
  </si>
  <si>
    <t>OH4A4A1-12</t>
  </si>
  <si>
    <t>FIRE TEST PANEL LIGHTPLATE</t>
  </si>
  <si>
    <t>OH4A4A1-12 - FIRE TEST PANEL LIGHTPLATE</t>
  </si>
  <si>
    <t>3.9.4</t>
  </si>
  <si>
    <t>OH4A4A1-13</t>
  </si>
  <si>
    <t>FIRE TEST PANEL LEGEND PLATE</t>
  </si>
  <si>
    <t>OH4A4A1-13 - FIRE TEST PANEL LEGEND PLATE</t>
  </si>
  <si>
    <t>3.9.5</t>
  </si>
  <si>
    <t>3.9.6</t>
  </si>
  <si>
    <t>3.9.7</t>
  </si>
  <si>
    <t>3.9.8</t>
  </si>
  <si>
    <t>3.9.9</t>
  </si>
  <si>
    <t>3.9.10</t>
  </si>
  <si>
    <t>OH4A5A1-1</t>
  </si>
  <si>
    <t>ASSY, FUEL PANEL</t>
  </si>
  <si>
    <t>3.10.1</t>
  </si>
  <si>
    <t>OH4A5A1-10</t>
  </si>
  <si>
    <t>FUEL PANEL PCB V2</t>
  </si>
  <si>
    <t>OH4A5A1-10 - FUEL PANEL PCB V2</t>
  </si>
  <si>
    <t>3.10.2</t>
  </si>
  <si>
    <t>OH4A5A1-11</t>
  </si>
  <si>
    <t>FUEL PANEL BACKPLATE</t>
  </si>
  <si>
    <t>OH4A5A1-11 - FUEL PANEL BACKPLATE</t>
  </si>
  <si>
    <t>3.10.3</t>
  </si>
  <si>
    <t>OH4A5A1-12</t>
  </si>
  <si>
    <t>FUEL PANEL LIGHTPLATE</t>
  </si>
  <si>
    <t>OH4A5A1-12 - FUEL PANEL LIGHTPLATE</t>
  </si>
  <si>
    <t>3.10.4</t>
  </si>
  <si>
    <t>OH4A5A1-13</t>
  </si>
  <si>
    <t>FUEL PANEL LEGEND PLATE</t>
  </si>
  <si>
    <t>OH4A5A1-13 - FUEL PANEL LEGEND PLATE</t>
  </si>
  <si>
    <t>3.10.5</t>
  </si>
  <si>
    <t>OH4A5A1-14</t>
  </si>
  <si>
    <t>REFUEL PROBE GUARD</t>
  </si>
  <si>
    <t>OH4A5A1-14 - REFUEL PROBE GUARD</t>
  </si>
  <si>
    <t>3.10.6</t>
  </si>
  <si>
    <t>3.10.7</t>
  </si>
  <si>
    <t>3.10.8</t>
  </si>
  <si>
    <t>3.10.9</t>
  </si>
  <si>
    <t>3.10.9.1</t>
  </si>
  <si>
    <t>3.10.9.2</t>
  </si>
  <si>
    <t>3.10.10</t>
  </si>
  <si>
    <t>OHC0001-6</t>
  </si>
  <si>
    <t>ASSY, SWITCH, S3AL, TALL BAT</t>
  </si>
  <si>
    <t>3.10.10.1</t>
  </si>
  <si>
    <t>3.10.10.2</t>
  </si>
  <si>
    <t>OHC0001-30</t>
  </si>
  <si>
    <t>BAT, TALL, FOR NKK SXAL SWITCH</t>
  </si>
  <si>
    <t>3.10.11</t>
  </si>
  <si>
    <t>3.10.12</t>
  </si>
  <si>
    <t>3.10.13</t>
  </si>
  <si>
    <t>3.10.14</t>
  </si>
  <si>
    <t>OHC0005-1</t>
  </si>
  <si>
    <t>ASSY, SWITCH, MAGNETICALLY HELD, (ON)-ON</t>
  </si>
  <si>
    <t>3.10.14.1</t>
  </si>
  <si>
    <t>P20/15</t>
  </si>
  <si>
    <t>ELECTROMAGNET, Ø20 X 15, 12V DC, 25N</t>
  </si>
  <si>
    <t>3.10.14.2</t>
  </si>
  <si>
    <t>92095A179</t>
  </si>
  <si>
    <t>BHCS, M3 X 0.5-6, 18-8</t>
  </si>
  <si>
    <t>3.10.14.3</t>
  </si>
  <si>
    <t>91100A120</t>
  </si>
  <si>
    <t>WASHER, M3 X 9 OD, STL, ZINC</t>
  </si>
  <si>
    <t>3.10.14.4</t>
  </si>
  <si>
    <t>OHC0005-10</t>
  </si>
  <si>
    <t>BRACKET, MAG SWITCH</t>
  </si>
  <si>
    <t>3.10.14.5</t>
  </si>
  <si>
    <t>91920A579</t>
  </si>
  <si>
    <t>STANDOFF, M3 X 0.5 - 6.4 X 4.5 HEX X 50L, STL</t>
  </si>
  <si>
    <t>3.10.14.6</t>
  </si>
  <si>
    <t>645H/2 MOD</t>
  </si>
  <si>
    <t>SWITCH, TOGGLE, MOM-ON, STD BAT (MODIFIED)</t>
  </si>
  <si>
    <t>3.10.15</t>
  </si>
  <si>
    <t>3.10.16</t>
  </si>
  <si>
    <t>ABSIS001A1</t>
  </si>
  <si>
    <t>PCB, ABSIS ALE RELAY MODULE</t>
  </si>
  <si>
    <t>3.10.17</t>
  </si>
  <si>
    <t>3.10.18</t>
  </si>
  <si>
    <t>93505A212</t>
  </si>
  <si>
    <t>STANDOFF, #2-56 X .375, .1875 HEX, MALE-FEMALE, ALUMINUM</t>
  </si>
  <si>
    <t>3.10.19</t>
  </si>
  <si>
    <t>3.10.20</t>
  </si>
  <si>
    <t>3.10.21</t>
  </si>
  <si>
    <t>OH4A5A1-15</t>
  </si>
  <si>
    <t>FUEL ABSIS ADAPTER PLATE</t>
  </si>
  <si>
    <t>OH4A5A1-15 - FUEL ABSIS ADAPTER PLATE</t>
  </si>
  <si>
    <t>3.10.22</t>
  </si>
  <si>
    <t>3.10.23</t>
  </si>
  <si>
    <t>3.10.23.1</t>
  </si>
  <si>
    <t>3.10.23.2</t>
  </si>
  <si>
    <t>3.10.24</t>
  </si>
  <si>
    <t>OH4A7A1-1</t>
  </si>
  <si>
    <t>ASSY, COMM PANEL</t>
  </si>
  <si>
    <t>3.11.1</t>
  </si>
  <si>
    <t>OH4A7A1-10</t>
  </si>
  <si>
    <t>COMM PANEL PCB V2</t>
  </si>
  <si>
    <t>OH4A7A1-10 - COMM PANEL PCB V2</t>
  </si>
  <si>
    <t>3.11.2</t>
  </si>
  <si>
    <t>OH4A7A1-11</t>
  </si>
  <si>
    <t>COMM PANEL BACKPLATE</t>
  </si>
  <si>
    <t>OH4A7A1-11 - COMM PANEL BACKPLATE</t>
  </si>
  <si>
    <t>3.11.3</t>
  </si>
  <si>
    <t>OH4A7A1-12</t>
  </si>
  <si>
    <t>COMM PANEL LIGHTPLATE</t>
  </si>
  <si>
    <t>OH4A7A1-12 - COMM PANEL LIGHTPLATE</t>
  </si>
  <si>
    <t>3.11.4</t>
  </si>
  <si>
    <t>OH4A7A1-13</t>
  </si>
  <si>
    <t>COMM PANEL LEGEND PLATE</t>
  </si>
  <si>
    <t>OH4A7A1-13 - COMM PANEL LEGEND PLATE</t>
  </si>
  <si>
    <t>3.11.5</t>
  </si>
  <si>
    <t>OHC0001-5</t>
  </si>
  <si>
    <t>ASSY, SWITCH, S3AL, CONICAL BAT</t>
  </si>
  <si>
    <t>3.11.5.1</t>
  </si>
  <si>
    <t>3.11.5.2</t>
  </si>
  <si>
    <t>3.11.6</t>
  </si>
  <si>
    <t>3.11.7</t>
  </si>
  <si>
    <t>3.11.8</t>
  </si>
  <si>
    <t>3.11.9</t>
  </si>
  <si>
    <t>3.11.9.1</t>
  </si>
  <si>
    <t>3.11.9.2</t>
  </si>
  <si>
    <t>3.11.10</t>
  </si>
  <si>
    <t>C7D0123N</t>
  </si>
  <si>
    <t>SWITCH, ROTARY, 15 DEG, 23 POS, BBM</t>
  </si>
  <si>
    <t>3.11.11</t>
  </si>
  <si>
    <t>C7 LOCKWASHER</t>
  </si>
  <si>
    <t>LOCKWASHER FOR C7 SWITCH, 3/8 ID</t>
  </si>
  <si>
    <t>3.11.12</t>
  </si>
  <si>
    <t>C7 NUT</t>
  </si>
  <si>
    <t>HEX NUT FOR C7 SWITCH, 3/8-32 UNF</t>
  </si>
  <si>
    <t>3.11.13</t>
  </si>
  <si>
    <t>3.11.14</t>
  </si>
  <si>
    <t xml:space="preserve"> H-37-5</t>
  </si>
  <si>
    <t>LOCKWASHER FOR POTENTIOMETER, 1/4 ID</t>
  </si>
  <si>
    <t>3.11.15</t>
  </si>
  <si>
    <t>3.11.16</t>
  </si>
  <si>
    <t>3.11.17</t>
  </si>
  <si>
    <t>3.11.18</t>
  </si>
  <si>
    <t>3.11.18.1</t>
  </si>
  <si>
    <t>3.11.18.2</t>
  </si>
  <si>
    <t>3.11.19</t>
  </si>
  <si>
    <t>3.11.19.1</t>
  </si>
  <si>
    <t>3.11.19.2</t>
  </si>
  <si>
    <t>3.11.20</t>
  </si>
  <si>
    <t>OHC0003-A-484AGB4</t>
  </si>
  <si>
    <t>3.11.20.1</t>
  </si>
  <si>
    <t>OHC0003-484AGB4</t>
  </si>
  <si>
    <t>OHC0003-484AGB4 - KNOB, GREY, .25 D-SHAFT</t>
  </si>
  <si>
    <t>3.11.20.2</t>
  </si>
  <si>
    <t>3.11.21</t>
  </si>
  <si>
    <t>3.11.22</t>
  </si>
  <si>
    <t>93505A446</t>
  </si>
  <si>
    <t>STANDOFF, #6-32 X 1.00, .25 HEX, MALE-FEMALE, ALUMINUM</t>
  </si>
  <si>
    <t>3.11.23</t>
  </si>
  <si>
    <t>ABSIS002</t>
  </si>
  <si>
    <t>ASSY, ABSIS MEGA</t>
  </si>
  <si>
    <t>3.11.23.1</t>
  </si>
  <si>
    <t>ABSIS002A1</t>
  </si>
  <si>
    <t>PCB, ABSIS MEGA</t>
  </si>
  <si>
    <t>ABSIS002A1 - PCB, ABSIS MEGA</t>
  </si>
  <si>
    <t>3.11.23.2</t>
  </si>
  <si>
    <t>3.11.24</t>
  </si>
  <si>
    <t>OH4A7A1-14</t>
  </si>
  <si>
    <t>COMM ABSIS ADAPTER PLATE</t>
  </si>
  <si>
    <t>OH4A7A1-14 - COMM ABSIS ADAPTER PLATE</t>
  </si>
  <si>
    <t>3.11.25</t>
  </si>
  <si>
    <t>3.11.26</t>
  </si>
  <si>
    <t>3.11.27</t>
  </si>
  <si>
    <t>OH10A1A1-1</t>
  </si>
  <si>
    <t>ASSY, SIM PWR PANEL</t>
  </si>
  <si>
    <t>3.12.1</t>
  </si>
  <si>
    <t>OH10A1A1-10</t>
  </si>
  <si>
    <t>SIM PWR PCB V</t>
  </si>
  <si>
    <t>OH10A1A1-10 - SIM PWR PCB V3</t>
  </si>
  <si>
    <t>3.12.2</t>
  </si>
  <si>
    <t>OH10A1A1-11</t>
  </si>
  <si>
    <t>SIM PWR BACKPLATE</t>
  </si>
  <si>
    <t>OH10A1A1-11 - SIM PWR BACKPLATE</t>
  </si>
  <si>
    <t>3.12.3</t>
  </si>
  <si>
    <t>OH10A1A1-12</t>
  </si>
  <si>
    <t>SIM PWR LIGHTPLATE</t>
  </si>
  <si>
    <t>OH10A1A1-12 - SIM PWR LIGHTPLATE</t>
  </si>
  <si>
    <t>3.12.4</t>
  </si>
  <si>
    <t>OH10A1A1-13</t>
  </si>
  <si>
    <t>SIM PWR LEGEND PLATE</t>
  </si>
  <si>
    <t>OH10A1A1-13 - SIM PWR LEGEND PLATE</t>
  </si>
  <si>
    <t>3.12.5</t>
  </si>
  <si>
    <t>3.12.5.1</t>
  </si>
  <si>
    <t>3.12.5.2</t>
  </si>
  <si>
    <t>3.12.6</t>
  </si>
  <si>
    <t>3.12.7</t>
  </si>
  <si>
    <t>3.12.8</t>
  </si>
  <si>
    <t>3.12.9</t>
  </si>
  <si>
    <t>3.12.9.1</t>
  </si>
  <si>
    <t>3.12.9.2</t>
  </si>
  <si>
    <t>3.12.10</t>
  </si>
  <si>
    <t>EN11-HSM1BF20</t>
  </si>
  <si>
    <t xml:space="preserve">ROTARY ENCODER </t>
  </si>
  <si>
    <t>3.12.11</t>
  </si>
  <si>
    <t>3.12.12</t>
  </si>
  <si>
    <t>3.12.13</t>
  </si>
  <si>
    <t>3.12.14</t>
  </si>
  <si>
    <t>OHC0003-A-18FLGN4</t>
  </si>
  <si>
    <t>3.12.14.1</t>
  </si>
  <si>
    <t>OHC0003-18FLGN4</t>
  </si>
  <si>
    <t>OHC0003-18FLGN4 - KNOB, GREY, .25 D-SHAFT</t>
  </si>
  <si>
    <t>3.12.14.2</t>
  </si>
  <si>
    <t>3.12.15</t>
  </si>
  <si>
    <t>SWITCH, TOGGLE, LOCKING, SPST, 2-POSN, STD BAT</t>
  </si>
  <si>
    <t>S1AL - SWITCH, TOGGLE, LOCKING, SPST, 2-POSN, STD BAT V1</t>
  </si>
  <si>
    <t>3.12.15.1</t>
  </si>
  <si>
    <t>3.12.15.2</t>
  </si>
  <si>
    <t>SXAL-BAT</t>
  </si>
  <si>
    <t>STANDARD BAT FOR S-SERIES LOCKING SWITCHES</t>
  </si>
  <si>
    <t>3.12.16</t>
  </si>
  <si>
    <t>3.12.16.1</t>
  </si>
  <si>
    <t>3.12.16.2</t>
  </si>
  <si>
    <t>OH4A4A2-1</t>
  </si>
  <si>
    <t>ASSY, EXTERNAL LT PANEL</t>
  </si>
  <si>
    <t>3.13.1</t>
  </si>
  <si>
    <t>OH4A4A2-10</t>
  </si>
  <si>
    <t>EXT LT PANEL PCB V2</t>
  </si>
  <si>
    <t>OH4A4A2-10 - EXT LT PANEL PCB V2</t>
  </si>
  <si>
    <t>3.13.2</t>
  </si>
  <si>
    <t>OH4A4A2-11</t>
  </si>
  <si>
    <t>EXT LT BACKPLATE</t>
  </si>
  <si>
    <t>OH4A4A2-11 - EXT LT BACKPLATE</t>
  </si>
  <si>
    <t>3.13.3</t>
  </si>
  <si>
    <t>OH4A4A2-12</t>
  </si>
  <si>
    <t>EXT LT LIGHTPLATE</t>
  </si>
  <si>
    <t>OH4A4A2-12 - EXT LT LIGHTPLATE</t>
  </si>
  <si>
    <t>3.13.4</t>
  </si>
  <si>
    <t>OH4A4A2-13</t>
  </si>
  <si>
    <t>EXT LT LEGEND PLAT</t>
  </si>
  <si>
    <t>OH4A4A2-13 - EXT LT LEGEND PLATE</t>
  </si>
  <si>
    <t>3.13.5</t>
  </si>
  <si>
    <t>OHC0001-3</t>
  </si>
  <si>
    <t>ASSY, SWITCH, S1AL, TALL BAT</t>
  </si>
  <si>
    <t>3.13.5.1</t>
  </si>
  <si>
    <t>3.13.5.2</t>
  </si>
  <si>
    <t>3.13.6</t>
  </si>
  <si>
    <t>3.13.7</t>
  </si>
  <si>
    <t>3.13.8</t>
  </si>
  <si>
    <t>3.13.9</t>
  </si>
  <si>
    <t>3.13.10</t>
  </si>
  <si>
    <t>3.13.11</t>
  </si>
  <si>
    <t>3.13.12</t>
  </si>
  <si>
    <t>3.13.13</t>
  </si>
  <si>
    <t>3.13.14</t>
  </si>
  <si>
    <t>3.13.15</t>
  </si>
  <si>
    <t>3.13.16</t>
  </si>
  <si>
    <t>3.13.17</t>
  </si>
  <si>
    <t>3.13.18</t>
  </si>
  <si>
    <t>OHC0003-A-385CGB4</t>
  </si>
  <si>
    <t>3.13.18.1</t>
  </si>
  <si>
    <t>OHC0003-385CGB4</t>
  </si>
  <si>
    <t>OHC0003-385CGB4 - KNOB, GREY, .25 D-SHAFT</t>
  </si>
  <si>
    <t>3.13.18.2</t>
  </si>
  <si>
    <t>3.13.18.3</t>
  </si>
  <si>
    <t>3.13.19</t>
  </si>
  <si>
    <t>3.13.20</t>
  </si>
  <si>
    <t>3.13.21</t>
  </si>
  <si>
    <t>3.13.22</t>
  </si>
  <si>
    <t>OH4A4A2-14</t>
  </si>
  <si>
    <t>EXT LT ABSIS ADAPTER PLATE</t>
  </si>
  <si>
    <t>OH4A4A2-14 - EXT LT ABSIS ADAPTER PLATE</t>
  </si>
  <si>
    <t>3.13.23</t>
  </si>
  <si>
    <t>3.13.24</t>
  </si>
  <si>
    <t>3.13.25</t>
  </si>
  <si>
    <t>3.13.25.1</t>
  </si>
  <si>
    <t>3.13.25.2</t>
  </si>
  <si>
    <t>OH4A6A1-1</t>
  </si>
  <si>
    <t>ASSY, FCS PANEL</t>
  </si>
  <si>
    <t>3.14.1</t>
  </si>
  <si>
    <t>OH4A6A1-10</t>
  </si>
  <si>
    <t>FCS PANEL PCB V2</t>
  </si>
  <si>
    <t>OH4A6A1-10 - FCS PANEL PCB V2</t>
  </si>
  <si>
    <t>3.14.2</t>
  </si>
  <si>
    <t>OH4A6A1-11</t>
  </si>
  <si>
    <t>FCS PANEL BACKPLATE</t>
  </si>
  <si>
    <t>OH4A6A1-11 - FCS PANEL BACKPLATE</t>
  </si>
  <si>
    <t>3.14.3</t>
  </si>
  <si>
    <t>OH4A6A1-12</t>
  </si>
  <si>
    <t>FCS PANEL LIGHTPLATE</t>
  </si>
  <si>
    <t>OH4A6A1-12 - FCS PANEL LIGHTPLATE</t>
  </si>
  <si>
    <t>3.14.4</t>
  </si>
  <si>
    <t>OH4A6A1-13</t>
  </si>
  <si>
    <t>FCS PANEL LEGEND PLATE</t>
  </si>
  <si>
    <t>OH4A6A1-13 - FCS PANEL LEGEND PLATE</t>
  </si>
  <si>
    <t>3.14.5</t>
  </si>
  <si>
    <t>OH4A6A1-15</t>
  </si>
  <si>
    <t>T_O TRIM BUTTON</t>
  </si>
  <si>
    <t>OH4A6A1-15 - T_O TRIM BUTTON</t>
  </si>
  <si>
    <t>3.14.6</t>
  </si>
  <si>
    <t>PNP8S2T2Y03QE</t>
  </si>
  <si>
    <t>C&amp;K PUSHBUTTON</t>
  </si>
  <si>
    <t>3.14.7</t>
  </si>
  <si>
    <t>3.14.8</t>
  </si>
  <si>
    <t>3.14.9</t>
  </si>
  <si>
    <t>3.14.10</t>
  </si>
  <si>
    <t>MS25224-1</t>
  </si>
  <si>
    <t>GUARD, TOGGLE SWITCH, RED</t>
  </si>
  <si>
    <t>3.14.11</t>
  </si>
  <si>
    <t>3.14.12</t>
  </si>
  <si>
    <t>3.14.13</t>
  </si>
  <si>
    <t>3.14.14</t>
  </si>
  <si>
    <t>OHC0003-A-4RUDGB3</t>
  </si>
  <si>
    <t>ASSY, KNOB, RUDDER TRIM</t>
  </si>
  <si>
    <t>3.14.14.1</t>
  </si>
  <si>
    <t>OHC0003-4RUDGB3</t>
  </si>
  <si>
    <t>KNOB, RUDDER TRIM</t>
  </si>
  <si>
    <t>OHC-KNB-RUDDERTRIM - KNOB, RUDDER TRIM</t>
  </si>
  <si>
    <t>3.14.14.2</t>
  </si>
  <si>
    <t>3.14.15</t>
  </si>
  <si>
    <t>3.14.16</t>
  </si>
  <si>
    <t>3.14.17</t>
  </si>
  <si>
    <t>OH4A6A1-19</t>
  </si>
  <si>
    <t>FCS ABSIS ADAPTER PLATE</t>
  </si>
  <si>
    <t>OH4A6A1-19 - FCS ABSIS ADAPTER PLATE</t>
  </si>
  <si>
    <t>3.14.18</t>
  </si>
  <si>
    <t>3.14.19</t>
  </si>
  <si>
    <t>3.14.20</t>
  </si>
  <si>
    <t>3.14.20.1</t>
  </si>
  <si>
    <t>3.14.20.2</t>
  </si>
  <si>
    <t>3.14.21</t>
  </si>
  <si>
    <t>OH4A6A1-100</t>
  </si>
  <si>
    <t>RUDDER TRIM MECHANISM</t>
  </si>
  <si>
    <t>3.14.21.1</t>
  </si>
  <si>
    <t>OH4A6A1-101</t>
  </si>
  <si>
    <t>PRE-ASSY, RUD TRIM, UPPER BRACKET</t>
  </si>
  <si>
    <t>OH4A6A1-101 - PRE-ASSY, RUD TRIM, UPPER BRACKET</t>
  </si>
  <si>
    <t>3.14.21.1.1</t>
  </si>
  <si>
    <t>OH4A6A1-102</t>
  </si>
  <si>
    <t>RUD TRIM, UPPER BRACKET</t>
  </si>
  <si>
    <t>OH4A6A1-102 - RUD TRIM, UPPER BRACKET</t>
  </si>
  <si>
    <t>3.14.21.1.2</t>
  </si>
  <si>
    <t>3.14.21.1.3</t>
  </si>
  <si>
    <t>6389K231</t>
  </si>
  <si>
    <t>BEARING, SLEEVED, FLANGED, .375 OD X .25 ID X .3125 H, .50 X .0625 FLANGE, NYLON</t>
  </si>
  <si>
    <t>3.14.21.2</t>
  </si>
  <si>
    <t>OH4A6A1-103</t>
  </si>
  <si>
    <t>PRE-ASSY, RUD TRIM, LOWER MOUNT PLATE</t>
  </si>
  <si>
    <t>OH4A6A1-103 - PRE-ASSY, RUD TRIM, LOWER MOUNT PLATE</t>
  </si>
  <si>
    <t>3.14.21.2.1</t>
  </si>
  <si>
    <t>OH4A6A1-104</t>
  </si>
  <si>
    <t>RUD TRIM, LOWER MOUNT PLATE</t>
  </si>
  <si>
    <t>OH4A6A1-104 - RUD TRIM, LOWER MOUNT PLATE</t>
  </si>
  <si>
    <t>3.14.21.2.2</t>
  </si>
  <si>
    <t>3.14.21.2.3</t>
  </si>
  <si>
    <t>6338K561</t>
  </si>
  <si>
    <t>BEARING, SLEEVE, FLANGED, .125 ID X .25OD, .25 LG, BRONZE</t>
  </si>
  <si>
    <t>3.14.21.3</t>
  </si>
  <si>
    <t>OH4A6A1-105</t>
  </si>
  <si>
    <t>RUD TRIM, SWITCH BRACKET SPACER</t>
  </si>
  <si>
    <t>OH4A6A1-105 - RUD TRIM, SWITCH BRACKET SPACER</t>
  </si>
  <si>
    <t>3.14.21.4</t>
  </si>
  <si>
    <t>OH4A6A1-106</t>
  </si>
  <si>
    <t>PRE-ASSY, RUD TRIM, SWITCH BRACKET</t>
  </si>
  <si>
    <t>OH4A6A1-106 - PRE-ASSY, RUD TRIM, SWITCH BRACKET</t>
  </si>
  <si>
    <t>3.14.21.4.1</t>
  </si>
  <si>
    <t>OH4A6A1-107</t>
  </si>
  <si>
    <t>RUD TRIM, SWITCH BRACKET</t>
  </si>
  <si>
    <t>OH4A6A1-107 - RUD TRIM, SWITCH BRACKET</t>
  </si>
  <si>
    <t>3.14.21.4.2</t>
  </si>
  <si>
    <t>3.14.21.5</t>
  </si>
  <si>
    <t>OH4A6A1-108</t>
  </si>
  <si>
    <t>ROTATING SHAFT, 0.25OD, 0.15 ID</t>
  </si>
  <si>
    <t>OH4A6A1-108 - ROTATING SHAFT, 0.25OD, 0.15 ID</t>
  </si>
  <si>
    <t>3.14.21.6</t>
  </si>
  <si>
    <t>OH4A6A1-109</t>
  </si>
  <si>
    <t>PUSH SHAFT, 0.125 OD</t>
  </si>
  <si>
    <t>OH4A6A1-109 - PUSH SHAFT, 0.125 OD</t>
  </si>
  <si>
    <t>3.14.21.7</t>
  </si>
  <si>
    <t>3.14.21.8</t>
  </si>
  <si>
    <t>96640A298</t>
  </si>
  <si>
    <t>FHS, 100DEG, #2-56 X .4375, 18-8, BLK</t>
  </si>
  <si>
    <t>3.14.21.9</t>
  </si>
  <si>
    <t>PRM162-K420K-103B1</t>
  </si>
  <si>
    <t>POT, MOTORIZED, 10K OHM LINEAR</t>
  </si>
  <si>
    <t>3.14.21.10</t>
  </si>
  <si>
    <t>2303-0250-0024</t>
  </si>
  <si>
    <t>GEAR, PINION, .250 BORE, 24T, MOD 0.8, STL, SERVOCITY</t>
  </si>
  <si>
    <t>3.14.21.11</t>
  </si>
  <si>
    <t>3.14.21.12</t>
  </si>
  <si>
    <t>9414T3</t>
  </si>
  <si>
    <t>SHAFT COLLAR, .125 ID  X 0.375 OD X .25 THK</t>
  </si>
  <si>
    <t>3.14.21.13</t>
  </si>
  <si>
    <t>OH4A6A1-110</t>
  </si>
  <si>
    <t>SPRING CENTERING SLEEVE</t>
  </si>
  <si>
    <t>OH4A6A1-110 - SPRING CENTERING SLEEVE</t>
  </si>
  <si>
    <t>3.14.21.14</t>
  </si>
  <si>
    <t>9657K247</t>
  </si>
  <si>
    <t>SPRING, COMPRESSION, 0.30 OD X 0.440 L</t>
  </si>
  <si>
    <t>3.14.21.15</t>
  </si>
  <si>
    <t>3.14.21.16</t>
  </si>
  <si>
    <t>3.14.21.17</t>
  </si>
  <si>
    <t>3.14.21.18</t>
  </si>
  <si>
    <t>91831A005</t>
  </si>
  <si>
    <t>NUT, NYLOC, #4-40, 18-8</t>
  </si>
  <si>
    <t>3.14.21.19</t>
  </si>
  <si>
    <t>92311A144</t>
  </si>
  <si>
    <t>SET SCREW, #6-32 X 0.25, CUP POINT, 18-8</t>
  </si>
  <si>
    <t>3.14.21.20</t>
  </si>
  <si>
    <t>OH4A6A1-111</t>
  </si>
  <si>
    <t>SHAFT SUPPORT BLOCK</t>
  </si>
  <si>
    <t>OH4A6A1-111 - SHAFT SUPPORT BLOCK</t>
  </si>
  <si>
    <t>3.14.22</t>
  </si>
  <si>
    <t>GENERIC</t>
  </si>
  <si>
    <t>L298N DUAL DC MOTOR DRIVER</t>
  </si>
  <si>
    <t>3.14.23</t>
  </si>
  <si>
    <t>OH4A6A1-20</t>
  </si>
  <si>
    <t>FCS H-BRIDGE ADAPTER</t>
  </si>
  <si>
    <t>OH4A6A1-20 - FCS H-BRIDGE ADAPTER</t>
  </si>
  <si>
    <t>3.14.24</t>
  </si>
  <si>
    <t>3.14.25</t>
  </si>
  <si>
    <t>3.14.26</t>
  </si>
  <si>
    <t>3.14.27</t>
  </si>
  <si>
    <t>MB2011SB1W01</t>
  </si>
  <si>
    <t>SWITCH, PUSHBUTTON, ON-(ON), NKK</t>
  </si>
  <si>
    <t>3.14.28</t>
  </si>
  <si>
    <t xml:space="preserve">AT503M </t>
  </si>
  <si>
    <t>TOP NUT (PO MB2011SB1W01)</t>
  </si>
  <si>
    <t>3.14.29</t>
  </si>
  <si>
    <t xml:space="preserve">AT508 </t>
  </si>
  <si>
    <t>LOCK WASHER (PO MB2011SB1W01)</t>
  </si>
  <si>
    <t>3.14.30</t>
  </si>
  <si>
    <t xml:space="preserve">AT527M </t>
  </si>
  <si>
    <t>BOTTOM NUT (PO MB2011SB1W01)</t>
  </si>
  <si>
    <t>3.14.31</t>
  </si>
  <si>
    <t>OH4A4A3-1</t>
  </si>
  <si>
    <t>ASSY, GEN TIE PANEL</t>
  </si>
  <si>
    <t>3.15.2</t>
  </si>
  <si>
    <t>OH4A4A3-11</t>
  </si>
  <si>
    <t>GEN TIE BACKPLATE</t>
  </si>
  <si>
    <t>OH4A4A3-11 - GEN TIE BACKPLATE</t>
  </si>
  <si>
    <t>3.15.3</t>
  </si>
  <si>
    <t>OH4A4A3-12</t>
  </si>
  <si>
    <t>GEN TIE LIGHTPLATE</t>
  </si>
  <si>
    <t>OH4A4A3-12 - GEN TIE LIGHTPLATE</t>
  </si>
  <si>
    <t>3.15.4</t>
  </si>
  <si>
    <t>OH4A4A3-13</t>
  </si>
  <si>
    <t>GEN TIE LEGEND PLATE</t>
  </si>
  <si>
    <t>OH4A4A3-13 - GEN TIE LEGEND PLATE</t>
  </si>
  <si>
    <t>3.15.5</t>
  </si>
  <si>
    <t>3.15.6</t>
  </si>
  <si>
    <t>3.15.7</t>
  </si>
  <si>
    <t>3.15.8</t>
  </si>
  <si>
    <t>3.15.9</t>
  </si>
  <si>
    <t>3.15.10</t>
  </si>
  <si>
    <t>OH4A7A4-1</t>
  </si>
  <si>
    <t>ASSY, ANT SEL PANEL</t>
  </si>
  <si>
    <t>3.16.1</t>
  </si>
  <si>
    <t>OH4A7A4-10</t>
  </si>
  <si>
    <t>ANT SEL PANEL PCB V2</t>
  </si>
  <si>
    <t>OH4A7A4-10 - ANT SEL PANEL PCB V2</t>
  </si>
  <si>
    <t>3.16.2</t>
  </si>
  <si>
    <t>OH4A7A4-11</t>
  </si>
  <si>
    <t>ANT SEL BACKPLATE</t>
  </si>
  <si>
    <t>OH4A7A4-11 - ANT SEL BACKPLATE</t>
  </si>
  <si>
    <t>3.16.3</t>
  </si>
  <si>
    <t>OH4A7A4-12</t>
  </si>
  <si>
    <t>ANT SEL LIGHTPLATE</t>
  </si>
  <si>
    <t>OH4A7A4-12 - ANT SEL LIGHTPLATE</t>
  </si>
  <si>
    <t>3.16.4</t>
  </si>
  <si>
    <t>OH4A7A4-13</t>
  </si>
  <si>
    <t>ANT SEL LEGEND PLATE</t>
  </si>
  <si>
    <t>OH4A7A4-13 - ANT SEL LEGEND PLATE</t>
  </si>
  <si>
    <t>3.16.5</t>
  </si>
  <si>
    <t>3.16.6</t>
  </si>
  <si>
    <t>3.16.7</t>
  </si>
  <si>
    <t>3.16.8</t>
  </si>
  <si>
    <t>3.16.9</t>
  </si>
  <si>
    <t>3.16.10</t>
  </si>
  <si>
    <t>OH4A7A3-1</t>
  </si>
  <si>
    <t>ASSY, MC HYD ISOL PANEL</t>
  </si>
  <si>
    <t>3.17.1</t>
  </si>
  <si>
    <t>OH4A7A3-11</t>
  </si>
  <si>
    <t>MC HYD ISOL BACKPLATE</t>
  </si>
  <si>
    <t>OH4A7A3-11 - MC HYD ISOL BACKPLATE</t>
  </si>
  <si>
    <t>3.17.2</t>
  </si>
  <si>
    <t>OH4A7A3-12</t>
  </si>
  <si>
    <t>MC HYD ISOL LIGHTPLATE</t>
  </si>
  <si>
    <t>OH4A7A3-12 - MC HYD ISOL LIGHTPLATE</t>
  </si>
  <si>
    <t>3.17.3</t>
  </si>
  <si>
    <t>OH4A7A3-13</t>
  </si>
  <si>
    <t>MC HYD ISOL LEGEND PLATE</t>
  </si>
  <si>
    <t>OH4A7A3-13 - MC HYD ISOL LEGEND PLATE</t>
  </si>
  <si>
    <t>3.17.4</t>
  </si>
  <si>
    <t>OH4A7A3-10</t>
  </si>
  <si>
    <t>HYD ISO PANEL PCB V2</t>
  </si>
  <si>
    <t>OH4A7A3-10 - HYD ISO PANEL PCB V2</t>
  </si>
  <si>
    <t>3.17.5</t>
  </si>
  <si>
    <t>3.17.6</t>
  </si>
  <si>
    <t>3.17.7</t>
  </si>
  <si>
    <t>3.17.8</t>
  </si>
  <si>
    <t>3.17.9</t>
  </si>
  <si>
    <t>100SP2T8B13M1QEH</t>
  </si>
  <si>
    <t>SWITCH, TOGGLE, ON-(ON), SPDT, 2-POSN, 18MM BAT</t>
  </si>
  <si>
    <t>3.17.10</t>
  </si>
  <si>
    <t>3.17.11</t>
  </si>
  <si>
    <t>OH4A7A2-1</t>
  </si>
  <si>
    <t>ASSY, OBOGS PANEL</t>
  </si>
  <si>
    <t>3.18.1</t>
  </si>
  <si>
    <t>OH4A7A2-10</t>
  </si>
  <si>
    <t>OBOGS PANEL PCB V2</t>
  </si>
  <si>
    <t>OH4A7A2-10 - OBOGS PANEL PCB V2</t>
  </si>
  <si>
    <t>3.18.2</t>
  </si>
  <si>
    <t>OH4A7A2-11</t>
  </si>
  <si>
    <t>OBOGS BACKPLATE</t>
  </si>
  <si>
    <t>OH4A7A2-11 - OBOGS BACKPLATE</t>
  </si>
  <si>
    <t>3.18.3</t>
  </si>
  <si>
    <t>OH4A7A2-12</t>
  </si>
  <si>
    <t>OBOGS LIGHTPLATE</t>
  </si>
  <si>
    <t>OH4A7A2-12 - OBOGS LIGHTPLATE</t>
  </si>
  <si>
    <t>3.18.4</t>
  </si>
  <si>
    <t>OH4A7A2-13</t>
  </si>
  <si>
    <t>OBOGS LEGEND PLATE</t>
  </si>
  <si>
    <t>OH4A7A2-13 - OBOGS LEGEND PLATE</t>
  </si>
  <si>
    <t>3.18.5</t>
  </si>
  <si>
    <t>OH4A7A2-14</t>
  </si>
  <si>
    <t>OBOGS REGULATOR</t>
  </si>
  <si>
    <t>OH4A7A2-14 - OBOGS REGULATOR</t>
  </si>
  <si>
    <t>3.18.6</t>
  </si>
  <si>
    <t>3.18.6.1</t>
  </si>
  <si>
    <t>3.18.6.2</t>
  </si>
  <si>
    <t>3.18.7</t>
  </si>
  <si>
    <t>3.18.8</t>
  </si>
  <si>
    <t>3.18.9</t>
  </si>
  <si>
    <t>3.18.10</t>
  </si>
  <si>
    <t>3.18.11</t>
  </si>
  <si>
    <t>3.18.12</t>
  </si>
  <si>
    <t>A11405RNZQ</t>
  </si>
  <si>
    <t>SWITCH, ROTARY, 90 DEG, 2 POS</t>
  </si>
  <si>
    <t>3.18.13</t>
  </si>
  <si>
    <t>3.18.14</t>
  </si>
  <si>
    <t>3.18.15</t>
  </si>
  <si>
    <t>OHC0003-A-4OXYGW4</t>
  </si>
  <si>
    <t>KNOB, OBOGS</t>
  </si>
  <si>
    <t>3.18.15.1</t>
  </si>
  <si>
    <t>OHC-KNB-OBOGS</t>
  </si>
  <si>
    <t>OHC-KNB-OBOGS - KNOB, OBOGS</t>
  </si>
  <si>
    <t>3.18.15.2</t>
  </si>
  <si>
    <t>3.18.16</t>
  </si>
  <si>
    <t>91780A045</t>
  </si>
  <si>
    <t>STANDOFF, #4-40 X 2.50, HEX, FEMALE, ALU</t>
  </si>
  <si>
    <t>3.18.17</t>
  </si>
  <si>
    <t>3.18.18</t>
  </si>
  <si>
    <t>3.18.19</t>
  </si>
  <si>
    <t>OH4A7A2-15</t>
  </si>
  <si>
    <t>OBOGS NANO ADAPTER PLATE</t>
  </si>
  <si>
    <t>OH4A7A2-15 - OBOGS NANO ADAPTER PLATE</t>
  </si>
  <si>
    <t>3.18.20</t>
  </si>
  <si>
    <t>3.18.21</t>
  </si>
  <si>
    <t>3.18.22</t>
  </si>
  <si>
    <t>3.18.22.1</t>
  </si>
  <si>
    <t>3.18.22.2</t>
  </si>
  <si>
    <t>OH4A5A2-1</t>
  </si>
  <si>
    <t>ASSY, APU ENG CRANK PANEL</t>
  </si>
  <si>
    <t>3.19.1</t>
  </si>
  <si>
    <t>OH4A5A2-10</t>
  </si>
  <si>
    <t>APU PANEL PCB V2</t>
  </si>
  <si>
    <t>OH4A5A2-10 - APU ENG CRANK PCB V4</t>
  </si>
  <si>
    <t>3.19.2</t>
  </si>
  <si>
    <t>OH4A5A2-11</t>
  </si>
  <si>
    <t>APU ENG CRANK BACKPLATE</t>
  </si>
  <si>
    <t>OH4A5A2-11 - APU ENG CRANK BACKPLATE</t>
  </si>
  <si>
    <t>3.19.3</t>
  </si>
  <si>
    <t>OH4A5A2-12</t>
  </si>
  <si>
    <t>APU ENG CRANK LIGHTPLATE</t>
  </si>
  <si>
    <t>OH4A5A2-12 - APU ENG CRANK LIGHTPLATE</t>
  </si>
  <si>
    <t>3.19.4</t>
  </si>
  <si>
    <t>OH4A5A2-13</t>
  </si>
  <si>
    <t>APU ENG CRANK LEGEND PLATE</t>
  </si>
  <si>
    <t>OH4A5A2-13 - APU ENG CRANK LEGEND PLATE</t>
  </si>
  <si>
    <t>3.19.5</t>
  </si>
  <si>
    <t>3.19.6</t>
  </si>
  <si>
    <t>3.19.7</t>
  </si>
  <si>
    <t>3.19.8</t>
  </si>
  <si>
    <t>131A-303G</t>
  </si>
  <si>
    <t>LENS, GREEN, TRANSPARENT, T1.75 MIDGET FLANGE</t>
  </si>
  <si>
    <t>3.19.9</t>
  </si>
  <si>
    <t>LE-MF-12W</t>
  </si>
  <si>
    <t>LED, T-1.75 MIDGET FLANGE LAMP, 12V ,15MA</t>
  </si>
  <si>
    <t>3.19.10</t>
  </si>
  <si>
    <t>5131-038</t>
  </si>
  <si>
    <t>HOLDER, LAMP, PANEL MOUNT, T1.75</t>
  </si>
  <si>
    <t>3.19.11</t>
  </si>
  <si>
    <t>3.19.11.1</t>
  </si>
  <si>
    <t>3.19.11.2</t>
  </si>
  <si>
    <t>3.19.11.3</t>
  </si>
  <si>
    <t>3.19.11.4</t>
  </si>
  <si>
    <t>3.19.11.5</t>
  </si>
  <si>
    <t>3.19.11.6</t>
  </si>
  <si>
    <t>3.19.12</t>
  </si>
  <si>
    <t>OHC0005-2</t>
  </si>
  <si>
    <t>ASSY, SWITCH, MAGNETICALLY HELD, (ON)-OFF-(ON)</t>
  </si>
  <si>
    <t>3.19.12.1</t>
  </si>
  <si>
    <t>3.19.12.2</t>
  </si>
  <si>
    <t>3.19.12.3</t>
  </si>
  <si>
    <t>3.19.12.4</t>
  </si>
  <si>
    <t>3.19.12.5</t>
  </si>
  <si>
    <t>3.19.12.6</t>
  </si>
  <si>
    <t>647H/2 MOD</t>
  </si>
  <si>
    <t>SWITCH, TOGGLE, MOM-OFF-MOM, STD BAT (MODIFIED)</t>
  </si>
  <si>
    <t>3.19.13</t>
  </si>
  <si>
    <t>OH4A3A1-1</t>
  </si>
  <si>
    <t>ASSY, SELECT JETT PANEL</t>
  </si>
  <si>
    <t>3.20.1</t>
  </si>
  <si>
    <t>OH4A3A1-11</t>
  </si>
  <si>
    <t>SELECT JETT BACKPLATE</t>
  </si>
  <si>
    <t>OH4A3A1-11 - SELECT JETT BACKPLATE</t>
  </si>
  <si>
    <t>3.20.2</t>
  </si>
  <si>
    <t>OH4A3A1-12</t>
  </si>
  <si>
    <t>SELECT JETT LIGHTPLATE</t>
  </si>
  <si>
    <t>OH4A3A1-12 - SELECT JETT LIGHTPLATE</t>
  </si>
  <si>
    <t>3.20.3</t>
  </si>
  <si>
    <t>OH4A3A1-13</t>
  </si>
  <si>
    <t>SELECT JETT LEGEND PLATE</t>
  </si>
  <si>
    <t>OH4A3A1-13 - SELECT JETT LEGEND PLATE</t>
  </si>
  <si>
    <t>3.20.4</t>
  </si>
  <si>
    <t>OH4A3A1-15</t>
  </si>
  <si>
    <t>LAUNCH BAR SWITCH CAP</t>
  </si>
  <si>
    <t>OH4A3A1-15 - LAUNCH BAR SWITCH CAP</t>
  </si>
  <si>
    <t>3.20.5</t>
  </si>
  <si>
    <t>OH4A3A1-16</t>
  </si>
  <si>
    <t>LANDING GEAR SWITCH CAP</t>
  </si>
  <si>
    <t>OH4A3A1-16 - LANDING GEAR SWITCH CAP</t>
  </si>
  <si>
    <t>3.20.6</t>
  </si>
  <si>
    <t>OH4A3A1-17</t>
  </si>
  <si>
    <t>FLAPS SWITCH CAP</t>
  </si>
  <si>
    <t>OH4A3A1-17 - FLAPS SWITCH CAP</t>
  </si>
  <si>
    <t>3.20.7</t>
  </si>
  <si>
    <t>639H/2</t>
  </si>
  <si>
    <t>SWITCH, TOGGLE, ON-OFF-ON, STD BAT</t>
  </si>
  <si>
    <t>3.20.8</t>
  </si>
  <si>
    <t>3.20.9</t>
  </si>
  <si>
    <t>3.20.10</t>
  </si>
  <si>
    <t>3.20.11</t>
  </si>
  <si>
    <t>3.20.12</t>
  </si>
  <si>
    <t>3.20.12.1</t>
  </si>
  <si>
    <t>3.20.12.2</t>
  </si>
  <si>
    <t>3.20.13</t>
  </si>
  <si>
    <t>3.20.14</t>
  </si>
  <si>
    <t>3.20.15</t>
  </si>
  <si>
    <t>3.20.16</t>
  </si>
  <si>
    <t>90471A150</t>
  </si>
  <si>
    <t>FHS, 100DEG, #4-40 X .1875, STEEL</t>
  </si>
  <si>
    <t>3.20.17</t>
  </si>
  <si>
    <t>3.20.18</t>
  </si>
  <si>
    <t>3.20.19</t>
  </si>
  <si>
    <t>3.20.20</t>
  </si>
  <si>
    <t>3.20.20.1</t>
  </si>
  <si>
    <t>3.20.20.2</t>
  </si>
  <si>
    <t>3.20.20.3</t>
  </si>
  <si>
    <t>3.20.20.4</t>
  </si>
  <si>
    <t>3.20.20.5</t>
  </si>
  <si>
    <t>3.20.20.6</t>
  </si>
  <si>
    <t>3.20.21</t>
  </si>
  <si>
    <t>OH4A3A1-100</t>
  </si>
  <si>
    <t>ASSY, SELECT JETT SWITCH MECH</t>
  </si>
  <si>
    <t>3.20.21.1</t>
  </si>
  <si>
    <t>OH4A3A1-101A</t>
  </si>
  <si>
    <t>PRE-ASSY, SELECT JETT UPPER BRACKET</t>
  </si>
  <si>
    <t>OH4A3A1-101A - PRE-ASSY, SELECT JETT UPPER BRACKET</t>
  </si>
  <si>
    <t>3.20.21.1.1</t>
  </si>
  <si>
    <t>OH4A3A1-101</t>
  </si>
  <si>
    <t>SELECT JETT UPPER BRACKET 3DP</t>
  </si>
  <si>
    <t>OH4A3A1-101 - SELECT JETT UPPER BRACKET 3DP</t>
  </si>
  <si>
    <t>3.20.21.1.2</t>
  </si>
  <si>
    <t>3.20.21.1.3</t>
  </si>
  <si>
    <t>3.20.21.2</t>
  </si>
  <si>
    <t>OH4A3A1-102A</t>
  </si>
  <si>
    <t>PRE-ASSY, SELECT JETT LOWER MOUNT PLATE</t>
  </si>
  <si>
    <t>OH4A3A1-102A - PRE-ASSY, SELECT JETT LOWER MOUNT PLATE</t>
  </si>
  <si>
    <t>3.20.21.2.1</t>
  </si>
  <si>
    <t>OH4A3A1-102</t>
  </si>
  <si>
    <t>SELECT JETT LOWER MOUNT PLATE 3DP</t>
  </si>
  <si>
    <t>OH4A3A1-102 - SELECT JETT LOWER MOUNT PLATE 3DP</t>
  </si>
  <si>
    <t>3.20.21.2.2</t>
  </si>
  <si>
    <t>3.20.21.2.3</t>
  </si>
  <si>
    <t>3.20.21.3</t>
  </si>
  <si>
    <t>OH4A3A1-105</t>
  </si>
  <si>
    <t>ROTATING SHAFT, 0.25 OD, 0.15 ID</t>
  </si>
  <si>
    <t>OH4A3A1-105 - ROTATING SHAFT, 0.25 OD, 0.15 ID</t>
  </si>
  <si>
    <t>3.20.21.4</t>
  </si>
  <si>
    <t>OH4A3A1-106</t>
  </si>
  <si>
    <t>OH4A3A1-106 - PUSH SHAFT, 0.125 OD</t>
  </si>
  <si>
    <t>3.20.21.5</t>
  </si>
  <si>
    <t>3.20.21.6</t>
  </si>
  <si>
    <t>50KS45-01-1-05N</t>
  </si>
  <si>
    <t>SWITCH, ROTARY, 45 DEG, 5 POS, .25 FLAT SHAFT</t>
  </si>
  <si>
    <t>3.20.21.7</t>
  </si>
  <si>
    <t>50K NUT</t>
  </si>
  <si>
    <t>HEX NUT FOR SWITCH, .375-32 UNEF</t>
  </si>
  <si>
    <t>3.20.21.8</t>
  </si>
  <si>
    <t>3.20.21.9</t>
  </si>
  <si>
    <t>3.20.21.10</t>
  </si>
  <si>
    <t>3.20.21.11</t>
  </si>
  <si>
    <t>3.20.21.12</t>
  </si>
  <si>
    <t>3.20.21.13</t>
  </si>
  <si>
    <t>OH4A3A1-107</t>
  </si>
  <si>
    <t>ALIGNING SHAFT, 0.25 OD, 0.375 LG</t>
  </si>
  <si>
    <t>OH4A3A1-107 - ALIGNING SHAFT, 0.25 OD, 0.375 LG</t>
  </si>
  <si>
    <t>3.20.21.14</t>
  </si>
  <si>
    <t>OH4A3A1-103A</t>
  </si>
  <si>
    <t>PRE-ASSY, SELECT JETT SWITCH BRACKET</t>
  </si>
  <si>
    <t>OH4A3A1-103A - PRE-ASSY, SELECT JETT SWITCH BRACKET</t>
  </si>
  <si>
    <t>3.20.21.14.1</t>
  </si>
  <si>
    <t>OH4A3A1-103</t>
  </si>
  <si>
    <t>SELECT JETT SWITCH BRACKET</t>
  </si>
  <si>
    <t>OH4A3A1-103 - SELECT JETT SWITCH BRACKET</t>
  </si>
  <si>
    <t>3.20.21.14.2</t>
  </si>
  <si>
    <t>3.20.21.15</t>
  </si>
  <si>
    <t>3.20.21.16</t>
  </si>
  <si>
    <t>3.20.21.17</t>
  </si>
  <si>
    <t>3.20.21.18</t>
  </si>
  <si>
    <t>3.20.21.19</t>
  </si>
  <si>
    <t>3.20.21.20</t>
  </si>
  <si>
    <t>3.20.21.21</t>
  </si>
  <si>
    <t>OH4A3A1-108</t>
  </si>
  <si>
    <t>OH4A3A1-108 - SPRING CENTERING SLEEVE</t>
  </si>
  <si>
    <t>3.20.22</t>
  </si>
  <si>
    <t>3.20.23</t>
  </si>
  <si>
    <t>3.20.24</t>
  </si>
  <si>
    <t>3.20.25</t>
  </si>
  <si>
    <t>3.20.26</t>
  </si>
  <si>
    <t>93505A107</t>
  </si>
  <si>
    <t>STANDOFF, #4-40 X 1.00, HEX, MALE-FEMALE, ALUMINUM</t>
  </si>
  <si>
    <t>3.20.27</t>
  </si>
  <si>
    <t>3.20.28</t>
  </si>
  <si>
    <t>91251A108</t>
  </si>
  <si>
    <t>SHCS, #4-40 X .375, STEEL, BLK</t>
  </si>
  <si>
    <t>3.20.29</t>
  </si>
  <si>
    <t>OH4A3A1-200</t>
  </si>
  <si>
    <t>ASSY, SELECT JETT ELECTRONICS TRAY</t>
  </si>
  <si>
    <t>OH4A3A1-200 - ASSY, SELECT JETT ELECTRONICS TRAY</t>
  </si>
  <si>
    <t>3.20.29.1</t>
  </si>
  <si>
    <t>3.20.29.2</t>
  </si>
  <si>
    <t>OH4A3A1-20</t>
  </si>
  <si>
    <t>SELECT JETT ABSIS ADAPTER PLATE</t>
  </si>
  <si>
    <t>OH4A3A1-20 - SELECT JETT ABSIS ADAPTER PLATE</t>
  </si>
  <si>
    <t>3.20.29.3</t>
  </si>
  <si>
    <t>3.20.29.4</t>
  </si>
  <si>
    <t>3.20.29.5</t>
  </si>
  <si>
    <t>3.20.29.6</t>
  </si>
  <si>
    <t>3.20.29.6.1</t>
  </si>
  <si>
    <t>3.20.29.6.2</t>
  </si>
  <si>
    <t>3.20.30</t>
  </si>
  <si>
    <t>OH4A3A1-18A</t>
  </si>
  <si>
    <t>ASSY, SELECT JETT KNOB</t>
  </si>
  <si>
    <t>3.20.30.1</t>
  </si>
  <si>
    <t>OH4A3A1-18</t>
  </si>
  <si>
    <t>SELECT JETT KNOB</t>
  </si>
  <si>
    <t>OH4A3A1-18 - SELECT JETT KNOB</t>
  </si>
  <si>
    <t>3.20.30.2</t>
  </si>
  <si>
    <t>3.20.30.3</t>
  </si>
  <si>
    <t>92311A425</t>
  </si>
  <si>
    <t>SET SCREW, 10-32 X .250, CUP POINT, 18-8</t>
  </si>
  <si>
    <t>3.20.31</t>
  </si>
  <si>
    <t>OH4A3A1-19A</t>
  </si>
  <si>
    <t>ASSY, SELECT JETT BUTTON</t>
  </si>
  <si>
    <t>3.20.31.1</t>
  </si>
  <si>
    <t>OH4A3A1-19</t>
  </si>
  <si>
    <t>SELECT JETT BUTTON</t>
  </si>
  <si>
    <t>OH4A3A1-19 - SELECT JETT BUTTON</t>
  </si>
  <si>
    <t>3.20.31.2</t>
  </si>
  <si>
    <t>3.20.31.3</t>
  </si>
  <si>
    <t>3.20.32</t>
  </si>
  <si>
    <t>OH4A3A1-10</t>
  </si>
  <si>
    <t>PCB, SELECT JETT PANEL REV 4</t>
  </si>
  <si>
    <t>OH4A3A1-10 - PCB, SELECT JETT PANEL REV 4</t>
  </si>
  <si>
    <t>OH4A3A2-1</t>
  </si>
  <si>
    <t>ASSY, PARK BRAKE HANDLE</t>
  </si>
  <si>
    <t>3.21.1</t>
  </si>
  <si>
    <t>OH4A3A2-10</t>
  </si>
  <si>
    <t>PARKING BRAKE MECHANISM BODY</t>
  </si>
  <si>
    <t>OH4A3A2-10 - PARKING BRAKE MECHANISM BODY</t>
  </si>
  <si>
    <t>3.21.2</t>
  </si>
  <si>
    <t>OH4A3A2-11</t>
  </si>
  <si>
    <t>WING FOLD MECHANISM UPPER CAP</t>
  </si>
  <si>
    <t>OH4A3A2-11 - WING FOLD MECHANISM UPPER CAP</t>
  </si>
  <si>
    <t>3.21.3</t>
  </si>
  <si>
    <t>OH4A3A2-12</t>
  </si>
  <si>
    <t>WING FOLD HANDLE RETAINING NUT</t>
  </si>
  <si>
    <t>OH4A3A2-12 - WING FOLD HANDLE RETAINING NUT</t>
  </si>
  <si>
    <t>3.21.4</t>
  </si>
  <si>
    <t>OH4A3A2-13</t>
  </si>
  <si>
    <t>PARKING BRAKE MECHANISM END CAP</t>
  </si>
  <si>
    <t>OH4A3A2-13 - PARKING BRAKE MECHANISM END CAP</t>
  </si>
  <si>
    <t>3.21.5</t>
  </si>
  <si>
    <t>OH4A3A2-14</t>
  </si>
  <si>
    <t>PARKING BRAKE HANDLE</t>
  </si>
  <si>
    <t>OH4A3A2-14 - PARKING BRAKE HANDLE</t>
  </si>
  <si>
    <t>3.21.6</t>
  </si>
  <si>
    <t>OH4A3A2-15</t>
  </si>
  <si>
    <t>PARKING BRAKE MECHANISM SHAFT</t>
  </si>
  <si>
    <t>OH4A3A2-15 - PARKING BRAKE MECHANISM SHAFT</t>
  </si>
  <si>
    <t>3.21.7</t>
  </si>
  <si>
    <t>3.21.8</t>
  </si>
  <si>
    <t>93365A112</t>
  </si>
  <si>
    <t>INSERT, 2-56, BRASS, FOR PLASTICS</t>
  </si>
  <si>
    <t>3.21.9</t>
  </si>
  <si>
    <t>96640A027</t>
  </si>
  <si>
    <t>FHS, 82DEG, #2-56 X .50, 18-8, BLK</t>
  </si>
  <si>
    <t>3.21.10</t>
  </si>
  <si>
    <t>96640A025</t>
  </si>
  <si>
    <t>FHS, 82DEG, #2-56 X .375, 18-8, BLK</t>
  </si>
  <si>
    <t>3.21.11</t>
  </si>
  <si>
    <t>92141A034</t>
  </si>
  <si>
    <t>WASHER, 0.578 X 1.062 OD, 18-8</t>
  </si>
  <si>
    <t>3.21.12</t>
  </si>
  <si>
    <t>3.21.13</t>
  </si>
  <si>
    <t>91841A003</t>
  </si>
  <si>
    <t>NUT, #2-56, 18-1</t>
  </si>
  <si>
    <t>3.21.14</t>
  </si>
  <si>
    <t>3.21.15</t>
  </si>
  <si>
    <t>7658K15</t>
  </si>
  <si>
    <t>SWITCH, LIMIT, SUBMINIATURE, LEVER, SPDT</t>
  </si>
  <si>
    <t>3.21.16</t>
  </si>
  <si>
    <t>3.21.17</t>
  </si>
  <si>
    <t>91251A106</t>
  </si>
  <si>
    <t>SHCS, #4-40 X .250, STEEL, BLK</t>
  </si>
  <si>
    <t>3.21.18</t>
  </si>
  <si>
    <t>5901A142</t>
  </si>
  <si>
    <t>SPRING PLUNGER, BALL-NOSE, 0.25-20 HEX DRIVE</t>
  </si>
  <si>
    <t>OH4A3A3-1</t>
  </si>
  <si>
    <t>ASSY, BRAKE PRESSURE INDICATOR</t>
  </si>
  <si>
    <t>3.22.1</t>
  </si>
  <si>
    <t>OH4A3A3-10</t>
  </si>
  <si>
    <t>1.5 IN CASE</t>
  </si>
  <si>
    <t>OH4A3A3-10 - 1.5 IN CASE</t>
  </si>
  <si>
    <t>3.22.2</t>
  </si>
  <si>
    <t>OH4A3A3-11</t>
  </si>
  <si>
    <t>1.5 INDICATOR GLASS</t>
  </si>
  <si>
    <t>OH4A3A3-11 - 1.5 INDICATOR GLASS</t>
  </si>
  <si>
    <t>3.22.3</t>
  </si>
  <si>
    <t>OH4A3A3-12</t>
  </si>
  <si>
    <t>BRAKE PRESSURE INDICATOR SHROUD</t>
  </si>
  <si>
    <t>OH4A3A3-12 - BRAKE PRESSURE INDICATOR SHROUD</t>
  </si>
  <si>
    <t>3.22.4</t>
  </si>
  <si>
    <t>OH4A3A3-13</t>
  </si>
  <si>
    <t>BRAKE PRESSURE INDICATOR SPACER</t>
  </si>
  <si>
    <t>OH4A3A3-13 - BRAKE PRESSURE INDICATOR SPACER</t>
  </si>
  <si>
    <t>3.22.5</t>
  </si>
  <si>
    <t>OH4A3A3-14</t>
  </si>
  <si>
    <t>BRAKE PRESSURE INDICATOR NEEDLE</t>
  </si>
  <si>
    <t>OH4A3A3-14 - BRAKE PRESSURE INDICATOR NEEDLE</t>
  </si>
  <si>
    <t>3.22.6</t>
  </si>
  <si>
    <t>OH4A3A3-15</t>
  </si>
  <si>
    <t>BRAKE PRESSURE INDICATOR BEZEL FACE</t>
  </si>
  <si>
    <t>OH4A3A3-15 - BRAKE PRESSURE INDICATOR BEZEL FACE</t>
  </si>
  <si>
    <t>3.22.7</t>
  </si>
  <si>
    <t>OH4A3A3-16</t>
  </si>
  <si>
    <t>BRAKE PRESSURE INDICATOR REAR BEZEL SPACER</t>
  </si>
  <si>
    <t>OH4A3A3-16 - BRAKE PRESSURE INDICATOR REAR BEZEL SPACER</t>
  </si>
  <si>
    <t>3.22.8</t>
  </si>
  <si>
    <t>3.22.9</t>
  </si>
  <si>
    <t>3.22.10</t>
  </si>
  <si>
    <t>3.22.11</t>
  </si>
  <si>
    <t>3.22.12</t>
  </si>
  <si>
    <t>4PMINIH</t>
  </si>
  <si>
    <t>4 PORT USB  3.0 HUB</t>
  </si>
  <si>
    <t>OH4A2A1-1</t>
  </si>
  <si>
    <t>ASSY, LANDING GEAR LEVER PANEL</t>
  </si>
  <si>
    <t>3.34.1</t>
  </si>
  <si>
    <t>OH4A2A1-10</t>
  </si>
  <si>
    <t>LANDING GEAR PANEL PCB V2</t>
  </si>
  <si>
    <t>OH4A2A1-10 - LANDING GEAR PANEL PCB V2</t>
  </si>
  <si>
    <t>3.34.2</t>
  </si>
  <si>
    <t>OH4A2A1-11</t>
  </si>
  <si>
    <t>LANDING GEAR PANEL BACKPLATE</t>
  </si>
  <si>
    <t>OH4A2A1-11 - LANDING GEAR PANEL BACKPLATE</t>
  </si>
  <si>
    <t>3.34.3</t>
  </si>
  <si>
    <t>OH4A2A1-12</t>
  </si>
  <si>
    <t>LANDING GEAR PANEL LIGHTPLATE</t>
  </si>
  <si>
    <t>OH4A2A1-12 - LANDING GEAR PANEL LIGHTPLATE</t>
  </si>
  <si>
    <t>3.34.4</t>
  </si>
  <si>
    <t>OH4A2A1-13</t>
  </si>
  <si>
    <t>LANDING GEAR PANEL LEGEND PLATE</t>
  </si>
  <si>
    <t>OH4A2A1-13 - LANDING GEAR PANEL LEGEND PLATE</t>
  </si>
  <si>
    <t>3.34.5</t>
  </si>
  <si>
    <t>OH4A2A1-16</t>
  </si>
  <si>
    <t>WARN TONE SILENCE SWITCH CAP</t>
  </si>
  <si>
    <t>OH4A2A1-16 - WARN TONE SILENCE SWITCH CAP</t>
  </si>
  <si>
    <t>3.34.6</t>
  </si>
  <si>
    <t>3.34.7</t>
  </si>
  <si>
    <t>C90</t>
  </si>
  <si>
    <t>CAP, PUSHBUTTON, BLACK, .354 OD</t>
  </si>
  <si>
    <t>3.34.8</t>
  </si>
  <si>
    <t>3.34.9</t>
  </si>
  <si>
    <t>3.34.10</t>
  </si>
  <si>
    <t>3.34.11</t>
  </si>
  <si>
    <t>3.34.12</t>
  </si>
  <si>
    <t>3.34.13</t>
  </si>
  <si>
    <t>3.34.14</t>
  </si>
  <si>
    <t>MPG206R</t>
  </si>
  <si>
    <t>SWITCH, PUSHBUTTON, MOMENTARY, NO CAP</t>
  </si>
  <si>
    <t>3.34.15</t>
  </si>
  <si>
    <t>3.34.15.1</t>
  </si>
  <si>
    <t>3.34.15.2</t>
  </si>
  <si>
    <t>3.34.16</t>
  </si>
  <si>
    <t>OH4A2A1-200</t>
  </si>
  <si>
    <t>ASSY, LDG GEAR LVR MECH</t>
  </si>
  <si>
    <t>3.34.16.1</t>
  </si>
  <si>
    <t>OH4A2A1-210</t>
  </si>
  <si>
    <t>ASSY, LDG GEAR LVR</t>
  </si>
  <si>
    <t>OH4A2A1-210 - ASSY, LDG GEAR LVR</t>
  </si>
  <si>
    <t>3.34.16.1.1</t>
  </si>
  <si>
    <t>OH4A2A1-211</t>
  </si>
  <si>
    <t>LDG GEAR LVR PIVOT PIN 0.25 IN</t>
  </si>
  <si>
    <t>OH4A2A1-211 - LDG GEAR LVR PIVOT PIN 0.25 IN</t>
  </si>
  <si>
    <t>3.34.16.1.2</t>
  </si>
  <si>
    <t>OH4A2A1-212</t>
  </si>
  <si>
    <t>PRE-ASSY, LDG GEAR LVR SHELL A</t>
  </si>
  <si>
    <t>OH4A2A1-212 - PRE-ASSY, LDG GEAR LVR SHELL A</t>
  </si>
  <si>
    <t>3.34.16.1.2.1</t>
  </si>
  <si>
    <t>OH4A2A1-212A</t>
  </si>
  <si>
    <t>LDG GEAR LVR SHELL A</t>
  </si>
  <si>
    <t>OH4A2A1-212A - LDG GEAR LVR SHELL A</t>
  </si>
  <si>
    <t>3.34.16.1.2.2</t>
  </si>
  <si>
    <t>3.34.16.1.3</t>
  </si>
  <si>
    <t>OH4A2A1-213</t>
  </si>
  <si>
    <t>PRE-ASSY, LDG GEAR LVR UPPER TUBE</t>
  </si>
  <si>
    <t>OH4A2A1-213 - PRE-ASSY, LDG GEAR LVR UPPER TUBE</t>
  </si>
  <si>
    <t>3.34.16.1.3.1</t>
  </si>
  <si>
    <t>OH4A2A1-213A</t>
  </si>
  <si>
    <t>LDG GEAR LVR UPPER TUBE</t>
  </si>
  <si>
    <t>OH4A2A1-213A - LDG GEAR LVR UPPER TUBE</t>
  </si>
  <si>
    <t>3.34.16.1.3.2</t>
  </si>
  <si>
    <t>6338K312</t>
  </si>
  <si>
    <t>BEARING, SLEEVE, FLANGED, .375 ID X .50 OD, 0.50 LG</t>
  </si>
  <si>
    <t>3.34.16.1.4</t>
  </si>
  <si>
    <t>OH4A2A1-214</t>
  </si>
  <si>
    <t>LDG GEAR LVR DETENTS</t>
  </si>
  <si>
    <t>OH4A2A1-214 - LDG GEAR LVR DETENTS</t>
  </si>
  <si>
    <t>3.34.16.1.5</t>
  </si>
  <si>
    <t>OH4A2A1-215</t>
  </si>
  <si>
    <t>PRE-ASSY, LDG GEAR LVR SHELL B</t>
  </si>
  <si>
    <t>OH4A2A1-215 - PRE-ASSY, LDG GEAR LVR SHELL B</t>
  </si>
  <si>
    <t>3.34.16.1.5.1</t>
  </si>
  <si>
    <t>OH4A2A1-215A</t>
  </si>
  <si>
    <t>LDG GEAR LVR SHELL B</t>
  </si>
  <si>
    <t>OH4A2A1-215A - LDG GEAR LVR SHELL B</t>
  </si>
  <si>
    <t>3.34.16.1.5.2</t>
  </si>
  <si>
    <t>3.34.16.1.6</t>
  </si>
  <si>
    <t>3.34.16.1.7</t>
  </si>
  <si>
    <t>3.34.16.1.8</t>
  </si>
  <si>
    <t>3.34.16.1.9</t>
  </si>
  <si>
    <t>91249A063</t>
  </si>
  <si>
    <t>PHS, #2-56 X .750, 18-8, BLK</t>
  </si>
  <si>
    <t>3.34.16.1.10</t>
  </si>
  <si>
    <t>3.34.16.1.11</t>
  </si>
  <si>
    <t>3.34.16.1.12</t>
  </si>
  <si>
    <t>3.34.16.1.13</t>
  </si>
  <si>
    <t>OH4A2A1-216</t>
  </si>
  <si>
    <t>ASSY, LDG GEAR LVR LOLLIPOP SHAFT</t>
  </si>
  <si>
    <t>OH4A2A1-216 - ASSY, LDG GEAR LVR LOLLIPOP SHAFT</t>
  </si>
  <si>
    <t>3.34.16.1.13.1</t>
  </si>
  <si>
    <t>OH4A2A1-216A</t>
  </si>
  <si>
    <t>LDG GEAR LVR LOLLIPOP SHAFT</t>
  </si>
  <si>
    <t>OH4A2A1-216A - LDG GEAR LVR LOLLIPOP SHAFT</t>
  </si>
  <si>
    <t>3.34.16.1.13.2</t>
  </si>
  <si>
    <t>92196A108</t>
  </si>
  <si>
    <t>SHCS, #4-40 X .375, 18-8</t>
  </si>
  <si>
    <t>3.34.16.2</t>
  </si>
  <si>
    <t>ASSY, LDG GEAR LEVER MOUNT A</t>
  </si>
  <si>
    <t>OH4A2A1-216 - ASSY, LDG GEAR LEVER MOUNT A</t>
  </si>
  <si>
    <t>3.34.16.2.1</t>
  </si>
  <si>
    <t>LDG GEAR LEVER MOUNT A</t>
  </si>
  <si>
    <t>OH4A2A1-216A - LDG GEAR LEVER MOUNT A</t>
  </si>
  <si>
    <t>3.34.16.2.2</t>
  </si>
  <si>
    <t>3.34.16.2.3</t>
  </si>
  <si>
    <t>3.34.16.2.4</t>
  </si>
  <si>
    <t>3.34.16.2.5</t>
  </si>
  <si>
    <t>3.34.16.3</t>
  </si>
  <si>
    <t>OH4A2A1-217</t>
  </si>
  <si>
    <t>ASSY, LDG GEAR LEVEL MOUNT SHELL B</t>
  </si>
  <si>
    <t>OH4A2A1-217 - ASSY, LDG GEAR LEVEL MOUNT SHELL B</t>
  </si>
  <si>
    <t>3.34.16.3.1</t>
  </si>
  <si>
    <t>OH4A2A1-217A</t>
  </si>
  <si>
    <t>LDG GEAR LEVEL MOUNT SHELL B</t>
  </si>
  <si>
    <t>OH4A2A1-217A - LDG GEAR LEVEL MOUNT SHELL B</t>
  </si>
  <si>
    <t>3.34.16.3.2</t>
  </si>
  <si>
    <t>3.34.16.3.3</t>
  </si>
  <si>
    <t>3.34.16.3.4</t>
  </si>
  <si>
    <t>3.34.16.3.5</t>
  </si>
  <si>
    <t>3.34.16.4</t>
  </si>
  <si>
    <t>OH4A2A1-218</t>
  </si>
  <si>
    <t>ASSY, LDG GEAR SOLENOID CLAMP</t>
  </si>
  <si>
    <t>OH4A2A1-218 - ASSY, LDG GEAR SOLENOID CLAMP</t>
  </si>
  <si>
    <t>3.34.16.4.1</t>
  </si>
  <si>
    <t>OH4A2A1-218A</t>
  </si>
  <si>
    <t>SOLENOID CLAMP LINER</t>
  </si>
  <si>
    <t>OH4A2A1-218A - LDG GEAR SOLENOID CLAMP LINER</t>
  </si>
  <si>
    <t>3.34.16.4.2</t>
  </si>
  <si>
    <t>OH4A2A1-218B</t>
  </si>
  <si>
    <t>LDG GEAR SOLENOID CLAMP</t>
  </si>
  <si>
    <t>OH4A2A1-218B - LDG GEAR SOLENOID CLAMP</t>
  </si>
  <si>
    <t>3.34.16.4.3</t>
  </si>
  <si>
    <t>3.34.16.4.4</t>
  </si>
  <si>
    <t>3.34.16.5</t>
  </si>
  <si>
    <t>DSTL-0418-12</t>
  </si>
  <si>
    <t>SOLENOID, CLOSED FRAME, PULL, TUBULAR</t>
  </si>
  <si>
    <t>3.34.16.6</t>
  </si>
  <si>
    <t>95649A232</t>
  </si>
  <si>
    <t>WASHER, .25 X .50 OD, .031 THK, PLASTIC UHMW</t>
  </si>
  <si>
    <t>UHMW, WHITE</t>
  </si>
  <si>
    <t>3.34.16.7</t>
  </si>
  <si>
    <t>84835A14</t>
  </si>
  <si>
    <t>SPRING PLUNGER, BALL-NOSE, PRESS-FIT, 0.5 IN DIA</t>
  </si>
  <si>
    <t>3.34.16.8</t>
  </si>
  <si>
    <t>3.34.16.9</t>
  </si>
  <si>
    <t>3.34.16.10</t>
  </si>
  <si>
    <t>93085A851</t>
  </si>
  <si>
    <t>FHS, 100DEG, #4-40 X 1.25, 18-8</t>
  </si>
  <si>
    <t>3.34.16.11</t>
  </si>
  <si>
    <t>3.34.16.12</t>
  </si>
  <si>
    <t>7658K16</t>
  </si>
  <si>
    <t>SWITCH, LIMIT, SUBMINIATURE, ROLLER LEVER, SPDT</t>
  </si>
  <si>
    <t>3.34.16.13</t>
  </si>
  <si>
    <t>91249A058</t>
  </si>
  <si>
    <t>PHS, #2-56 X .500, 18-8, BLK</t>
  </si>
  <si>
    <t>3.34.16.14</t>
  </si>
  <si>
    <t>3.34.16.15</t>
  </si>
  <si>
    <t>OH4A2A1-219</t>
  </si>
  <si>
    <t>ASSY, LDG GEAR ELEC STANDOFF BRACKET</t>
  </si>
  <si>
    <t>OH4A2A1-219 - ASSY, LDG GEAR ELEC STANDOFF BRACKET</t>
  </si>
  <si>
    <t>3.34.16.15.1</t>
  </si>
  <si>
    <t>OH4A2A1-219A</t>
  </si>
  <si>
    <t>LDG GEAR ELEC STANDOFF BRACKET</t>
  </si>
  <si>
    <t>OH4A2A1-219A - LDG GEAR ELEC STANDOFF BRACKET</t>
  </si>
  <si>
    <t>3.34.16.15.2</t>
  </si>
  <si>
    <t>3.34.16.16</t>
  </si>
  <si>
    <t>91249A050</t>
  </si>
  <si>
    <t>PHS, #2-56 X .25, 18-8, BLK</t>
  </si>
  <si>
    <t>3.34.17</t>
  </si>
  <si>
    <t>OH4A2A1-20</t>
  </si>
  <si>
    <t>ASSY, LDG GEAR LWR OUTBD MOUNTING BRACKET</t>
  </si>
  <si>
    <t>OH4A2A1-20 - ASSY, LDG GEAR LWR OUTBD MOUNTING BRACKET</t>
  </si>
  <si>
    <t>3.34.17.1</t>
  </si>
  <si>
    <t>OH4A2A1-20A</t>
  </si>
  <si>
    <t>LDG GEAR LWR OUTBD MOUNTING BRACKET</t>
  </si>
  <si>
    <t>OH4A2A1-20A - LDG GEAR LWR OUTBD MOUNTING BRACKET</t>
  </si>
  <si>
    <t>3.34.17.2</t>
  </si>
  <si>
    <t>3.34.18</t>
  </si>
  <si>
    <t>3.34.19</t>
  </si>
  <si>
    <t>3.34.20</t>
  </si>
  <si>
    <t>OH4A2A1-100</t>
  </si>
  <si>
    <t>OH4A2A1-100 - ASSY, LDG GEAR HANDLE</t>
  </si>
  <si>
    <t>3.34.20.1</t>
  </si>
  <si>
    <t>OH4A2A1-101</t>
  </si>
  <si>
    <t>LDG GEAR HANDLE LOLLIPOP</t>
  </si>
  <si>
    <t>OH4A2A1-101 - LDG GEAR HANDLE LOLLIPOP</t>
  </si>
  <si>
    <t>3.34.20.2</t>
  </si>
  <si>
    <t>OH4A2A1-102</t>
  </si>
  <si>
    <t>LDG GEAR HANDLE LOLLIPOP COVER</t>
  </si>
  <si>
    <t>OH4A2A1-102 - LDG GEAR HANDLE LOLLIPOP COVER</t>
  </si>
  <si>
    <t>3.34.20.3</t>
  </si>
  <si>
    <t>3.34.21</t>
  </si>
  <si>
    <t>91771A071</t>
  </si>
  <si>
    <t>FHS, 82DEG, #0-80 X .75, 18-8</t>
  </si>
  <si>
    <t>3.34.22</t>
  </si>
  <si>
    <t>MOLEX MINI-FIT JR HEADER, 4-CIRCUITS DUAL-ROW</t>
  </si>
  <si>
    <t>3.34.23</t>
  </si>
  <si>
    <t>3MM BACKLIGHTING LED, RED</t>
  </si>
  <si>
    <t>3.34.24</t>
  </si>
  <si>
    <t>OH4A2A1-21</t>
  </si>
  <si>
    <t>LANDING GEAR HANDLE LED MOUNT</t>
  </si>
  <si>
    <t>3.34.25</t>
  </si>
  <si>
    <t>OHC0009-1</t>
  </si>
  <si>
    <t>FAUX DZUS STUD</t>
  </si>
  <si>
    <t>3.35.1</t>
  </si>
  <si>
    <t>OHC0009-10</t>
  </si>
  <si>
    <t>FAUX DZUS STUD HEAD</t>
  </si>
  <si>
    <t>OHC0009-10 - FAUX DZUS STUD HEAD</t>
  </si>
  <si>
    <t>3.35.2</t>
  </si>
  <si>
    <t>OH4A1-12</t>
  </si>
  <si>
    <t>APU ABSIS ADAPTER PLATE</t>
  </si>
  <si>
    <t>OH4A1-12 - APU ABSIS ADAPTER PLATE</t>
  </si>
  <si>
    <t>3.41.1</t>
  </si>
  <si>
    <t>3.41.2</t>
  </si>
  <si>
    <t>OHC0013-1</t>
  </si>
  <si>
    <t>ASSY, LEFT BULKHEAD INTERCONNECT PANEL</t>
  </si>
  <si>
    <t>3.42.1</t>
  </si>
  <si>
    <t>3.42.2</t>
  </si>
  <si>
    <t>3.42.3</t>
  </si>
  <si>
    <t>3.42.4</t>
  </si>
  <si>
    <t>3.42.5</t>
  </si>
  <si>
    <t>3.42.6</t>
  </si>
  <si>
    <t>3.42.7</t>
  </si>
  <si>
    <t>3.42.8</t>
  </si>
  <si>
    <t>1681-02C</t>
  </si>
  <si>
    <t>CABLE, USB 3.0, PNL MNT, SS TYPE B TO MINI B</t>
  </si>
  <si>
    <t>3.43.1</t>
  </si>
  <si>
    <t>3.43.2</t>
  </si>
  <si>
    <t>3.43.3</t>
  </si>
  <si>
    <t>94639A187</t>
  </si>
  <si>
    <t>SPACER, #2 X 0.25 OD X 0.125 L, NYLON</t>
  </si>
  <si>
    <t>91249A066</t>
  </si>
  <si>
    <t>PHS, #2-56 X 1.0, 18-8, BLK</t>
  </si>
  <si>
    <t>OH4A14A1-1</t>
  </si>
  <si>
    <t>ASSY, LC TO CT BULKHEAD INTERCONNECT PANEL</t>
  </si>
  <si>
    <t>3.48.1</t>
  </si>
  <si>
    <t>OH4A14A1-10</t>
  </si>
  <si>
    <t>LC TO CT BULKHEAD INTERCONNECT PANEL</t>
  </si>
  <si>
    <t>3.48.2</t>
  </si>
  <si>
    <t>1589-01C</t>
  </si>
  <si>
    <t>CABLE, USB 2.0, PNL MNT, TYPE B FEMALE TO TYPE A MALE, 1 FT</t>
  </si>
  <si>
    <t>3.48.3</t>
  </si>
  <si>
    <t>3.48.4</t>
  </si>
  <si>
    <t>3.48.5</t>
  </si>
  <si>
    <t>3.48.6</t>
  </si>
  <si>
    <t>39-01-2061</t>
  </si>
  <si>
    <t>MOLEX, MINI-FIT JR, 5559-SERIES, PNL MNT, 6 POS</t>
  </si>
  <si>
    <t>93505A456</t>
  </si>
  <si>
    <t>STANDOFF, #8-32 X 1.00, .250 HEX, MALE-FEMALE, ALUMINUM</t>
  </si>
  <si>
    <t>OH4A10-1</t>
  </si>
  <si>
    <t>ASSY, TRANSDUCER GAIN REMOTE</t>
  </si>
  <si>
    <t>3.51.1</t>
  </si>
  <si>
    <t>3.51.2</t>
  </si>
  <si>
    <t>OH4A10-10</t>
  </si>
  <si>
    <t>TRANSDUCER GAIN REMOTE PLATE</t>
  </si>
  <si>
    <t>3.51.3</t>
  </si>
  <si>
    <t>3.51.4</t>
  </si>
  <si>
    <t>3.51.5</t>
  </si>
  <si>
    <t>3.51.5.1</t>
  </si>
  <si>
    <t>3.51.5.2</t>
  </si>
  <si>
    <t>91841A007</t>
  </si>
  <si>
    <t>NUT, #6-32, 18-8</t>
  </si>
  <si>
    <t>OH5A1-1</t>
  </si>
  <si>
    <t>ASSY, RIGHT CONSOLE</t>
  </si>
  <si>
    <t>OH5A1-10</t>
  </si>
  <si>
    <t>EXTERNAL SKIN</t>
  </si>
  <si>
    <t>OH5A1-10 - EXTERNAL SKIN</t>
  </si>
  <si>
    <t>OH5A1-11</t>
  </si>
  <si>
    <t>DEFOG LEVER</t>
  </si>
  <si>
    <t>OH5A1-11 - DEFOG LEVER</t>
  </si>
  <si>
    <t>OH5A1-12</t>
  </si>
  <si>
    <t>AFT BLANKING PANEL</t>
  </si>
  <si>
    <t>OH5A1-12 - AFT BLANKING PANEL</t>
  </si>
  <si>
    <t>OH5A4A1-1</t>
  </si>
  <si>
    <t>ASSY, ELEC PANEL</t>
  </si>
  <si>
    <t>4.4.1</t>
  </si>
  <si>
    <t>OH5A4A1-13</t>
  </si>
  <si>
    <t>PCB, ELEC PANEL</t>
  </si>
  <si>
    <t>OH5A4A1-13 - PCB, ELEC PANEL</t>
  </si>
  <si>
    <t>4.4.2</t>
  </si>
  <si>
    <t>OH5A4A1-10</t>
  </si>
  <si>
    <t>ELEC BACKPLATE</t>
  </si>
  <si>
    <t>OH5A4A1-10 - ELEC BACKPLATE</t>
  </si>
  <si>
    <t>4.4.3</t>
  </si>
  <si>
    <t>OH5A4A1-11</t>
  </si>
  <si>
    <t>ELEC LIGHTPLATE</t>
  </si>
  <si>
    <t>OH5A4A1-11 - ELEC LIGHTPLATE</t>
  </si>
  <si>
    <t>4.4.4</t>
  </si>
  <si>
    <t>OH5A4A1-12</t>
  </si>
  <si>
    <t>ELEC LEGEND PLATE</t>
  </si>
  <si>
    <t>OH5A4A1-12 - ELEC LEGEND PLATE</t>
  </si>
  <si>
    <t>4.4.5</t>
  </si>
  <si>
    <t>OH5A4A1-100</t>
  </si>
  <si>
    <t>BATTERY VOLTAGE INDICATOR</t>
  </si>
  <si>
    <t>OH5A4A1-100 - BATTERY VOLTAGE INDICATOR</t>
  </si>
  <si>
    <t>4.4.5.1</t>
  </si>
  <si>
    <t>OH5A4A1-101</t>
  </si>
  <si>
    <t>BATT VOLT CASE</t>
  </si>
  <si>
    <t>OH5A4A1-101 - BATT VOLT CASE</t>
  </si>
  <si>
    <t>4.4.5.2</t>
  </si>
  <si>
    <t>OH5A4A1-102</t>
  </si>
  <si>
    <t>BATT VOLT GLASS COVER</t>
  </si>
  <si>
    <t>OH5A4A1-102 - BATT VOLT GLASS COVER</t>
  </si>
  <si>
    <t>4.4.5.3</t>
  </si>
  <si>
    <t>OH5A4A1-103</t>
  </si>
  <si>
    <t>BATT VOLT SPACER</t>
  </si>
  <si>
    <t>OH5A4A1-103 - BATT VOLT SPACER</t>
  </si>
  <si>
    <t>4.4.5.4</t>
  </si>
  <si>
    <t>OH5A4A1-104</t>
  </si>
  <si>
    <t>BATT VOLT BEZEL FACE</t>
  </si>
  <si>
    <t>OH5A4A1-104 - BATT VOLT BEZEL FACE</t>
  </si>
  <si>
    <t>4.4.5.5</t>
  </si>
  <si>
    <t>OH5A4A1-105</t>
  </si>
  <si>
    <t>BATT VOLT NEEDLE #1</t>
  </si>
  <si>
    <t>OH5A4A1-105 - BATT VOLT NEEDLE #1</t>
  </si>
  <si>
    <t>4.4.5.6</t>
  </si>
  <si>
    <t>OH5A4A1-106</t>
  </si>
  <si>
    <t>BATT VOLT NEEDLE #2</t>
  </si>
  <si>
    <t>OH5A4A1-106 - BATT VOLT NEEDLE #2</t>
  </si>
  <si>
    <t>4.4.5.7</t>
  </si>
  <si>
    <t>ABSIS010</t>
  </si>
  <si>
    <t>ASSY, DUAL NEEDLE GAUGE</t>
  </si>
  <si>
    <t>ABSIS010 - ASSY, DUAL NEEDLE GAUGE</t>
  </si>
  <si>
    <t>4.4.5.8</t>
  </si>
  <si>
    <t>OH5A4A1-107</t>
  </si>
  <si>
    <t>BATT VOLT NEEDLE SHAFT #2</t>
  </si>
  <si>
    <t>OH5A4A1-107 - BATT VOLT NEEDLE SHAFT #2</t>
  </si>
  <si>
    <t>4.4.5.9</t>
  </si>
  <si>
    <t>OH5A4A1-108</t>
  </si>
  <si>
    <t>BATT VOLT NEEDLE SHAFT #1</t>
  </si>
  <si>
    <t>OH5A4A1-108 - BATT VOLT NEEDLE SHAFT #1</t>
  </si>
  <si>
    <t>4.4.5.10</t>
  </si>
  <si>
    <t>OH5A4A1-109</t>
  </si>
  <si>
    <t>BATT VOLT LIGHTPLATE</t>
  </si>
  <si>
    <t>OH5A4A1-109 - BATT VOLT LIGHTPLATE</t>
  </si>
  <si>
    <t>4.4.5.11</t>
  </si>
  <si>
    <t>X40 8798</t>
  </si>
  <si>
    <t>MICROSTEPPER, GAUGE, DUAL SHAFT, 315 DEG ROT</t>
  </si>
  <si>
    <t>4.4.5.12</t>
  </si>
  <si>
    <t>4.4.5.13</t>
  </si>
  <si>
    <t>4.4.6</t>
  </si>
  <si>
    <t>4.4.7</t>
  </si>
  <si>
    <t>4.4.8</t>
  </si>
  <si>
    <t>4.4.8.1</t>
  </si>
  <si>
    <t>4.4.8.2</t>
  </si>
  <si>
    <t>4.4.9</t>
  </si>
  <si>
    <t>4.4.10</t>
  </si>
  <si>
    <t>4.4.11</t>
  </si>
  <si>
    <t>4.4.12</t>
  </si>
  <si>
    <t>4.4.12.1</t>
  </si>
  <si>
    <t>4.4.12.2</t>
  </si>
  <si>
    <t>4.4.13</t>
  </si>
  <si>
    <t>4.4.14</t>
  </si>
  <si>
    <t>4.4.15</t>
  </si>
  <si>
    <t>4.4.16</t>
  </si>
  <si>
    <t>4.4.17</t>
  </si>
  <si>
    <t>4.4.18</t>
  </si>
  <si>
    <t>OH5A4A1-200</t>
  </si>
  <si>
    <t>ASSY, ELEC PANEL ELECTRONICS TRAY</t>
  </si>
  <si>
    <t>OH5A4A1-200 - ASSY, ELEC PANEL ELECTRONICS TRAY</t>
  </si>
  <si>
    <t>4.4.18.1</t>
  </si>
  <si>
    <t>OH5A4A1-201</t>
  </si>
  <si>
    <t>ELEC PANEL ABSIS ADAPTER PLATE</t>
  </si>
  <si>
    <t>OH5A4A1-201 - ELEC PANEL ABSIS ADAPTER PLATE</t>
  </si>
  <si>
    <t>4.4.18.2</t>
  </si>
  <si>
    <t>4.4.18.3</t>
  </si>
  <si>
    <t>4.4.18.4</t>
  </si>
  <si>
    <t>4.4.18.4.1</t>
  </si>
  <si>
    <t>4.4.18.4.2</t>
  </si>
  <si>
    <t>OH5A1A1-1</t>
  </si>
  <si>
    <t>ASSY, RIGHT CONSOLE STRUCTURE</t>
  </si>
  <si>
    <t>4.5.1</t>
  </si>
  <si>
    <t>OH5A1A1-10</t>
  </si>
  <si>
    <t>PRIMARY RIB J</t>
  </si>
  <si>
    <t>OH5A1A1-10 - PRIMARY RIB J</t>
  </si>
  <si>
    <t>4.5.2</t>
  </si>
  <si>
    <t>OH5A1A1-11</t>
  </si>
  <si>
    <t>PRIMARY RIB F</t>
  </si>
  <si>
    <t>OH5A1A1-11 - PRIMARY RIB F</t>
  </si>
  <si>
    <t>4.5.3</t>
  </si>
  <si>
    <t>OH5A1A1-12</t>
  </si>
  <si>
    <t>PRIMARY RIB G</t>
  </si>
  <si>
    <t>OH5A1A1-12 - PRIMARY RIB G</t>
  </si>
  <si>
    <t>4.5.4</t>
  </si>
  <si>
    <t>OH5A1A1-13</t>
  </si>
  <si>
    <t>PRIMARY RIB H</t>
  </si>
  <si>
    <t>OH5A1A1-13 - PRIMARY RIB H</t>
  </si>
  <si>
    <t>4.5.5</t>
  </si>
  <si>
    <t>OH5A1A1-14</t>
  </si>
  <si>
    <t>PRIMARY RIB I</t>
  </si>
  <si>
    <t>OH5A1A1-14 - PRIMARY RIB I</t>
  </si>
  <si>
    <t>4.5.6</t>
  </si>
  <si>
    <t>OH5A1A1-15</t>
  </si>
  <si>
    <t>AUX SPACER</t>
  </si>
  <si>
    <t>OH5A1A1-15 - AUX SPACER</t>
  </si>
  <si>
    <t>4.5.7</t>
  </si>
  <si>
    <t>OH5A1A1-16</t>
  </si>
  <si>
    <t>G-H INBOARD SPACER</t>
  </si>
  <si>
    <t>OH5A1A1-16 - G-H INBOARD SPACER</t>
  </si>
  <si>
    <t>4.5.8</t>
  </si>
  <si>
    <t>OH5A1A1-17</t>
  </si>
  <si>
    <t>H-I INBOARD SPACER</t>
  </si>
  <si>
    <t>OH5A1A1-17 - H-I INBOARD SPACER</t>
  </si>
  <si>
    <t>4.5.9</t>
  </si>
  <si>
    <t>OH5A1A1-18</t>
  </si>
  <si>
    <t>I-J INBOARD SPACER</t>
  </si>
  <si>
    <t>OH5A1A1-18 - I-J INBOARD SPACER</t>
  </si>
  <si>
    <t>4.5.10</t>
  </si>
  <si>
    <t>OH5A1A1-19</t>
  </si>
  <si>
    <t>J-AFT INBOARD SPACER</t>
  </si>
  <si>
    <t>OH5A1A1-19 - J-AFT INBOARD SPACER</t>
  </si>
  <si>
    <t>4.5.11</t>
  </si>
  <si>
    <t>OH5A1A1-20</t>
  </si>
  <si>
    <t>F-G OUTBOARD SPACER</t>
  </si>
  <si>
    <t>OH5A1A1-20 - F-G OUTBOARD SPACER</t>
  </si>
  <si>
    <t>4.5.12</t>
  </si>
  <si>
    <t>OH5A1A1-21</t>
  </si>
  <si>
    <t>G-H OUTBOARD SPACER</t>
  </si>
  <si>
    <t>OH5A1A1-21 - G-H OUTBOARD SPACER</t>
  </si>
  <si>
    <t>4.5.13</t>
  </si>
  <si>
    <t>OH5A1A1-22</t>
  </si>
  <si>
    <t>H-I OUTBOARD SPACER</t>
  </si>
  <si>
    <t>OH5A1A1-22 - H-I OUTBOARD SPACER</t>
  </si>
  <si>
    <t>4.5.14</t>
  </si>
  <si>
    <t>OH5A1A1-23</t>
  </si>
  <si>
    <t>I-J OUTBOARD SPACER</t>
  </si>
  <si>
    <t>OH5A1A1-23 - I-J OUTBOARD SPACER</t>
  </si>
  <si>
    <t>4.5.15</t>
  </si>
  <si>
    <t>OH5A1A1-24</t>
  </si>
  <si>
    <t>J-AFT OUTBOARD SPACER</t>
  </si>
  <si>
    <t>OH5A1A1-24 - J-AFT OUTBOARD SPACER</t>
  </si>
  <si>
    <t>4.5.16</t>
  </si>
  <si>
    <t>OH5A1A1-25</t>
  </si>
  <si>
    <t>FWD CONSOLE CANOPY RAIL BRACKET</t>
  </si>
  <si>
    <t>OH5A1A1-25 - FWD CONSOLE CANOPY RAIL BRACKET</t>
  </si>
  <si>
    <t>4.5.17</t>
  </si>
  <si>
    <t>OH5A1A1-26</t>
  </si>
  <si>
    <t>OH5A1A1-26 - CANOPY RAIL TRIM</t>
  </si>
  <si>
    <t>4.5.18</t>
  </si>
  <si>
    <t>OH5A1A1-27</t>
  </si>
  <si>
    <t>AFT CONSOLE CANOPY RAIL BRACKET</t>
  </si>
  <si>
    <t>OH5A1A1-27 - AFT CONSOLE CANOPY RAIL BRACKET</t>
  </si>
  <si>
    <t>4.5.19</t>
  </si>
  <si>
    <t>OH5A1A1-28</t>
  </si>
  <si>
    <t>OH5A1A1-28 - CANOPY RAIL</t>
  </si>
  <si>
    <t>4.5.20</t>
  </si>
  <si>
    <t>OH5A1A1-29</t>
  </si>
  <si>
    <t>CONSOLE SILL BRACKET A-R</t>
  </si>
  <si>
    <t>OH5A1A1-29 - CONSOLE SILL BRACKET A-R</t>
  </si>
  <si>
    <t>4.5.21</t>
  </si>
  <si>
    <t>OH5A1A1-30</t>
  </si>
  <si>
    <t>CONSOLE SILL BRACKET B-R</t>
  </si>
  <si>
    <t>OH5A1A1-30 - CONSOLE SILL BRACKET B-R</t>
  </si>
  <si>
    <t>4.5.22</t>
  </si>
  <si>
    <t>OH5A1A1-31</t>
  </si>
  <si>
    <t>AFT UPPER BULKHEAD BRACKET</t>
  </si>
  <si>
    <t>OH5A1A1-31 - AFT UPPER BULKHEAD BRACKET</t>
  </si>
  <si>
    <t>4.5.23</t>
  </si>
  <si>
    <t>OH5A1A1-32</t>
  </si>
  <si>
    <t>INBOARD CONSOLE WALL</t>
  </si>
  <si>
    <t>OH5A1A1-32 - INBOARD CONSOLE WALL</t>
  </si>
  <si>
    <t>4.5.24</t>
  </si>
  <si>
    <t>OH5A1A1-33</t>
  </si>
  <si>
    <t>CONSOLE FLOOR</t>
  </si>
  <si>
    <t>OH5A1A1-33 - CONSOLE FLOOR</t>
  </si>
  <si>
    <t>4.5.25</t>
  </si>
  <si>
    <t>OH5A1A1-34</t>
  </si>
  <si>
    <t>AFT INTERNAL BULKHEAD</t>
  </si>
  <si>
    <t>OH5A1A1-34 - AFT INTERNAL BULKHEAD</t>
  </si>
  <si>
    <t>4.5.26</t>
  </si>
  <si>
    <t>OH5A1A1-35</t>
  </si>
  <si>
    <t>AFT BULKHEAD</t>
  </si>
  <si>
    <t>OH5A1A1-35 - AFT BULKHEAD</t>
  </si>
  <si>
    <t>4.5.27</t>
  </si>
  <si>
    <t>OH5A1A1-36</t>
  </si>
  <si>
    <t>CONSOLE INBOARD WALL</t>
  </si>
  <si>
    <t>OH5A1A1-36 - CONSOLE INBOARD WALL</t>
  </si>
  <si>
    <t>4.5.28</t>
  </si>
  <si>
    <t>OH5A1A1-37</t>
  </si>
  <si>
    <t>OH5A1A1-37 - A-B LOWER STRINGER</t>
  </si>
  <si>
    <t>4.5.29</t>
  </si>
  <si>
    <t>OH5A1A1-38</t>
  </si>
  <si>
    <t>OH5A1A1-38 - B-C LOWER STRINGER</t>
  </si>
  <si>
    <t>4.5.30</t>
  </si>
  <si>
    <t>OH5A1A1-39</t>
  </si>
  <si>
    <t>OH5A1A1-39 - C-D LOWER STRINGER</t>
  </si>
  <si>
    <t>4.5.31</t>
  </si>
  <si>
    <t>OH5A1A1-40</t>
  </si>
  <si>
    <t>OH5A1A1-40 - E-F LOWER STRINGER</t>
  </si>
  <si>
    <t>4.5.32</t>
  </si>
  <si>
    <t>OH5A1A1-41</t>
  </si>
  <si>
    <t>OH5A1A1-41 - AFT BULKHEAD STRINGER</t>
  </si>
  <si>
    <t>4.5.33</t>
  </si>
  <si>
    <t>OH5A1A1-42</t>
  </si>
  <si>
    <t>INBOARD FWD CONSOLE TRIM</t>
  </si>
  <si>
    <t>OH5A1A1-42 - INBOARD FWD CONSOLE TRIM</t>
  </si>
  <si>
    <t>4.5.34</t>
  </si>
  <si>
    <t>OH5A1A1-43</t>
  </si>
  <si>
    <t>AUX PANEL</t>
  </si>
  <si>
    <t>OH5A1A1-43 - AUX PANEL</t>
  </si>
  <si>
    <t>4.5.35</t>
  </si>
  <si>
    <t>OH5A1A1-44</t>
  </si>
  <si>
    <t>AUX UPPER BRACKET</t>
  </si>
  <si>
    <t>OH5A1A1-44 - AUX UPPER BRACKET</t>
  </si>
  <si>
    <t>4.5.36</t>
  </si>
  <si>
    <t>OH5A1A1-45</t>
  </si>
  <si>
    <t>AUX SUPPORT BRACKET, FWD, OUTBOARD</t>
  </si>
  <si>
    <t>OH5A1A1-45 - AUX SUPPORT BRACKET, FWD, OUTBOARD</t>
  </si>
  <si>
    <t>4.5.37</t>
  </si>
  <si>
    <t>OH5A1A1-46</t>
  </si>
  <si>
    <t>AUX SUPPORT BRACKET, LOWER, OUTBOARD</t>
  </si>
  <si>
    <t>OH5A1A1-46 - AUX SUPPORT BRACKET, LOWER, OUTBOARD</t>
  </si>
  <si>
    <t>4.5.38</t>
  </si>
  <si>
    <t>OH5A1A1-47</t>
  </si>
  <si>
    <t>AUX SUPPORT BRACKET, LOWER, INBOARD</t>
  </si>
  <si>
    <t>OH5A1A1-47 - AUX SUPPORT BRACKET, LOWER, INBOARD</t>
  </si>
  <si>
    <t>4.5.39</t>
  </si>
  <si>
    <t>OH5A1A1-48</t>
  </si>
  <si>
    <t>AUX VENT PLUG</t>
  </si>
  <si>
    <t>OH5A1A1-48 - AUX VENT PLUG</t>
  </si>
  <si>
    <t>4.5.40</t>
  </si>
  <si>
    <t>4.5.41</t>
  </si>
  <si>
    <t>4.5.42</t>
  </si>
  <si>
    <t>4.5.43</t>
  </si>
  <si>
    <t>4.5.44</t>
  </si>
  <si>
    <t>4.5.45</t>
  </si>
  <si>
    <t>4.5.46</t>
  </si>
  <si>
    <t>4.5.47</t>
  </si>
  <si>
    <t>4.5.48</t>
  </si>
  <si>
    <t>4.5.49</t>
  </si>
  <si>
    <t>4.5.50</t>
  </si>
  <si>
    <t>4.5.51</t>
  </si>
  <si>
    <t>4.5.52</t>
  </si>
  <si>
    <t>4.5.53</t>
  </si>
  <si>
    <t>OH5A7A1-1</t>
  </si>
  <si>
    <t>ASSY, SNSR PANEL</t>
  </si>
  <si>
    <t>4.6.1</t>
  </si>
  <si>
    <t>OH5A7A1-13</t>
  </si>
  <si>
    <t>PCB, SNSR</t>
  </si>
  <si>
    <t>OH5A7A1-13 - PCB, SNSR</t>
  </si>
  <si>
    <t>4.6.2</t>
  </si>
  <si>
    <t>OH5A7A1-10</t>
  </si>
  <si>
    <t>SNSR BACKPLATE</t>
  </si>
  <si>
    <t>OH5A7A1-10 - SNSR BACKPLATE</t>
  </si>
  <si>
    <t>4.6.3</t>
  </si>
  <si>
    <t>OH5A7A1-11</t>
  </si>
  <si>
    <t>SNSR LIGHTPLATE</t>
  </si>
  <si>
    <t>OH5A7A1-11 - SNSR LIGHTPLATE</t>
  </si>
  <si>
    <t>4.6.4</t>
  </si>
  <si>
    <t>OH5A7A1-12</t>
  </si>
  <si>
    <t>SNSR LEGEND PLATE</t>
  </si>
  <si>
    <t>OH5A7A1-12 - SNSR LEGEND PLATE</t>
  </si>
  <si>
    <t>4.6.5</t>
  </si>
  <si>
    <t>OH5A7A1-14</t>
  </si>
  <si>
    <t>SNSR PANEL ABSIS ADAPTER PLATE</t>
  </si>
  <si>
    <t>OH5A7A1-14 - SNSR PANEL ABSIS ADAPTER PLATE</t>
  </si>
  <si>
    <t>4.6.6</t>
  </si>
  <si>
    <t>4.6.7</t>
  </si>
  <si>
    <t>OHC0003-A-484DGB4</t>
  </si>
  <si>
    <t>ASSY, KNOB, GREY, LARGE, .25 D-SHAFT</t>
  </si>
  <si>
    <t>4.6.7.1</t>
  </si>
  <si>
    <t>OHC0003-484DGB4</t>
  </si>
  <si>
    <t>KNOB, GREY, LARGE, .25 D-SHAFT</t>
  </si>
  <si>
    <t>OHC0003-484DGB4 - KNOB, GREY, LARGE, .25 D-SHAFT</t>
  </si>
  <si>
    <t>4.6.7.2</t>
  </si>
  <si>
    <t>4.6.8</t>
  </si>
  <si>
    <t>4.6.9</t>
  </si>
  <si>
    <t>4.6.10</t>
  </si>
  <si>
    <t>4.6.11</t>
  </si>
  <si>
    <t>4.6.12</t>
  </si>
  <si>
    <t>4.6.13</t>
  </si>
  <si>
    <t>4.6.14</t>
  </si>
  <si>
    <t>4.6.15</t>
  </si>
  <si>
    <t>A12505RNZQ</t>
  </si>
  <si>
    <t>SWITCH, ROTARY, 45 DEG, 8 POS, FIXED</t>
  </si>
  <si>
    <t>4.6.16</t>
  </si>
  <si>
    <t>4.6.17</t>
  </si>
  <si>
    <t>4.6.18</t>
  </si>
  <si>
    <t>4.6.19</t>
  </si>
  <si>
    <t>4.6.20</t>
  </si>
  <si>
    <t>4.6.21</t>
  </si>
  <si>
    <t>4.6.22</t>
  </si>
  <si>
    <t>4.6.23</t>
  </si>
  <si>
    <t>4.6.23.1</t>
  </si>
  <si>
    <t>4.6.23.2</t>
  </si>
  <si>
    <t>4.6.23.3</t>
  </si>
  <si>
    <t>4.6.23.4</t>
  </si>
  <si>
    <t>4.6.23.5</t>
  </si>
  <si>
    <t>4.6.23.6</t>
  </si>
  <si>
    <t>4.6.24</t>
  </si>
  <si>
    <t>4.6.25</t>
  </si>
  <si>
    <t>4.6.25.1</t>
  </si>
  <si>
    <t>4.6.25.2</t>
  </si>
  <si>
    <t>4.6.26</t>
  </si>
  <si>
    <t>OH5A5A2-1</t>
  </si>
  <si>
    <t>ASSY, DEFOG PANEL</t>
  </si>
  <si>
    <t>4.7.1</t>
  </si>
  <si>
    <t>OH5A5A2-13</t>
  </si>
  <si>
    <t>PCB, DEFOG</t>
  </si>
  <si>
    <t>OH5A5A2-13 - PCB, DEFOG</t>
  </si>
  <si>
    <t>4.7.2</t>
  </si>
  <si>
    <t>OH5A5A2-10</t>
  </si>
  <si>
    <t>DEFOG BACKPLATE</t>
  </si>
  <si>
    <t>OH5A5A2-10 - DEFOG BACKPLATE</t>
  </si>
  <si>
    <t>4.7.3</t>
  </si>
  <si>
    <t>OH5A5A2-11</t>
  </si>
  <si>
    <t>DEFOG LIGHTPLATE</t>
  </si>
  <si>
    <t>OH5A5A2-11 - DEFOG LIGHTPLATE</t>
  </si>
  <si>
    <t>4.7.4</t>
  </si>
  <si>
    <t>OH5A5A2-12</t>
  </si>
  <si>
    <t>DEFOG LEGEND PLATE</t>
  </si>
  <si>
    <t>OH5A5A2-12 - DEFOG LEGEND PLATE</t>
  </si>
  <si>
    <t>4.7.5</t>
  </si>
  <si>
    <t>4.7.5.1</t>
  </si>
  <si>
    <t>4.7.5.2</t>
  </si>
  <si>
    <t>4.7.6</t>
  </si>
  <si>
    <t>4.7.7</t>
  </si>
  <si>
    <t>4.7.8</t>
  </si>
  <si>
    <t>4.7.9</t>
  </si>
  <si>
    <t>OH5A8A1-1</t>
  </si>
  <si>
    <t>ASSY, SIM CNTL PANEL</t>
  </si>
  <si>
    <t>4.8.1</t>
  </si>
  <si>
    <t>OH5A8A1-13</t>
  </si>
  <si>
    <t>PCB, SIM CNTL</t>
  </si>
  <si>
    <t>OH5A8A1-13 - PCB, SIM CNTL</t>
  </si>
  <si>
    <t>4.8.2</t>
  </si>
  <si>
    <t>OH5A8A1-10</t>
  </si>
  <si>
    <t>SIM CNTL BACKPLATE</t>
  </si>
  <si>
    <t>OH5A8A1-10 - SIM CNTL BACKPLATE</t>
  </si>
  <si>
    <t>4.8.3</t>
  </si>
  <si>
    <t>OH5A8A1-11</t>
  </si>
  <si>
    <t>SIM CNTL LIGHTPLATE</t>
  </si>
  <si>
    <t>OH5A8A1-11 - SIM CNTL LIGHTPLATE</t>
  </si>
  <si>
    <t>4.8.4</t>
  </si>
  <si>
    <t>OH5A8A1-12</t>
  </si>
  <si>
    <t>SIM CNTL LEGEND PLATE</t>
  </si>
  <si>
    <t>OH5A8A1-12 - SIM CNTL LEGEND PLATE</t>
  </si>
  <si>
    <t>4.8.5</t>
  </si>
  <si>
    <t>OH5A8A1-14</t>
  </si>
  <si>
    <t>SIM CNTL PANEL ABSIS ADAPTER PLATE</t>
  </si>
  <si>
    <t>OH5A8A1-14 - SIM CNTL PANEL ABSIS ADAPTER PLATE</t>
  </si>
  <si>
    <t>4.8.6</t>
  </si>
  <si>
    <t>4.8.6.1</t>
  </si>
  <si>
    <t>4.8.6.2</t>
  </si>
  <si>
    <t>4.8.7</t>
  </si>
  <si>
    <t>4.8.8</t>
  </si>
  <si>
    <t>4.8.9</t>
  </si>
  <si>
    <t>4.8.10</t>
  </si>
  <si>
    <t>4.8.11</t>
  </si>
  <si>
    <t>4.8.12</t>
  </si>
  <si>
    <t>4.8.13</t>
  </si>
  <si>
    <t>4.8.14</t>
  </si>
  <si>
    <t>4.8.15</t>
  </si>
  <si>
    <t>4.8.16</t>
  </si>
  <si>
    <t>4.8.17</t>
  </si>
  <si>
    <t>4.8.18</t>
  </si>
  <si>
    <t>4.8.18.1</t>
  </si>
  <si>
    <t>4.8.18.2</t>
  </si>
  <si>
    <t>4.8.19</t>
  </si>
  <si>
    <t>OH5A2A4-1</t>
  </si>
  <si>
    <t>ASSY, RADAR ALTIMETER GAUGE</t>
  </si>
  <si>
    <t>4.10.1</t>
  </si>
  <si>
    <t>OH5A2A4-10</t>
  </si>
  <si>
    <t>RALT BEZEL</t>
  </si>
  <si>
    <t>OH5A2A4-10 - RALT BEZEL</t>
  </si>
  <si>
    <t>4.10.2</t>
  </si>
  <si>
    <t>OH5A2A4-11</t>
  </si>
  <si>
    <t>RALT GLASS COVER</t>
  </si>
  <si>
    <t>OH5A2A4-11 - RALT GLASS COVER</t>
  </si>
  <si>
    <t>4.10.3</t>
  </si>
  <si>
    <t>OH5A2A4-12</t>
  </si>
  <si>
    <t>RALT NEEDLE MASK</t>
  </si>
  <si>
    <t>OH5A2A4-12 - RALT NEEDLE MASK</t>
  </si>
  <si>
    <t>4.10.4</t>
  </si>
  <si>
    <t>OH5A2A4-13</t>
  </si>
  <si>
    <t>RALT DIAL FACE</t>
  </si>
  <si>
    <t>OH5A2A4-13 - RALT DIAL FACE</t>
  </si>
  <si>
    <t>4.10.5</t>
  </si>
  <si>
    <t>OH5A2A4-14</t>
  </si>
  <si>
    <t>RALT STEPPER MOUNT</t>
  </si>
  <si>
    <t>OH5A2A4-14 - RALT STEPPER MOUNT</t>
  </si>
  <si>
    <t>4.10.6</t>
  </si>
  <si>
    <t>OH5A2A4-15</t>
  </si>
  <si>
    <t>RALT STEPPER STANDOFF</t>
  </si>
  <si>
    <t>OH5A2A4-15 - RALT STEPPER STANDOFF</t>
  </si>
  <si>
    <t>4.10.7</t>
  </si>
  <si>
    <t>OH5A2A4-16</t>
  </si>
  <si>
    <t>RALT CASE</t>
  </si>
  <si>
    <t>OH5A2A4-16 - RALT CASE</t>
  </si>
  <si>
    <t>4.10.8</t>
  </si>
  <si>
    <t>OH5A2A4-17</t>
  </si>
  <si>
    <t>RALT NEEDLE</t>
  </si>
  <si>
    <t>OH5A2A4-17 - RALT NEEDLE</t>
  </si>
  <si>
    <t>4.10.9</t>
  </si>
  <si>
    <t>OH5A2A4-18</t>
  </si>
  <si>
    <t>RALT LIMIT INDEXER RING</t>
  </si>
  <si>
    <t>OH5A2A4-18 - RALT LIMIT INDEXER RING</t>
  </si>
  <si>
    <t>4.10.10</t>
  </si>
  <si>
    <t>OH5A2A4-19</t>
  </si>
  <si>
    <t>RALT KNOB</t>
  </si>
  <si>
    <t>OH5A2A4-19 - RALT KNOB</t>
  </si>
  <si>
    <t>4.10.11</t>
  </si>
  <si>
    <t>OH5A2A4-20</t>
  </si>
  <si>
    <t>RALT LIMIT SHAFT GEAR</t>
  </si>
  <si>
    <t>OH5A2A4-20 - RALT LIMIT SHAFT GEAR</t>
  </si>
  <si>
    <t>4.10.12</t>
  </si>
  <si>
    <t>OH5A2A4-21</t>
  </si>
  <si>
    <t>RALT POT MOUNT</t>
  </si>
  <si>
    <t>OH5A2A4-21 - RALT POT MOUNT</t>
  </si>
  <si>
    <t>4.10.13</t>
  </si>
  <si>
    <t>OH5A2A4-22</t>
  </si>
  <si>
    <t>RALT OFF FLAG</t>
  </si>
  <si>
    <t>OH5A2A4-22 - RALT OFF FLAG</t>
  </si>
  <si>
    <t>4.10.14</t>
  </si>
  <si>
    <t>OH5A2A4-23</t>
  </si>
  <si>
    <t>PCB, RALT CONTROL</t>
  </si>
  <si>
    <t>OH5A2A4-23 - PCB, RALT CONTROL</t>
  </si>
  <si>
    <t>4.10.14.3</t>
  </si>
  <si>
    <t>4.10.15</t>
  </si>
  <si>
    <t>4.10.16</t>
  </si>
  <si>
    <t>4.10.17</t>
  </si>
  <si>
    <t>4.10.18</t>
  </si>
  <si>
    <t>4.10.19</t>
  </si>
  <si>
    <t>4.10.20</t>
  </si>
  <si>
    <t>4.10.21</t>
  </si>
  <si>
    <t>SMB 200 RTP</t>
  </si>
  <si>
    <t>LENS, LED, FRESNEL, RED</t>
  </si>
  <si>
    <t>4.10.22</t>
  </si>
  <si>
    <t>SMB 200 GTP</t>
  </si>
  <si>
    <t>LENS, LED, FRESNEL, GREEN</t>
  </si>
  <si>
    <t>4.10.23</t>
  </si>
  <si>
    <t>LTW-420D7</t>
  </si>
  <si>
    <t>LED, THRU HOLE, T-1, WHITE</t>
  </si>
  <si>
    <t>4.10.24</t>
  </si>
  <si>
    <t>OH5A2A4-24</t>
  </si>
  <si>
    <t>GEAR, 16T, 32P, .250 D-SHAFT</t>
  </si>
  <si>
    <t>OH5A2A4-24 - GEAR, 16T, 32P, .250 D-SHAFT</t>
  </si>
  <si>
    <t>4.10.25</t>
  </si>
  <si>
    <t>1692K53</t>
  </si>
  <si>
    <t>TYPE 302 SS CONICAL COMPRESSION SPRING</t>
  </si>
  <si>
    <t>4.10.26</t>
  </si>
  <si>
    <t>SERVOCITY, .250 X 2.250 D-SHAFT</t>
  </si>
  <si>
    <t>4.10.27</t>
  </si>
  <si>
    <t>3590S-2-103L</t>
  </si>
  <si>
    <t>POT, 10K LINEAR, ROUND BODY, .250 X .811 S-SHAFT</t>
  </si>
  <si>
    <t>4.10.28</t>
  </si>
  <si>
    <t>4.10.29</t>
  </si>
  <si>
    <t>4.10.30</t>
  </si>
  <si>
    <t>HK-5320</t>
  </si>
  <si>
    <t>SERVO, DIGITAL, ULTRA-MICRO, 1.7G</t>
  </si>
  <si>
    <t>4.10.31</t>
  </si>
  <si>
    <t>90380A322</t>
  </si>
  <si>
    <t>PHS, M1.6 X 5MM SELF-TAPPING, STEEL</t>
  </si>
  <si>
    <t>4.10.32</t>
  </si>
  <si>
    <t>4.10.33</t>
  </si>
  <si>
    <t>4.10.34</t>
  </si>
  <si>
    <t>OH5A2A5-1</t>
  </si>
  <si>
    <t>ASSY, HYD PRESS GAUGE</t>
  </si>
  <si>
    <t>4.11.1</t>
  </si>
  <si>
    <t>4.11.2</t>
  </si>
  <si>
    <t>4.11.3</t>
  </si>
  <si>
    <t>4.11.4</t>
  </si>
  <si>
    <t>OH5A2A5-10</t>
  </si>
  <si>
    <t>HYD PRESS FACE</t>
  </si>
  <si>
    <t>OH5A2A5-10 - HYD PRESS FACE</t>
  </si>
  <si>
    <t>4.11.5</t>
  </si>
  <si>
    <t>OH5A2A5-11</t>
  </si>
  <si>
    <t>HYD PRESS NEEDLE #1</t>
  </si>
  <si>
    <t>OH5A2A5-11 - HYD PRESS NEEDLE #1</t>
  </si>
  <si>
    <t>4.11.6</t>
  </si>
  <si>
    <t>OH5A2A5-12</t>
  </si>
  <si>
    <t>HYD PRESS NEEDLE #2</t>
  </si>
  <si>
    <t>OH5A2A5-12 - HYD PRESS NEEDLE #2</t>
  </si>
  <si>
    <t>4.11.7</t>
  </si>
  <si>
    <t>4.11.8</t>
  </si>
  <si>
    <t>4.11.9</t>
  </si>
  <si>
    <t>4.11.10</t>
  </si>
  <si>
    <t>4.11.11</t>
  </si>
  <si>
    <t>4.11.12</t>
  </si>
  <si>
    <t>4.11.13</t>
  </si>
  <si>
    <t>OH5A2A6-1</t>
  </si>
  <si>
    <t>ASSY, BUNO PLACARD</t>
  </si>
  <si>
    <t>4.12.1</t>
  </si>
  <si>
    <t>OH5A2A6-10</t>
  </si>
  <si>
    <t>BUNO LIGHTPLATE</t>
  </si>
  <si>
    <t>OH5A2A6-10 - BUNO LIGHTPLATE</t>
  </si>
  <si>
    <t>4.12.2</t>
  </si>
  <si>
    <t>OH5A2A6-11</t>
  </si>
  <si>
    <t>BUNO LEGEND PLATE</t>
  </si>
  <si>
    <t>OH5A2A6-11 - BUNO LEGEND PLATE</t>
  </si>
  <si>
    <t>4.12.3</t>
  </si>
  <si>
    <t>OH5A2A7-1</t>
  </si>
  <si>
    <t>ASSY, LDG CHKLST PANEL</t>
  </si>
  <si>
    <t>4.13.1</t>
  </si>
  <si>
    <t>OH5A2A7-10</t>
  </si>
  <si>
    <t>LDG CHKLST LIGHTPLATE</t>
  </si>
  <si>
    <t>OH5A2A7-10 - LDG CHKLST LIGHTPLATE</t>
  </si>
  <si>
    <t>4.13.2</t>
  </si>
  <si>
    <t>OH5A2A7-11</t>
  </si>
  <si>
    <t>LDG CHKLST LEGEND PLATE</t>
  </si>
  <si>
    <t>OH5A2A7-11 - LDG CHKLST LEGEND PLATE</t>
  </si>
  <si>
    <t>4.13.3</t>
  </si>
  <si>
    <t>OH5A2A7-12</t>
  </si>
  <si>
    <t>PCB, LDG CHKLST</t>
  </si>
  <si>
    <t>OH5A2A7-12 - PCB, LDG CHKLST</t>
  </si>
  <si>
    <t>4.13.4</t>
  </si>
  <si>
    <t>4.13.5</t>
  </si>
  <si>
    <t>OH5A2A7-09</t>
  </si>
  <si>
    <t>LDG CHKLST BACKPLATE</t>
  </si>
  <si>
    <t>OH5A2A7-09 - LDG CHKLST BACKPLATE</t>
  </si>
  <si>
    <t>4.13.6</t>
  </si>
  <si>
    <t>OH5A3A1-1</t>
  </si>
  <si>
    <t>ASSY, CAUTION LIGHT PANEL</t>
  </si>
  <si>
    <t>4.14.1</t>
  </si>
  <si>
    <t>OH5A3A1-10</t>
  </si>
  <si>
    <t>CLP CHASSIS</t>
  </si>
  <si>
    <t>OH5A3A1-10 - CLP CHASSIS</t>
  </si>
  <si>
    <t>4.14.2</t>
  </si>
  <si>
    <t>OH5A3A1-11</t>
  </si>
  <si>
    <t>PCB, CAUTION LIGHT PANEL</t>
  </si>
  <si>
    <t>OH5A3A1-11 - PCB, CAUTION LIGHT PANEL REV4</t>
  </si>
  <si>
    <t>4.14.3</t>
  </si>
  <si>
    <t>OH5A3A1-12</t>
  </si>
  <si>
    <t>CLP DIFFUSER</t>
  </si>
  <si>
    <t>OH5A3A1-12 - CLP DIFFUSER</t>
  </si>
  <si>
    <t>4.14.4</t>
  </si>
  <si>
    <t>OH5A3A1-13</t>
  </si>
  <si>
    <t>CK SEAT LEGEND</t>
  </si>
  <si>
    <t>OH5A3A1-13 - CK SEAT LEGEND</t>
  </si>
  <si>
    <t>4.14.5</t>
  </si>
  <si>
    <t>OH5A3A1-14</t>
  </si>
  <si>
    <t>FCS HOT LEGEND</t>
  </si>
  <si>
    <t>OH5A3A1-14 - FCS HOT LEGEND</t>
  </si>
  <si>
    <t>4.14.6</t>
  </si>
  <si>
    <t>OH5A3A1-15</t>
  </si>
  <si>
    <t>FUEL LO LEGEND</t>
  </si>
  <si>
    <t>OH5A3A1-15 - FUEL LO LEGEND</t>
  </si>
  <si>
    <t>4.14.7</t>
  </si>
  <si>
    <t>OH5A3A1-16</t>
  </si>
  <si>
    <t>L GEN LEGEND</t>
  </si>
  <si>
    <t>OH5A3A1-16 - L GEN LEGEND</t>
  </si>
  <si>
    <t>4.14.8</t>
  </si>
  <si>
    <t>OH5A3A1-17</t>
  </si>
  <si>
    <t>APU ACC LEGEND</t>
  </si>
  <si>
    <t>OH5A3A1-17 - APU ACC LEGEND</t>
  </si>
  <si>
    <t>4.14.9</t>
  </si>
  <si>
    <t>OH5A3A1-18</t>
  </si>
  <si>
    <t>GEN TIE LEGEND</t>
  </si>
  <si>
    <t>OH5A3A1-18 - GEN TIE LEGEND</t>
  </si>
  <si>
    <t>4.14.10</t>
  </si>
  <si>
    <t>OH5A3A1-19</t>
  </si>
  <si>
    <t>FCES LEGEND</t>
  </si>
  <si>
    <t>OH5A3A1-19 - FCES LEGEND</t>
  </si>
  <si>
    <t>4.14.11</t>
  </si>
  <si>
    <t>OH5A3A1-20</t>
  </si>
  <si>
    <t>R GEN LEGEND</t>
  </si>
  <si>
    <t>OH5A3A1-20 - R GEN LEGEND</t>
  </si>
  <si>
    <t>4.14.12</t>
  </si>
  <si>
    <t>OH5A3A1-21</t>
  </si>
  <si>
    <t>BATT SW LEGEND</t>
  </si>
  <si>
    <t>OH5A3A1-21 - BATT SW LEGEND</t>
  </si>
  <si>
    <t>4.14.13</t>
  </si>
  <si>
    <t>OH5A3A1-22</t>
  </si>
  <si>
    <t>BLANK LINE LEGEND</t>
  </si>
  <si>
    <t>OH5A3A1-22 - BLANK LINE LEGEND</t>
  </si>
  <si>
    <t>4.14.14</t>
  </si>
  <si>
    <t>OH5A3A1-23</t>
  </si>
  <si>
    <t>CLP LEGEND COVER</t>
  </si>
  <si>
    <t>OH5A3A1-23 - CLP LEGEND COVER</t>
  </si>
  <si>
    <t>4.14.15</t>
  </si>
  <si>
    <t>4.14.16</t>
  </si>
  <si>
    <t>4.14.17</t>
  </si>
  <si>
    <t>OH5A2A2-1</t>
  </si>
  <si>
    <t>ASSY, WING FOLD HANDLE</t>
  </si>
  <si>
    <t>4.15.1</t>
  </si>
  <si>
    <t>OH5A2A2-12</t>
  </si>
  <si>
    <t>WING FOLD HANDLE ROTATING DETENTS</t>
  </si>
  <si>
    <t>OH5A2A2-12 - WING FOLD HANDLE ROTATING DETENTS</t>
  </si>
  <si>
    <t>4.15.2</t>
  </si>
  <si>
    <t>OH5A2A2-18</t>
  </si>
  <si>
    <t>WING FOLD PUSH-PULL DETENTS</t>
  </si>
  <si>
    <t>OH5A2A2-18 - WING FOLD PUSH-PULL DETENTS</t>
  </si>
  <si>
    <t>4.15.3</t>
  </si>
  <si>
    <t>OH5A2A2-13</t>
  </si>
  <si>
    <t>WING FOLD .250 SHAFT</t>
  </si>
  <si>
    <t>OH5A2A2-13 - WING FOLD .250 SHAFT</t>
  </si>
  <si>
    <t>4.15.4</t>
  </si>
  <si>
    <t>OH5A2A2-15</t>
  </si>
  <si>
    <t>WING FOLD BODY UPPER CAP</t>
  </si>
  <si>
    <t>OH5A2A2-15 - WING FOLD BODY UPPER CAP</t>
  </si>
  <si>
    <t>4.15.4.1</t>
  </si>
  <si>
    <t>4.15.4.2</t>
  </si>
  <si>
    <t>4.15.5</t>
  </si>
  <si>
    <t>OH5A2A2-17</t>
  </si>
  <si>
    <t>WING FOLD BODY LOWER CAP</t>
  </si>
  <si>
    <t>OH5A2A2-17 - WING FOLD BODY LOWER CAP</t>
  </si>
  <si>
    <t>4.15.6</t>
  </si>
  <si>
    <t>OH5A2A2-16</t>
  </si>
  <si>
    <t>WING FOLD MAIN BODY</t>
  </si>
  <si>
    <t>OH5A2A2-16 - WING FOLD MAIN BODY</t>
  </si>
  <si>
    <t>4.15.7</t>
  </si>
  <si>
    <t>OH5A2A2-14</t>
  </si>
  <si>
    <t>WING FOLD LOCKING LIMIT SWITCH BRACKET</t>
  </si>
  <si>
    <t>OH5A2A2-14 - WING FOLD LOCKING LIMIT SWITCH BRACKET</t>
  </si>
  <si>
    <t>4.15.8</t>
  </si>
  <si>
    <t>OH5A2A2-10</t>
  </si>
  <si>
    <t>OH5A2A2-10 - WING FOLD HANDLE RETAINING NUT</t>
  </si>
  <si>
    <t>4.15.9</t>
  </si>
  <si>
    <t>OH5A2A2-11</t>
  </si>
  <si>
    <t>WING FOLD HANDLE</t>
  </si>
  <si>
    <t>OH5A2A2-11 - WING FOLD HANDLE</t>
  </si>
  <si>
    <t>4.15.10</t>
  </si>
  <si>
    <t>84835A44</t>
  </si>
  <si>
    <t>SPRING PLUNGER, BALL-NOSE, PRESS-FIT, .312 IN DIA, 2-5 LB FORCE</t>
  </si>
  <si>
    <t>4.15.11</t>
  </si>
  <si>
    <t>84835A36</t>
  </si>
  <si>
    <t>SPRING PLUNGER, BALL-NOSE, PRESS-FIT, .312 IN DIA, 4-10 LB FORCE</t>
  </si>
  <si>
    <t>4.15.12</t>
  </si>
  <si>
    <t>4.15.13</t>
  </si>
  <si>
    <t>4.15.14</t>
  </si>
  <si>
    <t>4.15.15</t>
  </si>
  <si>
    <t>4.15.16</t>
  </si>
  <si>
    <t>4.15.17</t>
  </si>
  <si>
    <t>4.15.18</t>
  </si>
  <si>
    <t>4.15.19</t>
  </si>
  <si>
    <t>4.15.20</t>
  </si>
  <si>
    <t>4.15.21</t>
  </si>
  <si>
    <t>4.15.22</t>
  </si>
  <si>
    <t>4.15.23</t>
  </si>
  <si>
    <t>4.15.24</t>
  </si>
  <si>
    <t>4.15.25</t>
  </si>
  <si>
    <t>4.15.26</t>
  </si>
  <si>
    <t>4.15.27</t>
  </si>
  <si>
    <t>4.15.28</t>
  </si>
  <si>
    <t>OH5A2A3-1</t>
  </si>
  <si>
    <t>ASSY, AV COOL SWITCH</t>
  </si>
  <si>
    <t>4.16.1</t>
  </si>
  <si>
    <t>OH5A2A3-10</t>
  </si>
  <si>
    <t>AV COOL LIGHTPLATE</t>
  </si>
  <si>
    <t>OH5A2A3-10 - AV COOL LIGHTPLATE</t>
  </si>
  <si>
    <t>4.16.2</t>
  </si>
  <si>
    <t>OH5A2A3-11</t>
  </si>
  <si>
    <t>AV COOL LEGEND PLATE</t>
  </si>
  <si>
    <t>OH5A2A3-11 - AV COOL LEGEND PLATE</t>
  </si>
  <si>
    <t>4.16.3</t>
  </si>
  <si>
    <t>OH5A2A3-12</t>
  </si>
  <si>
    <t>PCB, AV COOL</t>
  </si>
  <si>
    <t>OH5A2A3-12 - PCB, AV COOL REV4</t>
  </si>
  <si>
    <t>4.16.4</t>
  </si>
  <si>
    <t>4.16.4.1</t>
  </si>
  <si>
    <t>4.16.4.2</t>
  </si>
  <si>
    <t>4.16.5</t>
  </si>
  <si>
    <t>4.16.6</t>
  </si>
  <si>
    <t>4.16.7</t>
  </si>
  <si>
    <t>4.16.8</t>
  </si>
  <si>
    <t>OH5A2A3-09</t>
  </si>
  <si>
    <t>AV COOL BACKPLATE</t>
  </si>
  <si>
    <t>OH5A2A3-09 - AV COOL BACKPLATE</t>
  </si>
  <si>
    <t>4.16.9</t>
  </si>
  <si>
    <t>OH5A10A1-1</t>
  </si>
  <si>
    <t>ASSY, RIGHT CIRCUIT BREAKERS</t>
  </si>
  <si>
    <t>4.17.1</t>
  </si>
  <si>
    <t>OH5A10A1-10</t>
  </si>
  <si>
    <t>CIRCUIT BREAKER LIGHTPLATE</t>
  </si>
  <si>
    <t>OH5A10A1-10 - CIRCUIT BREAKER LIGHTPLATE</t>
  </si>
  <si>
    <t>4.17.2</t>
  </si>
  <si>
    <t>OH5A10A1-11</t>
  </si>
  <si>
    <t>CIRCUIT BREAKER LEGEND PLATE</t>
  </si>
  <si>
    <t>OH5A10A1-11 - CIRCUIT BREAKER LEGEND PLATE</t>
  </si>
  <si>
    <t>4.17.3</t>
  </si>
  <si>
    <t>OH5A1-9002</t>
  </si>
  <si>
    <t>FCS BIT PLACARD</t>
  </si>
  <si>
    <t>OH5A1-9002 - FCS BIT PLACARD</t>
  </si>
  <si>
    <t>4.17.4</t>
  </si>
  <si>
    <t>OH5A10A1-12</t>
  </si>
  <si>
    <t>CIRCUIT BREAKER BRACKET</t>
  </si>
  <si>
    <t>OH5A10A1-12 - CIRCUIT BREAKER BRACKET</t>
  </si>
  <si>
    <t>4.17.5</t>
  </si>
  <si>
    <t>4.17.6</t>
  </si>
  <si>
    <t>4.17.7</t>
  </si>
  <si>
    <t>4.17.8</t>
  </si>
  <si>
    <t>4.17.9</t>
  </si>
  <si>
    <t>4.17.10</t>
  </si>
  <si>
    <t>4.17.11</t>
  </si>
  <si>
    <t>4.17.12</t>
  </si>
  <si>
    <t>4.17.13</t>
  </si>
  <si>
    <t>4.17.14</t>
  </si>
  <si>
    <t>4.17.14.1</t>
  </si>
  <si>
    <t>4.17.14.2</t>
  </si>
  <si>
    <t>OH5A10A2-1</t>
  </si>
  <si>
    <t>ASSY, CANOPY SWITCH</t>
  </si>
  <si>
    <t>4.18.1</t>
  </si>
  <si>
    <t>OH5A10A2-10</t>
  </si>
  <si>
    <t>CANOPY SWITCH BRACKET</t>
  </si>
  <si>
    <t>OH5A10A2-10 - CANOPY SWITCH BRACKET</t>
  </si>
  <si>
    <t>4.18.2</t>
  </si>
  <si>
    <t>OH5A1-9001</t>
  </si>
  <si>
    <t>DECAL, CANOPY</t>
  </si>
  <si>
    <t>OH5A1-9001 - DECAL, CANOPY</t>
  </si>
  <si>
    <t>4.18.3</t>
  </si>
  <si>
    <t>OHC0005-3</t>
  </si>
  <si>
    <t>ASSY, SWITCH, MAGNETICALLY HELD, (ON)-OFF-ON</t>
  </si>
  <si>
    <t>4.18.3.1</t>
  </si>
  <si>
    <t>4.18.3.2</t>
  </si>
  <si>
    <t>4.18.3.3</t>
  </si>
  <si>
    <t>4.18.3.4</t>
  </si>
  <si>
    <t>4.18.3.5</t>
  </si>
  <si>
    <t>4.18.3.6</t>
  </si>
  <si>
    <t>4.18.4</t>
  </si>
  <si>
    <t>PV2F24011</t>
  </si>
  <si>
    <t>SWITCH, PUSHBUTTON, FLAT, OFF-(ON)</t>
  </si>
  <si>
    <t>4.18.5</t>
  </si>
  <si>
    <t>4.18.6</t>
  </si>
  <si>
    <t>4.18.7</t>
  </si>
  <si>
    <t>PV2F24011 - MOUNTING NUT</t>
  </si>
  <si>
    <t>OH5A9A1-1</t>
  </si>
  <si>
    <t>ASSY, KY58 PANEL</t>
  </si>
  <si>
    <t>4.19.1</t>
  </si>
  <si>
    <t>OH5A9A1-16</t>
  </si>
  <si>
    <t>PCB, KY58</t>
  </si>
  <si>
    <t>OH5A9A1-16 - PCB, KY58</t>
  </si>
  <si>
    <t>4.19.2</t>
  </si>
  <si>
    <t>OH5A9A1-10</t>
  </si>
  <si>
    <t>KY58 BACKPLATE</t>
  </si>
  <si>
    <t>OH5A9A1-10 - KY58 BACKPLATE</t>
  </si>
  <si>
    <t>4.19.3</t>
  </si>
  <si>
    <t>OH5A9A1-11</t>
  </si>
  <si>
    <t>KY58 FWD LIGHTPLATE</t>
  </si>
  <si>
    <t>OH5A9A1-11 - KY58 FWD LIGHTPLATE</t>
  </si>
  <si>
    <t>4.19.4</t>
  </si>
  <si>
    <t>OH5A9A1-12</t>
  </si>
  <si>
    <t>KY58 FWD LEGEND PLATE</t>
  </si>
  <si>
    <t>OH5A9A1-12 - KY58 FWD LEGEND PLATE</t>
  </si>
  <si>
    <t>4.19.5</t>
  </si>
  <si>
    <t>OH5A9A1-13</t>
  </si>
  <si>
    <t>KY58 AFT LIGHTPLATE</t>
  </si>
  <si>
    <t>OH5A9A1-13 - KY58 AFT LIGHTPLATE</t>
  </si>
  <si>
    <t>4.19.6</t>
  </si>
  <si>
    <t>OH5A9A1-14</t>
  </si>
  <si>
    <t>KY58 AFT LEGEND PLATE</t>
  </si>
  <si>
    <t>OH5A9A1-14 - KY58 AFT LEGEND PLATE</t>
  </si>
  <si>
    <t>4.19.7</t>
  </si>
  <si>
    <t>OH5A9A1-15</t>
  </si>
  <si>
    <t>KY58 NO PLACARD</t>
  </si>
  <si>
    <t>OH5A9A1-15 - KY58 NO PLACARD</t>
  </si>
  <si>
    <t>4.19.8</t>
  </si>
  <si>
    <t>M55116/10-0</t>
  </si>
  <si>
    <t>6 CONDUCTOR PM PLUG ASSY</t>
  </si>
  <si>
    <t>4.19.8.1</t>
  </si>
  <si>
    <t>AJ-146-10</t>
  </si>
  <si>
    <t>6 CONDUCTOR PM PLUG SUB ASSY</t>
  </si>
  <si>
    <t>4.19.8.2</t>
  </si>
  <si>
    <t>AP-136-36</t>
  </si>
  <si>
    <t>O-RING FOR M55116-10/0</t>
  </si>
  <si>
    <t>4.19.9</t>
  </si>
  <si>
    <t>AJ-146-12</t>
  </si>
  <si>
    <t>RETAINING NUT FOR M55116-10/0</t>
  </si>
  <si>
    <t>4.19.10</t>
  </si>
  <si>
    <t>OHC0003-A-484DBW4</t>
  </si>
  <si>
    <t>ASSY, KNOB, BLACK, LARGE, .25 D-SHAFT</t>
  </si>
  <si>
    <t>4.19.10.1</t>
  </si>
  <si>
    <t>OHC0003-484DBW4</t>
  </si>
  <si>
    <t>KNOB, BLACK, LARGE, .25 D-SHAFT</t>
  </si>
  <si>
    <t>OHC0003-484DBW4 - KNOB, BLACK, LARGE, .25 D-SHAFT</t>
  </si>
  <si>
    <t>4.19.10.2</t>
  </si>
  <si>
    <t>4.19.11</t>
  </si>
  <si>
    <t>OHC0003-A-287ABW4</t>
  </si>
  <si>
    <t>ASSY, KNOB, BLACK, .25 D-SHAFT</t>
  </si>
  <si>
    <t>4.19.11.1</t>
  </si>
  <si>
    <t>OHC0003-287ABW4</t>
  </si>
  <si>
    <t>KNOB, BLACK, .25 D-SHAFT</t>
  </si>
  <si>
    <t>OHC0003-287ABW4 - KNOB, BLACK, .25 D-SHAFT</t>
  </si>
  <si>
    <t>4.19.11.2</t>
  </si>
  <si>
    <t>4.19.12</t>
  </si>
  <si>
    <t>OHC0003-A-384ABW2</t>
  </si>
  <si>
    <t>ASSY, KNOB, BLACK, .125 D-SHAFT</t>
  </si>
  <si>
    <t>4.19.12.1</t>
  </si>
  <si>
    <t>OHC0003-384ABW2</t>
  </si>
  <si>
    <t>KNOB, BLACK, .125 D-SHAFT</t>
  </si>
  <si>
    <t>OHC0003-384ABW2 - KNOB, BLACK, .125 D-SHAFT</t>
  </si>
  <si>
    <t>4.19.12.2</t>
  </si>
  <si>
    <t>4.19.13</t>
  </si>
  <si>
    <t>4.19.14</t>
  </si>
  <si>
    <t>4.19.15</t>
  </si>
  <si>
    <t>4.19.16</t>
  </si>
  <si>
    <t>4.19.17</t>
  </si>
  <si>
    <t>4.19.18</t>
  </si>
  <si>
    <t>4.19.19</t>
  </si>
  <si>
    <t>4.19.20</t>
  </si>
  <si>
    <t>OH5A9A1-100</t>
  </si>
  <si>
    <t>ASSY, KY58 ABSIS MODULE</t>
  </si>
  <si>
    <t>OH5A9A1-100 - ASSY, KY58 ABSIS MODULE</t>
  </si>
  <si>
    <t>4.19.20.1</t>
  </si>
  <si>
    <t>KY58 PANEL ABSIS ADAPTER PLATE</t>
  </si>
  <si>
    <t>OH5A9A1-16 - KY58 PANEL ABSIS ADAPTER PLATE</t>
  </si>
  <si>
    <t>4.19.20.2</t>
  </si>
  <si>
    <t>4.19.20.3</t>
  </si>
  <si>
    <t>4.19.20.4</t>
  </si>
  <si>
    <t>4.19.20.4.1</t>
  </si>
  <si>
    <t>4.19.20.4.2</t>
  </si>
  <si>
    <t>4.19.21</t>
  </si>
  <si>
    <t>4.19.22</t>
  </si>
  <si>
    <t>51M30-01-2-03N</t>
  </si>
  <si>
    <t>SWITCH, ROTARY, 3 POS, 30 DEG</t>
  </si>
  <si>
    <t>4.19.23</t>
  </si>
  <si>
    <t>HEX NUT FOR SWITCH, M6 X 0.75</t>
  </si>
  <si>
    <t>4.19.24</t>
  </si>
  <si>
    <t>4.19.25</t>
  </si>
  <si>
    <t>4.19.26</t>
  </si>
  <si>
    <t>4.19.27</t>
  </si>
  <si>
    <t>OH5A6A1-1</t>
  </si>
  <si>
    <t>ASSY, INTR LT PANEL</t>
  </si>
  <si>
    <t>4.20.1</t>
  </si>
  <si>
    <t>OH5A6A1-13</t>
  </si>
  <si>
    <t>PCB, INTR LT</t>
  </si>
  <si>
    <t>OH5A6A1-13 - PCB, INTR LT</t>
  </si>
  <si>
    <t>4.20.2</t>
  </si>
  <si>
    <t>OH5A6A1-10</t>
  </si>
  <si>
    <t>INTR LT BACKPLATE</t>
  </si>
  <si>
    <t>OH5A6A1-10 - INTR LT BACKPLATE</t>
  </si>
  <si>
    <t>4.20.3</t>
  </si>
  <si>
    <t>OH5A6A1-11</t>
  </si>
  <si>
    <t>INTR LT LIGHTPLATE</t>
  </si>
  <si>
    <t>OH5A6A1-11 - INTR LT LIGHTPLATE</t>
  </si>
  <si>
    <t>4.20.4</t>
  </si>
  <si>
    <t>OH5A6A1-12</t>
  </si>
  <si>
    <t>INTR LT LEGEND PLATE</t>
  </si>
  <si>
    <t>OH5A6A1-12 - INTR LT LEGEND PLATE</t>
  </si>
  <si>
    <t>4.20.5</t>
  </si>
  <si>
    <t>4.20.6</t>
  </si>
  <si>
    <t>635H/2</t>
  </si>
  <si>
    <t>SWITCH, TOGGLE, ON-MOM, STD BAT</t>
  </si>
  <si>
    <t>4.20.7</t>
  </si>
  <si>
    <t>4.20.7.1</t>
  </si>
  <si>
    <t>4.20.7.2</t>
  </si>
  <si>
    <t>4.20.8</t>
  </si>
  <si>
    <t>4.20.9</t>
  </si>
  <si>
    <t>4.20.10</t>
  </si>
  <si>
    <t>4.20.11</t>
  </si>
  <si>
    <t>OH5A6A1-100</t>
  </si>
  <si>
    <t>ASSY, INTR LT ABSIS MODULE</t>
  </si>
  <si>
    <t>OH5A6A1-100 - ASSY, INTR LT ABSIS MODULE</t>
  </si>
  <si>
    <t>4.20.11.1</t>
  </si>
  <si>
    <t>OH5A6A1-14</t>
  </si>
  <si>
    <t>INT LT PANEL ABSIS ADAPTER PLATE</t>
  </si>
  <si>
    <t>OH5A6A1-14 - INT LT PANEL ABSIS ADAPTER PLATE</t>
  </si>
  <si>
    <t>4.20.11.2</t>
  </si>
  <si>
    <t>4.20.11.3</t>
  </si>
  <si>
    <t>4.20.11.4</t>
  </si>
  <si>
    <t>4.20.11.4.1</t>
  </si>
  <si>
    <t>4.20.11.4.2</t>
  </si>
  <si>
    <t>4.20.12</t>
  </si>
  <si>
    <t>91249A144</t>
  </si>
  <si>
    <t>PHS, #6-32 X .250, 18-8, BLK</t>
  </si>
  <si>
    <t>4.20.13</t>
  </si>
  <si>
    <t>OHC0003-A-385EGB4</t>
  </si>
  <si>
    <t>4.20.13.1</t>
  </si>
  <si>
    <t>OHC0003-385EGB4</t>
  </si>
  <si>
    <t>OHC0003-385EGB4 - KNOB, GREY, .25 D-SHAFT</t>
  </si>
  <si>
    <t>4.20.13.2</t>
  </si>
  <si>
    <t>4.20.14</t>
  </si>
  <si>
    <t>OHC0003-A-385BGB4</t>
  </si>
  <si>
    <t>4.20.14.1</t>
  </si>
  <si>
    <t>OHC0003-385BGB4</t>
  </si>
  <si>
    <t>OHC0003-385BGB4 - KNOB, GREY, .25 D-SHAFT</t>
  </si>
  <si>
    <t>4.20.14.2</t>
  </si>
  <si>
    <t>4.20.15</t>
  </si>
  <si>
    <t>4.20.15.1</t>
  </si>
  <si>
    <t>4.20.15.2</t>
  </si>
  <si>
    <t>4.20.15.3</t>
  </si>
  <si>
    <t>4.20.16</t>
  </si>
  <si>
    <t>4.20.17</t>
  </si>
  <si>
    <t>4.20.18</t>
  </si>
  <si>
    <t>4.20.19</t>
  </si>
  <si>
    <t>4.20.20</t>
  </si>
  <si>
    <t>OH5A5A1-1</t>
  </si>
  <si>
    <t>ASSY, ECS PANEL</t>
  </si>
  <si>
    <t>4.21.1</t>
  </si>
  <si>
    <t>OH5A5A1-13</t>
  </si>
  <si>
    <t>PCB, ECS</t>
  </si>
  <si>
    <t>OH5A5A1-13 - PCB, ECS</t>
  </si>
  <si>
    <t>4.21.2</t>
  </si>
  <si>
    <t>OH5A5A1-10</t>
  </si>
  <si>
    <t>ECS LIGHTPLATE</t>
  </si>
  <si>
    <t>OH5A5A1-10 - ECS LIGHTPLATE</t>
  </si>
  <si>
    <t>4.21.3</t>
  </si>
  <si>
    <t>OH5A5A1-12</t>
  </si>
  <si>
    <t>ECS LEGEND PLATE</t>
  </si>
  <si>
    <t>OH5A5A1-12 - ECS LEGEND PLATE</t>
  </si>
  <si>
    <t>4.21.4</t>
  </si>
  <si>
    <t>OH5A5A1-11</t>
  </si>
  <si>
    <t>ECS BACKPLATE</t>
  </si>
  <si>
    <t>OH5A5A1-11 - ECS BACKPLATE</t>
  </si>
  <si>
    <t>4.21.5</t>
  </si>
  <si>
    <t>OH5A5A1-18</t>
  </si>
  <si>
    <t>ECS PANEL ABSIS ADAPTER PLATE</t>
  </si>
  <si>
    <t>OH5A5A1-18 - ECS PANEL ABSIS ADAPTER PLATE</t>
  </si>
  <si>
    <t>4.21.6</t>
  </si>
  <si>
    <t>4.21.7</t>
  </si>
  <si>
    <t>4.21.8</t>
  </si>
  <si>
    <t>4.21.9</t>
  </si>
  <si>
    <t>4.21.10</t>
  </si>
  <si>
    <t>4.21.10.1</t>
  </si>
  <si>
    <t>4.21.10.2</t>
  </si>
  <si>
    <t>4.21.10.3</t>
  </si>
  <si>
    <t>4.21.10.4</t>
  </si>
  <si>
    <t>4.21.10.5</t>
  </si>
  <si>
    <t>4.21.10.6</t>
  </si>
  <si>
    <t>4.21.11</t>
  </si>
  <si>
    <t>638H/2</t>
  </si>
  <si>
    <t>SWITCH, TOGGLE, ON-OFF-MOM, STD BAT</t>
  </si>
  <si>
    <t>4.21.12</t>
  </si>
  <si>
    <t>4.21.13</t>
  </si>
  <si>
    <t>4.21.14</t>
  </si>
  <si>
    <t>4.21.15</t>
  </si>
  <si>
    <t>4.21.16</t>
  </si>
  <si>
    <t>4.21.17</t>
  </si>
  <si>
    <t>4.21.18</t>
  </si>
  <si>
    <t>4.21.19</t>
  </si>
  <si>
    <t>4.21.20</t>
  </si>
  <si>
    <t>4.21.21</t>
  </si>
  <si>
    <t>4.21.22</t>
  </si>
  <si>
    <t>OHC0003-A-8CONGB3</t>
  </si>
  <si>
    <t>ASSY, KNOB, GREY, .25 SHAFT, 12-FLUTES</t>
  </si>
  <si>
    <t>4.21.22.1</t>
  </si>
  <si>
    <t>OHC0003-4CONGB3</t>
  </si>
  <si>
    <t>KNOB, GREY, .25 SHAFT, 12-FLUTES</t>
  </si>
  <si>
    <t>OHC0003-4CONGB3 - KNOB, GREY, .25 SHAFT, 12-FLUTES</t>
  </si>
  <si>
    <t>4.21.22.2</t>
  </si>
  <si>
    <t>92311A191</t>
  </si>
  <si>
    <t>SET SCREW, 8-32 X .3125, CUP POINT, 18-8</t>
  </si>
  <si>
    <t>4.21.23</t>
  </si>
  <si>
    <t>OHC0003-A-18FLGB1</t>
  </si>
  <si>
    <t>4.21.23.1</t>
  </si>
  <si>
    <t>OHC0003-18FLGB1</t>
  </si>
  <si>
    <t>OHC0003-18FLGB1 - KNOB, GREY, .125 SHAFT</t>
  </si>
  <si>
    <t>4.21.23.2</t>
  </si>
  <si>
    <t>4.21.24</t>
  </si>
  <si>
    <t>OHC0003-A-1AUGGN6</t>
  </si>
  <si>
    <t>ASSY, KNOB, GREY, AUG-PULL, .125 SHAFT</t>
  </si>
  <si>
    <t>4.21.24.1</t>
  </si>
  <si>
    <t>OHC0003-1AUGGN6</t>
  </si>
  <si>
    <t>KNOB, GREY, AUG-PULL, .125 SHAFT</t>
  </si>
  <si>
    <t>OHC0003-1AUGGN6 - KNOB, GREY, AUG-PULL, .125 SHAFT</t>
  </si>
  <si>
    <t>4.21.24.2</t>
  </si>
  <si>
    <t>4.21.24.3</t>
  </si>
  <si>
    <t>4.21.25</t>
  </si>
  <si>
    <t>4.21.25.1</t>
  </si>
  <si>
    <t>4.21.25.2</t>
  </si>
  <si>
    <t>4.21.26</t>
  </si>
  <si>
    <t>OH5A5A1-200</t>
  </si>
  <si>
    <t>ASSY, BLEED AIR KNOB MECHANISM</t>
  </si>
  <si>
    <t>4.21.26.1</t>
  </si>
  <si>
    <t>OH5A5A1-201</t>
  </si>
  <si>
    <t>ASSY, UPPER BRACKET</t>
  </si>
  <si>
    <t>OH5A5A1-201 - ASSY, UPPER BRACKET</t>
  </si>
  <si>
    <t>4.21.26.1.1</t>
  </si>
  <si>
    <t>OH5A5A1-202</t>
  </si>
  <si>
    <t>UPPER BRACKET</t>
  </si>
  <si>
    <t>OH5A5A1-202 - UPPER BRACKET</t>
  </si>
  <si>
    <t>4.21.26.1.2</t>
  </si>
  <si>
    <t>4.21.26.1.3</t>
  </si>
  <si>
    <t>4.21.26.1.4</t>
  </si>
  <si>
    <t>4.21.26.2</t>
  </si>
  <si>
    <t>OH5A5A1-203</t>
  </si>
  <si>
    <t>ASSY, LOWER BRACKET</t>
  </si>
  <si>
    <t>OH5A5A1-203 - ASSY, LOWER BRACKET</t>
  </si>
  <si>
    <t>4.21.26.2.1</t>
  </si>
  <si>
    <t>OH5A5A1-204</t>
  </si>
  <si>
    <t>LOWER BRACKET</t>
  </si>
  <si>
    <t>OH5A5A1-204 - LOWER BRACKET</t>
  </si>
  <si>
    <t>4.21.26.2.2</t>
  </si>
  <si>
    <t>4.21.26.2.3</t>
  </si>
  <si>
    <t>4.21.26.3</t>
  </si>
  <si>
    <t>OH5A5A1-205</t>
  </si>
  <si>
    <t>ASSY, SOLENOID BRACKET</t>
  </si>
  <si>
    <t>OH5A5A1-205 - ASSY, SOLENOID BRACKET</t>
  </si>
  <si>
    <t>4.21.26.3.1</t>
  </si>
  <si>
    <t>OH5A5A1-206</t>
  </si>
  <si>
    <t>SOLENOID BRACKET</t>
  </si>
  <si>
    <t>OH5A5A1-206 - SOLENOID BRACKET</t>
  </si>
  <si>
    <t>4.21.26.3.2</t>
  </si>
  <si>
    <t>4.21.26.3.3</t>
  </si>
  <si>
    <t>4.21.26.4</t>
  </si>
  <si>
    <t>OH5A5A1-209</t>
  </si>
  <si>
    <t>ROTATING SHAFT</t>
  </si>
  <si>
    <t>OH5A5A1-209 - ROTATING SHAFT</t>
  </si>
  <si>
    <t>4.21.26.5</t>
  </si>
  <si>
    <t>GEAR, PINION, .250 BORE, 32 PITCH, .75 PD, 24 TOOTH, .813 OD, BRASS, SERVOCITY</t>
  </si>
  <si>
    <t>4.21.26.6</t>
  </si>
  <si>
    <t>DSOL-0630-12E</t>
  </si>
  <si>
    <t>SOLENOID, OPEN-FRAME, PULL, INTERMITTENT, 12V, .50 STROKE</t>
  </si>
  <si>
    <t>4.21.26.7</t>
  </si>
  <si>
    <t>A12405RNZQ</t>
  </si>
  <si>
    <t>SWITCH, ROTARY, 90 DEG, 4 POS</t>
  </si>
  <si>
    <t>4.21.26.8</t>
  </si>
  <si>
    <t>OH5A5A1-207</t>
  </si>
  <si>
    <t>ASSY, PULL SHAFT COUPLER</t>
  </si>
  <si>
    <t>OH5A5A1-207 - ASSY, PULL SHAFT COUPLER</t>
  </si>
  <si>
    <t>4.21.26.8.1</t>
  </si>
  <si>
    <t>OH5A5A1-208</t>
  </si>
  <si>
    <t>PULL SHAFT COUPLER</t>
  </si>
  <si>
    <t>OH5A5A1-208 - PULL SHAFT COUPLER</t>
  </si>
  <si>
    <t>4.21.26.8.2</t>
  </si>
  <si>
    <t>4.21.26.9</t>
  </si>
  <si>
    <t>93025A568</t>
  </si>
  <si>
    <t>ROD, #6-32 X 3.00, BRASS</t>
  </si>
  <si>
    <t>4.21.26.10</t>
  </si>
  <si>
    <t>4.21.26.11</t>
  </si>
  <si>
    <t>4.21.26.12</t>
  </si>
  <si>
    <t>90480A003</t>
  </si>
  <si>
    <t>NUT, #2-56, STEEL</t>
  </si>
  <si>
    <t>4.21.26.13</t>
  </si>
  <si>
    <t>ESE-11HS2</t>
  </si>
  <si>
    <t>SWITCH, DETECTOR, SPST</t>
  </si>
  <si>
    <t>4.21.26.14</t>
  </si>
  <si>
    <t>4.21.26.15</t>
  </si>
  <si>
    <t>4.21.26.16</t>
  </si>
  <si>
    <t>4.21.26.17</t>
  </si>
  <si>
    <t>4.21.26.18</t>
  </si>
  <si>
    <t>92503A180</t>
  </si>
  <si>
    <t>WASHER, #6 X 0.56 OD, 18-8, MIL-SPEC</t>
  </si>
  <si>
    <t>4.21.26.19</t>
  </si>
  <si>
    <t>4.21.26.20</t>
  </si>
  <si>
    <t>4.21.26.21</t>
  </si>
  <si>
    <t>4.21.26.22</t>
  </si>
  <si>
    <t>4.21.26.23</t>
  </si>
  <si>
    <t>84835A11</t>
  </si>
  <si>
    <t>SPRING PLUNGER, BALL-NOSE, PRESS-FIT, 0.188 IN DIA</t>
  </si>
  <si>
    <t>4.21.27</t>
  </si>
  <si>
    <t>4.21.28</t>
  </si>
  <si>
    <t>4.21.28.1</t>
  </si>
  <si>
    <t>4.21.28.2</t>
  </si>
  <si>
    <t>4.21.29</t>
  </si>
  <si>
    <t>4.21.30</t>
  </si>
  <si>
    <t>4.21.31</t>
  </si>
  <si>
    <t>4.21.32</t>
  </si>
  <si>
    <t>4.21.33</t>
  </si>
  <si>
    <t xml:space="preserve">OH5A5A1-300 </t>
  </si>
  <si>
    <t>ASSY, ALTERNATE DUAL SHAFT POT</t>
  </si>
  <si>
    <t>OH5A5A1-300 - ASSY, ALTERNATE DUAL SHAFT POT</t>
  </si>
  <si>
    <t>4.21.33.1</t>
  </si>
  <si>
    <t>P082D-27CBR10K</t>
  </si>
  <si>
    <t>POT, DUAL SHAFT, 10K, W/ 11X DETENTS</t>
  </si>
  <si>
    <t>4.21.33.2</t>
  </si>
  <si>
    <t>OH5A5A1-301</t>
  </si>
  <si>
    <t>DUAL SHAFT POT MOUNT</t>
  </si>
  <si>
    <t>OH5A5A1-301 - DUAL SHAFT POT MOUNT</t>
  </si>
  <si>
    <t>4.21.33.3</t>
  </si>
  <si>
    <t>4.21.33.4</t>
  </si>
  <si>
    <t>4.21.33.5</t>
  </si>
  <si>
    <t>OH5A5A1-302</t>
  </si>
  <si>
    <t>OUTER SHAFT</t>
  </si>
  <si>
    <t>OH5A5A1-302 - OUTER SHAFT</t>
  </si>
  <si>
    <t>4.21.33.6</t>
  </si>
  <si>
    <t>OH5A5A1-303</t>
  </si>
  <si>
    <t>INNER SHAFT</t>
  </si>
  <si>
    <t>OH5A5A1-303 - INNER SHAFT</t>
  </si>
  <si>
    <t>OH5A2A1-1</t>
  </si>
  <si>
    <t>ASSY, HOOK LEVER &amp; INDICATOR</t>
  </si>
  <si>
    <t>4.32.1</t>
  </si>
  <si>
    <t>OH5A2A1-16</t>
  </si>
  <si>
    <t>HOOK LEVER CHASSIS .250 SHAFT</t>
  </si>
  <si>
    <t>OH5A2A1-16 - HOOK LEVER CHASSIS .250 SHAFT</t>
  </si>
  <si>
    <t>4.32.2</t>
  </si>
  <si>
    <t>OH5A2A1-10</t>
  </si>
  <si>
    <t>ASSY, HOOK LEVER</t>
  </si>
  <si>
    <t>OH5A2A1-10 - ASSY, HOOK LEVER</t>
  </si>
  <si>
    <t>4.32.2.1</t>
  </si>
  <si>
    <t>OH5A2A1-11</t>
  </si>
  <si>
    <t>HOOK LEVER BODY</t>
  </si>
  <si>
    <t>OH5A2A1-11A - HOOK LEVER BODY</t>
  </si>
  <si>
    <t>4.32.2.1.1</t>
  </si>
  <si>
    <t>4.32.2.1.2</t>
  </si>
  <si>
    <t>4.32.2.1.3</t>
  </si>
  <si>
    <t>OH5A2A1-11 - HOOK LEVER BODY</t>
  </si>
  <si>
    <t>4.32.2.1.4</t>
  </si>
  <si>
    <t>4.32.2.2</t>
  </si>
  <si>
    <t>OH5A2A1-12</t>
  </si>
  <si>
    <t>HOOK LEVER</t>
  </si>
  <si>
    <t>OH5A2A1-12 - HOOK LEVER</t>
  </si>
  <si>
    <t>4.32.2.3</t>
  </si>
  <si>
    <t>4.32.2.4</t>
  </si>
  <si>
    <t>4.32.2.5</t>
  </si>
  <si>
    <t>4.32.3</t>
  </si>
  <si>
    <t>OH5A2A1-13</t>
  </si>
  <si>
    <t>ASSY, HOOK LEVER CHASSIS</t>
  </si>
  <si>
    <t>OH5A2A1-13L - ASSY, HOOK LEVER CHASSIS</t>
  </si>
  <si>
    <t>4.32.3.1</t>
  </si>
  <si>
    <t>OH5A2A1-15</t>
  </si>
  <si>
    <t>LEFT HOOK LEVER CHASSIS</t>
  </si>
  <si>
    <t>OH5A2A1-15 - LEFT HOOK LEVER CHASSIS</t>
  </si>
  <si>
    <t>4.32.3.2</t>
  </si>
  <si>
    <t>4.32.3.3</t>
  </si>
  <si>
    <t>4.32.3.4</t>
  </si>
  <si>
    <t>4.32.3.5</t>
  </si>
  <si>
    <t>92141A029</t>
  </si>
  <si>
    <t>WASHER, 0.281 X .625 OD, 18-8</t>
  </si>
  <si>
    <t>4.32.3.6</t>
  </si>
  <si>
    <t>4.32.3.7</t>
  </si>
  <si>
    <t>4.32.4</t>
  </si>
  <si>
    <t>OH5A2A1-17</t>
  </si>
  <si>
    <t>ASSY, HOOK INDICATOR</t>
  </si>
  <si>
    <t>OH5A2A1-17 - ASSY, HOOK INDICATOR</t>
  </si>
  <si>
    <t>4.32.4.1</t>
  </si>
  <si>
    <t>OH5A2A1-18</t>
  </si>
  <si>
    <t>HOOK IND BODY</t>
  </si>
  <si>
    <t>OH5A2A1-18 - HOOK IND BODY</t>
  </si>
  <si>
    <t>4.32.4.2</t>
  </si>
  <si>
    <t>OH5A2A1-19</t>
  </si>
  <si>
    <t>HOOK IND COVER</t>
  </si>
  <si>
    <t>OH5A2A1-19 - HOOK IND COVER</t>
  </si>
  <si>
    <t>4.32.4.3</t>
  </si>
  <si>
    <t>OH5A2A1-20</t>
  </si>
  <si>
    <t>HOOK LEGEND</t>
  </si>
  <si>
    <t>OH5A2A1-20 - HOOK LEGEND</t>
  </si>
  <si>
    <t>4.32.4.4</t>
  </si>
  <si>
    <t>OH5A2A1-21</t>
  </si>
  <si>
    <t>HOOK DIFFUSER</t>
  </si>
  <si>
    <t>OH5A2A1-21 - HOOK DIFFUSER</t>
  </si>
  <si>
    <t>4.32.4.5</t>
  </si>
  <si>
    <t>HOOK IND MOUNTING PLATE</t>
  </si>
  <si>
    <t>OH5A2A1-12 - HOOK IND MOUNTING PLATE</t>
  </si>
  <si>
    <t>4.32.4.6</t>
  </si>
  <si>
    <t>CR-104</t>
  </si>
  <si>
    <t>HOLDER, LED, 3MM</t>
  </si>
  <si>
    <t>4.32.4.6.1</t>
  </si>
  <si>
    <t>C-104</t>
  </si>
  <si>
    <t>HOLDER, LED, CLIP</t>
  </si>
  <si>
    <t>4.32.4.6.2</t>
  </si>
  <si>
    <t>R-104</t>
  </si>
  <si>
    <t>HOLDER, LED, RING</t>
  </si>
  <si>
    <t>4.32.4.7</t>
  </si>
  <si>
    <t>4.32.5</t>
  </si>
  <si>
    <t>4.32.6</t>
  </si>
  <si>
    <t>91249A164</t>
  </si>
  <si>
    <t>4.32.7</t>
  </si>
  <si>
    <t>4.32.8</t>
  </si>
  <si>
    <t>OH5A2A1-13R</t>
  </si>
  <si>
    <t>ASSY, HOOK LEVER CHASSIS RIGHT</t>
  </si>
  <si>
    <t>OH5A2A1-13R - ASSY, HOOK LEVER CHASSIS RIGHT</t>
  </si>
  <si>
    <t>4.32.8.1</t>
  </si>
  <si>
    <t>OH5A2A1-14</t>
  </si>
  <si>
    <t>RIGHT HOOK LEVER CHASSIS</t>
  </si>
  <si>
    <t>OH5A2A1-14 - RIGHT HOOK LEVER CHASSIS</t>
  </si>
  <si>
    <t>4.32.8.2</t>
  </si>
  <si>
    <t>4.32.8.3</t>
  </si>
  <si>
    <t>4.32.8.4</t>
  </si>
  <si>
    <t>4.32.8.5</t>
  </si>
  <si>
    <t>4.33.1</t>
  </si>
  <si>
    <t>4.33.2</t>
  </si>
  <si>
    <t>4.34.1</t>
  </si>
  <si>
    <t>4.34.2</t>
  </si>
  <si>
    <t>OHC0013-2</t>
  </si>
  <si>
    <t>ASSY, RIGHT BULKHEAD INTERCONNECT PANEL</t>
  </si>
  <si>
    <t>4.35.1</t>
  </si>
  <si>
    <t>4.35.2</t>
  </si>
  <si>
    <t>4.35.3</t>
  </si>
  <si>
    <t>4.35.4</t>
  </si>
  <si>
    <t>4.35.5</t>
  </si>
  <si>
    <t>4.36.1</t>
  </si>
  <si>
    <t>4.36.2</t>
  </si>
  <si>
    <t>4.36.3</t>
  </si>
  <si>
    <t>OH0A1-100 - ASSY, LOWER &amp; UPPER INSTRUMENT PANEL</t>
  </si>
  <si>
    <t>OH2A1-1 - ASSY, LOWER INSTRUMENT PANEL</t>
  </si>
  <si>
    <t>OH2A1A1-1 - ASSY, LOWER INSTRUMENT PANEL STRUCTURE</t>
  </si>
  <si>
    <t>90252A115 - FHWS, 82DEG, #8 X 1.50, STEEL, BLK, FOR MDF</t>
  </si>
  <si>
    <t>92105A660 - INSERT, 8-32, SELF TAPPING, FOR SOFTWOOD</t>
  </si>
  <si>
    <t>90471A436 - FHS, 100DEG, #8-32 X 1.25, STEEL</t>
  </si>
  <si>
    <t>90471A435 - FHS, 100DEG, #8-32 X .625, STEEL</t>
  </si>
  <si>
    <t>93365A140 - INSERT, 8-32, BRASS, FOR PLASTICS</t>
  </si>
  <si>
    <t>91841A009 - NUT, #8-32, 18-8</t>
  </si>
  <si>
    <t>98023A113 - WASHER, #8, STEEL, ZINC</t>
  </si>
  <si>
    <t>90272A203 - PHS, #8-32 X 1.50, STEEL</t>
  </si>
  <si>
    <t>90272A201 - PHS, #8-32 X 1.250, STEEL</t>
  </si>
  <si>
    <t>90252A112 - FHWS, 82DEG, #8 X 1.00, STEEL, BLK, FOR MDF</t>
  </si>
  <si>
    <t>90471A276 - FHS, 100DEG, #8-32 X 1.00, STEEL</t>
  </si>
  <si>
    <t>OH2A7A1-1 - ASSY, STANDBY INSTRUMENT MODULE</t>
  </si>
  <si>
    <t>93365A110 - INSERT, 2-56, BRASS, FOR PLASTIC</t>
  </si>
  <si>
    <t>OH2A7A1-100 - AIRSPEED INDICATOR</t>
  </si>
  <si>
    <t>OHC0007-1 - ASSY, 2IN GAUGE SGL STPR MECH W/ ZERO DETECT</t>
  </si>
  <si>
    <t>1938 - LED, NEOPIXEL, DIFFUSED 5MM TH</t>
  </si>
  <si>
    <t>91780A028 - STANDOFF, #2-56 X .375, .125 HEX, FEMALE, 6061</t>
  </si>
  <si>
    <t>90471A115 - FHS, 100DEG, #2-56 X .250, STEEL</t>
  </si>
  <si>
    <t>90272A077 - PHS, #2-56 X .250, STEEL</t>
  </si>
  <si>
    <t>99461A914 - PHS, M2, 5MM, SELF-TAP, 18-8</t>
  </si>
  <si>
    <t>VID29-02P - MICROSTEPPER, GAUGE, 315 DEG ROT (MODIFIED)</t>
  </si>
  <si>
    <t>OHC0007-100 - UTIL PHOTOSWITCH</t>
  </si>
  <si>
    <t>OHC0007-14 - PCB, STANDBY AIRSPEED_VVI</t>
  </si>
  <si>
    <t>OHC0007-11 - 2IN GAUGE COVER GLASS</t>
  </si>
  <si>
    <t>OHC0007-12 - 2IN GAUGE DIAL FACE SPACER</t>
  </si>
  <si>
    <t>OHC0007-13 - 2IN GAUGE POINTER</t>
  </si>
  <si>
    <t>OH2A7A1-200 - ALTIMETER</t>
  </si>
  <si>
    <t>92311A102 - SET SCREW, 4-40 X .093 CUP POINT, 18-8</t>
  </si>
  <si>
    <t>PEC11R-4230F-N0024 - ENCODER, INC, QUAD, DETENT, NO SWITCH</t>
  </si>
  <si>
    <t>PEC11R NUT - HEX NUT FOR SWITCH, M7 X .75</t>
  </si>
  <si>
    <t>ER-OLEDM0.91-1W-I2C - OLED, 0.91IN, WHT ON BLK, 128X32, SPI</t>
  </si>
  <si>
    <t>OH2A7A1-210 - PCB, STANDBY ALTIMETER</t>
  </si>
  <si>
    <t>OH2A7A1-300 - VERTICAL VELOCITY INDICATOR</t>
  </si>
  <si>
    <t>OH2A7A1-400 - RWR</t>
  </si>
  <si>
    <t>92311A105 - SET SCREW, 4-40 X .1875, CUP POINT, 18-8</t>
  </si>
  <si>
    <t>3310P-101-103L - POT, 10K LINEAR, 9MM SQ, 3.18 X 12.7 D-SHAFT</t>
  </si>
  <si>
    <t>GL276TFT01A - LCD, 2.8 ROUND, 480X480 RESOLUTION</t>
  </si>
  <si>
    <t>93365A120 - INSERT, 4-40, BRASS, FOR PLASTICS</t>
  </si>
  <si>
    <t>90618A200 - WASHER, #4 X .250, 18-8, BLACK OXIDE</t>
  </si>
  <si>
    <t>91249A111 - PHS, #4-40 X .50, 18-8, BLK</t>
  </si>
  <si>
    <t>LRX_H2TTL40PSPI_V2.1 - PCB, RGB TO HDMI CONVERTER</t>
  </si>
  <si>
    <t>94070A076 - PHS, #2-56 X .1875, BRASS</t>
  </si>
  <si>
    <t>95130A105 - NUT, #2-56, NARROW, BRASS</t>
  </si>
  <si>
    <t>OH2A7A1-500 - SARI</t>
  </si>
  <si>
    <t>PEC11R-4220F-S0012 - ENCODER, INC, QUAD, DETENT, SWITCH, 12PPR, 6MM DIA X 20MM FLAT SHAFT</t>
  </si>
  <si>
    <t>9533NCDK - SWITCH, PUSHBUTTON, MICRO, APEM</t>
  </si>
  <si>
    <t>PEC11R WASHER - WASHER FOR SWITCH, M7, 12 MM OD</t>
  </si>
  <si>
    <t>93505A217 - STANDOFF, #2-56 X 1.00, .1875 HEX, MALE-FEMALE, ALUMINUM</t>
  </si>
  <si>
    <t>91249A151 - PHS, #6-32 X .625, 18-8, BLK</t>
  </si>
  <si>
    <t>OH2A2A1-1 - ASSY, LEFT LIP MODULE</t>
  </si>
  <si>
    <t>93365A130 - INSERT, 6-32, BRASS, FOR PLASTIC</t>
  </si>
  <si>
    <t>91249A148 - PHS, #6-32 X .50, 18-8, BLK</t>
  </si>
  <si>
    <t>91249A156 - PHS, #6-32 X .8750, 18-8, BLK</t>
  </si>
  <si>
    <t>91249A146 - PHS, #6-32 X .375, 18-8, BLK</t>
  </si>
  <si>
    <t>ER-TFTV101A1-1 - HDMI CONTROLLER PCB</t>
  </si>
  <si>
    <t>91780A337 - STANDOFF, #6-32 X 1.50, .25 HEX, FEMALE, ALUMINUM</t>
  </si>
  <si>
    <t>90471A220 - FHS, 100DEG, #6-32 X .500, STEEL</t>
  </si>
  <si>
    <t>91780A105 - STANDOFF, #2-56 X .375, .1875 HEX, FEMALE, ALUMINUM</t>
  </si>
  <si>
    <t>90272A079 - PHS, #2-56 X .375, STEEL</t>
  </si>
  <si>
    <t>DEV-12640 - ARDUINO PRO MICRO, 5V, 16 MHZ, SPARKFUN</t>
  </si>
  <si>
    <t>92141A003 - WASHER, #2 X .250 OD, 18-8</t>
  </si>
  <si>
    <t>ABSIS001 - ASSY, ABSIS ALE</t>
  </si>
  <si>
    <t>ABSIS001-10 - PCB, ABSIS ALE</t>
  </si>
  <si>
    <t>OH2A2A1A2-1 - ASSY, PANEL, IFEI</t>
  </si>
  <si>
    <t>91249A021 - PHS, #0-80 X 0.375, 18-8, BLK</t>
  </si>
  <si>
    <t>92671A115 - NUT, #0-80, BRASS</t>
  </si>
  <si>
    <t>OH2A2A1A3-1 - ASSY, PANEL, VIDEO RECORD</t>
  </si>
  <si>
    <t>100SP3T8B13M1QEH - SWITCH, TOGGLE, ON-OFF-ON, SPDT, 18MM BAT</t>
  </si>
  <si>
    <t>HDW17 - LOCKING RING, B13</t>
  </si>
  <si>
    <t>HDW12 - LOCK WASHER, B13</t>
  </si>
  <si>
    <t>HDW4 - NUT, B13</t>
  </si>
  <si>
    <t>100SP1T8B13M1QEH - SWITCH, TOGGLE, ON-ON, SPDT, 18MM BAT</t>
  </si>
  <si>
    <t>P170S-FC20BR10K - POT, 10K, PNL MNT, SIDE ADJ W/ SW</t>
  </si>
  <si>
    <t>OHC0003-A-012FGB3 - ASSY, KNOB, GREY, .25 D-SHAFT</t>
  </si>
  <si>
    <t>N/A - NUT (PO P170S-FC20BR10K)</t>
  </si>
  <si>
    <t>OH2A2A1A1-1 - ASSY, PANEL, JETT SELECT</t>
  </si>
  <si>
    <t>X502-1 - MONO POWER AMPLIFIER, CL D, 1000W, KENWOOD</t>
  </si>
  <si>
    <t>92141A008 - WASHER, #6 X .3125 OD, 18-8</t>
  </si>
  <si>
    <t>91831A007 - NYLOC NUT, #6-32, 18-8</t>
  </si>
  <si>
    <t>91249A161 - PHS, #6-32 X 1.25, 18-8, BLK</t>
  </si>
  <si>
    <t>91249A197 - PHS, #8-32 X .750, 18-8, BLK</t>
  </si>
  <si>
    <t>7658K17 - SWITCH, LIMIT, SUBMINIATURE, SNAP-ACTING, SPST</t>
  </si>
  <si>
    <t>91771A141 - FHS, 82DEG, #2-56 X 1.25, 18-8</t>
  </si>
  <si>
    <t>90176A102 - SPACER, #4 X .188 OD X .125 L, NYLON, BLK</t>
  </si>
  <si>
    <t>91841A005 - NUT, #4-40, 18-1</t>
  </si>
  <si>
    <t>91771A119 - FHS, 82DEG, #4-40 X 1.50, 18-8</t>
  </si>
  <si>
    <t>7383N341 - SPRING, EXTENSION, 1.0L X .24OD 1.18 LB FORCE</t>
  </si>
  <si>
    <t>90760A007 - NUT, JAM, #6-32, STEEL</t>
  </si>
  <si>
    <t>90273A157 - FHS, 82DEG, #6-32 X 1.50, STEEL</t>
  </si>
  <si>
    <t>92200A197 - SHCS, #8-32 X .750, 18-8</t>
  </si>
  <si>
    <t>96765A120 - WASHER, #8 X .375 OD, 18-8, BLACK</t>
  </si>
  <si>
    <t>OH2A8A1-1 - ASSY, RUDDER PEDALS</t>
  </si>
  <si>
    <t>PA-18-12-150 - TRACK LINEAR ACTUATOR, 12IN</t>
  </si>
  <si>
    <t>BRK-19A - MOUNTING BRACKET FOR PA-18</t>
  </si>
  <si>
    <t>BRK-19B - MOUNTING BRACKET FOR PA-18</t>
  </si>
  <si>
    <t>OH2A8A1-23 - RUDDER GANTRY RISER</t>
  </si>
  <si>
    <t>OH2A8A1-20 - RUDDER GANTRY PLATE</t>
  </si>
  <si>
    <t>OH2A8A1-100 - ASSY, MFG CROSSWIND WITH OH PEDALS</t>
  </si>
  <si>
    <t>0025 - MFG CROSSWIND V3 GRAPHITE - BASE</t>
  </si>
  <si>
    <t>OH2A8A1-10 - LH RUDDER PEDAL FOR MFG</t>
  </si>
  <si>
    <t>OH2A8A1-11 - RH RUDDER PEDAL FOR MFG</t>
  </si>
  <si>
    <t>92855A628 - SHCS, M6X1.0, 35MM, 18-1, LOW-PROFILE</t>
  </si>
  <si>
    <t>97416A113 - WASHER, #8, STEEL, BLACK-OXIDE</t>
  </si>
  <si>
    <t>OH2A8A1-200L - ASSY, PEDAL SUPPORT WHEEL</t>
  </si>
  <si>
    <t>2337T1 - WHEEL, 1.625IN OD, RUBBER</t>
  </si>
  <si>
    <t>92196A303 - SHCS, #12-24 X 1.750, 18-8</t>
  </si>
  <si>
    <t>92141A013 - WASHER, #12 X 0.50 OD, 18-8</t>
  </si>
  <si>
    <t>91831A025 - NYLOC NUT, #12-24, 18-8</t>
  </si>
  <si>
    <t>91309A542 - HHCS, .25-20 X 1.00, STEEL, ZINC</t>
  </si>
  <si>
    <t>95615A120 - NYLOC NUT, .25-20, GR5, STEEL</t>
  </si>
  <si>
    <t>OH2A8A1-200R - ASSY, PEDAL SUPPORT WHEEL</t>
  </si>
  <si>
    <t>91247A546 - HHCS, .25-20 X 1.50, GR8, STEEL</t>
  </si>
  <si>
    <t>90126A029 - WASHER, .25 X .625, STEEL, ZINC</t>
  </si>
  <si>
    <t>OHC0013-3 - ASSY, LEFT FWD BULKHEAD INTERCONNECT PANEL</t>
  </si>
  <si>
    <t>OHC0013-10 - BULKHEAD INTERCONNECT PANEL</t>
  </si>
  <si>
    <t>39-01-2221 - MOLEX, MINI-FIT JR, 5559-SERIES, PNL MNT, 22 POS</t>
  </si>
  <si>
    <t>39-01-2081 - MOLEX, MINI-FIT JR, 5559-SERIES, PNL MNT, 8 POS</t>
  </si>
  <si>
    <t>39-01-2041 - MOLEX, MINI-FIT JR, 5559-SERIES, PNL MNT, 4 POS</t>
  </si>
  <si>
    <t>NL2MPXX - CONNECTOR, LOUDSPEAKER, 2-POLE, NEUTRIK</t>
  </si>
  <si>
    <t>90471A160 - FHS, 100DEG, #4-40 X .375, STEEL</t>
  </si>
  <si>
    <t>1698-01C - CABLE, USB 3.0, PNL MOUNT, TYPE A TO TYPE A, 1 FT</t>
  </si>
  <si>
    <t>OHC0013-4 - ASSY, RIGHT FWD BULKHEAD INTERCONNECT PANEL</t>
  </si>
  <si>
    <t>1698-04C - CABLE, USB 3.0, PNL MOUNT, TYPE A TO TYPE A, 4 FT</t>
  </si>
  <si>
    <t>USB32HD4 - ADAPTER, 4X HDMI TO USB 3.0 A, STARTECH</t>
  </si>
  <si>
    <t>ABSIS005 - ASSY, ABSIS BACKLIGHT CONTROLLER</t>
  </si>
  <si>
    <t>B09V6WY1SD - HUB, USB 3.0, 7-PORT, 5VDC</t>
  </si>
  <si>
    <t>CP-9020195-NA - RM SERIES RM750</t>
  </si>
  <si>
    <t>ABSIS006 - PCB, ATX PSU BREAKOUT</t>
  </si>
  <si>
    <t>OHC0013-5 - ASSY, LEFT LIP-UIP BULKHEAD PANEL</t>
  </si>
  <si>
    <t>OHC0013-20 - LEFT LIP-UIP BULKHEAD PANEL</t>
  </si>
  <si>
    <t>1698-02C - CABLE, USB 3.0, PNL MOUNT, TYPE A TO TYPE A, 2 FT</t>
  </si>
  <si>
    <t>OHC0013-6 - ASSY, RIGHT LIP-UIP BULKHEAD PANEL</t>
  </si>
  <si>
    <t>OHC0013-30 - RIGHT LIP-UIP BULKHEAD PANEL</t>
  </si>
  <si>
    <t>P164-000-KPBK8K - COUPLER, HDMI, F-F, KEYSTONE</t>
  </si>
  <si>
    <t>39-01-2021 - MOLEX, MINI-FIT JR, 5559-SERIES, PNL MNT, 2 POS</t>
  </si>
  <si>
    <t>ABSIS007 - ASSY, ABSIS PIT MANAGEMENT SYSTEM</t>
  </si>
  <si>
    <t>ABSIS007-10 - PCB, ABSIS PIT MANAGEMENT SYSTEM</t>
  </si>
  <si>
    <t>OHC0013-7 - ASSY, SHORE BULKHEAD PANEL</t>
  </si>
  <si>
    <t>OHC0013-40 - SHORE BULKHEAD PANEL</t>
  </si>
  <si>
    <t>1689-03C - CABLE, USB 3.0, PNL MNT, TYPE-B TO MICRO-B, 3 FT</t>
  </si>
  <si>
    <t>91249A155 - PHS, #6-32 X .750, 18-8, BLK</t>
  </si>
  <si>
    <t>OH2A1-31 - PSU BRACKET UPPER</t>
  </si>
  <si>
    <t>90273A153 - FHS, 82DEG, #6-32 X 1.00, STEEL</t>
  </si>
  <si>
    <t>OH2A1-30 - PSU BRACKET LOWER</t>
  </si>
  <si>
    <t>OH2A1-32 - PSU BRACKET LOWER HOLDER</t>
  </si>
  <si>
    <t>91249A060 - PHS, #2-56 X .625, 18-8, BLK</t>
  </si>
  <si>
    <t>90471A223 - FHS, 100DEG, #6-32 X .750, STEEL</t>
  </si>
  <si>
    <t>OH2A3A1-1 - ASSY, AMPCD MODULE</t>
  </si>
  <si>
    <t>39SB-1RB-103 - POT, 10K LINEAR, .125 SHAFT, DETENT SWITCH</t>
  </si>
  <si>
    <t>100SP4T8B13M1QEH - SWITCH, TOGGLE, (ON)-OFF-(ON), SPDT</t>
  </si>
  <si>
    <t>91251A115 - SHCS, #4-40 X 1.00, PART THD, STEEL, BLK</t>
  </si>
  <si>
    <t>91251A107 - SHCS, #4-40 X .3125, STEEL, BLK</t>
  </si>
  <si>
    <t>OHC0015-1 - ASSY, DDI_AMPCD_CONTROLLER</t>
  </si>
  <si>
    <t>OHC0015-10 - PCB, DDI_AMPCD_CONTROLLER</t>
  </si>
  <si>
    <t>91078A029 - NUT, THIN, .25-20, STEEL</t>
  </si>
  <si>
    <t>OH2A4A1-1 - ASSY, PANEL, RWR CONTROL</t>
  </si>
  <si>
    <t>50A36-01-1-05N - SWITCH, ROTARY, 36DEG, 5 POS, .125 FLAT SHAFT</t>
  </si>
  <si>
    <t>3310Y-101-103L - POT, 10K LINEAR, .125 FLAT X .50 SHAFT, .25 DIA BUSHING</t>
  </si>
  <si>
    <t>91251A146 - SHCS, 6-32 X .375, STEEL, BLK</t>
  </si>
  <si>
    <t>H-38-15 - HEX NUT FOR POTENTIOMETER, 1/4-28-UNF-2B</t>
  </si>
  <si>
    <t>93225A413 - ROD, THREADED, 2-56 X 2.0</t>
  </si>
  <si>
    <t>OHC0003-A-028ABW2 - ASSY, KNOB, BLACK, ROUND, .125 D-SHAFT</t>
  </si>
  <si>
    <t>OHC0003-A-028ABN2 - ASSY, KNOB, BLACK, ROUND, .125 D-SHAFT</t>
  </si>
  <si>
    <t>N/A - TOP NUT (PO 50A36-01-1-05N)</t>
  </si>
  <si>
    <t>OH2A5A1-1 - ASSY, PANEL, ECM/DISP</t>
  </si>
  <si>
    <t>OHC0001-4 - ASSY, SWITCH, S3AL, ROUND BAT</t>
  </si>
  <si>
    <t>S3AL - SWITCH, TOGGLE, LOCKING, SPDT, 3-POSN, NO BAT</t>
  </si>
  <si>
    <t>OHC0001-10 - BAT, ROUND, FOR NKK SXAL SWITCH</t>
  </si>
  <si>
    <t>OHC0001-2 - ASSY, SWITCH, S1AL, CONICAL BAT</t>
  </si>
  <si>
    <t>S1AL - SWITCH, TOGGLE, LOCKING, SPST, 2-POSN, NO BAT</t>
  </si>
  <si>
    <t>OHC0001-20 - BAT, CONICAL, FOR NKK SXAL SWITCH</t>
  </si>
  <si>
    <t>AT503M - HEX NUT FOR SWITCH, M12-1</t>
  </si>
  <si>
    <t>71B36-01-2-05N - SWITCH, ROTARY, 5 POS, 36 DEG, .25 D-SHAFT</t>
  </si>
  <si>
    <t>99461A505 - PHS, 0-42 X .125, SELF TAPPING, 18-8</t>
  </si>
  <si>
    <t>90272A144 - PHS, #6-32 X 0.250, STEEL</t>
  </si>
  <si>
    <t>OHC0003-A-385CGB4-LO - ASSY, KNOB, GREY, .25 D-SHAFT, MOD</t>
  </si>
  <si>
    <t>92311A189 - SET SCREW, 8-32 X .1875, CUP POINT, 18-8</t>
  </si>
  <si>
    <t>91772A058 - PHS, #0-80 X 0.2187, 18-8</t>
  </si>
  <si>
    <t>OH2A6A1-1 - ASSY, CABIN PRESSURE GAUGE</t>
  </si>
  <si>
    <t>OHC0007-2 - ASSY, 2IN GAUGE SGL STPR MECH W/O ZERO DETECT</t>
  </si>
  <si>
    <t>VID29-02P - MICROSTEPPER, GAUGE, 315 DEG ROT</t>
  </si>
  <si>
    <t>57155K371 - BEARING, SEALED, .1563 ID X .3125 OD X .125 THK, R155-2Z</t>
  </si>
  <si>
    <t>OH1A1-1 - ASSY, UPPER INSTRUMENT PANEL</t>
  </si>
  <si>
    <t>93365A160 - INSERT, .25-20, BRASS, FOR PLASTICS</t>
  </si>
  <si>
    <t>OH1A3-1 - ASSY, DDIV2</t>
  </si>
  <si>
    <t>92196A084 - SHCS, #2-56 X .750, 18-8</t>
  </si>
  <si>
    <t>PEC11R-4220F-N0024 - ENCODER, INC, QUAD, DETENT, NO SWITCH, 12PPR, 6MM DIA X 20MM FLAT SHAFT</t>
  </si>
  <si>
    <t>AT507M - LOCKING RING FOR SWITCH, 6 MM ID</t>
  </si>
  <si>
    <t>OHC0003-A-08FLGB1-SR - ASSY, KNOB, GREY, .125 SHAFT</t>
  </si>
  <si>
    <t>92311A103 - SET SCREW, 4-40 X .125, CUP POINT, 18-8</t>
  </si>
  <si>
    <t>OHC0003-A-08FLGN3-SR - ASSY, KNOB, GREY, .25 SHAFT, MOD</t>
  </si>
  <si>
    <t>AT509 - LOCK WASHER FOR SWITCH, M6</t>
  </si>
  <si>
    <t>AT513M - HEX NUT FOR SWITCH, M6 X .75</t>
  </si>
  <si>
    <t>MRX108 - SWITCH, ROTARY, 45 DEG, 2-8 POS, NKK</t>
  </si>
  <si>
    <t>OH1A4-1 - ASSY, EYEBROW WARNING MODULE, LEFT</t>
  </si>
  <si>
    <t>1568A640 - HANDLE, 4-40 FEMALE X 2.0 CENTERS X 1.0 PROTRUSION, ALUM, ANODIZED BLK</t>
  </si>
  <si>
    <t>90276A143 - RHS, SLOTTED, 6-32 X .1875, STEEL</t>
  </si>
  <si>
    <t>90471A427 - FHS, 100DEG, #4-40 X .625, STEEL</t>
  </si>
  <si>
    <t>93085A116 - FHS, 100DEG, #4-40 X .875, 18-8</t>
  </si>
  <si>
    <t>OH1A5-1 - ASSY, EYEBROW WARNING MODULE, RIGHT</t>
  </si>
  <si>
    <t>OH1A2-1 - ASSY, PANEL, MASTER ARM</t>
  </si>
  <si>
    <t>AT508 - LOCK WASHER FOR SWITCH, M12</t>
  </si>
  <si>
    <t>KM1101RR02QE - PUSHBUTTON, SPST, SUBMINIATURE, PANEL MOUNT</t>
  </si>
  <si>
    <t>1692K52 - SPRING, CONICAL COMPRESSION, .375 OAL X .600 X .31</t>
  </si>
  <si>
    <t>98430A116 - RING, RETAINING, EXTERNAL, SELF-LOCKING, .125 OD</t>
  </si>
  <si>
    <t>OH1A6-1 - ASSY, PANEL, SPIN RECOVERY</t>
  </si>
  <si>
    <t>OH1A6-13 - PCB, SPIN RCV PANEL</t>
  </si>
  <si>
    <t>MS25224-2 - GUARD, TOGGLE SWITCH, 3-HOLE</t>
  </si>
  <si>
    <t>91772A162 - PHS, #6-32 X .5625, 18-8</t>
  </si>
  <si>
    <t>OHC0003-A-18FLGB4 - ASSY, KNOB, GREY, .25 D-SHAFT</t>
  </si>
  <si>
    <t>92311A188 - SET SCREW, 8-32 X .125, CUP POINT, 18-8</t>
  </si>
  <si>
    <t>OH1A7-1 - ASSY, PANEL, HUD</t>
  </si>
  <si>
    <t>96765A115 - WASHER, #6 X .375 OD, 18-8, BLACK-OXIDE</t>
  </si>
  <si>
    <t>P0915N-FC20BR10K - POTENTIOMETER, 9MM ROTARY, PANEL MOUNT</t>
  </si>
  <si>
    <t>OHC0003-A-1TS5GB4 - ASSY, KNOB, GREY, .25 D-SHAFT</t>
  </si>
  <si>
    <t>OHC0003-A-287AGB4 - ASSY, KNOB, GREY, .25 D-SHAFT</t>
  </si>
  <si>
    <t>P09X NUT - HEX NUT FOR POTENTIOMETER, M7X0.75</t>
  </si>
  <si>
    <t>OH1A8-1 - ASSY, UPFRONT CONTROL PANEL</t>
  </si>
  <si>
    <t>91251A540 - SHCS, .25-20 X .750, STEEL, BLK</t>
  </si>
  <si>
    <t>OH1A8A1-1 - ASSY, FWD UFC</t>
  </si>
  <si>
    <t>91251A535 - SHCS, .25-20 X .375, STEEL, BLK</t>
  </si>
  <si>
    <t>OH1A8A1-100 - UFC PANEL</t>
  </si>
  <si>
    <t>96006A231 - SHCS, #2-56 X .125, 18-8, BLK</t>
  </si>
  <si>
    <t>OH1A8A1-200 - ASSY, PCB, UFC_MAIN</t>
  </si>
  <si>
    <t>OH1A8A1-201 - PCB, UFC_MAIN V6</t>
  </si>
  <si>
    <t>UFCSCRATCHPADBACKLIGHT - BACKLIGHT, LCD, SCRATCHPAD, TEKCREATIONS</t>
  </si>
  <si>
    <t>UFCSCRATCHPADLCD - DISPLAY, LCD, UFC SKETCHPAD, TEKCREATIONS</t>
  </si>
  <si>
    <t>UFCOPTIONDIGIT - DISPLAY, LED, 16X4+2 SEG, GRN, TEKCREATIONS</t>
  </si>
  <si>
    <t>100SP3T2B3M2RE - TOGGLE, MICRO, 3 POS, .250 THD BUSHING, SHORT BAT</t>
  </si>
  <si>
    <t>HDW2 - NUT FOR SWITCH .25-40UNS</t>
  </si>
  <si>
    <t>P09X WASHER - WASHER FOR POTENTIOMETER, M7</t>
  </si>
  <si>
    <t>S2 MINI - MCR, WEMOS S2 MINI, ESP32-S2</t>
  </si>
  <si>
    <t>OH1A8A3-1 - ASSY, AP SWITCH MODULE</t>
  </si>
  <si>
    <t>OH1A8A3-15 - PCB, UFC_FUNCTION SELECT</t>
  </si>
  <si>
    <t>OH1A8A4-1 - ASSY, HUD BIT BOX</t>
  </si>
  <si>
    <t>97763A141 - BHCS, #6-32 X .250, 18-8, BLK</t>
  </si>
  <si>
    <t>334-15/X1C5-1QSA - LED, 5MM (T1.75), WHITE, 3.2V, 20MA, PTH</t>
  </si>
  <si>
    <t>CMC 441 GTP - LENS CAP, GREEN</t>
  </si>
  <si>
    <t>CMC 441 YTP - LENS CAP, YELLOW</t>
  </si>
  <si>
    <t>N5040G 2 - DUST BOOT, GREY, .25-32, M5423-SLASH-10-01</t>
  </si>
  <si>
    <t>30-3UL - SWITCH PUSH SPST-NO 5A 120V</t>
  </si>
  <si>
    <t>97763A324 - BHCS, #6-32 X .125, 18-8, BLK</t>
  </si>
  <si>
    <t>96640A295 - FHS, 100DEG, #2-56 X .250, 18-8, BLK</t>
  </si>
  <si>
    <t>96640A334 - FHS, 100DEG, #4-40 X .250, 18-8, BLK</t>
  </si>
  <si>
    <t>OH1A8-9001 - DECAL, TV LENS</t>
  </si>
  <si>
    <t>92316A536 - HHCS, .25-20 X .500, GR8, STEEL, BLACK PHOS</t>
  </si>
  <si>
    <t>90471A445 - FHS, 100DEG, .25-20 X .625, STEEL</t>
  </si>
  <si>
    <t>ER-TFTV101A1-1 - 10 IN LCD DISPLAY</t>
  </si>
  <si>
    <t>91780A117 - STANDOFF, #2-56 X 1.00, .1875 HEX, FEMALE, ALUMINUM</t>
  </si>
  <si>
    <t>90471A130 - FHS, 100DEG, #2-56 X .375, STEEL</t>
  </si>
  <si>
    <t>92198A692 - HHCS, .3125-18 X 2.25, PART THD, 18-8</t>
  </si>
  <si>
    <t>96765A145 - WASHER, .3125 X .750 X .05 THK, 18-8, BLK</t>
  </si>
  <si>
    <t>92673A119 - NUT, .3125-18, 18-8</t>
  </si>
  <si>
    <t>OH3A1-1 - ASSY, CENTER TUB</t>
  </si>
  <si>
    <t>OH3A1A1 - ASSY, MAIN CENTER TUB</t>
  </si>
  <si>
    <t>92105A675 - INSERT, .25-20, SELF TAPPING, FOR SOFTWOOD</t>
  </si>
  <si>
    <t>3225T24 - VIBRATION-DAMPING LOOP CLAMP</t>
  </si>
  <si>
    <t>90252A118 - FHWS, 82DEG, #8 X 2.00, STEEL, BLK, FOR MDF</t>
  </si>
  <si>
    <t>J15BF.1.15N - DRAG CHAIN, 15 X 15MM, ABS</t>
  </si>
  <si>
    <t>OH3A2-1 - ASSY, EJECTION SEAT, SJU-17</t>
  </si>
  <si>
    <t>91654A144 - SCREW NAIL, DOMED, .14 X .25 SHANK X .25 HD DIA, 18-8</t>
  </si>
  <si>
    <t>91772A060 - PHS, #0-80 X 0.625, 18-8</t>
  </si>
  <si>
    <t>90272A832 - PHS, #10-32 X .875, STEEL</t>
  </si>
  <si>
    <t>92141A011 - WASHER, #10 X .438 OD, 18-8</t>
  </si>
  <si>
    <t>91771A140 - FHS, 82DEG, #2-56 X 1.00, 18-8</t>
  </si>
  <si>
    <t>93365A102 - INSERT, 0-80, BRASS, FOR PLASTICS</t>
  </si>
  <si>
    <t>91772A064 - PHS, #0-80 X 0.4375, 18-8</t>
  </si>
  <si>
    <t>92735A605 - GROOVED CLEVIS PIN, .3125 OD X .625 UL X .75 OAL</t>
  </si>
  <si>
    <t>92735A610 - GROOVED CLEVIS PIN, .3125 OD X .875 UL X 1.0 OAL</t>
  </si>
  <si>
    <t>90969A310 - SCREW, ULTRA LOW PROFILE SHOULDER, .375 X .50 L X .3125-18 X .50</t>
  </si>
  <si>
    <t>84835A23 - SPRING PLUNGER, BALL-NOSE, PRESS-FIT, 0.25 IN DIA</t>
  </si>
  <si>
    <t>6627K412 - BEARING, SLEEVE, .4698 OD X .25 L X .6875 FLANGE</t>
  </si>
  <si>
    <t>6294K432 - BEARING, SLEEVE, .3125 OD X .25 L X .375 FLANGE</t>
  </si>
  <si>
    <t>60645K311 - ROD END, BALL JOINT, 10-32 FEMALE X .3125 ID, STEEL, ZINC</t>
  </si>
  <si>
    <t>9657K328 - SPRING, COMPRESSION, .198 ID X .25 OD X 1.25OAL</t>
  </si>
  <si>
    <t>6516K120 - ROD, CONNECTING, 10-32 X 1.1875, 12 OAL, STEEL</t>
  </si>
  <si>
    <t>90480A195 - NUT, #10-32, THIN, STEEL</t>
  </si>
  <si>
    <t>1394A230 - BRACKET, FLAT, 1.5 X 0.5 X .06, 2X #5 HOLE, STEEL</t>
  </si>
  <si>
    <t>60645K111 (LH) - ROD END, BALL JOINT, 10-32 X .750 X .3125 ID, LH, STEEL</t>
  </si>
  <si>
    <t>60645K111 (RH) - ROD END, BALL JOINT, 10-32 X .750 X .3125 ID, RH, STEEL</t>
  </si>
  <si>
    <t>93330A564 - STANDOFF, #10-32 X 4.00, .25 OD, FEMALE, ALUMINUM</t>
  </si>
  <si>
    <t>93330A554 - STANDOFF, #10-32 X 3.50, .25 OD, FEMALE, ALUMINUM</t>
  </si>
  <si>
    <t>90322A639 - ROD, THREADED, 10-32 X 1.0, STEEL</t>
  </si>
  <si>
    <t>5901A122 - SPRING PLUNGER, BALL-NOSE, 8-32 HEX DRIVE</t>
  </si>
  <si>
    <t>95412A560 - ROD, .25-20 X 4.500, 18-8</t>
  </si>
  <si>
    <t>9657K332 - SPRING, COMPRESSION, 0.296 ID X 0.36 OD X 1.25 LG</t>
  </si>
  <si>
    <t>3914T5 - STOP, WIRE ROPE, .1875 WIRE DIA</t>
  </si>
  <si>
    <t>4280-BLACK - BRACKET, SLOTTED, INSIDE CORNER</t>
  </si>
  <si>
    <t>90377A165 - WASHER, .3125 X 1.50 OD, 18-8, BLK</t>
  </si>
  <si>
    <t>91780A035 - STANDOFF, #2-56 X 1.50, .1875 HEX, FEMALE, 6061</t>
  </si>
  <si>
    <t>91309A587 - HHCS, .3125-18 X 1.5, STEEL</t>
  </si>
  <si>
    <t>60645K131 - ROD END, BALL JOINT, .3125-24 X 1.25 SHANK X .875 OAW, STEEL</t>
  </si>
  <si>
    <t>90275A196 - FHS, 82DEG, #8-32 X .625, STEEL</t>
  </si>
  <si>
    <t>93085A854 - FHS, 100DEG, #8-32 X 2.00, 18-8</t>
  </si>
  <si>
    <t>98060A580 - BOLT, CARRIAGE, KNURLED-NECK, .3125-18 X 1.75L, GR5</t>
  </si>
  <si>
    <t>57715K26 - KNOB, THREE-ARM, .3125-18, THRU-HOLE, PLASTIC</t>
  </si>
  <si>
    <t>OH3A2A-9003 - DECAL, BUCKET-SEAT ASSY</t>
  </si>
  <si>
    <t>OH3A2A-9002 - DECAL, BRIDLE AND BOX</t>
  </si>
  <si>
    <t>OH3A2A-9005 - DECAL, DO NOT HOLD</t>
  </si>
  <si>
    <t>OH3A2A-9004 - DECAL, DANGER DO NOT PULL</t>
  </si>
  <si>
    <t>OH3A2A-9008 - DECAL, SEAT BUCKET MECH</t>
  </si>
  <si>
    <t>OH3A2A-9006 - DECAL, NACES PFCL</t>
  </si>
  <si>
    <t>OH3A2A-9007 - DECAL, PARACHUTE ASSY</t>
  </si>
  <si>
    <t>OH3A2A-9010 - DECAL, SEAT, AIRCRAFT EJECTION</t>
  </si>
  <si>
    <t>OH3A2A-9011 - DECAL, SEAT APPLICATION</t>
  </si>
  <si>
    <t>OH3A2A-9014 - DECAL, SURVIVAL KIT, OXYGEN, AIRCRAFT SEAT</t>
  </si>
  <si>
    <t>OH3A2A-9016 - DECAL, DROGUE ASSY</t>
  </si>
  <si>
    <t>9994T91 - CASTER, FIXED, EDGE-MOUNT, 2.0 OD RBR WHEEL</t>
  </si>
  <si>
    <t>BK4-4 - XDCR, BUTTKICKER ADVANCE</t>
  </si>
  <si>
    <t>OH3A3-1 - ASSY, FLIGHT CONTROL STICK</t>
  </si>
  <si>
    <t>OH3A3-10 - ASSY, STICK PITCH AXIS</t>
  </si>
  <si>
    <t>OH3A3-100 - ASSY, STICK YOKE</t>
  </si>
  <si>
    <t>93625A150 - NYLOC HEX NUT, M4 X 0.7 MM</t>
  </si>
  <si>
    <t>57485K68 - 10MM SET SCREW SHAFT COLLAR</t>
  </si>
  <si>
    <t>92015A121 - SET SCREW, M5 X 0.8 MM, 10 MM LONG</t>
  </si>
  <si>
    <t>92125A205 - FHCS, M4 X 0.7 MM, 40 MM LONG</t>
  </si>
  <si>
    <t>91287A307 - HHS, M8 X 1.25 MM, 45 MM LONG</t>
  </si>
  <si>
    <t>91116A160 - OVERSIZED FLAT WASHER, M8, 8.4MM ID 24MM OD</t>
  </si>
  <si>
    <t>94180A331 - HEAT-SET INSERT, M3 X 0.5MM</t>
  </si>
  <si>
    <t>94180A351 - HEAT-SET INSERT, M4 X 0.7MM</t>
  </si>
  <si>
    <t>92125A204 - FHCS, M4 X 0.7 MM, 35 MM LONG</t>
  </si>
  <si>
    <t>92125A130 - FHCS, M3 X 0.5 MM, 10 MM LONG</t>
  </si>
  <si>
    <t>6658K736 - 8MM ID, 12MM OD, 16MM LG, BRONZE SLEEVE BEARING</t>
  </si>
  <si>
    <t>92125A192 - FHCS, M4 X 0.7 MM, 12 MM LONG</t>
  </si>
  <si>
    <t>608-2RS 8X22X7 SEALED RADIAL BALL BEARING</t>
  </si>
  <si>
    <t>92095A194 - BHCS, M4 X 0.7MM, 16MM LONG</t>
  </si>
  <si>
    <t>5862K205 - MAGNET, .50 OD X .125 THK, NEODYMIUM</t>
  </si>
  <si>
    <t>ABSIS004 - PCB, HALL SENSOR</t>
  </si>
  <si>
    <t>93187A110 - HEX NUT, M2 X 0.4 MM, BRASS</t>
  </si>
  <si>
    <t>92095A454 - BHCS, M2 X 0.4MM, 8 MM LONG</t>
  </si>
  <si>
    <t>93475A230 - FLAT WASHER, M4</t>
  </si>
  <si>
    <t>92125A203 - FHCS, M4 X 0.7 MM, 30 MM LONG</t>
  </si>
  <si>
    <t>6658K734 - 8MM ID, 12MM OD, 6MM LG, BRONZE SLEEVE BEARING</t>
  </si>
  <si>
    <t>93475A250 - FLAT WASHER, M6</t>
  </si>
  <si>
    <t>91287A254 - HHS, M6 X 1 MM, 80 MM LONG</t>
  </si>
  <si>
    <t>93625A250 - NYLOC HEX NUT, M6 X 1 MM</t>
  </si>
  <si>
    <t>91292A318 - SHCS, M4 X 0.7 MM, 75 MM LONG</t>
  </si>
  <si>
    <t>OH3A3-115 - ASSY, ROLL DAMPER ARM A</t>
  </si>
  <si>
    <t>OH3A3-117 - ASSY, ROLL DAMPER ARM B</t>
  </si>
  <si>
    <t>92981A230 - SHOULDER SCREW, M6, 8MM DIA, 80MM LEN</t>
  </si>
  <si>
    <t>92125A373 - FHCS, M4 X 0.7 MM, 55 MM LONG</t>
  </si>
  <si>
    <t>92095A205- BHCS, M4 X 0.7MM, 45MM LONG</t>
  </si>
  <si>
    <t>6659K115 - 8MM ID, 12MM OD, 6MM LG, OIL-EMBEDDED FLANGED SLEEVE BEARING</t>
  </si>
  <si>
    <t>93475A240 - FLAT WASHER, M5</t>
  </si>
  <si>
    <t>92095A223 - BHCS, M5 X 0.8 MM, 45 MM LONG</t>
  </si>
  <si>
    <t>93625A200 - NYLOC HEX NUT, M5 X 0.8 MM</t>
  </si>
  <si>
    <t>90576A117 - NYLOC HEX NUT, M8 X 1.25MM</t>
  </si>
  <si>
    <t>KX-ZNQ-024 - MOTORCYCLE STEERING DAMPER</t>
  </si>
  <si>
    <t>KX-ZNQ-024 (PART OF) - DAMPER CLAMP</t>
  </si>
  <si>
    <t>92095A238 - BHCS, M6 X 1MM, 16MM LONG</t>
  </si>
  <si>
    <t>93475A280 - FLAT WASHER, M10</t>
  </si>
  <si>
    <t>KP000-10MM - PILLOW BLOCK BALL BEARING</t>
  </si>
  <si>
    <t>91828A241 - HEX NUT, M5 X 0.8 MM</t>
  </si>
  <si>
    <t>9540K922 - UNTHREADED BUMPER M5</t>
  </si>
  <si>
    <t>91292A129 - SHCS, M5X0.8, 25MM, 18-8</t>
  </si>
  <si>
    <t>91292A126 - SHCS, M5X0.8, 16MM, 18-8</t>
  </si>
  <si>
    <t>92125A250 - FHCS, M6 X 1 MM, 45 MM LONG</t>
  </si>
  <si>
    <t>92125A222 - FHCS, M5 X 0.8 MM, 35 MM LONG</t>
  </si>
  <si>
    <t>92125A216 - FHCS, M5 X 0.8 MM, 25 MM LONG</t>
  </si>
  <si>
    <t>91287A155 - HHS, M8 X 1.25 MM, 35 MM LONG</t>
  </si>
  <si>
    <t>OH3A3A1-1 - ASSY, STICK CONTROLLER PCB</t>
  </si>
  <si>
    <t>OH3A3A1-10 - PCB, STICK CONTROLER</t>
  </si>
  <si>
    <t>OH3A3-30 - ASSY, STATIC SSDCT ANCHOR</t>
  </si>
  <si>
    <t>OH3A3-20 - ASSY, SSDCT</t>
  </si>
  <si>
    <t>6659K677 - 8MM OIL-EMBEDDED FLANGED SLEEVE BEARING</t>
  </si>
  <si>
    <t>94180A333 - HEAT-SET INSERT, M3 X 0.5MM</t>
  </si>
  <si>
    <t>92125A132 - FHCS, M3 X 0.5 MM, 12 MM LONG</t>
  </si>
  <si>
    <t>57485K67 - 8MM SET SCREW SHAFT COLLAR</t>
  </si>
  <si>
    <t>91828A410 - HEX NUT, M8 X 1.25</t>
  </si>
  <si>
    <t>59935K73 - BALL JOINT ROD END</t>
  </si>
  <si>
    <t>93625A100 - NYLOC HEX NUT, M3 X 0.5 MM</t>
  </si>
  <si>
    <t>92125A141 - FHCS, M3 X 0.5 MM, 35 MM LONG</t>
  </si>
  <si>
    <t>9657K438 - 3IN COMPRESSION SPRING</t>
  </si>
  <si>
    <t>57445K24 - 8MM CLAMPING SHAFT COLLAR</t>
  </si>
  <si>
    <t>90131A103 - WASHER, CUSHIONING, 0.375 ID, ABRASION-RESISTANT</t>
  </si>
  <si>
    <t>5395T211 - 8MM SET SCREW SHAFT COUPLING</t>
  </si>
  <si>
    <t>OH3A3-40 - ASSY, STICK EXTENSION</t>
  </si>
  <si>
    <t>90471A210 - FHS, 100DEG, #6-32 X .3125, STEEL</t>
  </si>
  <si>
    <t>HR10A-7R-5S - CONNECTOR, RECEPTACLE, FEMALE, 5P</t>
  </si>
  <si>
    <t>HR10A-7P-5P - CONNECTOR, PLUG, MALE, 5P</t>
  </si>
  <si>
    <t>MD-50PL100 - CONNECTOR, 5P MINI DIN RCPT, PNL MNT, 10CM LEADS</t>
  </si>
  <si>
    <t>OH3A3-9001 - DECAL, GRIP ASSY</t>
  </si>
  <si>
    <t>OH4A1-1 - ASSY, LEFT CONSOLE</t>
  </si>
  <si>
    <t>OH4A1A1-1 - ASSY, LEFT CONSOLE STRUCTURE</t>
  </si>
  <si>
    <t>91249A192 - PHS, #8-32 X .375, 18-8, BLK</t>
  </si>
  <si>
    <t>90272A190 - PHS, #8-32 X 0.250, STEEL</t>
  </si>
  <si>
    <t>OH4A8A2-1 - ASSY, DISPENSE BUTTON</t>
  </si>
  <si>
    <t>7779K61 - SWITCH, LIMIT, MINIATURE, SNAP-ACTION</t>
  </si>
  <si>
    <t>91249A115 - PHS, #4-40 X .625, 18-8, BLK</t>
  </si>
  <si>
    <t>6338K411 - SLEEVE BEARING FOR .250 SHAFT X .375 ID X .250</t>
  </si>
  <si>
    <t>9414T6 - SHAFT COLLAR, .25 ID X .50 OD X .2813 T</t>
  </si>
  <si>
    <t>9657K305 - SPRING, COMPRESSION, .258 ID X .36 OD X 1.00OAL</t>
  </si>
  <si>
    <t>90131A102 - WASHER, CUSHIONING, 0.250 ID, ABRASION-RESISTANT</t>
  </si>
  <si>
    <t>OH4A8A3-1 - ASSY, NUC WEAP SWITCH</t>
  </si>
  <si>
    <t>OHC0001-1 - ASSY, SWITCH, S1AL, ROUND BAT</t>
  </si>
  <si>
    <t>AT537 - O-RING FOR SWITCH, 12 MM ID</t>
  </si>
  <si>
    <t>OH4A8A1-1 - ASSY, LEFT CIRCUIT BREAKERS</t>
  </si>
  <si>
    <t>EB2065-CA - SWITCH, PUSHBUTTON, SPDT, ON-ON, BLK CAP</t>
  </si>
  <si>
    <t>AT507M - LOCKING RING FOR SWITCH, 6MM ID</t>
  </si>
  <si>
    <t>OH4A9-1 - ASSY, THROTTLE QUADRANT</t>
  </si>
  <si>
    <t>9271K631 - SPRING, TORSION, 360 DEG, RH WOUND, .187 ID 1.0 L</t>
  </si>
  <si>
    <t>9271K632 - SPRING, TORSION, 360 DEG, LH WOUND, .187 ID 1.0 L</t>
  </si>
  <si>
    <t>P081N-271F2CBR10K - POTENTIOMETER, LINEAR, 10K</t>
  </si>
  <si>
    <t>P08X NUT - NUT FOR P08X SERIES POTENTIOMETER, M7 X 0.75</t>
  </si>
  <si>
    <t>200MSP4T1B1M1QE - SWITCH, TOGGLE, SUB-MINIATURE, 3-POS</t>
  </si>
  <si>
    <t>200MSP5T1B1M1QE - SWITCH, TOGGLE, SUB-MINIATURE, 3-POS</t>
  </si>
  <si>
    <t>90272A106 - PHS, #4-40 X .250, STEEL</t>
  </si>
  <si>
    <t>P3-11122 - PUSHBUTTON, OTTO</t>
  </si>
  <si>
    <t>98381A471 - PIN, DOWEL, .125 X .500, ALLOY STEEL</t>
  </si>
  <si>
    <t>96640A344 - FHS, 100DEG, #6-32 X .50, 18-8, BLK</t>
  </si>
  <si>
    <t>1368A15 - SPRING PLUNGER, BALL NOSE, PRESS FIT, SEALED</t>
  </si>
  <si>
    <t>91249A120 - PHS, #4-40 X .875, 18-8, BLK</t>
  </si>
  <si>
    <t>90176A105 - SPACER, #4 X .188 OD X .2188 L, NYLON, BLK</t>
  </si>
  <si>
    <t>90176A115 - SPACER, #4 X .188 OD X .4688 L, NYLON, BLK</t>
  </si>
  <si>
    <t>9657K298 - SPRING, COMPRESSION, .24 OD X .20 ID X 1.0 LG</t>
  </si>
  <si>
    <t>M2011B2B1W01 - SWITCH, TOGGLE, ON - OFF</t>
  </si>
  <si>
    <t>93085A628 - FHS, 100DEG, #6-32 X .625, 18-8, BLK</t>
  </si>
  <si>
    <t>7421K4 - BEARING, THRUST, PTFE IMPREG, .502 ID X .75 OD X .0</t>
  </si>
  <si>
    <t>60355K704 - BEARING, SEALED, .50 SHAFT X 1.125 OD X .3125 THK, R8-2RS</t>
  </si>
  <si>
    <t>7421K28 - BEARING, THRUST, PTFE IMPREG, 1.2535 ID X 2.0 OD</t>
  </si>
  <si>
    <t>9714K66 - SPRING, WAVE DISC, 1.201 ID X 1.543 OD, 21LBF</t>
  </si>
  <si>
    <t>DSTL-0840 NUT - HEX NUT FOR DSTL-0840</t>
  </si>
  <si>
    <t>DSTL-0840 WASHER - WASHER FOR DSTL-0840</t>
  </si>
  <si>
    <t>91585A240 - DOWEL PIN, 2.5 MM DIA, 20 MM LG, ALLOY STEEL</t>
  </si>
  <si>
    <t>92383A698 - PIN, SLOTTED SPRING, 0.125 DIA, 0.8125 LG</t>
  </si>
  <si>
    <t>90760A005 - NUT, NARROW, #4-40, STEEL</t>
  </si>
  <si>
    <t>93330A438 - STANDOFF, #4-40 X .875, .25 OD, FEMALE, ALUMINUM</t>
  </si>
  <si>
    <t>9434K165 - SPRING, COMPRESSION, PRECISION, 0.48 OD X 0.875 L</t>
  </si>
  <si>
    <t>90272A110 - PHS, #4-40 X .500, STEEL</t>
  </si>
  <si>
    <t>91780A209 - STANDOFF, #6-32 X .875, .250 HEX, FEMALE, ALUMINUM</t>
  </si>
  <si>
    <t>90272A112 - PHS, #4-40 X .625, STEEL</t>
  </si>
  <si>
    <t>7779K52 - SWITCH, LIMIT, MINIATURE, ROLLER LEVER, SPDT</t>
  </si>
  <si>
    <t>90618A127 - WASHER, .25 X .438 OD X .029-.035 THK, BLK</t>
  </si>
  <si>
    <t>90807A112 - SHSS, .25-20 X .375 THD, .250 X .375 SHOULDER</t>
  </si>
  <si>
    <t>93505A445 - STANDOFF, 6-32 X .875, .25 HEX, MALE-FEMALE, ALUMINUM</t>
  </si>
  <si>
    <t>6436K14 - SHAFT COLLAR, .50 ID X 1.125 OD X .40625 THK</t>
  </si>
  <si>
    <t>98320A132 - PIN, QR, .250 DIA X 1.1875 UL, STEEL</t>
  </si>
  <si>
    <t>91309A553 - HHCS, .25-20 X 2.75, STEEL, ZINC</t>
  </si>
  <si>
    <t>60355K701 - BEARING, SEALED, .25 SHAFT X .625 OD X .196 THK, R4-2RS</t>
  </si>
  <si>
    <t>OH4A4A1-1 - ASSY, FIRE TEST PANEL</t>
  </si>
  <si>
    <t>OH4A5A1-1 - ASSY, FUEL PANEL</t>
  </si>
  <si>
    <t>OHC0001-6 - ASSY, SWITCH, S3AL, TALL BAT</t>
  </si>
  <si>
    <t>OHC0001-30 - BAT, TALL, FOR NKK SXAL SWITCH</t>
  </si>
  <si>
    <t>OHC0005-1 - ASSY, SWITCH, MAGNETICALLY HELD, (ON)-ON</t>
  </si>
  <si>
    <t>P20/15 - ELECTROMAGNET, Ø20 X 15, 12V DC, 2.5KG HOLDING FORCE</t>
  </si>
  <si>
    <t>92095A179 - BHCS, M3 X 0.5 - 6, 18-8</t>
  </si>
  <si>
    <t>91100A120 - OVERSIZED FLAT WASHER, M3</t>
  </si>
  <si>
    <t>OHC0005-10 - BRACKET, MAG SWITCH</t>
  </si>
  <si>
    <t>91920A579 - STANDOFF, M3 X 0.5 - 6.4 X 4.5 HEX X 50L, STL</t>
  </si>
  <si>
    <t>645H/2 MOD - SWITCH, TOGGLE, MOM-ON, STD BAT (MODIFIED)</t>
  </si>
  <si>
    <t>ABSIS001A1 - PCB, ABSIS ALE RELAY MODULE</t>
  </si>
  <si>
    <t>93505A212 - STANDOFF, #2-56 X .375, .1875 HEX, MALE-FEMALE, ALUMINUM</t>
  </si>
  <si>
    <t>OH4A7A1-1 - ASSY, COMM PANEL</t>
  </si>
  <si>
    <t>OHC0001-5 - ASSY, SWITCH, S3AL, CONICAL BAT</t>
  </si>
  <si>
    <t>C7D0123N - SWITCH, ROTARY, 15 DEG, 23 POS, BBM</t>
  </si>
  <si>
    <t>C7 LOCKWASHER - LOCKWASHER FOR C7 SWITCH, 3/8 ID</t>
  </si>
  <si>
    <t>C7 NUT - HEX NUT FOR C7 SWITCH, 3/8-32 UNEF</t>
  </si>
  <si>
    <t>H-37-5 - LOCKWASHER FOR POTENTIOMETER, 1/4 ID</t>
  </si>
  <si>
    <t>OHC0003-A-484AGB4 - ASSY, KNOB, GREY, .25 D-SHAFT</t>
  </si>
  <si>
    <t>93505A446 - STANDOFF, #6-32 X 1.00, .25 HEX, MALE-FEMALE, ALUMINUM</t>
  </si>
  <si>
    <t>ABSIS002 - ASSY, ABSIS MEGA</t>
  </si>
  <si>
    <t>OH10A1A1-1 - ASSY, SIM PWR PANEL</t>
  </si>
  <si>
    <t>EN11-HSM1BF20 - ROTARY ENCODER</t>
  </si>
  <si>
    <t>OHC0003-A-18FLGN4 - ASSY, KNOB, GREY, .25 D-SHAFT</t>
  </si>
  <si>
    <t>S1AL - SWITCH, TOGGLE, LOCKING, SPST, 2-POSN, STD BAT</t>
  </si>
  <si>
    <t>SXAL-BAT - STANDARD BAT FOR S-SERIES LOCKING SWITCHES</t>
  </si>
  <si>
    <t>OH4A4A2-1 - ASSY, EXTERNAL LT PANEL</t>
  </si>
  <si>
    <t>OHC0001-3 - ASSY, SWITCH, S1AL, TALL BAT</t>
  </si>
  <si>
    <t>OHC0003-A-385CGB4 - ASSY, KNOB, GREY, .25 D-SHAFT</t>
  </si>
  <si>
    <t>OH4A6A1-1 - ASSY, FCS PANEL</t>
  </si>
  <si>
    <t>PNP8S2T2Y03QE - C&amp;K PUSHBUTTON</t>
  </si>
  <si>
    <t>MS25224-1 - GUARD, TOGGLE SWITCH, RED</t>
  </si>
  <si>
    <t>OHC0003-A-4RUDGB3 - ASSY, KNOB, RUDDER TRIM</t>
  </si>
  <si>
    <t>OH4A6A1-100 - RUDDER TRIM MECHANISM</t>
  </si>
  <si>
    <t>6389K231 - BEARING, SLEEVED, FLANGED, .375 OD X .25 ID X .31</t>
  </si>
  <si>
    <t>6338K561 - BEARING, SLEEVE, FLANGED, .125 ID X .25OD, .25 LG</t>
  </si>
  <si>
    <t>96640A298 - FHS, 100DEG, #2-56 X .4375, 18-8, BLK</t>
  </si>
  <si>
    <t>PRM162-K420K-103B1 - POT, MOTORIZED, 10K OHM LINEAR</t>
  </si>
  <si>
    <t>2303-0250-0024 - GEAR, PINION, .250 BORE, 24T, MOD 0.8, STL, SERVOCITY</t>
  </si>
  <si>
    <t>9414T3 - SHAFT COLLAR, .125 ID  X 0.375 OD X .25 THK</t>
  </si>
  <si>
    <t>9657K247 - SPRING, COMPRESSION, 0.30 OD X 0.440 L</t>
  </si>
  <si>
    <t>91831A005 - NUT, NYLOC, #4-40, 18-8</t>
  </si>
  <si>
    <t>92311A144 - SET SCREW, #6-32 X 0.25, CUP POINT, 18-8</t>
  </si>
  <si>
    <t>GENERIC - L298N DUAL DC MOTOR DRIVER</t>
  </si>
  <si>
    <t>MB2011SB1W01-DA - SWITCH, PUSHBUTTON, ON-(ON), NKK</t>
  </si>
  <si>
    <t>AT503M - TOP NUT (PO MB2011SB1W01)</t>
  </si>
  <si>
    <t>AT508 - LOCK WASHER (PO MB2011SB1W01)</t>
  </si>
  <si>
    <t>AT527M - BOTTOM NUT (PO MB2011SB1W01)</t>
  </si>
  <si>
    <t>OH4A4A3-1 - ASSY, GEN TIE PANEL</t>
  </si>
  <si>
    <t>OH4A7A4-1 - ASSY, ANT SEL PANEL</t>
  </si>
  <si>
    <t>OH4A7A3-1 - ASSY, MC HYD ISOL PANEL</t>
  </si>
  <si>
    <t>100SP2T8B13M1QEH - SWITCH, TOGGLE, ON-(ON), SPDT, 18MM BAT</t>
  </si>
  <si>
    <t>OH4A7A2-1 - ASSY, OBOGS PANEL</t>
  </si>
  <si>
    <t>A11405RNZQ - SWITCH, ROTARY, 90 DEG, 2 POS</t>
  </si>
  <si>
    <t>OHC0003-A-4OXYGW4 - ASSY, KNOB, OBOGS</t>
  </si>
  <si>
    <t>91780A045 - STANDOFF, #4-40 X 2.50, HEX, FEMALE, ALUMINUM</t>
  </si>
  <si>
    <t>OH4A5A2-1 - ASSY, APU ENG CRANK PANEL</t>
  </si>
  <si>
    <t>131A-303G - LENS, GREEN, TRANSPARENT, T1.75 MIDGET FLANGE</t>
  </si>
  <si>
    <t>MF200-NFW5H - LED, T-1.75 MIDGET FLANGE LAMP, 5V ,15MA</t>
  </si>
  <si>
    <t>5131-038 - HOLDER, LAMP, PANEL MOUNT, T1.75</t>
  </si>
  <si>
    <t>OHC0005-2 - ASSY, SWITCH, MAGNETICALLY HELD, (ON)-OFF-(ON)</t>
  </si>
  <si>
    <t>647H/2 MOD - SWITCH, TOGGLE, MOM-OFF-MOM, STD BAT (MODIFIED)</t>
  </si>
  <si>
    <t>OH4A3A1-1 - ASSY, SELECT JETT PANEL</t>
  </si>
  <si>
    <t>639H/2 - SWITCH, TOGGLE, ON-OFF-ON, STD BAT</t>
  </si>
  <si>
    <t>90471A150 - FHS, 100DEG, #4-40 X .1875, STEEL</t>
  </si>
  <si>
    <t>OH4A3A1-100 - ASSY, SELECT JETT SWITCH MECH</t>
  </si>
  <si>
    <t>50KS45-01-1-05N - SWITCH, ROTARY, 45 DEG, 5 POS, .25 FLAT SH</t>
  </si>
  <si>
    <t>50K NUT - HEX NUT FOR SWITCH, .375-32 UNEF</t>
  </si>
  <si>
    <t>93505A107 - STANDOFF, #4-40 X 1.00, HEX, MALE-FEMALE, ALUMIN</t>
  </si>
  <si>
    <t>91251A108 - SHCS, #4-40 X .375, STEEL, BLK</t>
  </si>
  <si>
    <t>OH4A3A1-18A - ASSY, SELECT JETT KNOB</t>
  </si>
  <si>
    <t>92311A425 - SET SCREW, 10-32 X .250, CUP POINT, 18-8</t>
  </si>
  <si>
    <t>OH4A3A1-19A - ASSY, SELECT JETT BUTTON</t>
  </si>
  <si>
    <t>OH4A3A2-1 - ASSY, PARK BRAKE HANDLE</t>
  </si>
  <si>
    <t>93365A112 - INSERT, 2-56, BRASS, FOR PLASTICS</t>
  </si>
  <si>
    <t>96640A027 - FHS, 82DEG, #2-56 X .50, 18-8, BLK</t>
  </si>
  <si>
    <t>96640A025 - FHS, 82DEG, #2-56 X .375, 18-8, BLK</t>
  </si>
  <si>
    <t>92141A034 - WASHER, 0.578 X 1.062 OD, 18-8</t>
  </si>
  <si>
    <t>91841A003 - NUT, #2-56, 18-1</t>
  </si>
  <si>
    <t>7658K15 - SWITCH, LIMIT, SUBMINIATURE, LEVER, SPDT</t>
  </si>
  <si>
    <t>91251A106 - SHCS, #4-40 X .250, STEEL, BLK</t>
  </si>
  <si>
    <t>5901A142 - SPRING PLUNGER, BALL-NOSE, 0.25-20 HEX DRIVE</t>
  </si>
  <si>
    <t>OH4A3A3-1 - ASSY, BRAKE PRESSURE INDICATOR</t>
  </si>
  <si>
    <t>4PMINIH - USB 3.0 HUB, 4 PORT</t>
  </si>
  <si>
    <t>OH4A2A1-1 - ASSY, LANDING GEAR LEVER PANEL</t>
  </si>
  <si>
    <t>C90 - CAP, PUSHBUTTON, BLACK, .354 OD</t>
  </si>
  <si>
    <t>MPG206R - SWITCH, PUSHBUTTON, MOMENTARY, NO CAP</t>
  </si>
  <si>
    <t>OH4A2A1-200 - ASSY, LDG GEAR LVR MECH</t>
  </si>
  <si>
    <t>6338K312 - BEARING, SLEEVE, FLANGED, .375 ID X .50 OD</t>
  </si>
  <si>
    <t>91249A063 - PHS, #2-56 X .750, 18-8, BLK</t>
  </si>
  <si>
    <t>92196A108 - SHCS, #4-40 X .375, 18-8</t>
  </si>
  <si>
    <t>DSTL-0418-12 - SOLENOID, CLOSED FRAME, PULL, TUBULAR</t>
  </si>
  <si>
    <t>95649A232 - WASHER, .25 X .50 OD, .031 THK, PLASTIC UHMW</t>
  </si>
  <si>
    <t>84835A14 - SPRING PLUNGER, BALL-NOSE, PRESS-FIT, 0.5 IN DIA</t>
  </si>
  <si>
    <t>93085A851 - FHS, 100DEG, #4-40 X 1.25, 18-8</t>
  </si>
  <si>
    <t>7658K16 - SWITCH, LIMIT, SUBMINIATURE, ROLLER LEVER, SPDT</t>
  </si>
  <si>
    <t>91249A058 - PHS, #2-56 X .500, 18-8, BLK</t>
  </si>
  <si>
    <t>91249A050 - PHS, #2-56 X .25, 18-8, BLK</t>
  </si>
  <si>
    <t>91771A071 - FHS, 82DEG, #0-80 X .75, 18-8</t>
  </si>
  <si>
    <t>462071004 - MOLEX MINI-FIT JR HEADER, 4-CIRCUITS DUAL-ROW</t>
  </si>
  <si>
    <t>OH4A2A1-21 - LANDING GEAR HANDLE LED MOUNT</t>
  </si>
  <si>
    <t>OHC0009-1 - FAUX DZUS STUD</t>
  </si>
  <si>
    <t>OHC0013-1 - ASSY, LEFT BULKHEAD INTERCONNECT PANEL</t>
  </si>
  <si>
    <t>1681-02C - CABLE, USB 3.0, PNL MNT, SS TYPE B TO MINI B, 2 FT</t>
  </si>
  <si>
    <t>94639A187 - SPACER, #2 X 0.25 OD X 0.125 L, NYLON</t>
  </si>
  <si>
    <t>91249A066 - PHS, #2-56 X 1.0, 18-8, BLK</t>
  </si>
  <si>
    <t>OH4A14A1-1 - ASSY, LC TO CT BULKHEAD INTERCONNECT PANEL</t>
  </si>
  <si>
    <t>OH4A14A1-10 - LC TO CT BULKHEAD INTERCONNECT PANEL</t>
  </si>
  <si>
    <t>1589-01C - CABLE, USB 2.0, PNL MNT, TYPE B FEMALE TO TYPE A MALE, 1 FT</t>
  </si>
  <si>
    <t>39-01-2061 - MOLEX, MINI-FIT JR, 5559-SERIES, PNL MNT, 6 POS</t>
  </si>
  <si>
    <t>93505A456 - STANDOFF, #8-32 X 1.00, .250 HEX, MALE-FEMALE, ALUMINUM</t>
  </si>
  <si>
    <t>OH4A10-1 - ASSY, TRANSDUCER GAIN REMOTE</t>
  </si>
  <si>
    <t>OH4A10-10 - TRANSDUCER GAIN REMOTE PLATE</t>
  </si>
  <si>
    <t>91841A007 - NUT, #6-32, 18-8</t>
  </si>
  <si>
    <t>OH5A1-1 - ASSY, RIGHT CONSOLE</t>
  </si>
  <si>
    <t>OH5A4A1-1 - ASSY, ELEC PANEL</t>
  </si>
  <si>
    <t>X40 8798 - MICROSTEPPER, GAUGE, DUAL SHAFT, 315 DEG ROT</t>
  </si>
  <si>
    <t>OH5A1A1-1 - ASSY, RIGHT CONSOLE STRUCTURE</t>
  </si>
  <si>
    <t>OH5A7A1-1 - ASSY, SNSR PANEL</t>
  </si>
  <si>
    <t>OHC0003-A-484DGB4 - ASSY, KNOB, GREY, .25 D-SHAFT</t>
  </si>
  <si>
    <t>A12505RNZQ - SWITCH, ROTARY, 45 DEG, 8 POS, FIXED</t>
  </si>
  <si>
    <t>OH5A5A2-1 - ASSY, DEFOG PANEL</t>
  </si>
  <si>
    <t>OH5A8A1-1 - ASSY, SIM CNTL PANEL</t>
  </si>
  <si>
    <t>OH5A2A4-1 - ASSY, RADAR ALTIMETER GAUGE</t>
  </si>
  <si>
    <t>SMB 200 RTP - LENS, LED, FRESNEL, RED</t>
  </si>
  <si>
    <t>SMB 200 GTP  - LENS, LED, FRESNEL, GREEN</t>
  </si>
  <si>
    <t>LTW-420D7 - LED, THRU HOLE, T-1, WHITE</t>
  </si>
  <si>
    <t>1692K53 - TYPE 302 SS CONICAL COMPRESSION SPRING</t>
  </si>
  <si>
    <t>634070 - SERVOCITY, .250 X 2.250 D-SHAFT</t>
  </si>
  <si>
    <t>3590S-2-103L - POT, 10K LINEAR, ROUND BODY, .250 X .811 S-SHAFT</t>
  </si>
  <si>
    <t>HK-5320 - SERVO, DIGITAL, ULTRA-MICRO, 1.7G</t>
  </si>
  <si>
    <t>90380A322 - PHS, M1.6 X 5MM SELF-TAPPING, STEEL</t>
  </si>
  <si>
    <t>OH5A2A5-1 - ASSY, HYD PRESS GAUGE</t>
  </si>
  <si>
    <t>OH5A2A6-1 - ASSY, BUNO PLACARD</t>
  </si>
  <si>
    <t>OH5A2A7-1 - ASSY, LDG CHKLST PANEL</t>
  </si>
  <si>
    <t>OH5A3A1-1 - ASSY, CAUTION LIGHT PANEL</t>
  </si>
  <si>
    <t>OH5A2A2-1 - ASSY, WING FOLD HANDLE</t>
  </si>
  <si>
    <t>84835A44 - SPRING PLUNGER, BALL-NOSE, PRESS-FIT, .312 IN DIA</t>
  </si>
  <si>
    <t>84835A36 - SPRING PLUNGER, BALL-NOSE, PRESS-FIT, .312 IN DIA</t>
  </si>
  <si>
    <t>OH5A2A3-1 - ASSY, AV COOL SWITCH</t>
  </si>
  <si>
    <t>OH5A10A1-1 - ASSY, RIGHT CIRCUIT BREAKERS</t>
  </si>
  <si>
    <t>OH5A10A2-1 - ASSY, CANOPY SWITCH</t>
  </si>
  <si>
    <t>OHC0005-3 - ASSY, SWITCH, MAGNETICALLY HELD, (ON)-OFF</t>
  </si>
  <si>
    <t>PV2F24011 - SWITCH, PUSHBUTTON, FLAT, OFF-(ON)</t>
  </si>
  <si>
    <t>OH5A9A1-1 - ASSY, KY58 PANEL</t>
  </si>
  <si>
    <t>M55116/10-0 - 6 CONDUCTOR PM PLUG ASSY</t>
  </si>
  <si>
    <t>AJ-146-10 - 6 CONDUCTOR PM PLUG SUB ASSY</t>
  </si>
  <si>
    <t>AP-136-36 - O-RING FOR M55116-10/0</t>
  </si>
  <si>
    <t>AJ-146-12 - RETAINING NUT FOR M55116-10/0</t>
  </si>
  <si>
    <t>OHC0003-A-484DBW4 - ASSY, KNOB, BLACK, LARGE, .25 D-SHAFT</t>
  </si>
  <si>
    <t>OHC0003-A-287ABW4 - ASSY, KNOB, BLACK, .25 D-SHAFT</t>
  </si>
  <si>
    <t>OHC0003-A-384ABW2 - ASSY, KNOB, BLACK, .125 D-SHAFT</t>
  </si>
  <si>
    <t>51M30-01-2-03N - SWITCH, ROTARY, 3 POS, 30 DEG</t>
  </si>
  <si>
    <t>AT513M - HEX NUT FOR SWITCH, M6 X 0.75</t>
  </si>
  <si>
    <t>OH5A6A1-1 - ASSY, INTR LT PANEL</t>
  </si>
  <si>
    <t>635H/2 - SWITCH, TOGGLE, ON-MOM, STD BAT</t>
  </si>
  <si>
    <t>91249A144 - PHS, #6-32 X .250, 18-8, BLK</t>
  </si>
  <si>
    <t>OHC0003-A-385EGB4 - ASSY, KNOB, GREY, .25 D-SHAFT</t>
  </si>
  <si>
    <t>OHC0003-A-385BGB4 - ASSY, KNOB, GREY, .25 D-SHAFT</t>
  </si>
  <si>
    <t>OH5A5A1-1 - ASSY, ECS PANEL</t>
  </si>
  <si>
    <t>638H/2 - SWITCH, TOGGLE, ON-OFF-MOM, STD BAT</t>
  </si>
  <si>
    <t>OHC0003-A-4CONGB3 - ASSY, KNOB, GREY, .25 SHAFT, 12-FLUTES</t>
  </si>
  <si>
    <t>92311A191 - SET SCREW, 8-32 X .3125, CUP POINT, 18-8</t>
  </si>
  <si>
    <t>OHC0003-A-18FLGB1 - ASSY, KNOB, GREY, .125 SHAFT</t>
  </si>
  <si>
    <t>OHC0003-A-1AUGGN6 - ASSY, KNOB, GREY, AUG-PULL, .125 SHAFT</t>
  </si>
  <si>
    <t>OH5A5A1-200 - ASSY, BLEED AIR KNOB MECHANISM</t>
  </si>
  <si>
    <t>615250 - GEAR, PINION, .250 BORE, 32 PITCH, .75 PD, 24 TOOTH, .813 OD, BRASS, SERVOCITY</t>
  </si>
  <si>
    <t>DSOL-0630-12E - SOLENOID, OPEN-FRAME, PULL, INTERMITTENT, 12V, .50 STROKE</t>
  </si>
  <si>
    <t>A12405RNZQ - SWITCH, ROTARY, 90 DEG, 4 POS</t>
  </si>
  <si>
    <t>93025A568 - ROD, #6-32 X 3.00, BRASS</t>
  </si>
  <si>
    <t>90480A003 - NUT, #2-56, STEEL</t>
  </si>
  <si>
    <t>ESE-11HS2 - SWITCH, DETECTOR, SPST</t>
  </si>
  <si>
    <t>92503A180 - WASHER, #6 X 0.56 OD, 18-8, MIL-SPEC</t>
  </si>
  <si>
    <t>84835A11 - SPRING PLUNGER, BALL-NOSE, PRESS-FIT, 0.188IN DIA</t>
  </si>
  <si>
    <t>P082D-27CBR10K - POT, DUAL SHAFT, 10K, W/ 11X DETENTS</t>
  </si>
  <si>
    <t>OH5A2A1-1 - ASSY, HOOK LEVER &amp; INDICATOR</t>
  </si>
  <si>
    <t>92141A029 - WASHER, 0.281 X .625 OD, 18-8</t>
  </si>
  <si>
    <t>CR-104 - HOLDER, LED, 3MM</t>
  </si>
  <si>
    <t>C-104 - HOLDER, LED, CLIP</t>
  </si>
  <si>
    <t>R-104 - HOLDER, LED, RING</t>
  </si>
  <si>
    <t>91249A164 - PHS, #6-32 X 1.50, 18-8, BLK</t>
  </si>
  <si>
    <t>OHC0013-2 - ASSY, RIGHT BULKHEAD INTERCONNECT PANEL</t>
  </si>
  <si>
    <t>OH ASSY PN</t>
  </si>
  <si>
    <t>LIP</t>
  </si>
  <si>
    <t>UIP</t>
  </si>
  <si>
    <t>CENTER</t>
  </si>
  <si>
    <t>LEFT</t>
  </si>
  <si>
    <t>RIGHT</t>
  </si>
  <si>
    <t>SWITCH</t>
  </si>
  <si>
    <t>Part Type</t>
  </si>
  <si>
    <t>Part group</t>
  </si>
  <si>
    <t>Lookup3</t>
  </si>
  <si>
    <t>OH</t>
  </si>
  <si>
    <t>OH P/N</t>
  </si>
  <si>
    <t>BEARING</t>
  </si>
  <si>
    <t>Fasteners</t>
  </si>
  <si>
    <t>NUT</t>
  </si>
  <si>
    <t>SELF TAPPING</t>
  </si>
  <si>
    <t>INSERT</t>
  </si>
  <si>
    <t>SPRING</t>
  </si>
  <si>
    <t>Springs</t>
  </si>
  <si>
    <t>RING</t>
  </si>
  <si>
    <t>FHS</t>
  </si>
  <si>
    <t>WASHER</t>
  </si>
  <si>
    <t>PHS</t>
  </si>
  <si>
    <t>Washer</t>
  </si>
  <si>
    <t>Spacer</t>
  </si>
  <si>
    <t>SPACER</t>
  </si>
  <si>
    <t>Dowel</t>
  </si>
  <si>
    <t>Pins</t>
  </si>
  <si>
    <t>DOWEL</t>
  </si>
  <si>
    <t>SHCS</t>
  </si>
  <si>
    <t>PAN HEAD</t>
  </si>
  <si>
    <t>MAGNET</t>
  </si>
  <si>
    <t>COTS</t>
  </si>
  <si>
    <t>COLLAR</t>
  </si>
  <si>
    <t>Shaft Collars</t>
  </si>
  <si>
    <t>HHCS</t>
  </si>
  <si>
    <t>PIN</t>
  </si>
  <si>
    <t>STANDOFF</t>
  </si>
  <si>
    <t>MS21</t>
  </si>
  <si>
    <t>KNOB</t>
  </si>
  <si>
    <t>SHSS</t>
  </si>
  <si>
    <t>ROD</t>
  </si>
  <si>
    <t>ARDUINO</t>
  </si>
  <si>
    <t>CUP</t>
  </si>
  <si>
    <t>SCREWS</t>
  </si>
  <si>
    <t>Screw Nail Domed</t>
  </si>
  <si>
    <t>ABSIS</t>
  </si>
  <si>
    <t>LED</t>
  </si>
  <si>
    <t>Retaining Rings</t>
  </si>
  <si>
    <t>PINION</t>
  </si>
  <si>
    <t>SET SCREW</t>
  </si>
  <si>
    <t>POT</t>
  </si>
  <si>
    <t>MICROSTEPPER</t>
  </si>
  <si>
    <t>BOLT</t>
  </si>
  <si>
    <t>KORRY</t>
  </si>
  <si>
    <t>RUBBER</t>
  </si>
  <si>
    <t>100S</t>
  </si>
  <si>
    <t>ms</t>
  </si>
  <si>
    <t>knob</t>
  </si>
  <si>
    <t>TAPE</t>
  </si>
  <si>
    <t>RHS</t>
  </si>
  <si>
    <t>MS9</t>
  </si>
  <si>
    <t>200M</t>
  </si>
  <si>
    <t>92856A105 - WASHER, CUP, .25 SCR X 3.0 OD X .197 THK, STEEL V1</t>
  </si>
  <si>
    <t>TFT</t>
  </si>
  <si>
    <t>DISPLAY</t>
  </si>
  <si>
    <t>TOGGLE</t>
  </si>
  <si>
    <t>FHWS</t>
  </si>
  <si>
    <t>BHCS</t>
  </si>
  <si>
    <t>Cup Point</t>
  </si>
  <si>
    <t>ASSY</t>
  </si>
  <si>
    <t>OH ASSY</t>
  </si>
  <si>
    <t>OHC</t>
  </si>
  <si>
    <t>OH Common</t>
  </si>
  <si>
    <t>Knob</t>
  </si>
  <si>
    <t>SCREW</t>
  </si>
  <si>
    <t>Encoder</t>
  </si>
  <si>
    <t>SWITCH, TOGGLE, LOCKING, SPST, 2-POSN, STD BAT V1</t>
  </si>
  <si>
    <t>Duplicate</t>
  </si>
  <si>
    <t>Rotary Encoder</t>
  </si>
  <si>
    <t>PushButton</t>
  </si>
  <si>
    <t>BALL BEARING</t>
  </si>
  <si>
    <t>Grand Total</t>
  </si>
  <si>
    <t>Sum of QTY</t>
  </si>
  <si>
    <t>(All)</t>
  </si>
  <si>
    <t>Total</t>
  </si>
  <si>
    <t>ENCODER</t>
  </si>
  <si>
    <t>TRACK</t>
  </si>
  <si>
    <t>MOUNTING BRACKET</t>
  </si>
  <si>
    <t>LOCK WASHER</t>
  </si>
  <si>
    <t>HANDLE</t>
  </si>
  <si>
    <t>CABLE</t>
  </si>
  <si>
    <t>TOP NUT</t>
  </si>
  <si>
    <t>HEX NUT</t>
  </si>
  <si>
    <t>CUP POINT</t>
  </si>
  <si>
    <t>JAM</t>
  </si>
  <si>
    <t>SLOTTED</t>
  </si>
  <si>
    <t>POTENTIOMETER</t>
  </si>
  <si>
    <t>FOAM</t>
  </si>
  <si>
    <t>FLANGED SLEEVE BEARING</t>
  </si>
  <si>
    <t>LINEAR BEARING</t>
  </si>
  <si>
    <t>O-RING</t>
  </si>
  <si>
    <t>LOCKING RING</t>
  </si>
  <si>
    <t>NYLOC</t>
  </si>
  <si>
    <t>GEAR</t>
  </si>
  <si>
    <t>SLEEVE</t>
  </si>
  <si>
    <t>WAVE DISC</t>
  </si>
  <si>
    <t>THIN</t>
  </si>
  <si>
    <t>NARROW</t>
  </si>
  <si>
    <t>SEMI-PRECISION</t>
  </si>
  <si>
    <t>BLIND</t>
  </si>
  <si>
    <t>PLATED</t>
  </si>
  <si>
    <t>COUPLING</t>
  </si>
  <si>
    <t>MOD</t>
  </si>
  <si>
    <t>FLANGE</t>
  </si>
  <si>
    <t>TAPERED</t>
  </si>
  <si>
    <t>THUMB</t>
  </si>
  <si>
    <t>NYLON</t>
  </si>
  <si>
    <t>PTFE IMPREG</t>
  </si>
  <si>
    <t>IMPREG</t>
  </si>
  <si>
    <t>BAT</t>
  </si>
  <si>
    <t>LOCK</t>
  </si>
  <si>
    <t>PLUG</t>
  </si>
  <si>
    <t>HINGE</t>
  </si>
  <si>
    <t>CAP</t>
  </si>
  <si>
    <t>COIL</t>
  </si>
  <si>
    <t>CONTACT</t>
  </si>
  <si>
    <t>MALE-FEMALE</t>
  </si>
  <si>
    <t>ALUMINUM</t>
  </si>
  <si>
    <t>CLIP</t>
  </si>
  <si>
    <t>BORE</t>
  </si>
  <si>
    <t>PITCH</t>
  </si>
  <si>
    <t>PD</t>
  </si>
  <si>
    <t>TOOTH</t>
  </si>
  <si>
    <t>SERVOCITY</t>
  </si>
  <si>
    <t>HOLDER</t>
  </si>
  <si>
    <t>COMPRESSION</t>
  </si>
  <si>
    <t>DISPLAY, LCD, 7", HDMI, NO TOUCH PANEL</t>
  </si>
  <si>
    <t>ER-TFTV070A1-7 - DISPLAY, LCD, 7", HDMI, NO TOUCH PANEL</t>
  </si>
  <si>
    <t>9654K421 - 1.75" Long, 0.5" OD, 0.055" WD Steel Extension Spring with Loop Ends</t>
  </si>
  <si>
    <t>1.75" Long, 0.5" OD, 0.055" WD Steel Extension Spring with Loop Ends</t>
  </si>
  <si>
    <t>93650A155 - WASHER, CUSHIONING, 0.313 ID, MOISTURE-RESISTANT</t>
  </si>
  <si>
    <t>Cushioning Washer, 0.3125", Moisture-Resistant</t>
  </si>
  <si>
    <t>Misc</t>
  </si>
  <si>
    <t>ABSIS ASSY</t>
  </si>
  <si>
    <t>MOLEX</t>
  </si>
  <si>
    <t>Molex</t>
  </si>
  <si>
    <t>Connector</t>
  </si>
  <si>
    <t>HHS</t>
  </si>
  <si>
    <t>FHCS</t>
  </si>
  <si>
    <t>BUMPER</t>
  </si>
  <si>
    <t>DAMPER</t>
  </si>
  <si>
    <t>Cable</t>
  </si>
  <si>
    <t>Hub</t>
  </si>
  <si>
    <t>Not Used</t>
  </si>
  <si>
    <t>OH Part</t>
  </si>
  <si>
    <t>FRT-D2-152-G1 - ROTARY DAMPER WITH 12-TOOTH M1 GEAR</t>
  </si>
  <si>
    <t>FRT-D2-152 - ROTARY DAMPER</t>
  </si>
  <si>
    <t>LM8SUU - LINEAR BEARING 8MM</t>
  </si>
  <si>
    <t>LOCKING RING FOR SWITCH, 12MM</t>
  </si>
  <si>
    <t>AT506M -  LOCKING RING FOR SWITCH, 12MM</t>
  </si>
  <si>
    <t>AT527M - HEX NUT FOR SWITCH, M12X1</t>
  </si>
  <si>
    <t>DSTL-0840 - SOLENOID, TUBULAR, CONTINUOUS PULL, .75 STROKE, 5VDC</t>
  </si>
  <si>
    <t>Not Defined</t>
  </si>
  <si>
    <t>Lookup COTS Lvl 1</t>
  </si>
  <si>
    <t>Lookup COTS Lvl 2</t>
  </si>
  <si>
    <t>Lookup Part Type</t>
  </si>
  <si>
    <t>Bracket</t>
  </si>
  <si>
    <t>Lookup Desc</t>
  </si>
  <si>
    <t>ASSY, ABSIS</t>
  </si>
  <si>
    <t>ASSY, ANALOG RIGHT LOWER INSTRUMENT PANEL</t>
  </si>
  <si>
    <t>ASSY, LEFT LOWER INSTRUMENT PANEL</t>
  </si>
  <si>
    <t>ASSY, LDG GEAR HANDLE</t>
  </si>
  <si>
    <t>ASSY, SWITCH, MAGNETICALLY HELD, (ON)-OFF</t>
  </si>
  <si>
    <t>AIRSPEED INDICATOR -&gt; ASSY, 2IN GAUGE SGL STPR MECH W/ ZERO DETECT</t>
  </si>
  <si>
    <t>ALTIMETER -&gt; ASSY, ALTIMETER KNOB</t>
  </si>
  <si>
    <t>VERTICAL VELOCITY INDICATOR  -&gt; ASSY, 2IN GAUGE SGL STPR MECH W/ ZERO DETECT</t>
  </si>
  <si>
    <t>LIP Total</t>
  </si>
  <si>
    <t>CENTER Total</t>
  </si>
  <si>
    <t>LEFT Total</t>
  </si>
  <si>
    <t>RIGHT Total</t>
  </si>
  <si>
    <t>UIP Total</t>
  </si>
  <si>
    <t>ASSY, PANEL, JETT SELECT -&gt; ASSY, JETT SELECT MOUNTING PLATE</t>
  </si>
  <si>
    <t>ASSY, PANEL, JETT SELECT -&gt; ASSY, JETT SELECT PUSHBUTTON, RO</t>
  </si>
  <si>
    <t>ASSY, PANEL, JETT SELECT -&gt; ASSY, JETT SELECT PUSHBUTTON, LI</t>
  </si>
  <si>
    <t>ASSY, PANEL, JETT SELECT -&gt; ASSY, JETT SELECT PUSHBUTTON, LO</t>
  </si>
  <si>
    <t>ASSY, PANEL, JETT SELECT -&gt; ASSY, JETT SELECT PUSHBUTTON, RI</t>
  </si>
  <si>
    <t>ASSY, PANEL, JETT SELECT -&gt; ASSY, JETT SELECT PUSHBUTTON, CTR</t>
  </si>
  <si>
    <t>ASSY, PANEL, JETT SELECT -&gt; ASSY, JETT SELECT INDICATOR, NOSE</t>
  </si>
  <si>
    <t>ASSY, PANEL, JETT SELECT -&gt; ASSY, JETT SELECT INDICATOR, LEFT</t>
  </si>
  <si>
    <t>ASSY, PANEL, JETT SELECT -&gt; ASSY, JETT SELECT INDICATOR, RIGHT</t>
  </si>
  <si>
    <t>ASSY, PANEL, JETT SELECT -&gt; ASSY, JETT SELECT INDICATOR, HALF</t>
  </si>
  <si>
    <t>ASSY, PANEL, JETT SELECT -&gt; ASSY, JETT SELECT INDICATOR, FULL</t>
  </si>
  <si>
    <t>ASSY, PANEL, JETT SELECT -&gt; ASSY, JETT SELECT INDICATOR, FLAPS</t>
  </si>
  <si>
    <t>ASSY, AMPCD MODULE -&gt; ASSY, DDI_AMPCD_CONTROLLER</t>
  </si>
  <si>
    <t>ASSY, PANEL, RWR CONTROL -&gt; RWR CONTROL INDICATOR, FAIL BIT</t>
  </si>
  <si>
    <t>ASSY, PANEL, RWR CONTROL -&gt; RWR CONTROL INDICATOR, ENABLE OFFSET</t>
  </si>
  <si>
    <t>ASSY, PANEL, RWR CONTROL -&gt; RWR CONTROL INDICATOR, ENABLE SPECIAL</t>
  </si>
  <si>
    <t>ASSY, PANEL, RWR CONTROL -&gt; RWR CONTROL INDICATOR, LIMIT DISP</t>
  </si>
  <si>
    <t>ASSY, PANEL, RWR CONTROL -&gt; RWR CONTROL INDICATOR, ALR-67 PWR</t>
  </si>
  <si>
    <t>ASSY, PANEL, RWR CONTROL -&gt; ASSY, ABSIS ALE</t>
  </si>
  <si>
    <t>ASSY, PANEL, ECM/DISP -&gt; ECM JETT SEL INDICATOR</t>
  </si>
  <si>
    <t>ASSY, PANEL, ECM/DISP -&gt; ASSY, SWITCH, S3AL, ROUND BAT</t>
  </si>
  <si>
    <t>ASSY, PANEL, ECM/DISP -&gt; ASSY, SWITCH, S1AL, CONICAL BAT</t>
  </si>
  <si>
    <t>ASSY, PANEL, ECM/DISP -&gt; ASSY, ABSIS ALE</t>
  </si>
  <si>
    <t>ASSY, CABIN PRESSURE GAUGE -&gt; ASSY, 2IN GAUGE SGL STPR MECH W/O ZERO DETECT</t>
  </si>
  <si>
    <t>ASSY, FWD UFC -&gt; UFC PANEL</t>
  </si>
  <si>
    <t>ASSY, FWD UFC -&gt; UFC PANEL -&gt; ASSY, PCB, UFC_MAIN</t>
  </si>
  <si>
    <t>ASSY, FWD UFC -&gt; ASSY, AP SWITCH MODULE</t>
  </si>
  <si>
    <t>ASSY, SEAT BUCKET, SJU-17 -&gt; ASSY, RIGHT SEAT BUCKET</t>
  </si>
  <si>
    <t>ASSY, SEAT BUCKET, SJU-17 -&gt; ASSY, LEFT SEAT BUCKET</t>
  </si>
  <si>
    <t>ASSY, SEAT BUCKET, SJU-17 -&gt; ASSY, EJECTION HANDLE</t>
  </si>
  <si>
    <t>ASSY, SEAT BUCKET, SJU-17 -&gt; ASSY, CENTER SEAT BUCKET</t>
  </si>
  <si>
    <t>ASSY, SEAT BUCKET, SJU-17 -&gt; ASSY, CENTER SEAT BUCKET -&gt; ASSY, ABSIS ALE</t>
  </si>
  <si>
    <t>ASSY, STICK PITCH AXIS -&gt; ASSY, STICK YOKE</t>
  </si>
  <si>
    <t>ASSY, STICK PITCH AXIS -&gt; ASSY, STICK YOKE -&gt; ASSY, MAIN CASING</t>
  </si>
  <si>
    <t>ASSY, STICK PITCH AXIS -&gt; ASSY, STICK YOKE -&gt; ASSY, MAIN CASING -&gt; ASSY, MAIN CASING A</t>
  </si>
  <si>
    <t>ASSY, STICK PITCH AXIS -&gt; ASSY, STICK YOKE -&gt; ASSY, MAIN CASING -&gt; ASSY, MAIN CASING B</t>
  </si>
  <si>
    <t>ASSY, STICK PITCH AXIS -&gt; ASSY, STICK YOKE -&gt; ASSY, MAIN CASING -&gt; STUD, SPRING DAMPER</t>
  </si>
  <si>
    <t>ASSY, STICK PITCH AXIS -&gt; ASSY, STICK YOKE -&gt; ASSY, PIVOTING STICK RISER MOUNT</t>
  </si>
  <si>
    <t>ASSY, STICK PITCH AXIS -&gt; ASSY, STICK YOKE -&gt; ASSY, PIVOTING STICK RISER MOUNT -&gt; ASSY, PIVOT BLOCK A</t>
  </si>
  <si>
    <t>ASSY, STICK PITCH AXIS -&gt; ASSY, STICK YOKE -&gt; ASSY, PIVOTING STICK RISER MOUNT -&gt; ASSY, PIVOT BLOCK B</t>
  </si>
  <si>
    <t>ASSY, STICK PITCH AXIS -&gt; ASSY, STICK YOKE -&gt; ASSY, FWD PLATE</t>
  </si>
  <si>
    <t>ASSY, STICK PITCH AXIS -&gt; ASSY, STICK YOKE -&gt; ASSY, FWD PLATE -&gt; ASSY, FWD MAIN PLATE</t>
  </si>
  <si>
    <t>ASSY, STICK PITCH AXIS -&gt; ASSY, STICK YOKE -&gt; ASSY, FWD PLATE -&gt; ASSY, ROLL SENSOR</t>
  </si>
  <si>
    <t>ASSY, STICK PITCH AXIS -&gt; ASSY, STICK YOKE -&gt; ASSY, AFT MAIN PLATE</t>
  </si>
  <si>
    <t>ASSY, STICK PITCH AXIS -&gt; ASSY, STICK YOKE -&gt; ASSY, AFT MAIN PLATE -&gt; ASSY, FWD MAIN PLATE</t>
  </si>
  <si>
    <t>ASSY, STICK PITCH AXIS -&gt; ASSY, STICK YOKE -&gt; ASSY, ROLL DAMPER ARM A</t>
  </si>
  <si>
    <t>ASSY, STICK PITCH AXIS -&gt; ASSY, STICK YOKE -&gt; ASSY, ROLL DAMPER ARM B</t>
  </si>
  <si>
    <t>ASSY, STICK PITCH AXIS -&gt; ASSY, STICK YOKE -&gt; ASSY, SCISSORS</t>
  </si>
  <si>
    <t>ASSY, STICK PITCH AXIS -&gt; ASSY, STICK YOKE -&gt; ASSY, SCISSORS -&gt; ASSY, SCISSOR ARM A</t>
  </si>
  <si>
    <t>ASSY, STICK PITCH AXIS -&gt; ASSY, STICK YOKE -&gt; ASSY, SCISSORS -&gt; ASSY, SCISSOR ARM B</t>
  </si>
  <si>
    <t>ASSY, STICK PITCH AXIS -&gt; ASSY, LEFT PITCH DAMPER ANCHOR, SPA</t>
  </si>
  <si>
    <t>ASSY, STICK PITCH AXIS -&gt; ASSY, RIGHT PITCH DAMPER ANCHOR, SPA</t>
  </si>
  <si>
    <t>ASSY, STICK PITCH AXIS -&gt; ASSY, LEFT PITCH DAMPER</t>
  </si>
  <si>
    <t>ASSY, STICK PITCH AXIS -&gt; ASSY, RIGHT PITCH DAMPER</t>
  </si>
  <si>
    <t>ASSY, STICK PITCH AXIS -&gt; ASSY, TRAVEL STOP, AFT LEFT</t>
  </si>
  <si>
    <t>ASSY, STICK PITCH AXIS -&gt; ASSY, TRAVEL STOP, AFT RIGHT</t>
  </si>
  <si>
    <t>ASSY, STICK PITCH AXIS -&gt; ASSY, TRAVEL STOP, FWD LEFT</t>
  </si>
  <si>
    <t>ASSY, STICK PITCH AXIS -&gt; ASSY, TRAVEL STOP, FWD RIGHT</t>
  </si>
  <si>
    <t>ASSY, STICK PITCH AXIS -&gt; ASSY, STICK CONTROLLER PCB</t>
  </si>
  <si>
    <t>ASSY, SSDCT -&gt; ASSY, SPRING END, SSDCT</t>
  </si>
  <si>
    <t>ASSY, SSDCT -&gt; ASSY, FIXED END, SSDCT</t>
  </si>
  <si>
    <t>ASSY, SSDCT -&gt; ASSY, FIXED END, SSDCT -&gt; ASSY, GUIDE ROD</t>
  </si>
  <si>
    <t>ASSY, SSDCT -&gt; ASSY, FIXED END, SSDCT -&gt; ASSY, THREADED STUD</t>
  </si>
  <si>
    <t>ASSY, SSDCT -&gt; ASSY, PUSHROD, SMOOTH, SSDCT</t>
  </si>
  <si>
    <t>ASSY, SSDCT -&gt; ASSY, PUSHROD, THREADED, SSDCT</t>
  </si>
  <si>
    <t>ASSY, INBOARD THROTTLE ARM -&gt; ASSY, INBOARD THROTTLE GRIP</t>
  </si>
  <si>
    <t>ASSY, INBOARD THROTTLE ARM -&gt; ASSY, INBOARD THROTTLE GRIP -&gt; ASSY, ANT ELEV SWITCH</t>
  </si>
  <si>
    <t>ASSY, INBOARD THROTTLE ARM -&gt; ASSY, INBOARD THROTTLE GRIP -&gt; ASSY, TDC SWITCH</t>
  </si>
  <si>
    <t>ASSY, INBOARD THROTTLE ARM -&gt; ASSY, INBOARD THROTTLE GRIP -&gt; ASSY, DISPENSE SWITCH</t>
  </si>
  <si>
    <t>ASSY, INBOARD THROTTLE ARM -&gt; ASSY, INBOARD THROTTLE GRIP -&gt; ASSY, SPD BRK SWITCH</t>
  </si>
  <si>
    <t>ASSY, OUTBOARD THROTTLE ARM -&gt; ASSY, OUTBOARD THROTTLE GRIP</t>
  </si>
  <si>
    <t>RUDDER TRIM MECHANISM -&gt; PRE-ASSY, RUD TRIM, UPPER BRACKET</t>
  </si>
  <si>
    <t>RUDDER TRIM MECHANISM -&gt; PRE-ASSY, RUD TRIM, LOWER MOUNT PLATE</t>
  </si>
  <si>
    <t>RUDDER TRIM MECHANISM -&gt; PRE-ASSY, RUD TRIM, SWITCH BRACKET</t>
  </si>
  <si>
    <t>OH4A4A3-10</t>
  </si>
  <si>
    <t>OH4A4A3-10 - GEN TIE PCB V2</t>
  </si>
  <si>
    <t>GEN TIE PCB V2</t>
  </si>
  <si>
    <t>3.15.1</t>
  </si>
  <si>
    <t>ASSY, SELECT JETT SWITCH MECH -&gt; PRE-ASSY, SELECT JETT UPPER BRACKET</t>
  </si>
  <si>
    <t>ASSY, SELECT JETT SWITCH MECH -&gt; PRE-ASSY, SELECT JETT LOWER MOUNT PLATE</t>
  </si>
  <si>
    <t>ASSY, SELECT JETT SWITCH MECH -&gt; PRE-ASSY, SELECT JETT SWITCH BRACKET</t>
  </si>
  <si>
    <t>ASSY, SELECT JETT ELECTRONICS TRAY -&gt; ASSY, ABSIS ALE</t>
  </si>
  <si>
    <t>ASSY, LDG GEAR LVR MECH -&gt; ASSY, LDG GEAR LVR</t>
  </si>
  <si>
    <t>ASSY, LDG GEAR LVR MECH -&gt; ASSY, LDG GEAR LVR -&gt; PRE-ASSY, LDG GEAR LVR SHELL A</t>
  </si>
  <si>
    <t>ASSY, LDG GEAR LVR MECH -&gt; ASSY, LDG GEAR LVR -&gt; PRE-ASSY, LDG GEAR LVR UPPER TUBE</t>
  </si>
  <si>
    <t>ASSY, LDG GEAR LVR MECH -&gt; ASSY, LDG GEAR LVR -&gt; PRE-ASSY, LDG GEAR LVR SHELL B</t>
  </si>
  <si>
    <t>ASSY, LDG GEAR LVR MECH -&gt; ASSY, LDG GEAR LVR -&gt; ASSY, LDG GEAR LVR LOLLIPOP SHAFT</t>
  </si>
  <si>
    <t>ASSY, LDG GEAR LVR MECH -&gt; ASSY, LDG GEAR LEVER MOUNT A</t>
  </si>
  <si>
    <t>ASSY, LDG GEAR LVR MECH -&gt; ASSY, LDG GEAR LEVEL MOUNT SHELL B</t>
  </si>
  <si>
    <t>ASSY, LDG GEAR LVR MECH -&gt; ASSY, LDG GEAR SOLENOID CLAMP</t>
  </si>
  <si>
    <t>ASSY, LDG GEAR LVR MECH -&gt; ASSY, LDG GEAR ELEC STANDOFF BRACKET</t>
  </si>
  <si>
    <t>ASSY, TRANSDUCER GAIN REMOTE -&gt; OHC0003-A-18FLGN4 - ASSY, KNOB, GREY, .25 D-SHAFT</t>
  </si>
  <si>
    <t>ASSY, ELEC PANEL ELECTRONICS TRAY -&gt; ASSY, ABSIS ALE</t>
  </si>
  <si>
    <t>ASSY, KY58 ABSIS MODULE -&gt; ASSY, ABSIS ALE</t>
  </si>
  <si>
    <t>ASSY, INTR LT ABSIS MODULE -&gt; ASSY, ABSIS ALE</t>
  </si>
  <si>
    <t>ASSY, BLEED AIR KNOB MECHANISM -&gt; ASSY, UPPER BRACKET</t>
  </si>
  <si>
    <t>ASSY, BLEED AIR KNOB MECHANISM -&gt; ASSY, LOWER BRACKET</t>
  </si>
  <si>
    <t>ASSY, BLEED AIR KNOB MECHANISM -&gt; ASSY, SOLENOID BRACKET</t>
  </si>
  <si>
    <t>ASSY, BLEED AIR KNOB MECHANISM -&gt; ASSY, PULL SHAFT COUPLER</t>
  </si>
  <si>
    <t>ASSY, HOOK LEVER -&gt; HOOK LEVER BODY</t>
  </si>
  <si>
    <t>ASSY, PANEL, VIDEO RECORD -&gt; OHC0003-A-012FGB3 - ASSY, KNOB, GREY, .25 D-SHAFT</t>
  </si>
  <si>
    <t>ASSY, AMPCD MODULE -&gt; OHC0003-412FGB2 - ASSY, KNOB, GREY, .125 RECESSED D-SHAFT</t>
  </si>
  <si>
    <t>ASSY, PANEL, RWR CONTROL -&gt; OHC0003-A-028ABW2 - ASSY, KNOB, BLACK, ROUND, .125 D-SHAFT</t>
  </si>
  <si>
    <t>ASSY, PANEL, RWR CONTROL -&gt; OHC0003-A-028ABN2 - ASSY, KNOB, BLACK, ROUND, .125 D-SHAFT</t>
  </si>
  <si>
    <t>ASSY, PANEL, ECM/DISP -&gt; OHC0003-A-385CGB4-LO - ASSY, KNOB, GREY, .25 D-SHAFT, MOD</t>
  </si>
  <si>
    <t>ASSY, HUD PANEL -&gt; OHC0003-A-1TS5GB4 - ASSY, KNOB, GREY, .25 D-SHAFT</t>
  </si>
  <si>
    <t>ASSY, HUD PANEL -&gt; OHC0003-A-287AGB4 - ASSY, KNOB, GREY, .25 D-SHAFT</t>
  </si>
  <si>
    <t>ASSY, FWD UFC -&gt; UFC PANEL -&gt; OHC0003-A-012FGB3 - ASSY, KNOB, GREY, .25 D-SHAFT</t>
  </si>
  <si>
    <t>SUB ASSEMBLIES</t>
  </si>
  <si>
    <t>(blank)</t>
  </si>
  <si>
    <t>This document contains all parts from all drawings. It does not contain the individual PCB components (which can be found in the individual PCB BOMs), nor the interconnect parts (which can be found in the interconnect parts list).</t>
  </si>
  <si>
    <t>(Multiple Items)</t>
  </si>
  <si>
    <t>Console</t>
  </si>
  <si>
    <t>Part Name</t>
  </si>
  <si>
    <t>COTS Category</t>
  </si>
  <si>
    <t>COTS Subcategory</t>
  </si>
  <si>
    <t>Top Level</t>
  </si>
  <si>
    <t>Top Level Total</t>
  </si>
  <si>
    <t>TITLE</t>
  </si>
  <si>
    <t>DWG NO</t>
  </si>
  <si>
    <t>REV</t>
  </si>
  <si>
    <t>DESIGNED</t>
  </si>
  <si>
    <t>DATE</t>
  </si>
  <si>
    <t>R. MARRASH</t>
  </si>
  <si>
    <t>OH-MPL</t>
  </si>
  <si>
    <t>MASTER PARTS LIST, OPENHORNET</t>
  </si>
  <si>
    <t>This entire document is for reference only. It was manually compiled from the F360 output, and the individual drawing parts lists supercede this document.</t>
  </si>
  <si>
    <t>SEE SHEET 1 FOR ADMIN INFORMATION AND LICENSING MARKING.</t>
  </si>
  <si>
    <t>NOTES</t>
  </si>
  <si>
    <t>HLMP-1321</t>
  </si>
  <si>
    <t>HLMP-1321 - 3MM BACKLIGHTING LED, RED</t>
  </si>
  <si>
    <t>98381A474 - PIN, DOWEL, .125 OD X .875L, ALLOY STEEL</t>
  </si>
  <si>
    <t>PIN, DOWEL, .125 OD X .875L, ALLOY STEEL</t>
  </si>
  <si>
    <t>4.10.35</t>
  </si>
  <si>
    <t>ASSY, ABSIS BUS MASTER</t>
  </si>
  <si>
    <t>ABSIS011</t>
  </si>
  <si>
    <t>ABSIS011-10</t>
  </si>
  <si>
    <t>ABSIS011 - ASSY, ABSIS BUS MASTER</t>
  </si>
  <si>
    <t>ABSIS011-10 - PCB, ABSIS BUS MASTER</t>
  </si>
  <si>
    <t>PCB, ABSIS BUS MASTER</t>
  </si>
  <si>
    <t>10-18-2024</t>
  </si>
  <si>
    <t>B</t>
  </si>
  <si>
    <t>100SP4T8B13M1QEH - SWITCH, TOGGLE, (ON)-OFF-(ON), SPDT, 18MM BAT</t>
  </si>
  <si>
    <t>3.28.1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</si>
</sst>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8"/>
      <name val="Calibri"/>
      <family val="2"/>
      <scheme val="minor"/>
    </font>
    <font>
      <sz val="18"/>
      <color theme="1"/>
      <name val="Calibri"/>
      <family val="2"/>
      <scheme val="minor"/>
    </font>
    <font>
      <sz val="13"/>
      <color theme="1"/>
      <name val="Calibri"/>
      <family val="2"/>
      <scheme val="minor"/>
    </font>
    <font>
      <b/>
      <sz val="14"/>
      <color theme="1"/>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33" borderId="0" xfId="0" applyFill="1"/>
    <xf numFmtId="0" fontId="0" fillId="34" borderId="0" xfId="0" applyFill="1"/>
    <xf numFmtId="0" fontId="14" fillId="35" borderId="0" xfId="0" applyFont="1" applyFill="1"/>
    <xf numFmtId="0" fontId="0" fillId="35" borderId="0" xfId="0" applyFill="1"/>
    <xf numFmtId="2" fontId="0" fillId="0" borderId="0" xfId="0" applyNumberFormat="1"/>
    <xf numFmtId="0" fontId="0" fillId="36" borderId="0" xfId="0" applyFill="1"/>
    <xf numFmtId="0" fontId="0" fillId="0" borderId="0" xfId="0" pivotButton="1"/>
    <xf numFmtId="0" fontId="0" fillId="35" borderId="10" xfId="0" applyFill="1" applyBorder="1"/>
    <xf numFmtId="0" fontId="0" fillId="35" borderId="11" xfId="0"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34" borderId="12" xfId="0" applyFill="1" applyBorder="1"/>
    <xf numFmtId="0" fontId="0" fillId="37" borderId="0" xfId="0" applyFill="1"/>
    <xf numFmtId="0" fontId="0" fillId="38" borderId="0" xfId="0" applyFill="1"/>
    <xf numFmtId="0" fontId="0" fillId="39" borderId="0" xfId="0" applyFill="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0" fillId="34" borderId="0" xfId="0" applyFill="1" applyAlignment="1">
      <alignment horizontal="left"/>
    </xf>
    <xf numFmtId="0" fontId="0" fillId="40" borderId="0" xfId="0" applyFill="1"/>
    <xf numFmtId="0" fontId="0" fillId="41" borderId="0" xfId="0" applyFill="1"/>
    <xf numFmtId="0" fontId="0" fillId="42" borderId="0" xfId="0" applyFill="1"/>
    <xf numFmtId="0" fontId="0" fillId="40" borderId="0" xfId="0" applyFill="1" applyAlignment="1">
      <alignment horizontal="left"/>
    </xf>
    <xf numFmtId="0" fontId="0" fillId="34" borderId="0" xfId="0" applyFill="1" applyAlignment="1">
      <alignment horizontal="center"/>
    </xf>
    <xf numFmtId="2" fontId="0" fillId="0" borderId="0" xfId="0" applyNumberFormat="1" applyAlignment="1">
      <alignment horizontal="center"/>
    </xf>
    <xf numFmtId="2" fontId="0" fillId="0" borderId="0" xfId="0" applyNumberFormat="1" applyAlignment="1">
      <alignment horizontal="left"/>
    </xf>
    <xf numFmtId="0" fontId="0" fillId="43" borderId="0" xfId="0" applyFill="1"/>
    <xf numFmtId="0" fontId="0" fillId="0" borderId="0" xfId="0" pivotButton="1" applyAlignment="1">
      <alignment horizontal="left"/>
    </xf>
    <xf numFmtId="0" fontId="0" fillId="0" borderId="0" xfId="0" applyProtection="1">
      <protection locked="0"/>
    </xf>
    <xf numFmtId="49" fontId="0" fillId="0" borderId="0" xfId="0" applyNumberFormat="1" applyAlignment="1">
      <alignment vertical="center"/>
    </xf>
    <xf numFmtId="49" fontId="20" fillId="0" borderId="0" xfId="0" applyNumberFormat="1" applyFont="1" applyAlignment="1">
      <alignment vertical="center"/>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2" fillId="0" borderId="0" xfId="0" applyFont="1" applyAlignment="1">
      <alignment horizontal="center"/>
    </xf>
    <xf numFmtId="0" fontId="16" fillId="0" borderId="0" xfId="0" applyFont="1" applyAlignment="1">
      <alignment horizontal="center"/>
    </xf>
    <xf numFmtId="0" fontId="0" fillId="0" borderId="0" xfId="0" applyNumberFormat="1"/>
    <xf numFmtId="0"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21">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47625</xdr:rowOff>
    </xdr:from>
    <xdr:to>
      <xdr:col>14</xdr:col>
      <xdr:colOff>485775</xdr:colOff>
      <xdr:row>4</xdr:row>
      <xdr:rowOff>120935</xdr:rowOff>
    </xdr:to>
    <xdr:pic>
      <xdr:nvPicPr>
        <xdr:cNvPr id="2" name="Picture 1">
          <a:extLst>
            <a:ext uri="{FF2B5EF4-FFF2-40B4-BE49-F238E27FC236}">
              <a16:creationId xmlns:a16="http://schemas.microsoft.com/office/drawing/2014/main" id="{3BBC2ECC-69E9-4DEF-AA9D-4981859F00BD}"/>
            </a:ext>
          </a:extLst>
        </xdr:cNvPr>
        <xdr:cNvPicPr>
          <a:picLocks noChangeAspect="1"/>
        </xdr:cNvPicPr>
      </xdr:nvPicPr>
      <xdr:blipFill>
        <a:blip xmlns:r="http://schemas.openxmlformats.org/officeDocument/2006/relationships" r:embed="rId1"/>
        <a:stretch>
          <a:fillRect/>
        </a:stretch>
      </xdr:blipFill>
      <xdr:spPr>
        <a:xfrm>
          <a:off x="4267200" y="47625"/>
          <a:ext cx="4752975" cy="1044860"/>
        </a:xfrm>
        <a:prstGeom prst="rect">
          <a:avLst/>
        </a:prstGeom>
      </xdr:spPr>
    </xdr:pic>
    <xdr:clientData/>
  </xdr:twoCellAnchor>
  <xdr:twoCellAnchor editAs="oneCell">
    <xdr:from>
      <xdr:col>14</xdr:col>
      <xdr:colOff>438150</xdr:colOff>
      <xdr:row>0</xdr:row>
      <xdr:rowOff>228599</xdr:rowOff>
    </xdr:from>
    <xdr:to>
      <xdr:col>17</xdr:col>
      <xdr:colOff>600075</xdr:colOff>
      <xdr:row>3</xdr:row>
      <xdr:rowOff>162168</xdr:rowOff>
    </xdr:to>
    <xdr:pic>
      <xdr:nvPicPr>
        <xdr:cNvPr id="3" name="Picture 2">
          <a:extLst>
            <a:ext uri="{FF2B5EF4-FFF2-40B4-BE49-F238E27FC236}">
              <a16:creationId xmlns:a16="http://schemas.microsoft.com/office/drawing/2014/main" id="{C43B99D6-B458-46DD-95B2-40D00D18A063}"/>
            </a:ext>
          </a:extLst>
        </xdr:cNvPr>
        <xdr:cNvPicPr>
          <a:picLocks noChangeAspect="1"/>
        </xdr:cNvPicPr>
      </xdr:nvPicPr>
      <xdr:blipFill>
        <a:blip xmlns:r="http://schemas.openxmlformats.org/officeDocument/2006/relationships" r:embed="rId2"/>
        <a:stretch>
          <a:fillRect/>
        </a:stretch>
      </xdr:blipFill>
      <xdr:spPr>
        <a:xfrm>
          <a:off x="8972550" y="228599"/>
          <a:ext cx="1990725" cy="7146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g Granby" refreshedDate="46138.621621064813" createdVersion="8" refreshedVersion="8" minRefreshableVersion="3" recordCount="2883" xr:uid="{3A1E3EDC-E76B-4FDC-8FA7-7C72EF8BB1CE}">
  <cacheSource type="worksheet">
    <worksheetSource ref="A1:L2884" sheet="OPENHORNET BOM V39"/>
  </cacheSource>
  <cacheFields count="12">
    <cacheField name="Console" numFmtId="0">
      <sharedItems count="7">
        <s v="Top Level"/>
        <s v="LIP"/>
        <s v="UIP"/>
        <s v="CENTER"/>
        <s v="LEFT"/>
        <s v="RIGHT"/>
        <s v="LIPUIP" u="1"/>
      </sharedItems>
    </cacheField>
    <cacheField name="ITEM" numFmtId="0">
      <sharedItems containsMixedTypes="1" containsNumber="1" minValue="1" maxValue="4.9000000000000004" count="2849">
        <n v="1"/>
        <n v="1.1000000000000001"/>
        <s v="1.1.1"/>
        <s v="1.1.2"/>
        <s v="1.1.3"/>
        <s v="1.1.4"/>
        <s v="1.1.5"/>
        <s v="1.1.6"/>
        <s v="1.1.6.1"/>
        <s v="1.1.6.2"/>
        <s v="1.1.6.3"/>
        <s v="1.1.6.4"/>
        <s v="1.1.6.5"/>
        <s v="1.1.6.6"/>
        <s v="1.1.6.7"/>
        <s v="1.1.6.8"/>
        <s v="1.1.6.9"/>
        <s v="1.1.6.10"/>
        <s v="1.1.6.11"/>
        <s v="1.1.6.12"/>
        <s v="1.1.6.13"/>
        <s v="1.1.6.14"/>
        <s v="1.1.6.15"/>
        <s v="1.1.6.16"/>
        <s v="1.1.6.17"/>
        <s v="1.1.6.18"/>
        <s v="1.1.6.19"/>
        <s v="1.1.6.20"/>
        <s v="1.1.6.21"/>
        <s v="1.1.6.22"/>
        <s v="1.1.6.23"/>
        <s v="1.1.6.24"/>
        <s v="1.1.6.25"/>
        <s v="1.1.6.26"/>
        <s v="1.1.6.27"/>
        <s v="1.1.6.28"/>
        <s v="1.1.6.29"/>
        <s v="1.1.6.30"/>
        <s v="1.1.6.31"/>
        <s v="1.1.6.32"/>
        <s v="1.1.6.33"/>
        <s v="1.1.6.34"/>
        <s v="1.1.6.35"/>
        <s v="1.1.6.36"/>
        <s v="1.1.6.37"/>
        <s v="1.1.6.38"/>
        <s v="1.1.6.39"/>
        <s v="1.1.6.40"/>
        <s v="1.1.6.41"/>
        <s v="1.1.6.42"/>
        <s v="1.1.6.43"/>
        <s v="1.1.6.44"/>
        <s v="1.1.6.45"/>
        <s v="1.1.6.46"/>
        <s v="1.1.6.47"/>
        <s v="1.1.6.48"/>
        <s v="1.1.6.49"/>
        <s v="1.1.6.50"/>
        <s v="1.1.6.51"/>
        <s v="1.1.6.52"/>
        <s v="1.1.6.53"/>
        <s v="1.1.6.54"/>
        <s v="1.1.6.55"/>
        <s v="1.1.7"/>
        <s v="1.1.7.1"/>
        <s v="1.1.7.2"/>
        <s v="1.1.7.2.1"/>
        <s v="1.1.7.2.2"/>
        <s v="1.1.7.2.3"/>
        <s v="1.1.7.3"/>
        <s v="1.1.7.3.1"/>
        <s v="1.1.7.3.2"/>
        <s v="1.1.7.3.3"/>
        <s v="1.1.7.3.3.1"/>
        <s v="1.1.7.3.3.2"/>
        <s v="1.1.7.3.3.3"/>
        <s v="1.1.7.3.3.4"/>
        <s v="1.1.7.3.3.5"/>
        <s v="1.1.7.3.3.6"/>
        <s v="1.1.7.3.3.7"/>
        <s v="1.1.7.3.3.8"/>
        <s v="1.1.7.3.3.9"/>
        <s v="1.1.7.3.3.10"/>
        <s v="1.1.7.3.4"/>
        <s v="1.1.7.3.5"/>
        <s v="1.1.7.3.6"/>
        <s v="1.1.7.4"/>
        <s v="1.1.7.4.1"/>
        <s v="1.1.7.4.2"/>
        <s v="1.1.7.4.3"/>
        <s v="1.1.7.4.4"/>
        <s v="1.1.7.4.5"/>
        <s v="1.1.7.4.6"/>
        <s v="1.1.7.4.6.1"/>
        <s v="1.1.7.4.6.2"/>
        <s v="1.1.7.4.7"/>
        <s v="1.1.7.4.8"/>
        <s v="1.1.7.4.9"/>
        <s v="1.1.7.4.10"/>
        <s v="1.1.7.4.11"/>
        <s v="1.1.7.4.12"/>
        <s v="1.1.7.4.13"/>
        <s v="1.1.7.4.14"/>
        <s v="1.1.7.4.15"/>
        <s v="1.1.7.4.16"/>
        <s v="1.1.7.4.17"/>
        <s v="1.1.7.4.18"/>
        <s v="1.1.7.4.19"/>
        <s v="1.1.7.4.20"/>
        <s v="1.1.7.4.21"/>
        <s v="1.1.7.5"/>
        <s v="1.1.7.5.1"/>
        <s v="1.1.7.5.2"/>
        <s v="1.1.7.5.3"/>
        <s v="1.1.7.5.4"/>
        <s v="1.1.7.5.5"/>
        <s v="1.1.7.5.5.1"/>
        <s v="1.1.7.5.5.2"/>
        <s v="1.1.7.5.5.3"/>
        <s v="1.1.7.5.5.4"/>
        <s v="1.1.7.5.5.5"/>
        <s v="1.1.7.5.5.6"/>
        <s v="1.1.7.5.5.7"/>
        <s v="1.1.7.5.5.8"/>
        <s v="1.1.7.5.5.9"/>
        <s v="1.1.7.5.5.10"/>
        <s v="1.1.7.5.6"/>
        <s v="1.1.7.5.7"/>
        <s v="1.1.7.6"/>
        <s v="1.1.7.6.1"/>
        <s v="1.1.7.6.2"/>
        <s v="1.1.7.6.3"/>
        <s v="1.1.7.6.4"/>
        <s v="1.1.7.6.5"/>
        <s v="1.1.7.6.6"/>
        <s v="1.1.7.6.7"/>
        <s v="1.1.7.6.8"/>
        <s v="1.1.7.6.9"/>
        <s v="1.1.7.6.10"/>
        <s v="1.1.7.6.11"/>
        <s v="1.1.7.6.12"/>
        <s v="1.1.7.6.13"/>
        <s v="1.1.7.6.14"/>
        <s v="1.1.7.6.15"/>
        <s v="1.1.7.6.16"/>
        <s v="1.1.7.7"/>
        <s v="1.1.7.7.1"/>
        <s v="1.1.7.7.2"/>
        <s v="1.1.7.7.3"/>
        <s v="1.1.7.7.4"/>
        <s v="1.1.7.7.5"/>
        <s v="1.1.7.7.6"/>
        <s v="1.1.7.7.7"/>
        <s v="1.1.7.7.8"/>
        <s v="1.1.7.7.9"/>
        <s v="1.1.7.7.10"/>
        <s v="1.1.7.7.11"/>
        <s v="1.1.7.7.12"/>
        <s v="1.1.7.7.13"/>
        <s v="1.1.7.7.14"/>
        <s v="1.1.7.7.15"/>
        <s v="1.1.7.7.16"/>
        <s v="1.1.7.8"/>
        <s v="1.1.7.9"/>
        <s v="1.1.7.10"/>
        <s v="1.1.7.11"/>
        <s v="1.1.8"/>
        <s v="1.1.8.1"/>
        <s v="1.1.8.1.1"/>
        <s v="1.1.8.1.2"/>
        <s v="1.1.8.1.3"/>
        <s v="1.1.8.1.4"/>
        <s v="1.1.8.2"/>
        <s v="1.1.8.3"/>
        <s v="1.1.8.4"/>
        <s v="1.1.8.4.1"/>
        <s v="1.1.8.4.2"/>
        <s v="1.1.8.4.3"/>
        <s v="1.1.8.5"/>
        <s v="1.1.8.6"/>
        <s v="1.1.8.7"/>
        <s v="1.1.8.8"/>
        <s v="1.1.8.9"/>
        <s v="1.1.8.10"/>
        <s v="1.1.8.11"/>
        <s v="1.1.8.12"/>
        <s v="1.1.8.13"/>
        <s v="1.1.8.14"/>
        <s v="1.1.8.14.1"/>
        <s v="1.1.8.14.2"/>
        <s v="1.1.8.14.3"/>
        <s v="1.1.8.15"/>
        <s v="1.1.8.16"/>
        <s v="1.1.8.17"/>
        <s v="1.1.8.18"/>
        <s v="1.1.8.19"/>
        <s v="1.1.8.20"/>
        <s v="1.1.8.21"/>
        <s v="1.1.8.21.1"/>
        <s v="1.1.8.21.2"/>
        <s v="1.1.8.22"/>
        <s v="1.1.8.22.1"/>
        <s v="1.1.8.22.2"/>
        <s v="1.1.8.22.3"/>
        <s v="1.1.8.22.4"/>
        <s v="1.1.8.22.5"/>
        <s v="1.1.8.22.6"/>
        <s v="1.1.8.22.7"/>
        <s v="1.1.8.22.8"/>
        <s v="1.1.8.22.9"/>
        <s v="1.1.8.22.10"/>
        <s v="1.1.8.22.11"/>
        <s v="1.1.8.22.12"/>
        <s v="1.1.8.22.13"/>
        <s v="1.1.8.23"/>
        <s v="1.1.8.23.1"/>
        <s v="1.1.8.23.2"/>
        <s v="1.1.8.23.3"/>
        <s v="1.1.8.23.4"/>
        <s v="1.1.8.23.5"/>
        <s v="1.1.8.23.6"/>
        <s v="1.1.8.23.7"/>
        <s v="1.1.8.23.8"/>
        <s v="1.1.8.23.9"/>
        <s v="1.1.8.23.10"/>
        <s v="1.1.8.23.11"/>
        <s v="1.1.8.23.11.1"/>
        <s v="1.1.8.23.11.2"/>
        <s v="1.1.8.23.12"/>
        <s v="1.1.8.23.13"/>
        <s v="1.1.8.24"/>
        <s v="1.1.8.24.1"/>
        <s v="1.1.8.24.2"/>
        <s v="1.1.8.24.2.1"/>
        <s v="1.1.8.24.2.2"/>
        <s v="1.1.8.24.3"/>
        <s v="1.1.8.24.4"/>
        <s v="1.1.8.24.5"/>
        <s v="1.1.8.24.5.1"/>
        <s v="1.1.8.24.5.2"/>
        <s v="1.1.8.24.5.3"/>
        <s v="1.1.8.24.5.4"/>
        <s v="1.1.8.24.5.5"/>
        <s v="1.1.8.24.6"/>
        <s v="1.1.8.24.6.1"/>
        <s v="1.1.8.24.6.2"/>
        <s v="1.1.8.24.6.3"/>
        <s v="1.1.8.24.6.4"/>
        <s v="1.1.8.24.6.5"/>
        <s v="1.1.8.24.7"/>
        <s v="1.1.8.24.7.1"/>
        <s v="1.1.8.24.7.2"/>
        <s v="1.1.8.24.7.3"/>
        <s v="1.1.8.24.7.4"/>
        <s v="1.1.8.24.7.5"/>
        <s v="1.1.8.24.8"/>
        <s v="1.1.8.24.8.1"/>
        <s v="1.1.8.24.8.2"/>
        <s v="1.1.8.24.8.3"/>
        <s v="1.1.8.24.8.4"/>
        <s v="1.1.8.24.8.5"/>
        <s v="1.1.8.24.9"/>
        <s v="1.1.8.24.9.1"/>
        <s v="1.1.8.24.9.2"/>
        <s v="1.1.8.24.9.3"/>
        <s v="1.1.8.24.9.4"/>
        <s v="1.1.8.24.9.5"/>
        <s v="1.1.8.24.10"/>
        <s v="1.1.8.24.10.1"/>
        <s v="1.1.8.24.10.2"/>
        <s v="1.1.8.24.10.3"/>
        <s v="1.1.8.24.10.4"/>
        <s v="1.1.8.24.10.5"/>
        <s v="1.1.8.24.11"/>
        <s v="1.1.8.24.11.1"/>
        <s v="1.1.8.24.11.2"/>
        <s v="1.1.8.24.11.3"/>
        <s v="1.1.8.24.11.4"/>
        <s v="1.1.8.24.11.5"/>
        <s v="1.1.8.24.12"/>
        <s v="1.1.8.24.12.1"/>
        <s v="1.1.8.24.12.2"/>
        <s v="1.1.8.24.12.3"/>
        <s v="1.1.8.24.12.4"/>
        <s v="1.1.8.24.12.5"/>
        <s v="1.1.8.24.13"/>
        <s v="1.1.8.24.13.1"/>
        <s v="1.1.8.24.13.2"/>
        <s v="1.1.8.24.13.3"/>
        <s v="1.1.8.24.13.4"/>
        <s v="1.1.8.24.13.5"/>
        <s v="1.1.8.24.14"/>
        <s v="1.1.8.24.14.1"/>
        <s v="1.1.8.24.14.2"/>
        <s v="1.1.8.24.14.3"/>
        <s v="1.1.8.24.14.4"/>
        <s v="1.1.8.24.14.5"/>
        <s v="1.1.8.24.15"/>
        <s v="1.1.8.24.15.1"/>
        <s v="1.1.8.24.15.2"/>
        <s v="1.1.8.24.15.3"/>
        <s v="1.1.8.24.15.4"/>
        <s v="1.1.8.24.15.5"/>
        <s v="1.1.9"/>
        <s v="1.1.10"/>
        <s v="1.1.11"/>
        <s v="1.1.12"/>
        <s v="1.1.13"/>
        <s v="1.1.14"/>
        <s v="1.1.15"/>
        <s v="1.1.16"/>
        <s v="1.1.17"/>
        <s v="1.1.18"/>
        <s v="1.1.19"/>
        <s v="1.1.20"/>
        <s v="1.1.21"/>
        <s v="1.1.22"/>
        <s v="1.1.23"/>
        <s v="1.1.24"/>
        <s v="1.1.25"/>
        <s v="1.1.26"/>
        <s v="1.1.27"/>
        <s v="1.1.28"/>
        <s v="1.1.29"/>
        <s v="1.1.30"/>
        <s v="1.1.30.1"/>
        <s v="1.1.30.2"/>
        <s v="1.1.30.3"/>
        <s v="1.1.30.4"/>
        <s v="1.1.30.5"/>
        <s v="1.1.30.6"/>
        <s v="1.1.30.6.1"/>
        <s v="1.1.30.6.2"/>
        <s v="1.1.30.6.3"/>
        <s v="1.1.30.6.4"/>
        <s v="1.1.30.7"/>
        <s v="1.1.30.8"/>
        <s v="1.1.30.9"/>
        <s v="1.1.30.9.1"/>
        <s v="1.1.30.9.2"/>
        <s v="1.1.30.9.3"/>
        <s v="1.1.30.9.4"/>
        <s v="1.1.30.9.5"/>
        <s v="1.1.30.10"/>
        <s v="1.1.30.11"/>
        <s v="1.1.30.12"/>
        <s v="1.1.30.12.1"/>
        <s v="1.1.30.12.2"/>
        <s v="1.1.30.12.3"/>
        <s v="1.1.30.12.4"/>
        <s v="1.1.30.12.5"/>
        <s v="1.1.30.13"/>
        <s v="1.1.30.14"/>
        <s v="1.1.31"/>
        <s v="1.1.32"/>
        <s v="1.1.32.1"/>
        <s v="1.1.32.2"/>
        <s v="1.1.32.3"/>
        <s v="1.1.32.4"/>
        <s v="1.1.32.5"/>
        <s v="1.1.32.6"/>
        <s v="1.1.32.7"/>
        <s v="1.1.32.8"/>
        <s v="1.1.33"/>
        <s v="1.1.33.1"/>
        <s v="1.1.33.2"/>
        <s v="1.1.33.3"/>
        <s v="1.1.33.4"/>
        <s v="1.1.33.5"/>
        <s v="1.1.34"/>
        <s v="1.1.35"/>
        <s v="1.1.36"/>
        <s v="1.1.36.1"/>
        <s v="1.1.36.2"/>
        <s v="1.1.37"/>
        <s v="1.1.38"/>
        <s v="1.1.39"/>
        <s v="1.1.40"/>
        <s v="1.1.40.1"/>
        <s v="1.1.40.2"/>
        <s v="1.1.40.3"/>
        <s v="1.1.40.4"/>
        <s v="1.1.41"/>
        <s v="1.1.41.1"/>
        <s v="1.1.41.2"/>
        <s v="1.1.41.3"/>
        <s v="1.1.42"/>
        <s v="1.1.42.1"/>
        <s v="1.1.42.2"/>
        <s v="1.1.43"/>
        <s v="1.1.43.1"/>
        <s v="1.1.43.2"/>
        <s v="1.1.43.3"/>
        <s v="1.1.43.4"/>
        <s v="1.1.44"/>
        <s v="1.1.45"/>
        <s v="1.1.46"/>
        <s v="1.1.47"/>
        <s v="1.1.48"/>
        <s v="1.1.49"/>
        <s v="1.1.50"/>
        <s v="1.1.51"/>
        <s v="1.1.52"/>
        <s v="1.1.53"/>
        <s v="1.1.54"/>
        <s v="1.1.55"/>
        <s v="1.1.56"/>
        <s v="1.1.56.1"/>
        <s v="1.1.56.2"/>
        <s v="1.1.56.3"/>
        <s v="1.1.56.3.1"/>
        <s v="1.1.56.3.2"/>
        <s v="1.1.56.3.3"/>
        <s v="1.1.56.3.4"/>
        <s v="1.1.56.3.5"/>
        <s v="1.1.56.3.6"/>
        <s v="1.1.56.3.7"/>
        <s v="1.1.56.3.8"/>
        <s v="1.1.56.3.9"/>
        <s v="1.1.56.3.10"/>
        <s v="1.1.56.3.11"/>
        <s v="1.1.56.3.12"/>
        <s v="1.1.56.3.13"/>
        <s v="1.1.56.3.14"/>
        <s v="1.1.56.3.15"/>
        <s v="1.1.56.3.16"/>
        <s v="1.1.56.3.17"/>
        <s v="1.1.56.3.18"/>
        <s v="1.1.56.3.19"/>
        <s v="1.1.56.3.21"/>
        <s v="1.1.56.3.22"/>
        <s v="1.1.56.3.23"/>
        <s v="1.1.56.3.24"/>
        <s v="1.1.56.3.25"/>
        <s v="1.1.56.3.26"/>
        <s v="1.1.56.3.27"/>
        <s v="1.1.56.3.28"/>
        <s v="1.1.56.3.29"/>
        <s v="1.1.56.3.30"/>
        <s v="1.1.56.3.31"/>
        <s v="1.1.56.3.32"/>
        <s v="1.1.56.3.33"/>
        <s v="1.1.56.3.34"/>
        <s v="1.1.56.3.35"/>
        <s v="1.1.56.3.36"/>
        <s v="1.1.56.3.37"/>
        <s v="1.1.56.3.38"/>
        <s v="1.1.56.3.39"/>
        <s v="1.1.56.3.40"/>
        <s v="1.1.56.3.40.1"/>
        <s v="1.1.56.3.40.2"/>
        <s v="1.1.56.3.41"/>
        <s v="1.1.56.3.41.1"/>
        <s v="1.1.56.3.41.2"/>
        <s v="1.1.56.4"/>
        <s v="1.1.56.5"/>
        <s v="1.1.56.6"/>
        <s v="1.1.56.7"/>
        <s v="1.1.56.8"/>
        <s v="1.1.57"/>
        <s v="1.1.57.1"/>
        <s v="1.1.57.2"/>
        <s v="1.1.57.3"/>
        <s v="1.1.57.4"/>
        <s v="1.1.57.5"/>
        <s v="1.1.57.5.1"/>
        <s v="1.1.57.5.2"/>
        <s v="1.1.57.5.3"/>
        <s v="1.1.57.5.4"/>
        <s v="1.1.57.5.4.1"/>
        <s v="1.1.57.5.4.2"/>
        <s v="1.1.57.5.4.3"/>
        <s v="1.1.57.5.4.4"/>
        <s v="1.1.57.5.4.5"/>
        <s v="1.1.57.5.5"/>
        <s v="1.1.57.5.5.1"/>
        <s v="1.1.57.5.5.2"/>
        <s v="1.1.57.5.5.3"/>
        <s v="1.1.57.5.5.4"/>
        <s v="1.1.57.5.5.5"/>
        <s v="1.1.57.5.6"/>
        <s v="1.1.57.5.6.1"/>
        <s v="1.1.57.5.6.2"/>
        <s v="1.1.57.5.6.3"/>
        <s v="1.1.57.5.6.4"/>
        <s v="1.1.57.5.6.5"/>
        <s v="1.1.57.5.7"/>
        <s v="1.1.57.5.7.1"/>
        <s v="1.1.57.5.7.2"/>
        <s v="1.1.57.5.7.3"/>
        <s v="1.1.57.5.7.4"/>
        <s v="1.1.57.5.7.5"/>
        <s v="1.1.57.5.8"/>
        <s v="1.1.57.5.8.1"/>
        <s v="1.1.57.5.8.2"/>
        <s v="1.1.57.5.8.3"/>
        <s v="1.1.57.5.8.4"/>
        <s v="1.1.57.5.8.5"/>
        <s v="1.1.57.5.9"/>
        <s v="1.1.57.5.10"/>
        <s v="1.1.57.5.11"/>
        <s v="1.1.57.5.12"/>
        <s v="1.1.57.5.13"/>
        <s v="1.1.57.5.14"/>
        <s v="1.1.57.5.15"/>
        <s v="1.1.57.5.16"/>
        <s v="1.1.57.5.17"/>
        <s v="1.1.57.5.18"/>
        <s v="1.1.57.5.19"/>
        <s v="1.1.57.5.19.1"/>
        <s v="1.1.57.5.19.2"/>
        <s v="1.1.57.5.20"/>
        <s v="1.1.57.5.21"/>
        <s v="1.1.57.5.22"/>
        <s v="1.1.57.5.23"/>
        <s v="1.1.57.5.24"/>
        <s v="1.1.57.5.24.1"/>
        <s v="1.1.57.5.24.2"/>
        <s v="1.1.57.5.25"/>
        <s v="1.1.57.5.25.1"/>
        <s v="1.1.57.5.25.2"/>
        <s v="1.1.57.5.26"/>
        <s v="1.1.57.6"/>
        <s v="1.1.57.6.1"/>
        <s v="1.1.57.6.2"/>
        <s v="1.1.57.6.3"/>
        <s v="1.1.57.6.4"/>
        <s v="1.1.57.6.4.1"/>
        <s v="1.1.57.6.4.2"/>
        <s v="1.1.57.6.4.3"/>
        <s v="1.1.57.6.4.4"/>
        <s v="1.1.57.6.4.5"/>
        <s v="1.1.57.6.4.6"/>
        <s v="1.1.57.6.4.7"/>
        <s v="1.1.57.6.5"/>
        <s v="1.1.57.6.6"/>
        <s v="1.1.57.6.7"/>
        <s v="1.1.57.6.7.1"/>
        <s v="1.1.57.6.7.2"/>
        <s v="1.1.57.6.8"/>
        <s v="1.1.57.6.8.1"/>
        <s v="1.1.57.6.8.2"/>
        <s v="1.1.57.6.9"/>
        <s v="1.1.57.6.10"/>
        <s v="1.1.57.6.11"/>
        <s v="1.1.57.6.12"/>
        <s v="1.1.57.6.13"/>
        <s v="1.1.57.6.14"/>
        <s v="1.1.57.6.15"/>
        <s v="1.1.57.6.16"/>
        <s v="1.1.57.6.17"/>
        <s v="1.1.57.6.17.1"/>
        <s v="1.1.57.6.17.2"/>
        <s v="1.1.57.6.18"/>
        <s v="1.1.57.6.19"/>
        <s v="1.1.57.6.20"/>
        <s v="1.1.57.6.20.1"/>
        <s v="1.1.57.6.20.2"/>
        <s v="1.1.57.6.21"/>
        <s v="1.1.57.6.22"/>
        <s v="1.1.57.7"/>
        <s v="1.1.57.7.1"/>
        <s v="1.1.57.7.2"/>
        <s v="1.1.57.7.3"/>
        <s v="1.1.57.7.4"/>
        <s v="1.1.57.7.5"/>
        <s v="1.1.57.7.5.1"/>
        <s v="1.1.57.7.5.2"/>
        <s v="1.1.57.7.5.3"/>
        <s v="1.1.57.7.5.4"/>
        <s v="1.1.57.7.5.5"/>
        <s v="1.1.57.7.5.6"/>
        <s v="1.1.57.7.5.7"/>
        <s v="1.1.57.7.5.8"/>
        <s v="1.1.57.7.6"/>
        <s v="1.1.57.8"/>
        <s v="1.1.57.9"/>
        <s v="1.1.57.10"/>
        <s v="1.1.57.11"/>
        <s v="1.1.57.12"/>
        <s v="1.1.57.13"/>
        <s v="1.1.57.14"/>
        <s v="1.1.57.15"/>
        <s v="1.1.58"/>
        <n v="1.2"/>
        <s v="1.2.1"/>
        <s v="1.2.2"/>
        <s v="1.2.3"/>
        <s v="1.2.4"/>
        <s v="1.2.5"/>
        <s v="1.2.5.1"/>
        <s v="1.2.5.2"/>
        <s v="1.2.6"/>
        <s v="1.2.6.1"/>
        <s v="1.2.6.2"/>
        <s v="1.2.7"/>
        <s v="1.2.8"/>
        <s v="1.2.9"/>
        <s v="1.2.10"/>
        <s v="1.2.11"/>
        <s v="1.2.12"/>
        <s v="1.2.13"/>
        <s v="1.2.14"/>
        <s v="1.2.15"/>
        <s v="1.2.16"/>
        <s v="1.2.17"/>
        <s v="1.2.18"/>
        <s v="1.2.19"/>
        <s v="1.2.20"/>
        <s v="1.2.21"/>
        <s v="1.2.22"/>
        <s v="1.2.23"/>
        <s v="1.2.24"/>
        <s v="1.2.25"/>
        <s v="1.2.26"/>
        <s v="1.2.27"/>
        <s v="1.2.28"/>
        <s v="1.2.29"/>
        <s v="1.2.30"/>
        <s v="1.2.30.1"/>
        <s v="1.2.30.2"/>
        <s v="1.2.30.3"/>
        <s v="1.2.30.4"/>
        <s v="1.2.30.5"/>
        <s v="1.2.30.6"/>
        <s v="1.2.30.7"/>
        <s v="1.2.30.8"/>
        <s v="1.2.30.9"/>
        <s v="1.2.30.10"/>
        <s v="1.2.30.11"/>
        <s v="1.2.30.12"/>
        <s v="1.2.30.13"/>
        <s v="1.2.30.14"/>
        <s v="1.2.30.15"/>
        <s v="1.2.30.16"/>
        <s v="1.2.30.17"/>
        <s v="1.2.30.17.1"/>
        <s v="1.2.30.17.2"/>
        <s v="1.2.30.18"/>
        <s v="1.2.30.18.1"/>
        <s v="1.2.30.18.2"/>
        <s v="1.2.30.19"/>
        <s v="1.2.30.20"/>
        <s v="1.2.30.21"/>
        <s v="1.2.31"/>
        <s v="1.2.31.1"/>
        <s v="1.2.31.2"/>
        <s v="1.2.31.3"/>
        <s v="1.2.31.4"/>
        <s v="1.2.31.5"/>
        <s v="1.2.31.6"/>
        <s v="1.2.31.7"/>
        <s v="1.2.31.8"/>
        <s v="1.2.31.9"/>
        <s v="1.2.31.10"/>
        <s v="1.2.31.11"/>
        <s v="1.2.31.12"/>
        <s v="1.2.31.13"/>
        <s v="1.2.31.14"/>
        <s v="1.2.31.15"/>
        <s v="1.2.31.16"/>
        <s v="1.2.31.17"/>
        <s v="1.2.31.18"/>
        <s v="1.2.31.19"/>
        <s v="1.2.31.20"/>
        <s v="1.2.31.21"/>
        <s v="1.2.31.22"/>
        <s v="1.2.31.23"/>
        <s v="1.2.31.24"/>
        <s v="1.2.31.25"/>
        <s v="1.2.31.26"/>
        <s v="1.2.31.27"/>
        <s v="1.2.31.28"/>
        <s v="1.2.31.29"/>
        <s v="1.2.31.30"/>
        <s v="1.2.31.31"/>
        <s v="1.2.31.32"/>
        <s v="1.2.31.33"/>
        <s v="1.2.31.34"/>
        <s v="1.2.32"/>
        <s v="1.2.32.1"/>
        <s v="1.2.32.2"/>
        <s v="1.2.32.3"/>
        <s v="1.2.32.4"/>
        <s v="1.2.32.5"/>
        <s v="1.2.32.6"/>
        <s v="1.2.32.7"/>
        <s v="1.2.32.8"/>
        <s v="1.2.32.9"/>
        <s v="1.2.32.10"/>
        <s v="1.2.32.11"/>
        <s v="1.2.32.12"/>
        <s v="1.2.32.13"/>
        <s v="1.2.32.14"/>
        <s v="1.2.32.15"/>
        <s v="1.2.32.16"/>
        <s v="1.2.32.17"/>
        <s v="1.2.32.18"/>
        <s v="1.2.32.19"/>
        <s v="1.2.32.20"/>
        <s v="1.2.32.21"/>
        <s v="1.2.32.22"/>
        <s v="1.2.32.23"/>
        <s v="1.2.32.24"/>
        <s v="1.2.32.25"/>
        <s v="1.2.32.26"/>
        <s v="1.2.32.27"/>
        <s v="1.2.32.28"/>
        <s v="1.2.33"/>
        <s v="1.2.33.1"/>
        <s v="1.2.33.2"/>
        <s v="1.2.33.3"/>
        <s v="1.2.33.4"/>
        <s v="1.2.33.5"/>
        <s v="1.2.33.6"/>
        <s v="1.2.33.7"/>
        <s v="1.2.33.7.1"/>
        <s v="1.2.33.7.2"/>
        <s v="1.2.33.7.3"/>
        <s v="1.2.33.7.4"/>
        <s v="1.2.33.7.5"/>
        <s v="1.2.33.7.6"/>
        <s v="1.2.33.7.7"/>
        <s v="1.2.33.7.8"/>
        <s v="1.2.33.8"/>
        <s v="1.2.33.8.1"/>
        <s v="1.2.33.8.2"/>
        <s v="1.2.33.8.3"/>
        <s v="1.2.33.8.4"/>
        <s v="1.2.33.8.5"/>
        <s v="1.2.33.8.6"/>
        <s v="1.2.33.8.7"/>
        <s v="1.2.33.9"/>
        <s v="1.2.33.10"/>
        <s v="1.2.33.11"/>
        <s v="1.2.33.11.1"/>
        <s v="1.2.33.11.2"/>
        <s v="1.2.33.12"/>
        <s v="1.2.33.13"/>
        <s v="1.2.33.14"/>
        <s v="1.2.33.15"/>
        <s v="1.2.33.16"/>
        <s v="1.2.33.17"/>
        <s v="1.2.33.18"/>
        <s v="1.2.33.19"/>
        <s v="1.2.33.20"/>
        <s v="1.2.33.21"/>
        <s v="1.2.33.22"/>
        <s v="1.2.33.23"/>
        <s v="1.2.33.24"/>
        <s v="1.2.33.25"/>
        <s v="1.2.33.26"/>
        <s v="1.2.33.26.1"/>
        <s v="1.2.33.26.2"/>
        <s v="1.2.34"/>
        <s v="1.2.34.1"/>
        <s v="1.2.34.2"/>
        <s v="1.2.34.3"/>
        <s v="1.2.34.4"/>
        <s v="1.2.34.4.1"/>
        <s v="1.2.34.4.2"/>
        <s v="1.2.34.4.3"/>
        <s v="1.2.34.4.4"/>
        <s v="1.2.34.5"/>
        <s v="1.2.34.6"/>
        <s v="1.2.34.7"/>
        <s v="1.2.34.8"/>
        <s v="1.2.34.9"/>
        <s v="1.2.34.10"/>
        <s v="1.2.34.11"/>
        <s v="1.2.34.12"/>
        <s v="1.2.34.13"/>
        <s v="1.2.34.14"/>
        <s v="1.2.34.15"/>
        <s v="1.2.34.16"/>
        <s v="1.2.34.17"/>
        <s v="1.2.34.18"/>
        <s v="1.2.34.19"/>
        <s v="1.2.34.20"/>
        <s v="1.2.34.21"/>
        <s v="1.2.34.21.1"/>
        <s v="1.2.34.21.2"/>
        <s v="1.2.34.22"/>
        <s v="1.2.34.23"/>
        <s v="1.2.34.23.1"/>
        <s v="1.2.34.23.2"/>
        <s v="1.2.34.24"/>
        <s v="1.2.34.25"/>
        <s v="1.2.35"/>
        <s v="1.2.35.1"/>
        <s v="1.2.35.1.1"/>
        <s v="1.2.35.1.2"/>
        <s v="1.2.35.1.3"/>
        <s v="1.2.35.1.4"/>
        <s v="1.2.35.1.5"/>
        <s v="1.2.35.1.6"/>
        <s v="1.2.35.1.7"/>
        <s v="1.2.35.1.8"/>
        <s v="1.2.35.1.9"/>
        <s v="1.2.35.1.10"/>
        <s v="1.2.35.1.11"/>
        <s v="1.2.35.1.11.1"/>
        <s v="1.2.35.1.11.2"/>
        <s v="1.2.35.1.12"/>
        <s v="1.2.35.1.12.1"/>
        <s v="1.2.35.1.12.2"/>
        <s v="1.2.35.1.13"/>
        <s v="1.2.35.1.14"/>
        <s v="1.2.35.1.15"/>
        <s v="1.2.35.2"/>
        <s v="1.2.35.3"/>
        <s v="1.2.35.3.1"/>
        <s v="1.2.35.3.2"/>
        <s v="1.2.36"/>
        <s v="1.2.36.1"/>
        <s v="1.2.36.2"/>
        <s v="1.2.36.3"/>
        <s v="1.2.36.4"/>
        <s v="1.2.36.5"/>
        <s v="1.2.36.6"/>
        <s v="1.2.36.7"/>
        <s v="1.2.36.7.1"/>
        <s v="1.2.36.7.2"/>
        <s v="1.2.36.7.3"/>
        <s v="1.2.36.7.4"/>
        <s v="1.2.36.7.5"/>
        <s v="1.2.36.7.6"/>
        <s v="1.2.36.7.7"/>
        <s v="1.2.36.7.8"/>
        <s v="1.2.36.7.9"/>
        <s v="1.2.36.7.10"/>
        <s v="1.2.36.7.10.1"/>
        <s v="1.2.36.7.10.2"/>
        <s v="1.2.36.7.10.3"/>
        <s v="1.2.36.7.10.4"/>
        <s v="1.2.36.7.10.5"/>
        <s v="1.2.36.7.10.6"/>
        <s v="1.2.36.7.10.7"/>
        <s v="1.2.36.7.10.8"/>
        <s v="1.2.36.7.10.9"/>
        <s v="1.2.36.7.10.10"/>
        <s v="1.2.36.7.10.11"/>
        <s v="1.2.36.7.10.12"/>
        <s v="1.2.36.7.10.13"/>
        <s v="1.2.36.7.10.14"/>
        <s v="1.2.36.7.10.15"/>
        <s v="1.2.36.7.10.16"/>
        <s v="1.2.36.7.10.17"/>
        <s v="1.2.36.7.10.18"/>
        <s v="1.2.36.7.10.19"/>
        <s v="1.2.36.7.10.20"/>
        <s v="1.2.36.7.10.21"/>
        <s v="1.2.36.7.10.22"/>
        <s v="1.2.36.7.10.23"/>
        <s v="1.2.36.7.10.24"/>
        <s v="1.2.36.7.10.25"/>
        <s v="1.2.36.7.10.26"/>
        <s v="1.2.36.7.10.27"/>
        <s v="1.2.36.7.10.27.1"/>
        <s v="1.2.36.7.10.27.2"/>
        <s v="1.2.36.7.10.28"/>
        <s v="1.2.36.7.10.28.1"/>
        <s v="1.2.36.7.10.28.2"/>
        <s v="1.2.36.7.10.28.3"/>
        <s v="1.2.36.7.10.28.4"/>
        <s v="1.2.36.7.10.28.5"/>
        <s v="1.2.36.7.10.28.6"/>
        <s v="1.2.36.7.10.28.7"/>
        <s v="1.2.36.7.10.28.8"/>
        <s v="1.2.36.7.10.28.9"/>
        <s v="1.2.36.7.10.28.10"/>
        <s v="1.2.36.7.10.28.11"/>
        <s v="1.2.36.7.10.28.12"/>
        <s v="1.2.36.7.10.28.13"/>
        <s v="1.2.36.7.10.28.14"/>
        <s v="1.2.36.7.10.28.15"/>
        <s v="1.2.36.7.10.29"/>
        <s v="1.2.36.7.11"/>
        <s v="1.2.36.7.11.1"/>
        <s v="1.2.36.7.11.2"/>
        <s v="1.2.36.7.11.3"/>
        <s v="1.2.36.7.11.4"/>
        <s v="1.2.36.7.11.5"/>
        <s v="1.2.36.7.11.6"/>
        <s v="1.2.36.7.11.7"/>
        <s v="1.2.36.7.11.8"/>
        <s v="1.2.36.7.11.9"/>
        <s v="1.2.36.7.11.10"/>
        <s v="1.2.36.7.11.11"/>
        <s v="1.2.36.7.11.12"/>
        <s v="1.2.36.7.11.13"/>
        <s v="1.2.36.7.12"/>
        <s v="1.2.36.7.13"/>
        <s v="1.2.36.8"/>
        <s v="1.2.36.8.1"/>
        <s v="1.2.36.8.2"/>
        <s v="1.2.36.8.3"/>
        <s v="1.2.36.8.4"/>
        <s v="1.2.36.8.5"/>
        <s v="1.2.36.8.6"/>
        <s v="1.2.36.8.7"/>
        <s v="1.2.36.8.8"/>
        <s v="1.2.36.8.9"/>
        <s v="1.2.36.8.10"/>
        <s v="1.2.36.8.11"/>
        <s v="1.2.36.8.12"/>
        <s v="1.2.36.8.13"/>
        <s v="1.2.36.8.14"/>
        <s v="1.2.36.8.15"/>
        <s v="1.2.36.9"/>
        <s v="1.2.37"/>
        <s v="1.2.37.1"/>
        <s v="1.2.37.2"/>
        <s v="1.2.38"/>
        <s v="1.2.39"/>
        <s v="1.2.40"/>
        <s v="1.2.41"/>
        <s v="1.2.42"/>
        <s v="1.2.43"/>
        <s v="1.2.44"/>
        <s v="1.2.45"/>
        <s v="1.2.46"/>
        <s v="1.2.47"/>
        <s v="1.2.48"/>
        <s v="1.2.49"/>
        <s v="1.2.50"/>
        <s v="1.2.51"/>
        <s v="1.2.52"/>
        <s v="1.2.53"/>
        <s v="1.2.54"/>
        <s v="1.2.55"/>
        <s v="1.2.56"/>
        <s v="1.2.57"/>
        <s v="1.2.58"/>
        <s v="1.2.59"/>
        <s v="1.2.60"/>
        <s v="1.2.61"/>
        <s v="1.2.62"/>
        <s v="1.2.63"/>
        <s v="1.2.64"/>
        <s v="1.2.65"/>
        <s v="1.2.65.1"/>
        <s v="1.2.65.2"/>
        <s v="1.2.65.3"/>
        <s v="1.2.66"/>
        <s v="1.2.67"/>
        <s v="1.2.67.1"/>
        <s v="1.2.67.2"/>
        <s v="1.2.68"/>
        <s v="1.2.69"/>
        <n v="1.3"/>
        <n v="1.4"/>
        <n v="1.5"/>
        <n v="2"/>
        <n v="2.1"/>
        <s v="2.1.1"/>
        <s v="2.1.2"/>
        <s v="2.1.3"/>
        <s v="2.1.4"/>
        <s v="2.1.5"/>
        <s v="2.1.6"/>
        <s v="2.1.7"/>
        <s v="2.1.8"/>
        <s v="2.1.9"/>
        <s v="2.1.10"/>
        <s v="2.1.11"/>
        <s v="2.1.12"/>
        <s v="2.1.13"/>
        <s v="2.1.14"/>
        <s v="2.1.15"/>
        <s v="2.1.16"/>
        <s v="2.1.17"/>
        <s v="2.1.18"/>
        <s v="2.1.19"/>
        <s v="2.1.20"/>
        <s v="2.1.21"/>
        <s v="2.1.22"/>
        <n v="2.2000000000000002"/>
        <s v="2.2.1"/>
        <s v="2.2.1.1"/>
        <s v="2.2.1.2"/>
        <s v="2.2.1.3"/>
        <s v="2.2.1.4"/>
        <s v="2.2.1.5"/>
        <s v="2.2.2"/>
        <s v="2.2.3"/>
        <s v="2.2.3.1"/>
        <s v="2.2.3.2"/>
        <s v="2.2.3.3"/>
        <s v="2.2.4"/>
        <s v="2.2.4.1"/>
        <s v="2.2.4.2"/>
        <s v="2.2.4.3"/>
        <s v="2.2.4.4"/>
        <s v="2.2.4.5"/>
        <s v="2.2.4.5.1"/>
        <s v="2.2.4.5.2"/>
        <s v="2.2.4.5.3"/>
        <s v="2.2.4.5.4"/>
        <s v="2.2.4.5.5"/>
        <s v="2.2.4.5.6"/>
        <s v="2.2.4.5.7"/>
        <s v="2.2.4.5.8"/>
        <s v="2.2.4.5.9"/>
        <s v="2.2.4.5.10"/>
        <s v="2.2.4.5.11"/>
        <s v="2.2.4.5.12"/>
        <s v="2.2.4.5.13"/>
        <s v="2.2.4.5.14"/>
        <s v="2.2.4.5.15"/>
        <s v="2.2.4.5.16"/>
        <s v="2.2.4.5.17"/>
        <s v="2.2.4.5.18"/>
        <s v="2.2.4.5.19"/>
        <s v="2.2.4.5.20"/>
        <s v="2.2.4.5.21"/>
        <s v="2.2.4.5.22"/>
        <s v="2.2.4.5.23"/>
        <s v="2.2.4.5.24"/>
        <s v="2.2.4.5.25"/>
        <s v="2.2.4.5.26"/>
        <s v="2.2.4.5.27"/>
        <s v="2.2.4.5.28"/>
        <s v="2.2.4.5.29"/>
        <s v="2.2.4.5.30"/>
        <s v="2.2.4.5.31"/>
        <s v="2.2.4.5.32"/>
        <s v="2.2.4.5.33"/>
        <s v="2.2.4.5.34"/>
        <s v="2.2.4.5.35"/>
        <s v="2.2.4.5.36"/>
        <s v="2.2.4.6"/>
        <s v="2.2.4.6.1"/>
        <s v="2.2.4.6.2"/>
        <s v="2.2.4.6.3"/>
        <s v="2.2.4.6.4"/>
        <s v="2.2.4.6.5"/>
        <s v="2.2.4.6.6"/>
        <s v="2.2.4.6.7"/>
        <s v="2.2.4.6.8"/>
        <s v="2.2.4.6.9"/>
        <s v="2.2.4.6.10"/>
        <s v="2.2.4.6.11"/>
        <s v="2.2.4.6.12"/>
        <s v="2.2.4.6.13"/>
        <s v="2.2.4.6.14"/>
        <s v="2.2.4.6.15"/>
        <s v="2.2.4.6.16"/>
        <s v="2.2.4.6.17"/>
        <s v="2.2.4.6.18"/>
        <s v="2.2.4.7"/>
        <s v="2.2.4.7.1"/>
        <s v="2.2.4.7.2"/>
        <s v="2.2.4.7.3"/>
        <s v="2.2.4.7.4"/>
        <s v="2.2.4.7.5"/>
        <s v="2.2.4.7.6"/>
        <s v="2.2.4.7.7"/>
        <s v="2.2.4.7.8"/>
        <s v="2.2.4.7.9"/>
        <s v="2.2.4.7.10"/>
        <s v="2.2.4.7.11"/>
        <s v="2.2.4.7.12"/>
        <s v="2.2.4.7.13"/>
        <s v="2.2.4.7.14"/>
        <s v="2.2.4.7.15"/>
        <s v="2.2.4.7.16"/>
        <s v="2.2.4.7.17"/>
        <s v="2.2.4.7.18"/>
        <s v="2.2.4.7.19"/>
        <s v="2.2.4.7.20"/>
        <s v="2.2.4.7.21"/>
        <s v="2.2.4.8"/>
        <s v="2.2.4.8.1"/>
        <s v="2.2.4.8.2"/>
        <s v="2.2.4.8.3"/>
        <s v="2.2.4.8.4"/>
        <s v="2.2.4.8.5"/>
        <s v="2.2.4.8.6"/>
        <s v="2.2.4.8.7"/>
        <s v="2.2.4.8.8"/>
        <s v="2.2.4.8.9"/>
        <s v="2.2.4.8.10"/>
        <s v="2.2.4.8.11"/>
        <s v="2.2.4.8.12"/>
        <s v="2.2.4.8.13"/>
        <s v="2.2.4.8.14"/>
        <s v="2.2.4.8.15"/>
        <s v="2.2.4.8.16"/>
        <s v="2.2.4.8.17"/>
        <s v="2.2.4.8.18"/>
        <s v="2.2.4.8.19"/>
        <s v="2.2.4.8.20"/>
        <s v="2.2.4.8.21"/>
        <s v="2.2.4.8.22"/>
        <s v="2.2.4.8.23"/>
        <s v="2.2.4.8.24"/>
        <s v="2.2.4.8.25"/>
        <s v="2.2.4.8.26"/>
        <s v="2.2.4.8.27"/>
        <s v="2.2.4.8.28"/>
        <s v="2.2.4.8.29"/>
        <s v="2.2.4.8.30"/>
        <s v="2.2.4.8.31"/>
        <s v="2.2.4.8.32"/>
        <s v="2.2.4.8.33"/>
        <s v="2.2.4.8.34"/>
        <s v="2.2.4.8.35"/>
        <s v="2.2.4.8.36"/>
        <s v="2.2.4.8.37"/>
        <s v="2.2.4.8.38"/>
        <s v="2.2.4.8.39"/>
        <s v="2.2.4.8.40"/>
        <s v="2.2.4.8.41"/>
        <s v="2.2.4.8.41.1"/>
        <s v="2.2.4.8.41.2"/>
        <s v="2.2.5"/>
        <s v="2.2.6"/>
        <s v="2.2.7"/>
        <s v="2.2.7.1"/>
        <s v="2.2.7.2"/>
        <s v="2.2.7.3"/>
        <s v="2.2.7.4"/>
        <s v="2.2.7.5"/>
        <s v="2.2.7.6"/>
        <s v="2.2.7.7"/>
        <s v="2.2.7.8"/>
        <s v="2.2.7.9"/>
        <s v="2.2.7.10"/>
        <s v="2.2.7.11"/>
        <s v="2.2.7.12"/>
        <s v="2.2.7.13"/>
        <s v="2.2.7.14"/>
        <s v="2.2.7.15"/>
        <s v="2.2.7.16"/>
        <s v="2.2.7.17"/>
        <s v="2.2.7.18"/>
        <s v="2.2.7.19"/>
        <s v="2.2.7.20"/>
        <s v="2.2.7.21"/>
        <s v="2.2.7.22"/>
        <s v="2.2.7.23"/>
        <s v="2.2.7.24"/>
        <s v="2.2.7.25"/>
        <s v="2.2.7.26"/>
        <s v="2.2.7.27"/>
        <s v="2.2.7.28"/>
        <s v="2.2.7.29"/>
        <s v="2.2.7.30"/>
        <s v="2.2.7.31"/>
        <s v="2.2.7.32"/>
        <s v="2.2.7.33"/>
        <s v="2.2.7.34"/>
        <s v="2.2.7.35"/>
        <s v="2.2.7.36"/>
        <s v="2.2.7.37"/>
        <s v="2.2.8"/>
        <s v="2.2.9"/>
        <s v="2.2.10"/>
        <s v="2.2.11"/>
        <s v="2.2.12"/>
        <s v="2.2.13"/>
        <s v="2.2.14"/>
        <s v="2.2.15"/>
        <s v="2.2.16"/>
        <s v="2.2.17"/>
        <s v="2.2.18"/>
        <s v="2.2.19"/>
        <s v="2.2.20"/>
        <s v="2.2.21"/>
        <s v="2.2.22"/>
        <s v="2.2.23"/>
        <s v="2.2.24"/>
        <s v="2.2.25"/>
        <s v="2.2.26"/>
        <s v="2.2.27"/>
        <s v="2.2.28"/>
        <s v="2.2.29"/>
        <s v="2.2.30"/>
        <s v="2.2.30.1"/>
        <s v="2.2.30.2"/>
        <s v="2.2.30.3"/>
        <s v="2.2.30.4"/>
        <s v="2.2.30.5"/>
        <s v="2.2.30.6"/>
        <s v="2.2.30.7"/>
        <s v="2.2.30.8"/>
        <s v="2.2.30.9"/>
        <s v="2.2.30.10"/>
        <s v="2.2.30.11"/>
        <s v="2.2.30.12"/>
        <s v="2.2.30.13"/>
        <s v="2.2.30.14"/>
        <s v="2.2.30.15"/>
        <s v="2.2.30.16"/>
        <s v="2.2.30.17"/>
        <s v="2.2.30.18"/>
        <s v="2.2.30.19"/>
        <s v="2.2.30.20"/>
        <s v="2.2.30.21"/>
        <s v="2.2.30.22"/>
        <s v="2.2.30.23"/>
        <s v="2.2.30.24"/>
        <s v="2.2.30.25"/>
        <s v="2.2.30.26"/>
        <s v="2.2.30.27"/>
        <s v="2.2.30.28"/>
        <s v="2.2.30.29"/>
        <s v="2.2.30.30"/>
        <s v="2.2.30.31"/>
        <s v="2.2.30.32"/>
        <s v="2.2.30.33"/>
        <s v="2.2.30.34"/>
        <s v="2.2.30.35"/>
        <s v="2.2.30.36"/>
        <s v="2.2.30.37"/>
        <s v="2.2.30.38"/>
        <s v="2.2.30.39"/>
        <s v="2.2.30.40"/>
        <s v="2.2.30.41"/>
        <s v="2.2.30.42"/>
        <s v="2.2.30.43"/>
        <s v="2.2.30.44"/>
        <s v="2.2.31"/>
        <s v="2.2.31.1"/>
        <s v="2.2.31.2"/>
        <s v="2.2.31.3"/>
        <s v="2.2.32"/>
        <n v="2.2999999999999998"/>
        <n v="2.4"/>
        <n v="2.5"/>
        <s v="2.5.1"/>
        <s v="2.5.1.1"/>
        <s v="2.5.1.1.1"/>
        <s v="2.5.1.1.1.1"/>
        <s v="2.5.1.1.1.1.1"/>
        <s v="2.5.1.1.1.1.2"/>
        <s v="2.5.1.1.1.2"/>
        <s v="2.5.1.1.1.2.1"/>
        <s v="2.5.1.1.1.2.2"/>
        <s v="2.5.1.1.1.3"/>
        <s v="2.5.1.1.1.4"/>
        <s v="2.5.1.1.1.5"/>
        <s v="2.5.1.1.1.6"/>
        <s v="2.5.1.1.1.7"/>
        <s v="2.5.1.1.1.7.1"/>
        <s v="2.5.1.1.1.7.2"/>
        <s v="2.5.1.1.2"/>
        <s v="2.5.1.1.2.1"/>
        <s v="2.5.1.1.2.2"/>
        <s v="2.5.1.1.2.2.1"/>
        <s v="2.5.1.1.2.2.2"/>
        <s v="2.5.1.1.2.2.3"/>
        <s v="2.5.1.1.2.2.4"/>
        <s v="2.5.1.1.2.3"/>
        <s v="2.5.1.1.2.4"/>
        <s v="2.5.1.1.2.5"/>
        <s v="2.5.1.1.2.5.1"/>
        <s v="2.5.1.1.2.5.2"/>
        <s v="2.5.1.1.2.5.3"/>
        <s v="2.5.1.1.2.5.4"/>
        <s v="2.5.1.1.2.6"/>
        <s v="2.5.1.1.2.7"/>
        <s v="2.5.1.1.3"/>
        <s v="2.5.1.1.3.1"/>
        <s v="2.5.1.1.3.1.1"/>
        <s v="2.5.1.1.3.1.2"/>
        <s v="2.5.1.1.3.1.3"/>
        <s v="2.5.1.1.3.1.4"/>
        <s v="2.5.1.1.3.2"/>
        <s v="2.5.1.1.3.2.1"/>
        <s v="2.5.1.1.3.3"/>
        <s v="2.5.1.1.3.4"/>
        <s v="2.5.1.1.3.5"/>
        <s v="2.5.1.1.3.6"/>
        <s v="2.5.1.1.3.7"/>
        <s v="2.5.1.1.3.7.1"/>
        <s v="2.5.1.1.3.7.2"/>
        <s v="2.5.1.1.3.7.3"/>
        <s v="2.5.1.1.3.7.4"/>
        <s v="2.5.1.1.3.7.5"/>
        <s v="2.5.1.1.4"/>
        <s v="2.5.1.1.4.1"/>
        <s v="2.5.1.1.4.1.1"/>
        <s v="2.5.1.1.4.1.2"/>
        <s v="2.5.1.1.4.1.3"/>
        <s v="2.5.1.1.4.1.4"/>
        <s v="2.5.1.1.4.2"/>
        <s v="2.5.1.1.4.2.1"/>
        <s v="2.5.1.1.4.3"/>
        <s v="2.5.1.1.4.4"/>
        <s v="2.5.1.1.4.5"/>
        <s v="2.5.1.1.5"/>
        <s v="2.5.1.1.6"/>
        <s v="2.5.1.1.7"/>
        <s v="2.5.1.1.8"/>
        <s v="2.5.1.1.9"/>
        <s v="2.5.1.1.10"/>
        <s v="2.5.1.1.11"/>
        <s v="2.5.1.1.12"/>
        <s v="2.5.1.1.13"/>
        <s v="2.5.1.1.14"/>
        <s v="2.5.1.1.15"/>
        <s v="2.5.1.1.16"/>
        <s v="2.5.1.1.16.1"/>
        <s v="2.5.1.1.16.2"/>
        <s v="2.5.1.1.17"/>
        <s v="2.5.1.1.17.1"/>
        <s v="2.5.1.1.17.2"/>
        <s v="2.5.1.1.18"/>
        <s v="2.5.1.1.19"/>
        <s v="2.5.1.1.20"/>
        <s v="2.5.1.1.20.1"/>
        <s v="2.5.1.1.20.1.1"/>
        <s v="2.5.1.1.20.1.2"/>
        <s v="2.5.1.1.20.1.3"/>
        <s v="2.5.1.1.20.1.4"/>
        <s v="2.5.1.1.20.1.5"/>
        <s v="2.5.1.1.20.1.6"/>
        <s v="2.5.1.1.20.1.7"/>
        <s v="2.5.1.1.20.2"/>
        <s v="2.5.1.1.20.2.1"/>
        <s v="2.5.1.1.20.2.2"/>
        <s v="2.5.1.1.20.2.3"/>
        <s v="2.5.1.1.20.2.4"/>
        <s v="2.5.1.1.20.2.5"/>
        <s v="2.5.1.1.20.2.6"/>
        <s v="2.5.1.1.20.2.7"/>
        <s v="2.5.1.1.20.2.8"/>
        <s v="2.5.1.1.20.2.9"/>
        <s v="2.5.1.1.20.3"/>
        <s v="2.5.1.1.20.4"/>
        <s v="2.5.1.1.20.5"/>
        <s v="2.5.1.1.20.6"/>
        <s v="2.5.1.1.20.7"/>
        <s v="2.5.1.2"/>
        <s v="2.5.1.2.1"/>
        <s v="2.5.1.2.2"/>
        <s v="2.5.1.2.3"/>
        <s v="2.5.1.2.4"/>
        <s v="2.5.1.3"/>
        <s v="2.5.1.3.1"/>
        <s v="2.5.1.3.2"/>
        <s v="2.5.1.3.3"/>
        <s v="2.5.1.3.4"/>
        <s v="2.5.1.4"/>
        <s v="2.5.1.4.1"/>
        <s v="2.5.1.4.2"/>
        <s v="2.5.1.4.2.2"/>
        <s v="2.5.1.5"/>
        <s v="2.5.1.6"/>
        <s v="2.5.1.6.1"/>
        <s v="2.5.1.6.2"/>
        <s v="2.5.1.6.2.2"/>
        <s v="2.5.1.7"/>
        <s v="2.5.1.8"/>
        <s v="2.5.1.9"/>
        <s v="2.5.1.10"/>
        <s v="2.5.1.11"/>
        <s v="2.5.1.11.1"/>
        <s v="2.5.1.11.2"/>
        <s v="2.5.1.11.3"/>
        <s v="2.5.1.11.4"/>
        <s v="2.5.1.11.5"/>
        <s v="2.5.1.12"/>
        <s v="2.5.1.12.1"/>
        <s v="2.5.1.12.2"/>
        <s v="2.5.1.12.3"/>
        <s v="2.5.1.12.4"/>
        <s v="2.5.1.12.5"/>
        <s v="2.5.1.13"/>
        <s v="2.5.1.13.1"/>
        <s v="2.5.1.13.2"/>
        <s v="2.5.1.13.3"/>
        <s v="2.5.1.13.4"/>
        <s v="2.5.1.13.5"/>
        <s v="2.5.1.14"/>
        <s v="2.5.1.14.1"/>
        <s v="2.5.1.14.2"/>
        <s v="2.5.1.14.3"/>
        <s v="2.5.1.14.4"/>
        <s v="2.5.1.14.5"/>
        <s v="2.5.1.15"/>
        <s v="2.5.1.16"/>
        <s v="2.5.1.17"/>
        <s v="2.5.1.18"/>
        <s v="2.5.1.19"/>
        <s v="2.5.1.20"/>
        <s v="2.5.1.21"/>
        <s v="2.5.1.22"/>
        <s v="2.5.1.23"/>
        <s v="2.5.1.24"/>
        <s v="2.5.1.25"/>
        <s v="2.5.1.26"/>
        <s v="2.5.1.27"/>
        <s v="2.5.1.28"/>
        <s v="2.5.1.29"/>
        <s v="2.5.1.29.1"/>
        <s v="2.5.1.29.2"/>
        <s v="2.5.1.30"/>
        <s v="2.5.1.31"/>
        <s v="2.5.2"/>
        <s v="2.5.2.1"/>
        <s v="2.5.2.2"/>
        <s v="2.5.2.3"/>
        <s v="2.5.2.4"/>
        <s v="2.5.2.5"/>
        <s v="2.5.2.6"/>
        <s v="2.5.3"/>
        <s v="2.5.3.1"/>
        <s v="2.5.3.1.1"/>
        <s v="2.5.3.1.2"/>
        <s v="2.5.3.1.3"/>
        <s v="2.5.3.1.4"/>
        <s v="2.5.3.1.5"/>
        <s v="2.5.3.1.6"/>
        <s v="2.5.3.2"/>
        <s v="2.5.3.2.1"/>
        <s v="2.5.3.2.2"/>
        <s v="2.5.3.2.3"/>
        <s v="2.5.3.2.3.1"/>
        <s v="2.5.3.2.3.2"/>
        <s v="2.5.3.2.4"/>
        <s v="2.5.3.2.4.1"/>
        <s v="2.5.3.2.4.2"/>
        <s v="2.5.3.2.4.3"/>
        <s v="2.5.3.2.5"/>
        <s v="2.5.3.2.6"/>
        <s v="2.5.3.2.7"/>
        <s v="2.5.3.2.8"/>
        <s v="2.5.3.2.9"/>
        <s v="2.5.3.2.10"/>
        <s v="2.5.3.2.11"/>
        <s v="2.5.3.2.12"/>
        <s v="2.5.3.3"/>
        <s v="2.5.3.4"/>
        <s v="2.5.3.5"/>
        <s v="2.5.3.6"/>
        <s v="2.5.3.6.1"/>
        <s v="2.5.3.6.2"/>
        <s v="2.5.3.6.3"/>
        <s v="2.5.3.7"/>
        <s v="2.5.3.7.1"/>
        <s v="2.5.3.7.2"/>
        <s v="2.5.3.7.3"/>
        <s v="2.5.3.7.4"/>
        <s v="2.5.3.7.5"/>
        <s v="2.5.4"/>
        <s v="2.5.5"/>
        <s v="2.5.6"/>
        <s v="2.5.7"/>
        <s v="2.5.7.1"/>
        <s v="2.5.7.2"/>
        <s v="2.5.7.3"/>
        <s v="2.5.7.4"/>
        <s v="2.5.7.5"/>
        <s v="2.5.7.6"/>
        <s v="2.5.7.7"/>
        <s v="2.5.7.8"/>
        <s v="2.5.7.9"/>
        <s v="2.5.7.10"/>
        <s v="2.5.7.11"/>
        <s v="2.5.7.12"/>
        <s v="2.5.7.13"/>
        <s v="2.5.7.14"/>
        <s v="2.5.8"/>
        <s v="2.5.9"/>
        <s v="2.5.10"/>
        <s v="2.5.11"/>
        <n v="3"/>
        <n v="3.1"/>
        <n v="3.2"/>
        <s v="3.2.1"/>
        <s v="3.2.2"/>
        <s v="3.2.3"/>
        <s v="3.2.4"/>
        <s v="3.2.5"/>
        <s v="3.2.6"/>
        <s v="3.2.7"/>
        <s v="3.2.8"/>
        <s v="3.2.9"/>
        <s v="3.2.10"/>
        <n v="3.3"/>
        <n v="3.4"/>
        <s v="3.4.1"/>
        <s v="3.4.2"/>
        <s v="3.4.3"/>
        <s v="3.4.4"/>
        <s v="3.4.5"/>
        <s v="3.4.6"/>
        <s v="3.4.7"/>
        <s v="3.4.8"/>
        <s v="3.4.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n v="3.5"/>
        <s v="3.5.1"/>
        <s v="3.5.2"/>
        <s v="3.5.2.1"/>
        <s v="3.5.3"/>
        <s v="3.5.4"/>
        <s v="3.5.5"/>
        <s v="3.5.6"/>
        <s v="3.5.7"/>
        <s v="3.5.8"/>
        <s v="3.5.9"/>
        <s v="3.5.10"/>
        <s v="3.5.11"/>
        <s v="3.5.12"/>
        <s v="3.5.13"/>
        <n v="3.6"/>
        <s v="3.6.1"/>
        <s v="3.6.2"/>
        <s v="3.6.3"/>
        <s v="3.6.3.1"/>
        <s v="3.6.3.2"/>
        <s v="3.6.4"/>
        <s v="3.6.5"/>
        <s v="3.6.6"/>
        <n v="3.7"/>
        <s v="3.7.1"/>
        <s v="3.7.2"/>
        <s v="3.7.3"/>
        <s v="3.7.4"/>
        <s v="3.7.5"/>
        <s v="3.7.6"/>
        <s v="3.7.7"/>
        <s v="3.7.8"/>
        <s v="3.7.9"/>
        <n v="3.8"/>
        <s v="3.8.1"/>
        <s v="3.8.2"/>
        <s v="3.8.3"/>
        <s v="3.8.4"/>
        <s v="3.8.5"/>
        <s v="3.8.6"/>
        <s v="3.8.6.1"/>
        <s v="3.8.6.1.1"/>
        <s v="3.8.6.1.2"/>
        <s v="3.8.6.1.3"/>
        <s v="3.8.6.1.3.1"/>
        <s v="3.8.6.1.3.2"/>
        <s v="3.8.6.1.3.3"/>
        <s v="3.8.6.1.3.4"/>
        <s v="3.8.6.1.3.5"/>
        <s v="3.8.6.1.3.6"/>
        <s v="3.8.6.1.3.7"/>
        <s v="3.8.6.1.3.8"/>
        <s v="3.8.6.1.3.9"/>
        <s v="3.8.6.1.4"/>
        <s v="3.8.6.1.4.1"/>
        <s v="3.8.6.1.4.2"/>
        <s v="3.8.6.1.4.3"/>
        <s v="3.8.6.1.4.4"/>
        <s v="3.8.6.1.5"/>
        <s v="3.8.6.1.5.1"/>
        <s v="3.8.6.1.5.2"/>
        <s v="3.8.6.1.5.3"/>
        <s v="3.8.6.1.6"/>
        <s v="3.8.6.1.7"/>
        <s v="3.8.6.1.8"/>
        <s v="3.8.6.1.8.1"/>
        <s v="3.8.6.1.8.2"/>
        <s v="3.8.6.1.8.3"/>
        <s v="3.8.6.1.9"/>
        <s v="3.8.6.1.10"/>
        <s v="3.8.6.1.11"/>
        <s v="3.8.6.1.12"/>
        <s v="3.8.6.1.13"/>
        <s v="3.8.6.1.14"/>
        <s v="3.8.6.1.15"/>
        <s v="3.8.6.1.16"/>
        <s v="3.8.6.1.17"/>
        <s v="3.8.6.1.18"/>
        <s v="3.8.6.1.19"/>
        <s v="3.8.6.2"/>
        <s v="3.8.6.3"/>
        <s v="3.8.6.4"/>
        <s v="3.8.6.5"/>
        <s v="3.8.6.6"/>
        <s v="3.8.6.7"/>
        <s v="3.8.6.8"/>
        <s v="3.8.6.9"/>
        <s v="3.8.6.10"/>
        <s v="3.8.6.11"/>
        <s v="3.8.6.12"/>
        <s v="3.8.6.13"/>
        <s v="3.8.6.14"/>
        <s v="3.8.6.15"/>
        <s v="3.8.6.16"/>
        <s v="3.8.6.17"/>
        <s v="3.8.6.18"/>
        <s v="3.8.6.19"/>
        <s v="3.8.6.20"/>
        <s v="3.8.7"/>
        <s v="3.8.7.1"/>
        <s v="3.8.7.2"/>
        <s v="3.8.7.3"/>
        <s v="3.8.7.4"/>
        <s v="3.8.7.5"/>
        <s v="3.8.7.5.1"/>
        <s v="3.8.7.5.2"/>
        <s v="3.8.7.5.3"/>
        <s v="3.8.7.5.4"/>
        <s v="3.8.7.5.5"/>
        <s v="3.8.7.5.6"/>
        <s v="3.8.7.5.7"/>
        <s v="3.8.7.5.8"/>
        <s v="3.8.7.5.9"/>
        <s v="3.8.7.5.10"/>
        <s v="3.8.7.5.11"/>
        <s v="3.8.7.5.12"/>
        <s v="3.8.7.5.13"/>
        <s v="3.8.7.5.14"/>
        <s v="3.8.7.6"/>
        <s v="3.8.7.7"/>
        <s v="3.8.7.8"/>
        <s v="3.8.7.9"/>
        <s v="3.8.7.10"/>
        <s v="3.8.7.11"/>
        <s v="3.8.7.12"/>
        <s v="3.8.7.13"/>
        <s v="3.8.7.14"/>
        <s v="3.8.7.15"/>
        <s v="3.8.7.16"/>
        <s v="3.8.7.17"/>
        <s v="3.8.7.18"/>
        <s v="3.8.7.19"/>
        <s v="3.8.7.20"/>
        <s v="3.8.7.21"/>
        <s v="3.8.8"/>
        <s v="3.8.9"/>
        <s v="3.8.10"/>
        <s v="3.8.11"/>
        <s v="3.8.12"/>
        <s v="3.8.13"/>
        <s v="3.8.14"/>
        <s v="3.8.15"/>
        <s v="3.8.16"/>
        <s v="3.8.17"/>
        <s v="3.8.18"/>
        <s v="3.8.19"/>
        <s v="3.8.20"/>
        <s v="3.8.21"/>
        <s v="3.8.21.1"/>
        <s v="3.8.21.2"/>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n v="3.9"/>
        <s v="3.9.1"/>
        <s v="3.9.2"/>
        <s v="3.9.3"/>
        <s v="3.9.4"/>
        <s v="3.9.5"/>
        <s v="3.9.6"/>
        <s v="3.9.7"/>
        <s v="3.9.8"/>
        <s v="3.9.9"/>
        <s v="3.9.10"/>
        <s v="3.10.1"/>
        <s v="3.10.2"/>
        <s v="3.10.3"/>
        <s v="3.10.4"/>
        <s v="3.10.5"/>
        <s v="3.10.6"/>
        <s v="3.10.7"/>
        <s v="3.10.8"/>
        <s v="3.10.9"/>
        <s v="3.10.9.1"/>
        <s v="3.10.9.2"/>
        <s v="3.10.10"/>
        <s v="3.10.10.1"/>
        <s v="3.10.10.2"/>
        <s v="3.10.11"/>
        <s v="3.10.12"/>
        <s v="3.10.13"/>
        <s v="3.10.14"/>
        <s v="3.10.14.1"/>
        <s v="3.10.14.2"/>
        <s v="3.10.14.3"/>
        <s v="3.10.14.4"/>
        <s v="3.10.14.5"/>
        <s v="3.10.14.6"/>
        <s v="3.10.15"/>
        <s v="3.10.16"/>
        <s v="3.10.17"/>
        <s v="3.10.18"/>
        <s v="3.10.19"/>
        <s v="3.10.20"/>
        <s v="3.10.21"/>
        <s v="3.10.22"/>
        <s v="3.10.23"/>
        <s v="3.10.23.1"/>
        <s v="3.10.23.2"/>
        <s v="3.10.24"/>
        <n v="3.11"/>
        <s v="3.11.1"/>
        <s v="3.11.2"/>
        <s v="3.11.3"/>
        <s v="3.11.4"/>
        <s v="3.11.5"/>
        <s v="3.11.5.1"/>
        <s v="3.11.5.2"/>
        <s v="3.11.6"/>
        <s v="3.11.7"/>
        <s v="3.11.8"/>
        <s v="3.11.9"/>
        <s v="3.11.9.1"/>
        <s v="3.11.9.2"/>
        <s v="3.11.10"/>
        <s v="3.11.11"/>
        <s v="3.11.12"/>
        <s v="3.11.13"/>
        <s v="3.11.14"/>
        <s v="3.11.15"/>
        <s v="3.11.16"/>
        <s v="3.11.17"/>
        <s v="3.11.18"/>
        <s v="3.11.18.1"/>
        <s v="3.11.18.2"/>
        <s v="3.11.19"/>
        <s v="3.11.19.1"/>
        <s v="3.11.19.2"/>
        <s v="3.11.20"/>
        <s v="3.11.20.1"/>
        <s v="3.11.20.2"/>
        <s v="3.11.21"/>
        <s v="3.11.22"/>
        <s v="3.11.23"/>
        <s v="3.11.23.1"/>
        <s v="3.11.23.2"/>
        <s v="3.11.24"/>
        <s v="3.11.25"/>
        <s v="3.11.26"/>
        <s v="3.11.27"/>
        <n v="3.12"/>
        <s v="3.12.1"/>
        <s v="3.12.2"/>
        <s v="3.12.3"/>
        <s v="3.12.4"/>
        <s v="3.12.5"/>
        <s v="3.12.5.1"/>
        <s v="3.12.5.2"/>
        <s v="3.12.6"/>
        <s v="3.12.7"/>
        <s v="3.12.8"/>
        <s v="3.12.9"/>
        <s v="3.12.9.1"/>
        <s v="3.12.9.2"/>
        <s v="3.12.10"/>
        <s v="3.12.11"/>
        <s v="3.12.12"/>
        <s v="3.12.13"/>
        <s v="3.12.14"/>
        <s v="3.12.14.1"/>
        <s v="3.12.14.2"/>
        <s v="3.12.15"/>
        <s v="3.12.15.1"/>
        <s v="3.12.15.2"/>
        <s v="3.12.16"/>
        <s v="3.12.16.1"/>
        <s v="3.12.16.2"/>
        <n v="3.13"/>
        <s v="3.13.1"/>
        <s v="3.13.2"/>
        <s v="3.13.3"/>
        <s v="3.13.4"/>
        <s v="3.13.5"/>
        <s v="3.13.5.1"/>
        <s v="3.13.5.2"/>
        <s v="3.13.6"/>
        <s v="3.13.7"/>
        <s v="3.13.8"/>
        <s v="3.13.9"/>
        <s v="3.13.10"/>
        <s v="3.13.11"/>
        <s v="3.13.12"/>
        <s v="3.13.13"/>
        <s v="3.13.14"/>
        <s v="3.13.15"/>
        <s v="3.13.16"/>
        <s v="3.13.17"/>
        <s v="3.13.18"/>
        <s v="3.13.18.1"/>
        <s v="3.13.18.2"/>
        <s v="3.13.18.3"/>
        <s v="3.13.19"/>
        <s v="3.13.20"/>
        <s v="3.13.21"/>
        <s v="3.13.22"/>
        <s v="3.13.23"/>
        <s v="3.13.24"/>
        <s v="3.13.25"/>
        <s v="3.13.25.1"/>
        <s v="3.13.25.2"/>
        <n v="3.14"/>
        <s v="3.14.1"/>
        <s v="3.14.2"/>
        <s v="3.14.3"/>
        <s v="3.14.4"/>
        <s v="3.14.5"/>
        <s v="3.14.6"/>
        <s v="3.14.7"/>
        <s v="3.14.8"/>
        <s v="3.14.9"/>
        <s v="3.14.10"/>
        <s v="3.14.11"/>
        <s v="3.14.12"/>
        <s v="3.14.13"/>
        <s v="3.14.14"/>
        <s v="3.14.14.1"/>
        <s v="3.14.14.2"/>
        <s v="3.14.15"/>
        <s v="3.14.16"/>
        <s v="3.14.17"/>
        <s v="3.14.18"/>
        <s v="3.14.19"/>
        <s v="3.14.20"/>
        <s v="3.14.20.1"/>
        <s v="3.14.20.2"/>
        <s v="3.14.21"/>
        <s v="3.14.21.1"/>
        <s v="3.14.21.1.1"/>
        <s v="3.14.21.1.2"/>
        <s v="3.14.21.1.3"/>
        <s v="3.14.21.2"/>
        <s v="3.14.21.2.1"/>
        <s v="3.14.21.2.2"/>
        <s v="3.14.21.2.3"/>
        <s v="3.14.21.3"/>
        <s v="3.14.21.4"/>
        <s v="3.14.21.4.1"/>
        <s v="3.14.21.4.2"/>
        <s v="3.14.21.5"/>
        <s v="3.14.21.6"/>
        <s v="3.14.21.7"/>
        <s v="3.14.21.8"/>
        <s v="3.14.21.9"/>
        <s v="3.14.21.10"/>
        <s v="3.14.21.11"/>
        <s v="3.14.21.12"/>
        <s v="3.14.21.13"/>
        <s v="3.14.21.14"/>
        <s v="3.14.21.15"/>
        <s v="3.14.21.16"/>
        <s v="3.14.21.17"/>
        <s v="3.14.21.18"/>
        <s v="3.14.21.19"/>
        <s v="3.14.21.20"/>
        <s v="3.14.22"/>
        <s v="3.14.23"/>
        <s v="3.14.24"/>
        <s v="3.14.25"/>
        <s v="3.14.26"/>
        <s v="3.14.27"/>
        <s v="3.14.28"/>
        <s v="3.14.29"/>
        <s v="3.14.30"/>
        <s v="3.14.31"/>
        <n v="3.15"/>
        <s v="3.15.1"/>
        <s v="3.15.2"/>
        <s v="3.15.3"/>
        <s v="3.15.4"/>
        <s v="3.15.5"/>
        <s v="3.15.6"/>
        <s v="3.15.7"/>
        <s v="3.15.8"/>
        <s v="3.15.9"/>
        <s v="3.15.10"/>
        <n v="3.16"/>
        <s v="3.16.1"/>
        <s v="3.16.2"/>
        <s v="3.16.3"/>
        <s v="3.16.4"/>
        <s v="3.16.5"/>
        <s v="3.16.6"/>
        <s v="3.16.7"/>
        <s v="3.16.8"/>
        <s v="3.16.9"/>
        <s v="3.16.10"/>
        <n v="3.17"/>
        <s v="3.17.1"/>
        <s v="3.17.2"/>
        <s v="3.17.3"/>
        <s v="3.17.4"/>
        <s v="3.17.5"/>
        <s v="3.17.6"/>
        <s v="3.17.7"/>
        <s v="3.17.8"/>
        <s v="3.17.9"/>
        <s v="3.17.10"/>
        <s v="3.17.11"/>
        <n v="3.18"/>
        <s v="3.18.1"/>
        <s v="3.18.2"/>
        <s v="3.18.3"/>
        <s v="3.18.4"/>
        <s v="3.18.5"/>
        <s v="3.18.6"/>
        <s v="3.18.6.1"/>
        <s v="3.18.6.2"/>
        <s v="3.18.7"/>
        <s v="3.18.8"/>
        <s v="3.18.9"/>
        <s v="3.18.10"/>
        <s v="3.18.11"/>
        <s v="3.18.12"/>
        <s v="3.18.13"/>
        <s v="3.18.14"/>
        <s v="3.18.15"/>
        <s v="3.18.15.1"/>
        <s v="3.18.15.2"/>
        <s v="3.18.16"/>
        <s v="3.18.17"/>
        <s v="3.18.18"/>
        <s v="3.18.19"/>
        <s v="3.18.20"/>
        <s v="3.18.21"/>
        <s v="3.18.22"/>
        <s v="3.18.22.1"/>
        <s v="3.18.22.2"/>
        <n v="3.19"/>
        <s v="3.19.1"/>
        <s v="3.19.2"/>
        <s v="3.19.3"/>
        <s v="3.19.4"/>
        <s v="3.19.5"/>
        <s v="3.19.6"/>
        <s v="3.19.7"/>
        <s v="3.19.8"/>
        <s v="3.19.9"/>
        <s v="3.19.10"/>
        <s v="3.19.11"/>
        <s v="3.19.11.1"/>
        <s v="3.19.11.2"/>
        <s v="3.19.11.3"/>
        <s v="3.19.11.4"/>
        <s v="3.19.11.5"/>
        <s v="3.19.11.6"/>
        <s v="3.19.12"/>
        <s v="3.19.12.1"/>
        <s v="3.19.12.2"/>
        <s v="3.19.12.3"/>
        <s v="3.19.12.4"/>
        <s v="3.19.12.5"/>
        <s v="3.19.12.6"/>
        <s v="3.19.13"/>
        <s v="3.20.1"/>
        <s v="3.20.2"/>
        <s v="3.20.3"/>
        <s v="3.20.4"/>
        <s v="3.20.5"/>
        <s v="3.20.6"/>
        <s v="3.20.7"/>
        <s v="3.20.8"/>
        <s v="3.20.9"/>
        <s v="3.20.10"/>
        <s v="3.20.11"/>
        <s v="3.20.12"/>
        <s v="3.20.12.1"/>
        <s v="3.20.12.2"/>
        <s v="3.20.13"/>
        <s v="3.20.14"/>
        <s v="3.20.15"/>
        <s v="3.20.16"/>
        <s v="3.20.17"/>
        <s v="3.20.18"/>
        <s v="3.20.19"/>
        <s v="3.20.20"/>
        <s v="3.20.20.1"/>
        <s v="3.20.20.2"/>
        <s v="3.20.20.3"/>
        <s v="3.20.20.4"/>
        <s v="3.20.20.5"/>
        <s v="3.20.20.6"/>
        <s v="3.20.21"/>
        <s v="3.20.21.1"/>
        <s v="3.20.21.1.1"/>
        <s v="3.20.21.1.2"/>
        <s v="3.20.21.1.3"/>
        <s v="3.20.21.2"/>
        <s v="3.20.21.2.1"/>
        <s v="3.20.21.2.2"/>
        <s v="3.20.21.2.3"/>
        <s v="3.20.21.3"/>
        <s v="3.20.21.4"/>
        <s v="3.20.21.5"/>
        <s v="3.20.21.6"/>
        <s v="3.20.21.7"/>
        <s v="3.20.21.8"/>
        <s v="3.20.21.9"/>
        <s v="3.20.21.10"/>
        <s v="3.20.21.11"/>
        <s v="3.20.21.12"/>
        <s v="3.20.21.13"/>
        <s v="3.20.21.14"/>
        <s v="3.20.21.14.1"/>
        <s v="3.20.21.14.2"/>
        <s v="3.20.21.15"/>
        <s v="3.20.21.16"/>
        <s v="3.20.21.17"/>
        <s v="3.20.21.18"/>
        <s v="3.20.21.19"/>
        <s v="3.20.21.20"/>
        <s v="3.20.21.21"/>
        <s v="3.20.22"/>
        <s v="3.20.23"/>
        <s v="3.20.24"/>
        <s v="3.20.25"/>
        <s v="3.20.26"/>
        <s v="3.20.27"/>
        <s v="3.20.28"/>
        <s v="3.20.29"/>
        <s v="3.20.29.1"/>
        <s v="3.20.29.2"/>
        <s v="3.20.29.3"/>
        <s v="3.20.29.4"/>
        <s v="3.20.29.5"/>
        <s v="3.20.29.6"/>
        <s v="3.20.29.6.1"/>
        <s v="3.20.29.6.2"/>
        <s v="3.20.30"/>
        <s v="3.20.30.1"/>
        <s v="3.20.30.2"/>
        <s v="3.20.30.3"/>
        <s v="3.20.31"/>
        <s v="3.20.31.1"/>
        <s v="3.20.31.2"/>
        <s v="3.20.31.3"/>
        <s v="3.20.32"/>
        <n v="3.21"/>
        <s v="3.21.1"/>
        <s v="3.21.2"/>
        <s v="3.21.3"/>
        <s v="3.21.4"/>
        <s v="3.21.5"/>
        <s v="3.21.6"/>
        <s v="3.21.7"/>
        <s v="3.21.8"/>
        <s v="3.21.9"/>
        <s v="3.21.10"/>
        <s v="3.21.11"/>
        <s v="3.21.12"/>
        <s v="3.21.13"/>
        <s v="3.21.14"/>
        <s v="3.21.15"/>
        <s v="3.21.16"/>
        <s v="3.21.17"/>
        <s v="3.21.18"/>
        <n v="3.22"/>
        <s v="3.22.1"/>
        <s v="3.22.2"/>
        <s v="3.22.3"/>
        <s v="3.22.4"/>
        <s v="3.22.5"/>
        <s v="3.22.6"/>
        <s v="3.22.7"/>
        <s v="3.22.8"/>
        <s v="3.22.9"/>
        <s v="3.22.10"/>
        <s v="3.22.11"/>
        <s v="3.22.12"/>
        <n v="3.23"/>
        <n v="3.24"/>
        <n v="3.25"/>
        <n v="3.26"/>
        <n v="3.27"/>
        <n v="3.28"/>
        <s v="3.28.1"/>
        <n v="3.29"/>
        <n v="3.31"/>
        <n v="3.32"/>
        <n v="3.33"/>
        <n v="3.34"/>
        <s v="3.34.1"/>
        <s v="3.34.2"/>
        <s v="3.34.3"/>
        <s v="3.34.4"/>
        <s v="3.34.5"/>
        <s v="3.34.6"/>
        <s v="3.34.7"/>
        <s v="3.34.8"/>
        <s v="3.34.9"/>
        <s v="3.34.10"/>
        <s v="3.34.11"/>
        <s v="3.34.12"/>
        <s v="3.34.13"/>
        <s v="3.34.14"/>
        <s v="3.34.15"/>
        <s v="3.34.15.1"/>
        <s v="3.34.15.2"/>
        <s v="3.34.16"/>
        <s v="3.34.16.1"/>
        <s v="3.34.16.1.1"/>
        <s v="3.34.16.1.2"/>
        <s v="3.34.16.1.2.1"/>
        <s v="3.34.16.1.2.2"/>
        <s v="3.34.16.1.3"/>
        <s v="3.34.16.1.3.1"/>
        <s v="3.34.16.1.3.2"/>
        <s v="3.34.16.1.4"/>
        <s v="3.34.16.1.5"/>
        <s v="3.34.16.1.5.1"/>
        <s v="3.34.16.1.5.2"/>
        <s v="3.34.16.1.6"/>
        <s v="3.34.16.1.7"/>
        <s v="3.34.16.1.8"/>
        <s v="3.34.16.1.9"/>
        <s v="3.34.16.1.10"/>
        <s v="3.34.16.1.11"/>
        <s v="3.34.16.1.12"/>
        <s v="3.34.16.1.13"/>
        <s v="3.34.16.1.13.1"/>
        <s v="3.34.16.1.13.2"/>
        <s v="3.34.16.2"/>
        <s v="3.34.16.2.1"/>
        <s v="3.34.16.2.2"/>
        <s v="3.34.16.2.3"/>
        <s v="3.34.16.2.4"/>
        <s v="3.34.16.2.5"/>
        <s v="3.34.16.3"/>
        <s v="3.34.16.3.1"/>
        <s v="3.34.16.3.2"/>
        <s v="3.34.16.3.3"/>
        <s v="3.34.16.3.4"/>
        <s v="3.34.16.3.5"/>
        <s v="3.34.16.4"/>
        <s v="3.34.16.4.1"/>
        <s v="3.34.16.4.2"/>
        <s v="3.34.16.4.3"/>
        <s v="3.34.16.4.4"/>
        <s v="3.34.16.5"/>
        <s v="3.34.16.6"/>
        <s v="3.34.16.7"/>
        <s v="3.34.16.8"/>
        <s v="3.34.16.9"/>
        <s v="3.34.16.10"/>
        <s v="3.34.16.11"/>
        <s v="3.34.16.12"/>
        <s v="3.34.16.13"/>
        <s v="3.34.16.14"/>
        <s v="3.34.16.15"/>
        <s v="3.34.16.15.1"/>
        <s v="3.34.16.15.2"/>
        <s v="3.34.16.16"/>
        <s v="3.34.17"/>
        <s v="3.34.17.1"/>
        <s v="3.34.17.2"/>
        <s v="3.34.18"/>
        <s v="3.34.19"/>
        <s v="3.34.20"/>
        <s v="3.34.20.1"/>
        <s v="3.34.20.2"/>
        <s v="3.34.20.3"/>
        <s v="3.34.21"/>
        <s v="3.34.22"/>
        <s v="3.34.23"/>
        <s v="3.34.24"/>
        <s v="3.34.25"/>
        <n v="3.35"/>
        <s v="3.35.1"/>
        <s v="3.35.2"/>
        <n v="3.36"/>
        <n v="3.37"/>
        <n v="3.38"/>
        <n v="3.39"/>
        <n v="3.41"/>
        <s v="3.41.1"/>
        <s v="3.41.2"/>
        <n v="3.42"/>
        <s v="3.42.1"/>
        <s v="3.42.2"/>
        <s v="3.42.3"/>
        <s v="3.42.4"/>
        <s v="3.42.5"/>
        <s v="3.42.6"/>
        <s v="3.42.7"/>
        <s v="3.42.8"/>
        <n v="3.43"/>
        <s v="3.43.1"/>
        <s v="3.43.2"/>
        <s v="3.43.3"/>
        <n v="3.44"/>
        <n v="3.45"/>
        <n v="3.46"/>
        <n v="3.47"/>
        <n v="3.48"/>
        <s v="3.48.1"/>
        <s v="3.48.2"/>
        <s v="3.48.3"/>
        <s v="3.48.4"/>
        <s v="3.48.5"/>
        <s v="3.48.6"/>
        <n v="3.49"/>
        <n v="3.51"/>
        <s v="3.51.1"/>
        <s v="3.51.2"/>
        <s v="3.51.3"/>
        <s v="3.51.4"/>
        <s v="3.51.5"/>
        <s v="3.51.5.1"/>
        <s v="3.51.5.2"/>
        <n v="3.52"/>
        <n v="3.53"/>
        <n v="3.54"/>
        <n v="3.55"/>
        <n v="3.56"/>
        <n v="3.57"/>
        <n v="4"/>
        <n v="4.0999999999999996"/>
        <n v="4.2"/>
        <n v="4.3"/>
        <n v="4.4000000000000004"/>
        <s v="4.4.1"/>
        <s v="4.4.2"/>
        <s v="4.4.3"/>
        <s v="4.4.4"/>
        <s v="4.4.5"/>
        <s v="4.4.5.1"/>
        <s v="4.4.5.2"/>
        <s v="4.4.5.3"/>
        <s v="4.4.5.4"/>
        <s v="4.4.5.5"/>
        <s v="4.4.5.6"/>
        <s v="4.4.5.7"/>
        <s v="4.4.5.8"/>
        <s v="4.4.5.9"/>
        <s v="4.4.5.10"/>
        <s v="4.4.5.11"/>
        <s v="4.4.5.12"/>
        <s v="4.4.5.13"/>
        <s v="4.4.6"/>
        <s v="4.4.7"/>
        <s v="4.4.8"/>
        <s v="4.4.8.1"/>
        <s v="4.4.8.2"/>
        <s v="4.4.9"/>
        <s v="4.4.10"/>
        <s v="4.4.11"/>
        <s v="4.4.12"/>
        <s v="4.4.12.1"/>
        <s v="4.4.12.2"/>
        <s v="4.4.13"/>
        <s v="4.4.14"/>
        <s v="4.4.15"/>
        <s v="4.4.16"/>
        <s v="4.4.17"/>
        <s v="4.4.18"/>
        <s v="4.4.18.1"/>
        <s v="4.4.18.2"/>
        <s v="4.4.18.3"/>
        <s v="4.4.18.4"/>
        <s v="4.4.18.4.1"/>
        <s v="4.4.18.4.2"/>
        <n v="4.5"/>
        <s v="4.5.1"/>
        <s v="4.5.2"/>
        <s v="4.5.3"/>
        <s v="4.5.4"/>
        <s v="4.5.5"/>
        <s v="4.5.6"/>
        <s v="4.5.7"/>
        <s v="4.5.8"/>
        <s v="4.5.9"/>
        <s v="4.5.10"/>
        <s v="4.5.11"/>
        <s v="4.5.12"/>
        <s v="4.5.13"/>
        <s v="4.5.14"/>
        <s v="4.5.15"/>
        <s v="4.5.16"/>
        <s v="4.5.17"/>
        <s v="4.5.18"/>
        <s v="4.5.19"/>
        <s v="4.5.20"/>
        <s v="4.5.21"/>
        <s v="4.5.22"/>
        <s v="4.5.23"/>
        <s v="4.5.24"/>
        <s v="4.5.25"/>
        <s v="4.5.26"/>
        <s v="4.5.27"/>
        <s v="4.5.28"/>
        <s v="4.5.29"/>
        <s v="4.5.30"/>
        <s v="4.5.31"/>
        <s v="4.5.32"/>
        <s v="4.5.33"/>
        <s v="4.5.34"/>
        <s v="4.5.35"/>
        <s v="4.5.36"/>
        <s v="4.5.37"/>
        <s v="4.5.38"/>
        <s v="4.5.39"/>
        <s v="4.5.40"/>
        <s v="4.5.41"/>
        <s v="4.5.42"/>
        <s v="4.5.43"/>
        <s v="4.5.44"/>
        <s v="4.5.45"/>
        <s v="4.5.46"/>
        <s v="4.5.47"/>
        <s v="4.5.48"/>
        <s v="4.5.49"/>
        <s v="4.5.50"/>
        <s v="4.5.51"/>
        <s v="4.5.52"/>
        <s v="4.5.53"/>
        <n v="4.5999999999999996"/>
        <s v="4.6.1"/>
        <s v="4.6.2"/>
        <s v="4.6.3"/>
        <s v="4.6.4"/>
        <s v="4.6.5"/>
        <s v="4.6.6"/>
        <s v="4.6.7"/>
        <s v="4.6.7.1"/>
        <s v="4.6.7.2"/>
        <s v="4.6.8"/>
        <s v="4.6.9"/>
        <s v="4.6.10"/>
        <s v="4.6.11"/>
        <s v="4.6.12"/>
        <s v="4.6.13"/>
        <s v="4.6.14"/>
        <s v="4.6.15"/>
        <s v="4.6.16"/>
        <s v="4.6.17"/>
        <s v="4.6.18"/>
        <s v="4.6.19"/>
        <s v="4.6.20"/>
        <s v="4.6.21"/>
        <s v="4.6.22"/>
        <s v="4.6.23"/>
        <s v="4.6.23.1"/>
        <s v="4.6.23.2"/>
        <s v="4.6.23.3"/>
        <s v="4.6.23.4"/>
        <s v="4.6.23.5"/>
        <s v="4.6.23.6"/>
        <s v="4.6.24"/>
        <s v="4.6.25"/>
        <s v="4.6.25.1"/>
        <s v="4.6.25.2"/>
        <s v="4.6.26"/>
        <n v="4.7"/>
        <s v="4.7.1"/>
        <s v="4.7.2"/>
        <s v="4.7.3"/>
        <s v="4.7.4"/>
        <s v="4.7.5"/>
        <s v="4.7.5.1"/>
        <s v="4.7.5.2"/>
        <s v="4.7.6"/>
        <s v="4.7.7"/>
        <s v="4.7.8"/>
        <s v="4.7.9"/>
        <n v="4.8"/>
        <s v="4.8.1"/>
        <s v="4.8.2"/>
        <s v="4.8.3"/>
        <s v="4.8.4"/>
        <s v="4.8.5"/>
        <s v="4.8.6"/>
        <s v="4.8.6.1"/>
        <s v="4.8.6.2"/>
        <s v="4.8.7"/>
        <s v="4.8.8"/>
        <s v="4.8.9"/>
        <s v="4.8.10"/>
        <s v="4.8.11"/>
        <s v="4.8.12"/>
        <s v="4.8.13"/>
        <s v="4.8.14"/>
        <s v="4.8.15"/>
        <s v="4.8.16"/>
        <s v="4.8.17"/>
        <s v="4.8.18"/>
        <s v="4.8.18.1"/>
        <s v="4.8.18.2"/>
        <s v="4.8.19"/>
        <n v="4.9000000000000004"/>
        <s v="4.10.1"/>
        <s v="4.10.2"/>
        <s v="4.10.3"/>
        <s v="4.10.4"/>
        <s v="4.10.5"/>
        <s v="4.10.6"/>
        <s v="4.10.7"/>
        <s v="4.10.8"/>
        <s v="4.10.9"/>
        <s v="4.10.10"/>
        <s v="4.10.11"/>
        <s v="4.10.12"/>
        <s v="4.10.13"/>
        <s v="4.10.14"/>
        <s v="4.10.14.3"/>
        <s v="4.10.15"/>
        <s v="4.10.16"/>
        <s v="4.10.17"/>
        <s v="4.10.18"/>
        <s v="4.10.19"/>
        <s v="4.10.20"/>
        <s v="4.10.21"/>
        <s v="4.10.22"/>
        <s v="4.10.23"/>
        <s v="4.10.24"/>
        <s v="4.10.25"/>
        <s v="4.10.26"/>
        <s v="4.10.27"/>
        <s v="4.10.28"/>
        <s v="4.10.29"/>
        <s v="4.10.30"/>
        <s v="4.10.31"/>
        <s v="4.10.32"/>
        <s v="4.10.33"/>
        <s v="4.10.34"/>
        <n v="4.1100000000000003"/>
        <s v="4.11.1"/>
        <s v="4.11.2"/>
        <s v="4.11.3"/>
        <s v="4.11.4"/>
        <s v="4.11.5"/>
        <s v="4.11.6"/>
        <s v="4.11.7"/>
        <s v="4.11.8"/>
        <s v="4.11.9"/>
        <s v="4.11.10"/>
        <s v="4.11.11"/>
        <s v="4.11.12"/>
        <s v="4.11.13"/>
        <n v="4.12"/>
        <s v="4.12.1"/>
        <s v="4.12.2"/>
        <s v="4.12.3"/>
        <n v="4.13"/>
        <s v="4.13.1"/>
        <s v="4.13.2"/>
        <s v="4.13.3"/>
        <s v="4.13.4"/>
        <s v="4.13.5"/>
        <s v="4.13.6"/>
        <n v="4.1399999999999997"/>
        <s v="4.14.1"/>
        <s v="4.14.2"/>
        <s v="4.14.3"/>
        <s v="4.14.4"/>
        <s v="4.14.5"/>
        <s v="4.14.6"/>
        <s v="4.14.7"/>
        <s v="4.14.8"/>
        <s v="4.14.9"/>
        <s v="4.14.10"/>
        <s v="4.14.11"/>
        <s v="4.14.12"/>
        <s v="4.14.13"/>
        <s v="4.14.14"/>
        <s v="4.14.15"/>
        <s v="4.14.16"/>
        <s v="4.14.17"/>
        <n v="4.1500000000000004"/>
        <s v="4.15.1"/>
        <s v="4.15.2"/>
        <s v="4.15.3"/>
        <s v="4.15.4"/>
        <s v="4.15.4.1"/>
        <s v="4.15.4.2"/>
        <s v="4.15.5"/>
        <s v="4.15.6"/>
        <s v="4.15.7"/>
        <s v="4.15.8"/>
        <s v="4.15.9"/>
        <s v="4.15.10"/>
        <s v="4.15.11"/>
        <s v="4.15.12"/>
        <s v="4.15.13"/>
        <s v="4.15.14"/>
        <s v="4.15.15"/>
        <s v="4.15.16"/>
        <s v="4.15.17"/>
        <s v="4.15.18"/>
        <s v="4.15.19"/>
        <s v="4.15.20"/>
        <s v="4.15.21"/>
        <s v="4.15.22"/>
        <s v="4.15.23"/>
        <s v="4.15.24"/>
        <s v="4.15.25"/>
        <s v="4.15.26"/>
        <s v="4.15.27"/>
        <s v="4.15.28"/>
        <n v="4.16"/>
        <s v="4.16.1"/>
        <s v="4.16.2"/>
        <s v="4.16.3"/>
        <s v="4.16.4"/>
        <s v="4.16.4.1"/>
        <s v="4.16.4.2"/>
        <s v="4.16.5"/>
        <s v="4.16.6"/>
        <s v="4.16.7"/>
        <s v="4.16.8"/>
        <s v="4.16.9"/>
        <n v="4.17"/>
        <s v="4.17.1"/>
        <s v="4.17.2"/>
        <s v="4.17.3"/>
        <s v="4.17.4"/>
        <s v="4.17.5"/>
        <s v="4.17.6"/>
        <s v="4.17.7"/>
        <s v="4.17.8"/>
        <s v="4.17.9"/>
        <s v="4.17.10"/>
        <s v="4.17.11"/>
        <s v="4.17.12"/>
        <s v="4.17.13"/>
        <s v="4.17.14"/>
        <s v="4.17.14.1"/>
        <s v="4.17.14.2"/>
        <n v="4.18"/>
        <s v="4.18.1"/>
        <s v="4.18.2"/>
        <s v="4.18.3"/>
        <s v="4.18.3.1"/>
        <s v="4.18.3.2"/>
        <s v="4.18.3.3"/>
        <s v="4.18.3.4"/>
        <s v="4.18.3.5"/>
        <s v="4.18.3.6"/>
        <s v="4.18.4"/>
        <s v="4.18.5"/>
        <s v="4.18.6"/>
        <s v="4.18.7"/>
        <n v="4.1900000000000004"/>
        <s v="4.19.1"/>
        <s v="4.19.2"/>
        <s v="4.19.3"/>
        <s v="4.19.4"/>
        <s v="4.19.5"/>
        <s v="4.19.6"/>
        <s v="4.19.7"/>
        <s v="4.19.8"/>
        <s v="4.19.8.1"/>
        <s v="4.19.8.2"/>
        <s v="4.19.9"/>
        <s v="4.19.10"/>
        <s v="4.19.10.1"/>
        <s v="4.19.10.2"/>
        <s v="4.19.11"/>
        <s v="4.19.11.1"/>
        <s v="4.19.11.2"/>
        <s v="4.19.12"/>
        <s v="4.19.12.1"/>
        <s v="4.19.12.2"/>
        <s v="4.19.13"/>
        <s v="4.19.14"/>
        <s v="4.19.15"/>
        <s v="4.19.16"/>
        <s v="4.19.17"/>
        <s v="4.19.18"/>
        <s v="4.19.19"/>
        <s v="4.19.20"/>
        <s v="4.19.20.1"/>
        <s v="4.19.20.2"/>
        <s v="4.19.20.3"/>
        <s v="4.19.20.4"/>
        <s v="4.19.20.4.1"/>
        <s v="4.19.20.4.2"/>
        <s v="4.19.21"/>
        <s v="4.19.22"/>
        <s v="4.19.23"/>
        <s v="4.19.24"/>
        <s v="4.19.25"/>
        <s v="4.19.26"/>
        <s v="4.19.27"/>
        <s v="4.20.1"/>
        <s v="4.20.2"/>
        <s v="4.20.3"/>
        <s v="4.20.4"/>
        <s v="4.20.5"/>
        <s v="4.20.6"/>
        <s v="4.20.7"/>
        <s v="4.20.7.1"/>
        <s v="4.20.7.2"/>
        <s v="4.20.8"/>
        <s v="4.20.9"/>
        <s v="4.20.10"/>
        <s v="4.20.11"/>
        <s v="4.20.11.1"/>
        <s v="4.20.11.2"/>
        <s v="4.20.11.3"/>
        <s v="4.20.11.4"/>
        <s v="4.20.11.4.1"/>
        <s v="4.20.11.4.2"/>
        <s v="4.20.12"/>
        <s v="4.20.13"/>
        <s v="4.20.13.1"/>
        <s v="4.20.13.2"/>
        <s v="4.20.14"/>
        <s v="4.20.14.1"/>
        <s v="4.20.14.2"/>
        <s v="4.20.15"/>
        <s v="4.20.15.1"/>
        <s v="4.20.15.2"/>
        <s v="4.20.15.3"/>
        <s v="4.20.16"/>
        <s v="4.20.17"/>
        <s v="4.20.18"/>
        <s v="4.20.19"/>
        <s v="4.20.20"/>
        <n v="4.21"/>
        <s v="4.21.1"/>
        <s v="4.21.2"/>
        <s v="4.21.3"/>
        <s v="4.21.4"/>
        <s v="4.21.5"/>
        <s v="4.21.6"/>
        <s v="4.21.7"/>
        <s v="4.21.8"/>
        <s v="4.21.9"/>
        <s v="4.21.10"/>
        <s v="4.21.10.1"/>
        <s v="4.21.10.2"/>
        <s v="4.21.10.3"/>
        <s v="4.21.10.4"/>
        <s v="4.21.10.5"/>
        <s v="4.21.10.6"/>
        <s v="4.21.11"/>
        <s v="4.21.12"/>
        <s v="4.21.13"/>
        <s v="4.21.14"/>
        <s v="4.21.15"/>
        <s v="4.21.16"/>
        <s v="4.21.17"/>
        <s v="4.21.18"/>
        <s v="4.21.19"/>
        <s v="4.21.20"/>
        <s v="4.21.21"/>
        <s v="4.21.22"/>
        <s v="4.21.22.1"/>
        <s v="4.21.22.2"/>
        <s v="4.21.23"/>
        <s v="4.21.23.1"/>
        <s v="4.21.23.2"/>
        <s v="4.21.24"/>
        <s v="4.21.24.1"/>
        <s v="4.21.24.2"/>
        <s v="4.21.24.3"/>
        <s v="4.21.25"/>
        <s v="4.21.25.1"/>
        <s v="4.21.25.2"/>
        <s v="4.21.26"/>
        <s v="4.21.26.1"/>
        <s v="4.21.26.1.1"/>
        <s v="4.21.26.1.2"/>
        <s v="4.21.26.1.3"/>
        <s v="4.21.26.1.4"/>
        <s v="4.21.26.2"/>
        <s v="4.21.26.2.1"/>
        <s v="4.21.26.2.2"/>
        <s v="4.21.26.2.3"/>
        <s v="4.21.26.3"/>
        <s v="4.21.26.3.1"/>
        <s v="4.21.26.3.2"/>
        <s v="4.21.26.3.3"/>
        <s v="4.21.26.4"/>
        <s v="4.21.26.5"/>
        <s v="4.21.26.6"/>
        <s v="4.21.26.7"/>
        <s v="4.21.26.8"/>
        <s v="4.21.26.8.1"/>
        <s v="4.21.26.8.2"/>
        <s v="4.21.26.9"/>
        <s v="4.21.26.10"/>
        <s v="4.21.26.11"/>
        <s v="4.21.26.12"/>
        <s v="4.21.26.13"/>
        <s v="4.21.26.14"/>
        <s v="4.21.26.15"/>
        <s v="4.21.26.16"/>
        <s v="4.21.26.17"/>
        <s v="4.21.26.18"/>
        <s v="4.21.26.19"/>
        <s v="4.21.26.20"/>
        <s v="4.21.26.21"/>
        <s v="4.21.26.22"/>
        <s v="4.21.26.23"/>
        <s v="4.21.27"/>
        <s v="4.21.28"/>
        <s v="4.21.28.1"/>
        <s v="4.21.28.2"/>
        <s v="4.21.29"/>
        <s v="4.21.30"/>
        <s v="4.21.31"/>
        <s v="4.21.32"/>
        <s v="4.21.33"/>
        <s v="4.21.33.1"/>
        <s v="4.21.33.2"/>
        <s v="4.21.33.3"/>
        <s v="4.21.33.4"/>
        <s v="4.21.33.5"/>
        <s v="4.21.33.6"/>
        <n v="4.22"/>
        <n v="4.2300000000000004"/>
        <n v="4.24"/>
        <n v="4.25"/>
        <n v="4.26"/>
        <n v="4.2699999999999996"/>
        <n v="4.28"/>
        <n v="4.29"/>
        <n v="4.3099999999999996"/>
        <n v="4.32"/>
        <s v="4.32.1"/>
        <s v="4.32.2"/>
        <s v="4.32.2.1"/>
        <s v="4.32.2.1.1"/>
        <s v="4.32.2.1.2"/>
        <s v="4.32.2.1.3"/>
        <s v="4.32.2.1.4"/>
        <s v="4.32.2.2"/>
        <s v="4.32.2.3"/>
        <s v="4.32.2.4"/>
        <s v="4.32.2.5"/>
        <s v="4.32.3"/>
        <s v="4.32.3.1"/>
        <s v="4.32.3.2"/>
        <s v="4.32.3.3"/>
        <s v="4.32.3.4"/>
        <s v="4.32.3.5"/>
        <s v="4.32.3.6"/>
        <s v="4.32.3.7"/>
        <s v="4.32.4"/>
        <s v="4.32.4.1"/>
        <s v="4.32.4.2"/>
        <s v="4.32.4.3"/>
        <s v="4.32.4.4"/>
        <s v="4.32.4.5"/>
        <s v="4.32.4.6"/>
        <s v="4.32.4.6.1"/>
        <s v="4.32.4.6.2"/>
        <s v="4.32.4.7"/>
        <s v="4.32.5"/>
        <s v="4.32.6"/>
        <s v="4.32.7"/>
        <s v="4.32.8"/>
        <s v="4.32.8.1"/>
        <s v="4.32.8.2"/>
        <s v="4.32.8.3"/>
        <s v="4.32.8.4"/>
        <s v="4.32.8.5"/>
        <n v="4.33"/>
        <s v="4.33.1"/>
        <s v="4.33.2"/>
        <n v="4.34"/>
        <s v="4.34.1"/>
        <s v="4.34.2"/>
        <n v="4.3499999999999996"/>
        <s v="4.35.1"/>
        <s v="4.35.2"/>
        <s v="4.35.3"/>
        <s v="4.35.4"/>
        <s v="4.35.5"/>
        <n v="4.3600000000000003"/>
        <s v="4.36.1"/>
        <s v="4.36.2"/>
        <s v="4.36.3"/>
        <n v="4.37"/>
        <n v="4.38"/>
        <n v="4.3899999999999997"/>
        <n v="4.41"/>
      </sharedItems>
    </cacheField>
    <cacheField name="QTY" numFmtId="0">
      <sharedItems containsSemiMixedTypes="0" containsString="0" containsNumber="1" containsInteger="1" minValue="1" maxValue="89"/>
    </cacheField>
    <cacheField name="OH ASSY PN" numFmtId="0">
      <sharedItems count="60">
        <s v="OH0A1-100 - ASSY, LOWER &amp; UPPER INSTRUMENT PANEL"/>
        <s v="OH2A1-1 - ASSY, LOWER INSTRUMENT PANEL"/>
        <s v="OH2A1A1-1 - ASSY, LOWER INSTRUMENT PANEL STRUCTURE"/>
        <s v="OH2A7A1-1 - ASSY, STANDBY INSTRUMENT MODULE"/>
        <s v="OH2A2A1-1 - ASSY, LEFT LIP MODULE"/>
        <s v="OH2A8A1-1 - ASSY, RUDDER PEDALS"/>
        <s v="OH2A1-100 - ASSY, UPPER CENTER PEDESTAL"/>
        <s v="OH2A1-200 - ASSY, LOWER CENTER PEDESTAL"/>
        <s v="OH1A1-1 - ASSY, UPPER INSTRUMENT PANEL"/>
        <s v="OH1A3-1 - ASSY, DDIV2"/>
        <s v="OH1A4-1 - ASSY, EYEBROW WARNING MODULE, LEFT"/>
        <s v="OH1A5-1 - ASSY, EYEBROW WARNING MODULE, RIGHT"/>
        <s v="OH1A2-1 - ASSY, PANEL, MASTER ARM"/>
        <s v="OH1A6-1 - ASSY, PANEL, SPIN RECOVERY"/>
        <s v="OH1A7-1 - ASSY, PANEL, HUD"/>
        <s v="OH1A8-1 - ASSY, UPFRONT CONTROL PANEL"/>
        <s v="OH3A1-1 - ASSY, CENTER TUB"/>
        <s v="OH3A1A1 - ASSY, MAIN CENTER TUB"/>
        <s v="OH3A2-1 - ASSY, EJECTION SEAT, SJU-17"/>
        <s v="OH3A3-1 - ASSY, FLIGHT CONTROL STICK"/>
        <s v="OH4A1-1 - ASSY, LEFT CONSOLE"/>
        <s v="OH4A1A1-1 - ASSY, LEFT CONSOLE STRUCTURE"/>
        <s v="OH4A8A2-1 - ASSY, DISPENSE BUTTON"/>
        <s v="OH4A8A3-1 - ASSY, NUC WEAP SWITCH"/>
        <s v="OH4A8A1-1 - ASSY, LEFT CIRCUIT BREAKERS"/>
        <s v="OH4A9-1 - ASSY, THROTTLE QUADRANT"/>
        <s v="OH4A4A1-1 - ASSY, FIRE TEST PANEL"/>
        <s v="OH4A5A1-1 - ASSY, FUEL PANEL"/>
        <s v="OH4A7A1-1 - ASSY, COMM PANEL"/>
        <s v="OH10A1A1-1 - ASSY, SIM PWR PANEL"/>
        <s v="OH4A4A2-1 - ASSY, EXTERNAL LT PANEL"/>
        <s v="OH4A6A1-1 - ASSY, FCS PANEL"/>
        <s v="OH4A4A3-1 - ASSY, GEN TIE PANEL"/>
        <s v="OH4A7A4-1 - ASSY, ANT SEL PANEL"/>
        <s v="OH4A7A3-1 - ASSY, MC HYD ISOL PANEL"/>
        <s v="OH4A7A2-1 - ASSY, OBOGS PANEL"/>
        <s v="OH4A5A2-1 - ASSY, APU ENG CRANK PANEL"/>
        <s v="OH4A3A1-1 - ASSY, SELECT JETT PANEL"/>
        <s v="OH4A3A2-1 - ASSY, PARK BRAKE HANDLE"/>
        <s v="OH4A3A3-1 - ASSY, BRAKE PRESSURE INDICATOR"/>
        <s v="OH4A2A1-1 - ASSY, LANDING GEAR LEVER PANEL"/>
        <s v="OH5A1-1 - ASSY, RIGHT CONSOLE"/>
        <s v="OH5A4A1-1 - ASSY, ELEC PANEL"/>
        <s v="OH5A1A1-1 - ASSY, RIGHT CONSOLE STRUCTURE"/>
        <s v="OH5A7A1-1 - ASSY, SNSR PANEL"/>
        <s v="OH5A5A2-1 - ASSY, DEFOG PANEL"/>
        <s v="OH5A8A1-1 - ASSY, SIM CNTL PANEL"/>
        <s v="OH5A2A4-1 - ASSY, RADAR ALTIMETER GAUGE"/>
        <s v="OH5A2A5-1 - ASSY, HYD PRESS GAUGE"/>
        <s v="OH5A2A6-1 - ASSY, BUNO PLACARD"/>
        <s v="OH5A2A7-1 - ASSY, LDG CHKLST PANEL"/>
        <s v="OH5A3A1-1 - ASSY, CAUTION LIGHT PANEL"/>
        <s v="OH5A2A2-1 - ASSY, WING FOLD HANDLE"/>
        <s v="OH5A2A3-1 - ASSY, AV COOL SWITCH"/>
        <s v="OH5A10A1-1 - ASSY, RIGHT CIRCUIT BREAKERS"/>
        <s v="OH5A10A2-1 - ASSY, CANOPY SWITCH"/>
        <s v="OH5A9A1-1 - ASSY, KY58 PANEL"/>
        <s v="OH5A6A1-1 - ASSY, INTR LT PANEL"/>
        <s v="OH5A5A1-1 - ASSY, ECS PANEL"/>
        <s v="OH5A2A1-1 - ASSY, HOOK LEVER &amp; INDICATOR"/>
      </sharedItems>
    </cacheField>
    <cacheField name="SUB ASSEMBLIES" numFmtId="0">
      <sharedItems containsBlank="1" count="218">
        <m/>
        <s v="ASSY, ANALOG RIGHT LOWER INSTRUMENT PANEL"/>
        <s v="AIRSPEED INDICATOR"/>
        <s v="AIRSPEED INDICATOR -&gt; ASSY, 2IN GAUGE SGL STPR MECH W/ ZERO DETECT"/>
        <s v="ALTIMETER"/>
        <s v="ALTIMETER -&gt; ASSY, ALTIMETER KNOB"/>
        <s v="VERTICAL VELOCITY INDICATOR"/>
        <s v="VERTICAL VELOCITY INDICATOR  -&gt; ASSY, 2IN GAUGE SGL STPR MECH W/ ZERO DETECT"/>
        <s v="RWR"/>
        <s v="SARI"/>
        <s v="ASSY, LEFT LIP MODULE"/>
        <s v="ASSY, JETT STATION SELECT PLACARD"/>
        <s v="ASSY, LEFT LOWER INSTRUMENT PANEL"/>
        <s v="ASSY, ABSIS BUS MASTER"/>
        <s v="ASSY, ABSIS HID BUS MASTER"/>
        <s v="ASSY, ABSIS ALE"/>
        <s v="ASSY, PANEL, IFEI"/>
        <s v="ASSY, PANEL, VIDEO RECORD"/>
        <s v="ASSY, PANEL, VIDEO RECORD -&gt; OHC0003-A-012FGB3 - ASSY, KNOB, GREY, .25 D-SHAFT"/>
        <s v="ASSY, PANEL, JETT SELECT"/>
        <s v="ASSY, PANEL, JETT SELECT -&gt; ASSY, JETT SELECT MOUNTING PLATE"/>
        <s v="ASSY, PANEL, JETT SELECT -&gt; ASSY, JETT SELECT PUSHBUTTON, RO"/>
        <s v="ASSY, PANEL, JETT SELECT -&gt; ASSY, JETT SELECT PUSHBUTTON, LI"/>
        <s v="ASSY, PANEL, JETT SELECT -&gt; ASSY, JETT SELECT PUSHBUTTON, LO"/>
        <s v="ASSY, PANEL, JETT SELECT -&gt; ASSY, JETT SELECT PUSHBUTTON, RI"/>
        <s v="ASSY, PANEL, JETT SELECT -&gt; ASSY, JETT SELECT PUSHBUTTON, CTR"/>
        <s v="ASSY, PANEL, JETT SELECT -&gt; ASSY, JETT SELECT INDICATOR, NOSE"/>
        <s v="ASSY, PANEL, JETT SELECT -&gt; ASSY, JETT SELECT INDICATOR, LEFT"/>
        <s v="ASSY, PANEL, JETT SELECT -&gt; ASSY, JETT SELECT INDICATOR, RIGHT"/>
        <s v="ASSY, PANEL, JETT SELECT -&gt; ASSY, JETT SELECT INDICATOR, HALF"/>
        <s v="ASSY, PANEL, JETT SELECT -&gt; ASSY, JETT SELECT INDICATOR, FULL"/>
        <s v="ASSY, PANEL, JETT SELECT -&gt; ASSY, JETT SELECT INDICATOR, FLAPS"/>
        <s v="ASSY, MFG CROSSWIND WITH OH PEDALS"/>
        <s v="ASSY, PEDAL SUPPORT WHEEL"/>
        <s v="ASSY, LEFT FWD BULKHEAD INTERCONNECT PANEL"/>
        <s v="ASSY, RIGHT FWD BULKHEAD INTERCONNECT PANEL"/>
        <s v="ASSY, ABSIS BACKLIGHT CONTROLLER"/>
        <s v="ASSY, LEFT LIP-UIP BULKHEAD PANEL"/>
        <s v="ASSY, RIGHT LIP-UIP BULKHEAD PANEL"/>
        <s v="ASSY, ABSIS PIT MANAGEMENT SYSTEM"/>
        <s v="ASSY, SHORE BULKHEAD PANEL"/>
        <s v="ASSY, AMPCD MODULE"/>
        <s v="ASSY, AMPCD MODULE -&gt; ASSY, DDI_AMPCD_CONTROLLER"/>
        <s v="ASSY, AMPCD MODULE -&gt; OHC0003-412FGB2 - ASSY, KNOB, GREY, .125 RECESSED D-SHAFT"/>
        <s v="ASSY, LOWER CENTER PEDESTAL"/>
        <s v="ASSY, PANEL, RWR CONTROL"/>
        <s v="ASSY, PANEL, RWR CONTROL -&gt; RWR CONTROL INDICATOR, FAIL BIT"/>
        <s v="ASSY, PANEL, RWR CONTROL -&gt; RWR CONTROL INDICATOR, ENABLE OFFSET"/>
        <s v="ASSY, PANEL, RWR CONTROL -&gt; RWR CONTROL INDICATOR, ENABLE SPECIAL"/>
        <s v="ASSY, PANEL, RWR CONTROL -&gt; RWR CONTROL INDICATOR, LIMIT DISP"/>
        <s v="ASSY, PANEL, RWR CONTROL -&gt; RWR CONTROL INDICATOR, ALR-67 PWR"/>
        <s v="ASSY, PANEL, RWR CONTROL -&gt; ASSY, ABSIS ALE"/>
        <s v="ASSY, PANEL, RWR CONTROL -&gt; OHC0003-A-028ABW2 - ASSY, KNOB, BLACK, ROUND, .125 D-SHAFT"/>
        <s v="ASSY, PANEL, RWR CONTROL -&gt; OHC0003-A-028ABN2 - ASSY, KNOB, BLACK, ROUND, .125 D-SHAFT"/>
        <s v="ASSY, PANEL, ECM/DISP"/>
        <s v="ASSY, PANEL, ECM/DISP -&gt; ECM JETT SEL INDICATOR"/>
        <s v="ASSY, PANEL, ECM/DISP -&gt; ASSY, SWITCH, S3AL, ROUND BAT"/>
        <s v="ASSY, PANEL, ECM/DISP -&gt; ASSY, SWITCH, S1AL, CONICAL BAT"/>
        <s v="ASSY, PANEL, ECM/DISP -&gt; OHC0003-A-385CGB4-LO - ASSY, KNOB, GREY, .25 D-SHAFT, MOD"/>
        <s v="ASSY, PANEL, ECM/DISP -&gt; ASSY, ABSIS ALE"/>
        <s v="ASSY, CABIN PRESSURE GAUGE"/>
        <s v="ASSY, CABIN PRESSURE GAUGE -&gt; ASSY, 2IN GAUGE SGL STPR MECH W/O ZERO DETECT"/>
        <s v="GLARESHIELD MOUNTING TAB GROUP, LH"/>
        <s v="GLARESHIELD MOUNTING TAB GROUP, RH"/>
        <s v="OHC0003-A-08FLGB1-SR - ASSY, KNOB, GREY, .125 SHAFT"/>
        <s v="OHC0003-A-08FLGN3-SR - ASSY, KNOB, GREY, .25 SHAFT, MOD"/>
        <s v="MASTER MODE PUSHBUTTON"/>
        <s v="READY DISCH INDICATOR"/>
        <s v="ASSY, SWITCH, S1AL, CONICAL BAT"/>
        <s v="SPN INDICATOR"/>
        <s v="OHC0003-A-18FLGB4 - ASSY, KNOB, GREY, .25 D-SHAFT"/>
        <s v="ASSY, HUD PANEL"/>
        <s v="ASSY, HUD PANEL -&gt; OHC0003-A-1TS5GB4 - ASSY, KNOB, GREY, .25 D-SHAFT"/>
        <s v="ASSY, HUD PANEL -&gt; OHC0003-A-287AGB4 - ASSY, KNOB, GREY, .25 D-SHAFT"/>
        <s v="ASSY, HUD PANEL FWD SUPPORT"/>
        <s v="ASSY, FWD UFC"/>
        <s v="ASSY, FWD UFC -&gt; UFC PANEL"/>
        <s v="ASSY, FWD UFC -&gt; UFC PANEL -&gt; OHC0003-A-012FGB3 - ASSY, KNOB, GREY, .25 D-SHAFT"/>
        <s v="ASSY, FWD UFC -&gt; UFC PANEL -&gt; ASSY, PCB, UFC_MAIN"/>
        <s v="ASSY, FWD UFC -&gt; ASSY, AP SWITCH MODULE"/>
        <s v="ASSY, HUD BIT BOX"/>
        <s v="ASSY, DDI_AMPCD_CONTROLLER"/>
        <s v="DROGUE DEPLOYMENT CATAPULT"/>
        <s v="PARACHUTE DEPLOYMENT ROCKET"/>
        <s v="ASSY, SEAT BUCKET, SJU-17"/>
        <s v="ASSY, SEAT BUCKET, SJU-17 -&gt; ASSY, RIGHT SEAT BUCKET"/>
        <s v="ASSY, SEAT BUCKET, SJU-17 -&gt; ASSY, LEFT SEAT BUCKET"/>
        <s v="ASSY, SEAT BUCKET, SJU-17 -&gt; ASSY, EJECTION HANDLE"/>
        <s v="ASSY, SEAT BUCKET, SJU-17 -&gt; ASSY, CENTER SEAT BUCKET"/>
        <s v="ASSY, SEAT BUCKET, SJU-17 -&gt; ASSY, CENTER SEAT BUCKET -&gt; ASSY, ABSIS ALE"/>
        <s v="ASSY, PARACHUTE CONTAINER, SJU-17"/>
        <s v="ASSY, SEAT BASE &amp; RAILS"/>
        <s v="ASSY, BRIDLE CONTAINER COVER"/>
        <s v="ASSY, STICK PITCH AXIS"/>
        <s v="ASSY, STICK PITCH AXIS -&gt; ASSY, STICK YOKE"/>
        <s v="ASSY, STICK PITCH AXIS -&gt; ASSY, STICK YOKE -&gt; ASSY, MAIN CASING"/>
        <s v="ASSY, STICK PITCH AXIS -&gt; ASSY, STICK YOKE -&gt; ASSY, MAIN CASING -&gt; ASSY, MAIN CASING A"/>
        <s v="ASSY, STICK PITCH AXIS -&gt; ASSY, STICK YOKE -&gt; ASSY, MAIN CASING -&gt; ASSY, MAIN CASING B"/>
        <s v="ASSY, STICK PITCH AXIS -&gt; ASSY, STICK YOKE -&gt; ASSY, MAIN CASING -&gt; STUD, SPRING DAMPER"/>
        <s v="ASSY, STICK PITCH AXIS -&gt; ASSY, STICK YOKE -&gt; ASSY, PIVOTING STICK RISER MOUNT"/>
        <s v="ASSY, STICK PITCH AXIS -&gt; ASSY, STICK YOKE -&gt; ASSY, PIVOTING STICK RISER MOUNT -&gt; ASSY, PIVOT BLOCK A"/>
        <s v="ASSY, STICK PITCH AXIS -&gt; ASSY, STICK YOKE -&gt; ASSY, PIVOTING STICK RISER MOUNT -&gt; ASSY, PIVOT BLOCK B"/>
        <s v="ASSY, STICK PITCH AXIS -&gt; ASSY, STICK YOKE -&gt; ASSY, FWD PLATE"/>
        <s v="ASSY, STICK PITCH AXIS -&gt; ASSY, STICK YOKE -&gt; ASSY, FWD PLATE -&gt; ASSY, FWD MAIN PLATE"/>
        <s v="ASSY, STICK PITCH AXIS -&gt; ASSY, STICK YOKE -&gt; ASSY, FWD PLATE -&gt; ASSY, ROLL SENSOR"/>
        <s v="ASSY, STICK PITCH AXIS -&gt; ASSY, STICK YOKE -&gt; ASSY, AFT MAIN PLATE"/>
        <s v="ASSY, STICK PITCH AXIS -&gt; ASSY, STICK YOKE -&gt; ASSY, AFT MAIN PLATE -&gt; ASSY, FWD MAIN PLATE"/>
        <s v="ASSY, STICK PITCH AXIS -&gt; ASSY, STICK YOKE -&gt; ASSY, ROLL DAMPER ARM A"/>
        <s v="ASSY, STICK PITCH AXIS -&gt; ASSY, STICK YOKE -&gt; ASSY, ROLL DAMPER ARM B"/>
        <s v="ASSY, STICK PITCH AXIS -&gt; ASSY, STICK YOKE -&gt; ASSY, SCISSORS"/>
        <s v="ASSY, STICK PITCH AXIS -&gt; ASSY, STICK YOKE -&gt; ASSY, SCISSORS -&gt; ASSY, SCISSOR ARM A"/>
        <s v="ASSY, STICK PITCH AXIS -&gt; ASSY, STICK YOKE -&gt; ASSY, SCISSORS -&gt; ASSY, SCISSOR ARM B"/>
        <s v="ASSY, STICK PITCH AXIS -&gt; ASSY, LEFT PITCH DAMPER ANCHOR, SPA"/>
        <s v="ASSY, STICK PITCH AXIS -&gt; ASSY, RIGHT PITCH DAMPER ANCHOR, SPA"/>
        <s v="ASSY, STICK PITCH AXIS -&gt; ASSY, LEFT PITCH DAMPER"/>
        <s v="ASSY, STICK PITCH AXIS -&gt; ASSY, RIGHT PITCH DAMPER"/>
        <s v="ASSY, STICK PITCH AXIS -&gt; ASSY, TRAVEL STOP, AFT LEFT"/>
        <s v="ASSY, STICK PITCH AXIS -&gt; ASSY, TRAVEL STOP, AFT RIGHT"/>
        <s v="ASSY, STICK PITCH AXIS -&gt; ASSY, TRAVEL STOP, FWD LEFT"/>
        <s v="ASSY, STICK PITCH AXIS -&gt; ASSY, TRAVEL STOP, FWD RIGHT"/>
        <s v="ASSY, STICK PITCH AXIS -&gt; ASSY, STICK CONTROLLER PCB"/>
        <s v="ASSY, STATIC SSDCT ANCHOR"/>
        <s v="ASSY, SSDCT"/>
        <s v="ASSY, SSDCT -&gt; ASSY, SPRING END, SSDCT"/>
        <s v="ASSY, SSDCT -&gt; ASSY, FIXED END, SSDCT"/>
        <s v="ASSY, SSDCT -&gt; ASSY, FIXED END, SSDCT -&gt; ASSY, GUIDE ROD"/>
        <s v="ASSY, SSDCT -&gt; ASSY, FIXED END, SSDCT -&gt; ASSY, THREADED STUD"/>
        <s v="ASSY, SSDCT -&gt; ASSY, PUSHROD, SMOOTH, SSDCT"/>
        <s v="ASSY, SSDCT -&gt; ASSY, PUSHROD, THREADED, SSDCT"/>
        <s v="ASSY, STICK EXTENSION"/>
        <s v="THROTTLE QUADRANT COVER PLATE"/>
        <s v="ASSY, SWITCH, S1AL, ROUND BAT"/>
        <s v="ASSY, INBOARD THROTTLE ARM"/>
        <s v="ASSY, INBOARD THROTTLE ARM -&gt; ASSY, INBOARD THROTTLE GRIP"/>
        <s v="ASSY, INBOARD THROTTLE ARM -&gt; ASSY, INBOARD THROTTLE GRIP -&gt; ASSY, ANT ELEV SWITCH"/>
        <s v="ASSY, INBOARD THROTTLE ARM -&gt; ASSY, INBOARD THROTTLE GRIP -&gt; ASSY, TDC SWITCH"/>
        <s v="ASSY, INBOARD THROTTLE ARM -&gt; ASSY, INBOARD THROTTLE GRIP -&gt; ASSY, DISPENSE SWITCH"/>
        <s v="ASSY, INBOARD THROTTLE ARM -&gt; ASSY, INBOARD THROTTLE GRIP -&gt; ASSY, SPD BRK SWITCH"/>
        <s v="ASSY, OUTBOARD THROTTLE ARM"/>
        <s v="ASSY, OUTBOARD THROTTLE ARM -&gt; ASSY, OUTBOARD THROTTLE GRIP"/>
        <s v="ASSY, PCB, CONTROLLER, THROTTLE"/>
        <s v="ASSY, SWITCH, S3AL, ROUND BAT"/>
        <s v="ASSY, SWITCH, S3AL, TALL BAT"/>
        <s v="ASSY, SWITCH, MAGNETICALLY HELD, (ON)-ON"/>
        <s v="ASSY, SWITCH, S3AL, CONICAL BAT"/>
        <s v="OHC0003-A-1TS5GB4 - ASSY, KNOB, GREY, .25 D-SHAFT"/>
        <s v="OHC0003-A-484AGB4 - ASSY, KNOB, GREY, .25 D-SHAFT"/>
        <s v="ASSY, ABSIS MEGA"/>
        <s v="OHC0003-A-18FLGN4 - ASSY, KNOB, GREY, .25 D-SHAFT"/>
        <s v="S1AL - SWITCH, TOGGLE, LOCKING, SPST, 2-POSN, STD BAT"/>
        <s v="ASSY, SWITCH, S1AL, TALL BAT"/>
        <s v="OHC0003-A-385CGB4 - ASSY, KNOB, GREY, .25 D-SHAFT"/>
        <s v="OHC0003-A-4RUDGB3 - ASSY, KNOB, RUDDER TRIM"/>
        <s v="RUDDER TRIM MECHANISM"/>
        <s v="RUDDER TRIM MECHANISM -&gt; PRE-ASSY, RUD TRIM, UPPER BRACKET"/>
        <s v="RUDDER TRIM MECHANISM -&gt; PRE-ASSY, RUD TRIM, LOWER MOUNT PLATE"/>
        <s v="RUDDER TRIM MECHANISM -&gt; PRE-ASSY, RUD TRIM, SWITCH BRACKET"/>
        <s v="OHC0003-A-4OXYGW4 - ASSY, KNOB, OBOGS"/>
        <s v="ASSY, SWITCH, MAGNETICALLY HELD, (ON)-OFF-(ON)"/>
        <s v="ASSY, SELECT JETT SWITCH MECH"/>
        <s v="ASSY, SELECT JETT SWITCH MECH -&gt; PRE-ASSY, SELECT JETT UPPER BRACKET"/>
        <s v="ASSY, SELECT JETT SWITCH MECH -&gt; PRE-ASSY, SELECT JETT LOWER MOUNT PLATE"/>
        <s v="ASSY, SELECT JETT SWITCH MECH -&gt; PRE-ASSY, SELECT JETT SWITCH BRACKET"/>
        <s v="ASSY, SELECT JETT ELECTRONICS TRAY"/>
        <s v="ASSY, SELECT JETT ELECTRONICS TRAY -&gt; ASSY, ABSIS ALE"/>
        <s v="ASSY, SELECT JETT KNOB"/>
        <s v="ASSY, SELECT JETT BUTTON"/>
        <s v="ASSY, LDG GEAR LVR MECH"/>
        <s v="ASSY, LDG GEAR LVR MECH -&gt; ASSY, LDG GEAR LVR"/>
        <s v="ASSY, LDG GEAR LVR MECH -&gt; ASSY, LDG GEAR LVR -&gt; PRE-ASSY, LDG GEAR LVR SHELL A"/>
        <s v="ASSY, LDG GEAR LVR MECH -&gt; ASSY, LDG GEAR LVR -&gt; PRE-ASSY, LDG GEAR LVR UPPER TUBE"/>
        <s v="ASSY, LDG GEAR LVR MECH -&gt; ASSY, LDG GEAR LVR -&gt; PRE-ASSY, LDG GEAR LVR SHELL B"/>
        <s v="ASSY, LDG GEAR LVR MECH -&gt; ASSY, LDG GEAR LVR -&gt; ASSY, LDG GEAR LVR LOLLIPOP SHAFT"/>
        <s v="ASSY, LDG GEAR LVR MECH -&gt; ASSY, LDG GEAR LEVER MOUNT A"/>
        <s v="ASSY, LDG GEAR LVR MECH -&gt; ASSY, LDG GEAR LEVEL MOUNT SHELL B"/>
        <s v="ASSY, LDG GEAR LVR MECH -&gt; ASSY, LDG GEAR SOLENOID CLAMP"/>
        <s v="ASSY, LDG GEAR LVR MECH -&gt; ASSY, LDG GEAR ELEC STANDOFF BRACKET"/>
        <s v="ASSY, LDG GEAR LWR OUTBD MOUNTING BRACKET"/>
        <s v="ASSY, LDG GEAR HANDLE"/>
        <s v="OHC0009-1 - FAUX DZUS STUD"/>
        <s v="ASSY, LEFT BULKHEAD INTERCONNECT PANEL"/>
        <s v="ASSY, LC TO CT BULKHEAD INTERCONNECT PANEL"/>
        <s v="ASSY, TRANSDUCER GAIN REMOTE"/>
        <s v="ASSY, TRANSDUCER GAIN REMOTE -&gt; OHC0003-A-18FLGN4 - ASSY, KNOB, GREY, .25 D-SHAFT"/>
        <s v="BATTERY VOLTAGE INDICATOR"/>
        <s v="ASSY, ELEC PANEL ELECTRONICS TRAY"/>
        <s v="ASSY, ELEC PANEL ELECTRONICS TRAY -&gt; ASSY, ABSIS ALE"/>
        <s v="OHC0003-A-484DGB4 - ASSY, KNOB, GREY, .25 D-SHAFT"/>
        <s v="OH5A2A4-23 - PCB, RALT CONTROL"/>
        <s v="WING FOLD BODY UPPER CAP"/>
        <s v="ASSY, CANOPY SWITCH"/>
        <s v="ASSY, SWITCH, MAGNETICALLY HELD, (ON)-OFF"/>
        <s v="M55116/10-0 - 6 CONDUCTOR PM PLUG ASSY"/>
        <s v="OHC0003-A-484DBW4 - ASSY, KNOB, BLACK, LARGE, .25 D-SHAFT"/>
        <s v="OHC0003-A-287ABW4 - ASSY, KNOB, BLACK, .25 D-SHAFT"/>
        <s v="OHC0003-A-384ABW2 - ASSY, KNOB, BLACK, .125 D-SHAFT"/>
        <s v="ASSY, KY58 ABSIS MODULE"/>
        <s v="ASSY, KY58 ABSIS MODULE -&gt; ASSY, ABSIS ALE"/>
        <s v="ASSY, INTR LT ABSIS MODULE"/>
        <s v="ASSY, INTR LT ABSIS MODULE -&gt; ASSY, ABSIS ALE"/>
        <s v="OHC0003-A-385EGB4 - ASSY, KNOB, GREY, .25 D-SHAFT"/>
        <s v="OHC0003-A-385BGB4 - ASSY, KNOB, GREY, .25 D-SHAFT"/>
        <s v="OHC0003-A-4CONGB3 - ASSY, KNOB, GREY, .25 SHAFT, 12-FLUTES"/>
        <s v="OHC0003-A-18FLGB1 - ASSY, KNOB, GREY, .125 SHAFT"/>
        <s v="OHC0003-A-1AUGGN6 - ASSY, KNOB, GREY, AUG-PULL, .125 SHAFT"/>
        <s v="ASSY, BLEED AIR KNOB MECHANISM"/>
        <s v="ASSY, BLEED AIR KNOB MECHANISM -&gt; ASSY, UPPER BRACKET"/>
        <s v="ASSY, BLEED AIR KNOB MECHANISM -&gt; ASSY, LOWER BRACKET"/>
        <s v="ASSY, BLEED AIR KNOB MECHANISM -&gt; ASSY, SOLENOID BRACKET"/>
        <s v="ASSY, BLEED AIR KNOB MECHANISM -&gt; ASSY, PULL SHAFT COUPLER"/>
        <s v="ASSY, ALTERNATE DUAL SHAFT POT"/>
        <s v="ASSY, HOOK LEVER"/>
        <s v="ASSY, HOOK LEVER -&gt; HOOK LEVER BODY"/>
        <s v="ASSY, HOOK LEVER CHASSIS"/>
        <s v="ASSY, HOOK INDICATOR"/>
        <s v="ASSY, HOOK LEVER CHASSIS RIGHT"/>
        <s v="ASSY, RIGHT BULKHEAD INTERCONNECT PANEL"/>
        <s v="-" u="1"/>
      </sharedItems>
    </cacheField>
    <cacheField name="PART NUMBER" numFmtId="0">
      <sharedItems containsMixedTypes="1" containsNumber="1" containsInteger="1" minValue="25" maxValue="462071004" count="1645">
        <s v="OH0A1-100"/>
        <s v="OH2A1-1"/>
        <s v="OH2A1-10"/>
        <s v="OH2A1-11"/>
        <s v="OH2A1-12"/>
        <s v="OH2A1-25"/>
        <s v="OH2A1-26"/>
        <s v="OH2A1A1-1"/>
        <s v="OH2A1A1-10"/>
        <s v="OH2A1A1-11"/>
        <s v="OH2A1A1-12"/>
        <s v="OH2A1A1-13"/>
        <s v="OH2A1A1-14"/>
        <s v="OH2A1A1-15"/>
        <s v="OH2A1A1-16"/>
        <s v="OH2A1A1-17"/>
        <s v="OH2A1A1-18"/>
        <s v="OH2A1A1-19"/>
        <s v="OH2A1A1-20"/>
        <s v="OH2A1A1-21"/>
        <s v="OH2A1A1-22"/>
        <s v="OH2A1A1-23"/>
        <s v="OH2A1A1-24"/>
        <s v="OH2A1A1-25"/>
        <s v="OH2A1A1-26"/>
        <s v="OH2A1A1-27"/>
        <s v="OH2A1A1-28"/>
        <s v="OH2A1A1-29"/>
        <s v="OH2A1A1-30"/>
        <s v="OH2A1A1-31"/>
        <s v="OH2A1A1-32"/>
        <s v="OH2A1A1-33"/>
        <s v="OH2A1A1-34"/>
        <s v="OH2A1A1-35"/>
        <s v="OH2A1A1-36"/>
        <s v="OH2A1A1-37"/>
        <s v="OH2A1A1-38"/>
        <s v="OH2A1A1-39"/>
        <s v="OH2A1A1-40"/>
        <s v="OH2A1A1-41"/>
        <s v="OH2A1A1-42"/>
        <s v="OH2A1A1-43"/>
        <s v="OH2A1A1-44"/>
        <s v="OH2A1A1-45"/>
        <s v="OH2A1A1-46"/>
        <s v="OH2A1A1-47"/>
        <s v="OH2A1A1-48"/>
        <s v="OH2A1A1-49"/>
        <s v="OH2A1A1-50"/>
        <s v="OH2A1A1-51"/>
        <s v="OH2A1A1-52"/>
        <s v="90252A115"/>
        <s v="92105A660"/>
        <s v="90471A436"/>
        <s v="90471A435"/>
        <s v="93365A140"/>
        <s v="91841A009"/>
        <s v="98023A113"/>
        <s v="90272A203"/>
        <s v="90272A201"/>
        <s v="90252A112"/>
        <s v="OH2A1A-54"/>
        <s v="90471A276"/>
        <s v="OH2A7A1-1"/>
        <s v="OH2A7A1-11"/>
        <s v="OH2A7A1-10A"/>
        <s v="OH2A7A1-10"/>
        <s v="93365A130"/>
        <s v="93365A110"/>
        <s v="OH2A7A1-100"/>
        <s v="OH2A7A1-101"/>
        <s v="OH2A7A1-104"/>
        <s v="OHC0007-1"/>
        <s v="OHC0007-101"/>
        <s v="OHC0007-103"/>
        <n v="1938"/>
        <s v="91780A028"/>
        <s v="90471A115"/>
        <s v="90272A077"/>
        <s v="99461A914"/>
        <s v="VID29-02P"/>
        <s v="OHC0007-100"/>
        <s v="OHC0007-14"/>
        <s v="OHC0007-11"/>
        <s v="OHC0007-12"/>
        <s v="OHC0007-13"/>
        <s v="OH2A7A1-200"/>
        <s v="OH2A7A1-201"/>
        <s v="OH2A7A1-204"/>
        <s v="OH2A7A1-205"/>
        <s v="OH2A7A1-206"/>
        <s v="OH2A7A1-110"/>
        <s v="OH2A7A1-207A"/>
        <s v="OH2A7A1-207"/>
        <s v="92311A102"/>
        <s v="PEC11R-4230F-N0024"/>
        <s v="PEC11R NUT"/>
        <s v="ER-OLEDM0.91-1W-I2C"/>
        <s v="OH2A7A1-210"/>
        <s v="OH2A7A1-111"/>
        <s v="OH2A7A1-112"/>
        <s v="OH2A7A1-300"/>
        <s v="OH2A7A1-301"/>
        <s v="OH2A7A1-304"/>
        <s v="OH2A7A1-400"/>
        <s v="OH2A7A1-401"/>
        <s v="OH2A7A1-402"/>
        <s v="92311A105"/>
        <s v="3310P-101-103L"/>
        <s v="GL276TFT01A"/>
        <s v="93365A120"/>
        <s v="90618A200"/>
        <s v="91249A111"/>
        <s v="LRX_H2TTL40PSPI_V2.1"/>
        <s v="OH2A7A1-403"/>
        <s v="OH2A7A1-404"/>
        <s v="94070A076"/>
        <s v="95130A105"/>
        <s v="OH2A7A1-405"/>
        <s v="OH2A7A1-500"/>
        <s v="OH2A7A1-501"/>
        <s v="OH2A7A1-502"/>
        <s v="PEC11R-4220F-S0012"/>
        <s v="9533NCDK"/>
        <s v="PEC11R WASHER"/>
        <s v="OH2A7A1-505"/>
        <s v="OH2A7A1-504"/>
        <s v="OH2A7A1-503"/>
        <s v="93505A217"/>
        <s v="A000067"/>
        <s v="91249A151"/>
        <s v="OH2A2A1-1"/>
        <s v="OH2A2A1-100"/>
        <s v="OH2A2A1-101"/>
        <s v="OH2A2A1-102"/>
        <s v="OH2A2A1-103"/>
        <s v="OH2A2A1-104"/>
        <s v="7598A71"/>
        <s v="OH2A2A1-11"/>
        <s v="OH2A2A1-10A"/>
        <s v="OH2A2A1-10"/>
        <s v="91249A148"/>
        <s v="91249A156"/>
        <s v="91249A146"/>
        <s v="ER-TFTV070A1-6"/>
        <s v="ER-TFTV101A1-1 - CONTROLLER"/>
        <s v="91780A337"/>
        <s v="90471A220"/>
        <s v="91780A105"/>
        <s v="90272A079"/>
        <s v="ABSIS011"/>
        <s v="ABSIS011-10"/>
        <s v="(GENERIC)"/>
        <s v="DEV-12640"/>
        <s v="OH2A2A1-12"/>
        <s v="OH2A2A1-13"/>
        <s v="92141A003"/>
        <s v="ABSIS001"/>
        <s v="ABSIS001-10"/>
        <s v="OH2A2A1A2-1"/>
        <s v="OH2A2A1A2-10"/>
        <s v="OH2A2A1A2-11"/>
        <s v="OH2A2A1A2-12"/>
        <s v="OH2A2A1A2-13"/>
        <s v="OH2A2A1A2-14"/>
        <s v="OH2A2A1A2-15"/>
        <s v="OH2A2A1A2-16"/>
        <s v="OH2A2A1A2-17"/>
        <s v="OH2A2A1A2-18"/>
        <s v="OH2A2A1A2-19"/>
        <s v="OH2A2A1A2-20"/>
        <s v="91249A021"/>
        <s v="92671A115"/>
        <s v="OH2A2A1A3-1"/>
        <s v="OH2A2A1A3-10"/>
        <s v="OH2A2A1A3-11"/>
        <s v="OH2A2A1A3-12"/>
        <s v="OH2A2A1A3-13"/>
        <s v="100SP3T8B13M1QEH"/>
        <s v="HDW17"/>
        <s v="HDW12"/>
        <s v="HDW4"/>
        <s v="100SP1T8B13M1QEH"/>
        <s v="P170S-FC20BR10K"/>
        <s v="OHC0003-A-012FGB3"/>
        <s v="OHC0003-012FGB3"/>
        <s v="N/A"/>
        <s v="OH2A2A1A3-14"/>
        <s v="OH2A2A1A1-1"/>
        <s v="OH2A2A1A1-10"/>
        <s v="OH2A2A1A1-11A"/>
        <s v="OH2A2A1A1-11"/>
        <s v="OH2A2A1A1-32"/>
        <s v="OH2A2A1A1-100RO"/>
        <s v="OH2A2A1A1-12"/>
        <s v="OH2A2A1A1-13"/>
        <s v="OH2A2A1A1-14"/>
        <s v="OH2A2A1A1-15"/>
        <s v="OH2A2A1A1-16"/>
        <s v="OH2A2A1A1-100LI"/>
        <s v="OH2A2A1A1-17"/>
        <s v="OH2A2A1A1-100LO"/>
        <s v="OH2A2A1A1-19"/>
        <s v="OH2A2A1A1-100RI"/>
        <s v="OH2A2A1A1-18"/>
        <s v="OH2A2A1A1-100CTR"/>
        <s v="OH2A2A1A1-20"/>
        <s v="OH2A2A1A1-200NS"/>
        <s v="OH2A2A1A1-21"/>
        <s v="OH2A2A1A1-22"/>
        <s v="OH2A2A1A1-23"/>
        <s v="OH2A2A1A1-24"/>
        <s v="OH2A2A1A1-25"/>
        <s v="OH2A2A1A1-200LT"/>
        <s v="OH2A2A1A1-26"/>
        <s v="OH2A2A1A1-200RT"/>
        <s v="OH2A2A1A1-27"/>
        <s v="OH2A2A1A1-200HLF"/>
        <s v="OH2A2A1A1-28"/>
        <s v="OH2A2A1A1-200FUL"/>
        <s v="OH2A2A1A1-29"/>
        <s v="OH2A2A1A1-200FLP"/>
        <s v="OH2A2A1A1-30"/>
        <s v="X502-1"/>
        <s v="92141A008"/>
        <s v="91831A007"/>
        <s v="91249A161"/>
        <s v="91249A197"/>
        <s v="7658K17"/>
        <s v="91771A141"/>
        <s v="90176A102"/>
        <s v="91841A005"/>
        <s v="91771A119"/>
        <s v="7383N341"/>
        <s v="90760A007"/>
        <s v="90273A157"/>
        <s v="92200A197"/>
        <s v="96765A120"/>
        <s v="OH2A8A1-1"/>
        <s v="PA-18-12-150"/>
        <s v="BRK-19A"/>
        <s v="BRK-19B"/>
        <s v="OH2A1-23"/>
        <s v="OH2A1-24"/>
        <s v="OH2A8A1-100"/>
        <n v="25"/>
        <s v="OH2A8A1-10"/>
        <s v="OH2A8A1-11"/>
        <s v="92855A628"/>
        <s v="97416A113"/>
        <s v="OH2A8A1-200L"/>
        <s v="OH2A8A1-20L"/>
        <s v="2337T1"/>
        <s v="92196A303"/>
        <s v="92141A013"/>
        <s v="91831A025"/>
        <s v="91309A542"/>
        <s v="95615A120"/>
        <s v="OH2A8A1-200R"/>
        <s v="91247A546"/>
        <s v="90126A029"/>
        <s v="OHC0013-3"/>
        <s v="OHC0013-10"/>
        <s v="39-01-2221"/>
        <s v="39-01-2081"/>
        <s v="39-01-2041"/>
        <s v="NL2MPXX"/>
        <s v="90471A160"/>
        <s v="1698-01C"/>
        <s v="OHC0013-4"/>
        <s v="1698-04C"/>
        <s v="USB32HD4"/>
        <s v="ABSIS005"/>
        <s v="ABSIS005A1"/>
        <s v="B09V6WY1SD"/>
        <s v="CP-9020195-NA"/>
        <s v="OHC0013-5"/>
        <s v="OHC0013-20"/>
        <s v="1698-02C"/>
        <s v="OHC0013-6"/>
        <s v="OHC0013-30"/>
        <s v="P164-000-KPBK8K"/>
        <s v="39-01-2021"/>
        <s v="ABSIS007"/>
        <s v="ABSIS007-10"/>
        <s v="OHC0013-7"/>
        <s v="OHC0013-40"/>
        <s v="9291-02HV"/>
        <s v="1689-03C"/>
        <s v="OH2A1-27"/>
        <s v="OH2A1-28"/>
        <s v="91249A155"/>
        <s v="OH2A1-31"/>
        <s v="90273A153"/>
        <s v="OH2A1-30"/>
        <s v="OH2A1-32"/>
        <s v="91249A060"/>
        <s v="90471A223"/>
        <s v="OH2A1-100"/>
        <s v="OH2A1-17"/>
        <s v="OH2A1-18"/>
        <s v="OH2A3A1-1"/>
        <s v="OH2A3A1-10"/>
        <s v="OH2A3A1-11"/>
        <s v="OH2A3A1-12"/>
        <s v="OH2A3A1-13"/>
        <s v="OH2A3A1-14"/>
        <s v="OH2A3A1-15"/>
        <s v="OH2A3A1-16"/>
        <s v="OH2A3A1-17"/>
        <s v="OH2A3A1-18"/>
        <s v="OH2A3A1-19"/>
        <s v="OH2A3A1-20"/>
        <s v="OH2A3A1-21"/>
        <s v="OH2A3A1-22"/>
        <s v="OH2A3A1-23"/>
        <s v="OH2A3A1-24"/>
        <s v="OH2A3A1-25"/>
        <s v="OH2A3A1-26"/>
        <s v="OH2A3A1-27"/>
        <s v="OH2A3A1-28"/>
        <s v="ER-TFTV101A1-1"/>
        <s v="OH2A3A1-29"/>
        <s v="3846N371"/>
        <s v="OH2A3A1-30"/>
        <s v="39SB-1RB-103"/>
        <s v="100SP4T8B13M1QEH"/>
        <s v="91251A115"/>
        <s v="91251A107"/>
        <s v="OHC0015-1"/>
        <s v="OHC0015-10"/>
        <s v="OHC0003-412FGB2"/>
        <s v="91078A029"/>
        <s v="OH2A1-200"/>
        <s v="OH2A1-13"/>
        <s v="OH2A1-14"/>
        <s v="OH2A1-15"/>
        <s v="OH2A1-16"/>
        <s v="OH2A4A1-1"/>
        <s v="OH2A4A1-10"/>
        <s v="OH2A4A1-11"/>
        <s v="OH2A4A1-12"/>
        <s v="OH2A4A1-100"/>
        <s v="OH2A5A1-102"/>
        <s v="OH2A4A1-103"/>
        <s v="OH2A4A1-200"/>
        <s v="OH2A4A1-203"/>
        <s v="OH2A4A1-300"/>
        <s v="OH2A4A1-303"/>
        <s v="OH2A4A1-400"/>
        <s v="OH2A4A1-403"/>
        <s v="OH2A4A1-500"/>
        <s v="OH2A4A1-502"/>
        <s v="OH2A4A1-503"/>
        <s v="OH2A4A1-506"/>
        <s v="50A36-01-1-05N"/>
        <s v="3310Y-101-103L"/>
        <s v="91251A146"/>
        <s v="H-38-15"/>
        <s v="OH2A4A1-13"/>
        <s v="93225A413"/>
        <s v="OH2A4A1-14"/>
        <s v="OHC0003-A-028ABW2"/>
        <s v="OHC0003-028ABW2"/>
        <s v="OHC0003-A-028ABN2"/>
        <s v="OHC0003-028ABN2"/>
        <s v="OH2A5A1-1"/>
        <s v="OH2A5A1-10"/>
        <s v="OH2A5A1-11"/>
        <s v="OH2A5A1-12"/>
        <s v="OH2A5A1-100"/>
        <s v="OH2A5A1-14"/>
        <s v="OH2A5A1-105"/>
        <s v="OH2A5A1-106"/>
        <s v="OH2A5A1-107"/>
        <s v="OH2A5A1-13"/>
        <s v="OHC0001-4"/>
        <s v="S3AL"/>
        <s v="OHC0001-10"/>
        <s v="OHC0001-2"/>
        <s v="S1AL"/>
        <s v="OHC0001-20"/>
        <s v="AT503M"/>
        <s v="71B36-01-2-05N"/>
        <s v="99461A505"/>
        <s v="90272A144"/>
        <s v="OHC0003-A-385CGB4-LO"/>
        <s v="OHC0003-385CGB4-LO"/>
        <s v="92311A189"/>
        <s v="91772A058"/>
        <s v="OH2A6A1-1"/>
        <s v="OH2A6A1-13"/>
        <s v="OHC0007-2"/>
        <s v="57155K371"/>
        <s v="OH2A1-29"/>
        <s v="OH1A1-1"/>
        <s v="OH1A1-10"/>
        <s v="8693K18"/>
        <s v="8693K18 "/>
        <s v="OH1A1-11"/>
        <s v="OH1A1-100"/>
        <s v="OH1A1-101"/>
        <s v="93365A160"/>
        <s v="OH1A1-200"/>
        <s v="OH1A1-201"/>
        <s v="OH1A1-12"/>
        <s v="OH1A1-13"/>
        <s v="OH1A1-14"/>
        <s v="OH1A1-15"/>
        <s v="OH1A1-16"/>
        <s v="OH1A1-17"/>
        <s v="OH1A1-18"/>
        <s v="OH1A1-19"/>
        <s v="OH1A1-20"/>
        <s v="OH1A1-21"/>
        <s v="OH1A1-22"/>
        <s v="OH1A1-23"/>
        <s v="OH1A1-24"/>
        <s v="OH1A1-25"/>
        <s v="OH1A1-26"/>
        <s v="OH1A1-27"/>
        <s v="OH1A1-29"/>
        <s v="OH1A1-28"/>
        <s v="OH1A3-1"/>
        <s v="OH1A3-10"/>
        <s v="OH1A3-11"/>
        <s v="OH1A3-12"/>
        <s v="OH1A3-13"/>
        <s v="OH1A3-14"/>
        <s v="OH1A3-15"/>
        <s v="OH1A3-16"/>
        <s v="OH1A3-17"/>
        <s v="OH1A3-18"/>
        <s v="OH1A3-19"/>
        <s v="OH1A3-20"/>
        <s v="92196A084"/>
        <s v="PEC11R-4220F-N0024"/>
        <s v="AT507M"/>
        <s v="OHC0003-A-08FLGB1-SR"/>
        <s v="OHC0003-08FLGB1-SR"/>
        <s v="92311A103"/>
        <s v="OHC0003-A-08FLGN3-SR"/>
        <s v="OHC0003-08FLGN3-SR"/>
        <s v="AT509"/>
        <s v="AT513M"/>
        <s v="MRX108"/>
        <s v="OH1A4-1"/>
        <s v="OH1A5-13"/>
        <s v="OH1A5-14"/>
        <s v="OH1A5-16"/>
        <s v="OH1A4-13"/>
        <s v="OH1A4-14"/>
        <s v="OH1A4-15"/>
        <s v="OH1A4-16"/>
        <s v="OH1A4-17"/>
        <s v="OH1A4-18"/>
        <s v="OH1A4-19"/>
        <s v="OH1A4-20"/>
        <s v="OH1A4-21"/>
        <s v="OH1A4-22"/>
        <s v="OH1A5-18"/>
        <s v="OH1A4-24"/>
        <s v="OH1A4-25"/>
        <s v="OH1A4-26"/>
        <s v="OH1A5-19"/>
        <s v="OH1A5-22"/>
        <s v="OH1A4-29"/>
        <s v="OH1A5-21"/>
        <s v="OH1A5-20"/>
        <s v="OH1A4-32"/>
        <s v="OH1A4-33"/>
        <s v="OH1A4-34"/>
        <s v="OH1A5-12"/>
        <s v="1568A640"/>
        <s v="90276A143"/>
        <s v="90471A427"/>
        <s v="93085A116"/>
        <s v="OH1A5-1"/>
        <s v="OH1A5-10"/>
        <s v="OH1A5-11"/>
        <s v="OH1A5-15"/>
        <s v="OH1A5-17"/>
        <s v="OH1A5-23"/>
        <s v="OH1A5-24"/>
        <s v="OH1A5-25"/>
        <s v="OH1A5-26"/>
        <s v="OH1A5-27"/>
        <s v="OH1A5-28"/>
        <s v="OH1A5-29"/>
        <s v="OH1A2-1"/>
        <s v="OH1A2-10"/>
        <s v="OH1A2-11"/>
        <s v="OH1A2-12"/>
        <s v="OH1A2-13"/>
        <s v="OH1A2-14"/>
        <s v="OH1A2-15"/>
        <s v="OH1A2-100"/>
        <s v="OH1A2-101"/>
        <s v="OH1A2-102"/>
        <s v="OH1A2-103"/>
        <s v="OH1A2-104"/>
        <s v="OH1A2-105"/>
        <s v="OH1A2-106"/>
        <s v="OH1A2-107"/>
        <s v="OH1A2-200"/>
        <s v="OH1A2-201"/>
        <s v="OH1A2-202"/>
        <s v="OH1A2-203"/>
        <s v="OH1A2-204"/>
        <s v="OH1A2-205"/>
        <s v="OH1A2-207"/>
        <s v="OH1A2-16"/>
        <s v="OH1A2-17"/>
        <s v="AT508"/>
        <s v="KM1101RR02QE"/>
        <s v="1692K52"/>
        <s v="98430A116"/>
        <s v="OH1A6-1"/>
        <s v="OH1A6-10"/>
        <s v="OH1A6-11"/>
        <s v="OH1A6-12"/>
        <s v="OH1A6-100"/>
        <s v="OH1A6-101"/>
        <s v="OH1A6-102"/>
        <s v="OH1A6-103"/>
        <s v="OH1A6-104"/>
        <s v="OH1A6-13"/>
        <s v="OH1A6-14"/>
        <s v="MS25224-2"/>
        <s v="91772A162"/>
        <s v="OHC0003-A-18FLGB4"/>
        <s v="OHC0003-18FLGB4"/>
        <s v="92311A188"/>
        <s v="OH1A6-15"/>
        <s v="OH1A7-1"/>
        <s v="OH1A7-100"/>
        <s v="OH1A7-103"/>
        <s v="OH1A7-104"/>
        <s v="96765A115"/>
        <s v="P0915N-FC20BR10K"/>
        <s v="OHC0003-A-1TS5GB4"/>
        <s v="OHC0003-1TS5GB4"/>
        <s v="OHC0003-A-287AGB4"/>
        <s v="OHC0003-287AGB4"/>
        <s v="P09X NUT"/>
        <s v="OH1A7-102"/>
        <s v="OH1A7-200"/>
        <s v="OH1A7-201"/>
        <s v="OH1A8-1"/>
        <s v="OH1A8A1-13"/>
        <s v="91251A540"/>
        <s v="OH1A8A1-1"/>
        <s v="OH1A8A1-10"/>
        <s v="OH1A8A1-11"/>
        <s v="OH1A8A1-12"/>
        <s v="91251A535"/>
        <s v="OH1A8A1-100"/>
        <s v="OH1A8A1-101"/>
        <s v="OH1A8A1-102"/>
        <s v="OH1A8A1-103"/>
        <s v="OH1A8A1-104"/>
        <s v="OH1A8A1-105"/>
        <s v="OH1A8A1-106"/>
        <s v="OH1A8A1-109"/>
        <s v="OH1A8A1-110"/>
        <s v="OH1A8A1-112"/>
        <s v="OH1A8A1-113"/>
        <s v="OH1A8A1-114"/>
        <s v="OH1A8A1-115"/>
        <s v="OH1A8A1-116"/>
        <s v="OH1A8A1-117"/>
        <s v="OH1A8A1-118"/>
        <s v="OH1A8A1-119"/>
        <s v="OH1A8A1-120"/>
        <s v="OH1A8A1-121"/>
        <s v="OH1A8A1-122"/>
        <s v="OH1A8A1-123"/>
        <s v="OH1A8A1-124"/>
        <s v="OH1A8A1-125"/>
        <s v="OH1A8A1-126"/>
        <s v="OH1A8A1-127"/>
        <s v="OH1A8A1-128"/>
        <s v="96006A231"/>
        <s v="OH1A8A1-200"/>
        <s v="OH1A8A1-201"/>
        <s v="UFCSCRATCHPADBACKLIGHT"/>
        <s v="UFCSKETCHPADLCD"/>
        <s v="UFCOPTIONDIGIT"/>
        <s v="UFCSINGLEDIGIT"/>
        <s v="100SP3T2B3M2RE"/>
        <s v="HDW2"/>
        <s v="P09X WASHER"/>
        <s v="VARIOUS"/>
        <s v="S2 MINI"/>
        <s v="OH1A8A1-202"/>
        <s v="OH1A8A1-203"/>
        <s v="OH1A8A1-204"/>
        <s v="OH1A8A1-111"/>
        <s v="OH1A8A3-1"/>
        <s v="OH1A8A3-10"/>
        <s v="OH1A8A3-11"/>
        <s v="OH1A8A3-15"/>
        <s v="OH1A8A3-14"/>
        <s v="OH1A8A3-16"/>
        <s v="OH1A8A3-17"/>
        <s v="OH1A8A3-18"/>
        <s v="OH1A8A3-19"/>
        <s v="OH1A8A3-20"/>
        <s v="OH1A8A3-21"/>
        <s v="OH1A8A3-22"/>
        <s v="OH1A8A4-1"/>
        <s v="OH1A8A4-10"/>
        <s v="OH1A8A4-11"/>
        <s v="OH1A8A4-12"/>
        <s v="97763A141"/>
        <s v="334-15/X1C5-1QSA"/>
        <s v="CMC 441 GTP"/>
        <s v="CMC 441 YTP"/>
        <s v="N5040G 2"/>
        <s v="30-3UL"/>
        <s v="96640A295"/>
        <s v="96640A334"/>
        <s v="OH1A8-9001"/>
        <s v="92316A536"/>
        <s v="90471A445"/>
        <s v="ER-TFTV101A1-1 DISPLAY"/>
        <s v="91780A117"/>
        <s v="90471A130"/>
        <s v="92198A692"/>
        <s v="96765A145"/>
        <s v="92673A119"/>
        <s v="OH3A1-1"/>
        <s v="OH3A1A1"/>
        <s v="OH3A1-101"/>
        <s v="OH3A1-102 "/>
        <s v="OH3A1-103 "/>
        <s v="OH3A1-104 "/>
        <s v="OH3A1-106"/>
        <s v="OH3A1-107  "/>
        <s v="OH3A1-108 "/>
        <s v="OH3A1-105 "/>
        <s v="OH3A1-109 "/>
        <s v="OH3A1-110"/>
        <s v="OH3A1-111 "/>
        <s v="OH3A1-112"/>
        <s v="92105A675"/>
        <s v="3225T24"/>
        <s v="90252A118"/>
        <s v="J15BF.1.15N"/>
        <s v="OH3A2-1"/>
        <s v="OH3A2-100"/>
        <s v="OH3A2-101"/>
        <s v="OH3A2-102"/>
        <s v="OH3A2-103"/>
        <s v="OH3A2-104"/>
        <s v="OH3A2-105"/>
        <s v="OH3A2-27"/>
        <s v="OH3A2-200"/>
        <s v="OH3A2-201"/>
        <s v="OH3A2-202"/>
        <s v="OH3A2-203"/>
        <s v="OH3A2A-100"/>
        <s v="OH3A2A-1100"/>
        <s v="OH3A2A-135"/>
        <s v="OH3A2A-134"/>
        <s v="OH3A2A-132"/>
        <s v="OH3A2A-137"/>
        <s v="OH3A2A-133"/>
        <s v="OH3A2A-125"/>
        <s v="91654A144"/>
        <s v="91772A060"/>
        <s v="90272A832"/>
        <s v="92141A011"/>
        <s v="91771A140"/>
        <s v="93365A102"/>
        <s v="91772A064"/>
        <s v="92735A605"/>
        <s v="92735A610"/>
        <s v="90969A310"/>
        <s v="84835A23"/>
        <s v="6627K412"/>
        <s v="6294K432"/>
        <s v="60645K311"/>
        <s v="9657K328"/>
        <s v="6516K120"/>
        <s v="90480A195"/>
        <s v="1394A230"/>
        <s v="60645K111 (LH)"/>
        <s v="60645K111 (RH)"/>
        <s v="93330A564"/>
        <s v="93330A554"/>
        <s v="90322A639"/>
        <s v="OH3A2A-1200"/>
        <s v="OH3A2A-127"/>
        <s v="OH3A2A-128"/>
        <s v="OH3A2A-129"/>
        <s v="OH3A2A-130 "/>
        <s v="OH3A2A-131"/>
        <s v="OH3A2A-126"/>
        <s v="5901A122"/>
        <s v="OH3A2A-1300"/>
        <s v="OH3A2A-142"/>
        <s v="7856K18"/>
        <s v="PTN0.50SS"/>
        <s v="5648K33"/>
        <s v="8912T54"/>
        <s v="OH3A2A-143"/>
        <s v="OH3A2A-144"/>
        <s v="OH3A2A-145"/>
        <s v="OH3A2A-146"/>
        <s v="95412A560"/>
        <s v="9657K332"/>
        <s v="3914T5"/>
        <s v="OH3A2A-1000"/>
        <s v="OH3A2A-140"/>
        <s v="OH3A2A-141"/>
        <s v="OH3A2A-101"/>
        <s v="OH3A2A-102"/>
        <s v="OH3A2A-103"/>
        <s v="OH3A2A-105"/>
        <s v="OH3A2A-106"/>
        <s v="OH3A2A-107"/>
        <s v="OH3A2A-108"/>
        <s v="OH3A2A-109"/>
        <s v="OH3A2A-110"/>
        <s v="OH3A2A-112"/>
        <s v="OH3A2A-115"/>
        <s v="OH3A2A-116"/>
        <s v="OH3A2A-117"/>
        <s v="OH3A2A-138 "/>
        <s v="OH3A2A-119"/>
        <s v="OH3A2A-120"/>
        <s v="OH3A2A-121"/>
        <s v="OH3A2A-122"/>
        <s v="OH3A2A-124"/>
        <s v="OH3A2A-123"/>
        <s v="OH3A2A-147"/>
        <s v="4280-BLACK"/>
        <s v="90377A165"/>
        <s v="91780A035"/>
        <s v="OH3A2-33"/>
        <s v="OH3A2-34"/>
        <s v="OH3A2A-200"/>
        <s v="OH3A2A-221"/>
        <s v="OH3A2A-222"/>
        <s v="OH3A2A-223"/>
        <s v="OH3A2A-201"/>
        <s v="OH3A2A-202"/>
        <s v="OH3A2A-203"/>
        <s v="OH3A2A-204"/>
        <s v="OH3A2A-205"/>
        <s v="OH3A2A-206"/>
        <s v="OH3A2A-207"/>
        <s v="OH3A2A-208"/>
        <s v="OH3A2A-209"/>
        <s v="OH3A2A-210"/>
        <s v="OH3A2A-211"/>
        <s v="OH3A2A-212"/>
        <s v="OH3A2A-213"/>
        <s v="OH3A2A-214"/>
        <s v="OH3A2A-215"/>
        <s v="OH3A2A-216"/>
        <s v="OH3A2A-217"/>
        <s v="OH3A2A-218"/>
        <s v="91309A587"/>
        <s v="60645K131"/>
        <s v="90275A196"/>
        <s v="93085A854"/>
        <s v="98060A580"/>
        <s v="57715K26"/>
        <s v="OH3A2A-9003"/>
        <s v="OH3A2A-9002"/>
        <s v="OH3A2A-9005"/>
        <s v="OH3A2A-9004"/>
        <s v="OH3A2A-9008"/>
        <s v="OH3A2A-9006"/>
        <s v="OH3A2A-9007"/>
        <s v="OH3A2A-9010"/>
        <s v="OH3A2A-9011"/>
        <s v="OH3A2A-9014"/>
        <s v="OH3A2A-9016"/>
        <s v="OH3A2-300"/>
        <s v="OH3A2-10"/>
        <s v="OH3A2-11"/>
        <s v="OH3A2-12"/>
        <s v="OH3A2-13"/>
        <s v="OH3A2-14"/>
        <s v="OH3A2-15"/>
        <s v="OH3A2-16"/>
        <s v="OH3A2-17"/>
        <s v="OH3A2-18"/>
        <s v="OH3A2-19"/>
        <s v="OH3A2-21"/>
        <s v="OH3A2-22"/>
        <s v="OH3A2-24"/>
        <s v="OH3A2-25"/>
        <s v="OH3A2-26"/>
        <s v="OH3A2-28"/>
        <s v="OH3A2-29"/>
        <s v="OH3A2-30"/>
        <s v="OH3A2-31"/>
        <s v="OH3A2-32"/>
        <s v="OH3A2-35"/>
        <s v="OH3A2-36"/>
        <s v="OH3A2-37"/>
        <s v="OH3A2-38"/>
        <s v="OH3A2-39"/>
        <s v="OH3A2-40"/>
        <s v="OH3A2-41"/>
        <s v="OH3A2-42"/>
        <s v="OH3A2-43"/>
        <s v="98381A474"/>
        <s v="9994T91"/>
        <s v="OH3A2-400"/>
        <s v="OH3A2-20"/>
        <s v="OH3A2-23"/>
        <s v="BK4-4"/>
        <s v="OH3A3-1"/>
        <s v="OH3A3-10"/>
        <s v="OH3A3-100"/>
        <s v="OH3A3-101"/>
        <s v="OH3A3-102"/>
        <s v="OH3A3-103"/>
        <s v="93625A150"/>
        <s v="OH3A3-104"/>
        <s v="OH3A3-105"/>
        <s v="57485K68"/>
        <s v="92015A121"/>
        <s v="92125A205"/>
        <s v="OH3A3-106"/>
        <s v="OH3A3-107"/>
        <s v="91287A307"/>
        <s v="91116A160"/>
        <s v="OH3A3-108"/>
        <s v="OH3A3-109"/>
        <s v="OH3A3-110"/>
        <s v="OH3A3-111"/>
        <s v="94180A331"/>
        <s v="94180A351"/>
        <s v="OH3A3-114"/>
        <s v="92125A204"/>
        <s v="OH3A3-112"/>
        <s v="OH3A3-113"/>
        <s v="92125A130"/>
        <s v="6658K736"/>
        <s v="OH3A3-118"/>
        <s v="OH3A3-119"/>
        <s v="OH3A3-121"/>
        <s v="OH3A3-120"/>
        <s v="92125A192"/>
        <s v="608-2RS"/>
        <s v="FRT-D2-152-G1"/>
        <s v="FRT-D2-152"/>
        <s v="92095A194"/>
        <s v="OH3A3-152"/>
        <s v="OH3A3-153"/>
        <s v="5862K205"/>
        <s v="OH3A3-123"/>
        <s v="ABSIS004-1"/>
        <s v="OH3A3-150"/>
        <s v="93187A110"/>
        <s v="92095A454"/>
        <s v="OH3A3-122"/>
        <s v="93475A230"/>
        <s v="93475A270"/>
        <s v="92125A203"/>
        <s v="OH3A3-124"/>
        <s v="6658K734"/>
        <s v="93475A250"/>
        <s v="91287A254"/>
        <s v="93625A250"/>
        <s v="91292A318"/>
        <s v="OH3A3-115"/>
        <s v="OH3A3-116"/>
        <s v="OH3A3-117"/>
        <s v="92981A230"/>
        <s v="92125A373"/>
        <s v="OH3A3-125"/>
        <s v="OH3A3-132"/>
        <s v="OH3A3-133"/>
        <s v="OH3A3-134"/>
        <s v="92095A205"/>
        <s v="OH3A3-131"/>
        <s v="6659K115"/>
        <s v="OH3A3-126"/>
        <s v="OH3A3-127"/>
        <s v="OH3A3-128"/>
        <s v="OH3A3-129"/>
        <s v="OH3A3-130"/>
        <s v="OH3A3-135"/>
        <s v="9654K421"/>
        <s v="93475A240"/>
        <s v="92095A223"/>
        <s v="93625A200"/>
        <s v="OH3A3-11"/>
        <s v="OH3A3-136"/>
        <s v="93625A300"/>
        <s v="OH3A3-12"/>
        <s v="OH3A3-137"/>
        <s v="OH3A3-19L"/>
        <s v="KX-ZNQ-024"/>
        <s v="KX-ZNQ-024 (PO)"/>
        <s v="92095A238"/>
        <s v="OH3A3-19R"/>
        <s v="93475A280"/>
        <s v="OH3A3-13"/>
        <s v="OH3A3-14"/>
        <s v="KP000-10MM"/>
        <s v="OH3A3-15"/>
        <s v="OH3A3-138"/>
        <s v="91828A241"/>
        <s v="9540K922"/>
        <s v="91292A129"/>
        <s v="OH3A3-16"/>
        <s v="OH3A3-139"/>
        <s v="OH3A3-17"/>
        <s v="OH3A3-140"/>
        <s v="91292A126"/>
        <s v="OH3A3-18"/>
        <s v="OH3A3-141"/>
        <s v="92125A250"/>
        <s v="92125A222"/>
        <s v="92125A216"/>
        <s v="91287A155"/>
        <s v="OH3A3-142"/>
        <s v="OH3A3A1-1"/>
        <s v="OH3A3A1-10"/>
        <s v="OH3A3-143"/>
        <s v="OH3A3-30"/>
        <s v="OH3A3-31"/>
        <s v="OH3A3-32"/>
        <s v="OH3A3-33"/>
        <s v="OH3A3-20"/>
        <s v="OH3A3-21"/>
        <s v="OH3A3-201"/>
        <s v="OH3A3-202"/>
        <s v="LM8SUU"/>
        <s v="6659K677"/>
        <s v="94180A333"/>
        <s v="92125A132"/>
        <s v="OH3A3-22"/>
        <s v="OH3A3-204"/>
        <s v="OH3A3-203"/>
        <s v="OH3A3-205"/>
        <s v="OH3A3-206"/>
        <s v="57485K67"/>
        <s v="OH3A3-207"/>
        <s v="OH3A3-208"/>
        <s v="91828A410"/>
        <s v="59935K73"/>
        <s v="93650A155"/>
        <s v="93625A100"/>
        <s v="92125A141"/>
        <s v="9657K438"/>
        <s v="57445K24"/>
        <s v="90131A103"/>
        <s v="OH3A3-23"/>
        <s v="OH3A3-209"/>
        <s v="OH3A3-24"/>
        <s v="OH3A3-210"/>
        <s v="5395T211"/>
        <s v="OH3A3-40"/>
        <s v="OH3A3-42"/>
        <s v="OH3A3-41"/>
        <n v="2960812"/>
        <s v="OH3A3-43"/>
        <s v="90471A210"/>
        <s v="HR10A-7R-5S"/>
        <s v="HR10A-7P-5P"/>
        <s v="MD-50PL100"/>
        <s v="OH3A3-44"/>
        <s v="OH3A3-45"/>
        <s v="OH3A3-9001"/>
        <s v="OH4A1-1"/>
        <s v="OH4A1-10"/>
        <s v="OH4A9A4-1"/>
        <s v="OH4A9A4-10"/>
        <s v="OH4A9A4-11"/>
        <s v="OH4A9A4-12"/>
        <s v="OH4A9A4-13"/>
        <s v="7900T707"/>
        <s v="OH4A9A4-14"/>
        <s v="OH4A9A4-15"/>
        <s v="OH4A1-11"/>
        <s v="OH4A1A1-1"/>
        <s v="OH4A1A1-10"/>
        <s v="OH4A1A1-11"/>
        <s v="OH4A1A1-12"/>
        <s v="OH4A1A1-13"/>
        <s v="OH4A1A1-14"/>
        <s v="OH4A1A1-15"/>
        <s v="OH4A1A1-16"/>
        <s v="OH4A1A1-17"/>
        <s v="OH4A1A1-18"/>
        <s v="OH4A1A1-19"/>
        <s v="OH4A1A1-20"/>
        <s v="OH4A1A1-21"/>
        <s v="OH4A1A1-22"/>
        <s v="OH4A1A1-23"/>
        <s v="OH4A1A1-24"/>
        <s v="OH4A1A1-25"/>
        <s v="OH4A1A1-26"/>
        <s v="OH4A1A1-27"/>
        <s v="OH4A1A1-28"/>
        <s v="OH4A1A1-29"/>
        <s v="OH4A1A1-30"/>
        <s v="OH4A1A1-31"/>
        <s v="OH4A1A1-32"/>
        <s v="OH4A1A1-33"/>
        <s v="OH4A1A1-34"/>
        <s v="OH4A1A1-35"/>
        <s v="OH4A1A1-36"/>
        <s v="OH4A1A1-37"/>
        <s v="OH4A1A1-38"/>
        <s v="OH4A1A1-39"/>
        <s v="OH4A1A1-40"/>
        <s v="OH4A1A1-41"/>
        <s v="OH4A1A1-42"/>
        <s v="OH4A1A1-43"/>
        <s v="OH4A1A1-44"/>
        <s v="OH4A1A1-45"/>
        <s v="OH4A1A1-46"/>
        <s v="OH4A1A1-47"/>
        <s v="OH4A1A1-48"/>
        <s v="OH4A1A1-49"/>
        <s v="91249A192"/>
        <s v="90272A190"/>
        <s v="OH4A8A2-1"/>
        <s v="OH4A8A2-10"/>
        <s v="OH4A8A2-100"/>
        <s v="OH4A8A2-101"/>
        <s v="OH4A8A2-11"/>
        <s v="7779K61"/>
        <s v="91249A115"/>
        <s v="6338K411"/>
        <s v="9414T6"/>
        <s v="9657K305"/>
        <s v="90131A102"/>
        <s v="OH4A8A3-1"/>
        <s v="OH4A8A3-10"/>
        <s v="OH4A8A3-11"/>
        <s v="OHC0001-1"/>
        <s v="AT537"/>
        <s v="OH4A8A1-1"/>
        <s v="OH4A8A1-10"/>
        <s v="OH4A8A1-11"/>
        <s v="OH4A8A1-12"/>
        <s v="EB2065-CA"/>
        <s v="OH4A9-1"/>
        <s v="OH4A9-10"/>
        <s v="OH4A9-11"/>
        <s v="OH4A9-12"/>
        <s v="OH4A9-13"/>
        <s v="OH4A9-14"/>
        <s v="OH4A9-100"/>
        <s v="OH4A9-106"/>
        <s v="OH4A9-107"/>
        <s v="OH4A9-108"/>
        <s v="OH4A9-109"/>
        <s v="OH4A9-110"/>
        <s v="OH4A9-111"/>
        <s v="OH4A9-112"/>
        <s v="9271K631"/>
        <s v="9271K632"/>
        <s v="P081N-271F2CBR10K"/>
        <s v="P08X NUT"/>
        <s v="OH4A9-126"/>
        <s v="OH4A9-113"/>
        <s v="OH4A9-114"/>
        <s v="OH4A9-120"/>
        <s v="OH4A9-121"/>
        <s v="OH4A9-115"/>
        <s v="OH4A9-122"/>
        <s v="OH4A9-117"/>
        <s v="200MSP4T1B1M1QE"/>
        <s v="OH4A9-118"/>
        <s v="OH4A9-123"/>
        <s v="OH4A9-119"/>
        <s v="200MSP5T1B1M1QE"/>
        <s v="OH4A9-125"/>
        <s v="90272A106"/>
        <s v="P3-11122"/>
        <s v="98381A471"/>
        <s v="OH4A9-101"/>
        <s v="OH4A9-102"/>
        <s v="OH4A9-103"/>
        <s v="OH4A9-104"/>
        <s v="OH4A9-105"/>
        <s v="96640A344"/>
        <s v="1368A15"/>
        <s v="91249A120"/>
        <s v="90176A105"/>
        <s v="90176A115"/>
        <s v="9657K298"/>
        <s v="OH4A9-200"/>
        <s v="OH4A9-201"/>
        <s v="OH4A9-202"/>
        <s v="OH4A9-203"/>
        <s v="OH4A9-204"/>
        <s v="OH4A9-205"/>
        <s v="OH4A9-206"/>
        <s v="OH4A9-207"/>
        <s v="M2011B2B1W01"/>
        <s v="AT506M"/>
        <s v="AT527M"/>
        <s v="93085A628"/>
        <s v="OH4A9-208"/>
        <s v="OH4A9-15"/>
        <s v="OH4A9-16"/>
        <s v="OH4A9-17"/>
        <s v="OH4A9-18"/>
        <s v="OH4A9-19"/>
        <s v="OH4A9-20"/>
        <s v="OH4A9-21"/>
        <s v="OH4A9-22"/>
        <s v="OH4A9-23"/>
        <s v="OH4A9-24"/>
        <s v="OH4A9-25"/>
        <s v="OH4A9-29"/>
        <s v="OH4A9-30"/>
        <s v="OH4A9-300"/>
        <s v="OH4A9-301"/>
        <s v="7421K4"/>
        <s v="60355K704"/>
        <s v="7421K28"/>
        <s v="9714K66"/>
        <s v="DSTL-0840-05"/>
        <s v="DSTL-0840 NUT"/>
        <s v="DSTL-0840 WASHER"/>
        <s v="91585A240"/>
        <s v="92383A698"/>
        <s v="90760A005"/>
        <s v="93330A438"/>
        <s v="9434K165"/>
        <s v="90272A110"/>
        <s v="91780A209"/>
        <s v="90272A112"/>
        <s v="7779K52"/>
        <s v="90618A127"/>
        <s v="90807A112"/>
        <s v="93505A445"/>
        <s v="6436K14"/>
        <s v="98320A132"/>
        <s v="91309A553"/>
        <s v="60355K701"/>
        <s v="OH4A4A1-1"/>
        <s v="OH4A4A1-10"/>
        <s v="OH4A4A1-11"/>
        <s v="OH4A4A1-12"/>
        <s v="OH4A4A1-13"/>
        <s v="OH4A5A1-1"/>
        <s v="OH4A5A1-10"/>
        <s v="OH4A5A1-11"/>
        <s v="OH4A5A1-12"/>
        <s v="OH4A5A1-13"/>
        <s v="OH4A5A1-14"/>
        <s v="OHC0001-6"/>
        <s v="OHC0001-30"/>
        <s v="OHC0005-1"/>
        <s v="P20/15"/>
        <s v="92095A179"/>
        <s v="91100A120"/>
        <s v="OHC0005-10"/>
        <s v="91920A579"/>
        <s v="645H/2 MOD"/>
        <s v="ABSIS001A1"/>
        <s v="93505A212"/>
        <s v="OH4A5A1-15"/>
        <s v="OH4A7A1-1"/>
        <s v="OH4A7A1-10"/>
        <s v="OH4A7A1-11"/>
        <s v="OH4A7A1-12"/>
        <s v="OH4A7A1-13"/>
        <s v="OHC0001-5"/>
        <s v="C7D0123N"/>
        <s v="C7 LOCKWASHER"/>
        <s v="C7 NUT"/>
        <s v=" H-37-5"/>
        <s v="OHC0003-A-484AGB4"/>
        <s v="OHC0003-484AGB4"/>
        <s v="93505A446"/>
        <s v="ABSIS002"/>
        <s v="ABSIS002A1"/>
        <s v="OH4A7A1-14"/>
        <s v="OH10A1A1-1"/>
        <s v="OH10A1A1-10"/>
        <s v="OH10A1A1-11"/>
        <s v="OH10A1A1-12"/>
        <s v="OH10A1A1-13"/>
        <s v="EN11-HSM1BF20"/>
        <s v="OHC0003-A-18FLGN4"/>
        <s v="OHC0003-18FLGN4"/>
        <s v="SXAL-BAT"/>
        <s v="OH4A4A2-1"/>
        <s v="OH4A4A2-10"/>
        <s v="OH4A4A2-11"/>
        <s v="OH4A4A2-12"/>
        <s v="OH4A4A2-13"/>
        <s v="OHC0001-3"/>
        <s v="OHC0003-A-385CGB4"/>
        <s v="OHC0003-385CGB4"/>
        <s v="OH4A4A2-14"/>
        <s v="OH4A6A1-1"/>
        <s v="OH4A6A1-10"/>
        <s v="OH4A6A1-11"/>
        <s v="OH4A6A1-12"/>
        <s v="OH4A6A1-13"/>
        <s v="OH4A6A1-15"/>
        <s v="PNP8S2T2Y03QE"/>
        <s v="MS25224-1"/>
        <s v="OHC0003-A-4RUDGB3"/>
        <s v="OHC0003-4RUDGB3"/>
        <s v="OH4A6A1-19"/>
        <s v="OH4A6A1-100"/>
        <s v="OH4A6A1-101"/>
        <s v="OH4A6A1-102"/>
        <s v="6389K231"/>
        <s v="OH4A6A1-103"/>
        <s v="OH4A6A1-104"/>
        <s v="6338K561"/>
        <s v="OH4A6A1-105"/>
        <s v="OH4A6A1-106"/>
        <s v="OH4A6A1-107"/>
        <s v="OH4A6A1-108"/>
        <s v="OH4A6A1-109"/>
        <s v="96640A298"/>
        <s v="PRM162-K420K-103B1"/>
        <s v="2303-0250-0024"/>
        <s v="9414T3"/>
        <s v="OH4A6A1-110"/>
        <s v="9657K247"/>
        <s v="91831A005"/>
        <s v="92311A144"/>
        <s v="OH4A6A1-111"/>
        <s v="GENERIC"/>
        <s v="OH4A6A1-20"/>
        <s v="MB2011SB1W01"/>
        <s v="AT503M "/>
        <s v="AT508 "/>
        <s v="AT527M "/>
        <s v="OH4A4A3-1"/>
        <s v="OH4A4A3-10"/>
        <s v="OH4A4A3-11"/>
        <s v="OH4A4A3-12"/>
        <s v="OH4A4A3-13"/>
        <s v="OH4A7A4-1"/>
        <s v="OH4A7A4-10"/>
        <s v="OH4A7A4-11"/>
        <s v="OH4A7A4-12"/>
        <s v="OH4A7A4-13"/>
        <s v="OH4A7A3-1"/>
        <s v="OH4A7A3-11"/>
        <s v="OH4A7A3-12"/>
        <s v="OH4A7A3-13"/>
        <s v="OH4A7A3-10"/>
        <s v="100SP2T8B13M1QEH"/>
        <s v="OH4A7A2-1"/>
        <s v="OH4A7A2-10"/>
        <s v="OH4A7A2-11"/>
        <s v="OH4A7A2-12"/>
        <s v="OH4A7A2-13"/>
        <s v="OH4A7A2-14"/>
        <s v="A11405RNZQ"/>
        <s v="OHC0003-A-4OXYGW4"/>
        <s v="OHC-KNB-OBOGS"/>
        <s v="91780A045"/>
        <s v="OH4A7A2-15"/>
        <s v="OH4A5A2-1"/>
        <s v="OH4A5A2-10"/>
        <s v="OH4A5A2-11"/>
        <s v="OH4A5A2-12"/>
        <s v="OH4A5A2-13"/>
        <s v="131A-303G"/>
        <s v="LE-MF-12W"/>
        <s v="5131-038"/>
        <s v="OHC0005-2"/>
        <s v="647H/2 MOD"/>
        <s v="OH4A3A1-1"/>
        <s v="OH4A3A1-11"/>
        <s v="OH4A3A1-12"/>
        <s v="OH4A3A1-13"/>
        <s v="OH4A3A1-15"/>
        <s v="OH4A3A1-16"/>
        <s v="OH4A3A1-17"/>
        <s v="639H/2"/>
        <s v="90471A150"/>
        <s v="OH4A3A1-100"/>
        <s v="OH4A3A1-101A"/>
        <s v="OH4A3A1-101"/>
        <s v="OH4A3A1-102A"/>
        <s v="OH4A3A1-102"/>
        <s v="OH4A3A1-105"/>
        <s v="OH4A3A1-106"/>
        <s v="50KS45-01-1-05N"/>
        <s v="50K NUT"/>
        <s v="OH4A3A1-107"/>
        <s v="OH4A3A1-103A"/>
        <s v="OH4A3A1-103"/>
        <s v="OH4A3A1-108"/>
        <s v="93505A107"/>
        <s v="91251A108"/>
        <s v="OH4A3A1-200"/>
        <s v="OH4A3A1-20"/>
        <s v="OH4A3A1-18A"/>
        <s v="OH4A3A1-18"/>
        <s v="92311A425"/>
        <s v="OH4A3A1-19A"/>
        <s v="OH4A3A1-19"/>
        <s v="OH4A3A1-10"/>
        <s v="OH4A3A2-1"/>
        <s v="OH4A3A2-10"/>
        <s v="OH4A3A2-11"/>
        <s v="OH4A3A2-12"/>
        <s v="OH4A3A2-13"/>
        <s v="OH4A3A2-14"/>
        <s v="OH4A3A2-15"/>
        <s v="93365A112"/>
        <s v="96640A027"/>
        <s v="96640A025"/>
        <s v="92141A034"/>
        <s v="91841A003"/>
        <s v="7658K15"/>
        <s v="91251A106"/>
        <s v="5901A142"/>
        <s v="OH4A3A3-1"/>
        <s v="OH4A3A3-10"/>
        <s v="OH4A3A3-11"/>
        <s v="OH4A3A3-12"/>
        <s v="OH4A3A3-13"/>
        <s v="OH4A3A3-14"/>
        <s v="OH4A3A3-15"/>
        <s v="OH4A3A3-16"/>
        <s v="4PMINIH"/>
        <s v="OH4A2A1-1"/>
        <s v="OH4A2A1-10"/>
        <s v="OH4A2A1-11"/>
        <s v="OH4A2A1-12"/>
        <s v="OH4A2A1-13"/>
        <s v="OH4A2A1-16"/>
        <s v="C90"/>
        <s v="MPG206R"/>
        <s v="OH4A2A1-200"/>
        <s v="OH4A2A1-210"/>
        <s v="OH4A2A1-211"/>
        <s v="OH4A2A1-212"/>
        <s v="OH4A2A1-212A"/>
        <s v="OH4A2A1-213"/>
        <s v="OH4A2A1-213A"/>
        <s v="6338K312"/>
        <s v="OH4A2A1-214"/>
        <s v="OH4A2A1-215"/>
        <s v="OH4A2A1-215A"/>
        <s v="91249A063"/>
        <s v="OH4A2A1-216"/>
        <s v="OH4A2A1-216A"/>
        <s v="92196A108"/>
        <s v="OH4A2A1-217"/>
        <s v="OH4A2A1-217A"/>
        <s v="OH4A2A1-218"/>
        <s v="OH4A2A1-218A"/>
        <s v="OH4A2A1-218B"/>
        <s v="DSTL-0418-12"/>
        <s v="95649A232"/>
        <s v="84835A14"/>
        <s v="93085A851"/>
        <s v="7658K16"/>
        <s v="91249A058"/>
        <s v="OH4A2A1-219"/>
        <s v="OH4A2A1-219A"/>
        <s v="91249A050"/>
        <s v="OH4A2A1-20"/>
        <s v="OH4A2A1-20A"/>
        <s v="OH4A2A1-100"/>
        <s v="OH4A2A1-101"/>
        <s v="OH4A2A1-102"/>
        <s v="91771A071"/>
        <n v="462071004"/>
        <s v="HLMP-1321"/>
        <s v="OH4A2A1-21"/>
        <s v="OHC0009-1"/>
        <s v="OHC0009-10"/>
        <s v="OH4A1-12"/>
        <s v="OHC0013-1"/>
        <s v="1681-02C"/>
        <s v="94639A187"/>
        <s v="91249A066"/>
        <s v="OH4A14A1-1"/>
        <s v="OH4A14A1-10"/>
        <s v="1589-01C"/>
        <s v="39-01-2061"/>
        <s v="93505A456"/>
        <s v="OH4A10-1"/>
        <s v="OH4A10-10"/>
        <s v="91841A007"/>
        <s v="OH5A1-1"/>
        <s v="OH5A1-10"/>
        <s v="OH5A1-11"/>
        <s v="OH5A1-12"/>
        <s v="OH5A4A1-1"/>
        <s v="OH5A4A1-13"/>
        <s v="OH5A4A1-10"/>
        <s v="OH5A4A1-11"/>
        <s v="OH5A4A1-12"/>
        <s v="OH5A4A1-100"/>
        <s v="OH5A4A1-101"/>
        <s v="OH5A4A1-102"/>
        <s v="OH5A4A1-103"/>
        <s v="OH5A4A1-104"/>
        <s v="OH5A4A1-105"/>
        <s v="OH5A4A1-106"/>
        <s v="ABSIS010"/>
        <s v="OH5A4A1-107"/>
        <s v="OH5A4A1-108"/>
        <s v="OH5A4A1-109"/>
        <s v="X40 8798"/>
        <s v="OH5A4A1-200"/>
        <s v="OH5A4A1-201"/>
        <s v="OH5A1A1-1"/>
        <s v="OH5A1A1-10"/>
        <s v="OH5A1A1-11"/>
        <s v="OH5A1A1-12"/>
        <s v="OH5A1A1-13"/>
        <s v="OH5A1A1-14"/>
        <s v="OH5A1A1-15"/>
        <s v="OH5A1A1-16"/>
        <s v="OH5A1A1-17"/>
        <s v="OH5A1A1-18"/>
        <s v="OH5A1A1-19"/>
        <s v="OH5A1A1-20"/>
        <s v="OH5A1A1-21"/>
        <s v="OH5A1A1-22"/>
        <s v="OH5A1A1-23"/>
        <s v="OH5A1A1-24"/>
        <s v="OH5A1A1-25"/>
        <s v="OH5A1A1-26"/>
        <s v="OH5A1A1-27"/>
        <s v="OH5A1A1-28"/>
        <s v="OH5A1A1-29"/>
        <s v="OH5A1A1-30"/>
        <s v="OH5A1A1-31"/>
        <s v="OH5A1A1-32"/>
        <s v="OH5A1A1-33"/>
        <s v="OH5A1A1-34"/>
        <s v="OH5A1A1-35"/>
        <s v="OH5A1A1-36"/>
        <s v="OH5A1A1-37"/>
        <s v="OH5A1A1-38"/>
        <s v="OH5A1A1-39"/>
        <s v="OH5A1A1-40"/>
        <s v="OH5A1A1-41"/>
        <s v="OH5A1A1-42"/>
        <s v="OH5A1A1-43"/>
        <s v="OH5A1A1-44"/>
        <s v="OH5A1A1-45"/>
        <s v="OH5A1A1-46"/>
        <s v="OH5A1A1-47"/>
        <s v="OH5A1A1-48"/>
        <s v="OH5A7A1-1"/>
        <s v="OH5A7A1-13"/>
        <s v="OH5A7A1-10"/>
        <s v="OH5A7A1-11"/>
        <s v="OH5A7A1-12"/>
        <s v="OH5A7A1-14"/>
        <s v="OHC0003-A-484DGB4"/>
        <s v="OHC0003-484DGB4"/>
        <s v="A12505RNZQ"/>
        <s v="OH5A5A2-1"/>
        <s v="OH5A5A2-13"/>
        <s v="OH5A5A2-10"/>
        <s v="OH5A5A2-11"/>
        <s v="OH5A5A2-12"/>
        <s v="OH5A8A1-1"/>
        <s v="OH5A8A1-13"/>
        <s v="OH5A8A1-10"/>
        <s v="OH5A8A1-11"/>
        <s v="OH5A8A1-12"/>
        <s v="OH5A8A1-14"/>
        <s v="OH5A2A4-1"/>
        <s v="OH5A2A4-10"/>
        <s v="OH5A2A4-11"/>
        <s v="OH5A2A4-12"/>
        <s v="OH5A2A4-13"/>
        <s v="OH5A2A4-14"/>
        <s v="OH5A2A4-15"/>
        <s v="OH5A2A4-16"/>
        <s v="OH5A2A4-17"/>
        <s v="OH5A2A4-18"/>
        <s v="OH5A2A4-19"/>
        <s v="OH5A2A4-20"/>
        <s v="OH5A2A4-21"/>
        <s v="OH5A2A4-22"/>
        <s v="OH5A2A4-23"/>
        <s v="SMB 200 RTP"/>
        <s v="SMB 200 GTP"/>
        <s v="LTW-420D7"/>
        <s v="OH5A2A4-24"/>
        <s v="1692K53"/>
        <n v="634070"/>
        <s v="3590S-2-103L"/>
        <s v="HK-5320"/>
        <s v="90380A322"/>
        <s v="OH5A2A5-1"/>
        <s v="OH5A2A5-10"/>
        <s v="OH5A2A5-11"/>
        <s v="OH5A2A5-12"/>
        <s v="OH5A2A6-1"/>
        <s v="OH5A2A6-10"/>
        <s v="OH5A2A6-11"/>
        <s v="OH5A2A7-1"/>
        <s v="OH5A2A7-10"/>
        <s v="OH5A2A7-11"/>
        <s v="OH5A2A7-12"/>
        <s v="OH5A2A7-09"/>
        <s v="OH5A3A1-1"/>
        <s v="OH5A3A1-10"/>
        <s v="OH5A3A1-11"/>
        <s v="OH5A3A1-12"/>
        <s v="OH5A3A1-13"/>
        <s v="OH5A3A1-14"/>
        <s v="OH5A3A1-15"/>
        <s v="OH5A3A1-16"/>
        <s v="OH5A3A1-17"/>
        <s v="OH5A3A1-18"/>
        <s v="OH5A3A1-19"/>
        <s v="OH5A3A1-20"/>
        <s v="OH5A3A1-21"/>
        <s v="OH5A3A1-22"/>
        <s v="OH5A3A1-23"/>
        <s v="OH5A2A2-1"/>
        <s v="OH5A2A2-12"/>
        <s v="OH5A2A2-18"/>
        <s v="OH5A2A2-13"/>
        <s v="OH5A2A2-15"/>
        <s v="OH5A2A2-17"/>
        <s v="OH5A2A2-16"/>
        <s v="OH5A2A2-14"/>
        <s v="OH5A2A2-10"/>
        <s v="OH5A2A2-11"/>
        <s v="84835A44"/>
        <s v="84835A36"/>
        <s v="OH5A2A3-1"/>
        <s v="OH5A2A3-10"/>
        <s v="OH5A2A3-11"/>
        <s v="OH5A2A3-12"/>
        <s v="OH5A2A3-09"/>
        <s v="OH5A10A1-1"/>
        <s v="OH5A10A1-10"/>
        <s v="OH5A10A1-11"/>
        <s v="OH5A1-9002"/>
        <s v="OH5A10A1-12"/>
        <s v="OH5A10A2-1"/>
        <s v="OH5A10A2-10"/>
        <s v="OH5A1-9001"/>
        <s v="OHC0005-3"/>
        <s v="PV2F24011"/>
        <s v="OH5A9A1-1"/>
        <s v="OH5A9A1-16"/>
        <s v="OH5A9A1-10"/>
        <s v="OH5A9A1-11"/>
        <s v="OH5A9A1-12"/>
        <s v="OH5A9A1-13"/>
        <s v="OH5A9A1-14"/>
        <s v="OH5A9A1-15"/>
        <s v="M55116/10-0"/>
        <s v="AJ-146-10"/>
        <s v="AP-136-36"/>
        <s v="AJ-146-12"/>
        <s v="OHC0003-A-484DBW4"/>
        <s v="OHC0003-484DBW4"/>
        <s v="OHC0003-A-287ABW4"/>
        <s v="OHC0003-287ABW4"/>
        <s v="OHC0003-A-384ABW2"/>
        <s v="OHC0003-384ABW2"/>
        <s v="OH5A9A1-100"/>
        <s v="51M30-01-2-03N"/>
        <s v="OH5A6A1-1"/>
        <s v="OH5A6A1-13"/>
        <s v="OH5A6A1-10"/>
        <s v="OH5A6A1-11"/>
        <s v="OH5A6A1-12"/>
        <s v="635H/2"/>
        <s v="OH5A6A1-100"/>
        <s v="OH5A6A1-14"/>
        <s v="91249A144"/>
        <s v="OHC0003-A-385EGB4"/>
        <s v="OHC0003-385EGB4"/>
        <s v="OHC0003-A-385BGB4"/>
        <s v="OHC0003-385BGB4"/>
        <s v="OH5A5A1-1"/>
        <s v="OH5A5A1-13"/>
        <s v="OH5A5A1-10"/>
        <s v="OH5A5A1-12"/>
        <s v="OH5A5A1-11"/>
        <s v="OH5A5A1-18"/>
        <s v="638H/2"/>
        <s v="OHC0003-A-8CONGB3"/>
        <s v="OHC0003-4CONGB3"/>
        <s v="92311A191"/>
        <s v="OHC0003-A-18FLGB1"/>
        <s v="OHC0003-18FLGB1"/>
        <s v="OHC0003-A-1AUGGN6"/>
        <s v="OHC0003-1AUGGN6"/>
        <s v="OH5A5A1-200"/>
        <s v="OH5A5A1-201"/>
        <s v="OH5A5A1-202"/>
        <s v="OH5A5A1-203"/>
        <s v="OH5A5A1-204"/>
        <s v="OH5A5A1-205"/>
        <s v="OH5A5A1-206"/>
        <s v="OH5A5A1-209"/>
        <n v="615250"/>
        <s v="DSOL-0630-12E"/>
        <s v="A12405RNZQ"/>
        <s v="OH5A5A1-207"/>
        <s v="OH5A5A1-208"/>
        <s v="93025A568"/>
        <s v="90480A003"/>
        <s v="ESE-11HS2"/>
        <s v="92503A180"/>
        <s v="84835A11"/>
        <s v="OH5A5A1-300 "/>
        <s v="P082D-27CBR10K"/>
        <s v="OH5A5A1-301"/>
        <s v="OH5A5A1-302"/>
        <s v="OH5A5A1-303"/>
        <s v="OH5A2A1-1"/>
        <s v="OH5A2A1-16"/>
        <s v="OH5A2A1-10"/>
        <s v="OH5A2A1-11"/>
        <s v="OH5A2A1-12"/>
        <s v="OH5A2A1-13"/>
        <s v="OH5A2A1-15"/>
        <s v="92141A029"/>
        <s v="OH5A2A1-17"/>
        <s v="OH5A2A1-18"/>
        <s v="OH5A2A1-19"/>
        <s v="OH5A2A1-20"/>
        <s v="OH5A2A1-21"/>
        <s v="CR-104"/>
        <s v="C-104"/>
        <s v="R-104"/>
        <s v="91249A164"/>
        <s v="OH5A2A1-13R"/>
        <s v="OH5A2A1-14"/>
        <s v="OHC0013-2"/>
      </sharedItems>
    </cacheField>
    <cacheField name="Part Name" numFmtId="0">
      <sharedItems containsBlank="1" count="1674">
        <s v="OH0A1-100 - ASSY, LOWER &amp; UPPER INSTRUMENT PANEL"/>
        <s v="OH2A1-1 - ASSY, LOWER INSTRUMENT PANEL"/>
        <s v="OH2A1-10 - STANDBY INSTRUMENT MODULE MOUNTING BRACKET"/>
        <s v="OH2A1-11 - LEFT MIP MODULE MOUNTING BRACKET"/>
        <s v="OH2A1-12 - LEFT MIP MODULE INBOARD MOUNTING BRACKET"/>
        <s v="OH2A1-25 - LIP R EXT SKIN"/>
        <s v="OH2A1-26 - LIP L EXT SKIN"/>
        <s v="OH2A1A1-1 - ASSY, LOWER INSTRUMENT PANEL STRUCTURE"/>
        <s v="OH2A1A1-10 - RIB N"/>
        <s v="OH2A1A1-11 - RIB M"/>
        <s v="OH2A1A1-12 - RIB L"/>
        <s v="OH2A1A1-13 - RIB K"/>
        <s v="OH2A1A1-14 - RIB R"/>
        <s v="OH2A1A1-15 - RIB Q"/>
        <s v="OH2A1A1-16 - RIB P"/>
        <s v="OH2A1A1-17 - RIB O"/>
        <s v="OH2A1A1-18 - LEFT FOOTWELL FLOOR"/>
        <s v="OH2A1A1-19 - SUBFLOOR BRACE B"/>
        <s v="OH2A1A1-20 - SUBFLOOR BRACE A"/>
        <s v="OH2A1A1-21 - SUBFLOOR BRACE E"/>
        <s v="OH2A1A1-22 - SUBFLOOR BRACE D"/>
        <s v="OH2A1A1-23 - SUBFLOOR BRACE C"/>
        <s v="OH2A1A1-24 - RIGHT FOOTWELL FLOOR"/>
        <s v="OH2A1A1-25 - SUBFLOOR BRACE H"/>
        <s v="OH2A1A1-26 - SUBFLOOR BRACE G"/>
        <s v="OH2A1A1-27 - SUBFLOOR BRACE F"/>
        <s v="OH2A1A1-28 - LOWER INSTRUMENT PANEL BASE"/>
        <s v="OH2A1A1-29 - LEFT INBOARD FOOTWELL WALL"/>
        <s v="OH2A1A1-30 - RIGHT INBOARD FOOTWELL WALL"/>
        <s v="OH2A1A1-31 - CENTER PEDESTAL LOWER TRIM"/>
        <s v="OH2A1A1-32 - LOWER ECS VENT"/>
        <s v="OH2A1A1-33 - CENTER PEDESTAL LOWER MOUNT"/>
        <s v="OH2A1A1-34 - LEFT OUTBOARD FOOTWELL WALL"/>
        <s v="OH2A1A1-35 - RIGHT OUTBOARD FOOTWELL WALL"/>
        <s v="OH2A1A1-36 - LEFT OUTBOARD BULKHEAD"/>
        <s v="OH2A1A1-37 - RIGHT OUTBOARD BULKHEAD"/>
        <s v="OH2A1A1-38 - UPPER INSTRUMENT PANEL MOUNT"/>
        <s v="OH2A1A1-39 - OUTBOARD UPPER INSTRUMENT PANEL LONGERON"/>
        <s v="OH2A1A1-40 - OUTBOARD UPPER RIGHT INSTRUMENT PANEL LONGERON"/>
        <s v="OH2A1A1-41 - LOWER LEFT LIP AUX SUPPORT BRACKET"/>
        <s v="OH2A1A1-42 - UPPER LEFT LIP AUX SUPPORT BRACKET"/>
        <s v="OH2A1A1-43 - LOWER RIGHT LIP AUX SUPPORT BRACKET"/>
        <s v="OH2A1A1-44 - UPPER RIGHT LIP AUX SUPPORT BRACKET1"/>
        <s v="OH2A1A1-45 - LEFT LIP CANOPY SILL"/>
        <s v="OH2A1A1-46 - AFT LIP SILL BRACKET"/>
        <s v="OH2A1A1-47 - LIP SILL BRACKET A-L"/>
        <s v="OH2A1A1-48 - LIP SILL BRACKET B-L"/>
        <s v="OH2A1A1-49 - RIGHT LIP CANOPY SILL1"/>
        <s v="OH2A1A1-50 - AFT RIGHT LIP SILL BRACKET1"/>
        <s v="OH2A1A1-51 - LIP SILL BRACKET A-R"/>
        <s v="OH2A1A1-52 - LIP SILL BRACKET B-R"/>
        <s v="90252A115 - FHWS, 82DEG, #8 X 1.50, STEEL, BLK, FOR MDF"/>
        <s v="92105A660 - INSERT, 8-32, SELF TAPPING, FOR SOFTWOOD"/>
        <s v="90471A436 - FHS, 100DEG, #8-32 X 1.25, STEEL"/>
        <s v="90471A435 - FHS, 100DEG, #8-32 X .625, STEEL"/>
        <s v="93365A140 - INSERT, 8-32, BRASS, FOR PLASTICS"/>
        <s v="91841A009 - NUT, #8-32, 18-8"/>
        <s v="98023A113 - WASHER, #8, STEEL, ZINC"/>
        <s v="90272A203 - PHS, #8-32 X 1.50, STEEL"/>
        <s v="90272A201 - PHS, #8-32 X 1.250, STEEL"/>
        <s v="90252A112 - FHWS, 82DEG, #8 X 1.00, STEEL, BLK, FOR MDF"/>
        <s v="OH2A1A-54 - LIP CENTER PEDESTAL UPPER BRACKET"/>
        <s v="90471A276 - FHS, 100DEG, #8-32 X 1.00, STEEL"/>
        <s v="OH2A7A1-1 - ASSY, STANDBY INSTRUMENT MODULE"/>
        <s v="OH2A7A1-11 - STANDBY_CONTROLLER"/>
        <s v="OH2A7A1-10A - SUBASSY, ANALOG RIGHT LOWER INSTRUMENT PANEL"/>
        <s v="OH2A7A1-10 - ANALOG RIGHT LOWER INSTRUMENT PANEL"/>
        <s v="93365A130 - INSERT, 6-32, BRASS, FOR PLASTIC"/>
        <s v="93365A110 - INSERT, 2-56, BRASS, FOR PLASTIC"/>
        <s v="OH2A7A1-100 - AIRSPEED INDICATOR"/>
        <s v="OH2A7A1-101 - AIRSPEED INDICATOR BEZEL"/>
        <s v="OH2A7A1-104 - AIRSPEED INDICATOR DIAL FACE"/>
        <s v="OHC0007-1 - ASSY, 2IN GAUGE SGL STPR MECH W/ ZERO DETECT"/>
        <s v="OHC0007-101 - 2IN GAUGE STEPPER MOUNT"/>
        <s v="OHC0007-103 - 2IN GAUGE ZERO WHEEL"/>
        <s v="1938 - LED, NEOPIXEL, DIFFUSED 5MM TH"/>
        <s v="91780A028 - STANDOFF, #2-56 X .375, .125 HEX, FEMALE, 6061"/>
        <s v="90471A115 - FHS, 100DEG, #2-56 X .250, STEEL"/>
        <s v="90272A077 - PHS, #2-56 X .250, STEEL"/>
        <s v="99461A914 - PHS, M2, 5MM, SELF-TAP, 18-8"/>
        <s v="VID29-02P - MICROSTEPPER, GAUGE, 315 DEG ROT (MODIFIED)"/>
        <s v="OHC0007-100 - UTIL PHOTOSWITCH"/>
        <s v="OHC0007-14 - PCB, STANDBY AIRSPEED_VVI"/>
        <s v="OHC0007-11 - 2IN GAUGE COVER GLASS"/>
        <s v="OHC0007-12 - 2IN GAUGE DIAL FACE SPACER"/>
        <s v="OHC0007-13 - 2IN GAUGE POINTER"/>
        <s v="OH2A7A1-200 - ALTIMETER"/>
        <s v="OH2A7A1-201 - ALTIMETER BEZEL"/>
        <s v="OH2A7A1-204 - ALTIMETER DIAL FACE"/>
        <s v="OH2A7A1-205 - ALTIMETER STEPPER MOUNT"/>
        <s v="OH2A7A1-206 - ALTIMETER INDICATOR POINTER"/>
        <s v="OH2A7A1-110 - ALTIMETER ZERO WHEEL"/>
        <s v="OH2A7A1-207A - ASSY, ALTIMETER KNOB"/>
        <s v="OH2A7A1-207 - ALTIMETER KNOB"/>
        <s v="92311A102 - SET SCREW, 4-40 X .093 CUP POINT, 18-8"/>
        <s v="PEC11R-4230F-N0024 - ENCODER, INC, QUAD, DETENT, NO SWITCH"/>
        <s v="PEC11R NUT - HEX NUT FOR SWITCH, M7 X .75"/>
        <s v="ER-OLEDM0.91-1W-I2C - OLED, 0.91IN, WHT ON BLK, 128X32, SPI"/>
        <s v="OH2A7A1-210 - PCB, STANDBY ALTIMETER"/>
        <s v="OH2A7A1-111 - ALTIMETER ZERO WHEEL SPACER A"/>
        <s v="OH2A7A1-112 - ALTIMETER ZERO WHEEL SPACER B"/>
        <s v="OH2A7A1-300 - VERTICAL VELOCITY INDICATOR"/>
        <s v="OH2A7A1-301 - VVI BEZEL"/>
        <s v="OH2A7A1-304 - VVI DIAL FACE"/>
        <s v="OH2A7A1-302 - VVI BEZEL RING"/>
        <s v="OH2A7A1-400 - RWR"/>
        <s v="OH2A7A1-401 - RWR BEZEL"/>
        <s v="OH2A7A1-402 - RWR KNOB"/>
        <s v="92311A105 - SET SCREW, 4-40 X .1875, CUP POINT, 18-8"/>
        <s v="3310P-101-103L - POT, 10K LINEAR, 9MM SQ, 3.18 X 12.7 D-SHAFT"/>
        <s v="GL276TFT01A - LCD, 2.8 ROUND, 480X480 RESOLUTION"/>
        <s v="93365A120 - INSERT, 4-40, BRASS, FOR PLASTICS"/>
        <s v="90618A200 - WASHER, #4 X .250, 18-8, BLACK OXIDE"/>
        <s v="91249A111 - PHS, #4-40 X .50, 18-8, BLK"/>
        <s v="LRX_H2TTL40PSPI_V2.1 - PCB, RGB TO HDMI CONVERTER"/>
        <s v="OH2A7A1-403 - RWR PCB MOUNTING BRACKET"/>
        <s v="OH2A7A1-404 - RWR SCREEN SUPPORT BRACKET"/>
        <s v="94070A076 - PHS, #2-56 X .1875, BRASS"/>
        <s v="95130A105 - NUT, #2-56, NARROW, BRASS"/>
        <s v="OH2A7A1-405 - RWR LEGEND PLATE"/>
        <s v="OH2A7A1-500 - SARI"/>
        <s v="OH2A7A1-501 - SARI BEZEL"/>
        <s v="OH2A7A1-502 - SARI KNOB"/>
        <s v="PEC11R-4220F-S0012 - ENCODER, INC, QUAD, DETENT, SWITCH, 12PPR, 6MM DIA X 20MM FLAT SHAFT"/>
        <s v="9533NCDK - SWITCH, PUSHBUTTON, MICRO, APEM"/>
        <s v="PEC11R WASHER - WASHER FOR SWITCH, M7, 12 MM OD"/>
        <s v="OH2A7A1-505 - SARI PCB MOUNTING BRACKET"/>
        <s v="OH2A7A1-504 - SARI SCREEN SUPPORT BRACKET"/>
        <s v="OH2A7A1-503 - SARI LEGEND PLATE"/>
        <s v="93505A217 - STANDOFF, #2-56 X 1.00, .1875 HEX, MALE-FEMALE, ALUMINUM"/>
        <s v="A000067 - ARDUINO MEGA 2560 R3"/>
        <s v="91249A151 - PHS, #6-32 X .625, 18-8, BLK"/>
        <s v="OH2A2A1-1 - ASSY, LEFT LIP MODULE"/>
        <s v="OH2A2A1-100 - ASSY, JETT STATION SELECT PLACARD"/>
        <s v="OH2A2A1-101 - JETT STATION SELECT PLACARD"/>
        <s v="OH2A2A1-102 - JETT STATION SELECT PLACARD LIGHTPLATE"/>
        <s v="OH2A2A1-103 - JETT STATION SELECT BACKPLATE"/>
        <s v="OH2A2A1-104 - PCB, JETT STATION SELECT PLACARD"/>
        <s v="7598A71 - TAPE, LIGHT DUTY, DOUBLE SIDED, FOAM"/>
        <s v="OH2A2A1-11 - LEFT LIP AVIONICS TRAY"/>
        <s v="OH2A2A1-10A - SUBASSY, LEFT LOWER INSTRUMENT PANEL"/>
        <s v="OH2A2A1-10 - LEFT LOWER INSTRUMENT PANEL"/>
        <s v="91249A148 - PHS, #6-32 X .50, 18-8, BLK"/>
        <s v="91249A156 - PHS, #6-32 X .8750, 18-8, BLK"/>
        <s v="91249A146 - PHS, #6-32 X .375, 18-8, BLK"/>
        <s v="ER-TFTV070A1-7 - DISPLAY, LCD, 7&quot;, HDMI, NO TOUCH PANEL"/>
        <s v="ER-TFTV101A1-1 - HDMI CONTROLLER PCB"/>
        <s v="91780A337 - STANDOFF, #6-32 X 1.50, .25 HEX, FEMALE, ALUMINUM"/>
        <s v="90471A220 - FHS, 100DEG, #6-32 X .500, STEEL"/>
        <s v="91780A105 - STANDOFF, #2-56 X .375, .1875 HEX, FEMALE, ALUMINUM"/>
        <s v="90272A079 - PHS, #2-56 X .375, STEEL"/>
        <s v="ABSIS011 - ASSY, ABSIS BUS MASTER"/>
        <s v="ABSIS011-10 - PCB, ABSIS BUS MASTER"/>
        <s v="(GENERIC) - HEADER, PIN, .1 SPACING"/>
        <s v="DEV-12640 - ARDUINO PRO MICRO, 5V, 16 MHZ, SPARKFUN"/>
        <s v="OH2A2A1-12 - LEFT LIP UPPER MONITOR CLIP"/>
        <s v="OH2A2A1-13 - LEFT LIP LOWER MONITOR CLIP"/>
        <s v="92141A003 - WASHER, #2 X .250 OD, 18-8"/>
        <s v="ABSIS001 - ASSY, ABSIS ALE"/>
        <s v="ABSIS001-10 - PCB, ABSIS ALE"/>
        <s v="OH2A2A1A2-1 - ASSY, PANEL, IFEI"/>
        <s v="OH2A2A1A2-10 - IFEI BACKPLATE"/>
        <s v="OH2A2A1A2-11 - IFEI LIGHTPLATE"/>
        <s v="OH2A2A1A2-12 - IFEI LEGEND PLATE"/>
        <s v="OH2A2A1A2-13 - IFEI BUTTON BEZEL"/>
        <s v="OH2A2A1A2-14 - IFEI BUTTON, MODE"/>
        <s v="OH2A2A1A2-15 - IFEI BUTTON RETAINER"/>
        <s v="OH2A2A1A2-16 - PCB, IFEI"/>
        <s v="OH2A2A1A2-17 - IFEI BUTTON, QTY"/>
        <s v="OH2A2A1A2-18 - IFEI BUTTON, ARROW"/>
        <s v="OH2A2A1A2-19 - IFEI BUTTON, ZONE"/>
        <s v="OH2A2A1A2-20 - IFEI BUTTON, ET"/>
        <s v="91249A021 - PHS, #0-80 X 0.375, 18-8, BLK"/>
        <s v="92671A115 - NUT, #0-80, BRASS"/>
        <s v="OH2A2A1A3-1 - ASSY, PANEL, VIDEO RECORD"/>
        <s v="OH2A2A1A3-10 - HUD VIDEO RECORD PANEL BACKPLATE"/>
        <s v="OH2A2A1A3-11 - HUD VIDEO RECORD PANEL LIGHTPLATE"/>
        <s v="OH2A2A1A3-12 - HUD VIDEO RECORD PANEL LEGEND PLATE"/>
        <s v="OH2A2A1A3-13 - PCB, HUD VID RCD PANEL"/>
        <s v="100SP3T8B13M1QEH - SWITCH, TOGGLE, ON-OFF-ON, SPDT, 18MM BAT"/>
        <s v="HDW17 - LOCKING RING, B13"/>
        <s v="HDW12 - LOCK WASHER, B13"/>
        <s v="HDW4 - NUT, B13"/>
        <s v="100SP1T8B13M1QEH - SWITCH, TOGGLE, ON-ON, SPDT, 18MM BAT"/>
        <s v="P170S-FC20BR10K - POT, 10K, PNL MNT, SIDE ADJ W/ SW"/>
        <s v="OHC0003-A-012FGB3 - ASSY, KNOB, GREY, .25 D-SHAFT"/>
        <s v="OHC0003-012FGB3 - KNOB, GREY, .25 D-SHAFT"/>
        <s v="N/A - NUT (PO P170S-FC20BR10K)"/>
        <s v="OH2A2A1A3-14 - INSULATING WASHER"/>
        <s v="OH2A2A1A1-1 - ASSY, PANEL, JETT SELECT"/>
        <s v="OH2A2A1A1-10 - JETT SELECT BODY"/>
        <s v="OH2A2A1A1-11A - SUBASSY, JETT SELECT MOUNTING PLATE"/>
        <s v="OH2A2A1A1-11 - JETT SELECT MOUNTING PLATE"/>
        <s v="OH2A2A1A1-32 - PCB, JETT STATION SELECT"/>
        <s v="OH2A2A1A1-100RO - ASSY, JETT SELECT PUSHBUTTON, RO"/>
        <s v="OH2A2A1A1-12 - .55 SQ INDICATOR BEZEL"/>
        <s v="OH2A2A1A1-13 - JETT STATION SEL LEGEND COVER, RO"/>
        <s v="OH2A2A1A1-14 - JETT STATION SEL LEGEND, TRIANGLE"/>
        <s v="OH2A2A1A1-15 - .55 SQ INDICATOR ACTUATOR"/>
        <s v="OH2A2A1A1-16 - JETT STATION SEL INDICATOR LEGEND DIFFUSER"/>
        <s v="OH2A2A1A1-100LI - ASSY, JETT SELECT PUSHBUTTON, LI"/>
        <s v="OH2A2A1A1-17 - JETT STATION SEL LEGEND COVER, LI"/>
        <s v="OH2A2A1A1-100LO - ASSY, JETT SELECT PUSHBUTTON, LO"/>
        <s v="OH2A2A1A1-19 - JETT STATION SEL LEGEND COVER, LO"/>
        <s v="OH2A2A1A1-100RI - ASSY, JETT SELECT PUSHBUTTON, RI"/>
        <s v="OH2A2A1A1-18 - JETT STATION SEL LEGEND COVER, RI"/>
        <s v="OH2A2A1A1-100CTR - ASSY, JETT SELECT PUSHBUTTON, CTR"/>
        <s v="OH2A2A1A1-20 - JETT STATION SEL LEGEND COVER, CTR"/>
        <s v="OH2A2A1A1-200NS - ASSY, JETT SELECT INDICATOR, NOSE"/>
        <s v="OH2A2A1A1-21 - JETT SELECT INDICATOR LEGEND COVER"/>
        <s v="OH2A2A1A1-22 - JETT SELECT INDICATOR LEGEND, NOSE"/>
        <s v="OH2A2A1A1-23 - JETT SELECT INDICATOR LEGEND DIFFUSER"/>
        <s v="OH2A2A1A1-24 - JETT SELECT INDICATOR STANDOFF"/>
        <s v="OH2A2A1A1-25 - JETT SELECT INDICATOR BEZEL"/>
        <s v="OH2A2A1A1-200LT - ASSY, JETT SELECT INDICATOR, LEFT"/>
        <s v="OH2A2A1A1-26 - JETT SELECT INDICATOR LEGEND, LEFT"/>
        <s v="OH2A2A1A1-200RT - ASSY, JETT SELECT INDICATOR, RIGHT"/>
        <s v="OH2A2A1A1-27 - JETT SELECT INDICATOR LEGEND, RIGHT"/>
        <s v="OH2A2A1A1-200HLF - ASSY, JETT SELECT INDICATOR, HALF"/>
        <s v="OH2A2A1A1-28 - JETT SELECT INDICATOR LEGEND, HALF"/>
        <s v="OH2A2A1A1-200FUL - ASSY, JETT SELECT INDICATOR, FULL"/>
        <s v="OH2A2A1A1-29 - JETT SELECT INDICATOR LEGEND, FULL"/>
        <s v="OH2A2A1A1-200FLP - ASSY, JETT SELECT INDICATOR, FLAPS"/>
        <s v="OH2A2A1A1-30 - JETT SELECT INDICATOR LEGEND, FLAPS"/>
        <s v="X502-1 - MONO POWER AMPLIFIER, CL D, 1000W, KENWOOD"/>
        <s v="92141A008 - WASHER, #6 X .3125 OD, 18-8"/>
        <s v="91831A007 - NYLOC NUT, #6-32, 18-8"/>
        <s v="91249A161 - PHS, #6-32 X 1.25, 18-8, BLK"/>
        <s v="91249A197 - PHS, #8-32 X .750, 18-8, BLK"/>
        <s v="7658K17 - SWITCH, LIMIT, SUBMINIATURE, SNAP-ACTING, SPST"/>
        <s v="91771A141 - FHS, 82DEG, #2-56 X 1.25, 18-8"/>
        <s v="90176A102 - SPACER, #4 X .188 OD X .125 L, NYLON, BLK"/>
        <s v="91841A005 - NUT, #4-40, 18-1"/>
        <s v="91771A119 - FHS, 82DEG, #4-40 X 1.50, 18-8"/>
        <s v="7383N341 - SPRING, EXTENSION, 1.0L X .24OD 1.18 LB FORCE"/>
        <s v="90760A007 - NUT, JAM, #6-32, STEEL"/>
        <s v="90273A157 - FHS, 82DEG, #6-32 X 1.50, STEEL"/>
        <s v="92200A197 - SHCS, #8-32 X .750, 18-8"/>
        <s v="96765A120 - WASHER, #8 X .375 OD, 18-8, BLACK"/>
        <s v="OH2A8A1-1 - ASSY, RUDDER PEDALS"/>
        <s v="PA-18-12-150 - TRACK LINEAR ACTUATOR, 12IN"/>
        <s v="BRK-19A - MOUNTING BRACKET FOR PA-18"/>
        <s v="BRK-19B - MOUNTING BRACKET FOR PA-18"/>
        <s v="OH2A8A1-23 - RUDDER GANTRY RISER"/>
        <s v="OH2A8A1-20 - RUDDER GANTRY PLATE"/>
        <s v="OH2A8A1-100 - ASSY, MFG CROSSWIND WITH OH PEDALS"/>
        <s v="0025 - MFG CROSSWIND V3 GRAPHITE - BASE"/>
        <s v="OH2A8A1-10 - LH RUDDER PEDAL FOR MFG"/>
        <s v="OH2A8A1-11 - RH RUDDER PEDAL FOR MFG"/>
        <s v="92855A628 - SHCS, M6X1.0, 35MM, 18-1, LOW-PROFILE"/>
        <s v="97416A113 - WASHER, #8, STEEL, BLACK-OXIDE"/>
        <s v="OH2A8A1-200L - ASSY, PEDAL SUPPORT WHEEL"/>
        <s v="OH2A8A1-20L - PEDAL SUPPORT WHEEL BRACKET, LEFT"/>
        <s v="2337T1 - WHEEL, 1.625IN OD, RUBBER"/>
        <s v="92196A303 - SHCS, #12-24 X 1.750, 18-8"/>
        <s v="92141A013 - WASHER, #12 X 0.50 OD, 18-8"/>
        <s v="91831A025 - NYLOC NUT, #12-24, 18-8"/>
        <s v="91309A542 - HHCS, .25-20 X 1.00, STEEL, ZINC"/>
        <s v="95615A120 - NYLOC NUT, .25-20, GR5, STEEL"/>
        <s v="OH2A8A1-200R - ASSY, PEDAL SUPPORT WHEEL"/>
        <s v="OH2A8A1-20R - PEDAL SUPPORT WHEEL BRACKET, RIGHT"/>
        <s v="91247A546 - HHCS, .25-20 X 1.50, GR8, STEEL"/>
        <s v="90126A029 - WASHER, .25 X .625, STEEL, ZINC"/>
        <s v="OHC0013-3 - ASSY, LEFT FWD BULKHEAD INTERCONNECT PANEL"/>
        <s v="OHC0013-10 - BULKHEAD INTERCONNECT PANEL"/>
        <s v="39-01-2221 - MOLEX, MINI-FIT JR, 5559-SERIES, PNL MNT, 22 POS"/>
        <s v="39-01-2081 - MOLEX, MINI-FIT JR, 5559-SERIES, PNL MNT, 8 POS"/>
        <s v="39-01-2041 - MOLEX, MINI-FIT JR, 5559-SERIES, PNL MNT, 4 POS"/>
        <s v="NL2MPXX - CONNECTOR, LOUDSPEAKER, 2-POLE, NEUTRIK"/>
        <s v="90471A160 - FHS, 100DEG, #4-40 X .375, STEEL"/>
        <s v="1698-01C - CABLE, USB 3.0, PNL MOUNT, TYPE A TO TYPE A, 1 FT"/>
        <s v="OHC0013-4 - ASSY, RIGHT FWD BULKHEAD INTERCONNECT PANEL"/>
        <s v="1698-04C - CABLE, USB 3.0, PNL MOUNT, TYPE A TO TYPE A, 4 FT"/>
        <s v="USB32HD4 - ADAPTER, 4X HDMI TO USB 3.0 A, STARTECH"/>
        <s v="ABSIS005 - ASSY, ABSIS BACKLIGHT CONTROLLER"/>
        <s v="ABSIS005A1 - PCB, ABSIS_BACKLIGHT_CONTROLLER"/>
        <s v="B09V6WY1SD - HUB, USB 3.0, 7-PORT, 5VDC"/>
        <s v="CP-9020195-NA - RM SERIES RM750"/>
        <s v="ABSIS006 - PCB, ATX PSU BREAKOUT"/>
        <s v="OHC0013-5 - ASSY, LEFT LIP-UIP BULKHEAD PANEL"/>
        <s v="OHC0013-20 - LEFT LIP-UIP BULKHEAD PANEL"/>
        <s v="1698-02C - CABLE, USB 3.0, PNL MOUNT, TYPE A TO TYPE A, 2 FT"/>
        <s v="OHC0013-6 - ASSY, RIGHT LIP-UIP BULKHEAD PANEL"/>
        <s v="OHC0013-30 - RIGHT LIP-UIP BULKHEAD PANEL"/>
        <s v="P164-000-KPBK8K - COUPLER, HDMI, F-F, KEYSTONE"/>
        <s v="39-01-2021 - MOLEX, MINI-FIT JR, 5559-SERIES, PNL MNT, 2 POS"/>
        <s v="ABSIS007 - ASSY, ABSIS PIT MANAGEMENT SYSTEM"/>
        <s v="ABSIS007-10 - PCB, ABSIS PIT MANAGEMENT SYSTEM"/>
        <s v="OHC0013-7 - ASSY, SHORE BULKHEAD PANEL"/>
        <s v="OHC0013-40 - SHORE BULKHEAD PANEL"/>
        <s v="9291-02HV"/>
        <s v="1689-03C - CABLE, USB 3.0, PNL MNT, TYPE-B TO MICRO-B, 3 FT"/>
        <s v="OH2A1-27 - USB BRACKET LOWER "/>
        <s v="OH2A1-28 - USB BRACKET UPPER"/>
        <s v="91249A155 - PHS, #6-32 X .750, 18-8, BLK"/>
        <s v="OH2A1-31 - PSU BRACKET UPPER"/>
        <s v="90273A153 - FHS, 82DEG, #6-32 X 1.00, STEEL"/>
        <s v="OH2A1-30 - PSU BRACKET LOWER"/>
        <s v="OH2A1-32 - PSU BRACKET LOWER HOLDER"/>
        <s v="91249A060 - PHS, #2-56 X .625, 18-8, BLK"/>
        <s v="90471A223 - FHS, 100DEG, #6-32 X .750, STEEL"/>
        <s v="OH2A1-100 - ASSY, UPPER CENTER PEDESTAL"/>
        <s v="OH2A1-17 - UPPER CENTER PEDESTAL FACE"/>
        <s v="OH2A1-18 - UPPER CENTER PEDESTAL AMPCD TRIM"/>
        <s v="OH2A3A1-1 - ASSY, AMPCD MODULE"/>
        <s v="OH2A3A1-10 - AMPCD - CRS-HDG BASE SUPPORT"/>
        <s v="OH2A3A1-11 - HDG-CRS SET SPACER"/>
        <s v="OH2A3A1-12 - HDG-CRS SET SPACER LIGHTPLATE"/>
        <s v="OH2A3A1-13 - HDG-CRS SET SPACER LEGEND PLATE"/>
        <s v="OH2A3A1-14 - AMPCD BEZEL"/>
        <s v="OH2A3A1-15 - AMPCD FINGER GUARD A"/>
        <s v="OH2A3A1-16 - AMPCD FINGER GUARD B"/>
        <s v="OH2A3A1-17 - AMPCD FINGER GUARD C"/>
        <s v="OH2A3A1-18 - AMPCD BUTTON"/>
        <s v="OH2A3A1-19 - AMPCD BUTTON INSERT"/>
        <s v="OH2A3A1-20 - AMPCD ROCKER"/>
        <s v="OH2A3A1-21 - AMPCD ROCKER INSERT"/>
        <s v="OH2A3A1-22 - AMPCD LEGEND PLATE, DAY"/>
        <s v="OH2A3A1-23 - AMPCD LEGEND PLATE, NGT"/>
        <s v="OH2A3A1-24 - AMPCD LEGEND PLATE, OFF"/>
        <s v="OH2A3A1-25 - AMPCD LEGEND PLATE, GAIN"/>
        <s v="OH2A3A1-26 - AMPCD LEGEND PLATE, SYM"/>
        <s v="OH2A3A1-27 - AMPCD LEGEND PLATE, BRT"/>
        <s v="OH2A3A1-28 - AMPCD LEGEND PLATE, CONT"/>
        <s v="7598A71 - TAPE, LIGHT DUTY, DOUBLE SIDED, FOAM (1)"/>
        <s v="ER-TFTV101A1-1_HDMI_CONTROLLER_PCB"/>
        <s v="OH2A3A1-29 - AMPCD_BUTTON_BOARD"/>
        <s v="3846N371 - 1.0 X 36.0, STRIP, NPRN, ADHESIVE BACK, 40A DURO"/>
        <s v="OH2A3A1-30 - AMPCD FINGER GUARD D"/>
        <s v="39SB-1RB-103 - POT, 10K LINEAR, .125 SHAFT, DETENT SWITCH"/>
        <s v="100SP4T8B13M1QEH - SWITCH, TOGGLE, (ON)-OFF-(ON), SPDT"/>
        <s v="91251A115 - SHCS, #4-40 X 1.00, PART THD, STEEL, BLK"/>
        <s v="91251A107 - SHCS, #4-40 X .3125, STEEL, BLK"/>
        <s v="OHC0015-1 - ASSY, DDI_AMPCD_CONTROLLER"/>
        <s v="OHC0015-10 - PCB, DDI_AMPCD_CONTROLLER"/>
        <s v="OHC0003-412FGB2 - ASSY, KNOB, GREY, .125 RECESSED D-SHAFT"/>
        <s v="91078A029 - NUT, THIN, .25-20, STEEL"/>
        <s v="OH2A1-200 - ASSY, LOWER CENTER PEDESTAL"/>
        <s v="OH2A1-13 - LOWER CENTER PEDESTAL FACE"/>
        <s v="OH2A1-14 - RUDDER PEDAL ADJUST KNOB"/>
        <s v="OH2A1-15 - RUDDER PEDAL ADJUST LEVER"/>
        <s v="OH2A1-16 - CLOCK COVER"/>
        <s v="OH2A4A1-1 - ASSY, PANEL, RWR CONTROL"/>
        <s v="OH2A4A1-10 - RWR CONTROL PANEL BACKPLATE"/>
        <s v="OH2A4A1-11 - RWR CONTROL PANEL LEGEND PLATE"/>
        <s v="OH2A4A1-12 - RWR CONTROL PANEL COVER"/>
        <s v="OH2A4A1-100 - RWR CONTROL INDICATOR, FAIL BIT"/>
        <s v="OH2A5A1-102 - .55 SQ INDICATOR COVER, BLANK"/>
        <s v="OH2A4A1-103 - RWR CONTROL INDICATOR LEGEND, FAIL BIT"/>
        <s v="OH2A4A1-200 - RWR CONTROL INDICATOR, ENABLE OFFSET"/>
        <s v="OH2A4A1-203 - RWR CONTROL INDICATORLEGEND, ENABLE OFFSET"/>
        <s v="OH2A4A1-300 - RWR CONTROL INDICATOR, ENABLE SPECIAL"/>
        <s v="OH2A4A1-303 - RWR CONTROL INDICATOR LEGEND, ENABLE SPECIAL"/>
        <s v="OH2A4A1-400 - RWR CONTROL INDICATOR, LIMIT DISP"/>
        <s v="OH2A4A1-403 - RWR CONTROL INDICATOR LEGEND, LIMIT DISP"/>
        <s v="OH2A4A1-500 - RWR CONTROL INDICATOR, ALR-67 PWR"/>
        <s v="OH2A4A1-502 - RWR CONTROL LEGEND COVER, ALR-67 PWR"/>
        <s v="OH2A4A1-503 - RWR CONTROL LEGEND, ON"/>
        <s v="OH2A4A1-506 - PCB, RWR CONTROL PANEL"/>
        <s v="50A36-01-1-05N - SWITCH, ROTARY, 36DEG, 5 POS, .125 FLAT SHAFT"/>
        <s v="3310Y-101-103L - POT, 10K LINEAR, .125 FLAT X .50 SHAFT, .25 DIA BUSHING"/>
        <s v="91251A146 - SHCS, 6-32 X .375, STEEL, BLK"/>
        <s v="H-38-15 - HEX NUT FOR POTENTIOMETER, 1/4-28-UNF-2B"/>
        <s v="OH2A4A1-13 - RWR CONTROL PANEL PCB SUPPORT"/>
        <s v="93225A413 - ROD, THREADED, 2-56 X 2.0"/>
        <s v="OH2A4A1-14 - RWR CONTROL PANEL ABSIS ADAPTER PLATE"/>
        <s v="OHC0003-A-028ABW2 - ASSY, KNOB, BLACK, ROUND, .125 D-SHAFT"/>
        <s v="OHC0003-028ABW2 - KNOB, BLACK, ROUND, .125 D-SHAFT"/>
        <s v="OHC0003-A-028ABN2 - ASSY, KNOB, BLACK, ROUND, .125 D-SHAFT"/>
        <s v="OHC0003-028ABN2 - KNOB, BLACK, ROUND, .125 D-SHAFT"/>
        <s v="N/A - TOP NUT (PO 50A36-01-1-05N)"/>
        <s v="OH2A5A1-1 - ASSY, PANEL, ECM/DISP"/>
        <s v="OH2A5A1-10 - DISP-EMC PANEL BACKPLATE"/>
        <s v="OH2A5A1-11 - DISP-EMC PANEL  LIGHTPLATE"/>
        <s v="OH2A5A1-12 - DISP-EMC PANEL LEGENDPLATE"/>
        <s v="OH2A5A1-100 - ECM JETT SEL INDICATOR"/>
        <s v="OH2A5A1-14 - ECM JETT INDICATOR COVER"/>
        <s v="OH2A5A1-105 - .55 SQ INDICATOR BASE"/>
        <s v="OH2A5A1-106 - .55 SQ LEGENDPLATE INSERT"/>
        <s v="OH2A5A1-107 - ECM JETT SEL LEGEND"/>
        <s v="OH2A5A1-13 - PCB, DISP-EMC PANEL V2.5"/>
        <s v="OH2A5A1-14 - DISP - EMC PANEL ABSIS ADAPTER PLATE"/>
        <s v="OHC0001-4 - ASSY, SWITCH, S3AL, ROUND BAT"/>
        <s v="S3AL - SWITCH, TOGGLE, LOCKING, SPDT, 3-POSN, NO BAT"/>
        <s v="OHC0001-10 - BAT, ROUND, FOR NKK SXAL SWITCH"/>
        <s v="OHC0001-2 - ASSY, SWITCH, S1AL, CONICAL BAT"/>
        <s v="S1AL - SWITCH, TOGGLE, LOCKING, SPST, 2-POSN, NO BAT"/>
        <s v="OHC0001-20 - BAT, CONICAL, FOR NKK SXAL SWITCH"/>
        <s v="AT503M - HEX NUT FOR SWITCH, M12-1"/>
        <s v="71B36-01-2-05N - SWITCH, ROTARY, 5 POS, 36 DEG, .25 D-SHAFT"/>
        <s v="99461A505 - PHS, 0-42 X .125, SELF TAPPING, 18-8"/>
        <s v="90272A144 - PHS, #6-32 X 0.250, STEEL"/>
        <s v="OHC0003-A-385CGB4-LO - ASSY, KNOB, GREY, .25 D-SHAFT, MOD"/>
        <s v="OHC0003-385CGB4-LO - KNOB, GREY, .25 D-SHAFT, MOD"/>
        <s v="92311A189 - SET SCREW, 8-32 X .1875, CUP POINT, 18-8"/>
        <s v="91772A058 - PHS, #0-80 X 0.2187, 18-8"/>
        <s v="OH2A6A1-1 - ASSY, CABIN PRESSURE GAUGE"/>
        <s v="OH2A6A1-13 - CABIN PRESS DIAL FACE"/>
        <s v="OHC0007-2 - ASSY, 2IN GAUGE SGL STPR MECH W/O ZERO DETECT"/>
        <s v="VID29-02P - MICROSTEPPER, GAUGE, 315 DEG ROT"/>
        <s v="57155K371 - BEARING, SEALED, .1563 ID X .3125 OD X .125 THK, R155-2Z"/>
        <s v="OH2A1-29 - USB TO HDMI ADAPTER"/>
        <s v="OH1A1-1 - ASSY, UPPER INSTRUMENT PANEL"/>
        <s v="OH1A1-10 - UIP LEFT GLARESHIELD"/>
        <s v="8693K18 - (MOD_1) TRIM, .125 X .25 ID, EPDM RUBBER, BLACK (1)"/>
        <s v="8693K18 - (MOD_2) TRIM, .125 X .25 ID, EPDM RUBBER, BLACK"/>
        <s v="OH1A1-11 - UIP UPPER HUD BOX COVER"/>
        <s v="OH1A1-100 - GLARESHIELD MOUNTING TAB GROUP, LH"/>
        <s v="OH1A1-101 - GLARESHIELD MOUNTING TAB, LH"/>
        <s v="93365A160 - INSERT, .25-20, BRASS, FOR PLASTICS"/>
        <s v="OH1A1-200 - GLARESHIELD MOUNTING TAB GROUP, RH"/>
        <s v="OH1A1-201 - GLARESHIELD MOUNTING TAB, RH"/>
        <s v="OH1A1-12 - UPPER INSTRUMENT PANEL FACE"/>
        <s v="OH1A1-13 - UIP LEFT OUTBOARD LONGERON"/>
        <s v="OH1A1-14 - UIP LEFT INBOARD LONGERON"/>
        <s v="OH1A1-15 - UIP FLOOR"/>
        <s v="OH1A1-16 - UPPER HUD BOX SUPPORT"/>
        <s v="OH1A1-17 - UIP FWD BULKHEAD"/>
        <s v="OH1A1-18 - UPPER UIP FACE MOUNT, LEFT"/>
        <s v="OH1A1-19 - MFD LOWER SUPPORT A"/>
        <s v="OH1A1-20 - MFD LOWER SUPPORT B"/>
        <s v="OH1A1-21 - MFD LOWER SUPPORT C"/>
        <s v="OH1A1-22 - UIP DISPLAY PRESSURE FOOT"/>
        <s v="OH1A1-23 - HUD PANEL AFT SUPPORT"/>
        <s v="OH1A1-24 - HUD PANEL CONNECTION BRACKET"/>
        <s v="OH1A1-25 - UIP CENTRAL TIE BRACKET"/>
        <s v="3846N371 - 1.0 X 36.0, STRIP, NEO RBR, ADHESIVE BACK, 40A DURO, BLACK"/>
        <s v="OH1A1-26 - MIRRORMFD LOWER SUPPORT A"/>
        <s v="OH1A1-27 - UIP RIGHT INBOARD LONGERON"/>
        <s v="OH1A1-29 - UIP RIGHT GLARESHIELD"/>
        <s v="8693K18 - (MOD_1) TRIM, .125 X .25 ID, EPDM RUBBER, BLACK"/>
        <s v="8693K18 - (MOD_2) TRIM, .125 X .25 ID, EPDM RUBBER, BLACK (1)"/>
        <s v="OH1A1-28 - UPPER UIP FACE MOUNT, RIGHT"/>
        <s v="OH1A3-1 - ASSY, DDIV2"/>
        <s v="OH1A3-10 - DDI BEZEL"/>
        <s v="OH1A3-11 - DDI BUTTON"/>
        <s v="OH1A3-12 - DDI BUTTON INSERT"/>
        <s v="OH1A3-13 - PCB, DDI_V4"/>
        <s v="OH1A3-14 - DDI LEGEND PLATE, BRT"/>
        <s v="OH1A3-15 - DDI LEGEND PLATE, CONT"/>
        <s v="OH1A3-16 - DDI LEGEND PLATE, MODE"/>
        <s v="OH1A3-17 - DDI FINGERGUARDS"/>
        <s v="OH1A3-18 - DDI MOUNTING SPACER"/>
        <s v="OH1A3-19 - DDI FINGERGUARDS, SHORT LEFT"/>
        <s v="OH1A3-20 - DDI FINGERGUARDS, SHORT RIGHT"/>
        <s v="92196A084 - SHCS, #2-56 X .750, 18-8"/>
        <s v="PEC11R-4220F-N0024 - ENCODER, INC, QUAD, DETENT, NO SWITCH, 12PPR, 6MM DIA X 20MM FLAT SHAFT"/>
        <s v="AT507M - LOCKING RING FOR SWITCH, 6 MM ID"/>
        <s v="OHC0003-A-08FLGB1-SR - ASSY, KNOB, GREY, .125 SHAFT"/>
        <s v="OHC0003-08FLGB1-SR - KNOB, GREY, .125 SHAFT"/>
        <s v="92311A103 - SET SCREW, 4-40 X .125, CUP POINT, 18-8"/>
        <s v="OHC0003-A-08FLGN3-SR - ASSY, KNOB, GREY, .25 SHAFT, MOD"/>
        <s v="OHC0003-08FLGN3-SR - KNOB, GREY, .25 SHAFT, SINGLE SETSCREW"/>
        <s v="AT509 - LOCK WASHER FOR SWITCH, M6"/>
        <s v="AT513M - HEX NUT FOR SWITCH, M6 X .75"/>
        <s v="MRX108 - SWITCH, ROTARY, 45 DEG, 2-8 POS, NKK"/>
        <s v="OH1A4-1 - ASSY, EYEBROW WARNING MODULE, LEFT"/>
        <s v="OH1A5-13 - EWI FIRE FINGER GUARD"/>
        <s v="OH1A5-14 - EWI FIRE FINGER GUARD MOUNTING BLOCK"/>
        <s v="OH1A5-16 - EYEBROW WARNING SMALL LEGEND COVER"/>
        <s v="OH1A4-13 - EYEBROW WARNING SMALL LEGEND, STBY"/>
        <s v="OH1A4-14 - EYEBROW WARNING SMALL LEGEND, R BLEED"/>
        <s v="OH1A4-15 - EYEBROW WARNING SMALL LEGEND, XMIT"/>
        <s v="OH1A4-16 - EYEBROW WARNING SMALL LEGEND, REC"/>
        <s v="OH1A4-17 - EYEBROW WARNING SMALL LEGEND, GO"/>
        <s v="OH1A4-18 - EYEBROW WARNING SMALL LEGEND, ASPJ ON"/>
        <s v="OH1A4-19 - EYEBROW WARNING SMALL LEGEND, SPD BRK"/>
        <s v="OH1A4-20 - EYEBROW WARNING SMALL LEGEND, NO GO"/>
        <s v="OH1A4-21 - EYEBROW WARNING SMALL LEGEND, L BLEED"/>
        <s v="OH1A4-22 - EYEBROW WARNING SMALL LEGEND, L BAR"/>
        <s v="OH1A5-18 - EYEBROW WARNING SMALL LEGEND DIFFUSER"/>
        <s v="OH1A4-24 - EYEBROW WARNING SMALL LEGEND DIFFUSER (1)"/>
        <s v="OH1A4-25 - EYEBROW WARNING SMALL LEGEND DIFFUSER (2)"/>
        <s v="OH1A4-26 - EYEBROW WARNING LARGE LEGEND, MASTER CAUTION"/>
        <s v="OH1A5-19 - EYEBROW WARNING LARGE LEGEND COVER"/>
        <s v="OH1A5-22 - PUSHBUTTON INDICATOR STANDOFF"/>
        <s v="OH1A4-29 - EYEBROW WARNING LARGE LEGEND DIFFUSER (1)"/>
        <s v="OH1A5-21 - EYEBROW WARNING LARGE LEGEND DIFFUSER"/>
        <s v="OH1A5-20 - EYEBROW WARNING LARGE LEGEND, FIRE"/>
        <s v="OH1A4-32 - MIRROREWI CHASSIS - RIGHT"/>
        <s v="OH1A4-33 - MIRROREWI LEGEND PLATE - RIGHT"/>
        <s v="OH1A4-34 - PCB, EWI_V3_LEFT"/>
        <s v="OH1A5-12 - EWI LIGHT CHANNELS - RIGHT"/>
        <s v="1568A640 - HANDLE, 4-40 FEMALE X 2.0 CENTERS X 1.0 PROTRUSION, ALUM, ANODIZED BLK"/>
        <s v="90276A143 - RHS, SLOTTED, 6-32 X .1875, STEEL"/>
        <s v="90471A427 - FHS, 100DEG, #4-40 X .625, STEEL"/>
        <s v="93085A116 - FHS, 100DEG, #4-40 X .875, 18-8"/>
        <m/>
        <s v="OH1A5-10 - EWI LEGEND PLATE - RIGHT"/>
        <s v="OH1A5-11 - EWI CHASSIS - RIGHT"/>
        <s v="OH1A5-15 - PCB, EWI_V3_RIGHT"/>
        <s v="OH1A5-17 - EYEBROW WARNING SMALL LEGEND, RCDRON"/>
        <s v="OH1A5-23 - EYEBROW WARNING LARGE LEGEND, APU FIRE"/>
        <s v="OH1A5-24 - EYEBROW WARNING SMALL LEGEND, LINE"/>
        <s v="OH1A5-25 - EYEBROW WARNING SMALL LEGEND, AI"/>
        <s v="OH1A5-26 - EYEBROW WARNING SMALL LEGEND, CW"/>
        <s v="OH1A5-27 - EYEBROW WARNING SMALL LEGEND, DISP"/>
        <s v="OH1A5-28 - EYEBROW WARNING SMALL LEGEND, SAM"/>
        <s v="OH1A5-29 - EYEBROW WARNING SMALL LEGEND, AAA"/>
        <s v="OH1A2-1 - ASSY, PANEL, MASTER ARM"/>
        <s v="OH1A2-10 - MASTER ARM BACKPLATE"/>
        <s v="OH1A2-11 - MASTERMODEPUSHBUTTONV2"/>
        <s v="OH1A2-12 - MASTER ARM LIGHTPLATE"/>
        <s v="OH1A2-13 - MASTER ARM LEGEND PLATE"/>
        <s v="OH1A2-14 - MASTER ARM MODULE SPACER"/>
        <s v="OH1A2-15 - EMERG JETT BRKT"/>
        <s v="OH1A2-100 - MASTER MODE PUSHBUTTON"/>
        <s v="OH1A2-101 - MASTER MODE PUSHBUTTON BASE"/>
        <s v="OH1A2-102 - MASTER MODE PUSHBUTTON BEZEL"/>
        <s v="OH1A2-103 - MASTER MODE PUSHBUTTON LEGEND AG"/>
        <s v="OH1A2-104 - MASTER MODE PUSHBUTTON LEGEND COVER"/>
        <s v="OH1A2-105 - MASTER MODE PUSHBUTTON LEGEND DIFFUSER"/>
        <s v="OH1A2-106 - MASTER MODE PUSHBUTTON ACTUATOR"/>
        <s v="OH1A2-107 - MASTER MODE PUSHBUTTON LEGEND AA"/>
        <s v="OH1A2-200 - READY DISCH INDICATOR"/>
        <s v="OH1A2-201 - .55 SQ INDICATOR BEZEL"/>
        <s v="OH1A2-202 - READY DISCH INDICATOR LEGEND COVER"/>
        <s v="OH1A2-203 - READY DISCH INDICATOR LEGEND"/>
        <s v="OH1A2-204 - .55 SQ INDICATOR ACTUATOR"/>
        <s v="OH1A2-205 - .55 SQ INDICATOR LEGEND DIFFUSER"/>
        <s v="OH1A2-207 - .55 SQ INDICATOR BASE"/>
        <s v="OH1A2-16 - EMERG JETT HOUSING"/>
        <s v="OH1A2-17 - EMERG JETT BUTTON"/>
        <s v="AT508 - LOCK WASHER FOR SWITCH, M12"/>
        <s v="KM1101RR02QE - PUSHBUTTON, SPST, SUBMINIATURE, PANEL MOUNT"/>
        <s v="1692K52 - SPRING, CONICAL COMPRESSION, .375 OAL X .600 X .31"/>
        <s v="98430A116 - RING, RETAINING, EXTERNAL, SELF-LOCKING, .125 OD"/>
        <s v="OH1A6-1 - ASSY, PANEL, SPIN RECOVERY"/>
        <s v="OH1A6-10 - SPIN PANEL BACKPLATE"/>
        <s v="OH1A6-11 - SPIN PANEL LIGHTPLATE"/>
        <s v="OH1A6-12 - SPIN PANEL LEGEND PLATE"/>
        <s v="OH1A6-100 - SPN INDICATOR"/>
        <s v="OH1A6-101 - SPN INDICATOR BODY"/>
        <s v="OH1A6-102 - SPN INDICATOR COVER"/>
        <s v="OH1A6-103 - SPN INDICATOR LEGEND"/>
        <s v="OH1A6-104 - SPN INDICATOR DIFFUSER"/>
        <s v="OH1A6-13 - PCB, SPIN RCV PANEL"/>
        <s v="OH1A6-14 - SPIN PANEL MODULE BRACKET"/>
        <s v="MS25224-2 - GUARD, TOGGLE SWITCH, 3-HOLE"/>
        <s v="91772A162 - PHS, #6-32 X .5625, 18-8"/>
        <s v="OHC0003-A-18FLGB4 - ASSY, KNOB, GREY, .25 D-SHAFT"/>
        <s v="OHC0003-18FLGB4 - KNOB, GREY, .25 D-SHAFT"/>
        <s v="92311A188 - SET SCREW, 8-32 X .125, CUP POINT, 18-8"/>
        <s v="OH1A6-15 - INSULATING WASHER"/>
        <s v="OH1A7-1 - ASSY, PANEL, HUD"/>
        <s v="OH1A7-100 - ASSY, HUD PANEL"/>
        <s v="OH1A7-103 - HUD PANEL LIGHT PLATE"/>
        <s v="OH1A7-104 - HUD PANEL LEGEND PLATE"/>
        <s v="96765A115 - WASHER, #6 X .375 OD, 18-8, BLACK-OXIDE"/>
        <s v="P0915N-FC20BR10K - POTENTIOMETER, 9MM ROTARY, PANEL MOUNT"/>
        <s v="OHC0003-A-1TS5GB4 - ASSY, KNOB, GREY, .25 D-SHAFT"/>
        <s v="OHC0003-1TS5GB4 - KNOB, GREY, .25 D-SHAFT"/>
        <s v="OHC0003-A-287AGB4 - ASSY, KNOB, GREY, .25 D-SHAFT"/>
        <s v="OHC0003-287AGB4 - ASSY, KNOB, GREY, .25 D-SHAFT"/>
        <s v="P09X NUT - HEX NUT FOR POTENTIOMETER, M7X0.75"/>
        <s v="OH1A7-102 - HUD PANEL BACKPLATE"/>
        <s v="OH1A7-200 - ASSY, HUD PANEL FWD SUPPORT"/>
        <s v="OH1A7-201 - HUD PANEL FWD SUPPORT"/>
        <s v="OH1A8-1 - ASSY, UPFRONT CONTROL PANEL"/>
        <s v="OH1A8A1-13 - FWD HUD BOX SUPPORT"/>
        <s v="91251A540 - SHCS, .25-20 X .750, STEEL, BLK"/>
        <s v="OH1A8A1-1 - ASSY, FWD UFC"/>
        <s v="OH1A8A1-10 - UFC PANEL SUPPORT STRUCTURE"/>
        <s v="OH1A8A1-11 - FWD UFC GUARD"/>
        <s v="OH1A8A1-12 - UFC COMM KNOB"/>
        <s v="91251A535 - SHCS, .25-20 X .375, STEEL, BLK"/>
        <s v="OH1A8A1-100 - UFC PANEL"/>
        <s v="OH1A8A1-101 - UFC COMM BEZEL"/>
        <s v="OH1A8A1-102 - UFC COMM BEZEL GUARD"/>
        <s v="OH1A8A1-103 - UFC OPT BEZEL"/>
        <s v="OH1A8A1-104 - UFC OPT BEZEL GUARD"/>
        <s v="OH1A8A1-105 - UFC SCRATCHPAD BEZEL"/>
        <s v="OH1A8A1-106 - UFC SCRATCHPAD BEZEL GUARD"/>
        <s v="OH1A8A1-109 - UFC SQUARE BUTTON, 1"/>
        <s v="OH1A8A1-110 - UFC SQUARE BUTTON, EM CON"/>
        <s v="OH1A8A1-112 - UFC ROUND BUTTON"/>
        <s v="OH1A8A1-113 - UFC ROUND BUTTON GUARD"/>
        <s v="OH1A8A1-114 - UFC LEGEND PLATE"/>
        <s v="OH1A8A1-115 - UFC INNER SPACER PLATE"/>
        <s v="OH1A8A1-116 - UFC FINGER GUARD"/>
        <s v="OH1A8A1-117 - UFC BACKPLATE"/>
        <s v="OH1A8A1-118 - UFC SQUARE BUTTON, 4"/>
        <s v="OH1A8A1-119 - UFC SQUARE BUTTON, 7"/>
        <s v="OH1A8A1-120 - UFC SQUARE BUTTON, CLR"/>
        <s v="OH1A8A1-121 - UFC SQUARE BUTTON, 2"/>
        <s v="OH1A8A1-122 - UFC SQUARE BUTTON, 5"/>
        <s v="OH1A8A1-123 - UFC SQUARE BUTTON, 8"/>
        <s v="OH1A8A1-124 - UFC SQUARE BUTTON, 0"/>
        <s v="OH1A8A1-125 - UFC SQUARE BUTTON, 3"/>
        <s v="OH1A8A1-126 - UFC SQUARE BUTTON, 6"/>
        <s v="OH1A8A1-127 - UFC SQUARE BUTTON, 9"/>
        <s v="OH1A8A1-128 - UFC SQUARE BUTTON, ENT"/>
        <s v="96006A231 - SHCS, #2-56 X .125, 18-8, BLK"/>
        <s v="OH1A8A1-200 - ASSY, PCB, UFC_MAIN"/>
        <s v="OH1A8A1-201 - PCB, UFC_MAIN V6"/>
        <s v="UFCSCRATCHPADBACKLIGHT - BACKLIGHT, LCD, SCRATCHPAD, TEKCREATIONS"/>
        <s v="UFCSCRATCHPADLCD - DISPLAY, LCD, UFC SKETCHPAD, TEKCREATIONS"/>
        <s v="UFCOPTIONDIGIT - DISPLAY, LED, 16X4+2 SEG, GRN, TEKCREATIONS"/>
        <s v="UFCSINGLEDIGIT"/>
        <s v="100SP3T2B3M2RE - TOGGLE, MICRO, 3 POS, .250 THD BUSHING, SHORT BAT"/>
        <s v="HDW2 - NUT FOR SWITCH .25-40UNS"/>
        <s v="P09X WASHER - WASHER FOR POTENTIOMETER, M7"/>
        <s v="SOCKET, HEADER, 2X8, .100 PITCH"/>
        <s v="S2 MINI - MCR, WEMOS S2 MINI, ESP32-S2"/>
        <s v="OH1A8A1-202 - STRIP, RUBBER, 3MM THK"/>
        <s v="OH1A8A1-203 - STRIP, RUBBER, 3MM THK"/>
        <s v="OH1A8A1-204 - STRIP, RUBBER, 2MM THK, 15MM W"/>
        <s v="OH1A8A1-111 - SQUARE BUTTON TRIM"/>
        <s v="OH1A8A3-1 - ASSY, AP SWITCH MODULE"/>
        <s v="OH1A8A3-10 - AP MODULE FWD BODY"/>
        <s v="OH1A8A3-11 - AP MODULE MOUNTING PLATE"/>
        <s v="OH1A8A3-15 - PCB, UFC_FUNCTION SELECT"/>
        <s v="OH1A8A3-14 - AP SQUARE BUTTON, A/P"/>
        <s v="OH1A8A3-16 - AP SQUARE BUTTON, IFF"/>
        <s v="OH1A8A3-17 - AP SQUARE BUTTON, TCN"/>
        <s v="OH1A8A3-18 - AP SQUARE BUTTON, ILS"/>
        <s v="OH1A8A3-19 - AP SQUARE BUTTON, D/L"/>
        <s v="OH1A8A3-20 - AP SQUARE BUTTON, BCN"/>
        <s v="OH1A8A3-21 - AP SQUARE BUTTON, ON/OFF"/>
        <s v="OH1A8A3-22 - AP SQUARE BUTTON TRIM"/>
        <s v="OH1A8A4-1 - ASSY, HUD BIT BOX"/>
        <s v="OH1A8A4-10 - HUD BIT BOX"/>
        <s v="OH1A8A4-11 - HUD BIT BOX LID"/>
        <s v="OH1A8A4-12 - HUD CAMERA"/>
        <s v="97763A141 - BHCS, #6-32 X .250, 18-8, BLK"/>
        <s v="334-15/X1C5-1QSA - LED, 5MM (T1.75), WHITE, 3.2V, 20MA, PTH"/>
        <s v="CMC 441 GTP - LENS CAP, GREEN"/>
        <s v="CMC 441 YTP - LENS CAP, YELLOW"/>
        <s v="N5040G 2 - DUST BOOT, GREY, .25-32, M5423-SLASH-10-01"/>
        <s v="30-3UL - SWITCH PUSH SPST-NO 5A 120V"/>
        <s v="97763A324 - BHCS, #6-32 X .125, 18-8, BLK"/>
        <s v="96640A295 - FHS, 100DEG, #2-56 X .250, 18-8, BLK"/>
        <s v="96640A334 - FHS, 100DEG, #4-40 X .250, 18-8, BLK"/>
        <s v="OH1A8-9001 - DECAL, TV LENS"/>
        <s v="92316A536 - HHCS, .25-20 X .500, GR8, STEEL, BLACK PHOS"/>
        <s v="90471A445 - FHS, 100DEG, .25-20 X .625, STEEL"/>
        <s v="ER-TFTV101A1-1 - 10 IN LCD DISPLAY"/>
        <s v="91780A117 - STANDOFF, #2-56 X 1.00, .1875 HEX, FEMALE, ALUMINUM"/>
        <s v="90471A130 - FHS, 100DEG, #2-56 X .375, STEEL"/>
        <s v="92198A692 - HHCS, .3125-18 X 2.25, PART THD, 18-8"/>
        <s v="96765A145 - WASHER, .3125 X .750 X .05 THK, 18-8, BLK"/>
        <s v="92673A119 - NUT, .3125-18, 18-8"/>
        <s v="OH3A1-1 - ASSY, CENTER TUB"/>
        <s v="OH3A1A1 - ASSY, MAIN CENTER TUB"/>
        <s v="OH3A1-101 - CENTER TUB FLOOR"/>
        <s v="OH3A1-102 - CENTER TUB KEYSTONE"/>
        <s v="OH3A1-103 - CENTER TUB AFT BULKHEAD"/>
        <s v="OH3A1-104 - CENTER TUB LEFT WALL"/>
        <s v="OH3A1-106 - CENTER TUB FWD BULKHEAD"/>
        <s v="OH3A1-107 - REAR HUMP OUTBOARD INTERNAL SUPPORT"/>
        <s v="OH3A1-108 - REAR HUMP LATERAL STRINGER"/>
        <s v="OH3A1-105 - CENTER TUB RIGHT WALL"/>
        <s v="OH3A1-109 - SEAT MOUNT ANGLE A, .125 X 2.0 X 2.0, 6063-T52"/>
        <s v="OH3A1-110 - STRIP A, .50 X 2.0, 60A DUROMETER, RUBBER, ADHESIVE BACKED"/>
        <s v="OH3A1-111 - SEAT MOUNT ANGLE B, .125 X 2.0 X 2.0, 6063-T52"/>
        <s v="OH3A1-112 - STRIP B, .50 X 2.0, 60A DUROMETER, RUBBER, ADHESIVE BACKED"/>
        <s v="92105A675 - INSERT, .25-20, SELF TAPPING, FOR SOFTWOOD"/>
        <s v="3225T24 - VIBRATION-DAMPING LOOP CLAMP"/>
        <s v="90252A118 - FHWS, 82DEG, #8 X 2.00, STEEL, BLK, FOR MDF"/>
        <s v="J15BF.1.15N - DRAG CHAIN, 15 X 15MM, ABS"/>
        <s v="OH3A2-1 - ASSY, EJECTION SEAT, SJU-17"/>
        <s v="OH3A2-100 - DROGUE DEPLOYMENT CATAPULT"/>
        <s v="OH3A2-101 - DROGUE DEPLOYMENT CATAPULT UPPER CAP"/>
        <s v="OH3A2-102 - DROGUE DEPLOYMENT CATAPULT LOWER CAP"/>
        <s v="OH3A2-103 - DROGUE DEPLOYMENT CATAPULT BODY"/>
        <s v="OH3A2-104 - DROGUE DEPLOYMENT CATAPULT MOUNT"/>
        <s v="OH3A2-105 - DROGUE DEPLOYMENT CASTLE NUT"/>
        <s v="OH3A2-27 - UPPER PARACHUTE DEPLOYMENT ROCKET ARM"/>
        <s v="OH3A2-200 - PARACHUTE DEPLOYMENT ROCKET"/>
        <s v="OH3A2-201 - PARACHUTE DEPLOYMENT ROCKET BODY"/>
        <s v="OH3A2-202 - PARACHUTE DEPLOYMENT ROCKET LOWER BODY"/>
        <s v="OH3A2-203 - PARACHUTE DEPLOYMENT ROCKET UPPER CAP"/>
        <s v="OH3A2A-100 - ASSY, SEAT BUCKET, SJU-17"/>
        <s v="OH3A2A-1100 - ASSY, RIGHT SEAT BUCKET"/>
        <s v="OH3A2A-135 - MANUAL OVERRIDE HANDLE MECHANISM GUARD"/>
        <s v="OH3A2A-134 - MANUAL OVERRIDE HANDLE SWITCH MOUNT"/>
        <s v="OH3A2A-132 - MANUAL OVERRIDE HANDLE"/>
        <s v="OH3A2A-137 - CRANK ARM, SEAT ARMING LEVER"/>
        <s v="OH3A2A-133 - SEAT ARMING LEVER"/>
        <s v="OH3A2A-125 - RIGHT SEAT BUCKET SKIN"/>
        <s v="91654A144 - SCREW NAIL, DOMED, .14 X .25 SHANK X .25 HD DIA, 18-8"/>
        <s v="91772A060 - PHS, #0-80 X 0.625, 18-8"/>
        <s v="90272A832 - PHS, #10-32 X .875, STEEL"/>
        <s v="92141A011 - WASHER, #10 X .438 OD, 18-8"/>
        <s v="91771A140 - FHS, 82DEG, #2-56 X 1.00, 18-8"/>
        <s v="93365A102 - INSERT, 0-80, BRASS, FOR PLASTICS"/>
        <s v="91772A064 - PHS, #0-80 X 0.4375, 18-8"/>
        <s v="92735A605 - GROOVED CLEVIS PIN, .3125 OD X .625 UL X .75 OAL"/>
        <s v="92735A610 - GROOVED CLEVIS PIN, .3125 OD X .875 UL X 1.0 OAL"/>
        <s v="90969A310 - SCREW, ULTRA LOW PROFILE SHOULDER, .375 X .50 L X .3125-18 X .50"/>
        <s v="84835A23 - SPRING PLUNGER, BALL-NOSE, PRESS-FIT, 0.25 IN DIA"/>
        <s v="6627K412 - BEARING, SLEEVE, .4698 OD X .25 L X .6875 FLANGE"/>
        <s v="6294K432 - BEARING, SLEEVE, .3125 OD X .25 L X .375 FLANGE"/>
        <s v="60645K311 - ROD END, BALL JOINT, 10-32 FEMALE X .3125 ID, STEEL, ZINC"/>
        <s v="9657K328 - SPRING, COMPRESSION, .198 ID X .25 OD X 1.25OAL"/>
        <s v="6516K120 - ROD, CONNECTING, 10-32 X 1.1875, 12 OAL, STEEL"/>
        <s v="90480A195 - NUT, #10-32, THIN, STEEL"/>
        <s v="1394A230 - BRACKET, FLAT, 1.5 X 0.5 X .06, 2X #5 HOLE, STEEL"/>
        <s v="60645K111 (LH) - ROD END, BALL JOINT, 10-32 X .750 X .3125 ID, LH, STEEL"/>
        <s v="60645K111 (RH) - ROD END, BALL JOINT, 10-32 X .750 X .3125 ID, RH, STEEL"/>
        <s v="93330A564 - STANDOFF, #10-32 X 4.00, .25 OD, FEMALE, ALUMINUM"/>
        <s v="93330A554 - STANDOFF, #10-32 X 3.50, .25 OD, FEMALE, ALUMINUM"/>
        <s v="90322A639 - ROD, THREADED, 10-32 X 1.0, STEEL"/>
        <s v="OH3A2A-1200 - ASSY, LEFT SEAT BUCKET"/>
        <s v="OH3A2A-127 - SEAT HEIGHT ACTUATOR SWITCH HOUSING"/>
        <s v="OH3A2A-128 - OUTER SHOULDER HARNESS CONTROL LEVER HOUSING"/>
        <s v="OH3A2A-129 - INNER SHOULDER HARNESS CONTROL LEVER HOUSING"/>
        <s v="OH3A2A-130 - SHOULDER HARNESS CONTROL LEVER"/>
        <s v="OH3A2A-131 - SHOULDER HARNESS CONTROL LEVER HANDLE"/>
        <s v="OH3A2A-126 - LEFT SEAT BUCKET SKIN"/>
        <s v="5901A122 - SPRING PLUNGER, BALL-NOSE, 8-32 HEX DRIVE"/>
        <s v="OH3A2A-1300 - ASSY, EJECTION HANDLE"/>
        <s v="OH3A2A-142 - EJECTION HANDLE CAP SUPPORT"/>
        <s v="7856K18 - HEAT-SHRINK, .75ID SHRINK TO .375ID, POLYOLEFIN, YELLOW"/>
        <s v="PTN0.50SS - SLEEVING, BRAIDED, SAFETY STRIPE (YELLOW-BLACK), .500 DIA, PET"/>
        <s v="5648K33 - TUBING, .500OD X .3281 ID, 95A DUROMETER, POLYURETHANE, YELLOW"/>
        <s v="8912T54 - ROPE, WIRE, COATED, .1875 ROPE DIA, .3125 COATING DIAMETER, BLACK"/>
        <s v="OH3A2A-143 - EJECTION HANDLE CAP"/>
        <s v="OH3A2A-144 - EJECTION HANDLE SWITCH ACTUATOR"/>
        <s v="OH3A2A-145 - LOWER EJECTION HANDLE BASE"/>
        <s v="OH3A2A-146 - UPPER EJECTION HANDLE BASE"/>
        <s v="95412A560 - ROD, .25-20 X 4.500, 18-8"/>
        <s v="9657K332 - SPRING, COMPRESSION, 0.296 ID X 0.36 OD X 1.25 LG"/>
        <s v="3914T5 - STOP, WIRE ROPE, .1875 WIRE DIA"/>
        <s v="OH3A2A-1000 - ASSY, CENTER SEAT BUCKET"/>
        <s v="OH3A2A-140 - RIGHT KNEE GUARD SUPPORT"/>
        <s v="OH3A2A-141 - KNEE GUARD SUPPORT BRACKET"/>
        <s v="OH3A2A-101 - SEAT BASE"/>
        <s v="OH3A2A-102 - UPPER SEAT BASE"/>
        <s v="OH3A2A-103 - RIGHT OUTBOARD UPPER SEAT PAN LONGERON"/>
        <s v="OH3A2A-105 - UPPER SEAT PAN DETAIL B"/>
        <s v="OH3A2A-106 - UPPER SEAT PAN DETAIL C"/>
        <s v="OH3A2A-107 - RIGHT INBOARD UPPER SEAT PAN LONGERON"/>
        <s v="OH3A2A-108 - RIGHT THIGH SUPPORT"/>
        <s v="OH3A2A-109 - FWD UPPER SEAT PAN TRIM"/>
        <s v="OH3A2A-107 - LEFT INBOARD UPPER SEAT PAN LONGERON"/>
        <s v="OH3A2A-108 - LEFT THIGH SUPPORT"/>
        <s v="OH3A2A-110 - LEFT OUTBOARD UPPER SEAT PAN LONGERON"/>
        <s v="OH3A2A-112 - UPPER SEAT PAN DETAIL E"/>
        <s v="OH3A2A-115 - REAR UPPER SEAT PAN SUPPORT"/>
        <s v="OH3A2A-116 - FWD SEAT PAN TOP SUPPORT"/>
        <s v="OH3A2A-117 - SEAT PAN TOP"/>
        <s v="OH3A2A-138 - ACCESS PANEL, SEAT PAN"/>
        <s v="OH3A2A-119 - SEAT BACK BASE"/>
        <s v="OH3A2A-120 - SEAT BACK RIB A"/>
        <s v="OH3A2A-121 - SEAT BACK RIB B"/>
        <s v="OH3A2A-122 - RIGHT SEAT BACK DOUBLER PLATE"/>
        <s v="OH3A2A-124 - SEAT BACK SKIN"/>
        <s v="OH3A2A-123 - LEFT SEAT BACK DOUBLER PLATE"/>
        <s v="OH3A2A-147 - LEFT KNEE GUARD SUPPORT"/>
        <s v="4280-BLACK - BRACKET, SLOTTED, INSIDE CORNER"/>
        <s v="90377A165 - WASHER, .3125 X 1.50 OD, 18-8, BLK"/>
        <s v="91780A035 - STANDOFF, #2-56 X 1.50, .1875 HEX, FEMALE, 6061"/>
        <s v="OH3A2-33 - SEAT PAN CUSHION"/>
        <s v="OH3A2-34 - SEAT BACK CUSHION"/>
        <s v="OH3A2A-200 - ASSY, PARACHUTE CONTAINER, SJU-17"/>
        <s v="OH3A2A-221 - PCM PARACHUTE CONTAINER INTERFACE PLATE"/>
        <s v="OH3A2A-222 - PCM UPPER RAIL INTERFACE PLATE"/>
        <s v="OH3A2A-223 - PCM SUPPORT"/>
        <s v="OH3A2A-201 - LOWER PARACHUTE CONTAINER BASE"/>
        <s v="OH3A2A-202 - FWD PARACHUTE CONTAINER SUPPORT"/>
        <s v="OH3A2A-203 - TOP PARACHUTE CONTAINER BASE"/>
        <s v="OH3A2A-204 - LEFT SIDE PARACHUTE CONTAINER SUPPORT"/>
        <s v="OH3A2A-205 - AFT PARACHUTE CONTAINER SUPPORT"/>
        <s v="OH3A2A-206 - RIGHT SIDE PARACHUTE CONTAINER SUPPORT"/>
        <s v="OH3A2A-207 - LH CANOPY BREAKER"/>
        <s v="OH3A2A-208 - RH CANOPY BREAKER"/>
        <s v="OH3A2A-209 - LH PARACHUTE CONTAINER LID"/>
        <s v="OH3A2A-210 - RH PARACHUTE CONTAINER LID"/>
        <s v="OH3A2A-211 - SJU-17 HEADREST A"/>
        <s v="OH3A2A-212 - SJU-17 HEADREST D"/>
        <s v="OH3A2A-213 - SJU-17 HEADREST C"/>
        <s v="OH3A2A-214 - SJU-17 HEADREST B"/>
        <s v="OH3A2A-215 - OUTSIDE PARACHUTE CONTAINER SKIN"/>
        <s v="OH3A2A-216 - LOWER PARACHUTE CONTAINER SKIN TRIM"/>
        <s v="OH3A2A-217 - RIGHT OUTSIDE PARACHUTE CONTAINER SKIN"/>
        <s v="OH3A2A-218 - RIGHT LOWER PARACHUTE CONTAINER SKIN TRIM"/>
        <s v="91309A587 - HHCS, .3125-18 X 1.5, STEEL"/>
        <s v="60645K131 - ROD END, BALL JOINT, .3125-24 X 1.25 SHANK X .875 OAW, STEEL"/>
        <s v="90275A196 - FHS, 82DEG, #8-32 X .625, STEEL"/>
        <s v="93085A854 - FHS, 100DEG, #8-32 X 2.00, 18-8"/>
        <s v="98060A580 - BOLT, CARRIAGE, KNURLED-NECK, .3125-18 X 1.75L, GR5"/>
        <s v="57715K26 - KNOB, THREE-ARM, .3125-18, THRU-HOLE, PLASTIC"/>
        <s v="OH3A2A-9003 - DECAL, BUCKET-SEAT ASSY"/>
        <s v="OH3A2A-9002 - DECAL, BRIDLE AND BOX"/>
        <s v="OH3A2A-9005 - DECAL, DO NOT HOLD"/>
        <s v="OH3A2A-9004 - DECAL, DANGER DO NOT PULL"/>
        <s v="OH3A2A-9008 - DECAL, SEAT BUCKET MECH"/>
        <s v="OH3A2A-9006 - DECAL, NACES PFCL"/>
        <s v="OH3A2A-9007 - DECAL, PARACHUTE ASSY"/>
        <s v="OH3A2A-9010 - DECAL, SEAT, AIRCRAFT EJECTION"/>
        <s v="OH3A2A-9011 - DECAL, SEAT APPLICATION"/>
        <s v="OH3A2A-9014 - DECAL, SURVIVAL KIT, OXYGEN, AIRCRAFT SEAT"/>
        <s v="OH3A2A-9016 - DECAL, DROGUE ASSY"/>
        <s v="OH3A2-300 - ASSY, SEAT BASE &amp; RAILS"/>
        <s v="OH3A2-10 - FWD SEAT MOUNT CROSSMEMBER"/>
        <s v="OH3A2-11 - SEAT CATAPULT"/>
        <s v="OH3A2-12 - SEAT CATAPULT MOUNT"/>
        <s v="OH3A2-13 - SEAT CATAPULT DETAIL RING"/>
        <s v="OH3A2-14 - BUTTKICKER MOUNTING PLATE"/>
        <s v="OH3A2-15 - OUTBOARD SEAT MOUNT"/>
        <s v="OH3A2-16 - INBOARD SEAT MOUNT"/>
        <s v="OH3A2-17 - VERTICAL MOUNTING RAIL"/>
        <s v="OH3A2-18 - VERTICAL MOUNTING RAIL, OUTER"/>
        <s v="OH3A2-19 - UPPER HORIZONTAL MOUNTING RAIL"/>
        <s v="OH3A2-21 - LOWER HORIZONTAL MOUNTING RAIL"/>
        <s v="OH3A2-22 - UPPER RAIL CAP"/>
        <s v="OH3A2-24 - SEAT CATAPULT HORIZONTAL SUPPORT"/>
        <s v="OH3A2-25 - SEAT REAR RAIL PLATE"/>
        <s v="OH3A2-26 - DROGUE DEPLOYMENT MOUNT A"/>
        <s v="OH3A2-28 - LOWER PARACHUTE DEPLOYMENT ROCKET MOUNT"/>
        <s v="OH3A2-29 - RH OUTBOARD SEAT MOUNT"/>
        <s v="OH3A2-30 - RH VERTICAL MOUNTING RAIL INNER"/>
        <s v="OH3A2-31 - RH VERTICAL MOUNTING RAIL OUTER"/>
        <s v="OH3A2-32 - RH INBOARD SEAT MOUNT"/>
        <s v="OH3A2-35 - LH IGNITION BLOCK"/>
        <s v="OH3A2-36 - RH IGNITION BLOCK"/>
        <s v="OH3A2-37 - LOWER HEADREST BLOCK B"/>
        <s v="OH3A2-38 - LOWER HEADREST BLOCK D"/>
        <s v="OH3A2-39 - LOWER HEADREST BLOCK A"/>
        <s v="OH3A2-40 - LOWER HEADREST BLOCK A (1)"/>
        <s v="OH3A2-41 - SEAT HARNESS REEL"/>
        <s v="OH3A2-42 - SEAT SEAWARS PROBE"/>
        <s v="OH3A2-43 - LOWER HEADREST SKIN"/>
        <s v="98381A474 - PIN, DOWEL, .125 OD X .875L, ALLOY STEEL"/>
        <s v="9994T91 - CASTER, FIXED, EDGE-MOUNT, 2.0 OD RBR WHEEL"/>
        <s v="OH3A2-400 - ASSY, BRIDLE CONTAINER COVER"/>
        <s v="OH3A2-20 - DROGUE BRIDLE CONTAINER"/>
        <s v="OH3A2-23 - AFT RAIL CAP"/>
        <s v="BK4-4 - XDCR, BUTTKICKER ADVANCE"/>
        <s v="OH3A3-1 - ASSY, FLIGHT CONTROL STICK"/>
        <s v="OH3A3-10 - ASSY, STICK PITCH AXIS"/>
        <s v="OH3A3-100 - ASSY, STICK YOKE"/>
        <s v="OH3A3-101 - ASSY, MAIN CASING"/>
        <s v="OH3A3-102 - ASSY, MAIN CASING A"/>
        <s v="OH3A3-103 - MAIN CASING A"/>
        <s v="93625A150 - NYLOC HEX NUT, M4 X 0.7 MM"/>
        <s v="OH3A3-104 - ASSY, MAIN CASING B"/>
        <s v="OH3A3-105 - MAIN CASING B"/>
        <s v="57485K68 - 10MM SET SCREW SHAFT COLLAR"/>
        <s v="92015A121 - SET SCREW, M5 X 0.8 MM, 10 MM LONG"/>
        <s v="92125A205 - FHCS, M4 X 0.7 MM, 40 MM LONG"/>
        <s v="OH3A3-106 - ROD, PITCH AXIS"/>
        <s v="OH3A3-107 - STUD, SPRING DAMPER"/>
        <s v="91287A307 - HHS, M8 X 1.25 MM, 45 MM LONG"/>
        <s v="91116A160 - OVERSIZED FLAT WASHER, M8, 8.4MM ID 24MM OD"/>
        <s v="OH3A3-108 - ASSY, PIVOTING STICK RISER MOUNT"/>
        <s v="OH3A3-109 - MID PLATE"/>
        <s v="OH3A3-110 - ASSY, PIVOT BLOCK A"/>
        <s v="OH3A3-111 - PIVOT BLOCK A"/>
        <s v="94180A331 - HEAT-SET INSERT, M3 X 0.5MM"/>
        <s v="94180A351 - HEAT-SET INSERT, M4 X 0.7MM"/>
        <s v="OH3A3-114 - PIVOT TOP PLATE"/>
        <s v="92125A204 - FHCS, M4 X 0.7 MM, 35 MM LONG"/>
        <s v="OH3A3-112 - ASSY, PIVOT BLOCK B"/>
        <s v="OH3A3-113 - PIVOT BLOCK B"/>
        <s v="92125A130 - FHCS, M3 X 0.5 MM, 10 MM LONG"/>
        <s v="6658K736 - 8MM ID, 12MM OD, 16MM LG, BRONZE SLEEVE BEARING"/>
        <s v="OH3A3-118 - ASSY, FWD PLATE"/>
        <s v="OH3A3-119 - ASSY, FWD MAIN PLATE"/>
        <s v="OH3A3-121 - BEARING PLATE"/>
        <s v="OH3A3-120 - MAIN PLATE"/>
        <s v="92125A192 - FHCS, M4 X 0.7 MM, 12 MM LONG"/>
        <s v="608-2RS 8X22X7 SEALED RADIAL BALL BEARING"/>
        <s v="FRT-D2-152-G1 - ROTARY DAMPER WITH 12-TOOTH M1 GEAR"/>
        <s v="FRT-D2-152 - ROTARY DAMPER"/>
        <s v="92095A194 - BHCS, M4 X 0.7MM, 16MM LONG"/>
        <s v="OH3A3-152 - ROLL AXIS DAMPER EXTENDED GEAR"/>
        <s v="OH3A3-153 - ROLL AXIS MAGNET CUP"/>
        <s v="5862K205 - MAGNET, .50 OD X .125 THK, NEODYMIUM"/>
        <s v="OH3A3-123 - ASSY, ROLL SENSOR"/>
        <s v="ABSIS004 - PCB, HALL SENSOR"/>
        <s v="OH3A3-150 - ROLL SENSOR MOUNT"/>
        <s v="93187A110 - HEX NUT, M2 X 0.4 MM, BRASS"/>
        <s v="92095A454 - BHCS, M2 X 0.4MM, 8 MM LONG"/>
        <s v="OH3A3-122 - ASSY, AFT MAIN PLATE"/>
        <s v="93475A230 - FLAT WASHER, M4"/>
        <s v="93475A270 - FLAT WASHER, M8"/>
        <s v="92125A203 - FHCS, M4 X 0.7 MM, 30 MM LONG"/>
        <s v="OH3A3-124 - SCISSOR STOP"/>
        <s v="6658K734 - 8MM ID, 12MM OD, 6MM LG, BRONZE SLEEVE BEARING"/>
        <s v="93475A250 - FLAT WASHER, M6"/>
        <s v="91287A254 - HHS, M6 X 1 MM, 80 MM LONG"/>
        <s v="93625A250 - NYLOC HEX NUT, M6 X 1 MM"/>
        <s v="91292A318 - SHCS, M4 X 0.7 MM, 75 MM LONG"/>
        <s v="OH3A3-115 - ASSY, ROLL DAMPER ARM A"/>
        <s v="OH3A3-116 - ROLL DAMPER ARM A"/>
        <s v="OH3A3-117 - ASSY, ROLL DAMPER ARM B"/>
        <s v="OH3A3-118 - ROLL DAMPER ARM B"/>
        <s v="92981A230 - SHOULDER SCREW, M6, 8MM DIA, 80MM LEN"/>
        <s v="92125A373 - FHCS, M4 X 0.7 MM, 55 MM LONG"/>
        <s v="OH3A3-125 - ASSY, SCISSORS"/>
        <s v="OH3A3-132 - ASSY, SCISSOR ARM A"/>
        <s v="OH3A3-133 - SCISSOR ARM A LINK"/>
        <s v="OH3A3-134 - SCISSOR ARM A BLOCK"/>
        <s v="92095A205- BHCS, M4 X 0.7MM, 45MM LONG"/>
        <s v="OH3A3-131 - SCISSOR CUSHION"/>
        <s v="6659K115 - 8MM ID, 12MM OD, 6MM LG, OIL-EMBEDDED FLANGED SLEEVE BEARING"/>
        <s v="OH3A3-126 - ASSY, SCISSOR ARM B"/>
        <s v="OH3A3-127 - SCISSOR ARM B LINK UPPER"/>
        <s v="OH3A3-128 - SCISSOR ARM B LINK SPACER"/>
        <s v="OH3A3-129 - SCISSOR ARM B LINK LOWER"/>
        <s v="OH3A3-130 - SCISSOR ARM B BLOCK"/>
        <s v="OH3A3-135 - SCISSOR SPRING SPACER"/>
        <s v="9654K421 - 1.75&quot; Long, 0.5&quot; OD, 0.055&quot; WD Steel Extension Spring with Loop Ends"/>
        <s v="93475A240 - FLAT WASHER, M5"/>
        <s v="92095A223 - BHCS, M5 X 0.8 MM, 45 MM LONG"/>
        <s v="93625A200 - NYLOC HEX NUT, M5 X 0.8 MM"/>
        <s v="OH3A3-11 - ASSY, LEFT PITCH DAMPER ANCHOR, SPA"/>
        <s v="OH3A3-136 - BLOCK, LEFT PITCH DAMPER ANCHOR"/>
        <s v="90576A117 - NYLOC HEX NUT, M8 X 1.25MM"/>
        <s v="OH3A3-12 - ASSY, RIGHT PITCH DAMPER ANCHOR, SPA"/>
        <s v="OH3A3-137 - BLOCK, RIGHT PITCH DAMPER ANCHOR"/>
        <s v="OH3A3-19L - ASSY, LEFT PITCH DAMPER"/>
        <s v="KX-ZNQ-024 - MOTORCYCLE STEERING DAMPER"/>
        <s v="KX-ZNQ-024 (PART OF) - DAMPER CLAMP"/>
        <s v="92095A238 - BHCS, M6 X 1MM, 16MM LONG"/>
        <s v="OH3A3-19R - ASSY, RIGHT PITCH DAMPER"/>
        <s v="93475A280 - FLAT WASHER, M10"/>
        <s v="OH3A3-13 - BASE PLATE, SPA"/>
        <s v="OH3A3-14 - PITCH BEARING RISER BLOCK, SPA"/>
        <s v="KP000-10MM - PILLOW BLOCK BALL BEARING"/>
        <s v="OH3A3-15 - ASSY, TRAVEL STOP, AFT LEFT"/>
        <s v="OH3A3-138 - TRAVEL STOP, AFT LEFT"/>
        <s v="91828A241 - HEX NUT, M5 X 0.8 MM"/>
        <s v="9540K922 - UNTHREADED BUMPER M5"/>
        <s v="91292A129 - SHCS, M5X0.8, 25MM, 18-8"/>
        <s v="OH3A3-16 - ASSY, TRAVEL STOP, AFT RIGHT"/>
        <s v="OH3A3-139 - TRAVEL STOP, AFT RIGHT"/>
        <s v="OH3A3-17 - ASSY, TRAVEL STOP, FWD LEFT"/>
        <s v="OH3A3-140 - TRAVEL STOP, FWD LEFT"/>
        <s v="91292A126 - SHCS, M5X0.8, 16MM, 18-8"/>
        <s v="OH3A3-18 - ASSY, TRAVEL STOP, FWD RIGHT"/>
        <s v="OH3A3-141 - TRAVEL STOP, FWD RIGHT"/>
        <s v="92125A250 - FHCS, M6 X 1 MM, 45 MM LONG"/>
        <s v="92125A222 - FHCS, M5 X 0.8 MM, 35 MM LONG"/>
        <s v="92125A216 - FHCS, M5 X 0.8 MM, 25 MM LONG"/>
        <s v="91287A155 - HHS, M8 X 1.25 MM, 35 MM LONG"/>
        <s v="OH3A3-142 - PITCH SENSOR MAGNET SPACER"/>
        <s v="OH3A3A1-1 - ASSY, STICK CONTROLLER PCB"/>
        <s v="OH3A3A1-10 - PCB, STICK CONTROLER"/>
        <s v="OH3A3-143 - STICK CONTROLLER MOUNT"/>
        <s v="OH3A3-30 - ASSY, STATIC SSDCT ANCHOR"/>
        <s v="OH3A3-31 - BASE PLATE, SSA"/>
        <s v="OH3A3-32 - RISER, SSA"/>
        <s v="OH3A3-33 - TOP PLATE, SSA"/>
        <s v="OH3A3-20 - ASSY, SSDCT"/>
        <s v="OH3A3-21 - ASSY, SPRING END, SSDCT"/>
        <s v="OH3A3-201 - SPRING END BASE"/>
        <s v="OH3A3-202 - SPRING END PLATE"/>
        <s v="LM8SUU - LINEAR BEARING 8MM"/>
        <s v="6659K677 - 8MM OIL-EMBEDDED FLANGED SLEEVE BEARING"/>
        <s v="94180A333 - HEAT-SET INSERT, M3 X 0.5MM"/>
        <s v="92125A132 - FHCS, M3 X 0.5 MM, 12 MM LONG"/>
        <s v="OH3A3-22 - ASSY, FIXED END, SSDCT"/>
        <s v="OH3A3-204 - FIXED END BASE B"/>
        <s v="OH3A3-203 - FIXED END BASE A"/>
        <s v="OH3A3-205 - ASSY, GUIDE ROD"/>
        <s v="OH3A3-206 - ROD, 8MM X 180MM, ALU"/>
        <s v="57485K67 - 8MM SET SCREW SHAFT COLLAR"/>
        <s v="OH3A3-207 - ASSY, THREADED STUD"/>
        <s v="OH3A3-208 - ROD, M8 X 75MM"/>
        <s v="91828A410 - HEX NUT, M8 X 1.25"/>
        <s v="59935K73 - BALL JOINT ROD END"/>
        <s v="93650A155 - WASHER, CUSHIONING, 0.313 ID, MOISTURE-RESISTANT"/>
        <s v="93625A100 - NYLOC HEX NUT, M3 X 0.5 MM"/>
        <s v="92125A141 - FHCS, M3 X 0.5 MM, 35 MM LONG"/>
        <s v="9657K438 - 3IN COMPRESSION SPRING"/>
        <s v="57445K24 - 8MM CLAMPING SHAFT COLLAR"/>
        <s v="90131A103 - WASHER, CUSHIONING, 0.375 ID, ABRASION-RESISTANT"/>
        <s v="OH3A3-23 - ASSY, PUSHROD, SMOOTH, SSDCT"/>
        <s v="OH3A3-209 - ROD, 8MM X 140MM"/>
        <s v="OH3A3-24 - ASSY, PUSHROD, THREADED, SSDCT"/>
        <s v="OH3A3-210 - ROD, M8 X 1.25 X 117.5MM, FLATTED END"/>
        <s v="5395T211 - 8MM SET SCREW SHAFT COUPLING"/>
        <s v="OH3A3-40 - ASSY, STICK EXTENSION"/>
        <s v="OH3A3-42 - PADDLE BOX"/>
        <s v="OH3A3-41 - STICK RISER"/>
        <s v="2960812 - F/A-18C HORNET™ HOTAS ADD-ON GRIP"/>
        <s v="OH3A3-43 - PADDLE BOX COVER"/>
        <s v="90471A210 - FHS, 100DEG, #6-32 X .3125, STEEL"/>
        <s v="HR10A-7R-5S - CONNECTOR, RECEPTACLE, FEMALE, 5P"/>
        <s v="HR10A-7P-5P - CONNECTOR, PLUG, MALE, 5P"/>
        <s v="MD-50PL100 - CONNECTOR, 5P MINI DIN RCPT, PNL MNT, 10CM LEADS"/>
        <s v="OH3A3-44 - RECEPTACLE MOUNTING CUP"/>
        <s v="OH3A3-45 - RISER CUP MOUNT"/>
        <s v="OH3A3-9001 - DECAL, GRIP ASSY"/>
        <s v="OH4A1-1 - ASSY, LEFT CONSOLE"/>
        <s v="OH4A1-10 - LEFT CONSOLE EXT SKIN"/>
        <s v="OH4A9A4-1 - THROTTLE QUADRANT COVER PLATE"/>
        <s v="OH4A9A4-10 - INBOARD THROTTLE QUADRANT CONSOLE COVER PLATE"/>
        <s v="OH4A9A4-11 - OUTBOARD THROTTLE QUADRANT LEGEND PLATE"/>
        <s v="OH4A9A4-12 - OUTBOARD THROTTLE QUADRANT BRUSH HOLDER"/>
        <s v="OH4A9A4-13 - INBOARD THROTTLE QUADRANT LEGEND PLATE"/>
        <s v="7900T707 - STRIP BRUSH, EASY-CUT, .125 WIDTH  X .0975 THICK, NYLON"/>
        <s v="OH4A9A4-14 - AFT OUTBOARD THROTTLE QUADRANT RAIL SUPPORT"/>
        <s v="OH4A9A4-15 - FWD OUTBOARD THROTTLE QUADRANT RAIL SUPPORT"/>
        <s v="OH4A1-11 - USB COVER PLATE"/>
        <s v="OH4A1A1-1 - ASSY, LEFT CONSOLE STRUCTURE"/>
        <s v="OH4A1A1-10 - PRIMARY RIB E"/>
        <s v="OH4A1A1-11 - PRIMARY RIB A"/>
        <s v="OH4A1A1-12 - PRIMARY RIB B"/>
        <s v="OH4A1A1-13 - PRIMARY RIB C"/>
        <s v="OH4A1A1-14 - PRIMARY RIB D"/>
        <s v="OH4A1A1-15 - D-C LEFT INBOARD SPACER"/>
        <s v="OH4A1A1-16 - E-D LEFT INBOARD SPACER"/>
        <s v="OH4A1A1-17 - E-AFT LEFT INBOARD SPACER"/>
        <s v="OH4A1A1-18 - LEFT CONSOLE - LEFT AUX SPACER"/>
        <s v="OH4A1A1-19 - A-B LEFT OUTBOARD SPACER"/>
        <s v="OH4A1A1-20 - LEFT SUB-CONSOLE RAIL"/>
        <s v="OH4A1A1-21 - B-C LEFT OUTBOARD SPACER"/>
        <s v="OH4A1A1-22 - C-D LEFT OUTBOARD SPACER"/>
        <s v="OH4A1A1-23 - D-E LEFT OUTBOARD SPACER"/>
        <s v="OH4A1A1-24 - E-AFT LEFT OUTBOARD SPACER"/>
        <s v="OH4A1A1-25 - FWD LEFT CONSOLE CANOPY RAIL BRACKET"/>
        <s v="OH4A1A1-26 - CANOPY RAIL TRIM"/>
        <s v="OH4A1A1-27 - AFT LEFT CONSOLE CANOPY RAIL BRACKET"/>
        <s v="OH4A1A1-28 - CANOPY RAIL"/>
        <s v="OH4A1A1-29 - CONSOLE SILL BRACKET A-L"/>
        <s v="OH4A1A1-30 - CONSOLE SILL BRACKET B-L"/>
        <s v="OH4A1A1-31 - AFT LEFT UPPER BULKHEAD BRACKET"/>
        <s v="OH4A1A1-32 - INBOARD LEFT CONSOLE WALL"/>
        <s v="OH4A1A1-33 - LEFT CONSOLE FLOOR"/>
        <s v="OH4A1A1-34 - LEFT AFT INTERNAL BULKHEAD"/>
        <s v="OH4A1A1-35 - LEFT AFT BULKHEAD"/>
        <s v="OH4A1A1-36 - LEFT CONSOLE INBOARD WALL"/>
        <s v="OH4A1A1-37 - INBOARD WALL SUPPORT"/>
        <s v="OH4A1A1-38 - A-B LOWER STRINGER"/>
        <s v="OH4A1A1-39 - B-C LOWER STRINGER"/>
        <s v="OH4A1A1-40 - C-D LOWER STRINGER"/>
        <s v="OH4A1A1-41 - E-F LOWER STRINGER"/>
        <s v="OH4A1A1-42 - AFT BULKHEAD STRINGER"/>
        <s v="OH4A1A1-43 - INBOARD FWD LEFT CONSOLE TRIM"/>
        <s v="OH4A1A1-44 - LEFT AUX VENT PLUG"/>
        <s v="OH4A1A1-45 - LEFT AUX PANEL"/>
        <s v="OH4A1A1-46 - LEFT AUX UPPER BRACKET"/>
        <s v="OH4A1A1-47 - LEFT AUX SUPPORT BRACKET, FWD, OUTBOARD"/>
        <s v="OH4A1A1-48 - LEFT AUX SUPPORT BRACKET, LOWER, OUTBOARD"/>
        <s v="OH4A1A1-49 - LEFT AUX SUPPORT BRACKET, LOWER, INBOARD"/>
        <s v="91249A192 - PHS, #8-32 X .375, 18-8, BLK"/>
        <s v="90272A190 - PHS, #8-32 X 0.250, STEEL"/>
        <s v="OH4A8A2-1 - ASSY, DISPENSE BUTTON"/>
        <s v="OH4A8A2-10 - DISP BUTTON BASE"/>
        <s v="OH4A8A2-100 - DISP BUTTON HEAD"/>
        <s v="OH4A8A2-101 - DISP_BUTTON_HEAD"/>
        <s v="OH4A8A2-11 - DISP BUTTON, SHAFT"/>
        <s v="7779K61 - SWITCH, LIMIT, MINIATURE, SNAP-ACTION"/>
        <s v="91249A115 - PHS, #4-40 X .625, 18-8, BLK"/>
        <s v="6338K411 - SLEEVE BEARING FOR .250 SHAFT X .375 ID X .250"/>
        <s v="9414T6 - SHAFT COLLAR, .25 ID X .50 OD X .2813 T"/>
        <s v="9657K305 - SPRING, COMPRESSION, .258 ID X .36 OD X 1.00OAL"/>
        <s v="90131A102 - WASHER, CUSHIONING, 0.250 ID, ABRASION-RESISTANT"/>
        <s v="OH4A8A3-1 - ASSY, NUC WEAP SWITCH"/>
        <s v="OH4A8A3-10 - NUC WEAP SWITCH"/>
        <s v="OH4A8A3-11 - NUC WEAP PLACARD"/>
        <s v="OHC0001-1 - ASSY, SWITCH, S1AL, ROUND BAT"/>
        <s v="AT537 - O-RING FOR SWITCH, 12 MM ID"/>
        <s v="OH4A8A1-1 - ASSY, LEFT CIRCUIT BREAKERS"/>
        <s v="OH4A8A1-10 - LEFT CIRCUIT BREAKER BRACKET"/>
        <s v="OH4A8A1-11 - CIRCUIT BREAKER PLACARD LIGHT PLATE"/>
        <s v="OH4A8A1-12 - CIRCUIT BREAKER PLACARD LEGEND PLATE"/>
        <s v="EB2065-CA - SWITCH, PUSHBUTTON, SPDT, ON-ON, BLK CAP"/>
        <s v="AT507M - LOCKING RING FOR SWITCH, 6MM ID"/>
        <s v="OH4A9-1 - ASSY, THROTTLE QUADRANT"/>
        <s v="OH4A9-10 - LH THROTTLE BASE PLATE"/>
        <s v="OH4A9-11 - RH THROTTLE BASE PLATE"/>
        <s v="OH4A9-12 - THROTTLE QUADRANT MOUNTING BASE"/>
        <s v="OH4A9-13 - THROTTLE ARM GEAR"/>
        <s v="OH4A9-14 - SPLINE NUT ADAPTER"/>
        <s v="OH4A9-100 - ASSY, INBOARD THROTTLE ARM"/>
        <s v="OH4A9-106 - ASSY, INBOARD THROTTLE GRIP"/>
        <s v="OH4A9-107 - RIGHT INBOARD THROTTLE GRIP HOUSING"/>
        <s v="OH4A9-108 - LEFT INBOARD THROTTLE GRIP HOUSING"/>
        <s v="OH4A9-109 - ASSY, ANT ELEV SWITCH"/>
        <s v="OH4A9-110 - ANT ELEV MECHANISM BRACKET"/>
        <s v="OH4A9-111 - ANT ELEV WHEEL"/>
        <s v="OH4A9-112 - ANT ELEV MOUNTING PLATE"/>
        <s v="9271K631 - SPRING, TORSION, 360 DEG, RH WOUND, .187 ID 1.0 L"/>
        <s v="9271K632 - SPRING, TORSION, 360 DEG, LH WOUND, .187 ID 1.0 L"/>
        <s v="P081N-271F2CBR10K - POTENTIOMETER, LINEAR, 10K"/>
        <s v="P08X NUT - NUT FOR P08X SERIES POTENTIOMETER, M7 X 0.75"/>
        <s v="OH4A9-126 - ASSY, TDC SWITCH"/>
        <s v="OH4A9-113 - TDC SWITCH BODY"/>
        <s v="OH4A9-114 - LOWER TDC SWITCH BODY"/>
        <s v="OH4A9-120 - TDC SWITCH CAP"/>
        <s v="OH4A9-121 - ANALOG_STICK_BREAKOUT_PCB"/>
        <s v="OH4A9-115 - ASSY, DISPENSE SWITCH"/>
        <s v="OH4A9-122 - SPD BRK SWITCH BODY"/>
        <s v="OH4A9-117 - SPD BRK SWITCH CAP"/>
        <s v="200MSP4T1B1M1QE - SWITCH, TOGGLE, SUB-MINIATURE, 3-POS"/>
        <s v="OH4A9-118 - COMM 4-WAY SWITCH HAT"/>
        <s v="OH4A9-123 - HAT_SWITCH_BREAKOUT_PCB"/>
        <s v="OH4A9-119 - ASSY, SPD BRK SWITCH"/>
        <s v="200MSP5T1B1M1QE - SWITCH, TOGGLE, SUB-MINIATURE, 3-POS"/>
        <s v="OH4A9-125 - THROTTLE_INNER_GRIP_CONTROLLER_PCB"/>
        <s v="90272A106 - PHS, #4-40 X .250, STEEL"/>
        <s v="P3-11122 - PUSHBUTTON, OTTO"/>
        <s v="98381A471 - PIN, DOWEL, .125 X .500, ALLOY STEEL"/>
        <s v="OH4A9-101 - INBOARD THROTTLE ARM LOWER FINGER LIFT MOUNT"/>
        <s v="OH4A9-102 - INBOARD THROTTLE ARM GRIP ADAPTER"/>
        <s v="OH4A9-103 - INBOARD THROTTLE ARM GRIP ADAPTER SPACER"/>
        <s v="OH4A9-104 - INBOARD FINGER LIFT"/>
        <s v="OH4A9-105 - INBOARD THROTTLE ARM PLATE"/>
        <s v="96640A344 - FHS, 100DEG, #6-32 X .50, 18-8, BLK"/>
        <s v="1368A15 - SPRING PLUNGER, BALL NOSE, PRESS FIT, SEALED"/>
        <s v="91249A120 - PHS, #4-40 X .875, 18-8, BLK"/>
        <s v="90176A105 - SPACER, #4 X .188 OD X .2188 L, NYLON, BLK"/>
        <s v="90176A115 - SPACER, #4 X .188 OD X .4688 L, NYLON, BLK"/>
        <s v="9657K298 - SPRING, COMPRESSION, .24 OD X .20 ID X 1.0 LG"/>
        <s v="OH4A9-200 - ASSY, OUTBOARD THROTTLE ARM"/>
        <s v="OH4A9-201 - OUTBOARD THROTTLE ARM PLATE"/>
        <s v="OH4A9-202 - OUTBOARD THROTTLE ARM GRIP ADAPTER SPACER"/>
        <s v="OH4A9-203 - OUTBOARD THROTTLE ARM GRIP ADAPTER"/>
        <s v="OH4A9-204 - OUTBOARD FINGER LIFT"/>
        <s v="OH4A9-205 - ASSY, OUTBOARD THROTTLE GRIP"/>
        <s v="OH4A9-206 - RIGHT OUTBOARD THROTTLE GRIP HOUSING"/>
        <s v="OH4A9-207 - LEFT OUTBOARD THROTTLE GRIP HOUSING"/>
        <s v="M2011B2B1W01 - SWITCH, TOGGLE, ON - OFF"/>
        <s v="AT506M -  LOCKING RING FOR SWITCH, 12MM"/>
        <s v="AT527M - HEX NUT FOR SWITCH, M12X1"/>
        <s v="93085A628 - FHS, 100DEG, #6-32 X .625, 18-8, BLK"/>
        <s v="OH4A9-208 - OUTBOARD THROTTLE ARM LOWER FINGERLIFT ADAPTER"/>
        <s v="OH4A9-15 - IDLE DETENT"/>
        <s v="OH4A9-16 - SOLENOID LINKAGE"/>
        <s v="OH4A9-17 - SOLENOID MOUNT"/>
        <s v="OH4A9-18 - SOLENOID SPRING RETAINER"/>
        <s v="OH4A9-19 - AFTERBURNER DETENT"/>
        <s v="OH4A9-20 - THROTTLE AB DETENT"/>
        <s v="OH4A9-21 - HALL SENSOR GEAR"/>
        <s v="OH4A9-22 - HALL SENSOR GEAR MAGNET CUP"/>
        <s v="OH4A9-23 - THROTTLE HALL SENSOR MOUNTING PLATE"/>
        <s v="OH4A9-24 - FRICTION LOCK LEVER"/>
        <s v="OH4A9-25 - FRICTION ANTI-ROTATION PLATE"/>
        <s v="OH4A9-29 - THROTTLE ARM SHAFT"/>
        <s v="OH4A9-30 - OUTBOARD THROTTLE HALL SENSOR MOUNTING PLATE"/>
        <s v="OH4A9-300 - ASSY, PCB, CONTROLLER, THROTTLE"/>
        <s v="OH4A9-301 - PCB, CONTROLLER, THROTTLE"/>
        <s v="7421K4 - BEARING, THRUST, PTFE IMPREG, .502 ID X .75 OD X .0"/>
        <s v="60355K704 - BEARING, SEALED, .50 SHAFT X 1.125 OD X .3125 THK, R8-2RS"/>
        <s v="7421K28 - BEARING, THRUST, PTFE IMPREG, 1.2535 ID X 2.0 OD"/>
        <s v="9714K66 - SPRING, WAVE DISC, 1.201 ID X 1.543 OD, 21LBF"/>
        <s v="DSTL-0840 - SOLENOID, TUBULAR, CONTINUOUS PULL, .75 STROKE, 5VDC"/>
        <s v="DSTL-0840 NUT - HEX NUT FOR DSTL-0840"/>
        <s v="DSTL-0840 WASHER - WASHER FOR DSTL-0840"/>
        <s v="91585A240 - DOWEL PIN, 2.5 MM DIA, 20 MM LG, ALLOY STEEL"/>
        <s v="92383A698 - PIN, SLOTTED SPRING, 0.125 DIA, 0.8125 LG"/>
        <s v="90760A005 - NUT, NARROW, #4-40, STEEL"/>
        <s v="93330A438 - STANDOFF, #4-40 X .875, .25 OD, FEMALE, ALUMINUM"/>
        <s v="9434K165 - SPRING, COMPRESSION, PRECISION, 0.48 OD X 0.875 L"/>
        <s v="90272A110 - PHS, #4-40 X .500, STEEL"/>
        <s v="91780A209 - STANDOFF, #6-32 X .875, .250 HEX, FEMALE, ALUMINUM"/>
        <s v="90272A112 - PHS, #4-40 X .625, STEEL"/>
        <s v="7779K52 - SWITCH, LIMIT, MINIATURE, ROLLER LEVER, SPDT"/>
        <s v="90618A127 - WASHER, .25 X .438 OD X .029-.035 THK, BLK"/>
        <s v="90807A112 - SHSS, .25-20 X .375 THD, .250 X .375 SHOULDER"/>
        <s v="93505A445 - STANDOFF, 6-32 X .875, .25 HEX, MALE-FEMALE, ALUMINUM"/>
        <s v="6436K14 - SHAFT COLLAR, .50 ID X 1.125 OD X .40625 THK"/>
        <s v="98320A132 - PIN, QR, .250 DIA X 1.1875 UL, STEEL"/>
        <s v="91309A553 - HHCS, .25-20 X 2.75, STEEL, ZINC"/>
        <s v="60355K701 - BEARING, SEALED, .25 SHAFT X .625 OD X .196 THK, R4-2RS"/>
        <s v="OH4A4A1-1 - ASSY, FIRE TEST PANEL"/>
        <s v="OH4A4A1-10 - FIRE TEST PANEL PCB V2"/>
        <s v="OH4A4A1-11 - FIRE TEST PANEL BACKPLATE"/>
        <s v="OH4A4A1-12 - FIRE TEST PANEL LIGHTPLATE"/>
        <s v="OH4A4A1-13 - FIRE TEST PANEL LEGEND PLATE"/>
        <s v="100SP4T8B13M1QEH - SWITCH, TOGGLE, (ON)-OFF-(ON), SPDT, 18MM BAT"/>
        <s v="OH4A5A1-1 - ASSY, FUEL PANEL"/>
        <s v="OH4A5A1-10 - FUEL PANEL PCB V2"/>
        <s v="OH4A5A1-11 - FUEL PANEL BACKPLATE"/>
        <s v="OH4A5A1-12 - FUEL PANEL LIGHTPLATE"/>
        <s v="OH4A5A1-13 - FUEL PANEL LEGEND PLATE"/>
        <s v="OH4A5A1-14 - REFUEL PROBE GUARD"/>
        <s v="OHC0001-6 - ASSY, SWITCH, S3AL, TALL BAT"/>
        <s v="OHC0001-30 - BAT, TALL, FOR NKK SXAL SWITCH"/>
        <s v="OHC0005-1 - ASSY, SWITCH, MAGNETICALLY HELD, (ON)-ON"/>
        <s v="P20/15 - ELECTROMAGNET, Ø20 X 15, 12V DC, 2.5KG HOLDING FORCE"/>
        <s v="92095A179 - BHCS, M3 X 0.5 - 6, 18-8"/>
        <s v="91100A120 - OVERSIZED FLAT WASHER, M3"/>
        <s v="OHC0005-10 - BRACKET, MAG SWITCH"/>
        <s v="91920A579 - STANDOFF, M3 X 0.5 - 6.4 X 4.5 HEX X 50L, STL"/>
        <s v="645H/2 MOD - SWITCH, TOGGLE, MOM-ON, STD BAT (MODIFIED)"/>
        <s v="ABSIS001A1 - PCB, ABSIS ALE RELAY MODULE"/>
        <s v="93505A212 - STANDOFF, #2-56 X .375, .1875 HEX, MALE-FEMALE, ALUMINUM"/>
        <s v="OH4A5A1-15 - FUEL ABSIS ADAPTER PLATE"/>
        <s v="OH4A7A1-1 - ASSY, COMM PANEL"/>
        <s v="OH4A7A1-10 - COMM PANEL PCB V2"/>
        <s v="OH4A7A1-11 - COMM PANEL BACKPLATE"/>
        <s v="OH4A7A1-12 - COMM PANEL LIGHTPLATE"/>
        <s v="OH4A7A1-13 - COMM PANEL LEGEND PLATE"/>
        <s v="OHC0001-5 - ASSY, SWITCH, S3AL, CONICAL BAT"/>
        <s v="C7D0123N - SWITCH, ROTARY, 15 DEG, 23 POS, BBM"/>
        <s v="C7 LOCKWASHER - LOCKWASHER FOR C7 SWITCH, 3/8 ID"/>
        <s v="C7 NUT - HEX NUT FOR C7 SWITCH, 3/8-32 UNEF"/>
        <s v="H-37-5 - LOCKWASHER FOR POTENTIOMETER, 1/4 ID"/>
        <s v="OHC0003-A-484AGB4 - ASSY, KNOB, GREY, .25 D-SHAFT"/>
        <s v="OHC0003-484AGB4 - KNOB, GREY, .25 D-SHAFT"/>
        <s v="93505A446 - STANDOFF, #6-32 X 1.00, .25 HEX, MALE-FEMALE, ALUMINUM"/>
        <s v="ABSIS002 - ASSY, ABSIS MEGA"/>
        <s v="ABSIS002A1 - PCB, ABSIS MEGA"/>
        <s v="OH4A7A1-14 - COMM ABSIS ADAPTER PLATE"/>
        <s v="OH10A1A1-1 - ASSY, SIM PWR PANEL"/>
        <s v="OH10A1A1-10 - SIM PWR PCB V3"/>
        <s v="OH10A1A1-11 - SIM PWR BACKPLATE"/>
        <s v="OH10A1A1-12 - SIM PWR LIGHTPLATE"/>
        <s v="OH10A1A1-13 - SIM PWR LEGEND PLATE"/>
        <s v="EN11-HSM1BF20 - ROTARY ENCODER"/>
        <s v="OHC0003-A-18FLGN4 - ASSY, KNOB, GREY, .25 D-SHAFT"/>
        <s v="OHC0003-18FLGN4 - KNOB, GREY, .25 D-SHAFT"/>
        <s v="S1AL - SWITCH, TOGGLE, LOCKING, SPST, 2-POSN, STD BAT"/>
        <s v="SXAL-BAT - STANDARD BAT FOR S-SERIES LOCKING SWITCHES"/>
        <s v="OH4A4A2-1 - ASSY, EXTERNAL LT PANEL"/>
        <s v="OH4A4A2-10 - EXT LT PANEL PCB V2"/>
        <s v="OH4A4A2-11 - EXT LT BACKPLATE"/>
        <s v="OH4A4A2-12 - EXT LT LIGHTPLATE"/>
        <s v="OH4A4A2-13 - EXT LT LEGEND PLATE"/>
        <s v="OHC0001-3 - ASSY, SWITCH, S1AL, TALL BAT"/>
        <s v="OHC0003-A-385CGB4 - ASSY, KNOB, GREY, .25 D-SHAFT"/>
        <s v="OHC0003-385CGB4 - KNOB, GREY, .25 D-SHAFT"/>
        <s v="OH4A4A2-14 - EXT LT ABSIS ADAPTER PLATE"/>
        <s v="OH4A6A1-1 - ASSY, FCS PANEL"/>
        <s v="OH4A6A1-10 - FCS PANEL PCB V2"/>
        <s v="OH4A6A1-11 - FCS PANEL BACKPLATE"/>
        <s v="OH4A6A1-12 - FCS PANEL LIGHTPLATE"/>
        <s v="OH4A6A1-13 - FCS PANEL LEGEND PLATE"/>
        <s v="OH4A6A1-15 - T_O TRIM BUTTON"/>
        <s v="PNP8S2T2Y03QE - C&amp;K PUSHBUTTON"/>
        <s v="MS25224-1 - GUARD, TOGGLE SWITCH, RED"/>
        <s v="OHC0003-A-4RUDGB3 - ASSY, KNOB, RUDDER TRIM"/>
        <s v="OHC-KNB-RUDDERTRIM - KNOB, RUDDER TRIM"/>
        <s v="OH4A6A1-19 - FCS ABSIS ADAPTER PLATE"/>
        <s v="OH4A6A1-100 - RUDDER TRIM MECHANISM"/>
        <s v="OH4A6A1-101 - PRE-ASSY, RUD TRIM, UPPER BRACKET"/>
        <s v="OH4A6A1-102 - RUD TRIM, UPPER BRACKET"/>
        <s v="6389K231 - BEARING, SLEEVED, FLANGED, .375 OD X .25 ID X .31"/>
        <s v="OH4A6A1-103 - PRE-ASSY, RUD TRIM, LOWER MOUNT PLATE"/>
        <s v="OH4A6A1-104 - RUD TRIM, LOWER MOUNT PLATE"/>
        <s v="6338K561 - BEARING, SLEEVE, FLANGED, .125 ID X .25OD, .25 LG"/>
        <s v="OH4A6A1-105 - RUD TRIM, SWITCH BRACKET SPACER"/>
        <s v="OH4A6A1-106 - PRE-ASSY, RUD TRIM, SWITCH BRACKET"/>
        <s v="OH4A6A1-107 - RUD TRIM, SWITCH BRACKET"/>
        <s v="OH4A6A1-108 - ROTATING SHAFT, 0.25OD, 0.15 ID"/>
        <s v="OH4A6A1-109 - PUSH SHAFT, 0.125 OD"/>
        <s v="96640A298 - FHS, 100DEG, #2-56 X .4375, 18-8, BLK"/>
        <s v="PRM162-K420K-103B1 - POT, MOTORIZED, 10K OHM LINEAR"/>
        <s v="2303-0250-0024 - GEAR, PINION, .250 BORE, 24T, MOD 0.8, STL, SERVOCITY"/>
        <s v="9414T3 - SHAFT COLLAR, .125 ID  X 0.375 OD X .25 THK"/>
        <s v="OH4A6A1-110 - SPRING CENTERING SLEEVE"/>
        <s v="9657K247 - SPRING, COMPRESSION, 0.30 OD X 0.440 L"/>
        <s v="91831A005 - NUT, NYLOC, #4-40, 18-8"/>
        <s v="92311A144 - SET SCREW, #6-32 X 0.25, CUP POINT, 18-8"/>
        <s v="OH4A6A1-111 - SHAFT SUPPORT BLOCK"/>
        <s v="GENERIC - L298N DUAL DC MOTOR DRIVER"/>
        <s v="OH4A6A1-20 - FCS H-BRIDGE ADAPTER"/>
        <s v="MB2011SB1W01-DA - SWITCH, PUSHBUTTON, ON-(ON), NKK"/>
        <s v="AT503M - TOP NUT (PO MB2011SB1W01)"/>
        <s v="AT508 - LOCK WASHER (PO MB2011SB1W01)"/>
        <s v="AT527M - BOTTOM NUT (PO MB2011SB1W01)"/>
        <s v="OH4A4A3-1 - ASSY, GEN TIE PANEL"/>
        <s v="OH4A4A3-10 - GEN TIE PCB V2"/>
        <s v="OH4A4A3-11 - GEN TIE BACKPLATE"/>
        <s v="OH4A4A3-12 - GEN TIE LIGHTPLATE"/>
        <s v="OH4A4A3-13 - GEN TIE LEGEND PLATE"/>
        <s v="OH4A7A4-1 - ASSY, ANT SEL PANEL"/>
        <s v="OH4A7A4-10 - ANT SEL PANEL PCB V2"/>
        <s v="OH4A7A4-11 - ANT SEL BACKPLATE"/>
        <s v="OH4A7A4-12 - ANT SEL LIGHTPLATE"/>
        <s v="OH4A7A4-13 - ANT SEL LEGEND PLATE"/>
        <s v="OH4A7A3-1 - ASSY, MC HYD ISOL PANEL"/>
        <s v="OH4A7A3-11 - MC HYD ISOL BACKPLATE"/>
        <s v="OH4A7A3-12 - MC HYD ISOL LIGHTPLATE"/>
        <s v="OH4A7A3-13 - MC HYD ISOL LEGEND PLATE"/>
        <s v="OH4A7A3-10 - HYD ISO PANEL PCB V2"/>
        <s v="100SP2T8B13M1QEH - SWITCH, TOGGLE, ON-(ON), SPDT, 18MM BAT"/>
        <s v="OH4A7A2-1 - ASSY, OBOGS PANEL"/>
        <s v="OH4A7A2-10 - OBOGS PANEL PCB V2"/>
        <s v="OH4A7A2-11 - OBOGS BACKPLATE"/>
        <s v="OH4A7A2-12 - OBOGS LIGHTPLATE"/>
        <s v="OH4A7A2-13 - OBOGS LEGEND PLATE"/>
        <s v="OH4A7A2-14 - OBOGS REGULATOR"/>
        <s v="A11405RNZQ - SWITCH, ROTARY, 90 DEG, 2 POS"/>
        <s v="OHC0003-A-4OXYGW4 - ASSY, KNOB, OBOGS"/>
        <s v="OHC-KNB-OBOGS - KNOB, OBOGS"/>
        <s v="91780A045 - STANDOFF, #4-40 X 2.50, HEX, FEMALE, ALUMINUM"/>
        <s v="OH4A7A2-15 - OBOGS NANO ADAPTER PLATE"/>
        <s v="OH4A5A2-1 - ASSY, APU ENG CRANK PANEL"/>
        <s v="OH4A5A2-10 - APU ENG CRANK PCB V4"/>
        <s v="OH4A5A2-11 - APU ENG CRANK BACKPLATE"/>
        <s v="OH4A5A2-12 - APU ENG CRANK LIGHTPLATE"/>
        <s v="OH4A5A2-13 - APU ENG CRANK LEGEND PLATE"/>
        <s v="131A-303G - LENS, GREEN, TRANSPARENT, T1.75 MIDGET FLANGE"/>
        <s v="MF200-NFW5H - LED, T-1.75 MIDGET FLANGE LAMP, 5V ,15MA"/>
        <s v="5131-038 - HOLDER, LAMP, PANEL MOUNT, T1.75"/>
        <s v="OHC0005-2 - ASSY, SWITCH, MAGNETICALLY HELD, (ON)-OFF-(ON)"/>
        <s v="647H/2 MOD - SWITCH, TOGGLE, MOM-OFF-MOM, STD BAT (MODIFIED)"/>
        <s v="OH4A3A1-1 - ASSY, SELECT JETT PANEL"/>
        <s v="OH4A3A1-11 - SELECT JETT BACKPLATE"/>
        <s v="OH4A3A1-12 - SELECT JETT LIGHTPLATE"/>
        <s v="OH4A3A1-13 - SELECT JETT LEGEND PLATE"/>
        <s v="OH4A3A1-15 - LAUNCH BAR SWITCH CAP"/>
        <s v="OH4A3A1-16 - LANDING GEAR SWITCH CAP"/>
        <s v="OH4A3A1-17 - FLAPS SWITCH CAP"/>
        <s v="639H/2 - SWITCH, TOGGLE, ON-OFF-ON, STD BAT"/>
        <s v="90471A150 - FHS, 100DEG, #4-40 X .1875, STEEL"/>
        <s v="OH4A3A1-100 - ASSY, SELECT JETT SWITCH MECH"/>
        <s v="OH4A3A1-101A - PRE-ASSY, SELECT JETT UPPER BRACKET"/>
        <s v="OH4A3A1-101 - SELECT JETT UPPER BRACKET 3DP"/>
        <s v="OH4A3A1-102A - PRE-ASSY, SELECT JETT LOWER MOUNT PLATE"/>
        <s v="OH4A3A1-102 - SELECT JETT LOWER MOUNT PLATE 3DP"/>
        <s v="OH4A3A1-105 - ROTATING SHAFT, 0.25 OD, 0.15 ID"/>
        <s v="OH4A3A1-106 - PUSH SHAFT, 0.125 OD"/>
        <s v="50KS45-01-1-05N - SWITCH, ROTARY, 45 DEG, 5 POS, .25 FLAT SH"/>
        <s v="50K NUT - HEX NUT FOR SWITCH, .375-32 UNEF"/>
        <s v="OH4A3A1-107 - ALIGNING SHAFT, 0.25 OD, 0.375 LG"/>
        <s v="OH4A3A1-103A - PRE-ASSY, SELECT JETT SWITCH BRACKET"/>
        <s v="OH4A3A1-103 - SELECT JETT SWITCH BRACKET"/>
        <s v="OH4A3A1-108 - SPRING CENTERING SLEEVE"/>
        <s v="93505A107 - STANDOFF, #4-40 X 1.00, HEX, MALE-FEMALE, ALUMIN"/>
        <s v="91251A108 - SHCS, #4-40 X .375, STEEL, BLK"/>
        <s v="OH4A3A1-200 - ASSY, SELECT JETT ELECTRONICS TRAY"/>
        <s v="OH4A3A1-20 - SELECT JETT ABSIS ADAPTER PLATE"/>
        <s v="OH4A3A1-18A - ASSY, SELECT JETT KNOB"/>
        <s v="OH4A3A1-18 - SELECT JETT KNOB"/>
        <s v="92311A425 - SET SCREW, 10-32 X .250, CUP POINT, 18-8"/>
        <s v="OH4A3A1-19A - ASSY, SELECT JETT BUTTON"/>
        <s v="OH4A3A1-19 - SELECT JETT BUTTON"/>
        <s v="OH4A3A1-10 - PCB, SELECT JETT PANEL REV 4"/>
        <s v="OH4A3A2-1 - ASSY, PARK BRAKE HANDLE"/>
        <s v="OH4A3A2-10 - PARKING BRAKE MECHANISM BODY"/>
        <s v="OH4A3A2-11 - WING FOLD MECHANISM UPPER CAP"/>
        <s v="OH4A3A2-12 - WING FOLD HANDLE RETAINING NUT"/>
        <s v="OH4A3A2-13 - PARKING BRAKE MECHANISM END CAP"/>
        <s v="OH4A3A2-14 - PARKING BRAKE HANDLE"/>
        <s v="OH4A3A2-15 - PARKING BRAKE MECHANISM SHAFT"/>
        <s v="93365A112 - INSERT, 2-56, BRASS, FOR PLASTICS"/>
        <s v="96640A027 - FHS, 82DEG, #2-56 X .50, 18-8, BLK"/>
        <s v="96640A025 - FHS, 82DEG, #2-56 X .375, 18-8, BLK"/>
        <s v="92141A034 - WASHER, 0.578 X 1.062 OD, 18-8"/>
        <s v="91841A003 - NUT, #2-56, 18-1"/>
        <s v="7658K15 - SWITCH, LIMIT, SUBMINIATURE, LEVER, SPDT"/>
        <s v="91251A106 - SHCS, #4-40 X .250, STEEL, BLK"/>
        <s v="5901A142 - SPRING PLUNGER, BALL-NOSE, 0.25-20 HEX DRIVE"/>
        <s v="OH4A3A3-1 - ASSY, BRAKE PRESSURE INDICATOR"/>
        <s v="OH4A3A3-10 - 1.5 IN CASE"/>
        <s v="OH4A3A3-11 - 1.5 INDICATOR GLASS"/>
        <s v="OH4A3A3-12 - BRAKE PRESSURE INDICATOR SHROUD"/>
        <s v="OH4A3A3-13 - BRAKE PRESSURE INDICATOR SPACER"/>
        <s v="OH4A3A3-14 - BRAKE PRESSURE INDICATOR NEEDLE"/>
        <s v="OH4A3A3-15 - BRAKE PRESSURE INDICATOR BEZEL FACE"/>
        <s v="OH4A3A3-16 - BRAKE PRESSURE INDICATOR REAR BEZEL SPACER"/>
        <s v="4PMINIH - USB 3.0 HUB, 4 PORT"/>
        <s v="OH4A2A1-1 - ASSY, LANDING GEAR LEVER PANEL"/>
        <s v="OH4A2A1-10 - LANDING GEAR PANEL PCB V2"/>
        <s v="OH4A2A1-11 - LANDING GEAR PANEL BACKPLATE"/>
        <s v="OH4A2A1-12 - LANDING GEAR PANEL LIGHTPLATE"/>
        <s v="OH4A2A1-13 - LANDING GEAR PANEL LEGEND PLATE"/>
        <s v="OH4A2A1-16 - WARN TONE SILENCE SWITCH CAP"/>
        <s v="C90 - CAP, PUSHBUTTON, BLACK, .354 OD"/>
        <s v="MPG206R - SWITCH, PUSHBUTTON, MOMENTARY, NO CAP"/>
        <s v="OH4A2A1-200 - ASSY, LDG GEAR LVR MECH"/>
        <s v="OH4A2A1-210 - ASSY, LDG GEAR LVR"/>
        <s v="OH4A2A1-211 - LDG GEAR LVR PIVOT PIN 0.25 IN"/>
        <s v="OH4A2A1-212 - PRE-ASSY, LDG GEAR LVR SHELL A"/>
        <s v="OH4A2A1-212A - LDG GEAR LVR SHELL A"/>
        <s v="OH4A2A1-213 - PRE-ASSY, LDG GEAR LVR UPPER TUBE"/>
        <s v="OH4A2A1-213A - LDG GEAR LVR UPPER TUBE"/>
        <s v="6338K312 - BEARING, SLEEVE, FLANGED, .375 ID X .50 OD"/>
        <s v="OH4A2A1-214 - LDG GEAR LVR DETENTS"/>
        <s v="OH4A2A1-215 - PRE-ASSY, LDG GEAR LVR SHELL B"/>
        <s v="OH4A2A1-215A - LDG GEAR LVR SHELL B"/>
        <s v="91249A063 - PHS, #2-56 X .750, 18-8, BLK"/>
        <s v="OH4A2A1-216 - ASSY, LDG GEAR LVR LOLLIPOP SHAFT"/>
        <s v="OH4A2A1-216A - LDG GEAR LVR LOLLIPOP SHAFT"/>
        <s v="92196A108 - SHCS, #4-40 X .375, 18-8"/>
        <s v="OH4A2A1-216 - ASSY, LDG GEAR LEVER MOUNT A"/>
        <s v="OH4A2A1-216A - LDG GEAR LEVER MOUNT A"/>
        <s v="OH4A2A1-217 - ASSY, LDG GEAR LEVEL MOUNT SHELL B"/>
        <s v="OH4A2A1-217A - LDG GEAR LEVEL MOUNT SHELL B"/>
        <s v="OH4A2A1-218 - ASSY, LDG GEAR SOLENOID CLAMP"/>
        <s v="OH4A2A1-218A - LDG GEAR SOLENOID CLAMP LINER"/>
        <s v="OH4A2A1-218B - LDG GEAR SOLENOID CLAMP"/>
        <s v="DSTL-0418-12 - SOLENOID, CLOSED FRAME, PULL, TUBULAR"/>
        <s v="95649A232 - WASHER, .25 X .50 OD, .031 THK, PLASTIC UHMW"/>
        <s v="84835A14 - SPRING PLUNGER, BALL-NOSE, PRESS-FIT, 0.5 IN DIA"/>
        <s v="93085A851 - FHS, 100DEG, #4-40 X 1.25, 18-8"/>
        <s v="7658K16 - SWITCH, LIMIT, SUBMINIATURE, ROLLER LEVER, SPDT"/>
        <s v="91249A058 - PHS, #2-56 X .500, 18-8, BLK"/>
        <s v="OH4A2A1-219 - ASSY, LDG GEAR ELEC STANDOFF BRACKET"/>
        <s v="OH4A2A1-219A - LDG GEAR ELEC STANDOFF BRACKET"/>
        <s v="91249A050 - PHS, #2-56 X .25, 18-8, BLK"/>
        <s v="OH4A2A1-20 - ASSY, LDG GEAR LWR OUTBD MOUNTING BRACKET"/>
        <s v="OH4A2A1-20A - LDG GEAR LWR OUTBD MOUNTING BRACKET"/>
        <s v="OH4A2A1-100 - ASSY, LDG GEAR HANDLE"/>
        <s v="OH4A2A1-101 - LDG GEAR HANDLE LOLLIPOP"/>
        <s v="OH4A2A1-102 - LDG GEAR HANDLE LOLLIPOP COVER"/>
        <s v="91771A071 - FHS, 82DEG, #0-80 X .75, 18-8"/>
        <s v="462071004 - MOLEX MINI-FIT JR HEADER, 4-CIRCUITS DUAL-ROW"/>
        <s v="HLMP-1321 - 3MM BACKLIGHTING LED, RED"/>
        <s v="OH4A2A1-21 - LANDING GEAR HANDLE LED MOUNT"/>
        <s v="OHC0009-1 - FAUX DZUS STUD"/>
        <s v="OHC0009-10 - FAUX DZUS STUD HEAD"/>
        <s v="OH4A1-12 - APU ABSIS ADAPTER PLATE"/>
        <s v="OHC0013-1 - ASSY, LEFT BULKHEAD INTERCONNECT PANEL"/>
        <s v="1681-02C - CABLE, USB 3.0, PNL MNT, SS TYPE B TO MINI B, 2 FT"/>
        <s v="94639A187 - SPACER, #2 X 0.25 OD X 0.125 L, NYLON"/>
        <s v="91249A066 - PHS, #2-56 X 1.0, 18-8, BLK"/>
        <s v="OH4A14A1-1 - ASSY, LC TO CT BULKHEAD INTERCONNECT PANEL"/>
        <s v="OH4A14A1-10 - LC TO CT BULKHEAD INTERCONNECT PANEL"/>
        <s v="1589-01C - CABLE, USB 2.0, PNL MNT, TYPE B FEMALE TO TYPE A MALE, 1 FT"/>
        <s v="39-01-2061 - MOLEX, MINI-FIT JR, 5559-SERIES, PNL MNT, 6 POS"/>
        <s v="93505A456 - STANDOFF, #8-32 X 1.00, .250 HEX, MALE-FEMALE, ALUMINUM"/>
        <s v="OH4A10-1 - ASSY, TRANSDUCER GAIN REMOTE"/>
        <s v="OH4A10-10 - TRANSDUCER GAIN REMOTE PLATE"/>
        <s v="91841A007 - NUT, #6-32, 18-8"/>
        <s v="OH5A1-1 - ASSY, RIGHT CONSOLE"/>
        <s v="OH5A1-10 - EXTERNAL SKIN"/>
        <s v="OH5A1-11 - DEFOG LEVER"/>
        <s v="OH5A1-12 - AFT BLANKING PANEL"/>
        <s v="OH5A4A1-1 - ASSY, ELEC PANEL"/>
        <s v="OH5A4A1-13 - PCB, ELEC PANEL"/>
        <s v="OH5A4A1-10 - ELEC BACKPLATE"/>
        <s v="OH5A4A1-11 - ELEC LIGHTPLATE"/>
        <s v="OH5A4A1-12 - ELEC LEGEND PLATE"/>
        <s v="OH5A4A1-100 - BATTERY VOLTAGE INDICATOR"/>
        <s v="OH5A4A1-101 - BATT VOLT CASE"/>
        <s v="OH5A4A1-102 - BATT VOLT GLASS COVER"/>
        <s v="OH5A4A1-103 - BATT VOLT SPACER"/>
        <s v="OH5A4A1-104 - BATT VOLT BEZEL FACE"/>
        <s v="OH5A4A1-105 - BATT VOLT NEEDLE #1"/>
        <s v="OH5A4A1-106 - BATT VOLT NEEDLE #2"/>
        <s v="ABSIS010 - ASSY, DUAL NEEDLE GAUGE"/>
        <s v="OH5A4A1-107 - BATT VOLT NEEDLE SHAFT #2"/>
        <s v="OH5A4A1-108 - BATT VOLT NEEDLE SHAFT #1"/>
        <s v="OH5A4A1-109 - BATT VOLT LIGHTPLATE"/>
        <s v="X40 8798 - MICROSTEPPER, GAUGE, DUAL SHAFT, 315 DEG ROT"/>
        <s v="OH5A4A1-200 - ASSY, ELEC PANEL ELECTRONICS TRAY"/>
        <s v="OH5A4A1-201 - ELEC PANEL ABSIS ADAPTER PLATE"/>
        <s v="OH5A1A1-1 - ASSY, RIGHT CONSOLE STRUCTURE"/>
        <s v="OH5A1A1-10 - PRIMARY RIB J"/>
        <s v="OH5A1A1-11 - PRIMARY RIB F"/>
        <s v="OH5A1A1-12 - PRIMARY RIB G"/>
        <s v="OH5A1A1-13 - PRIMARY RIB H"/>
        <s v="OH5A1A1-14 - PRIMARY RIB I"/>
        <s v="OH5A1A1-15 - AUX SPACER"/>
        <s v="OH5A1A1-16 - G-H INBOARD SPACER"/>
        <s v="OH5A1A1-17 - H-I INBOARD SPACER"/>
        <s v="OH5A1A1-18 - I-J INBOARD SPACER"/>
        <s v="OH5A1A1-19 - J-AFT INBOARD SPACER"/>
        <s v="OH5A1A1-20 - F-G OUTBOARD SPACER"/>
        <s v="OH5A1A1-21 - G-H OUTBOARD SPACER"/>
        <s v="OH5A1A1-22 - H-I OUTBOARD SPACER"/>
        <s v="OH5A1A1-23 - I-J OUTBOARD SPACER"/>
        <s v="OH5A1A1-24 - J-AFT OUTBOARD SPACER"/>
        <s v="OH5A1A1-25 - FWD CONSOLE CANOPY RAIL BRACKET"/>
        <s v="OH5A1A1-26 - CANOPY RAIL TRIM"/>
        <s v="OH5A1A1-27 - AFT CONSOLE CANOPY RAIL BRACKET"/>
        <s v="OH5A1A1-28 - CANOPY RAIL"/>
        <s v="OH5A1A1-29 - CONSOLE SILL BRACKET A-R"/>
        <s v="OH5A1A1-30 - CONSOLE SILL BRACKET B-R"/>
        <s v="OH5A1A1-31 - AFT UPPER BULKHEAD BRACKET"/>
        <s v="OH5A1A1-32 - INBOARD CONSOLE WALL"/>
        <s v="OH5A1A1-33 - CONSOLE FLOOR"/>
        <s v="OH5A1A1-34 - AFT INTERNAL BULKHEAD"/>
        <s v="OH5A1A1-35 - AFT BULKHEAD"/>
        <s v="OH5A1A1-36 - CONSOLE INBOARD WALL"/>
        <s v="OH5A1A1-37 - A-B LOWER STRINGER"/>
        <s v="OH5A1A1-38 - B-C LOWER STRINGER"/>
        <s v="OH5A1A1-39 - C-D LOWER STRINGER"/>
        <s v="OH5A1A1-40 - E-F LOWER STRINGER"/>
        <s v="OH5A1A1-41 - AFT BULKHEAD STRINGER"/>
        <s v="OH5A1A1-42 - INBOARD FWD CONSOLE TRIM"/>
        <s v="OH5A1A1-43 - AUX PANEL"/>
        <s v="OH5A1A1-44 - AUX UPPER BRACKET"/>
        <s v="OH5A1A1-45 - AUX SUPPORT BRACKET, FWD, OUTBOARD"/>
        <s v="OH5A1A1-46 - AUX SUPPORT BRACKET, LOWER, OUTBOARD"/>
        <s v="OH5A1A1-47 - AUX SUPPORT BRACKET, LOWER, INBOARD"/>
        <s v="OH5A1A1-48 - AUX VENT PLUG"/>
        <s v="OH5A7A1-1 - ASSY, SNSR PANEL"/>
        <s v="OH5A7A1-13 - PCB, SNSR"/>
        <s v="OH5A7A1-10 - SNSR BACKPLATE"/>
        <s v="OH5A7A1-11 - SNSR LIGHTPLATE"/>
        <s v="OH5A7A1-12 - SNSR LEGEND PLATE"/>
        <s v="OH5A7A1-14 - SNSR PANEL ABSIS ADAPTER PLATE"/>
        <s v="OHC0003-A-484DGB4 - ASSY, KNOB, GREY, .25 D-SHAFT"/>
        <s v="OHC0003-484DGB4 - KNOB, GREY, LARGE, .25 D-SHAFT"/>
        <s v="A12505RNZQ - SWITCH, ROTARY, 45 DEG, 8 POS, FIXED"/>
        <s v="OH5A5A2-1 - ASSY, DEFOG PANEL"/>
        <s v="OH5A5A2-13 - PCB, DEFOG"/>
        <s v="OH5A5A2-10 - DEFOG BACKPLATE"/>
        <s v="OH5A5A2-11 - DEFOG LIGHTPLATE"/>
        <s v="OH5A5A2-12 - DEFOG LEGEND PLATE"/>
        <s v="OH5A8A1-1 - ASSY, SIM CNTL PANEL"/>
        <s v="OH5A8A1-13 - PCB, SIM CNTL"/>
        <s v="OH5A8A1-10 - SIM CNTL BACKPLATE"/>
        <s v="OH5A8A1-11 - SIM CNTL LIGHTPLATE"/>
        <s v="OH5A8A1-12 - SIM CNTL LEGEND PLATE"/>
        <s v="OH5A8A1-14 - SIM CNTL PANEL ABSIS ADAPTER PLATE"/>
        <s v="OH5A2A4-1 - ASSY, RADAR ALTIMETER GAUGE"/>
        <s v="OH5A2A4-10 - RALT BEZEL"/>
        <s v="OH5A2A4-11 - RALT GLASS COVER"/>
        <s v="OH5A2A4-12 - RALT NEEDLE MASK"/>
        <s v="OH5A2A4-13 - RALT DIAL FACE"/>
        <s v="OH5A2A4-14 - RALT STEPPER MOUNT"/>
        <s v="OH5A2A4-15 - RALT STEPPER STANDOFF"/>
        <s v="OH5A2A4-16 - RALT CASE"/>
        <s v="OH5A2A4-17 - RALT NEEDLE"/>
        <s v="OH5A2A4-18 - RALT LIMIT INDEXER RING"/>
        <s v="OH5A2A4-19 - RALT KNOB"/>
        <s v="OH5A2A4-20 - RALT LIMIT SHAFT GEAR"/>
        <s v="OH5A2A4-21 - RALT POT MOUNT"/>
        <s v="OH5A2A4-22 - RALT OFF FLAG"/>
        <s v="OH5A2A4-23 - PCB, RALT CONTROL"/>
        <s v="SMB 200 RTP - LENS, LED, FRESNEL, RED"/>
        <s v="SMB 200 GTP  - LENS, LED, FRESNEL, GREEN"/>
        <s v="LTW-420D7 - LED, THRU HOLE, T-1, WHITE"/>
        <s v="OH5A2A4-24 - GEAR, 16T, 32P, .250 D-SHAFT"/>
        <s v="1692K53 - TYPE 302 SS CONICAL COMPRESSION SPRING"/>
        <s v="634070 - SERVOCITY, .250 X 2.250 D-SHAFT"/>
        <s v="3590S-2-103L - POT, 10K LINEAR, ROUND BODY, .250 X .811 S-SHAFT"/>
        <s v="HK-5320 - SERVO, DIGITAL, ULTRA-MICRO, 1.7G"/>
        <s v="90380A322 - PHS, M1.6 X 5MM SELF-TAPPING, STEEL"/>
        <s v="OH5A2A5-1 - ASSY, HYD PRESS GAUGE"/>
        <s v="OH5A2A5-10 - HYD PRESS FACE"/>
        <s v="OH5A2A5-11 - HYD PRESS NEEDLE #1"/>
        <s v="OH5A2A5-12 - HYD PRESS NEEDLE #2"/>
        <s v="OH5A2A6-1 - ASSY, BUNO PLACARD"/>
        <s v="OH5A2A6-10 - BUNO LIGHTPLATE"/>
        <s v="OH5A2A6-11 - BUNO LEGEND PLATE"/>
        <s v="OH5A2A7-1 - ASSY, LDG CHKLST PANEL"/>
        <s v="OH5A2A7-10 - LDG CHKLST LIGHTPLATE"/>
        <s v="OH5A2A7-11 - LDG CHKLST LEGEND PLATE"/>
        <s v="OH5A2A7-12 - PCB, LDG CHKLST"/>
        <s v="OH5A2A7-09 - LDG CHKLST BACKPLATE"/>
        <s v="OH5A3A1-1 - ASSY, CAUTION LIGHT PANEL"/>
        <s v="OH5A3A1-10 - CLP CHASSIS"/>
        <s v="OH5A3A1-11 - PCB, CAUTION LIGHT PANEL REV4"/>
        <s v="OH5A3A1-12 - CLP DIFFUSER"/>
        <s v="OH5A3A1-13 - CK SEAT LEGEND"/>
        <s v="OH5A3A1-14 - FCS HOT LEGEND"/>
        <s v="OH5A3A1-15 - FUEL LO LEGEND"/>
        <s v="OH5A3A1-16 - L GEN LEGEND"/>
        <s v="OH5A3A1-17 - APU ACC LEGEND"/>
        <s v="OH5A3A1-18 - GEN TIE LEGEND"/>
        <s v="OH5A3A1-19 - FCES LEGEND"/>
        <s v="OH5A3A1-20 - R GEN LEGEND"/>
        <s v="OH5A3A1-21 - BATT SW LEGEND"/>
        <s v="OH5A3A1-22 - BLANK LINE LEGEND"/>
        <s v="OH5A3A1-23 - CLP LEGEND COVER"/>
        <s v="OH5A2A2-1 - ASSY, WING FOLD HANDLE"/>
        <s v="OH5A2A2-12 - WING FOLD HANDLE ROTATING DETENTS"/>
        <s v="OH5A2A2-18 - WING FOLD PUSH-PULL DETENTS"/>
        <s v="OH5A2A2-13 - WING FOLD .250 SHAFT"/>
        <s v="OH5A2A2-15 - WING FOLD BODY UPPER CAP"/>
        <s v="OH5A2A2-17 - WING FOLD BODY LOWER CAP"/>
        <s v="OH5A2A2-16 - WING FOLD MAIN BODY"/>
        <s v="OH5A2A2-14 - WING FOLD LOCKING LIMIT SWITCH BRACKET"/>
        <s v="OH5A2A2-10 - WING FOLD HANDLE RETAINING NUT"/>
        <s v="OH5A2A2-11 - WING FOLD HANDLE"/>
        <s v="84835A44 - SPRING PLUNGER, BALL-NOSE, PRESS-FIT, .312 IN DIA"/>
        <s v="84835A36 - SPRING PLUNGER, BALL-NOSE, PRESS-FIT, .312 IN DIA"/>
        <s v="OH5A2A3-1 - ASSY, AV COOL SWITCH"/>
        <s v="OH5A2A3-10 - AV COOL LIGHTPLATE"/>
        <s v="OH5A2A3-11 - AV COOL LEGEND PLATE"/>
        <s v="OH5A2A3-12 - PCB, AV COOL REV4"/>
        <s v="OH5A2A3-09 - AV COOL BACKPLATE"/>
        <s v="OH5A10A1-1 - ASSY, RIGHT CIRCUIT BREAKERS"/>
        <s v="OH5A10A1-10 - CIRCUIT BREAKER LIGHTPLATE"/>
        <s v="OH5A10A1-11 - CIRCUIT BREAKER LEGEND PLATE"/>
        <s v="OH5A1-9002 - FCS BIT PLACARD"/>
        <s v="OH5A10A1-12 - CIRCUIT BREAKER BRACKET"/>
        <s v="OH5A10A2-1 - ASSY, CANOPY SWITCH"/>
        <s v="OH5A10A2-10 - CANOPY SWITCH BRACKET"/>
        <s v="OH5A1-9001 - DECAL, CANOPY"/>
        <s v="OHC0005-3 - ASSY, SWITCH, MAGNETICALLY HELD, (ON)-OFF"/>
        <s v="PV2F24011 - SWITCH, PUSHBUTTON, FLAT, OFF-(ON)"/>
        <s v="PV2F24011 - MOUNTING NUT"/>
        <s v="OH5A9A1-1 - ASSY, KY58 PANEL"/>
        <s v="OH5A9A1-16 - PCB, KY58"/>
        <s v="OH5A9A1-10 - KY58 BACKPLATE"/>
        <s v="OH5A9A1-11 - KY58 FWD LIGHTPLATE"/>
        <s v="OH5A9A1-12 - KY58 FWD LEGEND PLATE"/>
        <s v="OH5A9A1-13 - KY58 AFT LIGHTPLATE"/>
        <s v="OH5A9A1-14 - KY58 AFT LEGEND PLATE"/>
        <s v="OH5A9A1-15 - KY58 NO PLACARD"/>
        <s v="M55116/10-0 - 6 CONDUCTOR PM PLUG ASSY"/>
        <s v="AJ-146-10 - 6 CONDUCTOR PM PLUG SUB ASSY"/>
        <s v="AP-136-36 - O-RING FOR M55116-10/0"/>
        <s v="AJ-146-12 - RETAINING NUT FOR M55116-10/0"/>
        <s v="OHC0003-A-484DBW4 - ASSY, KNOB, BLACK, LARGE, .25 D-SHAFT"/>
        <s v="OHC0003-484DBW4 - KNOB, BLACK, LARGE, .25 D-SHAFT"/>
        <s v="OHC0003-A-287ABW4 - ASSY, KNOB, BLACK, .25 D-SHAFT"/>
        <s v="OHC0003-287ABW4 - KNOB, BLACK, .25 D-SHAFT"/>
        <s v="OHC0003-A-384ABW2 - ASSY, KNOB, BLACK, .125 D-SHAFT"/>
        <s v="OHC0003-384ABW2 - KNOB, BLACK, .125 D-SHAFT"/>
        <s v="OH5A9A1-100 - ASSY, KY58 ABSIS MODULE"/>
        <s v="OH5A9A1-16 - KY58 PANEL ABSIS ADAPTER PLATE"/>
        <s v="51M30-01-2-03N - SWITCH, ROTARY, 3 POS, 30 DEG"/>
        <s v="AT513M - HEX NUT FOR SWITCH, M6 X 0.75"/>
        <s v="OH5A6A1-1 - ASSY, INTR LT PANEL"/>
        <s v="OH5A6A1-13 - PCB, INTR LT"/>
        <s v="OH5A6A1-10 - INTR LT BACKPLATE"/>
        <s v="OH5A6A1-11 - INTR LT LIGHTPLATE"/>
        <s v="OH5A6A1-12 - INTR LT LEGEND PLATE"/>
        <s v="635H/2 - SWITCH, TOGGLE, ON-MOM, STD BAT"/>
        <s v="OH5A6A1-100 - ASSY, INTR LT ABSIS MODULE"/>
        <s v="OH5A6A1-14 - INT LT PANEL ABSIS ADAPTER PLATE"/>
        <s v="91249A144 - PHS, #6-32 X .250, 18-8, BLK"/>
        <s v="OHC0003-A-385EGB4 - ASSY, KNOB, GREY, .25 D-SHAFT"/>
        <s v="OHC0003-385EGB4 - KNOB, GREY, .25 D-SHAFT"/>
        <s v="OHC0003-A-385BGB4 - ASSY, KNOB, GREY, .25 D-SHAFT"/>
        <s v="OHC0003-385BGB4 - KNOB, GREY, .25 D-SHAFT"/>
        <s v="OH5A5A1-1 - ASSY, ECS PANEL"/>
        <s v="OH5A5A1-13 - PCB, ECS"/>
        <s v="OH5A5A1-10 - ECS LIGHTPLATE"/>
        <s v="OH5A5A1-12 - ECS LEGEND PLATE"/>
        <s v="OH5A5A1-11 - ECS BACKPLATE"/>
        <s v="OH5A5A1-18 - ECS PANEL ABSIS ADAPTER PLATE"/>
        <s v="638H/2 - SWITCH, TOGGLE, ON-OFF-MOM, STD BAT"/>
        <s v="OHC0003-A-4CONGB3 - ASSY, KNOB, GREY, .25 SHAFT, 12-FLUTES"/>
        <s v="OHC0003-4CONGB3 - KNOB, GREY, .25 SHAFT, 12-FLUTES"/>
        <s v="92311A191 - SET SCREW, 8-32 X .3125, CUP POINT, 18-8"/>
        <s v="OHC0003-A-18FLGB1 - ASSY, KNOB, GREY, .125 SHAFT"/>
        <s v="OHC0003-18FLGB1 - KNOB, GREY, .125 SHAFT"/>
        <s v="OHC0003-A-1AUGGN6 - ASSY, KNOB, GREY, AUG-PULL, .125 SHAFT"/>
        <s v="OHC0003-1AUGGN6 - KNOB, GREY, AUG-PULL, .125 SHAFT"/>
        <s v="OH5A5A1-200 - ASSY, BLEED AIR KNOB MECHANISM"/>
        <s v="OH5A5A1-201 - ASSY, UPPER BRACKET"/>
        <s v="OH5A5A1-202 - UPPER BRACKET"/>
        <s v="OH5A5A1-203 - ASSY, LOWER BRACKET"/>
        <s v="OH5A5A1-204 - LOWER BRACKET"/>
        <s v="OH5A5A1-205 - ASSY, SOLENOID BRACKET"/>
        <s v="OH5A5A1-206 - SOLENOID BRACKET"/>
        <s v="OH5A5A1-209 - ROTATING SHAFT"/>
        <s v="615250 - GEAR, PINION, .250 BORE, 32 PITCH, .75 PD, 24 TOOTH, .813 OD, BRASS, SERVOCITY"/>
        <s v="DSOL-0630-12E - SOLENOID, OPEN-FRAME, PULL, INTERMITTENT, 12V, .50 STROKE"/>
        <s v="A12405RNZQ - SWITCH, ROTARY, 90 DEG, 4 POS"/>
        <s v="OH5A5A1-207 - ASSY, PULL SHAFT COUPLER"/>
        <s v="OH5A5A1-208 - PULL SHAFT COUPLER"/>
        <s v="93025A568 - ROD, #6-32 X 3.00, BRASS"/>
        <s v="90480A003 - NUT, #2-56, STEEL"/>
        <s v="ESE-11HS2 - SWITCH, DETECTOR, SPST"/>
        <s v="92503A180 - WASHER, #6 X 0.56 OD, 18-8, MIL-SPEC"/>
        <s v="84835A11 - SPRING PLUNGER, BALL-NOSE, PRESS-FIT, 0.188IN DIA"/>
        <s v="OH5A5A1-300 - ASSY, ALTERNATE DUAL SHAFT POT"/>
        <s v="P082D-27CBR10K - POT, DUAL SHAFT, 10K, W/ 11X DETENTS"/>
        <s v="OH5A5A1-301 - DUAL SHAFT POT MOUNT"/>
        <s v="OH5A5A1-302 - OUTER SHAFT"/>
        <s v="OH5A5A1-303 - INNER SHAFT"/>
        <s v="OH5A2A1-1 - ASSY, HOOK LEVER &amp; INDICATOR"/>
        <s v="OH5A2A1-16 - HOOK LEVER CHASSIS .250 SHAFT"/>
        <s v="OH5A2A1-10 - ASSY, HOOK LEVER"/>
        <s v="OH5A2A1-11A - HOOK LEVER BODY"/>
        <s v="OH5A2A1-11 - HOOK LEVER BODY"/>
        <s v="OH5A2A1-12 - HOOK LEVER"/>
        <s v="OH5A2A1-13L - ASSY, HOOK LEVER CHASSIS"/>
        <s v="OH5A2A1-15 - LEFT HOOK LEVER CHASSIS"/>
        <s v="92141A029 - WASHER, 0.281 X .625 OD, 18-8"/>
        <s v="OH5A2A1-17 - ASSY, HOOK INDICATOR"/>
        <s v="OH5A2A1-18 - HOOK IND BODY"/>
        <s v="OH5A2A1-19 - HOOK IND COVER"/>
        <s v="OH5A2A1-20 - HOOK LEGEND"/>
        <s v="OH5A2A1-21 - HOOK DIFFUSER"/>
        <s v="OH5A2A1-12 - HOOK IND MOUNTING PLATE"/>
        <s v="CR-104 - HOLDER, LED, 3MM"/>
        <s v="C-104 - HOLDER, LED, CLIP"/>
        <s v="R-104 - HOLDER, LED, RING"/>
        <s v="91249A164 - PHS, #6-32 X 1.50, 18-8, BLK"/>
        <s v="OH5A2A1-13R - ASSY, HOOK LEVER CHASSIS RIGHT"/>
        <s v="OH5A2A1-14 - RIGHT HOOK LEVER CHASSIS"/>
        <s v="OHC0013-2 - ASSY, RIGHT BULKHEAD INTERCONNECT PANEL"/>
        <s v="ABSIS003 - ASSY, ABSIS HID BUS MASTER" u="1"/>
        <s v="ABSIS003A1 - PCB, ABSIS HID BUS MASTER" u="1"/>
        <s v="98381A474 - PIN, DOWEL, .125 OD X .825L, ALLOY STEEL" u="1"/>
        <s v="TLVH4200 - 3MM BACKLIGHTING LED, RED" u="1"/>
        <s v="LED_WS2812B_PLCC4_5.0X5.0MM_P3.2MM.STEP" u="1"/>
      </sharedItems>
    </cacheField>
    <cacheField name="DESCRIPTION" numFmtId="0">
      <sharedItems count="1624">
        <s v="ASSY, LOWER &amp; UPPER INSTRUMENT PANEL"/>
        <s v="ASSY, LOWER INSTRUMENT PANEL"/>
        <s v="STANDBY INSTRUMENT MODULE MOUNTING BRACKET"/>
        <s v="LEFT MIP MODULE MOUNTING BRACKET"/>
        <s v="LEFT MIP MODULE INBOARD MOUNTING BRACKET"/>
        <s v="LIP R EXT SKIN"/>
        <s v="LIP L EXT SKIN"/>
        <s v="ASSY, LOWER INSTRUMENT PANEL STRUCTURE"/>
        <s v="RIB N"/>
        <s v="RIB M"/>
        <s v="RIB L"/>
        <s v="RIB K"/>
        <s v="RIB R"/>
        <s v="RIB Q"/>
        <s v="RIB P"/>
        <s v="RIB O"/>
        <s v="LEFT FOOTWELL FLOOR"/>
        <s v="SUBFLOOR BRACE B"/>
        <s v="SUBFLOOR BRACE A"/>
        <s v="SUBFLOOR BRACE E"/>
        <s v="SUBFLOOR BRACE D"/>
        <s v="SUBFLOOR BRACE C"/>
        <s v="RIGHT FOOTWELL FLOOR"/>
        <s v="SUBFLOOR BRACE H"/>
        <s v="SUBFLOOR BRACE G"/>
        <s v="SUBFLOOR BRACE F"/>
        <s v="LOWER INSTRUMENT PANEL BASE"/>
        <s v="LEFT INBOARD FOOTWELL WALL"/>
        <s v="RIGHT INBOARD FOOTWELL WALL"/>
        <s v="CENTER PEDESTAL LOWER TRIM"/>
        <s v="LOWER ECS VENT"/>
        <s v="CENTER PEDESTAL LOWER MOUNT"/>
        <s v="LEFT OUTBOARD FOOTWELL WALL"/>
        <s v="RIGHT OUTBOARD FOOTWELL WALL"/>
        <s v="LEFT OUTBOARD BULKHEAD"/>
        <s v="RIGHT OUTBOARD BULKHEAD"/>
        <s v="UPPER INSTRUMENT PANEL MOUNT"/>
        <s v="OUTBOARD UPPER INSTRUMENT PANEL LONGERON"/>
        <s v="OUTBOARD UPPER RIGHT INSTRUMENT PANEL LONGERON"/>
        <s v="LOWER LEFT LIP AUX SUPPORT BRACKET"/>
        <s v="UPPER LEFT LIP AUX SUPPORT BRACKET"/>
        <s v="LOWER RIGHT LIP AUX SUPPORT BRACKET"/>
        <s v="UPPER RIGHT LIP AUX SUPPORT BRACKET1"/>
        <s v="LEFT LIP CANOPY SILL"/>
        <s v="AFT LIP SILL BRACKET"/>
        <s v="LIP SILL BRACKET A-L"/>
        <s v="LIP SILL BRACKET B-L"/>
        <s v="RIGHT LIP CANOPY SILL1"/>
        <s v="AFT RIGHT LIP SILL BRACKET1"/>
        <s v="LIP SILL BRACKET A-R"/>
        <s v="LIP SILL BRACKET B-R"/>
        <s v="FHWS, 82DEG, #8 X 1.50, STEEL, BLK, FOR MDF"/>
        <s v="INSERT, 8-32, SELF TAPPING, FOR SOFTWOOD"/>
        <s v="FHS, 100DEG, #8-32 X 1.25, STEEL"/>
        <s v="FHS, 100DEG, #8-32 X .625, STEEL"/>
        <s v="INSERT, 8-32, BRASS, FOR PLASTICS"/>
        <s v="NUT, #8-32, 18-8"/>
        <s v="WASHER, #8, STEEL, ZINC"/>
        <s v="PHS, #8-32 X 1.50, STEEL"/>
        <s v="PHS, #8-32 X 1.250, STEEL"/>
        <s v="FHWS, 82DEG, #8 X 1.00, STEEL, BLK, FOR MDF"/>
        <s v="LIP CENTER PEDESTAL UPPER BRACKET"/>
        <s v="FHS, 100DEG, #8-32 X 1.00, STEEL"/>
        <s v="ASSY, STANDBY INSTRUMENT MODULE"/>
        <s v="STANDBY_CONTROLLER"/>
        <s v="SUBASSY, ANALOG RIGHT LOWER INSTRUMENT PANEL"/>
        <s v="ANALOG RIGHT LOWER INSTRUMENT PANEL"/>
        <s v="INSERT, 6-32, BRASS, FOR PLASTIC"/>
        <s v="INSERT, 2-56, BRASS, FOR PLASTIC"/>
        <s v="AIRSPEED INDICATOR"/>
        <s v="AIRSPEED INDICATOR BEZEL"/>
        <s v="AIRSPEED INDICATOR DIAL FACE"/>
        <s v="ASSY, 2IN GAUGE SGL STPR MECH W/ ZERO DETECT"/>
        <s v="2IN GAUGE STEPPER MOUNT"/>
        <s v="2IN GAUGE ZERO WHEEL"/>
        <s v="LED, NEOPIXEL, DIFFUSED 5MM TH"/>
        <s v="STANDOFF, #2-56 X .375, .125 HEX, FEMALE, 6061"/>
        <s v="FHS, 100DEG, #2-56 X .250, STEEL"/>
        <s v="PHS, #2-56 X .250, STEEL"/>
        <s v="PHS, M2, 5MM, SELF-TAP, 18-8"/>
        <s v="MICROSTEPPER, GAUGE, 315 DEG ROT (MODIFIED)"/>
        <s v="UTIL PHOTOSWITCH"/>
        <s v="2 IN GAUGE STEPPER PCB"/>
        <s v="2IN GAUGE COVER GLASS"/>
        <s v="2IN GAUGE DIAL FACE SPACER"/>
        <s v="2IN GAUGE POINTER"/>
        <s v="ALTIMETER"/>
        <s v="ALTIMETER BEZEL"/>
        <s v="ALTIMETER DIAL FACE"/>
        <s v="ALTIMETER STEPPER MOUNT"/>
        <s v="ALTIMETER INDICATOR POINTER"/>
        <s v="ALTIMETER ZERO WHEEL"/>
        <s v="ASSY, ALTIMETER KNOB"/>
        <s v="ALTIMETER KNOB"/>
        <s v="SET SCREW, 4-40 X .093 CUP POINT, 18-8"/>
        <s v="ENCODER, INC, QUAD, DETENT, NO SWITCH, 24PPR, 6MM DIA X 30MM FLAT SHAFT"/>
        <s v="HEX NUT FOR SWITCH, M7 X .75"/>
        <s v="OLED, 0.91IN, WHT ON BLK, 128X32, SPI"/>
        <s v="PCB, STANDBY ALTIMETER"/>
        <s v="ALTIMETER ZERO WHEEL SPACER A"/>
        <s v="ALTIMETER ZERO WHEEL SPACER B"/>
        <s v="VERTICAL VELOCITY INDICATOR"/>
        <s v="VVI BEZEL"/>
        <s v="VVI DIAL FACE"/>
        <s v="RWR"/>
        <s v="RWR BEZEL"/>
        <s v="RWR KNOB"/>
        <s v="SET SCREW, 4-40 X .1875, CUP POINT, 18-8"/>
        <s v="POT, 10K LINEAR, 9MM SQ, 3.18 X 12.7 D-SHAFT"/>
        <s v="LCD, 2.8 ROUND, 480X480 RESOLUTION"/>
        <s v="INSERT, 4-40, BRASS, FOR PLASTICS"/>
        <s v="WASHER, #4 X .250, 18-8, BLACK OXIDE, MS15795-803B"/>
        <s v="PHS, #4-40 X .50, 18-8, BLK"/>
        <s v="PCB, RGB TO HDMI CONVERTER"/>
        <s v="RWR PCB MOUNTING BRACKET"/>
        <s v="RWR SCREEN SUPPORT BRACKET"/>
        <s v="PHS, #2-56 X .1875, BRASS"/>
        <s v="NUT, #2-56, NARROW, BRASS"/>
        <s v="RWR LEGEND PLATE"/>
        <s v="SARI"/>
        <s v="SARI BEZEL"/>
        <s v="SARI KNOB"/>
        <s v="ENCODER, INC, QUAD, DETENT, SWITCH, 12PPR, 6MM DIA X 20MM FLAT SHAFT"/>
        <s v="SWITCH, PUSHBUTTON, MICRO, APEM"/>
        <s v="WASHER FOR SWITCH, M7, 12 MM OD"/>
        <s v="SARI PCB MOUNTING BRACKET"/>
        <s v="SARI SCREEN SUPPORT BRACKET"/>
        <s v="SARI LEGEND PLATE"/>
        <s v="STANDOFF, #2-56 X 1.00, .1875 HEX, MALE-FEMALE, ALUMINUM"/>
        <s v="ARDUINO MEGA 2560 R3"/>
        <s v="PHS, #6-32 X .625, 18-8, BLK"/>
        <s v="ASSY, LEFT LIP MODULE"/>
        <s v="ASSY, JETT STATION SELECT PLACARD"/>
        <s v="JETT STATION SELECT PLACARD"/>
        <s v="JETT STATION SELECT PLACARD LIGHTPLATE"/>
        <s v="JETT STATION SELECT BACKPLATE"/>
        <s v="PCB, JETT STATION SELECT PLACARD"/>
        <s v="TAPE, LIGHT DUTY, DOUBLE SIDED, FOAM"/>
        <s v="LEFT LIP AVIONICS TRAY"/>
        <s v="SUBASSY, LEFT LOWER INSTRUMENT PANEL"/>
        <s v="LEFT LOWER INSTRUMENT PANEL"/>
        <s v="PHS, #6-32 X .50, 18-8, BLK"/>
        <s v="PHS, #6-32 X .8750, 18-8, BLK"/>
        <s v="PHS, #6-32 X .375, 18-8, BLK"/>
        <s v="DISPLAY, LCD, 7&quot;, HDMI, NO TOUCH PANEL"/>
        <s v="PCB, HDMI CONTROLLER FOR LCD PANEL"/>
        <s v="STANDOFF, #6-32 X 1.50, .25 HEX, FEMALE, ALUMINUM"/>
        <s v="FHS, 100DEG, #6-32 X .500, STEEL"/>
        <s v="STANDOFF, #2-56 X .375, .1875 HEX, FEMALE, ALUMINUM"/>
        <s v="PHS, #2-56 X .375, STEEL"/>
        <s v="ASSY, ABSIS BUS MASTER"/>
        <s v="PCB, ABSIS BUS MASTER"/>
        <s v="HEADER, PIN, .1 SPACING"/>
        <s v="ARDUINO PRO MICRO, 5V, 16 MHZ, SPARKFUN"/>
        <s v="LEFT LIP UPPER MONITOR CLIP"/>
        <s v="LEFT LIP LOWER MONITOR CLIP"/>
        <s v="WASHER, #2 X .250 OD, 18-8"/>
        <s v="ASSY, ABSIS ALE"/>
        <s v="PCB, ABSIS ALE"/>
        <s v="ASSY, PANEL, IFEI"/>
        <s v="IFEI BACKPLATE"/>
        <s v="IFEI LIGHTPLATE"/>
        <s v="IFEI LEGEND PLATE"/>
        <s v="IFEI BUTTON BEZEL"/>
        <s v="IFEI BUTTON, MODE"/>
        <s v="IFEI BUTTON RETAINER"/>
        <s v="PCB, IFEI"/>
        <s v="IFEI BUTTON, QTY"/>
        <s v="IFEI BUTTON, ARROW"/>
        <s v="IFEI BUTTON, ZONE"/>
        <s v="IFEI BUTTON, ET"/>
        <s v="PHS, #0-80 X 0.375, 18-8, BLK"/>
        <s v="NUT, #0-80, BRASS"/>
        <s v="ASSY, PANEL, VIDEO RECORD"/>
        <s v="HUD VIDEO RECORD PANEL BACKPLATE"/>
        <s v="HUD VIDEO RECORD PANEL LIGHTPLATE"/>
        <s v="HUD VIDEO RECORD PANEL LEGEND PLATE"/>
        <s v="PCB, HUD VID RCD PANEL"/>
        <s v="SWITCH, TOGGLE, ON-OFF-ON, SPDT, 18MM BAT"/>
        <s v=" LOCKING RING FOR SWITCH, B13"/>
        <s v="LOCK WASHER FOR SWITCH, B13"/>
        <s v="HEX NUT FOR SWITCH, 15/32-32NS"/>
        <s v="SWITCH, TOGGLE, ON-ON, SPDT, 2-POSN, 18MM BAT"/>
        <s v="POT, 10K, PNL MNT, SIDE ADJUST, SLDR LUGS, ON-OFF SW"/>
        <s v="ASSY, KNOB, GREY, .25 D-SHAFT"/>
        <s v="KNOB, GREY, .25 D-SHAFT"/>
        <s v="NUT (PO P170S-FC20BR10K)"/>
        <s v="INSULATING WASHER"/>
        <s v="ASSY, PANEL, JETT SELECT"/>
        <s v="JETT SELECT BODY"/>
        <s v="SUBASSY, JETT SELECT MOUNTING PLATE"/>
        <s v="JETT SELECT MOUNTING PLATE"/>
        <s v="PCB, JETT STATION SELECT"/>
        <s v="ASSY, JETT SELECT PUSHBUTTON, RO"/>
        <s v=".55 SQ INDICATOR BEZEL"/>
        <s v="JETT STATION SEL LEGEND COVER, RO"/>
        <s v="JETT STATION SEL LEGEND, TRIANGLE"/>
        <s v=".55 SQ INDICATOR ACTUATOR"/>
        <s v="JETT STATION SEL INDICATOR LEGEND DIFFUSER"/>
        <s v="ASSY, JETT SELECT PUSHBUTTON, LI"/>
        <s v="JETT STATION SEL LEGEND COVER, LI"/>
        <s v="ASSY, JETT SELECT PUSHBUTTON, LO"/>
        <s v="JETT STATION SEL LEGEND COVER, LO"/>
        <s v="ASSY, JETT SELECT PUSHBUTTON, RI"/>
        <s v="JETT STATION SEL LEGEND COVER, RI"/>
        <s v="ASSY, JETT SELECT PUSHBUTTON, CTR"/>
        <s v="JETT STATION SEL LEGEND COVER, CTR"/>
        <s v="ASSY, JETT SELECT INDICATOR, NOSE"/>
        <s v="JETT SELECT INDICATOR LEGEND COVER"/>
        <s v="JETT SELECT INDICATOR LEGEND, NOSE"/>
        <s v="JETT SELECT INDICATOR LEGEND DIFFUSER"/>
        <s v="JETT SELECT INDICATOR STANDOFF"/>
        <s v="JETT SELECT INDICATOR BEZEL"/>
        <s v="ASSY, JETT SELECT INDICATOR, LEFT"/>
        <s v="JETT SELECT INDICATOR LEGEND, LEFT"/>
        <s v="ASSY, JETT SELECT INDICATOR, RIGHT"/>
        <s v="JETT SELECT INDICATOR LEGEND, RIGHT"/>
        <s v="ASSY, JETT SELECT INDICATOR, HALF"/>
        <s v="JETT SELECT INDICATOR LEGEND, HALF"/>
        <s v="ASSY, JETT SELECT INDICATOR, FULL"/>
        <s v="JETT SELECT INDICATOR LEGEND, FULL"/>
        <s v="ASSY, JETT SELECT INDICATOR, FLAPS"/>
        <s v="JETT SELECT INDICATOR LEGEND, FLAPS"/>
        <s v="MONO POWER AMPLIFIER, CL D, 1000W, KENWOOD"/>
        <s v="WASHER, #6 X .3125 OD, 18-8"/>
        <s v="NYLOC NUT, #6-32, 18-8"/>
        <s v="PHS, #6-32 X 1.50, 18-8, BLK"/>
        <s v="PHS, #8-32 X .750, 18-8, BLK"/>
        <s v="SWITCH, LIMIT, SUBMINIATURE, SNAP-ACTING, SPST"/>
        <s v="FHS, 82DEG, #2-56 X 1.25, 18-8"/>
        <s v="SPACER, #4 X .188 OD X .125 L, NYLON, BLK"/>
        <s v="NUT, #4-40, 18-1"/>
        <s v="FHS, 82DEG, #4-40 X 1.50, 18-8"/>
        <s v="SPRING, EXTENSION, 1.0L X .24OD X .018 WIRE, 1.18LBF MAX"/>
        <s v="NUT, JAM, #6-32, STEEL"/>
        <s v="FHS, 82DEG, #6-32 X 1.50, STEEL"/>
        <s v="SHCS, #8-32 X .750, 18-8"/>
        <s v="WASHER, #8 X .375 OD, 18-8, BLACK"/>
        <s v="ASSY, RUDDER PEDALS"/>
        <s v="TRACK LINEAR ACTUATOR, 12IN"/>
        <s v="MOUNTING BRACKET FOR PA-18"/>
        <s v="RUDDER GANTRY RISER"/>
        <s v="RUDDER GANTRY PLATE"/>
        <s v="ASSY, MFG CROSSWIND WITH OH PEDALS"/>
        <s v="MFG CROSSWIND V3 GRAPHITE - BASE"/>
        <s v="LH RUDDER PEDAL FOR MFG"/>
        <s v="RH RUDDER PEDAL FOR MFG"/>
        <s v="SHCS, M6X1.0, 35MM, 18-1, LOW-PROFILE"/>
        <s v="WASHER, #8, STEEL, BLACK-OXIDE"/>
        <s v="ASSY, PEDAL SUPPORT WHEEL"/>
        <s v="PEDAL SUPPORT WHEEL BRACKET, LEFT"/>
        <s v="WHEEL, 1.625IN OD, RUBBER"/>
        <s v="SHCS, #12-24 X 1.750, 18-8"/>
        <s v="WASHER, #12 X 0.50 OD, 18-8"/>
        <s v="NYLOC NUT, #12-24, 18-8"/>
        <s v="HHCS, .25-20 X 1.00, STEEL, ZINC"/>
        <s v="NYLOC NUT, .25-20, GR5, STEEL"/>
        <s v="HHCS, .25-20 X 1.50, GR8, STEEL"/>
        <s v="WASHER, .25 X .625, STEEL, ZINC"/>
        <s v="ASSY, LEFT FWD BULKHEAD INTERCONNECT PANEL"/>
        <s v="BULKHEAD INTERCONNECT PANEL"/>
        <s v="MOLEX, MINI-FIT JR, 5559-SERIES, PNL MNT, 22 POS"/>
        <s v="MOLEX, MINI-FIT JR, 5559-SERIES, PNL MNT, 8 POS"/>
        <s v="MOLEX, MINI-FIT JR, 5559-SERIES, PNL MNT, 4 POS"/>
        <s v="CONNECTOR, LOUDSPEAKER, 2-POLE, NEUTRIK"/>
        <s v="FHS, 100DEG, #4-40 X .375, STEEL"/>
        <s v="CABLE, USB 3.0, PNL MOUNT, TYPE A TO TYPE A, 1 FT"/>
        <s v="ASSY, RIGHT FWD BULKHEAD INTERCONNECT PANEL"/>
        <s v="CABLE, USB 3.0, PNL MOUNT, TYPE A TO TYPE A, 4 FT"/>
        <s v="ADAPTER, 4X HDMI TO USB 3.0 A, STARTECH"/>
        <s v="ASSY, ABSIS BACKLIGHT CONTROLLER"/>
        <s v="PCB, ABSIS_BACKLIGHT_CONTROLLER"/>
        <s v="HUB, USB 3.0, 7-PORT, 5VDC"/>
        <s v="RM SERIES™ RM750"/>
        <s v="PCB, ATX PSU BREAKOUT"/>
        <s v="ASSY, LEFT LIP-UIP BULKHEAD PANEL"/>
        <s v="LEFT LIP-UIP BULKHEAD PANEL"/>
        <s v="CABLE, USB 3.0, PNL MOUNT, TYPE A TO TYPE A, 2 FT"/>
        <s v="ASSY, RIGHT LIP-UIP BULKHEAD PANEL"/>
        <s v="RIGHT LIP-UIP BULKHEAD PANEL"/>
        <s v="COUPLER, HDMI, F-F, KEYSTONE"/>
        <s v="MOLEX, MINI-FIT JR, 5559-SERIES, PNL MNT, 2 POS"/>
        <s v="ASSY, ABSIS PIT MANAGEMENT SYSTEM"/>
        <s v="PCB, ABSIS PIT MANAGEMENT SYSTEM"/>
        <s v="ASSY, SHORE BULKHEAD PANEL"/>
        <s v="SHORE BULKHEAD PANEL"/>
        <s v="CABLE, POWER, PNL MNT, C14 TO C13, 125-250VAC"/>
        <s v="CABLE, USB 3.0, PNL MNT, TYPE-B TO MICRO-B, 3 FEET"/>
        <s v="USB BRACKET LOWER"/>
        <s v="USB BRACKET UPPER"/>
        <s v="PHS, #6-32 X .750, 18-8, BLK"/>
        <s v="PSU BRACKET UPPER"/>
        <s v="FHS, 82DEG, #6-32 X 1.00, STEEL"/>
        <s v="PSU BRACKET LOWER"/>
        <s v="PSU BRACKET LOWER HOLDER"/>
        <s v="PHS, #2-56 X .625, 18-8, BLK"/>
        <s v="FHS, 100 DEG, #6-32 X .750, STEEL"/>
        <s v="ASSY, UPPER CENTER PEDESTAL"/>
        <s v="UPPER CENTER PEDESTAL FACE"/>
        <s v="UPPER CENTER PEDESTAL AMPCD TRIM"/>
        <s v="ASSY, AMPCD MODULE"/>
        <s v="AMPCD - CRS-HDG BASE SUPPORT"/>
        <s v="HDG-CRS SET SPACER"/>
        <s v="HDG-CRS SET SPACER LIGHTPLATE"/>
        <s v="HDG-CRS SET SPACER LEGEND PLATE"/>
        <s v="AMPCD BEZEL"/>
        <s v="AMPCD FINGER GUARD A"/>
        <s v="AMPCD FINGER GUARD B"/>
        <s v="AMPCD FINGER GUARD C"/>
        <s v="AMPCD BUTTON"/>
        <s v="AMPCD BUTTON INSERT"/>
        <s v="AMPCD ROCKER"/>
        <s v="AMPCD ROCKER INSERT"/>
        <s v="AMPCD LEGEND PLATE, DAY"/>
        <s v="AMPCD LEGEND PLATE, NGT"/>
        <s v="AMPCD LEGEND PLATE, OFF"/>
        <s v="AMPCD LEGEND PLATE, GAIN"/>
        <s v="AMPCD LEGEND PLATE, SYM"/>
        <s v="AMPCD LEGEND PLATE, BRT"/>
        <s v="AMPCD LEGEND PLATE, CONT"/>
        <s v="TAPE, LIGHT DUTY, DOUBLE SIDED, FOAM (1)"/>
        <s v="AMPCD_BUTTON_BOARD"/>
        <s v="1.0 X 36.0, STRIP, NPRN, ADHESIVE BACK, 40A DURO"/>
        <s v="AMPCD FINGER GUARD D"/>
        <s v="POT, 10K LINEAR, .125 SHAFT, DETENT SWITCH"/>
        <s v="SWITCH, TOGGLE, (ON)-OFF-(ON), SPDT, 18MM BAT"/>
        <s v="SHCS, #4-40 X 1.00, STEEL, BLK"/>
        <s v="SHCS, #4-40 X .3125, STEEL, BLK"/>
        <s v="ASSY, DDI_AMPCD_CONTROLLER"/>
        <s v="DDI_AMPCD_CONTROLLER"/>
        <s v="ASSY, KNOB, GREY, .125 RECESSED D-SHAFT"/>
        <s v="NUT, THIN, .25-20, STEEL"/>
        <s v="ASSY, LOWER CENTER PEDESTAL"/>
        <s v="LOWER CENTER PEDESTAL FACE"/>
        <s v="RUDDER PEDAL ADJUST KNOB"/>
        <s v="RUDDER PEDAL ADJUST LEVER"/>
        <s v="CLOCK COVER"/>
        <s v="ASSY, PANEL, RWR CONTROL"/>
        <s v="RWR CONTROL PANEL BACKPLATE"/>
        <s v="RWR CONTROL PANEL LEGEND PLATE"/>
        <s v="RWR CONTROL PANEL COVER"/>
        <s v="RWR CONTROL INDICATOR, FAIL BIT"/>
        <s v=".55 SQ INDICATOR COVER, BLANK"/>
        <s v="RWR CONTROL INDICATOR LEGEND, FAIL BIT"/>
        <s v="RWR CONTROL INDICATOR, ENABLE OFFSET"/>
        <s v="RWR CONTROL INDICATORLEGEND, ENABLE OFFSET"/>
        <s v="RWR CONTROL INDICATOR, ENABLE SPECIAL"/>
        <s v="RWR CONTROL INDICATOR LEGEND, ENABLE SPECIAL"/>
        <s v="RWR CONTROL INDICATOR, LIMIT DISP"/>
        <s v="RWR CONTROL INDICATOR LEGEND, LIMIT DISP"/>
        <s v="RWR CONTROL INDICATOR, ALR-67 PWR"/>
        <s v="RWR CONTROL LEGEND COVER, ALR-67 PWR"/>
        <s v="RWR CONTROL LEGEND, ON"/>
        <s v="PCB, RWR CONTROL PANEL"/>
        <s v="SWITCH, ROTARY, 36DEG, 5 POS, .125 FLAT SHAFT"/>
        <s v="POT, 10K LINEAR, .125 FLAT X .50 SHAFT, .25 DIA BUSHING"/>
        <s v="SHCS, 6-32 X .375, STEEL, BLK"/>
        <s v="HEX NUT FOR POTENTIOMETER, 1/4-28-UNF-2B"/>
        <s v="RWR CONTROL PANEL PCB SUPPORT"/>
        <s v="ROD, THREADED, 2-56 X 2.0"/>
        <s v="RWR CONTROL PANEL ABSIS ADAPTER PLATE"/>
        <s v="ASSY, KNOB, BLACK, ROUND, .125 D-SHAFT"/>
        <s v="KNOB, BLACK, ROUND, .125 D-SHAFT"/>
        <s v="TOP NUT (PO 50A36-01-1-05N)"/>
        <s v="ASSY, PANEL, ECM/DISP"/>
        <s v="DISP-EMC PANEL BACKPLATE"/>
        <s v="DISP-EMC PANEL  LIGHTPLATE"/>
        <s v="DISP-EMC PANEL LEGENDPLATE"/>
        <s v="ECM JETT SEL INDICATOR"/>
        <s v="ECM JETT INDICATOR COVER"/>
        <s v=".55 SQ INDICATOR BASE"/>
        <s v=".55 SQ LEGENDPLATE INSERT"/>
        <s v="ECM JETT SEL LEGEND"/>
        <s v="PCB, DISP-EMC PANEL V2.5"/>
        <s v="DISP - EMC PANEL ABSIS ADAPTER PLATE"/>
        <s v="ASSY, SWITCH, S3AL, ROUND BAT"/>
        <s v="SWITCH, TOGGLE, LOCKING, SPDT, 3-POSN, NO BAT"/>
        <s v="BAT, ROUND, FOR NKK SXAL SWITCH"/>
        <s v="ASSY, SWITCH, S1AL, CONICAL BAT"/>
        <s v="SWITCH, TOGGLE, LOCKING, SPST, 2-POSN, NO BAT"/>
        <s v="BAT, CONICAL, FOR NKK SXAL SWITCH"/>
        <s v="HEX NUT FOR SWITCH, M12-1"/>
        <s v="SWITCH, ROTARY, 5 POS, 36 DEG, .25 D-SHAFT"/>
        <s v="PHS, 0-42 X .125, SELF TAPPING, 18-8"/>
        <s v="PHS, #6-32 X 0.250, STEEL"/>
        <s v="ASSY, KNOB, GREY, .25 D-SHAFT, MOD FOR ECM"/>
        <s v="KNOB, GREY, .25 D-SHAFT, MOD"/>
        <s v="SET SCREW, 8-32 X .1875, CUP POINT, 18-8"/>
        <s v="PHS, #0-80 X 0.2187, 18-8"/>
        <s v="ASSY, CABIN PRESSURE GAUGE"/>
        <s v="CABIN PRESS DIAL FACE"/>
        <s v="ASSY, 2IN GAUGE SGL STPR MECH W/O ZERO DETECT"/>
        <s v="MICROSTEPPER, GAUGE, 315 DEG ROT"/>
        <s v="BEARING, SEALED, .1563 ID X .3125 OD X .125 THK, R155-2Z"/>
        <s v="USB TO HDMI ADAPTER"/>
        <s v="ASSY, UPPER INSTRUMENT PANEL"/>
        <s v="UIP LEFT GLARESHIELD"/>
        <s v="(MOD_1) TRIM, .125 X .25 ID, EPDM RUBBER, BLACK"/>
        <s v="(MOD_2) TRIM, .125 X .25 ID, EPDM RUBBER, BLACK"/>
        <s v="UIP UPPER HUD BOX COVER"/>
        <s v="GLARESHIELD MOUNTING TAB GROUP, LH"/>
        <s v="GLARESHIELD MOUNTING TAB, LH"/>
        <s v="INSERT, .25-20, BRASS, FOR PLASTICS"/>
        <s v="GLARESHIELD MOUNTING TAB GROUP, RH"/>
        <s v="GLARESHIELD MOUNTING TAB, RH"/>
        <s v="UPPER INSTRUMENT PANEL FACE"/>
        <s v="UIP LEFT OUTBOARD LONGERON"/>
        <s v="UIP LEFT INBOARD LONGERON"/>
        <s v="UIP FLOOR"/>
        <s v="UPPER HUD BOX SUPPORT"/>
        <s v="UIP FWD BULKHEAD"/>
        <s v="UPPER UIP FACE MOUNT, LEFT"/>
        <s v="MFD LOWER SUPPORT A"/>
        <s v="MFD LOWER SUPPORT B"/>
        <s v="MFD LOWER SUPPORT C"/>
        <s v="UIP DISPLAY PRESSURE FOOT"/>
        <s v="HUD PANEL AFT SUPPORT"/>
        <s v="HUD PANEL CONNECTION BRACKET"/>
        <s v="UIP CENTRAL TIE BRACKET"/>
        <s v="1.0 X 36.0, STRIP, NEO RBR, ADHESIVE BACK, 40A DURO, BLACK"/>
        <s v="MIRRORMFD LOWER SUPPORT A"/>
        <s v="UIP RIGHT INBOARD LONGERON"/>
        <s v="UIP RIGHT GLARESHIELD"/>
        <s v="UPPER UIP FACE MOUNT, RIGHT"/>
        <s v="ASSY, DDIV2"/>
        <s v="DDI BEZEL"/>
        <s v="DDI BUTTON"/>
        <s v="DDI BUTTON INSERT"/>
        <s v="PCB, DDI_V4"/>
        <s v="DDI LEGEND PLATE, BRT"/>
        <s v="DDI LEGEND PLATE, CONT"/>
        <s v="DDI LEGEND PLATE, MODE"/>
        <s v="DDI FINGERGUARDS"/>
        <s v="DDI MOUNTING SPACER"/>
        <s v="DDI FINGERGUARDS, SHORT LEFT"/>
        <s v="DDI FINGERGUARDS, SHORT RIGHT"/>
        <s v="SHCS, #2-56 X .750, 18-8"/>
        <s v="ENCODER, INC, QUAD, DETENT, NO SWITCH, 12PPR, 6MM DIA X 20MM FLAT SHAFT"/>
        <s v="LOCKING RING FOR SWITCH, 6 MM ID"/>
        <s v="ASSY, KNOB, GREY, .125 SHAFT"/>
        <s v="KNOB, GREY, .125 SHAFT"/>
        <s v="SET SCREW, 4-40 X .125, CUP POINT, 18-8"/>
        <s v="ASSY, KNOB, GREY, .25 SHAFT, SINGLE SETSCREW"/>
        <s v="KNOB, GREY, .25 SHAFT, SINGLE SETSCREW"/>
        <s v="LOCK WASHER FOR SWITCH, M6"/>
        <s v="HEX NUT FOR SWITCH, M6 X .75"/>
        <s v="SWITCH, ROTARY, 45 DEG, 2-8 POS, NKK"/>
        <s v="ASSY, EYEBROW WARNING MODULE, LEFT"/>
        <s v="EWI FIRE FINGER GUARD"/>
        <s v="EWI FIRE FINGER GUARD MOUNTING BLOCK"/>
        <s v="EYEBROW WARNING SMALL LEGEND COVER"/>
        <s v="EYEBROW WARNING SMALL LEGEND, STBY"/>
        <s v="EYEBROW WARNING SMALL LEGEND, R BLEED"/>
        <s v="EYEBROW WARNING SMALL LEGEND, XMIT"/>
        <s v="EYEBROW WARNING SMALL LEGEND, REC"/>
        <s v="EYEBROW WARNING SMALL LEGEND, GO"/>
        <s v="EYEBROW WARNING SMALL LEGEND, ASPJ ON"/>
        <s v="EYEBROW WARNING SMALL LEGEND, SPD BRK"/>
        <s v="EYEBROW WARNING SMALL LEGEND, NO GO"/>
        <s v="EYEBROW WARNING SMALL LEGEND, L BLEED"/>
        <s v="EYEBROW WARNING SMALL LEGEND, L BAR"/>
        <s v="EYEBROW WARNING SMALL LEGEND DIFFUSER"/>
        <s v="EYEBROW WARNING SMALL LEGEND DIFFUSER (1)"/>
        <s v="EYEBROW WARNING SMALL LEGEND DIFFUSER (2)"/>
        <s v="EYEBROW WARNING LARGE LEGEND, MASTER CAUTION"/>
        <s v="EYEBROW WARNING LARGE LEGEND COVER"/>
        <s v="PUSHBUTTON INDICATOR STANDOFF"/>
        <s v="EYEBROW WARNING LARGE LEGEND DIFFUSER (1)"/>
        <s v="EYEBROW WARNING LARGE LEGEND DIFFUSER"/>
        <s v="EYEBROW WARNING LARGE LEGEND, FIRE"/>
        <s v="MIRROREWI CHASSIS - RIGHT"/>
        <s v="MIRROREWI LEGEND PLATE - RIGHT"/>
        <s v="PCB, EWI_V3_LEFT"/>
        <s v="EWI LIGHT CHANNELS - RIGHT"/>
        <s v="HANDLE, 4-40 FEMALE X 2.0 CENTERS X 1.0 PROTRUSION, ALUM, ANODIZED BLK"/>
        <s v="RHS, SLOTTED, 6-32 X .1875, STEEL"/>
        <s v="FHS, 100DEG, #4-40 X .625, STEEL"/>
        <s v="FHS, 100DEG, #4-40 X .875, 18-8"/>
        <s v="ASSY, EYEBROW WARNING MODULE, RIGHT"/>
        <s v="EWI LEGEND PLATE - RIGHT"/>
        <s v="EWI CHASSIS - RIGHT"/>
        <s v="PCB, EWI_V3_RIGHT"/>
        <s v="EYEBROW WARNING SMALL LEGEND, RCDRON"/>
        <s v="EYEBROW WARNING LARGE LEGEND, APU FIRE"/>
        <s v="EYEBROW WARNING SMALL LEGEND, LINE"/>
        <s v="EYEBROW WARNING SMALL LEGEND, AI"/>
        <s v="EYEBROW WARNING SMALL LEGEND, CW"/>
        <s v="EYEBROW WARNING SMALL LEGEND, DISP"/>
        <s v="EYEBROW WARNING SMALL LEGEND, SAM"/>
        <s v="EYEBROW WARNING SMALL LEGEND, AAA"/>
        <s v="ASSY, PANEL, MASTER ARM"/>
        <s v="MASTER ARM BACKPLATE"/>
        <s v="MASTERMODEPUSHBUTTONV2"/>
        <s v="MASTER ARM LIGHTPLATE"/>
        <s v="MASTER ARM LEGEND PLATE"/>
        <s v="MASTER ARM MODULE SPACER"/>
        <s v="EMERG JETT BRKT"/>
        <s v="MASTER MODE PUSHBUTTON"/>
        <s v="MASTER MODE PUSHBUTTON BASE"/>
        <s v="MASTER MODE PUSHBUTTON BEZEL"/>
        <s v="MASTER MODE PUSHBUTTON LEGEND AG"/>
        <s v="MASTER MODE PUSHBUTTON LEGEND COVER"/>
        <s v="MASTER MODE PUSHBUTTON LEGEND DIFFUSER"/>
        <s v="MASTER MODE PUSHBUTTON ACTUATOR"/>
        <s v="MASTER MODE PUSHBUTTON LEGEND AA"/>
        <s v="READY DISCH INDICATOR"/>
        <s v="READY DISCH INDICATOR LEGEND COVER"/>
        <s v="READY DISCH INDICATOR LEGEND"/>
        <s v=".55 SQ INDICATOR LEGEND DIFFUSER"/>
        <s v="EMERG JETT HOUSING"/>
        <s v="EMERG JETT BUTTON"/>
        <s v="LOCK WASHER FOR SWITCH, M12"/>
        <s v="PUSHBUTTON, SPST, SUBMINIATURE, PANEL MOUNT"/>
        <s v="SPRING, CONICAL COMPRESSION, .375 OAL X .600 X .313, .262LBS MAX LOAD"/>
        <s v="RING, RETAINING, EXTERNAL, SELF-LOCKING, .125 OD"/>
        <s v="ASSY, PANEL, SPIN RECOVERY"/>
        <s v="SPIN PANEL BACKPLATE"/>
        <s v="SPIN PANEL LIGHTPLATE"/>
        <s v="SPIN PANEL LEGEND PLATE"/>
        <s v="SPN INDICATOR"/>
        <s v="SPN INDICATOR BODY"/>
        <s v="SPN INDICATOR COVER"/>
        <s v="SPN INDICATOR LEGEND"/>
        <s v="SPN INDICATOR DIFFUSER"/>
        <s v="PCB, SPIN RCV PANEL V1"/>
        <s v="SPIN PANEL MODULE BRACKET"/>
        <s v="GUARD, TOGGLE SWITCH, 3-HOLE"/>
        <s v="PHS, #6-32 X .5625, 18-8"/>
        <s v="ASSY, PANEL, HUD"/>
        <s v="ASSY, HUD PANEL"/>
        <s v="HUD PANEL LIGHT PLATE"/>
        <s v="HUD PANEL LEGEND PLATE"/>
        <s v="WASHER, #6 X .375 OD, 18-8, BLACK-OXIDE"/>
        <s v="POTENTIOMETER, 9MM ROTARY, PANEL MOUNT"/>
        <s v="HEX NUT FOR POTENTIOMETER, M7X0.75"/>
        <s v="HUD PANEL BACKPLATE"/>
        <s v="ASSY, HUD PANEL FWD SUPPORT"/>
        <s v="HUD PANEL FWD SUPPORT"/>
        <s v="ASSY, UPFRONT CONTROL PANEL"/>
        <s v="FWD HUD BOX SUPPORT"/>
        <s v="SHCS, .25-20 X .750, STEEL, BLK"/>
        <s v="ASSY, FWD UFC"/>
        <s v="UFC PANEL SUPPORT STRUCTURE"/>
        <s v="FWD UFC GUARD"/>
        <s v="UFC COMM KNOB"/>
        <s v="SHCS, .25-20 X .375, STEEL, BLK"/>
        <s v="UFC PANEL V4"/>
        <s v="UFC COMM BEZEL"/>
        <s v="UFC COMM BEZEL GUARD"/>
        <s v="UFC OPT BEZEL"/>
        <s v="UFC OPT BEZEL GUARD"/>
        <s v="UFC SCRATCHPAD BEZEL"/>
        <s v="UFC SCRATCHPAD BEZEL GUARD"/>
        <s v="UFC SQUARE BUTTON, 1"/>
        <s v="UFC SQUARE BUTTON, EM CON"/>
        <s v="UFC ROUND BUTTON"/>
        <s v="UFC ROUND BUTTON GUARD"/>
        <s v="UFC LEGEND PLATE"/>
        <s v="UFC INNER SPACER PLATE"/>
        <s v="UFC FINGER GUARD"/>
        <s v="UFC BACKPLATE"/>
        <s v="UFC SQUARE BUTTON, 4"/>
        <s v="UFC SQUARE BUTTON, 7"/>
        <s v="UFC SQUARE BUTTON, CLR"/>
        <s v="UFC SQUARE BUTTON, 2"/>
        <s v="UFC SQUARE BUTTON, 5"/>
        <s v="UFC SQUARE BUTTON, 8"/>
        <s v="UFC SQUARE BUTTON, 0"/>
        <s v="UFC SQUARE BUTTON, 3"/>
        <s v="UFC SQUARE BUTTON, 6"/>
        <s v="UFC SQUARE BUTTON, 9"/>
        <s v="UFC SQUARE BUTTON, ENT"/>
        <s v="SHCS, #2-56 X .125, 18-8, BLK"/>
        <s v="ASSY, PCB, UFC_MAIN"/>
        <s v="PCB, UFC_MAIN V6"/>
        <s v="BACKLIGHT, LCD, SCRATCHPAD, TEKCREATIONS"/>
        <s v="DISPLAY, LCD, UFC SKETCHPAD, TEKCREATIONS"/>
        <s v="DISPLAY, LED, 16X4+2 SEG, GRN, TEKCREATIONS"/>
        <s v="DISPLAY, LED, 16 SEG, GRN, TEKCREATIONS"/>
        <s v="TOGGLE, MICRO, 3 POS, .250 THD BUSHING, SHORT BAT"/>
        <s v="HEX NUT FOR SWITCH .25-40UNS"/>
        <s v="WASHER FOR POTENTIOMETER, M7"/>
        <s v="SOCKET, HEADER, 2X8, .100 PITCH"/>
        <s v="MCR, WEMOS S2 MINI, ESP32-S2"/>
        <s v="STRIP, RUBBER, 3MM THK"/>
        <s v="STRIP, RUBBER, 2MM THK, 15MM W"/>
        <s v="SQUARE BUTTON TRIM"/>
        <s v="ASSY, AP SWITCH MODULE"/>
        <s v="AP MODULE FWD BODY"/>
        <s v="AP MODULE MOUNTING PLATE"/>
        <s v="PCB, UFC_FUNCTION SELECT"/>
        <s v="AP SQUARE BUTTON, A/P"/>
        <s v="AP SQUARE BUTTON, IFF"/>
        <s v="AP SQUARE BUTTON, TCN"/>
        <s v="AP SQUARE BUTTON, ILS"/>
        <s v="AP SQUARE BUTTON, D/L"/>
        <s v="AP SQUARE BUTTON, BCN"/>
        <s v="AP SQUARE BUTTON, ON/OFF"/>
        <s v="AP SQUARE BUTTON TRIM"/>
        <s v="ASSY, HUD BIT BOX"/>
        <s v="HUD BIT BOX"/>
        <s v="HUD BIT BOX LID"/>
        <s v="HUD CAMERA"/>
        <s v="BHCS, #6-32 X .250, 18-8, BLK"/>
        <s v="LED, 5MM (T1.75), WHITE, 3.2V, 20MA, PTH"/>
        <s v="LENS CAP, GREEN"/>
        <s v="LENS CAP, YELLOW"/>
        <s v="DUST BOOT, GREY, .25-32, M5423-SLASH-10-01"/>
        <s v="SWITCH PUSH SPST-NO 5A 120V"/>
        <s v="FHS, 100DEG, #2-56 X .250, 18-8, BLK"/>
        <s v="FHS, 100DEG, #4-40 X .250, 18-8, BLK"/>
        <s v="DECAL, TV LENS"/>
        <s v="HHCS, .25-20 X .500, GR8, STEEL, BLACK PHOS"/>
        <s v="FHS, 100 DEG CSK, .25-20 X .625, STEEL"/>
        <s v="10 IN LCD DISPLAY"/>
        <s v="STANDOFF, #2-56 X 1.00, .1875 HEX, FEMALE, ALUMINUM"/>
        <s v="FHS, 100DEG, #2-56 X .375, STEEL"/>
        <s v="HHCS, .3125-18 X 2.25, PART THD, 18-8"/>
        <s v="WASHER, .3125 X .750 X .05 THK, 18-8, BLK"/>
        <s v="NUT, .3125-18, 18-8"/>
        <s v="ASSY, CENTER TUB"/>
        <s v="ASSY, MAIN CENTER TUB"/>
        <s v="CENTER TUB FLOOR"/>
        <s v="CENTER TUB KEYSTONE"/>
        <s v="CENTER TUB AFT BULKHEAD"/>
        <s v="CENTER TUB LEFT WALL"/>
        <s v="CENTER TUB FWD BULKHEAD"/>
        <s v="REAR HUMP OUTBOARD INTERNAL SUPPORT"/>
        <s v="REAR HUMP LATERAL STRINGER"/>
        <s v="CENTER TUB RIGHT WALL"/>
        <s v=" SEAT MOUNT ANGLE A, .125 X 2.0 X 2.0, 6063-T52"/>
        <s v="STRIP A, .50 X 2.0, 60A DUROMETER, RUBBER, ADHESIVE BACKED"/>
        <s v=" SEAT MOUNT ANGLE B, .125 X 2.0 X 2.0, 6063-T52"/>
        <s v="STRIP B, .50 X 2.0, 60A DUROMETER, RUBBER, ADHESIVE BACKED"/>
        <s v="INSERT, .25-20, SELF TAPPING, FOR SOFTWOOD"/>
        <s v="VIBRATION-DAMPING LOOP CLAMP"/>
        <s v="FHWS, 82DEG, #8 X 2.00, STEEL, BLK, FOR MDF"/>
        <s v="DRAG CHAIN, 15 X 15MM, ABS"/>
        <s v="ASSY, EJECTION SEAT, SJU-17"/>
        <s v="DROGUE DEPLOYMENT CATAPULT"/>
        <s v="DROGUE DEPLOYMENT CATAPULT UPPER CAP"/>
        <s v="DROGUE DEPLOYMENT CATAPULT LOWER CAP"/>
        <s v="DROGUE DEPLOYMENT CATAPULT BODY"/>
        <s v="DROGUE DEPLOYMENT CATAPULT MOUNT"/>
        <s v="DROGUE DEPLOYMENT CASTLE NUT"/>
        <s v="UPPER PARACHUTE DEPLOYMENT ROCKET ARM"/>
        <s v="PARACHUTE DEPLOYMENT ROCKET"/>
        <s v="PARACHUTE DEPLOYMENT ROCKET BODY"/>
        <s v="PARACHUTE DEPLOYMENT ROCKET LOWER BODY"/>
        <s v="PARACHUTE DEPLOYMENT ROCKET UPPER CAP"/>
        <s v="ASSY, SEAT BUCKET, SJU-17"/>
        <s v="ASSY, RIGHT SEAT BUCKET"/>
        <s v="MANUAL OVERRIDE HANDLE MECHANISM GUARD"/>
        <s v="MANUAL OVERRIDE HANDLE SWITCH MOUNT"/>
        <s v="MANUAL OVERRIDE HANDLE"/>
        <s v="CRANK ARM, SEAT ARMING LEVER"/>
        <s v="SEAT ARMING LEVER"/>
        <s v="RIGHT SEAT BUCKET SKIN"/>
        <s v="SCREW NAIL, DOMED, .14 X .25 SHANK X .25 HD DIA, 18-8"/>
        <s v="PHS, #0-80 X 0.625, 18-8"/>
        <s v="PHS, #10-32 X .875, STEEL"/>
        <s v="WASHER, #10 X .438 OD, 18-8"/>
        <s v="FHS, 82DEG, #2-56 X 1.00, 18-8"/>
        <s v="INSERT, 0-80, BRASS, FOR PLASTICS"/>
        <s v="PHS, #0-80 X 0.4375, 18-8"/>
        <s v="GROOVED CLEVIS PIN, .3125 OD X .625 UL X .75 OAL, STEEL"/>
        <s v="GROOVED CLEVIS PIN, .3125 OD X .875 UL X 1.0 OAL, STEEL"/>
        <s v="SCREW, ULTRA LOW PROFILE SHOULDER, .375 X .50 L X .3125-18 X .50"/>
        <s v="SPRING PLUNGER, BALL-NOSE, PRESS-FIT, 0.25 IN DIA, 6-13 LB FORCE"/>
        <s v="BEARING, SLEEVE, .4698 OD X .25 L X .6875 FLANGE OD X .375 SHFT, PEEK"/>
        <s v="BEARING, SLEEVE, .3125 OD X .25 L X .375 FLANGE, NYLON"/>
        <s v="ROD END, BALL JOINT, 10-32 FEMALE X .3125 ID, STEEL, ZINC"/>
        <s v="SPRING, COMPRESSION, .198 ID X .25 OD X 1.25OAL X .32 CL, STEEL, 5.7LBS-IN FORCE"/>
        <s v="ROD, CONNECTING, 10-32 X 1.1875, 12 OAL, STEEL"/>
        <s v="NUT, #10-32, THIN, STEEL"/>
        <s v="BRACKET, FLAT, 1.5 X 0.5 X .06, 2X #5 HOLE, STEEL"/>
        <s v="ROD END, BALL JOINT, 10-32 X .750 X .3125 ID, STEEL"/>
        <s v="ROD END, BALL JOINT, 10-32 X .750 X .3125 ID, RH, STEEL"/>
        <s v="STANDOFF, #10-32 X 4.00, .25 OD, FEMALE, ALUMINUM"/>
        <s v="STANDOFF, #10-32 X 3.50, .25 OD, FEMALE, ALUMINUM"/>
        <s v="ROD, THREADED, 10-32 X 1.0, STEEL"/>
        <s v="ASSY, LEFT SEAT BUCKET"/>
        <s v="SEAT HEIGHT ACTUATOR SWITCH HOUSING"/>
        <s v="OUTER SHOULDER HARNESS CONTROL LEVER HOUSING"/>
        <s v="INNER SHOULDER HARNESS CONTROL LEVER HOUSING"/>
        <s v="SHOULDER HARNESS CONTROL LEVER"/>
        <s v="SHOULDER HARNESS CONTROL LEVER HANDLE"/>
        <s v="LEFT SEAT BUCKET SKIN"/>
        <s v="SPRING PLUNGER, BALL-NOSE, 8-32 HEX DRIVE"/>
        <s v="ASSY, EJECTION HANDLE"/>
        <s v="EJECTION HANDLE CAP SUPPORT"/>
        <s v="HEAT-SHRINK, .75ID SHRINK TO .375ID, POLYOLEFIN, YELLOW"/>
        <s v="SLEEVING, BRAIDED, SAFETY STRIPE (YELLOW-BLACK), .500 DIA, PET"/>
        <s v="TUBING, .500OD X .3281 ID, 95A DUROMETER, POLYURETHANE, YELLOW"/>
        <s v="ROPE, WIRE, COATED, .1875 ROPE DIA, .3125 COATING DIAMETER, BLACK"/>
        <s v="EJECTION HANDLE CAP"/>
        <s v="EJECTION HANDLE SWITCH ACTUATOR"/>
        <s v="LOWER EJECTION HANDLE BASE"/>
        <s v="UPPER EJECTION HANDLE BASE"/>
        <s v="ROD, .25-20 X 4.500, 18-8"/>
        <s v="SPRING, COMPRESSION, 0.296 ID X 0.36 OD X 1.25 OAL X 0.27 CL, STEEL, 6.7 LBF MAX"/>
        <s v="STOP, WIRE ROPE, .1875 WIRE DIA"/>
        <s v="ASSY, CENTER SEAT BUCKET"/>
        <s v="RIGHT KNEE GUARD SUPPORT"/>
        <s v="KNEE GUARD SUPPORT BRACKET"/>
        <s v="SEAT BASE"/>
        <s v="UPPER SEAT BASE"/>
        <s v="RIGHT OUTBOARD UPPER SEAT PAN LONGERON"/>
        <s v="UPPER SEAT PAN DETAIL B"/>
        <s v="UPPER SEAT PAN DETAIL C"/>
        <s v="RIGHT INBOARD UPPER SEAT PAN LONGERON"/>
        <s v="RIGHT THIGH SUPPORT"/>
        <s v="FWD UPPER SEAT PAN TRIM"/>
        <s v="LEFT INBOARD UPPER SEAT PAN LONGERON"/>
        <s v="LEFT THIGH SUPPORT"/>
        <s v="LEFT OUTBOARD UPPER SEAT PAN LONGERON"/>
        <s v="UPPER SEAT PAN DETAIL E"/>
        <s v="REAR UPPER SEAT PAN SUPPORT"/>
        <s v="FWD SEAT PAN TOP SUPPORT"/>
        <s v="SEAT PAN TOP"/>
        <s v="ACCESS PANEL, SEAT PAN"/>
        <s v="SEAT BACK BASE"/>
        <s v="SEAT BACK RIB A"/>
        <s v="SEAT BACK RIB B"/>
        <s v="RIGHT SEAT BACK DOUBLER PLATE"/>
        <s v="SEAT BACK SKIN"/>
        <s v="LEFT SEAT BACK DOUBLER PLATE"/>
        <s v="LEFT KNEE GUARD SUPPORT"/>
        <s v="BRACKET, SLOTTED, INSIDE CORNER"/>
        <s v="WASHER, .3125 X 1.50 OD, 18-8, BLK"/>
        <s v="STANDOFF, #2-56 X 1.50, .1875 HEX, FEMALE, 6061"/>
        <s v="SEAT PAN CUSHION"/>
        <s v="SEAT BACK CUSHION"/>
        <s v="ASSY, PARACHUTE CONTAINER, SJU-17"/>
        <s v="PCM PARACHUTE CONTAINER INTERFACE PLATE"/>
        <s v="PCM UPPER RAIL INTERFACE PLATE"/>
        <s v="PCM SUPPORT"/>
        <s v="LOWER PARACHUTE CONTAINER BASE"/>
        <s v="FWD PARACHUTE CONTAINER SUPPORT"/>
        <s v="TOP PARACHUTE CONTAINER BASE"/>
        <s v="LEFT SIDE PARACHUTE CONTAINER SUPPORT"/>
        <s v="AFT PARACHUTE CONTAINER SUPPORT"/>
        <s v="RIGHT SIDE PARACHUTE CONTAINER SUPPORT"/>
        <s v="LH CANOPY BREAKER"/>
        <s v="RH CANOPY BREAKER"/>
        <s v="LH PARACHUTE CONTAINER LID"/>
        <s v="RH PARACHUTE CONTAINER LID"/>
        <s v="SJU-17 HEADREST A"/>
        <s v="SJU-17 HEADREST D"/>
        <s v="SJU-17 HEADREST C"/>
        <s v="SJU-17 HEADREST B"/>
        <s v="OUTSIDE PARACHUTE CONTAINER SKIN"/>
        <s v="LOWER PARACHUTE CONTAINER SKIN TRIM"/>
        <s v="RIGHT OUTSIDE PARACHUTE CONTAINER SKIN"/>
        <s v="RIGHT LOWER PARACHUTE CONTAINER SKIN TRIM"/>
        <s v="HHCS, .3125-18 X 1.5, STEEL"/>
        <s v="ROD END, BALL JOINT, .3125-24 X 1.25 SHANK X .875 OAW, STEEL"/>
        <s v="FHS, 82DEG, #8-32 X .625, STEEL"/>
        <s v="FHS, 100DEG, #8-32 X 2.00, 18-8"/>
        <s v="BOLT, CARRIAGE, KNURLED-NECK, .3125-18 X 1.75L, GR5"/>
        <s v="KNOB, THREE-ARM, .3125-18, THRU-HOLE, PLASTIC"/>
        <s v="DECAL, BUCKET-SEAT ASSY"/>
        <s v="DECAL, BRIDLE AND BOX"/>
        <s v="DECAL, DO NOT HOLD"/>
        <s v="DECAL, DANGER DO NOT PULL"/>
        <s v="DECAL, SEAT BUCKET MECH"/>
        <s v="DECAL, NACES PFCL"/>
        <s v="DECAL, PARACHUTE ASSY"/>
        <s v="DECAL, SEAT, AIRCRAFT EJECTION"/>
        <s v="DECAL, SEAT APPLICATION"/>
        <s v="DECAL, SURVIVAL KIT, OXYGEN, AIRCRAFT SEAT"/>
        <s v="DECAL, DROGUE ASSY"/>
        <s v="ASSY, SEAT BASE &amp; RAILS"/>
        <s v="FWD SEAT MOUNT CROSSMEMBER"/>
        <s v="SEAT CATAPULT"/>
        <s v="SEAT CATAPULT MOUNT"/>
        <s v="SEAT CATAPULT DETAIL RING"/>
        <s v="BUTTKICKER MOUNTING PLATE"/>
        <s v="OUTBOARD SEAT MOUNT"/>
        <s v="INBOARD SEAT MOUNT"/>
        <s v="VERTICAL MOUNTING RAIL"/>
        <s v="VERTICAL MOUNTING RAIL, OUTER"/>
        <s v="UPPER HORIZONTAL MOUNTING RAIL"/>
        <s v="LOWER HORIZONTAL MOUNTING RAIL"/>
        <s v="UPPER RAIL CAP"/>
        <s v="SEAT CATAPULT HORIZONTAL SUPPORT"/>
        <s v="SEAT REAR RAIL PLATE"/>
        <s v="DROGUE DEPLOYMENT MOUNT A"/>
        <s v="LOWER PARACHUTE DEPLOYMENT ROCKET MOUNT"/>
        <s v="RH OUTBOARD SEAT MOUNT"/>
        <s v="RH VERTICAL MOUNTING RAIL INNER"/>
        <s v="RH VERTICAL MOUNTING RAIL OUTER"/>
        <s v="RH INBOARD SEAT MOUNT"/>
        <s v="LH IGNITION BLOCK"/>
        <s v="RH IGNITION BLOCK"/>
        <s v="LOWER HEADREST BLOCK B"/>
        <s v="LOWER HEADREST BLOCK D"/>
        <s v="LOWER HEADREST BLOCK A"/>
        <s v="LOWER HEADREST BLOCK A (1)"/>
        <s v="SEAT HARNESS REEL"/>
        <s v="SEAT SEAWARS PROBE"/>
        <s v="LOWER HEADREST SKIN"/>
        <s v="PIN, DOWEL, .125 OD X .875L, ALLOY STEEL"/>
        <s v="CASTER, FIXED, EDGE-MOUNT, 2.0 OD RBR WHEEL"/>
        <s v="ASSY, BRIDLE CONTAINER COVER"/>
        <s v="DROGUE BRIDLE CONTAINER"/>
        <s v="AFT RAIL CAP"/>
        <s v="XDCR, BUTTKICKER ADVANCE"/>
        <s v="ASSY, FLIGHT CONTROL STICK"/>
        <s v="ASSY, STICK PITCH AXIS"/>
        <s v="ASSY, STICK YOKE"/>
        <s v="ASSY, MAIN CASING"/>
        <s v="ASSY, MAIN CASING A"/>
        <s v="MAIN CASING A"/>
        <s v="NYLOC HEX NUT, M4 X 0.7 MM"/>
        <s v="ASSY, MAIN CASING B"/>
        <s v="MAIN CASING B"/>
        <s v="10 MM CARBON STEEL SET SCREW SHAFT COLLAR"/>
        <s v="SET SCREW, M5 X 0.8 MM, 10 MM LONG"/>
        <s v="FHCS, M4 X 0.7 MM THREAD, 40 MM LONG"/>
        <s v="ROD, PITCH AXIS"/>
        <s v="STUD, SPRING DAMPER"/>
        <s v="HHS, M8 X 1.25 MM THREAD, 45 MM LONG"/>
        <s v="OVERSIZED FLAT WASHER, M8, 8.4MM ID 24MM OD"/>
        <s v="ASSY, PIVOTING STICK RISER MOUNT"/>
        <s v="MID PLATE"/>
        <s v="ASSY, PIVOT BLOCK A"/>
        <s v="PIVOT BLOCK A"/>
        <s v="HEAT-SET INSERT, M3 X 0.50 MM"/>
        <s v="SCREW-TO-EXPAND INSERT, M2 X 0.4MM"/>
        <s v="PIVOT TOP PLATE"/>
        <s v="FHCS, M4 X 0.7 MM THREAD, 35 MM LONG"/>
        <s v="ASSY, PIVOT BLOCK B"/>
        <s v="PIVOT BLOCK B"/>
        <s v="FHCS, M3 X 0.5 MM, 10 MM LONG"/>
        <s v="8MM ID, 12MM OD, 16MM LG, OIL-EMBEDDED SAE 841 BRONZE SLEEVE BEARING"/>
        <s v="ASSY, FWD PLATE"/>
        <s v="ASSY, FWD MAIN PLATE"/>
        <s v="BEARING PLATE"/>
        <s v="MAIN PLATE"/>
        <s v="FHCS, M4 X 0.7 MM, 12 MM LONG"/>
        <s v="8X22X7 SEALED RADIAL BALL BEARING"/>
        <s v="ROTARY DAMPER WITH 12-TOOTH M1 GEAR"/>
        <s v="ROTARY DAMPER"/>
        <s v="BHCS, M4 X 0.70 MM THREAD, 16 MM LONG"/>
        <s v="ROLL AXIS DAMPER EXTENDED GEAR"/>
        <s v="ROLL AXIS MAGNET CUP"/>
        <s v="MAGNET, .50 OD X .125 THK, NEODYMIUM"/>
        <s v="ASSY, ROLL SENSOR"/>
        <s v="PCB, HALL SENSOR, ABSIS"/>
        <s v="ROLL SENSOR MOUNT"/>
        <s v="HEX NUT, M2 X 0.4 MM, BRASS"/>
        <s v="BHCS, M2 X 0.4MM, 8 MM LONG"/>
        <s v="ASSY, AFT MAIN PLATE"/>
        <s v="FLAT WASHER, M4"/>
        <s v="93475A270 - FLAT WASHER, M8"/>
        <s v="FHCS - M4 X 0.7 MM THREAD, 30 MM LONG"/>
        <s v="SCISSOR STOP"/>
        <s v="8MM ID, 12MM OD, 6MM LG, OIL-EMBEDDED BRONZE SLEEVE BEARING"/>
        <s v="FLAT WASHER, M6"/>
        <s v="HHS, M6 X 1 MM, 80 MM LONG"/>
        <s v="NYLOC HEX NUT, M6 X 1 MM"/>
        <s v="SHCS, M4 X 0.7 MM, 75 MM LONG"/>
        <s v="ASSY, ROLL DAMPER ARM A"/>
        <s v="ROLL DAMPER ARM A"/>
        <s v="ASSY, ROLL DAMPER B"/>
        <s v="ROLL DAMPER ARM B"/>
        <s v="SHOULDER SCREW, M6 X 1MM, 8MM SHOULDER DIA, 80MM SHOULDER LEN"/>
        <s v="FHCS, M4 X 0.7 MM THREAD, 55 MM LONG"/>
        <s v="ASSY, SCISSORS"/>
        <s v="ASSY, SCISSOR ARM A"/>
        <s v="SCISSOR ARM A LINK"/>
        <s v="SCISSOR ARM A BLOCK"/>
        <s v="BHCS, M4 X 0.7 MM THREAD, 45MM LONG"/>
        <s v="SCISSOR CUSHION (1374N12)"/>
        <s v="8MM ID, 12MM OD, 6MM LG, OIL-EMBEDDED FLANGED SLEEVE BEARING"/>
        <s v="ASSY, SCISSOR ARM B"/>
        <s v="SCISSOR ARM B LINK UPPER"/>
        <s v="SCISSOR ARM B LINK SPACER"/>
        <s v="SCISSOR ARM B LINK LOWER"/>
        <s v="SCISSOR ARM B BLOCK"/>
        <s v="SCISSOR SPRING SPACER"/>
        <s v="1.75&quot; Long, 0.5&quot; OD, 0.055&quot; WD Steel Extension Spring with Loop Ends"/>
        <s v="FLAT WASHER, M5"/>
        <s v="BHCS M5 X 0.80 MM THREAD, 45 MM LONG"/>
        <s v="NYLOC HEX NUT, M5 X 0.8 MM"/>
        <s v="ASSY, LEFT PITCH DAMPER ANCHOR, SPA"/>
        <s v="BLOCK, LEFT PITCH DAMPER ANCHOR"/>
        <s v="NYLOC HEX NUT, M8 X 1.25MM"/>
        <s v="ASSY, RIGHT PITCH DAMPER ANCHOR, SPA"/>
        <s v="BLOCK, RIGHT PITCH DAMPER ANCHOR"/>
        <s v="ASSY, LEFT PITCH DAMPER"/>
        <s v="MOTORCYCLE STEERING DAMPER"/>
        <s v="DAMPER CLAMP"/>
        <s v="BHCS, M6 X 1MM, 16MM LONG"/>
        <s v="ASSY, RIGHT PITCH DAMPER"/>
        <s v="FLAT WASHER, M10"/>
        <s v="BASE PLATE, SPA"/>
        <s v="PITCH BEARING RISER BLOCK, SPA"/>
        <s v="10MM PILLOW BLOCK RADIAL BALL BEARING"/>
        <s v="ASSY, TRAVEL STOP, AFT LEFT"/>
        <s v="TRAVEL STOP, AFT LEFT"/>
        <s v="HEX NUT, M5 X 0.8 MM"/>
        <s v="UNTHREADED BUMPER M5"/>
        <s v="SHCS, M5X0.8, 25MM, 18-8"/>
        <s v="ASSY, TRAVEL STOP, AFT RIGHT"/>
        <s v="TRAVEL STOP, AFT RIGHT"/>
        <s v="ASSY, TRAVEL STOP, FWD LEFT"/>
        <s v="TRAVEL STOP, FWD LEFT"/>
        <s v="SHCS, M5X0.8, 16MM, 18-8"/>
        <s v="ASSY, TRAVEL STOP, FWD RIGHT"/>
        <s v="TRAVEL STOP, FWD RIGHT"/>
        <s v="FHCS, M6 X 1 MM, 45 MM LONG"/>
        <s v="FHCS, M5 X 0.8 MM, 35 MM LONG"/>
        <s v="FHCS, M5 X 0.8 MM, 25 MM LONG"/>
        <s v="HHS, M8 X 1.25 MM, 35 MM LONG"/>
        <s v="PITCH SENSOR MAGNET SPACER"/>
        <s v="ASSY, STICK CONTROLLER PCB"/>
        <s v="PCB, STICK CONTROLLER"/>
        <s v="STICK CONTROLLER MOUNT"/>
        <s v="ASSY, STATIC SSDCT ANCHOR"/>
        <s v="BASE PLATE, SSA"/>
        <s v="RISER, SSA"/>
        <s v="TOP PLATE, SSA"/>
        <s v="ASSY, SSDCT"/>
        <s v="ASSY, SPRING END, SSDCT"/>
        <s v="SPRING END BASE"/>
        <s v="SPRING END PLATE"/>
        <s v="LINEAR BEARING 8MM"/>
        <s v="8MM OIL-EMBEDDED FLANGED SLEEVE BEARING"/>
        <s v="FHCS, M3 X 0.5 MM, 12 MM LONG"/>
        <s v="ASSY, FIXED END, SSDCT"/>
        <s v="FIXED END BASE B"/>
        <s v="FIXED END BASE A"/>
        <s v="ASSY, GUIDE ROD"/>
        <s v="ROD, 8MM X 180MM, ALU"/>
        <s v="8MM SET SCREW SHAFT COLLAR"/>
        <s v="ASSY, THREADED STUD"/>
        <s v="ROD, M8 X 75MM"/>
        <s v="HEX NUT, M8 X 1.25"/>
        <s v="M8 8MM BALL JOINT ROD END"/>
        <s v="Cushioning Washer, 0.3125&quot;, Moisture-Resistant"/>
        <s v="NYLOC HEX NUT, M3 X 0.5 MM"/>
        <s v="FHCS, M3 X 0.5 MM, 35 MM LONG"/>
        <s v="3 IN COMPRESSION SPRING"/>
        <s v="8MM CLAMPING SHAFT COLLAR"/>
        <s v="WASHER, CUSHIONING, 0.375 ID, ABRASION-RESISTANT"/>
        <s v="ASSY, PUSHROD, SMOOTH, SSDCT"/>
        <s v="ROD, 8MM X 140MM"/>
        <s v="ASSY, PUSHROD, THREADED, SSDCT"/>
        <s v="ROD, M8 X 1.25 X 117.5MM, FLATTED END"/>
        <s v="8MM SET SCREW SHAFT COUPLING"/>
        <s v="ASSY, STICK EXTENSION"/>
        <s v="PADDLE BOX"/>
        <s v="STICK RISER"/>
        <s v="F/A-18C HORNET™ HOTAS ADD-ON GRIP"/>
        <s v="PADDLE BOX COVER"/>
        <s v="FHS, 100DEG, #6-32 X .3125, STEEL"/>
        <s v="CONNECTOR, RECEPTACLE, FEMALE, 5P"/>
        <s v="CONNECTOR, PLUG, MALE, 5P"/>
        <s v="CONNECTOR, 5P MINI DIN RCPT, PNL MNT, 10CM LEADS"/>
        <s v="RECEPTACLE MOUNTING CUP"/>
        <s v="RISER CUP MOUNT"/>
        <s v="DECAL, GRIP ASSY"/>
        <s v="ASSY, LEFT CONSOLE"/>
        <s v="LEFT CONSOLE EXT SKIN"/>
        <s v="THROTTLE QUADRANT COVER PLATE"/>
        <s v="INBOARD THROTTLE QUADRANT CONSOLE COVER PLATE"/>
        <s v="OUTBOARD THROTTLE QUADRANT LEGEND PLATE"/>
        <s v="OUTBOARD THROTTLE QUADRANT BRUSH HOLDER"/>
        <s v="INBOARD THROTTLE QUADRANT LEGEND PLATE"/>
        <s v=" STRIP BRUSH, EASY-CUT, .125 WIDTH  X .0975 THICK, NYLON"/>
        <s v="AFT OUTBOARD THROTTLE QUADRANT RAIL SUPPORT"/>
        <s v="FWD OUTBOARD THROTTLE QUADRANT RAIL SUPPORT"/>
        <s v="USB COVER PLATE"/>
        <s v="ASSY, LEFT CONSOLE STRUCTURE"/>
        <s v="PRIMARY RIB E"/>
        <s v="PRIMARY RIB A"/>
        <s v="PRIMARY RIB B"/>
        <s v="PRIMARY RIB C"/>
        <s v="PRIMARY RIB D"/>
        <s v="D-C LEFT INBOARD SPACER"/>
        <s v="E-D LEFT INBOARD SPACER"/>
        <s v="E-AFT LEFT INBOARD SPACER"/>
        <s v="LEFT CONSOLE - LEFT AUX SPACER"/>
        <s v="A-B LEFT OUTBOARD SPACER"/>
        <s v="LEFT SUB-CONSOLE RAIL"/>
        <s v="B-C LEFT OUTBOARD SPACER"/>
        <s v="C-D LEFT OUTBOARD SPACER"/>
        <s v="D-E LEFT OUTBOARD SPACER"/>
        <s v="E-AFT LEFT OUTBOARD SPACER"/>
        <s v="FWD LEFT CONSOLE CANOPY RAIL BRACKET"/>
        <s v="CANOPY RAIL TRIM"/>
        <s v="AFT LEFT CONSOLE CANOPY RAIL BRACKET"/>
        <s v="CANOPY RAIL"/>
        <s v="CONSOLE SILL BRACKET A-L"/>
        <s v="CONSOLE SILL BRACKET B-L"/>
        <s v="AFT LEFT UPPER BULKHEAD BRACKET"/>
        <s v="INBOARD LEFT CONSOLE WALL"/>
        <s v="LEFT CONSOLE FLOOR"/>
        <s v="LEFT AFT INTERNAL BULKHEAD"/>
        <s v="LEFT AFT BULKHEAD"/>
        <s v="LEFT CONSOLE INBOARD WALL"/>
        <s v="INBOARD WALL SUPPORT"/>
        <s v="A-B LOWER STRINGER"/>
        <s v="B-C LOWER STRINGER"/>
        <s v="C-D LOWER STRINGER"/>
        <s v="E-F LOWER STRINGER"/>
        <s v="AFT BULKHEAD STRINGER"/>
        <s v="INBOARD FWD LEFT CONSOLE TRIM"/>
        <s v="LEFT AUX VENT PLUG"/>
        <s v="LEFT AUX PANEL"/>
        <s v="LEFT AUX UPPER BRACKET"/>
        <s v="LEFT AUX SUPPORT BRACKET, FWD, OUTBOARD"/>
        <s v="LEFT AUX SUPPORT BRACKET, LOWER, OUTBOARD"/>
        <s v="LEFT AUX SUPPORT BRACKET, LOWER, INBOARD"/>
        <s v="PHS, #8-32 X .375, 18-8, BLK"/>
        <s v="PHS, #8-32 X 0.250, STEEL"/>
        <s v="ASSY, DISPENSE BUTTON"/>
        <s v="DISP BUTTON BASE"/>
        <s v="DISP BUTTON HEAD "/>
        <s v="DISP_BUTTON_HEAD"/>
        <s v="DISP BUTTON SHAFT"/>
        <s v="SWITCH, LIMIT, MINIATURE, SNAP-ACTION"/>
        <s v="PHS, #4-40 X .625, 18-8, BLK"/>
        <s v="SLEEVE BEARING FOR .250 SHAFT X .375 ID X .250"/>
        <s v="COLLAR, SHAFT, .25 ID X .50 OD X .2813 T, STEEL, BLK"/>
        <s v="SPRING, COMPRESSION, .258 ID X .36 OD X 1.00OAL"/>
        <s v="WASHER, CUSHIONING, 0.250 ID, ABRASION-RESISTANT"/>
        <s v="ASSY, NUC WEAP SWITCH"/>
        <s v="NUC WEAP SWITCH"/>
        <s v="NUC WEAP PLACARD"/>
        <s v="ASSY, SWITCH, S1AL, ROUND BAT"/>
        <s v="O-RING FOR SWITCH, 12 MM ID"/>
        <s v="ASSY, LEFT CIRCUIT BREAKERS"/>
        <s v="LEFT CIRCUIT BREAKER BRACKET"/>
        <s v="CIRCUIT BREAKER PLACARD LIGHT PLATE"/>
        <s v="CIRCUIT BREAKER PLACARD LEGEND PLATE"/>
        <s v="SWITCH, PUSHBUTTON, SPDT, ON-ON, BLK CAP"/>
        <s v="LOCKING RING FOR SWITCH, 6MM ID"/>
        <s v="ASSY, THROTTLE QUADRANT"/>
        <s v="LH THROTTLE BASE PLATE"/>
        <s v="RH THROTTLE BASE PLATE"/>
        <s v="THROTTLE QUADRANT MOUNTING BASE"/>
        <s v="THROTTLE ARM GEAR"/>
        <s v="SPLINE NUT ADAPTER"/>
        <s v="ASSY, INBOARD THROTTLE ARM"/>
        <s v="ASSY, INBOARD THROTTLE GRIP"/>
        <s v="RIGHT INBOARD THROTTLE GRIP HOUSING"/>
        <s v="LEFT INBOARD THROTTLE GRIP HOUSING"/>
        <s v="ASSY, ANT ELEV SWITCH"/>
        <s v="ANT ELEV MECHANISM BRACKET"/>
        <s v="ANT ELEV WHEEL"/>
        <s v="ANT ELEV MOUNTING PLATE"/>
        <s v="SPRING, TORSION, 360 DEG, RH WOUND, .187 SHAFT X 1.000 LEG, STEEL"/>
        <s v="SPRING, TORSION, 360 DEG, LH WOUND, .187 SHAFT X 1.000 LEG, STEEL"/>
        <s v="POTENTIOMETER, LINEAR, 10K"/>
        <s v="NUT FOR P08X SERIES POTENTIOMETER, M7 X 0.75"/>
        <s v="ASSY, TDC SWITCH"/>
        <s v="TDC SWITCH BODY"/>
        <s v="LOWER TDC SWITCH BODY"/>
        <s v="TDC SWITCH CAP"/>
        <s v="ANALOG_STICK_BREAKOUT_PCB"/>
        <s v="ASSY, DISPENSE SWITCH"/>
        <s v="SPD BRK SWITCH BODY"/>
        <s v="SPD BRK SWITCH CAP"/>
        <s v="SWITCH, TOGGLE, SUB-MINIATURE, 3-POS, (ON)-OFF-(ON)"/>
        <s v="COMM 4-WAY SWITCH HAT"/>
        <s v="HAT_SWITCH_BREAKOUT_PCB"/>
        <s v="ASSY, SPD BRK SWITCH"/>
        <s v="SWITCH, TOGGLE, SUB-MINIATURE, 3-POS, ON-OFF-(ON)"/>
        <s v="THROTTLE_INNER_GRIP_CONTROLLER_PCB"/>
        <s v="PHS, #4-40 X .250, STEEL"/>
        <s v="PUSHBUTTON, OTTO, P3"/>
        <s v="PIN, DOWEL, .125 X .500, ALLOY STEEL"/>
        <s v="INBOARD THROTTLE ARM LOWER FINGER LIFT MOUNT"/>
        <s v="INBOARD THROTTLE ARM GRIP ADAPTER"/>
        <s v="INBOARD THROTTLE ARM GRIP ADAPTER SPACER"/>
        <s v="INBOARD FINGER LIFT"/>
        <s v="INBOARD THROTTLE ARM PLATE"/>
        <s v="FHS, 100 DEG, #6-32 X .50, STEEL"/>
        <s v="SPRING PLUNGER, BALL NOSE, PRESS FIT, SEALED"/>
        <s v="PHS, #4-40 X .875, 18-8, BLK"/>
        <s v="SPACER, #4 X .188 OD X .2188 L, NYLON, BLK"/>
        <s v="SPACER, #4 X .188 OD X .4688 L, NYLON, BLK"/>
        <s v="SPRING, COMPRESSION, .24 OD X .20 ID X 1.0 LG X .22 LG COMPRESSED, 2.7LBS-IN RATE, STEEL"/>
        <s v="ASSY, OUTBOARD THROTTLE ARM"/>
        <s v="OUTBOARD THROTTLE ARM PLATE"/>
        <s v="OUTBOARD THROTTLE ARM GRIP ADAPTER SPACER"/>
        <s v="OUTBOARD THROTTLE ARM GRIP ADAPTER"/>
        <s v="OUTBOARD FINGER LIFT"/>
        <s v="ASSY, OUTBOARD THROTTLE GRIP"/>
        <s v="RIGHT OUTBOARD THROTTLE GRIP HOUSING"/>
        <s v="LEFT OUTBOARD THROTTLE GRIP HOUSING"/>
        <s v="SWITCH, TOGGLE, ON - OFF"/>
        <s v="LOCKING RING FOR SWITCH, 12MM"/>
        <s v="HEX NUT FOR SWITCH, M12X1"/>
        <s v="FHS, 100DEG, #6-32 X .625, 18-8, BLK"/>
        <s v="OUTBOARD THROTTLE ARM LOWER FINGERLIFT ADAPTER"/>
        <s v="IDLE DETENT"/>
        <s v="SOLENOID LINKAGE"/>
        <s v="SOLENOID MOUNT"/>
        <s v="SOLENOID SPRING RETAINER"/>
        <s v="AFTERBURNER DETENT"/>
        <s v="THROTTLE AB DETENT"/>
        <s v="HALL SENSOR GEAR"/>
        <s v="HALL SENSOR GEAR MAGNET CUP"/>
        <s v="THROTTLE HALL SENSOR MOUNTING PLATE"/>
        <s v="FRICTION LOCK LEVER"/>
        <s v="FRICTION ANTI-ROTATION PLATE"/>
        <s v="THROTTLE ARM SHAFT"/>
        <s v="OUTBOARD THROTTLE HALL SENSOR MOUNTING PLATE"/>
        <s v="ASSY, PCB, CONTROLLER, THROTTLE"/>
        <s v="PCB, CONTROLLER, THROTTLE"/>
        <s v="BEARING, THRUST, PTFE IMPREG, .502 ID X .75 OD X .0625 THK, 841 BRONZE"/>
        <s v="BEARING, SEALED, .50 SHAFT X 1.125 OD X .3125 THK, R8-2RS"/>
        <s v="BEARING, THRUST, PTFE IMPREG, 1.2535 ID X 2.0 OD X .0625 THK, 841 BRONZE"/>
        <s v="SPRING, WAVE DISC, 1.201 ID X 1.543 OD, 21LBF"/>
        <s v="SOLENOID, TUBULAR, CONTINUOUS PULL, .75 STROKE, 5VDC"/>
        <s v="HEX NUT FOR DSTL-0840, 6/16-18 UNF-2B"/>
        <s v="WASHER FOR DSTL-0840"/>
        <s v="DOWEL PIN, 2 MM DIA, 20 MM LG, 18-8"/>
        <s v="PIN, SLOTTED SPRING, 0.125 DIA, 0.8125 LG"/>
        <s v="NUT, NARROW, #4-40, STEEL"/>
        <s v="STANDOFF, #4-40 X .875, .25 OD, FEMALE, ALUMINUM"/>
        <s v="SPRING, COMPRESSION, PRECISION, 0.48 OD X 0.875 L"/>
        <s v="PHS, #4-40 X .500, STEEL"/>
        <s v="STANDOFF, #6-32 X .875, .250 HEX, FEMALE, ALUMINUM"/>
        <s v="PHS, #4-40 X .625, STEEL"/>
        <s v="SWITCH, LIMIT, MINIATURE, ROLLER LEVER, SPDT"/>
        <s v="WASHER, .25 X .438 OD X .029-.035 THK, MS15795-854B, 18-8, BLK"/>
        <s v="SHSS, .25-20 X .375 THD, .250 X .375 SHOULDER, STEEL"/>
        <s v="STANDOFF, 6-32 X .875, .25 HEX, MALE-FEMALE, ALUMINUM"/>
        <s v="SHAFT COLLAR, .50 ID X 1.125 OD X .40625 THK, STEEL, BLK"/>
        <s v="PIN, QR, .250 DIA X 1.1875 UL, STEEL"/>
        <s v="HHCS, .25-20 X 2.75, STEEL, ZINC"/>
        <s v="BEARING, SEALED, .25 SHAFT X .625 OD X .196 THK, R4-2RS"/>
        <s v="ASSY, FIRE TEST PANEL"/>
        <s v="FIRE TEST PANEL PCB V2"/>
        <s v="FIRE TEST PANEL BACKPLATE"/>
        <s v="FIRE TEST PANEL LIGHTPLATE"/>
        <s v="FIRE TEST PANEL LEGEND PLATE"/>
        <s v="ASSY, FUEL PANEL"/>
        <s v="FUEL PANEL PCB V2"/>
        <s v="FUEL PANEL BACKPLATE"/>
        <s v="FUEL PANEL LIGHTPLATE"/>
        <s v="FUEL PANEL LEGEND PLATE"/>
        <s v="REFUEL PROBE GUARD"/>
        <s v="ASSY, SWITCH, S3AL, TALL BAT"/>
        <s v="BAT, TALL, FOR NKK SXAL SWITCH"/>
        <s v="ASSY, SWITCH, MAGNETICALLY HELD, (ON)-ON"/>
        <s v="ELECTROMAGNET, Ø20 X 15, 12V DC, 25N"/>
        <s v="BHCS, M3 X 0.5-6, 18-8"/>
        <s v="WASHER, M3 X 9 OD, STL, ZINC"/>
        <s v="BRACKET, MAG SWITCH"/>
        <s v="STANDOFF, M3 X 0.5 - 6.4 X 4.5 HEX X 50L, STL"/>
        <s v="SWITCH, TOGGLE, MOM-ON, STD BAT (MODIFIED)"/>
        <s v="PCB, ABSIS ALE RELAY MODULE"/>
        <s v="STANDOFF, #2-56 X .375, .1875 HEX, MALE-FEMALE, ALUMINUM"/>
        <s v="FUEL ABSIS ADAPTER PLATE"/>
        <s v="ASSY, COMM PANEL"/>
        <s v="COMM PANEL PCB V2"/>
        <s v="COMM PANEL BACKPLATE"/>
        <s v="COMM PANEL LIGHTPLATE"/>
        <s v="COMM PANEL LEGEND PLATE"/>
        <s v="ASSY, SWITCH, S3AL, CONICAL BAT"/>
        <s v="SWITCH, ROTARY, 15 DEG, 23 POS, BBM"/>
        <s v="LOCKWASHER FOR C7 SWITCH, 3/8 ID"/>
        <s v="HEX NUT FOR C7 SWITCH, 3/8-32 UNF"/>
        <s v="LOCKWASHER FOR POTENTIOMETER, 1/4 ID"/>
        <s v="STANDOFF, #6-32 X 1.00, .25 HEX, MALE-FEMALE, ALUMINUM"/>
        <s v="ASSY, ABSIS MEGA"/>
        <s v="PCB, ABSIS MEGA"/>
        <s v="COMM ABSIS ADAPTER PLATE"/>
        <s v="ASSY, SIM PWR PANEL"/>
        <s v="SIM PWR PCB V"/>
        <s v="SIM PWR BACKPLATE"/>
        <s v="SIM PWR LIGHTPLATE"/>
        <s v="SIM PWR LEGEND PLATE"/>
        <s v="ROTARY ENCODER "/>
        <s v="SWITCH, TOGGLE, LOCKING, SPST, 2-POSN, STD BAT"/>
        <s v="STANDARD BAT FOR S-SERIES LOCKING SWITCHES"/>
        <s v="ASSY, EXTERNAL LT PANEL"/>
        <s v="EXT LT PANEL PCB V2"/>
        <s v="EXT LT BACKPLATE"/>
        <s v="EXT LT LIGHTPLATE"/>
        <s v="EXT LT LEGEND PLAT"/>
        <s v="ASSY, SWITCH, S1AL, TALL BAT"/>
        <s v="EXT LT ABSIS ADAPTER PLATE"/>
        <s v="ASSY, FCS PANEL"/>
        <s v="FCS PANEL PCB V2"/>
        <s v="FCS PANEL BACKPLATE"/>
        <s v="FCS PANEL LIGHTPLATE"/>
        <s v="FCS PANEL LEGEND PLATE"/>
        <s v="T_O TRIM BUTTON"/>
        <s v="C&amp;K PUSHBUTTON"/>
        <s v="GUARD, TOGGLE SWITCH, RED"/>
        <s v="ASSY, KNOB, RUDDER TRIM"/>
        <s v="KNOB, RUDDER TRIM"/>
        <s v="FCS ABSIS ADAPTER PLATE"/>
        <s v="RUDDER TRIM MECHANISM"/>
        <s v="PRE-ASSY, RUD TRIM, UPPER BRACKET"/>
        <s v="RUD TRIM, UPPER BRACKET"/>
        <s v="BEARING, SLEEVED, FLANGED, .375 OD X .25 ID X .3125 H, .50 X .0625 FLANGE, NYLON"/>
        <s v="PRE-ASSY, RUD TRIM, LOWER MOUNT PLATE"/>
        <s v="RUD TRIM, LOWER MOUNT PLATE"/>
        <s v="BEARING, SLEEVE, FLANGED, .125 ID X .25OD, .25 LG, BRONZE"/>
        <s v="RUD TRIM, SWITCH BRACKET SPACER"/>
        <s v="PRE-ASSY, RUD TRIM, SWITCH BRACKET"/>
        <s v="RUD TRIM, SWITCH BRACKET"/>
        <s v="ROTATING SHAFT, 0.25OD, 0.15 ID"/>
        <s v="PUSH SHAFT, 0.125 OD"/>
        <s v="FHS, 100DEG, #2-56 X .4375, 18-8, BLK"/>
        <s v="POT, MOTORIZED, 10K OHM LINEAR"/>
        <s v="GEAR, PINION, .250 BORE, 24T, MOD 0.8, STL, SERVOCITY"/>
        <s v="SHAFT COLLAR, .125 ID  X 0.375 OD X .25 THK"/>
        <s v="SPRING CENTERING SLEEVE"/>
        <s v="SPRING, COMPRESSION, 0.30 OD X 0.440 L"/>
        <s v="NUT, NYLOC, #4-40, 18-8"/>
        <s v="SET SCREW, #6-32 X 0.25, CUP POINT, 18-8"/>
        <s v="SHAFT SUPPORT BLOCK"/>
        <s v="L298N DUAL DC MOTOR DRIVER"/>
        <s v="FCS H-BRIDGE ADAPTER"/>
        <s v="SWITCH, PUSHBUTTON, ON-(ON), NKK"/>
        <s v="TOP NUT (PO MB2011SB1W01)"/>
        <s v="LOCK WASHER (PO MB2011SB1W01)"/>
        <s v="BOTTOM NUT (PO MB2011SB1W01)"/>
        <s v="ASSY, GEN TIE PANEL"/>
        <s v="GEN TIE PCB V2"/>
        <s v="GEN TIE BACKPLATE"/>
        <s v="GEN TIE LIGHTPLATE"/>
        <s v="GEN TIE LEGEND PLATE"/>
        <s v="ASSY, ANT SEL PANEL"/>
        <s v="ANT SEL PANEL PCB V2"/>
        <s v="ANT SEL BACKPLATE"/>
        <s v="ANT SEL LIGHTPLATE"/>
        <s v="ANT SEL LEGEND PLATE"/>
        <s v="ASSY, MC HYD ISOL PANEL"/>
        <s v="MC HYD ISOL BACKPLATE"/>
        <s v="MC HYD ISOL LIGHTPLATE"/>
        <s v="MC HYD ISOL LEGEND PLATE"/>
        <s v="HYD ISO PANEL PCB V2"/>
        <s v="SWITCH, TOGGLE, ON-(ON), SPDT, 2-POSN, 18MM BAT"/>
        <s v="ASSY, OBOGS PANEL"/>
        <s v="OBOGS PANEL PCB V2"/>
        <s v="OBOGS BACKPLATE"/>
        <s v="OBOGS LIGHTPLATE"/>
        <s v="OBOGS LEGEND PLATE"/>
        <s v="OBOGS REGULATOR"/>
        <s v="SWITCH, ROTARY, 90 DEG, 2 POS"/>
        <s v="KNOB, OBOGS"/>
        <s v="STANDOFF, #4-40 X 2.50, HEX, FEMALE, ALU"/>
        <s v="OBOGS NANO ADAPTER PLATE"/>
        <s v="ASSY, APU ENG CRANK PANEL"/>
        <s v="APU PANEL PCB V2"/>
        <s v="APU ENG CRANK BACKPLATE"/>
        <s v="APU ENG CRANK LIGHTPLATE"/>
        <s v="APU ENG CRANK LEGEND PLATE"/>
        <s v="LENS, GREEN, TRANSPARENT, T1.75 MIDGET FLANGE"/>
        <s v="LED, T-1.75 MIDGET FLANGE LAMP, 12V ,15MA"/>
        <s v="HOLDER, LAMP, PANEL MOUNT, T1.75"/>
        <s v="ASSY, SWITCH, MAGNETICALLY HELD, (ON)-OFF-(ON)"/>
        <s v="SWITCH, TOGGLE, MOM-OFF-MOM, STD BAT (MODIFIED)"/>
        <s v="ASSY, SELECT JETT PANEL"/>
        <s v="SELECT JETT BACKPLATE"/>
        <s v="SELECT JETT LIGHTPLATE"/>
        <s v="SELECT JETT LEGEND PLATE"/>
        <s v="LAUNCH BAR SWITCH CAP"/>
        <s v="LANDING GEAR SWITCH CAP"/>
        <s v="FLAPS SWITCH CAP"/>
        <s v="SWITCH, TOGGLE, ON-OFF-ON, STD BAT"/>
        <s v="FHS, 100DEG, #4-40 X .1875, STEEL"/>
        <s v="ASSY, SELECT JETT SWITCH MECH"/>
        <s v="PRE-ASSY, SELECT JETT UPPER BRACKET"/>
        <s v="SELECT JETT UPPER BRACKET 3DP"/>
        <s v="PRE-ASSY, SELECT JETT LOWER MOUNT PLATE"/>
        <s v="SELECT JETT LOWER MOUNT PLATE 3DP"/>
        <s v="ROTATING SHAFT, 0.25 OD, 0.15 ID"/>
        <s v="SWITCH, ROTARY, 45 DEG, 5 POS, .25 FLAT SHAFT"/>
        <s v="HEX NUT FOR SWITCH, .375-32 UNEF"/>
        <s v="ALIGNING SHAFT, 0.25 OD, 0.375 LG"/>
        <s v="PRE-ASSY, SELECT JETT SWITCH BRACKET"/>
        <s v="SELECT JETT SWITCH BRACKET"/>
        <s v="STANDOFF, #4-40 X 1.00, HEX, MALE-FEMALE, ALUMINUM"/>
        <s v="SHCS, #4-40 X .375, STEEL, BLK"/>
        <s v="ASSY, SELECT JETT ELECTRONICS TRAY"/>
        <s v="SELECT JETT ABSIS ADAPTER PLATE"/>
        <s v="ASSY, SELECT JETT KNOB"/>
        <s v="SELECT JETT KNOB"/>
        <s v="SET SCREW, 10-32 X .250, CUP POINT, 18-8"/>
        <s v="ASSY, SELECT JETT BUTTON"/>
        <s v="SELECT JETT BUTTON"/>
        <s v="PCB, SELECT JETT PANEL REV 4"/>
        <s v="ASSY, PARK BRAKE HANDLE"/>
        <s v="PARKING BRAKE MECHANISM BODY"/>
        <s v="WING FOLD MECHANISM UPPER CAP"/>
        <s v="WING FOLD HANDLE RETAINING NUT"/>
        <s v="PARKING BRAKE MECHANISM END CAP"/>
        <s v="PARKING BRAKE HANDLE"/>
        <s v="PARKING BRAKE MECHANISM SHAFT"/>
        <s v="INSERT, 2-56, BRASS, FOR PLASTICS"/>
        <s v="FHS, 82DEG, #2-56 X .50, 18-8, BLK"/>
        <s v="FHS, 82DEG, #2-56 X .375, 18-8, BLK"/>
        <s v="WASHER, 0.578 X 1.062 OD, 18-8"/>
        <s v="NUT, #2-56, 18-1"/>
        <s v="SWITCH, LIMIT, SUBMINIATURE, LEVER, SPDT"/>
        <s v="SHCS, #4-40 X .250, STEEL, BLK"/>
        <s v="SPRING PLUNGER, BALL-NOSE, 0.25-20 HEX DRIVE"/>
        <s v="ASSY, BRAKE PRESSURE INDICATOR"/>
        <s v="1.5 IN CASE"/>
        <s v="1.5 INDICATOR GLASS"/>
        <s v="BRAKE PRESSURE INDICATOR SHROUD"/>
        <s v="BRAKE PRESSURE INDICATOR SPACER"/>
        <s v="BRAKE PRESSURE INDICATOR NEEDLE"/>
        <s v="BRAKE PRESSURE INDICATOR BEZEL FACE"/>
        <s v="BRAKE PRESSURE INDICATOR REAR BEZEL SPACER"/>
        <s v="4 PORT USB  3.0 HUB"/>
        <s v="ASSY, LANDING GEAR LEVER PANEL"/>
        <s v="LANDING GEAR PANEL PCB V2"/>
        <s v="LANDING GEAR PANEL BACKPLATE"/>
        <s v="LANDING GEAR PANEL LIGHTPLATE"/>
        <s v="LANDING GEAR PANEL LEGEND PLATE"/>
        <s v="WARN TONE SILENCE SWITCH CAP"/>
        <s v="CAP, PUSHBUTTON, BLACK, .354 OD"/>
        <s v="SWITCH, PUSHBUTTON, MOMENTARY, NO CAP"/>
        <s v="ASSY, LDG GEAR LVR MECH"/>
        <s v="ASSY, LDG GEAR LVR"/>
        <s v="LDG GEAR LVR PIVOT PIN 0.25 IN"/>
        <s v="PRE-ASSY, LDG GEAR LVR SHELL A"/>
        <s v="LDG GEAR LVR SHELL A"/>
        <s v="PRE-ASSY, LDG GEAR LVR UPPER TUBE"/>
        <s v="LDG GEAR LVR UPPER TUBE"/>
        <s v="BEARING, SLEEVE, FLANGED, .375 ID X .50 OD, 0.50 LG"/>
        <s v="LDG GEAR LVR DETENTS"/>
        <s v="PRE-ASSY, LDG GEAR LVR SHELL B"/>
        <s v="LDG GEAR LVR SHELL B"/>
        <s v="PHS, #2-56 X .750, 18-8, BLK"/>
        <s v="ASSY, LDG GEAR LVR LOLLIPOP SHAFT"/>
        <s v="LDG GEAR LVR LOLLIPOP SHAFT"/>
        <s v="SHCS, #4-40 X .375, 18-8"/>
        <s v="ASSY, LDG GEAR LEVER MOUNT A"/>
        <s v="LDG GEAR LEVER MOUNT A"/>
        <s v="ASSY, LDG GEAR LEVEL MOUNT SHELL B"/>
        <s v="LDG GEAR LEVEL MOUNT SHELL B"/>
        <s v="ASSY, LDG GEAR SOLENOID CLAMP"/>
        <s v="SOLENOID CLAMP LINER"/>
        <s v="LDG GEAR SOLENOID CLAMP"/>
        <s v="SOLENOID, CLOSED FRAME, PULL, TUBULAR"/>
        <s v="WASHER, .25 X .50 OD, .031 THK, PLASTIC UHMW"/>
        <s v="SPRING PLUNGER, BALL-NOSE, PRESS-FIT, 0.5 IN DIA"/>
        <s v="FHS, 100DEG, #4-40 X 1.25, 18-8"/>
        <s v="SWITCH, LIMIT, SUBMINIATURE, ROLLER LEVER, SPDT"/>
        <s v="PHS, #2-56 X .500, 18-8, BLK"/>
        <s v="ASSY, LDG GEAR ELEC STANDOFF BRACKET"/>
        <s v="LDG GEAR ELEC STANDOFF BRACKET"/>
        <s v="PHS, #2-56 X .25, 18-8, BLK"/>
        <s v="ASSY, LDG GEAR LWR OUTBD MOUNTING BRACKET"/>
        <s v="LDG GEAR LWR OUTBD MOUNTING BRACKET"/>
        <s v="OH4A2A1-100 - ASSY, LDG GEAR HANDLE"/>
        <s v="LDG GEAR HANDLE LOLLIPOP"/>
        <s v="LDG GEAR HANDLE LOLLIPOP COVER"/>
        <s v="FHS, 82DEG, #0-80 X .75, 18-8"/>
        <s v="MOLEX MINI-FIT JR HEADER, 4-CIRCUITS DUAL-ROW"/>
        <s v="3MM BACKLIGHTING LED, RED"/>
        <s v="LANDING GEAR HANDLE LED MOUNT"/>
        <s v="FAUX DZUS STUD"/>
        <s v="FAUX DZUS STUD HEAD"/>
        <s v="APU ABSIS ADAPTER PLATE"/>
        <s v="ASSY, LEFT BULKHEAD INTERCONNECT PANEL"/>
        <s v="CABLE, USB 3.0, PNL MNT, SS TYPE B TO MINI B"/>
        <s v="SPACER, #2 X 0.25 OD X 0.125 L, NYLON"/>
        <s v="PHS, #2-56 X 1.0, 18-8, BLK"/>
        <s v="ASSY, LC TO CT BULKHEAD INTERCONNECT PANEL"/>
        <s v="LC TO CT BULKHEAD INTERCONNECT PANEL"/>
        <s v="CABLE, USB 2.0, PNL MNT, TYPE B FEMALE TO TYPE A MALE, 1 FT"/>
        <s v="MOLEX, MINI-FIT JR, 5559-SERIES, PNL MNT, 6 POS"/>
        <s v="STANDOFF, #8-32 X 1.00, .250 HEX, MALE-FEMALE, ALUMINUM"/>
        <s v="ASSY, TRANSDUCER GAIN REMOTE"/>
        <s v="TRANSDUCER GAIN REMOTE PLATE"/>
        <s v="NUT, #6-32, 18-8"/>
        <s v="ASSY, RIGHT CONSOLE"/>
        <s v="EXTERNAL SKIN"/>
        <s v="DEFOG LEVER"/>
        <s v="AFT BLANKING PANEL"/>
        <s v="ASSY, ELEC PANEL"/>
        <s v="PCB, ELEC PANEL"/>
        <s v="ELEC BACKPLATE"/>
        <s v="ELEC LIGHTPLATE"/>
        <s v="ELEC LEGEND PLATE"/>
        <s v="BATTERY VOLTAGE INDICATOR"/>
        <s v="BATT VOLT CASE"/>
        <s v="BATT VOLT GLASS COVER"/>
        <s v="BATT VOLT SPACER"/>
        <s v="BATT VOLT BEZEL FACE"/>
        <s v="BATT VOLT NEEDLE #1"/>
        <s v="BATT VOLT NEEDLE #2"/>
        <s v="ASSY, DUAL NEEDLE GAUGE"/>
        <s v="BATT VOLT NEEDLE SHAFT #2"/>
        <s v="BATT VOLT NEEDLE SHAFT #1"/>
        <s v="BATT VOLT LIGHTPLATE"/>
        <s v="MICROSTEPPER, GAUGE, DUAL SHAFT, 315 DEG ROT"/>
        <s v="ASSY, ELEC PANEL ELECTRONICS TRAY"/>
        <s v="ELEC PANEL ABSIS ADAPTER PLATE"/>
        <s v="ASSY, RIGHT CONSOLE STRUCTURE"/>
        <s v="PRIMARY RIB J"/>
        <s v="PRIMARY RIB F"/>
        <s v="PRIMARY RIB G"/>
        <s v="PRIMARY RIB H"/>
        <s v="PRIMARY RIB I"/>
        <s v="AUX SPACER"/>
        <s v="G-H INBOARD SPACER"/>
        <s v="H-I INBOARD SPACER"/>
        <s v="I-J INBOARD SPACER"/>
        <s v="J-AFT INBOARD SPACER"/>
        <s v="F-G OUTBOARD SPACER"/>
        <s v="G-H OUTBOARD SPACER"/>
        <s v="H-I OUTBOARD SPACER"/>
        <s v="I-J OUTBOARD SPACER"/>
        <s v="J-AFT OUTBOARD SPACER"/>
        <s v="FWD CONSOLE CANOPY RAIL BRACKET"/>
        <s v="AFT CONSOLE CANOPY RAIL BRACKET"/>
        <s v="CONSOLE SILL BRACKET A-R"/>
        <s v="CONSOLE SILL BRACKET B-R"/>
        <s v="AFT UPPER BULKHEAD BRACKET"/>
        <s v="INBOARD CONSOLE WALL"/>
        <s v="CONSOLE FLOOR"/>
        <s v="AFT INTERNAL BULKHEAD"/>
        <s v="AFT BULKHEAD"/>
        <s v="CONSOLE INBOARD WALL"/>
        <s v="INBOARD FWD CONSOLE TRIM"/>
        <s v="AUX PANEL"/>
        <s v="AUX UPPER BRACKET"/>
        <s v="AUX SUPPORT BRACKET, FWD, OUTBOARD"/>
        <s v="AUX SUPPORT BRACKET, LOWER, OUTBOARD"/>
        <s v="AUX SUPPORT BRACKET, LOWER, INBOARD"/>
        <s v="AUX VENT PLUG"/>
        <s v="ASSY, SNSR PANEL"/>
        <s v="PCB, SNSR"/>
        <s v="SNSR BACKPLATE"/>
        <s v="SNSR LIGHTPLATE"/>
        <s v="SNSR LEGEND PLATE"/>
        <s v="SNSR PANEL ABSIS ADAPTER PLATE"/>
        <s v="ASSY, KNOB, GREY, LARGE, .25 D-SHAFT"/>
        <s v="KNOB, GREY, LARGE, .25 D-SHAFT"/>
        <s v="SWITCH, ROTARY, 45 DEG, 8 POS, FIXED"/>
        <s v="ASSY, DEFOG PANEL"/>
        <s v="PCB, DEFOG"/>
        <s v="DEFOG BACKPLATE"/>
        <s v="DEFOG LIGHTPLATE"/>
        <s v="DEFOG LEGEND PLATE"/>
        <s v="ASSY, SIM CNTL PANEL"/>
        <s v="PCB, SIM CNTL"/>
        <s v="SIM CNTL BACKPLATE"/>
        <s v="SIM CNTL LIGHTPLATE"/>
        <s v="SIM CNTL LEGEND PLATE"/>
        <s v="SIM CNTL PANEL ABSIS ADAPTER PLATE"/>
        <s v="ASSY, RADAR ALTIMETER GAUGE"/>
        <s v="RALT BEZEL"/>
        <s v="RALT GLASS COVER"/>
        <s v="RALT NEEDLE MASK"/>
        <s v="RALT DIAL FACE"/>
        <s v="RALT STEPPER MOUNT"/>
        <s v="RALT STEPPER STANDOFF"/>
        <s v="RALT CASE"/>
        <s v="RALT NEEDLE"/>
        <s v="RALT LIMIT INDEXER RING"/>
        <s v="RALT KNOB"/>
        <s v="RALT LIMIT SHAFT GEAR"/>
        <s v="RALT POT MOUNT"/>
        <s v="RALT OFF FLAG"/>
        <s v="PCB, RALT CONTROL"/>
        <s v="LENS, LED, FRESNEL, RED"/>
        <s v="LENS, LED, FRESNEL, GREEN"/>
        <s v="LED, THRU HOLE, T-1, WHITE"/>
        <s v="GEAR, 16T, 32P, .250 D-SHAFT"/>
        <s v="TYPE 302 SS CONICAL COMPRESSION SPRING"/>
        <s v="SERVOCITY, .250 X 2.250 D-SHAFT"/>
        <s v="POT, 10K LINEAR, ROUND BODY, .250 X .811 S-SHAFT"/>
        <s v="SERVO, DIGITAL, ULTRA-MICRO, 1.7G"/>
        <s v="PHS, M1.6 X 5MM SELF-TAPPING, STEEL"/>
        <s v="ASSY, HYD PRESS GAUGE"/>
        <s v="HYD PRESS FACE"/>
        <s v="HYD PRESS NEEDLE #1"/>
        <s v="HYD PRESS NEEDLE #2"/>
        <s v="ASSY, BUNO PLACARD"/>
        <s v="BUNO LIGHTPLATE"/>
        <s v="BUNO LEGEND PLATE"/>
        <s v="ASSY, LDG CHKLST PANEL"/>
        <s v="LDG CHKLST LIGHTPLATE"/>
        <s v="LDG CHKLST LEGEND PLATE"/>
        <s v="PCB, LDG CHKLST"/>
        <s v="LDG CHKLST BACKPLATE"/>
        <s v="ASSY, CAUTION LIGHT PANEL"/>
        <s v="CLP CHASSIS"/>
        <s v="PCB, CAUTION LIGHT PANEL"/>
        <s v="CLP DIFFUSER"/>
        <s v="CK SEAT LEGEND"/>
        <s v="FCS HOT LEGEND"/>
        <s v="FUEL LO LEGEND"/>
        <s v="L GEN LEGEND"/>
        <s v="APU ACC LEGEND"/>
        <s v="GEN TIE LEGEND"/>
        <s v="FCES LEGEND"/>
        <s v="R GEN LEGEND"/>
        <s v="BATT SW LEGEND"/>
        <s v="BLANK LINE LEGEND"/>
        <s v="CLP LEGEND COVER"/>
        <s v="ASSY, WING FOLD HANDLE"/>
        <s v="WING FOLD HANDLE ROTATING DETENTS"/>
        <s v="WING FOLD PUSH-PULL DETENTS"/>
        <s v="WING FOLD .250 SHAFT"/>
        <s v="WING FOLD BODY UPPER CAP"/>
        <s v="WING FOLD BODY LOWER CAP"/>
        <s v="WING FOLD MAIN BODY"/>
        <s v="WING FOLD LOCKING LIMIT SWITCH BRACKET"/>
        <s v="WING FOLD HANDLE"/>
        <s v="SPRING PLUNGER, BALL-NOSE, PRESS-FIT, .312 IN DIA, 2-5 LB FORCE"/>
        <s v="SPRING PLUNGER, BALL-NOSE, PRESS-FIT, .312 IN DIA, 4-10 LB FORCE"/>
        <s v="ASSY, AV COOL SWITCH"/>
        <s v="AV COOL LIGHTPLATE"/>
        <s v="AV COOL LEGEND PLATE"/>
        <s v="PCB, AV COOL"/>
        <s v="AV COOL BACKPLATE"/>
        <s v="ASSY, RIGHT CIRCUIT BREAKERS"/>
        <s v="CIRCUIT BREAKER LIGHTPLATE"/>
        <s v="CIRCUIT BREAKER LEGEND PLATE"/>
        <s v="FCS BIT PLACARD"/>
        <s v="CIRCUIT BREAKER BRACKET"/>
        <s v="ASSY, CANOPY SWITCH"/>
        <s v="CANOPY SWITCH BRACKET"/>
        <s v="DECAL, CANOPY"/>
        <s v="ASSY, SWITCH, MAGNETICALLY HELD, (ON)-OFF-ON"/>
        <s v="SWITCH, PUSHBUTTON, FLAT, OFF-(ON)"/>
        <s v="PV2F24011 - MOUNTING NUT"/>
        <s v="ASSY, KY58 PANEL"/>
        <s v="PCB, KY58"/>
        <s v="KY58 BACKPLATE"/>
        <s v="KY58 FWD LIGHTPLATE"/>
        <s v="KY58 FWD LEGEND PLATE"/>
        <s v="KY58 AFT LIGHTPLATE"/>
        <s v="KY58 AFT LEGEND PLATE"/>
        <s v="KY58 NO PLACARD"/>
        <s v="6 CONDUCTOR PM PLUG ASSY"/>
        <s v="6 CONDUCTOR PM PLUG SUB ASSY"/>
        <s v="O-RING FOR M55116-10/0"/>
        <s v="RETAINING NUT FOR M55116-10/0"/>
        <s v="ASSY, KNOB, BLACK, LARGE, .25 D-SHAFT"/>
        <s v="KNOB, BLACK, LARGE, .25 D-SHAFT"/>
        <s v="ASSY, KNOB, BLACK, .25 D-SHAFT"/>
        <s v="KNOB, BLACK, .25 D-SHAFT"/>
        <s v="ASSY, KNOB, BLACK, .125 D-SHAFT"/>
        <s v="KNOB, BLACK, .125 D-SHAFT"/>
        <s v="ASSY, KY58 ABSIS MODULE"/>
        <s v="KY58 PANEL ABSIS ADAPTER PLATE"/>
        <s v="SWITCH, ROTARY, 3 POS, 30 DEG"/>
        <s v="HEX NUT FOR SWITCH, M6 X 0.75"/>
        <s v="ASSY, INTR LT PANEL"/>
        <s v="PCB, INTR LT"/>
        <s v="INTR LT BACKPLATE"/>
        <s v="INTR LT LIGHTPLATE"/>
        <s v="INTR LT LEGEND PLATE"/>
        <s v="SWITCH, TOGGLE, ON-MOM, STD BAT"/>
        <s v="ASSY, INTR LT ABSIS MODULE"/>
        <s v="INT LT PANEL ABSIS ADAPTER PLATE"/>
        <s v="PHS, #6-32 X .250, 18-8, BLK"/>
        <s v="ASSY, ECS PANEL"/>
        <s v="PCB, ECS"/>
        <s v="ECS LIGHTPLATE"/>
        <s v="ECS LEGEND PLATE"/>
        <s v="ECS BACKPLATE"/>
        <s v="ECS PANEL ABSIS ADAPTER PLATE"/>
        <s v="SWITCH, TOGGLE, ON-OFF-MOM, STD BAT"/>
        <s v="ASSY, KNOB, GREY, .25 SHAFT, 12-FLUTES"/>
        <s v="KNOB, GREY, .25 SHAFT, 12-FLUTES"/>
        <s v="SET SCREW, 8-32 X .3125, CUP POINT, 18-8"/>
        <s v="ASSY, KNOB, GREY, AUG-PULL, .125 SHAFT"/>
        <s v="KNOB, GREY, AUG-PULL, .125 SHAFT"/>
        <s v="ASSY, BLEED AIR KNOB MECHANISM"/>
        <s v="ASSY, UPPER BRACKET"/>
        <s v="UPPER BRACKET"/>
        <s v="ASSY, LOWER BRACKET"/>
        <s v="LOWER BRACKET"/>
        <s v="ASSY, SOLENOID BRACKET"/>
        <s v="SOLENOID BRACKET"/>
        <s v="ROTATING SHAFT"/>
        <s v="GEAR, PINION, .250 BORE, 32 PITCH, .75 PD, 24 TOOTH, .813 OD, BRASS, SERVOCITY"/>
        <s v="SOLENOID, OPEN-FRAME, PULL, INTERMITTENT, 12V, .50 STROKE"/>
        <s v="SWITCH, ROTARY, 90 DEG, 4 POS"/>
        <s v="ASSY, PULL SHAFT COUPLER"/>
        <s v="PULL SHAFT COUPLER"/>
        <s v="ROD, #6-32 X 3.00, BRASS"/>
        <s v="NUT, #2-56, STEEL"/>
        <s v="SWITCH, DETECTOR, SPST"/>
        <s v="WASHER, #6 X 0.56 OD, 18-8, MIL-SPEC"/>
        <s v="SPRING PLUNGER, BALL-NOSE, PRESS-FIT, 0.188 IN DIA"/>
        <s v="ASSY, ALTERNATE DUAL SHAFT POT"/>
        <s v="POT, DUAL SHAFT, 10K, W/ 11X DETENTS"/>
        <s v="DUAL SHAFT POT MOUNT"/>
        <s v="OUTER SHAFT"/>
        <s v="INNER SHAFT"/>
        <s v="ASSY, HOOK LEVER &amp; INDICATOR"/>
        <s v="HOOK LEVER CHASSIS .250 SHAFT"/>
        <s v="ASSY, HOOK LEVER"/>
        <s v="HOOK LEVER BODY"/>
        <s v="HOOK LEVER"/>
        <s v="ASSY, HOOK LEVER CHASSIS"/>
        <s v="LEFT HOOK LEVER CHASSIS"/>
        <s v="WASHER, 0.281 X .625 OD, 18-8"/>
        <s v="ASSY, HOOK INDICATOR"/>
        <s v="HOOK IND BODY"/>
        <s v="HOOK IND COVER"/>
        <s v="HOOK LEGEND"/>
        <s v="HOOK DIFFUSER"/>
        <s v="HOOK IND MOUNTING PLATE"/>
        <s v="HOLDER, LED, 3MM"/>
        <s v="HOLDER, LED, CLIP"/>
        <s v="HOLDER, LED, RING"/>
        <s v="ASSY, HOOK LEVER CHASSIS RIGHT"/>
        <s v="RIGHT HOOK LEVER CHASSIS"/>
        <s v="ASSY, RIGHT BULKHEAD INTERCONNECT PANEL"/>
        <s v="ASSY, ABSIS HID BUS MASTER" u="1"/>
        <s v="PCB, ABSIS HID BUS MASTER" u="1"/>
        <s v="PIN, DOWEL, .125 OD X .825L, ALLOY STEEL" u="1"/>
        <s v="PLCC4_5.0X5.0MM_P3.2MM.STEP" u="1"/>
      </sharedItems>
    </cacheField>
    <cacheField name="MATERIAL" numFmtId="0">
      <sharedItems containsBlank="1" count="23">
        <m/>
        <s v="PETG"/>
        <s v="ABS"/>
        <s v="MDF"/>
        <s v="STL"/>
        <s v="ZINC"/>
        <s v="BRS"/>
        <s v="SS"/>
        <s v="N/A"/>
        <s v="RMRK"/>
        <s v="ACRL"/>
        <s v="ALU"/>
        <s v="RESN"/>
        <s v="STEEL"/>
        <s v="NYL"/>
        <s v="ABS PLASTIC"/>
        <s v="RBR"/>
        <s v="VYNL"/>
        <s v="PVC"/>
        <s v="PEEK"/>
        <s v="BRONZE"/>
        <s v="RUBBER, BLACK"/>
        <s v="UHMW, WHITE"/>
      </sharedItems>
    </cacheField>
    <cacheField name="Part Type" numFmtId="0">
      <sharedItems count="6">
        <s v="OH ASSY"/>
        <s v="OH P/N"/>
        <s v="COTS"/>
        <s v="OH Common"/>
        <s v="ABSIS ASSY"/>
        <s v="ABSIS"/>
      </sharedItems>
    </cacheField>
    <cacheField name="COTS Category" numFmtId="0">
      <sharedItems count="16">
        <s v="OH Part"/>
        <s v="Fasteners"/>
        <s v="Misc"/>
        <s v="SWITCH"/>
        <s v="POT"/>
        <s v="ARDUINO"/>
        <s v="DISPLAY"/>
        <s v="ABSIS"/>
        <s v="Pins"/>
        <s v="Retaining Rings"/>
        <s v="Connector"/>
        <s v="BEARING"/>
        <s v="knob"/>
        <s v="DAMPER"/>
        <s v="Shaft Collars"/>
        <s v="Encoder"/>
      </sharedItems>
    </cacheField>
    <cacheField name="COTS Subcategory" numFmtId="0">
      <sharedItems count="41">
        <s v="OH Part"/>
        <s v="FHWS"/>
        <s v="PIN"/>
        <s v="FHS"/>
        <s v="INSERT"/>
        <s v="NUT"/>
        <s v="WASHER"/>
        <s v="PHS"/>
        <s v="LED"/>
        <s v="STANDOFF"/>
        <s v="MICROSTEPPER"/>
        <s v="SET SCREW"/>
        <s v="SWITCH"/>
        <s v="POT"/>
        <s v="DISPLAY"/>
        <s v="Not Defined"/>
        <s v="ARDUINO"/>
        <s v="TAPE"/>
        <s v="ABSIS"/>
        <s v="Retaining Rings"/>
        <s v="SPACER"/>
        <s v="SPRING"/>
        <s v="SHCS"/>
        <s v="RUBBER"/>
        <s v="HHCS"/>
        <s v="Connector"/>
        <s v="Cable"/>
        <s v="Hub"/>
        <s v="RHS"/>
        <s v="BHCS"/>
        <s v="BEARING"/>
        <s v="FHCS"/>
        <s v="DAMPER"/>
        <s v="HHS"/>
        <s v="MAGNET"/>
        <s v="BUMPER"/>
        <s v="COLLAR"/>
        <s v="SHSS"/>
        <s v="Encoder"/>
        <s v="PINION"/>
        <s v="Mis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3">
  <r>
    <x v="0"/>
    <x v="0"/>
    <n v="1"/>
    <x v="0"/>
    <x v="0"/>
    <x v="0"/>
    <x v="0"/>
    <x v="0"/>
    <x v="0"/>
    <x v="0"/>
    <x v="0"/>
    <x v="0"/>
  </r>
  <r>
    <x v="1"/>
    <x v="1"/>
    <n v="1"/>
    <x v="1"/>
    <x v="0"/>
    <x v="1"/>
    <x v="1"/>
    <x v="1"/>
    <x v="0"/>
    <x v="0"/>
    <x v="0"/>
    <x v="0"/>
  </r>
  <r>
    <x v="1"/>
    <x v="2"/>
    <n v="1"/>
    <x v="1"/>
    <x v="0"/>
    <x v="2"/>
    <x v="2"/>
    <x v="2"/>
    <x v="1"/>
    <x v="1"/>
    <x v="0"/>
    <x v="0"/>
  </r>
  <r>
    <x v="1"/>
    <x v="3"/>
    <n v="1"/>
    <x v="1"/>
    <x v="0"/>
    <x v="3"/>
    <x v="3"/>
    <x v="3"/>
    <x v="1"/>
    <x v="1"/>
    <x v="0"/>
    <x v="0"/>
  </r>
  <r>
    <x v="1"/>
    <x v="4"/>
    <n v="1"/>
    <x v="1"/>
    <x v="0"/>
    <x v="4"/>
    <x v="4"/>
    <x v="4"/>
    <x v="1"/>
    <x v="1"/>
    <x v="0"/>
    <x v="0"/>
  </r>
  <r>
    <x v="1"/>
    <x v="5"/>
    <n v="1"/>
    <x v="1"/>
    <x v="0"/>
    <x v="5"/>
    <x v="5"/>
    <x v="5"/>
    <x v="2"/>
    <x v="1"/>
    <x v="0"/>
    <x v="0"/>
  </r>
  <r>
    <x v="1"/>
    <x v="6"/>
    <n v="1"/>
    <x v="1"/>
    <x v="0"/>
    <x v="6"/>
    <x v="6"/>
    <x v="6"/>
    <x v="2"/>
    <x v="1"/>
    <x v="0"/>
    <x v="0"/>
  </r>
  <r>
    <x v="1"/>
    <x v="7"/>
    <n v="1"/>
    <x v="2"/>
    <x v="0"/>
    <x v="7"/>
    <x v="7"/>
    <x v="7"/>
    <x v="0"/>
    <x v="0"/>
    <x v="0"/>
    <x v="0"/>
  </r>
  <r>
    <x v="1"/>
    <x v="8"/>
    <n v="1"/>
    <x v="2"/>
    <x v="0"/>
    <x v="8"/>
    <x v="8"/>
    <x v="8"/>
    <x v="3"/>
    <x v="1"/>
    <x v="0"/>
    <x v="0"/>
  </r>
  <r>
    <x v="1"/>
    <x v="9"/>
    <n v="1"/>
    <x v="2"/>
    <x v="0"/>
    <x v="9"/>
    <x v="9"/>
    <x v="9"/>
    <x v="3"/>
    <x v="1"/>
    <x v="0"/>
    <x v="0"/>
  </r>
  <r>
    <x v="1"/>
    <x v="10"/>
    <n v="1"/>
    <x v="2"/>
    <x v="0"/>
    <x v="10"/>
    <x v="10"/>
    <x v="10"/>
    <x v="3"/>
    <x v="1"/>
    <x v="0"/>
    <x v="0"/>
  </r>
  <r>
    <x v="1"/>
    <x v="11"/>
    <n v="1"/>
    <x v="2"/>
    <x v="0"/>
    <x v="11"/>
    <x v="11"/>
    <x v="11"/>
    <x v="3"/>
    <x v="1"/>
    <x v="0"/>
    <x v="0"/>
  </r>
  <r>
    <x v="1"/>
    <x v="12"/>
    <n v="1"/>
    <x v="2"/>
    <x v="0"/>
    <x v="12"/>
    <x v="12"/>
    <x v="12"/>
    <x v="3"/>
    <x v="1"/>
    <x v="0"/>
    <x v="0"/>
  </r>
  <r>
    <x v="1"/>
    <x v="13"/>
    <n v="1"/>
    <x v="2"/>
    <x v="0"/>
    <x v="13"/>
    <x v="13"/>
    <x v="13"/>
    <x v="3"/>
    <x v="1"/>
    <x v="0"/>
    <x v="0"/>
  </r>
  <r>
    <x v="1"/>
    <x v="14"/>
    <n v="1"/>
    <x v="2"/>
    <x v="0"/>
    <x v="14"/>
    <x v="14"/>
    <x v="14"/>
    <x v="3"/>
    <x v="1"/>
    <x v="0"/>
    <x v="0"/>
  </r>
  <r>
    <x v="1"/>
    <x v="15"/>
    <n v="1"/>
    <x v="2"/>
    <x v="0"/>
    <x v="15"/>
    <x v="15"/>
    <x v="15"/>
    <x v="3"/>
    <x v="1"/>
    <x v="0"/>
    <x v="0"/>
  </r>
  <r>
    <x v="1"/>
    <x v="16"/>
    <n v="1"/>
    <x v="2"/>
    <x v="0"/>
    <x v="16"/>
    <x v="16"/>
    <x v="16"/>
    <x v="3"/>
    <x v="1"/>
    <x v="0"/>
    <x v="0"/>
  </r>
  <r>
    <x v="1"/>
    <x v="17"/>
    <n v="1"/>
    <x v="2"/>
    <x v="0"/>
    <x v="17"/>
    <x v="17"/>
    <x v="17"/>
    <x v="3"/>
    <x v="1"/>
    <x v="0"/>
    <x v="0"/>
  </r>
  <r>
    <x v="1"/>
    <x v="18"/>
    <n v="1"/>
    <x v="2"/>
    <x v="0"/>
    <x v="18"/>
    <x v="18"/>
    <x v="18"/>
    <x v="3"/>
    <x v="1"/>
    <x v="0"/>
    <x v="0"/>
  </r>
  <r>
    <x v="1"/>
    <x v="19"/>
    <n v="1"/>
    <x v="2"/>
    <x v="0"/>
    <x v="19"/>
    <x v="19"/>
    <x v="19"/>
    <x v="3"/>
    <x v="1"/>
    <x v="0"/>
    <x v="0"/>
  </r>
  <r>
    <x v="1"/>
    <x v="20"/>
    <n v="1"/>
    <x v="2"/>
    <x v="0"/>
    <x v="20"/>
    <x v="20"/>
    <x v="20"/>
    <x v="3"/>
    <x v="1"/>
    <x v="0"/>
    <x v="0"/>
  </r>
  <r>
    <x v="1"/>
    <x v="21"/>
    <n v="1"/>
    <x v="2"/>
    <x v="0"/>
    <x v="21"/>
    <x v="21"/>
    <x v="21"/>
    <x v="3"/>
    <x v="1"/>
    <x v="0"/>
    <x v="0"/>
  </r>
  <r>
    <x v="1"/>
    <x v="22"/>
    <n v="1"/>
    <x v="2"/>
    <x v="0"/>
    <x v="22"/>
    <x v="22"/>
    <x v="22"/>
    <x v="3"/>
    <x v="1"/>
    <x v="0"/>
    <x v="0"/>
  </r>
  <r>
    <x v="1"/>
    <x v="23"/>
    <n v="1"/>
    <x v="2"/>
    <x v="0"/>
    <x v="23"/>
    <x v="23"/>
    <x v="23"/>
    <x v="3"/>
    <x v="1"/>
    <x v="0"/>
    <x v="0"/>
  </r>
  <r>
    <x v="1"/>
    <x v="24"/>
    <n v="1"/>
    <x v="2"/>
    <x v="0"/>
    <x v="24"/>
    <x v="24"/>
    <x v="24"/>
    <x v="3"/>
    <x v="1"/>
    <x v="0"/>
    <x v="0"/>
  </r>
  <r>
    <x v="1"/>
    <x v="25"/>
    <n v="1"/>
    <x v="2"/>
    <x v="0"/>
    <x v="25"/>
    <x v="25"/>
    <x v="25"/>
    <x v="3"/>
    <x v="1"/>
    <x v="0"/>
    <x v="0"/>
  </r>
  <r>
    <x v="1"/>
    <x v="26"/>
    <n v="1"/>
    <x v="2"/>
    <x v="0"/>
    <x v="26"/>
    <x v="26"/>
    <x v="26"/>
    <x v="3"/>
    <x v="1"/>
    <x v="0"/>
    <x v="0"/>
  </r>
  <r>
    <x v="1"/>
    <x v="27"/>
    <n v="1"/>
    <x v="2"/>
    <x v="0"/>
    <x v="27"/>
    <x v="27"/>
    <x v="27"/>
    <x v="3"/>
    <x v="1"/>
    <x v="0"/>
    <x v="0"/>
  </r>
  <r>
    <x v="1"/>
    <x v="28"/>
    <n v="1"/>
    <x v="2"/>
    <x v="0"/>
    <x v="28"/>
    <x v="28"/>
    <x v="28"/>
    <x v="3"/>
    <x v="1"/>
    <x v="0"/>
    <x v="0"/>
  </r>
  <r>
    <x v="1"/>
    <x v="29"/>
    <n v="1"/>
    <x v="2"/>
    <x v="0"/>
    <x v="29"/>
    <x v="29"/>
    <x v="29"/>
    <x v="1"/>
    <x v="1"/>
    <x v="0"/>
    <x v="0"/>
  </r>
  <r>
    <x v="1"/>
    <x v="30"/>
    <n v="2"/>
    <x v="2"/>
    <x v="0"/>
    <x v="30"/>
    <x v="30"/>
    <x v="30"/>
    <x v="1"/>
    <x v="1"/>
    <x v="0"/>
    <x v="0"/>
  </r>
  <r>
    <x v="1"/>
    <x v="31"/>
    <n v="1"/>
    <x v="2"/>
    <x v="0"/>
    <x v="31"/>
    <x v="31"/>
    <x v="31"/>
    <x v="3"/>
    <x v="1"/>
    <x v="0"/>
    <x v="0"/>
  </r>
  <r>
    <x v="1"/>
    <x v="32"/>
    <n v="1"/>
    <x v="2"/>
    <x v="0"/>
    <x v="32"/>
    <x v="32"/>
    <x v="32"/>
    <x v="3"/>
    <x v="1"/>
    <x v="0"/>
    <x v="0"/>
  </r>
  <r>
    <x v="1"/>
    <x v="33"/>
    <n v="1"/>
    <x v="2"/>
    <x v="0"/>
    <x v="33"/>
    <x v="33"/>
    <x v="33"/>
    <x v="3"/>
    <x v="1"/>
    <x v="0"/>
    <x v="0"/>
  </r>
  <r>
    <x v="1"/>
    <x v="34"/>
    <n v="1"/>
    <x v="2"/>
    <x v="0"/>
    <x v="34"/>
    <x v="34"/>
    <x v="34"/>
    <x v="3"/>
    <x v="1"/>
    <x v="0"/>
    <x v="0"/>
  </r>
  <r>
    <x v="1"/>
    <x v="35"/>
    <n v="1"/>
    <x v="2"/>
    <x v="0"/>
    <x v="35"/>
    <x v="35"/>
    <x v="35"/>
    <x v="3"/>
    <x v="1"/>
    <x v="0"/>
    <x v="0"/>
  </r>
  <r>
    <x v="1"/>
    <x v="36"/>
    <n v="1"/>
    <x v="2"/>
    <x v="0"/>
    <x v="36"/>
    <x v="36"/>
    <x v="36"/>
    <x v="3"/>
    <x v="1"/>
    <x v="0"/>
    <x v="0"/>
  </r>
  <r>
    <x v="1"/>
    <x v="37"/>
    <n v="1"/>
    <x v="2"/>
    <x v="0"/>
    <x v="37"/>
    <x v="37"/>
    <x v="37"/>
    <x v="3"/>
    <x v="1"/>
    <x v="0"/>
    <x v="0"/>
  </r>
  <r>
    <x v="1"/>
    <x v="38"/>
    <n v="1"/>
    <x v="2"/>
    <x v="0"/>
    <x v="38"/>
    <x v="38"/>
    <x v="38"/>
    <x v="3"/>
    <x v="1"/>
    <x v="0"/>
    <x v="0"/>
  </r>
  <r>
    <x v="1"/>
    <x v="39"/>
    <n v="1"/>
    <x v="2"/>
    <x v="0"/>
    <x v="39"/>
    <x v="39"/>
    <x v="39"/>
    <x v="1"/>
    <x v="1"/>
    <x v="0"/>
    <x v="0"/>
  </r>
  <r>
    <x v="1"/>
    <x v="40"/>
    <n v="1"/>
    <x v="2"/>
    <x v="0"/>
    <x v="40"/>
    <x v="40"/>
    <x v="40"/>
    <x v="1"/>
    <x v="1"/>
    <x v="0"/>
    <x v="0"/>
  </r>
  <r>
    <x v="1"/>
    <x v="41"/>
    <n v="1"/>
    <x v="2"/>
    <x v="0"/>
    <x v="41"/>
    <x v="41"/>
    <x v="41"/>
    <x v="1"/>
    <x v="1"/>
    <x v="0"/>
    <x v="0"/>
  </r>
  <r>
    <x v="1"/>
    <x v="42"/>
    <n v="1"/>
    <x v="2"/>
    <x v="0"/>
    <x v="42"/>
    <x v="42"/>
    <x v="42"/>
    <x v="1"/>
    <x v="1"/>
    <x v="0"/>
    <x v="0"/>
  </r>
  <r>
    <x v="1"/>
    <x v="43"/>
    <n v="1"/>
    <x v="2"/>
    <x v="0"/>
    <x v="43"/>
    <x v="43"/>
    <x v="43"/>
    <x v="3"/>
    <x v="1"/>
    <x v="0"/>
    <x v="0"/>
  </r>
  <r>
    <x v="1"/>
    <x v="44"/>
    <n v="1"/>
    <x v="2"/>
    <x v="0"/>
    <x v="44"/>
    <x v="44"/>
    <x v="44"/>
    <x v="1"/>
    <x v="1"/>
    <x v="0"/>
    <x v="0"/>
  </r>
  <r>
    <x v="1"/>
    <x v="45"/>
    <n v="3"/>
    <x v="2"/>
    <x v="0"/>
    <x v="45"/>
    <x v="45"/>
    <x v="45"/>
    <x v="1"/>
    <x v="1"/>
    <x v="0"/>
    <x v="0"/>
  </r>
  <r>
    <x v="1"/>
    <x v="46"/>
    <n v="2"/>
    <x v="2"/>
    <x v="0"/>
    <x v="46"/>
    <x v="46"/>
    <x v="46"/>
    <x v="1"/>
    <x v="1"/>
    <x v="0"/>
    <x v="0"/>
  </r>
  <r>
    <x v="1"/>
    <x v="47"/>
    <n v="1"/>
    <x v="2"/>
    <x v="0"/>
    <x v="47"/>
    <x v="47"/>
    <x v="47"/>
    <x v="3"/>
    <x v="1"/>
    <x v="0"/>
    <x v="0"/>
  </r>
  <r>
    <x v="1"/>
    <x v="48"/>
    <n v="1"/>
    <x v="2"/>
    <x v="0"/>
    <x v="48"/>
    <x v="48"/>
    <x v="48"/>
    <x v="1"/>
    <x v="1"/>
    <x v="0"/>
    <x v="0"/>
  </r>
  <r>
    <x v="1"/>
    <x v="49"/>
    <n v="3"/>
    <x v="2"/>
    <x v="0"/>
    <x v="49"/>
    <x v="49"/>
    <x v="49"/>
    <x v="1"/>
    <x v="1"/>
    <x v="0"/>
    <x v="0"/>
  </r>
  <r>
    <x v="1"/>
    <x v="50"/>
    <n v="2"/>
    <x v="2"/>
    <x v="0"/>
    <x v="50"/>
    <x v="50"/>
    <x v="50"/>
    <x v="1"/>
    <x v="1"/>
    <x v="0"/>
    <x v="0"/>
  </r>
  <r>
    <x v="1"/>
    <x v="51"/>
    <n v="77"/>
    <x v="2"/>
    <x v="0"/>
    <x v="51"/>
    <x v="51"/>
    <x v="51"/>
    <x v="4"/>
    <x v="2"/>
    <x v="1"/>
    <x v="1"/>
  </r>
  <r>
    <x v="1"/>
    <x v="52"/>
    <n v="24"/>
    <x v="2"/>
    <x v="0"/>
    <x v="52"/>
    <x v="52"/>
    <x v="52"/>
    <x v="5"/>
    <x v="2"/>
    <x v="1"/>
    <x v="2"/>
  </r>
  <r>
    <x v="1"/>
    <x v="53"/>
    <n v="35"/>
    <x v="2"/>
    <x v="0"/>
    <x v="53"/>
    <x v="53"/>
    <x v="53"/>
    <x v="4"/>
    <x v="2"/>
    <x v="1"/>
    <x v="3"/>
  </r>
  <r>
    <x v="1"/>
    <x v="54"/>
    <n v="4"/>
    <x v="2"/>
    <x v="0"/>
    <x v="54"/>
    <x v="54"/>
    <x v="54"/>
    <x v="4"/>
    <x v="2"/>
    <x v="1"/>
    <x v="3"/>
  </r>
  <r>
    <x v="1"/>
    <x v="55"/>
    <n v="10"/>
    <x v="2"/>
    <x v="0"/>
    <x v="55"/>
    <x v="55"/>
    <x v="55"/>
    <x v="6"/>
    <x v="2"/>
    <x v="1"/>
    <x v="4"/>
  </r>
  <r>
    <x v="1"/>
    <x v="56"/>
    <n v="64"/>
    <x v="2"/>
    <x v="0"/>
    <x v="56"/>
    <x v="56"/>
    <x v="56"/>
    <x v="7"/>
    <x v="2"/>
    <x v="1"/>
    <x v="5"/>
  </r>
  <r>
    <x v="1"/>
    <x v="57"/>
    <n v="27"/>
    <x v="2"/>
    <x v="0"/>
    <x v="57"/>
    <x v="57"/>
    <x v="57"/>
    <x v="4"/>
    <x v="2"/>
    <x v="1"/>
    <x v="6"/>
  </r>
  <r>
    <x v="1"/>
    <x v="58"/>
    <n v="16"/>
    <x v="2"/>
    <x v="0"/>
    <x v="58"/>
    <x v="58"/>
    <x v="58"/>
    <x v="4"/>
    <x v="2"/>
    <x v="1"/>
    <x v="7"/>
  </r>
  <r>
    <x v="1"/>
    <x v="59"/>
    <n v="9"/>
    <x v="2"/>
    <x v="0"/>
    <x v="59"/>
    <x v="59"/>
    <x v="59"/>
    <x v="4"/>
    <x v="2"/>
    <x v="1"/>
    <x v="7"/>
  </r>
  <r>
    <x v="1"/>
    <x v="60"/>
    <n v="64"/>
    <x v="2"/>
    <x v="0"/>
    <x v="60"/>
    <x v="60"/>
    <x v="60"/>
    <x v="4"/>
    <x v="2"/>
    <x v="1"/>
    <x v="1"/>
  </r>
  <r>
    <x v="1"/>
    <x v="61"/>
    <n v="2"/>
    <x v="2"/>
    <x v="0"/>
    <x v="61"/>
    <x v="61"/>
    <x v="61"/>
    <x v="1"/>
    <x v="1"/>
    <x v="0"/>
    <x v="0"/>
  </r>
  <r>
    <x v="1"/>
    <x v="62"/>
    <n v="4"/>
    <x v="2"/>
    <x v="0"/>
    <x v="62"/>
    <x v="62"/>
    <x v="62"/>
    <x v="4"/>
    <x v="2"/>
    <x v="1"/>
    <x v="3"/>
  </r>
  <r>
    <x v="1"/>
    <x v="63"/>
    <n v="1"/>
    <x v="3"/>
    <x v="0"/>
    <x v="63"/>
    <x v="63"/>
    <x v="63"/>
    <x v="0"/>
    <x v="0"/>
    <x v="0"/>
    <x v="0"/>
  </r>
  <r>
    <x v="1"/>
    <x v="64"/>
    <n v="1"/>
    <x v="3"/>
    <x v="0"/>
    <x v="64"/>
    <x v="64"/>
    <x v="64"/>
    <x v="8"/>
    <x v="1"/>
    <x v="0"/>
    <x v="0"/>
  </r>
  <r>
    <x v="1"/>
    <x v="65"/>
    <n v="1"/>
    <x v="3"/>
    <x v="1"/>
    <x v="65"/>
    <x v="65"/>
    <x v="65"/>
    <x v="0"/>
    <x v="0"/>
    <x v="0"/>
    <x v="0"/>
  </r>
  <r>
    <x v="1"/>
    <x v="66"/>
    <n v="1"/>
    <x v="3"/>
    <x v="1"/>
    <x v="66"/>
    <x v="66"/>
    <x v="66"/>
    <x v="1"/>
    <x v="1"/>
    <x v="0"/>
    <x v="0"/>
  </r>
  <r>
    <x v="1"/>
    <x v="67"/>
    <n v="19"/>
    <x v="3"/>
    <x v="1"/>
    <x v="67"/>
    <x v="67"/>
    <x v="67"/>
    <x v="6"/>
    <x v="2"/>
    <x v="1"/>
    <x v="4"/>
  </r>
  <r>
    <x v="1"/>
    <x v="68"/>
    <n v="4"/>
    <x v="3"/>
    <x v="1"/>
    <x v="68"/>
    <x v="68"/>
    <x v="68"/>
    <x v="6"/>
    <x v="2"/>
    <x v="1"/>
    <x v="4"/>
  </r>
  <r>
    <x v="1"/>
    <x v="69"/>
    <n v="1"/>
    <x v="3"/>
    <x v="2"/>
    <x v="69"/>
    <x v="69"/>
    <x v="69"/>
    <x v="0"/>
    <x v="1"/>
    <x v="0"/>
    <x v="0"/>
  </r>
  <r>
    <x v="1"/>
    <x v="70"/>
    <n v="1"/>
    <x v="3"/>
    <x v="2"/>
    <x v="70"/>
    <x v="70"/>
    <x v="70"/>
    <x v="1"/>
    <x v="1"/>
    <x v="0"/>
    <x v="0"/>
  </r>
  <r>
    <x v="1"/>
    <x v="71"/>
    <n v="1"/>
    <x v="3"/>
    <x v="2"/>
    <x v="71"/>
    <x v="71"/>
    <x v="71"/>
    <x v="9"/>
    <x v="1"/>
    <x v="0"/>
    <x v="0"/>
  </r>
  <r>
    <x v="1"/>
    <x v="72"/>
    <n v="1"/>
    <x v="3"/>
    <x v="3"/>
    <x v="72"/>
    <x v="72"/>
    <x v="72"/>
    <x v="0"/>
    <x v="3"/>
    <x v="0"/>
    <x v="0"/>
  </r>
  <r>
    <x v="1"/>
    <x v="73"/>
    <n v="1"/>
    <x v="3"/>
    <x v="3"/>
    <x v="73"/>
    <x v="73"/>
    <x v="73"/>
    <x v="1"/>
    <x v="3"/>
    <x v="0"/>
    <x v="0"/>
  </r>
  <r>
    <x v="1"/>
    <x v="74"/>
    <n v="1"/>
    <x v="3"/>
    <x v="3"/>
    <x v="74"/>
    <x v="74"/>
    <x v="74"/>
    <x v="10"/>
    <x v="3"/>
    <x v="0"/>
    <x v="0"/>
  </r>
  <r>
    <x v="1"/>
    <x v="75"/>
    <n v="2"/>
    <x v="3"/>
    <x v="3"/>
    <x v="75"/>
    <x v="75"/>
    <x v="75"/>
    <x v="8"/>
    <x v="2"/>
    <x v="2"/>
    <x v="8"/>
  </r>
  <r>
    <x v="1"/>
    <x v="76"/>
    <n v="3"/>
    <x v="3"/>
    <x v="3"/>
    <x v="76"/>
    <x v="76"/>
    <x v="76"/>
    <x v="11"/>
    <x v="2"/>
    <x v="1"/>
    <x v="9"/>
  </r>
  <r>
    <x v="1"/>
    <x v="77"/>
    <n v="3"/>
    <x v="3"/>
    <x v="3"/>
    <x v="77"/>
    <x v="77"/>
    <x v="77"/>
    <x v="4"/>
    <x v="2"/>
    <x v="1"/>
    <x v="3"/>
  </r>
  <r>
    <x v="1"/>
    <x v="78"/>
    <n v="3"/>
    <x v="3"/>
    <x v="3"/>
    <x v="78"/>
    <x v="78"/>
    <x v="78"/>
    <x v="4"/>
    <x v="2"/>
    <x v="1"/>
    <x v="7"/>
  </r>
  <r>
    <x v="1"/>
    <x v="79"/>
    <n v="3"/>
    <x v="3"/>
    <x v="3"/>
    <x v="79"/>
    <x v="79"/>
    <x v="79"/>
    <x v="7"/>
    <x v="2"/>
    <x v="1"/>
    <x v="7"/>
  </r>
  <r>
    <x v="1"/>
    <x v="80"/>
    <n v="1"/>
    <x v="3"/>
    <x v="3"/>
    <x v="80"/>
    <x v="80"/>
    <x v="80"/>
    <x v="8"/>
    <x v="2"/>
    <x v="2"/>
    <x v="10"/>
  </r>
  <r>
    <x v="1"/>
    <x v="81"/>
    <n v="1"/>
    <x v="3"/>
    <x v="3"/>
    <x v="81"/>
    <x v="81"/>
    <x v="81"/>
    <x v="8"/>
    <x v="3"/>
    <x v="0"/>
    <x v="0"/>
  </r>
  <r>
    <x v="1"/>
    <x v="82"/>
    <n v="1"/>
    <x v="3"/>
    <x v="3"/>
    <x v="82"/>
    <x v="82"/>
    <x v="82"/>
    <x v="8"/>
    <x v="3"/>
    <x v="0"/>
    <x v="0"/>
  </r>
  <r>
    <x v="1"/>
    <x v="83"/>
    <n v="1"/>
    <x v="3"/>
    <x v="2"/>
    <x v="83"/>
    <x v="83"/>
    <x v="83"/>
    <x v="10"/>
    <x v="3"/>
    <x v="0"/>
    <x v="0"/>
  </r>
  <r>
    <x v="1"/>
    <x v="84"/>
    <n v="1"/>
    <x v="3"/>
    <x v="2"/>
    <x v="84"/>
    <x v="84"/>
    <x v="84"/>
    <x v="1"/>
    <x v="3"/>
    <x v="0"/>
    <x v="0"/>
  </r>
  <r>
    <x v="1"/>
    <x v="85"/>
    <n v="1"/>
    <x v="3"/>
    <x v="2"/>
    <x v="85"/>
    <x v="85"/>
    <x v="85"/>
    <x v="10"/>
    <x v="3"/>
    <x v="0"/>
    <x v="0"/>
  </r>
  <r>
    <x v="1"/>
    <x v="86"/>
    <n v="1"/>
    <x v="3"/>
    <x v="4"/>
    <x v="86"/>
    <x v="86"/>
    <x v="86"/>
    <x v="0"/>
    <x v="1"/>
    <x v="0"/>
    <x v="0"/>
  </r>
  <r>
    <x v="1"/>
    <x v="87"/>
    <n v="1"/>
    <x v="3"/>
    <x v="4"/>
    <x v="87"/>
    <x v="87"/>
    <x v="87"/>
    <x v="1"/>
    <x v="1"/>
    <x v="0"/>
    <x v="0"/>
  </r>
  <r>
    <x v="1"/>
    <x v="88"/>
    <n v="1"/>
    <x v="3"/>
    <x v="4"/>
    <x v="88"/>
    <x v="88"/>
    <x v="88"/>
    <x v="9"/>
    <x v="1"/>
    <x v="0"/>
    <x v="0"/>
  </r>
  <r>
    <x v="1"/>
    <x v="89"/>
    <n v="1"/>
    <x v="3"/>
    <x v="4"/>
    <x v="89"/>
    <x v="89"/>
    <x v="89"/>
    <x v="1"/>
    <x v="1"/>
    <x v="0"/>
    <x v="0"/>
  </r>
  <r>
    <x v="1"/>
    <x v="90"/>
    <n v="1"/>
    <x v="3"/>
    <x v="4"/>
    <x v="90"/>
    <x v="90"/>
    <x v="90"/>
    <x v="10"/>
    <x v="1"/>
    <x v="0"/>
    <x v="0"/>
  </r>
  <r>
    <x v="1"/>
    <x v="91"/>
    <n v="1"/>
    <x v="3"/>
    <x v="4"/>
    <x v="91"/>
    <x v="91"/>
    <x v="91"/>
    <x v="10"/>
    <x v="1"/>
    <x v="0"/>
    <x v="0"/>
  </r>
  <r>
    <x v="1"/>
    <x v="92"/>
    <n v="1"/>
    <x v="3"/>
    <x v="5"/>
    <x v="92"/>
    <x v="92"/>
    <x v="92"/>
    <x v="0"/>
    <x v="0"/>
    <x v="0"/>
    <x v="0"/>
  </r>
  <r>
    <x v="1"/>
    <x v="93"/>
    <n v="1"/>
    <x v="3"/>
    <x v="5"/>
    <x v="93"/>
    <x v="93"/>
    <x v="93"/>
    <x v="12"/>
    <x v="1"/>
    <x v="0"/>
    <x v="0"/>
  </r>
  <r>
    <x v="1"/>
    <x v="94"/>
    <n v="1"/>
    <x v="3"/>
    <x v="5"/>
    <x v="94"/>
    <x v="94"/>
    <x v="94"/>
    <x v="7"/>
    <x v="2"/>
    <x v="1"/>
    <x v="11"/>
  </r>
  <r>
    <x v="1"/>
    <x v="95"/>
    <n v="1"/>
    <x v="3"/>
    <x v="4"/>
    <x v="95"/>
    <x v="95"/>
    <x v="95"/>
    <x v="8"/>
    <x v="2"/>
    <x v="3"/>
    <x v="12"/>
  </r>
  <r>
    <x v="1"/>
    <x v="96"/>
    <n v="1"/>
    <x v="3"/>
    <x v="4"/>
    <x v="96"/>
    <x v="96"/>
    <x v="96"/>
    <x v="8"/>
    <x v="2"/>
    <x v="3"/>
    <x v="5"/>
  </r>
  <r>
    <x v="1"/>
    <x v="97"/>
    <n v="3"/>
    <x v="3"/>
    <x v="4"/>
    <x v="76"/>
    <x v="76"/>
    <x v="76"/>
    <x v="11"/>
    <x v="2"/>
    <x v="1"/>
    <x v="9"/>
  </r>
  <r>
    <x v="1"/>
    <x v="98"/>
    <n v="3"/>
    <x v="3"/>
    <x v="4"/>
    <x v="77"/>
    <x v="77"/>
    <x v="77"/>
    <x v="4"/>
    <x v="2"/>
    <x v="1"/>
    <x v="3"/>
  </r>
  <r>
    <x v="1"/>
    <x v="99"/>
    <n v="3"/>
    <x v="3"/>
    <x v="4"/>
    <x v="79"/>
    <x v="79"/>
    <x v="79"/>
    <x v="7"/>
    <x v="2"/>
    <x v="1"/>
    <x v="7"/>
  </r>
  <r>
    <x v="1"/>
    <x v="100"/>
    <n v="2"/>
    <x v="3"/>
    <x v="4"/>
    <x v="75"/>
    <x v="75"/>
    <x v="75"/>
    <x v="8"/>
    <x v="2"/>
    <x v="2"/>
    <x v="8"/>
  </r>
  <r>
    <x v="1"/>
    <x v="101"/>
    <n v="2"/>
    <x v="3"/>
    <x v="4"/>
    <x v="97"/>
    <x v="97"/>
    <x v="97"/>
    <x v="8"/>
    <x v="2"/>
    <x v="2"/>
    <x v="8"/>
  </r>
  <r>
    <x v="1"/>
    <x v="102"/>
    <n v="3"/>
    <x v="3"/>
    <x v="4"/>
    <x v="78"/>
    <x v="78"/>
    <x v="78"/>
    <x v="4"/>
    <x v="2"/>
    <x v="1"/>
    <x v="7"/>
  </r>
  <r>
    <x v="1"/>
    <x v="103"/>
    <n v="1"/>
    <x v="3"/>
    <x v="4"/>
    <x v="80"/>
    <x v="80"/>
    <x v="80"/>
    <x v="8"/>
    <x v="2"/>
    <x v="2"/>
    <x v="10"/>
  </r>
  <r>
    <x v="1"/>
    <x v="104"/>
    <n v="1"/>
    <x v="3"/>
    <x v="4"/>
    <x v="98"/>
    <x v="98"/>
    <x v="98"/>
    <x v="8"/>
    <x v="1"/>
    <x v="0"/>
    <x v="0"/>
  </r>
  <r>
    <x v="1"/>
    <x v="105"/>
    <n v="1"/>
    <x v="3"/>
    <x v="4"/>
    <x v="83"/>
    <x v="83"/>
    <x v="83"/>
    <x v="10"/>
    <x v="3"/>
    <x v="0"/>
    <x v="0"/>
  </r>
  <r>
    <x v="1"/>
    <x v="106"/>
    <n v="1"/>
    <x v="3"/>
    <x v="4"/>
    <x v="84"/>
    <x v="84"/>
    <x v="84"/>
    <x v="1"/>
    <x v="3"/>
    <x v="0"/>
    <x v="0"/>
  </r>
  <r>
    <x v="1"/>
    <x v="107"/>
    <n v="1"/>
    <x v="3"/>
    <x v="4"/>
    <x v="99"/>
    <x v="99"/>
    <x v="99"/>
    <x v="10"/>
    <x v="1"/>
    <x v="0"/>
    <x v="0"/>
  </r>
  <r>
    <x v="1"/>
    <x v="108"/>
    <n v="1"/>
    <x v="3"/>
    <x v="4"/>
    <x v="100"/>
    <x v="100"/>
    <x v="100"/>
    <x v="10"/>
    <x v="1"/>
    <x v="0"/>
    <x v="0"/>
  </r>
  <r>
    <x v="1"/>
    <x v="109"/>
    <n v="1"/>
    <x v="3"/>
    <x v="4"/>
    <x v="81"/>
    <x v="81"/>
    <x v="81"/>
    <x v="8"/>
    <x v="3"/>
    <x v="0"/>
    <x v="0"/>
  </r>
  <r>
    <x v="1"/>
    <x v="110"/>
    <n v="1"/>
    <x v="3"/>
    <x v="6"/>
    <x v="101"/>
    <x v="101"/>
    <x v="101"/>
    <x v="0"/>
    <x v="1"/>
    <x v="0"/>
    <x v="0"/>
  </r>
  <r>
    <x v="1"/>
    <x v="111"/>
    <n v="1"/>
    <x v="3"/>
    <x v="6"/>
    <x v="102"/>
    <x v="102"/>
    <x v="102"/>
    <x v="1"/>
    <x v="1"/>
    <x v="0"/>
    <x v="0"/>
  </r>
  <r>
    <x v="1"/>
    <x v="112"/>
    <n v="1"/>
    <x v="3"/>
    <x v="6"/>
    <x v="103"/>
    <x v="103"/>
    <x v="103"/>
    <x v="9"/>
    <x v="1"/>
    <x v="0"/>
    <x v="0"/>
  </r>
  <r>
    <x v="1"/>
    <x v="113"/>
    <n v="1"/>
    <x v="3"/>
    <x v="6"/>
    <x v="83"/>
    <x v="83"/>
    <x v="83"/>
    <x v="10"/>
    <x v="3"/>
    <x v="0"/>
    <x v="0"/>
  </r>
  <r>
    <x v="1"/>
    <x v="114"/>
    <n v="1"/>
    <x v="3"/>
    <x v="6"/>
    <x v="84"/>
    <x v="84"/>
    <x v="84"/>
    <x v="1"/>
    <x v="3"/>
    <x v="0"/>
    <x v="0"/>
  </r>
  <r>
    <x v="1"/>
    <x v="115"/>
    <n v="1"/>
    <x v="3"/>
    <x v="7"/>
    <x v="72"/>
    <x v="72"/>
    <x v="72"/>
    <x v="0"/>
    <x v="3"/>
    <x v="0"/>
    <x v="0"/>
  </r>
  <r>
    <x v="1"/>
    <x v="116"/>
    <n v="1"/>
    <x v="3"/>
    <x v="7"/>
    <x v="73"/>
    <x v="73"/>
    <x v="73"/>
    <x v="1"/>
    <x v="3"/>
    <x v="0"/>
    <x v="0"/>
  </r>
  <r>
    <x v="1"/>
    <x v="117"/>
    <n v="1"/>
    <x v="3"/>
    <x v="7"/>
    <x v="74"/>
    <x v="74"/>
    <x v="74"/>
    <x v="10"/>
    <x v="3"/>
    <x v="0"/>
    <x v="0"/>
  </r>
  <r>
    <x v="1"/>
    <x v="118"/>
    <n v="2"/>
    <x v="3"/>
    <x v="7"/>
    <x v="75"/>
    <x v="75"/>
    <x v="75"/>
    <x v="8"/>
    <x v="2"/>
    <x v="2"/>
    <x v="8"/>
  </r>
  <r>
    <x v="1"/>
    <x v="119"/>
    <n v="3"/>
    <x v="3"/>
    <x v="7"/>
    <x v="76"/>
    <x v="76"/>
    <x v="76"/>
    <x v="11"/>
    <x v="2"/>
    <x v="1"/>
    <x v="9"/>
  </r>
  <r>
    <x v="1"/>
    <x v="120"/>
    <n v="3"/>
    <x v="3"/>
    <x v="7"/>
    <x v="77"/>
    <x v="77"/>
    <x v="77"/>
    <x v="4"/>
    <x v="2"/>
    <x v="1"/>
    <x v="3"/>
  </r>
  <r>
    <x v="1"/>
    <x v="121"/>
    <n v="3"/>
    <x v="3"/>
    <x v="7"/>
    <x v="78"/>
    <x v="78"/>
    <x v="78"/>
    <x v="4"/>
    <x v="2"/>
    <x v="1"/>
    <x v="7"/>
  </r>
  <r>
    <x v="1"/>
    <x v="122"/>
    <n v="3"/>
    <x v="3"/>
    <x v="7"/>
    <x v="79"/>
    <x v="79"/>
    <x v="79"/>
    <x v="7"/>
    <x v="2"/>
    <x v="1"/>
    <x v="7"/>
  </r>
  <r>
    <x v="1"/>
    <x v="123"/>
    <n v="1"/>
    <x v="3"/>
    <x v="7"/>
    <x v="80"/>
    <x v="80"/>
    <x v="80"/>
    <x v="8"/>
    <x v="2"/>
    <x v="2"/>
    <x v="10"/>
  </r>
  <r>
    <x v="1"/>
    <x v="124"/>
    <n v="1"/>
    <x v="3"/>
    <x v="7"/>
    <x v="81"/>
    <x v="81"/>
    <x v="81"/>
    <x v="8"/>
    <x v="3"/>
    <x v="0"/>
    <x v="0"/>
  </r>
  <r>
    <x v="1"/>
    <x v="125"/>
    <n v="1"/>
    <x v="3"/>
    <x v="7"/>
    <x v="82"/>
    <x v="82"/>
    <x v="82"/>
    <x v="8"/>
    <x v="3"/>
    <x v="0"/>
    <x v="0"/>
  </r>
  <r>
    <x v="1"/>
    <x v="126"/>
    <n v="1"/>
    <x v="3"/>
    <x v="6"/>
    <x v="85"/>
    <x v="85"/>
    <x v="85"/>
    <x v="10"/>
    <x v="3"/>
    <x v="0"/>
    <x v="0"/>
  </r>
  <r>
    <x v="1"/>
    <x v="127"/>
    <n v="1"/>
    <x v="3"/>
    <x v="6"/>
    <x v="102"/>
    <x v="104"/>
    <x v="102"/>
    <x v="1"/>
    <x v="1"/>
    <x v="0"/>
    <x v="0"/>
  </r>
  <r>
    <x v="1"/>
    <x v="128"/>
    <n v="1"/>
    <x v="3"/>
    <x v="8"/>
    <x v="104"/>
    <x v="105"/>
    <x v="104"/>
    <x v="0"/>
    <x v="1"/>
    <x v="0"/>
    <x v="0"/>
  </r>
  <r>
    <x v="1"/>
    <x v="129"/>
    <n v="1"/>
    <x v="3"/>
    <x v="8"/>
    <x v="105"/>
    <x v="106"/>
    <x v="105"/>
    <x v="1"/>
    <x v="1"/>
    <x v="0"/>
    <x v="0"/>
  </r>
  <r>
    <x v="1"/>
    <x v="130"/>
    <n v="1"/>
    <x v="3"/>
    <x v="8"/>
    <x v="106"/>
    <x v="107"/>
    <x v="106"/>
    <x v="12"/>
    <x v="1"/>
    <x v="0"/>
    <x v="0"/>
  </r>
  <r>
    <x v="1"/>
    <x v="131"/>
    <n v="1"/>
    <x v="3"/>
    <x v="8"/>
    <x v="107"/>
    <x v="108"/>
    <x v="107"/>
    <x v="7"/>
    <x v="2"/>
    <x v="1"/>
    <x v="11"/>
  </r>
  <r>
    <x v="1"/>
    <x v="132"/>
    <n v="1"/>
    <x v="3"/>
    <x v="8"/>
    <x v="108"/>
    <x v="109"/>
    <x v="108"/>
    <x v="8"/>
    <x v="2"/>
    <x v="4"/>
    <x v="13"/>
  </r>
  <r>
    <x v="1"/>
    <x v="133"/>
    <n v="1"/>
    <x v="3"/>
    <x v="8"/>
    <x v="109"/>
    <x v="110"/>
    <x v="109"/>
    <x v="8"/>
    <x v="2"/>
    <x v="2"/>
    <x v="14"/>
  </r>
  <r>
    <x v="1"/>
    <x v="134"/>
    <n v="3"/>
    <x v="3"/>
    <x v="8"/>
    <x v="110"/>
    <x v="111"/>
    <x v="110"/>
    <x v="6"/>
    <x v="2"/>
    <x v="1"/>
    <x v="4"/>
  </r>
  <r>
    <x v="1"/>
    <x v="135"/>
    <n v="3"/>
    <x v="3"/>
    <x v="8"/>
    <x v="111"/>
    <x v="112"/>
    <x v="111"/>
    <x v="7"/>
    <x v="2"/>
    <x v="1"/>
    <x v="6"/>
  </r>
  <r>
    <x v="1"/>
    <x v="136"/>
    <n v="3"/>
    <x v="3"/>
    <x v="8"/>
    <x v="112"/>
    <x v="113"/>
    <x v="112"/>
    <x v="7"/>
    <x v="2"/>
    <x v="1"/>
    <x v="7"/>
  </r>
  <r>
    <x v="1"/>
    <x v="137"/>
    <n v="1"/>
    <x v="3"/>
    <x v="8"/>
    <x v="113"/>
    <x v="114"/>
    <x v="113"/>
    <x v="8"/>
    <x v="2"/>
    <x v="2"/>
    <x v="15"/>
  </r>
  <r>
    <x v="1"/>
    <x v="138"/>
    <n v="1"/>
    <x v="3"/>
    <x v="8"/>
    <x v="114"/>
    <x v="115"/>
    <x v="114"/>
    <x v="1"/>
    <x v="1"/>
    <x v="0"/>
    <x v="0"/>
  </r>
  <r>
    <x v="1"/>
    <x v="139"/>
    <n v="1"/>
    <x v="3"/>
    <x v="8"/>
    <x v="115"/>
    <x v="116"/>
    <x v="115"/>
    <x v="1"/>
    <x v="1"/>
    <x v="0"/>
    <x v="0"/>
  </r>
  <r>
    <x v="1"/>
    <x v="140"/>
    <n v="6"/>
    <x v="3"/>
    <x v="8"/>
    <x v="68"/>
    <x v="68"/>
    <x v="68"/>
    <x v="6"/>
    <x v="2"/>
    <x v="1"/>
    <x v="4"/>
  </r>
  <r>
    <x v="1"/>
    <x v="141"/>
    <n v="6"/>
    <x v="3"/>
    <x v="8"/>
    <x v="116"/>
    <x v="117"/>
    <x v="116"/>
    <x v="6"/>
    <x v="2"/>
    <x v="1"/>
    <x v="7"/>
  </r>
  <r>
    <x v="1"/>
    <x v="142"/>
    <n v="4"/>
    <x v="3"/>
    <x v="8"/>
    <x v="78"/>
    <x v="78"/>
    <x v="78"/>
    <x v="4"/>
    <x v="2"/>
    <x v="1"/>
    <x v="7"/>
  </r>
  <r>
    <x v="1"/>
    <x v="143"/>
    <n v="4"/>
    <x v="3"/>
    <x v="8"/>
    <x v="117"/>
    <x v="118"/>
    <x v="117"/>
    <x v="6"/>
    <x v="2"/>
    <x v="1"/>
    <x v="5"/>
  </r>
  <r>
    <x v="1"/>
    <x v="144"/>
    <n v="1"/>
    <x v="3"/>
    <x v="8"/>
    <x v="118"/>
    <x v="119"/>
    <x v="118"/>
    <x v="9"/>
    <x v="1"/>
    <x v="0"/>
    <x v="0"/>
  </r>
  <r>
    <x v="1"/>
    <x v="145"/>
    <n v="1"/>
    <x v="3"/>
    <x v="9"/>
    <x v="119"/>
    <x v="120"/>
    <x v="119"/>
    <x v="0"/>
    <x v="1"/>
    <x v="0"/>
    <x v="0"/>
  </r>
  <r>
    <x v="1"/>
    <x v="146"/>
    <n v="1"/>
    <x v="3"/>
    <x v="9"/>
    <x v="120"/>
    <x v="121"/>
    <x v="120"/>
    <x v="1"/>
    <x v="1"/>
    <x v="0"/>
    <x v="0"/>
  </r>
  <r>
    <x v="1"/>
    <x v="147"/>
    <n v="1"/>
    <x v="3"/>
    <x v="9"/>
    <x v="121"/>
    <x v="122"/>
    <x v="121"/>
    <x v="12"/>
    <x v="1"/>
    <x v="0"/>
    <x v="0"/>
  </r>
  <r>
    <x v="1"/>
    <x v="148"/>
    <n v="1"/>
    <x v="3"/>
    <x v="9"/>
    <x v="122"/>
    <x v="123"/>
    <x v="122"/>
    <x v="13"/>
    <x v="2"/>
    <x v="3"/>
    <x v="12"/>
  </r>
  <r>
    <x v="1"/>
    <x v="149"/>
    <n v="1"/>
    <x v="3"/>
    <x v="9"/>
    <x v="94"/>
    <x v="94"/>
    <x v="94"/>
    <x v="7"/>
    <x v="2"/>
    <x v="1"/>
    <x v="11"/>
  </r>
  <r>
    <x v="1"/>
    <x v="150"/>
    <n v="1"/>
    <x v="3"/>
    <x v="9"/>
    <x v="123"/>
    <x v="124"/>
    <x v="123"/>
    <x v="8"/>
    <x v="2"/>
    <x v="3"/>
    <x v="12"/>
  </r>
  <r>
    <x v="1"/>
    <x v="151"/>
    <n v="1"/>
    <x v="3"/>
    <x v="9"/>
    <x v="96"/>
    <x v="96"/>
    <x v="96"/>
    <x v="8"/>
    <x v="2"/>
    <x v="3"/>
    <x v="5"/>
  </r>
  <r>
    <x v="1"/>
    <x v="152"/>
    <n v="1"/>
    <x v="3"/>
    <x v="9"/>
    <x v="124"/>
    <x v="125"/>
    <x v="124"/>
    <x v="8"/>
    <x v="2"/>
    <x v="1"/>
    <x v="12"/>
  </r>
  <r>
    <x v="1"/>
    <x v="153"/>
    <n v="1"/>
    <x v="3"/>
    <x v="9"/>
    <x v="125"/>
    <x v="126"/>
    <x v="125"/>
    <x v="1"/>
    <x v="1"/>
    <x v="0"/>
    <x v="0"/>
  </r>
  <r>
    <x v="1"/>
    <x v="154"/>
    <n v="1"/>
    <x v="3"/>
    <x v="9"/>
    <x v="126"/>
    <x v="127"/>
    <x v="126"/>
    <x v="1"/>
    <x v="1"/>
    <x v="0"/>
    <x v="0"/>
  </r>
  <r>
    <x v="1"/>
    <x v="155"/>
    <n v="1"/>
    <x v="3"/>
    <x v="9"/>
    <x v="109"/>
    <x v="110"/>
    <x v="109"/>
    <x v="8"/>
    <x v="2"/>
    <x v="2"/>
    <x v="14"/>
  </r>
  <r>
    <x v="1"/>
    <x v="156"/>
    <n v="1"/>
    <x v="3"/>
    <x v="9"/>
    <x v="113"/>
    <x v="114"/>
    <x v="113"/>
    <x v="8"/>
    <x v="2"/>
    <x v="2"/>
    <x v="15"/>
  </r>
  <r>
    <x v="1"/>
    <x v="157"/>
    <n v="1"/>
    <x v="3"/>
    <x v="9"/>
    <x v="127"/>
    <x v="128"/>
    <x v="127"/>
    <x v="9"/>
    <x v="1"/>
    <x v="0"/>
    <x v="0"/>
  </r>
  <r>
    <x v="1"/>
    <x v="158"/>
    <n v="5"/>
    <x v="3"/>
    <x v="9"/>
    <x v="68"/>
    <x v="68"/>
    <x v="68"/>
    <x v="6"/>
    <x v="2"/>
    <x v="1"/>
    <x v="4"/>
  </r>
  <r>
    <x v="1"/>
    <x v="159"/>
    <n v="5"/>
    <x v="3"/>
    <x v="9"/>
    <x v="116"/>
    <x v="117"/>
    <x v="116"/>
    <x v="6"/>
    <x v="2"/>
    <x v="1"/>
    <x v="7"/>
  </r>
  <r>
    <x v="1"/>
    <x v="160"/>
    <n v="4"/>
    <x v="3"/>
    <x v="9"/>
    <x v="78"/>
    <x v="78"/>
    <x v="78"/>
    <x v="4"/>
    <x v="2"/>
    <x v="1"/>
    <x v="7"/>
  </r>
  <r>
    <x v="1"/>
    <x v="161"/>
    <n v="4"/>
    <x v="3"/>
    <x v="9"/>
    <x v="117"/>
    <x v="118"/>
    <x v="117"/>
    <x v="6"/>
    <x v="2"/>
    <x v="1"/>
    <x v="5"/>
  </r>
  <r>
    <x v="1"/>
    <x v="162"/>
    <n v="4"/>
    <x v="3"/>
    <x v="0"/>
    <x v="128"/>
    <x v="129"/>
    <x v="128"/>
    <x v="11"/>
    <x v="2"/>
    <x v="1"/>
    <x v="9"/>
  </r>
  <r>
    <x v="1"/>
    <x v="163"/>
    <n v="4"/>
    <x v="3"/>
    <x v="0"/>
    <x v="78"/>
    <x v="78"/>
    <x v="78"/>
    <x v="4"/>
    <x v="2"/>
    <x v="1"/>
    <x v="7"/>
  </r>
  <r>
    <x v="1"/>
    <x v="164"/>
    <n v="1"/>
    <x v="3"/>
    <x v="0"/>
    <x v="129"/>
    <x v="130"/>
    <x v="129"/>
    <x v="8"/>
    <x v="2"/>
    <x v="5"/>
    <x v="16"/>
  </r>
  <r>
    <x v="1"/>
    <x v="165"/>
    <n v="19"/>
    <x v="3"/>
    <x v="0"/>
    <x v="130"/>
    <x v="131"/>
    <x v="130"/>
    <x v="7"/>
    <x v="2"/>
    <x v="1"/>
    <x v="7"/>
  </r>
  <r>
    <x v="1"/>
    <x v="166"/>
    <n v="1"/>
    <x v="4"/>
    <x v="10"/>
    <x v="131"/>
    <x v="132"/>
    <x v="131"/>
    <x v="0"/>
    <x v="0"/>
    <x v="0"/>
    <x v="0"/>
  </r>
  <r>
    <x v="1"/>
    <x v="167"/>
    <n v="1"/>
    <x v="4"/>
    <x v="11"/>
    <x v="132"/>
    <x v="133"/>
    <x v="132"/>
    <x v="0"/>
    <x v="0"/>
    <x v="0"/>
    <x v="0"/>
  </r>
  <r>
    <x v="1"/>
    <x v="168"/>
    <n v="1"/>
    <x v="4"/>
    <x v="11"/>
    <x v="133"/>
    <x v="134"/>
    <x v="133"/>
    <x v="9"/>
    <x v="1"/>
    <x v="0"/>
    <x v="0"/>
  </r>
  <r>
    <x v="1"/>
    <x v="169"/>
    <n v="1"/>
    <x v="4"/>
    <x v="11"/>
    <x v="134"/>
    <x v="135"/>
    <x v="134"/>
    <x v="10"/>
    <x v="1"/>
    <x v="0"/>
    <x v="0"/>
  </r>
  <r>
    <x v="1"/>
    <x v="170"/>
    <n v="1"/>
    <x v="4"/>
    <x v="11"/>
    <x v="135"/>
    <x v="136"/>
    <x v="135"/>
    <x v="10"/>
    <x v="1"/>
    <x v="0"/>
    <x v="0"/>
  </r>
  <r>
    <x v="1"/>
    <x v="171"/>
    <n v="1"/>
    <x v="4"/>
    <x v="11"/>
    <x v="136"/>
    <x v="137"/>
    <x v="136"/>
    <x v="8"/>
    <x v="1"/>
    <x v="0"/>
    <x v="0"/>
  </r>
  <r>
    <x v="1"/>
    <x v="172"/>
    <n v="1"/>
    <x v="4"/>
    <x v="0"/>
    <x v="137"/>
    <x v="138"/>
    <x v="137"/>
    <x v="8"/>
    <x v="2"/>
    <x v="2"/>
    <x v="17"/>
  </r>
  <r>
    <x v="1"/>
    <x v="173"/>
    <n v="1"/>
    <x v="4"/>
    <x v="0"/>
    <x v="138"/>
    <x v="139"/>
    <x v="138"/>
    <x v="1"/>
    <x v="1"/>
    <x v="0"/>
    <x v="0"/>
  </r>
  <r>
    <x v="1"/>
    <x v="174"/>
    <n v="1"/>
    <x v="4"/>
    <x v="12"/>
    <x v="139"/>
    <x v="140"/>
    <x v="139"/>
    <x v="0"/>
    <x v="0"/>
    <x v="0"/>
    <x v="0"/>
  </r>
  <r>
    <x v="1"/>
    <x v="175"/>
    <n v="1"/>
    <x v="4"/>
    <x v="12"/>
    <x v="140"/>
    <x v="141"/>
    <x v="140"/>
    <x v="1"/>
    <x v="1"/>
    <x v="0"/>
    <x v="0"/>
  </r>
  <r>
    <x v="1"/>
    <x v="176"/>
    <n v="12"/>
    <x v="4"/>
    <x v="12"/>
    <x v="67"/>
    <x v="67"/>
    <x v="67"/>
    <x v="6"/>
    <x v="2"/>
    <x v="1"/>
    <x v="4"/>
  </r>
  <r>
    <x v="1"/>
    <x v="177"/>
    <n v="5"/>
    <x v="4"/>
    <x v="12"/>
    <x v="68"/>
    <x v="68"/>
    <x v="68"/>
    <x v="6"/>
    <x v="2"/>
    <x v="1"/>
    <x v="4"/>
  </r>
  <r>
    <x v="1"/>
    <x v="178"/>
    <n v="3"/>
    <x v="4"/>
    <x v="0"/>
    <x v="141"/>
    <x v="142"/>
    <x v="141"/>
    <x v="7"/>
    <x v="2"/>
    <x v="1"/>
    <x v="7"/>
  </r>
  <r>
    <x v="1"/>
    <x v="179"/>
    <n v="5"/>
    <x v="4"/>
    <x v="0"/>
    <x v="142"/>
    <x v="143"/>
    <x v="142"/>
    <x v="7"/>
    <x v="2"/>
    <x v="1"/>
    <x v="7"/>
  </r>
  <r>
    <x v="1"/>
    <x v="180"/>
    <n v="4"/>
    <x v="4"/>
    <x v="0"/>
    <x v="143"/>
    <x v="144"/>
    <x v="143"/>
    <x v="7"/>
    <x v="2"/>
    <x v="1"/>
    <x v="7"/>
  </r>
  <r>
    <x v="1"/>
    <x v="181"/>
    <n v="1"/>
    <x v="4"/>
    <x v="0"/>
    <x v="144"/>
    <x v="145"/>
    <x v="144"/>
    <x v="0"/>
    <x v="2"/>
    <x v="6"/>
    <x v="14"/>
  </r>
  <r>
    <x v="1"/>
    <x v="182"/>
    <n v="1"/>
    <x v="4"/>
    <x v="0"/>
    <x v="145"/>
    <x v="146"/>
    <x v="145"/>
    <x v="8"/>
    <x v="2"/>
    <x v="2"/>
    <x v="14"/>
  </r>
  <r>
    <x v="1"/>
    <x v="183"/>
    <n v="3"/>
    <x v="4"/>
    <x v="0"/>
    <x v="146"/>
    <x v="147"/>
    <x v="146"/>
    <x v="11"/>
    <x v="2"/>
    <x v="1"/>
    <x v="9"/>
  </r>
  <r>
    <x v="1"/>
    <x v="184"/>
    <n v="6"/>
    <x v="4"/>
    <x v="0"/>
    <x v="147"/>
    <x v="148"/>
    <x v="147"/>
    <x v="4"/>
    <x v="2"/>
    <x v="1"/>
    <x v="3"/>
  </r>
  <r>
    <x v="1"/>
    <x v="185"/>
    <n v="8"/>
    <x v="4"/>
    <x v="0"/>
    <x v="148"/>
    <x v="149"/>
    <x v="148"/>
    <x v="11"/>
    <x v="2"/>
    <x v="1"/>
    <x v="9"/>
  </r>
  <r>
    <x v="1"/>
    <x v="186"/>
    <n v="8"/>
    <x v="4"/>
    <x v="0"/>
    <x v="149"/>
    <x v="150"/>
    <x v="149"/>
    <x v="4"/>
    <x v="2"/>
    <x v="1"/>
    <x v="7"/>
  </r>
  <r>
    <x v="1"/>
    <x v="187"/>
    <n v="1"/>
    <x v="4"/>
    <x v="13"/>
    <x v="150"/>
    <x v="151"/>
    <x v="150"/>
    <x v="8"/>
    <x v="4"/>
    <x v="7"/>
    <x v="18"/>
  </r>
  <r>
    <x v="1"/>
    <x v="188"/>
    <n v="1"/>
    <x v="4"/>
    <x v="13"/>
    <x v="151"/>
    <x v="152"/>
    <x v="151"/>
    <x v="8"/>
    <x v="5"/>
    <x v="7"/>
    <x v="18"/>
  </r>
  <r>
    <x v="1"/>
    <x v="189"/>
    <n v="2"/>
    <x v="4"/>
    <x v="14"/>
    <x v="152"/>
    <x v="153"/>
    <x v="152"/>
    <x v="8"/>
    <x v="2"/>
    <x v="8"/>
    <x v="2"/>
  </r>
  <r>
    <x v="1"/>
    <x v="190"/>
    <n v="1"/>
    <x v="4"/>
    <x v="14"/>
    <x v="153"/>
    <x v="154"/>
    <x v="153"/>
    <x v="8"/>
    <x v="2"/>
    <x v="5"/>
    <x v="16"/>
  </r>
  <r>
    <x v="1"/>
    <x v="191"/>
    <n v="8"/>
    <x v="4"/>
    <x v="0"/>
    <x v="116"/>
    <x v="117"/>
    <x v="116"/>
    <x v="6"/>
    <x v="2"/>
    <x v="1"/>
    <x v="7"/>
  </r>
  <r>
    <x v="1"/>
    <x v="192"/>
    <n v="1"/>
    <x v="4"/>
    <x v="0"/>
    <x v="154"/>
    <x v="155"/>
    <x v="154"/>
    <x v="1"/>
    <x v="1"/>
    <x v="0"/>
    <x v="0"/>
  </r>
  <r>
    <x v="1"/>
    <x v="193"/>
    <n v="1"/>
    <x v="4"/>
    <x v="0"/>
    <x v="155"/>
    <x v="156"/>
    <x v="155"/>
    <x v="1"/>
    <x v="1"/>
    <x v="0"/>
    <x v="0"/>
  </r>
  <r>
    <x v="1"/>
    <x v="194"/>
    <n v="2"/>
    <x v="4"/>
    <x v="0"/>
    <x v="77"/>
    <x v="77"/>
    <x v="77"/>
    <x v="4"/>
    <x v="2"/>
    <x v="1"/>
    <x v="3"/>
  </r>
  <r>
    <x v="1"/>
    <x v="195"/>
    <n v="3"/>
    <x v="4"/>
    <x v="0"/>
    <x v="156"/>
    <x v="157"/>
    <x v="156"/>
    <x v="7"/>
    <x v="2"/>
    <x v="1"/>
    <x v="6"/>
  </r>
  <r>
    <x v="1"/>
    <x v="196"/>
    <n v="3"/>
    <x v="4"/>
    <x v="0"/>
    <x v="78"/>
    <x v="78"/>
    <x v="78"/>
    <x v="4"/>
    <x v="2"/>
    <x v="1"/>
    <x v="7"/>
  </r>
  <r>
    <x v="1"/>
    <x v="197"/>
    <n v="1"/>
    <x v="4"/>
    <x v="15"/>
    <x v="157"/>
    <x v="158"/>
    <x v="157"/>
    <x v="8"/>
    <x v="4"/>
    <x v="7"/>
    <x v="18"/>
  </r>
  <r>
    <x v="1"/>
    <x v="198"/>
    <n v="1"/>
    <x v="4"/>
    <x v="15"/>
    <x v="158"/>
    <x v="159"/>
    <x v="158"/>
    <x v="8"/>
    <x v="5"/>
    <x v="7"/>
    <x v="18"/>
  </r>
  <r>
    <x v="1"/>
    <x v="199"/>
    <n v="1"/>
    <x v="4"/>
    <x v="15"/>
    <x v="153"/>
    <x v="154"/>
    <x v="153"/>
    <x v="8"/>
    <x v="2"/>
    <x v="5"/>
    <x v="16"/>
  </r>
  <r>
    <x v="1"/>
    <x v="200"/>
    <n v="1"/>
    <x v="4"/>
    <x v="16"/>
    <x v="159"/>
    <x v="160"/>
    <x v="159"/>
    <x v="0"/>
    <x v="0"/>
    <x v="0"/>
    <x v="0"/>
  </r>
  <r>
    <x v="1"/>
    <x v="201"/>
    <n v="1"/>
    <x v="4"/>
    <x v="16"/>
    <x v="160"/>
    <x v="161"/>
    <x v="160"/>
    <x v="10"/>
    <x v="1"/>
    <x v="0"/>
    <x v="0"/>
  </r>
  <r>
    <x v="1"/>
    <x v="202"/>
    <n v="1"/>
    <x v="4"/>
    <x v="16"/>
    <x v="161"/>
    <x v="162"/>
    <x v="161"/>
    <x v="10"/>
    <x v="1"/>
    <x v="0"/>
    <x v="0"/>
  </r>
  <r>
    <x v="1"/>
    <x v="203"/>
    <n v="1"/>
    <x v="4"/>
    <x v="16"/>
    <x v="162"/>
    <x v="163"/>
    <x v="162"/>
    <x v="9"/>
    <x v="1"/>
    <x v="0"/>
    <x v="0"/>
  </r>
  <r>
    <x v="1"/>
    <x v="204"/>
    <n v="1"/>
    <x v="4"/>
    <x v="16"/>
    <x v="163"/>
    <x v="164"/>
    <x v="163"/>
    <x v="12"/>
    <x v="1"/>
    <x v="0"/>
    <x v="0"/>
  </r>
  <r>
    <x v="1"/>
    <x v="205"/>
    <n v="1"/>
    <x v="4"/>
    <x v="16"/>
    <x v="164"/>
    <x v="165"/>
    <x v="164"/>
    <x v="9"/>
    <x v="1"/>
    <x v="0"/>
    <x v="0"/>
  </r>
  <r>
    <x v="1"/>
    <x v="206"/>
    <n v="6"/>
    <x v="4"/>
    <x v="16"/>
    <x v="165"/>
    <x v="166"/>
    <x v="165"/>
    <x v="12"/>
    <x v="1"/>
    <x v="0"/>
    <x v="0"/>
  </r>
  <r>
    <x v="1"/>
    <x v="207"/>
    <n v="1"/>
    <x v="4"/>
    <x v="16"/>
    <x v="166"/>
    <x v="167"/>
    <x v="166"/>
    <x v="8"/>
    <x v="1"/>
    <x v="0"/>
    <x v="0"/>
  </r>
  <r>
    <x v="1"/>
    <x v="208"/>
    <n v="1"/>
    <x v="4"/>
    <x v="16"/>
    <x v="167"/>
    <x v="168"/>
    <x v="167"/>
    <x v="9"/>
    <x v="1"/>
    <x v="0"/>
    <x v="0"/>
  </r>
  <r>
    <x v="1"/>
    <x v="209"/>
    <n v="2"/>
    <x v="4"/>
    <x v="16"/>
    <x v="168"/>
    <x v="169"/>
    <x v="168"/>
    <x v="9"/>
    <x v="1"/>
    <x v="0"/>
    <x v="0"/>
  </r>
  <r>
    <x v="1"/>
    <x v="210"/>
    <n v="1"/>
    <x v="4"/>
    <x v="16"/>
    <x v="169"/>
    <x v="170"/>
    <x v="169"/>
    <x v="9"/>
    <x v="1"/>
    <x v="0"/>
    <x v="0"/>
  </r>
  <r>
    <x v="1"/>
    <x v="211"/>
    <n v="1"/>
    <x v="4"/>
    <x v="16"/>
    <x v="170"/>
    <x v="171"/>
    <x v="170"/>
    <x v="9"/>
    <x v="1"/>
    <x v="0"/>
    <x v="0"/>
  </r>
  <r>
    <x v="1"/>
    <x v="212"/>
    <n v="4"/>
    <x v="4"/>
    <x v="16"/>
    <x v="171"/>
    <x v="172"/>
    <x v="171"/>
    <x v="7"/>
    <x v="2"/>
    <x v="1"/>
    <x v="7"/>
  </r>
  <r>
    <x v="1"/>
    <x v="213"/>
    <n v="4"/>
    <x v="4"/>
    <x v="16"/>
    <x v="172"/>
    <x v="173"/>
    <x v="172"/>
    <x v="6"/>
    <x v="2"/>
    <x v="1"/>
    <x v="5"/>
  </r>
  <r>
    <x v="1"/>
    <x v="214"/>
    <n v="1"/>
    <x v="4"/>
    <x v="17"/>
    <x v="173"/>
    <x v="174"/>
    <x v="173"/>
    <x v="0"/>
    <x v="0"/>
    <x v="0"/>
    <x v="0"/>
  </r>
  <r>
    <x v="1"/>
    <x v="215"/>
    <n v="1"/>
    <x v="4"/>
    <x v="17"/>
    <x v="174"/>
    <x v="175"/>
    <x v="174"/>
    <x v="10"/>
    <x v="1"/>
    <x v="0"/>
    <x v="0"/>
  </r>
  <r>
    <x v="1"/>
    <x v="216"/>
    <n v="1"/>
    <x v="4"/>
    <x v="17"/>
    <x v="175"/>
    <x v="176"/>
    <x v="175"/>
    <x v="10"/>
    <x v="1"/>
    <x v="0"/>
    <x v="0"/>
  </r>
  <r>
    <x v="1"/>
    <x v="217"/>
    <n v="1"/>
    <x v="4"/>
    <x v="17"/>
    <x v="176"/>
    <x v="177"/>
    <x v="176"/>
    <x v="9"/>
    <x v="1"/>
    <x v="0"/>
    <x v="0"/>
  </r>
  <r>
    <x v="1"/>
    <x v="218"/>
    <n v="1"/>
    <x v="4"/>
    <x v="17"/>
    <x v="177"/>
    <x v="178"/>
    <x v="177"/>
    <x v="8"/>
    <x v="1"/>
    <x v="0"/>
    <x v="0"/>
  </r>
  <r>
    <x v="1"/>
    <x v="219"/>
    <n v="1"/>
    <x v="4"/>
    <x v="17"/>
    <x v="178"/>
    <x v="179"/>
    <x v="178"/>
    <x v="8"/>
    <x v="2"/>
    <x v="3"/>
    <x v="12"/>
  </r>
  <r>
    <x v="1"/>
    <x v="220"/>
    <n v="2"/>
    <x v="4"/>
    <x v="17"/>
    <x v="179"/>
    <x v="180"/>
    <x v="179"/>
    <x v="8"/>
    <x v="2"/>
    <x v="9"/>
    <x v="19"/>
  </r>
  <r>
    <x v="1"/>
    <x v="221"/>
    <n v="2"/>
    <x v="4"/>
    <x v="17"/>
    <x v="180"/>
    <x v="181"/>
    <x v="180"/>
    <x v="8"/>
    <x v="2"/>
    <x v="1"/>
    <x v="6"/>
  </r>
  <r>
    <x v="1"/>
    <x v="222"/>
    <n v="4"/>
    <x v="4"/>
    <x v="17"/>
    <x v="181"/>
    <x v="182"/>
    <x v="181"/>
    <x v="8"/>
    <x v="2"/>
    <x v="1"/>
    <x v="5"/>
  </r>
  <r>
    <x v="1"/>
    <x v="223"/>
    <n v="1"/>
    <x v="4"/>
    <x v="17"/>
    <x v="182"/>
    <x v="183"/>
    <x v="182"/>
    <x v="8"/>
    <x v="2"/>
    <x v="3"/>
    <x v="12"/>
  </r>
  <r>
    <x v="1"/>
    <x v="224"/>
    <n v="1"/>
    <x v="4"/>
    <x v="17"/>
    <x v="183"/>
    <x v="184"/>
    <x v="183"/>
    <x v="8"/>
    <x v="2"/>
    <x v="4"/>
    <x v="13"/>
  </r>
  <r>
    <x v="1"/>
    <x v="225"/>
    <n v="1"/>
    <x v="4"/>
    <x v="18"/>
    <x v="184"/>
    <x v="185"/>
    <x v="184"/>
    <x v="0"/>
    <x v="3"/>
    <x v="0"/>
    <x v="0"/>
  </r>
  <r>
    <x v="1"/>
    <x v="226"/>
    <n v="1"/>
    <x v="4"/>
    <x v="18"/>
    <x v="185"/>
    <x v="186"/>
    <x v="185"/>
    <x v="12"/>
    <x v="3"/>
    <x v="0"/>
    <x v="0"/>
  </r>
  <r>
    <x v="1"/>
    <x v="227"/>
    <n v="2"/>
    <x v="4"/>
    <x v="18"/>
    <x v="94"/>
    <x v="94"/>
    <x v="94"/>
    <x v="7"/>
    <x v="2"/>
    <x v="1"/>
    <x v="11"/>
  </r>
  <r>
    <x v="1"/>
    <x v="228"/>
    <n v="1"/>
    <x v="4"/>
    <x v="17"/>
    <x v="186"/>
    <x v="187"/>
    <x v="186"/>
    <x v="4"/>
    <x v="2"/>
    <x v="1"/>
    <x v="5"/>
  </r>
  <r>
    <x v="1"/>
    <x v="229"/>
    <n v="1"/>
    <x v="4"/>
    <x v="17"/>
    <x v="187"/>
    <x v="188"/>
    <x v="187"/>
    <x v="1"/>
    <x v="1"/>
    <x v="0"/>
    <x v="0"/>
  </r>
  <r>
    <x v="1"/>
    <x v="230"/>
    <n v="1"/>
    <x v="4"/>
    <x v="19"/>
    <x v="188"/>
    <x v="189"/>
    <x v="188"/>
    <x v="0"/>
    <x v="0"/>
    <x v="0"/>
    <x v="0"/>
  </r>
  <r>
    <x v="1"/>
    <x v="231"/>
    <n v="1"/>
    <x v="4"/>
    <x v="19"/>
    <x v="189"/>
    <x v="190"/>
    <x v="189"/>
    <x v="1"/>
    <x v="1"/>
    <x v="0"/>
    <x v="0"/>
  </r>
  <r>
    <x v="1"/>
    <x v="232"/>
    <n v="1"/>
    <x v="4"/>
    <x v="20"/>
    <x v="190"/>
    <x v="191"/>
    <x v="190"/>
    <x v="0"/>
    <x v="0"/>
    <x v="0"/>
    <x v="0"/>
  </r>
  <r>
    <x v="1"/>
    <x v="233"/>
    <n v="1"/>
    <x v="4"/>
    <x v="20"/>
    <x v="191"/>
    <x v="192"/>
    <x v="191"/>
    <x v="1"/>
    <x v="1"/>
    <x v="0"/>
    <x v="0"/>
  </r>
  <r>
    <x v="1"/>
    <x v="234"/>
    <n v="3"/>
    <x v="4"/>
    <x v="20"/>
    <x v="68"/>
    <x v="68"/>
    <x v="68"/>
    <x v="6"/>
    <x v="2"/>
    <x v="1"/>
    <x v="4"/>
  </r>
  <r>
    <x v="1"/>
    <x v="235"/>
    <n v="1"/>
    <x v="4"/>
    <x v="19"/>
    <x v="192"/>
    <x v="193"/>
    <x v="192"/>
    <x v="8"/>
    <x v="1"/>
    <x v="0"/>
    <x v="0"/>
  </r>
  <r>
    <x v="1"/>
    <x v="236"/>
    <n v="3"/>
    <x v="4"/>
    <x v="19"/>
    <x v="116"/>
    <x v="117"/>
    <x v="116"/>
    <x v="6"/>
    <x v="2"/>
    <x v="1"/>
    <x v="7"/>
  </r>
  <r>
    <x v="1"/>
    <x v="237"/>
    <n v="1"/>
    <x v="4"/>
    <x v="21"/>
    <x v="193"/>
    <x v="194"/>
    <x v="193"/>
    <x v="0"/>
    <x v="2"/>
    <x v="0"/>
    <x v="12"/>
  </r>
  <r>
    <x v="1"/>
    <x v="238"/>
    <n v="1"/>
    <x v="4"/>
    <x v="21"/>
    <x v="194"/>
    <x v="195"/>
    <x v="194"/>
    <x v="12"/>
    <x v="1"/>
    <x v="0"/>
    <x v="0"/>
  </r>
  <r>
    <x v="1"/>
    <x v="239"/>
    <n v="1"/>
    <x v="4"/>
    <x v="21"/>
    <x v="195"/>
    <x v="196"/>
    <x v="195"/>
    <x v="10"/>
    <x v="1"/>
    <x v="0"/>
    <x v="0"/>
  </r>
  <r>
    <x v="1"/>
    <x v="240"/>
    <n v="1"/>
    <x v="4"/>
    <x v="21"/>
    <x v="196"/>
    <x v="197"/>
    <x v="196"/>
    <x v="10"/>
    <x v="1"/>
    <x v="0"/>
    <x v="0"/>
  </r>
  <r>
    <x v="1"/>
    <x v="241"/>
    <n v="1"/>
    <x v="4"/>
    <x v="21"/>
    <x v="197"/>
    <x v="198"/>
    <x v="197"/>
    <x v="12"/>
    <x v="1"/>
    <x v="0"/>
    <x v="0"/>
  </r>
  <r>
    <x v="1"/>
    <x v="242"/>
    <n v="1"/>
    <x v="4"/>
    <x v="21"/>
    <x v="198"/>
    <x v="199"/>
    <x v="198"/>
    <x v="10"/>
    <x v="1"/>
    <x v="0"/>
    <x v="0"/>
  </r>
  <r>
    <x v="1"/>
    <x v="243"/>
    <n v="1"/>
    <x v="4"/>
    <x v="22"/>
    <x v="199"/>
    <x v="200"/>
    <x v="199"/>
    <x v="0"/>
    <x v="2"/>
    <x v="0"/>
    <x v="12"/>
  </r>
  <r>
    <x v="1"/>
    <x v="244"/>
    <n v="1"/>
    <x v="4"/>
    <x v="22"/>
    <x v="194"/>
    <x v="195"/>
    <x v="194"/>
    <x v="12"/>
    <x v="1"/>
    <x v="0"/>
    <x v="0"/>
  </r>
  <r>
    <x v="1"/>
    <x v="245"/>
    <n v="1"/>
    <x v="4"/>
    <x v="22"/>
    <x v="200"/>
    <x v="201"/>
    <x v="200"/>
    <x v="10"/>
    <x v="1"/>
    <x v="0"/>
    <x v="0"/>
  </r>
  <r>
    <x v="1"/>
    <x v="246"/>
    <n v="1"/>
    <x v="4"/>
    <x v="22"/>
    <x v="196"/>
    <x v="197"/>
    <x v="196"/>
    <x v="10"/>
    <x v="1"/>
    <x v="0"/>
    <x v="0"/>
  </r>
  <r>
    <x v="1"/>
    <x v="247"/>
    <n v="1"/>
    <x v="4"/>
    <x v="22"/>
    <x v="197"/>
    <x v="198"/>
    <x v="197"/>
    <x v="12"/>
    <x v="1"/>
    <x v="0"/>
    <x v="0"/>
  </r>
  <r>
    <x v="1"/>
    <x v="248"/>
    <n v="1"/>
    <x v="4"/>
    <x v="22"/>
    <x v="198"/>
    <x v="199"/>
    <x v="198"/>
    <x v="10"/>
    <x v="1"/>
    <x v="0"/>
    <x v="0"/>
  </r>
  <r>
    <x v="1"/>
    <x v="249"/>
    <n v="1"/>
    <x v="4"/>
    <x v="23"/>
    <x v="201"/>
    <x v="202"/>
    <x v="201"/>
    <x v="0"/>
    <x v="2"/>
    <x v="0"/>
    <x v="12"/>
  </r>
  <r>
    <x v="1"/>
    <x v="250"/>
    <n v="1"/>
    <x v="4"/>
    <x v="23"/>
    <x v="202"/>
    <x v="203"/>
    <x v="202"/>
    <x v="10"/>
    <x v="1"/>
    <x v="0"/>
    <x v="0"/>
  </r>
  <r>
    <x v="1"/>
    <x v="251"/>
    <n v="1"/>
    <x v="4"/>
    <x v="23"/>
    <x v="194"/>
    <x v="195"/>
    <x v="194"/>
    <x v="12"/>
    <x v="1"/>
    <x v="0"/>
    <x v="0"/>
  </r>
  <r>
    <x v="1"/>
    <x v="252"/>
    <n v="1"/>
    <x v="4"/>
    <x v="23"/>
    <x v="196"/>
    <x v="197"/>
    <x v="196"/>
    <x v="10"/>
    <x v="1"/>
    <x v="0"/>
    <x v="0"/>
  </r>
  <r>
    <x v="1"/>
    <x v="253"/>
    <n v="1"/>
    <x v="4"/>
    <x v="23"/>
    <x v="198"/>
    <x v="199"/>
    <x v="198"/>
    <x v="10"/>
    <x v="1"/>
    <x v="0"/>
    <x v="0"/>
  </r>
  <r>
    <x v="1"/>
    <x v="254"/>
    <n v="1"/>
    <x v="4"/>
    <x v="23"/>
    <x v="197"/>
    <x v="198"/>
    <x v="197"/>
    <x v="12"/>
    <x v="1"/>
    <x v="0"/>
    <x v="0"/>
  </r>
  <r>
    <x v="1"/>
    <x v="255"/>
    <n v="1"/>
    <x v="4"/>
    <x v="24"/>
    <x v="203"/>
    <x v="204"/>
    <x v="203"/>
    <x v="0"/>
    <x v="2"/>
    <x v="0"/>
    <x v="12"/>
  </r>
  <r>
    <x v="1"/>
    <x v="256"/>
    <n v="1"/>
    <x v="4"/>
    <x v="24"/>
    <x v="204"/>
    <x v="205"/>
    <x v="204"/>
    <x v="10"/>
    <x v="1"/>
    <x v="0"/>
    <x v="0"/>
  </r>
  <r>
    <x v="1"/>
    <x v="257"/>
    <n v="1"/>
    <x v="4"/>
    <x v="24"/>
    <x v="197"/>
    <x v="198"/>
    <x v="197"/>
    <x v="12"/>
    <x v="1"/>
    <x v="0"/>
    <x v="0"/>
  </r>
  <r>
    <x v="1"/>
    <x v="258"/>
    <n v="1"/>
    <x v="4"/>
    <x v="24"/>
    <x v="194"/>
    <x v="195"/>
    <x v="194"/>
    <x v="12"/>
    <x v="1"/>
    <x v="0"/>
    <x v="0"/>
  </r>
  <r>
    <x v="1"/>
    <x v="259"/>
    <n v="1"/>
    <x v="4"/>
    <x v="24"/>
    <x v="196"/>
    <x v="197"/>
    <x v="196"/>
    <x v="10"/>
    <x v="1"/>
    <x v="0"/>
    <x v="0"/>
  </r>
  <r>
    <x v="1"/>
    <x v="260"/>
    <n v="1"/>
    <x v="4"/>
    <x v="24"/>
    <x v="198"/>
    <x v="199"/>
    <x v="198"/>
    <x v="10"/>
    <x v="1"/>
    <x v="0"/>
    <x v="0"/>
  </r>
  <r>
    <x v="1"/>
    <x v="261"/>
    <n v="1"/>
    <x v="4"/>
    <x v="25"/>
    <x v="205"/>
    <x v="206"/>
    <x v="205"/>
    <x v="0"/>
    <x v="2"/>
    <x v="0"/>
    <x v="12"/>
  </r>
  <r>
    <x v="1"/>
    <x v="262"/>
    <n v="1"/>
    <x v="4"/>
    <x v="25"/>
    <x v="206"/>
    <x v="207"/>
    <x v="206"/>
    <x v="10"/>
    <x v="1"/>
    <x v="0"/>
    <x v="0"/>
  </r>
  <r>
    <x v="1"/>
    <x v="263"/>
    <n v="1"/>
    <x v="4"/>
    <x v="25"/>
    <x v="197"/>
    <x v="198"/>
    <x v="197"/>
    <x v="12"/>
    <x v="1"/>
    <x v="0"/>
    <x v="0"/>
  </r>
  <r>
    <x v="1"/>
    <x v="264"/>
    <n v="1"/>
    <x v="4"/>
    <x v="25"/>
    <x v="196"/>
    <x v="197"/>
    <x v="196"/>
    <x v="10"/>
    <x v="1"/>
    <x v="0"/>
    <x v="0"/>
  </r>
  <r>
    <x v="1"/>
    <x v="265"/>
    <n v="1"/>
    <x v="4"/>
    <x v="25"/>
    <x v="194"/>
    <x v="195"/>
    <x v="194"/>
    <x v="12"/>
    <x v="1"/>
    <x v="0"/>
    <x v="0"/>
  </r>
  <r>
    <x v="1"/>
    <x v="266"/>
    <n v="1"/>
    <x v="4"/>
    <x v="25"/>
    <x v="198"/>
    <x v="199"/>
    <x v="198"/>
    <x v="10"/>
    <x v="1"/>
    <x v="0"/>
    <x v="0"/>
  </r>
  <r>
    <x v="1"/>
    <x v="267"/>
    <n v="1"/>
    <x v="4"/>
    <x v="26"/>
    <x v="207"/>
    <x v="208"/>
    <x v="207"/>
    <x v="0"/>
    <x v="0"/>
    <x v="0"/>
    <x v="0"/>
  </r>
  <r>
    <x v="1"/>
    <x v="268"/>
    <n v="1"/>
    <x v="4"/>
    <x v="26"/>
    <x v="208"/>
    <x v="209"/>
    <x v="208"/>
    <x v="10"/>
    <x v="1"/>
    <x v="0"/>
    <x v="0"/>
  </r>
  <r>
    <x v="1"/>
    <x v="269"/>
    <n v="1"/>
    <x v="4"/>
    <x v="26"/>
    <x v="209"/>
    <x v="210"/>
    <x v="209"/>
    <x v="10"/>
    <x v="1"/>
    <x v="0"/>
    <x v="0"/>
  </r>
  <r>
    <x v="1"/>
    <x v="270"/>
    <n v="1"/>
    <x v="4"/>
    <x v="26"/>
    <x v="210"/>
    <x v="211"/>
    <x v="210"/>
    <x v="10"/>
    <x v="1"/>
    <x v="0"/>
    <x v="0"/>
  </r>
  <r>
    <x v="1"/>
    <x v="271"/>
    <n v="1"/>
    <x v="4"/>
    <x v="26"/>
    <x v="211"/>
    <x v="212"/>
    <x v="211"/>
    <x v="12"/>
    <x v="1"/>
    <x v="0"/>
    <x v="0"/>
  </r>
  <r>
    <x v="1"/>
    <x v="272"/>
    <n v="1"/>
    <x v="4"/>
    <x v="26"/>
    <x v="212"/>
    <x v="213"/>
    <x v="212"/>
    <x v="12"/>
    <x v="1"/>
    <x v="0"/>
    <x v="0"/>
  </r>
  <r>
    <x v="1"/>
    <x v="273"/>
    <n v="1"/>
    <x v="4"/>
    <x v="27"/>
    <x v="213"/>
    <x v="214"/>
    <x v="213"/>
    <x v="0"/>
    <x v="0"/>
    <x v="0"/>
    <x v="0"/>
  </r>
  <r>
    <x v="1"/>
    <x v="274"/>
    <n v="1"/>
    <x v="4"/>
    <x v="27"/>
    <x v="214"/>
    <x v="215"/>
    <x v="214"/>
    <x v="10"/>
    <x v="1"/>
    <x v="0"/>
    <x v="0"/>
  </r>
  <r>
    <x v="1"/>
    <x v="275"/>
    <n v="1"/>
    <x v="4"/>
    <x v="27"/>
    <x v="211"/>
    <x v="212"/>
    <x v="211"/>
    <x v="12"/>
    <x v="1"/>
    <x v="0"/>
    <x v="0"/>
  </r>
  <r>
    <x v="1"/>
    <x v="276"/>
    <n v="1"/>
    <x v="4"/>
    <x v="27"/>
    <x v="210"/>
    <x v="211"/>
    <x v="210"/>
    <x v="10"/>
    <x v="1"/>
    <x v="0"/>
    <x v="0"/>
  </r>
  <r>
    <x v="1"/>
    <x v="277"/>
    <n v="1"/>
    <x v="4"/>
    <x v="27"/>
    <x v="208"/>
    <x v="209"/>
    <x v="208"/>
    <x v="10"/>
    <x v="1"/>
    <x v="0"/>
    <x v="0"/>
  </r>
  <r>
    <x v="1"/>
    <x v="278"/>
    <n v="1"/>
    <x v="4"/>
    <x v="27"/>
    <x v="212"/>
    <x v="213"/>
    <x v="212"/>
    <x v="12"/>
    <x v="1"/>
    <x v="0"/>
    <x v="0"/>
  </r>
  <r>
    <x v="1"/>
    <x v="279"/>
    <n v="1"/>
    <x v="4"/>
    <x v="28"/>
    <x v="215"/>
    <x v="216"/>
    <x v="215"/>
    <x v="0"/>
    <x v="0"/>
    <x v="0"/>
    <x v="0"/>
  </r>
  <r>
    <x v="1"/>
    <x v="280"/>
    <n v="1"/>
    <x v="4"/>
    <x v="28"/>
    <x v="216"/>
    <x v="217"/>
    <x v="216"/>
    <x v="10"/>
    <x v="1"/>
    <x v="0"/>
    <x v="0"/>
  </r>
  <r>
    <x v="1"/>
    <x v="281"/>
    <n v="1"/>
    <x v="4"/>
    <x v="28"/>
    <x v="211"/>
    <x v="212"/>
    <x v="211"/>
    <x v="12"/>
    <x v="1"/>
    <x v="0"/>
    <x v="0"/>
  </r>
  <r>
    <x v="1"/>
    <x v="282"/>
    <n v="1"/>
    <x v="4"/>
    <x v="28"/>
    <x v="212"/>
    <x v="213"/>
    <x v="212"/>
    <x v="12"/>
    <x v="1"/>
    <x v="0"/>
    <x v="0"/>
  </r>
  <r>
    <x v="1"/>
    <x v="283"/>
    <n v="1"/>
    <x v="4"/>
    <x v="28"/>
    <x v="210"/>
    <x v="211"/>
    <x v="210"/>
    <x v="10"/>
    <x v="1"/>
    <x v="0"/>
    <x v="0"/>
  </r>
  <r>
    <x v="1"/>
    <x v="284"/>
    <n v="1"/>
    <x v="4"/>
    <x v="28"/>
    <x v="208"/>
    <x v="209"/>
    <x v="208"/>
    <x v="10"/>
    <x v="1"/>
    <x v="0"/>
    <x v="0"/>
  </r>
  <r>
    <x v="1"/>
    <x v="285"/>
    <n v="1"/>
    <x v="4"/>
    <x v="29"/>
    <x v="217"/>
    <x v="218"/>
    <x v="217"/>
    <x v="0"/>
    <x v="0"/>
    <x v="0"/>
    <x v="0"/>
  </r>
  <r>
    <x v="1"/>
    <x v="286"/>
    <n v="1"/>
    <x v="4"/>
    <x v="29"/>
    <x v="218"/>
    <x v="219"/>
    <x v="218"/>
    <x v="10"/>
    <x v="1"/>
    <x v="0"/>
    <x v="0"/>
  </r>
  <r>
    <x v="1"/>
    <x v="287"/>
    <n v="1"/>
    <x v="4"/>
    <x v="29"/>
    <x v="211"/>
    <x v="212"/>
    <x v="211"/>
    <x v="12"/>
    <x v="1"/>
    <x v="0"/>
    <x v="0"/>
  </r>
  <r>
    <x v="1"/>
    <x v="288"/>
    <n v="1"/>
    <x v="4"/>
    <x v="29"/>
    <x v="212"/>
    <x v="213"/>
    <x v="212"/>
    <x v="12"/>
    <x v="1"/>
    <x v="0"/>
    <x v="0"/>
  </r>
  <r>
    <x v="1"/>
    <x v="289"/>
    <n v="1"/>
    <x v="4"/>
    <x v="29"/>
    <x v="210"/>
    <x v="211"/>
    <x v="210"/>
    <x v="10"/>
    <x v="1"/>
    <x v="0"/>
    <x v="0"/>
  </r>
  <r>
    <x v="1"/>
    <x v="290"/>
    <n v="1"/>
    <x v="4"/>
    <x v="29"/>
    <x v="208"/>
    <x v="209"/>
    <x v="208"/>
    <x v="10"/>
    <x v="1"/>
    <x v="0"/>
    <x v="0"/>
  </r>
  <r>
    <x v="1"/>
    <x v="291"/>
    <n v="1"/>
    <x v="4"/>
    <x v="30"/>
    <x v="219"/>
    <x v="220"/>
    <x v="219"/>
    <x v="0"/>
    <x v="0"/>
    <x v="0"/>
    <x v="0"/>
  </r>
  <r>
    <x v="1"/>
    <x v="292"/>
    <n v="1"/>
    <x v="4"/>
    <x v="30"/>
    <x v="220"/>
    <x v="221"/>
    <x v="220"/>
    <x v="10"/>
    <x v="1"/>
    <x v="0"/>
    <x v="0"/>
  </r>
  <r>
    <x v="1"/>
    <x v="293"/>
    <n v="1"/>
    <x v="4"/>
    <x v="30"/>
    <x v="211"/>
    <x v="212"/>
    <x v="211"/>
    <x v="12"/>
    <x v="1"/>
    <x v="0"/>
    <x v="0"/>
  </r>
  <r>
    <x v="1"/>
    <x v="294"/>
    <n v="1"/>
    <x v="4"/>
    <x v="30"/>
    <x v="212"/>
    <x v="213"/>
    <x v="212"/>
    <x v="12"/>
    <x v="1"/>
    <x v="0"/>
    <x v="0"/>
  </r>
  <r>
    <x v="1"/>
    <x v="295"/>
    <n v="1"/>
    <x v="4"/>
    <x v="30"/>
    <x v="208"/>
    <x v="209"/>
    <x v="208"/>
    <x v="10"/>
    <x v="1"/>
    <x v="0"/>
    <x v="0"/>
  </r>
  <r>
    <x v="1"/>
    <x v="296"/>
    <n v="1"/>
    <x v="4"/>
    <x v="30"/>
    <x v="210"/>
    <x v="211"/>
    <x v="210"/>
    <x v="10"/>
    <x v="1"/>
    <x v="0"/>
    <x v="0"/>
  </r>
  <r>
    <x v="1"/>
    <x v="297"/>
    <n v="1"/>
    <x v="4"/>
    <x v="31"/>
    <x v="221"/>
    <x v="222"/>
    <x v="221"/>
    <x v="0"/>
    <x v="0"/>
    <x v="0"/>
    <x v="0"/>
  </r>
  <r>
    <x v="1"/>
    <x v="298"/>
    <n v="1"/>
    <x v="4"/>
    <x v="31"/>
    <x v="222"/>
    <x v="223"/>
    <x v="222"/>
    <x v="10"/>
    <x v="1"/>
    <x v="0"/>
    <x v="0"/>
  </r>
  <r>
    <x v="1"/>
    <x v="299"/>
    <n v="1"/>
    <x v="4"/>
    <x v="31"/>
    <x v="211"/>
    <x v="212"/>
    <x v="211"/>
    <x v="12"/>
    <x v="1"/>
    <x v="0"/>
    <x v="0"/>
  </r>
  <r>
    <x v="1"/>
    <x v="300"/>
    <n v="1"/>
    <x v="4"/>
    <x v="31"/>
    <x v="212"/>
    <x v="213"/>
    <x v="212"/>
    <x v="12"/>
    <x v="1"/>
    <x v="0"/>
    <x v="0"/>
  </r>
  <r>
    <x v="1"/>
    <x v="301"/>
    <n v="1"/>
    <x v="4"/>
    <x v="31"/>
    <x v="208"/>
    <x v="209"/>
    <x v="208"/>
    <x v="10"/>
    <x v="1"/>
    <x v="0"/>
    <x v="0"/>
  </r>
  <r>
    <x v="1"/>
    <x v="302"/>
    <n v="1"/>
    <x v="4"/>
    <x v="31"/>
    <x v="210"/>
    <x v="211"/>
    <x v="210"/>
    <x v="10"/>
    <x v="1"/>
    <x v="0"/>
    <x v="0"/>
  </r>
  <r>
    <x v="1"/>
    <x v="303"/>
    <n v="1"/>
    <x v="1"/>
    <x v="0"/>
    <x v="223"/>
    <x v="224"/>
    <x v="223"/>
    <x v="0"/>
    <x v="2"/>
    <x v="2"/>
    <x v="15"/>
  </r>
  <r>
    <x v="1"/>
    <x v="304"/>
    <n v="6"/>
    <x v="1"/>
    <x v="0"/>
    <x v="224"/>
    <x v="225"/>
    <x v="224"/>
    <x v="7"/>
    <x v="2"/>
    <x v="1"/>
    <x v="6"/>
  </r>
  <r>
    <x v="1"/>
    <x v="305"/>
    <n v="4"/>
    <x v="1"/>
    <x v="0"/>
    <x v="225"/>
    <x v="226"/>
    <x v="225"/>
    <x v="0"/>
    <x v="2"/>
    <x v="1"/>
    <x v="5"/>
  </r>
  <r>
    <x v="1"/>
    <x v="306"/>
    <n v="4"/>
    <x v="1"/>
    <x v="0"/>
    <x v="226"/>
    <x v="227"/>
    <x v="226"/>
    <x v="7"/>
    <x v="2"/>
    <x v="1"/>
    <x v="7"/>
  </r>
  <r>
    <x v="1"/>
    <x v="307"/>
    <n v="18"/>
    <x v="1"/>
    <x v="0"/>
    <x v="53"/>
    <x v="53"/>
    <x v="53"/>
    <x v="4"/>
    <x v="2"/>
    <x v="1"/>
    <x v="3"/>
  </r>
  <r>
    <x v="1"/>
    <x v="308"/>
    <n v="26"/>
    <x v="1"/>
    <x v="0"/>
    <x v="56"/>
    <x v="56"/>
    <x v="56"/>
    <x v="7"/>
    <x v="2"/>
    <x v="1"/>
    <x v="5"/>
  </r>
  <r>
    <x v="1"/>
    <x v="309"/>
    <n v="6"/>
    <x v="1"/>
    <x v="0"/>
    <x v="227"/>
    <x v="228"/>
    <x v="227"/>
    <x v="7"/>
    <x v="2"/>
    <x v="1"/>
    <x v="7"/>
  </r>
  <r>
    <x v="1"/>
    <x v="310"/>
    <n v="6"/>
    <x v="1"/>
    <x v="0"/>
    <x v="57"/>
    <x v="57"/>
    <x v="57"/>
    <x v="4"/>
    <x v="2"/>
    <x v="1"/>
    <x v="6"/>
  </r>
  <r>
    <x v="1"/>
    <x v="311"/>
    <n v="4"/>
    <x v="1"/>
    <x v="0"/>
    <x v="54"/>
    <x v="54"/>
    <x v="54"/>
    <x v="4"/>
    <x v="2"/>
    <x v="1"/>
    <x v="3"/>
  </r>
  <r>
    <x v="1"/>
    <x v="312"/>
    <n v="2"/>
    <x v="1"/>
    <x v="0"/>
    <x v="228"/>
    <x v="229"/>
    <x v="228"/>
    <x v="8"/>
    <x v="2"/>
    <x v="3"/>
    <x v="12"/>
  </r>
  <r>
    <x v="1"/>
    <x v="313"/>
    <n v="4"/>
    <x v="1"/>
    <x v="0"/>
    <x v="117"/>
    <x v="118"/>
    <x v="117"/>
    <x v="6"/>
    <x v="2"/>
    <x v="1"/>
    <x v="5"/>
  </r>
  <r>
    <x v="1"/>
    <x v="314"/>
    <n v="4"/>
    <x v="1"/>
    <x v="0"/>
    <x v="229"/>
    <x v="230"/>
    <x v="229"/>
    <x v="7"/>
    <x v="2"/>
    <x v="1"/>
    <x v="3"/>
  </r>
  <r>
    <x v="1"/>
    <x v="315"/>
    <n v="8"/>
    <x v="1"/>
    <x v="0"/>
    <x v="230"/>
    <x v="231"/>
    <x v="230"/>
    <x v="14"/>
    <x v="2"/>
    <x v="1"/>
    <x v="20"/>
  </r>
  <r>
    <x v="1"/>
    <x v="316"/>
    <n v="4"/>
    <x v="1"/>
    <x v="0"/>
    <x v="111"/>
    <x v="112"/>
    <x v="111"/>
    <x v="7"/>
    <x v="2"/>
    <x v="1"/>
    <x v="6"/>
  </r>
  <r>
    <x v="1"/>
    <x v="317"/>
    <n v="2"/>
    <x v="1"/>
    <x v="0"/>
    <x v="231"/>
    <x v="232"/>
    <x v="231"/>
    <x v="4"/>
    <x v="2"/>
    <x v="1"/>
    <x v="5"/>
  </r>
  <r>
    <x v="1"/>
    <x v="318"/>
    <n v="2"/>
    <x v="1"/>
    <x v="0"/>
    <x v="232"/>
    <x v="233"/>
    <x v="232"/>
    <x v="7"/>
    <x v="2"/>
    <x v="1"/>
    <x v="3"/>
  </r>
  <r>
    <x v="1"/>
    <x v="319"/>
    <n v="2"/>
    <x v="1"/>
    <x v="0"/>
    <x v="233"/>
    <x v="234"/>
    <x v="233"/>
    <x v="4"/>
    <x v="2"/>
    <x v="9"/>
    <x v="21"/>
  </r>
  <r>
    <x v="1"/>
    <x v="320"/>
    <n v="18"/>
    <x v="1"/>
    <x v="0"/>
    <x v="234"/>
    <x v="235"/>
    <x v="234"/>
    <x v="4"/>
    <x v="2"/>
    <x v="1"/>
    <x v="5"/>
  </r>
  <r>
    <x v="1"/>
    <x v="321"/>
    <n v="2"/>
    <x v="1"/>
    <x v="0"/>
    <x v="235"/>
    <x v="236"/>
    <x v="235"/>
    <x v="4"/>
    <x v="2"/>
    <x v="1"/>
    <x v="3"/>
  </r>
  <r>
    <x v="1"/>
    <x v="322"/>
    <n v="8"/>
    <x v="1"/>
    <x v="0"/>
    <x v="236"/>
    <x v="237"/>
    <x v="236"/>
    <x v="7"/>
    <x v="2"/>
    <x v="1"/>
    <x v="22"/>
  </r>
  <r>
    <x v="1"/>
    <x v="323"/>
    <n v="20"/>
    <x v="1"/>
    <x v="0"/>
    <x v="237"/>
    <x v="238"/>
    <x v="237"/>
    <x v="7"/>
    <x v="2"/>
    <x v="1"/>
    <x v="6"/>
  </r>
  <r>
    <x v="1"/>
    <x v="324"/>
    <n v="1"/>
    <x v="5"/>
    <x v="0"/>
    <x v="238"/>
    <x v="239"/>
    <x v="238"/>
    <x v="0"/>
    <x v="0"/>
    <x v="0"/>
    <x v="0"/>
  </r>
  <r>
    <x v="1"/>
    <x v="325"/>
    <n v="1"/>
    <x v="5"/>
    <x v="0"/>
    <x v="239"/>
    <x v="240"/>
    <x v="239"/>
    <x v="13"/>
    <x v="2"/>
    <x v="2"/>
    <x v="15"/>
  </r>
  <r>
    <x v="1"/>
    <x v="326"/>
    <n v="1"/>
    <x v="5"/>
    <x v="0"/>
    <x v="240"/>
    <x v="241"/>
    <x v="240"/>
    <x v="4"/>
    <x v="2"/>
    <x v="2"/>
    <x v="15"/>
  </r>
  <r>
    <x v="1"/>
    <x v="327"/>
    <n v="2"/>
    <x v="5"/>
    <x v="0"/>
    <x v="241"/>
    <x v="242"/>
    <x v="240"/>
    <x v="4"/>
    <x v="2"/>
    <x v="2"/>
    <x v="15"/>
  </r>
  <r>
    <x v="1"/>
    <x v="328"/>
    <n v="2"/>
    <x v="5"/>
    <x v="0"/>
    <x v="242"/>
    <x v="243"/>
    <x v="241"/>
    <x v="11"/>
    <x v="1"/>
    <x v="0"/>
    <x v="0"/>
  </r>
  <r>
    <x v="1"/>
    <x v="329"/>
    <n v="1"/>
    <x v="5"/>
    <x v="0"/>
    <x v="243"/>
    <x v="244"/>
    <x v="242"/>
    <x v="11"/>
    <x v="1"/>
    <x v="0"/>
    <x v="0"/>
  </r>
  <r>
    <x v="1"/>
    <x v="330"/>
    <n v="1"/>
    <x v="5"/>
    <x v="32"/>
    <x v="244"/>
    <x v="245"/>
    <x v="243"/>
    <x v="0"/>
    <x v="0"/>
    <x v="0"/>
    <x v="0"/>
  </r>
  <r>
    <x v="1"/>
    <x v="331"/>
    <n v="1"/>
    <x v="5"/>
    <x v="32"/>
    <x v="245"/>
    <x v="246"/>
    <x v="244"/>
    <x v="8"/>
    <x v="2"/>
    <x v="2"/>
    <x v="15"/>
  </r>
  <r>
    <x v="1"/>
    <x v="332"/>
    <n v="1"/>
    <x v="5"/>
    <x v="32"/>
    <x v="246"/>
    <x v="247"/>
    <x v="245"/>
    <x v="1"/>
    <x v="1"/>
    <x v="0"/>
    <x v="0"/>
  </r>
  <r>
    <x v="1"/>
    <x v="333"/>
    <n v="1"/>
    <x v="5"/>
    <x v="32"/>
    <x v="247"/>
    <x v="248"/>
    <x v="246"/>
    <x v="1"/>
    <x v="1"/>
    <x v="0"/>
    <x v="0"/>
  </r>
  <r>
    <x v="1"/>
    <x v="334"/>
    <n v="4"/>
    <x v="5"/>
    <x v="32"/>
    <x v="248"/>
    <x v="249"/>
    <x v="247"/>
    <x v="7"/>
    <x v="2"/>
    <x v="1"/>
    <x v="22"/>
  </r>
  <r>
    <x v="1"/>
    <x v="335"/>
    <n v="4"/>
    <x v="5"/>
    <x v="0"/>
    <x v="249"/>
    <x v="250"/>
    <x v="248"/>
    <x v="4"/>
    <x v="2"/>
    <x v="1"/>
    <x v="6"/>
  </r>
  <r>
    <x v="1"/>
    <x v="336"/>
    <n v="4"/>
    <x v="5"/>
    <x v="0"/>
    <x v="227"/>
    <x v="228"/>
    <x v="227"/>
    <x v="7"/>
    <x v="2"/>
    <x v="1"/>
    <x v="7"/>
  </r>
  <r>
    <x v="1"/>
    <x v="337"/>
    <n v="1"/>
    <x v="5"/>
    <x v="33"/>
    <x v="250"/>
    <x v="251"/>
    <x v="249"/>
    <x v="0"/>
    <x v="0"/>
    <x v="0"/>
    <x v="0"/>
  </r>
  <r>
    <x v="1"/>
    <x v="338"/>
    <n v="1"/>
    <x v="5"/>
    <x v="33"/>
    <x v="251"/>
    <x v="252"/>
    <x v="250"/>
    <x v="15"/>
    <x v="1"/>
    <x v="0"/>
    <x v="0"/>
  </r>
  <r>
    <x v="1"/>
    <x v="339"/>
    <n v="1"/>
    <x v="5"/>
    <x v="33"/>
    <x v="252"/>
    <x v="253"/>
    <x v="251"/>
    <x v="0"/>
    <x v="2"/>
    <x v="2"/>
    <x v="23"/>
  </r>
  <r>
    <x v="1"/>
    <x v="340"/>
    <n v="1"/>
    <x v="5"/>
    <x v="33"/>
    <x v="253"/>
    <x v="254"/>
    <x v="252"/>
    <x v="7"/>
    <x v="2"/>
    <x v="1"/>
    <x v="22"/>
  </r>
  <r>
    <x v="1"/>
    <x v="341"/>
    <n v="3"/>
    <x v="5"/>
    <x v="33"/>
    <x v="254"/>
    <x v="255"/>
    <x v="253"/>
    <x v="7"/>
    <x v="2"/>
    <x v="1"/>
    <x v="6"/>
  </r>
  <r>
    <x v="1"/>
    <x v="342"/>
    <n v="1"/>
    <x v="5"/>
    <x v="33"/>
    <x v="255"/>
    <x v="256"/>
    <x v="254"/>
    <x v="0"/>
    <x v="2"/>
    <x v="1"/>
    <x v="5"/>
  </r>
  <r>
    <x v="1"/>
    <x v="343"/>
    <n v="8"/>
    <x v="5"/>
    <x v="0"/>
    <x v="256"/>
    <x v="257"/>
    <x v="255"/>
    <x v="4"/>
    <x v="2"/>
    <x v="1"/>
    <x v="24"/>
  </r>
  <r>
    <x v="1"/>
    <x v="344"/>
    <n v="12"/>
    <x v="5"/>
    <x v="0"/>
    <x v="257"/>
    <x v="258"/>
    <x v="256"/>
    <x v="0"/>
    <x v="2"/>
    <x v="1"/>
    <x v="5"/>
  </r>
  <r>
    <x v="1"/>
    <x v="345"/>
    <n v="1"/>
    <x v="5"/>
    <x v="33"/>
    <x v="258"/>
    <x v="259"/>
    <x v="249"/>
    <x v="0"/>
    <x v="0"/>
    <x v="0"/>
    <x v="0"/>
  </r>
  <r>
    <x v="1"/>
    <x v="346"/>
    <n v="1"/>
    <x v="5"/>
    <x v="33"/>
    <x v="251"/>
    <x v="260"/>
    <x v="250"/>
    <x v="15"/>
    <x v="1"/>
    <x v="0"/>
    <x v="0"/>
  </r>
  <r>
    <x v="1"/>
    <x v="347"/>
    <n v="1"/>
    <x v="5"/>
    <x v="33"/>
    <x v="252"/>
    <x v="253"/>
    <x v="251"/>
    <x v="0"/>
    <x v="2"/>
    <x v="2"/>
    <x v="23"/>
  </r>
  <r>
    <x v="1"/>
    <x v="348"/>
    <n v="1"/>
    <x v="5"/>
    <x v="33"/>
    <x v="253"/>
    <x v="254"/>
    <x v="252"/>
    <x v="7"/>
    <x v="2"/>
    <x v="1"/>
    <x v="22"/>
  </r>
  <r>
    <x v="1"/>
    <x v="349"/>
    <n v="3"/>
    <x v="5"/>
    <x v="33"/>
    <x v="254"/>
    <x v="255"/>
    <x v="253"/>
    <x v="7"/>
    <x v="2"/>
    <x v="1"/>
    <x v="6"/>
  </r>
  <r>
    <x v="1"/>
    <x v="350"/>
    <n v="1"/>
    <x v="5"/>
    <x v="33"/>
    <x v="255"/>
    <x v="256"/>
    <x v="254"/>
    <x v="0"/>
    <x v="2"/>
    <x v="1"/>
    <x v="5"/>
  </r>
  <r>
    <x v="1"/>
    <x v="351"/>
    <n v="4"/>
    <x v="5"/>
    <x v="0"/>
    <x v="259"/>
    <x v="261"/>
    <x v="257"/>
    <x v="4"/>
    <x v="2"/>
    <x v="1"/>
    <x v="24"/>
  </r>
  <r>
    <x v="1"/>
    <x v="352"/>
    <n v="8"/>
    <x v="5"/>
    <x v="0"/>
    <x v="260"/>
    <x v="262"/>
    <x v="258"/>
    <x v="4"/>
    <x v="2"/>
    <x v="1"/>
    <x v="6"/>
  </r>
  <r>
    <x v="1"/>
    <x v="353"/>
    <n v="8"/>
    <x v="1"/>
    <x v="0"/>
    <x v="62"/>
    <x v="62"/>
    <x v="62"/>
    <x v="4"/>
    <x v="2"/>
    <x v="1"/>
    <x v="3"/>
  </r>
  <r>
    <x v="1"/>
    <x v="354"/>
    <n v="1"/>
    <x v="1"/>
    <x v="34"/>
    <x v="261"/>
    <x v="263"/>
    <x v="259"/>
    <x v="0"/>
    <x v="3"/>
    <x v="0"/>
    <x v="0"/>
  </r>
  <r>
    <x v="1"/>
    <x v="355"/>
    <n v="1"/>
    <x v="1"/>
    <x v="34"/>
    <x v="262"/>
    <x v="264"/>
    <x v="260"/>
    <x v="9"/>
    <x v="3"/>
    <x v="0"/>
    <x v="0"/>
  </r>
  <r>
    <x v="1"/>
    <x v="356"/>
    <n v="1"/>
    <x v="1"/>
    <x v="34"/>
    <x v="263"/>
    <x v="265"/>
    <x v="261"/>
    <x v="8"/>
    <x v="2"/>
    <x v="10"/>
    <x v="25"/>
  </r>
  <r>
    <x v="1"/>
    <x v="357"/>
    <n v="1"/>
    <x v="1"/>
    <x v="34"/>
    <x v="264"/>
    <x v="266"/>
    <x v="262"/>
    <x v="8"/>
    <x v="2"/>
    <x v="10"/>
    <x v="25"/>
  </r>
  <r>
    <x v="1"/>
    <x v="358"/>
    <n v="2"/>
    <x v="1"/>
    <x v="34"/>
    <x v="265"/>
    <x v="267"/>
    <x v="263"/>
    <x v="8"/>
    <x v="2"/>
    <x v="10"/>
    <x v="25"/>
  </r>
  <r>
    <x v="1"/>
    <x v="359"/>
    <n v="1"/>
    <x v="1"/>
    <x v="34"/>
    <x v="266"/>
    <x v="268"/>
    <x v="264"/>
    <x v="8"/>
    <x v="2"/>
    <x v="10"/>
    <x v="25"/>
  </r>
  <r>
    <x v="1"/>
    <x v="360"/>
    <n v="2"/>
    <x v="1"/>
    <x v="34"/>
    <x v="231"/>
    <x v="232"/>
    <x v="231"/>
    <x v="4"/>
    <x v="2"/>
    <x v="1"/>
    <x v="5"/>
  </r>
  <r>
    <x v="1"/>
    <x v="361"/>
    <n v="2"/>
    <x v="1"/>
    <x v="34"/>
    <x v="267"/>
    <x v="269"/>
    <x v="265"/>
    <x v="4"/>
    <x v="2"/>
    <x v="1"/>
    <x v="3"/>
  </r>
  <r>
    <x v="1"/>
    <x v="362"/>
    <n v="1"/>
    <x v="1"/>
    <x v="34"/>
    <x v="268"/>
    <x v="270"/>
    <x v="266"/>
    <x v="13"/>
    <x v="2"/>
    <x v="2"/>
    <x v="26"/>
  </r>
  <r>
    <x v="1"/>
    <x v="363"/>
    <n v="1"/>
    <x v="1"/>
    <x v="35"/>
    <x v="269"/>
    <x v="271"/>
    <x v="267"/>
    <x v="0"/>
    <x v="3"/>
    <x v="0"/>
    <x v="0"/>
  </r>
  <r>
    <x v="1"/>
    <x v="364"/>
    <n v="1"/>
    <x v="1"/>
    <x v="35"/>
    <x v="262"/>
    <x v="264"/>
    <x v="260"/>
    <x v="9"/>
    <x v="3"/>
    <x v="0"/>
    <x v="0"/>
  </r>
  <r>
    <x v="1"/>
    <x v="365"/>
    <n v="1"/>
    <x v="1"/>
    <x v="35"/>
    <x v="263"/>
    <x v="265"/>
    <x v="261"/>
    <x v="8"/>
    <x v="2"/>
    <x v="10"/>
    <x v="25"/>
  </r>
  <r>
    <x v="1"/>
    <x v="366"/>
    <n v="1"/>
    <x v="1"/>
    <x v="35"/>
    <x v="264"/>
    <x v="266"/>
    <x v="262"/>
    <x v="8"/>
    <x v="2"/>
    <x v="10"/>
    <x v="25"/>
  </r>
  <r>
    <x v="1"/>
    <x v="367"/>
    <n v="2"/>
    <x v="1"/>
    <x v="35"/>
    <x v="265"/>
    <x v="267"/>
    <x v="263"/>
    <x v="8"/>
    <x v="2"/>
    <x v="10"/>
    <x v="25"/>
  </r>
  <r>
    <x v="1"/>
    <x v="368"/>
    <n v="1"/>
    <x v="1"/>
    <x v="35"/>
    <x v="270"/>
    <x v="272"/>
    <x v="268"/>
    <x v="8"/>
    <x v="2"/>
    <x v="2"/>
    <x v="26"/>
  </r>
  <r>
    <x v="1"/>
    <x v="369"/>
    <n v="8"/>
    <x v="1"/>
    <x v="0"/>
    <x v="59"/>
    <x v="59"/>
    <x v="59"/>
    <x v="4"/>
    <x v="2"/>
    <x v="1"/>
    <x v="7"/>
  </r>
  <r>
    <x v="1"/>
    <x v="370"/>
    <n v="2"/>
    <x v="1"/>
    <x v="0"/>
    <x v="271"/>
    <x v="273"/>
    <x v="269"/>
    <x v="8"/>
    <x v="2"/>
    <x v="2"/>
    <x v="15"/>
  </r>
  <r>
    <x v="1"/>
    <x v="371"/>
    <n v="1"/>
    <x v="1"/>
    <x v="36"/>
    <x v="272"/>
    <x v="274"/>
    <x v="270"/>
    <x v="8"/>
    <x v="4"/>
    <x v="7"/>
    <x v="18"/>
  </r>
  <r>
    <x v="1"/>
    <x v="372"/>
    <n v="1"/>
    <x v="1"/>
    <x v="36"/>
    <x v="273"/>
    <x v="275"/>
    <x v="271"/>
    <x v="8"/>
    <x v="5"/>
    <x v="7"/>
    <x v="18"/>
  </r>
  <r>
    <x v="1"/>
    <x v="373"/>
    <n v="1"/>
    <x v="1"/>
    <x v="36"/>
    <x v="129"/>
    <x v="130"/>
    <x v="129"/>
    <x v="8"/>
    <x v="2"/>
    <x v="5"/>
    <x v="16"/>
  </r>
  <r>
    <x v="1"/>
    <x v="374"/>
    <n v="3"/>
    <x v="1"/>
    <x v="0"/>
    <x v="274"/>
    <x v="276"/>
    <x v="272"/>
    <x v="8"/>
    <x v="2"/>
    <x v="2"/>
    <x v="27"/>
  </r>
  <r>
    <x v="1"/>
    <x v="375"/>
    <n v="1"/>
    <x v="1"/>
    <x v="0"/>
    <x v="275"/>
    <x v="277"/>
    <x v="273"/>
    <x v="8"/>
    <x v="2"/>
    <x v="2"/>
    <x v="15"/>
  </r>
  <r>
    <x v="1"/>
    <x v="376"/>
    <n v="1"/>
    <x v="1"/>
    <x v="0"/>
    <x v="272"/>
    <x v="278"/>
    <x v="274"/>
    <x v="8"/>
    <x v="5"/>
    <x v="7"/>
    <x v="18"/>
  </r>
  <r>
    <x v="1"/>
    <x v="377"/>
    <n v="1"/>
    <x v="1"/>
    <x v="37"/>
    <x v="276"/>
    <x v="279"/>
    <x v="275"/>
    <x v="0"/>
    <x v="3"/>
    <x v="0"/>
    <x v="0"/>
  </r>
  <r>
    <x v="1"/>
    <x v="378"/>
    <n v="1"/>
    <x v="1"/>
    <x v="37"/>
    <x v="277"/>
    <x v="280"/>
    <x v="276"/>
    <x v="9"/>
    <x v="3"/>
    <x v="0"/>
    <x v="0"/>
  </r>
  <r>
    <x v="1"/>
    <x v="379"/>
    <n v="2"/>
    <x v="1"/>
    <x v="37"/>
    <x v="265"/>
    <x v="267"/>
    <x v="263"/>
    <x v="8"/>
    <x v="2"/>
    <x v="10"/>
    <x v="25"/>
  </r>
  <r>
    <x v="1"/>
    <x v="380"/>
    <n v="1"/>
    <x v="1"/>
    <x v="37"/>
    <x v="264"/>
    <x v="266"/>
    <x v="262"/>
    <x v="8"/>
    <x v="2"/>
    <x v="10"/>
    <x v="25"/>
  </r>
  <r>
    <x v="1"/>
    <x v="381"/>
    <n v="1"/>
    <x v="1"/>
    <x v="37"/>
    <x v="278"/>
    <x v="281"/>
    <x v="277"/>
    <x v="13"/>
    <x v="2"/>
    <x v="2"/>
    <x v="26"/>
  </r>
  <r>
    <x v="1"/>
    <x v="382"/>
    <n v="1"/>
    <x v="1"/>
    <x v="38"/>
    <x v="279"/>
    <x v="282"/>
    <x v="278"/>
    <x v="0"/>
    <x v="3"/>
    <x v="0"/>
    <x v="0"/>
  </r>
  <r>
    <x v="1"/>
    <x v="383"/>
    <n v="1"/>
    <x v="1"/>
    <x v="38"/>
    <x v="280"/>
    <x v="283"/>
    <x v="279"/>
    <x v="9"/>
    <x v="3"/>
    <x v="0"/>
    <x v="0"/>
  </r>
  <r>
    <x v="1"/>
    <x v="384"/>
    <n v="3"/>
    <x v="1"/>
    <x v="38"/>
    <x v="281"/>
    <x v="284"/>
    <x v="280"/>
    <x v="8"/>
    <x v="2"/>
    <x v="2"/>
    <x v="15"/>
  </r>
  <r>
    <x v="1"/>
    <x v="385"/>
    <n v="4"/>
    <x v="1"/>
    <x v="38"/>
    <x v="282"/>
    <x v="285"/>
    <x v="281"/>
    <x v="14"/>
    <x v="2"/>
    <x v="10"/>
    <x v="25"/>
  </r>
  <r>
    <x v="1"/>
    <x v="386"/>
    <n v="1"/>
    <x v="1"/>
    <x v="39"/>
    <x v="283"/>
    <x v="286"/>
    <x v="282"/>
    <x v="8"/>
    <x v="4"/>
    <x v="7"/>
    <x v="18"/>
  </r>
  <r>
    <x v="1"/>
    <x v="387"/>
    <n v="1"/>
    <x v="1"/>
    <x v="39"/>
    <x v="284"/>
    <x v="287"/>
    <x v="283"/>
    <x v="8"/>
    <x v="5"/>
    <x v="7"/>
    <x v="18"/>
  </r>
  <r>
    <x v="1"/>
    <x v="388"/>
    <n v="1"/>
    <x v="1"/>
    <x v="39"/>
    <x v="153"/>
    <x v="154"/>
    <x v="153"/>
    <x v="8"/>
    <x v="2"/>
    <x v="5"/>
    <x v="16"/>
  </r>
  <r>
    <x v="1"/>
    <x v="389"/>
    <n v="1"/>
    <x v="1"/>
    <x v="40"/>
    <x v="285"/>
    <x v="288"/>
    <x v="284"/>
    <x v="0"/>
    <x v="3"/>
    <x v="0"/>
    <x v="0"/>
  </r>
  <r>
    <x v="1"/>
    <x v="390"/>
    <n v="1"/>
    <x v="1"/>
    <x v="40"/>
    <x v="286"/>
    <x v="289"/>
    <x v="285"/>
    <x v="9"/>
    <x v="3"/>
    <x v="0"/>
    <x v="0"/>
  </r>
  <r>
    <x v="1"/>
    <x v="391"/>
    <n v="1"/>
    <x v="1"/>
    <x v="40"/>
    <x v="287"/>
    <x v="290"/>
    <x v="286"/>
    <x v="8"/>
    <x v="2"/>
    <x v="2"/>
    <x v="15"/>
  </r>
  <r>
    <x v="1"/>
    <x v="392"/>
    <n v="1"/>
    <x v="1"/>
    <x v="40"/>
    <x v="264"/>
    <x v="266"/>
    <x v="262"/>
    <x v="8"/>
    <x v="2"/>
    <x v="10"/>
    <x v="25"/>
  </r>
  <r>
    <x v="1"/>
    <x v="393"/>
    <n v="1"/>
    <x v="1"/>
    <x v="40"/>
    <x v="288"/>
    <x v="291"/>
    <x v="287"/>
    <x v="0"/>
    <x v="2"/>
    <x v="2"/>
    <x v="26"/>
  </r>
  <r>
    <x v="1"/>
    <x v="394"/>
    <n v="1"/>
    <x v="1"/>
    <x v="0"/>
    <x v="289"/>
    <x v="292"/>
    <x v="288"/>
    <x v="1"/>
    <x v="1"/>
    <x v="0"/>
    <x v="0"/>
  </r>
  <r>
    <x v="1"/>
    <x v="395"/>
    <n v="1"/>
    <x v="1"/>
    <x v="0"/>
    <x v="290"/>
    <x v="293"/>
    <x v="289"/>
    <x v="1"/>
    <x v="1"/>
    <x v="0"/>
    <x v="0"/>
  </r>
  <r>
    <x v="1"/>
    <x v="396"/>
    <n v="2"/>
    <x v="1"/>
    <x v="0"/>
    <x v="291"/>
    <x v="294"/>
    <x v="290"/>
    <x v="7"/>
    <x v="2"/>
    <x v="1"/>
    <x v="7"/>
  </r>
  <r>
    <x v="1"/>
    <x v="397"/>
    <n v="12"/>
    <x v="1"/>
    <x v="0"/>
    <x v="148"/>
    <x v="149"/>
    <x v="148"/>
    <x v="11"/>
    <x v="2"/>
    <x v="1"/>
    <x v="9"/>
  </r>
  <r>
    <x v="1"/>
    <x v="398"/>
    <n v="12"/>
    <x v="1"/>
    <x v="0"/>
    <x v="116"/>
    <x v="117"/>
    <x v="116"/>
    <x v="6"/>
    <x v="2"/>
    <x v="1"/>
    <x v="7"/>
  </r>
  <r>
    <x v="1"/>
    <x v="399"/>
    <n v="6"/>
    <x v="1"/>
    <x v="0"/>
    <x v="142"/>
    <x v="143"/>
    <x v="142"/>
    <x v="7"/>
    <x v="2"/>
    <x v="1"/>
    <x v="7"/>
  </r>
  <r>
    <x v="1"/>
    <x v="400"/>
    <n v="1"/>
    <x v="1"/>
    <x v="0"/>
    <x v="292"/>
    <x v="295"/>
    <x v="291"/>
    <x v="1"/>
    <x v="1"/>
    <x v="0"/>
    <x v="0"/>
  </r>
  <r>
    <x v="1"/>
    <x v="401"/>
    <n v="6"/>
    <x v="1"/>
    <x v="0"/>
    <x v="293"/>
    <x v="296"/>
    <x v="292"/>
    <x v="4"/>
    <x v="2"/>
    <x v="1"/>
    <x v="3"/>
  </r>
  <r>
    <x v="1"/>
    <x v="402"/>
    <n v="1"/>
    <x v="1"/>
    <x v="0"/>
    <x v="294"/>
    <x v="297"/>
    <x v="293"/>
    <x v="1"/>
    <x v="1"/>
    <x v="0"/>
    <x v="0"/>
  </r>
  <r>
    <x v="1"/>
    <x v="403"/>
    <n v="2"/>
    <x v="1"/>
    <x v="0"/>
    <x v="295"/>
    <x v="298"/>
    <x v="294"/>
    <x v="1"/>
    <x v="1"/>
    <x v="0"/>
    <x v="0"/>
  </r>
  <r>
    <x v="1"/>
    <x v="404"/>
    <n v="12"/>
    <x v="1"/>
    <x v="0"/>
    <x v="296"/>
    <x v="299"/>
    <x v="295"/>
    <x v="7"/>
    <x v="2"/>
    <x v="1"/>
    <x v="7"/>
  </r>
  <r>
    <x v="1"/>
    <x v="405"/>
    <n v="2"/>
    <x v="1"/>
    <x v="0"/>
    <x v="297"/>
    <x v="300"/>
    <x v="296"/>
    <x v="4"/>
    <x v="2"/>
    <x v="1"/>
    <x v="3"/>
  </r>
  <r>
    <x v="1"/>
    <x v="406"/>
    <n v="1"/>
    <x v="6"/>
    <x v="0"/>
    <x v="298"/>
    <x v="301"/>
    <x v="297"/>
    <x v="0"/>
    <x v="0"/>
    <x v="0"/>
    <x v="0"/>
  </r>
  <r>
    <x v="1"/>
    <x v="407"/>
    <n v="1"/>
    <x v="6"/>
    <x v="0"/>
    <x v="299"/>
    <x v="302"/>
    <x v="298"/>
    <x v="1"/>
    <x v="1"/>
    <x v="0"/>
    <x v="0"/>
  </r>
  <r>
    <x v="1"/>
    <x v="408"/>
    <n v="1"/>
    <x v="6"/>
    <x v="0"/>
    <x v="300"/>
    <x v="303"/>
    <x v="299"/>
    <x v="1"/>
    <x v="1"/>
    <x v="0"/>
    <x v="0"/>
  </r>
  <r>
    <x v="1"/>
    <x v="409"/>
    <n v="1"/>
    <x v="6"/>
    <x v="41"/>
    <x v="301"/>
    <x v="304"/>
    <x v="300"/>
    <x v="0"/>
    <x v="0"/>
    <x v="0"/>
    <x v="0"/>
  </r>
  <r>
    <x v="1"/>
    <x v="410"/>
    <n v="1"/>
    <x v="6"/>
    <x v="41"/>
    <x v="302"/>
    <x v="305"/>
    <x v="301"/>
    <x v="1"/>
    <x v="1"/>
    <x v="0"/>
    <x v="0"/>
  </r>
  <r>
    <x v="1"/>
    <x v="411"/>
    <n v="1"/>
    <x v="6"/>
    <x v="41"/>
    <x v="303"/>
    <x v="306"/>
    <x v="302"/>
    <x v="1"/>
    <x v="1"/>
    <x v="0"/>
    <x v="0"/>
  </r>
  <r>
    <x v="1"/>
    <x v="412"/>
    <n v="1"/>
    <x v="6"/>
    <x v="41"/>
    <x v="304"/>
    <x v="307"/>
    <x v="303"/>
    <x v="10"/>
    <x v="1"/>
    <x v="0"/>
    <x v="0"/>
  </r>
  <r>
    <x v="1"/>
    <x v="413"/>
    <n v="1"/>
    <x v="6"/>
    <x v="41"/>
    <x v="305"/>
    <x v="308"/>
    <x v="304"/>
    <x v="9"/>
    <x v="1"/>
    <x v="0"/>
    <x v="0"/>
  </r>
  <r>
    <x v="1"/>
    <x v="414"/>
    <n v="1"/>
    <x v="6"/>
    <x v="41"/>
    <x v="306"/>
    <x v="309"/>
    <x v="305"/>
    <x v="1"/>
    <x v="1"/>
    <x v="0"/>
    <x v="0"/>
  </r>
  <r>
    <x v="1"/>
    <x v="415"/>
    <n v="18"/>
    <x v="6"/>
    <x v="41"/>
    <x v="307"/>
    <x v="310"/>
    <x v="306"/>
    <x v="1"/>
    <x v="1"/>
    <x v="0"/>
    <x v="0"/>
  </r>
  <r>
    <x v="1"/>
    <x v="416"/>
    <n v="4"/>
    <x v="6"/>
    <x v="41"/>
    <x v="308"/>
    <x v="311"/>
    <x v="307"/>
    <x v="1"/>
    <x v="1"/>
    <x v="0"/>
    <x v="0"/>
  </r>
  <r>
    <x v="1"/>
    <x v="417"/>
    <n v="1"/>
    <x v="6"/>
    <x v="41"/>
    <x v="309"/>
    <x v="312"/>
    <x v="308"/>
    <x v="1"/>
    <x v="1"/>
    <x v="0"/>
    <x v="0"/>
  </r>
  <r>
    <x v="1"/>
    <x v="418"/>
    <n v="20"/>
    <x v="6"/>
    <x v="41"/>
    <x v="310"/>
    <x v="313"/>
    <x v="309"/>
    <x v="12"/>
    <x v="1"/>
    <x v="0"/>
    <x v="0"/>
  </r>
  <r>
    <x v="1"/>
    <x v="419"/>
    <n v="20"/>
    <x v="6"/>
    <x v="41"/>
    <x v="311"/>
    <x v="314"/>
    <x v="310"/>
    <x v="12"/>
    <x v="1"/>
    <x v="0"/>
    <x v="0"/>
  </r>
  <r>
    <x v="1"/>
    <x v="420"/>
    <n v="4"/>
    <x v="6"/>
    <x v="41"/>
    <x v="312"/>
    <x v="315"/>
    <x v="311"/>
    <x v="12"/>
    <x v="1"/>
    <x v="0"/>
    <x v="0"/>
  </r>
  <r>
    <x v="1"/>
    <x v="421"/>
    <n v="8"/>
    <x v="6"/>
    <x v="41"/>
    <x v="313"/>
    <x v="316"/>
    <x v="312"/>
    <x v="12"/>
    <x v="1"/>
    <x v="0"/>
    <x v="0"/>
  </r>
  <r>
    <x v="1"/>
    <x v="422"/>
    <n v="1"/>
    <x v="6"/>
    <x v="41"/>
    <x v="314"/>
    <x v="317"/>
    <x v="313"/>
    <x v="9"/>
    <x v="1"/>
    <x v="0"/>
    <x v="0"/>
  </r>
  <r>
    <x v="1"/>
    <x v="423"/>
    <n v="1"/>
    <x v="6"/>
    <x v="41"/>
    <x v="315"/>
    <x v="318"/>
    <x v="314"/>
    <x v="9"/>
    <x v="1"/>
    <x v="0"/>
    <x v="0"/>
  </r>
  <r>
    <x v="1"/>
    <x v="424"/>
    <n v="1"/>
    <x v="6"/>
    <x v="41"/>
    <x v="316"/>
    <x v="319"/>
    <x v="315"/>
    <x v="9"/>
    <x v="1"/>
    <x v="0"/>
    <x v="0"/>
  </r>
  <r>
    <x v="1"/>
    <x v="425"/>
    <n v="1"/>
    <x v="6"/>
    <x v="41"/>
    <x v="317"/>
    <x v="320"/>
    <x v="316"/>
    <x v="9"/>
    <x v="1"/>
    <x v="0"/>
    <x v="0"/>
  </r>
  <r>
    <x v="1"/>
    <x v="426"/>
    <n v="1"/>
    <x v="6"/>
    <x v="41"/>
    <x v="318"/>
    <x v="321"/>
    <x v="317"/>
    <x v="9"/>
    <x v="1"/>
    <x v="0"/>
    <x v="0"/>
  </r>
  <r>
    <x v="1"/>
    <x v="427"/>
    <n v="1"/>
    <x v="6"/>
    <x v="41"/>
    <x v="319"/>
    <x v="322"/>
    <x v="318"/>
    <x v="9"/>
    <x v="1"/>
    <x v="0"/>
    <x v="0"/>
  </r>
  <r>
    <x v="1"/>
    <x v="428"/>
    <n v="1"/>
    <x v="6"/>
    <x v="41"/>
    <x v="320"/>
    <x v="323"/>
    <x v="319"/>
    <x v="9"/>
    <x v="1"/>
    <x v="0"/>
    <x v="0"/>
  </r>
  <r>
    <x v="1"/>
    <x v="429"/>
    <n v="1"/>
    <x v="6"/>
    <x v="41"/>
    <x v="137"/>
    <x v="324"/>
    <x v="320"/>
    <x v="8"/>
    <x v="2"/>
    <x v="2"/>
    <x v="17"/>
  </r>
  <r>
    <x v="1"/>
    <x v="430"/>
    <n v="1"/>
    <x v="6"/>
    <x v="41"/>
    <x v="321"/>
    <x v="325"/>
    <x v="145"/>
    <x v="8"/>
    <x v="2"/>
    <x v="2"/>
    <x v="14"/>
  </r>
  <r>
    <x v="1"/>
    <x v="431"/>
    <n v="1"/>
    <x v="6"/>
    <x v="41"/>
    <x v="137"/>
    <x v="138"/>
    <x v="137"/>
    <x v="8"/>
    <x v="2"/>
    <x v="2"/>
    <x v="17"/>
  </r>
  <r>
    <x v="1"/>
    <x v="432"/>
    <n v="1"/>
    <x v="6"/>
    <x v="41"/>
    <x v="322"/>
    <x v="326"/>
    <x v="321"/>
    <x v="1"/>
    <x v="1"/>
    <x v="0"/>
    <x v="0"/>
  </r>
  <r>
    <x v="1"/>
    <x v="433"/>
    <n v="1"/>
    <x v="6"/>
    <x v="41"/>
    <x v="323"/>
    <x v="327"/>
    <x v="322"/>
    <x v="16"/>
    <x v="2"/>
    <x v="2"/>
    <x v="15"/>
  </r>
  <r>
    <x v="1"/>
    <x v="434"/>
    <n v="1"/>
    <x v="6"/>
    <x v="41"/>
    <x v="324"/>
    <x v="328"/>
    <x v="323"/>
    <x v="1"/>
    <x v="1"/>
    <x v="0"/>
    <x v="0"/>
  </r>
  <r>
    <x v="1"/>
    <x v="435"/>
    <n v="1"/>
    <x v="6"/>
    <x v="41"/>
    <x v="325"/>
    <x v="329"/>
    <x v="324"/>
    <x v="8"/>
    <x v="2"/>
    <x v="4"/>
    <x v="13"/>
  </r>
  <r>
    <x v="1"/>
    <x v="436"/>
    <n v="2"/>
    <x v="6"/>
    <x v="41"/>
    <x v="326"/>
    <x v="330"/>
    <x v="325"/>
    <x v="8"/>
    <x v="2"/>
    <x v="3"/>
    <x v="12"/>
  </r>
  <r>
    <x v="1"/>
    <x v="437"/>
    <n v="4"/>
    <x v="6"/>
    <x v="41"/>
    <x v="181"/>
    <x v="182"/>
    <x v="181"/>
    <x v="8"/>
    <x v="2"/>
    <x v="1"/>
    <x v="5"/>
  </r>
  <r>
    <x v="1"/>
    <x v="438"/>
    <n v="2"/>
    <x v="6"/>
    <x v="41"/>
    <x v="180"/>
    <x v="181"/>
    <x v="180"/>
    <x v="8"/>
    <x v="2"/>
    <x v="1"/>
    <x v="6"/>
  </r>
  <r>
    <x v="1"/>
    <x v="439"/>
    <n v="2"/>
    <x v="6"/>
    <x v="41"/>
    <x v="179"/>
    <x v="180"/>
    <x v="179"/>
    <x v="8"/>
    <x v="2"/>
    <x v="9"/>
    <x v="19"/>
  </r>
  <r>
    <x v="1"/>
    <x v="440"/>
    <n v="6"/>
    <x v="6"/>
    <x v="41"/>
    <x v="67"/>
    <x v="67"/>
    <x v="67"/>
    <x v="6"/>
    <x v="2"/>
    <x v="1"/>
    <x v="4"/>
  </r>
  <r>
    <x v="1"/>
    <x v="441"/>
    <n v="2"/>
    <x v="6"/>
    <x v="41"/>
    <x v="147"/>
    <x v="148"/>
    <x v="147"/>
    <x v="4"/>
    <x v="2"/>
    <x v="1"/>
    <x v="3"/>
  </r>
  <r>
    <x v="1"/>
    <x v="442"/>
    <n v="2"/>
    <x v="6"/>
    <x v="41"/>
    <x v="142"/>
    <x v="143"/>
    <x v="142"/>
    <x v="7"/>
    <x v="2"/>
    <x v="1"/>
    <x v="7"/>
  </r>
  <r>
    <x v="1"/>
    <x v="443"/>
    <n v="2"/>
    <x v="6"/>
    <x v="41"/>
    <x v="141"/>
    <x v="142"/>
    <x v="141"/>
    <x v="7"/>
    <x v="2"/>
    <x v="1"/>
    <x v="7"/>
  </r>
  <r>
    <x v="1"/>
    <x v="444"/>
    <n v="6"/>
    <x v="6"/>
    <x v="41"/>
    <x v="110"/>
    <x v="111"/>
    <x v="110"/>
    <x v="6"/>
    <x v="2"/>
    <x v="1"/>
    <x v="4"/>
  </r>
  <r>
    <x v="1"/>
    <x v="445"/>
    <n v="4"/>
    <x v="6"/>
    <x v="41"/>
    <x v="327"/>
    <x v="331"/>
    <x v="326"/>
    <x v="4"/>
    <x v="2"/>
    <x v="1"/>
    <x v="22"/>
  </r>
  <r>
    <x v="1"/>
    <x v="446"/>
    <n v="2"/>
    <x v="6"/>
    <x v="41"/>
    <x v="328"/>
    <x v="332"/>
    <x v="327"/>
    <x v="4"/>
    <x v="2"/>
    <x v="1"/>
    <x v="22"/>
  </r>
  <r>
    <x v="1"/>
    <x v="447"/>
    <n v="5"/>
    <x v="6"/>
    <x v="41"/>
    <x v="55"/>
    <x v="55"/>
    <x v="55"/>
    <x v="6"/>
    <x v="2"/>
    <x v="1"/>
    <x v="4"/>
  </r>
  <r>
    <x v="1"/>
    <x v="448"/>
    <n v="1"/>
    <x v="6"/>
    <x v="42"/>
    <x v="329"/>
    <x v="333"/>
    <x v="328"/>
    <x v="8"/>
    <x v="3"/>
    <x v="0"/>
    <x v="0"/>
  </r>
  <r>
    <x v="1"/>
    <x v="449"/>
    <n v="1"/>
    <x v="6"/>
    <x v="42"/>
    <x v="330"/>
    <x v="334"/>
    <x v="329"/>
    <x v="8"/>
    <x v="3"/>
    <x v="0"/>
    <x v="0"/>
  </r>
  <r>
    <x v="1"/>
    <x v="450"/>
    <n v="1"/>
    <x v="6"/>
    <x v="42"/>
    <x v="153"/>
    <x v="154"/>
    <x v="153"/>
    <x v="8"/>
    <x v="2"/>
    <x v="5"/>
    <x v="16"/>
  </r>
  <r>
    <x v="1"/>
    <x v="451"/>
    <n v="1"/>
    <x v="6"/>
    <x v="43"/>
    <x v="331"/>
    <x v="335"/>
    <x v="330"/>
    <x v="0"/>
    <x v="3"/>
    <x v="0"/>
    <x v="0"/>
  </r>
  <r>
    <x v="1"/>
    <x v="452"/>
    <n v="1"/>
    <x v="6"/>
    <x v="43"/>
    <x v="94"/>
    <x v="94"/>
    <x v="94"/>
    <x v="7"/>
    <x v="2"/>
    <x v="1"/>
    <x v="11"/>
  </r>
  <r>
    <x v="1"/>
    <x v="453"/>
    <n v="1"/>
    <x v="6"/>
    <x v="43"/>
    <x v="331"/>
    <x v="335"/>
    <x v="330"/>
    <x v="12"/>
    <x v="3"/>
    <x v="0"/>
    <x v="0"/>
  </r>
  <r>
    <x v="1"/>
    <x v="454"/>
    <n v="4"/>
    <x v="6"/>
    <x v="0"/>
    <x v="56"/>
    <x v="56"/>
    <x v="56"/>
    <x v="7"/>
    <x v="2"/>
    <x v="1"/>
    <x v="5"/>
  </r>
  <r>
    <x v="1"/>
    <x v="455"/>
    <n v="5"/>
    <x v="6"/>
    <x v="0"/>
    <x v="54"/>
    <x v="54"/>
    <x v="54"/>
    <x v="4"/>
    <x v="2"/>
    <x v="1"/>
    <x v="3"/>
  </r>
  <r>
    <x v="1"/>
    <x v="456"/>
    <n v="4"/>
    <x v="6"/>
    <x v="0"/>
    <x v="256"/>
    <x v="257"/>
    <x v="255"/>
    <x v="4"/>
    <x v="2"/>
    <x v="1"/>
    <x v="24"/>
  </r>
  <r>
    <x v="1"/>
    <x v="457"/>
    <n v="8"/>
    <x v="6"/>
    <x v="0"/>
    <x v="260"/>
    <x v="262"/>
    <x v="258"/>
    <x v="4"/>
    <x v="2"/>
    <x v="1"/>
    <x v="6"/>
  </r>
  <r>
    <x v="1"/>
    <x v="458"/>
    <n v="4"/>
    <x v="6"/>
    <x v="0"/>
    <x v="332"/>
    <x v="336"/>
    <x v="331"/>
    <x v="4"/>
    <x v="2"/>
    <x v="1"/>
    <x v="5"/>
  </r>
  <r>
    <x v="1"/>
    <x v="459"/>
    <n v="1"/>
    <x v="7"/>
    <x v="44"/>
    <x v="333"/>
    <x v="337"/>
    <x v="332"/>
    <x v="0"/>
    <x v="0"/>
    <x v="0"/>
    <x v="0"/>
  </r>
  <r>
    <x v="1"/>
    <x v="460"/>
    <n v="1"/>
    <x v="7"/>
    <x v="0"/>
    <x v="334"/>
    <x v="338"/>
    <x v="333"/>
    <x v="1"/>
    <x v="1"/>
    <x v="0"/>
    <x v="0"/>
  </r>
  <r>
    <x v="1"/>
    <x v="461"/>
    <n v="1"/>
    <x v="7"/>
    <x v="0"/>
    <x v="335"/>
    <x v="339"/>
    <x v="334"/>
    <x v="1"/>
    <x v="1"/>
    <x v="0"/>
    <x v="0"/>
  </r>
  <r>
    <x v="1"/>
    <x v="462"/>
    <n v="1"/>
    <x v="7"/>
    <x v="0"/>
    <x v="336"/>
    <x v="340"/>
    <x v="335"/>
    <x v="1"/>
    <x v="1"/>
    <x v="0"/>
    <x v="0"/>
  </r>
  <r>
    <x v="1"/>
    <x v="463"/>
    <n v="1"/>
    <x v="7"/>
    <x v="0"/>
    <x v="337"/>
    <x v="341"/>
    <x v="336"/>
    <x v="10"/>
    <x v="1"/>
    <x v="0"/>
    <x v="0"/>
  </r>
  <r>
    <x v="1"/>
    <x v="464"/>
    <n v="1"/>
    <x v="7"/>
    <x v="45"/>
    <x v="338"/>
    <x v="342"/>
    <x v="337"/>
    <x v="0"/>
    <x v="0"/>
    <x v="0"/>
    <x v="0"/>
  </r>
  <r>
    <x v="1"/>
    <x v="465"/>
    <n v="1"/>
    <x v="7"/>
    <x v="45"/>
    <x v="339"/>
    <x v="343"/>
    <x v="338"/>
    <x v="1"/>
    <x v="1"/>
    <x v="0"/>
    <x v="0"/>
  </r>
  <r>
    <x v="1"/>
    <x v="466"/>
    <n v="1"/>
    <x v="7"/>
    <x v="45"/>
    <x v="340"/>
    <x v="344"/>
    <x v="339"/>
    <x v="9"/>
    <x v="1"/>
    <x v="0"/>
    <x v="0"/>
  </r>
  <r>
    <x v="1"/>
    <x v="467"/>
    <n v="1"/>
    <x v="7"/>
    <x v="45"/>
    <x v="341"/>
    <x v="345"/>
    <x v="340"/>
    <x v="1"/>
    <x v="1"/>
    <x v="0"/>
    <x v="0"/>
  </r>
  <r>
    <x v="1"/>
    <x v="468"/>
    <n v="1"/>
    <x v="7"/>
    <x v="46"/>
    <x v="342"/>
    <x v="346"/>
    <x v="341"/>
    <x v="0"/>
    <x v="1"/>
    <x v="0"/>
    <x v="0"/>
  </r>
  <r>
    <x v="1"/>
    <x v="469"/>
    <n v="1"/>
    <x v="7"/>
    <x v="46"/>
    <x v="194"/>
    <x v="195"/>
    <x v="194"/>
    <x v="12"/>
    <x v="1"/>
    <x v="0"/>
    <x v="0"/>
  </r>
  <r>
    <x v="1"/>
    <x v="470"/>
    <n v="1"/>
    <x v="7"/>
    <x v="46"/>
    <x v="343"/>
    <x v="347"/>
    <x v="342"/>
    <x v="10"/>
    <x v="1"/>
    <x v="0"/>
    <x v="0"/>
  </r>
  <r>
    <x v="1"/>
    <x v="471"/>
    <n v="1"/>
    <x v="7"/>
    <x v="46"/>
    <x v="344"/>
    <x v="348"/>
    <x v="343"/>
    <x v="9"/>
    <x v="1"/>
    <x v="0"/>
    <x v="0"/>
  </r>
  <r>
    <x v="1"/>
    <x v="472"/>
    <n v="1"/>
    <x v="7"/>
    <x v="46"/>
    <x v="197"/>
    <x v="198"/>
    <x v="197"/>
    <x v="12"/>
    <x v="1"/>
    <x v="0"/>
    <x v="0"/>
  </r>
  <r>
    <x v="1"/>
    <x v="473"/>
    <n v="2"/>
    <x v="7"/>
    <x v="46"/>
    <x v="198"/>
    <x v="199"/>
    <x v="198"/>
    <x v="12"/>
    <x v="1"/>
    <x v="0"/>
    <x v="0"/>
  </r>
  <r>
    <x v="1"/>
    <x v="474"/>
    <n v="1"/>
    <x v="7"/>
    <x v="47"/>
    <x v="345"/>
    <x v="349"/>
    <x v="344"/>
    <x v="0"/>
    <x v="1"/>
    <x v="0"/>
    <x v="0"/>
  </r>
  <r>
    <x v="1"/>
    <x v="475"/>
    <n v="1"/>
    <x v="7"/>
    <x v="47"/>
    <x v="194"/>
    <x v="195"/>
    <x v="194"/>
    <x v="12"/>
    <x v="1"/>
    <x v="0"/>
    <x v="0"/>
  </r>
  <r>
    <x v="1"/>
    <x v="476"/>
    <n v="1"/>
    <x v="7"/>
    <x v="47"/>
    <x v="343"/>
    <x v="347"/>
    <x v="342"/>
    <x v="10"/>
    <x v="1"/>
    <x v="0"/>
    <x v="0"/>
  </r>
  <r>
    <x v="1"/>
    <x v="477"/>
    <n v="1"/>
    <x v="7"/>
    <x v="47"/>
    <x v="346"/>
    <x v="350"/>
    <x v="345"/>
    <x v="9"/>
    <x v="1"/>
    <x v="0"/>
    <x v="0"/>
  </r>
  <r>
    <x v="1"/>
    <x v="478"/>
    <n v="1"/>
    <x v="7"/>
    <x v="47"/>
    <x v="197"/>
    <x v="198"/>
    <x v="197"/>
    <x v="12"/>
    <x v="1"/>
    <x v="0"/>
    <x v="0"/>
  </r>
  <r>
    <x v="1"/>
    <x v="479"/>
    <n v="2"/>
    <x v="7"/>
    <x v="47"/>
    <x v="198"/>
    <x v="199"/>
    <x v="198"/>
    <x v="12"/>
    <x v="1"/>
    <x v="0"/>
    <x v="0"/>
  </r>
  <r>
    <x v="1"/>
    <x v="480"/>
    <n v="1"/>
    <x v="7"/>
    <x v="48"/>
    <x v="347"/>
    <x v="351"/>
    <x v="346"/>
    <x v="0"/>
    <x v="1"/>
    <x v="0"/>
    <x v="0"/>
  </r>
  <r>
    <x v="1"/>
    <x v="481"/>
    <n v="1"/>
    <x v="7"/>
    <x v="48"/>
    <x v="194"/>
    <x v="195"/>
    <x v="194"/>
    <x v="12"/>
    <x v="1"/>
    <x v="0"/>
    <x v="0"/>
  </r>
  <r>
    <x v="1"/>
    <x v="482"/>
    <n v="1"/>
    <x v="7"/>
    <x v="48"/>
    <x v="343"/>
    <x v="347"/>
    <x v="342"/>
    <x v="10"/>
    <x v="1"/>
    <x v="0"/>
    <x v="0"/>
  </r>
  <r>
    <x v="1"/>
    <x v="483"/>
    <n v="1"/>
    <x v="7"/>
    <x v="48"/>
    <x v="348"/>
    <x v="352"/>
    <x v="347"/>
    <x v="9"/>
    <x v="1"/>
    <x v="0"/>
    <x v="0"/>
  </r>
  <r>
    <x v="1"/>
    <x v="484"/>
    <n v="1"/>
    <x v="7"/>
    <x v="48"/>
    <x v="197"/>
    <x v="198"/>
    <x v="197"/>
    <x v="12"/>
    <x v="1"/>
    <x v="0"/>
    <x v="0"/>
  </r>
  <r>
    <x v="1"/>
    <x v="485"/>
    <n v="2"/>
    <x v="7"/>
    <x v="48"/>
    <x v="198"/>
    <x v="199"/>
    <x v="198"/>
    <x v="12"/>
    <x v="1"/>
    <x v="0"/>
    <x v="0"/>
  </r>
  <r>
    <x v="1"/>
    <x v="486"/>
    <n v="1"/>
    <x v="7"/>
    <x v="49"/>
    <x v="349"/>
    <x v="353"/>
    <x v="348"/>
    <x v="0"/>
    <x v="1"/>
    <x v="0"/>
    <x v="0"/>
  </r>
  <r>
    <x v="1"/>
    <x v="487"/>
    <n v="1"/>
    <x v="7"/>
    <x v="49"/>
    <x v="194"/>
    <x v="195"/>
    <x v="194"/>
    <x v="12"/>
    <x v="1"/>
    <x v="0"/>
    <x v="0"/>
  </r>
  <r>
    <x v="1"/>
    <x v="488"/>
    <n v="1"/>
    <x v="7"/>
    <x v="49"/>
    <x v="343"/>
    <x v="347"/>
    <x v="342"/>
    <x v="10"/>
    <x v="1"/>
    <x v="0"/>
    <x v="0"/>
  </r>
  <r>
    <x v="1"/>
    <x v="489"/>
    <n v="1"/>
    <x v="7"/>
    <x v="49"/>
    <x v="350"/>
    <x v="354"/>
    <x v="349"/>
    <x v="9"/>
    <x v="1"/>
    <x v="0"/>
    <x v="0"/>
  </r>
  <r>
    <x v="1"/>
    <x v="490"/>
    <n v="1"/>
    <x v="7"/>
    <x v="49"/>
    <x v="197"/>
    <x v="198"/>
    <x v="197"/>
    <x v="12"/>
    <x v="1"/>
    <x v="0"/>
    <x v="0"/>
  </r>
  <r>
    <x v="1"/>
    <x v="491"/>
    <n v="2"/>
    <x v="7"/>
    <x v="49"/>
    <x v="198"/>
    <x v="199"/>
    <x v="198"/>
    <x v="12"/>
    <x v="1"/>
    <x v="0"/>
    <x v="0"/>
  </r>
  <r>
    <x v="1"/>
    <x v="492"/>
    <n v="1"/>
    <x v="7"/>
    <x v="50"/>
    <x v="351"/>
    <x v="355"/>
    <x v="350"/>
    <x v="0"/>
    <x v="1"/>
    <x v="0"/>
    <x v="0"/>
  </r>
  <r>
    <x v="1"/>
    <x v="493"/>
    <n v="1"/>
    <x v="7"/>
    <x v="50"/>
    <x v="194"/>
    <x v="195"/>
    <x v="194"/>
    <x v="12"/>
    <x v="1"/>
    <x v="0"/>
    <x v="0"/>
  </r>
  <r>
    <x v="1"/>
    <x v="494"/>
    <n v="1"/>
    <x v="7"/>
    <x v="50"/>
    <x v="352"/>
    <x v="356"/>
    <x v="351"/>
    <x v="10"/>
    <x v="1"/>
    <x v="0"/>
    <x v="0"/>
  </r>
  <r>
    <x v="1"/>
    <x v="495"/>
    <n v="1"/>
    <x v="7"/>
    <x v="50"/>
    <x v="353"/>
    <x v="357"/>
    <x v="352"/>
    <x v="9"/>
    <x v="1"/>
    <x v="0"/>
    <x v="0"/>
  </r>
  <r>
    <x v="1"/>
    <x v="496"/>
    <n v="1"/>
    <x v="7"/>
    <x v="50"/>
    <x v="197"/>
    <x v="198"/>
    <x v="197"/>
    <x v="12"/>
    <x v="1"/>
    <x v="0"/>
    <x v="0"/>
  </r>
  <r>
    <x v="1"/>
    <x v="497"/>
    <n v="2"/>
    <x v="7"/>
    <x v="50"/>
    <x v="198"/>
    <x v="199"/>
    <x v="198"/>
    <x v="12"/>
    <x v="1"/>
    <x v="0"/>
    <x v="0"/>
  </r>
  <r>
    <x v="1"/>
    <x v="498"/>
    <n v="1"/>
    <x v="7"/>
    <x v="45"/>
    <x v="354"/>
    <x v="358"/>
    <x v="353"/>
    <x v="8"/>
    <x v="1"/>
    <x v="0"/>
    <x v="0"/>
  </r>
  <r>
    <x v="1"/>
    <x v="499"/>
    <n v="1"/>
    <x v="7"/>
    <x v="45"/>
    <x v="355"/>
    <x v="359"/>
    <x v="354"/>
    <x v="8"/>
    <x v="2"/>
    <x v="3"/>
    <x v="12"/>
  </r>
  <r>
    <x v="1"/>
    <x v="500"/>
    <n v="2"/>
    <x v="7"/>
    <x v="45"/>
    <x v="356"/>
    <x v="360"/>
    <x v="355"/>
    <x v="8"/>
    <x v="2"/>
    <x v="4"/>
    <x v="13"/>
  </r>
  <r>
    <x v="1"/>
    <x v="501"/>
    <n v="4"/>
    <x v="7"/>
    <x v="45"/>
    <x v="68"/>
    <x v="68"/>
    <x v="68"/>
    <x v="6"/>
    <x v="2"/>
    <x v="1"/>
    <x v="4"/>
  </r>
  <r>
    <x v="1"/>
    <x v="502"/>
    <n v="1"/>
    <x v="7"/>
    <x v="45"/>
    <x v="67"/>
    <x v="67"/>
    <x v="67"/>
    <x v="6"/>
    <x v="2"/>
    <x v="1"/>
    <x v="4"/>
  </r>
  <r>
    <x v="1"/>
    <x v="503"/>
    <n v="1"/>
    <x v="7"/>
    <x v="45"/>
    <x v="357"/>
    <x v="361"/>
    <x v="356"/>
    <x v="4"/>
    <x v="2"/>
    <x v="1"/>
    <x v="22"/>
  </r>
  <r>
    <x v="1"/>
    <x v="504"/>
    <n v="2"/>
    <x v="7"/>
    <x v="45"/>
    <x v="358"/>
    <x v="362"/>
    <x v="357"/>
    <x v="6"/>
    <x v="2"/>
    <x v="4"/>
    <x v="5"/>
  </r>
  <r>
    <x v="1"/>
    <x v="505"/>
    <n v="1"/>
    <x v="7"/>
    <x v="45"/>
    <x v="359"/>
    <x v="363"/>
    <x v="358"/>
    <x v="10"/>
    <x v="1"/>
    <x v="0"/>
    <x v="0"/>
  </r>
  <r>
    <x v="1"/>
    <x v="506"/>
    <n v="3"/>
    <x v="7"/>
    <x v="45"/>
    <x v="360"/>
    <x v="364"/>
    <x v="359"/>
    <x v="11"/>
    <x v="2"/>
    <x v="1"/>
    <x v="15"/>
  </r>
  <r>
    <x v="1"/>
    <x v="507"/>
    <n v="1"/>
    <x v="7"/>
    <x v="45"/>
    <x v="149"/>
    <x v="150"/>
    <x v="149"/>
    <x v="4"/>
    <x v="2"/>
    <x v="1"/>
    <x v="7"/>
  </r>
  <r>
    <x v="1"/>
    <x v="508"/>
    <n v="1"/>
    <x v="7"/>
    <x v="51"/>
    <x v="157"/>
    <x v="158"/>
    <x v="157"/>
    <x v="8"/>
    <x v="4"/>
    <x v="7"/>
    <x v="18"/>
  </r>
  <r>
    <x v="1"/>
    <x v="509"/>
    <n v="1"/>
    <x v="7"/>
    <x v="51"/>
    <x v="158"/>
    <x v="159"/>
    <x v="158"/>
    <x v="8"/>
    <x v="5"/>
    <x v="7"/>
    <x v="18"/>
  </r>
  <r>
    <x v="1"/>
    <x v="510"/>
    <n v="1"/>
    <x v="7"/>
    <x v="51"/>
    <x v="153"/>
    <x v="154"/>
    <x v="153"/>
    <x v="8"/>
    <x v="2"/>
    <x v="5"/>
    <x v="16"/>
  </r>
  <r>
    <x v="1"/>
    <x v="511"/>
    <n v="9"/>
    <x v="7"/>
    <x v="0"/>
    <x v="117"/>
    <x v="118"/>
    <x v="117"/>
    <x v="6"/>
    <x v="2"/>
    <x v="1"/>
    <x v="5"/>
  </r>
  <r>
    <x v="1"/>
    <x v="512"/>
    <n v="1"/>
    <x v="7"/>
    <x v="0"/>
    <x v="361"/>
    <x v="365"/>
    <x v="360"/>
    <x v="10"/>
    <x v="1"/>
    <x v="0"/>
    <x v="0"/>
  </r>
  <r>
    <x v="1"/>
    <x v="513"/>
    <n v="3"/>
    <x v="7"/>
    <x v="0"/>
    <x v="76"/>
    <x v="76"/>
    <x v="76"/>
    <x v="11"/>
    <x v="2"/>
    <x v="1"/>
    <x v="9"/>
  </r>
  <r>
    <x v="1"/>
    <x v="514"/>
    <n v="6"/>
    <x v="7"/>
    <x v="0"/>
    <x v="116"/>
    <x v="117"/>
    <x v="116"/>
    <x v="6"/>
    <x v="2"/>
    <x v="1"/>
    <x v="7"/>
  </r>
  <r>
    <x v="1"/>
    <x v="515"/>
    <n v="1"/>
    <x v="7"/>
    <x v="52"/>
    <x v="362"/>
    <x v="366"/>
    <x v="361"/>
    <x v="0"/>
    <x v="3"/>
    <x v="0"/>
    <x v="0"/>
  </r>
  <r>
    <x v="1"/>
    <x v="516"/>
    <n v="1"/>
    <x v="7"/>
    <x v="52"/>
    <x v="363"/>
    <x v="367"/>
    <x v="362"/>
    <x v="12"/>
    <x v="3"/>
    <x v="0"/>
    <x v="0"/>
  </r>
  <r>
    <x v="1"/>
    <x v="517"/>
    <n v="2"/>
    <x v="7"/>
    <x v="52"/>
    <x v="94"/>
    <x v="94"/>
    <x v="94"/>
    <x v="7"/>
    <x v="2"/>
    <x v="1"/>
    <x v="11"/>
  </r>
  <r>
    <x v="1"/>
    <x v="518"/>
    <n v="2"/>
    <x v="7"/>
    <x v="53"/>
    <x v="364"/>
    <x v="368"/>
    <x v="361"/>
    <x v="0"/>
    <x v="3"/>
    <x v="0"/>
    <x v="0"/>
  </r>
  <r>
    <x v="1"/>
    <x v="519"/>
    <n v="1"/>
    <x v="7"/>
    <x v="53"/>
    <x v="365"/>
    <x v="369"/>
    <x v="362"/>
    <x v="12"/>
    <x v="3"/>
    <x v="0"/>
    <x v="0"/>
  </r>
  <r>
    <x v="1"/>
    <x v="520"/>
    <n v="2"/>
    <x v="7"/>
    <x v="53"/>
    <x v="94"/>
    <x v="94"/>
    <x v="94"/>
    <x v="7"/>
    <x v="2"/>
    <x v="1"/>
    <x v="11"/>
  </r>
  <r>
    <x v="1"/>
    <x v="521"/>
    <n v="1"/>
    <x v="7"/>
    <x v="0"/>
    <x v="186"/>
    <x v="370"/>
    <x v="363"/>
    <x v="6"/>
    <x v="2"/>
    <x v="1"/>
    <x v="5"/>
  </r>
  <r>
    <x v="1"/>
    <x v="522"/>
    <n v="1"/>
    <x v="7"/>
    <x v="54"/>
    <x v="366"/>
    <x v="371"/>
    <x v="364"/>
    <x v="0"/>
    <x v="0"/>
    <x v="0"/>
    <x v="0"/>
  </r>
  <r>
    <x v="1"/>
    <x v="523"/>
    <n v="1"/>
    <x v="7"/>
    <x v="54"/>
    <x v="367"/>
    <x v="372"/>
    <x v="365"/>
    <x v="10"/>
    <x v="1"/>
    <x v="0"/>
    <x v="0"/>
  </r>
  <r>
    <x v="1"/>
    <x v="524"/>
    <n v="1"/>
    <x v="7"/>
    <x v="54"/>
    <x v="368"/>
    <x v="373"/>
    <x v="366"/>
    <x v="10"/>
    <x v="1"/>
    <x v="0"/>
    <x v="0"/>
  </r>
  <r>
    <x v="1"/>
    <x v="525"/>
    <n v="1"/>
    <x v="7"/>
    <x v="54"/>
    <x v="369"/>
    <x v="374"/>
    <x v="367"/>
    <x v="9"/>
    <x v="1"/>
    <x v="0"/>
    <x v="0"/>
  </r>
  <r>
    <x v="1"/>
    <x v="526"/>
    <n v="1"/>
    <x v="7"/>
    <x v="55"/>
    <x v="370"/>
    <x v="375"/>
    <x v="368"/>
    <x v="0"/>
    <x v="1"/>
    <x v="0"/>
    <x v="0"/>
  </r>
  <r>
    <x v="1"/>
    <x v="527"/>
    <n v="1"/>
    <x v="7"/>
    <x v="55"/>
    <x v="194"/>
    <x v="195"/>
    <x v="194"/>
    <x v="12"/>
    <x v="1"/>
    <x v="0"/>
    <x v="0"/>
  </r>
  <r>
    <x v="1"/>
    <x v="528"/>
    <n v="1"/>
    <x v="7"/>
    <x v="55"/>
    <x v="371"/>
    <x v="376"/>
    <x v="369"/>
    <x v="10"/>
    <x v="1"/>
    <x v="0"/>
    <x v="0"/>
  </r>
  <r>
    <x v="1"/>
    <x v="529"/>
    <n v="1"/>
    <x v="7"/>
    <x v="55"/>
    <x v="197"/>
    <x v="198"/>
    <x v="197"/>
    <x v="12"/>
    <x v="1"/>
    <x v="0"/>
    <x v="0"/>
  </r>
  <r>
    <x v="1"/>
    <x v="530"/>
    <n v="2"/>
    <x v="7"/>
    <x v="55"/>
    <x v="198"/>
    <x v="199"/>
    <x v="198"/>
    <x v="2"/>
    <x v="1"/>
    <x v="0"/>
    <x v="0"/>
  </r>
  <r>
    <x v="1"/>
    <x v="531"/>
    <n v="1"/>
    <x v="7"/>
    <x v="55"/>
    <x v="372"/>
    <x v="377"/>
    <x v="370"/>
    <x v="12"/>
    <x v="1"/>
    <x v="0"/>
    <x v="0"/>
  </r>
  <r>
    <x v="1"/>
    <x v="532"/>
    <n v="2"/>
    <x v="7"/>
    <x v="55"/>
    <x v="373"/>
    <x v="378"/>
    <x v="371"/>
    <x v="10"/>
    <x v="1"/>
    <x v="0"/>
    <x v="0"/>
  </r>
  <r>
    <x v="1"/>
    <x v="533"/>
    <n v="1"/>
    <x v="7"/>
    <x v="55"/>
    <x v="374"/>
    <x v="379"/>
    <x v="372"/>
    <x v="10"/>
    <x v="1"/>
    <x v="0"/>
    <x v="0"/>
  </r>
  <r>
    <x v="1"/>
    <x v="534"/>
    <n v="1"/>
    <x v="7"/>
    <x v="54"/>
    <x v="375"/>
    <x v="380"/>
    <x v="373"/>
    <x v="8"/>
    <x v="1"/>
    <x v="0"/>
    <x v="0"/>
  </r>
  <r>
    <x v="1"/>
    <x v="535"/>
    <n v="1"/>
    <x v="7"/>
    <x v="54"/>
    <x v="371"/>
    <x v="381"/>
    <x v="374"/>
    <x v="1"/>
    <x v="1"/>
    <x v="0"/>
    <x v="0"/>
  </r>
  <r>
    <x v="1"/>
    <x v="536"/>
    <n v="1"/>
    <x v="7"/>
    <x v="56"/>
    <x v="376"/>
    <x v="382"/>
    <x v="375"/>
    <x v="0"/>
    <x v="3"/>
    <x v="0"/>
    <x v="0"/>
  </r>
  <r>
    <x v="1"/>
    <x v="537"/>
    <n v="1"/>
    <x v="7"/>
    <x v="56"/>
    <x v="377"/>
    <x v="383"/>
    <x v="376"/>
    <x v="8"/>
    <x v="2"/>
    <x v="3"/>
    <x v="12"/>
  </r>
  <r>
    <x v="1"/>
    <x v="538"/>
    <n v="1"/>
    <x v="7"/>
    <x v="56"/>
    <x v="378"/>
    <x v="384"/>
    <x v="377"/>
    <x v="11"/>
    <x v="3"/>
    <x v="0"/>
    <x v="0"/>
  </r>
  <r>
    <x v="1"/>
    <x v="539"/>
    <n v="1"/>
    <x v="7"/>
    <x v="57"/>
    <x v="379"/>
    <x v="385"/>
    <x v="378"/>
    <x v="0"/>
    <x v="3"/>
    <x v="0"/>
    <x v="0"/>
  </r>
  <r>
    <x v="1"/>
    <x v="540"/>
    <n v="1"/>
    <x v="7"/>
    <x v="57"/>
    <x v="380"/>
    <x v="386"/>
    <x v="379"/>
    <x v="8"/>
    <x v="2"/>
    <x v="3"/>
    <x v="12"/>
  </r>
  <r>
    <x v="1"/>
    <x v="541"/>
    <n v="1"/>
    <x v="7"/>
    <x v="57"/>
    <x v="381"/>
    <x v="387"/>
    <x v="380"/>
    <x v="11"/>
    <x v="3"/>
    <x v="0"/>
    <x v="0"/>
  </r>
  <r>
    <x v="1"/>
    <x v="542"/>
    <n v="2"/>
    <x v="7"/>
    <x v="54"/>
    <x v="382"/>
    <x v="388"/>
    <x v="381"/>
    <x v="7"/>
    <x v="2"/>
    <x v="3"/>
    <x v="5"/>
  </r>
  <r>
    <x v="1"/>
    <x v="543"/>
    <n v="1"/>
    <x v="7"/>
    <x v="54"/>
    <x v="383"/>
    <x v="389"/>
    <x v="382"/>
    <x v="8"/>
    <x v="2"/>
    <x v="3"/>
    <x v="12"/>
  </r>
  <r>
    <x v="1"/>
    <x v="544"/>
    <n v="2"/>
    <x v="7"/>
    <x v="54"/>
    <x v="384"/>
    <x v="390"/>
    <x v="383"/>
    <x v="4"/>
    <x v="2"/>
    <x v="1"/>
    <x v="2"/>
  </r>
  <r>
    <x v="1"/>
    <x v="545"/>
    <n v="3"/>
    <x v="7"/>
    <x v="54"/>
    <x v="130"/>
    <x v="131"/>
    <x v="130"/>
    <x v="7"/>
    <x v="2"/>
    <x v="1"/>
    <x v="7"/>
  </r>
  <r>
    <x v="1"/>
    <x v="546"/>
    <n v="3"/>
    <x v="7"/>
    <x v="54"/>
    <x v="234"/>
    <x v="235"/>
    <x v="234"/>
    <x v="4"/>
    <x v="2"/>
    <x v="1"/>
    <x v="5"/>
  </r>
  <r>
    <x v="1"/>
    <x v="547"/>
    <n v="2"/>
    <x v="7"/>
    <x v="54"/>
    <x v="147"/>
    <x v="148"/>
    <x v="147"/>
    <x v="4"/>
    <x v="2"/>
    <x v="1"/>
    <x v="3"/>
  </r>
  <r>
    <x v="1"/>
    <x v="548"/>
    <n v="2"/>
    <x v="7"/>
    <x v="54"/>
    <x v="146"/>
    <x v="147"/>
    <x v="146"/>
    <x v="11"/>
    <x v="2"/>
    <x v="1"/>
    <x v="9"/>
  </r>
  <r>
    <x v="1"/>
    <x v="549"/>
    <n v="2"/>
    <x v="7"/>
    <x v="54"/>
    <x v="385"/>
    <x v="391"/>
    <x v="384"/>
    <x v="4"/>
    <x v="2"/>
    <x v="1"/>
    <x v="7"/>
  </r>
  <r>
    <x v="1"/>
    <x v="550"/>
    <n v="1"/>
    <x v="7"/>
    <x v="58"/>
    <x v="386"/>
    <x v="392"/>
    <x v="385"/>
    <x v="0"/>
    <x v="3"/>
    <x v="0"/>
    <x v="0"/>
  </r>
  <r>
    <x v="1"/>
    <x v="551"/>
    <n v="1"/>
    <x v="7"/>
    <x v="58"/>
    <x v="387"/>
    <x v="393"/>
    <x v="386"/>
    <x v="12"/>
    <x v="3"/>
    <x v="0"/>
    <x v="0"/>
  </r>
  <r>
    <x v="1"/>
    <x v="552"/>
    <n v="2"/>
    <x v="7"/>
    <x v="58"/>
    <x v="388"/>
    <x v="394"/>
    <x v="387"/>
    <x v="7"/>
    <x v="2"/>
    <x v="1"/>
    <x v="11"/>
  </r>
  <r>
    <x v="1"/>
    <x v="553"/>
    <n v="2"/>
    <x v="7"/>
    <x v="54"/>
    <x v="172"/>
    <x v="173"/>
    <x v="172"/>
    <x v="6"/>
    <x v="2"/>
    <x v="1"/>
    <x v="5"/>
  </r>
  <r>
    <x v="1"/>
    <x v="554"/>
    <n v="2"/>
    <x v="7"/>
    <x v="54"/>
    <x v="389"/>
    <x v="395"/>
    <x v="388"/>
    <x v="7"/>
    <x v="2"/>
    <x v="1"/>
    <x v="7"/>
  </r>
  <r>
    <x v="1"/>
    <x v="555"/>
    <n v="1"/>
    <x v="7"/>
    <x v="59"/>
    <x v="157"/>
    <x v="158"/>
    <x v="157"/>
    <x v="8"/>
    <x v="4"/>
    <x v="7"/>
    <x v="18"/>
  </r>
  <r>
    <x v="1"/>
    <x v="556"/>
    <n v="1"/>
    <x v="7"/>
    <x v="59"/>
    <x v="158"/>
    <x v="159"/>
    <x v="158"/>
    <x v="8"/>
    <x v="5"/>
    <x v="7"/>
    <x v="18"/>
  </r>
  <r>
    <x v="1"/>
    <x v="557"/>
    <n v="1"/>
    <x v="7"/>
    <x v="59"/>
    <x v="153"/>
    <x v="154"/>
    <x v="153"/>
    <x v="8"/>
    <x v="2"/>
    <x v="5"/>
    <x v="16"/>
  </r>
  <r>
    <x v="1"/>
    <x v="558"/>
    <n v="4"/>
    <x v="7"/>
    <x v="54"/>
    <x v="76"/>
    <x v="76"/>
    <x v="76"/>
    <x v="11"/>
    <x v="2"/>
    <x v="1"/>
    <x v="9"/>
  </r>
  <r>
    <x v="1"/>
    <x v="559"/>
    <n v="8"/>
    <x v="7"/>
    <x v="54"/>
    <x v="116"/>
    <x v="117"/>
    <x v="116"/>
    <x v="6"/>
    <x v="2"/>
    <x v="1"/>
    <x v="7"/>
  </r>
  <r>
    <x v="1"/>
    <x v="560"/>
    <n v="1"/>
    <x v="7"/>
    <x v="60"/>
    <x v="390"/>
    <x v="396"/>
    <x v="389"/>
    <x v="0"/>
    <x v="0"/>
    <x v="0"/>
    <x v="0"/>
  </r>
  <r>
    <x v="1"/>
    <x v="561"/>
    <n v="1"/>
    <x v="7"/>
    <x v="60"/>
    <x v="70"/>
    <x v="70"/>
    <x v="70"/>
    <x v="1"/>
    <x v="1"/>
    <x v="0"/>
    <x v="0"/>
  </r>
  <r>
    <x v="1"/>
    <x v="562"/>
    <n v="1"/>
    <x v="7"/>
    <x v="60"/>
    <x v="391"/>
    <x v="397"/>
    <x v="390"/>
    <x v="9"/>
    <x v="1"/>
    <x v="0"/>
    <x v="0"/>
  </r>
  <r>
    <x v="1"/>
    <x v="563"/>
    <n v="1"/>
    <x v="7"/>
    <x v="60"/>
    <x v="83"/>
    <x v="83"/>
    <x v="83"/>
    <x v="10"/>
    <x v="3"/>
    <x v="0"/>
    <x v="0"/>
  </r>
  <r>
    <x v="1"/>
    <x v="564"/>
    <n v="1"/>
    <x v="7"/>
    <x v="60"/>
    <x v="84"/>
    <x v="84"/>
    <x v="84"/>
    <x v="1"/>
    <x v="3"/>
    <x v="0"/>
    <x v="0"/>
  </r>
  <r>
    <x v="1"/>
    <x v="565"/>
    <n v="1"/>
    <x v="7"/>
    <x v="61"/>
    <x v="392"/>
    <x v="398"/>
    <x v="391"/>
    <x v="0"/>
    <x v="3"/>
    <x v="0"/>
    <x v="0"/>
  </r>
  <r>
    <x v="1"/>
    <x v="566"/>
    <n v="1"/>
    <x v="7"/>
    <x v="61"/>
    <x v="73"/>
    <x v="73"/>
    <x v="73"/>
    <x v="1"/>
    <x v="3"/>
    <x v="0"/>
    <x v="0"/>
  </r>
  <r>
    <x v="1"/>
    <x v="567"/>
    <n v="2"/>
    <x v="7"/>
    <x v="61"/>
    <x v="75"/>
    <x v="75"/>
    <x v="75"/>
    <x v="8"/>
    <x v="2"/>
    <x v="2"/>
    <x v="8"/>
  </r>
  <r>
    <x v="1"/>
    <x v="568"/>
    <n v="3"/>
    <x v="7"/>
    <x v="61"/>
    <x v="76"/>
    <x v="76"/>
    <x v="76"/>
    <x v="11"/>
    <x v="2"/>
    <x v="1"/>
    <x v="9"/>
  </r>
  <r>
    <x v="1"/>
    <x v="569"/>
    <n v="3"/>
    <x v="7"/>
    <x v="61"/>
    <x v="77"/>
    <x v="77"/>
    <x v="77"/>
    <x v="4"/>
    <x v="2"/>
    <x v="1"/>
    <x v="3"/>
  </r>
  <r>
    <x v="1"/>
    <x v="570"/>
    <n v="3"/>
    <x v="7"/>
    <x v="61"/>
    <x v="78"/>
    <x v="78"/>
    <x v="78"/>
    <x v="4"/>
    <x v="2"/>
    <x v="1"/>
    <x v="7"/>
  </r>
  <r>
    <x v="1"/>
    <x v="571"/>
    <n v="1"/>
    <x v="7"/>
    <x v="61"/>
    <x v="80"/>
    <x v="399"/>
    <x v="392"/>
    <x v="8"/>
    <x v="2"/>
    <x v="2"/>
    <x v="10"/>
  </r>
  <r>
    <x v="1"/>
    <x v="572"/>
    <n v="2"/>
    <x v="7"/>
    <x v="61"/>
    <x v="79"/>
    <x v="79"/>
    <x v="79"/>
    <x v="7"/>
    <x v="2"/>
    <x v="1"/>
    <x v="7"/>
  </r>
  <r>
    <x v="1"/>
    <x v="573"/>
    <n v="1"/>
    <x v="7"/>
    <x v="61"/>
    <x v="82"/>
    <x v="82"/>
    <x v="82"/>
    <x v="8"/>
    <x v="3"/>
    <x v="0"/>
    <x v="0"/>
  </r>
  <r>
    <x v="1"/>
    <x v="574"/>
    <n v="1"/>
    <x v="7"/>
    <x v="60"/>
    <x v="85"/>
    <x v="85"/>
    <x v="85"/>
    <x v="10"/>
    <x v="3"/>
    <x v="0"/>
    <x v="0"/>
  </r>
  <r>
    <x v="1"/>
    <x v="575"/>
    <n v="4"/>
    <x v="7"/>
    <x v="0"/>
    <x v="56"/>
    <x v="56"/>
    <x v="56"/>
    <x v="7"/>
    <x v="2"/>
    <x v="1"/>
    <x v="5"/>
  </r>
  <r>
    <x v="1"/>
    <x v="576"/>
    <n v="15"/>
    <x v="7"/>
    <x v="0"/>
    <x v="67"/>
    <x v="67"/>
    <x v="67"/>
    <x v="6"/>
    <x v="2"/>
    <x v="1"/>
    <x v="4"/>
  </r>
  <r>
    <x v="1"/>
    <x v="577"/>
    <n v="11"/>
    <x v="7"/>
    <x v="0"/>
    <x v="141"/>
    <x v="142"/>
    <x v="141"/>
    <x v="7"/>
    <x v="2"/>
    <x v="1"/>
    <x v="7"/>
  </r>
  <r>
    <x v="1"/>
    <x v="578"/>
    <n v="6"/>
    <x v="7"/>
    <x v="0"/>
    <x v="130"/>
    <x v="131"/>
    <x v="130"/>
    <x v="7"/>
    <x v="2"/>
    <x v="1"/>
    <x v="7"/>
  </r>
  <r>
    <x v="1"/>
    <x v="579"/>
    <n v="1"/>
    <x v="7"/>
    <x v="0"/>
    <x v="393"/>
    <x v="400"/>
    <x v="393"/>
    <x v="8"/>
    <x v="2"/>
    <x v="11"/>
    <x v="8"/>
  </r>
  <r>
    <x v="1"/>
    <x v="580"/>
    <n v="1"/>
    <x v="7"/>
    <x v="0"/>
    <x v="224"/>
    <x v="225"/>
    <x v="224"/>
    <x v="7"/>
    <x v="2"/>
    <x v="1"/>
    <x v="6"/>
  </r>
  <r>
    <x v="1"/>
    <x v="581"/>
    <n v="4"/>
    <x v="7"/>
    <x v="0"/>
    <x v="234"/>
    <x v="235"/>
    <x v="234"/>
    <x v="4"/>
    <x v="2"/>
    <x v="1"/>
    <x v="5"/>
  </r>
  <r>
    <x v="1"/>
    <x v="582"/>
    <n v="1"/>
    <x v="7"/>
    <x v="0"/>
    <x v="297"/>
    <x v="300"/>
    <x v="296"/>
    <x v="4"/>
    <x v="2"/>
    <x v="1"/>
    <x v="3"/>
  </r>
  <r>
    <x v="1"/>
    <x v="583"/>
    <n v="2"/>
    <x v="1"/>
    <x v="0"/>
    <x v="394"/>
    <x v="401"/>
    <x v="394"/>
    <x v="1"/>
    <x v="1"/>
    <x v="0"/>
    <x v="0"/>
  </r>
  <r>
    <x v="2"/>
    <x v="584"/>
    <n v="1"/>
    <x v="8"/>
    <x v="0"/>
    <x v="395"/>
    <x v="402"/>
    <x v="395"/>
    <x v="0"/>
    <x v="0"/>
    <x v="0"/>
    <x v="0"/>
  </r>
  <r>
    <x v="2"/>
    <x v="585"/>
    <n v="1"/>
    <x v="8"/>
    <x v="0"/>
    <x v="396"/>
    <x v="403"/>
    <x v="396"/>
    <x v="2"/>
    <x v="1"/>
    <x v="0"/>
    <x v="0"/>
  </r>
  <r>
    <x v="2"/>
    <x v="586"/>
    <n v="1"/>
    <x v="8"/>
    <x v="0"/>
    <x v="397"/>
    <x v="404"/>
    <x v="397"/>
    <x v="16"/>
    <x v="2"/>
    <x v="2"/>
    <x v="23"/>
  </r>
  <r>
    <x v="2"/>
    <x v="587"/>
    <n v="1"/>
    <x v="8"/>
    <x v="0"/>
    <x v="398"/>
    <x v="405"/>
    <x v="398"/>
    <x v="16"/>
    <x v="2"/>
    <x v="2"/>
    <x v="23"/>
  </r>
  <r>
    <x v="2"/>
    <x v="588"/>
    <n v="1"/>
    <x v="8"/>
    <x v="0"/>
    <x v="399"/>
    <x v="406"/>
    <x v="399"/>
    <x v="10"/>
    <x v="1"/>
    <x v="0"/>
    <x v="0"/>
  </r>
  <r>
    <x v="2"/>
    <x v="589"/>
    <n v="7"/>
    <x v="8"/>
    <x v="62"/>
    <x v="400"/>
    <x v="407"/>
    <x v="400"/>
    <x v="0"/>
    <x v="1"/>
    <x v="0"/>
    <x v="0"/>
  </r>
  <r>
    <x v="2"/>
    <x v="590"/>
    <n v="1"/>
    <x v="8"/>
    <x v="62"/>
    <x v="401"/>
    <x v="408"/>
    <x v="401"/>
    <x v="1"/>
    <x v="1"/>
    <x v="0"/>
    <x v="0"/>
  </r>
  <r>
    <x v="2"/>
    <x v="591"/>
    <n v="1"/>
    <x v="8"/>
    <x v="62"/>
    <x v="402"/>
    <x v="409"/>
    <x v="402"/>
    <x v="6"/>
    <x v="2"/>
    <x v="1"/>
    <x v="4"/>
  </r>
  <r>
    <x v="2"/>
    <x v="592"/>
    <n v="7"/>
    <x v="8"/>
    <x v="63"/>
    <x v="403"/>
    <x v="410"/>
    <x v="403"/>
    <x v="0"/>
    <x v="1"/>
    <x v="0"/>
    <x v="0"/>
  </r>
  <r>
    <x v="2"/>
    <x v="593"/>
    <n v="1"/>
    <x v="8"/>
    <x v="63"/>
    <x v="404"/>
    <x v="411"/>
    <x v="404"/>
    <x v="1"/>
    <x v="1"/>
    <x v="0"/>
    <x v="0"/>
  </r>
  <r>
    <x v="2"/>
    <x v="594"/>
    <n v="1"/>
    <x v="8"/>
    <x v="63"/>
    <x v="402"/>
    <x v="409"/>
    <x v="402"/>
    <x v="6"/>
    <x v="2"/>
    <x v="1"/>
    <x v="4"/>
  </r>
  <r>
    <x v="2"/>
    <x v="595"/>
    <n v="1"/>
    <x v="8"/>
    <x v="0"/>
    <x v="405"/>
    <x v="412"/>
    <x v="405"/>
    <x v="10"/>
    <x v="1"/>
    <x v="0"/>
    <x v="0"/>
  </r>
  <r>
    <x v="2"/>
    <x v="596"/>
    <n v="2"/>
    <x v="8"/>
    <x v="0"/>
    <x v="406"/>
    <x v="413"/>
    <x v="406"/>
    <x v="3"/>
    <x v="1"/>
    <x v="0"/>
    <x v="0"/>
  </r>
  <r>
    <x v="2"/>
    <x v="597"/>
    <n v="1"/>
    <x v="8"/>
    <x v="0"/>
    <x v="407"/>
    <x v="414"/>
    <x v="407"/>
    <x v="3"/>
    <x v="1"/>
    <x v="0"/>
    <x v="0"/>
  </r>
  <r>
    <x v="2"/>
    <x v="598"/>
    <n v="1"/>
    <x v="8"/>
    <x v="0"/>
    <x v="408"/>
    <x v="415"/>
    <x v="408"/>
    <x v="3"/>
    <x v="1"/>
    <x v="0"/>
    <x v="0"/>
  </r>
  <r>
    <x v="2"/>
    <x v="599"/>
    <n v="1"/>
    <x v="8"/>
    <x v="0"/>
    <x v="409"/>
    <x v="416"/>
    <x v="409"/>
    <x v="3"/>
    <x v="1"/>
    <x v="0"/>
    <x v="0"/>
  </r>
  <r>
    <x v="2"/>
    <x v="600"/>
    <n v="1"/>
    <x v="8"/>
    <x v="0"/>
    <x v="410"/>
    <x v="417"/>
    <x v="410"/>
    <x v="3"/>
    <x v="1"/>
    <x v="0"/>
    <x v="0"/>
  </r>
  <r>
    <x v="2"/>
    <x v="601"/>
    <n v="1"/>
    <x v="8"/>
    <x v="0"/>
    <x v="411"/>
    <x v="418"/>
    <x v="411"/>
    <x v="1"/>
    <x v="1"/>
    <x v="0"/>
    <x v="0"/>
  </r>
  <r>
    <x v="2"/>
    <x v="602"/>
    <n v="1"/>
    <x v="8"/>
    <x v="0"/>
    <x v="412"/>
    <x v="419"/>
    <x v="412"/>
    <x v="1"/>
    <x v="1"/>
    <x v="0"/>
    <x v="0"/>
  </r>
  <r>
    <x v="2"/>
    <x v="603"/>
    <n v="2"/>
    <x v="8"/>
    <x v="0"/>
    <x v="413"/>
    <x v="420"/>
    <x v="413"/>
    <x v="1"/>
    <x v="1"/>
    <x v="0"/>
    <x v="0"/>
  </r>
  <r>
    <x v="2"/>
    <x v="604"/>
    <n v="2"/>
    <x v="8"/>
    <x v="0"/>
    <x v="414"/>
    <x v="421"/>
    <x v="414"/>
    <x v="1"/>
    <x v="1"/>
    <x v="0"/>
    <x v="0"/>
  </r>
  <r>
    <x v="2"/>
    <x v="605"/>
    <n v="2"/>
    <x v="8"/>
    <x v="0"/>
    <x v="415"/>
    <x v="422"/>
    <x v="415"/>
    <x v="1"/>
    <x v="1"/>
    <x v="6"/>
    <x v="14"/>
  </r>
  <r>
    <x v="2"/>
    <x v="606"/>
    <n v="1"/>
    <x v="8"/>
    <x v="0"/>
    <x v="416"/>
    <x v="423"/>
    <x v="416"/>
    <x v="1"/>
    <x v="1"/>
    <x v="0"/>
    <x v="0"/>
  </r>
  <r>
    <x v="2"/>
    <x v="607"/>
    <n v="1"/>
    <x v="8"/>
    <x v="0"/>
    <x v="417"/>
    <x v="424"/>
    <x v="417"/>
    <x v="1"/>
    <x v="1"/>
    <x v="0"/>
    <x v="0"/>
  </r>
  <r>
    <x v="2"/>
    <x v="608"/>
    <n v="1"/>
    <x v="8"/>
    <x v="0"/>
    <x v="418"/>
    <x v="425"/>
    <x v="418"/>
    <x v="1"/>
    <x v="1"/>
    <x v="0"/>
    <x v="0"/>
  </r>
  <r>
    <x v="2"/>
    <x v="609"/>
    <n v="2"/>
    <x v="8"/>
    <x v="0"/>
    <x v="323"/>
    <x v="426"/>
    <x v="419"/>
    <x v="16"/>
    <x v="2"/>
    <x v="2"/>
    <x v="15"/>
  </r>
  <r>
    <x v="2"/>
    <x v="610"/>
    <n v="1"/>
    <x v="8"/>
    <x v="0"/>
    <x v="419"/>
    <x v="427"/>
    <x v="420"/>
    <x v="1"/>
    <x v="1"/>
    <x v="0"/>
    <x v="0"/>
  </r>
  <r>
    <x v="2"/>
    <x v="611"/>
    <n v="1"/>
    <x v="8"/>
    <x v="0"/>
    <x v="420"/>
    <x v="428"/>
    <x v="421"/>
    <x v="3"/>
    <x v="1"/>
    <x v="0"/>
    <x v="0"/>
  </r>
  <r>
    <x v="2"/>
    <x v="612"/>
    <n v="1"/>
    <x v="8"/>
    <x v="0"/>
    <x v="421"/>
    <x v="429"/>
    <x v="422"/>
    <x v="2"/>
    <x v="1"/>
    <x v="0"/>
    <x v="0"/>
  </r>
  <r>
    <x v="2"/>
    <x v="613"/>
    <n v="1"/>
    <x v="8"/>
    <x v="0"/>
    <x v="397"/>
    <x v="430"/>
    <x v="397"/>
    <x v="16"/>
    <x v="2"/>
    <x v="2"/>
    <x v="23"/>
  </r>
  <r>
    <x v="2"/>
    <x v="614"/>
    <n v="1"/>
    <x v="8"/>
    <x v="0"/>
    <x v="397"/>
    <x v="431"/>
    <x v="398"/>
    <x v="16"/>
    <x v="2"/>
    <x v="2"/>
    <x v="23"/>
  </r>
  <r>
    <x v="2"/>
    <x v="615"/>
    <n v="2"/>
    <x v="8"/>
    <x v="0"/>
    <x v="137"/>
    <x v="138"/>
    <x v="137"/>
    <x v="16"/>
    <x v="2"/>
    <x v="2"/>
    <x v="17"/>
  </r>
  <r>
    <x v="2"/>
    <x v="616"/>
    <n v="2"/>
    <x v="8"/>
    <x v="0"/>
    <x v="137"/>
    <x v="324"/>
    <x v="320"/>
    <x v="16"/>
    <x v="2"/>
    <x v="2"/>
    <x v="17"/>
  </r>
  <r>
    <x v="2"/>
    <x v="617"/>
    <n v="1"/>
    <x v="8"/>
    <x v="0"/>
    <x v="422"/>
    <x v="432"/>
    <x v="423"/>
    <x v="1"/>
    <x v="1"/>
    <x v="0"/>
    <x v="0"/>
  </r>
  <r>
    <x v="2"/>
    <x v="618"/>
    <n v="2"/>
    <x v="9"/>
    <x v="0"/>
    <x v="423"/>
    <x v="433"/>
    <x v="424"/>
    <x v="0"/>
    <x v="0"/>
    <x v="0"/>
    <x v="0"/>
  </r>
  <r>
    <x v="2"/>
    <x v="619"/>
    <n v="1"/>
    <x v="9"/>
    <x v="0"/>
    <x v="424"/>
    <x v="434"/>
    <x v="425"/>
    <x v="1"/>
    <x v="1"/>
    <x v="0"/>
    <x v="0"/>
  </r>
  <r>
    <x v="2"/>
    <x v="620"/>
    <n v="20"/>
    <x v="9"/>
    <x v="0"/>
    <x v="425"/>
    <x v="435"/>
    <x v="426"/>
    <x v="12"/>
    <x v="1"/>
    <x v="0"/>
    <x v="0"/>
  </r>
  <r>
    <x v="2"/>
    <x v="621"/>
    <n v="20"/>
    <x v="9"/>
    <x v="0"/>
    <x v="426"/>
    <x v="436"/>
    <x v="427"/>
    <x v="12"/>
    <x v="1"/>
    <x v="0"/>
    <x v="0"/>
  </r>
  <r>
    <x v="2"/>
    <x v="622"/>
    <n v="1"/>
    <x v="9"/>
    <x v="0"/>
    <x v="427"/>
    <x v="437"/>
    <x v="428"/>
    <x v="8"/>
    <x v="1"/>
    <x v="0"/>
    <x v="0"/>
  </r>
  <r>
    <x v="2"/>
    <x v="623"/>
    <n v="1"/>
    <x v="9"/>
    <x v="0"/>
    <x v="428"/>
    <x v="438"/>
    <x v="429"/>
    <x v="9"/>
    <x v="1"/>
    <x v="0"/>
    <x v="0"/>
  </r>
  <r>
    <x v="2"/>
    <x v="624"/>
    <n v="1"/>
    <x v="9"/>
    <x v="0"/>
    <x v="429"/>
    <x v="439"/>
    <x v="430"/>
    <x v="9"/>
    <x v="1"/>
    <x v="0"/>
    <x v="0"/>
  </r>
  <r>
    <x v="2"/>
    <x v="625"/>
    <n v="1"/>
    <x v="9"/>
    <x v="0"/>
    <x v="430"/>
    <x v="440"/>
    <x v="431"/>
    <x v="9"/>
    <x v="1"/>
    <x v="0"/>
    <x v="0"/>
  </r>
  <r>
    <x v="2"/>
    <x v="626"/>
    <n v="14"/>
    <x v="9"/>
    <x v="0"/>
    <x v="431"/>
    <x v="441"/>
    <x v="432"/>
    <x v="12"/>
    <x v="1"/>
    <x v="0"/>
    <x v="0"/>
  </r>
  <r>
    <x v="2"/>
    <x v="627"/>
    <n v="1"/>
    <x v="9"/>
    <x v="0"/>
    <x v="432"/>
    <x v="442"/>
    <x v="433"/>
    <x v="1"/>
    <x v="1"/>
    <x v="0"/>
    <x v="0"/>
  </r>
  <r>
    <x v="2"/>
    <x v="628"/>
    <n v="1"/>
    <x v="9"/>
    <x v="0"/>
    <x v="433"/>
    <x v="443"/>
    <x v="434"/>
    <x v="12"/>
    <x v="1"/>
    <x v="0"/>
    <x v="0"/>
  </r>
  <r>
    <x v="2"/>
    <x v="629"/>
    <n v="1"/>
    <x v="9"/>
    <x v="0"/>
    <x v="434"/>
    <x v="444"/>
    <x v="435"/>
    <x v="12"/>
    <x v="1"/>
    <x v="0"/>
    <x v="0"/>
  </r>
  <r>
    <x v="2"/>
    <x v="630"/>
    <n v="6"/>
    <x v="9"/>
    <x v="0"/>
    <x v="435"/>
    <x v="445"/>
    <x v="436"/>
    <x v="7"/>
    <x v="2"/>
    <x v="1"/>
    <x v="22"/>
  </r>
  <r>
    <x v="2"/>
    <x v="631"/>
    <n v="6"/>
    <x v="9"/>
    <x v="0"/>
    <x v="68"/>
    <x v="68"/>
    <x v="68"/>
    <x v="6"/>
    <x v="2"/>
    <x v="1"/>
    <x v="4"/>
  </r>
  <r>
    <x v="2"/>
    <x v="632"/>
    <n v="4"/>
    <x v="9"/>
    <x v="0"/>
    <x v="110"/>
    <x v="111"/>
    <x v="110"/>
    <x v="6"/>
    <x v="2"/>
    <x v="1"/>
    <x v="4"/>
  </r>
  <r>
    <x v="2"/>
    <x v="633"/>
    <n v="2"/>
    <x v="9"/>
    <x v="0"/>
    <x v="436"/>
    <x v="446"/>
    <x v="437"/>
    <x v="8"/>
    <x v="2"/>
    <x v="3"/>
    <x v="12"/>
  </r>
  <r>
    <x v="2"/>
    <x v="634"/>
    <n v="1"/>
    <x v="9"/>
    <x v="0"/>
    <x v="437"/>
    <x v="447"/>
    <x v="438"/>
    <x v="8"/>
    <x v="2"/>
    <x v="9"/>
    <x v="19"/>
  </r>
  <r>
    <x v="2"/>
    <x v="635"/>
    <n v="1"/>
    <x v="9"/>
    <x v="64"/>
    <x v="438"/>
    <x v="448"/>
    <x v="439"/>
    <x v="0"/>
    <x v="3"/>
    <x v="0"/>
    <x v="0"/>
  </r>
  <r>
    <x v="2"/>
    <x v="636"/>
    <n v="1"/>
    <x v="9"/>
    <x v="64"/>
    <x v="439"/>
    <x v="449"/>
    <x v="440"/>
    <x v="12"/>
    <x v="3"/>
    <x v="0"/>
    <x v="0"/>
  </r>
  <r>
    <x v="2"/>
    <x v="637"/>
    <n v="1"/>
    <x v="9"/>
    <x v="64"/>
    <x v="440"/>
    <x v="450"/>
    <x v="441"/>
    <x v="7"/>
    <x v="2"/>
    <x v="1"/>
    <x v="11"/>
  </r>
  <r>
    <x v="2"/>
    <x v="638"/>
    <n v="2"/>
    <x v="9"/>
    <x v="65"/>
    <x v="441"/>
    <x v="451"/>
    <x v="442"/>
    <x v="0"/>
    <x v="3"/>
    <x v="0"/>
    <x v="0"/>
  </r>
  <r>
    <x v="2"/>
    <x v="639"/>
    <n v="1"/>
    <x v="9"/>
    <x v="65"/>
    <x v="442"/>
    <x v="452"/>
    <x v="443"/>
    <x v="12"/>
    <x v="3"/>
    <x v="0"/>
    <x v="0"/>
  </r>
  <r>
    <x v="2"/>
    <x v="640"/>
    <n v="1"/>
    <x v="9"/>
    <x v="65"/>
    <x v="440"/>
    <x v="450"/>
    <x v="441"/>
    <x v="7"/>
    <x v="2"/>
    <x v="1"/>
    <x v="11"/>
  </r>
  <r>
    <x v="2"/>
    <x v="641"/>
    <n v="1"/>
    <x v="9"/>
    <x v="0"/>
    <x v="443"/>
    <x v="453"/>
    <x v="444"/>
    <x v="4"/>
    <x v="2"/>
    <x v="1"/>
    <x v="12"/>
  </r>
  <r>
    <x v="2"/>
    <x v="642"/>
    <n v="2"/>
    <x v="9"/>
    <x v="0"/>
    <x v="444"/>
    <x v="454"/>
    <x v="445"/>
    <x v="6"/>
    <x v="2"/>
    <x v="3"/>
    <x v="5"/>
  </r>
  <r>
    <x v="2"/>
    <x v="643"/>
    <n v="1"/>
    <x v="9"/>
    <x v="0"/>
    <x v="445"/>
    <x v="455"/>
    <x v="446"/>
    <x v="8"/>
    <x v="2"/>
    <x v="3"/>
    <x v="12"/>
  </r>
  <r>
    <x v="2"/>
    <x v="619"/>
    <n v="1"/>
    <x v="9"/>
    <x v="0"/>
    <x v="424"/>
    <x v="434"/>
    <x v="425"/>
    <x v="1"/>
    <x v="1"/>
    <x v="0"/>
    <x v="0"/>
  </r>
  <r>
    <x v="2"/>
    <x v="620"/>
    <n v="20"/>
    <x v="9"/>
    <x v="0"/>
    <x v="425"/>
    <x v="435"/>
    <x v="426"/>
    <x v="12"/>
    <x v="1"/>
    <x v="0"/>
    <x v="0"/>
  </r>
  <r>
    <x v="2"/>
    <x v="621"/>
    <n v="20"/>
    <x v="9"/>
    <x v="0"/>
    <x v="426"/>
    <x v="436"/>
    <x v="427"/>
    <x v="12"/>
    <x v="1"/>
    <x v="0"/>
    <x v="0"/>
  </r>
  <r>
    <x v="2"/>
    <x v="622"/>
    <n v="1"/>
    <x v="9"/>
    <x v="0"/>
    <x v="427"/>
    <x v="437"/>
    <x v="428"/>
    <x v="8"/>
    <x v="1"/>
    <x v="0"/>
    <x v="0"/>
  </r>
  <r>
    <x v="2"/>
    <x v="623"/>
    <n v="1"/>
    <x v="9"/>
    <x v="0"/>
    <x v="428"/>
    <x v="438"/>
    <x v="429"/>
    <x v="9"/>
    <x v="1"/>
    <x v="0"/>
    <x v="0"/>
  </r>
  <r>
    <x v="2"/>
    <x v="624"/>
    <n v="1"/>
    <x v="9"/>
    <x v="0"/>
    <x v="429"/>
    <x v="439"/>
    <x v="430"/>
    <x v="9"/>
    <x v="1"/>
    <x v="0"/>
    <x v="0"/>
  </r>
  <r>
    <x v="2"/>
    <x v="625"/>
    <n v="1"/>
    <x v="9"/>
    <x v="0"/>
    <x v="430"/>
    <x v="440"/>
    <x v="431"/>
    <x v="9"/>
    <x v="1"/>
    <x v="0"/>
    <x v="0"/>
  </r>
  <r>
    <x v="2"/>
    <x v="626"/>
    <n v="14"/>
    <x v="9"/>
    <x v="0"/>
    <x v="431"/>
    <x v="441"/>
    <x v="432"/>
    <x v="12"/>
    <x v="1"/>
    <x v="0"/>
    <x v="0"/>
  </r>
  <r>
    <x v="2"/>
    <x v="627"/>
    <n v="1"/>
    <x v="9"/>
    <x v="0"/>
    <x v="432"/>
    <x v="442"/>
    <x v="433"/>
    <x v="1"/>
    <x v="1"/>
    <x v="0"/>
    <x v="0"/>
  </r>
  <r>
    <x v="2"/>
    <x v="628"/>
    <n v="1"/>
    <x v="9"/>
    <x v="0"/>
    <x v="433"/>
    <x v="443"/>
    <x v="434"/>
    <x v="12"/>
    <x v="1"/>
    <x v="0"/>
    <x v="0"/>
  </r>
  <r>
    <x v="2"/>
    <x v="629"/>
    <n v="1"/>
    <x v="9"/>
    <x v="0"/>
    <x v="434"/>
    <x v="444"/>
    <x v="435"/>
    <x v="12"/>
    <x v="1"/>
    <x v="0"/>
    <x v="0"/>
  </r>
  <r>
    <x v="2"/>
    <x v="630"/>
    <n v="6"/>
    <x v="9"/>
    <x v="0"/>
    <x v="435"/>
    <x v="445"/>
    <x v="436"/>
    <x v="7"/>
    <x v="2"/>
    <x v="1"/>
    <x v="22"/>
  </r>
  <r>
    <x v="2"/>
    <x v="631"/>
    <n v="6"/>
    <x v="9"/>
    <x v="0"/>
    <x v="68"/>
    <x v="68"/>
    <x v="68"/>
    <x v="6"/>
    <x v="2"/>
    <x v="1"/>
    <x v="4"/>
  </r>
  <r>
    <x v="2"/>
    <x v="632"/>
    <n v="4"/>
    <x v="9"/>
    <x v="0"/>
    <x v="110"/>
    <x v="111"/>
    <x v="110"/>
    <x v="6"/>
    <x v="2"/>
    <x v="1"/>
    <x v="4"/>
  </r>
  <r>
    <x v="2"/>
    <x v="633"/>
    <n v="2"/>
    <x v="9"/>
    <x v="0"/>
    <x v="436"/>
    <x v="446"/>
    <x v="437"/>
    <x v="8"/>
    <x v="2"/>
    <x v="3"/>
    <x v="12"/>
  </r>
  <r>
    <x v="2"/>
    <x v="634"/>
    <n v="1"/>
    <x v="9"/>
    <x v="0"/>
    <x v="437"/>
    <x v="447"/>
    <x v="438"/>
    <x v="8"/>
    <x v="2"/>
    <x v="9"/>
    <x v="19"/>
  </r>
  <r>
    <x v="2"/>
    <x v="635"/>
    <n v="1"/>
    <x v="9"/>
    <x v="64"/>
    <x v="438"/>
    <x v="448"/>
    <x v="439"/>
    <x v="0"/>
    <x v="3"/>
    <x v="0"/>
    <x v="0"/>
  </r>
  <r>
    <x v="2"/>
    <x v="636"/>
    <n v="1"/>
    <x v="9"/>
    <x v="64"/>
    <x v="439"/>
    <x v="449"/>
    <x v="440"/>
    <x v="12"/>
    <x v="3"/>
    <x v="0"/>
    <x v="0"/>
  </r>
  <r>
    <x v="2"/>
    <x v="637"/>
    <n v="1"/>
    <x v="9"/>
    <x v="64"/>
    <x v="440"/>
    <x v="450"/>
    <x v="441"/>
    <x v="7"/>
    <x v="2"/>
    <x v="1"/>
    <x v="11"/>
  </r>
  <r>
    <x v="2"/>
    <x v="638"/>
    <n v="2"/>
    <x v="9"/>
    <x v="65"/>
    <x v="441"/>
    <x v="451"/>
    <x v="442"/>
    <x v="0"/>
    <x v="3"/>
    <x v="0"/>
    <x v="0"/>
  </r>
  <r>
    <x v="2"/>
    <x v="639"/>
    <n v="1"/>
    <x v="9"/>
    <x v="65"/>
    <x v="442"/>
    <x v="452"/>
    <x v="443"/>
    <x v="12"/>
    <x v="3"/>
    <x v="0"/>
    <x v="0"/>
  </r>
  <r>
    <x v="2"/>
    <x v="640"/>
    <n v="1"/>
    <x v="9"/>
    <x v="65"/>
    <x v="440"/>
    <x v="450"/>
    <x v="441"/>
    <x v="7"/>
    <x v="2"/>
    <x v="1"/>
    <x v="11"/>
  </r>
  <r>
    <x v="2"/>
    <x v="641"/>
    <n v="1"/>
    <x v="9"/>
    <x v="0"/>
    <x v="443"/>
    <x v="453"/>
    <x v="444"/>
    <x v="4"/>
    <x v="2"/>
    <x v="1"/>
    <x v="12"/>
  </r>
  <r>
    <x v="2"/>
    <x v="642"/>
    <n v="2"/>
    <x v="9"/>
    <x v="0"/>
    <x v="444"/>
    <x v="454"/>
    <x v="445"/>
    <x v="6"/>
    <x v="2"/>
    <x v="3"/>
    <x v="5"/>
  </r>
  <r>
    <x v="2"/>
    <x v="643"/>
    <n v="1"/>
    <x v="9"/>
    <x v="0"/>
    <x v="445"/>
    <x v="455"/>
    <x v="446"/>
    <x v="8"/>
    <x v="2"/>
    <x v="3"/>
    <x v="12"/>
  </r>
  <r>
    <x v="2"/>
    <x v="644"/>
    <n v="1"/>
    <x v="10"/>
    <x v="0"/>
    <x v="446"/>
    <x v="456"/>
    <x v="447"/>
    <x v="0"/>
    <x v="0"/>
    <x v="0"/>
    <x v="0"/>
  </r>
  <r>
    <x v="2"/>
    <x v="645"/>
    <n v="1"/>
    <x v="10"/>
    <x v="0"/>
    <x v="447"/>
    <x v="457"/>
    <x v="448"/>
    <x v="12"/>
    <x v="1"/>
    <x v="0"/>
    <x v="0"/>
  </r>
  <r>
    <x v="2"/>
    <x v="646"/>
    <n v="1"/>
    <x v="10"/>
    <x v="0"/>
    <x v="448"/>
    <x v="458"/>
    <x v="449"/>
    <x v="12"/>
    <x v="1"/>
    <x v="0"/>
    <x v="0"/>
  </r>
  <r>
    <x v="2"/>
    <x v="647"/>
    <n v="11"/>
    <x v="10"/>
    <x v="0"/>
    <x v="449"/>
    <x v="459"/>
    <x v="450"/>
    <x v="10"/>
    <x v="1"/>
    <x v="0"/>
    <x v="0"/>
  </r>
  <r>
    <x v="2"/>
    <x v="648"/>
    <n v="1"/>
    <x v="10"/>
    <x v="0"/>
    <x v="450"/>
    <x v="460"/>
    <x v="451"/>
    <x v="10"/>
    <x v="1"/>
    <x v="0"/>
    <x v="0"/>
  </r>
  <r>
    <x v="2"/>
    <x v="649"/>
    <n v="1"/>
    <x v="10"/>
    <x v="0"/>
    <x v="451"/>
    <x v="461"/>
    <x v="452"/>
    <x v="10"/>
    <x v="1"/>
    <x v="0"/>
    <x v="0"/>
  </r>
  <r>
    <x v="2"/>
    <x v="650"/>
    <n v="1"/>
    <x v="10"/>
    <x v="0"/>
    <x v="452"/>
    <x v="462"/>
    <x v="453"/>
    <x v="10"/>
    <x v="1"/>
    <x v="0"/>
    <x v="0"/>
  </r>
  <r>
    <x v="2"/>
    <x v="651"/>
    <n v="1"/>
    <x v="10"/>
    <x v="0"/>
    <x v="453"/>
    <x v="463"/>
    <x v="454"/>
    <x v="10"/>
    <x v="1"/>
    <x v="0"/>
    <x v="0"/>
  </r>
  <r>
    <x v="2"/>
    <x v="652"/>
    <n v="1"/>
    <x v="10"/>
    <x v="0"/>
    <x v="454"/>
    <x v="464"/>
    <x v="455"/>
    <x v="10"/>
    <x v="1"/>
    <x v="0"/>
    <x v="0"/>
  </r>
  <r>
    <x v="2"/>
    <x v="653"/>
    <n v="1"/>
    <x v="10"/>
    <x v="0"/>
    <x v="455"/>
    <x v="465"/>
    <x v="456"/>
    <x v="10"/>
    <x v="1"/>
    <x v="0"/>
    <x v="0"/>
  </r>
  <r>
    <x v="2"/>
    <x v="654"/>
    <n v="1"/>
    <x v="10"/>
    <x v="0"/>
    <x v="456"/>
    <x v="466"/>
    <x v="457"/>
    <x v="10"/>
    <x v="1"/>
    <x v="0"/>
    <x v="0"/>
  </r>
  <r>
    <x v="2"/>
    <x v="655"/>
    <n v="1"/>
    <x v="10"/>
    <x v="0"/>
    <x v="457"/>
    <x v="467"/>
    <x v="458"/>
    <x v="10"/>
    <x v="1"/>
    <x v="0"/>
    <x v="0"/>
  </r>
  <r>
    <x v="2"/>
    <x v="656"/>
    <n v="1"/>
    <x v="10"/>
    <x v="0"/>
    <x v="458"/>
    <x v="468"/>
    <x v="459"/>
    <x v="10"/>
    <x v="1"/>
    <x v="0"/>
    <x v="0"/>
  </r>
  <r>
    <x v="2"/>
    <x v="657"/>
    <n v="2"/>
    <x v="10"/>
    <x v="0"/>
    <x v="459"/>
    <x v="469"/>
    <x v="460"/>
    <x v="10"/>
    <x v="1"/>
    <x v="0"/>
    <x v="0"/>
  </r>
  <r>
    <x v="2"/>
    <x v="658"/>
    <n v="6"/>
    <x v="10"/>
    <x v="0"/>
    <x v="460"/>
    <x v="470"/>
    <x v="461"/>
    <x v="10"/>
    <x v="1"/>
    <x v="0"/>
    <x v="0"/>
  </r>
  <r>
    <x v="2"/>
    <x v="659"/>
    <n v="3"/>
    <x v="10"/>
    <x v="0"/>
    <x v="461"/>
    <x v="471"/>
    <x v="462"/>
    <x v="10"/>
    <x v="1"/>
    <x v="0"/>
    <x v="0"/>
  </r>
  <r>
    <x v="2"/>
    <x v="660"/>
    <n v="2"/>
    <x v="10"/>
    <x v="0"/>
    <x v="462"/>
    <x v="472"/>
    <x v="463"/>
    <x v="10"/>
    <x v="1"/>
    <x v="0"/>
    <x v="0"/>
  </r>
  <r>
    <x v="2"/>
    <x v="661"/>
    <n v="1"/>
    <x v="10"/>
    <x v="0"/>
    <x v="463"/>
    <x v="473"/>
    <x v="464"/>
    <x v="10"/>
    <x v="1"/>
    <x v="0"/>
    <x v="0"/>
  </r>
  <r>
    <x v="2"/>
    <x v="662"/>
    <n v="2"/>
    <x v="10"/>
    <x v="0"/>
    <x v="464"/>
    <x v="474"/>
    <x v="465"/>
    <x v="10"/>
    <x v="1"/>
    <x v="0"/>
    <x v="0"/>
  </r>
  <r>
    <x v="2"/>
    <x v="663"/>
    <n v="2"/>
    <x v="10"/>
    <x v="0"/>
    <x v="465"/>
    <x v="475"/>
    <x v="466"/>
    <x v="12"/>
    <x v="2"/>
    <x v="0"/>
    <x v="12"/>
  </r>
  <r>
    <x v="2"/>
    <x v="664"/>
    <n v="1"/>
    <x v="10"/>
    <x v="0"/>
    <x v="466"/>
    <x v="476"/>
    <x v="467"/>
    <x v="10"/>
    <x v="1"/>
    <x v="0"/>
    <x v="0"/>
  </r>
  <r>
    <x v="2"/>
    <x v="665"/>
    <n v="1"/>
    <x v="10"/>
    <x v="0"/>
    <x v="467"/>
    <x v="477"/>
    <x v="468"/>
    <x v="10"/>
    <x v="1"/>
    <x v="0"/>
    <x v="0"/>
  </r>
  <r>
    <x v="2"/>
    <x v="666"/>
    <n v="1"/>
    <x v="10"/>
    <x v="0"/>
    <x v="468"/>
    <x v="478"/>
    <x v="469"/>
    <x v="10"/>
    <x v="1"/>
    <x v="0"/>
    <x v="0"/>
  </r>
  <r>
    <x v="2"/>
    <x v="667"/>
    <n v="1"/>
    <x v="10"/>
    <x v="0"/>
    <x v="469"/>
    <x v="479"/>
    <x v="470"/>
    <x v="1"/>
    <x v="1"/>
    <x v="0"/>
    <x v="0"/>
  </r>
  <r>
    <x v="2"/>
    <x v="668"/>
    <n v="1"/>
    <x v="10"/>
    <x v="0"/>
    <x v="470"/>
    <x v="480"/>
    <x v="471"/>
    <x v="1"/>
    <x v="1"/>
    <x v="0"/>
    <x v="0"/>
  </r>
  <r>
    <x v="2"/>
    <x v="669"/>
    <n v="1"/>
    <x v="10"/>
    <x v="0"/>
    <x v="471"/>
    <x v="481"/>
    <x v="472"/>
    <x v="8"/>
    <x v="1"/>
    <x v="0"/>
    <x v="0"/>
  </r>
  <r>
    <x v="2"/>
    <x v="670"/>
    <n v="1"/>
    <x v="10"/>
    <x v="0"/>
    <x v="472"/>
    <x v="482"/>
    <x v="473"/>
    <x v="1"/>
    <x v="1"/>
    <x v="0"/>
    <x v="0"/>
  </r>
  <r>
    <x v="2"/>
    <x v="671"/>
    <n v="1"/>
    <x v="10"/>
    <x v="0"/>
    <x v="473"/>
    <x v="483"/>
    <x v="474"/>
    <x v="11"/>
    <x v="2"/>
    <x v="2"/>
    <x v="15"/>
  </r>
  <r>
    <x v="2"/>
    <x v="672"/>
    <n v="3"/>
    <x v="10"/>
    <x v="0"/>
    <x v="474"/>
    <x v="484"/>
    <x v="475"/>
    <x v="13"/>
    <x v="2"/>
    <x v="1"/>
    <x v="28"/>
  </r>
  <r>
    <x v="2"/>
    <x v="673"/>
    <n v="3"/>
    <x v="10"/>
    <x v="0"/>
    <x v="67"/>
    <x v="67"/>
    <x v="67"/>
    <x v="6"/>
    <x v="2"/>
    <x v="1"/>
    <x v="4"/>
  </r>
  <r>
    <x v="2"/>
    <x v="674"/>
    <n v="3"/>
    <x v="10"/>
    <x v="0"/>
    <x v="68"/>
    <x v="68"/>
    <x v="68"/>
    <x v="6"/>
    <x v="2"/>
    <x v="1"/>
    <x v="4"/>
  </r>
  <r>
    <x v="2"/>
    <x v="675"/>
    <n v="3"/>
    <x v="10"/>
    <x v="0"/>
    <x v="116"/>
    <x v="117"/>
    <x v="116"/>
    <x v="6"/>
    <x v="2"/>
    <x v="1"/>
    <x v="7"/>
  </r>
  <r>
    <x v="2"/>
    <x v="676"/>
    <n v="1"/>
    <x v="10"/>
    <x v="0"/>
    <x v="110"/>
    <x v="111"/>
    <x v="110"/>
    <x v="6"/>
    <x v="2"/>
    <x v="1"/>
    <x v="4"/>
  </r>
  <r>
    <x v="2"/>
    <x v="677"/>
    <n v="1"/>
    <x v="10"/>
    <x v="0"/>
    <x v="475"/>
    <x v="485"/>
    <x v="476"/>
    <x v="4"/>
    <x v="2"/>
    <x v="1"/>
    <x v="3"/>
  </r>
  <r>
    <x v="2"/>
    <x v="678"/>
    <n v="2"/>
    <x v="10"/>
    <x v="0"/>
    <x v="476"/>
    <x v="486"/>
    <x v="477"/>
    <x v="7"/>
    <x v="2"/>
    <x v="1"/>
    <x v="3"/>
  </r>
  <r>
    <x v="2"/>
    <x v="679"/>
    <n v="1"/>
    <x v="11"/>
    <x v="0"/>
    <x v="477"/>
    <x v="487"/>
    <x v="478"/>
    <x v="0"/>
    <x v="2"/>
    <x v="2"/>
    <x v="15"/>
  </r>
  <r>
    <x v="2"/>
    <x v="680"/>
    <n v="1"/>
    <x v="11"/>
    <x v="0"/>
    <x v="478"/>
    <x v="488"/>
    <x v="479"/>
    <x v="1"/>
    <x v="1"/>
    <x v="0"/>
    <x v="0"/>
  </r>
  <r>
    <x v="2"/>
    <x v="681"/>
    <n v="1"/>
    <x v="11"/>
    <x v="0"/>
    <x v="479"/>
    <x v="489"/>
    <x v="480"/>
    <x v="1"/>
    <x v="1"/>
    <x v="0"/>
    <x v="0"/>
  </r>
  <r>
    <x v="2"/>
    <x v="682"/>
    <n v="1"/>
    <x v="11"/>
    <x v="0"/>
    <x v="472"/>
    <x v="482"/>
    <x v="473"/>
    <x v="1"/>
    <x v="1"/>
    <x v="0"/>
    <x v="0"/>
  </r>
  <r>
    <x v="2"/>
    <x v="683"/>
    <n v="1"/>
    <x v="11"/>
    <x v="0"/>
    <x v="447"/>
    <x v="457"/>
    <x v="448"/>
    <x v="12"/>
    <x v="1"/>
    <x v="0"/>
    <x v="0"/>
  </r>
  <r>
    <x v="2"/>
    <x v="684"/>
    <n v="1"/>
    <x v="11"/>
    <x v="0"/>
    <x v="448"/>
    <x v="458"/>
    <x v="449"/>
    <x v="12"/>
    <x v="1"/>
    <x v="0"/>
    <x v="0"/>
  </r>
  <r>
    <x v="2"/>
    <x v="685"/>
    <n v="1"/>
    <x v="11"/>
    <x v="0"/>
    <x v="480"/>
    <x v="490"/>
    <x v="481"/>
    <x v="8"/>
    <x v="1"/>
    <x v="0"/>
    <x v="0"/>
  </r>
  <r>
    <x v="2"/>
    <x v="686"/>
    <n v="11"/>
    <x v="11"/>
    <x v="0"/>
    <x v="449"/>
    <x v="459"/>
    <x v="450"/>
    <x v="10"/>
    <x v="1"/>
    <x v="0"/>
    <x v="0"/>
  </r>
  <r>
    <x v="2"/>
    <x v="687"/>
    <n v="1"/>
    <x v="11"/>
    <x v="0"/>
    <x v="481"/>
    <x v="491"/>
    <x v="482"/>
    <x v="10"/>
    <x v="1"/>
    <x v="0"/>
    <x v="0"/>
  </r>
  <r>
    <x v="2"/>
    <x v="688"/>
    <n v="11"/>
    <x v="11"/>
    <x v="0"/>
    <x v="460"/>
    <x v="470"/>
    <x v="461"/>
    <x v="10"/>
    <x v="1"/>
    <x v="0"/>
    <x v="0"/>
  </r>
  <r>
    <x v="2"/>
    <x v="689"/>
    <n v="2"/>
    <x v="11"/>
    <x v="0"/>
    <x v="464"/>
    <x v="474"/>
    <x v="465"/>
    <x v="10"/>
    <x v="1"/>
    <x v="0"/>
    <x v="0"/>
  </r>
  <r>
    <x v="2"/>
    <x v="690"/>
    <n v="1"/>
    <x v="11"/>
    <x v="0"/>
    <x v="468"/>
    <x v="478"/>
    <x v="469"/>
    <x v="10"/>
    <x v="1"/>
    <x v="0"/>
    <x v="0"/>
  </r>
  <r>
    <x v="2"/>
    <x v="691"/>
    <n v="2"/>
    <x v="11"/>
    <x v="0"/>
    <x v="467"/>
    <x v="477"/>
    <x v="468"/>
    <x v="10"/>
    <x v="1"/>
    <x v="0"/>
    <x v="0"/>
  </r>
  <r>
    <x v="2"/>
    <x v="692"/>
    <n v="2"/>
    <x v="11"/>
    <x v="0"/>
    <x v="465"/>
    <x v="475"/>
    <x v="466"/>
    <x v="12"/>
    <x v="2"/>
    <x v="0"/>
    <x v="12"/>
  </r>
  <r>
    <x v="2"/>
    <x v="693"/>
    <n v="1"/>
    <x v="11"/>
    <x v="0"/>
    <x v="482"/>
    <x v="492"/>
    <x v="483"/>
    <x v="10"/>
    <x v="1"/>
    <x v="0"/>
    <x v="0"/>
  </r>
  <r>
    <x v="2"/>
    <x v="694"/>
    <n v="5"/>
    <x v="11"/>
    <x v="0"/>
    <x v="483"/>
    <x v="493"/>
    <x v="484"/>
    <x v="10"/>
    <x v="1"/>
    <x v="0"/>
    <x v="0"/>
  </r>
  <r>
    <x v="2"/>
    <x v="695"/>
    <n v="1"/>
    <x v="11"/>
    <x v="0"/>
    <x v="484"/>
    <x v="494"/>
    <x v="485"/>
    <x v="10"/>
    <x v="1"/>
    <x v="0"/>
    <x v="0"/>
  </r>
  <r>
    <x v="2"/>
    <x v="696"/>
    <n v="1"/>
    <x v="11"/>
    <x v="0"/>
    <x v="485"/>
    <x v="495"/>
    <x v="486"/>
    <x v="10"/>
    <x v="1"/>
    <x v="0"/>
    <x v="0"/>
  </r>
  <r>
    <x v="2"/>
    <x v="697"/>
    <n v="1"/>
    <x v="11"/>
    <x v="0"/>
    <x v="486"/>
    <x v="496"/>
    <x v="487"/>
    <x v="10"/>
    <x v="1"/>
    <x v="0"/>
    <x v="0"/>
  </r>
  <r>
    <x v="2"/>
    <x v="698"/>
    <n v="1"/>
    <x v="11"/>
    <x v="0"/>
    <x v="487"/>
    <x v="497"/>
    <x v="488"/>
    <x v="10"/>
    <x v="1"/>
    <x v="0"/>
    <x v="0"/>
  </r>
  <r>
    <x v="2"/>
    <x v="699"/>
    <n v="1"/>
    <x v="11"/>
    <x v="0"/>
    <x v="488"/>
    <x v="498"/>
    <x v="489"/>
    <x v="10"/>
    <x v="1"/>
    <x v="0"/>
    <x v="0"/>
  </r>
  <r>
    <x v="2"/>
    <x v="700"/>
    <n v="1"/>
    <x v="11"/>
    <x v="0"/>
    <x v="473"/>
    <x v="483"/>
    <x v="474"/>
    <x v="11"/>
    <x v="2"/>
    <x v="2"/>
    <x v="15"/>
  </r>
  <r>
    <x v="2"/>
    <x v="701"/>
    <n v="3"/>
    <x v="11"/>
    <x v="0"/>
    <x v="68"/>
    <x v="68"/>
    <x v="68"/>
    <x v="6"/>
    <x v="2"/>
    <x v="1"/>
    <x v="4"/>
  </r>
  <r>
    <x v="2"/>
    <x v="702"/>
    <n v="3"/>
    <x v="11"/>
    <x v="0"/>
    <x v="116"/>
    <x v="117"/>
    <x v="116"/>
    <x v="6"/>
    <x v="2"/>
    <x v="1"/>
    <x v="7"/>
  </r>
  <r>
    <x v="2"/>
    <x v="703"/>
    <n v="1"/>
    <x v="11"/>
    <x v="0"/>
    <x v="475"/>
    <x v="485"/>
    <x v="476"/>
    <x v="4"/>
    <x v="2"/>
    <x v="1"/>
    <x v="3"/>
  </r>
  <r>
    <x v="2"/>
    <x v="704"/>
    <n v="2"/>
    <x v="11"/>
    <x v="0"/>
    <x v="476"/>
    <x v="486"/>
    <x v="477"/>
    <x v="7"/>
    <x v="2"/>
    <x v="1"/>
    <x v="3"/>
  </r>
  <r>
    <x v="2"/>
    <x v="705"/>
    <n v="3"/>
    <x v="11"/>
    <x v="0"/>
    <x v="67"/>
    <x v="67"/>
    <x v="67"/>
    <x v="6"/>
    <x v="2"/>
    <x v="1"/>
    <x v="4"/>
  </r>
  <r>
    <x v="2"/>
    <x v="706"/>
    <n v="1"/>
    <x v="11"/>
    <x v="0"/>
    <x v="110"/>
    <x v="111"/>
    <x v="110"/>
    <x v="6"/>
    <x v="2"/>
    <x v="1"/>
    <x v="4"/>
  </r>
  <r>
    <x v="2"/>
    <x v="707"/>
    <n v="3"/>
    <x v="11"/>
    <x v="0"/>
    <x v="474"/>
    <x v="484"/>
    <x v="475"/>
    <x v="13"/>
    <x v="2"/>
    <x v="1"/>
    <x v="28"/>
  </r>
  <r>
    <x v="2"/>
    <x v="708"/>
    <n v="1"/>
    <x v="12"/>
    <x v="0"/>
    <x v="489"/>
    <x v="499"/>
    <x v="490"/>
    <x v="0"/>
    <x v="0"/>
    <x v="0"/>
    <x v="0"/>
  </r>
  <r>
    <x v="2"/>
    <x v="709"/>
    <n v="1"/>
    <x v="12"/>
    <x v="0"/>
    <x v="490"/>
    <x v="500"/>
    <x v="491"/>
    <x v="10"/>
    <x v="1"/>
    <x v="0"/>
    <x v="0"/>
  </r>
  <r>
    <x v="2"/>
    <x v="710"/>
    <n v="1"/>
    <x v="12"/>
    <x v="0"/>
    <x v="491"/>
    <x v="501"/>
    <x v="492"/>
    <x v="8"/>
    <x v="2"/>
    <x v="0"/>
    <x v="12"/>
  </r>
  <r>
    <x v="2"/>
    <x v="711"/>
    <n v="1"/>
    <x v="12"/>
    <x v="0"/>
    <x v="492"/>
    <x v="502"/>
    <x v="493"/>
    <x v="10"/>
    <x v="1"/>
    <x v="0"/>
    <x v="0"/>
  </r>
  <r>
    <x v="2"/>
    <x v="712"/>
    <n v="1"/>
    <x v="12"/>
    <x v="0"/>
    <x v="493"/>
    <x v="503"/>
    <x v="494"/>
    <x v="9"/>
    <x v="1"/>
    <x v="0"/>
    <x v="0"/>
  </r>
  <r>
    <x v="2"/>
    <x v="713"/>
    <n v="1"/>
    <x v="12"/>
    <x v="0"/>
    <x v="494"/>
    <x v="504"/>
    <x v="495"/>
    <x v="1"/>
    <x v="1"/>
    <x v="0"/>
    <x v="0"/>
  </r>
  <r>
    <x v="2"/>
    <x v="714"/>
    <n v="1"/>
    <x v="12"/>
    <x v="0"/>
    <x v="495"/>
    <x v="505"/>
    <x v="496"/>
    <x v="1"/>
    <x v="1"/>
    <x v="0"/>
    <x v="0"/>
  </r>
  <r>
    <x v="2"/>
    <x v="715"/>
    <n v="1"/>
    <x v="12"/>
    <x v="66"/>
    <x v="496"/>
    <x v="506"/>
    <x v="497"/>
    <x v="0"/>
    <x v="2"/>
    <x v="0"/>
    <x v="12"/>
  </r>
  <r>
    <x v="2"/>
    <x v="716"/>
    <n v="1"/>
    <x v="12"/>
    <x v="66"/>
    <x v="497"/>
    <x v="507"/>
    <x v="498"/>
    <x v="12"/>
    <x v="2"/>
    <x v="0"/>
    <x v="12"/>
  </r>
  <r>
    <x v="2"/>
    <x v="717"/>
    <n v="2"/>
    <x v="12"/>
    <x v="66"/>
    <x v="498"/>
    <x v="508"/>
    <x v="499"/>
    <x v="12"/>
    <x v="2"/>
    <x v="0"/>
    <x v="12"/>
  </r>
  <r>
    <x v="2"/>
    <x v="718"/>
    <n v="1"/>
    <x v="12"/>
    <x v="66"/>
    <x v="499"/>
    <x v="509"/>
    <x v="500"/>
    <x v="10"/>
    <x v="2"/>
    <x v="0"/>
    <x v="12"/>
  </r>
  <r>
    <x v="2"/>
    <x v="719"/>
    <n v="2"/>
    <x v="12"/>
    <x v="66"/>
    <x v="500"/>
    <x v="510"/>
    <x v="501"/>
    <x v="10"/>
    <x v="2"/>
    <x v="0"/>
    <x v="12"/>
  </r>
  <r>
    <x v="2"/>
    <x v="720"/>
    <n v="2"/>
    <x v="12"/>
    <x v="66"/>
    <x v="501"/>
    <x v="511"/>
    <x v="502"/>
    <x v="10"/>
    <x v="2"/>
    <x v="0"/>
    <x v="12"/>
  </r>
  <r>
    <x v="2"/>
    <x v="721"/>
    <n v="2"/>
    <x v="12"/>
    <x v="66"/>
    <x v="502"/>
    <x v="512"/>
    <x v="503"/>
    <x v="12"/>
    <x v="2"/>
    <x v="0"/>
    <x v="12"/>
  </r>
  <r>
    <x v="2"/>
    <x v="722"/>
    <n v="1"/>
    <x v="12"/>
    <x v="66"/>
    <x v="503"/>
    <x v="513"/>
    <x v="504"/>
    <x v="10"/>
    <x v="2"/>
    <x v="0"/>
    <x v="12"/>
  </r>
  <r>
    <x v="2"/>
    <x v="723"/>
    <n v="2"/>
    <x v="12"/>
    <x v="66"/>
    <x v="384"/>
    <x v="390"/>
    <x v="383"/>
    <x v="4"/>
    <x v="2"/>
    <x v="1"/>
    <x v="2"/>
  </r>
  <r>
    <x v="2"/>
    <x v="724"/>
    <n v="1"/>
    <x v="12"/>
    <x v="67"/>
    <x v="504"/>
    <x v="514"/>
    <x v="505"/>
    <x v="0"/>
    <x v="1"/>
    <x v="0"/>
    <x v="0"/>
  </r>
  <r>
    <x v="2"/>
    <x v="725"/>
    <n v="1"/>
    <x v="12"/>
    <x v="67"/>
    <x v="505"/>
    <x v="515"/>
    <x v="194"/>
    <x v="12"/>
    <x v="1"/>
    <x v="0"/>
    <x v="0"/>
  </r>
  <r>
    <x v="2"/>
    <x v="726"/>
    <n v="1"/>
    <x v="12"/>
    <x v="67"/>
    <x v="506"/>
    <x v="516"/>
    <x v="506"/>
    <x v="10"/>
    <x v="1"/>
    <x v="0"/>
    <x v="0"/>
  </r>
  <r>
    <x v="2"/>
    <x v="727"/>
    <n v="1"/>
    <x v="12"/>
    <x v="67"/>
    <x v="507"/>
    <x v="517"/>
    <x v="507"/>
    <x v="10"/>
    <x v="1"/>
    <x v="0"/>
    <x v="0"/>
  </r>
  <r>
    <x v="2"/>
    <x v="728"/>
    <n v="1"/>
    <x v="12"/>
    <x v="67"/>
    <x v="508"/>
    <x v="518"/>
    <x v="197"/>
    <x v="12"/>
    <x v="1"/>
    <x v="0"/>
    <x v="0"/>
  </r>
  <r>
    <x v="2"/>
    <x v="729"/>
    <n v="2"/>
    <x v="12"/>
    <x v="67"/>
    <x v="509"/>
    <x v="519"/>
    <x v="508"/>
    <x v="10"/>
    <x v="1"/>
    <x v="0"/>
    <x v="0"/>
  </r>
  <r>
    <x v="2"/>
    <x v="730"/>
    <n v="1"/>
    <x v="12"/>
    <x v="67"/>
    <x v="510"/>
    <x v="520"/>
    <x v="370"/>
    <x v="12"/>
    <x v="1"/>
    <x v="0"/>
    <x v="0"/>
  </r>
  <r>
    <x v="2"/>
    <x v="731"/>
    <n v="2"/>
    <x v="12"/>
    <x v="67"/>
    <x v="384"/>
    <x v="390"/>
    <x v="383"/>
    <x v="4"/>
    <x v="2"/>
    <x v="1"/>
    <x v="2"/>
  </r>
  <r>
    <x v="2"/>
    <x v="732"/>
    <n v="1"/>
    <x v="12"/>
    <x v="0"/>
    <x v="511"/>
    <x v="521"/>
    <x v="509"/>
    <x v="1"/>
    <x v="1"/>
    <x v="0"/>
    <x v="0"/>
  </r>
  <r>
    <x v="2"/>
    <x v="733"/>
    <n v="1"/>
    <x v="12"/>
    <x v="0"/>
    <x v="512"/>
    <x v="522"/>
    <x v="510"/>
    <x v="12"/>
    <x v="1"/>
    <x v="0"/>
    <x v="0"/>
  </r>
  <r>
    <x v="2"/>
    <x v="734"/>
    <n v="1"/>
    <x v="12"/>
    <x v="68"/>
    <x v="379"/>
    <x v="385"/>
    <x v="378"/>
    <x v="0"/>
    <x v="3"/>
    <x v="0"/>
    <x v="0"/>
  </r>
  <r>
    <x v="2"/>
    <x v="735"/>
    <n v="1"/>
    <x v="12"/>
    <x v="68"/>
    <x v="380"/>
    <x v="386"/>
    <x v="379"/>
    <x v="8"/>
    <x v="2"/>
    <x v="3"/>
    <x v="12"/>
  </r>
  <r>
    <x v="2"/>
    <x v="736"/>
    <n v="1"/>
    <x v="12"/>
    <x v="68"/>
    <x v="381"/>
    <x v="387"/>
    <x v="380"/>
    <x v="11"/>
    <x v="3"/>
    <x v="0"/>
    <x v="0"/>
  </r>
  <r>
    <x v="2"/>
    <x v="737"/>
    <n v="1"/>
    <x v="12"/>
    <x v="0"/>
    <x v="382"/>
    <x v="388"/>
    <x v="381"/>
    <x v="7"/>
    <x v="2"/>
    <x v="3"/>
    <x v="5"/>
  </r>
  <r>
    <x v="2"/>
    <x v="738"/>
    <n v="1"/>
    <x v="12"/>
    <x v="0"/>
    <x v="513"/>
    <x v="523"/>
    <x v="511"/>
    <x v="7"/>
    <x v="2"/>
    <x v="1"/>
    <x v="12"/>
  </r>
  <r>
    <x v="2"/>
    <x v="739"/>
    <n v="2"/>
    <x v="12"/>
    <x v="0"/>
    <x v="142"/>
    <x v="143"/>
    <x v="142"/>
    <x v="7"/>
    <x v="2"/>
    <x v="1"/>
    <x v="7"/>
  </r>
  <r>
    <x v="2"/>
    <x v="740"/>
    <n v="1"/>
    <x v="12"/>
    <x v="0"/>
    <x v="514"/>
    <x v="524"/>
    <x v="512"/>
    <x v="8"/>
    <x v="2"/>
    <x v="3"/>
    <x v="12"/>
  </r>
  <r>
    <x v="2"/>
    <x v="741"/>
    <n v="1"/>
    <x v="12"/>
    <x v="0"/>
    <x v="515"/>
    <x v="525"/>
    <x v="513"/>
    <x v="7"/>
    <x v="2"/>
    <x v="9"/>
    <x v="21"/>
  </r>
  <r>
    <x v="2"/>
    <x v="742"/>
    <n v="3"/>
    <x v="12"/>
    <x v="0"/>
    <x v="516"/>
    <x v="526"/>
    <x v="514"/>
    <x v="4"/>
    <x v="2"/>
    <x v="9"/>
    <x v="15"/>
  </r>
  <r>
    <x v="2"/>
    <x v="743"/>
    <n v="1"/>
    <x v="12"/>
    <x v="0"/>
    <x v="141"/>
    <x v="142"/>
    <x v="141"/>
    <x v="7"/>
    <x v="2"/>
    <x v="1"/>
    <x v="7"/>
  </r>
  <r>
    <x v="2"/>
    <x v="744"/>
    <n v="3"/>
    <x v="12"/>
    <x v="0"/>
    <x v="67"/>
    <x v="67"/>
    <x v="67"/>
    <x v="6"/>
    <x v="2"/>
    <x v="1"/>
    <x v="4"/>
  </r>
  <r>
    <x v="2"/>
    <x v="745"/>
    <n v="3"/>
    <x v="12"/>
    <x v="0"/>
    <x v="224"/>
    <x v="225"/>
    <x v="224"/>
    <x v="7"/>
    <x v="2"/>
    <x v="1"/>
    <x v="6"/>
  </r>
  <r>
    <x v="2"/>
    <x v="746"/>
    <n v="3"/>
    <x v="12"/>
    <x v="0"/>
    <x v="234"/>
    <x v="235"/>
    <x v="234"/>
    <x v="4"/>
    <x v="2"/>
    <x v="1"/>
    <x v="5"/>
  </r>
  <r>
    <x v="2"/>
    <x v="747"/>
    <n v="3"/>
    <x v="12"/>
    <x v="0"/>
    <x v="147"/>
    <x v="148"/>
    <x v="147"/>
    <x v="4"/>
    <x v="2"/>
    <x v="1"/>
    <x v="3"/>
  </r>
  <r>
    <x v="2"/>
    <x v="748"/>
    <n v="1"/>
    <x v="12"/>
    <x v="0"/>
    <x v="402"/>
    <x v="409"/>
    <x v="402"/>
    <x v="6"/>
    <x v="2"/>
    <x v="1"/>
    <x v="4"/>
  </r>
  <r>
    <x v="2"/>
    <x v="749"/>
    <n v="2"/>
    <x v="12"/>
    <x v="0"/>
    <x v="68"/>
    <x v="68"/>
    <x v="68"/>
    <x v="6"/>
    <x v="2"/>
    <x v="1"/>
    <x v="4"/>
  </r>
  <r>
    <x v="2"/>
    <x v="750"/>
    <n v="2"/>
    <x v="12"/>
    <x v="0"/>
    <x v="116"/>
    <x v="117"/>
    <x v="116"/>
    <x v="6"/>
    <x v="2"/>
    <x v="1"/>
    <x v="7"/>
  </r>
  <r>
    <x v="2"/>
    <x v="751"/>
    <n v="1"/>
    <x v="12"/>
    <x v="15"/>
    <x v="157"/>
    <x v="158"/>
    <x v="157"/>
    <x v="8"/>
    <x v="4"/>
    <x v="7"/>
    <x v="18"/>
  </r>
  <r>
    <x v="2"/>
    <x v="752"/>
    <n v="1"/>
    <x v="12"/>
    <x v="15"/>
    <x v="158"/>
    <x v="159"/>
    <x v="158"/>
    <x v="8"/>
    <x v="5"/>
    <x v="7"/>
    <x v="18"/>
  </r>
  <r>
    <x v="2"/>
    <x v="753"/>
    <n v="1"/>
    <x v="12"/>
    <x v="15"/>
    <x v="153"/>
    <x v="154"/>
    <x v="153"/>
    <x v="8"/>
    <x v="2"/>
    <x v="5"/>
    <x v="16"/>
  </r>
  <r>
    <x v="2"/>
    <x v="754"/>
    <n v="1"/>
    <x v="13"/>
    <x v="0"/>
    <x v="517"/>
    <x v="527"/>
    <x v="515"/>
    <x v="0"/>
    <x v="0"/>
    <x v="0"/>
    <x v="0"/>
  </r>
  <r>
    <x v="2"/>
    <x v="755"/>
    <n v="1"/>
    <x v="13"/>
    <x v="0"/>
    <x v="518"/>
    <x v="528"/>
    <x v="516"/>
    <x v="10"/>
    <x v="1"/>
    <x v="0"/>
    <x v="0"/>
  </r>
  <r>
    <x v="2"/>
    <x v="756"/>
    <n v="1"/>
    <x v="13"/>
    <x v="0"/>
    <x v="519"/>
    <x v="529"/>
    <x v="517"/>
    <x v="10"/>
    <x v="1"/>
    <x v="0"/>
    <x v="0"/>
  </r>
  <r>
    <x v="2"/>
    <x v="757"/>
    <n v="1"/>
    <x v="13"/>
    <x v="0"/>
    <x v="520"/>
    <x v="530"/>
    <x v="518"/>
    <x v="9"/>
    <x v="1"/>
    <x v="0"/>
    <x v="0"/>
  </r>
  <r>
    <x v="2"/>
    <x v="758"/>
    <n v="1"/>
    <x v="13"/>
    <x v="69"/>
    <x v="521"/>
    <x v="531"/>
    <x v="519"/>
    <x v="0"/>
    <x v="1"/>
    <x v="0"/>
    <x v="0"/>
  </r>
  <r>
    <x v="2"/>
    <x v="759"/>
    <n v="1"/>
    <x v="13"/>
    <x v="69"/>
    <x v="522"/>
    <x v="532"/>
    <x v="520"/>
    <x v="12"/>
    <x v="1"/>
    <x v="0"/>
    <x v="0"/>
  </r>
  <r>
    <x v="2"/>
    <x v="760"/>
    <n v="1"/>
    <x v="13"/>
    <x v="69"/>
    <x v="523"/>
    <x v="533"/>
    <x v="521"/>
    <x v="10"/>
    <x v="1"/>
    <x v="0"/>
    <x v="0"/>
  </r>
  <r>
    <x v="2"/>
    <x v="761"/>
    <n v="1"/>
    <x v="13"/>
    <x v="69"/>
    <x v="524"/>
    <x v="534"/>
    <x v="522"/>
    <x v="10"/>
    <x v="1"/>
    <x v="0"/>
    <x v="0"/>
  </r>
  <r>
    <x v="2"/>
    <x v="762"/>
    <n v="1"/>
    <x v="13"/>
    <x v="69"/>
    <x v="525"/>
    <x v="535"/>
    <x v="523"/>
    <x v="10"/>
    <x v="1"/>
    <x v="0"/>
    <x v="0"/>
  </r>
  <r>
    <x v="2"/>
    <x v="763"/>
    <n v="1"/>
    <x v="13"/>
    <x v="0"/>
    <x v="526"/>
    <x v="536"/>
    <x v="524"/>
    <x v="13"/>
    <x v="1"/>
    <x v="0"/>
    <x v="0"/>
  </r>
  <r>
    <x v="2"/>
    <x v="764"/>
    <n v="1"/>
    <x v="13"/>
    <x v="0"/>
    <x v="527"/>
    <x v="537"/>
    <x v="525"/>
    <x v="1"/>
    <x v="1"/>
    <x v="0"/>
    <x v="0"/>
  </r>
  <r>
    <x v="2"/>
    <x v="765"/>
    <n v="1"/>
    <x v="13"/>
    <x v="0"/>
    <x v="528"/>
    <x v="538"/>
    <x v="526"/>
    <x v="8"/>
    <x v="2"/>
    <x v="12"/>
    <x v="12"/>
  </r>
  <r>
    <x v="2"/>
    <x v="766"/>
    <n v="2"/>
    <x v="13"/>
    <x v="0"/>
    <x v="116"/>
    <x v="117"/>
    <x v="116"/>
    <x v="6"/>
    <x v="2"/>
    <x v="1"/>
    <x v="7"/>
  </r>
  <r>
    <x v="2"/>
    <x v="767"/>
    <n v="2"/>
    <x v="13"/>
    <x v="0"/>
    <x v="68"/>
    <x v="68"/>
    <x v="68"/>
    <x v="6"/>
    <x v="2"/>
    <x v="1"/>
    <x v="4"/>
  </r>
  <r>
    <x v="2"/>
    <x v="768"/>
    <n v="2"/>
    <x v="13"/>
    <x v="0"/>
    <x v="142"/>
    <x v="143"/>
    <x v="142"/>
    <x v="7"/>
    <x v="2"/>
    <x v="1"/>
    <x v="7"/>
  </r>
  <r>
    <x v="2"/>
    <x v="769"/>
    <n v="1"/>
    <x v="13"/>
    <x v="0"/>
    <x v="141"/>
    <x v="142"/>
    <x v="141"/>
    <x v="7"/>
    <x v="2"/>
    <x v="1"/>
    <x v="7"/>
  </r>
  <r>
    <x v="2"/>
    <x v="770"/>
    <n v="3"/>
    <x v="13"/>
    <x v="0"/>
    <x v="67"/>
    <x v="67"/>
    <x v="67"/>
    <x v="6"/>
    <x v="2"/>
    <x v="1"/>
    <x v="4"/>
  </r>
  <r>
    <x v="2"/>
    <x v="771"/>
    <n v="2"/>
    <x v="13"/>
    <x v="0"/>
    <x v="529"/>
    <x v="539"/>
    <x v="527"/>
    <x v="7"/>
    <x v="2"/>
    <x v="1"/>
    <x v="7"/>
  </r>
  <r>
    <x v="2"/>
    <x v="772"/>
    <n v="1"/>
    <x v="13"/>
    <x v="0"/>
    <x v="402"/>
    <x v="409"/>
    <x v="402"/>
    <x v="6"/>
    <x v="2"/>
    <x v="1"/>
    <x v="4"/>
  </r>
  <r>
    <x v="2"/>
    <x v="773"/>
    <n v="2"/>
    <x v="13"/>
    <x v="0"/>
    <x v="234"/>
    <x v="235"/>
    <x v="234"/>
    <x v="4"/>
    <x v="2"/>
    <x v="1"/>
    <x v="5"/>
  </r>
  <r>
    <x v="2"/>
    <x v="774"/>
    <n v="1"/>
    <x v="13"/>
    <x v="0"/>
    <x v="182"/>
    <x v="183"/>
    <x v="182"/>
    <x v="8"/>
    <x v="2"/>
    <x v="3"/>
    <x v="12"/>
  </r>
  <r>
    <x v="2"/>
    <x v="775"/>
    <n v="2"/>
    <x v="13"/>
    <x v="0"/>
    <x v="179"/>
    <x v="180"/>
    <x v="179"/>
    <x v="8"/>
    <x v="2"/>
    <x v="9"/>
    <x v="19"/>
  </r>
  <r>
    <x v="2"/>
    <x v="776"/>
    <n v="2"/>
    <x v="13"/>
    <x v="0"/>
    <x v="180"/>
    <x v="181"/>
    <x v="180"/>
    <x v="8"/>
    <x v="2"/>
    <x v="1"/>
    <x v="6"/>
  </r>
  <r>
    <x v="2"/>
    <x v="777"/>
    <n v="4"/>
    <x v="13"/>
    <x v="0"/>
    <x v="181"/>
    <x v="182"/>
    <x v="181"/>
    <x v="8"/>
    <x v="2"/>
    <x v="1"/>
    <x v="5"/>
  </r>
  <r>
    <x v="2"/>
    <x v="778"/>
    <n v="1"/>
    <x v="13"/>
    <x v="0"/>
    <x v="178"/>
    <x v="179"/>
    <x v="178"/>
    <x v="8"/>
    <x v="2"/>
    <x v="3"/>
    <x v="12"/>
  </r>
  <r>
    <x v="2"/>
    <x v="779"/>
    <n v="1"/>
    <x v="13"/>
    <x v="70"/>
    <x v="530"/>
    <x v="540"/>
    <x v="184"/>
    <x v="0"/>
    <x v="3"/>
    <x v="0"/>
    <x v="0"/>
  </r>
  <r>
    <x v="2"/>
    <x v="780"/>
    <n v="1"/>
    <x v="13"/>
    <x v="70"/>
    <x v="531"/>
    <x v="541"/>
    <x v="185"/>
    <x v="12"/>
    <x v="3"/>
    <x v="0"/>
    <x v="0"/>
  </r>
  <r>
    <x v="2"/>
    <x v="781"/>
    <n v="2"/>
    <x v="13"/>
    <x v="70"/>
    <x v="532"/>
    <x v="542"/>
    <x v="387"/>
    <x v="7"/>
    <x v="2"/>
    <x v="1"/>
    <x v="11"/>
  </r>
  <r>
    <x v="2"/>
    <x v="782"/>
    <n v="1"/>
    <x v="13"/>
    <x v="0"/>
    <x v="183"/>
    <x v="184"/>
    <x v="183"/>
    <x v="8"/>
    <x v="2"/>
    <x v="4"/>
    <x v="13"/>
  </r>
  <r>
    <x v="2"/>
    <x v="783"/>
    <n v="1"/>
    <x v="13"/>
    <x v="15"/>
    <x v="157"/>
    <x v="158"/>
    <x v="157"/>
    <x v="8"/>
    <x v="4"/>
    <x v="7"/>
    <x v="18"/>
  </r>
  <r>
    <x v="2"/>
    <x v="784"/>
    <n v="1"/>
    <x v="13"/>
    <x v="15"/>
    <x v="158"/>
    <x v="159"/>
    <x v="158"/>
    <x v="8"/>
    <x v="5"/>
    <x v="7"/>
    <x v="18"/>
  </r>
  <r>
    <x v="2"/>
    <x v="785"/>
    <n v="1"/>
    <x v="13"/>
    <x v="15"/>
    <x v="153"/>
    <x v="154"/>
    <x v="153"/>
    <x v="8"/>
    <x v="2"/>
    <x v="5"/>
    <x v="16"/>
  </r>
  <r>
    <x v="2"/>
    <x v="786"/>
    <n v="1"/>
    <x v="13"/>
    <x v="0"/>
    <x v="533"/>
    <x v="543"/>
    <x v="187"/>
    <x v="1"/>
    <x v="1"/>
    <x v="0"/>
    <x v="0"/>
  </r>
  <r>
    <x v="2"/>
    <x v="787"/>
    <n v="1"/>
    <x v="13"/>
    <x v="0"/>
    <x v="186"/>
    <x v="187"/>
    <x v="186"/>
    <x v="4"/>
    <x v="2"/>
    <x v="1"/>
    <x v="5"/>
  </r>
  <r>
    <x v="2"/>
    <x v="788"/>
    <n v="1"/>
    <x v="14"/>
    <x v="0"/>
    <x v="534"/>
    <x v="544"/>
    <x v="528"/>
    <x v="0"/>
    <x v="0"/>
    <x v="0"/>
    <x v="0"/>
  </r>
  <r>
    <x v="2"/>
    <x v="789"/>
    <n v="1"/>
    <x v="14"/>
    <x v="71"/>
    <x v="535"/>
    <x v="545"/>
    <x v="529"/>
    <x v="0"/>
    <x v="0"/>
    <x v="0"/>
    <x v="0"/>
  </r>
  <r>
    <x v="2"/>
    <x v="790"/>
    <n v="1"/>
    <x v="14"/>
    <x v="71"/>
    <x v="536"/>
    <x v="546"/>
    <x v="530"/>
    <x v="10"/>
    <x v="1"/>
    <x v="0"/>
    <x v="0"/>
  </r>
  <r>
    <x v="2"/>
    <x v="791"/>
    <n v="1"/>
    <x v="14"/>
    <x v="71"/>
    <x v="537"/>
    <x v="547"/>
    <x v="531"/>
    <x v="9"/>
    <x v="1"/>
    <x v="0"/>
    <x v="0"/>
  </r>
  <r>
    <x v="2"/>
    <x v="792"/>
    <n v="6"/>
    <x v="14"/>
    <x v="71"/>
    <x v="538"/>
    <x v="548"/>
    <x v="532"/>
    <x v="7"/>
    <x v="2"/>
    <x v="1"/>
    <x v="6"/>
  </r>
  <r>
    <x v="2"/>
    <x v="793"/>
    <n v="3"/>
    <x v="14"/>
    <x v="71"/>
    <x v="178"/>
    <x v="179"/>
    <x v="178"/>
    <x v="8"/>
    <x v="2"/>
    <x v="3"/>
    <x v="12"/>
  </r>
  <r>
    <x v="2"/>
    <x v="794"/>
    <n v="5"/>
    <x v="14"/>
    <x v="71"/>
    <x v="179"/>
    <x v="180"/>
    <x v="179"/>
    <x v="8"/>
    <x v="2"/>
    <x v="9"/>
    <x v="19"/>
  </r>
  <r>
    <x v="2"/>
    <x v="795"/>
    <n v="5"/>
    <x v="14"/>
    <x v="71"/>
    <x v="180"/>
    <x v="181"/>
    <x v="180"/>
    <x v="8"/>
    <x v="2"/>
    <x v="1"/>
    <x v="6"/>
  </r>
  <r>
    <x v="2"/>
    <x v="796"/>
    <n v="10"/>
    <x v="14"/>
    <x v="71"/>
    <x v="181"/>
    <x v="182"/>
    <x v="181"/>
    <x v="8"/>
    <x v="2"/>
    <x v="1"/>
    <x v="5"/>
  </r>
  <r>
    <x v="2"/>
    <x v="797"/>
    <n v="3"/>
    <x v="14"/>
    <x v="71"/>
    <x v="130"/>
    <x v="131"/>
    <x v="130"/>
    <x v="7"/>
    <x v="2"/>
    <x v="1"/>
    <x v="7"/>
  </r>
  <r>
    <x v="2"/>
    <x v="798"/>
    <n v="3"/>
    <x v="14"/>
    <x v="71"/>
    <x v="234"/>
    <x v="235"/>
    <x v="234"/>
    <x v="4"/>
    <x v="2"/>
    <x v="1"/>
    <x v="5"/>
  </r>
  <r>
    <x v="2"/>
    <x v="799"/>
    <n v="4"/>
    <x v="14"/>
    <x v="71"/>
    <x v="539"/>
    <x v="549"/>
    <x v="533"/>
    <x v="8"/>
    <x v="2"/>
    <x v="4"/>
    <x v="13"/>
  </r>
  <r>
    <x v="2"/>
    <x v="800"/>
    <n v="2"/>
    <x v="14"/>
    <x v="72"/>
    <x v="540"/>
    <x v="550"/>
    <x v="184"/>
    <x v="0"/>
    <x v="3"/>
    <x v="0"/>
    <x v="0"/>
  </r>
  <r>
    <x v="2"/>
    <x v="801"/>
    <n v="1"/>
    <x v="14"/>
    <x v="72"/>
    <x v="541"/>
    <x v="551"/>
    <x v="185"/>
    <x v="12"/>
    <x v="3"/>
    <x v="0"/>
    <x v="0"/>
  </r>
  <r>
    <x v="2"/>
    <x v="802"/>
    <n v="2"/>
    <x v="14"/>
    <x v="72"/>
    <x v="94"/>
    <x v="94"/>
    <x v="94"/>
    <x v="7"/>
    <x v="2"/>
    <x v="1"/>
    <x v="11"/>
  </r>
  <r>
    <x v="2"/>
    <x v="803"/>
    <n v="2"/>
    <x v="14"/>
    <x v="73"/>
    <x v="542"/>
    <x v="552"/>
    <x v="184"/>
    <x v="0"/>
    <x v="3"/>
    <x v="0"/>
    <x v="0"/>
  </r>
  <r>
    <x v="2"/>
    <x v="804"/>
    <n v="1"/>
    <x v="14"/>
    <x v="73"/>
    <x v="543"/>
    <x v="553"/>
    <x v="184"/>
    <x v="12"/>
    <x v="3"/>
    <x v="0"/>
    <x v="0"/>
  </r>
  <r>
    <x v="2"/>
    <x v="805"/>
    <n v="2"/>
    <x v="14"/>
    <x v="73"/>
    <x v="388"/>
    <x v="394"/>
    <x v="387"/>
    <x v="7"/>
    <x v="2"/>
    <x v="1"/>
    <x v="11"/>
  </r>
  <r>
    <x v="2"/>
    <x v="806"/>
    <n v="2"/>
    <x v="14"/>
    <x v="71"/>
    <x v="182"/>
    <x v="183"/>
    <x v="182"/>
    <x v="8"/>
    <x v="2"/>
    <x v="3"/>
    <x v="12"/>
  </r>
  <r>
    <x v="2"/>
    <x v="807"/>
    <n v="4"/>
    <x v="14"/>
    <x v="71"/>
    <x v="544"/>
    <x v="554"/>
    <x v="534"/>
    <x v="6"/>
    <x v="2"/>
    <x v="4"/>
    <x v="5"/>
  </r>
  <r>
    <x v="2"/>
    <x v="808"/>
    <n v="1"/>
    <x v="14"/>
    <x v="71"/>
    <x v="545"/>
    <x v="555"/>
    <x v="535"/>
    <x v="10"/>
    <x v="1"/>
    <x v="0"/>
    <x v="0"/>
  </r>
  <r>
    <x v="2"/>
    <x v="809"/>
    <n v="4"/>
    <x v="14"/>
    <x v="0"/>
    <x v="130"/>
    <x v="131"/>
    <x v="130"/>
    <x v="7"/>
    <x v="2"/>
    <x v="1"/>
    <x v="7"/>
  </r>
  <r>
    <x v="2"/>
    <x v="810"/>
    <n v="1"/>
    <x v="14"/>
    <x v="74"/>
    <x v="546"/>
    <x v="556"/>
    <x v="536"/>
    <x v="0"/>
    <x v="0"/>
    <x v="0"/>
    <x v="0"/>
  </r>
  <r>
    <x v="2"/>
    <x v="811"/>
    <n v="1"/>
    <x v="14"/>
    <x v="74"/>
    <x v="547"/>
    <x v="557"/>
    <x v="537"/>
    <x v="1"/>
    <x v="1"/>
    <x v="0"/>
    <x v="0"/>
  </r>
  <r>
    <x v="2"/>
    <x v="812"/>
    <n v="8"/>
    <x v="14"/>
    <x v="74"/>
    <x v="67"/>
    <x v="67"/>
    <x v="67"/>
    <x v="6"/>
    <x v="2"/>
    <x v="1"/>
    <x v="4"/>
  </r>
  <r>
    <x v="2"/>
    <x v="813"/>
    <n v="1"/>
    <x v="15"/>
    <x v="0"/>
    <x v="548"/>
    <x v="558"/>
    <x v="538"/>
    <x v="0"/>
    <x v="0"/>
    <x v="0"/>
    <x v="0"/>
  </r>
  <r>
    <x v="2"/>
    <x v="814"/>
    <n v="1"/>
    <x v="15"/>
    <x v="0"/>
    <x v="549"/>
    <x v="559"/>
    <x v="539"/>
    <x v="1"/>
    <x v="1"/>
    <x v="0"/>
    <x v="0"/>
  </r>
  <r>
    <x v="2"/>
    <x v="815"/>
    <n v="5"/>
    <x v="15"/>
    <x v="0"/>
    <x v="224"/>
    <x v="225"/>
    <x v="224"/>
    <x v="7"/>
    <x v="2"/>
    <x v="1"/>
    <x v="6"/>
  </r>
  <r>
    <x v="2"/>
    <x v="816"/>
    <n v="5"/>
    <x v="15"/>
    <x v="0"/>
    <x v="234"/>
    <x v="235"/>
    <x v="234"/>
    <x v="4"/>
    <x v="2"/>
    <x v="1"/>
    <x v="5"/>
  </r>
  <r>
    <x v="2"/>
    <x v="817"/>
    <n v="5"/>
    <x v="15"/>
    <x v="0"/>
    <x v="147"/>
    <x v="148"/>
    <x v="147"/>
    <x v="4"/>
    <x v="2"/>
    <x v="1"/>
    <x v="3"/>
  </r>
  <r>
    <x v="2"/>
    <x v="818"/>
    <n v="4"/>
    <x v="15"/>
    <x v="0"/>
    <x v="550"/>
    <x v="560"/>
    <x v="540"/>
    <x v="4"/>
    <x v="2"/>
    <x v="1"/>
    <x v="22"/>
  </r>
  <r>
    <x v="2"/>
    <x v="819"/>
    <n v="8"/>
    <x v="15"/>
    <x v="0"/>
    <x v="402"/>
    <x v="409"/>
    <x v="402"/>
    <x v="6"/>
    <x v="2"/>
    <x v="1"/>
    <x v="4"/>
  </r>
  <r>
    <x v="2"/>
    <x v="820"/>
    <n v="1"/>
    <x v="15"/>
    <x v="75"/>
    <x v="551"/>
    <x v="561"/>
    <x v="541"/>
    <x v="0"/>
    <x v="0"/>
    <x v="0"/>
    <x v="0"/>
  </r>
  <r>
    <x v="2"/>
    <x v="821"/>
    <n v="1"/>
    <x v="15"/>
    <x v="75"/>
    <x v="552"/>
    <x v="562"/>
    <x v="542"/>
    <x v="1"/>
    <x v="1"/>
    <x v="0"/>
    <x v="0"/>
  </r>
  <r>
    <x v="2"/>
    <x v="822"/>
    <n v="2"/>
    <x v="15"/>
    <x v="75"/>
    <x v="553"/>
    <x v="563"/>
    <x v="543"/>
    <x v="10"/>
    <x v="1"/>
    <x v="0"/>
    <x v="0"/>
  </r>
  <r>
    <x v="2"/>
    <x v="823"/>
    <n v="2"/>
    <x v="15"/>
    <x v="75"/>
    <x v="554"/>
    <x v="564"/>
    <x v="544"/>
    <x v="12"/>
    <x v="1"/>
    <x v="0"/>
    <x v="0"/>
  </r>
  <r>
    <x v="2"/>
    <x v="824"/>
    <n v="6"/>
    <x v="15"/>
    <x v="75"/>
    <x v="67"/>
    <x v="67"/>
    <x v="67"/>
    <x v="6"/>
    <x v="2"/>
    <x v="1"/>
    <x v="4"/>
  </r>
  <r>
    <x v="2"/>
    <x v="825"/>
    <n v="2"/>
    <x v="15"/>
    <x v="75"/>
    <x v="402"/>
    <x v="409"/>
    <x v="402"/>
    <x v="6"/>
    <x v="2"/>
    <x v="1"/>
    <x v="4"/>
  </r>
  <r>
    <x v="2"/>
    <x v="826"/>
    <n v="2"/>
    <x v="15"/>
    <x v="75"/>
    <x v="122"/>
    <x v="123"/>
    <x v="122"/>
    <x v="13"/>
    <x v="2"/>
    <x v="3"/>
    <x v="12"/>
  </r>
  <r>
    <x v="2"/>
    <x v="827"/>
    <n v="6"/>
    <x v="15"/>
    <x v="75"/>
    <x v="141"/>
    <x v="142"/>
    <x v="141"/>
    <x v="7"/>
    <x v="2"/>
    <x v="1"/>
    <x v="7"/>
  </r>
  <r>
    <x v="2"/>
    <x v="828"/>
    <n v="2"/>
    <x v="15"/>
    <x v="75"/>
    <x v="555"/>
    <x v="565"/>
    <x v="545"/>
    <x v="4"/>
    <x v="2"/>
    <x v="1"/>
    <x v="22"/>
  </r>
  <r>
    <x v="2"/>
    <x v="829"/>
    <n v="2"/>
    <x v="15"/>
    <x v="75"/>
    <x v="94"/>
    <x v="94"/>
    <x v="94"/>
    <x v="7"/>
    <x v="2"/>
    <x v="1"/>
    <x v="11"/>
  </r>
  <r>
    <x v="2"/>
    <x v="830"/>
    <n v="1"/>
    <x v="15"/>
    <x v="76"/>
    <x v="556"/>
    <x v="566"/>
    <x v="546"/>
    <x v="0"/>
    <x v="1"/>
    <x v="0"/>
    <x v="0"/>
  </r>
  <r>
    <x v="2"/>
    <x v="831"/>
    <n v="2"/>
    <x v="15"/>
    <x v="76"/>
    <x v="557"/>
    <x v="567"/>
    <x v="547"/>
    <x v="1"/>
    <x v="1"/>
    <x v="0"/>
    <x v="0"/>
  </r>
  <r>
    <x v="2"/>
    <x v="832"/>
    <n v="2"/>
    <x v="15"/>
    <x v="76"/>
    <x v="558"/>
    <x v="568"/>
    <x v="548"/>
    <x v="10"/>
    <x v="1"/>
    <x v="0"/>
    <x v="0"/>
  </r>
  <r>
    <x v="2"/>
    <x v="833"/>
    <n v="1"/>
    <x v="15"/>
    <x v="76"/>
    <x v="559"/>
    <x v="569"/>
    <x v="549"/>
    <x v="1"/>
    <x v="1"/>
    <x v="0"/>
    <x v="0"/>
  </r>
  <r>
    <x v="2"/>
    <x v="834"/>
    <n v="1"/>
    <x v="15"/>
    <x v="76"/>
    <x v="560"/>
    <x v="570"/>
    <x v="550"/>
    <x v="10"/>
    <x v="1"/>
    <x v="0"/>
    <x v="0"/>
  </r>
  <r>
    <x v="2"/>
    <x v="835"/>
    <n v="1"/>
    <x v="15"/>
    <x v="76"/>
    <x v="561"/>
    <x v="571"/>
    <x v="551"/>
    <x v="1"/>
    <x v="1"/>
    <x v="0"/>
    <x v="0"/>
  </r>
  <r>
    <x v="2"/>
    <x v="836"/>
    <n v="1"/>
    <x v="15"/>
    <x v="76"/>
    <x v="562"/>
    <x v="572"/>
    <x v="552"/>
    <x v="10"/>
    <x v="1"/>
    <x v="0"/>
    <x v="0"/>
  </r>
  <r>
    <x v="2"/>
    <x v="837"/>
    <n v="1"/>
    <x v="15"/>
    <x v="76"/>
    <x v="563"/>
    <x v="573"/>
    <x v="553"/>
    <x v="12"/>
    <x v="1"/>
    <x v="0"/>
    <x v="0"/>
  </r>
  <r>
    <x v="2"/>
    <x v="838"/>
    <n v="1"/>
    <x v="15"/>
    <x v="76"/>
    <x v="564"/>
    <x v="574"/>
    <x v="554"/>
    <x v="12"/>
    <x v="1"/>
    <x v="0"/>
    <x v="0"/>
  </r>
  <r>
    <x v="2"/>
    <x v="839"/>
    <n v="6"/>
    <x v="15"/>
    <x v="76"/>
    <x v="565"/>
    <x v="575"/>
    <x v="555"/>
    <x v="12"/>
    <x v="1"/>
    <x v="0"/>
    <x v="0"/>
  </r>
  <r>
    <x v="2"/>
    <x v="840"/>
    <n v="6"/>
    <x v="15"/>
    <x v="76"/>
    <x v="566"/>
    <x v="576"/>
    <x v="556"/>
    <x v="12"/>
    <x v="1"/>
    <x v="0"/>
    <x v="0"/>
  </r>
  <r>
    <x v="2"/>
    <x v="841"/>
    <n v="1"/>
    <x v="15"/>
    <x v="76"/>
    <x v="567"/>
    <x v="577"/>
    <x v="557"/>
    <x v="9"/>
    <x v="1"/>
    <x v="0"/>
    <x v="0"/>
  </r>
  <r>
    <x v="2"/>
    <x v="842"/>
    <n v="1"/>
    <x v="15"/>
    <x v="76"/>
    <x v="568"/>
    <x v="578"/>
    <x v="558"/>
    <x v="10"/>
    <x v="1"/>
    <x v="0"/>
    <x v="0"/>
  </r>
  <r>
    <x v="2"/>
    <x v="843"/>
    <n v="1"/>
    <x v="15"/>
    <x v="76"/>
    <x v="569"/>
    <x v="579"/>
    <x v="559"/>
    <x v="12"/>
    <x v="1"/>
    <x v="0"/>
    <x v="0"/>
  </r>
  <r>
    <x v="2"/>
    <x v="844"/>
    <n v="1"/>
    <x v="15"/>
    <x v="76"/>
    <x v="570"/>
    <x v="580"/>
    <x v="560"/>
    <x v="10"/>
    <x v="1"/>
    <x v="0"/>
    <x v="0"/>
  </r>
  <r>
    <x v="2"/>
    <x v="845"/>
    <n v="1"/>
    <x v="15"/>
    <x v="76"/>
    <x v="571"/>
    <x v="581"/>
    <x v="561"/>
    <x v="12"/>
    <x v="1"/>
    <x v="0"/>
    <x v="0"/>
  </r>
  <r>
    <x v="2"/>
    <x v="846"/>
    <n v="1"/>
    <x v="15"/>
    <x v="76"/>
    <x v="572"/>
    <x v="582"/>
    <x v="562"/>
    <x v="12"/>
    <x v="1"/>
    <x v="0"/>
    <x v="0"/>
  </r>
  <r>
    <x v="2"/>
    <x v="847"/>
    <n v="1"/>
    <x v="15"/>
    <x v="76"/>
    <x v="573"/>
    <x v="583"/>
    <x v="563"/>
    <x v="12"/>
    <x v="1"/>
    <x v="0"/>
    <x v="0"/>
  </r>
  <r>
    <x v="2"/>
    <x v="848"/>
    <n v="1"/>
    <x v="15"/>
    <x v="76"/>
    <x v="574"/>
    <x v="584"/>
    <x v="564"/>
    <x v="12"/>
    <x v="1"/>
    <x v="0"/>
    <x v="0"/>
  </r>
  <r>
    <x v="2"/>
    <x v="849"/>
    <n v="1"/>
    <x v="15"/>
    <x v="76"/>
    <x v="575"/>
    <x v="585"/>
    <x v="565"/>
    <x v="12"/>
    <x v="1"/>
    <x v="0"/>
    <x v="0"/>
  </r>
  <r>
    <x v="2"/>
    <x v="850"/>
    <n v="1"/>
    <x v="15"/>
    <x v="76"/>
    <x v="576"/>
    <x v="586"/>
    <x v="566"/>
    <x v="12"/>
    <x v="1"/>
    <x v="0"/>
    <x v="0"/>
  </r>
  <r>
    <x v="2"/>
    <x v="851"/>
    <n v="1"/>
    <x v="15"/>
    <x v="76"/>
    <x v="577"/>
    <x v="587"/>
    <x v="567"/>
    <x v="12"/>
    <x v="1"/>
    <x v="0"/>
    <x v="0"/>
  </r>
  <r>
    <x v="2"/>
    <x v="852"/>
    <n v="1"/>
    <x v="15"/>
    <x v="76"/>
    <x v="578"/>
    <x v="588"/>
    <x v="568"/>
    <x v="12"/>
    <x v="1"/>
    <x v="0"/>
    <x v="0"/>
  </r>
  <r>
    <x v="2"/>
    <x v="853"/>
    <n v="1"/>
    <x v="15"/>
    <x v="76"/>
    <x v="579"/>
    <x v="589"/>
    <x v="569"/>
    <x v="12"/>
    <x v="1"/>
    <x v="0"/>
    <x v="0"/>
  </r>
  <r>
    <x v="2"/>
    <x v="854"/>
    <n v="1"/>
    <x v="15"/>
    <x v="76"/>
    <x v="580"/>
    <x v="590"/>
    <x v="570"/>
    <x v="12"/>
    <x v="1"/>
    <x v="0"/>
    <x v="0"/>
  </r>
  <r>
    <x v="2"/>
    <x v="855"/>
    <n v="1"/>
    <x v="15"/>
    <x v="76"/>
    <x v="581"/>
    <x v="591"/>
    <x v="571"/>
    <x v="12"/>
    <x v="1"/>
    <x v="0"/>
    <x v="0"/>
  </r>
  <r>
    <x v="2"/>
    <x v="856"/>
    <n v="20"/>
    <x v="15"/>
    <x v="76"/>
    <x v="582"/>
    <x v="592"/>
    <x v="572"/>
    <x v="7"/>
    <x v="2"/>
    <x v="1"/>
    <x v="22"/>
  </r>
  <r>
    <x v="2"/>
    <x v="857"/>
    <n v="3"/>
    <x v="15"/>
    <x v="77"/>
    <x v="184"/>
    <x v="185"/>
    <x v="184"/>
    <x v="0"/>
    <x v="3"/>
    <x v="0"/>
    <x v="0"/>
  </r>
  <r>
    <x v="2"/>
    <x v="858"/>
    <n v="1"/>
    <x v="15"/>
    <x v="77"/>
    <x v="185"/>
    <x v="186"/>
    <x v="185"/>
    <x v="12"/>
    <x v="3"/>
    <x v="0"/>
    <x v="0"/>
  </r>
  <r>
    <x v="2"/>
    <x v="859"/>
    <n v="2"/>
    <x v="15"/>
    <x v="77"/>
    <x v="94"/>
    <x v="94"/>
    <x v="94"/>
    <x v="7"/>
    <x v="2"/>
    <x v="1"/>
    <x v="11"/>
  </r>
  <r>
    <x v="2"/>
    <x v="860"/>
    <n v="1"/>
    <x v="15"/>
    <x v="78"/>
    <x v="583"/>
    <x v="593"/>
    <x v="573"/>
    <x v="0"/>
    <x v="0"/>
    <x v="0"/>
    <x v="0"/>
  </r>
  <r>
    <x v="2"/>
    <x v="861"/>
    <n v="1"/>
    <x v="15"/>
    <x v="78"/>
    <x v="584"/>
    <x v="594"/>
    <x v="574"/>
    <x v="8"/>
    <x v="1"/>
    <x v="0"/>
    <x v="0"/>
  </r>
  <r>
    <x v="2"/>
    <x v="862"/>
    <n v="1"/>
    <x v="15"/>
    <x v="78"/>
    <x v="585"/>
    <x v="595"/>
    <x v="575"/>
    <x v="8"/>
    <x v="2"/>
    <x v="2"/>
    <x v="15"/>
  </r>
  <r>
    <x v="2"/>
    <x v="863"/>
    <n v="1"/>
    <x v="15"/>
    <x v="78"/>
    <x v="586"/>
    <x v="596"/>
    <x v="576"/>
    <x v="8"/>
    <x v="2"/>
    <x v="6"/>
    <x v="14"/>
  </r>
  <r>
    <x v="2"/>
    <x v="864"/>
    <n v="5"/>
    <x v="15"/>
    <x v="78"/>
    <x v="587"/>
    <x v="597"/>
    <x v="577"/>
    <x v="8"/>
    <x v="2"/>
    <x v="6"/>
    <x v="14"/>
  </r>
  <r>
    <x v="2"/>
    <x v="865"/>
    <n v="2"/>
    <x v="15"/>
    <x v="78"/>
    <x v="588"/>
    <x v="598"/>
    <x v="578"/>
    <x v="8"/>
    <x v="2"/>
    <x v="2"/>
    <x v="8"/>
  </r>
  <r>
    <x v="2"/>
    <x v="866"/>
    <n v="1"/>
    <x v="15"/>
    <x v="78"/>
    <x v="589"/>
    <x v="599"/>
    <x v="579"/>
    <x v="8"/>
    <x v="2"/>
    <x v="3"/>
    <x v="12"/>
  </r>
  <r>
    <x v="2"/>
    <x v="867"/>
    <n v="1"/>
    <x v="15"/>
    <x v="78"/>
    <x v="590"/>
    <x v="600"/>
    <x v="580"/>
    <x v="8"/>
    <x v="2"/>
    <x v="3"/>
    <x v="5"/>
  </r>
  <r>
    <x v="2"/>
    <x v="868"/>
    <n v="3"/>
    <x v="15"/>
    <x v="78"/>
    <x v="539"/>
    <x v="549"/>
    <x v="533"/>
    <x v="8"/>
    <x v="2"/>
    <x v="4"/>
    <x v="13"/>
  </r>
  <r>
    <x v="2"/>
    <x v="869"/>
    <n v="3"/>
    <x v="15"/>
    <x v="78"/>
    <x v="591"/>
    <x v="601"/>
    <x v="581"/>
    <x v="4"/>
    <x v="2"/>
    <x v="1"/>
    <x v="13"/>
  </r>
  <r>
    <x v="2"/>
    <x v="870"/>
    <n v="3"/>
    <x v="15"/>
    <x v="78"/>
    <x v="544"/>
    <x v="554"/>
    <x v="534"/>
    <x v="6"/>
    <x v="2"/>
    <x v="4"/>
    <x v="5"/>
  </r>
  <r>
    <x v="2"/>
    <x v="871"/>
    <n v="2"/>
    <x v="15"/>
    <x v="78"/>
    <x v="592"/>
    <x v="602"/>
    <x v="582"/>
    <x v="0"/>
    <x v="2"/>
    <x v="2"/>
    <x v="15"/>
  </r>
  <r>
    <x v="2"/>
    <x v="872"/>
    <n v="1"/>
    <x v="15"/>
    <x v="78"/>
    <x v="593"/>
    <x v="603"/>
    <x v="583"/>
    <x v="0"/>
    <x v="2"/>
    <x v="2"/>
    <x v="15"/>
  </r>
  <r>
    <x v="2"/>
    <x v="873"/>
    <n v="5"/>
    <x v="15"/>
    <x v="78"/>
    <x v="594"/>
    <x v="604"/>
    <x v="584"/>
    <x v="16"/>
    <x v="2"/>
    <x v="0"/>
    <x v="23"/>
  </r>
  <r>
    <x v="2"/>
    <x v="874"/>
    <n v="2"/>
    <x v="15"/>
    <x v="78"/>
    <x v="595"/>
    <x v="605"/>
    <x v="584"/>
    <x v="16"/>
    <x v="2"/>
    <x v="0"/>
    <x v="23"/>
  </r>
  <r>
    <x v="2"/>
    <x v="875"/>
    <n v="1"/>
    <x v="15"/>
    <x v="78"/>
    <x v="596"/>
    <x v="606"/>
    <x v="585"/>
    <x v="16"/>
    <x v="2"/>
    <x v="0"/>
    <x v="23"/>
  </r>
  <r>
    <x v="2"/>
    <x v="876"/>
    <n v="13"/>
    <x v="15"/>
    <x v="76"/>
    <x v="597"/>
    <x v="607"/>
    <x v="586"/>
    <x v="12"/>
    <x v="1"/>
    <x v="0"/>
    <x v="0"/>
  </r>
  <r>
    <x v="2"/>
    <x v="877"/>
    <n v="1"/>
    <x v="15"/>
    <x v="79"/>
    <x v="598"/>
    <x v="608"/>
    <x v="587"/>
    <x v="0"/>
    <x v="0"/>
    <x v="0"/>
    <x v="0"/>
  </r>
  <r>
    <x v="2"/>
    <x v="878"/>
    <n v="1"/>
    <x v="15"/>
    <x v="79"/>
    <x v="599"/>
    <x v="609"/>
    <x v="588"/>
    <x v="1"/>
    <x v="1"/>
    <x v="0"/>
    <x v="0"/>
  </r>
  <r>
    <x v="2"/>
    <x v="879"/>
    <n v="1"/>
    <x v="15"/>
    <x v="79"/>
    <x v="600"/>
    <x v="610"/>
    <x v="589"/>
    <x v="1"/>
    <x v="1"/>
    <x v="0"/>
    <x v="0"/>
  </r>
  <r>
    <x v="2"/>
    <x v="880"/>
    <n v="1"/>
    <x v="15"/>
    <x v="79"/>
    <x v="601"/>
    <x v="611"/>
    <x v="590"/>
    <x v="8"/>
    <x v="1"/>
    <x v="0"/>
    <x v="0"/>
  </r>
  <r>
    <x v="2"/>
    <x v="881"/>
    <n v="2"/>
    <x v="15"/>
    <x v="79"/>
    <x v="117"/>
    <x v="118"/>
    <x v="117"/>
    <x v="6"/>
    <x v="2"/>
    <x v="1"/>
    <x v="5"/>
  </r>
  <r>
    <x v="2"/>
    <x v="882"/>
    <n v="2"/>
    <x v="15"/>
    <x v="79"/>
    <x v="78"/>
    <x v="78"/>
    <x v="78"/>
    <x v="4"/>
    <x v="2"/>
    <x v="1"/>
    <x v="7"/>
  </r>
  <r>
    <x v="2"/>
    <x v="883"/>
    <n v="1"/>
    <x v="15"/>
    <x v="79"/>
    <x v="602"/>
    <x v="612"/>
    <x v="591"/>
    <x v="12"/>
    <x v="1"/>
    <x v="0"/>
    <x v="0"/>
  </r>
  <r>
    <x v="2"/>
    <x v="884"/>
    <n v="1"/>
    <x v="15"/>
    <x v="79"/>
    <x v="603"/>
    <x v="613"/>
    <x v="592"/>
    <x v="12"/>
    <x v="1"/>
    <x v="0"/>
    <x v="0"/>
  </r>
  <r>
    <x v="2"/>
    <x v="885"/>
    <n v="1"/>
    <x v="15"/>
    <x v="79"/>
    <x v="604"/>
    <x v="614"/>
    <x v="593"/>
    <x v="12"/>
    <x v="1"/>
    <x v="0"/>
    <x v="0"/>
  </r>
  <r>
    <x v="2"/>
    <x v="886"/>
    <n v="1"/>
    <x v="15"/>
    <x v="79"/>
    <x v="605"/>
    <x v="615"/>
    <x v="594"/>
    <x v="12"/>
    <x v="1"/>
    <x v="0"/>
    <x v="0"/>
  </r>
  <r>
    <x v="2"/>
    <x v="887"/>
    <n v="1"/>
    <x v="15"/>
    <x v="79"/>
    <x v="606"/>
    <x v="616"/>
    <x v="595"/>
    <x v="12"/>
    <x v="1"/>
    <x v="0"/>
    <x v="0"/>
  </r>
  <r>
    <x v="2"/>
    <x v="888"/>
    <n v="1"/>
    <x v="15"/>
    <x v="79"/>
    <x v="607"/>
    <x v="617"/>
    <x v="596"/>
    <x v="12"/>
    <x v="1"/>
    <x v="0"/>
    <x v="0"/>
  </r>
  <r>
    <x v="2"/>
    <x v="889"/>
    <n v="1"/>
    <x v="15"/>
    <x v="79"/>
    <x v="608"/>
    <x v="618"/>
    <x v="597"/>
    <x v="12"/>
    <x v="1"/>
    <x v="0"/>
    <x v="0"/>
  </r>
  <r>
    <x v="2"/>
    <x v="890"/>
    <n v="7"/>
    <x v="15"/>
    <x v="79"/>
    <x v="609"/>
    <x v="619"/>
    <x v="598"/>
    <x v="12"/>
    <x v="1"/>
    <x v="0"/>
    <x v="0"/>
  </r>
  <r>
    <x v="2"/>
    <x v="891"/>
    <n v="2"/>
    <x v="15"/>
    <x v="75"/>
    <x v="124"/>
    <x v="125"/>
    <x v="124"/>
    <x v="8"/>
    <x v="2"/>
    <x v="1"/>
    <x v="12"/>
  </r>
  <r>
    <x v="2"/>
    <x v="892"/>
    <n v="2"/>
    <x v="15"/>
    <x v="75"/>
    <x v="96"/>
    <x v="96"/>
    <x v="96"/>
    <x v="8"/>
    <x v="2"/>
    <x v="3"/>
    <x v="5"/>
  </r>
  <r>
    <x v="2"/>
    <x v="893"/>
    <n v="1"/>
    <x v="15"/>
    <x v="80"/>
    <x v="610"/>
    <x v="620"/>
    <x v="599"/>
    <x v="0"/>
    <x v="0"/>
    <x v="0"/>
    <x v="0"/>
  </r>
  <r>
    <x v="2"/>
    <x v="894"/>
    <n v="1"/>
    <x v="15"/>
    <x v="80"/>
    <x v="611"/>
    <x v="621"/>
    <x v="600"/>
    <x v="1"/>
    <x v="1"/>
    <x v="0"/>
    <x v="0"/>
  </r>
  <r>
    <x v="2"/>
    <x v="895"/>
    <n v="1"/>
    <x v="15"/>
    <x v="80"/>
    <x v="612"/>
    <x v="622"/>
    <x v="601"/>
    <x v="1"/>
    <x v="1"/>
    <x v="0"/>
    <x v="0"/>
  </r>
  <r>
    <x v="2"/>
    <x v="896"/>
    <n v="1"/>
    <x v="15"/>
    <x v="80"/>
    <x v="613"/>
    <x v="623"/>
    <x v="602"/>
    <x v="12"/>
    <x v="1"/>
    <x v="0"/>
    <x v="0"/>
  </r>
  <r>
    <x v="2"/>
    <x v="897"/>
    <n v="10"/>
    <x v="15"/>
    <x v="80"/>
    <x v="67"/>
    <x v="67"/>
    <x v="67"/>
    <x v="6"/>
    <x v="2"/>
    <x v="1"/>
    <x v="4"/>
  </r>
  <r>
    <x v="2"/>
    <x v="898"/>
    <n v="10"/>
    <x v="15"/>
    <x v="80"/>
    <x v="614"/>
    <x v="624"/>
    <x v="603"/>
    <x v="7"/>
    <x v="2"/>
    <x v="1"/>
    <x v="29"/>
  </r>
  <r>
    <x v="2"/>
    <x v="899"/>
    <n v="2"/>
    <x v="15"/>
    <x v="80"/>
    <x v="615"/>
    <x v="625"/>
    <x v="604"/>
    <x v="8"/>
    <x v="2"/>
    <x v="2"/>
    <x v="8"/>
  </r>
  <r>
    <x v="2"/>
    <x v="900"/>
    <n v="1"/>
    <x v="15"/>
    <x v="80"/>
    <x v="616"/>
    <x v="626"/>
    <x v="605"/>
    <x v="8"/>
    <x v="2"/>
    <x v="2"/>
    <x v="15"/>
  </r>
  <r>
    <x v="2"/>
    <x v="901"/>
    <n v="1"/>
    <x v="15"/>
    <x v="80"/>
    <x v="617"/>
    <x v="627"/>
    <x v="606"/>
    <x v="8"/>
    <x v="2"/>
    <x v="2"/>
    <x v="15"/>
  </r>
  <r>
    <x v="2"/>
    <x v="902"/>
    <n v="1"/>
    <x v="15"/>
    <x v="80"/>
    <x v="618"/>
    <x v="628"/>
    <x v="607"/>
    <x v="16"/>
    <x v="2"/>
    <x v="2"/>
    <x v="15"/>
  </r>
  <r>
    <x v="2"/>
    <x v="903"/>
    <n v="1"/>
    <x v="15"/>
    <x v="80"/>
    <x v="619"/>
    <x v="629"/>
    <x v="608"/>
    <x v="8"/>
    <x v="2"/>
    <x v="3"/>
    <x v="12"/>
  </r>
  <r>
    <x v="2"/>
    <x v="904"/>
    <n v="2"/>
    <x v="15"/>
    <x v="80"/>
    <x v="614"/>
    <x v="630"/>
    <x v="603"/>
    <x v="7"/>
    <x v="2"/>
    <x v="1"/>
    <x v="29"/>
  </r>
  <r>
    <x v="2"/>
    <x v="905"/>
    <n v="2"/>
    <x v="15"/>
    <x v="80"/>
    <x v="620"/>
    <x v="631"/>
    <x v="609"/>
    <x v="7"/>
    <x v="2"/>
    <x v="1"/>
    <x v="3"/>
  </r>
  <r>
    <x v="2"/>
    <x v="906"/>
    <n v="2"/>
    <x v="15"/>
    <x v="80"/>
    <x v="117"/>
    <x v="118"/>
    <x v="117"/>
    <x v="6"/>
    <x v="2"/>
    <x v="1"/>
    <x v="5"/>
  </r>
  <r>
    <x v="2"/>
    <x v="907"/>
    <n v="4"/>
    <x v="15"/>
    <x v="80"/>
    <x v="110"/>
    <x v="111"/>
    <x v="110"/>
    <x v="6"/>
    <x v="2"/>
    <x v="1"/>
    <x v="4"/>
  </r>
  <r>
    <x v="2"/>
    <x v="908"/>
    <n v="4"/>
    <x v="15"/>
    <x v="80"/>
    <x v="621"/>
    <x v="632"/>
    <x v="610"/>
    <x v="7"/>
    <x v="2"/>
    <x v="1"/>
    <x v="3"/>
  </r>
  <r>
    <x v="2"/>
    <x v="909"/>
    <n v="1"/>
    <x v="15"/>
    <x v="0"/>
    <x v="622"/>
    <x v="633"/>
    <x v="611"/>
    <x v="17"/>
    <x v="1"/>
    <x v="0"/>
    <x v="0"/>
  </r>
  <r>
    <x v="2"/>
    <x v="910"/>
    <n v="2"/>
    <x v="8"/>
    <x v="81"/>
    <x v="329"/>
    <x v="333"/>
    <x v="328"/>
    <x v="8"/>
    <x v="3"/>
    <x v="0"/>
    <x v="0"/>
  </r>
  <r>
    <x v="2"/>
    <x v="911"/>
    <n v="1"/>
    <x v="8"/>
    <x v="81"/>
    <x v="330"/>
    <x v="334"/>
    <x v="329"/>
    <x v="8"/>
    <x v="3"/>
    <x v="0"/>
    <x v="0"/>
  </r>
  <r>
    <x v="2"/>
    <x v="912"/>
    <n v="1"/>
    <x v="8"/>
    <x v="81"/>
    <x v="153"/>
    <x v="154"/>
    <x v="153"/>
    <x v="8"/>
    <x v="2"/>
    <x v="5"/>
    <x v="16"/>
  </r>
  <r>
    <x v="2"/>
    <x v="913"/>
    <n v="16"/>
    <x v="8"/>
    <x v="0"/>
    <x v="623"/>
    <x v="634"/>
    <x v="612"/>
    <x v="4"/>
    <x v="2"/>
    <x v="1"/>
    <x v="24"/>
  </r>
  <r>
    <x v="2"/>
    <x v="914"/>
    <n v="8"/>
    <x v="8"/>
    <x v="0"/>
    <x v="475"/>
    <x v="485"/>
    <x v="476"/>
    <x v="4"/>
    <x v="2"/>
    <x v="1"/>
    <x v="3"/>
  </r>
  <r>
    <x v="2"/>
    <x v="915"/>
    <n v="22"/>
    <x v="8"/>
    <x v="0"/>
    <x v="293"/>
    <x v="296"/>
    <x v="292"/>
    <x v="4"/>
    <x v="2"/>
    <x v="1"/>
    <x v="3"/>
  </r>
  <r>
    <x v="2"/>
    <x v="916"/>
    <n v="26"/>
    <x v="8"/>
    <x v="0"/>
    <x v="234"/>
    <x v="235"/>
    <x v="234"/>
    <x v="4"/>
    <x v="2"/>
    <x v="1"/>
    <x v="5"/>
  </r>
  <r>
    <x v="2"/>
    <x v="917"/>
    <n v="8"/>
    <x v="8"/>
    <x v="0"/>
    <x v="147"/>
    <x v="148"/>
    <x v="147"/>
    <x v="4"/>
    <x v="2"/>
    <x v="1"/>
    <x v="3"/>
  </r>
  <r>
    <x v="2"/>
    <x v="918"/>
    <n v="4"/>
    <x v="8"/>
    <x v="0"/>
    <x v="624"/>
    <x v="635"/>
    <x v="613"/>
    <x v="4"/>
    <x v="2"/>
    <x v="1"/>
    <x v="3"/>
  </r>
  <r>
    <x v="2"/>
    <x v="919"/>
    <n v="9"/>
    <x v="8"/>
    <x v="0"/>
    <x v="54"/>
    <x v="54"/>
    <x v="54"/>
    <x v="4"/>
    <x v="2"/>
    <x v="1"/>
    <x v="3"/>
  </r>
  <r>
    <x v="2"/>
    <x v="920"/>
    <n v="33"/>
    <x v="8"/>
    <x v="0"/>
    <x v="51"/>
    <x v="51"/>
    <x v="51"/>
    <x v="4"/>
    <x v="2"/>
    <x v="1"/>
    <x v="1"/>
  </r>
  <r>
    <x v="2"/>
    <x v="921"/>
    <n v="44"/>
    <x v="8"/>
    <x v="0"/>
    <x v="57"/>
    <x v="57"/>
    <x v="57"/>
    <x v="4"/>
    <x v="2"/>
    <x v="1"/>
    <x v="6"/>
  </r>
  <r>
    <x v="2"/>
    <x v="922"/>
    <n v="17"/>
    <x v="8"/>
    <x v="0"/>
    <x v="59"/>
    <x v="59"/>
    <x v="59"/>
    <x v="4"/>
    <x v="2"/>
    <x v="1"/>
    <x v="7"/>
  </r>
  <r>
    <x v="2"/>
    <x v="923"/>
    <n v="6"/>
    <x v="8"/>
    <x v="0"/>
    <x v="142"/>
    <x v="143"/>
    <x v="142"/>
    <x v="7"/>
    <x v="2"/>
    <x v="1"/>
    <x v="7"/>
  </r>
  <r>
    <x v="2"/>
    <x v="924"/>
    <n v="3"/>
    <x v="8"/>
    <x v="0"/>
    <x v="148"/>
    <x v="149"/>
    <x v="148"/>
    <x v="11"/>
    <x v="2"/>
    <x v="1"/>
    <x v="9"/>
  </r>
  <r>
    <x v="2"/>
    <x v="925"/>
    <n v="7"/>
    <x v="8"/>
    <x v="0"/>
    <x v="116"/>
    <x v="117"/>
    <x v="116"/>
    <x v="6"/>
    <x v="2"/>
    <x v="1"/>
    <x v="7"/>
  </r>
  <r>
    <x v="2"/>
    <x v="926"/>
    <n v="3"/>
    <x v="8"/>
    <x v="0"/>
    <x v="156"/>
    <x v="157"/>
    <x v="156"/>
    <x v="7"/>
    <x v="2"/>
    <x v="1"/>
    <x v="6"/>
  </r>
  <r>
    <x v="2"/>
    <x v="927"/>
    <n v="3"/>
    <x v="8"/>
    <x v="0"/>
    <x v="296"/>
    <x v="299"/>
    <x v="295"/>
    <x v="7"/>
    <x v="2"/>
    <x v="1"/>
    <x v="7"/>
  </r>
  <r>
    <x v="2"/>
    <x v="928"/>
    <n v="4"/>
    <x v="8"/>
    <x v="0"/>
    <x v="249"/>
    <x v="250"/>
    <x v="248"/>
    <x v="4"/>
    <x v="2"/>
    <x v="1"/>
    <x v="6"/>
  </r>
  <r>
    <x v="2"/>
    <x v="929"/>
    <n v="6"/>
    <x v="8"/>
    <x v="0"/>
    <x v="260"/>
    <x v="262"/>
    <x v="258"/>
    <x v="4"/>
    <x v="2"/>
    <x v="1"/>
    <x v="6"/>
  </r>
  <r>
    <x v="2"/>
    <x v="930"/>
    <n v="6"/>
    <x v="8"/>
    <x v="0"/>
    <x v="256"/>
    <x v="257"/>
    <x v="255"/>
    <x v="4"/>
    <x v="2"/>
    <x v="1"/>
    <x v="24"/>
  </r>
  <r>
    <x v="2"/>
    <x v="931"/>
    <n v="6"/>
    <x v="8"/>
    <x v="0"/>
    <x v="67"/>
    <x v="67"/>
    <x v="67"/>
    <x v="6"/>
    <x v="2"/>
    <x v="1"/>
    <x v="4"/>
  </r>
  <r>
    <x v="2"/>
    <x v="932"/>
    <n v="6"/>
    <x v="8"/>
    <x v="0"/>
    <x v="332"/>
    <x v="336"/>
    <x v="331"/>
    <x v="4"/>
    <x v="2"/>
    <x v="1"/>
    <x v="5"/>
  </r>
  <r>
    <x v="2"/>
    <x v="933"/>
    <n v="17"/>
    <x v="8"/>
    <x v="0"/>
    <x v="227"/>
    <x v="228"/>
    <x v="227"/>
    <x v="7"/>
    <x v="2"/>
    <x v="1"/>
    <x v="7"/>
  </r>
  <r>
    <x v="2"/>
    <x v="934"/>
    <n v="22"/>
    <x v="8"/>
    <x v="0"/>
    <x v="56"/>
    <x v="56"/>
    <x v="56"/>
    <x v="7"/>
    <x v="2"/>
    <x v="1"/>
    <x v="5"/>
  </r>
  <r>
    <x v="2"/>
    <x v="935"/>
    <n v="4"/>
    <x v="8"/>
    <x v="0"/>
    <x v="58"/>
    <x v="58"/>
    <x v="58"/>
    <x v="4"/>
    <x v="2"/>
    <x v="1"/>
    <x v="7"/>
  </r>
  <r>
    <x v="2"/>
    <x v="936"/>
    <n v="11"/>
    <x v="8"/>
    <x v="0"/>
    <x v="55"/>
    <x v="55"/>
    <x v="55"/>
    <x v="6"/>
    <x v="2"/>
    <x v="1"/>
    <x v="4"/>
  </r>
  <r>
    <x v="2"/>
    <x v="937"/>
    <n v="14"/>
    <x v="8"/>
    <x v="0"/>
    <x v="52"/>
    <x v="52"/>
    <x v="52"/>
    <x v="5"/>
    <x v="2"/>
    <x v="1"/>
    <x v="2"/>
  </r>
  <r>
    <x v="2"/>
    <x v="938"/>
    <n v="2"/>
    <x v="8"/>
    <x v="0"/>
    <x v="625"/>
    <x v="636"/>
    <x v="614"/>
    <x v="8"/>
    <x v="2"/>
    <x v="6"/>
    <x v="14"/>
  </r>
  <r>
    <x v="2"/>
    <x v="939"/>
    <n v="2"/>
    <x v="8"/>
    <x v="0"/>
    <x v="145"/>
    <x v="146"/>
    <x v="145"/>
    <x v="8"/>
    <x v="2"/>
    <x v="2"/>
    <x v="14"/>
  </r>
  <r>
    <x v="2"/>
    <x v="940"/>
    <n v="1"/>
    <x v="8"/>
    <x v="13"/>
    <x v="150"/>
    <x v="151"/>
    <x v="150"/>
    <x v="8"/>
    <x v="4"/>
    <x v="7"/>
    <x v="18"/>
  </r>
  <r>
    <x v="2"/>
    <x v="941"/>
    <n v="1"/>
    <x v="8"/>
    <x v="13"/>
    <x v="151"/>
    <x v="152"/>
    <x v="151"/>
    <x v="8"/>
    <x v="5"/>
    <x v="7"/>
    <x v="18"/>
  </r>
  <r>
    <x v="2"/>
    <x v="942"/>
    <n v="2"/>
    <x v="8"/>
    <x v="14"/>
    <x v="152"/>
    <x v="153"/>
    <x v="152"/>
    <x v="8"/>
    <x v="2"/>
    <x v="8"/>
    <x v="2"/>
  </r>
  <r>
    <x v="2"/>
    <x v="943"/>
    <n v="1"/>
    <x v="8"/>
    <x v="14"/>
    <x v="153"/>
    <x v="154"/>
    <x v="153"/>
    <x v="8"/>
    <x v="2"/>
    <x v="5"/>
    <x v="16"/>
  </r>
  <r>
    <x v="2"/>
    <x v="944"/>
    <n v="2"/>
    <x v="8"/>
    <x v="0"/>
    <x v="274"/>
    <x v="276"/>
    <x v="272"/>
    <x v="8"/>
    <x v="2"/>
    <x v="2"/>
    <x v="27"/>
  </r>
  <r>
    <x v="2"/>
    <x v="945"/>
    <n v="1"/>
    <x v="8"/>
    <x v="15"/>
    <x v="157"/>
    <x v="158"/>
    <x v="157"/>
    <x v="8"/>
    <x v="4"/>
    <x v="7"/>
    <x v="18"/>
  </r>
  <r>
    <x v="2"/>
    <x v="946"/>
    <n v="1"/>
    <x v="8"/>
    <x v="15"/>
    <x v="158"/>
    <x v="159"/>
    <x v="158"/>
    <x v="8"/>
    <x v="5"/>
    <x v="7"/>
    <x v="18"/>
  </r>
  <r>
    <x v="2"/>
    <x v="947"/>
    <n v="1"/>
    <x v="8"/>
    <x v="15"/>
    <x v="153"/>
    <x v="154"/>
    <x v="153"/>
    <x v="8"/>
    <x v="2"/>
    <x v="5"/>
    <x v="16"/>
  </r>
  <r>
    <x v="2"/>
    <x v="948"/>
    <n v="4"/>
    <x v="8"/>
    <x v="0"/>
    <x v="626"/>
    <x v="637"/>
    <x v="615"/>
    <x v="11"/>
    <x v="2"/>
    <x v="1"/>
    <x v="9"/>
  </r>
  <r>
    <x v="2"/>
    <x v="949"/>
    <n v="4"/>
    <x v="8"/>
    <x v="0"/>
    <x v="627"/>
    <x v="638"/>
    <x v="616"/>
    <x v="4"/>
    <x v="2"/>
    <x v="1"/>
    <x v="3"/>
  </r>
  <r>
    <x v="0"/>
    <x v="950"/>
    <n v="2"/>
    <x v="0"/>
    <x v="0"/>
    <x v="628"/>
    <x v="639"/>
    <x v="617"/>
    <x v="7"/>
    <x v="2"/>
    <x v="1"/>
    <x v="24"/>
  </r>
  <r>
    <x v="0"/>
    <x v="951"/>
    <n v="4"/>
    <x v="0"/>
    <x v="0"/>
    <x v="629"/>
    <x v="640"/>
    <x v="618"/>
    <x v="7"/>
    <x v="2"/>
    <x v="1"/>
    <x v="6"/>
  </r>
  <r>
    <x v="0"/>
    <x v="952"/>
    <n v="2"/>
    <x v="0"/>
    <x v="0"/>
    <x v="630"/>
    <x v="641"/>
    <x v="619"/>
    <x v="7"/>
    <x v="2"/>
    <x v="1"/>
    <x v="5"/>
  </r>
  <r>
    <x v="3"/>
    <x v="953"/>
    <n v="1"/>
    <x v="16"/>
    <x v="0"/>
    <x v="631"/>
    <x v="642"/>
    <x v="620"/>
    <x v="0"/>
    <x v="0"/>
    <x v="0"/>
    <x v="0"/>
  </r>
  <r>
    <x v="3"/>
    <x v="954"/>
    <n v="1"/>
    <x v="17"/>
    <x v="0"/>
    <x v="632"/>
    <x v="643"/>
    <x v="621"/>
    <x v="0"/>
    <x v="0"/>
    <x v="0"/>
    <x v="0"/>
  </r>
  <r>
    <x v="3"/>
    <x v="955"/>
    <n v="1"/>
    <x v="17"/>
    <x v="0"/>
    <x v="633"/>
    <x v="644"/>
    <x v="622"/>
    <x v="3"/>
    <x v="1"/>
    <x v="0"/>
    <x v="0"/>
  </r>
  <r>
    <x v="3"/>
    <x v="956"/>
    <n v="1"/>
    <x v="17"/>
    <x v="0"/>
    <x v="634"/>
    <x v="645"/>
    <x v="623"/>
    <x v="3"/>
    <x v="1"/>
    <x v="0"/>
    <x v="0"/>
  </r>
  <r>
    <x v="3"/>
    <x v="957"/>
    <n v="1"/>
    <x v="17"/>
    <x v="0"/>
    <x v="635"/>
    <x v="646"/>
    <x v="624"/>
    <x v="3"/>
    <x v="1"/>
    <x v="0"/>
    <x v="0"/>
  </r>
  <r>
    <x v="3"/>
    <x v="958"/>
    <n v="1"/>
    <x v="17"/>
    <x v="0"/>
    <x v="636"/>
    <x v="647"/>
    <x v="625"/>
    <x v="3"/>
    <x v="1"/>
    <x v="0"/>
    <x v="0"/>
  </r>
  <r>
    <x v="3"/>
    <x v="959"/>
    <n v="1"/>
    <x v="17"/>
    <x v="0"/>
    <x v="637"/>
    <x v="648"/>
    <x v="626"/>
    <x v="3"/>
    <x v="1"/>
    <x v="0"/>
    <x v="0"/>
  </r>
  <r>
    <x v="3"/>
    <x v="960"/>
    <n v="2"/>
    <x v="17"/>
    <x v="0"/>
    <x v="638"/>
    <x v="649"/>
    <x v="627"/>
    <x v="3"/>
    <x v="1"/>
    <x v="0"/>
    <x v="0"/>
  </r>
  <r>
    <x v="3"/>
    <x v="961"/>
    <n v="3"/>
    <x v="17"/>
    <x v="0"/>
    <x v="639"/>
    <x v="650"/>
    <x v="628"/>
    <x v="3"/>
    <x v="1"/>
    <x v="0"/>
    <x v="0"/>
  </r>
  <r>
    <x v="3"/>
    <x v="962"/>
    <n v="1"/>
    <x v="17"/>
    <x v="0"/>
    <x v="640"/>
    <x v="651"/>
    <x v="629"/>
    <x v="3"/>
    <x v="1"/>
    <x v="0"/>
    <x v="0"/>
  </r>
  <r>
    <x v="3"/>
    <x v="963"/>
    <n v="2"/>
    <x v="17"/>
    <x v="0"/>
    <x v="641"/>
    <x v="652"/>
    <x v="630"/>
    <x v="11"/>
    <x v="1"/>
    <x v="0"/>
    <x v="0"/>
  </r>
  <r>
    <x v="3"/>
    <x v="964"/>
    <n v="2"/>
    <x v="17"/>
    <x v="0"/>
    <x v="642"/>
    <x v="653"/>
    <x v="631"/>
    <x v="16"/>
    <x v="2"/>
    <x v="0"/>
    <x v="23"/>
  </r>
  <r>
    <x v="3"/>
    <x v="965"/>
    <n v="2"/>
    <x v="17"/>
    <x v="0"/>
    <x v="643"/>
    <x v="654"/>
    <x v="632"/>
    <x v="11"/>
    <x v="1"/>
    <x v="0"/>
    <x v="0"/>
  </r>
  <r>
    <x v="3"/>
    <x v="966"/>
    <n v="2"/>
    <x v="17"/>
    <x v="0"/>
    <x v="644"/>
    <x v="655"/>
    <x v="633"/>
    <x v="16"/>
    <x v="2"/>
    <x v="0"/>
    <x v="23"/>
  </r>
  <r>
    <x v="3"/>
    <x v="967"/>
    <n v="13"/>
    <x v="17"/>
    <x v="0"/>
    <x v="645"/>
    <x v="656"/>
    <x v="634"/>
    <x v="5"/>
    <x v="2"/>
    <x v="1"/>
    <x v="2"/>
  </r>
  <r>
    <x v="3"/>
    <x v="968"/>
    <n v="28"/>
    <x v="17"/>
    <x v="0"/>
    <x v="52"/>
    <x v="52"/>
    <x v="52"/>
    <x v="5"/>
    <x v="2"/>
    <x v="1"/>
    <x v="2"/>
  </r>
  <r>
    <x v="3"/>
    <x v="969"/>
    <n v="2"/>
    <x v="17"/>
    <x v="0"/>
    <x v="646"/>
    <x v="657"/>
    <x v="635"/>
    <x v="0"/>
    <x v="2"/>
    <x v="8"/>
    <x v="2"/>
  </r>
  <r>
    <x v="3"/>
    <x v="970"/>
    <n v="26"/>
    <x v="17"/>
    <x v="0"/>
    <x v="51"/>
    <x v="51"/>
    <x v="51"/>
    <x v="4"/>
    <x v="2"/>
    <x v="1"/>
    <x v="1"/>
  </r>
  <r>
    <x v="3"/>
    <x v="971"/>
    <n v="2"/>
    <x v="17"/>
    <x v="0"/>
    <x v="227"/>
    <x v="228"/>
    <x v="227"/>
    <x v="7"/>
    <x v="2"/>
    <x v="1"/>
    <x v="7"/>
  </r>
  <r>
    <x v="3"/>
    <x v="972"/>
    <n v="2"/>
    <x v="17"/>
    <x v="0"/>
    <x v="57"/>
    <x v="57"/>
    <x v="57"/>
    <x v="4"/>
    <x v="2"/>
    <x v="1"/>
    <x v="6"/>
  </r>
  <r>
    <x v="3"/>
    <x v="973"/>
    <n v="16"/>
    <x v="17"/>
    <x v="0"/>
    <x v="54"/>
    <x v="54"/>
    <x v="54"/>
    <x v="4"/>
    <x v="2"/>
    <x v="1"/>
    <x v="3"/>
  </r>
  <r>
    <x v="3"/>
    <x v="974"/>
    <n v="8"/>
    <x v="17"/>
    <x v="0"/>
    <x v="53"/>
    <x v="53"/>
    <x v="53"/>
    <x v="4"/>
    <x v="2"/>
    <x v="1"/>
    <x v="3"/>
  </r>
  <r>
    <x v="3"/>
    <x v="975"/>
    <n v="26"/>
    <x v="17"/>
    <x v="0"/>
    <x v="647"/>
    <x v="658"/>
    <x v="636"/>
    <x v="4"/>
    <x v="2"/>
    <x v="1"/>
    <x v="1"/>
  </r>
  <r>
    <x v="3"/>
    <x v="976"/>
    <n v="1"/>
    <x v="17"/>
    <x v="0"/>
    <x v="648"/>
    <x v="659"/>
    <x v="637"/>
    <x v="2"/>
    <x v="2"/>
    <x v="2"/>
    <x v="15"/>
  </r>
  <r>
    <x v="3"/>
    <x v="977"/>
    <n v="1"/>
    <x v="18"/>
    <x v="0"/>
    <x v="649"/>
    <x v="660"/>
    <x v="638"/>
    <x v="0"/>
    <x v="0"/>
    <x v="0"/>
    <x v="0"/>
  </r>
  <r>
    <x v="3"/>
    <x v="978"/>
    <n v="1"/>
    <x v="18"/>
    <x v="82"/>
    <x v="650"/>
    <x v="661"/>
    <x v="639"/>
    <x v="0"/>
    <x v="1"/>
    <x v="0"/>
    <x v="0"/>
  </r>
  <r>
    <x v="3"/>
    <x v="979"/>
    <n v="1"/>
    <x v="18"/>
    <x v="82"/>
    <x v="651"/>
    <x v="662"/>
    <x v="640"/>
    <x v="1"/>
    <x v="1"/>
    <x v="0"/>
    <x v="0"/>
  </r>
  <r>
    <x v="3"/>
    <x v="980"/>
    <n v="1"/>
    <x v="18"/>
    <x v="82"/>
    <x v="652"/>
    <x v="663"/>
    <x v="641"/>
    <x v="1"/>
    <x v="1"/>
    <x v="0"/>
    <x v="0"/>
  </r>
  <r>
    <x v="3"/>
    <x v="981"/>
    <n v="1"/>
    <x v="18"/>
    <x v="82"/>
    <x v="653"/>
    <x v="664"/>
    <x v="642"/>
    <x v="18"/>
    <x v="1"/>
    <x v="0"/>
    <x v="0"/>
  </r>
  <r>
    <x v="3"/>
    <x v="982"/>
    <n v="2"/>
    <x v="18"/>
    <x v="82"/>
    <x v="654"/>
    <x v="665"/>
    <x v="643"/>
    <x v="1"/>
    <x v="1"/>
    <x v="0"/>
    <x v="0"/>
  </r>
  <r>
    <x v="3"/>
    <x v="983"/>
    <n v="1"/>
    <x v="18"/>
    <x v="82"/>
    <x v="655"/>
    <x v="666"/>
    <x v="644"/>
    <x v="1"/>
    <x v="2"/>
    <x v="0"/>
    <x v="5"/>
  </r>
  <r>
    <x v="3"/>
    <x v="984"/>
    <n v="2"/>
    <x v="18"/>
    <x v="0"/>
    <x v="656"/>
    <x v="667"/>
    <x v="645"/>
    <x v="10"/>
    <x v="1"/>
    <x v="0"/>
    <x v="0"/>
  </r>
  <r>
    <x v="3"/>
    <x v="985"/>
    <n v="1"/>
    <x v="18"/>
    <x v="83"/>
    <x v="657"/>
    <x v="668"/>
    <x v="646"/>
    <x v="0"/>
    <x v="1"/>
    <x v="0"/>
    <x v="0"/>
  </r>
  <r>
    <x v="3"/>
    <x v="986"/>
    <n v="1"/>
    <x v="18"/>
    <x v="83"/>
    <x v="658"/>
    <x v="669"/>
    <x v="647"/>
    <x v="18"/>
    <x v="1"/>
    <x v="0"/>
    <x v="0"/>
  </r>
  <r>
    <x v="3"/>
    <x v="987"/>
    <n v="1"/>
    <x v="18"/>
    <x v="83"/>
    <x v="659"/>
    <x v="670"/>
    <x v="648"/>
    <x v="1"/>
    <x v="1"/>
    <x v="0"/>
    <x v="0"/>
  </r>
  <r>
    <x v="3"/>
    <x v="988"/>
    <n v="1"/>
    <x v="18"/>
    <x v="83"/>
    <x v="660"/>
    <x v="671"/>
    <x v="649"/>
    <x v="1"/>
    <x v="1"/>
    <x v="0"/>
    <x v="0"/>
  </r>
  <r>
    <x v="3"/>
    <x v="989"/>
    <n v="1"/>
    <x v="18"/>
    <x v="84"/>
    <x v="661"/>
    <x v="672"/>
    <x v="650"/>
    <x v="0"/>
    <x v="0"/>
    <x v="0"/>
    <x v="0"/>
  </r>
  <r>
    <x v="3"/>
    <x v="990"/>
    <n v="13"/>
    <x v="18"/>
    <x v="84"/>
    <x v="227"/>
    <x v="228"/>
    <x v="227"/>
    <x v="7"/>
    <x v="2"/>
    <x v="1"/>
    <x v="7"/>
  </r>
  <r>
    <x v="3"/>
    <x v="991"/>
    <n v="13"/>
    <x v="18"/>
    <x v="84"/>
    <x v="237"/>
    <x v="238"/>
    <x v="237"/>
    <x v="7"/>
    <x v="2"/>
    <x v="1"/>
    <x v="6"/>
  </r>
  <r>
    <x v="3"/>
    <x v="992"/>
    <n v="4"/>
    <x v="18"/>
    <x v="84"/>
    <x v="538"/>
    <x v="548"/>
    <x v="532"/>
    <x v="7"/>
    <x v="2"/>
    <x v="1"/>
    <x v="6"/>
  </r>
  <r>
    <x v="3"/>
    <x v="993"/>
    <n v="4"/>
    <x v="18"/>
    <x v="84"/>
    <x v="141"/>
    <x v="142"/>
    <x v="141"/>
    <x v="7"/>
    <x v="2"/>
    <x v="1"/>
    <x v="7"/>
  </r>
  <r>
    <x v="3"/>
    <x v="994"/>
    <n v="1"/>
    <x v="18"/>
    <x v="85"/>
    <x v="662"/>
    <x v="673"/>
    <x v="651"/>
    <x v="0"/>
    <x v="0"/>
    <x v="0"/>
    <x v="0"/>
  </r>
  <r>
    <x v="3"/>
    <x v="995"/>
    <n v="1"/>
    <x v="18"/>
    <x v="85"/>
    <x v="663"/>
    <x v="674"/>
    <x v="652"/>
    <x v="1"/>
    <x v="1"/>
    <x v="0"/>
    <x v="0"/>
  </r>
  <r>
    <x v="3"/>
    <x v="996"/>
    <n v="1"/>
    <x v="18"/>
    <x v="85"/>
    <x v="664"/>
    <x v="675"/>
    <x v="653"/>
    <x v="1"/>
    <x v="1"/>
    <x v="0"/>
    <x v="0"/>
  </r>
  <r>
    <x v="3"/>
    <x v="997"/>
    <n v="1"/>
    <x v="18"/>
    <x v="85"/>
    <x v="665"/>
    <x v="676"/>
    <x v="654"/>
    <x v="1"/>
    <x v="1"/>
    <x v="0"/>
    <x v="0"/>
  </r>
  <r>
    <x v="3"/>
    <x v="998"/>
    <n v="1"/>
    <x v="18"/>
    <x v="85"/>
    <x v="666"/>
    <x v="677"/>
    <x v="655"/>
    <x v="1"/>
    <x v="1"/>
    <x v="0"/>
    <x v="0"/>
  </r>
  <r>
    <x v="3"/>
    <x v="999"/>
    <n v="1"/>
    <x v="18"/>
    <x v="85"/>
    <x v="667"/>
    <x v="678"/>
    <x v="656"/>
    <x v="1"/>
    <x v="1"/>
    <x v="0"/>
    <x v="0"/>
  </r>
  <r>
    <x v="3"/>
    <x v="1000"/>
    <n v="1"/>
    <x v="18"/>
    <x v="85"/>
    <x v="668"/>
    <x v="679"/>
    <x v="657"/>
    <x v="3"/>
    <x v="1"/>
    <x v="0"/>
    <x v="0"/>
  </r>
  <r>
    <x v="3"/>
    <x v="1001"/>
    <n v="40"/>
    <x v="18"/>
    <x v="85"/>
    <x v="669"/>
    <x v="680"/>
    <x v="658"/>
    <x v="7"/>
    <x v="2"/>
    <x v="1"/>
    <x v="15"/>
  </r>
  <r>
    <x v="3"/>
    <x v="1002"/>
    <n v="6"/>
    <x v="18"/>
    <x v="85"/>
    <x v="111"/>
    <x v="112"/>
    <x v="111"/>
    <x v="7"/>
    <x v="2"/>
    <x v="1"/>
    <x v="6"/>
  </r>
  <r>
    <x v="3"/>
    <x v="1003"/>
    <n v="6"/>
    <x v="18"/>
    <x v="85"/>
    <x v="112"/>
    <x v="113"/>
    <x v="112"/>
    <x v="7"/>
    <x v="2"/>
    <x v="1"/>
    <x v="7"/>
  </r>
  <r>
    <x v="3"/>
    <x v="1004"/>
    <n v="6"/>
    <x v="18"/>
    <x v="85"/>
    <x v="110"/>
    <x v="111"/>
    <x v="110"/>
    <x v="6"/>
    <x v="2"/>
    <x v="1"/>
    <x v="4"/>
  </r>
  <r>
    <x v="3"/>
    <x v="1005"/>
    <n v="2"/>
    <x v="18"/>
    <x v="85"/>
    <x v="172"/>
    <x v="173"/>
    <x v="172"/>
    <x v="6"/>
    <x v="2"/>
    <x v="1"/>
    <x v="5"/>
  </r>
  <r>
    <x v="3"/>
    <x v="1006"/>
    <n v="2"/>
    <x v="18"/>
    <x v="85"/>
    <x v="670"/>
    <x v="681"/>
    <x v="659"/>
    <x v="7"/>
    <x v="2"/>
    <x v="1"/>
    <x v="7"/>
  </r>
  <r>
    <x v="3"/>
    <x v="1007"/>
    <n v="1"/>
    <x v="18"/>
    <x v="85"/>
    <x v="671"/>
    <x v="682"/>
    <x v="660"/>
    <x v="4"/>
    <x v="2"/>
    <x v="1"/>
    <x v="7"/>
  </r>
  <r>
    <x v="3"/>
    <x v="1008"/>
    <n v="4"/>
    <x v="18"/>
    <x v="85"/>
    <x v="672"/>
    <x v="683"/>
    <x v="661"/>
    <x v="7"/>
    <x v="2"/>
    <x v="1"/>
    <x v="6"/>
  </r>
  <r>
    <x v="3"/>
    <x v="1009"/>
    <n v="2"/>
    <x v="18"/>
    <x v="85"/>
    <x v="673"/>
    <x v="684"/>
    <x v="662"/>
    <x v="7"/>
    <x v="2"/>
    <x v="1"/>
    <x v="3"/>
  </r>
  <r>
    <x v="3"/>
    <x v="1010"/>
    <n v="2"/>
    <x v="18"/>
    <x v="85"/>
    <x v="674"/>
    <x v="685"/>
    <x v="663"/>
    <x v="6"/>
    <x v="2"/>
    <x v="1"/>
    <x v="4"/>
  </r>
  <r>
    <x v="3"/>
    <x v="1011"/>
    <n v="2"/>
    <x v="18"/>
    <x v="85"/>
    <x v="675"/>
    <x v="686"/>
    <x v="664"/>
    <x v="7"/>
    <x v="2"/>
    <x v="1"/>
    <x v="7"/>
  </r>
  <r>
    <x v="3"/>
    <x v="1012"/>
    <n v="2"/>
    <x v="18"/>
    <x v="85"/>
    <x v="68"/>
    <x v="68"/>
    <x v="68"/>
    <x v="6"/>
    <x v="2"/>
    <x v="1"/>
    <x v="4"/>
  </r>
  <r>
    <x v="3"/>
    <x v="1013"/>
    <n v="4"/>
    <x v="18"/>
    <x v="85"/>
    <x v="676"/>
    <x v="687"/>
    <x v="665"/>
    <x v="4"/>
    <x v="2"/>
    <x v="8"/>
    <x v="2"/>
  </r>
  <r>
    <x v="3"/>
    <x v="1014"/>
    <n v="1"/>
    <x v="18"/>
    <x v="85"/>
    <x v="677"/>
    <x v="688"/>
    <x v="666"/>
    <x v="4"/>
    <x v="2"/>
    <x v="8"/>
    <x v="2"/>
  </r>
  <r>
    <x v="3"/>
    <x v="1015"/>
    <n v="1"/>
    <x v="18"/>
    <x v="85"/>
    <x v="678"/>
    <x v="689"/>
    <x v="667"/>
    <x v="4"/>
    <x v="2"/>
    <x v="1"/>
    <x v="15"/>
  </r>
  <r>
    <x v="3"/>
    <x v="1016"/>
    <n v="1"/>
    <x v="18"/>
    <x v="85"/>
    <x v="630"/>
    <x v="641"/>
    <x v="619"/>
    <x v="7"/>
    <x v="2"/>
    <x v="1"/>
    <x v="5"/>
  </r>
  <r>
    <x v="3"/>
    <x v="1017"/>
    <n v="2"/>
    <x v="18"/>
    <x v="85"/>
    <x v="679"/>
    <x v="690"/>
    <x v="668"/>
    <x v="0"/>
    <x v="2"/>
    <x v="9"/>
    <x v="21"/>
  </r>
  <r>
    <x v="3"/>
    <x v="1018"/>
    <n v="1"/>
    <x v="18"/>
    <x v="85"/>
    <x v="680"/>
    <x v="691"/>
    <x v="669"/>
    <x v="19"/>
    <x v="2"/>
    <x v="11"/>
    <x v="30"/>
  </r>
  <r>
    <x v="3"/>
    <x v="1019"/>
    <n v="2"/>
    <x v="18"/>
    <x v="85"/>
    <x v="681"/>
    <x v="692"/>
    <x v="670"/>
    <x v="14"/>
    <x v="2"/>
    <x v="11"/>
    <x v="30"/>
  </r>
  <r>
    <x v="3"/>
    <x v="1020"/>
    <n v="2"/>
    <x v="18"/>
    <x v="85"/>
    <x v="682"/>
    <x v="693"/>
    <x v="671"/>
    <x v="4"/>
    <x v="2"/>
    <x v="1"/>
    <x v="15"/>
  </r>
  <r>
    <x v="3"/>
    <x v="1021"/>
    <n v="1"/>
    <x v="18"/>
    <x v="85"/>
    <x v="683"/>
    <x v="694"/>
    <x v="672"/>
    <x v="4"/>
    <x v="2"/>
    <x v="9"/>
    <x v="21"/>
  </r>
  <r>
    <x v="3"/>
    <x v="1022"/>
    <n v="1"/>
    <x v="18"/>
    <x v="85"/>
    <x v="684"/>
    <x v="695"/>
    <x v="673"/>
    <x v="4"/>
    <x v="2"/>
    <x v="1"/>
    <x v="15"/>
  </r>
  <r>
    <x v="3"/>
    <x v="1023"/>
    <n v="2"/>
    <x v="18"/>
    <x v="85"/>
    <x v="685"/>
    <x v="696"/>
    <x v="674"/>
    <x v="4"/>
    <x v="2"/>
    <x v="1"/>
    <x v="5"/>
  </r>
  <r>
    <x v="3"/>
    <x v="1024"/>
    <n v="1"/>
    <x v="18"/>
    <x v="85"/>
    <x v="686"/>
    <x v="697"/>
    <x v="675"/>
    <x v="4"/>
    <x v="2"/>
    <x v="2"/>
    <x v="15"/>
  </r>
  <r>
    <x v="3"/>
    <x v="1025"/>
    <n v="1"/>
    <x v="18"/>
    <x v="85"/>
    <x v="687"/>
    <x v="698"/>
    <x v="676"/>
    <x v="4"/>
    <x v="2"/>
    <x v="1"/>
    <x v="15"/>
  </r>
  <r>
    <x v="3"/>
    <x v="1026"/>
    <n v="1"/>
    <x v="18"/>
    <x v="85"/>
    <x v="688"/>
    <x v="699"/>
    <x v="677"/>
    <x v="4"/>
    <x v="2"/>
    <x v="1"/>
    <x v="15"/>
  </r>
  <r>
    <x v="3"/>
    <x v="1027"/>
    <n v="1"/>
    <x v="18"/>
    <x v="85"/>
    <x v="689"/>
    <x v="700"/>
    <x v="678"/>
    <x v="11"/>
    <x v="2"/>
    <x v="1"/>
    <x v="9"/>
  </r>
  <r>
    <x v="3"/>
    <x v="1028"/>
    <n v="1"/>
    <x v="18"/>
    <x v="85"/>
    <x v="690"/>
    <x v="701"/>
    <x v="679"/>
    <x v="11"/>
    <x v="2"/>
    <x v="1"/>
    <x v="9"/>
  </r>
  <r>
    <x v="3"/>
    <x v="1029"/>
    <n v="1"/>
    <x v="18"/>
    <x v="85"/>
    <x v="691"/>
    <x v="702"/>
    <x v="680"/>
    <x v="4"/>
    <x v="2"/>
    <x v="1"/>
    <x v="15"/>
  </r>
  <r>
    <x v="3"/>
    <x v="1030"/>
    <n v="2"/>
    <x v="18"/>
    <x v="85"/>
    <x v="228"/>
    <x v="229"/>
    <x v="228"/>
    <x v="8"/>
    <x v="2"/>
    <x v="3"/>
    <x v="12"/>
  </r>
  <r>
    <x v="3"/>
    <x v="1031"/>
    <n v="1"/>
    <x v="18"/>
    <x v="86"/>
    <x v="692"/>
    <x v="703"/>
    <x v="681"/>
    <x v="0"/>
    <x v="0"/>
    <x v="0"/>
    <x v="0"/>
  </r>
  <r>
    <x v="3"/>
    <x v="1032"/>
    <n v="1"/>
    <x v="18"/>
    <x v="86"/>
    <x v="693"/>
    <x v="704"/>
    <x v="682"/>
    <x v="1"/>
    <x v="1"/>
    <x v="0"/>
    <x v="0"/>
  </r>
  <r>
    <x v="3"/>
    <x v="1033"/>
    <n v="1"/>
    <x v="18"/>
    <x v="86"/>
    <x v="694"/>
    <x v="705"/>
    <x v="683"/>
    <x v="1"/>
    <x v="1"/>
    <x v="0"/>
    <x v="0"/>
  </r>
  <r>
    <x v="3"/>
    <x v="1034"/>
    <n v="1"/>
    <x v="18"/>
    <x v="86"/>
    <x v="695"/>
    <x v="706"/>
    <x v="684"/>
    <x v="1"/>
    <x v="1"/>
    <x v="0"/>
    <x v="0"/>
  </r>
  <r>
    <x v="3"/>
    <x v="1035"/>
    <n v="1"/>
    <x v="18"/>
    <x v="86"/>
    <x v="696"/>
    <x v="707"/>
    <x v="685"/>
    <x v="1"/>
    <x v="1"/>
    <x v="0"/>
    <x v="0"/>
  </r>
  <r>
    <x v="3"/>
    <x v="1036"/>
    <n v="1"/>
    <x v="18"/>
    <x v="86"/>
    <x v="697"/>
    <x v="708"/>
    <x v="686"/>
    <x v="1"/>
    <x v="1"/>
    <x v="0"/>
    <x v="0"/>
  </r>
  <r>
    <x v="3"/>
    <x v="1037"/>
    <n v="1"/>
    <x v="18"/>
    <x v="86"/>
    <x v="698"/>
    <x v="709"/>
    <x v="687"/>
    <x v="3"/>
    <x v="1"/>
    <x v="0"/>
    <x v="0"/>
  </r>
  <r>
    <x v="3"/>
    <x v="1038"/>
    <n v="8"/>
    <x v="18"/>
    <x v="86"/>
    <x v="55"/>
    <x v="55"/>
    <x v="55"/>
    <x v="6"/>
    <x v="2"/>
    <x v="1"/>
    <x v="4"/>
  </r>
  <r>
    <x v="3"/>
    <x v="1039"/>
    <n v="42"/>
    <x v="18"/>
    <x v="86"/>
    <x v="669"/>
    <x v="680"/>
    <x v="658"/>
    <x v="7"/>
    <x v="2"/>
    <x v="1"/>
    <x v="15"/>
  </r>
  <r>
    <x v="3"/>
    <x v="1040"/>
    <n v="7"/>
    <x v="18"/>
    <x v="86"/>
    <x v="53"/>
    <x v="53"/>
    <x v="53"/>
    <x v="4"/>
    <x v="2"/>
    <x v="1"/>
    <x v="3"/>
  </r>
  <r>
    <x v="3"/>
    <x v="1041"/>
    <n v="4"/>
    <x v="18"/>
    <x v="86"/>
    <x v="674"/>
    <x v="685"/>
    <x v="663"/>
    <x v="6"/>
    <x v="2"/>
    <x v="1"/>
    <x v="4"/>
  </r>
  <r>
    <x v="3"/>
    <x v="1042"/>
    <n v="4"/>
    <x v="18"/>
    <x v="86"/>
    <x v="675"/>
    <x v="686"/>
    <x v="664"/>
    <x v="7"/>
    <x v="2"/>
    <x v="1"/>
    <x v="7"/>
  </r>
  <r>
    <x v="3"/>
    <x v="1043"/>
    <n v="1"/>
    <x v="18"/>
    <x v="86"/>
    <x v="56"/>
    <x v="56"/>
    <x v="56"/>
    <x v="7"/>
    <x v="2"/>
    <x v="1"/>
    <x v="5"/>
  </r>
  <r>
    <x v="3"/>
    <x v="1044"/>
    <n v="1"/>
    <x v="18"/>
    <x v="86"/>
    <x v="699"/>
    <x v="710"/>
    <x v="688"/>
    <x v="0"/>
    <x v="2"/>
    <x v="9"/>
    <x v="21"/>
  </r>
  <r>
    <x v="3"/>
    <x v="1045"/>
    <n v="1"/>
    <x v="18"/>
    <x v="86"/>
    <x v="326"/>
    <x v="330"/>
    <x v="325"/>
    <x v="8"/>
    <x v="2"/>
    <x v="3"/>
    <x v="12"/>
  </r>
  <r>
    <x v="3"/>
    <x v="1046"/>
    <n v="1"/>
    <x v="18"/>
    <x v="86"/>
    <x v="180"/>
    <x v="181"/>
    <x v="180"/>
    <x v="8"/>
    <x v="2"/>
    <x v="1"/>
    <x v="6"/>
  </r>
  <r>
    <x v="3"/>
    <x v="1047"/>
    <n v="1"/>
    <x v="18"/>
    <x v="86"/>
    <x v="179"/>
    <x v="180"/>
    <x v="179"/>
    <x v="8"/>
    <x v="2"/>
    <x v="9"/>
    <x v="19"/>
  </r>
  <r>
    <x v="3"/>
    <x v="1048"/>
    <n v="2"/>
    <x v="18"/>
    <x v="86"/>
    <x v="181"/>
    <x v="182"/>
    <x v="181"/>
    <x v="8"/>
    <x v="2"/>
    <x v="1"/>
    <x v="5"/>
  </r>
  <r>
    <x v="3"/>
    <x v="1049"/>
    <n v="2"/>
    <x v="18"/>
    <x v="86"/>
    <x v="228"/>
    <x v="229"/>
    <x v="228"/>
    <x v="8"/>
    <x v="2"/>
    <x v="3"/>
    <x v="12"/>
  </r>
  <r>
    <x v="3"/>
    <x v="1050"/>
    <n v="1"/>
    <x v="18"/>
    <x v="87"/>
    <x v="700"/>
    <x v="711"/>
    <x v="689"/>
    <x v="0"/>
    <x v="0"/>
    <x v="0"/>
    <x v="0"/>
  </r>
  <r>
    <x v="3"/>
    <x v="1051"/>
    <n v="1"/>
    <x v="18"/>
    <x v="87"/>
    <x v="701"/>
    <x v="712"/>
    <x v="690"/>
    <x v="1"/>
    <x v="1"/>
    <x v="0"/>
    <x v="0"/>
  </r>
  <r>
    <x v="3"/>
    <x v="1052"/>
    <n v="2"/>
    <x v="18"/>
    <x v="87"/>
    <x v="702"/>
    <x v="713"/>
    <x v="691"/>
    <x v="8"/>
    <x v="2"/>
    <x v="2"/>
    <x v="15"/>
  </r>
  <r>
    <x v="3"/>
    <x v="1053"/>
    <n v="1"/>
    <x v="18"/>
    <x v="87"/>
    <x v="703"/>
    <x v="714"/>
    <x v="692"/>
    <x v="8"/>
    <x v="2"/>
    <x v="2"/>
    <x v="15"/>
  </r>
  <r>
    <x v="3"/>
    <x v="1054"/>
    <n v="1"/>
    <x v="18"/>
    <x v="87"/>
    <x v="704"/>
    <x v="715"/>
    <x v="693"/>
    <x v="8"/>
    <x v="2"/>
    <x v="2"/>
    <x v="15"/>
  </r>
  <r>
    <x v="3"/>
    <x v="1055"/>
    <n v="1"/>
    <x v="18"/>
    <x v="87"/>
    <x v="705"/>
    <x v="716"/>
    <x v="694"/>
    <x v="8"/>
    <x v="2"/>
    <x v="2"/>
    <x v="15"/>
  </r>
  <r>
    <x v="3"/>
    <x v="1056"/>
    <n v="1"/>
    <x v="18"/>
    <x v="87"/>
    <x v="706"/>
    <x v="717"/>
    <x v="695"/>
    <x v="1"/>
    <x v="1"/>
    <x v="0"/>
    <x v="0"/>
  </r>
  <r>
    <x v="3"/>
    <x v="1057"/>
    <n v="1"/>
    <x v="18"/>
    <x v="87"/>
    <x v="707"/>
    <x v="718"/>
    <x v="696"/>
    <x v="1"/>
    <x v="1"/>
    <x v="0"/>
    <x v="0"/>
  </r>
  <r>
    <x v="3"/>
    <x v="1058"/>
    <n v="1"/>
    <x v="18"/>
    <x v="87"/>
    <x v="708"/>
    <x v="719"/>
    <x v="697"/>
    <x v="1"/>
    <x v="1"/>
    <x v="0"/>
    <x v="0"/>
  </r>
  <r>
    <x v="3"/>
    <x v="1059"/>
    <n v="1"/>
    <x v="18"/>
    <x v="87"/>
    <x v="709"/>
    <x v="720"/>
    <x v="698"/>
    <x v="1"/>
    <x v="1"/>
    <x v="0"/>
    <x v="0"/>
  </r>
  <r>
    <x v="3"/>
    <x v="1060"/>
    <n v="2"/>
    <x v="18"/>
    <x v="87"/>
    <x v="55"/>
    <x v="55"/>
    <x v="55"/>
    <x v="6"/>
    <x v="2"/>
    <x v="1"/>
    <x v="4"/>
  </r>
  <r>
    <x v="3"/>
    <x v="1061"/>
    <n v="2"/>
    <x v="18"/>
    <x v="87"/>
    <x v="57"/>
    <x v="57"/>
    <x v="57"/>
    <x v="4"/>
    <x v="2"/>
    <x v="1"/>
    <x v="6"/>
  </r>
  <r>
    <x v="3"/>
    <x v="1062"/>
    <n v="4"/>
    <x v="18"/>
    <x v="87"/>
    <x v="402"/>
    <x v="409"/>
    <x v="402"/>
    <x v="6"/>
    <x v="2"/>
    <x v="1"/>
    <x v="4"/>
  </r>
  <r>
    <x v="3"/>
    <x v="1063"/>
    <n v="2"/>
    <x v="18"/>
    <x v="87"/>
    <x v="710"/>
    <x v="721"/>
    <x v="699"/>
    <x v="7"/>
    <x v="2"/>
    <x v="1"/>
    <x v="15"/>
  </r>
  <r>
    <x v="3"/>
    <x v="1064"/>
    <n v="6"/>
    <x v="18"/>
    <x v="87"/>
    <x v="260"/>
    <x v="262"/>
    <x v="258"/>
    <x v="4"/>
    <x v="2"/>
    <x v="1"/>
    <x v="6"/>
  </r>
  <r>
    <x v="3"/>
    <x v="1065"/>
    <n v="2"/>
    <x v="18"/>
    <x v="87"/>
    <x v="332"/>
    <x v="336"/>
    <x v="331"/>
    <x v="4"/>
    <x v="2"/>
    <x v="1"/>
    <x v="5"/>
  </r>
  <r>
    <x v="3"/>
    <x v="1066"/>
    <n v="2"/>
    <x v="18"/>
    <x v="87"/>
    <x v="711"/>
    <x v="722"/>
    <x v="700"/>
    <x v="13"/>
    <x v="2"/>
    <x v="9"/>
    <x v="21"/>
  </r>
  <r>
    <x v="3"/>
    <x v="1067"/>
    <n v="2"/>
    <x v="18"/>
    <x v="87"/>
    <x v="68"/>
    <x v="68"/>
    <x v="68"/>
    <x v="6"/>
    <x v="2"/>
    <x v="1"/>
    <x v="4"/>
  </r>
  <r>
    <x v="3"/>
    <x v="1068"/>
    <n v="2"/>
    <x v="18"/>
    <x v="87"/>
    <x v="149"/>
    <x v="150"/>
    <x v="149"/>
    <x v="4"/>
    <x v="2"/>
    <x v="1"/>
    <x v="7"/>
  </r>
  <r>
    <x v="3"/>
    <x v="1069"/>
    <n v="2"/>
    <x v="18"/>
    <x v="87"/>
    <x v="58"/>
    <x v="58"/>
    <x v="58"/>
    <x v="4"/>
    <x v="2"/>
    <x v="1"/>
    <x v="7"/>
  </r>
  <r>
    <x v="3"/>
    <x v="1070"/>
    <n v="4"/>
    <x v="18"/>
    <x v="87"/>
    <x v="712"/>
    <x v="723"/>
    <x v="701"/>
    <x v="8"/>
    <x v="2"/>
    <x v="2"/>
    <x v="15"/>
  </r>
  <r>
    <x v="3"/>
    <x v="1071"/>
    <n v="1"/>
    <x v="18"/>
    <x v="87"/>
    <x v="228"/>
    <x v="229"/>
    <x v="228"/>
    <x v="8"/>
    <x v="2"/>
    <x v="3"/>
    <x v="12"/>
  </r>
  <r>
    <x v="3"/>
    <x v="1072"/>
    <n v="1"/>
    <x v="18"/>
    <x v="88"/>
    <x v="713"/>
    <x v="724"/>
    <x v="702"/>
    <x v="0"/>
    <x v="0"/>
    <x v="0"/>
    <x v="0"/>
  </r>
  <r>
    <x v="3"/>
    <x v="1073"/>
    <n v="1"/>
    <x v="18"/>
    <x v="88"/>
    <x v="714"/>
    <x v="725"/>
    <x v="703"/>
    <x v="1"/>
    <x v="1"/>
    <x v="0"/>
    <x v="0"/>
  </r>
  <r>
    <x v="3"/>
    <x v="1074"/>
    <n v="2"/>
    <x v="18"/>
    <x v="88"/>
    <x v="715"/>
    <x v="726"/>
    <x v="704"/>
    <x v="1"/>
    <x v="1"/>
    <x v="0"/>
    <x v="0"/>
  </r>
  <r>
    <x v="3"/>
    <x v="1075"/>
    <n v="1"/>
    <x v="18"/>
    <x v="88"/>
    <x v="716"/>
    <x v="727"/>
    <x v="705"/>
    <x v="3"/>
    <x v="1"/>
    <x v="0"/>
    <x v="0"/>
  </r>
  <r>
    <x v="3"/>
    <x v="1076"/>
    <n v="1"/>
    <x v="18"/>
    <x v="88"/>
    <x v="717"/>
    <x v="728"/>
    <x v="706"/>
    <x v="3"/>
    <x v="1"/>
    <x v="0"/>
    <x v="0"/>
  </r>
  <r>
    <x v="3"/>
    <x v="1077"/>
    <n v="1"/>
    <x v="18"/>
    <x v="88"/>
    <x v="718"/>
    <x v="729"/>
    <x v="707"/>
    <x v="3"/>
    <x v="1"/>
    <x v="0"/>
    <x v="0"/>
  </r>
  <r>
    <x v="3"/>
    <x v="1078"/>
    <n v="1"/>
    <x v="18"/>
    <x v="88"/>
    <x v="719"/>
    <x v="730"/>
    <x v="708"/>
    <x v="3"/>
    <x v="1"/>
    <x v="0"/>
    <x v="0"/>
  </r>
  <r>
    <x v="3"/>
    <x v="1079"/>
    <n v="1"/>
    <x v="18"/>
    <x v="88"/>
    <x v="720"/>
    <x v="731"/>
    <x v="709"/>
    <x v="3"/>
    <x v="1"/>
    <x v="0"/>
    <x v="0"/>
  </r>
  <r>
    <x v="3"/>
    <x v="1080"/>
    <n v="1"/>
    <x v="18"/>
    <x v="88"/>
    <x v="721"/>
    <x v="732"/>
    <x v="710"/>
    <x v="3"/>
    <x v="1"/>
    <x v="0"/>
    <x v="0"/>
  </r>
  <r>
    <x v="3"/>
    <x v="1081"/>
    <n v="1"/>
    <x v="18"/>
    <x v="88"/>
    <x v="722"/>
    <x v="733"/>
    <x v="711"/>
    <x v="1"/>
    <x v="1"/>
    <x v="0"/>
    <x v="0"/>
  </r>
  <r>
    <x v="3"/>
    <x v="1082"/>
    <n v="1"/>
    <x v="18"/>
    <x v="88"/>
    <x v="723"/>
    <x v="734"/>
    <x v="712"/>
    <x v="1"/>
    <x v="1"/>
    <x v="0"/>
    <x v="0"/>
  </r>
  <r>
    <x v="3"/>
    <x v="1083"/>
    <n v="1"/>
    <x v="18"/>
    <x v="88"/>
    <x v="721"/>
    <x v="735"/>
    <x v="713"/>
    <x v="3"/>
    <x v="1"/>
    <x v="0"/>
    <x v="0"/>
  </r>
  <r>
    <x v="3"/>
    <x v="1084"/>
    <n v="1"/>
    <x v="18"/>
    <x v="88"/>
    <x v="722"/>
    <x v="736"/>
    <x v="714"/>
    <x v="1"/>
    <x v="1"/>
    <x v="0"/>
    <x v="0"/>
  </r>
  <r>
    <x v="3"/>
    <x v="1085"/>
    <n v="1"/>
    <x v="18"/>
    <x v="88"/>
    <x v="724"/>
    <x v="737"/>
    <x v="715"/>
    <x v="3"/>
    <x v="1"/>
    <x v="0"/>
    <x v="0"/>
  </r>
  <r>
    <x v="3"/>
    <x v="1086"/>
    <n v="1"/>
    <x v="18"/>
    <x v="88"/>
    <x v="725"/>
    <x v="738"/>
    <x v="716"/>
    <x v="3"/>
    <x v="1"/>
    <x v="0"/>
    <x v="0"/>
  </r>
  <r>
    <x v="3"/>
    <x v="1087"/>
    <n v="1"/>
    <x v="18"/>
    <x v="88"/>
    <x v="726"/>
    <x v="739"/>
    <x v="717"/>
    <x v="3"/>
    <x v="1"/>
    <x v="0"/>
    <x v="0"/>
  </r>
  <r>
    <x v="3"/>
    <x v="1088"/>
    <n v="1"/>
    <x v="18"/>
    <x v="88"/>
    <x v="727"/>
    <x v="740"/>
    <x v="718"/>
    <x v="3"/>
    <x v="1"/>
    <x v="0"/>
    <x v="0"/>
  </r>
  <r>
    <x v="3"/>
    <x v="1089"/>
    <n v="1"/>
    <x v="18"/>
    <x v="88"/>
    <x v="728"/>
    <x v="741"/>
    <x v="719"/>
    <x v="3"/>
    <x v="1"/>
    <x v="0"/>
    <x v="0"/>
  </r>
  <r>
    <x v="3"/>
    <x v="1090"/>
    <n v="1"/>
    <x v="18"/>
    <x v="88"/>
    <x v="729"/>
    <x v="742"/>
    <x v="720"/>
    <x v="3"/>
    <x v="1"/>
    <x v="0"/>
    <x v="0"/>
  </r>
  <r>
    <x v="3"/>
    <x v="1091"/>
    <n v="1"/>
    <x v="18"/>
    <x v="88"/>
    <x v="730"/>
    <x v="743"/>
    <x v="721"/>
    <x v="3"/>
    <x v="1"/>
    <x v="0"/>
    <x v="0"/>
  </r>
  <r>
    <x v="3"/>
    <x v="1092"/>
    <n v="2"/>
    <x v="18"/>
    <x v="88"/>
    <x v="731"/>
    <x v="744"/>
    <x v="722"/>
    <x v="3"/>
    <x v="1"/>
    <x v="0"/>
    <x v="0"/>
  </r>
  <r>
    <x v="3"/>
    <x v="1093"/>
    <n v="2"/>
    <x v="18"/>
    <x v="88"/>
    <x v="732"/>
    <x v="745"/>
    <x v="723"/>
    <x v="3"/>
    <x v="1"/>
    <x v="0"/>
    <x v="0"/>
  </r>
  <r>
    <x v="3"/>
    <x v="1094"/>
    <n v="1"/>
    <x v="18"/>
    <x v="88"/>
    <x v="733"/>
    <x v="746"/>
    <x v="724"/>
    <x v="3"/>
    <x v="1"/>
    <x v="0"/>
    <x v="0"/>
  </r>
  <r>
    <x v="3"/>
    <x v="1095"/>
    <n v="1"/>
    <x v="18"/>
    <x v="88"/>
    <x v="734"/>
    <x v="747"/>
    <x v="725"/>
    <x v="8"/>
    <x v="1"/>
    <x v="0"/>
    <x v="0"/>
  </r>
  <r>
    <x v="3"/>
    <x v="1096"/>
    <n v="1"/>
    <x v="18"/>
    <x v="88"/>
    <x v="735"/>
    <x v="748"/>
    <x v="726"/>
    <x v="3"/>
    <x v="1"/>
    <x v="0"/>
    <x v="0"/>
  </r>
  <r>
    <x v="3"/>
    <x v="1097"/>
    <n v="1"/>
    <x v="18"/>
    <x v="88"/>
    <x v="736"/>
    <x v="749"/>
    <x v="727"/>
    <x v="1"/>
    <x v="1"/>
    <x v="0"/>
    <x v="0"/>
  </r>
  <r>
    <x v="3"/>
    <x v="1098"/>
    <n v="4"/>
    <x v="18"/>
    <x v="88"/>
    <x v="55"/>
    <x v="55"/>
    <x v="55"/>
    <x v="6"/>
    <x v="2"/>
    <x v="1"/>
    <x v="4"/>
  </r>
  <r>
    <x v="3"/>
    <x v="1099"/>
    <n v="8"/>
    <x v="18"/>
    <x v="88"/>
    <x v="57"/>
    <x v="57"/>
    <x v="57"/>
    <x v="4"/>
    <x v="2"/>
    <x v="1"/>
    <x v="6"/>
  </r>
  <r>
    <x v="3"/>
    <x v="1100"/>
    <n v="8"/>
    <x v="18"/>
    <x v="88"/>
    <x v="227"/>
    <x v="228"/>
    <x v="227"/>
    <x v="7"/>
    <x v="2"/>
    <x v="1"/>
    <x v="7"/>
  </r>
  <r>
    <x v="3"/>
    <x v="1101"/>
    <n v="17"/>
    <x v="18"/>
    <x v="88"/>
    <x v="52"/>
    <x v="52"/>
    <x v="52"/>
    <x v="5"/>
    <x v="2"/>
    <x v="1"/>
    <x v="2"/>
  </r>
  <r>
    <x v="3"/>
    <x v="1102"/>
    <n v="4"/>
    <x v="18"/>
    <x v="88"/>
    <x v="67"/>
    <x v="67"/>
    <x v="67"/>
    <x v="6"/>
    <x v="2"/>
    <x v="1"/>
    <x v="4"/>
  </r>
  <r>
    <x v="3"/>
    <x v="1103"/>
    <n v="29"/>
    <x v="18"/>
    <x v="88"/>
    <x v="51"/>
    <x v="51"/>
    <x v="51"/>
    <x v="4"/>
    <x v="2"/>
    <x v="1"/>
    <x v="1"/>
  </r>
  <r>
    <x v="3"/>
    <x v="1104"/>
    <n v="22"/>
    <x v="18"/>
    <x v="88"/>
    <x v="647"/>
    <x v="658"/>
    <x v="636"/>
    <x v="4"/>
    <x v="2"/>
    <x v="1"/>
    <x v="1"/>
  </r>
  <r>
    <x v="3"/>
    <x v="1105"/>
    <n v="4"/>
    <x v="18"/>
    <x v="88"/>
    <x v="737"/>
    <x v="750"/>
    <x v="728"/>
    <x v="11"/>
    <x v="2"/>
    <x v="2"/>
    <x v="15"/>
  </r>
  <r>
    <x v="3"/>
    <x v="1106"/>
    <n v="4"/>
    <x v="18"/>
    <x v="88"/>
    <x v="629"/>
    <x v="640"/>
    <x v="618"/>
    <x v="7"/>
    <x v="2"/>
    <x v="1"/>
    <x v="6"/>
  </r>
  <r>
    <x v="3"/>
    <x v="1107"/>
    <n v="4"/>
    <x v="18"/>
    <x v="88"/>
    <x v="628"/>
    <x v="639"/>
    <x v="617"/>
    <x v="7"/>
    <x v="2"/>
    <x v="1"/>
    <x v="24"/>
  </r>
  <r>
    <x v="3"/>
    <x v="1108"/>
    <n v="4"/>
    <x v="18"/>
    <x v="88"/>
    <x v="738"/>
    <x v="751"/>
    <x v="729"/>
    <x v="7"/>
    <x v="2"/>
    <x v="1"/>
    <x v="6"/>
  </r>
  <r>
    <x v="3"/>
    <x v="1109"/>
    <n v="4"/>
    <x v="18"/>
    <x v="88"/>
    <x v="630"/>
    <x v="641"/>
    <x v="619"/>
    <x v="7"/>
    <x v="2"/>
    <x v="1"/>
    <x v="5"/>
  </r>
  <r>
    <x v="3"/>
    <x v="1110"/>
    <n v="4"/>
    <x v="18"/>
    <x v="88"/>
    <x v="296"/>
    <x v="299"/>
    <x v="295"/>
    <x v="7"/>
    <x v="2"/>
    <x v="1"/>
    <x v="7"/>
  </r>
  <r>
    <x v="3"/>
    <x v="1111"/>
    <n v="4"/>
    <x v="18"/>
    <x v="88"/>
    <x v="739"/>
    <x v="752"/>
    <x v="730"/>
    <x v="11"/>
    <x v="2"/>
    <x v="1"/>
    <x v="9"/>
  </r>
  <r>
    <x v="3"/>
    <x v="1112"/>
    <n v="4"/>
    <x v="18"/>
    <x v="88"/>
    <x v="116"/>
    <x v="117"/>
    <x v="116"/>
    <x v="6"/>
    <x v="2"/>
    <x v="1"/>
    <x v="7"/>
  </r>
  <r>
    <x v="3"/>
    <x v="1113"/>
    <n v="1"/>
    <x v="18"/>
    <x v="89"/>
    <x v="157"/>
    <x v="158"/>
    <x v="157"/>
    <x v="8"/>
    <x v="4"/>
    <x v="7"/>
    <x v="18"/>
  </r>
  <r>
    <x v="3"/>
    <x v="1114"/>
    <n v="1"/>
    <x v="18"/>
    <x v="89"/>
    <x v="158"/>
    <x v="159"/>
    <x v="158"/>
    <x v="8"/>
    <x v="5"/>
    <x v="7"/>
    <x v="18"/>
  </r>
  <r>
    <x v="3"/>
    <x v="1115"/>
    <n v="1"/>
    <x v="18"/>
    <x v="89"/>
    <x v="153"/>
    <x v="154"/>
    <x v="153"/>
    <x v="8"/>
    <x v="2"/>
    <x v="5"/>
    <x v="16"/>
  </r>
  <r>
    <x v="3"/>
    <x v="1116"/>
    <n v="1"/>
    <x v="18"/>
    <x v="0"/>
    <x v="740"/>
    <x v="753"/>
    <x v="731"/>
    <x v="8"/>
    <x v="1"/>
    <x v="0"/>
    <x v="0"/>
  </r>
  <r>
    <x v="3"/>
    <x v="1117"/>
    <n v="1"/>
    <x v="18"/>
    <x v="0"/>
    <x v="741"/>
    <x v="754"/>
    <x v="732"/>
    <x v="8"/>
    <x v="1"/>
    <x v="0"/>
    <x v="0"/>
  </r>
  <r>
    <x v="3"/>
    <x v="1118"/>
    <n v="1"/>
    <x v="18"/>
    <x v="90"/>
    <x v="742"/>
    <x v="755"/>
    <x v="733"/>
    <x v="0"/>
    <x v="0"/>
    <x v="0"/>
    <x v="0"/>
  </r>
  <r>
    <x v="3"/>
    <x v="1119"/>
    <n v="1"/>
    <x v="18"/>
    <x v="90"/>
    <x v="743"/>
    <x v="756"/>
    <x v="734"/>
    <x v="3"/>
    <x v="1"/>
    <x v="0"/>
    <x v="0"/>
  </r>
  <r>
    <x v="3"/>
    <x v="1120"/>
    <n v="1"/>
    <x v="18"/>
    <x v="90"/>
    <x v="744"/>
    <x v="757"/>
    <x v="735"/>
    <x v="3"/>
    <x v="1"/>
    <x v="0"/>
    <x v="0"/>
  </r>
  <r>
    <x v="3"/>
    <x v="1121"/>
    <n v="1"/>
    <x v="18"/>
    <x v="90"/>
    <x v="745"/>
    <x v="758"/>
    <x v="736"/>
    <x v="1"/>
    <x v="1"/>
    <x v="0"/>
    <x v="0"/>
  </r>
  <r>
    <x v="3"/>
    <x v="1122"/>
    <n v="1"/>
    <x v="18"/>
    <x v="90"/>
    <x v="746"/>
    <x v="759"/>
    <x v="737"/>
    <x v="3"/>
    <x v="1"/>
    <x v="0"/>
    <x v="0"/>
  </r>
  <r>
    <x v="3"/>
    <x v="1123"/>
    <n v="1"/>
    <x v="18"/>
    <x v="90"/>
    <x v="747"/>
    <x v="760"/>
    <x v="738"/>
    <x v="3"/>
    <x v="1"/>
    <x v="0"/>
    <x v="0"/>
  </r>
  <r>
    <x v="3"/>
    <x v="1124"/>
    <n v="1"/>
    <x v="18"/>
    <x v="90"/>
    <x v="748"/>
    <x v="761"/>
    <x v="739"/>
    <x v="3"/>
    <x v="1"/>
    <x v="0"/>
    <x v="0"/>
  </r>
  <r>
    <x v="3"/>
    <x v="1125"/>
    <n v="1"/>
    <x v="18"/>
    <x v="90"/>
    <x v="749"/>
    <x v="762"/>
    <x v="740"/>
    <x v="3"/>
    <x v="1"/>
    <x v="0"/>
    <x v="0"/>
  </r>
  <r>
    <x v="3"/>
    <x v="1126"/>
    <n v="1"/>
    <x v="18"/>
    <x v="90"/>
    <x v="750"/>
    <x v="763"/>
    <x v="741"/>
    <x v="3"/>
    <x v="1"/>
    <x v="0"/>
    <x v="0"/>
  </r>
  <r>
    <x v="3"/>
    <x v="1127"/>
    <n v="1"/>
    <x v="18"/>
    <x v="90"/>
    <x v="751"/>
    <x v="764"/>
    <x v="742"/>
    <x v="3"/>
    <x v="1"/>
    <x v="0"/>
    <x v="0"/>
  </r>
  <r>
    <x v="3"/>
    <x v="1128"/>
    <n v="1"/>
    <x v="18"/>
    <x v="90"/>
    <x v="752"/>
    <x v="765"/>
    <x v="743"/>
    <x v="1"/>
    <x v="1"/>
    <x v="0"/>
    <x v="0"/>
  </r>
  <r>
    <x v="3"/>
    <x v="1129"/>
    <n v="1"/>
    <x v="18"/>
    <x v="90"/>
    <x v="753"/>
    <x v="766"/>
    <x v="744"/>
    <x v="1"/>
    <x v="1"/>
    <x v="0"/>
    <x v="0"/>
  </r>
  <r>
    <x v="3"/>
    <x v="1130"/>
    <n v="1"/>
    <x v="18"/>
    <x v="90"/>
    <x v="754"/>
    <x v="767"/>
    <x v="745"/>
    <x v="1"/>
    <x v="1"/>
    <x v="0"/>
    <x v="0"/>
  </r>
  <r>
    <x v="3"/>
    <x v="1131"/>
    <n v="1"/>
    <x v="18"/>
    <x v="90"/>
    <x v="755"/>
    <x v="768"/>
    <x v="746"/>
    <x v="1"/>
    <x v="1"/>
    <x v="0"/>
    <x v="0"/>
  </r>
  <r>
    <x v="3"/>
    <x v="1132"/>
    <n v="1"/>
    <x v="18"/>
    <x v="90"/>
    <x v="756"/>
    <x v="769"/>
    <x v="747"/>
    <x v="1"/>
    <x v="1"/>
    <x v="0"/>
    <x v="0"/>
  </r>
  <r>
    <x v="3"/>
    <x v="1133"/>
    <n v="1"/>
    <x v="18"/>
    <x v="90"/>
    <x v="757"/>
    <x v="770"/>
    <x v="748"/>
    <x v="1"/>
    <x v="1"/>
    <x v="0"/>
    <x v="0"/>
  </r>
  <r>
    <x v="3"/>
    <x v="1134"/>
    <n v="1"/>
    <x v="18"/>
    <x v="90"/>
    <x v="758"/>
    <x v="771"/>
    <x v="749"/>
    <x v="1"/>
    <x v="1"/>
    <x v="0"/>
    <x v="0"/>
  </r>
  <r>
    <x v="3"/>
    <x v="1135"/>
    <n v="1"/>
    <x v="18"/>
    <x v="90"/>
    <x v="759"/>
    <x v="772"/>
    <x v="750"/>
    <x v="1"/>
    <x v="1"/>
    <x v="0"/>
    <x v="0"/>
  </r>
  <r>
    <x v="3"/>
    <x v="1136"/>
    <n v="1"/>
    <x v="18"/>
    <x v="90"/>
    <x v="760"/>
    <x v="773"/>
    <x v="751"/>
    <x v="10"/>
    <x v="1"/>
    <x v="0"/>
    <x v="0"/>
  </r>
  <r>
    <x v="3"/>
    <x v="1137"/>
    <n v="1"/>
    <x v="18"/>
    <x v="90"/>
    <x v="761"/>
    <x v="774"/>
    <x v="752"/>
    <x v="1"/>
    <x v="1"/>
    <x v="0"/>
    <x v="0"/>
  </r>
  <r>
    <x v="3"/>
    <x v="1138"/>
    <n v="1"/>
    <x v="18"/>
    <x v="90"/>
    <x v="762"/>
    <x v="775"/>
    <x v="753"/>
    <x v="10"/>
    <x v="1"/>
    <x v="0"/>
    <x v="0"/>
  </r>
  <r>
    <x v="3"/>
    <x v="1139"/>
    <n v="1"/>
    <x v="18"/>
    <x v="90"/>
    <x v="763"/>
    <x v="776"/>
    <x v="754"/>
    <x v="1"/>
    <x v="1"/>
    <x v="0"/>
    <x v="0"/>
  </r>
  <r>
    <x v="3"/>
    <x v="1140"/>
    <n v="19"/>
    <x v="18"/>
    <x v="90"/>
    <x v="60"/>
    <x v="60"/>
    <x v="60"/>
    <x v="4"/>
    <x v="2"/>
    <x v="1"/>
    <x v="1"/>
  </r>
  <r>
    <x v="3"/>
    <x v="1141"/>
    <n v="4"/>
    <x v="18"/>
    <x v="90"/>
    <x v="54"/>
    <x v="54"/>
    <x v="54"/>
    <x v="4"/>
    <x v="2"/>
    <x v="1"/>
    <x v="3"/>
  </r>
  <r>
    <x v="3"/>
    <x v="1142"/>
    <n v="22"/>
    <x v="18"/>
    <x v="90"/>
    <x v="55"/>
    <x v="55"/>
    <x v="55"/>
    <x v="6"/>
    <x v="2"/>
    <x v="1"/>
    <x v="4"/>
  </r>
  <r>
    <x v="3"/>
    <x v="1143"/>
    <n v="3"/>
    <x v="18"/>
    <x v="90"/>
    <x v="51"/>
    <x v="51"/>
    <x v="51"/>
    <x v="4"/>
    <x v="2"/>
    <x v="1"/>
    <x v="1"/>
  </r>
  <r>
    <x v="3"/>
    <x v="1144"/>
    <n v="4"/>
    <x v="18"/>
    <x v="90"/>
    <x v="764"/>
    <x v="777"/>
    <x v="755"/>
    <x v="4"/>
    <x v="2"/>
    <x v="1"/>
    <x v="24"/>
  </r>
  <r>
    <x v="3"/>
    <x v="1145"/>
    <n v="4"/>
    <x v="18"/>
    <x v="90"/>
    <x v="629"/>
    <x v="640"/>
    <x v="618"/>
    <x v="7"/>
    <x v="2"/>
    <x v="1"/>
    <x v="6"/>
  </r>
  <r>
    <x v="3"/>
    <x v="1146"/>
    <n v="4"/>
    <x v="18"/>
    <x v="90"/>
    <x v="630"/>
    <x v="641"/>
    <x v="619"/>
    <x v="7"/>
    <x v="2"/>
    <x v="1"/>
    <x v="5"/>
  </r>
  <r>
    <x v="3"/>
    <x v="1147"/>
    <n v="2"/>
    <x v="18"/>
    <x v="90"/>
    <x v="737"/>
    <x v="750"/>
    <x v="728"/>
    <x v="11"/>
    <x v="2"/>
    <x v="2"/>
    <x v="15"/>
  </r>
  <r>
    <x v="3"/>
    <x v="1148"/>
    <n v="28"/>
    <x v="18"/>
    <x v="90"/>
    <x v="57"/>
    <x v="57"/>
    <x v="57"/>
    <x v="4"/>
    <x v="2"/>
    <x v="1"/>
    <x v="6"/>
  </r>
  <r>
    <x v="3"/>
    <x v="1149"/>
    <n v="20"/>
    <x v="18"/>
    <x v="90"/>
    <x v="227"/>
    <x v="228"/>
    <x v="227"/>
    <x v="7"/>
    <x v="2"/>
    <x v="1"/>
    <x v="7"/>
  </r>
  <r>
    <x v="3"/>
    <x v="1150"/>
    <n v="2"/>
    <x v="18"/>
    <x v="90"/>
    <x v="765"/>
    <x v="778"/>
    <x v="756"/>
    <x v="4"/>
    <x v="2"/>
    <x v="1"/>
    <x v="15"/>
  </r>
  <r>
    <x v="3"/>
    <x v="1151"/>
    <n v="22"/>
    <x v="18"/>
    <x v="90"/>
    <x v="56"/>
    <x v="56"/>
    <x v="56"/>
    <x v="7"/>
    <x v="2"/>
    <x v="1"/>
    <x v="5"/>
  </r>
  <r>
    <x v="3"/>
    <x v="1152"/>
    <n v="4"/>
    <x v="18"/>
    <x v="90"/>
    <x v="59"/>
    <x v="59"/>
    <x v="59"/>
    <x v="4"/>
    <x v="2"/>
    <x v="1"/>
    <x v="7"/>
  </r>
  <r>
    <x v="3"/>
    <x v="1153"/>
    <n v="6"/>
    <x v="18"/>
    <x v="90"/>
    <x v="52"/>
    <x v="52"/>
    <x v="52"/>
    <x v="5"/>
    <x v="2"/>
    <x v="1"/>
    <x v="2"/>
  </r>
  <r>
    <x v="3"/>
    <x v="1154"/>
    <n v="14"/>
    <x v="18"/>
    <x v="90"/>
    <x v="766"/>
    <x v="779"/>
    <x v="757"/>
    <x v="4"/>
    <x v="2"/>
    <x v="1"/>
    <x v="3"/>
  </r>
  <r>
    <x v="3"/>
    <x v="1155"/>
    <n v="30"/>
    <x v="18"/>
    <x v="90"/>
    <x v="669"/>
    <x v="680"/>
    <x v="658"/>
    <x v="7"/>
    <x v="2"/>
    <x v="1"/>
    <x v="15"/>
  </r>
  <r>
    <x v="3"/>
    <x v="1156"/>
    <n v="9"/>
    <x v="18"/>
    <x v="0"/>
    <x v="628"/>
    <x v="639"/>
    <x v="617"/>
    <x v="7"/>
    <x v="2"/>
    <x v="1"/>
    <x v="24"/>
  </r>
  <r>
    <x v="3"/>
    <x v="1157"/>
    <n v="9"/>
    <x v="18"/>
    <x v="0"/>
    <x v="630"/>
    <x v="641"/>
    <x v="619"/>
    <x v="7"/>
    <x v="2"/>
    <x v="1"/>
    <x v="5"/>
  </r>
  <r>
    <x v="3"/>
    <x v="1158"/>
    <n v="12"/>
    <x v="18"/>
    <x v="0"/>
    <x v="629"/>
    <x v="640"/>
    <x v="618"/>
    <x v="7"/>
    <x v="2"/>
    <x v="1"/>
    <x v="6"/>
  </r>
  <r>
    <x v="3"/>
    <x v="1159"/>
    <n v="2"/>
    <x v="18"/>
    <x v="0"/>
    <x v="237"/>
    <x v="238"/>
    <x v="237"/>
    <x v="7"/>
    <x v="2"/>
    <x v="1"/>
    <x v="6"/>
  </r>
  <r>
    <x v="3"/>
    <x v="1160"/>
    <n v="2"/>
    <x v="18"/>
    <x v="0"/>
    <x v="56"/>
    <x v="56"/>
    <x v="56"/>
    <x v="7"/>
    <x v="2"/>
    <x v="1"/>
    <x v="5"/>
  </r>
  <r>
    <x v="3"/>
    <x v="1161"/>
    <n v="2"/>
    <x v="18"/>
    <x v="0"/>
    <x v="767"/>
    <x v="780"/>
    <x v="758"/>
    <x v="7"/>
    <x v="2"/>
    <x v="1"/>
    <x v="3"/>
  </r>
  <r>
    <x v="3"/>
    <x v="1162"/>
    <n v="8"/>
    <x v="18"/>
    <x v="0"/>
    <x v="738"/>
    <x v="751"/>
    <x v="729"/>
    <x v="7"/>
    <x v="2"/>
    <x v="1"/>
    <x v="6"/>
  </r>
  <r>
    <x v="3"/>
    <x v="1163"/>
    <n v="4"/>
    <x v="18"/>
    <x v="0"/>
    <x v="260"/>
    <x v="262"/>
    <x v="258"/>
    <x v="4"/>
    <x v="2"/>
    <x v="1"/>
    <x v="6"/>
  </r>
  <r>
    <x v="3"/>
    <x v="1164"/>
    <n v="4"/>
    <x v="18"/>
    <x v="0"/>
    <x v="256"/>
    <x v="257"/>
    <x v="255"/>
    <x v="4"/>
    <x v="2"/>
    <x v="1"/>
    <x v="24"/>
  </r>
  <r>
    <x v="3"/>
    <x v="1165"/>
    <n v="4"/>
    <x v="18"/>
    <x v="0"/>
    <x v="768"/>
    <x v="781"/>
    <x v="759"/>
    <x v="4"/>
    <x v="2"/>
    <x v="1"/>
    <x v="8"/>
  </r>
  <r>
    <x v="3"/>
    <x v="1166"/>
    <n v="4"/>
    <x v="18"/>
    <x v="0"/>
    <x v="769"/>
    <x v="782"/>
    <x v="760"/>
    <x v="8"/>
    <x v="2"/>
    <x v="12"/>
    <x v="15"/>
  </r>
  <r>
    <x v="3"/>
    <x v="1167"/>
    <n v="1"/>
    <x v="18"/>
    <x v="0"/>
    <x v="770"/>
    <x v="783"/>
    <x v="761"/>
    <x v="17"/>
    <x v="0"/>
    <x v="0"/>
    <x v="0"/>
  </r>
  <r>
    <x v="3"/>
    <x v="1168"/>
    <n v="1"/>
    <x v="18"/>
    <x v="0"/>
    <x v="771"/>
    <x v="784"/>
    <x v="762"/>
    <x v="17"/>
    <x v="1"/>
    <x v="0"/>
    <x v="0"/>
  </r>
  <r>
    <x v="3"/>
    <x v="1169"/>
    <n v="1"/>
    <x v="18"/>
    <x v="0"/>
    <x v="772"/>
    <x v="785"/>
    <x v="763"/>
    <x v="17"/>
    <x v="1"/>
    <x v="0"/>
    <x v="0"/>
  </r>
  <r>
    <x v="3"/>
    <x v="1170"/>
    <n v="1"/>
    <x v="18"/>
    <x v="0"/>
    <x v="773"/>
    <x v="786"/>
    <x v="764"/>
    <x v="17"/>
    <x v="1"/>
    <x v="0"/>
    <x v="0"/>
  </r>
  <r>
    <x v="3"/>
    <x v="1171"/>
    <n v="1"/>
    <x v="18"/>
    <x v="0"/>
    <x v="774"/>
    <x v="787"/>
    <x v="765"/>
    <x v="17"/>
    <x v="1"/>
    <x v="0"/>
    <x v="0"/>
  </r>
  <r>
    <x v="3"/>
    <x v="1172"/>
    <n v="1"/>
    <x v="18"/>
    <x v="0"/>
    <x v="775"/>
    <x v="788"/>
    <x v="766"/>
    <x v="17"/>
    <x v="1"/>
    <x v="0"/>
    <x v="0"/>
  </r>
  <r>
    <x v="3"/>
    <x v="1173"/>
    <n v="1"/>
    <x v="18"/>
    <x v="0"/>
    <x v="776"/>
    <x v="789"/>
    <x v="767"/>
    <x v="17"/>
    <x v="0"/>
    <x v="0"/>
    <x v="0"/>
  </r>
  <r>
    <x v="3"/>
    <x v="1174"/>
    <n v="1"/>
    <x v="18"/>
    <x v="0"/>
    <x v="777"/>
    <x v="790"/>
    <x v="768"/>
    <x v="17"/>
    <x v="1"/>
    <x v="0"/>
    <x v="0"/>
  </r>
  <r>
    <x v="3"/>
    <x v="1175"/>
    <n v="2"/>
    <x v="18"/>
    <x v="0"/>
    <x v="778"/>
    <x v="791"/>
    <x v="769"/>
    <x v="17"/>
    <x v="1"/>
    <x v="0"/>
    <x v="0"/>
  </r>
  <r>
    <x v="3"/>
    <x v="1176"/>
    <n v="1"/>
    <x v="18"/>
    <x v="0"/>
    <x v="779"/>
    <x v="792"/>
    <x v="770"/>
    <x v="17"/>
    <x v="1"/>
    <x v="0"/>
    <x v="0"/>
  </r>
  <r>
    <x v="3"/>
    <x v="1177"/>
    <n v="1"/>
    <x v="18"/>
    <x v="0"/>
    <x v="780"/>
    <x v="793"/>
    <x v="771"/>
    <x v="17"/>
    <x v="0"/>
    <x v="0"/>
    <x v="0"/>
  </r>
  <r>
    <x v="3"/>
    <x v="1178"/>
    <n v="1"/>
    <x v="18"/>
    <x v="91"/>
    <x v="781"/>
    <x v="794"/>
    <x v="772"/>
    <x v="0"/>
    <x v="0"/>
    <x v="0"/>
    <x v="0"/>
  </r>
  <r>
    <x v="3"/>
    <x v="1179"/>
    <n v="1"/>
    <x v="18"/>
    <x v="91"/>
    <x v="782"/>
    <x v="795"/>
    <x v="773"/>
    <x v="11"/>
    <x v="1"/>
    <x v="0"/>
    <x v="0"/>
  </r>
  <r>
    <x v="3"/>
    <x v="1180"/>
    <n v="1"/>
    <x v="18"/>
    <x v="91"/>
    <x v="783"/>
    <x v="796"/>
    <x v="774"/>
    <x v="18"/>
    <x v="1"/>
    <x v="0"/>
    <x v="0"/>
  </r>
  <r>
    <x v="3"/>
    <x v="1181"/>
    <n v="1"/>
    <x v="18"/>
    <x v="91"/>
    <x v="784"/>
    <x v="797"/>
    <x v="775"/>
    <x v="1"/>
    <x v="1"/>
    <x v="0"/>
    <x v="0"/>
  </r>
  <r>
    <x v="3"/>
    <x v="1182"/>
    <n v="2"/>
    <x v="18"/>
    <x v="91"/>
    <x v="785"/>
    <x v="798"/>
    <x v="776"/>
    <x v="1"/>
    <x v="1"/>
    <x v="0"/>
    <x v="0"/>
  </r>
  <r>
    <x v="3"/>
    <x v="1183"/>
    <n v="1"/>
    <x v="18"/>
    <x v="91"/>
    <x v="786"/>
    <x v="799"/>
    <x v="777"/>
    <x v="1"/>
    <x v="1"/>
    <x v="0"/>
    <x v="0"/>
  </r>
  <r>
    <x v="3"/>
    <x v="1184"/>
    <n v="1"/>
    <x v="18"/>
    <x v="91"/>
    <x v="787"/>
    <x v="800"/>
    <x v="778"/>
    <x v="3"/>
    <x v="1"/>
    <x v="0"/>
    <x v="0"/>
  </r>
  <r>
    <x v="3"/>
    <x v="1185"/>
    <n v="1"/>
    <x v="18"/>
    <x v="91"/>
    <x v="788"/>
    <x v="801"/>
    <x v="779"/>
    <x v="3"/>
    <x v="1"/>
    <x v="0"/>
    <x v="0"/>
  </r>
  <r>
    <x v="3"/>
    <x v="1186"/>
    <n v="1"/>
    <x v="18"/>
    <x v="91"/>
    <x v="789"/>
    <x v="802"/>
    <x v="780"/>
    <x v="3"/>
    <x v="1"/>
    <x v="0"/>
    <x v="0"/>
  </r>
  <r>
    <x v="3"/>
    <x v="1187"/>
    <n v="1"/>
    <x v="18"/>
    <x v="91"/>
    <x v="790"/>
    <x v="803"/>
    <x v="781"/>
    <x v="3"/>
    <x v="1"/>
    <x v="0"/>
    <x v="0"/>
  </r>
  <r>
    <x v="3"/>
    <x v="1188"/>
    <n v="1"/>
    <x v="18"/>
    <x v="91"/>
    <x v="791"/>
    <x v="804"/>
    <x v="782"/>
    <x v="3"/>
    <x v="1"/>
    <x v="0"/>
    <x v="0"/>
  </r>
  <r>
    <x v="3"/>
    <x v="1189"/>
    <n v="1"/>
    <x v="18"/>
    <x v="91"/>
    <x v="792"/>
    <x v="805"/>
    <x v="783"/>
    <x v="3"/>
    <x v="1"/>
    <x v="0"/>
    <x v="0"/>
  </r>
  <r>
    <x v="3"/>
    <x v="1190"/>
    <n v="1"/>
    <x v="18"/>
    <x v="91"/>
    <x v="793"/>
    <x v="806"/>
    <x v="784"/>
    <x v="3"/>
    <x v="1"/>
    <x v="0"/>
    <x v="0"/>
  </r>
  <r>
    <x v="3"/>
    <x v="1191"/>
    <n v="1"/>
    <x v="18"/>
    <x v="91"/>
    <x v="794"/>
    <x v="807"/>
    <x v="785"/>
    <x v="3"/>
    <x v="1"/>
    <x v="0"/>
    <x v="0"/>
  </r>
  <r>
    <x v="3"/>
    <x v="1192"/>
    <n v="1"/>
    <x v="18"/>
    <x v="91"/>
    <x v="795"/>
    <x v="808"/>
    <x v="786"/>
    <x v="3"/>
    <x v="1"/>
    <x v="0"/>
    <x v="0"/>
  </r>
  <r>
    <x v="3"/>
    <x v="1193"/>
    <n v="2"/>
    <x v="18"/>
    <x v="91"/>
    <x v="796"/>
    <x v="809"/>
    <x v="787"/>
    <x v="1"/>
    <x v="1"/>
    <x v="0"/>
    <x v="0"/>
  </r>
  <r>
    <x v="3"/>
    <x v="1194"/>
    <n v="1"/>
    <x v="18"/>
    <x v="91"/>
    <x v="797"/>
    <x v="810"/>
    <x v="788"/>
    <x v="1"/>
    <x v="1"/>
    <x v="0"/>
    <x v="0"/>
  </r>
  <r>
    <x v="3"/>
    <x v="1195"/>
    <n v="1"/>
    <x v="18"/>
    <x v="91"/>
    <x v="798"/>
    <x v="811"/>
    <x v="789"/>
    <x v="3"/>
    <x v="1"/>
    <x v="0"/>
    <x v="0"/>
  </r>
  <r>
    <x v="3"/>
    <x v="1196"/>
    <n v="1"/>
    <x v="18"/>
    <x v="91"/>
    <x v="799"/>
    <x v="812"/>
    <x v="790"/>
    <x v="3"/>
    <x v="1"/>
    <x v="0"/>
    <x v="0"/>
  </r>
  <r>
    <x v="3"/>
    <x v="1197"/>
    <n v="1"/>
    <x v="18"/>
    <x v="91"/>
    <x v="800"/>
    <x v="813"/>
    <x v="791"/>
    <x v="3"/>
    <x v="1"/>
    <x v="0"/>
    <x v="0"/>
  </r>
  <r>
    <x v="3"/>
    <x v="1198"/>
    <n v="1"/>
    <x v="18"/>
    <x v="91"/>
    <x v="801"/>
    <x v="814"/>
    <x v="792"/>
    <x v="3"/>
    <x v="1"/>
    <x v="0"/>
    <x v="0"/>
  </r>
  <r>
    <x v="3"/>
    <x v="1199"/>
    <n v="1"/>
    <x v="18"/>
    <x v="91"/>
    <x v="802"/>
    <x v="815"/>
    <x v="793"/>
    <x v="1"/>
    <x v="1"/>
    <x v="0"/>
    <x v="0"/>
  </r>
  <r>
    <x v="3"/>
    <x v="1200"/>
    <n v="1"/>
    <x v="18"/>
    <x v="91"/>
    <x v="803"/>
    <x v="816"/>
    <x v="794"/>
    <x v="1"/>
    <x v="1"/>
    <x v="0"/>
    <x v="0"/>
  </r>
  <r>
    <x v="3"/>
    <x v="1201"/>
    <n v="1"/>
    <x v="18"/>
    <x v="91"/>
    <x v="804"/>
    <x v="817"/>
    <x v="795"/>
    <x v="1"/>
    <x v="1"/>
    <x v="0"/>
    <x v="0"/>
  </r>
  <r>
    <x v="3"/>
    <x v="1202"/>
    <n v="1"/>
    <x v="18"/>
    <x v="91"/>
    <x v="805"/>
    <x v="818"/>
    <x v="796"/>
    <x v="1"/>
    <x v="1"/>
    <x v="0"/>
    <x v="0"/>
  </r>
  <r>
    <x v="3"/>
    <x v="1203"/>
    <n v="1"/>
    <x v="18"/>
    <x v="91"/>
    <x v="806"/>
    <x v="819"/>
    <x v="797"/>
    <x v="1"/>
    <x v="1"/>
    <x v="0"/>
    <x v="0"/>
  </r>
  <r>
    <x v="3"/>
    <x v="1204"/>
    <n v="1"/>
    <x v="18"/>
    <x v="91"/>
    <x v="807"/>
    <x v="820"/>
    <x v="798"/>
    <x v="1"/>
    <x v="1"/>
    <x v="0"/>
    <x v="0"/>
  </r>
  <r>
    <x v="3"/>
    <x v="1205"/>
    <n v="1"/>
    <x v="18"/>
    <x v="91"/>
    <x v="808"/>
    <x v="821"/>
    <x v="799"/>
    <x v="1"/>
    <x v="1"/>
    <x v="0"/>
    <x v="0"/>
  </r>
  <r>
    <x v="3"/>
    <x v="1206"/>
    <n v="1"/>
    <x v="18"/>
    <x v="91"/>
    <x v="809"/>
    <x v="822"/>
    <x v="800"/>
    <x v="1"/>
    <x v="1"/>
    <x v="0"/>
    <x v="0"/>
  </r>
  <r>
    <x v="3"/>
    <x v="1207"/>
    <n v="1"/>
    <x v="18"/>
    <x v="91"/>
    <x v="810"/>
    <x v="823"/>
    <x v="801"/>
    <x v="10"/>
    <x v="1"/>
    <x v="0"/>
    <x v="0"/>
  </r>
  <r>
    <x v="3"/>
    <x v="1208"/>
    <n v="66"/>
    <x v="18"/>
    <x v="91"/>
    <x v="51"/>
    <x v="51"/>
    <x v="51"/>
    <x v="4"/>
    <x v="2"/>
    <x v="1"/>
    <x v="1"/>
  </r>
  <r>
    <x v="3"/>
    <x v="1209"/>
    <n v="2"/>
    <x v="18"/>
    <x v="91"/>
    <x v="60"/>
    <x v="60"/>
    <x v="60"/>
    <x v="4"/>
    <x v="2"/>
    <x v="1"/>
    <x v="1"/>
  </r>
  <r>
    <x v="3"/>
    <x v="1210"/>
    <n v="6"/>
    <x v="18"/>
    <x v="91"/>
    <x v="54"/>
    <x v="54"/>
    <x v="54"/>
    <x v="4"/>
    <x v="2"/>
    <x v="1"/>
    <x v="3"/>
  </r>
  <r>
    <x v="3"/>
    <x v="1211"/>
    <n v="12"/>
    <x v="18"/>
    <x v="91"/>
    <x v="52"/>
    <x v="52"/>
    <x v="52"/>
    <x v="5"/>
    <x v="2"/>
    <x v="1"/>
    <x v="2"/>
  </r>
  <r>
    <x v="3"/>
    <x v="1212"/>
    <n v="6"/>
    <x v="18"/>
    <x v="91"/>
    <x v="237"/>
    <x v="238"/>
    <x v="237"/>
    <x v="7"/>
    <x v="2"/>
    <x v="1"/>
    <x v="6"/>
  </r>
  <r>
    <x v="3"/>
    <x v="1213"/>
    <n v="14"/>
    <x v="18"/>
    <x v="91"/>
    <x v="227"/>
    <x v="228"/>
    <x v="227"/>
    <x v="7"/>
    <x v="2"/>
    <x v="1"/>
    <x v="7"/>
  </r>
  <r>
    <x v="3"/>
    <x v="1214"/>
    <n v="2"/>
    <x v="18"/>
    <x v="91"/>
    <x v="811"/>
    <x v="824"/>
    <x v="802"/>
    <x v="4"/>
    <x v="2"/>
    <x v="8"/>
    <x v="2"/>
  </r>
  <r>
    <x v="3"/>
    <x v="1215"/>
    <n v="33"/>
    <x v="18"/>
    <x v="91"/>
    <x v="57"/>
    <x v="57"/>
    <x v="57"/>
    <x v="4"/>
    <x v="2"/>
    <x v="1"/>
    <x v="6"/>
  </r>
  <r>
    <x v="3"/>
    <x v="1216"/>
    <n v="24"/>
    <x v="18"/>
    <x v="91"/>
    <x v="59"/>
    <x v="59"/>
    <x v="59"/>
    <x v="4"/>
    <x v="2"/>
    <x v="1"/>
    <x v="7"/>
  </r>
  <r>
    <x v="3"/>
    <x v="1217"/>
    <n v="4"/>
    <x v="18"/>
    <x v="91"/>
    <x v="647"/>
    <x v="658"/>
    <x v="636"/>
    <x v="4"/>
    <x v="2"/>
    <x v="1"/>
    <x v="1"/>
  </r>
  <r>
    <x v="3"/>
    <x v="1218"/>
    <n v="32"/>
    <x v="18"/>
    <x v="91"/>
    <x v="55"/>
    <x v="55"/>
    <x v="55"/>
    <x v="6"/>
    <x v="2"/>
    <x v="1"/>
    <x v="4"/>
  </r>
  <r>
    <x v="3"/>
    <x v="1219"/>
    <n v="1"/>
    <x v="18"/>
    <x v="91"/>
    <x v="56"/>
    <x v="56"/>
    <x v="56"/>
    <x v="7"/>
    <x v="2"/>
    <x v="1"/>
    <x v="5"/>
  </r>
  <r>
    <x v="3"/>
    <x v="1220"/>
    <n v="1"/>
    <x v="18"/>
    <x v="91"/>
    <x v="58"/>
    <x v="58"/>
    <x v="58"/>
    <x v="4"/>
    <x v="2"/>
    <x v="1"/>
    <x v="7"/>
  </r>
  <r>
    <x v="3"/>
    <x v="1221"/>
    <n v="4"/>
    <x v="18"/>
    <x v="91"/>
    <x v="645"/>
    <x v="656"/>
    <x v="634"/>
    <x v="5"/>
    <x v="2"/>
    <x v="1"/>
    <x v="2"/>
  </r>
  <r>
    <x v="3"/>
    <x v="1222"/>
    <n v="2"/>
    <x v="18"/>
    <x v="91"/>
    <x v="812"/>
    <x v="825"/>
    <x v="803"/>
    <x v="0"/>
    <x v="2"/>
    <x v="2"/>
    <x v="15"/>
  </r>
  <r>
    <x v="3"/>
    <x v="1223"/>
    <n v="1"/>
    <x v="18"/>
    <x v="92"/>
    <x v="813"/>
    <x v="826"/>
    <x v="804"/>
    <x v="0"/>
    <x v="0"/>
    <x v="0"/>
    <x v="0"/>
  </r>
  <r>
    <x v="3"/>
    <x v="1224"/>
    <n v="2"/>
    <x v="18"/>
    <x v="92"/>
    <x v="814"/>
    <x v="827"/>
    <x v="805"/>
    <x v="3"/>
    <x v="1"/>
    <x v="0"/>
    <x v="0"/>
  </r>
  <r>
    <x v="3"/>
    <x v="1225"/>
    <n v="1"/>
    <x v="18"/>
    <x v="92"/>
    <x v="815"/>
    <x v="828"/>
    <x v="806"/>
    <x v="3"/>
    <x v="1"/>
    <x v="0"/>
    <x v="0"/>
  </r>
  <r>
    <x v="3"/>
    <x v="1226"/>
    <n v="4"/>
    <x v="18"/>
    <x v="92"/>
    <x v="51"/>
    <x v="51"/>
    <x v="51"/>
    <x v="4"/>
    <x v="2"/>
    <x v="1"/>
    <x v="1"/>
  </r>
  <r>
    <x v="3"/>
    <x v="1227"/>
    <n v="1"/>
    <x v="18"/>
    <x v="0"/>
    <x v="816"/>
    <x v="829"/>
    <x v="807"/>
    <x v="8"/>
    <x v="2"/>
    <x v="2"/>
    <x v="15"/>
  </r>
  <r>
    <x v="3"/>
    <x v="1228"/>
    <n v="13"/>
    <x v="16"/>
    <x v="0"/>
    <x v="260"/>
    <x v="262"/>
    <x v="258"/>
    <x v="4"/>
    <x v="2"/>
    <x v="1"/>
    <x v="6"/>
  </r>
  <r>
    <x v="3"/>
    <x v="1229"/>
    <n v="13"/>
    <x v="16"/>
    <x v="0"/>
    <x v="256"/>
    <x v="257"/>
    <x v="255"/>
    <x v="4"/>
    <x v="2"/>
    <x v="1"/>
    <x v="24"/>
  </r>
  <r>
    <x v="3"/>
    <x v="1230"/>
    <n v="1"/>
    <x v="19"/>
    <x v="0"/>
    <x v="817"/>
    <x v="830"/>
    <x v="808"/>
    <x v="0"/>
    <x v="0"/>
    <x v="0"/>
    <x v="0"/>
  </r>
  <r>
    <x v="3"/>
    <x v="1231"/>
    <n v="1"/>
    <x v="19"/>
    <x v="93"/>
    <x v="818"/>
    <x v="831"/>
    <x v="809"/>
    <x v="0"/>
    <x v="0"/>
    <x v="0"/>
    <x v="0"/>
  </r>
  <r>
    <x v="3"/>
    <x v="1232"/>
    <n v="1"/>
    <x v="19"/>
    <x v="94"/>
    <x v="819"/>
    <x v="832"/>
    <x v="810"/>
    <x v="0"/>
    <x v="0"/>
    <x v="0"/>
    <x v="0"/>
  </r>
  <r>
    <x v="3"/>
    <x v="1233"/>
    <n v="1"/>
    <x v="19"/>
    <x v="95"/>
    <x v="820"/>
    <x v="833"/>
    <x v="811"/>
    <x v="0"/>
    <x v="0"/>
    <x v="0"/>
    <x v="0"/>
  </r>
  <r>
    <x v="3"/>
    <x v="1234"/>
    <n v="1"/>
    <x v="19"/>
    <x v="96"/>
    <x v="821"/>
    <x v="834"/>
    <x v="812"/>
    <x v="0"/>
    <x v="0"/>
    <x v="0"/>
    <x v="0"/>
  </r>
  <r>
    <x v="3"/>
    <x v="1235"/>
    <n v="1"/>
    <x v="19"/>
    <x v="96"/>
    <x v="822"/>
    <x v="835"/>
    <x v="813"/>
    <x v="1"/>
    <x v="1"/>
    <x v="0"/>
    <x v="0"/>
  </r>
  <r>
    <x v="3"/>
    <x v="1236"/>
    <n v="2"/>
    <x v="19"/>
    <x v="96"/>
    <x v="823"/>
    <x v="836"/>
    <x v="814"/>
    <x v="7"/>
    <x v="2"/>
    <x v="1"/>
    <x v="5"/>
  </r>
  <r>
    <x v="3"/>
    <x v="1237"/>
    <n v="1"/>
    <x v="19"/>
    <x v="97"/>
    <x v="824"/>
    <x v="837"/>
    <x v="815"/>
    <x v="0"/>
    <x v="0"/>
    <x v="0"/>
    <x v="0"/>
  </r>
  <r>
    <x v="3"/>
    <x v="1238"/>
    <n v="1"/>
    <x v="19"/>
    <x v="97"/>
    <x v="825"/>
    <x v="838"/>
    <x v="816"/>
    <x v="1"/>
    <x v="1"/>
    <x v="0"/>
    <x v="0"/>
  </r>
  <r>
    <x v="3"/>
    <x v="1239"/>
    <n v="4"/>
    <x v="19"/>
    <x v="97"/>
    <x v="823"/>
    <x v="836"/>
    <x v="814"/>
    <x v="7"/>
    <x v="2"/>
    <x v="1"/>
    <x v="5"/>
  </r>
  <r>
    <x v="3"/>
    <x v="1240"/>
    <n v="3"/>
    <x v="19"/>
    <x v="95"/>
    <x v="826"/>
    <x v="839"/>
    <x v="817"/>
    <x v="0"/>
    <x v="2"/>
    <x v="1"/>
    <x v="11"/>
  </r>
  <r>
    <x v="3"/>
    <x v="1241"/>
    <n v="3"/>
    <x v="19"/>
    <x v="95"/>
    <x v="827"/>
    <x v="840"/>
    <x v="818"/>
    <x v="7"/>
    <x v="2"/>
    <x v="1"/>
    <x v="11"/>
  </r>
  <r>
    <x v="3"/>
    <x v="1242"/>
    <n v="2"/>
    <x v="19"/>
    <x v="95"/>
    <x v="828"/>
    <x v="841"/>
    <x v="819"/>
    <x v="7"/>
    <x v="2"/>
    <x v="1"/>
    <x v="31"/>
  </r>
  <r>
    <x v="3"/>
    <x v="1243"/>
    <n v="1"/>
    <x v="19"/>
    <x v="95"/>
    <x v="829"/>
    <x v="842"/>
    <x v="820"/>
    <x v="4"/>
    <x v="1"/>
    <x v="0"/>
    <x v="0"/>
  </r>
  <r>
    <x v="3"/>
    <x v="1244"/>
    <n v="4"/>
    <x v="19"/>
    <x v="98"/>
    <x v="830"/>
    <x v="843"/>
    <x v="821"/>
    <x v="7"/>
    <x v="1"/>
    <x v="0"/>
    <x v="32"/>
  </r>
  <r>
    <x v="3"/>
    <x v="1245"/>
    <n v="1"/>
    <x v="19"/>
    <x v="98"/>
    <x v="831"/>
    <x v="844"/>
    <x v="822"/>
    <x v="7"/>
    <x v="2"/>
    <x v="1"/>
    <x v="33"/>
  </r>
  <r>
    <x v="3"/>
    <x v="1246"/>
    <n v="1"/>
    <x v="19"/>
    <x v="98"/>
    <x v="832"/>
    <x v="845"/>
    <x v="823"/>
    <x v="7"/>
    <x v="2"/>
    <x v="1"/>
    <x v="6"/>
  </r>
  <r>
    <x v="3"/>
    <x v="1247"/>
    <n v="1"/>
    <x v="19"/>
    <x v="99"/>
    <x v="833"/>
    <x v="846"/>
    <x v="824"/>
    <x v="0"/>
    <x v="0"/>
    <x v="0"/>
    <x v="0"/>
  </r>
  <r>
    <x v="3"/>
    <x v="1248"/>
    <n v="1"/>
    <x v="19"/>
    <x v="99"/>
    <x v="834"/>
    <x v="847"/>
    <x v="825"/>
    <x v="11"/>
    <x v="1"/>
    <x v="0"/>
    <x v="0"/>
  </r>
  <r>
    <x v="3"/>
    <x v="1249"/>
    <n v="1"/>
    <x v="19"/>
    <x v="100"/>
    <x v="835"/>
    <x v="848"/>
    <x v="826"/>
    <x v="0"/>
    <x v="0"/>
    <x v="0"/>
    <x v="0"/>
  </r>
  <r>
    <x v="3"/>
    <x v="1250"/>
    <n v="1"/>
    <x v="19"/>
    <x v="100"/>
    <x v="836"/>
    <x v="849"/>
    <x v="827"/>
    <x v="1"/>
    <x v="1"/>
    <x v="0"/>
    <x v="0"/>
  </r>
  <r>
    <x v="3"/>
    <x v="1251"/>
    <n v="2"/>
    <x v="19"/>
    <x v="100"/>
    <x v="837"/>
    <x v="850"/>
    <x v="828"/>
    <x v="6"/>
    <x v="2"/>
    <x v="1"/>
    <x v="4"/>
  </r>
  <r>
    <x v="3"/>
    <x v="1252"/>
    <n v="1"/>
    <x v="19"/>
    <x v="100"/>
    <x v="838"/>
    <x v="851"/>
    <x v="829"/>
    <x v="6"/>
    <x v="2"/>
    <x v="1"/>
    <x v="4"/>
  </r>
  <r>
    <x v="3"/>
    <x v="1253"/>
    <n v="1"/>
    <x v="19"/>
    <x v="100"/>
    <x v="823"/>
    <x v="836"/>
    <x v="814"/>
    <x v="7"/>
    <x v="2"/>
    <x v="1"/>
    <x v="5"/>
  </r>
  <r>
    <x v="3"/>
    <x v="1254"/>
    <n v="1"/>
    <x v="19"/>
    <x v="99"/>
    <x v="839"/>
    <x v="852"/>
    <x v="830"/>
    <x v="11"/>
    <x v="1"/>
    <x v="0"/>
    <x v="0"/>
  </r>
  <r>
    <x v="3"/>
    <x v="1255"/>
    <n v="2"/>
    <x v="19"/>
    <x v="99"/>
    <x v="840"/>
    <x v="853"/>
    <x v="831"/>
    <x v="7"/>
    <x v="2"/>
    <x v="1"/>
    <x v="31"/>
  </r>
  <r>
    <x v="3"/>
    <x v="1256"/>
    <n v="1"/>
    <x v="19"/>
    <x v="101"/>
    <x v="841"/>
    <x v="854"/>
    <x v="832"/>
    <x v="0"/>
    <x v="0"/>
    <x v="0"/>
    <x v="0"/>
  </r>
  <r>
    <x v="3"/>
    <x v="1257"/>
    <n v="1"/>
    <x v="19"/>
    <x v="101"/>
    <x v="842"/>
    <x v="855"/>
    <x v="833"/>
    <x v="1"/>
    <x v="1"/>
    <x v="0"/>
    <x v="0"/>
  </r>
  <r>
    <x v="3"/>
    <x v="1258"/>
    <n v="2"/>
    <x v="19"/>
    <x v="101"/>
    <x v="837"/>
    <x v="850"/>
    <x v="828"/>
    <x v="6"/>
    <x v="2"/>
    <x v="1"/>
    <x v="4"/>
  </r>
  <r>
    <x v="3"/>
    <x v="1259"/>
    <n v="1"/>
    <x v="19"/>
    <x v="101"/>
    <x v="838"/>
    <x v="851"/>
    <x v="829"/>
    <x v="6"/>
    <x v="2"/>
    <x v="1"/>
    <x v="4"/>
  </r>
  <r>
    <x v="3"/>
    <x v="1260"/>
    <n v="3"/>
    <x v="19"/>
    <x v="101"/>
    <x v="823"/>
    <x v="836"/>
    <x v="814"/>
    <x v="7"/>
    <x v="2"/>
    <x v="1"/>
    <x v="5"/>
  </r>
  <r>
    <x v="3"/>
    <x v="1261"/>
    <n v="4"/>
    <x v="19"/>
    <x v="99"/>
    <x v="843"/>
    <x v="856"/>
    <x v="834"/>
    <x v="7"/>
    <x v="2"/>
    <x v="1"/>
    <x v="31"/>
  </r>
  <r>
    <x v="3"/>
    <x v="1262"/>
    <n v="1"/>
    <x v="19"/>
    <x v="99"/>
    <x v="844"/>
    <x v="857"/>
    <x v="835"/>
    <x v="20"/>
    <x v="2"/>
    <x v="11"/>
    <x v="30"/>
  </r>
  <r>
    <x v="3"/>
    <x v="1263"/>
    <n v="1"/>
    <x v="19"/>
    <x v="102"/>
    <x v="845"/>
    <x v="858"/>
    <x v="836"/>
    <x v="0"/>
    <x v="0"/>
    <x v="0"/>
    <x v="0"/>
  </r>
  <r>
    <x v="3"/>
    <x v="1264"/>
    <n v="1"/>
    <x v="19"/>
    <x v="103"/>
    <x v="846"/>
    <x v="859"/>
    <x v="837"/>
    <x v="0"/>
    <x v="0"/>
    <x v="0"/>
    <x v="0"/>
  </r>
  <r>
    <x v="3"/>
    <x v="1265"/>
    <n v="1"/>
    <x v="19"/>
    <x v="103"/>
    <x v="847"/>
    <x v="860"/>
    <x v="838"/>
    <x v="11"/>
    <x v="1"/>
    <x v="0"/>
    <x v="0"/>
  </r>
  <r>
    <x v="3"/>
    <x v="1266"/>
    <n v="1"/>
    <x v="19"/>
    <x v="103"/>
    <x v="848"/>
    <x v="861"/>
    <x v="839"/>
    <x v="11"/>
    <x v="1"/>
    <x v="0"/>
    <x v="0"/>
  </r>
  <r>
    <x v="3"/>
    <x v="1267"/>
    <n v="3"/>
    <x v="19"/>
    <x v="103"/>
    <x v="849"/>
    <x v="862"/>
    <x v="840"/>
    <x v="7"/>
    <x v="2"/>
    <x v="1"/>
    <x v="31"/>
  </r>
  <r>
    <x v="3"/>
    <x v="1268"/>
    <n v="1"/>
    <x v="19"/>
    <x v="103"/>
    <x v="850"/>
    <x v="863"/>
    <x v="841"/>
    <x v="13"/>
    <x v="2"/>
    <x v="11"/>
    <x v="30"/>
  </r>
  <r>
    <x v="3"/>
    <x v="1269"/>
    <n v="1"/>
    <x v="19"/>
    <x v="102"/>
    <x v="851"/>
    <x v="864"/>
    <x v="842"/>
    <x v="8"/>
    <x v="2"/>
    <x v="13"/>
    <x v="32"/>
  </r>
  <r>
    <x v="3"/>
    <x v="1270"/>
    <n v="1"/>
    <x v="19"/>
    <x v="102"/>
    <x v="852"/>
    <x v="865"/>
    <x v="843"/>
    <x v="8"/>
    <x v="2"/>
    <x v="13"/>
    <x v="32"/>
  </r>
  <r>
    <x v="3"/>
    <x v="1271"/>
    <n v="2"/>
    <x v="19"/>
    <x v="102"/>
    <x v="853"/>
    <x v="866"/>
    <x v="844"/>
    <x v="7"/>
    <x v="2"/>
    <x v="1"/>
    <x v="29"/>
  </r>
  <r>
    <x v="3"/>
    <x v="1272"/>
    <n v="1"/>
    <x v="19"/>
    <x v="102"/>
    <x v="854"/>
    <x v="867"/>
    <x v="845"/>
    <x v="1"/>
    <x v="1"/>
    <x v="0"/>
    <x v="32"/>
  </r>
  <r>
    <x v="3"/>
    <x v="1273"/>
    <n v="1"/>
    <x v="19"/>
    <x v="102"/>
    <x v="855"/>
    <x v="868"/>
    <x v="846"/>
    <x v="1"/>
    <x v="1"/>
    <x v="0"/>
    <x v="0"/>
  </r>
  <r>
    <x v="3"/>
    <x v="1274"/>
    <n v="1"/>
    <x v="19"/>
    <x v="102"/>
    <x v="856"/>
    <x v="869"/>
    <x v="847"/>
    <x v="8"/>
    <x v="2"/>
    <x v="2"/>
    <x v="34"/>
  </r>
  <r>
    <x v="3"/>
    <x v="1275"/>
    <n v="1"/>
    <x v="19"/>
    <x v="104"/>
    <x v="857"/>
    <x v="870"/>
    <x v="848"/>
    <x v="0"/>
    <x v="0"/>
    <x v="0"/>
    <x v="0"/>
  </r>
  <r>
    <x v="3"/>
    <x v="1276"/>
    <n v="1"/>
    <x v="19"/>
    <x v="104"/>
    <x v="858"/>
    <x v="871"/>
    <x v="849"/>
    <x v="8"/>
    <x v="5"/>
    <x v="7"/>
    <x v="18"/>
  </r>
  <r>
    <x v="3"/>
    <x v="1277"/>
    <n v="1"/>
    <x v="19"/>
    <x v="104"/>
    <x v="859"/>
    <x v="872"/>
    <x v="850"/>
    <x v="1"/>
    <x v="1"/>
    <x v="0"/>
    <x v="0"/>
  </r>
  <r>
    <x v="3"/>
    <x v="1278"/>
    <n v="4"/>
    <x v="19"/>
    <x v="104"/>
    <x v="860"/>
    <x v="873"/>
    <x v="851"/>
    <x v="6"/>
    <x v="2"/>
    <x v="1"/>
    <x v="5"/>
  </r>
  <r>
    <x v="3"/>
    <x v="1279"/>
    <n v="4"/>
    <x v="19"/>
    <x v="104"/>
    <x v="861"/>
    <x v="874"/>
    <x v="852"/>
    <x v="7"/>
    <x v="2"/>
    <x v="1"/>
    <x v="29"/>
  </r>
  <r>
    <x v="3"/>
    <x v="1280"/>
    <n v="2"/>
    <x v="19"/>
    <x v="104"/>
    <x v="838"/>
    <x v="851"/>
    <x v="829"/>
    <x v="6"/>
    <x v="2"/>
    <x v="1"/>
    <x v="4"/>
  </r>
  <r>
    <x v="3"/>
    <x v="1281"/>
    <n v="1"/>
    <x v="19"/>
    <x v="105"/>
    <x v="862"/>
    <x v="875"/>
    <x v="853"/>
    <x v="0"/>
    <x v="0"/>
    <x v="0"/>
    <x v="0"/>
  </r>
  <r>
    <x v="3"/>
    <x v="1282"/>
    <n v="1"/>
    <x v="19"/>
    <x v="106"/>
    <x v="846"/>
    <x v="859"/>
    <x v="837"/>
    <x v="0"/>
    <x v="0"/>
    <x v="0"/>
    <x v="0"/>
  </r>
  <r>
    <x v="3"/>
    <x v="1283"/>
    <n v="1"/>
    <x v="19"/>
    <x v="106"/>
    <x v="847"/>
    <x v="860"/>
    <x v="838"/>
    <x v="11"/>
    <x v="1"/>
    <x v="0"/>
    <x v="0"/>
  </r>
  <r>
    <x v="3"/>
    <x v="1284"/>
    <n v="1"/>
    <x v="19"/>
    <x v="106"/>
    <x v="848"/>
    <x v="861"/>
    <x v="839"/>
    <x v="11"/>
    <x v="1"/>
    <x v="0"/>
    <x v="0"/>
  </r>
  <r>
    <x v="3"/>
    <x v="1285"/>
    <n v="3"/>
    <x v="19"/>
    <x v="106"/>
    <x v="849"/>
    <x v="862"/>
    <x v="840"/>
    <x v="7"/>
    <x v="2"/>
    <x v="1"/>
    <x v="31"/>
  </r>
  <r>
    <x v="3"/>
    <x v="1286"/>
    <n v="1"/>
    <x v="19"/>
    <x v="106"/>
    <x v="850"/>
    <x v="863"/>
    <x v="841"/>
    <x v="13"/>
    <x v="2"/>
    <x v="11"/>
    <x v="30"/>
  </r>
  <r>
    <x v="3"/>
    <x v="1287"/>
    <n v="1"/>
    <x v="19"/>
    <x v="105"/>
    <x v="851"/>
    <x v="864"/>
    <x v="842"/>
    <x v="8"/>
    <x v="2"/>
    <x v="13"/>
    <x v="32"/>
  </r>
  <r>
    <x v="3"/>
    <x v="1288"/>
    <n v="1"/>
    <x v="19"/>
    <x v="105"/>
    <x v="852"/>
    <x v="865"/>
    <x v="843"/>
    <x v="8"/>
    <x v="2"/>
    <x v="13"/>
    <x v="32"/>
  </r>
  <r>
    <x v="3"/>
    <x v="1289"/>
    <n v="2"/>
    <x v="19"/>
    <x v="105"/>
    <x v="853"/>
    <x v="866"/>
    <x v="844"/>
    <x v="7"/>
    <x v="2"/>
    <x v="1"/>
    <x v="29"/>
  </r>
  <r>
    <x v="3"/>
    <x v="1290"/>
    <n v="2"/>
    <x v="19"/>
    <x v="105"/>
    <x v="863"/>
    <x v="876"/>
    <x v="854"/>
    <x v="7"/>
    <x v="2"/>
    <x v="1"/>
    <x v="6"/>
  </r>
  <r>
    <x v="3"/>
    <x v="1291"/>
    <n v="2"/>
    <x v="19"/>
    <x v="105"/>
    <x v="823"/>
    <x v="836"/>
    <x v="814"/>
    <x v="7"/>
    <x v="2"/>
    <x v="1"/>
    <x v="5"/>
  </r>
  <r>
    <x v="3"/>
    <x v="1292"/>
    <n v="2"/>
    <x v="19"/>
    <x v="94"/>
    <x v="864"/>
    <x v="877"/>
    <x v="855"/>
    <x v="7"/>
    <x v="2"/>
    <x v="1"/>
    <x v="6"/>
  </r>
  <r>
    <x v="3"/>
    <x v="1293"/>
    <n v="2"/>
    <x v="19"/>
    <x v="94"/>
    <x v="843"/>
    <x v="856"/>
    <x v="834"/>
    <x v="7"/>
    <x v="2"/>
    <x v="1"/>
    <x v="31"/>
  </r>
  <r>
    <x v="3"/>
    <x v="1294"/>
    <n v="6"/>
    <x v="19"/>
    <x v="94"/>
    <x v="865"/>
    <x v="878"/>
    <x v="856"/>
    <x v="7"/>
    <x v="2"/>
    <x v="1"/>
    <x v="31"/>
  </r>
  <r>
    <x v="3"/>
    <x v="1295"/>
    <n v="28"/>
    <x v="19"/>
    <x v="94"/>
    <x v="863"/>
    <x v="876"/>
    <x v="854"/>
    <x v="7"/>
    <x v="2"/>
    <x v="1"/>
    <x v="6"/>
  </r>
  <r>
    <x v="3"/>
    <x v="1296"/>
    <n v="14"/>
    <x v="19"/>
    <x v="94"/>
    <x v="823"/>
    <x v="836"/>
    <x v="814"/>
    <x v="7"/>
    <x v="2"/>
    <x v="1"/>
    <x v="5"/>
  </r>
  <r>
    <x v="3"/>
    <x v="1297"/>
    <n v="1"/>
    <x v="19"/>
    <x v="94"/>
    <x v="866"/>
    <x v="879"/>
    <x v="857"/>
    <x v="1"/>
    <x v="1"/>
    <x v="0"/>
    <x v="0"/>
  </r>
  <r>
    <x v="3"/>
    <x v="1298"/>
    <n v="2"/>
    <x v="19"/>
    <x v="94"/>
    <x v="867"/>
    <x v="880"/>
    <x v="858"/>
    <x v="20"/>
    <x v="2"/>
    <x v="11"/>
    <x v="30"/>
  </r>
  <r>
    <x v="3"/>
    <x v="1299"/>
    <n v="2"/>
    <x v="19"/>
    <x v="94"/>
    <x v="868"/>
    <x v="881"/>
    <x v="859"/>
    <x v="7"/>
    <x v="2"/>
    <x v="1"/>
    <x v="6"/>
  </r>
  <r>
    <x v="3"/>
    <x v="1300"/>
    <n v="1"/>
    <x v="19"/>
    <x v="94"/>
    <x v="869"/>
    <x v="882"/>
    <x v="860"/>
    <x v="7"/>
    <x v="2"/>
    <x v="1"/>
    <x v="33"/>
  </r>
  <r>
    <x v="3"/>
    <x v="1301"/>
    <n v="2"/>
    <x v="19"/>
    <x v="94"/>
    <x v="870"/>
    <x v="883"/>
    <x v="861"/>
    <x v="7"/>
    <x v="2"/>
    <x v="1"/>
    <x v="5"/>
  </r>
  <r>
    <x v="3"/>
    <x v="1302"/>
    <n v="14"/>
    <x v="19"/>
    <x v="94"/>
    <x v="871"/>
    <x v="884"/>
    <x v="862"/>
    <x v="7"/>
    <x v="2"/>
    <x v="1"/>
    <x v="22"/>
  </r>
  <r>
    <x v="3"/>
    <x v="1303"/>
    <n v="1"/>
    <x v="19"/>
    <x v="107"/>
    <x v="872"/>
    <x v="885"/>
    <x v="863"/>
    <x v="0"/>
    <x v="0"/>
    <x v="0"/>
    <x v="32"/>
  </r>
  <r>
    <x v="3"/>
    <x v="1304"/>
    <n v="1"/>
    <x v="19"/>
    <x v="107"/>
    <x v="873"/>
    <x v="886"/>
    <x v="864"/>
    <x v="1"/>
    <x v="1"/>
    <x v="0"/>
    <x v="32"/>
  </r>
  <r>
    <x v="3"/>
    <x v="1305"/>
    <n v="1"/>
    <x v="19"/>
    <x v="107"/>
    <x v="837"/>
    <x v="850"/>
    <x v="828"/>
    <x v="6"/>
    <x v="2"/>
    <x v="1"/>
    <x v="4"/>
  </r>
  <r>
    <x v="3"/>
    <x v="1306"/>
    <n v="1"/>
    <x v="19"/>
    <x v="108"/>
    <x v="874"/>
    <x v="887"/>
    <x v="865"/>
    <x v="0"/>
    <x v="0"/>
    <x v="0"/>
    <x v="32"/>
  </r>
  <r>
    <x v="3"/>
    <x v="1307"/>
    <n v="1"/>
    <x v="19"/>
    <x v="108"/>
    <x v="845"/>
    <x v="888"/>
    <x v="866"/>
    <x v="1"/>
    <x v="1"/>
    <x v="0"/>
    <x v="32"/>
  </r>
  <r>
    <x v="3"/>
    <x v="1308"/>
    <n v="1"/>
    <x v="19"/>
    <x v="108"/>
    <x v="837"/>
    <x v="850"/>
    <x v="828"/>
    <x v="6"/>
    <x v="2"/>
    <x v="1"/>
    <x v="4"/>
  </r>
  <r>
    <x v="3"/>
    <x v="1309"/>
    <n v="1"/>
    <x v="19"/>
    <x v="94"/>
    <x v="875"/>
    <x v="889"/>
    <x v="867"/>
    <x v="4"/>
    <x v="2"/>
    <x v="1"/>
    <x v="15"/>
  </r>
  <r>
    <x v="3"/>
    <x v="1310"/>
    <n v="2"/>
    <x v="19"/>
    <x v="94"/>
    <x v="876"/>
    <x v="890"/>
    <x v="868"/>
    <x v="7"/>
    <x v="2"/>
    <x v="1"/>
    <x v="31"/>
  </r>
  <r>
    <x v="3"/>
    <x v="1311"/>
    <n v="1"/>
    <x v="19"/>
    <x v="109"/>
    <x v="877"/>
    <x v="891"/>
    <x v="869"/>
    <x v="0"/>
    <x v="0"/>
    <x v="0"/>
    <x v="0"/>
  </r>
  <r>
    <x v="3"/>
    <x v="1312"/>
    <n v="1"/>
    <x v="19"/>
    <x v="110"/>
    <x v="878"/>
    <x v="892"/>
    <x v="870"/>
    <x v="0"/>
    <x v="0"/>
    <x v="0"/>
    <x v="0"/>
  </r>
  <r>
    <x v="3"/>
    <x v="1313"/>
    <n v="2"/>
    <x v="19"/>
    <x v="110"/>
    <x v="879"/>
    <x v="893"/>
    <x v="871"/>
    <x v="11"/>
    <x v="1"/>
    <x v="0"/>
    <x v="0"/>
  </r>
  <r>
    <x v="3"/>
    <x v="1314"/>
    <n v="1"/>
    <x v="19"/>
    <x v="110"/>
    <x v="880"/>
    <x v="894"/>
    <x v="872"/>
    <x v="1"/>
    <x v="1"/>
    <x v="0"/>
    <x v="0"/>
  </r>
  <r>
    <x v="3"/>
    <x v="1315"/>
    <n v="6"/>
    <x v="19"/>
    <x v="110"/>
    <x v="863"/>
    <x v="876"/>
    <x v="854"/>
    <x v="7"/>
    <x v="2"/>
    <x v="1"/>
    <x v="6"/>
  </r>
  <r>
    <x v="3"/>
    <x v="1316"/>
    <n v="2"/>
    <x v="19"/>
    <x v="110"/>
    <x v="881"/>
    <x v="895"/>
    <x v="873"/>
    <x v="7"/>
    <x v="2"/>
    <x v="1"/>
    <x v="29"/>
  </r>
  <r>
    <x v="3"/>
    <x v="1317"/>
    <n v="2"/>
    <x v="19"/>
    <x v="110"/>
    <x v="823"/>
    <x v="836"/>
    <x v="814"/>
    <x v="7"/>
    <x v="2"/>
    <x v="1"/>
    <x v="5"/>
  </r>
  <r>
    <x v="3"/>
    <x v="1318"/>
    <n v="1"/>
    <x v="19"/>
    <x v="110"/>
    <x v="882"/>
    <x v="896"/>
    <x v="874"/>
    <x v="16"/>
    <x v="1"/>
    <x v="0"/>
    <x v="0"/>
  </r>
  <r>
    <x v="3"/>
    <x v="1319"/>
    <n v="2"/>
    <x v="19"/>
    <x v="110"/>
    <x v="883"/>
    <x v="897"/>
    <x v="875"/>
    <x v="20"/>
    <x v="2"/>
    <x v="11"/>
    <x v="30"/>
  </r>
  <r>
    <x v="3"/>
    <x v="1320"/>
    <n v="1"/>
    <x v="19"/>
    <x v="111"/>
    <x v="884"/>
    <x v="898"/>
    <x v="876"/>
    <x v="0"/>
    <x v="0"/>
    <x v="0"/>
    <x v="0"/>
  </r>
  <r>
    <x v="3"/>
    <x v="1321"/>
    <n v="2"/>
    <x v="19"/>
    <x v="111"/>
    <x v="885"/>
    <x v="899"/>
    <x v="877"/>
    <x v="11"/>
    <x v="1"/>
    <x v="0"/>
    <x v="0"/>
  </r>
  <r>
    <x v="3"/>
    <x v="1322"/>
    <n v="2"/>
    <x v="19"/>
    <x v="111"/>
    <x v="886"/>
    <x v="900"/>
    <x v="878"/>
    <x v="1"/>
    <x v="1"/>
    <x v="0"/>
    <x v="0"/>
  </r>
  <r>
    <x v="3"/>
    <x v="1323"/>
    <n v="2"/>
    <x v="19"/>
    <x v="111"/>
    <x v="887"/>
    <x v="901"/>
    <x v="879"/>
    <x v="11"/>
    <x v="1"/>
    <x v="0"/>
    <x v="0"/>
  </r>
  <r>
    <x v="3"/>
    <x v="1324"/>
    <n v="1"/>
    <x v="19"/>
    <x v="111"/>
    <x v="888"/>
    <x v="902"/>
    <x v="880"/>
    <x v="1"/>
    <x v="1"/>
    <x v="0"/>
    <x v="0"/>
  </r>
  <r>
    <x v="3"/>
    <x v="1325"/>
    <n v="6"/>
    <x v="19"/>
    <x v="111"/>
    <x v="863"/>
    <x v="876"/>
    <x v="854"/>
    <x v="7"/>
    <x v="2"/>
    <x v="1"/>
    <x v="6"/>
  </r>
  <r>
    <x v="3"/>
    <x v="1326"/>
    <n v="2"/>
    <x v="19"/>
    <x v="111"/>
    <x v="881"/>
    <x v="895"/>
    <x v="873"/>
    <x v="7"/>
    <x v="2"/>
    <x v="1"/>
    <x v="29"/>
  </r>
  <r>
    <x v="3"/>
    <x v="1327"/>
    <n v="2"/>
    <x v="19"/>
    <x v="111"/>
    <x v="823"/>
    <x v="836"/>
    <x v="814"/>
    <x v="7"/>
    <x v="2"/>
    <x v="1"/>
    <x v="5"/>
  </r>
  <r>
    <x v="3"/>
    <x v="1328"/>
    <n v="1"/>
    <x v="19"/>
    <x v="111"/>
    <x v="882"/>
    <x v="896"/>
    <x v="874"/>
    <x v="16"/>
    <x v="1"/>
    <x v="0"/>
    <x v="0"/>
  </r>
  <r>
    <x v="3"/>
    <x v="1329"/>
    <n v="2"/>
    <x v="19"/>
    <x v="111"/>
    <x v="883"/>
    <x v="897"/>
    <x v="875"/>
    <x v="20"/>
    <x v="2"/>
    <x v="11"/>
    <x v="30"/>
  </r>
  <r>
    <x v="3"/>
    <x v="1330"/>
    <n v="4"/>
    <x v="19"/>
    <x v="109"/>
    <x v="889"/>
    <x v="903"/>
    <x v="881"/>
    <x v="1"/>
    <x v="1"/>
    <x v="0"/>
    <x v="0"/>
  </r>
  <r>
    <x v="3"/>
    <x v="1331"/>
    <n v="3"/>
    <x v="19"/>
    <x v="109"/>
    <x v="890"/>
    <x v="904"/>
    <x v="882"/>
    <x v="13"/>
    <x v="2"/>
    <x v="9"/>
    <x v="21"/>
  </r>
  <r>
    <x v="3"/>
    <x v="1332"/>
    <n v="6"/>
    <x v="19"/>
    <x v="109"/>
    <x v="891"/>
    <x v="905"/>
    <x v="883"/>
    <x v="7"/>
    <x v="2"/>
    <x v="1"/>
    <x v="6"/>
  </r>
  <r>
    <x v="3"/>
    <x v="1333"/>
    <n v="2"/>
    <x v="19"/>
    <x v="109"/>
    <x v="892"/>
    <x v="906"/>
    <x v="884"/>
    <x v="7"/>
    <x v="2"/>
    <x v="1"/>
    <x v="29"/>
  </r>
  <r>
    <x v="3"/>
    <x v="1334"/>
    <n v="2"/>
    <x v="19"/>
    <x v="109"/>
    <x v="893"/>
    <x v="907"/>
    <x v="885"/>
    <x v="7"/>
    <x v="2"/>
    <x v="1"/>
    <x v="5"/>
  </r>
  <r>
    <x v="3"/>
    <x v="1335"/>
    <n v="1"/>
    <x v="19"/>
    <x v="112"/>
    <x v="894"/>
    <x v="908"/>
    <x v="886"/>
    <x v="0"/>
    <x v="0"/>
    <x v="0"/>
    <x v="32"/>
  </r>
  <r>
    <x v="3"/>
    <x v="1336"/>
    <n v="1"/>
    <x v="19"/>
    <x v="112"/>
    <x v="895"/>
    <x v="909"/>
    <x v="887"/>
    <x v="1"/>
    <x v="1"/>
    <x v="0"/>
    <x v="32"/>
  </r>
  <r>
    <x v="3"/>
    <x v="1337"/>
    <n v="1"/>
    <x v="19"/>
    <x v="112"/>
    <x v="864"/>
    <x v="877"/>
    <x v="855"/>
    <x v="7"/>
    <x v="2"/>
    <x v="1"/>
    <x v="6"/>
  </r>
  <r>
    <x v="3"/>
    <x v="1338"/>
    <n v="1"/>
    <x v="19"/>
    <x v="112"/>
    <x v="896"/>
    <x v="910"/>
    <x v="888"/>
    <x v="7"/>
    <x v="2"/>
    <x v="1"/>
    <x v="5"/>
  </r>
  <r>
    <x v="3"/>
    <x v="1339"/>
    <n v="3"/>
    <x v="19"/>
    <x v="112"/>
    <x v="893"/>
    <x v="907"/>
    <x v="885"/>
    <x v="7"/>
    <x v="2"/>
    <x v="1"/>
    <x v="5"/>
  </r>
  <r>
    <x v="3"/>
    <x v="1340"/>
    <n v="1"/>
    <x v="19"/>
    <x v="113"/>
    <x v="897"/>
    <x v="911"/>
    <x v="889"/>
    <x v="0"/>
    <x v="0"/>
    <x v="0"/>
    <x v="32"/>
  </r>
  <r>
    <x v="3"/>
    <x v="1341"/>
    <n v="1"/>
    <x v="19"/>
    <x v="113"/>
    <x v="898"/>
    <x v="912"/>
    <x v="890"/>
    <x v="1"/>
    <x v="1"/>
    <x v="0"/>
    <x v="32"/>
  </r>
  <r>
    <x v="3"/>
    <x v="1342"/>
    <n v="1"/>
    <x v="19"/>
    <x v="113"/>
    <x v="864"/>
    <x v="877"/>
    <x v="855"/>
    <x v="7"/>
    <x v="2"/>
    <x v="1"/>
    <x v="6"/>
  </r>
  <r>
    <x v="3"/>
    <x v="1343"/>
    <n v="3"/>
    <x v="19"/>
    <x v="113"/>
    <x v="893"/>
    <x v="907"/>
    <x v="885"/>
    <x v="7"/>
    <x v="2"/>
    <x v="1"/>
    <x v="5"/>
  </r>
  <r>
    <x v="3"/>
    <x v="1344"/>
    <n v="1"/>
    <x v="19"/>
    <x v="113"/>
    <x v="896"/>
    <x v="910"/>
    <x v="888"/>
    <x v="7"/>
    <x v="2"/>
    <x v="1"/>
    <x v="5"/>
  </r>
  <r>
    <x v="3"/>
    <x v="1345"/>
    <n v="1"/>
    <x v="19"/>
    <x v="114"/>
    <x v="899"/>
    <x v="913"/>
    <x v="891"/>
    <x v="0"/>
    <x v="0"/>
    <x v="0"/>
    <x v="32"/>
  </r>
  <r>
    <x v="3"/>
    <x v="1346"/>
    <n v="1"/>
    <x v="19"/>
    <x v="114"/>
    <x v="900"/>
    <x v="914"/>
    <x v="892"/>
    <x v="0"/>
    <x v="2"/>
    <x v="13"/>
    <x v="32"/>
  </r>
  <r>
    <x v="3"/>
    <x v="1347"/>
    <n v="1"/>
    <x v="19"/>
    <x v="114"/>
    <x v="901"/>
    <x v="915"/>
    <x v="893"/>
    <x v="0"/>
    <x v="2"/>
    <x v="13"/>
    <x v="32"/>
  </r>
  <r>
    <x v="3"/>
    <x v="1348"/>
    <n v="1"/>
    <x v="19"/>
    <x v="114"/>
    <x v="902"/>
    <x v="916"/>
    <x v="894"/>
    <x v="7"/>
    <x v="2"/>
    <x v="1"/>
    <x v="29"/>
  </r>
  <r>
    <x v="3"/>
    <x v="1349"/>
    <n v="6"/>
    <x v="19"/>
    <x v="114"/>
    <x v="864"/>
    <x v="877"/>
    <x v="855"/>
    <x v="7"/>
    <x v="2"/>
    <x v="1"/>
    <x v="6"/>
  </r>
  <r>
    <x v="3"/>
    <x v="1350"/>
    <n v="1"/>
    <x v="19"/>
    <x v="115"/>
    <x v="903"/>
    <x v="917"/>
    <x v="895"/>
    <x v="0"/>
    <x v="0"/>
    <x v="0"/>
    <x v="32"/>
  </r>
  <r>
    <x v="3"/>
    <x v="1351"/>
    <n v="1"/>
    <x v="19"/>
    <x v="115"/>
    <x v="900"/>
    <x v="914"/>
    <x v="892"/>
    <x v="0"/>
    <x v="2"/>
    <x v="13"/>
    <x v="32"/>
  </r>
  <r>
    <x v="3"/>
    <x v="1352"/>
    <n v="1"/>
    <x v="19"/>
    <x v="115"/>
    <x v="901"/>
    <x v="915"/>
    <x v="893"/>
    <x v="0"/>
    <x v="2"/>
    <x v="13"/>
    <x v="32"/>
  </r>
  <r>
    <x v="3"/>
    <x v="1353"/>
    <n v="1"/>
    <x v="19"/>
    <x v="115"/>
    <x v="902"/>
    <x v="916"/>
    <x v="894"/>
    <x v="7"/>
    <x v="2"/>
    <x v="1"/>
    <x v="29"/>
  </r>
  <r>
    <x v="3"/>
    <x v="1354"/>
    <n v="4"/>
    <x v="19"/>
    <x v="93"/>
    <x v="904"/>
    <x v="918"/>
    <x v="896"/>
    <x v="7"/>
    <x v="2"/>
    <x v="1"/>
    <x v="6"/>
  </r>
  <r>
    <x v="3"/>
    <x v="1355"/>
    <n v="1"/>
    <x v="19"/>
    <x v="93"/>
    <x v="905"/>
    <x v="919"/>
    <x v="897"/>
    <x v="3"/>
    <x v="1"/>
    <x v="0"/>
    <x v="0"/>
  </r>
  <r>
    <x v="3"/>
    <x v="1356"/>
    <n v="2"/>
    <x v="19"/>
    <x v="93"/>
    <x v="906"/>
    <x v="920"/>
    <x v="898"/>
    <x v="1"/>
    <x v="1"/>
    <x v="0"/>
    <x v="0"/>
  </r>
  <r>
    <x v="3"/>
    <x v="1357"/>
    <n v="2"/>
    <x v="19"/>
    <x v="93"/>
    <x v="907"/>
    <x v="921"/>
    <x v="899"/>
    <x v="0"/>
    <x v="2"/>
    <x v="11"/>
    <x v="30"/>
  </r>
  <r>
    <x v="3"/>
    <x v="1358"/>
    <n v="1"/>
    <x v="19"/>
    <x v="116"/>
    <x v="908"/>
    <x v="922"/>
    <x v="900"/>
    <x v="0"/>
    <x v="0"/>
    <x v="0"/>
    <x v="0"/>
  </r>
  <r>
    <x v="3"/>
    <x v="1359"/>
    <n v="1"/>
    <x v="19"/>
    <x v="116"/>
    <x v="909"/>
    <x v="923"/>
    <x v="901"/>
    <x v="1"/>
    <x v="1"/>
    <x v="0"/>
    <x v="0"/>
  </r>
  <r>
    <x v="3"/>
    <x v="1360"/>
    <n v="2"/>
    <x v="19"/>
    <x v="116"/>
    <x v="910"/>
    <x v="924"/>
    <x v="902"/>
    <x v="7"/>
    <x v="2"/>
    <x v="1"/>
    <x v="5"/>
  </r>
  <r>
    <x v="3"/>
    <x v="1361"/>
    <n v="1"/>
    <x v="19"/>
    <x v="116"/>
    <x v="893"/>
    <x v="907"/>
    <x v="885"/>
    <x v="7"/>
    <x v="2"/>
    <x v="1"/>
    <x v="5"/>
  </r>
  <r>
    <x v="3"/>
    <x v="1362"/>
    <n v="1"/>
    <x v="19"/>
    <x v="116"/>
    <x v="911"/>
    <x v="925"/>
    <x v="903"/>
    <x v="21"/>
    <x v="2"/>
    <x v="2"/>
    <x v="35"/>
  </r>
  <r>
    <x v="3"/>
    <x v="1363"/>
    <n v="1"/>
    <x v="19"/>
    <x v="116"/>
    <x v="912"/>
    <x v="926"/>
    <x v="904"/>
    <x v="7"/>
    <x v="2"/>
    <x v="1"/>
    <x v="22"/>
  </r>
  <r>
    <x v="3"/>
    <x v="1364"/>
    <n v="1"/>
    <x v="19"/>
    <x v="117"/>
    <x v="913"/>
    <x v="927"/>
    <x v="905"/>
    <x v="0"/>
    <x v="0"/>
    <x v="0"/>
    <x v="0"/>
  </r>
  <r>
    <x v="3"/>
    <x v="1365"/>
    <n v="2"/>
    <x v="19"/>
    <x v="117"/>
    <x v="910"/>
    <x v="924"/>
    <x v="902"/>
    <x v="7"/>
    <x v="2"/>
    <x v="1"/>
    <x v="5"/>
  </r>
  <r>
    <x v="3"/>
    <x v="1366"/>
    <n v="1"/>
    <x v="19"/>
    <x v="117"/>
    <x v="893"/>
    <x v="907"/>
    <x v="885"/>
    <x v="7"/>
    <x v="2"/>
    <x v="1"/>
    <x v="5"/>
  </r>
  <r>
    <x v="3"/>
    <x v="1367"/>
    <n v="1"/>
    <x v="19"/>
    <x v="117"/>
    <x v="911"/>
    <x v="925"/>
    <x v="903"/>
    <x v="21"/>
    <x v="2"/>
    <x v="2"/>
    <x v="35"/>
  </r>
  <r>
    <x v="3"/>
    <x v="1368"/>
    <n v="1"/>
    <x v="19"/>
    <x v="117"/>
    <x v="912"/>
    <x v="926"/>
    <x v="904"/>
    <x v="7"/>
    <x v="2"/>
    <x v="1"/>
    <x v="22"/>
  </r>
  <r>
    <x v="3"/>
    <x v="1369"/>
    <n v="1"/>
    <x v="19"/>
    <x v="117"/>
    <x v="914"/>
    <x v="928"/>
    <x v="906"/>
    <x v="1"/>
    <x v="1"/>
    <x v="0"/>
    <x v="0"/>
  </r>
  <r>
    <x v="3"/>
    <x v="1370"/>
    <n v="1"/>
    <x v="19"/>
    <x v="118"/>
    <x v="915"/>
    <x v="929"/>
    <x v="907"/>
    <x v="0"/>
    <x v="0"/>
    <x v="0"/>
    <x v="0"/>
  </r>
  <r>
    <x v="3"/>
    <x v="1371"/>
    <n v="1"/>
    <x v="19"/>
    <x v="118"/>
    <x v="916"/>
    <x v="930"/>
    <x v="908"/>
    <x v="1"/>
    <x v="1"/>
    <x v="0"/>
    <x v="0"/>
  </r>
  <r>
    <x v="3"/>
    <x v="1372"/>
    <n v="1"/>
    <x v="19"/>
    <x v="118"/>
    <x v="910"/>
    <x v="924"/>
    <x v="902"/>
    <x v="7"/>
    <x v="2"/>
    <x v="1"/>
    <x v="5"/>
  </r>
  <r>
    <x v="3"/>
    <x v="1373"/>
    <n v="1"/>
    <x v="19"/>
    <x v="118"/>
    <x v="893"/>
    <x v="907"/>
    <x v="885"/>
    <x v="7"/>
    <x v="2"/>
    <x v="1"/>
    <x v="5"/>
  </r>
  <r>
    <x v="3"/>
    <x v="1374"/>
    <n v="1"/>
    <x v="19"/>
    <x v="118"/>
    <x v="911"/>
    <x v="925"/>
    <x v="903"/>
    <x v="21"/>
    <x v="2"/>
    <x v="2"/>
    <x v="35"/>
  </r>
  <r>
    <x v="3"/>
    <x v="1375"/>
    <n v="1"/>
    <x v="19"/>
    <x v="118"/>
    <x v="917"/>
    <x v="931"/>
    <x v="909"/>
    <x v="7"/>
    <x v="2"/>
    <x v="1"/>
    <x v="22"/>
  </r>
  <r>
    <x v="3"/>
    <x v="1376"/>
    <n v="1"/>
    <x v="19"/>
    <x v="119"/>
    <x v="918"/>
    <x v="932"/>
    <x v="910"/>
    <x v="0"/>
    <x v="0"/>
    <x v="0"/>
    <x v="0"/>
  </r>
  <r>
    <x v="3"/>
    <x v="1377"/>
    <n v="1"/>
    <x v="19"/>
    <x v="119"/>
    <x v="919"/>
    <x v="933"/>
    <x v="911"/>
    <x v="1"/>
    <x v="1"/>
    <x v="0"/>
    <x v="0"/>
  </r>
  <r>
    <x v="3"/>
    <x v="1378"/>
    <n v="1"/>
    <x v="19"/>
    <x v="119"/>
    <x v="910"/>
    <x v="924"/>
    <x v="902"/>
    <x v="7"/>
    <x v="2"/>
    <x v="1"/>
    <x v="5"/>
  </r>
  <r>
    <x v="3"/>
    <x v="1379"/>
    <n v="1"/>
    <x v="19"/>
    <x v="119"/>
    <x v="893"/>
    <x v="907"/>
    <x v="885"/>
    <x v="7"/>
    <x v="2"/>
    <x v="1"/>
    <x v="5"/>
  </r>
  <r>
    <x v="3"/>
    <x v="1380"/>
    <n v="1"/>
    <x v="19"/>
    <x v="119"/>
    <x v="911"/>
    <x v="925"/>
    <x v="903"/>
    <x v="21"/>
    <x v="2"/>
    <x v="2"/>
    <x v="35"/>
  </r>
  <r>
    <x v="3"/>
    <x v="1381"/>
    <n v="1"/>
    <x v="19"/>
    <x v="119"/>
    <x v="917"/>
    <x v="931"/>
    <x v="909"/>
    <x v="7"/>
    <x v="2"/>
    <x v="1"/>
    <x v="22"/>
  </r>
  <r>
    <x v="3"/>
    <x v="1382"/>
    <n v="12"/>
    <x v="19"/>
    <x v="93"/>
    <x v="920"/>
    <x v="934"/>
    <x v="912"/>
    <x v="7"/>
    <x v="2"/>
    <x v="1"/>
    <x v="31"/>
  </r>
  <r>
    <x v="3"/>
    <x v="1383"/>
    <n v="12"/>
    <x v="19"/>
    <x v="93"/>
    <x v="868"/>
    <x v="881"/>
    <x v="859"/>
    <x v="7"/>
    <x v="2"/>
    <x v="1"/>
    <x v="6"/>
  </r>
  <r>
    <x v="3"/>
    <x v="1384"/>
    <n v="12"/>
    <x v="19"/>
    <x v="93"/>
    <x v="870"/>
    <x v="883"/>
    <x v="861"/>
    <x v="7"/>
    <x v="2"/>
    <x v="1"/>
    <x v="5"/>
  </r>
  <r>
    <x v="3"/>
    <x v="1385"/>
    <n v="6"/>
    <x v="19"/>
    <x v="93"/>
    <x v="921"/>
    <x v="935"/>
    <x v="913"/>
    <x v="7"/>
    <x v="2"/>
    <x v="1"/>
    <x v="31"/>
  </r>
  <r>
    <x v="3"/>
    <x v="1386"/>
    <n v="16"/>
    <x v="19"/>
    <x v="93"/>
    <x v="922"/>
    <x v="936"/>
    <x v="914"/>
    <x v="7"/>
    <x v="2"/>
    <x v="1"/>
    <x v="31"/>
  </r>
  <r>
    <x v="3"/>
    <x v="1387"/>
    <n v="10"/>
    <x v="19"/>
    <x v="93"/>
    <x v="891"/>
    <x v="905"/>
    <x v="883"/>
    <x v="7"/>
    <x v="2"/>
    <x v="1"/>
    <x v="6"/>
  </r>
  <r>
    <x v="3"/>
    <x v="1388"/>
    <n v="10"/>
    <x v="19"/>
    <x v="93"/>
    <x v="893"/>
    <x v="907"/>
    <x v="885"/>
    <x v="7"/>
    <x v="2"/>
    <x v="1"/>
    <x v="5"/>
  </r>
  <r>
    <x v="3"/>
    <x v="1389"/>
    <n v="2"/>
    <x v="19"/>
    <x v="93"/>
    <x v="923"/>
    <x v="937"/>
    <x v="915"/>
    <x v="7"/>
    <x v="2"/>
    <x v="1"/>
    <x v="33"/>
  </r>
  <r>
    <x v="3"/>
    <x v="1390"/>
    <n v="2"/>
    <x v="19"/>
    <x v="93"/>
    <x v="896"/>
    <x v="910"/>
    <x v="888"/>
    <x v="7"/>
    <x v="2"/>
    <x v="1"/>
    <x v="5"/>
  </r>
  <r>
    <x v="3"/>
    <x v="1391"/>
    <n v="1"/>
    <x v="19"/>
    <x v="93"/>
    <x v="858"/>
    <x v="871"/>
    <x v="849"/>
    <x v="8"/>
    <x v="5"/>
    <x v="7"/>
    <x v="18"/>
  </r>
  <r>
    <x v="3"/>
    <x v="1392"/>
    <n v="1"/>
    <x v="19"/>
    <x v="93"/>
    <x v="924"/>
    <x v="938"/>
    <x v="916"/>
    <x v="1"/>
    <x v="1"/>
    <x v="0"/>
    <x v="0"/>
  </r>
  <r>
    <x v="3"/>
    <x v="1393"/>
    <n v="1"/>
    <x v="19"/>
    <x v="93"/>
    <x v="856"/>
    <x v="869"/>
    <x v="847"/>
    <x v="8"/>
    <x v="2"/>
    <x v="2"/>
    <x v="34"/>
  </r>
  <r>
    <x v="3"/>
    <x v="1394"/>
    <n v="6"/>
    <x v="19"/>
    <x v="93"/>
    <x v="861"/>
    <x v="874"/>
    <x v="852"/>
    <x v="7"/>
    <x v="2"/>
    <x v="1"/>
    <x v="29"/>
  </r>
  <r>
    <x v="3"/>
    <x v="1395"/>
    <n v="4"/>
    <x v="19"/>
    <x v="93"/>
    <x v="860"/>
    <x v="873"/>
    <x v="851"/>
    <x v="6"/>
    <x v="2"/>
    <x v="1"/>
    <x v="5"/>
  </r>
  <r>
    <x v="3"/>
    <x v="1396"/>
    <n v="1"/>
    <x v="19"/>
    <x v="120"/>
    <x v="925"/>
    <x v="939"/>
    <x v="917"/>
    <x v="8"/>
    <x v="0"/>
    <x v="0"/>
    <x v="0"/>
  </r>
  <r>
    <x v="3"/>
    <x v="1397"/>
    <n v="1"/>
    <x v="19"/>
    <x v="120"/>
    <x v="926"/>
    <x v="940"/>
    <x v="918"/>
    <x v="8"/>
    <x v="1"/>
    <x v="0"/>
    <x v="0"/>
  </r>
  <r>
    <x v="3"/>
    <x v="1398"/>
    <n v="1"/>
    <x v="19"/>
    <x v="120"/>
    <x v="153"/>
    <x v="154"/>
    <x v="153"/>
    <x v="8"/>
    <x v="2"/>
    <x v="5"/>
    <x v="16"/>
  </r>
  <r>
    <x v="3"/>
    <x v="1399"/>
    <n v="1"/>
    <x v="19"/>
    <x v="93"/>
    <x v="927"/>
    <x v="941"/>
    <x v="919"/>
    <x v="1"/>
    <x v="1"/>
    <x v="0"/>
    <x v="0"/>
  </r>
  <r>
    <x v="3"/>
    <x v="1400"/>
    <n v="2"/>
    <x v="19"/>
    <x v="93"/>
    <x v="117"/>
    <x v="118"/>
    <x v="117"/>
    <x v="6"/>
    <x v="2"/>
    <x v="1"/>
    <x v="5"/>
  </r>
  <r>
    <x v="3"/>
    <x v="1401"/>
    <n v="1"/>
    <x v="19"/>
    <x v="121"/>
    <x v="928"/>
    <x v="942"/>
    <x v="920"/>
    <x v="0"/>
    <x v="0"/>
    <x v="0"/>
    <x v="0"/>
  </r>
  <r>
    <x v="3"/>
    <x v="1402"/>
    <n v="1"/>
    <x v="19"/>
    <x v="121"/>
    <x v="929"/>
    <x v="943"/>
    <x v="921"/>
    <x v="3"/>
    <x v="1"/>
    <x v="0"/>
    <x v="0"/>
  </r>
  <r>
    <x v="3"/>
    <x v="1403"/>
    <n v="2"/>
    <x v="19"/>
    <x v="121"/>
    <x v="930"/>
    <x v="944"/>
    <x v="922"/>
    <x v="11"/>
    <x v="1"/>
    <x v="0"/>
    <x v="0"/>
  </r>
  <r>
    <x v="3"/>
    <x v="1404"/>
    <n v="1"/>
    <x v="19"/>
    <x v="121"/>
    <x v="931"/>
    <x v="945"/>
    <x v="923"/>
    <x v="11"/>
    <x v="1"/>
    <x v="0"/>
    <x v="0"/>
  </r>
  <r>
    <x v="3"/>
    <x v="1405"/>
    <n v="10"/>
    <x v="19"/>
    <x v="121"/>
    <x v="893"/>
    <x v="907"/>
    <x v="885"/>
    <x v="7"/>
    <x v="2"/>
    <x v="1"/>
    <x v="5"/>
  </r>
  <r>
    <x v="3"/>
    <x v="1406"/>
    <n v="10"/>
    <x v="19"/>
    <x v="121"/>
    <x v="891"/>
    <x v="905"/>
    <x v="883"/>
    <x v="7"/>
    <x v="2"/>
    <x v="1"/>
    <x v="6"/>
  </r>
  <r>
    <x v="3"/>
    <x v="1407"/>
    <n v="10"/>
    <x v="19"/>
    <x v="121"/>
    <x v="922"/>
    <x v="936"/>
    <x v="914"/>
    <x v="7"/>
    <x v="2"/>
    <x v="1"/>
    <x v="31"/>
  </r>
  <r>
    <x v="3"/>
    <x v="1408"/>
    <n v="2"/>
    <x v="19"/>
    <x v="122"/>
    <x v="932"/>
    <x v="946"/>
    <x v="924"/>
    <x v="0"/>
    <x v="0"/>
    <x v="0"/>
    <x v="0"/>
  </r>
  <r>
    <x v="3"/>
    <x v="1409"/>
    <n v="2"/>
    <x v="19"/>
    <x v="123"/>
    <x v="933"/>
    <x v="947"/>
    <x v="925"/>
    <x v="0"/>
    <x v="0"/>
    <x v="0"/>
    <x v="0"/>
  </r>
  <r>
    <x v="3"/>
    <x v="1410"/>
    <n v="1"/>
    <x v="19"/>
    <x v="123"/>
    <x v="934"/>
    <x v="948"/>
    <x v="926"/>
    <x v="1"/>
    <x v="1"/>
    <x v="0"/>
    <x v="0"/>
  </r>
  <r>
    <x v="3"/>
    <x v="1411"/>
    <n v="1"/>
    <x v="19"/>
    <x v="123"/>
    <x v="935"/>
    <x v="949"/>
    <x v="927"/>
    <x v="11"/>
    <x v="1"/>
    <x v="0"/>
    <x v="0"/>
  </r>
  <r>
    <x v="3"/>
    <x v="1412"/>
    <n v="2"/>
    <x v="19"/>
    <x v="123"/>
    <x v="936"/>
    <x v="950"/>
    <x v="928"/>
    <x v="4"/>
    <x v="2"/>
    <x v="11"/>
    <x v="30"/>
  </r>
  <r>
    <x v="3"/>
    <x v="1413"/>
    <n v="1"/>
    <x v="19"/>
    <x v="123"/>
    <x v="937"/>
    <x v="951"/>
    <x v="929"/>
    <x v="20"/>
    <x v="2"/>
    <x v="11"/>
    <x v="30"/>
  </r>
  <r>
    <x v="3"/>
    <x v="1414"/>
    <n v="4"/>
    <x v="19"/>
    <x v="123"/>
    <x v="938"/>
    <x v="952"/>
    <x v="828"/>
    <x v="6"/>
    <x v="2"/>
    <x v="1"/>
    <x v="4"/>
  </r>
  <r>
    <x v="3"/>
    <x v="1415"/>
    <n v="4"/>
    <x v="19"/>
    <x v="123"/>
    <x v="939"/>
    <x v="953"/>
    <x v="930"/>
    <x v="7"/>
    <x v="2"/>
    <x v="1"/>
    <x v="31"/>
  </r>
  <r>
    <x v="3"/>
    <x v="1416"/>
    <n v="1"/>
    <x v="19"/>
    <x v="124"/>
    <x v="940"/>
    <x v="954"/>
    <x v="931"/>
    <x v="0"/>
    <x v="0"/>
    <x v="0"/>
    <x v="0"/>
  </r>
  <r>
    <x v="3"/>
    <x v="1417"/>
    <n v="1"/>
    <x v="19"/>
    <x v="124"/>
    <x v="941"/>
    <x v="955"/>
    <x v="932"/>
    <x v="1"/>
    <x v="1"/>
    <x v="0"/>
    <x v="0"/>
  </r>
  <r>
    <x v="3"/>
    <x v="1418"/>
    <n v="1"/>
    <x v="19"/>
    <x v="124"/>
    <x v="942"/>
    <x v="956"/>
    <x v="933"/>
    <x v="1"/>
    <x v="1"/>
    <x v="0"/>
    <x v="0"/>
  </r>
  <r>
    <x v="3"/>
    <x v="1419"/>
    <n v="2"/>
    <x v="19"/>
    <x v="125"/>
    <x v="943"/>
    <x v="957"/>
    <x v="934"/>
    <x v="0"/>
    <x v="0"/>
    <x v="0"/>
    <x v="0"/>
  </r>
  <r>
    <x v="3"/>
    <x v="1420"/>
    <n v="1"/>
    <x v="19"/>
    <x v="125"/>
    <x v="944"/>
    <x v="958"/>
    <x v="935"/>
    <x v="11"/>
    <x v="1"/>
    <x v="0"/>
    <x v="0"/>
  </r>
  <r>
    <x v="3"/>
    <x v="1421"/>
    <n v="1"/>
    <x v="19"/>
    <x v="125"/>
    <x v="945"/>
    <x v="959"/>
    <x v="936"/>
    <x v="4"/>
    <x v="2"/>
    <x v="1"/>
    <x v="11"/>
  </r>
  <r>
    <x v="3"/>
    <x v="1422"/>
    <n v="1"/>
    <x v="19"/>
    <x v="126"/>
    <x v="946"/>
    <x v="960"/>
    <x v="937"/>
    <x v="0"/>
    <x v="0"/>
    <x v="0"/>
    <x v="0"/>
  </r>
  <r>
    <x v="3"/>
    <x v="1423"/>
    <n v="1"/>
    <x v="19"/>
    <x v="126"/>
    <x v="947"/>
    <x v="961"/>
    <x v="938"/>
    <x v="13"/>
    <x v="1"/>
    <x v="0"/>
    <x v="0"/>
  </r>
  <r>
    <x v="3"/>
    <x v="1424"/>
    <n v="2"/>
    <x v="19"/>
    <x v="126"/>
    <x v="948"/>
    <x v="962"/>
    <x v="939"/>
    <x v="7"/>
    <x v="2"/>
    <x v="1"/>
    <x v="5"/>
  </r>
  <r>
    <x v="3"/>
    <x v="1425"/>
    <n v="1"/>
    <x v="19"/>
    <x v="126"/>
    <x v="832"/>
    <x v="845"/>
    <x v="823"/>
    <x v="7"/>
    <x v="2"/>
    <x v="1"/>
    <x v="6"/>
  </r>
  <r>
    <x v="3"/>
    <x v="1426"/>
    <n v="1"/>
    <x v="19"/>
    <x v="124"/>
    <x v="949"/>
    <x v="963"/>
    <x v="940"/>
    <x v="0"/>
    <x v="2"/>
    <x v="1"/>
    <x v="15"/>
  </r>
  <r>
    <x v="3"/>
    <x v="1427"/>
    <n v="2"/>
    <x v="19"/>
    <x v="124"/>
    <x v="950"/>
    <x v="964"/>
    <x v="941"/>
    <x v="16"/>
    <x v="2"/>
    <x v="1"/>
    <x v="6"/>
  </r>
  <r>
    <x v="3"/>
    <x v="1428"/>
    <n v="10"/>
    <x v="19"/>
    <x v="124"/>
    <x v="951"/>
    <x v="965"/>
    <x v="942"/>
    <x v="7"/>
    <x v="2"/>
    <x v="1"/>
    <x v="5"/>
  </r>
  <r>
    <x v="3"/>
    <x v="1429"/>
    <n v="10"/>
    <x v="19"/>
    <x v="124"/>
    <x v="952"/>
    <x v="966"/>
    <x v="943"/>
    <x v="7"/>
    <x v="2"/>
    <x v="1"/>
    <x v="31"/>
  </r>
  <r>
    <x v="3"/>
    <x v="1430"/>
    <n v="1"/>
    <x v="19"/>
    <x v="124"/>
    <x v="948"/>
    <x v="962"/>
    <x v="939"/>
    <x v="7"/>
    <x v="2"/>
    <x v="1"/>
    <x v="5"/>
  </r>
  <r>
    <x v="3"/>
    <x v="1431"/>
    <n v="1"/>
    <x v="19"/>
    <x v="124"/>
    <x v="864"/>
    <x v="877"/>
    <x v="855"/>
    <x v="7"/>
    <x v="2"/>
    <x v="1"/>
    <x v="6"/>
  </r>
  <r>
    <x v="3"/>
    <x v="1432"/>
    <n v="1"/>
    <x v="19"/>
    <x v="124"/>
    <x v="896"/>
    <x v="910"/>
    <x v="888"/>
    <x v="7"/>
    <x v="2"/>
    <x v="1"/>
    <x v="5"/>
  </r>
  <r>
    <x v="3"/>
    <x v="1433"/>
    <n v="1"/>
    <x v="19"/>
    <x v="124"/>
    <x v="832"/>
    <x v="845"/>
    <x v="823"/>
    <x v="7"/>
    <x v="2"/>
    <x v="1"/>
    <x v="6"/>
  </r>
  <r>
    <x v="3"/>
    <x v="1434"/>
    <n v="1"/>
    <x v="19"/>
    <x v="122"/>
    <x v="953"/>
    <x v="967"/>
    <x v="944"/>
    <x v="4"/>
    <x v="2"/>
    <x v="9"/>
    <x v="21"/>
  </r>
  <r>
    <x v="3"/>
    <x v="1435"/>
    <n v="3"/>
    <x v="19"/>
    <x v="122"/>
    <x v="954"/>
    <x v="968"/>
    <x v="945"/>
    <x v="4"/>
    <x v="2"/>
    <x v="8"/>
    <x v="2"/>
  </r>
  <r>
    <x v="3"/>
    <x v="1436"/>
    <n v="3"/>
    <x v="19"/>
    <x v="122"/>
    <x v="955"/>
    <x v="969"/>
    <x v="946"/>
    <x v="16"/>
    <x v="2"/>
    <x v="1"/>
    <x v="6"/>
  </r>
  <r>
    <x v="3"/>
    <x v="1437"/>
    <n v="1"/>
    <x v="19"/>
    <x v="127"/>
    <x v="956"/>
    <x v="970"/>
    <x v="947"/>
    <x v="0"/>
    <x v="0"/>
    <x v="0"/>
    <x v="0"/>
  </r>
  <r>
    <x v="3"/>
    <x v="1438"/>
    <n v="1"/>
    <x v="19"/>
    <x v="127"/>
    <x v="957"/>
    <x v="971"/>
    <x v="948"/>
    <x v="13"/>
    <x v="1"/>
    <x v="0"/>
    <x v="0"/>
  </r>
  <r>
    <x v="3"/>
    <x v="1439"/>
    <n v="1"/>
    <x v="19"/>
    <x v="127"/>
    <x v="954"/>
    <x v="968"/>
    <x v="945"/>
    <x v="4"/>
    <x v="2"/>
    <x v="8"/>
    <x v="2"/>
  </r>
  <r>
    <x v="3"/>
    <x v="1440"/>
    <n v="1"/>
    <x v="19"/>
    <x v="127"/>
    <x v="955"/>
    <x v="969"/>
    <x v="946"/>
    <x v="16"/>
    <x v="2"/>
    <x v="1"/>
    <x v="6"/>
  </r>
  <r>
    <x v="3"/>
    <x v="1441"/>
    <n v="1"/>
    <x v="19"/>
    <x v="128"/>
    <x v="958"/>
    <x v="972"/>
    <x v="949"/>
    <x v="0"/>
    <x v="0"/>
    <x v="0"/>
    <x v="0"/>
  </r>
  <r>
    <x v="3"/>
    <x v="1442"/>
    <n v="1"/>
    <x v="19"/>
    <x v="128"/>
    <x v="959"/>
    <x v="973"/>
    <x v="950"/>
    <x v="13"/>
    <x v="1"/>
    <x v="0"/>
    <x v="0"/>
  </r>
  <r>
    <x v="3"/>
    <x v="1443"/>
    <n v="1"/>
    <x v="19"/>
    <x v="128"/>
    <x v="960"/>
    <x v="974"/>
    <x v="951"/>
    <x v="0"/>
    <x v="2"/>
    <x v="1"/>
    <x v="11"/>
  </r>
  <r>
    <x v="3"/>
    <x v="1444"/>
    <n v="2"/>
    <x v="19"/>
    <x v="128"/>
    <x v="864"/>
    <x v="877"/>
    <x v="855"/>
    <x v="7"/>
    <x v="2"/>
    <x v="1"/>
    <x v="6"/>
  </r>
  <r>
    <x v="3"/>
    <x v="1445"/>
    <n v="2"/>
    <x v="19"/>
    <x v="128"/>
    <x v="948"/>
    <x v="962"/>
    <x v="939"/>
    <x v="7"/>
    <x v="2"/>
    <x v="1"/>
    <x v="5"/>
  </r>
  <r>
    <x v="3"/>
    <x v="1446"/>
    <n v="1"/>
    <x v="19"/>
    <x v="128"/>
    <x v="949"/>
    <x v="963"/>
    <x v="940"/>
    <x v="0"/>
    <x v="2"/>
    <x v="1"/>
    <x v="15"/>
  </r>
  <r>
    <x v="3"/>
    <x v="1447"/>
    <n v="10"/>
    <x v="19"/>
    <x v="0"/>
    <x v="864"/>
    <x v="877"/>
    <x v="855"/>
    <x v="7"/>
    <x v="2"/>
    <x v="1"/>
    <x v="6"/>
  </r>
  <r>
    <x v="3"/>
    <x v="1448"/>
    <n v="4"/>
    <x v="19"/>
    <x v="0"/>
    <x v="896"/>
    <x v="910"/>
    <x v="888"/>
    <x v="7"/>
    <x v="2"/>
    <x v="1"/>
    <x v="5"/>
  </r>
  <r>
    <x v="3"/>
    <x v="1449"/>
    <n v="2"/>
    <x v="19"/>
    <x v="0"/>
    <x v="831"/>
    <x v="844"/>
    <x v="822"/>
    <x v="7"/>
    <x v="2"/>
    <x v="1"/>
    <x v="33"/>
  </r>
  <r>
    <x v="3"/>
    <x v="1450"/>
    <n v="1"/>
    <x v="19"/>
    <x v="129"/>
    <x v="961"/>
    <x v="975"/>
    <x v="952"/>
    <x v="0"/>
    <x v="0"/>
    <x v="0"/>
    <x v="0"/>
  </r>
  <r>
    <x v="3"/>
    <x v="1451"/>
    <n v="1"/>
    <x v="19"/>
    <x v="129"/>
    <x v="962"/>
    <x v="976"/>
    <x v="953"/>
    <x v="1"/>
    <x v="1"/>
    <x v="0"/>
    <x v="0"/>
  </r>
  <r>
    <x v="3"/>
    <x v="1452"/>
    <n v="1"/>
    <x v="19"/>
    <x v="129"/>
    <x v="963"/>
    <x v="977"/>
    <x v="954"/>
    <x v="11"/>
    <x v="1"/>
    <x v="0"/>
    <x v="0"/>
  </r>
  <r>
    <x v="3"/>
    <x v="1453"/>
    <n v="1"/>
    <x v="19"/>
    <x v="129"/>
    <x v="964"/>
    <x v="978"/>
    <x v="955"/>
    <x v="8"/>
    <x v="2"/>
    <x v="2"/>
    <x v="15"/>
  </r>
  <r>
    <x v="3"/>
    <x v="1454"/>
    <n v="1"/>
    <x v="19"/>
    <x v="129"/>
    <x v="965"/>
    <x v="979"/>
    <x v="956"/>
    <x v="1"/>
    <x v="1"/>
    <x v="0"/>
    <x v="0"/>
  </r>
  <r>
    <x v="3"/>
    <x v="1455"/>
    <n v="4"/>
    <x v="19"/>
    <x v="129"/>
    <x v="67"/>
    <x v="67"/>
    <x v="67"/>
    <x v="6"/>
    <x v="2"/>
    <x v="1"/>
    <x v="4"/>
  </r>
  <r>
    <x v="3"/>
    <x v="1456"/>
    <n v="4"/>
    <x v="19"/>
    <x v="129"/>
    <x v="966"/>
    <x v="980"/>
    <x v="957"/>
    <x v="4"/>
    <x v="2"/>
    <x v="1"/>
    <x v="3"/>
  </r>
  <r>
    <x v="3"/>
    <x v="1457"/>
    <n v="1"/>
    <x v="19"/>
    <x v="129"/>
    <x v="967"/>
    <x v="981"/>
    <x v="958"/>
    <x v="8"/>
    <x v="2"/>
    <x v="10"/>
    <x v="25"/>
  </r>
  <r>
    <x v="3"/>
    <x v="1458"/>
    <n v="1"/>
    <x v="19"/>
    <x v="129"/>
    <x v="968"/>
    <x v="982"/>
    <x v="959"/>
    <x v="8"/>
    <x v="2"/>
    <x v="10"/>
    <x v="25"/>
  </r>
  <r>
    <x v="3"/>
    <x v="1459"/>
    <n v="2"/>
    <x v="19"/>
    <x v="129"/>
    <x v="853"/>
    <x v="866"/>
    <x v="844"/>
    <x v="7"/>
    <x v="2"/>
    <x v="1"/>
    <x v="29"/>
  </r>
  <r>
    <x v="3"/>
    <x v="1460"/>
    <n v="2"/>
    <x v="19"/>
    <x v="129"/>
    <x v="863"/>
    <x v="876"/>
    <x v="854"/>
    <x v="7"/>
    <x v="2"/>
    <x v="1"/>
    <x v="6"/>
  </r>
  <r>
    <x v="3"/>
    <x v="1461"/>
    <n v="1"/>
    <x v="19"/>
    <x v="129"/>
    <x v="969"/>
    <x v="983"/>
    <x v="960"/>
    <x v="8"/>
    <x v="2"/>
    <x v="10"/>
    <x v="25"/>
  </r>
  <r>
    <x v="3"/>
    <x v="1462"/>
    <n v="1"/>
    <x v="19"/>
    <x v="129"/>
    <x v="970"/>
    <x v="984"/>
    <x v="961"/>
    <x v="1"/>
    <x v="1"/>
    <x v="0"/>
    <x v="0"/>
  </r>
  <r>
    <x v="3"/>
    <x v="1463"/>
    <n v="2"/>
    <x v="19"/>
    <x v="129"/>
    <x v="823"/>
    <x v="836"/>
    <x v="814"/>
    <x v="7"/>
    <x v="2"/>
    <x v="1"/>
    <x v="5"/>
  </r>
  <r>
    <x v="3"/>
    <x v="1464"/>
    <n v="1"/>
    <x v="19"/>
    <x v="129"/>
    <x v="971"/>
    <x v="985"/>
    <x v="962"/>
    <x v="1"/>
    <x v="1"/>
    <x v="0"/>
    <x v="0"/>
  </r>
  <r>
    <x v="3"/>
    <x v="1465"/>
    <n v="1"/>
    <x v="19"/>
    <x v="0"/>
    <x v="972"/>
    <x v="986"/>
    <x v="963"/>
    <x v="17"/>
    <x v="0"/>
    <x v="0"/>
    <x v="0"/>
  </r>
  <r>
    <x v="3"/>
    <x v="1466"/>
    <n v="4"/>
    <x v="19"/>
    <x v="0"/>
    <x v="863"/>
    <x v="876"/>
    <x v="854"/>
    <x v="7"/>
    <x v="2"/>
    <x v="1"/>
    <x v="6"/>
  </r>
  <r>
    <x v="3"/>
    <x v="1467"/>
    <n v="2"/>
    <x v="19"/>
    <x v="0"/>
    <x v="823"/>
    <x v="836"/>
    <x v="814"/>
    <x v="7"/>
    <x v="2"/>
    <x v="1"/>
    <x v="5"/>
  </r>
  <r>
    <x v="3"/>
    <x v="1468"/>
    <n v="2"/>
    <x v="19"/>
    <x v="0"/>
    <x v="881"/>
    <x v="895"/>
    <x v="873"/>
    <x v="7"/>
    <x v="2"/>
    <x v="1"/>
    <x v="29"/>
  </r>
  <r>
    <x v="4"/>
    <x v="1469"/>
    <n v="1"/>
    <x v="20"/>
    <x v="0"/>
    <x v="973"/>
    <x v="987"/>
    <x v="964"/>
    <x v="0"/>
    <x v="0"/>
    <x v="0"/>
    <x v="0"/>
  </r>
  <r>
    <x v="4"/>
    <x v="1470"/>
    <n v="1"/>
    <x v="20"/>
    <x v="0"/>
    <x v="974"/>
    <x v="988"/>
    <x v="965"/>
    <x v="2"/>
    <x v="1"/>
    <x v="0"/>
    <x v="0"/>
  </r>
  <r>
    <x v="4"/>
    <x v="1471"/>
    <n v="1"/>
    <x v="20"/>
    <x v="130"/>
    <x v="975"/>
    <x v="989"/>
    <x v="966"/>
    <x v="0"/>
    <x v="1"/>
    <x v="0"/>
    <x v="0"/>
  </r>
  <r>
    <x v="4"/>
    <x v="1472"/>
    <n v="1"/>
    <x v="20"/>
    <x v="130"/>
    <x v="976"/>
    <x v="990"/>
    <x v="967"/>
    <x v="1"/>
    <x v="1"/>
    <x v="0"/>
    <x v="0"/>
  </r>
  <r>
    <x v="4"/>
    <x v="1473"/>
    <n v="1"/>
    <x v="20"/>
    <x v="130"/>
    <x v="977"/>
    <x v="991"/>
    <x v="968"/>
    <x v="9"/>
    <x v="1"/>
    <x v="0"/>
    <x v="0"/>
  </r>
  <r>
    <x v="4"/>
    <x v="1474"/>
    <n v="1"/>
    <x v="20"/>
    <x v="130"/>
    <x v="978"/>
    <x v="992"/>
    <x v="969"/>
    <x v="1"/>
    <x v="1"/>
    <x v="0"/>
    <x v="0"/>
  </r>
  <r>
    <x v="4"/>
    <x v="1475"/>
    <n v="1"/>
    <x v="20"/>
    <x v="130"/>
    <x v="979"/>
    <x v="993"/>
    <x v="970"/>
    <x v="9"/>
    <x v="1"/>
    <x v="0"/>
    <x v="0"/>
  </r>
  <r>
    <x v="4"/>
    <x v="1476"/>
    <n v="3"/>
    <x v="20"/>
    <x v="130"/>
    <x v="980"/>
    <x v="994"/>
    <x v="971"/>
    <x v="0"/>
    <x v="2"/>
    <x v="2"/>
    <x v="15"/>
  </r>
  <r>
    <x v="4"/>
    <x v="1477"/>
    <n v="1"/>
    <x v="20"/>
    <x v="130"/>
    <x v="981"/>
    <x v="995"/>
    <x v="972"/>
    <x v="1"/>
    <x v="1"/>
    <x v="0"/>
    <x v="0"/>
  </r>
  <r>
    <x v="4"/>
    <x v="1478"/>
    <n v="1"/>
    <x v="20"/>
    <x v="130"/>
    <x v="982"/>
    <x v="996"/>
    <x v="973"/>
    <x v="1"/>
    <x v="1"/>
    <x v="0"/>
    <x v="0"/>
  </r>
  <r>
    <x v="4"/>
    <x v="1479"/>
    <n v="6"/>
    <x v="20"/>
    <x v="130"/>
    <x v="111"/>
    <x v="112"/>
    <x v="111"/>
    <x v="7"/>
    <x v="2"/>
    <x v="1"/>
    <x v="6"/>
  </r>
  <r>
    <x v="4"/>
    <x v="1480"/>
    <n v="6"/>
    <x v="20"/>
    <x v="130"/>
    <x v="112"/>
    <x v="113"/>
    <x v="112"/>
    <x v="7"/>
    <x v="2"/>
    <x v="1"/>
    <x v="7"/>
  </r>
  <r>
    <x v="4"/>
    <x v="1481"/>
    <n v="6"/>
    <x v="20"/>
    <x v="130"/>
    <x v="110"/>
    <x v="111"/>
    <x v="110"/>
    <x v="6"/>
    <x v="2"/>
    <x v="1"/>
    <x v="4"/>
  </r>
  <r>
    <x v="4"/>
    <x v="1482"/>
    <n v="1"/>
    <x v="20"/>
    <x v="130"/>
    <x v="983"/>
    <x v="997"/>
    <x v="974"/>
    <x v="10"/>
    <x v="1"/>
    <x v="0"/>
    <x v="0"/>
  </r>
  <r>
    <x v="4"/>
    <x v="1483"/>
    <n v="1"/>
    <x v="21"/>
    <x v="0"/>
    <x v="984"/>
    <x v="998"/>
    <x v="975"/>
    <x v="0"/>
    <x v="0"/>
    <x v="0"/>
    <x v="0"/>
  </r>
  <r>
    <x v="4"/>
    <x v="1484"/>
    <n v="1"/>
    <x v="21"/>
    <x v="0"/>
    <x v="985"/>
    <x v="999"/>
    <x v="976"/>
    <x v="3"/>
    <x v="1"/>
    <x v="0"/>
    <x v="0"/>
  </r>
  <r>
    <x v="4"/>
    <x v="1485"/>
    <n v="1"/>
    <x v="21"/>
    <x v="0"/>
    <x v="986"/>
    <x v="1000"/>
    <x v="977"/>
    <x v="3"/>
    <x v="1"/>
    <x v="0"/>
    <x v="0"/>
  </r>
  <r>
    <x v="4"/>
    <x v="1486"/>
    <n v="1"/>
    <x v="21"/>
    <x v="0"/>
    <x v="987"/>
    <x v="1001"/>
    <x v="978"/>
    <x v="3"/>
    <x v="1"/>
    <x v="0"/>
    <x v="0"/>
  </r>
  <r>
    <x v="4"/>
    <x v="1487"/>
    <n v="1"/>
    <x v="21"/>
    <x v="0"/>
    <x v="988"/>
    <x v="1002"/>
    <x v="979"/>
    <x v="3"/>
    <x v="1"/>
    <x v="0"/>
    <x v="0"/>
  </r>
  <r>
    <x v="4"/>
    <x v="1488"/>
    <n v="1"/>
    <x v="21"/>
    <x v="0"/>
    <x v="989"/>
    <x v="1003"/>
    <x v="980"/>
    <x v="3"/>
    <x v="1"/>
    <x v="0"/>
    <x v="0"/>
  </r>
  <r>
    <x v="4"/>
    <x v="1489"/>
    <n v="1"/>
    <x v="21"/>
    <x v="0"/>
    <x v="990"/>
    <x v="1004"/>
    <x v="981"/>
    <x v="1"/>
    <x v="1"/>
    <x v="0"/>
    <x v="0"/>
  </r>
  <r>
    <x v="4"/>
    <x v="1490"/>
    <n v="1"/>
    <x v="21"/>
    <x v="0"/>
    <x v="991"/>
    <x v="1005"/>
    <x v="982"/>
    <x v="1"/>
    <x v="1"/>
    <x v="0"/>
    <x v="0"/>
  </r>
  <r>
    <x v="4"/>
    <x v="1491"/>
    <n v="1"/>
    <x v="21"/>
    <x v="0"/>
    <x v="992"/>
    <x v="1006"/>
    <x v="983"/>
    <x v="1"/>
    <x v="1"/>
    <x v="0"/>
    <x v="0"/>
  </r>
  <r>
    <x v="4"/>
    <x v="1492"/>
    <n v="1"/>
    <x v="21"/>
    <x v="0"/>
    <x v="993"/>
    <x v="1007"/>
    <x v="984"/>
    <x v="1"/>
    <x v="1"/>
    <x v="0"/>
    <x v="0"/>
  </r>
  <r>
    <x v="4"/>
    <x v="1493"/>
    <n v="1"/>
    <x v="21"/>
    <x v="0"/>
    <x v="994"/>
    <x v="1008"/>
    <x v="985"/>
    <x v="1"/>
    <x v="1"/>
    <x v="0"/>
    <x v="0"/>
  </r>
  <r>
    <x v="4"/>
    <x v="1494"/>
    <n v="1"/>
    <x v="21"/>
    <x v="0"/>
    <x v="995"/>
    <x v="1009"/>
    <x v="986"/>
    <x v="1"/>
    <x v="1"/>
    <x v="0"/>
    <x v="0"/>
  </r>
  <r>
    <x v="4"/>
    <x v="1495"/>
    <n v="1"/>
    <x v="21"/>
    <x v="0"/>
    <x v="996"/>
    <x v="1010"/>
    <x v="987"/>
    <x v="1"/>
    <x v="1"/>
    <x v="0"/>
    <x v="0"/>
  </r>
  <r>
    <x v="4"/>
    <x v="1496"/>
    <n v="1"/>
    <x v="21"/>
    <x v="0"/>
    <x v="997"/>
    <x v="1011"/>
    <x v="988"/>
    <x v="1"/>
    <x v="1"/>
    <x v="0"/>
    <x v="0"/>
  </r>
  <r>
    <x v="4"/>
    <x v="1497"/>
    <n v="1"/>
    <x v="21"/>
    <x v="0"/>
    <x v="998"/>
    <x v="1012"/>
    <x v="989"/>
    <x v="1"/>
    <x v="1"/>
    <x v="0"/>
    <x v="0"/>
  </r>
  <r>
    <x v="4"/>
    <x v="1498"/>
    <n v="1"/>
    <x v="21"/>
    <x v="0"/>
    <x v="999"/>
    <x v="1013"/>
    <x v="990"/>
    <x v="1"/>
    <x v="1"/>
    <x v="0"/>
    <x v="0"/>
  </r>
  <r>
    <x v="4"/>
    <x v="1499"/>
    <n v="1"/>
    <x v="21"/>
    <x v="0"/>
    <x v="1000"/>
    <x v="1014"/>
    <x v="991"/>
    <x v="1"/>
    <x v="1"/>
    <x v="0"/>
    <x v="0"/>
  </r>
  <r>
    <x v="4"/>
    <x v="1500"/>
    <n v="1"/>
    <x v="21"/>
    <x v="0"/>
    <x v="1001"/>
    <x v="1015"/>
    <x v="992"/>
    <x v="3"/>
    <x v="1"/>
    <x v="0"/>
    <x v="0"/>
  </r>
  <r>
    <x v="4"/>
    <x v="1501"/>
    <n v="1"/>
    <x v="21"/>
    <x v="0"/>
    <x v="1002"/>
    <x v="1016"/>
    <x v="993"/>
    <x v="1"/>
    <x v="1"/>
    <x v="0"/>
    <x v="0"/>
  </r>
  <r>
    <x v="4"/>
    <x v="1502"/>
    <n v="1"/>
    <x v="21"/>
    <x v="0"/>
    <x v="1003"/>
    <x v="1017"/>
    <x v="994"/>
    <x v="3"/>
    <x v="1"/>
    <x v="0"/>
    <x v="0"/>
  </r>
  <r>
    <x v="4"/>
    <x v="1503"/>
    <n v="4"/>
    <x v="21"/>
    <x v="0"/>
    <x v="1004"/>
    <x v="1018"/>
    <x v="995"/>
    <x v="1"/>
    <x v="1"/>
    <x v="0"/>
    <x v="0"/>
  </r>
  <r>
    <x v="4"/>
    <x v="1504"/>
    <n v="3"/>
    <x v="21"/>
    <x v="0"/>
    <x v="1005"/>
    <x v="1019"/>
    <x v="996"/>
    <x v="1"/>
    <x v="1"/>
    <x v="0"/>
    <x v="0"/>
  </r>
  <r>
    <x v="4"/>
    <x v="1505"/>
    <n v="1"/>
    <x v="21"/>
    <x v="0"/>
    <x v="1006"/>
    <x v="1020"/>
    <x v="997"/>
    <x v="1"/>
    <x v="1"/>
    <x v="0"/>
    <x v="0"/>
  </r>
  <r>
    <x v="4"/>
    <x v="1506"/>
    <n v="1"/>
    <x v="21"/>
    <x v="0"/>
    <x v="1007"/>
    <x v="1021"/>
    <x v="998"/>
    <x v="3"/>
    <x v="1"/>
    <x v="0"/>
    <x v="0"/>
  </r>
  <r>
    <x v="4"/>
    <x v="1507"/>
    <n v="1"/>
    <x v="21"/>
    <x v="0"/>
    <x v="1008"/>
    <x v="1022"/>
    <x v="999"/>
    <x v="3"/>
    <x v="1"/>
    <x v="0"/>
    <x v="0"/>
  </r>
  <r>
    <x v="4"/>
    <x v="1508"/>
    <n v="1"/>
    <x v="21"/>
    <x v="0"/>
    <x v="1009"/>
    <x v="1023"/>
    <x v="1000"/>
    <x v="3"/>
    <x v="1"/>
    <x v="0"/>
    <x v="0"/>
  </r>
  <r>
    <x v="4"/>
    <x v="1509"/>
    <n v="1"/>
    <x v="21"/>
    <x v="0"/>
    <x v="1010"/>
    <x v="1024"/>
    <x v="1001"/>
    <x v="3"/>
    <x v="1"/>
    <x v="0"/>
    <x v="0"/>
  </r>
  <r>
    <x v="4"/>
    <x v="1510"/>
    <n v="1"/>
    <x v="21"/>
    <x v="0"/>
    <x v="1011"/>
    <x v="1025"/>
    <x v="1002"/>
    <x v="3"/>
    <x v="1"/>
    <x v="0"/>
    <x v="0"/>
  </r>
  <r>
    <x v="4"/>
    <x v="1511"/>
    <n v="1"/>
    <x v="21"/>
    <x v="0"/>
    <x v="1012"/>
    <x v="1026"/>
    <x v="1003"/>
    <x v="1"/>
    <x v="1"/>
    <x v="0"/>
    <x v="0"/>
  </r>
  <r>
    <x v="4"/>
    <x v="1512"/>
    <n v="1"/>
    <x v="21"/>
    <x v="0"/>
    <x v="1013"/>
    <x v="1027"/>
    <x v="1004"/>
    <x v="3"/>
    <x v="1"/>
    <x v="0"/>
    <x v="0"/>
  </r>
  <r>
    <x v="4"/>
    <x v="1513"/>
    <n v="1"/>
    <x v="21"/>
    <x v="0"/>
    <x v="1014"/>
    <x v="1028"/>
    <x v="1005"/>
    <x v="3"/>
    <x v="1"/>
    <x v="0"/>
    <x v="0"/>
  </r>
  <r>
    <x v="4"/>
    <x v="1514"/>
    <n v="2"/>
    <x v="21"/>
    <x v="0"/>
    <x v="1015"/>
    <x v="1029"/>
    <x v="1006"/>
    <x v="3"/>
    <x v="1"/>
    <x v="0"/>
    <x v="0"/>
  </r>
  <r>
    <x v="4"/>
    <x v="1515"/>
    <n v="2"/>
    <x v="21"/>
    <x v="0"/>
    <x v="1016"/>
    <x v="1030"/>
    <x v="1007"/>
    <x v="3"/>
    <x v="1"/>
    <x v="0"/>
    <x v="0"/>
  </r>
  <r>
    <x v="4"/>
    <x v="1516"/>
    <n v="2"/>
    <x v="21"/>
    <x v="0"/>
    <x v="1017"/>
    <x v="1031"/>
    <x v="1008"/>
    <x v="3"/>
    <x v="1"/>
    <x v="0"/>
    <x v="0"/>
  </r>
  <r>
    <x v="4"/>
    <x v="1517"/>
    <n v="1"/>
    <x v="21"/>
    <x v="0"/>
    <x v="1018"/>
    <x v="1032"/>
    <x v="1009"/>
    <x v="11"/>
    <x v="1"/>
    <x v="0"/>
    <x v="0"/>
  </r>
  <r>
    <x v="4"/>
    <x v="1518"/>
    <n v="1"/>
    <x v="21"/>
    <x v="0"/>
    <x v="1019"/>
    <x v="1033"/>
    <x v="1010"/>
    <x v="1"/>
    <x v="1"/>
    <x v="0"/>
    <x v="0"/>
  </r>
  <r>
    <x v="4"/>
    <x v="1519"/>
    <n v="1"/>
    <x v="21"/>
    <x v="0"/>
    <x v="1020"/>
    <x v="1034"/>
    <x v="1011"/>
    <x v="10"/>
    <x v="1"/>
    <x v="0"/>
    <x v="0"/>
  </r>
  <r>
    <x v="4"/>
    <x v="1520"/>
    <n v="1"/>
    <x v="21"/>
    <x v="0"/>
    <x v="1021"/>
    <x v="1035"/>
    <x v="1012"/>
    <x v="1"/>
    <x v="1"/>
    <x v="0"/>
    <x v="0"/>
  </r>
  <r>
    <x v="4"/>
    <x v="1521"/>
    <n v="1"/>
    <x v="21"/>
    <x v="0"/>
    <x v="1022"/>
    <x v="1036"/>
    <x v="1013"/>
    <x v="1"/>
    <x v="1"/>
    <x v="0"/>
    <x v="0"/>
  </r>
  <r>
    <x v="4"/>
    <x v="1522"/>
    <n v="1"/>
    <x v="21"/>
    <x v="0"/>
    <x v="1023"/>
    <x v="1037"/>
    <x v="1014"/>
    <x v="1"/>
    <x v="1"/>
    <x v="0"/>
    <x v="0"/>
  </r>
  <r>
    <x v="4"/>
    <x v="1523"/>
    <n v="1"/>
    <x v="21"/>
    <x v="0"/>
    <x v="1024"/>
    <x v="1038"/>
    <x v="1015"/>
    <x v="1"/>
    <x v="1"/>
    <x v="0"/>
    <x v="0"/>
  </r>
  <r>
    <x v="4"/>
    <x v="1524"/>
    <n v="75"/>
    <x v="21"/>
    <x v="0"/>
    <x v="51"/>
    <x v="51"/>
    <x v="51"/>
    <x v="4"/>
    <x v="2"/>
    <x v="1"/>
    <x v="1"/>
  </r>
  <r>
    <x v="4"/>
    <x v="1525"/>
    <n v="29"/>
    <x v="21"/>
    <x v="0"/>
    <x v="54"/>
    <x v="54"/>
    <x v="54"/>
    <x v="4"/>
    <x v="2"/>
    <x v="1"/>
    <x v="3"/>
  </r>
  <r>
    <x v="4"/>
    <x v="1526"/>
    <n v="32"/>
    <x v="21"/>
    <x v="0"/>
    <x v="53"/>
    <x v="53"/>
    <x v="53"/>
    <x v="4"/>
    <x v="2"/>
    <x v="1"/>
    <x v="3"/>
  </r>
  <r>
    <x v="4"/>
    <x v="1527"/>
    <n v="36"/>
    <x v="21"/>
    <x v="0"/>
    <x v="52"/>
    <x v="52"/>
    <x v="52"/>
    <x v="5"/>
    <x v="2"/>
    <x v="1"/>
    <x v="2"/>
  </r>
  <r>
    <x v="4"/>
    <x v="1528"/>
    <n v="70"/>
    <x v="21"/>
    <x v="0"/>
    <x v="57"/>
    <x v="57"/>
    <x v="57"/>
    <x v="4"/>
    <x v="2"/>
    <x v="1"/>
    <x v="6"/>
  </r>
  <r>
    <x v="4"/>
    <x v="1529"/>
    <n v="48"/>
    <x v="21"/>
    <x v="0"/>
    <x v="58"/>
    <x v="58"/>
    <x v="58"/>
    <x v="4"/>
    <x v="2"/>
    <x v="1"/>
    <x v="7"/>
  </r>
  <r>
    <x v="4"/>
    <x v="1530"/>
    <n v="79"/>
    <x v="21"/>
    <x v="0"/>
    <x v="56"/>
    <x v="56"/>
    <x v="56"/>
    <x v="7"/>
    <x v="2"/>
    <x v="1"/>
    <x v="5"/>
  </r>
  <r>
    <x v="4"/>
    <x v="1531"/>
    <n v="5"/>
    <x v="21"/>
    <x v="0"/>
    <x v="1025"/>
    <x v="1039"/>
    <x v="1016"/>
    <x v="7"/>
    <x v="2"/>
    <x v="1"/>
    <x v="7"/>
  </r>
  <r>
    <x v="4"/>
    <x v="1532"/>
    <n v="66"/>
    <x v="21"/>
    <x v="0"/>
    <x v="55"/>
    <x v="55"/>
    <x v="55"/>
    <x v="6"/>
    <x v="2"/>
    <x v="1"/>
    <x v="4"/>
  </r>
  <r>
    <x v="4"/>
    <x v="1533"/>
    <n v="13"/>
    <x v="21"/>
    <x v="0"/>
    <x v="67"/>
    <x v="67"/>
    <x v="67"/>
    <x v="6"/>
    <x v="2"/>
    <x v="1"/>
    <x v="4"/>
  </r>
  <r>
    <x v="4"/>
    <x v="1534"/>
    <n v="4"/>
    <x v="21"/>
    <x v="0"/>
    <x v="110"/>
    <x v="111"/>
    <x v="110"/>
    <x v="6"/>
    <x v="2"/>
    <x v="1"/>
    <x v="4"/>
  </r>
  <r>
    <x v="4"/>
    <x v="1535"/>
    <n v="3"/>
    <x v="21"/>
    <x v="0"/>
    <x v="130"/>
    <x v="131"/>
    <x v="130"/>
    <x v="7"/>
    <x v="2"/>
    <x v="1"/>
    <x v="7"/>
  </r>
  <r>
    <x v="4"/>
    <x v="1536"/>
    <n v="1"/>
    <x v="21"/>
    <x v="0"/>
    <x v="646"/>
    <x v="657"/>
    <x v="635"/>
    <x v="0"/>
    <x v="2"/>
    <x v="8"/>
    <x v="2"/>
  </r>
  <r>
    <x v="4"/>
    <x v="1537"/>
    <n v="1"/>
    <x v="21"/>
    <x v="0"/>
    <x v="1026"/>
    <x v="1040"/>
    <x v="1017"/>
    <x v="4"/>
    <x v="2"/>
    <x v="1"/>
    <x v="7"/>
  </r>
  <r>
    <x v="4"/>
    <x v="1538"/>
    <n v="1"/>
    <x v="22"/>
    <x v="0"/>
    <x v="1027"/>
    <x v="1041"/>
    <x v="1018"/>
    <x v="0"/>
    <x v="0"/>
    <x v="0"/>
    <x v="0"/>
  </r>
  <r>
    <x v="4"/>
    <x v="1539"/>
    <n v="1"/>
    <x v="22"/>
    <x v="0"/>
    <x v="1028"/>
    <x v="1042"/>
    <x v="1019"/>
    <x v="1"/>
    <x v="1"/>
    <x v="0"/>
    <x v="0"/>
  </r>
  <r>
    <x v="4"/>
    <x v="1540"/>
    <n v="1"/>
    <x v="22"/>
    <x v="0"/>
    <x v="1029"/>
    <x v="1043"/>
    <x v="1020"/>
    <x v="12"/>
    <x v="1"/>
    <x v="0"/>
    <x v="0"/>
  </r>
  <r>
    <x v="4"/>
    <x v="1541"/>
    <n v="1"/>
    <x v="22"/>
    <x v="0"/>
    <x v="1030"/>
    <x v="1044"/>
    <x v="1021"/>
    <x v="12"/>
    <x v="1"/>
    <x v="0"/>
    <x v="0"/>
  </r>
  <r>
    <x v="4"/>
    <x v="1542"/>
    <n v="1"/>
    <x v="22"/>
    <x v="0"/>
    <x v="1031"/>
    <x v="1045"/>
    <x v="1022"/>
    <x v="11"/>
    <x v="1"/>
    <x v="0"/>
    <x v="0"/>
  </r>
  <r>
    <x v="4"/>
    <x v="1543"/>
    <n v="4"/>
    <x v="22"/>
    <x v="0"/>
    <x v="55"/>
    <x v="55"/>
    <x v="55"/>
    <x v="6"/>
    <x v="2"/>
    <x v="1"/>
    <x v="4"/>
  </r>
  <r>
    <x v="4"/>
    <x v="1544"/>
    <n v="1"/>
    <x v="22"/>
    <x v="0"/>
    <x v="1032"/>
    <x v="1046"/>
    <x v="1023"/>
    <x v="8"/>
    <x v="2"/>
    <x v="3"/>
    <x v="12"/>
  </r>
  <r>
    <x v="4"/>
    <x v="1545"/>
    <n v="2"/>
    <x v="22"/>
    <x v="0"/>
    <x v="110"/>
    <x v="111"/>
    <x v="110"/>
    <x v="6"/>
    <x v="2"/>
    <x v="1"/>
    <x v="4"/>
  </r>
  <r>
    <x v="4"/>
    <x v="1546"/>
    <n v="2"/>
    <x v="22"/>
    <x v="0"/>
    <x v="1033"/>
    <x v="1047"/>
    <x v="1024"/>
    <x v="7"/>
    <x v="2"/>
    <x v="1"/>
    <x v="7"/>
  </r>
  <r>
    <x v="4"/>
    <x v="1547"/>
    <n v="2"/>
    <x v="22"/>
    <x v="0"/>
    <x v="1034"/>
    <x v="1048"/>
    <x v="1025"/>
    <x v="20"/>
    <x v="2"/>
    <x v="11"/>
    <x v="30"/>
  </r>
  <r>
    <x v="4"/>
    <x v="1548"/>
    <n v="1"/>
    <x v="22"/>
    <x v="0"/>
    <x v="1035"/>
    <x v="1049"/>
    <x v="1026"/>
    <x v="4"/>
    <x v="2"/>
    <x v="14"/>
    <x v="36"/>
  </r>
  <r>
    <x v="4"/>
    <x v="1549"/>
    <n v="1"/>
    <x v="22"/>
    <x v="0"/>
    <x v="1036"/>
    <x v="1050"/>
    <x v="1027"/>
    <x v="4"/>
    <x v="2"/>
    <x v="9"/>
    <x v="21"/>
  </r>
  <r>
    <x v="4"/>
    <x v="1550"/>
    <n v="1"/>
    <x v="22"/>
    <x v="0"/>
    <x v="1037"/>
    <x v="1051"/>
    <x v="1028"/>
    <x v="16"/>
    <x v="2"/>
    <x v="1"/>
    <x v="6"/>
  </r>
  <r>
    <x v="4"/>
    <x v="1551"/>
    <n v="1"/>
    <x v="22"/>
    <x v="0"/>
    <x v="56"/>
    <x v="56"/>
    <x v="56"/>
    <x v="7"/>
    <x v="2"/>
    <x v="1"/>
    <x v="5"/>
  </r>
  <r>
    <x v="4"/>
    <x v="1552"/>
    <n v="1"/>
    <x v="22"/>
    <x v="0"/>
    <x v="388"/>
    <x v="394"/>
    <x v="387"/>
    <x v="7"/>
    <x v="2"/>
    <x v="1"/>
    <x v="11"/>
  </r>
  <r>
    <x v="4"/>
    <x v="1553"/>
    <n v="1"/>
    <x v="23"/>
    <x v="0"/>
    <x v="1038"/>
    <x v="1052"/>
    <x v="1029"/>
    <x v="0"/>
    <x v="0"/>
    <x v="0"/>
    <x v="0"/>
  </r>
  <r>
    <x v="4"/>
    <x v="1554"/>
    <n v="1"/>
    <x v="23"/>
    <x v="0"/>
    <x v="1039"/>
    <x v="1053"/>
    <x v="1030"/>
    <x v="1"/>
    <x v="1"/>
    <x v="0"/>
    <x v="0"/>
  </r>
  <r>
    <x v="4"/>
    <x v="1555"/>
    <n v="1"/>
    <x v="23"/>
    <x v="0"/>
    <x v="1040"/>
    <x v="1054"/>
    <x v="1031"/>
    <x v="9"/>
    <x v="1"/>
    <x v="0"/>
    <x v="0"/>
  </r>
  <r>
    <x v="4"/>
    <x v="1556"/>
    <n v="1"/>
    <x v="23"/>
    <x v="131"/>
    <x v="1041"/>
    <x v="1055"/>
    <x v="1032"/>
    <x v="0"/>
    <x v="3"/>
    <x v="0"/>
    <x v="0"/>
  </r>
  <r>
    <x v="4"/>
    <x v="1557"/>
    <n v="1"/>
    <x v="23"/>
    <x v="131"/>
    <x v="380"/>
    <x v="386"/>
    <x v="379"/>
    <x v="8"/>
    <x v="2"/>
    <x v="3"/>
    <x v="12"/>
  </r>
  <r>
    <x v="4"/>
    <x v="1558"/>
    <n v="1"/>
    <x v="23"/>
    <x v="131"/>
    <x v="378"/>
    <x v="384"/>
    <x v="377"/>
    <x v="11"/>
    <x v="3"/>
    <x v="0"/>
    <x v="0"/>
  </r>
  <r>
    <x v="4"/>
    <x v="1559"/>
    <n v="1"/>
    <x v="23"/>
    <x v="0"/>
    <x v="1042"/>
    <x v="1056"/>
    <x v="1033"/>
    <x v="16"/>
    <x v="2"/>
    <x v="9"/>
    <x v="12"/>
  </r>
  <r>
    <x v="4"/>
    <x v="1560"/>
    <n v="1"/>
    <x v="23"/>
    <x v="0"/>
    <x v="513"/>
    <x v="523"/>
    <x v="511"/>
    <x v="7"/>
    <x v="2"/>
    <x v="1"/>
    <x v="12"/>
  </r>
  <r>
    <x v="4"/>
    <x v="1561"/>
    <n v="1"/>
    <x v="23"/>
    <x v="0"/>
    <x v="382"/>
    <x v="388"/>
    <x v="381"/>
    <x v="7"/>
    <x v="2"/>
    <x v="3"/>
    <x v="5"/>
  </r>
  <r>
    <x v="4"/>
    <x v="1562"/>
    <n v="1"/>
    <x v="24"/>
    <x v="0"/>
    <x v="1043"/>
    <x v="1057"/>
    <x v="1034"/>
    <x v="0"/>
    <x v="0"/>
    <x v="0"/>
    <x v="0"/>
  </r>
  <r>
    <x v="4"/>
    <x v="1563"/>
    <n v="1"/>
    <x v="24"/>
    <x v="0"/>
    <x v="1044"/>
    <x v="1058"/>
    <x v="1035"/>
    <x v="1"/>
    <x v="1"/>
    <x v="0"/>
    <x v="0"/>
  </r>
  <r>
    <x v="4"/>
    <x v="1564"/>
    <n v="1"/>
    <x v="24"/>
    <x v="0"/>
    <x v="1045"/>
    <x v="1059"/>
    <x v="1036"/>
    <x v="9"/>
    <x v="1"/>
    <x v="0"/>
    <x v="0"/>
  </r>
  <r>
    <x v="4"/>
    <x v="1565"/>
    <n v="1"/>
    <x v="24"/>
    <x v="0"/>
    <x v="1046"/>
    <x v="1060"/>
    <x v="1037"/>
    <x v="9"/>
    <x v="1"/>
    <x v="0"/>
    <x v="0"/>
  </r>
  <r>
    <x v="4"/>
    <x v="1566"/>
    <n v="2"/>
    <x v="24"/>
    <x v="0"/>
    <x v="1025"/>
    <x v="1039"/>
    <x v="1016"/>
    <x v="7"/>
    <x v="2"/>
    <x v="1"/>
    <x v="7"/>
  </r>
  <r>
    <x v="4"/>
    <x v="1567"/>
    <n v="2"/>
    <x v="24"/>
    <x v="0"/>
    <x v="55"/>
    <x v="55"/>
    <x v="55"/>
    <x v="6"/>
    <x v="2"/>
    <x v="1"/>
    <x v="4"/>
  </r>
  <r>
    <x v="4"/>
    <x v="1568"/>
    <n v="4"/>
    <x v="24"/>
    <x v="0"/>
    <x v="1047"/>
    <x v="1061"/>
    <x v="1038"/>
    <x v="8"/>
    <x v="2"/>
    <x v="3"/>
    <x v="12"/>
  </r>
  <r>
    <x v="4"/>
    <x v="1569"/>
    <n v="4"/>
    <x v="24"/>
    <x v="0"/>
    <x v="444"/>
    <x v="454"/>
    <x v="445"/>
    <x v="6"/>
    <x v="2"/>
    <x v="3"/>
    <x v="5"/>
  </r>
  <r>
    <x v="4"/>
    <x v="1570"/>
    <n v="4"/>
    <x v="24"/>
    <x v="0"/>
    <x v="437"/>
    <x v="1062"/>
    <x v="1039"/>
    <x v="4"/>
    <x v="2"/>
    <x v="9"/>
    <x v="19"/>
  </r>
  <r>
    <x v="4"/>
    <x v="1571"/>
    <n v="4"/>
    <x v="24"/>
    <x v="0"/>
    <x v="443"/>
    <x v="453"/>
    <x v="444"/>
    <x v="4"/>
    <x v="2"/>
    <x v="1"/>
    <x v="12"/>
  </r>
  <r>
    <x v="4"/>
    <x v="1572"/>
    <n v="1"/>
    <x v="25"/>
    <x v="0"/>
    <x v="1048"/>
    <x v="1063"/>
    <x v="1040"/>
    <x v="0"/>
    <x v="0"/>
    <x v="0"/>
    <x v="0"/>
  </r>
  <r>
    <x v="4"/>
    <x v="1573"/>
    <n v="1"/>
    <x v="25"/>
    <x v="0"/>
    <x v="1049"/>
    <x v="1064"/>
    <x v="1041"/>
    <x v="11"/>
    <x v="1"/>
    <x v="0"/>
    <x v="0"/>
  </r>
  <r>
    <x v="4"/>
    <x v="1574"/>
    <n v="1"/>
    <x v="25"/>
    <x v="0"/>
    <x v="1050"/>
    <x v="1065"/>
    <x v="1042"/>
    <x v="11"/>
    <x v="1"/>
    <x v="0"/>
    <x v="0"/>
  </r>
  <r>
    <x v="4"/>
    <x v="1575"/>
    <n v="1"/>
    <x v="25"/>
    <x v="0"/>
    <x v="1051"/>
    <x v="1066"/>
    <x v="1043"/>
    <x v="1"/>
    <x v="1"/>
    <x v="0"/>
    <x v="0"/>
  </r>
  <r>
    <x v="4"/>
    <x v="1576"/>
    <n v="2"/>
    <x v="25"/>
    <x v="0"/>
    <x v="1052"/>
    <x v="1067"/>
    <x v="1044"/>
    <x v="1"/>
    <x v="1"/>
    <x v="0"/>
    <x v="0"/>
  </r>
  <r>
    <x v="4"/>
    <x v="1577"/>
    <n v="2"/>
    <x v="25"/>
    <x v="0"/>
    <x v="1053"/>
    <x v="1068"/>
    <x v="1045"/>
    <x v="1"/>
    <x v="2"/>
    <x v="0"/>
    <x v="5"/>
  </r>
  <r>
    <x v="4"/>
    <x v="1578"/>
    <n v="1"/>
    <x v="25"/>
    <x v="132"/>
    <x v="1054"/>
    <x v="1069"/>
    <x v="1046"/>
    <x v="0"/>
    <x v="0"/>
    <x v="0"/>
    <x v="0"/>
  </r>
  <r>
    <x v="4"/>
    <x v="1579"/>
    <n v="1"/>
    <x v="25"/>
    <x v="133"/>
    <x v="1055"/>
    <x v="1070"/>
    <x v="1047"/>
    <x v="0"/>
    <x v="0"/>
    <x v="0"/>
    <x v="0"/>
  </r>
  <r>
    <x v="4"/>
    <x v="1580"/>
    <n v="1"/>
    <x v="25"/>
    <x v="133"/>
    <x v="1056"/>
    <x v="1071"/>
    <x v="1048"/>
    <x v="12"/>
    <x v="1"/>
    <x v="0"/>
    <x v="0"/>
  </r>
  <r>
    <x v="4"/>
    <x v="1581"/>
    <n v="1"/>
    <x v="25"/>
    <x v="133"/>
    <x v="1057"/>
    <x v="1072"/>
    <x v="1049"/>
    <x v="12"/>
    <x v="1"/>
    <x v="0"/>
    <x v="0"/>
  </r>
  <r>
    <x v="4"/>
    <x v="1582"/>
    <n v="1"/>
    <x v="25"/>
    <x v="134"/>
    <x v="1058"/>
    <x v="1073"/>
    <x v="1050"/>
    <x v="0"/>
    <x v="0"/>
    <x v="0"/>
    <x v="0"/>
  </r>
  <r>
    <x v="4"/>
    <x v="1583"/>
    <n v="1"/>
    <x v="25"/>
    <x v="134"/>
    <x v="1059"/>
    <x v="1074"/>
    <x v="1051"/>
    <x v="1"/>
    <x v="1"/>
    <x v="0"/>
    <x v="0"/>
  </r>
  <r>
    <x v="4"/>
    <x v="1584"/>
    <n v="1"/>
    <x v="25"/>
    <x v="134"/>
    <x v="1060"/>
    <x v="1075"/>
    <x v="1052"/>
    <x v="1"/>
    <x v="1"/>
    <x v="0"/>
    <x v="0"/>
  </r>
  <r>
    <x v="4"/>
    <x v="1585"/>
    <n v="1"/>
    <x v="25"/>
    <x v="134"/>
    <x v="1061"/>
    <x v="1076"/>
    <x v="1053"/>
    <x v="1"/>
    <x v="1"/>
    <x v="0"/>
    <x v="0"/>
  </r>
  <r>
    <x v="4"/>
    <x v="1586"/>
    <n v="2"/>
    <x v="25"/>
    <x v="134"/>
    <x v="475"/>
    <x v="485"/>
    <x v="476"/>
    <x v="4"/>
    <x v="2"/>
    <x v="1"/>
    <x v="3"/>
  </r>
  <r>
    <x v="4"/>
    <x v="1587"/>
    <n v="2"/>
    <x v="25"/>
    <x v="134"/>
    <x v="110"/>
    <x v="111"/>
    <x v="110"/>
    <x v="6"/>
    <x v="2"/>
    <x v="1"/>
    <x v="4"/>
  </r>
  <r>
    <x v="4"/>
    <x v="1588"/>
    <n v="1"/>
    <x v="25"/>
    <x v="134"/>
    <x v="1062"/>
    <x v="1077"/>
    <x v="1054"/>
    <x v="4"/>
    <x v="2"/>
    <x v="9"/>
    <x v="21"/>
  </r>
  <r>
    <x v="4"/>
    <x v="1589"/>
    <n v="1"/>
    <x v="25"/>
    <x v="134"/>
    <x v="1063"/>
    <x v="1078"/>
    <x v="1055"/>
    <x v="4"/>
    <x v="2"/>
    <x v="9"/>
    <x v="21"/>
  </r>
  <r>
    <x v="4"/>
    <x v="1590"/>
    <n v="1"/>
    <x v="25"/>
    <x v="134"/>
    <x v="1064"/>
    <x v="1079"/>
    <x v="1056"/>
    <x v="8"/>
    <x v="2"/>
    <x v="4"/>
    <x v="13"/>
  </r>
  <r>
    <x v="4"/>
    <x v="1591"/>
    <n v="1"/>
    <x v="25"/>
    <x v="134"/>
    <x v="1065"/>
    <x v="1080"/>
    <x v="1057"/>
    <x v="4"/>
    <x v="2"/>
    <x v="4"/>
    <x v="5"/>
  </r>
  <r>
    <x v="4"/>
    <x v="1592"/>
    <n v="1"/>
    <x v="25"/>
    <x v="135"/>
    <x v="1066"/>
    <x v="1081"/>
    <x v="1058"/>
    <x v="0"/>
    <x v="0"/>
    <x v="0"/>
    <x v="0"/>
  </r>
  <r>
    <x v="4"/>
    <x v="1593"/>
    <n v="1"/>
    <x v="25"/>
    <x v="135"/>
    <x v="1067"/>
    <x v="1082"/>
    <x v="1059"/>
    <x v="12"/>
    <x v="1"/>
    <x v="0"/>
    <x v="0"/>
  </r>
  <r>
    <x v="4"/>
    <x v="1594"/>
    <n v="1"/>
    <x v="25"/>
    <x v="135"/>
    <x v="1068"/>
    <x v="1083"/>
    <x v="1060"/>
    <x v="12"/>
    <x v="1"/>
    <x v="0"/>
    <x v="0"/>
  </r>
  <r>
    <x v="4"/>
    <x v="1595"/>
    <n v="1"/>
    <x v="25"/>
    <x v="135"/>
    <x v="1069"/>
    <x v="1084"/>
    <x v="1061"/>
    <x v="12"/>
    <x v="1"/>
    <x v="0"/>
    <x v="0"/>
  </r>
  <r>
    <x v="4"/>
    <x v="1596"/>
    <n v="1"/>
    <x v="25"/>
    <x v="135"/>
    <x v="1070"/>
    <x v="1085"/>
    <x v="1062"/>
    <x v="8"/>
    <x v="1"/>
    <x v="0"/>
    <x v="0"/>
  </r>
  <r>
    <x v="4"/>
    <x v="1597"/>
    <n v="1"/>
    <x v="25"/>
    <x v="136"/>
    <x v="1071"/>
    <x v="1086"/>
    <x v="1063"/>
    <x v="0"/>
    <x v="0"/>
    <x v="0"/>
    <x v="0"/>
  </r>
  <r>
    <x v="4"/>
    <x v="1598"/>
    <n v="1"/>
    <x v="25"/>
    <x v="136"/>
    <x v="1072"/>
    <x v="1087"/>
    <x v="1064"/>
    <x v="12"/>
    <x v="1"/>
    <x v="0"/>
    <x v="0"/>
  </r>
  <r>
    <x v="4"/>
    <x v="1599"/>
    <n v="1"/>
    <x v="25"/>
    <x v="136"/>
    <x v="1073"/>
    <x v="1088"/>
    <x v="1065"/>
    <x v="12"/>
    <x v="1"/>
    <x v="0"/>
    <x v="0"/>
  </r>
  <r>
    <x v="4"/>
    <x v="1600"/>
    <n v="1"/>
    <x v="25"/>
    <x v="136"/>
    <x v="1074"/>
    <x v="1089"/>
    <x v="1066"/>
    <x v="8"/>
    <x v="2"/>
    <x v="3"/>
    <x v="12"/>
  </r>
  <r>
    <x v="4"/>
    <x v="1601"/>
    <n v="1"/>
    <x v="25"/>
    <x v="133"/>
    <x v="1075"/>
    <x v="1090"/>
    <x v="1067"/>
    <x v="12"/>
    <x v="1"/>
    <x v="0"/>
    <x v="0"/>
  </r>
  <r>
    <x v="4"/>
    <x v="1602"/>
    <n v="1"/>
    <x v="25"/>
    <x v="133"/>
    <x v="1076"/>
    <x v="1091"/>
    <x v="1068"/>
    <x v="8"/>
    <x v="1"/>
    <x v="0"/>
    <x v="0"/>
  </r>
  <r>
    <x v="4"/>
    <x v="1603"/>
    <n v="1"/>
    <x v="25"/>
    <x v="137"/>
    <x v="1077"/>
    <x v="1092"/>
    <x v="1069"/>
    <x v="0"/>
    <x v="0"/>
    <x v="0"/>
    <x v="0"/>
  </r>
  <r>
    <x v="4"/>
    <x v="1604"/>
    <n v="1"/>
    <x v="25"/>
    <x v="137"/>
    <x v="1072"/>
    <x v="1087"/>
    <x v="1064"/>
    <x v="12"/>
    <x v="1"/>
    <x v="0"/>
    <x v="0"/>
  </r>
  <r>
    <x v="4"/>
    <x v="1605"/>
    <n v="1"/>
    <x v="25"/>
    <x v="137"/>
    <x v="1073"/>
    <x v="1088"/>
    <x v="1065"/>
    <x v="12"/>
    <x v="1"/>
    <x v="0"/>
    <x v="0"/>
  </r>
  <r>
    <x v="4"/>
    <x v="1606"/>
    <n v="1"/>
    <x v="25"/>
    <x v="137"/>
    <x v="1078"/>
    <x v="1093"/>
    <x v="1070"/>
    <x v="8"/>
    <x v="2"/>
    <x v="3"/>
    <x v="12"/>
  </r>
  <r>
    <x v="4"/>
    <x v="1607"/>
    <n v="1"/>
    <x v="25"/>
    <x v="133"/>
    <x v="1079"/>
    <x v="1094"/>
    <x v="1071"/>
    <x v="8"/>
    <x v="1"/>
    <x v="0"/>
    <x v="0"/>
  </r>
  <r>
    <x v="4"/>
    <x v="1608"/>
    <n v="5"/>
    <x v="25"/>
    <x v="133"/>
    <x v="55"/>
    <x v="55"/>
    <x v="55"/>
    <x v="6"/>
    <x v="2"/>
    <x v="1"/>
    <x v="4"/>
  </r>
  <r>
    <x v="4"/>
    <x v="1609"/>
    <n v="3"/>
    <x v="25"/>
    <x v="133"/>
    <x v="227"/>
    <x v="228"/>
    <x v="227"/>
    <x v="7"/>
    <x v="2"/>
    <x v="1"/>
    <x v="7"/>
  </r>
  <r>
    <x v="4"/>
    <x v="1610"/>
    <n v="3"/>
    <x v="25"/>
    <x v="133"/>
    <x v="475"/>
    <x v="485"/>
    <x v="476"/>
    <x v="4"/>
    <x v="2"/>
    <x v="1"/>
    <x v="3"/>
  </r>
  <r>
    <x v="4"/>
    <x v="1611"/>
    <n v="6"/>
    <x v="25"/>
    <x v="133"/>
    <x v="110"/>
    <x v="111"/>
    <x v="110"/>
    <x v="6"/>
    <x v="2"/>
    <x v="1"/>
    <x v="4"/>
  </r>
  <r>
    <x v="4"/>
    <x v="1612"/>
    <n v="3"/>
    <x v="25"/>
    <x v="133"/>
    <x v="111"/>
    <x v="112"/>
    <x v="111"/>
    <x v="7"/>
    <x v="2"/>
    <x v="1"/>
    <x v="6"/>
  </r>
  <r>
    <x v="4"/>
    <x v="1613"/>
    <n v="3"/>
    <x v="25"/>
    <x v="133"/>
    <x v="1080"/>
    <x v="1095"/>
    <x v="1072"/>
    <x v="4"/>
    <x v="2"/>
    <x v="1"/>
    <x v="7"/>
  </r>
  <r>
    <x v="4"/>
    <x v="1614"/>
    <n v="1"/>
    <x v="25"/>
    <x v="133"/>
    <x v="1081"/>
    <x v="1096"/>
    <x v="1073"/>
    <x v="8"/>
    <x v="2"/>
    <x v="3"/>
    <x v="12"/>
  </r>
  <r>
    <x v="4"/>
    <x v="1615"/>
    <n v="2"/>
    <x v="25"/>
    <x v="133"/>
    <x v="116"/>
    <x v="117"/>
    <x v="116"/>
    <x v="6"/>
    <x v="2"/>
    <x v="1"/>
    <x v="7"/>
  </r>
  <r>
    <x v="4"/>
    <x v="1616"/>
    <n v="2"/>
    <x v="25"/>
    <x v="133"/>
    <x v="68"/>
    <x v="68"/>
    <x v="68"/>
    <x v="6"/>
    <x v="2"/>
    <x v="1"/>
    <x v="4"/>
  </r>
  <r>
    <x v="4"/>
    <x v="1617"/>
    <n v="3"/>
    <x v="25"/>
    <x v="133"/>
    <x v="1082"/>
    <x v="1097"/>
    <x v="1074"/>
    <x v="4"/>
    <x v="2"/>
    <x v="8"/>
    <x v="2"/>
  </r>
  <r>
    <x v="4"/>
    <x v="1618"/>
    <n v="1"/>
    <x v="25"/>
    <x v="132"/>
    <x v="1083"/>
    <x v="1098"/>
    <x v="1075"/>
    <x v="1"/>
    <x v="1"/>
    <x v="0"/>
    <x v="0"/>
  </r>
  <r>
    <x v="4"/>
    <x v="1619"/>
    <n v="1"/>
    <x v="25"/>
    <x v="132"/>
    <x v="1084"/>
    <x v="1099"/>
    <x v="1076"/>
    <x v="11"/>
    <x v="1"/>
    <x v="0"/>
    <x v="0"/>
  </r>
  <r>
    <x v="4"/>
    <x v="1620"/>
    <n v="1"/>
    <x v="25"/>
    <x v="132"/>
    <x v="1085"/>
    <x v="1100"/>
    <x v="1077"/>
    <x v="1"/>
    <x v="1"/>
    <x v="0"/>
    <x v="0"/>
  </r>
  <r>
    <x v="4"/>
    <x v="1621"/>
    <n v="1"/>
    <x v="25"/>
    <x v="132"/>
    <x v="1086"/>
    <x v="1101"/>
    <x v="1078"/>
    <x v="1"/>
    <x v="1"/>
    <x v="0"/>
    <x v="0"/>
  </r>
  <r>
    <x v="4"/>
    <x v="1622"/>
    <n v="1"/>
    <x v="25"/>
    <x v="132"/>
    <x v="1087"/>
    <x v="1102"/>
    <x v="1079"/>
    <x v="11"/>
    <x v="1"/>
    <x v="0"/>
    <x v="0"/>
  </r>
  <r>
    <x v="4"/>
    <x v="1623"/>
    <n v="10"/>
    <x v="25"/>
    <x v="132"/>
    <x v="1088"/>
    <x v="1103"/>
    <x v="1080"/>
    <x v="7"/>
    <x v="2"/>
    <x v="1"/>
    <x v="3"/>
  </r>
  <r>
    <x v="4"/>
    <x v="1624"/>
    <n v="2"/>
    <x v="25"/>
    <x v="132"/>
    <x v="54"/>
    <x v="54"/>
    <x v="54"/>
    <x v="4"/>
    <x v="2"/>
    <x v="1"/>
    <x v="3"/>
  </r>
  <r>
    <x v="4"/>
    <x v="1625"/>
    <n v="10"/>
    <x v="25"/>
    <x v="132"/>
    <x v="67"/>
    <x v="67"/>
    <x v="67"/>
    <x v="6"/>
    <x v="2"/>
    <x v="1"/>
    <x v="4"/>
  </r>
  <r>
    <x v="4"/>
    <x v="1626"/>
    <n v="1"/>
    <x v="25"/>
    <x v="132"/>
    <x v="1089"/>
    <x v="1104"/>
    <x v="1081"/>
    <x v="0"/>
    <x v="2"/>
    <x v="9"/>
    <x v="8"/>
  </r>
  <r>
    <x v="4"/>
    <x v="1627"/>
    <n v="1"/>
    <x v="25"/>
    <x v="132"/>
    <x v="538"/>
    <x v="548"/>
    <x v="532"/>
    <x v="7"/>
    <x v="2"/>
    <x v="1"/>
    <x v="6"/>
  </r>
  <r>
    <x v="4"/>
    <x v="1628"/>
    <n v="1"/>
    <x v="25"/>
    <x v="132"/>
    <x v="112"/>
    <x v="113"/>
    <x v="112"/>
    <x v="7"/>
    <x v="2"/>
    <x v="1"/>
    <x v="7"/>
  </r>
  <r>
    <x v="4"/>
    <x v="1629"/>
    <n v="1"/>
    <x v="25"/>
    <x v="132"/>
    <x v="231"/>
    <x v="232"/>
    <x v="231"/>
    <x v="4"/>
    <x v="2"/>
    <x v="1"/>
    <x v="5"/>
  </r>
  <r>
    <x v="4"/>
    <x v="1630"/>
    <n v="1"/>
    <x v="25"/>
    <x v="132"/>
    <x v="1090"/>
    <x v="1105"/>
    <x v="1082"/>
    <x v="7"/>
    <x v="2"/>
    <x v="1"/>
    <x v="7"/>
  </r>
  <r>
    <x v="4"/>
    <x v="1631"/>
    <n v="1"/>
    <x v="25"/>
    <x v="132"/>
    <x v="1091"/>
    <x v="1106"/>
    <x v="1083"/>
    <x v="14"/>
    <x v="2"/>
    <x v="1"/>
    <x v="20"/>
  </r>
  <r>
    <x v="4"/>
    <x v="1632"/>
    <n v="1"/>
    <x v="25"/>
    <x v="132"/>
    <x v="110"/>
    <x v="111"/>
    <x v="110"/>
    <x v="6"/>
    <x v="2"/>
    <x v="1"/>
    <x v="4"/>
  </r>
  <r>
    <x v="4"/>
    <x v="1633"/>
    <n v="1"/>
    <x v="25"/>
    <x v="132"/>
    <x v="1092"/>
    <x v="1107"/>
    <x v="1084"/>
    <x v="14"/>
    <x v="2"/>
    <x v="1"/>
    <x v="20"/>
  </r>
  <r>
    <x v="4"/>
    <x v="1634"/>
    <n v="1"/>
    <x v="25"/>
    <x v="132"/>
    <x v="555"/>
    <x v="565"/>
    <x v="545"/>
    <x v="4"/>
    <x v="2"/>
    <x v="1"/>
    <x v="22"/>
  </r>
  <r>
    <x v="4"/>
    <x v="1635"/>
    <n v="1"/>
    <x v="25"/>
    <x v="132"/>
    <x v="402"/>
    <x v="409"/>
    <x v="402"/>
    <x v="6"/>
    <x v="2"/>
    <x v="1"/>
    <x v="4"/>
  </r>
  <r>
    <x v="4"/>
    <x v="1636"/>
    <n v="1"/>
    <x v="25"/>
    <x v="132"/>
    <x v="1093"/>
    <x v="1108"/>
    <x v="1085"/>
    <x v="4"/>
    <x v="2"/>
    <x v="9"/>
    <x v="21"/>
  </r>
  <r>
    <x v="4"/>
    <x v="1637"/>
    <n v="1"/>
    <x v="25"/>
    <x v="138"/>
    <x v="1094"/>
    <x v="1109"/>
    <x v="1086"/>
    <x v="0"/>
    <x v="0"/>
    <x v="0"/>
    <x v="0"/>
  </r>
  <r>
    <x v="4"/>
    <x v="1638"/>
    <n v="1"/>
    <x v="25"/>
    <x v="138"/>
    <x v="1095"/>
    <x v="1110"/>
    <x v="1087"/>
    <x v="11"/>
    <x v="1"/>
    <x v="0"/>
    <x v="0"/>
  </r>
  <r>
    <x v="4"/>
    <x v="1639"/>
    <n v="1"/>
    <x v="25"/>
    <x v="138"/>
    <x v="1096"/>
    <x v="1111"/>
    <x v="1088"/>
    <x v="1"/>
    <x v="1"/>
    <x v="0"/>
    <x v="0"/>
  </r>
  <r>
    <x v="4"/>
    <x v="1640"/>
    <n v="1"/>
    <x v="25"/>
    <x v="138"/>
    <x v="1097"/>
    <x v="1112"/>
    <x v="1089"/>
    <x v="11"/>
    <x v="1"/>
    <x v="0"/>
    <x v="0"/>
  </r>
  <r>
    <x v="4"/>
    <x v="1641"/>
    <n v="1"/>
    <x v="25"/>
    <x v="138"/>
    <x v="1098"/>
    <x v="1113"/>
    <x v="1090"/>
    <x v="1"/>
    <x v="1"/>
    <x v="0"/>
    <x v="0"/>
  </r>
  <r>
    <x v="4"/>
    <x v="1642"/>
    <n v="1"/>
    <x v="25"/>
    <x v="139"/>
    <x v="1099"/>
    <x v="1114"/>
    <x v="1091"/>
    <x v="0"/>
    <x v="0"/>
    <x v="0"/>
    <x v="0"/>
  </r>
  <r>
    <x v="4"/>
    <x v="1643"/>
    <n v="1"/>
    <x v="25"/>
    <x v="139"/>
    <x v="1100"/>
    <x v="1115"/>
    <x v="1092"/>
    <x v="12"/>
    <x v="1"/>
    <x v="0"/>
    <x v="0"/>
  </r>
  <r>
    <x v="4"/>
    <x v="1644"/>
    <n v="1"/>
    <x v="25"/>
    <x v="139"/>
    <x v="1101"/>
    <x v="1116"/>
    <x v="1093"/>
    <x v="12"/>
    <x v="1"/>
    <x v="0"/>
    <x v="0"/>
  </r>
  <r>
    <x v="4"/>
    <x v="1645"/>
    <n v="2"/>
    <x v="25"/>
    <x v="139"/>
    <x v="1081"/>
    <x v="1096"/>
    <x v="1073"/>
    <x v="8"/>
    <x v="2"/>
    <x v="3"/>
    <x v="12"/>
  </r>
  <r>
    <x v="4"/>
    <x v="1646"/>
    <n v="1"/>
    <x v="25"/>
    <x v="139"/>
    <x v="1080"/>
    <x v="1095"/>
    <x v="1072"/>
    <x v="4"/>
    <x v="2"/>
    <x v="1"/>
    <x v="7"/>
  </r>
  <r>
    <x v="4"/>
    <x v="1647"/>
    <n v="1"/>
    <x v="25"/>
    <x v="139"/>
    <x v="538"/>
    <x v="548"/>
    <x v="532"/>
    <x v="7"/>
    <x v="2"/>
    <x v="1"/>
    <x v="6"/>
  </r>
  <r>
    <x v="4"/>
    <x v="1648"/>
    <n v="1"/>
    <x v="25"/>
    <x v="139"/>
    <x v="110"/>
    <x v="111"/>
    <x v="110"/>
    <x v="6"/>
    <x v="2"/>
    <x v="1"/>
    <x v="4"/>
  </r>
  <r>
    <x v="4"/>
    <x v="1649"/>
    <n v="3"/>
    <x v="25"/>
    <x v="139"/>
    <x v="227"/>
    <x v="228"/>
    <x v="227"/>
    <x v="7"/>
    <x v="2"/>
    <x v="1"/>
    <x v="7"/>
  </r>
  <r>
    <x v="4"/>
    <x v="1650"/>
    <n v="5"/>
    <x v="25"/>
    <x v="139"/>
    <x v="55"/>
    <x v="55"/>
    <x v="55"/>
    <x v="6"/>
    <x v="2"/>
    <x v="1"/>
    <x v="4"/>
  </r>
  <r>
    <x v="4"/>
    <x v="1651"/>
    <n v="1"/>
    <x v="25"/>
    <x v="139"/>
    <x v="1082"/>
    <x v="1097"/>
    <x v="1074"/>
    <x v="4"/>
    <x v="2"/>
    <x v="8"/>
    <x v="2"/>
  </r>
  <r>
    <x v="4"/>
    <x v="1652"/>
    <n v="1"/>
    <x v="25"/>
    <x v="139"/>
    <x v="1102"/>
    <x v="1117"/>
    <x v="1094"/>
    <x v="8"/>
    <x v="2"/>
    <x v="3"/>
    <x v="12"/>
  </r>
  <r>
    <x v="4"/>
    <x v="1653"/>
    <n v="1"/>
    <x v="25"/>
    <x v="139"/>
    <x v="382"/>
    <x v="388"/>
    <x v="381"/>
    <x v="7"/>
    <x v="2"/>
    <x v="3"/>
    <x v="5"/>
  </r>
  <r>
    <x v="4"/>
    <x v="1654"/>
    <n v="1"/>
    <x v="25"/>
    <x v="139"/>
    <x v="1103"/>
    <x v="1118"/>
    <x v="1095"/>
    <x v="4"/>
    <x v="2"/>
    <x v="9"/>
    <x v="19"/>
  </r>
  <r>
    <x v="4"/>
    <x v="1655"/>
    <n v="1"/>
    <x v="25"/>
    <x v="139"/>
    <x v="513"/>
    <x v="523"/>
    <x v="511"/>
    <x v="7"/>
    <x v="2"/>
    <x v="1"/>
    <x v="12"/>
  </r>
  <r>
    <x v="4"/>
    <x v="1656"/>
    <n v="1"/>
    <x v="25"/>
    <x v="139"/>
    <x v="1104"/>
    <x v="1119"/>
    <x v="1096"/>
    <x v="4"/>
    <x v="2"/>
    <x v="3"/>
    <x v="5"/>
  </r>
  <r>
    <x v="4"/>
    <x v="1657"/>
    <n v="1"/>
    <x v="25"/>
    <x v="138"/>
    <x v="1089"/>
    <x v="1104"/>
    <x v="1081"/>
    <x v="0"/>
    <x v="2"/>
    <x v="9"/>
    <x v="8"/>
  </r>
  <r>
    <x v="4"/>
    <x v="1658"/>
    <n v="3"/>
    <x v="25"/>
    <x v="138"/>
    <x v="1088"/>
    <x v="1103"/>
    <x v="1080"/>
    <x v="7"/>
    <x v="2"/>
    <x v="1"/>
    <x v="3"/>
  </r>
  <r>
    <x v="4"/>
    <x v="1659"/>
    <n v="4"/>
    <x v="25"/>
    <x v="138"/>
    <x v="1105"/>
    <x v="1120"/>
    <x v="1097"/>
    <x v="7"/>
    <x v="2"/>
    <x v="1"/>
    <x v="3"/>
  </r>
  <r>
    <x v="4"/>
    <x v="1660"/>
    <n v="2"/>
    <x v="25"/>
    <x v="138"/>
    <x v="54"/>
    <x v="54"/>
    <x v="54"/>
    <x v="4"/>
    <x v="2"/>
    <x v="1"/>
    <x v="3"/>
  </r>
  <r>
    <x v="4"/>
    <x v="1661"/>
    <n v="7"/>
    <x v="25"/>
    <x v="138"/>
    <x v="67"/>
    <x v="67"/>
    <x v="67"/>
    <x v="6"/>
    <x v="2"/>
    <x v="1"/>
    <x v="4"/>
  </r>
  <r>
    <x v="4"/>
    <x v="1662"/>
    <n v="1"/>
    <x v="25"/>
    <x v="138"/>
    <x v="112"/>
    <x v="113"/>
    <x v="112"/>
    <x v="7"/>
    <x v="2"/>
    <x v="1"/>
    <x v="7"/>
  </r>
  <r>
    <x v="4"/>
    <x v="1663"/>
    <n v="1"/>
    <x v="25"/>
    <x v="138"/>
    <x v="538"/>
    <x v="548"/>
    <x v="532"/>
    <x v="7"/>
    <x v="2"/>
    <x v="1"/>
    <x v="6"/>
  </r>
  <r>
    <x v="4"/>
    <x v="1664"/>
    <n v="1"/>
    <x v="25"/>
    <x v="138"/>
    <x v="1090"/>
    <x v="1105"/>
    <x v="1082"/>
    <x v="7"/>
    <x v="2"/>
    <x v="1"/>
    <x v="7"/>
  </r>
  <r>
    <x v="4"/>
    <x v="1665"/>
    <n v="1"/>
    <x v="25"/>
    <x v="138"/>
    <x v="231"/>
    <x v="232"/>
    <x v="231"/>
    <x v="4"/>
    <x v="2"/>
    <x v="1"/>
    <x v="5"/>
  </r>
  <r>
    <x v="4"/>
    <x v="1666"/>
    <n v="1"/>
    <x v="25"/>
    <x v="138"/>
    <x v="110"/>
    <x v="111"/>
    <x v="110"/>
    <x v="6"/>
    <x v="2"/>
    <x v="1"/>
    <x v="4"/>
  </r>
  <r>
    <x v="4"/>
    <x v="1667"/>
    <n v="1"/>
    <x v="25"/>
    <x v="138"/>
    <x v="1091"/>
    <x v="1106"/>
    <x v="1083"/>
    <x v="14"/>
    <x v="2"/>
    <x v="1"/>
    <x v="20"/>
  </r>
  <r>
    <x v="4"/>
    <x v="1668"/>
    <n v="1"/>
    <x v="25"/>
    <x v="138"/>
    <x v="1092"/>
    <x v="1107"/>
    <x v="1084"/>
    <x v="14"/>
    <x v="2"/>
    <x v="1"/>
    <x v="20"/>
  </r>
  <r>
    <x v="4"/>
    <x v="1669"/>
    <n v="1"/>
    <x v="25"/>
    <x v="138"/>
    <x v="555"/>
    <x v="565"/>
    <x v="545"/>
    <x v="4"/>
    <x v="2"/>
    <x v="1"/>
    <x v="22"/>
  </r>
  <r>
    <x v="4"/>
    <x v="1670"/>
    <n v="1"/>
    <x v="25"/>
    <x v="138"/>
    <x v="402"/>
    <x v="409"/>
    <x v="402"/>
    <x v="6"/>
    <x v="2"/>
    <x v="1"/>
    <x v="4"/>
  </r>
  <r>
    <x v="4"/>
    <x v="1671"/>
    <n v="1"/>
    <x v="25"/>
    <x v="138"/>
    <x v="1093"/>
    <x v="1108"/>
    <x v="1085"/>
    <x v="4"/>
    <x v="2"/>
    <x v="9"/>
    <x v="21"/>
  </r>
  <r>
    <x v="4"/>
    <x v="1672"/>
    <n v="1"/>
    <x v="25"/>
    <x v="138"/>
    <x v="1106"/>
    <x v="1121"/>
    <x v="1098"/>
    <x v="1"/>
    <x v="1"/>
    <x v="0"/>
    <x v="0"/>
  </r>
  <r>
    <x v="4"/>
    <x v="1673"/>
    <n v="1"/>
    <x v="25"/>
    <x v="0"/>
    <x v="1107"/>
    <x v="1122"/>
    <x v="1099"/>
    <x v="1"/>
    <x v="1"/>
    <x v="0"/>
    <x v="0"/>
  </r>
  <r>
    <x v="4"/>
    <x v="1674"/>
    <n v="2"/>
    <x v="25"/>
    <x v="0"/>
    <x v="1108"/>
    <x v="1123"/>
    <x v="1100"/>
    <x v="1"/>
    <x v="1"/>
    <x v="0"/>
    <x v="0"/>
  </r>
  <r>
    <x v="4"/>
    <x v="1675"/>
    <n v="2"/>
    <x v="25"/>
    <x v="0"/>
    <x v="1109"/>
    <x v="1124"/>
    <x v="1101"/>
    <x v="1"/>
    <x v="1"/>
    <x v="0"/>
    <x v="0"/>
  </r>
  <r>
    <x v="4"/>
    <x v="1676"/>
    <n v="2"/>
    <x v="25"/>
    <x v="0"/>
    <x v="1110"/>
    <x v="1125"/>
    <x v="1102"/>
    <x v="1"/>
    <x v="1"/>
    <x v="0"/>
    <x v="0"/>
  </r>
  <r>
    <x v="4"/>
    <x v="1677"/>
    <n v="1"/>
    <x v="25"/>
    <x v="0"/>
    <x v="1111"/>
    <x v="1126"/>
    <x v="1103"/>
    <x v="1"/>
    <x v="1"/>
    <x v="0"/>
    <x v="0"/>
  </r>
  <r>
    <x v="4"/>
    <x v="1678"/>
    <n v="2"/>
    <x v="25"/>
    <x v="0"/>
    <x v="1112"/>
    <x v="1127"/>
    <x v="1104"/>
    <x v="1"/>
    <x v="1"/>
    <x v="0"/>
    <x v="0"/>
  </r>
  <r>
    <x v="4"/>
    <x v="1679"/>
    <n v="2"/>
    <x v="25"/>
    <x v="0"/>
    <x v="1113"/>
    <x v="1128"/>
    <x v="1105"/>
    <x v="8"/>
    <x v="1"/>
    <x v="0"/>
    <x v="0"/>
  </r>
  <r>
    <x v="4"/>
    <x v="1680"/>
    <n v="2"/>
    <x v="25"/>
    <x v="0"/>
    <x v="1114"/>
    <x v="1129"/>
    <x v="1106"/>
    <x v="1"/>
    <x v="1"/>
    <x v="0"/>
    <x v="0"/>
  </r>
  <r>
    <x v="4"/>
    <x v="1681"/>
    <n v="1"/>
    <x v="25"/>
    <x v="0"/>
    <x v="1115"/>
    <x v="1130"/>
    <x v="1107"/>
    <x v="1"/>
    <x v="1"/>
    <x v="0"/>
    <x v="0"/>
  </r>
  <r>
    <x v="4"/>
    <x v="1682"/>
    <n v="1"/>
    <x v="25"/>
    <x v="0"/>
    <x v="1116"/>
    <x v="1131"/>
    <x v="1108"/>
    <x v="1"/>
    <x v="1"/>
    <x v="0"/>
    <x v="0"/>
  </r>
  <r>
    <x v="4"/>
    <x v="1683"/>
    <n v="1"/>
    <x v="25"/>
    <x v="0"/>
    <x v="1117"/>
    <x v="1132"/>
    <x v="1109"/>
    <x v="1"/>
    <x v="1"/>
    <x v="0"/>
    <x v="0"/>
  </r>
  <r>
    <x v="4"/>
    <x v="1684"/>
    <n v="1"/>
    <x v="25"/>
    <x v="0"/>
    <x v="1118"/>
    <x v="1133"/>
    <x v="1110"/>
    <x v="11"/>
    <x v="1"/>
    <x v="0"/>
    <x v="0"/>
  </r>
  <r>
    <x v="4"/>
    <x v="1685"/>
    <n v="1"/>
    <x v="25"/>
    <x v="0"/>
    <x v="1119"/>
    <x v="1134"/>
    <x v="1111"/>
    <x v="1"/>
    <x v="1"/>
    <x v="0"/>
    <x v="0"/>
  </r>
  <r>
    <x v="4"/>
    <x v="1686"/>
    <n v="1"/>
    <x v="25"/>
    <x v="140"/>
    <x v="1120"/>
    <x v="1135"/>
    <x v="1112"/>
    <x v="0"/>
    <x v="0"/>
    <x v="0"/>
    <x v="0"/>
  </r>
  <r>
    <x v="4"/>
    <x v="1687"/>
    <n v="1"/>
    <x v="25"/>
    <x v="140"/>
    <x v="1121"/>
    <x v="1136"/>
    <x v="1113"/>
    <x v="8"/>
    <x v="1"/>
    <x v="0"/>
    <x v="0"/>
  </r>
  <r>
    <x v="4"/>
    <x v="1688"/>
    <n v="1"/>
    <x v="25"/>
    <x v="140"/>
    <x v="593"/>
    <x v="603"/>
    <x v="583"/>
    <x v="0"/>
    <x v="2"/>
    <x v="2"/>
    <x v="15"/>
  </r>
  <r>
    <x v="4"/>
    <x v="1689"/>
    <n v="4"/>
    <x v="25"/>
    <x v="0"/>
    <x v="1122"/>
    <x v="1137"/>
    <x v="1114"/>
    <x v="20"/>
    <x v="2"/>
    <x v="11"/>
    <x v="30"/>
  </r>
  <r>
    <x v="4"/>
    <x v="1690"/>
    <n v="2"/>
    <x v="25"/>
    <x v="0"/>
    <x v="1123"/>
    <x v="1138"/>
    <x v="1115"/>
    <x v="4"/>
    <x v="2"/>
    <x v="11"/>
    <x v="8"/>
  </r>
  <r>
    <x v="4"/>
    <x v="1691"/>
    <n v="4"/>
    <x v="25"/>
    <x v="0"/>
    <x v="1124"/>
    <x v="1139"/>
    <x v="1116"/>
    <x v="20"/>
    <x v="2"/>
    <x v="11"/>
    <x v="30"/>
  </r>
  <r>
    <x v="4"/>
    <x v="1692"/>
    <n v="2"/>
    <x v="25"/>
    <x v="0"/>
    <x v="1125"/>
    <x v="1140"/>
    <x v="1117"/>
    <x v="4"/>
    <x v="2"/>
    <x v="9"/>
    <x v="21"/>
  </r>
  <r>
    <x v="4"/>
    <x v="1693"/>
    <n v="2"/>
    <x v="25"/>
    <x v="0"/>
    <x v="1126"/>
    <x v="1141"/>
    <x v="1118"/>
    <x v="8"/>
    <x v="2"/>
    <x v="2"/>
    <x v="15"/>
  </r>
  <r>
    <x v="4"/>
    <x v="1694"/>
    <n v="2"/>
    <x v="25"/>
    <x v="0"/>
    <x v="1127"/>
    <x v="1142"/>
    <x v="1119"/>
    <x v="4"/>
    <x v="2"/>
    <x v="1"/>
    <x v="5"/>
  </r>
  <r>
    <x v="4"/>
    <x v="1695"/>
    <n v="2"/>
    <x v="25"/>
    <x v="0"/>
    <x v="1128"/>
    <x v="1143"/>
    <x v="1120"/>
    <x v="4"/>
    <x v="2"/>
    <x v="1"/>
    <x v="6"/>
  </r>
  <r>
    <x v="4"/>
    <x v="1696"/>
    <n v="2"/>
    <x v="25"/>
    <x v="0"/>
    <x v="1129"/>
    <x v="1144"/>
    <x v="1121"/>
    <x v="7"/>
    <x v="2"/>
    <x v="8"/>
    <x v="2"/>
  </r>
  <r>
    <x v="4"/>
    <x v="1697"/>
    <n v="2"/>
    <x v="25"/>
    <x v="0"/>
    <x v="1130"/>
    <x v="1145"/>
    <x v="1122"/>
    <x v="7"/>
    <x v="2"/>
    <x v="9"/>
    <x v="2"/>
  </r>
  <r>
    <x v="4"/>
    <x v="1698"/>
    <n v="24"/>
    <x v="25"/>
    <x v="0"/>
    <x v="1131"/>
    <x v="1146"/>
    <x v="1123"/>
    <x v="4"/>
    <x v="2"/>
    <x v="1"/>
    <x v="5"/>
  </r>
  <r>
    <x v="4"/>
    <x v="1699"/>
    <n v="2"/>
    <x v="25"/>
    <x v="0"/>
    <x v="1132"/>
    <x v="1147"/>
    <x v="1124"/>
    <x v="11"/>
    <x v="2"/>
    <x v="1"/>
    <x v="9"/>
  </r>
  <r>
    <x v="4"/>
    <x v="1700"/>
    <n v="2"/>
    <x v="25"/>
    <x v="0"/>
    <x v="1133"/>
    <x v="1148"/>
    <x v="1125"/>
    <x v="4"/>
    <x v="2"/>
    <x v="9"/>
    <x v="21"/>
  </r>
  <r>
    <x v="4"/>
    <x v="1701"/>
    <n v="8"/>
    <x v="25"/>
    <x v="0"/>
    <x v="1080"/>
    <x v="1095"/>
    <x v="1072"/>
    <x v="4"/>
    <x v="2"/>
    <x v="1"/>
    <x v="7"/>
  </r>
  <r>
    <x v="4"/>
    <x v="1702"/>
    <n v="16"/>
    <x v="25"/>
    <x v="0"/>
    <x v="1134"/>
    <x v="1149"/>
    <x v="1126"/>
    <x v="4"/>
    <x v="2"/>
    <x v="1"/>
    <x v="7"/>
  </r>
  <r>
    <x v="4"/>
    <x v="1703"/>
    <n v="12"/>
    <x v="25"/>
    <x v="0"/>
    <x v="1135"/>
    <x v="1150"/>
    <x v="1127"/>
    <x v="11"/>
    <x v="2"/>
    <x v="1"/>
    <x v="9"/>
  </r>
  <r>
    <x v="4"/>
    <x v="1704"/>
    <n v="18"/>
    <x v="25"/>
    <x v="0"/>
    <x v="141"/>
    <x v="142"/>
    <x v="141"/>
    <x v="7"/>
    <x v="2"/>
    <x v="1"/>
    <x v="7"/>
  </r>
  <r>
    <x v="4"/>
    <x v="1705"/>
    <n v="10"/>
    <x v="25"/>
    <x v="0"/>
    <x v="224"/>
    <x v="225"/>
    <x v="224"/>
    <x v="7"/>
    <x v="2"/>
    <x v="1"/>
    <x v="6"/>
  </r>
  <r>
    <x v="4"/>
    <x v="1706"/>
    <n v="8"/>
    <x v="25"/>
    <x v="0"/>
    <x v="1136"/>
    <x v="1151"/>
    <x v="1128"/>
    <x v="4"/>
    <x v="2"/>
    <x v="1"/>
    <x v="7"/>
  </r>
  <r>
    <x v="4"/>
    <x v="1707"/>
    <n v="4"/>
    <x v="25"/>
    <x v="0"/>
    <x v="116"/>
    <x v="117"/>
    <x v="116"/>
    <x v="6"/>
    <x v="2"/>
    <x v="1"/>
    <x v="7"/>
  </r>
  <r>
    <x v="4"/>
    <x v="1708"/>
    <n v="4"/>
    <x v="25"/>
    <x v="0"/>
    <x v="128"/>
    <x v="129"/>
    <x v="128"/>
    <x v="11"/>
    <x v="2"/>
    <x v="1"/>
    <x v="9"/>
  </r>
  <r>
    <x v="4"/>
    <x v="1709"/>
    <n v="4"/>
    <x v="25"/>
    <x v="0"/>
    <x v="68"/>
    <x v="68"/>
    <x v="68"/>
    <x v="6"/>
    <x v="2"/>
    <x v="1"/>
    <x v="4"/>
  </r>
  <r>
    <x v="4"/>
    <x v="1710"/>
    <n v="6"/>
    <x v="25"/>
    <x v="0"/>
    <x v="966"/>
    <x v="980"/>
    <x v="957"/>
    <x v="4"/>
    <x v="2"/>
    <x v="1"/>
    <x v="3"/>
  </r>
  <r>
    <x v="4"/>
    <x v="1711"/>
    <n v="8"/>
    <x v="25"/>
    <x v="0"/>
    <x v="79"/>
    <x v="79"/>
    <x v="79"/>
    <x v="7"/>
    <x v="2"/>
    <x v="1"/>
    <x v="7"/>
  </r>
  <r>
    <x v="4"/>
    <x v="1712"/>
    <n v="4"/>
    <x v="25"/>
    <x v="0"/>
    <x v="1137"/>
    <x v="1152"/>
    <x v="1129"/>
    <x v="8"/>
    <x v="2"/>
    <x v="3"/>
    <x v="12"/>
  </r>
  <r>
    <x v="4"/>
    <x v="1713"/>
    <n v="4"/>
    <x v="25"/>
    <x v="0"/>
    <x v="1138"/>
    <x v="1153"/>
    <x v="1130"/>
    <x v="7"/>
    <x v="2"/>
    <x v="1"/>
    <x v="6"/>
  </r>
  <r>
    <x v="4"/>
    <x v="1714"/>
    <n v="2"/>
    <x v="25"/>
    <x v="0"/>
    <x v="1139"/>
    <x v="1154"/>
    <x v="1131"/>
    <x v="4"/>
    <x v="2"/>
    <x v="1"/>
    <x v="37"/>
  </r>
  <r>
    <x v="4"/>
    <x v="1715"/>
    <n v="2"/>
    <x v="25"/>
    <x v="0"/>
    <x v="257"/>
    <x v="258"/>
    <x v="256"/>
    <x v="0"/>
    <x v="2"/>
    <x v="1"/>
    <x v="5"/>
  </r>
  <r>
    <x v="4"/>
    <x v="1716"/>
    <n v="2"/>
    <x v="25"/>
    <x v="0"/>
    <x v="856"/>
    <x v="869"/>
    <x v="847"/>
    <x v="8"/>
    <x v="2"/>
    <x v="2"/>
    <x v="34"/>
  </r>
  <r>
    <x v="4"/>
    <x v="1717"/>
    <n v="6"/>
    <x v="25"/>
    <x v="0"/>
    <x v="1140"/>
    <x v="1155"/>
    <x v="1132"/>
    <x v="11"/>
    <x v="2"/>
    <x v="1"/>
    <x v="9"/>
  </r>
  <r>
    <x v="4"/>
    <x v="1718"/>
    <n v="2"/>
    <x v="25"/>
    <x v="0"/>
    <x v="1141"/>
    <x v="1156"/>
    <x v="1133"/>
    <x v="4"/>
    <x v="2"/>
    <x v="14"/>
    <x v="36"/>
  </r>
  <r>
    <x v="4"/>
    <x v="1719"/>
    <n v="1"/>
    <x v="25"/>
    <x v="0"/>
    <x v="260"/>
    <x v="262"/>
    <x v="258"/>
    <x v="4"/>
    <x v="2"/>
    <x v="1"/>
    <x v="6"/>
  </r>
  <r>
    <x v="4"/>
    <x v="1720"/>
    <n v="1"/>
    <x v="25"/>
    <x v="0"/>
    <x v="1142"/>
    <x v="1157"/>
    <x v="1134"/>
    <x v="0"/>
    <x v="2"/>
    <x v="8"/>
    <x v="2"/>
  </r>
  <r>
    <x v="4"/>
    <x v="1721"/>
    <n v="1"/>
    <x v="25"/>
    <x v="0"/>
    <x v="1143"/>
    <x v="1158"/>
    <x v="1135"/>
    <x v="4"/>
    <x v="2"/>
    <x v="1"/>
    <x v="24"/>
  </r>
  <r>
    <x v="4"/>
    <x v="1722"/>
    <n v="1"/>
    <x v="25"/>
    <x v="0"/>
    <x v="332"/>
    <x v="336"/>
    <x v="331"/>
    <x v="4"/>
    <x v="2"/>
    <x v="1"/>
    <x v="5"/>
  </r>
  <r>
    <x v="4"/>
    <x v="1723"/>
    <n v="2"/>
    <x v="25"/>
    <x v="0"/>
    <x v="1144"/>
    <x v="1159"/>
    <x v="1136"/>
    <x v="4"/>
    <x v="2"/>
    <x v="11"/>
    <x v="8"/>
  </r>
  <r>
    <x v="4"/>
    <x v="1724"/>
    <n v="2"/>
    <x v="25"/>
    <x v="0"/>
    <x v="858"/>
    <x v="871"/>
    <x v="849"/>
    <x v="8"/>
    <x v="5"/>
    <x v="7"/>
    <x v="18"/>
  </r>
  <r>
    <x v="4"/>
    <x v="1725"/>
    <n v="1"/>
    <x v="26"/>
    <x v="0"/>
    <x v="1145"/>
    <x v="1160"/>
    <x v="1137"/>
    <x v="0"/>
    <x v="0"/>
    <x v="0"/>
    <x v="0"/>
  </r>
  <r>
    <x v="4"/>
    <x v="1726"/>
    <n v="1"/>
    <x v="26"/>
    <x v="0"/>
    <x v="1146"/>
    <x v="1161"/>
    <x v="1138"/>
    <x v="8"/>
    <x v="1"/>
    <x v="0"/>
    <x v="0"/>
  </r>
  <r>
    <x v="4"/>
    <x v="1727"/>
    <n v="1"/>
    <x v="26"/>
    <x v="0"/>
    <x v="1147"/>
    <x v="1162"/>
    <x v="1139"/>
    <x v="10"/>
    <x v="1"/>
    <x v="0"/>
    <x v="0"/>
  </r>
  <r>
    <x v="4"/>
    <x v="1728"/>
    <n v="1"/>
    <x v="26"/>
    <x v="0"/>
    <x v="1148"/>
    <x v="1163"/>
    <x v="1140"/>
    <x v="10"/>
    <x v="1"/>
    <x v="0"/>
    <x v="0"/>
  </r>
  <r>
    <x v="4"/>
    <x v="1729"/>
    <n v="1"/>
    <x v="26"/>
    <x v="0"/>
    <x v="1149"/>
    <x v="1164"/>
    <x v="1141"/>
    <x v="9"/>
    <x v="1"/>
    <x v="0"/>
    <x v="0"/>
  </r>
  <r>
    <x v="4"/>
    <x v="1730"/>
    <n v="2"/>
    <x v="26"/>
    <x v="0"/>
    <x v="130"/>
    <x v="131"/>
    <x v="130"/>
    <x v="7"/>
    <x v="2"/>
    <x v="1"/>
    <x v="7"/>
  </r>
  <r>
    <x v="4"/>
    <x v="1731"/>
    <n v="2"/>
    <x v="26"/>
    <x v="0"/>
    <x v="234"/>
    <x v="235"/>
    <x v="234"/>
    <x v="4"/>
    <x v="2"/>
    <x v="1"/>
    <x v="5"/>
  </r>
  <r>
    <x v="4"/>
    <x v="1732"/>
    <n v="1"/>
    <x v="26"/>
    <x v="0"/>
    <x v="326"/>
    <x v="1165"/>
    <x v="325"/>
    <x v="8"/>
    <x v="2"/>
    <x v="3"/>
    <x v="12"/>
  </r>
  <r>
    <x v="4"/>
    <x v="1733"/>
    <n v="1"/>
    <x v="26"/>
    <x v="0"/>
    <x v="179"/>
    <x v="180"/>
    <x v="179"/>
    <x v="8"/>
    <x v="2"/>
    <x v="9"/>
    <x v="19"/>
  </r>
  <r>
    <x v="4"/>
    <x v="1734"/>
    <n v="1"/>
    <x v="26"/>
    <x v="0"/>
    <x v="180"/>
    <x v="181"/>
    <x v="180"/>
    <x v="8"/>
    <x v="2"/>
    <x v="1"/>
    <x v="6"/>
  </r>
  <r>
    <x v="4"/>
    <x v="1735"/>
    <n v="2"/>
    <x v="26"/>
    <x v="0"/>
    <x v="181"/>
    <x v="182"/>
    <x v="181"/>
    <x v="8"/>
    <x v="2"/>
    <x v="1"/>
    <x v="5"/>
  </r>
  <r>
    <x v="4"/>
    <x v="1470"/>
    <n v="1"/>
    <x v="27"/>
    <x v="0"/>
    <x v="1150"/>
    <x v="1166"/>
    <x v="1142"/>
    <x v="0"/>
    <x v="0"/>
    <x v="0"/>
    <x v="0"/>
  </r>
  <r>
    <x v="4"/>
    <x v="1736"/>
    <n v="1"/>
    <x v="27"/>
    <x v="0"/>
    <x v="1151"/>
    <x v="1167"/>
    <x v="1143"/>
    <x v="8"/>
    <x v="1"/>
    <x v="0"/>
    <x v="0"/>
  </r>
  <r>
    <x v="4"/>
    <x v="1737"/>
    <n v="1"/>
    <x v="27"/>
    <x v="0"/>
    <x v="1152"/>
    <x v="1168"/>
    <x v="1144"/>
    <x v="10"/>
    <x v="1"/>
    <x v="0"/>
    <x v="0"/>
  </r>
  <r>
    <x v="4"/>
    <x v="1738"/>
    <n v="1"/>
    <x v="27"/>
    <x v="0"/>
    <x v="1153"/>
    <x v="1169"/>
    <x v="1145"/>
    <x v="10"/>
    <x v="1"/>
    <x v="0"/>
    <x v="0"/>
  </r>
  <r>
    <x v="4"/>
    <x v="1739"/>
    <n v="1"/>
    <x v="27"/>
    <x v="0"/>
    <x v="1154"/>
    <x v="1170"/>
    <x v="1146"/>
    <x v="9"/>
    <x v="1"/>
    <x v="0"/>
    <x v="0"/>
  </r>
  <r>
    <x v="4"/>
    <x v="1740"/>
    <n v="1"/>
    <x v="27"/>
    <x v="0"/>
    <x v="1155"/>
    <x v="1171"/>
    <x v="1147"/>
    <x v="1"/>
    <x v="1"/>
    <x v="0"/>
    <x v="0"/>
  </r>
  <r>
    <x v="4"/>
    <x v="1741"/>
    <n v="3"/>
    <x v="27"/>
    <x v="0"/>
    <x v="130"/>
    <x v="131"/>
    <x v="130"/>
    <x v="7"/>
    <x v="2"/>
    <x v="1"/>
    <x v="7"/>
  </r>
  <r>
    <x v="4"/>
    <x v="1742"/>
    <n v="2"/>
    <x v="27"/>
    <x v="0"/>
    <x v="112"/>
    <x v="113"/>
    <x v="112"/>
    <x v="7"/>
    <x v="2"/>
    <x v="1"/>
    <x v="7"/>
  </r>
  <r>
    <x v="4"/>
    <x v="1743"/>
    <n v="2"/>
    <x v="27"/>
    <x v="0"/>
    <x v="231"/>
    <x v="232"/>
    <x v="231"/>
    <x v="4"/>
    <x v="2"/>
    <x v="1"/>
    <x v="5"/>
  </r>
  <r>
    <x v="4"/>
    <x v="1744"/>
    <n v="1"/>
    <x v="27"/>
    <x v="141"/>
    <x v="376"/>
    <x v="382"/>
    <x v="375"/>
    <x v="0"/>
    <x v="3"/>
    <x v="0"/>
    <x v="0"/>
  </r>
  <r>
    <x v="4"/>
    <x v="1745"/>
    <n v="1"/>
    <x v="27"/>
    <x v="141"/>
    <x v="377"/>
    <x v="383"/>
    <x v="376"/>
    <x v="8"/>
    <x v="2"/>
    <x v="3"/>
    <x v="12"/>
  </r>
  <r>
    <x v="4"/>
    <x v="1746"/>
    <n v="1"/>
    <x v="27"/>
    <x v="141"/>
    <x v="378"/>
    <x v="384"/>
    <x v="377"/>
    <x v="11"/>
    <x v="3"/>
    <x v="0"/>
    <x v="0"/>
  </r>
  <r>
    <x v="4"/>
    <x v="1747"/>
    <n v="2"/>
    <x v="27"/>
    <x v="142"/>
    <x v="1156"/>
    <x v="1172"/>
    <x v="1148"/>
    <x v="0"/>
    <x v="3"/>
    <x v="0"/>
    <x v="0"/>
  </r>
  <r>
    <x v="4"/>
    <x v="1748"/>
    <n v="1"/>
    <x v="27"/>
    <x v="142"/>
    <x v="377"/>
    <x v="383"/>
    <x v="376"/>
    <x v="8"/>
    <x v="2"/>
    <x v="3"/>
    <x v="12"/>
  </r>
  <r>
    <x v="4"/>
    <x v="1749"/>
    <n v="1"/>
    <x v="27"/>
    <x v="142"/>
    <x v="1157"/>
    <x v="1173"/>
    <x v="1149"/>
    <x v="11"/>
    <x v="3"/>
    <x v="0"/>
    <x v="0"/>
  </r>
  <r>
    <x v="4"/>
    <x v="1750"/>
    <n v="3"/>
    <x v="27"/>
    <x v="0"/>
    <x v="1042"/>
    <x v="1056"/>
    <x v="1033"/>
    <x v="16"/>
    <x v="2"/>
    <x v="9"/>
    <x v="12"/>
  </r>
  <r>
    <x v="4"/>
    <x v="1751"/>
    <n v="3"/>
    <x v="27"/>
    <x v="0"/>
    <x v="513"/>
    <x v="523"/>
    <x v="511"/>
    <x v="7"/>
    <x v="2"/>
    <x v="1"/>
    <x v="12"/>
  </r>
  <r>
    <x v="4"/>
    <x v="1752"/>
    <n v="3"/>
    <x v="27"/>
    <x v="0"/>
    <x v="382"/>
    <x v="388"/>
    <x v="381"/>
    <x v="7"/>
    <x v="2"/>
    <x v="3"/>
    <x v="5"/>
  </r>
  <r>
    <x v="4"/>
    <x v="1753"/>
    <n v="1"/>
    <x v="27"/>
    <x v="143"/>
    <x v="1158"/>
    <x v="1174"/>
    <x v="1150"/>
    <x v="0"/>
    <x v="3"/>
    <x v="0"/>
    <x v="0"/>
  </r>
  <r>
    <x v="4"/>
    <x v="1754"/>
    <n v="1"/>
    <x v="27"/>
    <x v="143"/>
    <x v="1159"/>
    <x v="1175"/>
    <x v="1151"/>
    <x v="4"/>
    <x v="2"/>
    <x v="2"/>
    <x v="34"/>
  </r>
  <r>
    <x v="4"/>
    <x v="1755"/>
    <n v="1"/>
    <x v="27"/>
    <x v="143"/>
    <x v="1160"/>
    <x v="1176"/>
    <x v="1152"/>
    <x v="7"/>
    <x v="2"/>
    <x v="1"/>
    <x v="29"/>
  </r>
  <r>
    <x v="4"/>
    <x v="1756"/>
    <n v="1"/>
    <x v="27"/>
    <x v="143"/>
    <x v="1161"/>
    <x v="1177"/>
    <x v="1153"/>
    <x v="4"/>
    <x v="2"/>
    <x v="1"/>
    <x v="6"/>
  </r>
  <r>
    <x v="4"/>
    <x v="1757"/>
    <n v="1"/>
    <x v="27"/>
    <x v="143"/>
    <x v="1162"/>
    <x v="1178"/>
    <x v="1154"/>
    <x v="4"/>
    <x v="3"/>
    <x v="0"/>
    <x v="0"/>
  </r>
  <r>
    <x v="4"/>
    <x v="1758"/>
    <n v="1"/>
    <x v="27"/>
    <x v="143"/>
    <x v="1163"/>
    <x v="1179"/>
    <x v="1155"/>
    <x v="4"/>
    <x v="2"/>
    <x v="1"/>
    <x v="9"/>
  </r>
  <r>
    <x v="4"/>
    <x v="1759"/>
    <n v="1"/>
    <x v="27"/>
    <x v="143"/>
    <x v="1164"/>
    <x v="1180"/>
    <x v="1156"/>
    <x v="0"/>
    <x v="2"/>
    <x v="3"/>
    <x v="12"/>
  </r>
  <r>
    <x v="4"/>
    <x v="1760"/>
    <n v="1"/>
    <x v="27"/>
    <x v="0"/>
    <x v="378"/>
    <x v="384"/>
    <x v="377"/>
    <x v="11"/>
    <x v="3"/>
    <x v="0"/>
    <x v="0"/>
  </r>
  <r>
    <x v="4"/>
    <x v="1761"/>
    <n v="1"/>
    <x v="27"/>
    <x v="0"/>
    <x v="1165"/>
    <x v="1181"/>
    <x v="1157"/>
    <x v="8"/>
    <x v="5"/>
    <x v="7"/>
    <x v="18"/>
  </r>
  <r>
    <x v="4"/>
    <x v="1762"/>
    <n v="4"/>
    <x v="27"/>
    <x v="0"/>
    <x v="148"/>
    <x v="149"/>
    <x v="148"/>
    <x v="11"/>
    <x v="2"/>
    <x v="1"/>
    <x v="9"/>
  </r>
  <r>
    <x v="4"/>
    <x v="1763"/>
    <n v="4"/>
    <x v="27"/>
    <x v="0"/>
    <x v="1166"/>
    <x v="1182"/>
    <x v="1158"/>
    <x v="11"/>
    <x v="2"/>
    <x v="1"/>
    <x v="9"/>
  </r>
  <r>
    <x v="4"/>
    <x v="1764"/>
    <n v="8"/>
    <x v="27"/>
    <x v="0"/>
    <x v="116"/>
    <x v="117"/>
    <x v="116"/>
    <x v="6"/>
    <x v="2"/>
    <x v="1"/>
    <x v="7"/>
  </r>
  <r>
    <x v="4"/>
    <x v="1765"/>
    <n v="3"/>
    <x v="27"/>
    <x v="0"/>
    <x v="146"/>
    <x v="147"/>
    <x v="146"/>
    <x v="11"/>
    <x v="2"/>
    <x v="1"/>
    <x v="9"/>
  </r>
  <r>
    <x v="4"/>
    <x v="1766"/>
    <n v="1"/>
    <x v="27"/>
    <x v="0"/>
    <x v="1167"/>
    <x v="1183"/>
    <x v="1159"/>
    <x v="1"/>
    <x v="1"/>
    <x v="0"/>
    <x v="0"/>
  </r>
  <r>
    <x v="4"/>
    <x v="1767"/>
    <n v="3"/>
    <x v="27"/>
    <x v="0"/>
    <x v="385"/>
    <x v="391"/>
    <x v="384"/>
    <x v="4"/>
    <x v="2"/>
    <x v="1"/>
    <x v="7"/>
  </r>
  <r>
    <x v="4"/>
    <x v="1768"/>
    <n v="1"/>
    <x v="27"/>
    <x v="15"/>
    <x v="157"/>
    <x v="158"/>
    <x v="157"/>
    <x v="8"/>
    <x v="4"/>
    <x v="7"/>
    <x v="18"/>
  </r>
  <r>
    <x v="4"/>
    <x v="1769"/>
    <n v="1"/>
    <x v="27"/>
    <x v="15"/>
    <x v="158"/>
    <x v="159"/>
    <x v="158"/>
    <x v="8"/>
    <x v="5"/>
    <x v="7"/>
    <x v="18"/>
  </r>
  <r>
    <x v="4"/>
    <x v="1770"/>
    <n v="1"/>
    <x v="27"/>
    <x v="15"/>
    <x v="153"/>
    <x v="154"/>
    <x v="153"/>
    <x v="8"/>
    <x v="2"/>
    <x v="5"/>
    <x v="16"/>
  </r>
  <r>
    <x v="4"/>
    <x v="1771"/>
    <n v="1"/>
    <x v="27"/>
    <x v="0"/>
    <x v="181"/>
    <x v="182"/>
    <x v="181"/>
    <x v="8"/>
    <x v="2"/>
    <x v="1"/>
    <x v="5"/>
  </r>
  <r>
    <x v="4"/>
    <x v="1772"/>
    <n v="1"/>
    <x v="28"/>
    <x v="0"/>
    <x v="1168"/>
    <x v="1184"/>
    <x v="1160"/>
    <x v="0"/>
    <x v="0"/>
    <x v="0"/>
    <x v="0"/>
  </r>
  <r>
    <x v="4"/>
    <x v="1773"/>
    <n v="1"/>
    <x v="28"/>
    <x v="0"/>
    <x v="1169"/>
    <x v="1185"/>
    <x v="1161"/>
    <x v="8"/>
    <x v="1"/>
    <x v="0"/>
    <x v="0"/>
  </r>
  <r>
    <x v="4"/>
    <x v="1774"/>
    <n v="1"/>
    <x v="28"/>
    <x v="0"/>
    <x v="1170"/>
    <x v="1186"/>
    <x v="1162"/>
    <x v="10"/>
    <x v="1"/>
    <x v="0"/>
    <x v="0"/>
  </r>
  <r>
    <x v="4"/>
    <x v="1775"/>
    <n v="1"/>
    <x v="28"/>
    <x v="0"/>
    <x v="1171"/>
    <x v="1187"/>
    <x v="1163"/>
    <x v="10"/>
    <x v="1"/>
    <x v="0"/>
    <x v="0"/>
  </r>
  <r>
    <x v="4"/>
    <x v="1776"/>
    <n v="1"/>
    <x v="28"/>
    <x v="0"/>
    <x v="1172"/>
    <x v="1188"/>
    <x v="1164"/>
    <x v="9"/>
    <x v="1"/>
    <x v="0"/>
    <x v="0"/>
  </r>
  <r>
    <x v="4"/>
    <x v="1777"/>
    <n v="4"/>
    <x v="28"/>
    <x v="144"/>
    <x v="1173"/>
    <x v="1189"/>
    <x v="1165"/>
    <x v="0"/>
    <x v="3"/>
    <x v="0"/>
    <x v="0"/>
  </r>
  <r>
    <x v="4"/>
    <x v="1778"/>
    <n v="1"/>
    <x v="28"/>
    <x v="144"/>
    <x v="377"/>
    <x v="383"/>
    <x v="376"/>
    <x v="8"/>
    <x v="2"/>
    <x v="3"/>
    <x v="12"/>
  </r>
  <r>
    <x v="4"/>
    <x v="1779"/>
    <n v="1"/>
    <x v="28"/>
    <x v="144"/>
    <x v="381"/>
    <x v="387"/>
    <x v="380"/>
    <x v="11"/>
    <x v="3"/>
    <x v="0"/>
    <x v="0"/>
  </r>
  <r>
    <x v="4"/>
    <x v="1780"/>
    <n v="6"/>
    <x v="28"/>
    <x v="0"/>
    <x v="513"/>
    <x v="523"/>
    <x v="511"/>
    <x v="7"/>
    <x v="2"/>
    <x v="1"/>
    <x v="12"/>
  </r>
  <r>
    <x v="4"/>
    <x v="1781"/>
    <n v="6"/>
    <x v="28"/>
    <x v="0"/>
    <x v="1042"/>
    <x v="1056"/>
    <x v="1033"/>
    <x v="16"/>
    <x v="2"/>
    <x v="9"/>
    <x v="12"/>
  </r>
  <r>
    <x v="4"/>
    <x v="1782"/>
    <n v="6"/>
    <x v="28"/>
    <x v="0"/>
    <x v="382"/>
    <x v="388"/>
    <x v="381"/>
    <x v="7"/>
    <x v="2"/>
    <x v="3"/>
    <x v="5"/>
  </r>
  <r>
    <x v="4"/>
    <x v="1783"/>
    <n v="2"/>
    <x v="28"/>
    <x v="68"/>
    <x v="379"/>
    <x v="385"/>
    <x v="378"/>
    <x v="0"/>
    <x v="3"/>
    <x v="0"/>
    <x v="0"/>
  </r>
  <r>
    <x v="4"/>
    <x v="1784"/>
    <n v="1"/>
    <x v="28"/>
    <x v="68"/>
    <x v="380"/>
    <x v="386"/>
    <x v="379"/>
    <x v="8"/>
    <x v="2"/>
    <x v="3"/>
    <x v="12"/>
  </r>
  <r>
    <x v="4"/>
    <x v="1785"/>
    <n v="1"/>
    <x v="28"/>
    <x v="68"/>
    <x v="381"/>
    <x v="387"/>
    <x v="380"/>
    <x v="11"/>
    <x v="3"/>
    <x v="0"/>
    <x v="0"/>
  </r>
  <r>
    <x v="4"/>
    <x v="1786"/>
    <n v="1"/>
    <x v="28"/>
    <x v="0"/>
    <x v="1174"/>
    <x v="1190"/>
    <x v="1166"/>
    <x v="8"/>
    <x v="2"/>
    <x v="3"/>
    <x v="12"/>
  </r>
  <r>
    <x v="4"/>
    <x v="1787"/>
    <n v="1"/>
    <x v="28"/>
    <x v="0"/>
    <x v="1175"/>
    <x v="1191"/>
    <x v="1167"/>
    <x v="4"/>
    <x v="2"/>
    <x v="1"/>
    <x v="12"/>
  </r>
  <r>
    <x v="4"/>
    <x v="1788"/>
    <n v="1"/>
    <x v="28"/>
    <x v="0"/>
    <x v="1176"/>
    <x v="1192"/>
    <x v="1168"/>
    <x v="6"/>
    <x v="2"/>
    <x v="3"/>
    <x v="5"/>
  </r>
  <r>
    <x v="4"/>
    <x v="1789"/>
    <n v="8"/>
    <x v="28"/>
    <x v="0"/>
    <x v="539"/>
    <x v="549"/>
    <x v="533"/>
    <x v="8"/>
    <x v="2"/>
    <x v="4"/>
    <x v="13"/>
  </r>
  <r>
    <x v="4"/>
    <x v="1790"/>
    <n v="8"/>
    <x v="28"/>
    <x v="0"/>
    <x v="1177"/>
    <x v="1193"/>
    <x v="1169"/>
    <x v="4"/>
    <x v="2"/>
    <x v="1"/>
    <x v="13"/>
  </r>
  <r>
    <x v="4"/>
    <x v="1791"/>
    <n v="8"/>
    <x v="28"/>
    <x v="0"/>
    <x v="358"/>
    <x v="362"/>
    <x v="357"/>
    <x v="6"/>
    <x v="2"/>
    <x v="4"/>
    <x v="5"/>
  </r>
  <r>
    <x v="4"/>
    <x v="1792"/>
    <n v="6"/>
    <x v="28"/>
    <x v="0"/>
    <x v="130"/>
    <x v="131"/>
    <x v="130"/>
    <x v="7"/>
    <x v="2"/>
    <x v="1"/>
    <x v="7"/>
  </r>
  <r>
    <x v="4"/>
    <x v="1793"/>
    <n v="7"/>
    <x v="28"/>
    <x v="0"/>
    <x v="234"/>
    <x v="235"/>
    <x v="234"/>
    <x v="4"/>
    <x v="2"/>
    <x v="1"/>
    <x v="5"/>
  </r>
  <r>
    <x v="4"/>
    <x v="1794"/>
    <n v="1"/>
    <x v="28"/>
    <x v="145"/>
    <x v="540"/>
    <x v="550"/>
    <x v="184"/>
    <x v="0"/>
    <x v="3"/>
    <x v="0"/>
    <x v="0"/>
  </r>
  <r>
    <x v="4"/>
    <x v="1795"/>
    <n v="1"/>
    <x v="28"/>
    <x v="145"/>
    <x v="541"/>
    <x v="551"/>
    <x v="185"/>
    <x v="12"/>
    <x v="3"/>
    <x v="0"/>
    <x v="0"/>
  </r>
  <r>
    <x v="4"/>
    <x v="1796"/>
    <n v="2"/>
    <x v="28"/>
    <x v="145"/>
    <x v="94"/>
    <x v="94"/>
    <x v="94"/>
    <x v="7"/>
    <x v="2"/>
    <x v="1"/>
    <x v="11"/>
  </r>
  <r>
    <x v="4"/>
    <x v="1797"/>
    <n v="7"/>
    <x v="28"/>
    <x v="70"/>
    <x v="530"/>
    <x v="540"/>
    <x v="184"/>
    <x v="0"/>
    <x v="3"/>
    <x v="0"/>
    <x v="0"/>
  </r>
  <r>
    <x v="4"/>
    <x v="1798"/>
    <n v="1"/>
    <x v="28"/>
    <x v="70"/>
    <x v="531"/>
    <x v="541"/>
    <x v="185"/>
    <x v="12"/>
    <x v="3"/>
    <x v="0"/>
    <x v="0"/>
  </r>
  <r>
    <x v="4"/>
    <x v="1799"/>
    <n v="2"/>
    <x v="28"/>
    <x v="70"/>
    <x v="532"/>
    <x v="542"/>
    <x v="387"/>
    <x v="7"/>
    <x v="2"/>
    <x v="1"/>
    <x v="11"/>
  </r>
  <r>
    <x v="4"/>
    <x v="1800"/>
    <n v="1"/>
    <x v="28"/>
    <x v="146"/>
    <x v="1178"/>
    <x v="1194"/>
    <x v="184"/>
    <x v="0"/>
    <x v="3"/>
    <x v="0"/>
    <x v="0"/>
  </r>
  <r>
    <x v="4"/>
    <x v="1801"/>
    <n v="1"/>
    <x v="28"/>
    <x v="146"/>
    <x v="1179"/>
    <x v="1195"/>
    <x v="185"/>
    <x v="12"/>
    <x v="3"/>
    <x v="0"/>
    <x v="0"/>
  </r>
  <r>
    <x v="4"/>
    <x v="1802"/>
    <n v="2"/>
    <x v="28"/>
    <x v="146"/>
    <x v="532"/>
    <x v="542"/>
    <x v="387"/>
    <x v="7"/>
    <x v="2"/>
    <x v="1"/>
    <x v="11"/>
  </r>
  <r>
    <x v="4"/>
    <x v="1803"/>
    <n v="3"/>
    <x v="28"/>
    <x v="0"/>
    <x v="146"/>
    <x v="147"/>
    <x v="146"/>
    <x v="11"/>
    <x v="2"/>
    <x v="1"/>
    <x v="9"/>
  </r>
  <r>
    <x v="4"/>
    <x v="1804"/>
    <n v="3"/>
    <x v="28"/>
    <x v="0"/>
    <x v="1180"/>
    <x v="1196"/>
    <x v="1170"/>
    <x v="11"/>
    <x v="2"/>
    <x v="1"/>
    <x v="9"/>
  </r>
  <r>
    <x v="4"/>
    <x v="1805"/>
    <n v="1"/>
    <x v="28"/>
    <x v="147"/>
    <x v="1181"/>
    <x v="1197"/>
    <x v="1171"/>
    <x v="8"/>
    <x v="4"/>
    <x v="7"/>
    <x v="18"/>
  </r>
  <r>
    <x v="4"/>
    <x v="1806"/>
    <n v="1"/>
    <x v="28"/>
    <x v="147"/>
    <x v="1182"/>
    <x v="1198"/>
    <x v="1172"/>
    <x v="8"/>
    <x v="5"/>
    <x v="7"/>
    <x v="18"/>
  </r>
  <r>
    <x v="4"/>
    <x v="1807"/>
    <n v="1"/>
    <x v="28"/>
    <x v="147"/>
    <x v="129"/>
    <x v="130"/>
    <x v="129"/>
    <x v="8"/>
    <x v="2"/>
    <x v="5"/>
    <x v="16"/>
  </r>
  <r>
    <x v="4"/>
    <x v="1808"/>
    <n v="1"/>
    <x v="28"/>
    <x v="0"/>
    <x v="1183"/>
    <x v="1199"/>
    <x v="1173"/>
    <x v="13"/>
    <x v="1"/>
    <x v="0"/>
    <x v="0"/>
  </r>
  <r>
    <x v="4"/>
    <x v="1809"/>
    <n v="3"/>
    <x v="28"/>
    <x v="0"/>
    <x v="385"/>
    <x v="391"/>
    <x v="384"/>
    <x v="4"/>
    <x v="2"/>
    <x v="1"/>
    <x v="7"/>
  </r>
  <r>
    <x v="4"/>
    <x v="1810"/>
    <n v="4"/>
    <x v="28"/>
    <x v="0"/>
    <x v="76"/>
    <x v="76"/>
    <x v="76"/>
    <x v="11"/>
    <x v="2"/>
    <x v="1"/>
    <x v="9"/>
  </r>
  <r>
    <x v="4"/>
    <x v="1811"/>
    <n v="8"/>
    <x v="28"/>
    <x v="0"/>
    <x v="116"/>
    <x v="117"/>
    <x v="116"/>
    <x v="6"/>
    <x v="2"/>
    <x v="1"/>
    <x v="7"/>
  </r>
  <r>
    <x v="4"/>
    <x v="1812"/>
    <n v="1"/>
    <x v="29"/>
    <x v="0"/>
    <x v="1184"/>
    <x v="1200"/>
    <x v="1174"/>
    <x v="0"/>
    <x v="0"/>
    <x v="0"/>
    <x v="0"/>
  </r>
  <r>
    <x v="4"/>
    <x v="1813"/>
    <n v="1"/>
    <x v="29"/>
    <x v="0"/>
    <x v="1185"/>
    <x v="1201"/>
    <x v="1175"/>
    <x v="8"/>
    <x v="1"/>
    <x v="0"/>
    <x v="0"/>
  </r>
  <r>
    <x v="4"/>
    <x v="1814"/>
    <n v="1"/>
    <x v="29"/>
    <x v="0"/>
    <x v="1186"/>
    <x v="1202"/>
    <x v="1176"/>
    <x v="10"/>
    <x v="1"/>
    <x v="0"/>
    <x v="0"/>
  </r>
  <r>
    <x v="4"/>
    <x v="1815"/>
    <n v="1"/>
    <x v="29"/>
    <x v="0"/>
    <x v="1187"/>
    <x v="1203"/>
    <x v="1177"/>
    <x v="10"/>
    <x v="1"/>
    <x v="0"/>
    <x v="0"/>
  </r>
  <r>
    <x v="4"/>
    <x v="1816"/>
    <n v="1"/>
    <x v="29"/>
    <x v="0"/>
    <x v="1188"/>
    <x v="1204"/>
    <x v="1178"/>
    <x v="9"/>
    <x v="1"/>
    <x v="0"/>
    <x v="0"/>
  </r>
  <r>
    <x v="4"/>
    <x v="1817"/>
    <n v="1"/>
    <x v="29"/>
    <x v="144"/>
    <x v="1173"/>
    <x v="1189"/>
    <x v="1165"/>
    <x v="0"/>
    <x v="3"/>
    <x v="0"/>
    <x v="0"/>
  </r>
  <r>
    <x v="4"/>
    <x v="1818"/>
    <n v="1"/>
    <x v="29"/>
    <x v="144"/>
    <x v="377"/>
    <x v="383"/>
    <x v="376"/>
    <x v="8"/>
    <x v="2"/>
    <x v="3"/>
    <x v="12"/>
  </r>
  <r>
    <x v="4"/>
    <x v="1819"/>
    <n v="1"/>
    <x v="29"/>
    <x v="144"/>
    <x v="381"/>
    <x v="387"/>
    <x v="380"/>
    <x v="11"/>
    <x v="3"/>
    <x v="0"/>
    <x v="0"/>
  </r>
  <r>
    <x v="4"/>
    <x v="1820"/>
    <n v="4"/>
    <x v="29"/>
    <x v="0"/>
    <x v="382"/>
    <x v="388"/>
    <x v="381"/>
    <x v="7"/>
    <x v="2"/>
    <x v="3"/>
    <x v="5"/>
  </r>
  <r>
    <x v="4"/>
    <x v="1821"/>
    <n v="4"/>
    <x v="29"/>
    <x v="0"/>
    <x v="513"/>
    <x v="523"/>
    <x v="511"/>
    <x v="7"/>
    <x v="2"/>
    <x v="1"/>
    <x v="12"/>
  </r>
  <r>
    <x v="4"/>
    <x v="1822"/>
    <n v="4"/>
    <x v="29"/>
    <x v="0"/>
    <x v="1042"/>
    <x v="1056"/>
    <x v="1033"/>
    <x v="16"/>
    <x v="2"/>
    <x v="9"/>
    <x v="12"/>
  </r>
  <r>
    <x v="4"/>
    <x v="1823"/>
    <n v="1"/>
    <x v="29"/>
    <x v="131"/>
    <x v="1041"/>
    <x v="1055"/>
    <x v="1032"/>
    <x v="0"/>
    <x v="3"/>
    <x v="0"/>
    <x v="0"/>
  </r>
  <r>
    <x v="4"/>
    <x v="1824"/>
    <n v="1"/>
    <x v="29"/>
    <x v="131"/>
    <x v="380"/>
    <x v="386"/>
    <x v="379"/>
    <x v="8"/>
    <x v="2"/>
    <x v="3"/>
    <x v="12"/>
  </r>
  <r>
    <x v="4"/>
    <x v="1825"/>
    <n v="1"/>
    <x v="29"/>
    <x v="131"/>
    <x v="378"/>
    <x v="384"/>
    <x v="377"/>
    <x v="11"/>
    <x v="3"/>
    <x v="0"/>
    <x v="0"/>
  </r>
  <r>
    <x v="4"/>
    <x v="1826"/>
    <n v="1"/>
    <x v="29"/>
    <x v="0"/>
    <x v="1189"/>
    <x v="1205"/>
    <x v="1179"/>
    <x v="8"/>
    <x v="2"/>
    <x v="15"/>
    <x v="38"/>
  </r>
  <r>
    <x v="4"/>
    <x v="1827"/>
    <n v="1"/>
    <x v="29"/>
    <x v="0"/>
    <x v="96"/>
    <x v="96"/>
    <x v="96"/>
    <x v="8"/>
    <x v="2"/>
    <x v="3"/>
    <x v="5"/>
  </r>
  <r>
    <x v="4"/>
    <x v="1828"/>
    <n v="2"/>
    <x v="29"/>
    <x v="0"/>
    <x v="130"/>
    <x v="131"/>
    <x v="130"/>
    <x v="7"/>
    <x v="2"/>
    <x v="1"/>
    <x v="7"/>
  </r>
  <r>
    <x v="4"/>
    <x v="1829"/>
    <n v="2"/>
    <x v="29"/>
    <x v="0"/>
    <x v="234"/>
    <x v="235"/>
    <x v="234"/>
    <x v="4"/>
    <x v="2"/>
    <x v="1"/>
    <x v="5"/>
  </r>
  <r>
    <x v="4"/>
    <x v="1830"/>
    <n v="1"/>
    <x v="29"/>
    <x v="148"/>
    <x v="1190"/>
    <x v="1206"/>
    <x v="184"/>
    <x v="0"/>
    <x v="3"/>
    <x v="0"/>
    <x v="0"/>
  </r>
  <r>
    <x v="4"/>
    <x v="1831"/>
    <n v="1"/>
    <x v="29"/>
    <x v="148"/>
    <x v="1191"/>
    <x v="1207"/>
    <x v="185"/>
    <x v="12"/>
    <x v="3"/>
    <x v="0"/>
    <x v="0"/>
  </r>
  <r>
    <x v="4"/>
    <x v="1832"/>
    <n v="2"/>
    <x v="29"/>
    <x v="148"/>
    <x v="532"/>
    <x v="542"/>
    <x v="387"/>
    <x v="7"/>
    <x v="2"/>
    <x v="1"/>
    <x v="11"/>
  </r>
  <r>
    <x v="4"/>
    <x v="1833"/>
    <n v="1"/>
    <x v="29"/>
    <x v="149"/>
    <x v="380"/>
    <x v="1208"/>
    <x v="1180"/>
    <x v="0"/>
    <x v="2"/>
    <x v="3"/>
    <x v="12"/>
  </r>
  <r>
    <x v="4"/>
    <x v="1834"/>
    <n v="1"/>
    <x v="29"/>
    <x v="149"/>
    <x v="380"/>
    <x v="386"/>
    <x v="379"/>
    <x v="8"/>
    <x v="2"/>
    <x v="3"/>
    <x v="12"/>
  </r>
  <r>
    <x v="4"/>
    <x v="1835"/>
    <n v="1"/>
    <x v="29"/>
    <x v="149"/>
    <x v="1192"/>
    <x v="1209"/>
    <x v="1181"/>
    <x v="11"/>
    <x v="2"/>
    <x v="3"/>
    <x v="12"/>
  </r>
  <r>
    <x v="4"/>
    <x v="1836"/>
    <n v="1"/>
    <x v="29"/>
    <x v="142"/>
    <x v="1156"/>
    <x v="1172"/>
    <x v="1148"/>
    <x v="0"/>
    <x v="3"/>
    <x v="0"/>
    <x v="0"/>
  </r>
  <r>
    <x v="4"/>
    <x v="1837"/>
    <n v="1"/>
    <x v="29"/>
    <x v="142"/>
    <x v="377"/>
    <x v="383"/>
    <x v="376"/>
    <x v="8"/>
    <x v="2"/>
    <x v="3"/>
    <x v="12"/>
  </r>
  <r>
    <x v="4"/>
    <x v="1838"/>
    <n v="1"/>
    <x v="29"/>
    <x v="142"/>
    <x v="1157"/>
    <x v="1173"/>
    <x v="1149"/>
    <x v="11"/>
    <x v="3"/>
    <x v="0"/>
    <x v="0"/>
  </r>
  <r>
    <x v="4"/>
    <x v="1839"/>
    <n v="1"/>
    <x v="30"/>
    <x v="0"/>
    <x v="1193"/>
    <x v="1210"/>
    <x v="1182"/>
    <x v="0"/>
    <x v="0"/>
    <x v="0"/>
    <x v="0"/>
  </r>
  <r>
    <x v="4"/>
    <x v="1840"/>
    <n v="1"/>
    <x v="30"/>
    <x v="0"/>
    <x v="1194"/>
    <x v="1211"/>
    <x v="1183"/>
    <x v="8"/>
    <x v="1"/>
    <x v="0"/>
    <x v="0"/>
  </r>
  <r>
    <x v="4"/>
    <x v="1841"/>
    <n v="1"/>
    <x v="30"/>
    <x v="0"/>
    <x v="1195"/>
    <x v="1212"/>
    <x v="1184"/>
    <x v="10"/>
    <x v="1"/>
    <x v="0"/>
    <x v="0"/>
  </r>
  <r>
    <x v="4"/>
    <x v="1842"/>
    <n v="1"/>
    <x v="30"/>
    <x v="0"/>
    <x v="1196"/>
    <x v="1213"/>
    <x v="1185"/>
    <x v="10"/>
    <x v="1"/>
    <x v="0"/>
    <x v="0"/>
  </r>
  <r>
    <x v="4"/>
    <x v="1843"/>
    <n v="1"/>
    <x v="30"/>
    <x v="0"/>
    <x v="1197"/>
    <x v="1214"/>
    <x v="1186"/>
    <x v="9"/>
    <x v="1"/>
    <x v="0"/>
    <x v="0"/>
  </r>
  <r>
    <x v="4"/>
    <x v="1844"/>
    <n v="1"/>
    <x v="30"/>
    <x v="150"/>
    <x v="1198"/>
    <x v="1215"/>
    <x v="1187"/>
    <x v="0"/>
    <x v="3"/>
    <x v="0"/>
    <x v="0"/>
  </r>
  <r>
    <x v="4"/>
    <x v="1845"/>
    <n v="1"/>
    <x v="30"/>
    <x v="150"/>
    <x v="380"/>
    <x v="386"/>
    <x v="379"/>
    <x v="8"/>
    <x v="2"/>
    <x v="3"/>
    <x v="12"/>
  </r>
  <r>
    <x v="4"/>
    <x v="1846"/>
    <n v="1"/>
    <x v="30"/>
    <x v="150"/>
    <x v="1157"/>
    <x v="1173"/>
    <x v="1149"/>
    <x v="11"/>
    <x v="3"/>
    <x v="0"/>
    <x v="0"/>
  </r>
  <r>
    <x v="4"/>
    <x v="1847"/>
    <n v="1"/>
    <x v="30"/>
    <x v="0"/>
    <x v="382"/>
    <x v="388"/>
    <x v="381"/>
    <x v="7"/>
    <x v="2"/>
    <x v="3"/>
    <x v="5"/>
  </r>
  <r>
    <x v="4"/>
    <x v="1848"/>
    <n v="1"/>
    <x v="30"/>
    <x v="0"/>
    <x v="1042"/>
    <x v="1056"/>
    <x v="1033"/>
    <x v="16"/>
    <x v="2"/>
    <x v="9"/>
    <x v="12"/>
  </r>
  <r>
    <x v="4"/>
    <x v="1849"/>
    <n v="1"/>
    <x v="30"/>
    <x v="0"/>
    <x v="513"/>
    <x v="523"/>
    <x v="511"/>
    <x v="7"/>
    <x v="2"/>
    <x v="1"/>
    <x v="12"/>
  </r>
  <r>
    <x v="4"/>
    <x v="1850"/>
    <n v="1"/>
    <x v="30"/>
    <x v="0"/>
    <x v="178"/>
    <x v="179"/>
    <x v="178"/>
    <x v="8"/>
    <x v="2"/>
    <x v="3"/>
    <x v="12"/>
  </r>
  <r>
    <x v="4"/>
    <x v="1851"/>
    <n v="1"/>
    <x v="30"/>
    <x v="0"/>
    <x v="179"/>
    <x v="180"/>
    <x v="179"/>
    <x v="8"/>
    <x v="2"/>
    <x v="9"/>
    <x v="19"/>
  </r>
  <r>
    <x v="4"/>
    <x v="1852"/>
    <n v="1"/>
    <x v="30"/>
    <x v="0"/>
    <x v="180"/>
    <x v="181"/>
    <x v="180"/>
    <x v="8"/>
    <x v="2"/>
    <x v="1"/>
    <x v="6"/>
  </r>
  <r>
    <x v="4"/>
    <x v="1853"/>
    <n v="2"/>
    <x v="30"/>
    <x v="0"/>
    <x v="181"/>
    <x v="182"/>
    <x v="181"/>
    <x v="8"/>
    <x v="2"/>
    <x v="1"/>
    <x v="5"/>
  </r>
  <r>
    <x v="4"/>
    <x v="1854"/>
    <n v="2"/>
    <x v="30"/>
    <x v="0"/>
    <x v="539"/>
    <x v="549"/>
    <x v="533"/>
    <x v="8"/>
    <x v="2"/>
    <x v="4"/>
    <x v="13"/>
  </r>
  <r>
    <x v="4"/>
    <x v="1855"/>
    <n v="2"/>
    <x v="30"/>
    <x v="0"/>
    <x v="1177"/>
    <x v="1193"/>
    <x v="1169"/>
    <x v="4"/>
    <x v="2"/>
    <x v="1"/>
    <x v="13"/>
  </r>
  <r>
    <x v="4"/>
    <x v="1856"/>
    <n v="2"/>
    <x v="30"/>
    <x v="0"/>
    <x v="358"/>
    <x v="362"/>
    <x v="357"/>
    <x v="6"/>
    <x v="2"/>
    <x v="4"/>
    <x v="5"/>
  </r>
  <r>
    <x v="4"/>
    <x v="1857"/>
    <n v="3"/>
    <x v="30"/>
    <x v="0"/>
    <x v="234"/>
    <x v="235"/>
    <x v="234"/>
    <x v="4"/>
    <x v="2"/>
    <x v="1"/>
    <x v="5"/>
  </r>
  <r>
    <x v="4"/>
    <x v="1858"/>
    <n v="3"/>
    <x v="30"/>
    <x v="0"/>
    <x v="130"/>
    <x v="131"/>
    <x v="130"/>
    <x v="7"/>
    <x v="2"/>
    <x v="1"/>
    <x v="7"/>
  </r>
  <r>
    <x v="4"/>
    <x v="1859"/>
    <n v="2"/>
    <x v="30"/>
    <x v="151"/>
    <x v="1199"/>
    <x v="1216"/>
    <x v="184"/>
    <x v="0"/>
    <x v="3"/>
    <x v="0"/>
    <x v="0"/>
  </r>
  <r>
    <x v="4"/>
    <x v="1860"/>
    <n v="1"/>
    <x v="30"/>
    <x v="151"/>
    <x v="1200"/>
    <x v="1217"/>
    <x v="185"/>
    <x v="12"/>
    <x v="3"/>
    <x v="0"/>
    <x v="0"/>
  </r>
  <r>
    <x v="4"/>
    <x v="1861"/>
    <n v="1"/>
    <x v="30"/>
    <x v="151"/>
    <x v="532"/>
    <x v="542"/>
    <x v="387"/>
    <x v="7"/>
    <x v="2"/>
    <x v="1"/>
    <x v="11"/>
  </r>
  <r>
    <x v="4"/>
    <x v="1862"/>
    <n v="1"/>
    <x v="30"/>
    <x v="151"/>
    <x v="388"/>
    <x v="394"/>
    <x v="387"/>
    <x v="7"/>
    <x v="2"/>
    <x v="1"/>
    <x v="11"/>
  </r>
  <r>
    <x v="4"/>
    <x v="1863"/>
    <n v="3"/>
    <x v="30"/>
    <x v="0"/>
    <x v="146"/>
    <x v="147"/>
    <x v="146"/>
    <x v="11"/>
    <x v="2"/>
    <x v="1"/>
    <x v="9"/>
  </r>
  <r>
    <x v="4"/>
    <x v="1864"/>
    <n v="3"/>
    <x v="30"/>
    <x v="0"/>
    <x v="966"/>
    <x v="980"/>
    <x v="957"/>
    <x v="4"/>
    <x v="2"/>
    <x v="1"/>
    <x v="3"/>
  </r>
  <r>
    <x v="4"/>
    <x v="1865"/>
    <n v="3"/>
    <x v="30"/>
    <x v="0"/>
    <x v="385"/>
    <x v="391"/>
    <x v="384"/>
    <x v="4"/>
    <x v="2"/>
    <x v="1"/>
    <x v="7"/>
  </r>
  <r>
    <x v="4"/>
    <x v="1866"/>
    <n v="1"/>
    <x v="30"/>
    <x v="0"/>
    <x v="1201"/>
    <x v="1218"/>
    <x v="1188"/>
    <x v="10"/>
    <x v="1"/>
    <x v="0"/>
    <x v="0"/>
  </r>
  <r>
    <x v="4"/>
    <x v="1867"/>
    <n v="4"/>
    <x v="30"/>
    <x v="0"/>
    <x v="76"/>
    <x v="76"/>
    <x v="76"/>
    <x v="11"/>
    <x v="2"/>
    <x v="1"/>
    <x v="9"/>
  </r>
  <r>
    <x v="4"/>
    <x v="1868"/>
    <n v="8"/>
    <x v="30"/>
    <x v="0"/>
    <x v="116"/>
    <x v="117"/>
    <x v="116"/>
    <x v="6"/>
    <x v="2"/>
    <x v="1"/>
    <x v="7"/>
  </r>
  <r>
    <x v="4"/>
    <x v="1869"/>
    <n v="1"/>
    <x v="30"/>
    <x v="15"/>
    <x v="157"/>
    <x v="158"/>
    <x v="157"/>
    <x v="8"/>
    <x v="4"/>
    <x v="7"/>
    <x v="18"/>
  </r>
  <r>
    <x v="4"/>
    <x v="1870"/>
    <n v="1"/>
    <x v="30"/>
    <x v="15"/>
    <x v="158"/>
    <x v="159"/>
    <x v="158"/>
    <x v="8"/>
    <x v="5"/>
    <x v="7"/>
    <x v="18"/>
  </r>
  <r>
    <x v="4"/>
    <x v="1871"/>
    <n v="1"/>
    <x v="30"/>
    <x v="15"/>
    <x v="153"/>
    <x v="154"/>
    <x v="153"/>
    <x v="8"/>
    <x v="2"/>
    <x v="5"/>
    <x v="16"/>
  </r>
  <r>
    <x v="4"/>
    <x v="1872"/>
    <n v="1"/>
    <x v="31"/>
    <x v="0"/>
    <x v="1202"/>
    <x v="1219"/>
    <x v="1189"/>
    <x v="0"/>
    <x v="0"/>
    <x v="0"/>
    <x v="0"/>
  </r>
  <r>
    <x v="4"/>
    <x v="1873"/>
    <n v="1"/>
    <x v="31"/>
    <x v="0"/>
    <x v="1203"/>
    <x v="1220"/>
    <x v="1190"/>
    <x v="8"/>
    <x v="1"/>
    <x v="0"/>
    <x v="0"/>
  </r>
  <r>
    <x v="4"/>
    <x v="1874"/>
    <n v="1"/>
    <x v="31"/>
    <x v="0"/>
    <x v="1204"/>
    <x v="1221"/>
    <x v="1191"/>
    <x v="10"/>
    <x v="1"/>
    <x v="0"/>
    <x v="0"/>
  </r>
  <r>
    <x v="4"/>
    <x v="1875"/>
    <n v="1"/>
    <x v="31"/>
    <x v="0"/>
    <x v="1205"/>
    <x v="1222"/>
    <x v="1192"/>
    <x v="10"/>
    <x v="1"/>
    <x v="0"/>
    <x v="0"/>
  </r>
  <r>
    <x v="4"/>
    <x v="1876"/>
    <n v="1"/>
    <x v="31"/>
    <x v="0"/>
    <x v="1206"/>
    <x v="1223"/>
    <x v="1193"/>
    <x v="9"/>
    <x v="1"/>
    <x v="0"/>
    <x v="0"/>
  </r>
  <r>
    <x v="4"/>
    <x v="1877"/>
    <n v="1"/>
    <x v="31"/>
    <x v="0"/>
    <x v="1207"/>
    <x v="1224"/>
    <x v="1194"/>
    <x v="12"/>
    <x v="1"/>
    <x v="0"/>
    <x v="0"/>
  </r>
  <r>
    <x v="4"/>
    <x v="1878"/>
    <n v="1"/>
    <x v="31"/>
    <x v="0"/>
    <x v="1208"/>
    <x v="1225"/>
    <x v="1195"/>
    <x v="8"/>
    <x v="2"/>
    <x v="3"/>
    <x v="12"/>
  </r>
  <r>
    <x v="4"/>
    <x v="1879"/>
    <n v="2"/>
    <x v="31"/>
    <x v="0"/>
    <x v="181"/>
    <x v="182"/>
    <x v="181"/>
    <x v="8"/>
    <x v="2"/>
    <x v="1"/>
    <x v="5"/>
  </r>
  <r>
    <x v="4"/>
    <x v="1880"/>
    <n v="1"/>
    <x v="31"/>
    <x v="0"/>
    <x v="180"/>
    <x v="181"/>
    <x v="180"/>
    <x v="8"/>
    <x v="2"/>
    <x v="1"/>
    <x v="6"/>
  </r>
  <r>
    <x v="4"/>
    <x v="1881"/>
    <n v="1"/>
    <x v="31"/>
    <x v="0"/>
    <x v="179"/>
    <x v="180"/>
    <x v="179"/>
    <x v="8"/>
    <x v="2"/>
    <x v="9"/>
    <x v="19"/>
  </r>
  <r>
    <x v="4"/>
    <x v="1882"/>
    <n v="1"/>
    <x v="31"/>
    <x v="0"/>
    <x v="1209"/>
    <x v="1226"/>
    <x v="1196"/>
    <x v="8"/>
    <x v="2"/>
    <x v="12"/>
    <x v="12"/>
  </r>
  <r>
    <x v="4"/>
    <x v="1883"/>
    <n v="4"/>
    <x v="31"/>
    <x v="0"/>
    <x v="130"/>
    <x v="131"/>
    <x v="130"/>
    <x v="7"/>
    <x v="2"/>
    <x v="1"/>
    <x v="7"/>
  </r>
  <r>
    <x v="4"/>
    <x v="1884"/>
    <n v="1"/>
    <x v="31"/>
    <x v="0"/>
    <x v="234"/>
    <x v="235"/>
    <x v="234"/>
    <x v="4"/>
    <x v="2"/>
    <x v="1"/>
    <x v="5"/>
  </r>
  <r>
    <x v="4"/>
    <x v="1885"/>
    <n v="4"/>
    <x v="31"/>
    <x v="0"/>
    <x v="147"/>
    <x v="148"/>
    <x v="147"/>
    <x v="4"/>
    <x v="2"/>
    <x v="1"/>
    <x v="3"/>
  </r>
  <r>
    <x v="4"/>
    <x v="1886"/>
    <n v="1"/>
    <x v="31"/>
    <x v="152"/>
    <x v="1210"/>
    <x v="1227"/>
    <x v="1197"/>
    <x v="0"/>
    <x v="3"/>
    <x v="0"/>
    <x v="0"/>
  </r>
  <r>
    <x v="4"/>
    <x v="1887"/>
    <n v="1"/>
    <x v="31"/>
    <x v="152"/>
    <x v="1211"/>
    <x v="1228"/>
    <x v="1198"/>
    <x v="12"/>
    <x v="3"/>
    <x v="0"/>
    <x v="0"/>
  </r>
  <r>
    <x v="4"/>
    <x v="1888"/>
    <n v="3"/>
    <x v="31"/>
    <x v="152"/>
    <x v="388"/>
    <x v="394"/>
    <x v="387"/>
    <x v="7"/>
    <x v="2"/>
    <x v="1"/>
    <x v="11"/>
  </r>
  <r>
    <x v="4"/>
    <x v="1889"/>
    <n v="3"/>
    <x v="31"/>
    <x v="0"/>
    <x v="146"/>
    <x v="147"/>
    <x v="146"/>
    <x v="11"/>
    <x v="2"/>
    <x v="1"/>
    <x v="9"/>
  </r>
  <r>
    <x v="4"/>
    <x v="1890"/>
    <n v="3"/>
    <x v="31"/>
    <x v="0"/>
    <x v="385"/>
    <x v="391"/>
    <x v="384"/>
    <x v="4"/>
    <x v="2"/>
    <x v="1"/>
    <x v="7"/>
  </r>
  <r>
    <x v="4"/>
    <x v="1891"/>
    <n v="1"/>
    <x v="31"/>
    <x v="0"/>
    <x v="1212"/>
    <x v="1229"/>
    <x v="1199"/>
    <x v="10"/>
    <x v="1"/>
    <x v="0"/>
    <x v="0"/>
  </r>
  <r>
    <x v="4"/>
    <x v="1892"/>
    <n v="4"/>
    <x v="31"/>
    <x v="0"/>
    <x v="148"/>
    <x v="149"/>
    <x v="148"/>
    <x v="11"/>
    <x v="2"/>
    <x v="1"/>
    <x v="9"/>
  </r>
  <r>
    <x v="4"/>
    <x v="1893"/>
    <n v="8"/>
    <x v="31"/>
    <x v="0"/>
    <x v="116"/>
    <x v="117"/>
    <x v="116"/>
    <x v="6"/>
    <x v="2"/>
    <x v="1"/>
    <x v="7"/>
  </r>
  <r>
    <x v="4"/>
    <x v="1894"/>
    <n v="1"/>
    <x v="31"/>
    <x v="15"/>
    <x v="157"/>
    <x v="158"/>
    <x v="157"/>
    <x v="8"/>
    <x v="4"/>
    <x v="7"/>
    <x v="18"/>
  </r>
  <r>
    <x v="4"/>
    <x v="1895"/>
    <n v="1"/>
    <x v="31"/>
    <x v="15"/>
    <x v="158"/>
    <x v="159"/>
    <x v="158"/>
    <x v="8"/>
    <x v="5"/>
    <x v="7"/>
    <x v="18"/>
  </r>
  <r>
    <x v="4"/>
    <x v="1896"/>
    <n v="1"/>
    <x v="31"/>
    <x v="15"/>
    <x v="153"/>
    <x v="154"/>
    <x v="153"/>
    <x v="8"/>
    <x v="2"/>
    <x v="5"/>
    <x v="16"/>
  </r>
  <r>
    <x v="4"/>
    <x v="1897"/>
    <n v="1"/>
    <x v="31"/>
    <x v="153"/>
    <x v="1213"/>
    <x v="1230"/>
    <x v="1200"/>
    <x v="0"/>
    <x v="1"/>
    <x v="0"/>
    <x v="0"/>
  </r>
  <r>
    <x v="4"/>
    <x v="1898"/>
    <n v="1"/>
    <x v="31"/>
    <x v="154"/>
    <x v="1214"/>
    <x v="1231"/>
    <x v="1201"/>
    <x v="0"/>
    <x v="0"/>
    <x v="0"/>
    <x v="0"/>
  </r>
  <r>
    <x v="4"/>
    <x v="1899"/>
    <n v="1"/>
    <x v="31"/>
    <x v="154"/>
    <x v="1215"/>
    <x v="1232"/>
    <x v="1202"/>
    <x v="15"/>
    <x v="1"/>
    <x v="0"/>
    <x v="0"/>
  </r>
  <r>
    <x v="4"/>
    <x v="1900"/>
    <n v="8"/>
    <x v="31"/>
    <x v="154"/>
    <x v="67"/>
    <x v="67"/>
    <x v="67"/>
    <x v="6"/>
    <x v="2"/>
    <x v="1"/>
    <x v="4"/>
  </r>
  <r>
    <x v="4"/>
    <x v="1901"/>
    <n v="1"/>
    <x v="31"/>
    <x v="154"/>
    <x v="1216"/>
    <x v="1233"/>
    <x v="1203"/>
    <x v="14"/>
    <x v="2"/>
    <x v="11"/>
    <x v="30"/>
  </r>
  <r>
    <x v="4"/>
    <x v="1902"/>
    <n v="1"/>
    <x v="31"/>
    <x v="155"/>
    <x v="1217"/>
    <x v="1234"/>
    <x v="1204"/>
    <x v="0"/>
    <x v="0"/>
    <x v="0"/>
    <x v="0"/>
  </r>
  <r>
    <x v="4"/>
    <x v="1903"/>
    <n v="1"/>
    <x v="31"/>
    <x v="155"/>
    <x v="1218"/>
    <x v="1235"/>
    <x v="1205"/>
    <x v="15"/>
    <x v="1"/>
    <x v="0"/>
    <x v="0"/>
  </r>
  <r>
    <x v="4"/>
    <x v="1904"/>
    <n v="1"/>
    <x v="31"/>
    <x v="155"/>
    <x v="1216"/>
    <x v="1233"/>
    <x v="1203"/>
    <x v="14"/>
    <x v="2"/>
    <x v="11"/>
    <x v="30"/>
  </r>
  <r>
    <x v="4"/>
    <x v="1905"/>
    <n v="1"/>
    <x v="31"/>
    <x v="155"/>
    <x v="1219"/>
    <x v="1236"/>
    <x v="1206"/>
    <x v="20"/>
    <x v="2"/>
    <x v="11"/>
    <x v="30"/>
  </r>
  <r>
    <x v="4"/>
    <x v="1906"/>
    <n v="1"/>
    <x v="31"/>
    <x v="153"/>
    <x v="1220"/>
    <x v="1237"/>
    <x v="1207"/>
    <x v="15"/>
    <x v="1"/>
    <x v="0"/>
    <x v="0"/>
  </r>
  <r>
    <x v="4"/>
    <x v="1907"/>
    <n v="1"/>
    <x v="31"/>
    <x v="156"/>
    <x v="1221"/>
    <x v="1238"/>
    <x v="1208"/>
    <x v="0"/>
    <x v="0"/>
    <x v="0"/>
    <x v="0"/>
  </r>
  <r>
    <x v="4"/>
    <x v="1908"/>
    <n v="1"/>
    <x v="31"/>
    <x v="156"/>
    <x v="1222"/>
    <x v="1239"/>
    <x v="1209"/>
    <x v="15"/>
    <x v="1"/>
    <x v="0"/>
    <x v="0"/>
  </r>
  <r>
    <x v="4"/>
    <x v="1909"/>
    <n v="4"/>
    <x v="31"/>
    <x v="156"/>
    <x v="68"/>
    <x v="68"/>
    <x v="68"/>
    <x v="6"/>
    <x v="2"/>
    <x v="1"/>
    <x v="4"/>
  </r>
  <r>
    <x v="4"/>
    <x v="1910"/>
    <n v="1"/>
    <x v="31"/>
    <x v="153"/>
    <x v="1223"/>
    <x v="1240"/>
    <x v="1210"/>
    <x v="11"/>
    <x v="1"/>
    <x v="0"/>
    <x v="0"/>
  </r>
  <r>
    <x v="4"/>
    <x v="1911"/>
    <n v="1"/>
    <x v="31"/>
    <x v="153"/>
    <x v="1224"/>
    <x v="1241"/>
    <x v="1211"/>
    <x v="11"/>
    <x v="1"/>
    <x v="0"/>
    <x v="0"/>
  </r>
  <r>
    <x v="4"/>
    <x v="1912"/>
    <n v="4"/>
    <x v="31"/>
    <x v="153"/>
    <x v="147"/>
    <x v="148"/>
    <x v="147"/>
    <x v="4"/>
    <x v="2"/>
    <x v="1"/>
    <x v="3"/>
  </r>
  <r>
    <x v="4"/>
    <x v="1913"/>
    <n v="4"/>
    <x v="31"/>
    <x v="153"/>
    <x v="1225"/>
    <x v="1242"/>
    <x v="1212"/>
    <x v="7"/>
    <x v="2"/>
    <x v="1"/>
    <x v="3"/>
  </r>
  <r>
    <x v="4"/>
    <x v="1914"/>
    <n v="1"/>
    <x v="31"/>
    <x v="153"/>
    <x v="1226"/>
    <x v="1243"/>
    <x v="1213"/>
    <x v="8"/>
    <x v="2"/>
    <x v="0"/>
    <x v="13"/>
  </r>
  <r>
    <x v="4"/>
    <x v="1915"/>
    <n v="2"/>
    <x v="31"/>
    <x v="153"/>
    <x v="1227"/>
    <x v="1244"/>
    <x v="1214"/>
    <x v="4"/>
    <x v="2"/>
    <x v="2"/>
    <x v="39"/>
  </r>
  <r>
    <x v="4"/>
    <x v="1916"/>
    <n v="2"/>
    <x v="31"/>
    <x v="153"/>
    <x v="672"/>
    <x v="683"/>
    <x v="661"/>
    <x v="7"/>
    <x v="2"/>
    <x v="1"/>
    <x v="6"/>
  </r>
  <r>
    <x v="4"/>
    <x v="1917"/>
    <n v="1"/>
    <x v="31"/>
    <x v="153"/>
    <x v="1228"/>
    <x v="1245"/>
    <x v="1215"/>
    <x v="4"/>
    <x v="2"/>
    <x v="14"/>
    <x v="36"/>
  </r>
  <r>
    <x v="4"/>
    <x v="1918"/>
    <n v="1"/>
    <x v="31"/>
    <x v="153"/>
    <x v="1229"/>
    <x v="1246"/>
    <x v="1216"/>
    <x v="15"/>
    <x v="1"/>
    <x v="0"/>
    <x v="0"/>
  </r>
  <r>
    <x v="4"/>
    <x v="1919"/>
    <n v="1"/>
    <x v="31"/>
    <x v="153"/>
    <x v="1230"/>
    <x v="1247"/>
    <x v="1217"/>
    <x v="4"/>
    <x v="2"/>
    <x v="9"/>
    <x v="21"/>
  </r>
  <r>
    <x v="4"/>
    <x v="1920"/>
    <n v="1"/>
    <x v="31"/>
    <x v="153"/>
    <x v="1032"/>
    <x v="1046"/>
    <x v="1023"/>
    <x v="8"/>
    <x v="2"/>
    <x v="3"/>
    <x v="12"/>
  </r>
  <r>
    <x v="4"/>
    <x v="1921"/>
    <n v="4"/>
    <x v="31"/>
    <x v="153"/>
    <x v="111"/>
    <x v="112"/>
    <x v="111"/>
    <x v="7"/>
    <x v="2"/>
    <x v="1"/>
    <x v="6"/>
  </r>
  <r>
    <x v="4"/>
    <x v="1922"/>
    <n v="2"/>
    <x v="31"/>
    <x v="153"/>
    <x v="1090"/>
    <x v="1105"/>
    <x v="1082"/>
    <x v="7"/>
    <x v="2"/>
    <x v="1"/>
    <x v="7"/>
  </r>
  <r>
    <x v="4"/>
    <x v="1923"/>
    <n v="2"/>
    <x v="31"/>
    <x v="153"/>
    <x v="1231"/>
    <x v="1248"/>
    <x v="1218"/>
    <x v="7"/>
    <x v="2"/>
    <x v="1"/>
    <x v="5"/>
  </r>
  <r>
    <x v="4"/>
    <x v="1924"/>
    <n v="1"/>
    <x v="31"/>
    <x v="153"/>
    <x v="1232"/>
    <x v="1249"/>
    <x v="1219"/>
    <x v="7"/>
    <x v="2"/>
    <x v="1"/>
    <x v="11"/>
  </r>
  <r>
    <x v="4"/>
    <x v="1925"/>
    <n v="1"/>
    <x v="31"/>
    <x v="153"/>
    <x v="1233"/>
    <x v="1250"/>
    <x v="1220"/>
    <x v="1"/>
    <x v="1"/>
    <x v="0"/>
    <x v="0"/>
  </r>
  <r>
    <x v="4"/>
    <x v="1926"/>
    <n v="1"/>
    <x v="31"/>
    <x v="0"/>
    <x v="1234"/>
    <x v="1251"/>
    <x v="1221"/>
    <x v="8"/>
    <x v="2"/>
    <x v="2"/>
    <x v="15"/>
  </r>
  <r>
    <x v="4"/>
    <x v="1927"/>
    <n v="1"/>
    <x v="31"/>
    <x v="0"/>
    <x v="1235"/>
    <x v="1252"/>
    <x v="1222"/>
    <x v="1"/>
    <x v="1"/>
    <x v="0"/>
    <x v="0"/>
  </r>
  <r>
    <x v="4"/>
    <x v="1928"/>
    <n v="3"/>
    <x v="31"/>
    <x v="0"/>
    <x v="1180"/>
    <x v="1196"/>
    <x v="1170"/>
    <x v="11"/>
    <x v="2"/>
    <x v="1"/>
    <x v="9"/>
  </r>
  <r>
    <x v="4"/>
    <x v="1929"/>
    <n v="4"/>
    <x v="31"/>
    <x v="0"/>
    <x v="117"/>
    <x v="118"/>
    <x v="117"/>
    <x v="6"/>
    <x v="2"/>
    <x v="1"/>
    <x v="5"/>
  </r>
  <r>
    <x v="4"/>
    <x v="1930"/>
    <n v="4"/>
    <x v="31"/>
    <x v="0"/>
    <x v="149"/>
    <x v="150"/>
    <x v="149"/>
    <x v="4"/>
    <x v="2"/>
    <x v="1"/>
    <x v="7"/>
  </r>
  <r>
    <x v="4"/>
    <x v="1931"/>
    <n v="1"/>
    <x v="31"/>
    <x v="0"/>
    <x v="1236"/>
    <x v="1253"/>
    <x v="1223"/>
    <x v="8"/>
    <x v="2"/>
    <x v="3"/>
    <x v="12"/>
  </r>
  <r>
    <x v="4"/>
    <x v="1932"/>
    <n v="1"/>
    <x v="31"/>
    <x v="0"/>
    <x v="1237"/>
    <x v="1254"/>
    <x v="1224"/>
    <x v="7"/>
    <x v="2"/>
    <x v="1"/>
    <x v="5"/>
  </r>
  <r>
    <x v="4"/>
    <x v="1933"/>
    <n v="1"/>
    <x v="31"/>
    <x v="0"/>
    <x v="1238"/>
    <x v="1255"/>
    <x v="1225"/>
    <x v="7"/>
    <x v="2"/>
    <x v="1"/>
    <x v="6"/>
  </r>
  <r>
    <x v="4"/>
    <x v="1934"/>
    <n v="1"/>
    <x v="31"/>
    <x v="0"/>
    <x v="1239"/>
    <x v="1256"/>
    <x v="1226"/>
    <x v="7"/>
    <x v="2"/>
    <x v="1"/>
    <x v="5"/>
  </r>
  <r>
    <x v="4"/>
    <x v="1935"/>
    <n v="1"/>
    <x v="31"/>
    <x v="0"/>
    <x v="182"/>
    <x v="183"/>
    <x v="182"/>
    <x v="8"/>
    <x v="2"/>
    <x v="3"/>
    <x v="12"/>
  </r>
  <r>
    <x v="4"/>
    <x v="1936"/>
    <n v="1"/>
    <x v="32"/>
    <x v="0"/>
    <x v="1240"/>
    <x v="1257"/>
    <x v="1227"/>
    <x v="0"/>
    <x v="0"/>
    <x v="0"/>
    <x v="0"/>
  </r>
  <r>
    <x v="4"/>
    <x v="1937"/>
    <n v="1"/>
    <x v="32"/>
    <x v="0"/>
    <x v="1241"/>
    <x v="1258"/>
    <x v="1228"/>
    <x v="8"/>
    <x v="1"/>
    <x v="0"/>
    <x v="0"/>
  </r>
  <r>
    <x v="4"/>
    <x v="1938"/>
    <n v="1"/>
    <x v="32"/>
    <x v="0"/>
    <x v="1242"/>
    <x v="1259"/>
    <x v="1229"/>
    <x v="10"/>
    <x v="1"/>
    <x v="0"/>
    <x v="0"/>
  </r>
  <r>
    <x v="4"/>
    <x v="1939"/>
    <n v="1"/>
    <x v="32"/>
    <x v="0"/>
    <x v="1243"/>
    <x v="1260"/>
    <x v="1230"/>
    <x v="10"/>
    <x v="1"/>
    <x v="0"/>
    <x v="0"/>
  </r>
  <r>
    <x v="4"/>
    <x v="1940"/>
    <n v="1"/>
    <x v="32"/>
    <x v="0"/>
    <x v="1244"/>
    <x v="1261"/>
    <x v="1231"/>
    <x v="9"/>
    <x v="1"/>
    <x v="0"/>
    <x v="0"/>
  </r>
  <r>
    <x v="4"/>
    <x v="1941"/>
    <n v="1"/>
    <x v="32"/>
    <x v="0"/>
    <x v="182"/>
    <x v="183"/>
    <x v="182"/>
    <x v="8"/>
    <x v="2"/>
    <x v="3"/>
    <x v="12"/>
  </r>
  <r>
    <x v="4"/>
    <x v="1942"/>
    <n v="2"/>
    <x v="32"/>
    <x v="0"/>
    <x v="181"/>
    <x v="182"/>
    <x v="181"/>
    <x v="8"/>
    <x v="2"/>
    <x v="1"/>
    <x v="5"/>
  </r>
  <r>
    <x v="4"/>
    <x v="1943"/>
    <n v="1"/>
    <x v="32"/>
    <x v="0"/>
    <x v="180"/>
    <x v="181"/>
    <x v="180"/>
    <x v="8"/>
    <x v="2"/>
    <x v="1"/>
    <x v="6"/>
  </r>
  <r>
    <x v="4"/>
    <x v="1944"/>
    <n v="1"/>
    <x v="32"/>
    <x v="0"/>
    <x v="179"/>
    <x v="180"/>
    <x v="179"/>
    <x v="8"/>
    <x v="2"/>
    <x v="9"/>
    <x v="19"/>
  </r>
  <r>
    <x v="4"/>
    <x v="1945"/>
    <n v="1"/>
    <x v="32"/>
    <x v="0"/>
    <x v="1209"/>
    <x v="1226"/>
    <x v="1196"/>
    <x v="8"/>
    <x v="2"/>
    <x v="12"/>
    <x v="12"/>
  </r>
  <r>
    <x v="4"/>
    <x v="1946"/>
    <n v="3"/>
    <x v="32"/>
    <x v="0"/>
    <x v="130"/>
    <x v="131"/>
    <x v="130"/>
    <x v="7"/>
    <x v="2"/>
    <x v="1"/>
    <x v="7"/>
  </r>
  <r>
    <x v="4"/>
    <x v="1947"/>
    <n v="1"/>
    <x v="33"/>
    <x v="0"/>
    <x v="1245"/>
    <x v="1262"/>
    <x v="1232"/>
    <x v="0"/>
    <x v="0"/>
    <x v="0"/>
    <x v="0"/>
  </r>
  <r>
    <x v="4"/>
    <x v="1948"/>
    <n v="1"/>
    <x v="33"/>
    <x v="0"/>
    <x v="1246"/>
    <x v="1263"/>
    <x v="1233"/>
    <x v="13"/>
    <x v="1"/>
    <x v="0"/>
    <x v="0"/>
  </r>
  <r>
    <x v="4"/>
    <x v="1949"/>
    <n v="1"/>
    <x v="33"/>
    <x v="0"/>
    <x v="1247"/>
    <x v="1264"/>
    <x v="1234"/>
    <x v="10"/>
    <x v="1"/>
    <x v="0"/>
    <x v="0"/>
  </r>
  <r>
    <x v="4"/>
    <x v="1950"/>
    <n v="1"/>
    <x v="33"/>
    <x v="0"/>
    <x v="1248"/>
    <x v="1265"/>
    <x v="1235"/>
    <x v="10"/>
    <x v="1"/>
    <x v="0"/>
    <x v="0"/>
  </r>
  <r>
    <x v="4"/>
    <x v="1951"/>
    <n v="1"/>
    <x v="33"/>
    <x v="0"/>
    <x v="1249"/>
    <x v="1266"/>
    <x v="1236"/>
    <x v="9"/>
    <x v="1"/>
    <x v="0"/>
    <x v="0"/>
  </r>
  <r>
    <x v="4"/>
    <x v="1952"/>
    <n v="4"/>
    <x v="33"/>
    <x v="0"/>
    <x v="181"/>
    <x v="182"/>
    <x v="181"/>
    <x v="8"/>
    <x v="2"/>
    <x v="1"/>
    <x v="5"/>
  </r>
  <r>
    <x v="4"/>
    <x v="1953"/>
    <n v="2"/>
    <x v="33"/>
    <x v="0"/>
    <x v="180"/>
    <x v="181"/>
    <x v="180"/>
    <x v="8"/>
    <x v="2"/>
    <x v="1"/>
    <x v="6"/>
  </r>
  <r>
    <x v="4"/>
    <x v="1954"/>
    <n v="2"/>
    <x v="33"/>
    <x v="0"/>
    <x v="179"/>
    <x v="180"/>
    <x v="179"/>
    <x v="8"/>
    <x v="2"/>
    <x v="9"/>
    <x v="19"/>
  </r>
  <r>
    <x v="4"/>
    <x v="1955"/>
    <n v="2"/>
    <x v="33"/>
    <x v="0"/>
    <x v="178"/>
    <x v="179"/>
    <x v="178"/>
    <x v="8"/>
    <x v="2"/>
    <x v="3"/>
    <x v="12"/>
  </r>
  <r>
    <x v="4"/>
    <x v="1956"/>
    <n v="2"/>
    <x v="33"/>
    <x v="0"/>
    <x v="130"/>
    <x v="131"/>
    <x v="130"/>
    <x v="7"/>
    <x v="2"/>
    <x v="1"/>
    <x v="7"/>
  </r>
  <r>
    <x v="4"/>
    <x v="1957"/>
    <n v="2"/>
    <x v="33"/>
    <x v="0"/>
    <x v="234"/>
    <x v="235"/>
    <x v="234"/>
    <x v="4"/>
    <x v="2"/>
    <x v="1"/>
    <x v="5"/>
  </r>
  <r>
    <x v="4"/>
    <x v="1958"/>
    <n v="1"/>
    <x v="34"/>
    <x v="0"/>
    <x v="1250"/>
    <x v="1267"/>
    <x v="1237"/>
    <x v="0"/>
    <x v="0"/>
    <x v="0"/>
    <x v="0"/>
  </r>
  <r>
    <x v="4"/>
    <x v="1959"/>
    <n v="1"/>
    <x v="34"/>
    <x v="0"/>
    <x v="1251"/>
    <x v="1268"/>
    <x v="1238"/>
    <x v="10"/>
    <x v="1"/>
    <x v="0"/>
    <x v="0"/>
  </r>
  <r>
    <x v="4"/>
    <x v="1960"/>
    <n v="1"/>
    <x v="34"/>
    <x v="0"/>
    <x v="1252"/>
    <x v="1269"/>
    <x v="1239"/>
    <x v="10"/>
    <x v="1"/>
    <x v="0"/>
    <x v="0"/>
  </r>
  <r>
    <x v="4"/>
    <x v="1961"/>
    <n v="1"/>
    <x v="34"/>
    <x v="0"/>
    <x v="1253"/>
    <x v="1270"/>
    <x v="1240"/>
    <x v="9"/>
    <x v="1"/>
    <x v="0"/>
    <x v="0"/>
  </r>
  <r>
    <x v="4"/>
    <x v="1962"/>
    <n v="1"/>
    <x v="34"/>
    <x v="0"/>
    <x v="1254"/>
    <x v="1271"/>
    <x v="1241"/>
    <x v="8"/>
    <x v="1"/>
    <x v="0"/>
    <x v="0"/>
  </r>
  <r>
    <x v="4"/>
    <x v="1963"/>
    <n v="1"/>
    <x v="34"/>
    <x v="0"/>
    <x v="178"/>
    <x v="179"/>
    <x v="178"/>
    <x v="8"/>
    <x v="2"/>
    <x v="3"/>
    <x v="12"/>
  </r>
  <r>
    <x v="4"/>
    <x v="1964"/>
    <n v="4"/>
    <x v="34"/>
    <x v="0"/>
    <x v="181"/>
    <x v="182"/>
    <x v="181"/>
    <x v="8"/>
    <x v="2"/>
    <x v="1"/>
    <x v="5"/>
  </r>
  <r>
    <x v="4"/>
    <x v="1965"/>
    <n v="2"/>
    <x v="34"/>
    <x v="0"/>
    <x v="180"/>
    <x v="181"/>
    <x v="180"/>
    <x v="8"/>
    <x v="2"/>
    <x v="1"/>
    <x v="6"/>
  </r>
  <r>
    <x v="4"/>
    <x v="1966"/>
    <n v="2"/>
    <x v="34"/>
    <x v="0"/>
    <x v="179"/>
    <x v="180"/>
    <x v="179"/>
    <x v="8"/>
    <x v="2"/>
    <x v="9"/>
    <x v="19"/>
  </r>
  <r>
    <x v="4"/>
    <x v="1967"/>
    <n v="1"/>
    <x v="34"/>
    <x v="0"/>
    <x v="1255"/>
    <x v="1272"/>
    <x v="1242"/>
    <x v="8"/>
    <x v="2"/>
    <x v="3"/>
    <x v="12"/>
  </r>
  <r>
    <x v="4"/>
    <x v="1968"/>
    <n v="2"/>
    <x v="34"/>
    <x v="0"/>
    <x v="130"/>
    <x v="131"/>
    <x v="130"/>
    <x v="7"/>
    <x v="2"/>
    <x v="1"/>
    <x v="7"/>
  </r>
  <r>
    <x v="4"/>
    <x v="1969"/>
    <n v="2"/>
    <x v="34"/>
    <x v="0"/>
    <x v="234"/>
    <x v="235"/>
    <x v="234"/>
    <x v="4"/>
    <x v="2"/>
    <x v="1"/>
    <x v="5"/>
  </r>
  <r>
    <x v="4"/>
    <x v="1970"/>
    <n v="1"/>
    <x v="35"/>
    <x v="0"/>
    <x v="1256"/>
    <x v="1273"/>
    <x v="1243"/>
    <x v="0"/>
    <x v="0"/>
    <x v="0"/>
    <x v="0"/>
  </r>
  <r>
    <x v="4"/>
    <x v="1971"/>
    <n v="1"/>
    <x v="35"/>
    <x v="0"/>
    <x v="1257"/>
    <x v="1274"/>
    <x v="1244"/>
    <x v="8"/>
    <x v="1"/>
    <x v="0"/>
    <x v="0"/>
  </r>
  <r>
    <x v="4"/>
    <x v="1972"/>
    <n v="1"/>
    <x v="35"/>
    <x v="0"/>
    <x v="1258"/>
    <x v="1275"/>
    <x v="1245"/>
    <x v="10"/>
    <x v="1"/>
    <x v="0"/>
    <x v="0"/>
  </r>
  <r>
    <x v="4"/>
    <x v="1973"/>
    <n v="1"/>
    <x v="35"/>
    <x v="0"/>
    <x v="1259"/>
    <x v="1276"/>
    <x v="1246"/>
    <x v="10"/>
    <x v="1"/>
    <x v="0"/>
    <x v="0"/>
  </r>
  <r>
    <x v="4"/>
    <x v="1974"/>
    <n v="1"/>
    <x v="35"/>
    <x v="0"/>
    <x v="1260"/>
    <x v="1277"/>
    <x v="1247"/>
    <x v="9"/>
    <x v="1"/>
    <x v="0"/>
    <x v="0"/>
  </r>
  <r>
    <x v="4"/>
    <x v="1975"/>
    <n v="1"/>
    <x v="35"/>
    <x v="0"/>
    <x v="1261"/>
    <x v="1278"/>
    <x v="1248"/>
    <x v="1"/>
    <x v="1"/>
    <x v="0"/>
    <x v="0"/>
  </r>
  <r>
    <x v="4"/>
    <x v="1976"/>
    <n v="1"/>
    <x v="35"/>
    <x v="131"/>
    <x v="1041"/>
    <x v="1055"/>
    <x v="1032"/>
    <x v="0"/>
    <x v="3"/>
    <x v="0"/>
    <x v="0"/>
  </r>
  <r>
    <x v="4"/>
    <x v="1977"/>
    <n v="1"/>
    <x v="35"/>
    <x v="131"/>
    <x v="380"/>
    <x v="386"/>
    <x v="379"/>
    <x v="8"/>
    <x v="2"/>
    <x v="3"/>
    <x v="12"/>
  </r>
  <r>
    <x v="4"/>
    <x v="1978"/>
    <n v="1"/>
    <x v="35"/>
    <x v="131"/>
    <x v="378"/>
    <x v="384"/>
    <x v="377"/>
    <x v="11"/>
    <x v="3"/>
    <x v="0"/>
    <x v="0"/>
  </r>
  <r>
    <x v="4"/>
    <x v="1979"/>
    <n v="1"/>
    <x v="35"/>
    <x v="0"/>
    <x v="513"/>
    <x v="523"/>
    <x v="511"/>
    <x v="7"/>
    <x v="2"/>
    <x v="1"/>
    <x v="12"/>
  </r>
  <r>
    <x v="4"/>
    <x v="1980"/>
    <n v="1"/>
    <x v="35"/>
    <x v="0"/>
    <x v="1042"/>
    <x v="1056"/>
    <x v="1033"/>
    <x v="16"/>
    <x v="2"/>
    <x v="9"/>
    <x v="12"/>
  </r>
  <r>
    <x v="4"/>
    <x v="1981"/>
    <n v="1"/>
    <x v="35"/>
    <x v="0"/>
    <x v="382"/>
    <x v="388"/>
    <x v="381"/>
    <x v="7"/>
    <x v="2"/>
    <x v="3"/>
    <x v="5"/>
  </r>
  <r>
    <x v="4"/>
    <x v="1982"/>
    <n v="2"/>
    <x v="35"/>
    <x v="0"/>
    <x v="130"/>
    <x v="131"/>
    <x v="130"/>
    <x v="7"/>
    <x v="2"/>
    <x v="1"/>
    <x v="7"/>
  </r>
  <r>
    <x v="4"/>
    <x v="1983"/>
    <n v="2"/>
    <x v="35"/>
    <x v="0"/>
    <x v="234"/>
    <x v="235"/>
    <x v="234"/>
    <x v="4"/>
    <x v="2"/>
    <x v="1"/>
    <x v="5"/>
  </r>
  <r>
    <x v="4"/>
    <x v="1984"/>
    <n v="1"/>
    <x v="35"/>
    <x v="0"/>
    <x v="1262"/>
    <x v="1279"/>
    <x v="1249"/>
    <x v="8"/>
    <x v="2"/>
    <x v="3"/>
    <x v="12"/>
  </r>
  <r>
    <x v="4"/>
    <x v="1985"/>
    <n v="1"/>
    <x v="35"/>
    <x v="0"/>
    <x v="1176"/>
    <x v="1192"/>
    <x v="1168"/>
    <x v="6"/>
    <x v="2"/>
    <x v="3"/>
    <x v="5"/>
  </r>
  <r>
    <x v="4"/>
    <x v="1986"/>
    <n v="4"/>
    <x v="35"/>
    <x v="0"/>
    <x v="327"/>
    <x v="331"/>
    <x v="326"/>
    <x v="4"/>
    <x v="2"/>
    <x v="1"/>
    <x v="22"/>
  </r>
  <r>
    <x v="4"/>
    <x v="1987"/>
    <n v="1"/>
    <x v="35"/>
    <x v="157"/>
    <x v="1263"/>
    <x v="1280"/>
    <x v="1250"/>
    <x v="0"/>
    <x v="3"/>
    <x v="0"/>
    <x v="0"/>
  </r>
  <r>
    <x v="4"/>
    <x v="1988"/>
    <n v="1"/>
    <x v="35"/>
    <x v="157"/>
    <x v="1264"/>
    <x v="1281"/>
    <x v="1250"/>
    <x v="12"/>
    <x v="3"/>
    <x v="0"/>
    <x v="0"/>
  </r>
  <r>
    <x v="4"/>
    <x v="1989"/>
    <n v="1"/>
    <x v="35"/>
    <x v="157"/>
    <x v="388"/>
    <x v="394"/>
    <x v="387"/>
    <x v="7"/>
    <x v="2"/>
    <x v="1"/>
    <x v="11"/>
  </r>
  <r>
    <x v="4"/>
    <x v="1990"/>
    <n v="3"/>
    <x v="35"/>
    <x v="0"/>
    <x v="1265"/>
    <x v="1282"/>
    <x v="1251"/>
    <x v="11"/>
    <x v="2"/>
    <x v="1"/>
    <x v="9"/>
  </r>
  <r>
    <x v="4"/>
    <x v="1991"/>
    <n v="1"/>
    <x v="35"/>
    <x v="0"/>
    <x v="231"/>
    <x v="232"/>
    <x v="231"/>
    <x v="4"/>
    <x v="2"/>
    <x v="1"/>
    <x v="5"/>
  </r>
  <r>
    <x v="4"/>
    <x v="1992"/>
    <n v="4"/>
    <x v="35"/>
    <x v="0"/>
    <x v="148"/>
    <x v="149"/>
    <x v="148"/>
    <x v="11"/>
    <x v="2"/>
    <x v="1"/>
    <x v="9"/>
  </r>
  <r>
    <x v="4"/>
    <x v="1993"/>
    <n v="1"/>
    <x v="35"/>
    <x v="0"/>
    <x v="1266"/>
    <x v="1283"/>
    <x v="1252"/>
    <x v="10"/>
    <x v="1"/>
    <x v="0"/>
    <x v="0"/>
  </r>
  <r>
    <x v="4"/>
    <x v="1994"/>
    <n v="3"/>
    <x v="35"/>
    <x v="0"/>
    <x v="1080"/>
    <x v="1095"/>
    <x v="1072"/>
    <x v="4"/>
    <x v="2"/>
    <x v="1"/>
    <x v="7"/>
  </r>
  <r>
    <x v="4"/>
    <x v="1995"/>
    <n v="8"/>
    <x v="35"/>
    <x v="0"/>
    <x v="116"/>
    <x v="117"/>
    <x v="116"/>
    <x v="6"/>
    <x v="2"/>
    <x v="1"/>
    <x v="7"/>
  </r>
  <r>
    <x v="4"/>
    <x v="1996"/>
    <n v="1"/>
    <x v="35"/>
    <x v="15"/>
    <x v="157"/>
    <x v="158"/>
    <x v="157"/>
    <x v="8"/>
    <x v="4"/>
    <x v="7"/>
    <x v="18"/>
  </r>
  <r>
    <x v="4"/>
    <x v="1997"/>
    <n v="1"/>
    <x v="35"/>
    <x v="15"/>
    <x v="158"/>
    <x v="159"/>
    <x v="158"/>
    <x v="8"/>
    <x v="5"/>
    <x v="7"/>
    <x v="18"/>
  </r>
  <r>
    <x v="4"/>
    <x v="1998"/>
    <n v="1"/>
    <x v="35"/>
    <x v="15"/>
    <x v="153"/>
    <x v="154"/>
    <x v="153"/>
    <x v="8"/>
    <x v="2"/>
    <x v="5"/>
    <x v="16"/>
  </r>
  <r>
    <x v="4"/>
    <x v="1999"/>
    <n v="1"/>
    <x v="36"/>
    <x v="0"/>
    <x v="1267"/>
    <x v="1284"/>
    <x v="1253"/>
    <x v="0"/>
    <x v="0"/>
    <x v="0"/>
    <x v="0"/>
  </r>
  <r>
    <x v="4"/>
    <x v="2000"/>
    <n v="1"/>
    <x v="36"/>
    <x v="0"/>
    <x v="1268"/>
    <x v="1285"/>
    <x v="1254"/>
    <x v="13"/>
    <x v="1"/>
    <x v="0"/>
    <x v="0"/>
  </r>
  <r>
    <x v="4"/>
    <x v="2001"/>
    <n v="1"/>
    <x v="36"/>
    <x v="0"/>
    <x v="1269"/>
    <x v="1286"/>
    <x v="1255"/>
    <x v="10"/>
    <x v="1"/>
    <x v="0"/>
    <x v="0"/>
  </r>
  <r>
    <x v="4"/>
    <x v="2002"/>
    <n v="1"/>
    <x v="36"/>
    <x v="0"/>
    <x v="1270"/>
    <x v="1287"/>
    <x v="1256"/>
    <x v="10"/>
    <x v="1"/>
    <x v="0"/>
    <x v="0"/>
  </r>
  <r>
    <x v="4"/>
    <x v="2003"/>
    <n v="1"/>
    <x v="36"/>
    <x v="0"/>
    <x v="1271"/>
    <x v="1288"/>
    <x v="1257"/>
    <x v="9"/>
    <x v="1"/>
    <x v="0"/>
    <x v="0"/>
  </r>
  <r>
    <x v="4"/>
    <x v="2004"/>
    <n v="2"/>
    <x v="36"/>
    <x v="0"/>
    <x v="130"/>
    <x v="131"/>
    <x v="130"/>
    <x v="7"/>
    <x v="2"/>
    <x v="1"/>
    <x v="7"/>
  </r>
  <r>
    <x v="4"/>
    <x v="2005"/>
    <n v="2"/>
    <x v="36"/>
    <x v="0"/>
    <x v="234"/>
    <x v="235"/>
    <x v="234"/>
    <x v="4"/>
    <x v="2"/>
    <x v="1"/>
    <x v="5"/>
  </r>
  <r>
    <x v="4"/>
    <x v="2006"/>
    <n v="2"/>
    <x v="36"/>
    <x v="0"/>
    <x v="181"/>
    <x v="182"/>
    <x v="181"/>
    <x v="8"/>
    <x v="2"/>
    <x v="1"/>
    <x v="5"/>
  </r>
  <r>
    <x v="4"/>
    <x v="2007"/>
    <n v="1"/>
    <x v="36"/>
    <x v="0"/>
    <x v="1272"/>
    <x v="1289"/>
    <x v="1258"/>
    <x v="8"/>
    <x v="2"/>
    <x v="2"/>
    <x v="15"/>
  </r>
  <r>
    <x v="4"/>
    <x v="2008"/>
    <n v="1"/>
    <x v="36"/>
    <x v="0"/>
    <x v="1273"/>
    <x v="1290"/>
    <x v="1259"/>
    <x v="8"/>
    <x v="2"/>
    <x v="2"/>
    <x v="8"/>
  </r>
  <r>
    <x v="4"/>
    <x v="2009"/>
    <n v="1"/>
    <x v="36"/>
    <x v="0"/>
    <x v="1274"/>
    <x v="1291"/>
    <x v="1260"/>
    <x v="8"/>
    <x v="2"/>
    <x v="2"/>
    <x v="15"/>
  </r>
  <r>
    <x v="4"/>
    <x v="2010"/>
    <n v="1"/>
    <x v="36"/>
    <x v="143"/>
    <x v="1158"/>
    <x v="1174"/>
    <x v="1150"/>
    <x v="0"/>
    <x v="3"/>
    <x v="0"/>
    <x v="0"/>
  </r>
  <r>
    <x v="4"/>
    <x v="2011"/>
    <n v="1"/>
    <x v="36"/>
    <x v="143"/>
    <x v="1159"/>
    <x v="1175"/>
    <x v="1151"/>
    <x v="4"/>
    <x v="2"/>
    <x v="2"/>
    <x v="34"/>
  </r>
  <r>
    <x v="4"/>
    <x v="2012"/>
    <n v="1"/>
    <x v="36"/>
    <x v="143"/>
    <x v="1160"/>
    <x v="1176"/>
    <x v="1152"/>
    <x v="7"/>
    <x v="2"/>
    <x v="1"/>
    <x v="29"/>
  </r>
  <r>
    <x v="4"/>
    <x v="2013"/>
    <n v="1"/>
    <x v="36"/>
    <x v="143"/>
    <x v="1161"/>
    <x v="1177"/>
    <x v="1153"/>
    <x v="4"/>
    <x v="2"/>
    <x v="1"/>
    <x v="6"/>
  </r>
  <r>
    <x v="4"/>
    <x v="2014"/>
    <n v="1"/>
    <x v="36"/>
    <x v="143"/>
    <x v="1162"/>
    <x v="1178"/>
    <x v="1154"/>
    <x v="4"/>
    <x v="3"/>
    <x v="0"/>
    <x v="0"/>
  </r>
  <r>
    <x v="4"/>
    <x v="2015"/>
    <n v="1"/>
    <x v="36"/>
    <x v="143"/>
    <x v="1163"/>
    <x v="1179"/>
    <x v="1155"/>
    <x v="4"/>
    <x v="2"/>
    <x v="1"/>
    <x v="9"/>
  </r>
  <r>
    <x v="4"/>
    <x v="2016"/>
    <n v="1"/>
    <x v="36"/>
    <x v="143"/>
    <x v="1164"/>
    <x v="1180"/>
    <x v="1156"/>
    <x v="0"/>
    <x v="2"/>
    <x v="3"/>
    <x v="12"/>
  </r>
  <r>
    <x v="4"/>
    <x v="2017"/>
    <n v="1"/>
    <x v="36"/>
    <x v="158"/>
    <x v="1275"/>
    <x v="1292"/>
    <x v="1261"/>
    <x v="0"/>
    <x v="3"/>
    <x v="0"/>
    <x v="0"/>
  </r>
  <r>
    <x v="4"/>
    <x v="2018"/>
    <n v="2"/>
    <x v="36"/>
    <x v="158"/>
    <x v="1159"/>
    <x v="1175"/>
    <x v="1151"/>
    <x v="4"/>
    <x v="2"/>
    <x v="2"/>
    <x v="34"/>
  </r>
  <r>
    <x v="4"/>
    <x v="2019"/>
    <n v="2"/>
    <x v="36"/>
    <x v="158"/>
    <x v="1160"/>
    <x v="1176"/>
    <x v="1152"/>
    <x v="7"/>
    <x v="2"/>
    <x v="1"/>
    <x v="29"/>
  </r>
  <r>
    <x v="4"/>
    <x v="2020"/>
    <n v="2"/>
    <x v="36"/>
    <x v="158"/>
    <x v="1161"/>
    <x v="1177"/>
    <x v="1153"/>
    <x v="4"/>
    <x v="2"/>
    <x v="1"/>
    <x v="6"/>
  </r>
  <r>
    <x v="4"/>
    <x v="2021"/>
    <n v="1"/>
    <x v="36"/>
    <x v="158"/>
    <x v="1162"/>
    <x v="1178"/>
    <x v="1154"/>
    <x v="4"/>
    <x v="3"/>
    <x v="0"/>
    <x v="0"/>
  </r>
  <r>
    <x v="4"/>
    <x v="2022"/>
    <n v="1"/>
    <x v="36"/>
    <x v="158"/>
    <x v="1163"/>
    <x v="1179"/>
    <x v="1155"/>
    <x v="4"/>
    <x v="2"/>
    <x v="1"/>
    <x v="9"/>
  </r>
  <r>
    <x v="4"/>
    <x v="2023"/>
    <n v="1"/>
    <x v="36"/>
    <x v="158"/>
    <x v="1276"/>
    <x v="1293"/>
    <x v="1262"/>
    <x v="0"/>
    <x v="2"/>
    <x v="3"/>
    <x v="12"/>
  </r>
  <r>
    <x v="4"/>
    <x v="2024"/>
    <n v="1"/>
    <x v="36"/>
    <x v="0"/>
    <x v="378"/>
    <x v="384"/>
    <x v="377"/>
    <x v="11"/>
    <x v="3"/>
    <x v="0"/>
    <x v="0"/>
  </r>
  <r>
    <x v="4"/>
    <x v="1471"/>
    <n v="1"/>
    <x v="37"/>
    <x v="0"/>
    <x v="1277"/>
    <x v="1294"/>
    <x v="1263"/>
    <x v="0"/>
    <x v="0"/>
    <x v="0"/>
    <x v="0"/>
  </r>
  <r>
    <x v="4"/>
    <x v="2025"/>
    <n v="1"/>
    <x v="37"/>
    <x v="0"/>
    <x v="1278"/>
    <x v="1295"/>
    <x v="1264"/>
    <x v="10"/>
    <x v="1"/>
    <x v="0"/>
    <x v="0"/>
  </r>
  <r>
    <x v="4"/>
    <x v="2026"/>
    <n v="1"/>
    <x v="37"/>
    <x v="0"/>
    <x v="1279"/>
    <x v="1296"/>
    <x v="1265"/>
    <x v="10"/>
    <x v="1"/>
    <x v="0"/>
    <x v="0"/>
  </r>
  <r>
    <x v="4"/>
    <x v="2027"/>
    <n v="1"/>
    <x v="37"/>
    <x v="0"/>
    <x v="1280"/>
    <x v="1297"/>
    <x v="1266"/>
    <x v="9"/>
    <x v="1"/>
    <x v="0"/>
    <x v="0"/>
  </r>
  <r>
    <x v="4"/>
    <x v="2028"/>
    <n v="1"/>
    <x v="37"/>
    <x v="0"/>
    <x v="1281"/>
    <x v="1298"/>
    <x v="1267"/>
    <x v="11"/>
    <x v="1"/>
    <x v="0"/>
    <x v="0"/>
  </r>
  <r>
    <x v="4"/>
    <x v="2029"/>
    <n v="1"/>
    <x v="37"/>
    <x v="0"/>
    <x v="1282"/>
    <x v="1299"/>
    <x v="1268"/>
    <x v="1"/>
    <x v="1"/>
    <x v="0"/>
    <x v="0"/>
  </r>
  <r>
    <x v="4"/>
    <x v="2030"/>
    <n v="1"/>
    <x v="37"/>
    <x v="0"/>
    <x v="1283"/>
    <x v="1300"/>
    <x v="1269"/>
    <x v="1"/>
    <x v="1"/>
    <x v="0"/>
    <x v="0"/>
  </r>
  <r>
    <x v="4"/>
    <x v="2031"/>
    <n v="1"/>
    <x v="37"/>
    <x v="0"/>
    <x v="1284"/>
    <x v="1301"/>
    <x v="1270"/>
    <x v="8"/>
    <x v="2"/>
    <x v="3"/>
    <x v="12"/>
  </r>
  <r>
    <x v="4"/>
    <x v="2032"/>
    <n v="2"/>
    <x v="37"/>
    <x v="0"/>
    <x v="180"/>
    <x v="181"/>
    <x v="180"/>
    <x v="8"/>
    <x v="2"/>
    <x v="1"/>
    <x v="6"/>
  </r>
  <r>
    <x v="4"/>
    <x v="2033"/>
    <n v="5"/>
    <x v="37"/>
    <x v="0"/>
    <x v="181"/>
    <x v="182"/>
    <x v="181"/>
    <x v="8"/>
    <x v="2"/>
    <x v="1"/>
    <x v="5"/>
  </r>
  <r>
    <x v="4"/>
    <x v="2034"/>
    <n v="1"/>
    <x v="37"/>
    <x v="0"/>
    <x v="182"/>
    <x v="183"/>
    <x v="182"/>
    <x v="8"/>
    <x v="2"/>
    <x v="3"/>
    <x v="12"/>
  </r>
  <r>
    <x v="4"/>
    <x v="2035"/>
    <n v="1"/>
    <x v="37"/>
    <x v="0"/>
    <x v="179"/>
    <x v="180"/>
    <x v="179"/>
    <x v="8"/>
    <x v="2"/>
    <x v="9"/>
    <x v="19"/>
  </r>
  <r>
    <x v="4"/>
    <x v="2036"/>
    <n v="1"/>
    <x v="37"/>
    <x v="131"/>
    <x v="1041"/>
    <x v="1055"/>
    <x v="1032"/>
    <x v="0"/>
    <x v="3"/>
    <x v="0"/>
    <x v="0"/>
  </r>
  <r>
    <x v="4"/>
    <x v="2037"/>
    <n v="1"/>
    <x v="37"/>
    <x v="131"/>
    <x v="380"/>
    <x v="386"/>
    <x v="379"/>
    <x v="8"/>
    <x v="2"/>
    <x v="3"/>
    <x v="12"/>
  </r>
  <r>
    <x v="4"/>
    <x v="2038"/>
    <n v="1"/>
    <x v="37"/>
    <x v="131"/>
    <x v="378"/>
    <x v="384"/>
    <x v="377"/>
    <x v="11"/>
    <x v="3"/>
    <x v="0"/>
    <x v="0"/>
  </r>
  <r>
    <x v="4"/>
    <x v="2039"/>
    <n v="1"/>
    <x v="37"/>
    <x v="0"/>
    <x v="1042"/>
    <x v="1056"/>
    <x v="1033"/>
    <x v="16"/>
    <x v="2"/>
    <x v="9"/>
    <x v="12"/>
  </r>
  <r>
    <x v="4"/>
    <x v="2040"/>
    <n v="1"/>
    <x v="37"/>
    <x v="0"/>
    <x v="513"/>
    <x v="523"/>
    <x v="511"/>
    <x v="7"/>
    <x v="2"/>
    <x v="1"/>
    <x v="12"/>
  </r>
  <r>
    <x v="4"/>
    <x v="2041"/>
    <n v="1"/>
    <x v="37"/>
    <x v="0"/>
    <x v="382"/>
    <x v="388"/>
    <x v="381"/>
    <x v="7"/>
    <x v="2"/>
    <x v="3"/>
    <x v="5"/>
  </r>
  <r>
    <x v="4"/>
    <x v="2042"/>
    <n v="1"/>
    <x v="37"/>
    <x v="0"/>
    <x v="1285"/>
    <x v="1302"/>
    <x v="1271"/>
    <x v="4"/>
    <x v="2"/>
    <x v="1"/>
    <x v="3"/>
  </r>
  <r>
    <x v="4"/>
    <x v="2043"/>
    <n v="5"/>
    <x v="37"/>
    <x v="0"/>
    <x v="130"/>
    <x v="131"/>
    <x v="130"/>
    <x v="7"/>
    <x v="2"/>
    <x v="1"/>
    <x v="7"/>
  </r>
  <r>
    <x v="4"/>
    <x v="2044"/>
    <n v="3"/>
    <x v="37"/>
    <x v="0"/>
    <x v="234"/>
    <x v="235"/>
    <x v="234"/>
    <x v="4"/>
    <x v="2"/>
    <x v="1"/>
    <x v="5"/>
  </r>
  <r>
    <x v="4"/>
    <x v="2045"/>
    <n v="4"/>
    <x v="37"/>
    <x v="0"/>
    <x v="147"/>
    <x v="148"/>
    <x v="147"/>
    <x v="4"/>
    <x v="2"/>
    <x v="1"/>
    <x v="3"/>
  </r>
  <r>
    <x v="4"/>
    <x v="2046"/>
    <n v="2"/>
    <x v="37"/>
    <x v="143"/>
    <x v="1158"/>
    <x v="1174"/>
    <x v="1150"/>
    <x v="0"/>
    <x v="3"/>
    <x v="0"/>
    <x v="0"/>
  </r>
  <r>
    <x v="4"/>
    <x v="2047"/>
    <n v="1"/>
    <x v="37"/>
    <x v="143"/>
    <x v="1159"/>
    <x v="1175"/>
    <x v="1151"/>
    <x v="4"/>
    <x v="2"/>
    <x v="2"/>
    <x v="34"/>
  </r>
  <r>
    <x v="4"/>
    <x v="2048"/>
    <n v="1"/>
    <x v="37"/>
    <x v="143"/>
    <x v="1160"/>
    <x v="1176"/>
    <x v="1152"/>
    <x v="7"/>
    <x v="2"/>
    <x v="1"/>
    <x v="29"/>
  </r>
  <r>
    <x v="4"/>
    <x v="2049"/>
    <n v="1"/>
    <x v="37"/>
    <x v="143"/>
    <x v="1161"/>
    <x v="1177"/>
    <x v="1153"/>
    <x v="4"/>
    <x v="2"/>
    <x v="1"/>
    <x v="6"/>
  </r>
  <r>
    <x v="4"/>
    <x v="2050"/>
    <n v="1"/>
    <x v="37"/>
    <x v="143"/>
    <x v="1162"/>
    <x v="1178"/>
    <x v="1154"/>
    <x v="4"/>
    <x v="3"/>
    <x v="0"/>
    <x v="0"/>
  </r>
  <r>
    <x v="4"/>
    <x v="2051"/>
    <n v="1"/>
    <x v="37"/>
    <x v="143"/>
    <x v="1163"/>
    <x v="1179"/>
    <x v="1155"/>
    <x v="4"/>
    <x v="2"/>
    <x v="1"/>
    <x v="9"/>
  </r>
  <r>
    <x v="4"/>
    <x v="2052"/>
    <n v="1"/>
    <x v="37"/>
    <x v="143"/>
    <x v="1164"/>
    <x v="1180"/>
    <x v="1156"/>
    <x v="0"/>
    <x v="2"/>
    <x v="3"/>
    <x v="12"/>
  </r>
  <r>
    <x v="4"/>
    <x v="2053"/>
    <n v="1"/>
    <x v="37"/>
    <x v="159"/>
    <x v="1286"/>
    <x v="1303"/>
    <x v="1272"/>
    <x v="0"/>
    <x v="0"/>
    <x v="0"/>
    <x v="0"/>
  </r>
  <r>
    <x v="4"/>
    <x v="2054"/>
    <n v="1"/>
    <x v="37"/>
    <x v="160"/>
    <x v="1287"/>
    <x v="1304"/>
    <x v="1273"/>
    <x v="0"/>
    <x v="0"/>
    <x v="0"/>
    <x v="0"/>
  </r>
  <r>
    <x v="4"/>
    <x v="2055"/>
    <n v="1"/>
    <x v="37"/>
    <x v="160"/>
    <x v="1288"/>
    <x v="1305"/>
    <x v="1274"/>
    <x v="1"/>
    <x v="1"/>
    <x v="0"/>
    <x v="0"/>
  </r>
  <r>
    <x v="4"/>
    <x v="2056"/>
    <n v="8"/>
    <x v="37"/>
    <x v="160"/>
    <x v="67"/>
    <x v="67"/>
    <x v="67"/>
    <x v="6"/>
    <x v="2"/>
    <x v="1"/>
    <x v="4"/>
  </r>
  <r>
    <x v="4"/>
    <x v="2057"/>
    <n v="1"/>
    <x v="37"/>
    <x v="160"/>
    <x v="1216"/>
    <x v="1233"/>
    <x v="1203"/>
    <x v="14"/>
    <x v="2"/>
    <x v="11"/>
    <x v="30"/>
  </r>
  <r>
    <x v="4"/>
    <x v="2058"/>
    <n v="1"/>
    <x v="37"/>
    <x v="161"/>
    <x v="1289"/>
    <x v="1306"/>
    <x v="1275"/>
    <x v="0"/>
    <x v="0"/>
    <x v="0"/>
    <x v="0"/>
  </r>
  <r>
    <x v="4"/>
    <x v="2059"/>
    <n v="1"/>
    <x v="37"/>
    <x v="161"/>
    <x v="1290"/>
    <x v="1307"/>
    <x v="1276"/>
    <x v="1"/>
    <x v="1"/>
    <x v="0"/>
    <x v="0"/>
  </r>
  <r>
    <x v="4"/>
    <x v="2060"/>
    <n v="1"/>
    <x v="37"/>
    <x v="161"/>
    <x v="1216"/>
    <x v="1233"/>
    <x v="1203"/>
    <x v="14"/>
    <x v="2"/>
    <x v="11"/>
    <x v="30"/>
  </r>
  <r>
    <x v="4"/>
    <x v="2061"/>
    <n v="1"/>
    <x v="37"/>
    <x v="161"/>
    <x v="1219"/>
    <x v="1236"/>
    <x v="1206"/>
    <x v="20"/>
    <x v="2"/>
    <x v="11"/>
    <x v="30"/>
  </r>
  <r>
    <x v="4"/>
    <x v="2062"/>
    <n v="1"/>
    <x v="37"/>
    <x v="159"/>
    <x v="1291"/>
    <x v="1308"/>
    <x v="1277"/>
    <x v="11"/>
    <x v="1"/>
    <x v="0"/>
    <x v="0"/>
  </r>
  <r>
    <x v="4"/>
    <x v="2063"/>
    <n v="1"/>
    <x v="37"/>
    <x v="159"/>
    <x v="1292"/>
    <x v="1309"/>
    <x v="1211"/>
    <x v="11"/>
    <x v="1"/>
    <x v="0"/>
    <x v="0"/>
  </r>
  <r>
    <x v="4"/>
    <x v="2064"/>
    <n v="2"/>
    <x v="37"/>
    <x v="159"/>
    <x v="1227"/>
    <x v="1244"/>
    <x v="1214"/>
    <x v="4"/>
    <x v="2"/>
    <x v="2"/>
    <x v="39"/>
  </r>
  <r>
    <x v="4"/>
    <x v="2065"/>
    <n v="1"/>
    <x v="37"/>
    <x v="159"/>
    <x v="1293"/>
    <x v="1310"/>
    <x v="1278"/>
    <x v="8"/>
    <x v="2"/>
    <x v="3"/>
    <x v="12"/>
  </r>
  <r>
    <x v="4"/>
    <x v="2066"/>
    <n v="1"/>
    <x v="37"/>
    <x v="159"/>
    <x v="1294"/>
    <x v="1311"/>
    <x v="1279"/>
    <x v="6"/>
    <x v="2"/>
    <x v="3"/>
    <x v="5"/>
  </r>
  <r>
    <x v="4"/>
    <x v="2067"/>
    <n v="2"/>
    <x v="37"/>
    <x v="159"/>
    <x v="147"/>
    <x v="148"/>
    <x v="147"/>
    <x v="4"/>
    <x v="2"/>
    <x v="1"/>
    <x v="3"/>
  </r>
  <r>
    <x v="4"/>
    <x v="2068"/>
    <n v="2"/>
    <x v="37"/>
    <x v="159"/>
    <x v="966"/>
    <x v="980"/>
    <x v="957"/>
    <x v="4"/>
    <x v="2"/>
    <x v="1"/>
    <x v="3"/>
  </r>
  <r>
    <x v="4"/>
    <x v="2069"/>
    <n v="1"/>
    <x v="37"/>
    <x v="159"/>
    <x v="1230"/>
    <x v="1247"/>
    <x v="1217"/>
    <x v="4"/>
    <x v="2"/>
    <x v="9"/>
    <x v="21"/>
  </r>
  <r>
    <x v="4"/>
    <x v="2070"/>
    <n v="1"/>
    <x v="37"/>
    <x v="159"/>
    <x v="1228"/>
    <x v="1245"/>
    <x v="1215"/>
    <x v="4"/>
    <x v="2"/>
    <x v="14"/>
    <x v="36"/>
  </r>
  <r>
    <x v="4"/>
    <x v="2071"/>
    <n v="1"/>
    <x v="37"/>
    <x v="159"/>
    <x v="1232"/>
    <x v="1249"/>
    <x v="1219"/>
    <x v="7"/>
    <x v="2"/>
    <x v="1"/>
    <x v="11"/>
  </r>
  <r>
    <x v="4"/>
    <x v="2072"/>
    <n v="1"/>
    <x v="37"/>
    <x v="159"/>
    <x v="1295"/>
    <x v="1312"/>
    <x v="1280"/>
    <x v="4"/>
    <x v="1"/>
    <x v="0"/>
    <x v="0"/>
  </r>
  <r>
    <x v="4"/>
    <x v="2073"/>
    <n v="1"/>
    <x v="37"/>
    <x v="162"/>
    <x v="1296"/>
    <x v="1313"/>
    <x v="1281"/>
    <x v="0"/>
    <x v="0"/>
    <x v="0"/>
    <x v="0"/>
  </r>
  <r>
    <x v="4"/>
    <x v="2074"/>
    <n v="1"/>
    <x v="37"/>
    <x v="162"/>
    <x v="1297"/>
    <x v="1314"/>
    <x v="1282"/>
    <x v="1"/>
    <x v="1"/>
    <x v="0"/>
    <x v="0"/>
  </r>
  <r>
    <x v="4"/>
    <x v="2075"/>
    <n v="4"/>
    <x v="37"/>
    <x v="162"/>
    <x v="68"/>
    <x v="68"/>
    <x v="68"/>
    <x v="6"/>
    <x v="2"/>
    <x v="1"/>
    <x v="4"/>
  </r>
  <r>
    <x v="4"/>
    <x v="2076"/>
    <n v="1"/>
    <x v="37"/>
    <x v="159"/>
    <x v="1032"/>
    <x v="1046"/>
    <x v="1023"/>
    <x v="8"/>
    <x v="2"/>
    <x v="3"/>
    <x v="12"/>
  </r>
  <r>
    <x v="4"/>
    <x v="2077"/>
    <n v="2"/>
    <x v="37"/>
    <x v="159"/>
    <x v="672"/>
    <x v="683"/>
    <x v="661"/>
    <x v="7"/>
    <x v="2"/>
    <x v="1"/>
    <x v="6"/>
  </r>
  <r>
    <x v="4"/>
    <x v="2078"/>
    <n v="4"/>
    <x v="37"/>
    <x v="159"/>
    <x v="111"/>
    <x v="112"/>
    <x v="111"/>
    <x v="7"/>
    <x v="2"/>
    <x v="1"/>
    <x v="6"/>
  </r>
  <r>
    <x v="4"/>
    <x v="2079"/>
    <n v="2"/>
    <x v="37"/>
    <x v="159"/>
    <x v="1231"/>
    <x v="1248"/>
    <x v="1218"/>
    <x v="7"/>
    <x v="2"/>
    <x v="1"/>
    <x v="5"/>
  </r>
  <r>
    <x v="4"/>
    <x v="2080"/>
    <n v="2"/>
    <x v="37"/>
    <x v="159"/>
    <x v="1090"/>
    <x v="1105"/>
    <x v="1082"/>
    <x v="7"/>
    <x v="2"/>
    <x v="1"/>
    <x v="7"/>
  </r>
  <r>
    <x v="4"/>
    <x v="2081"/>
    <n v="4"/>
    <x v="37"/>
    <x v="159"/>
    <x v="1225"/>
    <x v="1242"/>
    <x v="1212"/>
    <x v="7"/>
    <x v="2"/>
    <x v="1"/>
    <x v="3"/>
  </r>
  <r>
    <x v="4"/>
    <x v="2082"/>
    <n v="1"/>
    <x v="37"/>
    <x v="159"/>
    <x v="1298"/>
    <x v="1315"/>
    <x v="1216"/>
    <x v="1"/>
    <x v="1"/>
    <x v="0"/>
    <x v="0"/>
  </r>
  <r>
    <x v="4"/>
    <x v="2083"/>
    <n v="2"/>
    <x v="37"/>
    <x v="0"/>
    <x v="146"/>
    <x v="147"/>
    <x v="146"/>
    <x v="11"/>
    <x v="2"/>
    <x v="1"/>
    <x v="9"/>
  </r>
  <r>
    <x v="4"/>
    <x v="2084"/>
    <n v="4"/>
    <x v="37"/>
    <x v="0"/>
    <x v="1180"/>
    <x v="1196"/>
    <x v="1170"/>
    <x v="11"/>
    <x v="2"/>
    <x v="1"/>
    <x v="9"/>
  </r>
  <r>
    <x v="4"/>
    <x v="2085"/>
    <n v="2"/>
    <x v="37"/>
    <x v="0"/>
    <x v="385"/>
    <x v="391"/>
    <x v="384"/>
    <x v="4"/>
    <x v="2"/>
    <x v="1"/>
    <x v="7"/>
  </r>
  <r>
    <x v="4"/>
    <x v="2086"/>
    <n v="1"/>
    <x v="37"/>
    <x v="0"/>
    <x v="1265"/>
    <x v="1282"/>
    <x v="1251"/>
    <x v="11"/>
    <x v="2"/>
    <x v="1"/>
    <x v="9"/>
  </r>
  <r>
    <x v="4"/>
    <x v="2087"/>
    <n v="1"/>
    <x v="37"/>
    <x v="0"/>
    <x v="1299"/>
    <x v="1316"/>
    <x v="1283"/>
    <x v="11"/>
    <x v="2"/>
    <x v="1"/>
    <x v="9"/>
  </r>
  <r>
    <x v="4"/>
    <x v="2088"/>
    <n v="1"/>
    <x v="37"/>
    <x v="0"/>
    <x v="1080"/>
    <x v="1095"/>
    <x v="1072"/>
    <x v="4"/>
    <x v="2"/>
    <x v="1"/>
    <x v="7"/>
  </r>
  <r>
    <x v="4"/>
    <x v="2089"/>
    <n v="1"/>
    <x v="37"/>
    <x v="0"/>
    <x v="1300"/>
    <x v="1317"/>
    <x v="1284"/>
    <x v="4"/>
    <x v="2"/>
    <x v="1"/>
    <x v="22"/>
  </r>
  <r>
    <x v="4"/>
    <x v="2090"/>
    <n v="1"/>
    <x v="37"/>
    <x v="163"/>
    <x v="1301"/>
    <x v="1318"/>
    <x v="1285"/>
    <x v="0"/>
    <x v="0"/>
    <x v="0"/>
    <x v="0"/>
  </r>
  <r>
    <x v="4"/>
    <x v="2091"/>
    <n v="1"/>
    <x v="37"/>
    <x v="163"/>
    <x v="1165"/>
    <x v="1181"/>
    <x v="1157"/>
    <x v="8"/>
    <x v="5"/>
    <x v="7"/>
    <x v="18"/>
  </r>
  <r>
    <x v="4"/>
    <x v="2092"/>
    <n v="1"/>
    <x v="37"/>
    <x v="163"/>
    <x v="1302"/>
    <x v="1319"/>
    <x v="1286"/>
    <x v="10"/>
    <x v="1"/>
    <x v="0"/>
    <x v="0"/>
  </r>
  <r>
    <x v="4"/>
    <x v="2093"/>
    <n v="4"/>
    <x v="37"/>
    <x v="163"/>
    <x v="1166"/>
    <x v="1182"/>
    <x v="1158"/>
    <x v="11"/>
    <x v="2"/>
    <x v="1"/>
    <x v="9"/>
  </r>
  <r>
    <x v="4"/>
    <x v="2094"/>
    <n v="8"/>
    <x v="37"/>
    <x v="163"/>
    <x v="148"/>
    <x v="149"/>
    <x v="148"/>
    <x v="11"/>
    <x v="2"/>
    <x v="1"/>
    <x v="9"/>
  </r>
  <r>
    <x v="4"/>
    <x v="2095"/>
    <n v="16"/>
    <x v="37"/>
    <x v="163"/>
    <x v="116"/>
    <x v="117"/>
    <x v="116"/>
    <x v="6"/>
    <x v="2"/>
    <x v="1"/>
    <x v="7"/>
  </r>
  <r>
    <x v="4"/>
    <x v="2096"/>
    <n v="2"/>
    <x v="37"/>
    <x v="164"/>
    <x v="157"/>
    <x v="158"/>
    <x v="157"/>
    <x v="8"/>
    <x v="4"/>
    <x v="7"/>
    <x v="18"/>
  </r>
  <r>
    <x v="4"/>
    <x v="2097"/>
    <n v="1"/>
    <x v="37"/>
    <x v="164"/>
    <x v="158"/>
    <x v="159"/>
    <x v="158"/>
    <x v="8"/>
    <x v="5"/>
    <x v="7"/>
    <x v="18"/>
  </r>
  <r>
    <x v="4"/>
    <x v="2098"/>
    <n v="1"/>
    <x v="37"/>
    <x v="164"/>
    <x v="153"/>
    <x v="154"/>
    <x v="153"/>
    <x v="8"/>
    <x v="2"/>
    <x v="5"/>
    <x v="16"/>
  </r>
  <r>
    <x v="4"/>
    <x v="2099"/>
    <n v="1"/>
    <x v="37"/>
    <x v="165"/>
    <x v="1303"/>
    <x v="1320"/>
    <x v="1287"/>
    <x v="0"/>
    <x v="0"/>
    <x v="0"/>
    <x v="0"/>
  </r>
  <r>
    <x v="4"/>
    <x v="2100"/>
    <n v="1"/>
    <x v="37"/>
    <x v="165"/>
    <x v="1304"/>
    <x v="1321"/>
    <x v="1288"/>
    <x v="12"/>
    <x v="1"/>
    <x v="0"/>
    <x v="0"/>
  </r>
  <r>
    <x v="4"/>
    <x v="2101"/>
    <n v="1"/>
    <x v="37"/>
    <x v="165"/>
    <x v="1035"/>
    <x v="1049"/>
    <x v="1026"/>
    <x v="4"/>
    <x v="2"/>
    <x v="14"/>
    <x v="36"/>
  </r>
  <r>
    <x v="4"/>
    <x v="2102"/>
    <n v="1"/>
    <x v="37"/>
    <x v="165"/>
    <x v="1305"/>
    <x v="1322"/>
    <x v="1289"/>
    <x v="7"/>
    <x v="2"/>
    <x v="1"/>
    <x v="11"/>
  </r>
  <r>
    <x v="4"/>
    <x v="2103"/>
    <n v="1"/>
    <x v="37"/>
    <x v="166"/>
    <x v="1306"/>
    <x v="1323"/>
    <x v="1290"/>
    <x v="0"/>
    <x v="0"/>
    <x v="0"/>
    <x v="0"/>
  </r>
  <r>
    <x v="4"/>
    <x v="2104"/>
    <n v="1"/>
    <x v="37"/>
    <x v="166"/>
    <x v="1307"/>
    <x v="1324"/>
    <x v="1291"/>
    <x v="12"/>
    <x v="1"/>
    <x v="0"/>
    <x v="0"/>
  </r>
  <r>
    <x v="4"/>
    <x v="2105"/>
    <n v="1"/>
    <x v="37"/>
    <x v="166"/>
    <x v="1228"/>
    <x v="1245"/>
    <x v="1215"/>
    <x v="4"/>
    <x v="2"/>
    <x v="14"/>
    <x v="36"/>
  </r>
  <r>
    <x v="4"/>
    <x v="2106"/>
    <n v="1"/>
    <x v="37"/>
    <x v="166"/>
    <x v="1232"/>
    <x v="1249"/>
    <x v="1219"/>
    <x v="7"/>
    <x v="2"/>
    <x v="1"/>
    <x v="11"/>
  </r>
  <r>
    <x v="4"/>
    <x v="2107"/>
    <n v="1"/>
    <x v="37"/>
    <x v="0"/>
    <x v="1308"/>
    <x v="1325"/>
    <x v="1292"/>
    <x v="8"/>
    <x v="1"/>
    <x v="0"/>
    <x v="0"/>
  </r>
  <r>
    <x v="4"/>
    <x v="2108"/>
    <n v="1"/>
    <x v="38"/>
    <x v="0"/>
    <x v="1309"/>
    <x v="1326"/>
    <x v="1293"/>
    <x v="0"/>
    <x v="0"/>
    <x v="0"/>
    <x v="0"/>
  </r>
  <r>
    <x v="4"/>
    <x v="2109"/>
    <n v="1"/>
    <x v="38"/>
    <x v="0"/>
    <x v="1310"/>
    <x v="1327"/>
    <x v="1294"/>
    <x v="1"/>
    <x v="1"/>
    <x v="0"/>
    <x v="0"/>
  </r>
  <r>
    <x v="4"/>
    <x v="2110"/>
    <n v="1"/>
    <x v="38"/>
    <x v="0"/>
    <x v="1311"/>
    <x v="1328"/>
    <x v="1295"/>
    <x v="1"/>
    <x v="1"/>
    <x v="0"/>
    <x v="0"/>
  </r>
  <r>
    <x v="4"/>
    <x v="2111"/>
    <n v="1"/>
    <x v="38"/>
    <x v="0"/>
    <x v="1312"/>
    <x v="1329"/>
    <x v="1296"/>
    <x v="4"/>
    <x v="2"/>
    <x v="0"/>
    <x v="5"/>
  </r>
  <r>
    <x v="4"/>
    <x v="2112"/>
    <n v="1"/>
    <x v="38"/>
    <x v="0"/>
    <x v="1313"/>
    <x v="1330"/>
    <x v="1297"/>
    <x v="1"/>
    <x v="1"/>
    <x v="0"/>
    <x v="0"/>
  </r>
  <r>
    <x v="4"/>
    <x v="2113"/>
    <n v="1"/>
    <x v="38"/>
    <x v="0"/>
    <x v="1314"/>
    <x v="1331"/>
    <x v="1298"/>
    <x v="1"/>
    <x v="1"/>
    <x v="0"/>
    <x v="0"/>
  </r>
  <r>
    <x v="4"/>
    <x v="2114"/>
    <n v="1"/>
    <x v="38"/>
    <x v="0"/>
    <x v="1315"/>
    <x v="1332"/>
    <x v="1299"/>
    <x v="4"/>
    <x v="1"/>
    <x v="0"/>
    <x v="0"/>
  </r>
  <r>
    <x v="4"/>
    <x v="2115"/>
    <n v="2"/>
    <x v="38"/>
    <x v="0"/>
    <x v="1034"/>
    <x v="1048"/>
    <x v="1025"/>
    <x v="20"/>
    <x v="2"/>
    <x v="11"/>
    <x v="30"/>
  </r>
  <r>
    <x v="4"/>
    <x v="2116"/>
    <n v="8"/>
    <x v="38"/>
    <x v="0"/>
    <x v="1316"/>
    <x v="1333"/>
    <x v="1300"/>
    <x v="6"/>
    <x v="2"/>
    <x v="1"/>
    <x v="4"/>
  </r>
  <r>
    <x v="4"/>
    <x v="2117"/>
    <n v="8"/>
    <x v="38"/>
    <x v="0"/>
    <x v="1317"/>
    <x v="1334"/>
    <x v="1301"/>
    <x v="7"/>
    <x v="2"/>
    <x v="1"/>
    <x v="3"/>
  </r>
  <r>
    <x v="4"/>
    <x v="2118"/>
    <n v="1"/>
    <x v="38"/>
    <x v="0"/>
    <x v="1318"/>
    <x v="1335"/>
    <x v="1302"/>
    <x v="7"/>
    <x v="2"/>
    <x v="1"/>
    <x v="3"/>
  </r>
  <r>
    <x v="4"/>
    <x v="2119"/>
    <n v="1"/>
    <x v="38"/>
    <x v="0"/>
    <x v="1319"/>
    <x v="1336"/>
    <x v="1303"/>
    <x v="7"/>
    <x v="2"/>
    <x v="1"/>
    <x v="6"/>
  </r>
  <r>
    <x v="4"/>
    <x v="2120"/>
    <n v="6"/>
    <x v="38"/>
    <x v="0"/>
    <x v="296"/>
    <x v="299"/>
    <x v="295"/>
    <x v="7"/>
    <x v="2"/>
    <x v="1"/>
    <x v="7"/>
  </r>
  <r>
    <x v="4"/>
    <x v="2121"/>
    <n v="6"/>
    <x v="38"/>
    <x v="0"/>
    <x v="1320"/>
    <x v="1337"/>
    <x v="1304"/>
    <x v="7"/>
    <x v="2"/>
    <x v="1"/>
    <x v="5"/>
  </r>
  <r>
    <x v="4"/>
    <x v="2122"/>
    <n v="3"/>
    <x v="38"/>
    <x v="0"/>
    <x v="402"/>
    <x v="409"/>
    <x v="402"/>
    <x v="6"/>
    <x v="2"/>
    <x v="1"/>
    <x v="4"/>
  </r>
  <r>
    <x v="4"/>
    <x v="2123"/>
    <n v="3"/>
    <x v="38"/>
    <x v="0"/>
    <x v="1321"/>
    <x v="1338"/>
    <x v="1305"/>
    <x v="8"/>
    <x v="2"/>
    <x v="3"/>
    <x v="12"/>
  </r>
  <r>
    <x v="4"/>
    <x v="2124"/>
    <n v="1"/>
    <x v="38"/>
    <x v="0"/>
    <x v="230"/>
    <x v="231"/>
    <x v="230"/>
    <x v="14"/>
    <x v="2"/>
    <x v="1"/>
    <x v="20"/>
  </r>
  <r>
    <x v="4"/>
    <x v="2125"/>
    <n v="2"/>
    <x v="38"/>
    <x v="0"/>
    <x v="1322"/>
    <x v="1339"/>
    <x v="1306"/>
    <x v="4"/>
    <x v="2"/>
    <x v="1"/>
    <x v="22"/>
  </r>
  <r>
    <x v="4"/>
    <x v="2126"/>
    <n v="3"/>
    <x v="38"/>
    <x v="0"/>
    <x v="1323"/>
    <x v="1340"/>
    <x v="1307"/>
    <x v="0"/>
    <x v="2"/>
    <x v="9"/>
    <x v="21"/>
  </r>
  <r>
    <x v="4"/>
    <x v="2127"/>
    <n v="1"/>
    <x v="39"/>
    <x v="0"/>
    <x v="1324"/>
    <x v="1341"/>
    <x v="1308"/>
    <x v="0"/>
    <x v="0"/>
    <x v="0"/>
    <x v="0"/>
  </r>
  <r>
    <x v="4"/>
    <x v="2128"/>
    <n v="1"/>
    <x v="39"/>
    <x v="0"/>
    <x v="1325"/>
    <x v="1342"/>
    <x v="1309"/>
    <x v="1"/>
    <x v="1"/>
    <x v="0"/>
    <x v="0"/>
  </r>
  <r>
    <x v="4"/>
    <x v="2129"/>
    <n v="1"/>
    <x v="39"/>
    <x v="0"/>
    <x v="1326"/>
    <x v="1343"/>
    <x v="1310"/>
    <x v="10"/>
    <x v="1"/>
    <x v="0"/>
    <x v="0"/>
  </r>
  <r>
    <x v="4"/>
    <x v="2130"/>
    <n v="1"/>
    <x v="39"/>
    <x v="0"/>
    <x v="1327"/>
    <x v="1344"/>
    <x v="1311"/>
    <x v="10"/>
    <x v="1"/>
    <x v="0"/>
    <x v="0"/>
  </r>
  <r>
    <x v="4"/>
    <x v="2131"/>
    <n v="1"/>
    <x v="39"/>
    <x v="0"/>
    <x v="1328"/>
    <x v="1345"/>
    <x v="1312"/>
    <x v="10"/>
    <x v="1"/>
    <x v="0"/>
    <x v="0"/>
  </r>
  <r>
    <x v="4"/>
    <x v="2132"/>
    <n v="1"/>
    <x v="39"/>
    <x v="0"/>
    <x v="1329"/>
    <x v="1346"/>
    <x v="1313"/>
    <x v="10"/>
    <x v="1"/>
    <x v="0"/>
    <x v="0"/>
  </r>
  <r>
    <x v="4"/>
    <x v="2133"/>
    <n v="1"/>
    <x v="39"/>
    <x v="0"/>
    <x v="1330"/>
    <x v="1347"/>
    <x v="1314"/>
    <x v="10"/>
    <x v="1"/>
    <x v="0"/>
    <x v="0"/>
  </r>
  <r>
    <x v="4"/>
    <x v="2134"/>
    <n v="1"/>
    <x v="39"/>
    <x v="0"/>
    <x v="1331"/>
    <x v="1348"/>
    <x v="1315"/>
    <x v="1"/>
    <x v="1"/>
    <x v="0"/>
    <x v="0"/>
  </r>
  <r>
    <x v="4"/>
    <x v="2135"/>
    <n v="1"/>
    <x v="39"/>
    <x v="0"/>
    <x v="80"/>
    <x v="399"/>
    <x v="392"/>
    <x v="8"/>
    <x v="2"/>
    <x v="2"/>
    <x v="10"/>
  </r>
  <r>
    <x v="4"/>
    <x v="2136"/>
    <n v="2"/>
    <x v="39"/>
    <x v="0"/>
    <x v="67"/>
    <x v="67"/>
    <x v="67"/>
    <x v="6"/>
    <x v="2"/>
    <x v="1"/>
    <x v="4"/>
  </r>
  <r>
    <x v="4"/>
    <x v="2137"/>
    <n v="2"/>
    <x v="39"/>
    <x v="0"/>
    <x v="674"/>
    <x v="685"/>
    <x v="663"/>
    <x v="6"/>
    <x v="2"/>
    <x v="1"/>
    <x v="4"/>
  </r>
  <r>
    <x v="4"/>
    <x v="2138"/>
    <n v="2"/>
    <x v="39"/>
    <x v="0"/>
    <x v="675"/>
    <x v="686"/>
    <x v="664"/>
    <x v="7"/>
    <x v="2"/>
    <x v="1"/>
    <x v="7"/>
  </r>
  <r>
    <x v="4"/>
    <x v="2139"/>
    <n v="1"/>
    <x v="39"/>
    <x v="0"/>
    <x v="75"/>
    <x v="75"/>
    <x v="75"/>
    <x v="8"/>
    <x v="2"/>
    <x v="2"/>
    <x v="8"/>
  </r>
  <r>
    <x v="4"/>
    <x v="2140"/>
    <n v="4"/>
    <x v="20"/>
    <x v="0"/>
    <x v="231"/>
    <x v="232"/>
    <x v="231"/>
    <x v="4"/>
    <x v="2"/>
    <x v="1"/>
    <x v="5"/>
  </r>
  <r>
    <x v="4"/>
    <x v="2141"/>
    <n v="4"/>
    <x v="20"/>
    <x v="0"/>
    <x v="111"/>
    <x v="112"/>
    <x v="111"/>
    <x v="7"/>
    <x v="2"/>
    <x v="1"/>
    <x v="6"/>
  </r>
  <r>
    <x v="4"/>
    <x v="2142"/>
    <n v="2"/>
    <x v="20"/>
    <x v="0"/>
    <x v="1090"/>
    <x v="1105"/>
    <x v="1082"/>
    <x v="7"/>
    <x v="2"/>
    <x v="1"/>
    <x v="7"/>
  </r>
  <r>
    <x v="4"/>
    <x v="2143"/>
    <n v="2"/>
    <x v="20"/>
    <x v="0"/>
    <x v="112"/>
    <x v="113"/>
    <x v="112"/>
    <x v="7"/>
    <x v="2"/>
    <x v="1"/>
    <x v="7"/>
  </r>
  <r>
    <x v="4"/>
    <x v="2144"/>
    <n v="4"/>
    <x v="20"/>
    <x v="0"/>
    <x v="1080"/>
    <x v="1095"/>
    <x v="1072"/>
    <x v="4"/>
    <x v="2"/>
    <x v="1"/>
    <x v="7"/>
  </r>
  <r>
    <x v="4"/>
    <x v="2145"/>
    <n v="11"/>
    <x v="20"/>
    <x v="0"/>
    <x v="141"/>
    <x v="142"/>
    <x v="141"/>
    <x v="7"/>
    <x v="2"/>
    <x v="1"/>
    <x v="7"/>
  </r>
  <r>
    <x v="4"/>
    <x v="2146"/>
    <n v="1"/>
    <x v="20"/>
    <x v="0"/>
    <x v="143"/>
    <x v="144"/>
    <x v="143"/>
    <x v="7"/>
    <x v="2"/>
    <x v="1"/>
    <x v="7"/>
  </r>
  <r>
    <x v="4"/>
    <x v="2147"/>
    <n v="6"/>
    <x v="20"/>
    <x v="0"/>
    <x v="57"/>
    <x v="57"/>
    <x v="57"/>
    <x v="4"/>
    <x v="2"/>
    <x v="1"/>
    <x v="6"/>
  </r>
  <r>
    <x v="4"/>
    <x v="1482"/>
    <n v="12"/>
    <x v="20"/>
    <x v="0"/>
    <x v="59"/>
    <x v="59"/>
    <x v="59"/>
    <x v="4"/>
    <x v="2"/>
    <x v="1"/>
    <x v="7"/>
  </r>
  <r>
    <x v="4"/>
    <x v="2148"/>
    <n v="6"/>
    <x v="20"/>
    <x v="0"/>
    <x v="1025"/>
    <x v="1039"/>
    <x v="1016"/>
    <x v="7"/>
    <x v="2"/>
    <x v="1"/>
    <x v="7"/>
  </r>
  <r>
    <x v="4"/>
    <x v="2149"/>
    <n v="4"/>
    <x v="20"/>
    <x v="0"/>
    <x v="58"/>
    <x v="58"/>
    <x v="58"/>
    <x v="4"/>
    <x v="2"/>
    <x v="1"/>
    <x v="7"/>
  </r>
  <r>
    <x v="4"/>
    <x v="2150"/>
    <n v="1"/>
    <x v="20"/>
    <x v="0"/>
    <x v="1332"/>
    <x v="1349"/>
    <x v="1316"/>
    <x v="8"/>
    <x v="2"/>
    <x v="2"/>
    <x v="27"/>
  </r>
  <r>
    <x v="4"/>
    <x v="2151"/>
    <n v="1"/>
    <x v="40"/>
    <x v="0"/>
    <x v="1333"/>
    <x v="1350"/>
    <x v="1317"/>
    <x v="0"/>
    <x v="0"/>
    <x v="0"/>
    <x v="0"/>
  </r>
  <r>
    <x v="4"/>
    <x v="2152"/>
    <n v="1"/>
    <x v="40"/>
    <x v="0"/>
    <x v="1334"/>
    <x v="1351"/>
    <x v="1318"/>
    <x v="8"/>
    <x v="1"/>
    <x v="0"/>
    <x v="0"/>
  </r>
  <r>
    <x v="4"/>
    <x v="2153"/>
    <n v="1"/>
    <x v="40"/>
    <x v="0"/>
    <x v="1335"/>
    <x v="1352"/>
    <x v="1319"/>
    <x v="10"/>
    <x v="1"/>
    <x v="0"/>
    <x v="0"/>
  </r>
  <r>
    <x v="4"/>
    <x v="2154"/>
    <n v="1"/>
    <x v="40"/>
    <x v="0"/>
    <x v="1336"/>
    <x v="1353"/>
    <x v="1320"/>
    <x v="10"/>
    <x v="1"/>
    <x v="0"/>
    <x v="0"/>
  </r>
  <r>
    <x v="4"/>
    <x v="2155"/>
    <n v="1"/>
    <x v="40"/>
    <x v="0"/>
    <x v="1337"/>
    <x v="1354"/>
    <x v="1321"/>
    <x v="9"/>
    <x v="1"/>
    <x v="0"/>
    <x v="0"/>
  </r>
  <r>
    <x v="4"/>
    <x v="2156"/>
    <n v="1"/>
    <x v="40"/>
    <x v="0"/>
    <x v="1338"/>
    <x v="1355"/>
    <x v="1322"/>
    <x v="12"/>
    <x v="1"/>
    <x v="0"/>
    <x v="0"/>
  </r>
  <r>
    <x v="4"/>
    <x v="2157"/>
    <n v="1"/>
    <x v="40"/>
    <x v="0"/>
    <x v="1165"/>
    <x v="1181"/>
    <x v="1157"/>
    <x v="8"/>
    <x v="5"/>
    <x v="7"/>
    <x v="18"/>
  </r>
  <r>
    <x v="4"/>
    <x v="2158"/>
    <n v="1"/>
    <x v="40"/>
    <x v="0"/>
    <x v="1339"/>
    <x v="1356"/>
    <x v="1323"/>
    <x v="8"/>
    <x v="2"/>
    <x v="3"/>
    <x v="12"/>
  </r>
  <r>
    <x v="4"/>
    <x v="2159"/>
    <n v="1"/>
    <x v="40"/>
    <x v="0"/>
    <x v="514"/>
    <x v="524"/>
    <x v="512"/>
    <x v="8"/>
    <x v="2"/>
    <x v="3"/>
    <x v="12"/>
  </r>
  <r>
    <x v="4"/>
    <x v="2160"/>
    <n v="1"/>
    <x v="40"/>
    <x v="0"/>
    <x v="444"/>
    <x v="454"/>
    <x v="445"/>
    <x v="6"/>
    <x v="2"/>
    <x v="3"/>
    <x v="5"/>
  </r>
  <r>
    <x v="4"/>
    <x v="2161"/>
    <n v="2"/>
    <x v="40"/>
    <x v="0"/>
    <x v="130"/>
    <x v="131"/>
    <x v="130"/>
    <x v="7"/>
    <x v="2"/>
    <x v="1"/>
    <x v="7"/>
  </r>
  <r>
    <x v="4"/>
    <x v="2162"/>
    <n v="8"/>
    <x v="40"/>
    <x v="0"/>
    <x v="128"/>
    <x v="129"/>
    <x v="128"/>
    <x v="11"/>
    <x v="2"/>
    <x v="1"/>
    <x v="9"/>
  </r>
  <r>
    <x v="4"/>
    <x v="2163"/>
    <n v="4"/>
    <x v="40"/>
    <x v="0"/>
    <x v="116"/>
    <x v="117"/>
    <x v="116"/>
    <x v="6"/>
    <x v="2"/>
    <x v="1"/>
    <x v="7"/>
  </r>
  <r>
    <x v="4"/>
    <x v="2164"/>
    <n v="4"/>
    <x v="40"/>
    <x v="0"/>
    <x v="1166"/>
    <x v="1182"/>
    <x v="1158"/>
    <x v="11"/>
    <x v="2"/>
    <x v="1"/>
    <x v="9"/>
  </r>
  <r>
    <x v="4"/>
    <x v="2165"/>
    <n v="1"/>
    <x v="40"/>
    <x v="0"/>
    <x v="1340"/>
    <x v="1357"/>
    <x v="1324"/>
    <x v="8"/>
    <x v="2"/>
    <x v="3"/>
    <x v="12"/>
  </r>
  <r>
    <x v="4"/>
    <x v="2166"/>
    <n v="1"/>
    <x v="40"/>
    <x v="15"/>
    <x v="157"/>
    <x v="158"/>
    <x v="157"/>
    <x v="8"/>
    <x v="4"/>
    <x v="7"/>
    <x v="18"/>
  </r>
  <r>
    <x v="4"/>
    <x v="2167"/>
    <n v="1"/>
    <x v="40"/>
    <x v="15"/>
    <x v="158"/>
    <x v="159"/>
    <x v="158"/>
    <x v="8"/>
    <x v="5"/>
    <x v="7"/>
    <x v="18"/>
  </r>
  <r>
    <x v="4"/>
    <x v="2168"/>
    <n v="1"/>
    <x v="40"/>
    <x v="15"/>
    <x v="153"/>
    <x v="154"/>
    <x v="153"/>
    <x v="8"/>
    <x v="2"/>
    <x v="5"/>
    <x v="16"/>
  </r>
  <r>
    <x v="4"/>
    <x v="2169"/>
    <n v="1"/>
    <x v="40"/>
    <x v="167"/>
    <x v="1341"/>
    <x v="1358"/>
    <x v="1325"/>
    <x v="0"/>
    <x v="0"/>
    <x v="0"/>
    <x v="0"/>
  </r>
  <r>
    <x v="4"/>
    <x v="2170"/>
    <n v="1"/>
    <x v="40"/>
    <x v="168"/>
    <x v="1342"/>
    <x v="1359"/>
    <x v="1326"/>
    <x v="0"/>
    <x v="0"/>
    <x v="0"/>
    <x v="0"/>
  </r>
  <r>
    <x v="4"/>
    <x v="2171"/>
    <n v="2"/>
    <x v="40"/>
    <x v="168"/>
    <x v="1343"/>
    <x v="1360"/>
    <x v="1327"/>
    <x v="4"/>
    <x v="1"/>
    <x v="0"/>
    <x v="0"/>
  </r>
  <r>
    <x v="4"/>
    <x v="2172"/>
    <n v="1"/>
    <x v="40"/>
    <x v="169"/>
    <x v="1344"/>
    <x v="1361"/>
    <x v="1328"/>
    <x v="0"/>
    <x v="0"/>
    <x v="0"/>
    <x v="0"/>
  </r>
  <r>
    <x v="4"/>
    <x v="2173"/>
    <n v="1"/>
    <x v="40"/>
    <x v="169"/>
    <x v="1345"/>
    <x v="1362"/>
    <x v="1329"/>
    <x v="1"/>
    <x v="1"/>
    <x v="0"/>
    <x v="0"/>
  </r>
  <r>
    <x v="4"/>
    <x v="2174"/>
    <n v="7"/>
    <x v="40"/>
    <x v="169"/>
    <x v="110"/>
    <x v="111"/>
    <x v="110"/>
    <x v="6"/>
    <x v="2"/>
    <x v="1"/>
    <x v="4"/>
  </r>
  <r>
    <x v="4"/>
    <x v="2175"/>
    <n v="1"/>
    <x v="40"/>
    <x v="170"/>
    <x v="1346"/>
    <x v="1363"/>
    <x v="1330"/>
    <x v="0"/>
    <x v="0"/>
    <x v="0"/>
    <x v="0"/>
  </r>
  <r>
    <x v="4"/>
    <x v="2176"/>
    <n v="1"/>
    <x v="40"/>
    <x v="170"/>
    <x v="1347"/>
    <x v="1364"/>
    <x v="1331"/>
    <x v="1"/>
    <x v="1"/>
    <x v="0"/>
    <x v="0"/>
  </r>
  <r>
    <x v="4"/>
    <x v="2177"/>
    <n v="1"/>
    <x v="40"/>
    <x v="170"/>
    <x v="1348"/>
    <x v="1365"/>
    <x v="1332"/>
    <x v="20"/>
    <x v="2"/>
    <x v="11"/>
    <x v="30"/>
  </r>
  <r>
    <x v="4"/>
    <x v="2178"/>
    <n v="1"/>
    <x v="40"/>
    <x v="168"/>
    <x v="1349"/>
    <x v="1366"/>
    <x v="1333"/>
    <x v="1"/>
    <x v="1"/>
    <x v="0"/>
    <x v="0"/>
  </r>
  <r>
    <x v="4"/>
    <x v="2179"/>
    <n v="1"/>
    <x v="40"/>
    <x v="171"/>
    <x v="1350"/>
    <x v="1367"/>
    <x v="1334"/>
    <x v="0"/>
    <x v="0"/>
    <x v="0"/>
    <x v="0"/>
  </r>
  <r>
    <x v="4"/>
    <x v="2180"/>
    <n v="1"/>
    <x v="40"/>
    <x v="171"/>
    <x v="1351"/>
    <x v="1368"/>
    <x v="1335"/>
    <x v="1"/>
    <x v="1"/>
    <x v="0"/>
    <x v="0"/>
  </r>
  <r>
    <x v="4"/>
    <x v="2181"/>
    <n v="2"/>
    <x v="40"/>
    <x v="171"/>
    <x v="68"/>
    <x v="68"/>
    <x v="68"/>
    <x v="6"/>
    <x v="2"/>
    <x v="1"/>
    <x v="4"/>
  </r>
  <r>
    <x v="4"/>
    <x v="2182"/>
    <n v="1"/>
    <x v="40"/>
    <x v="168"/>
    <x v="1348"/>
    <x v="1365"/>
    <x v="1332"/>
    <x v="20"/>
    <x v="2"/>
    <x v="11"/>
    <x v="30"/>
  </r>
  <r>
    <x v="4"/>
    <x v="2183"/>
    <n v="1"/>
    <x v="40"/>
    <x v="168"/>
    <x v="1321"/>
    <x v="1338"/>
    <x v="1305"/>
    <x v="8"/>
    <x v="2"/>
    <x v="3"/>
    <x v="12"/>
  </r>
  <r>
    <x v="4"/>
    <x v="2184"/>
    <n v="4"/>
    <x v="40"/>
    <x v="168"/>
    <x v="156"/>
    <x v="157"/>
    <x v="156"/>
    <x v="7"/>
    <x v="2"/>
    <x v="1"/>
    <x v="6"/>
  </r>
  <r>
    <x v="4"/>
    <x v="2185"/>
    <n v="2"/>
    <x v="40"/>
    <x v="168"/>
    <x v="1352"/>
    <x v="1369"/>
    <x v="1336"/>
    <x v="7"/>
    <x v="2"/>
    <x v="1"/>
    <x v="7"/>
  </r>
  <r>
    <x v="4"/>
    <x v="2186"/>
    <n v="2"/>
    <x v="40"/>
    <x v="168"/>
    <x v="1320"/>
    <x v="1337"/>
    <x v="1304"/>
    <x v="7"/>
    <x v="2"/>
    <x v="1"/>
    <x v="5"/>
  </r>
  <r>
    <x v="4"/>
    <x v="2187"/>
    <n v="7"/>
    <x v="40"/>
    <x v="168"/>
    <x v="476"/>
    <x v="486"/>
    <x v="477"/>
    <x v="7"/>
    <x v="2"/>
    <x v="1"/>
    <x v="3"/>
  </r>
  <r>
    <x v="4"/>
    <x v="2188"/>
    <n v="1"/>
    <x v="40"/>
    <x v="168"/>
    <x v="679"/>
    <x v="690"/>
    <x v="668"/>
    <x v="0"/>
    <x v="2"/>
    <x v="9"/>
    <x v="21"/>
  </r>
  <r>
    <x v="4"/>
    <x v="2189"/>
    <n v="1"/>
    <x v="40"/>
    <x v="172"/>
    <x v="1353"/>
    <x v="1370"/>
    <x v="1337"/>
    <x v="0"/>
    <x v="0"/>
    <x v="0"/>
    <x v="0"/>
  </r>
  <r>
    <x v="4"/>
    <x v="2190"/>
    <n v="1"/>
    <x v="40"/>
    <x v="172"/>
    <x v="1354"/>
    <x v="1371"/>
    <x v="1338"/>
    <x v="11"/>
    <x v="1"/>
    <x v="0"/>
    <x v="0"/>
  </r>
  <r>
    <x v="4"/>
    <x v="2191"/>
    <n v="1"/>
    <x v="40"/>
    <x v="172"/>
    <x v="1355"/>
    <x v="1372"/>
    <x v="1339"/>
    <x v="7"/>
    <x v="2"/>
    <x v="1"/>
    <x v="22"/>
  </r>
  <r>
    <x v="4"/>
    <x v="2192"/>
    <n v="1"/>
    <x v="40"/>
    <x v="173"/>
    <x v="1353"/>
    <x v="1373"/>
    <x v="1340"/>
    <x v="0"/>
    <x v="0"/>
    <x v="0"/>
    <x v="0"/>
  </r>
  <r>
    <x v="4"/>
    <x v="2193"/>
    <n v="1"/>
    <x v="40"/>
    <x v="173"/>
    <x v="1354"/>
    <x v="1374"/>
    <x v="1341"/>
    <x v="1"/>
    <x v="1"/>
    <x v="0"/>
    <x v="0"/>
  </r>
  <r>
    <x v="4"/>
    <x v="2194"/>
    <n v="7"/>
    <x v="40"/>
    <x v="173"/>
    <x v="110"/>
    <x v="111"/>
    <x v="110"/>
    <x v="6"/>
    <x v="2"/>
    <x v="1"/>
    <x v="4"/>
  </r>
  <r>
    <x v="4"/>
    <x v="2195"/>
    <n v="4"/>
    <x v="40"/>
    <x v="173"/>
    <x v="1231"/>
    <x v="1248"/>
    <x v="1218"/>
    <x v="7"/>
    <x v="2"/>
    <x v="1"/>
    <x v="5"/>
  </r>
  <r>
    <x v="4"/>
    <x v="2196"/>
    <n v="1"/>
    <x v="40"/>
    <x v="173"/>
    <x v="1034"/>
    <x v="1048"/>
    <x v="1025"/>
    <x v="20"/>
    <x v="2"/>
    <x v="11"/>
    <x v="30"/>
  </r>
  <r>
    <x v="4"/>
    <x v="2197"/>
    <n v="6"/>
    <x v="40"/>
    <x v="173"/>
    <x v="68"/>
    <x v="68"/>
    <x v="68"/>
    <x v="6"/>
    <x v="2"/>
    <x v="1"/>
    <x v="4"/>
  </r>
  <r>
    <x v="4"/>
    <x v="2198"/>
    <n v="1"/>
    <x v="40"/>
    <x v="174"/>
    <x v="1356"/>
    <x v="1375"/>
    <x v="1342"/>
    <x v="0"/>
    <x v="0"/>
    <x v="0"/>
    <x v="0"/>
  </r>
  <r>
    <x v="4"/>
    <x v="2199"/>
    <n v="1"/>
    <x v="40"/>
    <x v="174"/>
    <x v="1357"/>
    <x v="1376"/>
    <x v="1343"/>
    <x v="1"/>
    <x v="1"/>
    <x v="0"/>
    <x v="0"/>
  </r>
  <r>
    <x v="4"/>
    <x v="2200"/>
    <n v="1"/>
    <x v="40"/>
    <x v="174"/>
    <x v="1034"/>
    <x v="1048"/>
    <x v="1025"/>
    <x v="20"/>
    <x v="2"/>
    <x v="11"/>
    <x v="30"/>
  </r>
  <r>
    <x v="4"/>
    <x v="2201"/>
    <n v="3"/>
    <x v="40"/>
    <x v="174"/>
    <x v="110"/>
    <x v="111"/>
    <x v="110"/>
    <x v="6"/>
    <x v="2"/>
    <x v="1"/>
    <x v="4"/>
  </r>
  <r>
    <x v="4"/>
    <x v="2202"/>
    <n v="2"/>
    <x v="40"/>
    <x v="174"/>
    <x v="68"/>
    <x v="68"/>
    <x v="68"/>
    <x v="6"/>
    <x v="2"/>
    <x v="1"/>
    <x v="4"/>
  </r>
  <r>
    <x v="4"/>
    <x v="2203"/>
    <n v="1"/>
    <x v="40"/>
    <x v="174"/>
    <x v="67"/>
    <x v="67"/>
    <x v="67"/>
    <x v="6"/>
    <x v="2"/>
    <x v="1"/>
    <x v="4"/>
  </r>
  <r>
    <x v="4"/>
    <x v="2204"/>
    <n v="1"/>
    <x v="40"/>
    <x v="175"/>
    <x v="1358"/>
    <x v="1377"/>
    <x v="1344"/>
    <x v="0"/>
    <x v="0"/>
    <x v="0"/>
    <x v="0"/>
  </r>
  <r>
    <x v="4"/>
    <x v="2205"/>
    <n v="1"/>
    <x v="40"/>
    <x v="175"/>
    <x v="1359"/>
    <x v="1378"/>
    <x v="1345"/>
    <x v="16"/>
    <x v="1"/>
    <x v="0"/>
    <x v="0"/>
  </r>
  <r>
    <x v="4"/>
    <x v="2206"/>
    <n v="1"/>
    <x v="40"/>
    <x v="175"/>
    <x v="1360"/>
    <x v="1379"/>
    <x v="1346"/>
    <x v="1"/>
    <x v="1"/>
    <x v="0"/>
    <x v="0"/>
  </r>
  <r>
    <x v="4"/>
    <x v="2207"/>
    <n v="1"/>
    <x v="40"/>
    <x v="175"/>
    <x v="1231"/>
    <x v="1248"/>
    <x v="1218"/>
    <x v="7"/>
    <x v="2"/>
    <x v="1"/>
    <x v="5"/>
  </r>
  <r>
    <x v="4"/>
    <x v="2208"/>
    <n v="1"/>
    <x v="40"/>
    <x v="175"/>
    <x v="327"/>
    <x v="331"/>
    <x v="326"/>
    <x v="4"/>
    <x v="2"/>
    <x v="1"/>
    <x v="22"/>
  </r>
  <r>
    <x v="4"/>
    <x v="2209"/>
    <n v="1"/>
    <x v="40"/>
    <x v="167"/>
    <x v="1361"/>
    <x v="1380"/>
    <x v="1347"/>
    <x v="8"/>
    <x v="2"/>
    <x v="2"/>
    <x v="15"/>
  </r>
  <r>
    <x v="4"/>
    <x v="2210"/>
    <n v="2"/>
    <x v="40"/>
    <x v="167"/>
    <x v="1362"/>
    <x v="1381"/>
    <x v="1348"/>
    <x v="22"/>
    <x v="2"/>
    <x v="1"/>
    <x v="6"/>
  </r>
  <r>
    <x v="4"/>
    <x v="2211"/>
    <n v="1"/>
    <x v="40"/>
    <x v="167"/>
    <x v="1363"/>
    <x v="1382"/>
    <x v="1349"/>
    <x v="0"/>
    <x v="2"/>
    <x v="9"/>
    <x v="21"/>
  </r>
  <r>
    <x v="4"/>
    <x v="2212"/>
    <n v="4"/>
    <x v="40"/>
    <x v="167"/>
    <x v="111"/>
    <x v="112"/>
    <x v="111"/>
    <x v="7"/>
    <x v="2"/>
    <x v="1"/>
    <x v="6"/>
  </r>
  <r>
    <x v="4"/>
    <x v="2213"/>
    <n v="4"/>
    <x v="40"/>
    <x v="167"/>
    <x v="1033"/>
    <x v="1047"/>
    <x v="1024"/>
    <x v="7"/>
    <x v="2"/>
    <x v="1"/>
    <x v="7"/>
  </r>
  <r>
    <x v="4"/>
    <x v="2214"/>
    <n v="4"/>
    <x v="40"/>
    <x v="167"/>
    <x v="1364"/>
    <x v="1383"/>
    <x v="1350"/>
    <x v="7"/>
    <x v="2"/>
    <x v="1"/>
    <x v="3"/>
  </r>
  <r>
    <x v="4"/>
    <x v="2215"/>
    <n v="6"/>
    <x v="40"/>
    <x v="167"/>
    <x v="156"/>
    <x v="157"/>
    <x v="156"/>
    <x v="7"/>
    <x v="2"/>
    <x v="1"/>
    <x v="6"/>
  </r>
  <r>
    <x v="4"/>
    <x v="2216"/>
    <n v="2"/>
    <x v="40"/>
    <x v="167"/>
    <x v="1365"/>
    <x v="1384"/>
    <x v="1351"/>
    <x v="8"/>
    <x v="2"/>
    <x v="3"/>
    <x v="12"/>
  </r>
  <r>
    <x v="4"/>
    <x v="2217"/>
    <n v="2"/>
    <x v="40"/>
    <x v="167"/>
    <x v="1366"/>
    <x v="1385"/>
    <x v="1352"/>
    <x v="7"/>
    <x v="2"/>
    <x v="1"/>
    <x v="7"/>
  </r>
  <r>
    <x v="4"/>
    <x v="2218"/>
    <n v="2"/>
    <x v="40"/>
    <x v="167"/>
    <x v="149"/>
    <x v="150"/>
    <x v="149"/>
    <x v="4"/>
    <x v="2"/>
    <x v="1"/>
    <x v="7"/>
  </r>
  <r>
    <x v="4"/>
    <x v="2219"/>
    <n v="1"/>
    <x v="40"/>
    <x v="176"/>
    <x v="1367"/>
    <x v="1386"/>
    <x v="1353"/>
    <x v="0"/>
    <x v="0"/>
    <x v="0"/>
    <x v="0"/>
  </r>
  <r>
    <x v="4"/>
    <x v="2220"/>
    <n v="1"/>
    <x v="40"/>
    <x v="176"/>
    <x v="1368"/>
    <x v="1387"/>
    <x v="1354"/>
    <x v="1"/>
    <x v="1"/>
    <x v="0"/>
    <x v="0"/>
  </r>
  <r>
    <x v="4"/>
    <x v="2221"/>
    <n v="2"/>
    <x v="40"/>
    <x v="176"/>
    <x v="68"/>
    <x v="68"/>
    <x v="68"/>
    <x v="6"/>
    <x v="2"/>
    <x v="1"/>
    <x v="4"/>
  </r>
  <r>
    <x v="4"/>
    <x v="2222"/>
    <n v="2"/>
    <x v="40"/>
    <x v="176"/>
    <x v="1369"/>
    <x v="1388"/>
    <x v="1355"/>
    <x v="7"/>
    <x v="2"/>
    <x v="1"/>
    <x v="7"/>
  </r>
  <r>
    <x v="4"/>
    <x v="2223"/>
    <n v="1"/>
    <x v="40"/>
    <x v="177"/>
    <x v="1370"/>
    <x v="1389"/>
    <x v="1356"/>
    <x v="0"/>
    <x v="0"/>
    <x v="0"/>
    <x v="0"/>
  </r>
  <r>
    <x v="4"/>
    <x v="2224"/>
    <n v="1"/>
    <x v="40"/>
    <x v="177"/>
    <x v="1371"/>
    <x v="1390"/>
    <x v="1357"/>
    <x v="1"/>
    <x v="1"/>
    <x v="0"/>
    <x v="0"/>
  </r>
  <r>
    <x v="4"/>
    <x v="2225"/>
    <n v="1"/>
    <x v="40"/>
    <x v="177"/>
    <x v="67"/>
    <x v="67"/>
    <x v="67"/>
    <x v="6"/>
    <x v="2"/>
    <x v="1"/>
    <x v="4"/>
  </r>
  <r>
    <x v="4"/>
    <x v="2226"/>
    <n v="1"/>
    <x v="40"/>
    <x v="0"/>
    <x v="620"/>
    <x v="631"/>
    <x v="609"/>
    <x v="7"/>
    <x v="2"/>
    <x v="1"/>
    <x v="3"/>
  </r>
  <r>
    <x v="4"/>
    <x v="2227"/>
    <n v="1"/>
    <x v="40"/>
    <x v="0"/>
    <x v="149"/>
    <x v="150"/>
    <x v="149"/>
    <x v="4"/>
    <x v="2"/>
    <x v="1"/>
    <x v="7"/>
  </r>
  <r>
    <x v="4"/>
    <x v="2228"/>
    <n v="1"/>
    <x v="40"/>
    <x v="178"/>
    <x v="1372"/>
    <x v="1391"/>
    <x v="1358"/>
    <x v="0"/>
    <x v="0"/>
    <x v="0"/>
    <x v="0"/>
  </r>
  <r>
    <x v="4"/>
    <x v="2229"/>
    <n v="1"/>
    <x v="40"/>
    <x v="178"/>
    <x v="1373"/>
    <x v="1392"/>
    <x v="1359"/>
    <x v="12"/>
    <x v="1"/>
    <x v="0"/>
    <x v="0"/>
  </r>
  <r>
    <x v="4"/>
    <x v="2230"/>
    <n v="1"/>
    <x v="40"/>
    <x v="178"/>
    <x v="1374"/>
    <x v="1393"/>
    <x v="1360"/>
    <x v="12"/>
    <x v="1"/>
    <x v="0"/>
    <x v="0"/>
  </r>
  <r>
    <x v="4"/>
    <x v="2231"/>
    <n v="1"/>
    <x v="40"/>
    <x v="178"/>
    <x v="172"/>
    <x v="173"/>
    <x v="172"/>
    <x v="6"/>
    <x v="2"/>
    <x v="1"/>
    <x v="5"/>
  </r>
  <r>
    <x v="4"/>
    <x v="2232"/>
    <n v="1"/>
    <x v="40"/>
    <x v="0"/>
    <x v="1375"/>
    <x v="1394"/>
    <x v="1361"/>
    <x v="7"/>
    <x v="2"/>
    <x v="1"/>
    <x v="3"/>
  </r>
  <r>
    <x v="4"/>
    <x v="2233"/>
    <n v="2"/>
    <x v="40"/>
    <x v="0"/>
    <x v="1376"/>
    <x v="1395"/>
    <x v="1362"/>
    <x v="8"/>
    <x v="2"/>
    <x v="10"/>
    <x v="25"/>
  </r>
  <r>
    <x v="4"/>
    <x v="2234"/>
    <n v="1"/>
    <x v="40"/>
    <x v="0"/>
    <x v="1377"/>
    <x v="1396"/>
    <x v="1363"/>
    <x v="8"/>
    <x v="2"/>
    <x v="2"/>
    <x v="8"/>
  </r>
  <r>
    <x v="4"/>
    <x v="2235"/>
    <n v="1"/>
    <x v="40"/>
    <x v="0"/>
    <x v="1378"/>
    <x v="1397"/>
    <x v="1364"/>
    <x v="1"/>
    <x v="1"/>
    <x v="0"/>
    <x v="0"/>
  </r>
  <r>
    <x v="4"/>
    <x v="2236"/>
    <n v="2"/>
    <x v="40"/>
    <x v="0"/>
    <x v="267"/>
    <x v="269"/>
    <x v="265"/>
    <x v="4"/>
    <x v="2"/>
    <x v="1"/>
    <x v="3"/>
  </r>
  <r>
    <x v="4"/>
    <x v="2237"/>
    <n v="43"/>
    <x v="20"/>
    <x v="179"/>
    <x v="1379"/>
    <x v="1398"/>
    <x v="1365"/>
    <x v="0"/>
    <x v="3"/>
    <x v="0"/>
    <x v="0"/>
  </r>
  <r>
    <x v="4"/>
    <x v="2238"/>
    <n v="1"/>
    <x v="20"/>
    <x v="179"/>
    <x v="1380"/>
    <x v="1399"/>
    <x v="1366"/>
    <x v="12"/>
    <x v="3"/>
    <x v="0"/>
    <x v="0"/>
  </r>
  <r>
    <x v="4"/>
    <x v="2239"/>
    <n v="1"/>
    <x v="20"/>
    <x v="179"/>
    <x v="766"/>
    <x v="779"/>
    <x v="757"/>
    <x v="4"/>
    <x v="2"/>
    <x v="1"/>
    <x v="3"/>
  </r>
  <r>
    <x v="4"/>
    <x v="2240"/>
    <n v="1"/>
    <x v="20"/>
    <x v="0"/>
    <x v="1165"/>
    <x v="1181"/>
    <x v="1157"/>
    <x v="8"/>
    <x v="5"/>
    <x v="7"/>
    <x v="18"/>
  </r>
  <r>
    <x v="4"/>
    <x v="2241"/>
    <n v="1"/>
    <x v="20"/>
    <x v="0"/>
    <x v="1381"/>
    <x v="1400"/>
    <x v="1367"/>
    <x v="10"/>
    <x v="1"/>
    <x v="0"/>
    <x v="0"/>
  </r>
  <r>
    <x v="4"/>
    <x v="2242"/>
    <n v="4"/>
    <x v="20"/>
    <x v="0"/>
    <x v="148"/>
    <x v="149"/>
    <x v="148"/>
    <x v="11"/>
    <x v="2"/>
    <x v="1"/>
    <x v="9"/>
  </r>
  <r>
    <x v="4"/>
    <x v="2243"/>
    <n v="4"/>
    <x v="20"/>
    <x v="0"/>
    <x v="149"/>
    <x v="150"/>
    <x v="149"/>
    <x v="4"/>
    <x v="2"/>
    <x v="1"/>
    <x v="7"/>
  </r>
  <r>
    <x v="4"/>
    <x v="1483"/>
    <n v="4"/>
    <x v="20"/>
    <x v="0"/>
    <x v="116"/>
    <x v="117"/>
    <x v="116"/>
    <x v="6"/>
    <x v="2"/>
    <x v="1"/>
    <x v="7"/>
  </r>
  <r>
    <x v="4"/>
    <x v="2244"/>
    <n v="1"/>
    <x v="20"/>
    <x v="15"/>
    <x v="157"/>
    <x v="158"/>
    <x v="157"/>
    <x v="8"/>
    <x v="4"/>
    <x v="7"/>
    <x v="18"/>
  </r>
  <r>
    <x v="4"/>
    <x v="2245"/>
    <n v="1"/>
    <x v="20"/>
    <x v="15"/>
    <x v="158"/>
    <x v="159"/>
    <x v="158"/>
    <x v="8"/>
    <x v="5"/>
    <x v="7"/>
    <x v="18"/>
  </r>
  <r>
    <x v="4"/>
    <x v="2246"/>
    <n v="1"/>
    <x v="20"/>
    <x v="15"/>
    <x v="153"/>
    <x v="154"/>
    <x v="153"/>
    <x v="8"/>
    <x v="2"/>
    <x v="5"/>
    <x v="16"/>
  </r>
  <r>
    <x v="4"/>
    <x v="2247"/>
    <n v="1"/>
    <x v="20"/>
    <x v="180"/>
    <x v="1382"/>
    <x v="1401"/>
    <x v="1368"/>
    <x v="0"/>
    <x v="3"/>
    <x v="0"/>
    <x v="0"/>
  </r>
  <r>
    <x v="4"/>
    <x v="2248"/>
    <n v="1"/>
    <x v="20"/>
    <x v="180"/>
    <x v="262"/>
    <x v="264"/>
    <x v="260"/>
    <x v="9"/>
    <x v="3"/>
    <x v="0"/>
    <x v="0"/>
  </r>
  <r>
    <x v="4"/>
    <x v="2249"/>
    <n v="1"/>
    <x v="20"/>
    <x v="180"/>
    <x v="263"/>
    <x v="265"/>
    <x v="261"/>
    <x v="8"/>
    <x v="2"/>
    <x v="10"/>
    <x v="25"/>
  </r>
  <r>
    <x v="4"/>
    <x v="2250"/>
    <n v="1"/>
    <x v="20"/>
    <x v="180"/>
    <x v="264"/>
    <x v="266"/>
    <x v="262"/>
    <x v="8"/>
    <x v="2"/>
    <x v="10"/>
    <x v="25"/>
  </r>
  <r>
    <x v="4"/>
    <x v="2251"/>
    <n v="2"/>
    <x v="20"/>
    <x v="180"/>
    <x v="265"/>
    <x v="267"/>
    <x v="263"/>
    <x v="8"/>
    <x v="2"/>
    <x v="10"/>
    <x v="25"/>
  </r>
  <r>
    <x v="4"/>
    <x v="2252"/>
    <n v="1"/>
    <x v="20"/>
    <x v="180"/>
    <x v="266"/>
    <x v="268"/>
    <x v="264"/>
    <x v="8"/>
    <x v="2"/>
    <x v="10"/>
    <x v="25"/>
  </r>
  <r>
    <x v="4"/>
    <x v="2253"/>
    <n v="2"/>
    <x v="20"/>
    <x v="180"/>
    <x v="231"/>
    <x v="232"/>
    <x v="231"/>
    <x v="4"/>
    <x v="2"/>
    <x v="1"/>
    <x v="5"/>
  </r>
  <r>
    <x v="4"/>
    <x v="2254"/>
    <n v="2"/>
    <x v="20"/>
    <x v="180"/>
    <x v="267"/>
    <x v="269"/>
    <x v="265"/>
    <x v="4"/>
    <x v="2"/>
    <x v="1"/>
    <x v="3"/>
  </r>
  <r>
    <x v="4"/>
    <x v="2255"/>
    <n v="1"/>
    <x v="20"/>
    <x v="180"/>
    <x v="1383"/>
    <x v="1402"/>
    <x v="1369"/>
    <x v="8"/>
    <x v="2"/>
    <x v="2"/>
    <x v="26"/>
  </r>
  <r>
    <x v="4"/>
    <x v="2256"/>
    <n v="1"/>
    <x v="20"/>
    <x v="13"/>
    <x v="150"/>
    <x v="151"/>
    <x v="150"/>
    <x v="8"/>
    <x v="4"/>
    <x v="7"/>
    <x v="18"/>
  </r>
  <r>
    <x v="4"/>
    <x v="2257"/>
    <n v="1"/>
    <x v="20"/>
    <x v="13"/>
    <x v="151"/>
    <x v="152"/>
    <x v="151"/>
    <x v="8"/>
    <x v="5"/>
    <x v="7"/>
    <x v="18"/>
  </r>
  <r>
    <x v="4"/>
    <x v="2258"/>
    <n v="2"/>
    <x v="20"/>
    <x v="14"/>
    <x v="152"/>
    <x v="153"/>
    <x v="152"/>
    <x v="8"/>
    <x v="2"/>
    <x v="8"/>
    <x v="2"/>
  </r>
  <r>
    <x v="4"/>
    <x v="2259"/>
    <n v="1"/>
    <x v="20"/>
    <x v="14"/>
    <x v="153"/>
    <x v="154"/>
    <x v="153"/>
    <x v="8"/>
    <x v="2"/>
    <x v="5"/>
    <x v="16"/>
  </r>
  <r>
    <x v="4"/>
    <x v="2260"/>
    <n v="8"/>
    <x v="20"/>
    <x v="0"/>
    <x v="56"/>
    <x v="56"/>
    <x v="56"/>
    <x v="7"/>
    <x v="2"/>
    <x v="1"/>
    <x v="5"/>
  </r>
  <r>
    <x v="4"/>
    <x v="2261"/>
    <n v="4"/>
    <x v="20"/>
    <x v="0"/>
    <x v="1384"/>
    <x v="1403"/>
    <x v="1370"/>
    <x v="14"/>
    <x v="2"/>
    <x v="1"/>
    <x v="20"/>
  </r>
  <r>
    <x v="4"/>
    <x v="2262"/>
    <n v="2"/>
    <x v="20"/>
    <x v="0"/>
    <x v="117"/>
    <x v="118"/>
    <x v="117"/>
    <x v="6"/>
    <x v="2"/>
    <x v="1"/>
    <x v="5"/>
  </r>
  <r>
    <x v="4"/>
    <x v="2263"/>
    <n v="2"/>
    <x v="20"/>
    <x v="0"/>
    <x v="1385"/>
    <x v="1404"/>
    <x v="1371"/>
    <x v="7"/>
    <x v="2"/>
    <x v="1"/>
    <x v="7"/>
  </r>
  <r>
    <x v="4"/>
    <x v="2264"/>
    <n v="1"/>
    <x v="20"/>
    <x v="181"/>
    <x v="1386"/>
    <x v="1405"/>
    <x v="1372"/>
    <x v="0"/>
    <x v="0"/>
    <x v="0"/>
    <x v="0"/>
  </r>
  <r>
    <x v="4"/>
    <x v="2265"/>
    <n v="1"/>
    <x v="20"/>
    <x v="181"/>
    <x v="1387"/>
    <x v="1406"/>
    <x v="1373"/>
    <x v="9"/>
    <x v="1"/>
    <x v="0"/>
    <x v="0"/>
  </r>
  <r>
    <x v="4"/>
    <x v="2266"/>
    <n v="1"/>
    <x v="20"/>
    <x v="181"/>
    <x v="1388"/>
    <x v="1407"/>
    <x v="1374"/>
    <x v="8"/>
    <x v="2"/>
    <x v="2"/>
    <x v="26"/>
  </r>
  <r>
    <x v="4"/>
    <x v="2267"/>
    <n v="1"/>
    <x v="20"/>
    <x v="181"/>
    <x v="266"/>
    <x v="268"/>
    <x v="264"/>
    <x v="8"/>
    <x v="2"/>
    <x v="10"/>
    <x v="25"/>
  </r>
  <r>
    <x v="4"/>
    <x v="2268"/>
    <n v="2"/>
    <x v="20"/>
    <x v="181"/>
    <x v="231"/>
    <x v="232"/>
    <x v="231"/>
    <x v="4"/>
    <x v="2"/>
    <x v="1"/>
    <x v="5"/>
  </r>
  <r>
    <x v="4"/>
    <x v="2269"/>
    <n v="2"/>
    <x v="20"/>
    <x v="181"/>
    <x v="267"/>
    <x v="269"/>
    <x v="265"/>
    <x v="4"/>
    <x v="2"/>
    <x v="1"/>
    <x v="3"/>
  </r>
  <r>
    <x v="4"/>
    <x v="2270"/>
    <n v="2"/>
    <x v="20"/>
    <x v="181"/>
    <x v="1389"/>
    <x v="1408"/>
    <x v="1375"/>
    <x v="8"/>
    <x v="2"/>
    <x v="10"/>
    <x v="25"/>
  </r>
  <r>
    <x v="4"/>
    <x v="2271"/>
    <n v="4"/>
    <x v="20"/>
    <x v="0"/>
    <x v="1390"/>
    <x v="1409"/>
    <x v="1376"/>
    <x v="11"/>
    <x v="2"/>
    <x v="1"/>
    <x v="9"/>
  </r>
  <r>
    <x v="4"/>
    <x v="1538"/>
    <n v="4"/>
    <x v="20"/>
    <x v="0"/>
    <x v="54"/>
    <x v="54"/>
    <x v="54"/>
    <x v="4"/>
    <x v="2"/>
    <x v="1"/>
    <x v="3"/>
  </r>
  <r>
    <x v="4"/>
    <x v="2272"/>
    <n v="1"/>
    <x v="20"/>
    <x v="182"/>
    <x v="1391"/>
    <x v="1410"/>
    <x v="1377"/>
    <x v="0"/>
    <x v="0"/>
    <x v="0"/>
    <x v="0"/>
  </r>
  <r>
    <x v="4"/>
    <x v="2273"/>
    <n v="1"/>
    <x v="20"/>
    <x v="182"/>
    <x v="539"/>
    <x v="549"/>
    <x v="533"/>
    <x v="8"/>
    <x v="2"/>
    <x v="4"/>
    <x v="13"/>
  </r>
  <r>
    <x v="4"/>
    <x v="2274"/>
    <n v="1"/>
    <x v="20"/>
    <x v="182"/>
    <x v="1392"/>
    <x v="1411"/>
    <x v="1378"/>
    <x v="9"/>
    <x v="1"/>
    <x v="0"/>
    <x v="0"/>
  </r>
  <r>
    <x v="4"/>
    <x v="2275"/>
    <n v="1"/>
    <x v="20"/>
    <x v="182"/>
    <x v="544"/>
    <x v="554"/>
    <x v="534"/>
    <x v="6"/>
    <x v="2"/>
    <x v="4"/>
    <x v="5"/>
  </r>
  <r>
    <x v="4"/>
    <x v="2276"/>
    <n v="1"/>
    <x v="20"/>
    <x v="182"/>
    <x v="591"/>
    <x v="601"/>
    <x v="581"/>
    <x v="4"/>
    <x v="2"/>
    <x v="1"/>
    <x v="13"/>
  </r>
  <r>
    <x v="4"/>
    <x v="2277"/>
    <n v="1"/>
    <x v="20"/>
    <x v="183"/>
    <x v="1190"/>
    <x v="1206"/>
    <x v="184"/>
    <x v="0"/>
    <x v="3"/>
    <x v="0"/>
    <x v="0"/>
  </r>
  <r>
    <x v="4"/>
    <x v="2278"/>
    <n v="1"/>
    <x v="20"/>
    <x v="183"/>
    <x v="1191"/>
    <x v="1207"/>
    <x v="185"/>
    <x v="12"/>
    <x v="3"/>
    <x v="0"/>
    <x v="0"/>
  </r>
  <r>
    <x v="4"/>
    <x v="2279"/>
    <n v="2"/>
    <x v="20"/>
    <x v="183"/>
    <x v="532"/>
    <x v="542"/>
    <x v="387"/>
    <x v="7"/>
    <x v="2"/>
    <x v="1"/>
    <x v="11"/>
  </r>
  <r>
    <x v="4"/>
    <x v="2280"/>
    <n v="2"/>
    <x v="20"/>
    <x v="0"/>
    <x v="234"/>
    <x v="235"/>
    <x v="234"/>
    <x v="4"/>
    <x v="2"/>
    <x v="1"/>
    <x v="5"/>
  </r>
  <r>
    <x v="4"/>
    <x v="2281"/>
    <n v="2"/>
    <x v="20"/>
    <x v="0"/>
    <x v="226"/>
    <x v="227"/>
    <x v="226"/>
    <x v="7"/>
    <x v="2"/>
    <x v="1"/>
    <x v="7"/>
  </r>
  <r>
    <x v="4"/>
    <x v="2282"/>
    <n v="3"/>
    <x v="20"/>
    <x v="0"/>
    <x v="274"/>
    <x v="276"/>
    <x v="272"/>
    <x v="8"/>
    <x v="2"/>
    <x v="2"/>
    <x v="27"/>
  </r>
  <r>
    <x v="4"/>
    <x v="2283"/>
    <n v="2"/>
    <x v="20"/>
    <x v="0"/>
    <x v="1393"/>
    <x v="1412"/>
    <x v="1379"/>
    <x v="7"/>
    <x v="2"/>
    <x v="1"/>
    <x v="5"/>
  </r>
  <r>
    <x v="4"/>
    <x v="2284"/>
    <n v="2"/>
    <x v="20"/>
    <x v="0"/>
    <x v="147"/>
    <x v="148"/>
    <x v="147"/>
    <x v="4"/>
    <x v="2"/>
    <x v="1"/>
    <x v="3"/>
  </r>
  <r>
    <x v="4"/>
    <x v="2285"/>
    <n v="2"/>
    <x v="20"/>
    <x v="0"/>
    <x v="52"/>
    <x v="52"/>
    <x v="52"/>
    <x v="5"/>
    <x v="2"/>
    <x v="1"/>
    <x v="2"/>
  </r>
  <r>
    <x v="5"/>
    <x v="2286"/>
    <n v="1"/>
    <x v="41"/>
    <x v="0"/>
    <x v="1394"/>
    <x v="1413"/>
    <x v="1380"/>
    <x v="0"/>
    <x v="0"/>
    <x v="0"/>
    <x v="0"/>
  </r>
  <r>
    <x v="5"/>
    <x v="2287"/>
    <n v="1"/>
    <x v="41"/>
    <x v="0"/>
    <x v="1395"/>
    <x v="1414"/>
    <x v="1381"/>
    <x v="3"/>
    <x v="1"/>
    <x v="0"/>
    <x v="0"/>
  </r>
  <r>
    <x v="5"/>
    <x v="2288"/>
    <n v="1"/>
    <x v="41"/>
    <x v="0"/>
    <x v="1396"/>
    <x v="1415"/>
    <x v="1382"/>
    <x v="1"/>
    <x v="1"/>
    <x v="0"/>
    <x v="0"/>
  </r>
  <r>
    <x v="5"/>
    <x v="2289"/>
    <n v="1"/>
    <x v="41"/>
    <x v="0"/>
    <x v="1397"/>
    <x v="1416"/>
    <x v="1383"/>
    <x v="10"/>
    <x v="1"/>
    <x v="0"/>
    <x v="0"/>
  </r>
  <r>
    <x v="5"/>
    <x v="2290"/>
    <n v="1"/>
    <x v="42"/>
    <x v="0"/>
    <x v="1398"/>
    <x v="1417"/>
    <x v="1384"/>
    <x v="0"/>
    <x v="0"/>
    <x v="0"/>
    <x v="0"/>
  </r>
  <r>
    <x v="5"/>
    <x v="2291"/>
    <n v="1"/>
    <x v="42"/>
    <x v="0"/>
    <x v="1399"/>
    <x v="1418"/>
    <x v="1385"/>
    <x v="8"/>
    <x v="1"/>
    <x v="0"/>
    <x v="0"/>
  </r>
  <r>
    <x v="5"/>
    <x v="2292"/>
    <n v="1"/>
    <x v="42"/>
    <x v="0"/>
    <x v="1400"/>
    <x v="1419"/>
    <x v="1386"/>
    <x v="10"/>
    <x v="1"/>
    <x v="0"/>
    <x v="0"/>
  </r>
  <r>
    <x v="5"/>
    <x v="2293"/>
    <n v="1"/>
    <x v="42"/>
    <x v="0"/>
    <x v="1401"/>
    <x v="1420"/>
    <x v="1387"/>
    <x v="10"/>
    <x v="1"/>
    <x v="0"/>
    <x v="0"/>
  </r>
  <r>
    <x v="5"/>
    <x v="2294"/>
    <n v="1"/>
    <x v="42"/>
    <x v="0"/>
    <x v="1402"/>
    <x v="1421"/>
    <x v="1388"/>
    <x v="9"/>
    <x v="1"/>
    <x v="0"/>
    <x v="0"/>
  </r>
  <r>
    <x v="5"/>
    <x v="2295"/>
    <n v="1"/>
    <x v="42"/>
    <x v="184"/>
    <x v="1403"/>
    <x v="1422"/>
    <x v="1389"/>
    <x v="0"/>
    <x v="1"/>
    <x v="0"/>
    <x v="0"/>
  </r>
  <r>
    <x v="5"/>
    <x v="2296"/>
    <n v="1"/>
    <x v="42"/>
    <x v="184"/>
    <x v="1404"/>
    <x v="1423"/>
    <x v="1390"/>
    <x v="1"/>
    <x v="1"/>
    <x v="0"/>
    <x v="0"/>
  </r>
  <r>
    <x v="5"/>
    <x v="2297"/>
    <n v="1"/>
    <x v="42"/>
    <x v="184"/>
    <x v="1405"/>
    <x v="1424"/>
    <x v="1391"/>
    <x v="10"/>
    <x v="1"/>
    <x v="0"/>
    <x v="0"/>
  </r>
  <r>
    <x v="5"/>
    <x v="2298"/>
    <n v="1"/>
    <x v="42"/>
    <x v="184"/>
    <x v="1406"/>
    <x v="1425"/>
    <x v="1392"/>
    <x v="1"/>
    <x v="1"/>
    <x v="0"/>
    <x v="0"/>
  </r>
  <r>
    <x v="5"/>
    <x v="2299"/>
    <n v="1"/>
    <x v="42"/>
    <x v="184"/>
    <x v="1407"/>
    <x v="1426"/>
    <x v="1393"/>
    <x v="10"/>
    <x v="1"/>
    <x v="0"/>
    <x v="0"/>
  </r>
  <r>
    <x v="5"/>
    <x v="2300"/>
    <n v="1"/>
    <x v="42"/>
    <x v="184"/>
    <x v="1408"/>
    <x v="1427"/>
    <x v="1394"/>
    <x v="10"/>
    <x v="1"/>
    <x v="0"/>
    <x v="0"/>
  </r>
  <r>
    <x v="5"/>
    <x v="2301"/>
    <n v="1"/>
    <x v="42"/>
    <x v="184"/>
    <x v="1409"/>
    <x v="1428"/>
    <x v="1395"/>
    <x v="10"/>
    <x v="1"/>
    <x v="0"/>
    <x v="0"/>
  </r>
  <r>
    <x v="5"/>
    <x v="2302"/>
    <n v="1"/>
    <x v="42"/>
    <x v="184"/>
    <x v="1410"/>
    <x v="1429"/>
    <x v="1396"/>
    <x v="8"/>
    <x v="0"/>
    <x v="7"/>
    <x v="18"/>
  </r>
  <r>
    <x v="5"/>
    <x v="2303"/>
    <n v="1"/>
    <x v="42"/>
    <x v="184"/>
    <x v="1411"/>
    <x v="1430"/>
    <x v="1397"/>
    <x v="1"/>
    <x v="1"/>
    <x v="0"/>
    <x v="0"/>
  </r>
  <r>
    <x v="5"/>
    <x v="2304"/>
    <n v="1"/>
    <x v="42"/>
    <x v="184"/>
    <x v="1412"/>
    <x v="1431"/>
    <x v="1398"/>
    <x v="1"/>
    <x v="1"/>
    <x v="0"/>
    <x v="0"/>
  </r>
  <r>
    <x v="5"/>
    <x v="2305"/>
    <n v="1"/>
    <x v="42"/>
    <x v="184"/>
    <x v="1413"/>
    <x v="1432"/>
    <x v="1399"/>
    <x v="10"/>
    <x v="1"/>
    <x v="0"/>
    <x v="0"/>
  </r>
  <r>
    <x v="5"/>
    <x v="2306"/>
    <n v="1"/>
    <x v="42"/>
    <x v="184"/>
    <x v="1414"/>
    <x v="1433"/>
    <x v="1400"/>
    <x v="8"/>
    <x v="2"/>
    <x v="2"/>
    <x v="10"/>
  </r>
  <r>
    <x v="5"/>
    <x v="2307"/>
    <n v="2"/>
    <x v="42"/>
    <x v="184"/>
    <x v="385"/>
    <x v="391"/>
    <x v="384"/>
    <x v="4"/>
    <x v="2"/>
    <x v="1"/>
    <x v="7"/>
  </r>
  <r>
    <x v="5"/>
    <x v="2308"/>
    <n v="4"/>
    <x v="42"/>
    <x v="184"/>
    <x v="67"/>
    <x v="67"/>
    <x v="67"/>
    <x v="6"/>
    <x v="2"/>
    <x v="1"/>
    <x v="4"/>
  </r>
  <r>
    <x v="5"/>
    <x v="2309"/>
    <n v="3"/>
    <x v="42"/>
    <x v="0"/>
    <x v="130"/>
    <x v="131"/>
    <x v="130"/>
    <x v="7"/>
    <x v="2"/>
    <x v="1"/>
    <x v="7"/>
  </r>
  <r>
    <x v="5"/>
    <x v="2310"/>
    <n v="1"/>
    <x v="42"/>
    <x v="0"/>
    <x v="234"/>
    <x v="235"/>
    <x v="234"/>
    <x v="4"/>
    <x v="2"/>
    <x v="1"/>
    <x v="5"/>
  </r>
  <r>
    <x v="5"/>
    <x v="2311"/>
    <n v="2"/>
    <x v="42"/>
    <x v="68"/>
    <x v="379"/>
    <x v="385"/>
    <x v="378"/>
    <x v="0"/>
    <x v="3"/>
    <x v="0"/>
    <x v="0"/>
  </r>
  <r>
    <x v="5"/>
    <x v="2312"/>
    <n v="1"/>
    <x v="42"/>
    <x v="68"/>
    <x v="380"/>
    <x v="386"/>
    <x v="379"/>
    <x v="8"/>
    <x v="2"/>
    <x v="3"/>
    <x v="12"/>
  </r>
  <r>
    <x v="5"/>
    <x v="2313"/>
    <n v="1"/>
    <x v="42"/>
    <x v="68"/>
    <x v="381"/>
    <x v="387"/>
    <x v="380"/>
    <x v="11"/>
    <x v="3"/>
    <x v="0"/>
    <x v="0"/>
  </r>
  <r>
    <x v="5"/>
    <x v="2314"/>
    <n v="3"/>
    <x v="42"/>
    <x v="0"/>
    <x v="513"/>
    <x v="523"/>
    <x v="511"/>
    <x v="7"/>
    <x v="2"/>
    <x v="1"/>
    <x v="12"/>
  </r>
  <r>
    <x v="5"/>
    <x v="2315"/>
    <n v="3"/>
    <x v="42"/>
    <x v="0"/>
    <x v="1042"/>
    <x v="1056"/>
    <x v="1033"/>
    <x v="16"/>
    <x v="2"/>
    <x v="9"/>
    <x v="12"/>
  </r>
  <r>
    <x v="5"/>
    <x v="2316"/>
    <n v="3"/>
    <x v="42"/>
    <x v="0"/>
    <x v="382"/>
    <x v="388"/>
    <x v="381"/>
    <x v="7"/>
    <x v="2"/>
    <x v="3"/>
    <x v="5"/>
  </r>
  <r>
    <x v="5"/>
    <x v="2317"/>
    <n v="1"/>
    <x v="42"/>
    <x v="141"/>
    <x v="376"/>
    <x v="382"/>
    <x v="375"/>
    <x v="0"/>
    <x v="3"/>
    <x v="0"/>
    <x v="0"/>
  </r>
  <r>
    <x v="5"/>
    <x v="2318"/>
    <n v="1"/>
    <x v="42"/>
    <x v="141"/>
    <x v="377"/>
    <x v="383"/>
    <x v="376"/>
    <x v="8"/>
    <x v="2"/>
    <x v="3"/>
    <x v="12"/>
  </r>
  <r>
    <x v="5"/>
    <x v="2319"/>
    <n v="1"/>
    <x v="42"/>
    <x v="141"/>
    <x v="378"/>
    <x v="384"/>
    <x v="377"/>
    <x v="11"/>
    <x v="3"/>
    <x v="0"/>
    <x v="0"/>
  </r>
  <r>
    <x v="5"/>
    <x v="2320"/>
    <n v="2"/>
    <x v="42"/>
    <x v="0"/>
    <x v="297"/>
    <x v="300"/>
    <x v="296"/>
    <x v="4"/>
    <x v="2"/>
    <x v="1"/>
    <x v="3"/>
  </r>
  <r>
    <x v="5"/>
    <x v="2321"/>
    <n v="3"/>
    <x v="42"/>
    <x v="0"/>
    <x v="146"/>
    <x v="147"/>
    <x v="146"/>
    <x v="11"/>
    <x v="2"/>
    <x v="1"/>
    <x v="9"/>
  </r>
  <r>
    <x v="5"/>
    <x v="2322"/>
    <n v="3"/>
    <x v="42"/>
    <x v="0"/>
    <x v="1140"/>
    <x v="1155"/>
    <x v="1132"/>
    <x v="11"/>
    <x v="2"/>
    <x v="1"/>
    <x v="9"/>
  </r>
  <r>
    <x v="5"/>
    <x v="2323"/>
    <n v="1"/>
    <x v="42"/>
    <x v="0"/>
    <x v="224"/>
    <x v="225"/>
    <x v="224"/>
    <x v="7"/>
    <x v="2"/>
    <x v="1"/>
    <x v="6"/>
  </r>
  <r>
    <x v="5"/>
    <x v="2324"/>
    <n v="3"/>
    <x v="42"/>
    <x v="0"/>
    <x v="385"/>
    <x v="391"/>
    <x v="384"/>
    <x v="4"/>
    <x v="2"/>
    <x v="1"/>
    <x v="7"/>
  </r>
  <r>
    <x v="5"/>
    <x v="2325"/>
    <n v="1"/>
    <x v="42"/>
    <x v="185"/>
    <x v="1415"/>
    <x v="1434"/>
    <x v="1401"/>
    <x v="0"/>
    <x v="0"/>
    <x v="0"/>
    <x v="0"/>
  </r>
  <r>
    <x v="5"/>
    <x v="2326"/>
    <n v="1"/>
    <x v="42"/>
    <x v="185"/>
    <x v="1416"/>
    <x v="1435"/>
    <x v="1402"/>
    <x v="1"/>
    <x v="1"/>
    <x v="0"/>
    <x v="0"/>
  </r>
  <r>
    <x v="5"/>
    <x v="2327"/>
    <n v="4"/>
    <x v="42"/>
    <x v="185"/>
    <x v="148"/>
    <x v="149"/>
    <x v="148"/>
    <x v="11"/>
    <x v="2"/>
    <x v="1"/>
    <x v="9"/>
  </r>
  <r>
    <x v="5"/>
    <x v="2328"/>
    <n v="8"/>
    <x v="42"/>
    <x v="185"/>
    <x v="116"/>
    <x v="117"/>
    <x v="116"/>
    <x v="6"/>
    <x v="2"/>
    <x v="1"/>
    <x v="7"/>
  </r>
  <r>
    <x v="5"/>
    <x v="2329"/>
    <n v="1"/>
    <x v="42"/>
    <x v="186"/>
    <x v="157"/>
    <x v="158"/>
    <x v="157"/>
    <x v="8"/>
    <x v="4"/>
    <x v="7"/>
    <x v="18"/>
  </r>
  <r>
    <x v="5"/>
    <x v="2330"/>
    <n v="1"/>
    <x v="42"/>
    <x v="186"/>
    <x v="158"/>
    <x v="159"/>
    <x v="158"/>
    <x v="8"/>
    <x v="5"/>
    <x v="7"/>
    <x v="18"/>
  </r>
  <r>
    <x v="5"/>
    <x v="2331"/>
    <n v="1"/>
    <x v="42"/>
    <x v="186"/>
    <x v="153"/>
    <x v="154"/>
    <x v="153"/>
    <x v="8"/>
    <x v="2"/>
    <x v="5"/>
    <x v="16"/>
  </r>
  <r>
    <x v="5"/>
    <x v="2332"/>
    <n v="1"/>
    <x v="43"/>
    <x v="0"/>
    <x v="1417"/>
    <x v="1436"/>
    <x v="1403"/>
    <x v="0"/>
    <x v="0"/>
    <x v="0"/>
    <x v="0"/>
  </r>
  <r>
    <x v="5"/>
    <x v="2333"/>
    <n v="1"/>
    <x v="43"/>
    <x v="0"/>
    <x v="1418"/>
    <x v="1437"/>
    <x v="1404"/>
    <x v="3"/>
    <x v="1"/>
    <x v="0"/>
    <x v="0"/>
  </r>
  <r>
    <x v="5"/>
    <x v="2334"/>
    <n v="1"/>
    <x v="43"/>
    <x v="0"/>
    <x v="1419"/>
    <x v="1438"/>
    <x v="1405"/>
    <x v="3"/>
    <x v="1"/>
    <x v="0"/>
    <x v="0"/>
  </r>
  <r>
    <x v="5"/>
    <x v="2335"/>
    <n v="1"/>
    <x v="43"/>
    <x v="0"/>
    <x v="1420"/>
    <x v="1439"/>
    <x v="1406"/>
    <x v="3"/>
    <x v="1"/>
    <x v="0"/>
    <x v="0"/>
  </r>
  <r>
    <x v="5"/>
    <x v="2336"/>
    <n v="1"/>
    <x v="43"/>
    <x v="0"/>
    <x v="1421"/>
    <x v="1440"/>
    <x v="1407"/>
    <x v="3"/>
    <x v="1"/>
    <x v="0"/>
    <x v="0"/>
  </r>
  <r>
    <x v="5"/>
    <x v="2337"/>
    <n v="1"/>
    <x v="43"/>
    <x v="0"/>
    <x v="1422"/>
    <x v="1441"/>
    <x v="1408"/>
    <x v="3"/>
    <x v="1"/>
    <x v="0"/>
    <x v="0"/>
  </r>
  <r>
    <x v="5"/>
    <x v="2338"/>
    <n v="1"/>
    <x v="43"/>
    <x v="0"/>
    <x v="1423"/>
    <x v="1442"/>
    <x v="1409"/>
    <x v="1"/>
    <x v="1"/>
    <x v="0"/>
    <x v="0"/>
  </r>
  <r>
    <x v="5"/>
    <x v="2339"/>
    <n v="1"/>
    <x v="43"/>
    <x v="0"/>
    <x v="1424"/>
    <x v="1443"/>
    <x v="1410"/>
    <x v="1"/>
    <x v="1"/>
    <x v="0"/>
    <x v="0"/>
  </r>
  <r>
    <x v="5"/>
    <x v="2340"/>
    <n v="1"/>
    <x v="43"/>
    <x v="0"/>
    <x v="1425"/>
    <x v="1444"/>
    <x v="1411"/>
    <x v="1"/>
    <x v="1"/>
    <x v="0"/>
    <x v="0"/>
  </r>
  <r>
    <x v="5"/>
    <x v="2341"/>
    <n v="1"/>
    <x v="43"/>
    <x v="0"/>
    <x v="1426"/>
    <x v="1445"/>
    <x v="1412"/>
    <x v="1"/>
    <x v="1"/>
    <x v="0"/>
    <x v="0"/>
  </r>
  <r>
    <x v="5"/>
    <x v="2342"/>
    <n v="1"/>
    <x v="43"/>
    <x v="0"/>
    <x v="1427"/>
    <x v="1446"/>
    <x v="1413"/>
    <x v="1"/>
    <x v="1"/>
    <x v="0"/>
    <x v="0"/>
  </r>
  <r>
    <x v="5"/>
    <x v="2343"/>
    <n v="1"/>
    <x v="43"/>
    <x v="0"/>
    <x v="1428"/>
    <x v="1447"/>
    <x v="1414"/>
    <x v="1"/>
    <x v="1"/>
    <x v="0"/>
    <x v="0"/>
  </r>
  <r>
    <x v="5"/>
    <x v="2344"/>
    <n v="1"/>
    <x v="43"/>
    <x v="0"/>
    <x v="1429"/>
    <x v="1448"/>
    <x v="1415"/>
    <x v="1"/>
    <x v="1"/>
    <x v="0"/>
    <x v="0"/>
  </r>
  <r>
    <x v="5"/>
    <x v="2345"/>
    <n v="1"/>
    <x v="43"/>
    <x v="0"/>
    <x v="1430"/>
    <x v="1449"/>
    <x v="1416"/>
    <x v="1"/>
    <x v="1"/>
    <x v="0"/>
    <x v="0"/>
  </r>
  <r>
    <x v="5"/>
    <x v="2346"/>
    <n v="1"/>
    <x v="43"/>
    <x v="0"/>
    <x v="1431"/>
    <x v="1450"/>
    <x v="1417"/>
    <x v="1"/>
    <x v="1"/>
    <x v="0"/>
    <x v="0"/>
  </r>
  <r>
    <x v="5"/>
    <x v="2347"/>
    <n v="1"/>
    <x v="43"/>
    <x v="0"/>
    <x v="1432"/>
    <x v="1451"/>
    <x v="1418"/>
    <x v="1"/>
    <x v="1"/>
    <x v="0"/>
    <x v="0"/>
  </r>
  <r>
    <x v="5"/>
    <x v="2348"/>
    <n v="1"/>
    <x v="43"/>
    <x v="0"/>
    <x v="1433"/>
    <x v="1452"/>
    <x v="1419"/>
    <x v="1"/>
    <x v="1"/>
    <x v="0"/>
    <x v="0"/>
  </r>
  <r>
    <x v="5"/>
    <x v="2349"/>
    <n v="1"/>
    <x v="43"/>
    <x v="0"/>
    <x v="1434"/>
    <x v="1453"/>
    <x v="992"/>
    <x v="3"/>
    <x v="1"/>
    <x v="0"/>
    <x v="0"/>
  </r>
  <r>
    <x v="5"/>
    <x v="2350"/>
    <n v="1"/>
    <x v="43"/>
    <x v="0"/>
    <x v="1435"/>
    <x v="1454"/>
    <x v="1420"/>
    <x v="1"/>
    <x v="1"/>
    <x v="0"/>
    <x v="0"/>
  </r>
  <r>
    <x v="5"/>
    <x v="2351"/>
    <n v="1"/>
    <x v="43"/>
    <x v="0"/>
    <x v="1436"/>
    <x v="1455"/>
    <x v="994"/>
    <x v="3"/>
    <x v="1"/>
    <x v="0"/>
    <x v="0"/>
  </r>
  <r>
    <x v="5"/>
    <x v="2352"/>
    <n v="5"/>
    <x v="43"/>
    <x v="0"/>
    <x v="1437"/>
    <x v="1456"/>
    <x v="1421"/>
    <x v="1"/>
    <x v="1"/>
    <x v="0"/>
    <x v="0"/>
  </r>
  <r>
    <x v="5"/>
    <x v="2353"/>
    <n v="4"/>
    <x v="43"/>
    <x v="0"/>
    <x v="1438"/>
    <x v="1457"/>
    <x v="1422"/>
    <x v="1"/>
    <x v="1"/>
    <x v="0"/>
    <x v="0"/>
  </r>
  <r>
    <x v="5"/>
    <x v="2354"/>
    <n v="1"/>
    <x v="43"/>
    <x v="0"/>
    <x v="1439"/>
    <x v="1458"/>
    <x v="1423"/>
    <x v="1"/>
    <x v="1"/>
    <x v="0"/>
    <x v="0"/>
  </r>
  <r>
    <x v="5"/>
    <x v="2355"/>
    <n v="1"/>
    <x v="43"/>
    <x v="0"/>
    <x v="1440"/>
    <x v="1459"/>
    <x v="1424"/>
    <x v="3"/>
    <x v="1"/>
    <x v="0"/>
    <x v="0"/>
  </r>
  <r>
    <x v="5"/>
    <x v="2356"/>
    <n v="1"/>
    <x v="43"/>
    <x v="0"/>
    <x v="1441"/>
    <x v="1460"/>
    <x v="1425"/>
    <x v="3"/>
    <x v="1"/>
    <x v="0"/>
    <x v="0"/>
  </r>
  <r>
    <x v="5"/>
    <x v="2357"/>
    <n v="1"/>
    <x v="43"/>
    <x v="0"/>
    <x v="1442"/>
    <x v="1461"/>
    <x v="1426"/>
    <x v="3"/>
    <x v="1"/>
    <x v="0"/>
    <x v="0"/>
  </r>
  <r>
    <x v="5"/>
    <x v="2358"/>
    <n v="1"/>
    <x v="43"/>
    <x v="0"/>
    <x v="1443"/>
    <x v="1462"/>
    <x v="1427"/>
    <x v="3"/>
    <x v="1"/>
    <x v="0"/>
    <x v="0"/>
  </r>
  <r>
    <x v="5"/>
    <x v="2359"/>
    <n v="1"/>
    <x v="43"/>
    <x v="0"/>
    <x v="1444"/>
    <x v="1463"/>
    <x v="1428"/>
    <x v="3"/>
    <x v="1"/>
    <x v="0"/>
    <x v="0"/>
  </r>
  <r>
    <x v="5"/>
    <x v="2360"/>
    <n v="2"/>
    <x v="43"/>
    <x v="0"/>
    <x v="1445"/>
    <x v="1464"/>
    <x v="1004"/>
    <x v="3"/>
    <x v="1"/>
    <x v="0"/>
    <x v="0"/>
  </r>
  <r>
    <x v="5"/>
    <x v="2361"/>
    <n v="2"/>
    <x v="43"/>
    <x v="0"/>
    <x v="1446"/>
    <x v="1465"/>
    <x v="1005"/>
    <x v="3"/>
    <x v="1"/>
    <x v="0"/>
    <x v="0"/>
  </r>
  <r>
    <x v="5"/>
    <x v="2362"/>
    <n v="2"/>
    <x v="43"/>
    <x v="0"/>
    <x v="1447"/>
    <x v="1466"/>
    <x v="1006"/>
    <x v="3"/>
    <x v="1"/>
    <x v="0"/>
    <x v="0"/>
  </r>
  <r>
    <x v="5"/>
    <x v="2363"/>
    <n v="2"/>
    <x v="43"/>
    <x v="0"/>
    <x v="1448"/>
    <x v="1467"/>
    <x v="1007"/>
    <x v="3"/>
    <x v="1"/>
    <x v="0"/>
    <x v="0"/>
  </r>
  <r>
    <x v="5"/>
    <x v="2364"/>
    <n v="2"/>
    <x v="43"/>
    <x v="0"/>
    <x v="1449"/>
    <x v="1468"/>
    <x v="1008"/>
    <x v="3"/>
    <x v="1"/>
    <x v="0"/>
    <x v="0"/>
  </r>
  <r>
    <x v="5"/>
    <x v="2365"/>
    <n v="1"/>
    <x v="43"/>
    <x v="0"/>
    <x v="1450"/>
    <x v="1469"/>
    <x v="1429"/>
    <x v="11"/>
    <x v="1"/>
    <x v="0"/>
    <x v="0"/>
  </r>
  <r>
    <x v="5"/>
    <x v="2366"/>
    <n v="1"/>
    <x v="43"/>
    <x v="0"/>
    <x v="1451"/>
    <x v="1470"/>
    <x v="1430"/>
    <x v="1"/>
    <x v="1"/>
    <x v="0"/>
    <x v="0"/>
  </r>
  <r>
    <x v="5"/>
    <x v="2367"/>
    <n v="1"/>
    <x v="43"/>
    <x v="0"/>
    <x v="1452"/>
    <x v="1471"/>
    <x v="1431"/>
    <x v="1"/>
    <x v="1"/>
    <x v="0"/>
    <x v="0"/>
  </r>
  <r>
    <x v="5"/>
    <x v="2368"/>
    <n v="1"/>
    <x v="43"/>
    <x v="0"/>
    <x v="1453"/>
    <x v="1472"/>
    <x v="1432"/>
    <x v="1"/>
    <x v="1"/>
    <x v="0"/>
    <x v="0"/>
  </r>
  <r>
    <x v="5"/>
    <x v="2369"/>
    <n v="1"/>
    <x v="43"/>
    <x v="0"/>
    <x v="1454"/>
    <x v="1473"/>
    <x v="1433"/>
    <x v="1"/>
    <x v="1"/>
    <x v="0"/>
    <x v="0"/>
  </r>
  <r>
    <x v="5"/>
    <x v="2370"/>
    <n v="1"/>
    <x v="43"/>
    <x v="0"/>
    <x v="1455"/>
    <x v="1474"/>
    <x v="1434"/>
    <x v="1"/>
    <x v="1"/>
    <x v="0"/>
    <x v="0"/>
  </r>
  <r>
    <x v="5"/>
    <x v="2371"/>
    <n v="1"/>
    <x v="43"/>
    <x v="0"/>
    <x v="1456"/>
    <x v="1475"/>
    <x v="1435"/>
    <x v="1"/>
    <x v="1"/>
    <x v="0"/>
    <x v="0"/>
  </r>
  <r>
    <x v="5"/>
    <x v="2372"/>
    <n v="87"/>
    <x v="43"/>
    <x v="0"/>
    <x v="51"/>
    <x v="51"/>
    <x v="51"/>
    <x v="4"/>
    <x v="2"/>
    <x v="1"/>
    <x v="1"/>
  </r>
  <r>
    <x v="5"/>
    <x v="2373"/>
    <n v="33"/>
    <x v="43"/>
    <x v="0"/>
    <x v="53"/>
    <x v="53"/>
    <x v="53"/>
    <x v="4"/>
    <x v="2"/>
    <x v="1"/>
    <x v="3"/>
  </r>
  <r>
    <x v="5"/>
    <x v="2374"/>
    <n v="35"/>
    <x v="43"/>
    <x v="0"/>
    <x v="54"/>
    <x v="54"/>
    <x v="54"/>
    <x v="4"/>
    <x v="2"/>
    <x v="1"/>
    <x v="3"/>
  </r>
  <r>
    <x v="5"/>
    <x v="2375"/>
    <n v="73"/>
    <x v="43"/>
    <x v="0"/>
    <x v="57"/>
    <x v="57"/>
    <x v="57"/>
    <x v="4"/>
    <x v="2"/>
    <x v="1"/>
    <x v="6"/>
  </r>
  <r>
    <x v="5"/>
    <x v="2376"/>
    <n v="52"/>
    <x v="43"/>
    <x v="0"/>
    <x v="58"/>
    <x v="58"/>
    <x v="58"/>
    <x v="4"/>
    <x v="2"/>
    <x v="1"/>
    <x v="7"/>
  </r>
  <r>
    <x v="5"/>
    <x v="2377"/>
    <n v="89"/>
    <x v="43"/>
    <x v="0"/>
    <x v="56"/>
    <x v="56"/>
    <x v="56"/>
    <x v="7"/>
    <x v="2"/>
    <x v="1"/>
    <x v="5"/>
  </r>
  <r>
    <x v="5"/>
    <x v="2378"/>
    <n v="55"/>
    <x v="43"/>
    <x v="0"/>
    <x v="55"/>
    <x v="55"/>
    <x v="55"/>
    <x v="6"/>
    <x v="2"/>
    <x v="1"/>
    <x v="4"/>
  </r>
  <r>
    <x v="5"/>
    <x v="2379"/>
    <n v="18"/>
    <x v="43"/>
    <x v="0"/>
    <x v="67"/>
    <x v="67"/>
    <x v="67"/>
    <x v="6"/>
    <x v="2"/>
    <x v="1"/>
    <x v="4"/>
  </r>
  <r>
    <x v="5"/>
    <x v="2380"/>
    <n v="33"/>
    <x v="43"/>
    <x v="0"/>
    <x v="52"/>
    <x v="52"/>
    <x v="52"/>
    <x v="5"/>
    <x v="2"/>
    <x v="1"/>
    <x v="2"/>
  </r>
  <r>
    <x v="5"/>
    <x v="2381"/>
    <n v="5"/>
    <x v="43"/>
    <x v="0"/>
    <x v="1025"/>
    <x v="1039"/>
    <x v="1016"/>
    <x v="7"/>
    <x v="2"/>
    <x v="1"/>
    <x v="7"/>
  </r>
  <r>
    <x v="5"/>
    <x v="2382"/>
    <n v="3"/>
    <x v="43"/>
    <x v="0"/>
    <x v="646"/>
    <x v="657"/>
    <x v="635"/>
    <x v="0"/>
    <x v="2"/>
    <x v="8"/>
    <x v="2"/>
  </r>
  <r>
    <x v="5"/>
    <x v="2383"/>
    <n v="3"/>
    <x v="43"/>
    <x v="0"/>
    <x v="1026"/>
    <x v="1040"/>
    <x v="1017"/>
    <x v="4"/>
    <x v="2"/>
    <x v="1"/>
    <x v="7"/>
  </r>
  <r>
    <x v="5"/>
    <x v="2384"/>
    <n v="3"/>
    <x v="43"/>
    <x v="0"/>
    <x v="130"/>
    <x v="131"/>
    <x v="130"/>
    <x v="7"/>
    <x v="2"/>
    <x v="1"/>
    <x v="7"/>
  </r>
  <r>
    <x v="5"/>
    <x v="2385"/>
    <n v="8"/>
    <x v="43"/>
    <x v="0"/>
    <x v="68"/>
    <x v="68"/>
    <x v="68"/>
    <x v="6"/>
    <x v="2"/>
    <x v="1"/>
    <x v="4"/>
  </r>
  <r>
    <x v="5"/>
    <x v="2386"/>
    <n v="1"/>
    <x v="44"/>
    <x v="0"/>
    <x v="1457"/>
    <x v="1476"/>
    <x v="1436"/>
    <x v="0"/>
    <x v="0"/>
    <x v="0"/>
    <x v="0"/>
  </r>
  <r>
    <x v="5"/>
    <x v="2387"/>
    <n v="1"/>
    <x v="44"/>
    <x v="0"/>
    <x v="1458"/>
    <x v="1477"/>
    <x v="1437"/>
    <x v="8"/>
    <x v="1"/>
    <x v="0"/>
    <x v="0"/>
  </r>
  <r>
    <x v="5"/>
    <x v="2388"/>
    <n v="1"/>
    <x v="44"/>
    <x v="0"/>
    <x v="1459"/>
    <x v="1478"/>
    <x v="1438"/>
    <x v="10"/>
    <x v="1"/>
    <x v="0"/>
    <x v="0"/>
  </r>
  <r>
    <x v="5"/>
    <x v="2389"/>
    <n v="1"/>
    <x v="44"/>
    <x v="0"/>
    <x v="1460"/>
    <x v="1479"/>
    <x v="1439"/>
    <x v="10"/>
    <x v="1"/>
    <x v="0"/>
    <x v="0"/>
  </r>
  <r>
    <x v="5"/>
    <x v="2390"/>
    <n v="1"/>
    <x v="44"/>
    <x v="0"/>
    <x v="1461"/>
    <x v="1480"/>
    <x v="1440"/>
    <x v="9"/>
    <x v="1"/>
    <x v="0"/>
    <x v="0"/>
  </r>
  <r>
    <x v="5"/>
    <x v="2391"/>
    <n v="1"/>
    <x v="44"/>
    <x v="0"/>
    <x v="1462"/>
    <x v="1481"/>
    <x v="1441"/>
    <x v="1"/>
    <x v="1"/>
    <x v="0"/>
    <x v="0"/>
  </r>
  <r>
    <x v="5"/>
    <x v="2392"/>
    <n v="1"/>
    <x v="44"/>
    <x v="0"/>
    <x v="1165"/>
    <x v="1181"/>
    <x v="1157"/>
    <x v="8"/>
    <x v="5"/>
    <x v="7"/>
    <x v="18"/>
  </r>
  <r>
    <x v="5"/>
    <x v="2393"/>
    <n v="2"/>
    <x v="44"/>
    <x v="187"/>
    <x v="1463"/>
    <x v="1482"/>
    <x v="1442"/>
    <x v="0"/>
    <x v="3"/>
    <x v="0"/>
    <x v="0"/>
  </r>
  <r>
    <x v="5"/>
    <x v="2394"/>
    <n v="1"/>
    <x v="44"/>
    <x v="187"/>
    <x v="1464"/>
    <x v="1483"/>
    <x v="1443"/>
    <x v="12"/>
    <x v="3"/>
    <x v="0"/>
    <x v="0"/>
  </r>
  <r>
    <x v="5"/>
    <x v="2395"/>
    <n v="2"/>
    <x v="44"/>
    <x v="187"/>
    <x v="388"/>
    <x v="394"/>
    <x v="387"/>
    <x v="7"/>
    <x v="2"/>
    <x v="1"/>
    <x v="11"/>
  </r>
  <r>
    <x v="5"/>
    <x v="2396"/>
    <n v="2"/>
    <x v="44"/>
    <x v="0"/>
    <x v="130"/>
    <x v="131"/>
    <x v="130"/>
    <x v="7"/>
    <x v="2"/>
    <x v="1"/>
    <x v="7"/>
  </r>
  <r>
    <x v="5"/>
    <x v="2397"/>
    <n v="1"/>
    <x v="44"/>
    <x v="0"/>
    <x v="234"/>
    <x v="235"/>
    <x v="234"/>
    <x v="4"/>
    <x v="2"/>
    <x v="1"/>
    <x v="5"/>
  </r>
  <r>
    <x v="5"/>
    <x v="2398"/>
    <n v="1"/>
    <x v="44"/>
    <x v="0"/>
    <x v="178"/>
    <x v="179"/>
    <x v="178"/>
    <x v="8"/>
    <x v="2"/>
    <x v="3"/>
    <x v="12"/>
  </r>
  <r>
    <x v="5"/>
    <x v="2399"/>
    <n v="2"/>
    <x v="44"/>
    <x v="0"/>
    <x v="179"/>
    <x v="180"/>
    <x v="179"/>
    <x v="8"/>
    <x v="2"/>
    <x v="9"/>
    <x v="19"/>
  </r>
  <r>
    <x v="5"/>
    <x v="2400"/>
    <n v="2"/>
    <x v="44"/>
    <x v="0"/>
    <x v="180"/>
    <x v="181"/>
    <x v="180"/>
    <x v="8"/>
    <x v="2"/>
    <x v="1"/>
    <x v="6"/>
  </r>
  <r>
    <x v="5"/>
    <x v="2401"/>
    <n v="6"/>
    <x v="44"/>
    <x v="0"/>
    <x v="181"/>
    <x v="182"/>
    <x v="181"/>
    <x v="8"/>
    <x v="2"/>
    <x v="1"/>
    <x v="5"/>
  </r>
  <r>
    <x v="5"/>
    <x v="2402"/>
    <n v="1"/>
    <x v="44"/>
    <x v="0"/>
    <x v="182"/>
    <x v="183"/>
    <x v="182"/>
    <x v="8"/>
    <x v="2"/>
    <x v="3"/>
    <x v="12"/>
  </r>
  <r>
    <x v="5"/>
    <x v="2403"/>
    <n v="2"/>
    <x v="44"/>
    <x v="0"/>
    <x v="1465"/>
    <x v="1484"/>
    <x v="1444"/>
    <x v="8"/>
    <x v="2"/>
    <x v="3"/>
    <x v="12"/>
  </r>
  <r>
    <x v="5"/>
    <x v="2404"/>
    <n v="2"/>
    <x v="44"/>
    <x v="0"/>
    <x v="739"/>
    <x v="752"/>
    <x v="730"/>
    <x v="11"/>
    <x v="2"/>
    <x v="1"/>
    <x v="9"/>
  </r>
  <r>
    <x v="5"/>
    <x v="2405"/>
    <n v="1"/>
    <x v="44"/>
    <x v="0"/>
    <x v="146"/>
    <x v="147"/>
    <x v="146"/>
    <x v="11"/>
    <x v="2"/>
    <x v="1"/>
    <x v="9"/>
  </r>
  <r>
    <x v="5"/>
    <x v="2406"/>
    <n v="2"/>
    <x v="44"/>
    <x v="0"/>
    <x v="1225"/>
    <x v="1242"/>
    <x v="1212"/>
    <x v="7"/>
    <x v="2"/>
    <x v="1"/>
    <x v="3"/>
  </r>
  <r>
    <x v="5"/>
    <x v="2407"/>
    <n v="8"/>
    <x v="44"/>
    <x v="0"/>
    <x v="116"/>
    <x v="117"/>
    <x v="116"/>
    <x v="6"/>
    <x v="2"/>
    <x v="1"/>
    <x v="7"/>
  </r>
  <r>
    <x v="5"/>
    <x v="2408"/>
    <n v="1"/>
    <x v="44"/>
    <x v="0"/>
    <x v="385"/>
    <x v="391"/>
    <x v="384"/>
    <x v="4"/>
    <x v="2"/>
    <x v="1"/>
    <x v="7"/>
  </r>
  <r>
    <x v="5"/>
    <x v="2409"/>
    <n v="5"/>
    <x v="44"/>
    <x v="0"/>
    <x v="1166"/>
    <x v="1182"/>
    <x v="1158"/>
    <x v="11"/>
    <x v="2"/>
    <x v="1"/>
    <x v="9"/>
  </r>
  <r>
    <x v="5"/>
    <x v="2410"/>
    <n v="3"/>
    <x v="44"/>
    <x v="0"/>
    <x v="76"/>
    <x v="76"/>
    <x v="76"/>
    <x v="11"/>
    <x v="2"/>
    <x v="1"/>
    <x v="9"/>
  </r>
  <r>
    <x v="5"/>
    <x v="2411"/>
    <n v="1"/>
    <x v="44"/>
    <x v="143"/>
    <x v="1158"/>
    <x v="1174"/>
    <x v="1150"/>
    <x v="0"/>
    <x v="3"/>
    <x v="0"/>
    <x v="0"/>
  </r>
  <r>
    <x v="5"/>
    <x v="2412"/>
    <n v="1"/>
    <x v="44"/>
    <x v="143"/>
    <x v="1159"/>
    <x v="1175"/>
    <x v="1151"/>
    <x v="4"/>
    <x v="2"/>
    <x v="2"/>
    <x v="34"/>
  </r>
  <r>
    <x v="5"/>
    <x v="2413"/>
    <n v="1"/>
    <x v="44"/>
    <x v="143"/>
    <x v="1160"/>
    <x v="1176"/>
    <x v="1152"/>
    <x v="7"/>
    <x v="2"/>
    <x v="1"/>
    <x v="29"/>
  </r>
  <r>
    <x v="5"/>
    <x v="2414"/>
    <n v="1"/>
    <x v="44"/>
    <x v="143"/>
    <x v="1161"/>
    <x v="1177"/>
    <x v="1153"/>
    <x v="4"/>
    <x v="2"/>
    <x v="1"/>
    <x v="6"/>
  </r>
  <r>
    <x v="5"/>
    <x v="2415"/>
    <n v="1"/>
    <x v="44"/>
    <x v="143"/>
    <x v="1162"/>
    <x v="1178"/>
    <x v="1154"/>
    <x v="4"/>
    <x v="3"/>
    <x v="0"/>
    <x v="0"/>
  </r>
  <r>
    <x v="5"/>
    <x v="2416"/>
    <n v="1"/>
    <x v="44"/>
    <x v="143"/>
    <x v="1163"/>
    <x v="1179"/>
    <x v="1155"/>
    <x v="4"/>
    <x v="2"/>
    <x v="1"/>
    <x v="9"/>
  </r>
  <r>
    <x v="5"/>
    <x v="2417"/>
    <n v="1"/>
    <x v="44"/>
    <x v="143"/>
    <x v="1164"/>
    <x v="1180"/>
    <x v="1156"/>
    <x v="0"/>
    <x v="2"/>
    <x v="3"/>
    <x v="12"/>
  </r>
  <r>
    <x v="5"/>
    <x v="2418"/>
    <n v="1"/>
    <x v="44"/>
    <x v="0"/>
    <x v="378"/>
    <x v="384"/>
    <x v="377"/>
    <x v="11"/>
    <x v="3"/>
    <x v="0"/>
    <x v="0"/>
  </r>
  <r>
    <x v="5"/>
    <x v="2419"/>
    <n v="1"/>
    <x v="44"/>
    <x v="15"/>
    <x v="157"/>
    <x v="158"/>
    <x v="157"/>
    <x v="8"/>
    <x v="4"/>
    <x v="7"/>
    <x v="18"/>
  </r>
  <r>
    <x v="5"/>
    <x v="2420"/>
    <n v="1"/>
    <x v="44"/>
    <x v="15"/>
    <x v="158"/>
    <x v="159"/>
    <x v="158"/>
    <x v="8"/>
    <x v="5"/>
    <x v="7"/>
    <x v="18"/>
  </r>
  <r>
    <x v="5"/>
    <x v="2421"/>
    <n v="1"/>
    <x v="44"/>
    <x v="15"/>
    <x v="153"/>
    <x v="154"/>
    <x v="153"/>
    <x v="8"/>
    <x v="2"/>
    <x v="5"/>
    <x v="16"/>
  </r>
  <r>
    <x v="5"/>
    <x v="2422"/>
    <n v="2"/>
    <x v="44"/>
    <x v="0"/>
    <x v="1176"/>
    <x v="1192"/>
    <x v="1168"/>
    <x v="6"/>
    <x v="2"/>
    <x v="3"/>
    <x v="5"/>
  </r>
  <r>
    <x v="5"/>
    <x v="2423"/>
    <n v="1"/>
    <x v="45"/>
    <x v="0"/>
    <x v="1466"/>
    <x v="1485"/>
    <x v="1445"/>
    <x v="0"/>
    <x v="0"/>
    <x v="0"/>
    <x v="0"/>
  </r>
  <r>
    <x v="5"/>
    <x v="2424"/>
    <n v="1"/>
    <x v="45"/>
    <x v="0"/>
    <x v="1467"/>
    <x v="1486"/>
    <x v="1446"/>
    <x v="8"/>
    <x v="1"/>
    <x v="0"/>
    <x v="0"/>
  </r>
  <r>
    <x v="5"/>
    <x v="2425"/>
    <n v="1"/>
    <x v="45"/>
    <x v="0"/>
    <x v="1468"/>
    <x v="1487"/>
    <x v="1447"/>
    <x v="10"/>
    <x v="1"/>
    <x v="0"/>
    <x v="0"/>
  </r>
  <r>
    <x v="5"/>
    <x v="2426"/>
    <n v="1"/>
    <x v="45"/>
    <x v="0"/>
    <x v="1469"/>
    <x v="1488"/>
    <x v="1448"/>
    <x v="10"/>
    <x v="1"/>
    <x v="0"/>
    <x v="0"/>
  </r>
  <r>
    <x v="5"/>
    <x v="2427"/>
    <n v="1"/>
    <x v="45"/>
    <x v="0"/>
    <x v="1470"/>
    <x v="1489"/>
    <x v="1449"/>
    <x v="9"/>
    <x v="1"/>
    <x v="0"/>
    <x v="0"/>
  </r>
  <r>
    <x v="5"/>
    <x v="2428"/>
    <n v="1"/>
    <x v="45"/>
    <x v="144"/>
    <x v="1173"/>
    <x v="1189"/>
    <x v="1165"/>
    <x v="0"/>
    <x v="3"/>
    <x v="0"/>
    <x v="0"/>
  </r>
  <r>
    <x v="5"/>
    <x v="2429"/>
    <n v="1"/>
    <x v="45"/>
    <x v="144"/>
    <x v="377"/>
    <x v="383"/>
    <x v="376"/>
    <x v="8"/>
    <x v="2"/>
    <x v="3"/>
    <x v="12"/>
  </r>
  <r>
    <x v="5"/>
    <x v="2430"/>
    <n v="1"/>
    <x v="45"/>
    <x v="144"/>
    <x v="381"/>
    <x v="387"/>
    <x v="380"/>
    <x v="11"/>
    <x v="3"/>
    <x v="0"/>
    <x v="0"/>
  </r>
  <r>
    <x v="5"/>
    <x v="2431"/>
    <n v="1"/>
    <x v="45"/>
    <x v="0"/>
    <x v="1042"/>
    <x v="1056"/>
    <x v="1033"/>
    <x v="16"/>
    <x v="2"/>
    <x v="9"/>
    <x v="12"/>
  </r>
  <r>
    <x v="5"/>
    <x v="2432"/>
    <n v="1"/>
    <x v="45"/>
    <x v="0"/>
    <x v="513"/>
    <x v="523"/>
    <x v="511"/>
    <x v="7"/>
    <x v="2"/>
    <x v="1"/>
    <x v="12"/>
  </r>
  <r>
    <x v="5"/>
    <x v="2433"/>
    <n v="1"/>
    <x v="45"/>
    <x v="0"/>
    <x v="382"/>
    <x v="388"/>
    <x v="381"/>
    <x v="7"/>
    <x v="2"/>
    <x v="3"/>
    <x v="5"/>
  </r>
  <r>
    <x v="5"/>
    <x v="2434"/>
    <n v="2"/>
    <x v="45"/>
    <x v="0"/>
    <x v="141"/>
    <x v="142"/>
    <x v="141"/>
    <x v="7"/>
    <x v="2"/>
    <x v="1"/>
    <x v="7"/>
  </r>
  <r>
    <x v="5"/>
    <x v="2435"/>
    <n v="1"/>
    <x v="46"/>
    <x v="0"/>
    <x v="1471"/>
    <x v="1490"/>
    <x v="1450"/>
    <x v="0"/>
    <x v="0"/>
    <x v="0"/>
    <x v="0"/>
  </r>
  <r>
    <x v="5"/>
    <x v="2436"/>
    <n v="1"/>
    <x v="46"/>
    <x v="0"/>
    <x v="1472"/>
    <x v="1491"/>
    <x v="1451"/>
    <x v="8"/>
    <x v="1"/>
    <x v="0"/>
    <x v="0"/>
  </r>
  <r>
    <x v="5"/>
    <x v="2437"/>
    <n v="1"/>
    <x v="46"/>
    <x v="0"/>
    <x v="1473"/>
    <x v="1492"/>
    <x v="1452"/>
    <x v="10"/>
    <x v="1"/>
    <x v="0"/>
    <x v="0"/>
  </r>
  <r>
    <x v="5"/>
    <x v="2438"/>
    <n v="1"/>
    <x v="46"/>
    <x v="0"/>
    <x v="1474"/>
    <x v="1493"/>
    <x v="1453"/>
    <x v="10"/>
    <x v="1"/>
    <x v="0"/>
    <x v="0"/>
  </r>
  <r>
    <x v="5"/>
    <x v="2439"/>
    <n v="1"/>
    <x v="46"/>
    <x v="0"/>
    <x v="1475"/>
    <x v="1494"/>
    <x v="1454"/>
    <x v="9"/>
    <x v="1"/>
    <x v="0"/>
    <x v="0"/>
  </r>
  <r>
    <x v="5"/>
    <x v="2440"/>
    <n v="1"/>
    <x v="46"/>
    <x v="0"/>
    <x v="1476"/>
    <x v="1495"/>
    <x v="1455"/>
    <x v="1"/>
    <x v="1"/>
    <x v="0"/>
    <x v="0"/>
  </r>
  <r>
    <x v="5"/>
    <x v="2441"/>
    <n v="1"/>
    <x v="46"/>
    <x v="146"/>
    <x v="1178"/>
    <x v="1194"/>
    <x v="184"/>
    <x v="0"/>
    <x v="3"/>
    <x v="0"/>
    <x v="0"/>
  </r>
  <r>
    <x v="5"/>
    <x v="2442"/>
    <n v="1"/>
    <x v="46"/>
    <x v="146"/>
    <x v="1179"/>
    <x v="1195"/>
    <x v="185"/>
    <x v="12"/>
    <x v="3"/>
    <x v="0"/>
    <x v="0"/>
  </r>
  <r>
    <x v="5"/>
    <x v="2443"/>
    <n v="2"/>
    <x v="46"/>
    <x v="187"/>
    <x v="388"/>
    <x v="394"/>
    <x v="387"/>
    <x v="7"/>
    <x v="2"/>
    <x v="1"/>
    <x v="11"/>
  </r>
  <r>
    <x v="5"/>
    <x v="2444"/>
    <n v="2"/>
    <x v="46"/>
    <x v="0"/>
    <x v="130"/>
    <x v="131"/>
    <x v="130"/>
    <x v="7"/>
    <x v="2"/>
    <x v="1"/>
    <x v="7"/>
  </r>
  <r>
    <x v="5"/>
    <x v="2445"/>
    <n v="2"/>
    <x v="46"/>
    <x v="0"/>
    <x v="234"/>
    <x v="235"/>
    <x v="234"/>
    <x v="4"/>
    <x v="2"/>
    <x v="1"/>
    <x v="5"/>
  </r>
  <r>
    <x v="5"/>
    <x v="2446"/>
    <n v="4"/>
    <x v="46"/>
    <x v="0"/>
    <x v="326"/>
    <x v="330"/>
    <x v="325"/>
    <x v="8"/>
    <x v="2"/>
    <x v="3"/>
    <x v="12"/>
  </r>
  <r>
    <x v="5"/>
    <x v="2447"/>
    <n v="4"/>
    <x v="46"/>
    <x v="0"/>
    <x v="179"/>
    <x v="180"/>
    <x v="179"/>
    <x v="8"/>
    <x v="2"/>
    <x v="9"/>
    <x v="19"/>
  </r>
  <r>
    <x v="5"/>
    <x v="2448"/>
    <n v="4"/>
    <x v="46"/>
    <x v="0"/>
    <x v="180"/>
    <x v="181"/>
    <x v="180"/>
    <x v="8"/>
    <x v="2"/>
    <x v="1"/>
    <x v="6"/>
  </r>
  <r>
    <x v="5"/>
    <x v="2449"/>
    <n v="8"/>
    <x v="46"/>
    <x v="0"/>
    <x v="181"/>
    <x v="182"/>
    <x v="181"/>
    <x v="8"/>
    <x v="2"/>
    <x v="1"/>
    <x v="5"/>
  </r>
  <r>
    <x v="5"/>
    <x v="2450"/>
    <n v="1"/>
    <x v="46"/>
    <x v="0"/>
    <x v="1465"/>
    <x v="1484"/>
    <x v="1444"/>
    <x v="8"/>
    <x v="2"/>
    <x v="3"/>
    <x v="12"/>
  </r>
  <r>
    <x v="5"/>
    <x v="2451"/>
    <n v="4"/>
    <x v="46"/>
    <x v="0"/>
    <x v="739"/>
    <x v="752"/>
    <x v="730"/>
    <x v="11"/>
    <x v="2"/>
    <x v="1"/>
    <x v="9"/>
  </r>
  <r>
    <x v="5"/>
    <x v="2452"/>
    <n v="4"/>
    <x v="46"/>
    <x v="0"/>
    <x v="620"/>
    <x v="631"/>
    <x v="609"/>
    <x v="7"/>
    <x v="2"/>
    <x v="1"/>
    <x v="3"/>
  </r>
  <r>
    <x v="5"/>
    <x v="2453"/>
    <n v="12"/>
    <x v="46"/>
    <x v="0"/>
    <x v="116"/>
    <x v="117"/>
    <x v="116"/>
    <x v="6"/>
    <x v="2"/>
    <x v="1"/>
    <x v="7"/>
  </r>
  <r>
    <x v="5"/>
    <x v="2454"/>
    <n v="4"/>
    <x v="46"/>
    <x v="0"/>
    <x v="148"/>
    <x v="149"/>
    <x v="148"/>
    <x v="11"/>
    <x v="2"/>
    <x v="1"/>
    <x v="9"/>
  </r>
  <r>
    <x v="5"/>
    <x v="2455"/>
    <n v="1"/>
    <x v="46"/>
    <x v="15"/>
    <x v="157"/>
    <x v="158"/>
    <x v="157"/>
    <x v="8"/>
    <x v="4"/>
    <x v="7"/>
    <x v="18"/>
  </r>
  <r>
    <x v="5"/>
    <x v="2456"/>
    <n v="1"/>
    <x v="46"/>
    <x v="15"/>
    <x v="158"/>
    <x v="159"/>
    <x v="158"/>
    <x v="8"/>
    <x v="5"/>
    <x v="7"/>
    <x v="18"/>
  </r>
  <r>
    <x v="5"/>
    <x v="2457"/>
    <n v="1"/>
    <x v="46"/>
    <x v="15"/>
    <x v="153"/>
    <x v="154"/>
    <x v="153"/>
    <x v="8"/>
    <x v="2"/>
    <x v="5"/>
    <x v="16"/>
  </r>
  <r>
    <x v="5"/>
    <x v="2458"/>
    <n v="1"/>
    <x v="46"/>
    <x v="0"/>
    <x v="1176"/>
    <x v="1192"/>
    <x v="1168"/>
    <x v="6"/>
    <x v="2"/>
    <x v="3"/>
    <x v="5"/>
  </r>
  <r>
    <x v="5"/>
    <x v="2459"/>
    <n v="1"/>
    <x v="41"/>
    <x v="0"/>
    <x v="1165"/>
    <x v="1181"/>
    <x v="1157"/>
    <x v="8"/>
    <x v="5"/>
    <x v="7"/>
    <x v="18"/>
  </r>
  <r>
    <x v="5"/>
    <x v="2287"/>
    <n v="1"/>
    <x v="47"/>
    <x v="0"/>
    <x v="1477"/>
    <x v="1496"/>
    <x v="1456"/>
    <x v="0"/>
    <x v="0"/>
    <x v="0"/>
    <x v="0"/>
  </r>
  <r>
    <x v="5"/>
    <x v="2460"/>
    <n v="1"/>
    <x v="47"/>
    <x v="0"/>
    <x v="1478"/>
    <x v="1497"/>
    <x v="1457"/>
    <x v="1"/>
    <x v="1"/>
    <x v="0"/>
    <x v="0"/>
  </r>
  <r>
    <x v="5"/>
    <x v="2461"/>
    <n v="1"/>
    <x v="47"/>
    <x v="0"/>
    <x v="1479"/>
    <x v="1498"/>
    <x v="1458"/>
    <x v="10"/>
    <x v="1"/>
    <x v="0"/>
    <x v="0"/>
  </r>
  <r>
    <x v="5"/>
    <x v="2462"/>
    <n v="1"/>
    <x v="47"/>
    <x v="0"/>
    <x v="1480"/>
    <x v="1499"/>
    <x v="1459"/>
    <x v="1"/>
    <x v="1"/>
    <x v="0"/>
    <x v="0"/>
  </r>
  <r>
    <x v="5"/>
    <x v="2463"/>
    <n v="1"/>
    <x v="47"/>
    <x v="0"/>
    <x v="1481"/>
    <x v="1500"/>
    <x v="1460"/>
    <x v="9"/>
    <x v="1"/>
    <x v="0"/>
    <x v="0"/>
  </r>
  <r>
    <x v="5"/>
    <x v="2464"/>
    <n v="1"/>
    <x v="47"/>
    <x v="0"/>
    <x v="1482"/>
    <x v="1501"/>
    <x v="1461"/>
    <x v="1"/>
    <x v="1"/>
    <x v="0"/>
    <x v="0"/>
  </r>
  <r>
    <x v="5"/>
    <x v="2465"/>
    <n v="1"/>
    <x v="47"/>
    <x v="0"/>
    <x v="1483"/>
    <x v="1502"/>
    <x v="1462"/>
    <x v="1"/>
    <x v="1"/>
    <x v="0"/>
    <x v="0"/>
  </r>
  <r>
    <x v="5"/>
    <x v="2466"/>
    <n v="1"/>
    <x v="47"/>
    <x v="0"/>
    <x v="1484"/>
    <x v="1503"/>
    <x v="1463"/>
    <x v="1"/>
    <x v="1"/>
    <x v="0"/>
    <x v="0"/>
  </r>
  <r>
    <x v="5"/>
    <x v="2467"/>
    <n v="1"/>
    <x v="47"/>
    <x v="0"/>
    <x v="1485"/>
    <x v="1504"/>
    <x v="1464"/>
    <x v="10"/>
    <x v="1"/>
    <x v="0"/>
    <x v="0"/>
  </r>
  <r>
    <x v="5"/>
    <x v="2468"/>
    <n v="1"/>
    <x v="47"/>
    <x v="0"/>
    <x v="1486"/>
    <x v="1505"/>
    <x v="1465"/>
    <x v="1"/>
    <x v="1"/>
    <x v="0"/>
    <x v="0"/>
  </r>
  <r>
    <x v="5"/>
    <x v="2469"/>
    <n v="1"/>
    <x v="47"/>
    <x v="0"/>
    <x v="1487"/>
    <x v="1506"/>
    <x v="1466"/>
    <x v="12"/>
    <x v="1"/>
    <x v="0"/>
    <x v="0"/>
  </r>
  <r>
    <x v="5"/>
    <x v="2470"/>
    <n v="1"/>
    <x v="47"/>
    <x v="0"/>
    <x v="1488"/>
    <x v="1507"/>
    <x v="1467"/>
    <x v="1"/>
    <x v="1"/>
    <x v="0"/>
    <x v="0"/>
  </r>
  <r>
    <x v="5"/>
    <x v="2471"/>
    <n v="1"/>
    <x v="47"/>
    <x v="0"/>
    <x v="1489"/>
    <x v="1508"/>
    <x v="1468"/>
    <x v="1"/>
    <x v="2"/>
    <x v="0"/>
    <x v="13"/>
  </r>
  <r>
    <x v="5"/>
    <x v="2472"/>
    <n v="1"/>
    <x v="47"/>
    <x v="0"/>
    <x v="1490"/>
    <x v="1509"/>
    <x v="1469"/>
    <x v="1"/>
    <x v="1"/>
    <x v="0"/>
    <x v="0"/>
  </r>
  <r>
    <x v="5"/>
    <x v="2473"/>
    <n v="1"/>
    <x v="47"/>
    <x v="188"/>
    <x v="1491"/>
    <x v="1510"/>
    <x v="1470"/>
    <x v="8"/>
    <x v="1"/>
    <x v="0"/>
    <x v="0"/>
  </r>
  <r>
    <x v="5"/>
    <x v="2474"/>
    <n v="1"/>
    <x v="47"/>
    <x v="188"/>
    <x v="153"/>
    <x v="154"/>
    <x v="153"/>
    <x v="8"/>
    <x v="2"/>
    <x v="5"/>
    <x v="16"/>
  </r>
  <r>
    <x v="5"/>
    <x v="2475"/>
    <n v="1"/>
    <x v="47"/>
    <x v="0"/>
    <x v="80"/>
    <x v="399"/>
    <x v="392"/>
    <x v="8"/>
    <x v="2"/>
    <x v="2"/>
    <x v="10"/>
  </r>
  <r>
    <x v="5"/>
    <x v="2476"/>
    <n v="15"/>
    <x v="47"/>
    <x v="0"/>
    <x v="68"/>
    <x v="68"/>
    <x v="68"/>
    <x v="6"/>
    <x v="2"/>
    <x v="1"/>
    <x v="4"/>
  </r>
  <r>
    <x v="5"/>
    <x v="2477"/>
    <n v="8"/>
    <x v="47"/>
    <x v="0"/>
    <x v="149"/>
    <x v="150"/>
    <x v="149"/>
    <x v="4"/>
    <x v="2"/>
    <x v="1"/>
    <x v="7"/>
  </r>
  <r>
    <x v="5"/>
    <x v="2478"/>
    <n v="2"/>
    <x v="47"/>
    <x v="0"/>
    <x v="675"/>
    <x v="686"/>
    <x v="664"/>
    <x v="7"/>
    <x v="2"/>
    <x v="1"/>
    <x v="7"/>
  </r>
  <r>
    <x v="5"/>
    <x v="2479"/>
    <n v="11"/>
    <x v="47"/>
    <x v="0"/>
    <x v="78"/>
    <x v="78"/>
    <x v="78"/>
    <x v="4"/>
    <x v="2"/>
    <x v="1"/>
    <x v="7"/>
  </r>
  <r>
    <x v="5"/>
    <x v="2480"/>
    <n v="1"/>
    <x v="47"/>
    <x v="0"/>
    <x v="94"/>
    <x v="94"/>
    <x v="94"/>
    <x v="7"/>
    <x v="2"/>
    <x v="1"/>
    <x v="11"/>
  </r>
  <r>
    <x v="5"/>
    <x v="2481"/>
    <n v="1"/>
    <x v="47"/>
    <x v="0"/>
    <x v="1492"/>
    <x v="1511"/>
    <x v="1471"/>
    <x v="8"/>
    <x v="2"/>
    <x v="2"/>
    <x v="8"/>
  </r>
  <r>
    <x v="5"/>
    <x v="2482"/>
    <n v="1"/>
    <x v="47"/>
    <x v="0"/>
    <x v="1493"/>
    <x v="1512"/>
    <x v="1472"/>
    <x v="8"/>
    <x v="2"/>
    <x v="2"/>
    <x v="8"/>
  </r>
  <r>
    <x v="5"/>
    <x v="2483"/>
    <n v="2"/>
    <x v="47"/>
    <x v="0"/>
    <x v="1494"/>
    <x v="1513"/>
    <x v="1473"/>
    <x v="8"/>
    <x v="2"/>
    <x v="2"/>
    <x v="8"/>
  </r>
  <r>
    <x v="5"/>
    <x v="2484"/>
    <n v="2"/>
    <x v="47"/>
    <x v="0"/>
    <x v="1495"/>
    <x v="1514"/>
    <x v="1474"/>
    <x v="1"/>
    <x v="1"/>
    <x v="0"/>
    <x v="0"/>
  </r>
  <r>
    <x v="5"/>
    <x v="2485"/>
    <n v="1"/>
    <x v="47"/>
    <x v="0"/>
    <x v="1496"/>
    <x v="1515"/>
    <x v="1475"/>
    <x v="7"/>
    <x v="2"/>
    <x v="9"/>
    <x v="21"/>
  </r>
  <r>
    <x v="5"/>
    <x v="2486"/>
    <n v="1"/>
    <x v="47"/>
    <x v="0"/>
    <x v="1497"/>
    <x v="1516"/>
    <x v="1476"/>
    <x v="7"/>
    <x v="2"/>
    <x v="2"/>
    <x v="15"/>
  </r>
  <r>
    <x v="5"/>
    <x v="2487"/>
    <n v="1"/>
    <x v="47"/>
    <x v="0"/>
    <x v="1498"/>
    <x v="1517"/>
    <x v="1477"/>
    <x v="8"/>
    <x v="2"/>
    <x v="4"/>
    <x v="13"/>
  </r>
  <r>
    <x v="5"/>
    <x v="2488"/>
    <n v="1"/>
    <x v="47"/>
    <x v="0"/>
    <x v="228"/>
    <x v="229"/>
    <x v="228"/>
    <x v="8"/>
    <x v="2"/>
    <x v="3"/>
    <x v="12"/>
  </r>
  <r>
    <x v="5"/>
    <x v="2489"/>
    <n v="2"/>
    <x v="47"/>
    <x v="0"/>
    <x v="1131"/>
    <x v="1146"/>
    <x v="1123"/>
    <x v="4"/>
    <x v="2"/>
    <x v="1"/>
    <x v="5"/>
  </r>
  <r>
    <x v="5"/>
    <x v="2490"/>
    <n v="1"/>
    <x v="47"/>
    <x v="0"/>
    <x v="1499"/>
    <x v="1518"/>
    <x v="1478"/>
    <x v="8"/>
    <x v="2"/>
    <x v="2"/>
    <x v="15"/>
  </r>
  <r>
    <x v="5"/>
    <x v="2491"/>
    <n v="2"/>
    <x v="47"/>
    <x v="0"/>
    <x v="1500"/>
    <x v="1519"/>
    <x v="1479"/>
    <x v="7"/>
    <x v="2"/>
    <x v="8"/>
    <x v="2"/>
  </r>
  <r>
    <x v="5"/>
    <x v="2492"/>
    <n v="2"/>
    <x v="47"/>
    <x v="0"/>
    <x v="75"/>
    <x v="75"/>
    <x v="75"/>
    <x v="8"/>
    <x v="2"/>
    <x v="2"/>
    <x v="8"/>
  </r>
  <r>
    <x v="5"/>
    <x v="2493"/>
    <n v="1"/>
    <x v="47"/>
    <x v="0"/>
    <x v="82"/>
    <x v="82"/>
    <x v="82"/>
    <x v="8"/>
    <x v="3"/>
    <x v="0"/>
    <x v="0"/>
  </r>
  <r>
    <x v="5"/>
    <x v="2494"/>
    <n v="2"/>
    <x v="47"/>
    <x v="0"/>
    <x v="532"/>
    <x v="542"/>
    <x v="387"/>
    <x v="7"/>
    <x v="2"/>
    <x v="1"/>
    <x v="11"/>
  </r>
  <r>
    <x v="5"/>
    <x v="2495"/>
    <n v="1"/>
    <x v="48"/>
    <x v="0"/>
    <x v="1501"/>
    <x v="1520"/>
    <x v="1480"/>
    <x v="0"/>
    <x v="0"/>
    <x v="0"/>
    <x v="0"/>
  </r>
  <r>
    <x v="5"/>
    <x v="2496"/>
    <n v="1"/>
    <x v="48"/>
    <x v="0"/>
    <x v="1404"/>
    <x v="1423"/>
    <x v="1390"/>
    <x v="1"/>
    <x v="1"/>
    <x v="0"/>
    <x v="0"/>
  </r>
  <r>
    <x v="5"/>
    <x v="2497"/>
    <n v="1"/>
    <x v="48"/>
    <x v="0"/>
    <x v="1405"/>
    <x v="1424"/>
    <x v="1391"/>
    <x v="10"/>
    <x v="1"/>
    <x v="0"/>
    <x v="0"/>
  </r>
  <r>
    <x v="5"/>
    <x v="2498"/>
    <n v="1"/>
    <x v="48"/>
    <x v="0"/>
    <x v="1406"/>
    <x v="1425"/>
    <x v="1392"/>
    <x v="1"/>
    <x v="1"/>
    <x v="0"/>
    <x v="0"/>
  </r>
  <r>
    <x v="5"/>
    <x v="2499"/>
    <n v="1"/>
    <x v="48"/>
    <x v="0"/>
    <x v="1502"/>
    <x v="1521"/>
    <x v="1481"/>
    <x v="9"/>
    <x v="1"/>
    <x v="0"/>
    <x v="0"/>
  </r>
  <r>
    <x v="5"/>
    <x v="2500"/>
    <n v="1"/>
    <x v="48"/>
    <x v="0"/>
    <x v="1503"/>
    <x v="1522"/>
    <x v="1482"/>
    <x v="10"/>
    <x v="1"/>
    <x v="0"/>
    <x v="0"/>
  </r>
  <r>
    <x v="5"/>
    <x v="2501"/>
    <n v="1"/>
    <x v="48"/>
    <x v="0"/>
    <x v="1504"/>
    <x v="1523"/>
    <x v="1483"/>
    <x v="10"/>
    <x v="1"/>
    <x v="0"/>
    <x v="0"/>
  </r>
  <r>
    <x v="5"/>
    <x v="2502"/>
    <n v="1"/>
    <x v="48"/>
    <x v="0"/>
    <x v="1413"/>
    <x v="1432"/>
    <x v="1399"/>
    <x v="10"/>
    <x v="1"/>
    <x v="0"/>
    <x v="0"/>
  </r>
  <r>
    <x v="5"/>
    <x v="2503"/>
    <n v="1"/>
    <x v="48"/>
    <x v="0"/>
    <x v="1410"/>
    <x v="1429"/>
    <x v="1396"/>
    <x v="8"/>
    <x v="0"/>
    <x v="7"/>
    <x v="18"/>
  </r>
  <r>
    <x v="5"/>
    <x v="2504"/>
    <n v="1"/>
    <x v="48"/>
    <x v="0"/>
    <x v="1412"/>
    <x v="1431"/>
    <x v="1398"/>
    <x v="1"/>
    <x v="1"/>
    <x v="0"/>
    <x v="0"/>
  </r>
  <r>
    <x v="5"/>
    <x v="2505"/>
    <n v="1"/>
    <x v="48"/>
    <x v="0"/>
    <x v="1411"/>
    <x v="1430"/>
    <x v="1397"/>
    <x v="1"/>
    <x v="1"/>
    <x v="0"/>
    <x v="0"/>
  </r>
  <r>
    <x v="5"/>
    <x v="2506"/>
    <n v="1"/>
    <x v="48"/>
    <x v="0"/>
    <x v="1414"/>
    <x v="1433"/>
    <x v="1400"/>
    <x v="8"/>
    <x v="2"/>
    <x v="2"/>
    <x v="10"/>
  </r>
  <r>
    <x v="5"/>
    <x v="2507"/>
    <n v="4"/>
    <x v="48"/>
    <x v="0"/>
    <x v="67"/>
    <x v="67"/>
    <x v="67"/>
    <x v="6"/>
    <x v="2"/>
    <x v="1"/>
    <x v="4"/>
  </r>
  <r>
    <x v="5"/>
    <x v="2508"/>
    <n v="2"/>
    <x v="48"/>
    <x v="0"/>
    <x v="385"/>
    <x v="391"/>
    <x v="384"/>
    <x v="4"/>
    <x v="2"/>
    <x v="1"/>
    <x v="7"/>
  </r>
  <r>
    <x v="5"/>
    <x v="2509"/>
    <n v="1"/>
    <x v="49"/>
    <x v="0"/>
    <x v="1505"/>
    <x v="1524"/>
    <x v="1484"/>
    <x v="0"/>
    <x v="0"/>
    <x v="0"/>
    <x v="0"/>
  </r>
  <r>
    <x v="5"/>
    <x v="2510"/>
    <n v="1"/>
    <x v="49"/>
    <x v="0"/>
    <x v="1506"/>
    <x v="1525"/>
    <x v="1485"/>
    <x v="10"/>
    <x v="1"/>
    <x v="0"/>
    <x v="0"/>
  </r>
  <r>
    <x v="5"/>
    <x v="2511"/>
    <n v="1"/>
    <x v="49"/>
    <x v="0"/>
    <x v="1507"/>
    <x v="1526"/>
    <x v="1486"/>
    <x v="9"/>
    <x v="1"/>
    <x v="0"/>
    <x v="0"/>
  </r>
  <r>
    <x v="5"/>
    <x v="2512"/>
    <n v="2"/>
    <x v="49"/>
    <x v="0"/>
    <x v="141"/>
    <x v="142"/>
    <x v="141"/>
    <x v="7"/>
    <x v="2"/>
    <x v="1"/>
    <x v="7"/>
  </r>
  <r>
    <x v="5"/>
    <x v="2513"/>
    <n v="1"/>
    <x v="50"/>
    <x v="0"/>
    <x v="1508"/>
    <x v="1527"/>
    <x v="1487"/>
    <x v="0"/>
    <x v="0"/>
    <x v="0"/>
    <x v="0"/>
  </r>
  <r>
    <x v="5"/>
    <x v="2514"/>
    <n v="1"/>
    <x v="50"/>
    <x v="0"/>
    <x v="1509"/>
    <x v="1528"/>
    <x v="1488"/>
    <x v="10"/>
    <x v="1"/>
    <x v="0"/>
    <x v="0"/>
  </r>
  <r>
    <x v="5"/>
    <x v="2515"/>
    <n v="1"/>
    <x v="50"/>
    <x v="0"/>
    <x v="1510"/>
    <x v="1529"/>
    <x v="1489"/>
    <x v="9"/>
    <x v="1"/>
    <x v="0"/>
    <x v="0"/>
  </r>
  <r>
    <x v="5"/>
    <x v="2516"/>
    <n v="1"/>
    <x v="50"/>
    <x v="0"/>
    <x v="1511"/>
    <x v="1530"/>
    <x v="1490"/>
    <x v="8"/>
    <x v="1"/>
    <x v="0"/>
    <x v="0"/>
  </r>
  <r>
    <x v="5"/>
    <x v="2517"/>
    <n v="2"/>
    <x v="50"/>
    <x v="0"/>
    <x v="234"/>
    <x v="235"/>
    <x v="234"/>
    <x v="4"/>
    <x v="2"/>
    <x v="1"/>
    <x v="5"/>
  </r>
  <r>
    <x v="5"/>
    <x v="2518"/>
    <n v="1"/>
    <x v="50"/>
    <x v="0"/>
    <x v="1512"/>
    <x v="1531"/>
    <x v="1491"/>
    <x v="10"/>
    <x v="1"/>
    <x v="0"/>
    <x v="0"/>
  </r>
  <r>
    <x v="5"/>
    <x v="2519"/>
    <n v="2"/>
    <x v="50"/>
    <x v="0"/>
    <x v="142"/>
    <x v="143"/>
    <x v="142"/>
    <x v="7"/>
    <x v="2"/>
    <x v="1"/>
    <x v="7"/>
  </r>
  <r>
    <x v="5"/>
    <x v="2520"/>
    <n v="1"/>
    <x v="51"/>
    <x v="0"/>
    <x v="1513"/>
    <x v="1532"/>
    <x v="1492"/>
    <x v="0"/>
    <x v="0"/>
    <x v="0"/>
    <x v="0"/>
  </r>
  <r>
    <x v="5"/>
    <x v="2521"/>
    <n v="1"/>
    <x v="51"/>
    <x v="0"/>
    <x v="1514"/>
    <x v="1533"/>
    <x v="1493"/>
    <x v="1"/>
    <x v="1"/>
    <x v="0"/>
    <x v="0"/>
  </r>
  <r>
    <x v="5"/>
    <x v="2522"/>
    <n v="1"/>
    <x v="51"/>
    <x v="0"/>
    <x v="1515"/>
    <x v="1534"/>
    <x v="1494"/>
    <x v="8"/>
    <x v="1"/>
    <x v="0"/>
    <x v="0"/>
  </r>
  <r>
    <x v="5"/>
    <x v="2523"/>
    <n v="12"/>
    <x v="51"/>
    <x v="0"/>
    <x v="1516"/>
    <x v="1535"/>
    <x v="1495"/>
    <x v="10"/>
    <x v="1"/>
    <x v="0"/>
    <x v="0"/>
  </r>
  <r>
    <x v="5"/>
    <x v="2524"/>
    <n v="1"/>
    <x v="51"/>
    <x v="0"/>
    <x v="1517"/>
    <x v="1536"/>
    <x v="1496"/>
    <x v="9"/>
    <x v="1"/>
    <x v="0"/>
    <x v="0"/>
  </r>
  <r>
    <x v="5"/>
    <x v="2525"/>
    <n v="1"/>
    <x v="51"/>
    <x v="0"/>
    <x v="1518"/>
    <x v="1537"/>
    <x v="1497"/>
    <x v="9"/>
    <x v="1"/>
    <x v="0"/>
    <x v="0"/>
  </r>
  <r>
    <x v="5"/>
    <x v="2526"/>
    <n v="1"/>
    <x v="51"/>
    <x v="0"/>
    <x v="1519"/>
    <x v="1538"/>
    <x v="1498"/>
    <x v="9"/>
    <x v="1"/>
    <x v="0"/>
    <x v="0"/>
  </r>
  <r>
    <x v="5"/>
    <x v="2527"/>
    <n v="1"/>
    <x v="51"/>
    <x v="0"/>
    <x v="1520"/>
    <x v="1539"/>
    <x v="1499"/>
    <x v="9"/>
    <x v="1"/>
    <x v="0"/>
    <x v="0"/>
  </r>
  <r>
    <x v="5"/>
    <x v="2528"/>
    <n v="1"/>
    <x v="51"/>
    <x v="0"/>
    <x v="1521"/>
    <x v="1540"/>
    <x v="1500"/>
    <x v="9"/>
    <x v="1"/>
    <x v="0"/>
    <x v="0"/>
  </r>
  <r>
    <x v="5"/>
    <x v="2529"/>
    <n v="1"/>
    <x v="51"/>
    <x v="0"/>
    <x v="1522"/>
    <x v="1541"/>
    <x v="1501"/>
    <x v="9"/>
    <x v="1"/>
    <x v="0"/>
    <x v="0"/>
  </r>
  <r>
    <x v="5"/>
    <x v="2530"/>
    <n v="1"/>
    <x v="51"/>
    <x v="0"/>
    <x v="1523"/>
    <x v="1542"/>
    <x v="1502"/>
    <x v="9"/>
    <x v="1"/>
    <x v="0"/>
    <x v="0"/>
  </r>
  <r>
    <x v="5"/>
    <x v="2531"/>
    <n v="1"/>
    <x v="51"/>
    <x v="0"/>
    <x v="1524"/>
    <x v="1543"/>
    <x v="1503"/>
    <x v="9"/>
    <x v="1"/>
    <x v="0"/>
    <x v="0"/>
  </r>
  <r>
    <x v="5"/>
    <x v="2532"/>
    <n v="1"/>
    <x v="51"/>
    <x v="0"/>
    <x v="1525"/>
    <x v="1544"/>
    <x v="1504"/>
    <x v="9"/>
    <x v="1"/>
    <x v="0"/>
    <x v="0"/>
  </r>
  <r>
    <x v="5"/>
    <x v="2533"/>
    <n v="3"/>
    <x v="51"/>
    <x v="0"/>
    <x v="1526"/>
    <x v="1545"/>
    <x v="1505"/>
    <x v="9"/>
    <x v="1"/>
    <x v="0"/>
    <x v="0"/>
  </r>
  <r>
    <x v="5"/>
    <x v="2534"/>
    <n v="12"/>
    <x v="51"/>
    <x v="0"/>
    <x v="1527"/>
    <x v="1546"/>
    <x v="1506"/>
    <x v="10"/>
    <x v="1"/>
    <x v="0"/>
    <x v="0"/>
  </r>
  <r>
    <x v="5"/>
    <x v="2535"/>
    <n v="4"/>
    <x v="51"/>
    <x v="0"/>
    <x v="68"/>
    <x v="68"/>
    <x v="68"/>
    <x v="6"/>
    <x v="2"/>
    <x v="1"/>
    <x v="4"/>
  </r>
  <r>
    <x v="5"/>
    <x v="2536"/>
    <n v="4"/>
    <x v="51"/>
    <x v="0"/>
    <x v="116"/>
    <x v="117"/>
    <x v="116"/>
    <x v="6"/>
    <x v="2"/>
    <x v="1"/>
    <x v="7"/>
  </r>
  <r>
    <x v="5"/>
    <x v="2537"/>
    <n v="2"/>
    <x v="51"/>
    <x v="0"/>
    <x v="474"/>
    <x v="484"/>
    <x v="475"/>
    <x v="13"/>
    <x v="2"/>
    <x v="1"/>
    <x v="28"/>
  </r>
  <r>
    <x v="5"/>
    <x v="2538"/>
    <n v="1"/>
    <x v="52"/>
    <x v="0"/>
    <x v="1528"/>
    <x v="1547"/>
    <x v="1507"/>
    <x v="0"/>
    <x v="0"/>
    <x v="0"/>
    <x v="0"/>
  </r>
  <r>
    <x v="5"/>
    <x v="2539"/>
    <n v="1"/>
    <x v="52"/>
    <x v="0"/>
    <x v="1529"/>
    <x v="1548"/>
    <x v="1508"/>
    <x v="1"/>
    <x v="1"/>
    <x v="0"/>
    <x v="0"/>
  </r>
  <r>
    <x v="5"/>
    <x v="2540"/>
    <n v="1"/>
    <x v="52"/>
    <x v="0"/>
    <x v="1530"/>
    <x v="1549"/>
    <x v="1509"/>
    <x v="1"/>
    <x v="1"/>
    <x v="0"/>
    <x v="0"/>
  </r>
  <r>
    <x v="5"/>
    <x v="2541"/>
    <n v="1"/>
    <x v="52"/>
    <x v="0"/>
    <x v="1531"/>
    <x v="1550"/>
    <x v="1510"/>
    <x v="11"/>
    <x v="1"/>
    <x v="0"/>
    <x v="0"/>
  </r>
  <r>
    <x v="5"/>
    <x v="2542"/>
    <n v="1"/>
    <x v="52"/>
    <x v="189"/>
    <x v="1532"/>
    <x v="1551"/>
    <x v="1511"/>
    <x v="0"/>
    <x v="1"/>
    <x v="0"/>
    <x v="0"/>
  </r>
  <r>
    <x v="5"/>
    <x v="2543"/>
    <n v="1"/>
    <x v="52"/>
    <x v="189"/>
    <x v="1034"/>
    <x v="1048"/>
    <x v="1025"/>
    <x v="20"/>
    <x v="2"/>
    <x v="11"/>
    <x v="30"/>
  </r>
  <r>
    <x v="5"/>
    <x v="2544"/>
    <n v="1"/>
    <x v="52"/>
    <x v="189"/>
    <x v="1316"/>
    <x v="1333"/>
    <x v="1300"/>
    <x v="6"/>
    <x v="2"/>
    <x v="1"/>
    <x v="4"/>
  </r>
  <r>
    <x v="5"/>
    <x v="2545"/>
    <n v="1"/>
    <x v="52"/>
    <x v="0"/>
    <x v="1533"/>
    <x v="1552"/>
    <x v="1512"/>
    <x v="1"/>
    <x v="1"/>
    <x v="0"/>
    <x v="0"/>
  </r>
  <r>
    <x v="5"/>
    <x v="2546"/>
    <n v="1"/>
    <x v="52"/>
    <x v="0"/>
    <x v="1534"/>
    <x v="1553"/>
    <x v="1513"/>
    <x v="1"/>
    <x v="1"/>
    <x v="0"/>
    <x v="0"/>
  </r>
  <r>
    <x v="5"/>
    <x v="2547"/>
    <n v="1"/>
    <x v="52"/>
    <x v="0"/>
    <x v="1535"/>
    <x v="1554"/>
    <x v="1514"/>
    <x v="1"/>
    <x v="1"/>
    <x v="0"/>
    <x v="0"/>
  </r>
  <r>
    <x v="5"/>
    <x v="2548"/>
    <n v="1"/>
    <x v="52"/>
    <x v="0"/>
    <x v="1536"/>
    <x v="1555"/>
    <x v="1296"/>
    <x v="1"/>
    <x v="2"/>
    <x v="0"/>
    <x v="5"/>
  </r>
  <r>
    <x v="5"/>
    <x v="2549"/>
    <n v="1"/>
    <x v="52"/>
    <x v="0"/>
    <x v="1537"/>
    <x v="1556"/>
    <x v="1515"/>
    <x v="1"/>
    <x v="1"/>
    <x v="0"/>
    <x v="0"/>
  </r>
  <r>
    <x v="5"/>
    <x v="2550"/>
    <n v="1"/>
    <x v="52"/>
    <x v="0"/>
    <x v="1538"/>
    <x v="1557"/>
    <x v="1516"/>
    <x v="0"/>
    <x v="2"/>
    <x v="9"/>
    <x v="21"/>
  </r>
  <r>
    <x v="5"/>
    <x v="2551"/>
    <n v="1"/>
    <x v="52"/>
    <x v="0"/>
    <x v="1539"/>
    <x v="1558"/>
    <x v="1517"/>
    <x v="0"/>
    <x v="2"/>
    <x v="9"/>
    <x v="21"/>
  </r>
  <r>
    <x v="5"/>
    <x v="2552"/>
    <n v="10"/>
    <x v="52"/>
    <x v="0"/>
    <x v="1316"/>
    <x v="1333"/>
    <x v="1300"/>
    <x v="6"/>
    <x v="2"/>
    <x v="1"/>
    <x v="4"/>
  </r>
  <r>
    <x v="5"/>
    <x v="2553"/>
    <n v="1"/>
    <x v="52"/>
    <x v="0"/>
    <x v="1034"/>
    <x v="1048"/>
    <x v="1025"/>
    <x v="20"/>
    <x v="2"/>
    <x v="11"/>
    <x v="30"/>
  </r>
  <r>
    <x v="5"/>
    <x v="2554"/>
    <n v="1"/>
    <x v="52"/>
    <x v="0"/>
    <x v="1318"/>
    <x v="1335"/>
    <x v="1302"/>
    <x v="7"/>
    <x v="2"/>
    <x v="1"/>
    <x v="3"/>
  </r>
  <r>
    <x v="5"/>
    <x v="2555"/>
    <n v="1"/>
    <x v="52"/>
    <x v="0"/>
    <x v="1319"/>
    <x v="1336"/>
    <x v="1303"/>
    <x v="7"/>
    <x v="2"/>
    <x v="1"/>
    <x v="6"/>
  </r>
  <r>
    <x v="5"/>
    <x v="2556"/>
    <n v="8"/>
    <x v="52"/>
    <x v="0"/>
    <x v="1317"/>
    <x v="1334"/>
    <x v="1301"/>
    <x v="7"/>
    <x v="2"/>
    <x v="1"/>
    <x v="3"/>
  </r>
  <r>
    <x v="5"/>
    <x v="2557"/>
    <n v="1"/>
    <x v="52"/>
    <x v="0"/>
    <x v="1321"/>
    <x v="1338"/>
    <x v="1305"/>
    <x v="8"/>
    <x v="2"/>
    <x v="3"/>
    <x v="12"/>
  </r>
  <r>
    <x v="5"/>
    <x v="2558"/>
    <n v="2"/>
    <x v="52"/>
    <x v="0"/>
    <x v="296"/>
    <x v="299"/>
    <x v="295"/>
    <x v="7"/>
    <x v="2"/>
    <x v="1"/>
    <x v="7"/>
  </r>
  <r>
    <x v="5"/>
    <x v="2559"/>
    <n v="4"/>
    <x v="52"/>
    <x v="0"/>
    <x v="1320"/>
    <x v="1337"/>
    <x v="1304"/>
    <x v="7"/>
    <x v="2"/>
    <x v="1"/>
    <x v="5"/>
  </r>
  <r>
    <x v="5"/>
    <x v="2560"/>
    <n v="2"/>
    <x v="52"/>
    <x v="0"/>
    <x v="1369"/>
    <x v="1388"/>
    <x v="1355"/>
    <x v="7"/>
    <x v="2"/>
    <x v="1"/>
    <x v="7"/>
  </r>
  <r>
    <x v="5"/>
    <x v="2561"/>
    <n v="1"/>
    <x v="52"/>
    <x v="0"/>
    <x v="1305"/>
    <x v="1322"/>
    <x v="1289"/>
    <x v="7"/>
    <x v="2"/>
    <x v="1"/>
    <x v="11"/>
  </r>
  <r>
    <x v="5"/>
    <x v="2562"/>
    <n v="2"/>
    <x v="52"/>
    <x v="0"/>
    <x v="1035"/>
    <x v="1049"/>
    <x v="1026"/>
    <x v="4"/>
    <x v="2"/>
    <x v="14"/>
    <x v="36"/>
  </r>
  <r>
    <x v="5"/>
    <x v="2563"/>
    <n v="3"/>
    <x v="52"/>
    <x v="0"/>
    <x v="231"/>
    <x v="232"/>
    <x v="231"/>
    <x v="4"/>
    <x v="2"/>
    <x v="1"/>
    <x v="5"/>
  </r>
  <r>
    <x v="5"/>
    <x v="2564"/>
    <n v="3"/>
    <x v="52"/>
    <x v="0"/>
    <x v="107"/>
    <x v="108"/>
    <x v="107"/>
    <x v="7"/>
    <x v="2"/>
    <x v="1"/>
    <x v="11"/>
  </r>
  <r>
    <x v="5"/>
    <x v="2565"/>
    <n v="2"/>
    <x v="52"/>
    <x v="0"/>
    <x v="1365"/>
    <x v="1384"/>
    <x v="1351"/>
    <x v="8"/>
    <x v="2"/>
    <x v="3"/>
    <x v="12"/>
  </r>
  <r>
    <x v="5"/>
    <x v="2566"/>
    <n v="2"/>
    <x v="52"/>
    <x v="0"/>
    <x v="1385"/>
    <x v="1404"/>
    <x v="1371"/>
    <x v="7"/>
    <x v="2"/>
    <x v="1"/>
    <x v="7"/>
  </r>
  <r>
    <x v="5"/>
    <x v="2567"/>
    <n v="1"/>
    <x v="52"/>
    <x v="0"/>
    <x v="112"/>
    <x v="113"/>
    <x v="112"/>
    <x v="7"/>
    <x v="2"/>
    <x v="1"/>
    <x v="7"/>
  </r>
  <r>
    <x v="5"/>
    <x v="2568"/>
    <n v="1"/>
    <x v="52"/>
    <x v="0"/>
    <x v="1300"/>
    <x v="1317"/>
    <x v="1284"/>
    <x v="4"/>
    <x v="2"/>
    <x v="1"/>
    <x v="22"/>
  </r>
  <r>
    <x v="5"/>
    <x v="2569"/>
    <n v="1"/>
    <x v="53"/>
    <x v="0"/>
    <x v="1540"/>
    <x v="1559"/>
    <x v="1518"/>
    <x v="0"/>
    <x v="0"/>
    <x v="0"/>
    <x v="0"/>
  </r>
  <r>
    <x v="5"/>
    <x v="2570"/>
    <n v="1"/>
    <x v="53"/>
    <x v="0"/>
    <x v="1541"/>
    <x v="1560"/>
    <x v="1519"/>
    <x v="10"/>
    <x v="1"/>
    <x v="0"/>
    <x v="0"/>
  </r>
  <r>
    <x v="5"/>
    <x v="2571"/>
    <n v="1"/>
    <x v="53"/>
    <x v="0"/>
    <x v="1542"/>
    <x v="1561"/>
    <x v="1520"/>
    <x v="9"/>
    <x v="1"/>
    <x v="0"/>
    <x v="0"/>
  </r>
  <r>
    <x v="5"/>
    <x v="2572"/>
    <n v="1"/>
    <x v="53"/>
    <x v="0"/>
    <x v="1543"/>
    <x v="1562"/>
    <x v="1521"/>
    <x v="8"/>
    <x v="1"/>
    <x v="0"/>
    <x v="0"/>
  </r>
  <r>
    <x v="5"/>
    <x v="2573"/>
    <n v="1"/>
    <x v="53"/>
    <x v="131"/>
    <x v="1041"/>
    <x v="1055"/>
    <x v="1032"/>
    <x v="0"/>
    <x v="3"/>
    <x v="0"/>
    <x v="0"/>
  </r>
  <r>
    <x v="5"/>
    <x v="2574"/>
    <n v="1"/>
    <x v="53"/>
    <x v="131"/>
    <x v="380"/>
    <x v="386"/>
    <x v="379"/>
    <x v="8"/>
    <x v="2"/>
    <x v="3"/>
    <x v="12"/>
  </r>
  <r>
    <x v="5"/>
    <x v="2575"/>
    <n v="1"/>
    <x v="53"/>
    <x v="131"/>
    <x v="378"/>
    <x v="384"/>
    <x v="377"/>
    <x v="11"/>
    <x v="3"/>
    <x v="0"/>
    <x v="0"/>
  </r>
  <r>
    <x v="5"/>
    <x v="2576"/>
    <n v="1"/>
    <x v="53"/>
    <x v="0"/>
    <x v="1042"/>
    <x v="1056"/>
    <x v="1033"/>
    <x v="16"/>
    <x v="2"/>
    <x v="9"/>
    <x v="12"/>
  </r>
  <r>
    <x v="5"/>
    <x v="2577"/>
    <n v="1"/>
    <x v="53"/>
    <x v="0"/>
    <x v="513"/>
    <x v="523"/>
    <x v="511"/>
    <x v="7"/>
    <x v="2"/>
    <x v="1"/>
    <x v="12"/>
  </r>
  <r>
    <x v="5"/>
    <x v="2578"/>
    <n v="1"/>
    <x v="53"/>
    <x v="0"/>
    <x v="382"/>
    <x v="388"/>
    <x v="381"/>
    <x v="7"/>
    <x v="2"/>
    <x v="3"/>
    <x v="5"/>
  </r>
  <r>
    <x v="5"/>
    <x v="2579"/>
    <n v="1"/>
    <x v="53"/>
    <x v="0"/>
    <x v="1544"/>
    <x v="1563"/>
    <x v="1522"/>
    <x v="10"/>
    <x v="1"/>
    <x v="0"/>
    <x v="0"/>
  </r>
  <r>
    <x v="5"/>
    <x v="2580"/>
    <n v="2"/>
    <x v="53"/>
    <x v="0"/>
    <x v="130"/>
    <x v="131"/>
    <x v="130"/>
    <x v="7"/>
    <x v="2"/>
    <x v="1"/>
    <x v="7"/>
  </r>
  <r>
    <x v="5"/>
    <x v="2581"/>
    <n v="1"/>
    <x v="54"/>
    <x v="0"/>
    <x v="1545"/>
    <x v="1564"/>
    <x v="1523"/>
    <x v="0"/>
    <x v="0"/>
    <x v="0"/>
    <x v="0"/>
  </r>
  <r>
    <x v="5"/>
    <x v="2582"/>
    <n v="1"/>
    <x v="54"/>
    <x v="0"/>
    <x v="1546"/>
    <x v="1565"/>
    <x v="1524"/>
    <x v="10"/>
    <x v="1"/>
    <x v="0"/>
    <x v="0"/>
  </r>
  <r>
    <x v="5"/>
    <x v="2583"/>
    <n v="1"/>
    <x v="54"/>
    <x v="0"/>
    <x v="1547"/>
    <x v="1566"/>
    <x v="1525"/>
    <x v="9"/>
    <x v="1"/>
    <x v="0"/>
    <x v="0"/>
  </r>
  <r>
    <x v="5"/>
    <x v="2584"/>
    <n v="1"/>
    <x v="54"/>
    <x v="0"/>
    <x v="1548"/>
    <x v="1567"/>
    <x v="1526"/>
    <x v="17"/>
    <x v="1"/>
    <x v="0"/>
    <x v="0"/>
  </r>
  <r>
    <x v="5"/>
    <x v="2585"/>
    <n v="1"/>
    <x v="54"/>
    <x v="0"/>
    <x v="1549"/>
    <x v="1568"/>
    <x v="1527"/>
    <x v="1"/>
    <x v="1"/>
    <x v="0"/>
    <x v="0"/>
  </r>
  <r>
    <x v="5"/>
    <x v="2586"/>
    <n v="4"/>
    <x v="54"/>
    <x v="0"/>
    <x v="437"/>
    <x v="1062"/>
    <x v="1039"/>
    <x v="4"/>
    <x v="2"/>
    <x v="9"/>
    <x v="19"/>
  </r>
  <r>
    <x v="5"/>
    <x v="2587"/>
    <n v="4"/>
    <x v="54"/>
    <x v="0"/>
    <x v="443"/>
    <x v="453"/>
    <x v="444"/>
    <x v="4"/>
    <x v="2"/>
    <x v="1"/>
    <x v="12"/>
  </r>
  <r>
    <x v="5"/>
    <x v="2588"/>
    <n v="4"/>
    <x v="54"/>
    <x v="0"/>
    <x v="1047"/>
    <x v="1061"/>
    <x v="1038"/>
    <x v="8"/>
    <x v="2"/>
    <x v="3"/>
    <x v="12"/>
  </r>
  <r>
    <x v="5"/>
    <x v="2589"/>
    <n v="4"/>
    <x v="54"/>
    <x v="0"/>
    <x v="444"/>
    <x v="454"/>
    <x v="445"/>
    <x v="6"/>
    <x v="2"/>
    <x v="3"/>
    <x v="5"/>
  </r>
  <r>
    <x v="5"/>
    <x v="2590"/>
    <n v="2"/>
    <x v="54"/>
    <x v="0"/>
    <x v="141"/>
    <x v="142"/>
    <x v="141"/>
    <x v="7"/>
    <x v="2"/>
    <x v="1"/>
    <x v="7"/>
  </r>
  <r>
    <x v="5"/>
    <x v="2591"/>
    <n v="2"/>
    <x v="54"/>
    <x v="0"/>
    <x v="234"/>
    <x v="235"/>
    <x v="234"/>
    <x v="4"/>
    <x v="2"/>
    <x v="1"/>
    <x v="5"/>
  </r>
  <r>
    <x v="5"/>
    <x v="2592"/>
    <n v="1"/>
    <x v="54"/>
    <x v="0"/>
    <x v="513"/>
    <x v="523"/>
    <x v="511"/>
    <x v="7"/>
    <x v="2"/>
    <x v="1"/>
    <x v="12"/>
  </r>
  <r>
    <x v="5"/>
    <x v="2593"/>
    <n v="1"/>
    <x v="54"/>
    <x v="0"/>
    <x v="1042"/>
    <x v="1056"/>
    <x v="1033"/>
    <x v="16"/>
    <x v="2"/>
    <x v="9"/>
    <x v="12"/>
  </r>
  <r>
    <x v="5"/>
    <x v="2594"/>
    <n v="1"/>
    <x v="54"/>
    <x v="0"/>
    <x v="382"/>
    <x v="388"/>
    <x v="381"/>
    <x v="7"/>
    <x v="2"/>
    <x v="3"/>
    <x v="5"/>
  </r>
  <r>
    <x v="5"/>
    <x v="2595"/>
    <n v="1"/>
    <x v="54"/>
    <x v="131"/>
    <x v="1041"/>
    <x v="1055"/>
    <x v="1032"/>
    <x v="0"/>
    <x v="3"/>
    <x v="0"/>
    <x v="0"/>
  </r>
  <r>
    <x v="5"/>
    <x v="2596"/>
    <n v="1"/>
    <x v="54"/>
    <x v="131"/>
    <x v="380"/>
    <x v="386"/>
    <x v="379"/>
    <x v="8"/>
    <x v="2"/>
    <x v="3"/>
    <x v="12"/>
  </r>
  <r>
    <x v="5"/>
    <x v="2597"/>
    <n v="1"/>
    <x v="54"/>
    <x v="131"/>
    <x v="378"/>
    <x v="384"/>
    <x v="377"/>
    <x v="11"/>
    <x v="3"/>
    <x v="0"/>
    <x v="0"/>
  </r>
  <r>
    <x v="5"/>
    <x v="2598"/>
    <n v="1"/>
    <x v="55"/>
    <x v="190"/>
    <x v="1550"/>
    <x v="1569"/>
    <x v="1528"/>
    <x v="0"/>
    <x v="0"/>
    <x v="0"/>
    <x v="0"/>
  </r>
  <r>
    <x v="5"/>
    <x v="2599"/>
    <n v="1"/>
    <x v="55"/>
    <x v="0"/>
    <x v="1551"/>
    <x v="1570"/>
    <x v="1529"/>
    <x v="1"/>
    <x v="1"/>
    <x v="0"/>
    <x v="0"/>
  </r>
  <r>
    <x v="5"/>
    <x v="2600"/>
    <n v="1"/>
    <x v="55"/>
    <x v="0"/>
    <x v="1552"/>
    <x v="1571"/>
    <x v="1530"/>
    <x v="17"/>
    <x v="1"/>
    <x v="0"/>
    <x v="0"/>
  </r>
  <r>
    <x v="5"/>
    <x v="2601"/>
    <n v="1"/>
    <x v="55"/>
    <x v="191"/>
    <x v="1553"/>
    <x v="1572"/>
    <x v="1531"/>
    <x v="0"/>
    <x v="3"/>
    <x v="0"/>
    <x v="0"/>
  </r>
  <r>
    <x v="5"/>
    <x v="2602"/>
    <n v="1"/>
    <x v="55"/>
    <x v="191"/>
    <x v="1159"/>
    <x v="1175"/>
    <x v="1151"/>
    <x v="4"/>
    <x v="2"/>
    <x v="2"/>
    <x v="34"/>
  </r>
  <r>
    <x v="5"/>
    <x v="2603"/>
    <n v="1"/>
    <x v="55"/>
    <x v="191"/>
    <x v="1160"/>
    <x v="1176"/>
    <x v="1152"/>
    <x v="7"/>
    <x v="2"/>
    <x v="1"/>
    <x v="29"/>
  </r>
  <r>
    <x v="5"/>
    <x v="2604"/>
    <n v="1"/>
    <x v="55"/>
    <x v="191"/>
    <x v="1161"/>
    <x v="1177"/>
    <x v="1153"/>
    <x v="4"/>
    <x v="2"/>
    <x v="1"/>
    <x v="6"/>
  </r>
  <r>
    <x v="5"/>
    <x v="2605"/>
    <n v="1"/>
    <x v="55"/>
    <x v="191"/>
    <x v="1162"/>
    <x v="1178"/>
    <x v="1154"/>
    <x v="4"/>
    <x v="3"/>
    <x v="0"/>
    <x v="0"/>
  </r>
  <r>
    <x v="5"/>
    <x v="2606"/>
    <n v="1"/>
    <x v="55"/>
    <x v="191"/>
    <x v="1163"/>
    <x v="1179"/>
    <x v="1155"/>
    <x v="4"/>
    <x v="2"/>
    <x v="1"/>
    <x v="9"/>
  </r>
  <r>
    <x v="5"/>
    <x v="2607"/>
    <n v="1"/>
    <x v="55"/>
    <x v="191"/>
    <x v="1276"/>
    <x v="1293"/>
    <x v="1262"/>
    <x v="0"/>
    <x v="2"/>
    <x v="3"/>
    <x v="12"/>
  </r>
  <r>
    <x v="5"/>
    <x v="2608"/>
    <n v="2"/>
    <x v="55"/>
    <x v="0"/>
    <x v="1554"/>
    <x v="1573"/>
    <x v="1532"/>
    <x v="8"/>
    <x v="2"/>
    <x v="3"/>
    <x v="12"/>
  </r>
  <r>
    <x v="5"/>
    <x v="2609"/>
    <n v="4"/>
    <x v="55"/>
    <x v="0"/>
    <x v="669"/>
    <x v="680"/>
    <x v="658"/>
    <x v="7"/>
    <x v="2"/>
    <x v="1"/>
    <x v="15"/>
  </r>
  <r>
    <x v="5"/>
    <x v="2610"/>
    <n v="1"/>
    <x v="55"/>
    <x v="0"/>
    <x v="181"/>
    <x v="182"/>
    <x v="181"/>
    <x v="8"/>
    <x v="2"/>
    <x v="1"/>
    <x v="5"/>
  </r>
  <r>
    <x v="5"/>
    <x v="2611"/>
    <n v="2"/>
    <x v="55"/>
    <x v="0"/>
    <x v="1554"/>
    <x v="1574"/>
    <x v="1533"/>
    <x v="7"/>
    <x v="2"/>
    <x v="1"/>
    <x v="5"/>
  </r>
  <r>
    <x v="5"/>
    <x v="2612"/>
    <n v="1"/>
    <x v="56"/>
    <x v="0"/>
    <x v="1555"/>
    <x v="1575"/>
    <x v="1534"/>
    <x v="0"/>
    <x v="0"/>
    <x v="0"/>
    <x v="0"/>
  </r>
  <r>
    <x v="5"/>
    <x v="2613"/>
    <n v="1"/>
    <x v="56"/>
    <x v="0"/>
    <x v="1556"/>
    <x v="1576"/>
    <x v="1535"/>
    <x v="8"/>
    <x v="1"/>
    <x v="0"/>
    <x v="0"/>
  </r>
  <r>
    <x v="5"/>
    <x v="2614"/>
    <n v="1"/>
    <x v="56"/>
    <x v="0"/>
    <x v="1557"/>
    <x v="1577"/>
    <x v="1536"/>
    <x v="10"/>
    <x v="1"/>
    <x v="0"/>
    <x v="0"/>
  </r>
  <r>
    <x v="5"/>
    <x v="2615"/>
    <n v="1"/>
    <x v="56"/>
    <x v="0"/>
    <x v="1558"/>
    <x v="1578"/>
    <x v="1537"/>
    <x v="10"/>
    <x v="1"/>
    <x v="0"/>
    <x v="0"/>
  </r>
  <r>
    <x v="5"/>
    <x v="2616"/>
    <n v="1"/>
    <x v="56"/>
    <x v="0"/>
    <x v="1559"/>
    <x v="1579"/>
    <x v="1538"/>
    <x v="9"/>
    <x v="1"/>
    <x v="0"/>
    <x v="0"/>
  </r>
  <r>
    <x v="5"/>
    <x v="2617"/>
    <n v="1"/>
    <x v="56"/>
    <x v="0"/>
    <x v="1560"/>
    <x v="1580"/>
    <x v="1539"/>
    <x v="10"/>
    <x v="1"/>
    <x v="0"/>
    <x v="0"/>
  </r>
  <r>
    <x v="5"/>
    <x v="2618"/>
    <n v="1"/>
    <x v="56"/>
    <x v="0"/>
    <x v="1561"/>
    <x v="1581"/>
    <x v="1540"/>
    <x v="9"/>
    <x v="1"/>
    <x v="0"/>
    <x v="0"/>
  </r>
  <r>
    <x v="5"/>
    <x v="2619"/>
    <n v="1"/>
    <x v="56"/>
    <x v="0"/>
    <x v="1562"/>
    <x v="1582"/>
    <x v="1541"/>
    <x v="9"/>
    <x v="1"/>
    <x v="0"/>
    <x v="0"/>
  </r>
  <r>
    <x v="5"/>
    <x v="2620"/>
    <n v="1"/>
    <x v="56"/>
    <x v="192"/>
    <x v="1563"/>
    <x v="1583"/>
    <x v="1542"/>
    <x v="0"/>
    <x v="2"/>
    <x v="2"/>
    <x v="40"/>
  </r>
  <r>
    <x v="5"/>
    <x v="2621"/>
    <n v="1"/>
    <x v="56"/>
    <x v="192"/>
    <x v="1564"/>
    <x v="1584"/>
    <x v="1543"/>
    <x v="0"/>
    <x v="2"/>
    <x v="2"/>
    <x v="40"/>
  </r>
  <r>
    <x v="5"/>
    <x v="2622"/>
    <n v="1"/>
    <x v="56"/>
    <x v="192"/>
    <x v="1565"/>
    <x v="1585"/>
    <x v="1544"/>
    <x v="21"/>
    <x v="2"/>
    <x v="9"/>
    <x v="15"/>
  </r>
  <r>
    <x v="5"/>
    <x v="2623"/>
    <n v="1"/>
    <x v="56"/>
    <x v="0"/>
    <x v="1566"/>
    <x v="1586"/>
    <x v="1545"/>
    <x v="4"/>
    <x v="2"/>
    <x v="1"/>
    <x v="5"/>
  </r>
  <r>
    <x v="5"/>
    <x v="2624"/>
    <n v="2"/>
    <x v="56"/>
    <x v="193"/>
    <x v="1567"/>
    <x v="1587"/>
    <x v="1546"/>
    <x v="0"/>
    <x v="3"/>
    <x v="0"/>
    <x v="0"/>
  </r>
  <r>
    <x v="5"/>
    <x v="2625"/>
    <n v="1"/>
    <x v="56"/>
    <x v="193"/>
    <x v="1568"/>
    <x v="1588"/>
    <x v="1547"/>
    <x v="12"/>
    <x v="3"/>
    <x v="0"/>
    <x v="0"/>
  </r>
  <r>
    <x v="5"/>
    <x v="2626"/>
    <n v="2"/>
    <x v="56"/>
    <x v="193"/>
    <x v="388"/>
    <x v="394"/>
    <x v="387"/>
    <x v="7"/>
    <x v="2"/>
    <x v="1"/>
    <x v="11"/>
  </r>
  <r>
    <x v="5"/>
    <x v="2627"/>
    <n v="1"/>
    <x v="56"/>
    <x v="194"/>
    <x v="1569"/>
    <x v="1589"/>
    <x v="1548"/>
    <x v="0"/>
    <x v="3"/>
    <x v="0"/>
    <x v="0"/>
  </r>
  <r>
    <x v="5"/>
    <x v="2628"/>
    <n v="1"/>
    <x v="56"/>
    <x v="194"/>
    <x v="1570"/>
    <x v="1590"/>
    <x v="1549"/>
    <x v="12"/>
    <x v="3"/>
    <x v="0"/>
    <x v="0"/>
  </r>
  <r>
    <x v="5"/>
    <x v="2629"/>
    <n v="2"/>
    <x v="56"/>
    <x v="194"/>
    <x v="388"/>
    <x v="394"/>
    <x v="387"/>
    <x v="7"/>
    <x v="2"/>
    <x v="1"/>
    <x v="11"/>
  </r>
  <r>
    <x v="5"/>
    <x v="2630"/>
    <n v="1"/>
    <x v="56"/>
    <x v="195"/>
    <x v="1571"/>
    <x v="1591"/>
    <x v="1550"/>
    <x v="0"/>
    <x v="3"/>
    <x v="0"/>
    <x v="0"/>
  </r>
  <r>
    <x v="5"/>
    <x v="2631"/>
    <n v="1"/>
    <x v="56"/>
    <x v="195"/>
    <x v="1572"/>
    <x v="1592"/>
    <x v="1551"/>
    <x v="12"/>
    <x v="3"/>
    <x v="0"/>
    <x v="0"/>
  </r>
  <r>
    <x v="5"/>
    <x v="2632"/>
    <n v="2"/>
    <x v="56"/>
    <x v="195"/>
    <x v="107"/>
    <x v="108"/>
    <x v="107"/>
    <x v="7"/>
    <x v="2"/>
    <x v="1"/>
    <x v="11"/>
  </r>
  <r>
    <x v="5"/>
    <x v="2633"/>
    <n v="2"/>
    <x v="56"/>
    <x v="0"/>
    <x v="1465"/>
    <x v="1484"/>
    <x v="1444"/>
    <x v="8"/>
    <x v="2"/>
    <x v="3"/>
    <x v="12"/>
  </r>
  <r>
    <x v="5"/>
    <x v="2634"/>
    <n v="8"/>
    <x v="56"/>
    <x v="0"/>
    <x v="130"/>
    <x v="131"/>
    <x v="130"/>
    <x v="7"/>
    <x v="2"/>
    <x v="1"/>
    <x v="7"/>
  </r>
  <r>
    <x v="5"/>
    <x v="2635"/>
    <n v="8"/>
    <x v="56"/>
    <x v="0"/>
    <x v="234"/>
    <x v="235"/>
    <x v="234"/>
    <x v="4"/>
    <x v="2"/>
    <x v="1"/>
    <x v="5"/>
  </r>
  <r>
    <x v="5"/>
    <x v="2636"/>
    <n v="2"/>
    <x v="56"/>
    <x v="0"/>
    <x v="1033"/>
    <x v="1047"/>
    <x v="1024"/>
    <x v="7"/>
    <x v="2"/>
    <x v="1"/>
    <x v="7"/>
  </r>
  <r>
    <x v="5"/>
    <x v="2637"/>
    <n v="2"/>
    <x v="56"/>
    <x v="0"/>
    <x v="231"/>
    <x v="232"/>
    <x v="231"/>
    <x v="4"/>
    <x v="2"/>
    <x v="1"/>
    <x v="5"/>
  </r>
  <r>
    <x v="5"/>
    <x v="2638"/>
    <n v="4"/>
    <x v="56"/>
    <x v="0"/>
    <x v="620"/>
    <x v="631"/>
    <x v="609"/>
    <x v="7"/>
    <x v="2"/>
    <x v="1"/>
    <x v="3"/>
  </r>
  <r>
    <x v="5"/>
    <x v="2639"/>
    <n v="4"/>
    <x v="56"/>
    <x v="0"/>
    <x v="739"/>
    <x v="752"/>
    <x v="730"/>
    <x v="11"/>
    <x v="2"/>
    <x v="1"/>
    <x v="9"/>
  </r>
  <r>
    <x v="5"/>
    <x v="2640"/>
    <n v="1"/>
    <x v="56"/>
    <x v="196"/>
    <x v="1573"/>
    <x v="1593"/>
    <x v="1552"/>
    <x v="0"/>
    <x v="4"/>
    <x v="0"/>
    <x v="0"/>
  </r>
  <r>
    <x v="5"/>
    <x v="2641"/>
    <n v="1"/>
    <x v="56"/>
    <x v="196"/>
    <x v="1556"/>
    <x v="1594"/>
    <x v="1553"/>
    <x v="1"/>
    <x v="1"/>
    <x v="0"/>
    <x v="0"/>
  </r>
  <r>
    <x v="5"/>
    <x v="2642"/>
    <n v="4"/>
    <x v="56"/>
    <x v="196"/>
    <x v="148"/>
    <x v="149"/>
    <x v="148"/>
    <x v="11"/>
    <x v="2"/>
    <x v="1"/>
    <x v="9"/>
  </r>
  <r>
    <x v="5"/>
    <x v="2643"/>
    <n v="8"/>
    <x v="56"/>
    <x v="196"/>
    <x v="116"/>
    <x v="117"/>
    <x v="116"/>
    <x v="6"/>
    <x v="2"/>
    <x v="1"/>
    <x v="7"/>
  </r>
  <r>
    <x v="5"/>
    <x v="2644"/>
    <n v="1"/>
    <x v="56"/>
    <x v="197"/>
    <x v="157"/>
    <x v="158"/>
    <x v="157"/>
    <x v="8"/>
    <x v="4"/>
    <x v="7"/>
    <x v="18"/>
  </r>
  <r>
    <x v="5"/>
    <x v="2645"/>
    <n v="1"/>
    <x v="56"/>
    <x v="197"/>
    <x v="158"/>
    <x v="159"/>
    <x v="158"/>
    <x v="8"/>
    <x v="5"/>
    <x v="7"/>
    <x v="18"/>
  </r>
  <r>
    <x v="5"/>
    <x v="2646"/>
    <n v="1"/>
    <x v="56"/>
    <x v="197"/>
    <x v="153"/>
    <x v="154"/>
    <x v="153"/>
    <x v="8"/>
    <x v="2"/>
    <x v="5"/>
    <x v="16"/>
  </r>
  <r>
    <x v="5"/>
    <x v="2647"/>
    <n v="4"/>
    <x v="56"/>
    <x v="0"/>
    <x v="116"/>
    <x v="117"/>
    <x v="116"/>
    <x v="6"/>
    <x v="2"/>
    <x v="1"/>
    <x v="7"/>
  </r>
  <r>
    <x v="5"/>
    <x v="2648"/>
    <n v="1"/>
    <x v="56"/>
    <x v="0"/>
    <x v="1574"/>
    <x v="1595"/>
    <x v="1554"/>
    <x v="8"/>
    <x v="2"/>
    <x v="3"/>
    <x v="12"/>
  </r>
  <r>
    <x v="5"/>
    <x v="2649"/>
    <n v="1"/>
    <x v="56"/>
    <x v="0"/>
    <x v="444"/>
    <x v="1596"/>
    <x v="1555"/>
    <x v="4"/>
    <x v="2"/>
    <x v="3"/>
    <x v="5"/>
  </r>
  <r>
    <x v="5"/>
    <x v="2650"/>
    <n v="2"/>
    <x v="56"/>
    <x v="0"/>
    <x v="1176"/>
    <x v="1192"/>
    <x v="1168"/>
    <x v="6"/>
    <x v="2"/>
    <x v="3"/>
    <x v="5"/>
  </r>
  <r>
    <x v="5"/>
    <x v="2651"/>
    <n v="1"/>
    <x v="56"/>
    <x v="0"/>
    <x v="539"/>
    <x v="549"/>
    <x v="533"/>
    <x v="8"/>
    <x v="2"/>
    <x v="4"/>
    <x v="13"/>
  </r>
  <r>
    <x v="5"/>
    <x v="2652"/>
    <n v="1"/>
    <x v="56"/>
    <x v="0"/>
    <x v="1177"/>
    <x v="1193"/>
    <x v="1169"/>
    <x v="4"/>
    <x v="2"/>
    <x v="1"/>
    <x v="13"/>
  </r>
  <r>
    <x v="5"/>
    <x v="2653"/>
    <n v="1"/>
    <x v="56"/>
    <x v="0"/>
    <x v="544"/>
    <x v="554"/>
    <x v="534"/>
    <x v="6"/>
    <x v="2"/>
    <x v="4"/>
    <x v="5"/>
  </r>
  <r>
    <x v="5"/>
    <x v="2288"/>
    <n v="1"/>
    <x v="57"/>
    <x v="0"/>
    <x v="1575"/>
    <x v="1597"/>
    <x v="1556"/>
    <x v="0"/>
    <x v="0"/>
    <x v="0"/>
    <x v="0"/>
  </r>
  <r>
    <x v="5"/>
    <x v="2654"/>
    <n v="1"/>
    <x v="57"/>
    <x v="0"/>
    <x v="1576"/>
    <x v="1598"/>
    <x v="1557"/>
    <x v="8"/>
    <x v="1"/>
    <x v="0"/>
    <x v="0"/>
  </r>
  <r>
    <x v="5"/>
    <x v="2655"/>
    <n v="1"/>
    <x v="57"/>
    <x v="0"/>
    <x v="1577"/>
    <x v="1599"/>
    <x v="1558"/>
    <x v="10"/>
    <x v="1"/>
    <x v="0"/>
    <x v="0"/>
  </r>
  <r>
    <x v="5"/>
    <x v="2656"/>
    <n v="1"/>
    <x v="57"/>
    <x v="0"/>
    <x v="1578"/>
    <x v="1600"/>
    <x v="1559"/>
    <x v="10"/>
    <x v="1"/>
    <x v="0"/>
    <x v="0"/>
  </r>
  <r>
    <x v="5"/>
    <x v="2657"/>
    <n v="1"/>
    <x v="57"/>
    <x v="0"/>
    <x v="1579"/>
    <x v="1601"/>
    <x v="1560"/>
    <x v="9"/>
    <x v="1"/>
    <x v="0"/>
    <x v="0"/>
  </r>
  <r>
    <x v="5"/>
    <x v="2658"/>
    <n v="5"/>
    <x v="57"/>
    <x v="0"/>
    <x v="539"/>
    <x v="549"/>
    <x v="533"/>
    <x v="8"/>
    <x v="2"/>
    <x v="4"/>
    <x v="13"/>
  </r>
  <r>
    <x v="5"/>
    <x v="2659"/>
    <n v="1"/>
    <x v="57"/>
    <x v="0"/>
    <x v="1580"/>
    <x v="1602"/>
    <x v="1561"/>
    <x v="8"/>
    <x v="2"/>
    <x v="3"/>
    <x v="12"/>
  </r>
  <r>
    <x v="5"/>
    <x v="2660"/>
    <n v="1"/>
    <x v="57"/>
    <x v="142"/>
    <x v="1156"/>
    <x v="1172"/>
    <x v="1148"/>
    <x v="0"/>
    <x v="3"/>
    <x v="0"/>
    <x v="0"/>
  </r>
  <r>
    <x v="5"/>
    <x v="2661"/>
    <n v="1"/>
    <x v="57"/>
    <x v="142"/>
    <x v="377"/>
    <x v="383"/>
    <x v="376"/>
    <x v="8"/>
    <x v="2"/>
    <x v="3"/>
    <x v="12"/>
  </r>
  <r>
    <x v="5"/>
    <x v="2662"/>
    <n v="1"/>
    <x v="57"/>
    <x v="142"/>
    <x v="1157"/>
    <x v="1173"/>
    <x v="1149"/>
    <x v="11"/>
    <x v="3"/>
    <x v="0"/>
    <x v="0"/>
  </r>
  <r>
    <x v="5"/>
    <x v="2663"/>
    <n v="4"/>
    <x v="57"/>
    <x v="0"/>
    <x v="130"/>
    <x v="131"/>
    <x v="130"/>
    <x v="7"/>
    <x v="2"/>
    <x v="1"/>
    <x v="7"/>
  </r>
  <r>
    <x v="5"/>
    <x v="2664"/>
    <n v="1"/>
    <x v="57"/>
    <x v="0"/>
    <x v="234"/>
    <x v="235"/>
    <x v="234"/>
    <x v="4"/>
    <x v="2"/>
    <x v="1"/>
    <x v="5"/>
  </r>
  <r>
    <x v="5"/>
    <x v="2665"/>
    <n v="3"/>
    <x v="57"/>
    <x v="0"/>
    <x v="146"/>
    <x v="147"/>
    <x v="146"/>
    <x v="11"/>
    <x v="2"/>
    <x v="1"/>
    <x v="9"/>
  </r>
  <r>
    <x v="5"/>
    <x v="2666"/>
    <n v="1"/>
    <x v="57"/>
    <x v="198"/>
    <x v="1581"/>
    <x v="1603"/>
    <x v="1562"/>
    <x v="0"/>
    <x v="4"/>
    <x v="0"/>
    <x v="0"/>
  </r>
  <r>
    <x v="5"/>
    <x v="2667"/>
    <n v="1"/>
    <x v="57"/>
    <x v="198"/>
    <x v="1582"/>
    <x v="1604"/>
    <x v="1563"/>
    <x v="1"/>
    <x v="1"/>
    <x v="0"/>
    <x v="0"/>
  </r>
  <r>
    <x v="5"/>
    <x v="2668"/>
    <n v="4"/>
    <x v="57"/>
    <x v="198"/>
    <x v="148"/>
    <x v="149"/>
    <x v="148"/>
    <x v="11"/>
    <x v="2"/>
    <x v="1"/>
    <x v="9"/>
  </r>
  <r>
    <x v="5"/>
    <x v="2669"/>
    <n v="8"/>
    <x v="57"/>
    <x v="198"/>
    <x v="116"/>
    <x v="117"/>
    <x v="116"/>
    <x v="6"/>
    <x v="2"/>
    <x v="1"/>
    <x v="7"/>
  </r>
  <r>
    <x v="5"/>
    <x v="2670"/>
    <n v="1"/>
    <x v="57"/>
    <x v="199"/>
    <x v="157"/>
    <x v="158"/>
    <x v="157"/>
    <x v="8"/>
    <x v="4"/>
    <x v="7"/>
    <x v="18"/>
  </r>
  <r>
    <x v="5"/>
    <x v="2671"/>
    <n v="1"/>
    <x v="57"/>
    <x v="199"/>
    <x v="158"/>
    <x v="159"/>
    <x v="158"/>
    <x v="8"/>
    <x v="5"/>
    <x v="7"/>
    <x v="18"/>
  </r>
  <r>
    <x v="5"/>
    <x v="2672"/>
    <n v="1"/>
    <x v="57"/>
    <x v="199"/>
    <x v="153"/>
    <x v="154"/>
    <x v="153"/>
    <x v="8"/>
    <x v="2"/>
    <x v="5"/>
    <x v="16"/>
  </r>
  <r>
    <x v="5"/>
    <x v="2673"/>
    <n v="3"/>
    <x v="57"/>
    <x v="0"/>
    <x v="1583"/>
    <x v="1605"/>
    <x v="1564"/>
    <x v="7"/>
    <x v="2"/>
    <x v="1"/>
    <x v="7"/>
  </r>
  <r>
    <x v="5"/>
    <x v="2674"/>
    <n v="2"/>
    <x v="57"/>
    <x v="200"/>
    <x v="1584"/>
    <x v="1606"/>
    <x v="184"/>
    <x v="0"/>
    <x v="3"/>
    <x v="0"/>
    <x v="0"/>
  </r>
  <r>
    <x v="5"/>
    <x v="2675"/>
    <n v="1"/>
    <x v="57"/>
    <x v="200"/>
    <x v="1585"/>
    <x v="1607"/>
    <x v="185"/>
    <x v="12"/>
    <x v="3"/>
    <x v="0"/>
    <x v="0"/>
  </r>
  <r>
    <x v="5"/>
    <x v="2676"/>
    <n v="2"/>
    <x v="57"/>
    <x v="200"/>
    <x v="388"/>
    <x v="394"/>
    <x v="387"/>
    <x v="7"/>
    <x v="2"/>
    <x v="1"/>
    <x v="11"/>
  </r>
  <r>
    <x v="5"/>
    <x v="2677"/>
    <n v="1"/>
    <x v="57"/>
    <x v="201"/>
    <x v="1586"/>
    <x v="1608"/>
    <x v="184"/>
    <x v="0"/>
    <x v="3"/>
    <x v="0"/>
    <x v="0"/>
  </r>
  <r>
    <x v="5"/>
    <x v="2678"/>
    <n v="1"/>
    <x v="57"/>
    <x v="201"/>
    <x v="1587"/>
    <x v="1609"/>
    <x v="185"/>
    <x v="12"/>
    <x v="3"/>
    <x v="0"/>
    <x v="0"/>
  </r>
  <r>
    <x v="5"/>
    <x v="2679"/>
    <n v="2"/>
    <x v="57"/>
    <x v="201"/>
    <x v="388"/>
    <x v="394"/>
    <x v="387"/>
    <x v="7"/>
    <x v="2"/>
    <x v="1"/>
    <x v="11"/>
  </r>
  <r>
    <x v="5"/>
    <x v="2680"/>
    <n v="2"/>
    <x v="57"/>
    <x v="151"/>
    <x v="1199"/>
    <x v="1216"/>
    <x v="184"/>
    <x v="0"/>
    <x v="3"/>
    <x v="0"/>
    <x v="0"/>
  </r>
  <r>
    <x v="5"/>
    <x v="2681"/>
    <n v="1"/>
    <x v="57"/>
    <x v="151"/>
    <x v="1200"/>
    <x v="1217"/>
    <x v="185"/>
    <x v="12"/>
    <x v="3"/>
    <x v="0"/>
    <x v="0"/>
  </r>
  <r>
    <x v="5"/>
    <x v="2682"/>
    <n v="1"/>
    <x v="57"/>
    <x v="151"/>
    <x v="532"/>
    <x v="542"/>
    <x v="387"/>
    <x v="7"/>
    <x v="2"/>
    <x v="1"/>
    <x v="11"/>
  </r>
  <r>
    <x v="5"/>
    <x v="2683"/>
    <n v="1"/>
    <x v="57"/>
    <x v="151"/>
    <x v="388"/>
    <x v="394"/>
    <x v="387"/>
    <x v="7"/>
    <x v="2"/>
    <x v="1"/>
    <x v="11"/>
  </r>
  <r>
    <x v="5"/>
    <x v="2684"/>
    <n v="5"/>
    <x v="57"/>
    <x v="0"/>
    <x v="544"/>
    <x v="554"/>
    <x v="534"/>
    <x v="6"/>
    <x v="2"/>
    <x v="4"/>
    <x v="5"/>
  </r>
  <r>
    <x v="5"/>
    <x v="2685"/>
    <n v="1"/>
    <x v="57"/>
    <x v="0"/>
    <x v="1104"/>
    <x v="1119"/>
    <x v="1096"/>
    <x v="4"/>
    <x v="2"/>
    <x v="3"/>
    <x v="5"/>
  </r>
  <r>
    <x v="5"/>
    <x v="2686"/>
    <n v="1"/>
    <x v="57"/>
    <x v="0"/>
    <x v="1042"/>
    <x v="1056"/>
    <x v="1033"/>
    <x v="16"/>
    <x v="2"/>
    <x v="9"/>
    <x v="12"/>
  </r>
  <r>
    <x v="5"/>
    <x v="2687"/>
    <n v="1"/>
    <x v="57"/>
    <x v="0"/>
    <x v="513"/>
    <x v="523"/>
    <x v="511"/>
    <x v="7"/>
    <x v="2"/>
    <x v="1"/>
    <x v="12"/>
  </r>
  <r>
    <x v="5"/>
    <x v="2688"/>
    <n v="1"/>
    <x v="57"/>
    <x v="0"/>
    <x v="382"/>
    <x v="388"/>
    <x v="381"/>
    <x v="7"/>
    <x v="2"/>
    <x v="3"/>
    <x v="5"/>
  </r>
  <r>
    <x v="5"/>
    <x v="2689"/>
    <n v="1"/>
    <x v="58"/>
    <x v="0"/>
    <x v="1588"/>
    <x v="1610"/>
    <x v="1565"/>
    <x v="0"/>
    <x v="0"/>
    <x v="0"/>
    <x v="0"/>
  </r>
  <r>
    <x v="5"/>
    <x v="2690"/>
    <n v="1"/>
    <x v="58"/>
    <x v="0"/>
    <x v="1589"/>
    <x v="1611"/>
    <x v="1566"/>
    <x v="8"/>
    <x v="1"/>
    <x v="0"/>
    <x v="0"/>
  </r>
  <r>
    <x v="5"/>
    <x v="2691"/>
    <n v="1"/>
    <x v="58"/>
    <x v="0"/>
    <x v="1590"/>
    <x v="1612"/>
    <x v="1567"/>
    <x v="10"/>
    <x v="1"/>
    <x v="0"/>
    <x v="0"/>
  </r>
  <r>
    <x v="5"/>
    <x v="2692"/>
    <n v="1"/>
    <x v="58"/>
    <x v="0"/>
    <x v="1591"/>
    <x v="1613"/>
    <x v="1568"/>
    <x v="9"/>
    <x v="1"/>
    <x v="0"/>
    <x v="0"/>
  </r>
  <r>
    <x v="5"/>
    <x v="2693"/>
    <n v="1"/>
    <x v="58"/>
    <x v="0"/>
    <x v="1592"/>
    <x v="1614"/>
    <x v="1569"/>
    <x v="10"/>
    <x v="1"/>
    <x v="0"/>
    <x v="0"/>
  </r>
  <r>
    <x v="5"/>
    <x v="2694"/>
    <n v="1"/>
    <x v="58"/>
    <x v="0"/>
    <x v="1593"/>
    <x v="1615"/>
    <x v="1570"/>
    <x v="1"/>
    <x v="1"/>
    <x v="0"/>
    <x v="0"/>
  </r>
  <r>
    <x v="5"/>
    <x v="2695"/>
    <n v="2"/>
    <x v="58"/>
    <x v="0"/>
    <x v="620"/>
    <x v="631"/>
    <x v="609"/>
    <x v="7"/>
    <x v="2"/>
    <x v="1"/>
    <x v="3"/>
  </r>
  <r>
    <x v="5"/>
    <x v="2696"/>
    <n v="4"/>
    <x v="58"/>
    <x v="0"/>
    <x v="147"/>
    <x v="148"/>
    <x v="147"/>
    <x v="4"/>
    <x v="2"/>
    <x v="1"/>
    <x v="3"/>
  </r>
  <r>
    <x v="5"/>
    <x v="2697"/>
    <n v="4"/>
    <x v="58"/>
    <x v="0"/>
    <x v="130"/>
    <x v="131"/>
    <x v="130"/>
    <x v="7"/>
    <x v="2"/>
    <x v="1"/>
    <x v="7"/>
  </r>
  <r>
    <x v="5"/>
    <x v="2698"/>
    <n v="2"/>
    <x v="58"/>
    <x v="0"/>
    <x v="234"/>
    <x v="235"/>
    <x v="234"/>
    <x v="4"/>
    <x v="2"/>
    <x v="1"/>
    <x v="5"/>
  </r>
  <r>
    <x v="5"/>
    <x v="2699"/>
    <n v="1"/>
    <x v="58"/>
    <x v="143"/>
    <x v="1158"/>
    <x v="1174"/>
    <x v="1150"/>
    <x v="0"/>
    <x v="3"/>
    <x v="0"/>
    <x v="0"/>
  </r>
  <r>
    <x v="5"/>
    <x v="2700"/>
    <n v="1"/>
    <x v="58"/>
    <x v="143"/>
    <x v="1159"/>
    <x v="1175"/>
    <x v="1151"/>
    <x v="4"/>
    <x v="2"/>
    <x v="2"/>
    <x v="34"/>
  </r>
  <r>
    <x v="5"/>
    <x v="2701"/>
    <n v="1"/>
    <x v="58"/>
    <x v="143"/>
    <x v="1160"/>
    <x v="1176"/>
    <x v="1152"/>
    <x v="7"/>
    <x v="2"/>
    <x v="1"/>
    <x v="29"/>
  </r>
  <r>
    <x v="5"/>
    <x v="2702"/>
    <n v="1"/>
    <x v="58"/>
    <x v="143"/>
    <x v="1161"/>
    <x v="1177"/>
    <x v="1153"/>
    <x v="4"/>
    <x v="2"/>
    <x v="1"/>
    <x v="6"/>
  </r>
  <r>
    <x v="5"/>
    <x v="2703"/>
    <n v="1"/>
    <x v="58"/>
    <x v="143"/>
    <x v="1162"/>
    <x v="1178"/>
    <x v="1154"/>
    <x v="4"/>
    <x v="3"/>
    <x v="0"/>
    <x v="0"/>
  </r>
  <r>
    <x v="5"/>
    <x v="2704"/>
    <n v="1"/>
    <x v="58"/>
    <x v="143"/>
    <x v="1163"/>
    <x v="1179"/>
    <x v="1155"/>
    <x v="4"/>
    <x v="2"/>
    <x v="1"/>
    <x v="9"/>
  </r>
  <r>
    <x v="5"/>
    <x v="2705"/>
    <n v="1"/>
    <x v="58"/>
    <x v="143"/>
    <x v="1164"/>
    <x v="1180"/>
    <x v="1156"/>
    <x v="0"/>
    <x v="2"/>
    <x v="3"/>
    <x v="12"/>
  </r>
  <r>
    <x v="5"/>
    <x v="2706"/>
    <n v="1"/>
    <x v="58"/>
    <x v="0"/>
    <x v="1594"/>
    <x v="1616"/>
    <x v="1571"/>
    <x v="8"/>
    <x v="2"/>
    <x v="3"/>
    <x v="12"/>
  </r>
  <r>
    <x v="5"/>
    <x v="2707"/>
    <n v="2"/>
    <x v="58"/>
    <x v="0"/>
    <x v="146"/>
    <x v="147"/>
    <x v="146"/>
    <x v="11"/>
    <x v="2"/>
    <x v="1"/>
    <x v="9"/>
  </r>
  <r>
    <x v="5"/>
    <x v="2708"/>
    <n v="1"/>
    <x v="58"/>
    <x v="0"/>
    <x v="739"/>
    <x v="752"/>
    <x v="730"/>
    <x v="11"/>
    <x v="2"/>
    <x v="1"/>
    <x v="9"/>
  </r>
  <r>
    <x v="5"/>
    <x v="2709"/>
    <n v="1"/>
    <x v="58"/>
    <x v="0"/>
    <x v="1225"/>
    <x v="1242"/>
    <x v="1212"/>
    <x v="7"/>
    <x v="2"/>
    <x v="1"/>
    <x v="3"/>
  </r>
  <r>
    <x v="5"/>
    <x v="2710"/>
    <n v="2"/>
    <x v="58"/>
    <x v="0"/>
    <x v="1180"/>
    <x v="1196"/>
    <x v="1170"/>
    <x v="11"/>
    <x v="2"/>
    <x v="1"/>
    <x v="9"/>
  </r>
  <r>
    <x v="5"/>
    <x v="2711"/>
    <n v="1"/>
    <x v="58"/>
    <x v="0"/>
    <x v="128"/>
    <x v="129"/>
    <x v="128"/>
    <x v="11"/>
    <x v="2"/>
    <x v="1"/>
    <x v="9"/>
  </r>
  <r>
    <x v="5"/>
    <x v="2712"/>
    <n v="2"/>
    <x v="58"/>
    <x v="0"/>
    <x v="385"/>
    <x v="391"/>
    <x v="384"/>
    <x v="4"/>
    <x v="2"/>
    <x v="1"/>
    <x v="7"/>
  </r>
  <r>
    <x v="5"/>
    <x v="2713"/>
    <n v="9"/>
    <x v="58"/>
    <x v="0"/>
    <x v="116"/>
    <x v="117"/>
    <x v="116"/>
    <x v="6"/>
    <x v="2"/>
    <x v="1"/>
    <x v="7"/>
  </r>
  <r>
    <x v="5"/>
    <x v="2714"/>
    <n v="4"/>
    <x v="58"/>
    <x v="0"/>
    <x v="148"/>
    <x v="149"/>
    <x v="148"/>
    <x v="11"/>
    <x v="2"/>
    <x v="1"/>
    <x v="9"/>
  </r>
  <r>
    <x v="5"/>
    <x v="2715"/>
    <n v="1"/>
    <x v="58"/>
    <x v="0"/>
    <x v="1165"/>
    <x v="1181"/>
    <x v="1157"/>
    <x v="8"/>
    <x v="5"/>
    <x v="7"/>
    <x v="18"/>
  </r>
  <r>
    <x v="5"/>
    <x v="2716"/>
    <n v="4"/>
    <x v="58"/>
    <x v="0"/>
    <x v="1166"/>
    <x v="1182"/>
    <x v="1158"/>
    <x v="11"/>
    <x v="2"/>
    <x v="1"/>
    <x v="9"/>
  </r>
  <r>
    <x v="5"/>
    <x v="2717"/>
    <n v="2"/>
    <x v="58"/>
    <x v="202"/>
    <x v="1595"/>
    <x v="1617"/>
    <x v="1572"/>
    <x v="0"/>
    <x v="3"/>
    <x v="0"/>
    <x v="0"/>
  </r>
  <r>
    <x v="5"/>
    <x v="2718"/>
    <n v="1"/>
    <x v="58"/>
    <x v="202"/>
    <x v="1596"/>
    <x v="1618"/>
    <x v="1573"/>
    <x v="12"/>
    <x v="3"/>
    <x v="0"/>
    <x v="0"/>
  </r>
  <r>
    <x v="5"/>
    <x v="2719"/>
    <n v="2"/>
    <x v="58"/>
    <x v="202"/>
    <x v="1597"/>
    <x v="1619"/>
    <x v="1574"/>
    <x v="7"/>
    <x v="2"/>
    <x v="1"/>
    <x v="11"/>
  </r>
  <r>
    <x v="5"/>
    <x v="2720"/>
    <n v="1"/>
    <x v="58"/>
    <x v="203"/>
    <x v="1598"/>
    <x v="1620"/>
    <x v="439"/>
    <x v="0"/>
    <x v="3"/>
    <x v="0"/>
    <x v="0"/>
  </r>
  <r>
    <x v="5"/>
    <x v="2721"/>
    <n v="1"/>
    <x v="58"/>
    <x v="203"/>
    <x v="1599"/>
    <x v="1621"/>
    <x v="440"/>
    <x v="12"/>
    <x v="3"/>
    <x v="0"/>
    <x v="0"/>
  </r>
  <r>
    <x v="5"/>
    <x v="2722"/>
    <n v="2"/>
    <x v="58"/>
    <x v="203"/>
    <x v="107"/>
    <x v="108"/>
    <x v="107"/>
    <x v="7"/>
    <x v="2"/>
    <x v="1"/>
    <x v="11"/>
  </r>
  <r>
    <x v="5"/>
    <x v="2723"/>
    <n v="1"/>
    <x v="58"/>
    <x v="204"/>
    <x v="1600"/>
    <x v="1622"/>
    <x v="1575"/>
    <x v="0"/>
    <x v="3"/>
    <x v="0"/>
    <x v="0"/>
  </r>
  <r>
    <x v="5"/>
    <x v="2724"/>
    <n v="1"/>
    <x v="58"/>
    <x v="204"/>
    <x v="1601"/>
    <x v="1623"/>
    <x v="1576"/>
    <x v="1"/>
    <x v="3"/>
    <x v="0"/>
    <x v="0"/>
  </r>
  <r>
    <x v="5"/>
    <x v="2725"/>
    <n v="1"/>
    <x v="58"/>
    <x v="204"/>
    <x v="67"/>
    <x v="67"/>
    <x v="67"/>
    <x v="6"/>
    <x v="2"/>
    <x v="1"/>
    <x v="4"/>
  </r>
  <r>
    <x v="5"/>
    <x v="2726"/>
    <n v="2"/>
    <x v="58"/>
    <x v="204"/>
    <x v="107"/>
    <x v="108"/>
    <x v="107"/>
    <x v="7"/>
    <x v="2"/>
    <x v="1"/>
    <x v="11"/>
  </r>
  <r>
    <x v="5"/>
    <x v="2727"/>
    <n v="1"/>
    <x v="58"/>
    <x v="15"/>
    <x v="157"/>
    <x v="158"/>
    <x v="157"/>
    <x v="8"/>
    <x v="4"/>
    <x v="7"/>
    <x v="18"/>
  </r>
  <r>
    <x v="5"/>
    <x v="2728"/>
    <n v="1"/>
    <x v="58"/>
    <x v="15"/>
    <x v="158"/>
    <x v="159"/>
    <x v="158"/>
    <x v="8"/>
    <x v="5"/>
    <x v="7"/>
    <x v="18"/>
  </r>
  <r>
    <x v="5"/>
    <x v="2729"/>
    <n v="1"/>
    <x v="58"/>
    <x v="15"/>
    <x v="153"/>
    <x v="154"/>
    <x v="153"/>
    <x v="8"/>
    <x v="2"/>
    <x v="5"/>
    <x v="16"/>
  </r>
  <r>
    <x v="5"/>
    <x v="2730"/>
    <n v="1"/>
    <x v="58"/>
    <x v="205"/>
    <x v="1602"/>
    <x v="1624"/>
    <x v="1577"/>
    <x v="0"/>
    <x v="0"/>
    <x v="0"/>
    <x v="0"/>
  </r>
  <r>
    <x v="5"/>
    <x v="2731"/>
    <n v="1"/>
    <x v="58"/>
    <x v="206"/>
    <x v="1603"/>
    <x v="1625"/>
    <x v="1578"/>
    <x v="0"/>
    <x v="0"/>
    <x v="0"/>
    <x v="0"/>
  </r>
  <r>
    <x v="5"/>
    <x v="2732"/>
    <n v="1"/>
    <x v="58"/>
    <x v="206"/>
    <x v="1604"/>
    <x v="1626"/>
    <x v="1579"/>
    <x v="1"/>
    <x v="1"/>
    <x v="0"/>
    <x v="0"/>
  </r>
  <r>
    <x v="5"/>
    <x v="2733"/>
    <n v="8"/>
    <x v="58"/>
    <x v="206"/>
    <x v="67"/>
    <x v="67"/>
    <x v="67"/>
    <x v="6"/>
    <x v="2"/>
    <x v="1"/>
    <x v="4"/>
  </r>
  <r>
    <x v="5"/>
    <x v="2734"/>
    <n v="1"/>
    <x v="58"/>
    <x v="206"/>
    <x v="110"/>
    <x v="111"/>
    <x v="110"/>
    <x v="6"/>
    <x v="2"/>
    <x v="1"/>
    <x v="4"/>
  </r>
  <r>
    <x v="5"/>
    <x v="2735"/>
    <n v="1"/>
    <x v="58"/>
    <x v="206"/>
    <x v="1216"/>
    <x v="1233"/>
    <x v="1203"/>
    <x v="14"/>
    <x v="2"/>
    <x v="11"/>
    <x v="30"/>
  </r>
  <r>
    <x v="5"/>
    <x v="2736"/>
    <n v="1"/>
    <x v="58"/>
    <x v="207"/>
    <x v="1605"/>
    <x v="1627"/>
    <x v="1580"/>
    <x v="0"/>
    <x v="0"/>
    <x v="0"/>
    <x v="0"/>
  </r>
  <r>
    <x v="5"/>
    <x v="2737"/>
    <n v="1"/>
    <x v="58"/>
    <x v="207"/>
    <x v="1606"/>
    <x v="1628"/>
    <x v="1581"/>
    <x v="1"/>
    <x v="1"/>
    <x v="0"/>
    <x v="0"/>
  </r>
  <r>
    <x v="5"/>
    <x v="2738"/>
    <n v="1"/>
    <x v="58"/>
    <x v="207"/>
    <x v="1216"/>
    <x v="1233"/>
    <x v="1203"/>
    <x v="14"/>
    <x v="2"/>
    <x v="11"/>
    <x v="30"/>
  </r>
  <r>
    <x v="5"/>
    <x v="2739"/>
    <n v="1"/>
    <x v="58"/>
    <x v="207"/>
    <x v="68"/>
    <x v="68"/>
    <x v="68"/>
    <x v="6"/>
    <x v="2"/>
    <x v="1"/>
    <x v="4"/>
  </r>
  <r>
    <x v="5"/>
    <x v="2740"/>
    <n v="1"/>
    <x v="58"/>
    <x v="208"/>
    <x v="1607"/>
    <x v="1629"/>
    <x v="1582"/>
    <x v="0"/>
    <x v="0"/>
    <x v="0"/>
    <x v="0"/>
  </r>
  <r>
    <x v="5"/>
    <x v="2741"/>
    <n v="1"/>
    <x v="58"/>
    <x v="208"/>
    <x v="1608"/>
    <x v="1630"/>
    <x v="1583"/>
    <x v="1"/>
    <x v="1"/>
    <x v="0"/>
    <x v="0"/>
  </r>
  <r>
    <x v="5"/>
    <x v="2742"/>
    <n v="2"/>
    <x v="58"/>
    <x v="208"/>
    <x v="67"/>
    <x v="67"/>
    <x v="67"/>
    <x v="6"/>
    <x v="2"/>
    <x v="1"/>
    <x v="4"/>
  </r>
  <r>
    <x v="5"/>
    <x v="2743"/>
    <n v="1"/>
    <x v="58"/>
    <x v="208"/>
    <x v="68"/>
    <x v="68"/>
    <x v="68"/>
    <x v="6"/>
    <x v="2"/>
    <x v="1"/>
    <x v="4"/>
  </r>
  <r>
    <x v="5"/>
    <x v="2744"/>
    <n v="1"/>
    <x v="58"/>
    <x v="205"/>
    <x v="1609"/>
    <x v="1631"/>
    <x v="1584"/>
    <x v="1"/>
    <x v="1"/>
    <x v="0"/>
    <x v="0"/>
  </r>
  <r>
    <x v="5"/>
    <x v="2745"/>
    <n v="2"/>
    <x v="58"/>
    <x v="205"/>
    <x v="1610"/>
    <x v="1632"/>
    <x v="1585"/>
    <x v="6"/>
    <x v="2"/>
    <x v="2"/>
    <x v="39"/>
  </r>
  <r>
    <x v="5"/>
    <x v="2746"/>
    <n v="1"/>
    <x v="58"/>
    <x v="205"/>
    <x v="1611"/>
    <x v="1633"/>
    <x v="1586"/>
    <x v="8"/>
    <x v="2"/>
    <x v="2"/>
    <x v="15"/>
  </r>
  <r>
    <x v="5"/>
    <x v="2747"/>
    <n v="1"/>
    <x v="58"/>
    <x v="205"/>
    <x v="1612"/>
    <x v="1634"/>
    <x v="1587"/>
    <x v="8"/>
    <x v="2"/>
    <x v="3"/>
    <x v="12"/>
  </r>
  <r>
    <x v="5"/>
    <x v="2748"/>
    <n v="1"/>
    <x v="58"/>
    <x v="209"/>
    <x v="1613"/>
    <x v="1635"/>
    <x v="1588"/>
    <x v="0"/>
    <x v="0"/>
    <x v="0"/>
    <x v="0"/>
  </r>
  <r>
    <x v="5"/>
    <x v="2749"/>
    <n v="1"/>
    <x v="58"/>
    <x v="209"/>
    <x v="1614"/>
    <x v="1636"/>
    <x v="1589"/>
    <x v="1"/>
    <x v="1"/>
    <x v="0"/>
    <x v="0"/>
  </r>
  <r>
    <x v="5"/>
    <x v="2750"/>
    <n v="1"/>
    <x v="58"/>
    <x v="209"/>
    <x v="67"/>
    <x v="67"/>
    <x v="67"/>
    <x v="6"/>
    <x v="2"/>
    <x v="1"/>
    <x v="4"/>
  </r>
  <r>
    <x v="5"/>
    <x v="2751"/>
    <n v="1"/>
    <x v="58"/>
    <x v="205"/>
    <x v="1615"/>
    <x v="1637"/>
    <x v="1590"/>
    <x v="6"/>
    <x v="2"/>
    <x v="1"/>
    <x v="15"/>
  </r>
  <r>
    <x v="5"/>
    <x v="2752"/>
    <n v="1"/>
    <x v="58"/>
    <x v="205"/>
    <x v="1385"/>
    <x v="1404"/>
    <x v="1371"/>
    <x v="7"/>
    <x v="2"/>
    <x v="1"/>
    <x v="7"/>
  </r>
  <r>
    <x v="5"/>
    <x v="2753"/>
    <n v="2"/>
    <x v="58"/>
    <x v="205"/>
    <x v="156"/>
    <x v="157"/>
    <x v="156"/>
    <x v="7"/>
    <x v="2"/>
    <x v="1"/>
    <x v="6"/>
  </r>
  <r>
    <x v="5"/>
    <x v="2754"/>
    <n v="1"/>
    <x v="58"/>
    <x v="205"/>
    <x v="1616"/>
    <x v="1638"/>
    <x v="1591"/>
    <x v="4"/>
    <x v="2"/>
    <x v="1"/>
    <x v="5"/>
  </r>
  <r>
    <x v="5"/>
    <x v="2755"/>
    <n v="1"/>
    <x v="58"/>
    <x v="205"/>
    <x v="1617"/>
    <x v="1639"/>
    <x v="1592"/>
    <x v="8"/>
    <x v="2"/>
    <x v="3"/>
    <x v="12"/>
  </r>
  <r>
    <x v="5"/>
    <x v="2756"/>
    <n v="1"/>
    <x v="58"/>
    <x v="205"/>
    <x v="1369"/>
    <x v="1388"/>
    <x v="1355"/>
    <x v="7"/>
    <x v="2"/>
    <x v="1"/>
    <x v="7"/>
  </r>
  <r>
    <x v="5"/>
    <x v="2757"/>
    <n v="3"/>
    <x v="58"/>
    <x v="205"/>
    <x v="475"/>
    <x v="485"/>
    <x v="476"/>
    <x v="4"/>
    <x v="2"/>
    <x v="1"/>
    <x v="3"/>
  </r>
  <r>
    <x v="5"/>
    <x v="2758"/>
    <n v="4"/>
    <x v="58"/>
    <x v="205"/>
    <x v="147"/>
    <x v="148"/>
    <x v="147"/>
    <x v="4"/>
    <x v="2"/>
    <x v="1"/>
    <x v="3"/>
  </r>
  <r>
    <x v="5"/>
    <x v="2759"/>
    <n v="2"/>
    <x v="58"/>
    <x v="205"/>
    <x v="966"/>
    <x v="980"/>
    <x v="957"/>
    <x v="4"/>
    <x v="2"/>
    <x v="1"/>
    <x v="3"/>
  </r>
  <r>
    <x v="5"/>
    <x v="2760"/>
    <n v="1"/>
    <x v="58"/>
    <x v="205"/>
    <x v="1618"/>
    <x v="1640"/>
    <x v="1593"/>
    <x v="4"/>
    <x v="2"/>
    <x v="1"/>
    <x v="6"/>
  </r>
  <r>
    <x v="5"/>
    <x v="2761"/>
    <n v="1"/>
    <x v="58"/>
    <x v="205"/>
    <x v="1393"/>
    <x v="1412"/>
    <x v="1379"/>
    <x v="7"/>
    <x v="2"/>
    <x v="1"/>
    <x v="5"/>
  </r>
  <r>
    <x v="5"/>
    <x v="2762"/>
    <n v="1"/>
    <x v="58"/>
    <x v="205"/>
    <x v="538"/>
    <x v="548"/>
    <x v="532"/>
    <x v="7"/>
    <x v="2"/>
    <x v="1"/>
    <x v="6"/>
  </r>
  <r>
    <x v="5"/>
    <x v="2763"/>
    <n v="1"/>
    <x v="58"/>
    <x v="205"/>
    <x v="1230"/>
    <x v="1247"/>
    <x v="1217"/>
    <x v="4"/>
    <x v="2"/>
    <x v="9"/>
    <x v="21"/>
  </r>
  <r>
    <x v="5"/>
    <x v="2764"/>
    <n v="1"/>
    <x v="58"/>
    <x v="205"/>
    <x v="627"/>
    <x v="638"/>
    <x v="616"/>
    <x v="4"/>
    <x v="2"/>
    <x v="1"/>
    <x v="3"/>
  </r>
  <r>
    <x v="5"/>
    <x v="2765"/>
    <n v="1"/>
    <x v="58"/>
    <x v="205"/>
    <x v="1619"/>
    <x v="1641"/>
    <x v="1594"/>
    <x v="0"/>
    <x v="2"/>
    <x v="9"/>
    <x v="21"/>
  </r>
  <r>
    <x v="5"/>
    <x v="2766"/>
    <n v="2"/>
    <x v="58"/>
    <x v="0"/>
    <x v="1042"/>
    <x v="1056"/>
    <x v="1033"/>
    <x v="16"/>
    <x v="2"/>
    <x v="9"/>
    <x v="12"/>
  </r>
  <r>
    <x v="5"/>
    <x v="2767"/>
    <n v="2"/>
    <x v="58"/>
    <x v="141"/>
    <x v="376"/>
    <x v="382"/>
    <x v="375"/>
    <x v="0"/>
    <x v="3"/>
    <x v="0"/>
    <x v="0"/>
  </r>
  <r>
    <x v="5"/>
    <x v="2768"/>
    <n v="1"/>
    <x v="58"/>
    <x v="141"/>
    <x v="377"/>
    <x v="383"/>
    <x v="376"/>
    <x v="8"/>
    <x v="2"/>
    <x v="3"/>
    <x v="12"/>
  </r>
  <r>
    <x v="5"/>
    <x v="2769"/>
    <n v="1"/>
    <x v="58"/>
    <x v="141"/>
    <x v="378"/>
    <x v="384"/>
    <x v="377"/>
    <x v="11"/>
    <x v="3"/>
    <x v="0"/>
    <x v="0"/>
  </r>
  <r>
    <x v="5"/>
    <x v="2770"/>
    <n v="2"/>
    <x v="58"/>
    <x v="0"/>
    <x v="513"/>
    <x v="523"/>
    <x v="511"/>
    <x v="7"/>
    <x v="2"/>
    <x v="1"/>
    <x v="12"/>
  </r>
  <r>
    <x v="5"/>
    <x v="2771"/>
    <n v="2"/>
    <x v="58"/>
    <x v="0"/>
    <x v="382"/>
    <x v="388"/>
    <x v="381"/>
    <x v="7"/>
    <x v="2"/>
    <x v="3"/>
    <x v="5"/>
  </r>
  <r>
    <x v="5"/>
    <x v="2772"/>
    <n v="1"/>
    <x v="58"/>
    <x v="0"/>
    <x v="181"/>
    <x v="182"/>
    <x v="181"/>
    <x v="8"/>
    <x v="2"/>
    <x v="1"/>
    <x v="5"/>
  </r>
  <r>
    <x v="5"/>
    <x v="2773"/>
    <n v="1"/>
    <x v="58"/>
    <x v="0"/>
    <x v="1104"/>
    <x v="1119"/>
    <x v="1096"/>
    <x v="4"/>
    <x v="2"/>
    <x v="3"/>
    <x v="5"/>
  </r>
  <r>
    <x v="5"/>
    <x v="2774"/>
    <n v="1"/>
    <x v="58"/>
    <x v="210"/>
    <x v="1620"/>
    <x v="1642"/>
    <x v="1595"/>
    <x v="0"/>
    <x v="0"/>
    <x v="0"/>
    <x v="0"/>
  </r>
  <r>
    <x v="5"/>
    <x v="2775"/>
    <n v="1"/>
    <x v="58"/>
    <x v="210"/>
    <x v="1621"/>
    <x v="1643"/>
    <x v="1596"/>
    <x v="8"/>
    <x v="2"/>
    <x v="4"/>
    <x v="13"/>
  </r>
  <r>
    <x v="5"/>
    <x v="2776"/>
    <n v="1"/>
    <x v="58"/>
    <x v="210"/>
    <x v="1622"/>
    <x v="1644"/>
    <x v="1597"/>
    <x v="1"/>
    <x v="2"/>
    <x v="0"/>
    <x v="13"/>
  </r>
  <r>
    <x v="5"/>
    <x v="2777"/>
    <n v="1"/>
    <x v="58"/>
    <x v="210"/>
    <x v="1065"/>
    <x v="1080"/>
    <x v="1057"/>
    <x v="4"/>
    <x v="2"/>
    <x v="4"/>
    <x v="5"/>
  </r>
  <r>
    <x v="5"/>
    <x v="2778"/>
    <n v="2"/>
    <x v="58"/>
    <x v="210"/>
    <x v="68"/>
    <x v="68"/>
    <x v="68"/>
    <x v="6"/>
    <x v="2"/>
    <x v="1"/>
    <x v="4"/>
  </r>
  <r>
    <x v="5"/>
    <x v="2779"/>
    <n v="1"/>
    <x v="58"/>
    <x v="210"/>
    <x v="1623"/>
    <x v="1645"/>
    <x v="1598"/>
    <x v="1"/>
    <x v="1"/>
    <x v="0"/>
    <x v="0"/>
  </r>
  <r>
    <x v="5"/>
    <x v="2780"/>
    <n v="1"/>
    <x v="58"/>
    <x v="210"/>
    <x v="1624"/>
    <x v="1646"/>
    <x v="1599"/>
    <x v="1"/>
    <x v="1"/>
    <x v="0"/>
    <x v="0"/>
  </r>
  <r>
    <x v="5"/>
    <x v="2781"/>
    <n v="6"/>
    <x v="41"/>
    <x v="0"/>
    <x v="141"/>
    <x v="142"/>
    <x v="141"/>
    <x v="7"/>
    <x v="2"/>
    <x v="1"/>
    <x v="7"/>
  </r>
  <r>
    <x v="5"/>
    <x v="2782"/>
    <n v="8"/>
    <x v="41"/>
    <x v="0"/>
    <x v="1166"/>
    <x v="1182"/>
    <x v="1158"/>
    <x v="11"/>
    <x v="2"/>
    <x v="1"/>
    <x v="9"/>
  </r>
  <r>
    <x v="5"/>
    <x v="2783"/>
    <n v="8"/>
    <x v="41"/>
    <x v="0"/>
    <x v="116"/>
    <x v="117"/>
    <x v="116"/>
    <x v="6"/>
    <x v="2"/>
    <x v="1"/>
    <x v="7"/>
  </r>
  <r>
    <x v="5"/>
    <x v="2784"/>
    <n v="6"/>
    <x v="41"/>
    <x v="0"/>
    <x v="1025"/>
    <x v="1039"/>
    <x v="1016"/>
    <x v="7"/>
    <x v="2"/>
    <x v="1"/>
    <x v="7"/>
  </r>
  <r>
    <x v="5"/>
    <x v="2785"/>
    <n v="3"/>
    <x v="41"/>
    <x v="0"/>
    <x v="130"/>
    <x v="131"/>
    <x v="130"/>
    <x v="7"/>
    <x v="2"/>
    <x v="1"/>
    <x v="7"/>
  </r>
  <r>
    <x v="5"/>
    <x v="2786"/>
    <n v="3"/>
    <x v="41"/>
    <x v="0"/>
    <x v="297"/>
    <x v="300"/>
    <x v="296"/>
    <x v="4"/>
    <x v="2"/>
    <x v="1"/>
    <x v="3"/>
  </r>
  <r>
    <x v="5"/>
    <x v="2787"/>
    <n v="2"/>
    <x v="41"/>
    <x v="0"/>
    <x v="147"/>
    <x v="148"/>
    <x v="147"/>
    <x v="4"/>
    <x v="2"/>
    <x v="1"/>
    <x v="3"/>
  </r>
  <r>
    <x v="5"/>
    <x v="2788"/>
    <n v="2"/>
    <x v="41"/>
    <x v="0"/>
    <x v="767"/>
    <x v="780"/>
    <x v="758"/>
    <x v="7"/>
    <x v="2"/>
    <x v="1"/>
    <x v="3"/>
  </r>
  <r>
    <x v="5"/>
    <x v="2289"/>
    <n v="6"/>
    <x v="41"/>
    <x v="0"/>
    <x v="56"/>
    <x v="56"/>
    <x v="56"/>
    <x v="7"/>
    <x v="2"/>
    <x v="1"/>
    <x v="5"/>
  </r>
  <r>
    <x v="5"/>
    <x v="2789"/>
    <n v="1"/>
    <x v="41"/>
    <x v="0"/>
    <x v="539"/>
    <x v="549"/>
    <x v="533"/>
    <x v="8"/>
    <x v="2"/>
    <x v="4"/>
    <x v="13"/>
  </r>
  <r>
    <x v="5"/>
    <x v="2790"/>
    <n v="1"/>
    <x v="59"/>
    <x v="0"/>
    <x v="1625"/>
    <x v="1647"/>
    <x v="1600"/>
    <x v="0"/>
    <x v="0"/>
    <x v="0"/>
    <x v="0"/>
  </r>
  <r>
    <x v="5"/>
    <x v="2791"/>
    <n v="1"/>
    <x v="59"/>
    <x v="0"/>
    <x v="1626"/>
    <x v="1648"/>
    <x v="1601"/>
    <x v="11"/>
    <x v="1"/>
    <x v="0"/>
    <x v="0"/>
  </r>
  <r>
    <x v="5"/>
    <x v="2792"/>
    <n v="1"/>
    <x v="59"/>
    <x v="211"/>
    <x v="1627"/>
    <x v="1649"/>
    <x v="1602"/>
    <x v="0"/>
    <x v="0"/>
    <x v="0"/>
    <x v="0"/>
  </r>
  <r>
    <x v="5"/>
    <x v="2793"/>
    <n v="1"/>
    <x v="59"/>
    <x v="212"/>
    <x v="1628"/>
    <x v="1650"/>
    <x v="1603"/>
    <x v="0"/>
    <x v="1"/>
    <x v="0"/>
    <x v="0"/>
  </r>
  <r>
    <x v="5"/>
    <x v="2794"/>
    <n v="2"/>
    <x v="59"/>
    <x v="212"/>
    <x v="1034"/>
    <x v="1048"/>
    <x v="1025"/>
    <x v="20"/>
    <x v="2"/>
    <x v="11"/>
    <x v="30"/>
  </r>
  <r>
    <x v="5"/>
    <x v="2795"/>
    <n v="1"/>
    <x v="59"/>
    <x v="212"/>
    <x v="67"/>
    <x v="67"/>
    <x v="67"/>
    <x v="6"/>
    <x v="2"/>
    <x v="1"/>
    <x v="4"/>
  </r>
  <r>
    <x v="5"/>
    <x v="2796"/>
    <n v="1"/>
    <x v="59"/>
    <x v="212"/>
    <x v="1628"/>
    <x v="1651"/>
    <x v="1603"/>
    <x v="1"/>
    <x v="1"/>
    <x v="0"/>
    <x v="0"/>
  </r>
  <r>
    <x v="5"/>
    <x v="2797"/>
    <n v="2"/>
    <x v="59"/>
    <x v="212"/>
    <x v="110"/>
    <x v="111"/>
    <x v="110"/>
    <x v="6"/>
    <x v="2"/>
    <x v="1"/>
    <x v="4"/>
  </r>
  <r>
    <x v="5"/>
    <x v="2798"/>
    <n v="1"/>
    <x v="59"/>
    <x v="211"/>
    <x v="1629"/>
    <x v="1652"/>
    <x v="1604"/>
    <x v="1"/>
    <x v="1"/>
    <x v="0"/>
    <x v="0"/>
  </r>
  <r>
    <x v="5"/>
    <x v="2799"/>
    <n v="1"/>
    <x v="59"/>
    <x v="211"/>
    <x v="1583"/>
    <x v="1605"/>
    <x v="1564"/>
    <x v="7"/>
    <x v="2"/>
    <x v="1"/>
    <x v="7"/>
  </r>
  <r>
    <x v="5"/>
    <x v="2800"/>
    <n v="2"/>
    <x v="59"/>
    <x v="211"/>
    <x v="111"/>
    <x v="112"/>
    <x v="111"/>
    <x v="7"/>
    <x v="2"/>
    <x v="1"/>
    <x v="6"/>
  </r>
  <r>
    <x v="5"/>
    <x v="2801"/>
    <n v="2"/>
    <x v="59"/>
    <x v="211"/>
    <x v="1322"/>
    <x v="1339"/>
    <x v="1306"/>
    <x v="4"/>
    <x v="2"/>
    <x v="1"/>
    <x v="22"/>
  </r>
  <r>
    <x v="5"/>
    <x v="2802"/>
    <n v="1"/>
    <x v="59"/>
    <x v="213"/>
    <x v="1630"/>
    <x v="1653"/>
    <x v="1605"/>
    <x v="0"/>
    <x v="0"/>
    <x v="0"/>
    <x v="0"/>
  </r>
  <r>
    <x v="5"/>
    <x v="2803"/>
    <n v="1"/>
    <x v="59"/>
    <x v="213"/>
    <x v="1631"/>
    <x v="1654"/>
    <x v="1606"/>
    <x v="1"/>
    <x v="1"/>
    <x v="0"/>
    <x v="0"/>
  </r>
  <r>
    <x v="5"/>
    <x v="2804"/>
    <n v="2"/>
    <x v="59"/>
    <x v="213"/>
    <x v="110"/>
    <x v="111"/>
    <x v="110"/>
    <x v="6"/>
    <x v="2"/>
    <x v="1"/>
    <x v="4"/>
  </r>
  <r>
    <x v="5"/>
    <x v="2805"/>
    <n v="1"/>
    <x v="59"/>
    <x v="213"/>
    <x v="1137"/>
    <x v="1152"/>
    <x v="1129"/>
    <x v="8"/>
    <x v="2"/>
    <x v="3"/>
    <x v="12"/>
  </r>
  <r>
    <x v="5"/>
    <x v="2806"/>
    <n v="2"/>
    <x v="59"/>
    <x v="213"/>
    <x v="1033"/>
    <x v="1047"/>
    <x v="1024"/>
    <x v="7"/>
    <x v="2"/>
    <x v="1"/>
    <x v="7"/>
  </r>
  <r>
    <x v="5"/>
    <x v="2807"/>
    <n v="1"/>
    <x v="59"/>
    <x v="213"/>
    <x v="1632"/>
    <x v="1655"/>
    <x v="1607"/>
    <x v="7"/>
    <x v="2"/>
    <x v="1"/>
    <x v="6"/>
  </r>
  <r>
    <x v="5"/>
    <x v="2808"/>
    <n v="1"/>
    <x v="59"/>
    <x v="213"/>
    <x v="1393"/>
    <x v="1412"/>
    <x v="1379"/>
    <x v="7"/>
    <x v="2"/>
    <x v="1"/>
    <x v="5"/>
  </r>
  <r>
    <x v="5"/>
    <x v="2809"/>
    <n v="1"/>
    <x v="59"/>
    <x v="213"/>
    <x v="68"/>
    <x v="68"/>
    <x v="68"/>
    <x v="6"/>
    <x v="2"/>
    <x v="1"/>
    <x v="4"/>
  </r>
  <r>
    <x v="5"/>
    <x v="2810"/>
    <n v="1"/>
    <x v="59"/>
    <x v="214"/>
    <x v="1633"/>
    <x v="1656"/>
    <x v="1608"/>
    <x v="0"/>
    <x v="0"/>
    <x v="0"/>
    <x v="0"/>
  </r>
  <r>
    <x v="5"/>
    <x v="2811"/>
    <n v="1"/>
    <x v="59"/>
    <x v="214"/>
    <x v="1634"/>
    <x v="1657"/>
    <x v="1609"/>
    <x v="1"/>
    <x v="1"/>
    <x v="0"/>
    <x v="0"/>
  </r>
  <r>
    <x v="5"/>
    <x v="2812"/>
    <n v="1"/>
    <x v="59"/>
    <x v="214"/>
    <x v="1635"/>
    <x v="1658"/>
    <x v="1610"/>
    <x v="10"/>
    <x v="1"/>
    <x v="0"/>
    <x v="0"/>
  </r>
  <r>
    <x v="5"/>
    <x v="2813"/>
    <n v="1"/>
    <x v="59"/>
    <x v="214"/>
    <x v="1636"/>
    <x v="1659"/>
    <x v="1611"/>
    <x v="10"/>
    <x v="1"/>
    <x v="0"/>
    <x v="0"/>
  </r>
  <r>
    <x v="5"/>
    <x v="2814"/>
    <n v="1"/>
    <x v="59"/>
    <x v="214"/>
    <x v="1637"/>
    <x v="1660"/>
    <x v="1612"/>
    <x v="2"/>
    <x v="1"/>
    <x v="0"/>
    <x v="0"/>
  </r>
  <r>
    <x v="5"/>
    <x v="2815"/>
    <n v="1"/>
    <x v="59"/>
    <x v="214"/>
    <x v="1629"/>
    <x v="1661"/>
    <x v="1613"/>
    <x v="1"/>
    <x v="1"/>
    <x v="0"/>
    <x v="0"/>
  </r>
  <r>
    <x v="5"/>
    <x v="2816"/>
    <n v="2"/>
    <x v="59"/>
    <x v="214"/>
    <x v="1638"/>
    <x v="1662"/>
    <x v="1614"/>
    <x v="14"/>
    <x v="2"/>
    <x v="2"/>
    <x v="8"/>
  </r>
  <r>
    <x v="5"/>
    <x v="2817"/>
    <n v="1"/>
    <x v="59"/>
    <x v="214"/>
    <x v="1639"/>
    <x v="1663"/>
    <x v="1615"/>
    <x v="14"/>
    <x v="2"/>
    <x v="2"/>
    <x v="8"/>
  </r>
  <r>
    <x v="5"/>
    <x v="2818"/>
    <n v="1"/>
    <x v="59"/>
    <x v="214"/>
    <x v="1640"/>
    <x v="1664"/>
    <x v="1616"/>
    <x v="14"/>
    <x v="2"/>
    <x v="9"/>
    <x v="8"/>
  </r>
  <r>
    <x v="5"/>
    <x v="2819"/>
    <n v="2"/>
    <x v="59"/>
    <x v="214"/>
    <x v="1494"/>
    <x v="1513"/>
    <x v="1473"/>
    <x v="8"/>
    <x v="2"/>
    <x v="2"/>
    <x v="8"/>
  </r>
  <r>
    <x v="5"/>
    <x v="2820"/>
    <n v="1"/>
    <x v="59"/>
    <x v="214"/>
    <x v="1363"/>
    <x v="1382"/>
    <x v="1349"/>
    <x v="0"/>
    <x v="2"/>
    <x v="9"/>
    <x v="21"/>
  </r>
  <r>
    <x v="5"/>
    <x v="2821"/>
    <n v="5"/>
    <x v="59"/>
    <x v="214"/>
    <x v="1641"/>
    <x v="1665"/>
    <x v="226"/>
    <x v="7"/>
    <x v="2"/>
    <x v="1"/>
    <x v="7"/>
  </r>
  <r>
    <x v="5"/>
    <x v="2822"/>
    <n v="2"/>
    <x v="59"/>
    <x v="214"/>
    <x v="627"/>
    <x v="638"/>
    <x v="616"/>
    <x v="4"/>
    <x v="2"/>
    <x v="1"/>
    <x v="3"/>
  </r>
  <r>
    <x v="5"/>
    <x v="2823"/>
    <n v="1"/>
    <x v="59"/>
    <x v="215"/>
    <x v="1642"/>
    <x v="1666"/>
    <x v="1617"/>
    <x v="0"/>
    <x v="0"/>
    <x v="0"/>
    <x v="0"/>
  </r>
  <r>
    <x v="5"/>
    <x v="2824"/>
    <n v="1"/>
    <x v="59"/>
    <x v="215"/>
    <x v="1643"/>
    <x v="1667"/>
    <x v="1618"/>
    <x v="1"/>
    <x v="1"/>
    <x v="0"/>
    <x v="0"/>
  </r>
  <r>
    <x v="5"/>
    <x v="2825"/>
    <n v="1"/>
    <x v="59"/>
    <x v="215"/>
    <x v="1632"/>
    <x v="1655"/>
    <x v="1607"/>
    <x v="7"/>
    <x v="2"/>
    <x v="1"/>
    <x v="6"/>
  </r>
  <r>
    <x v="5"/>
    <x v="2826"/>
    <n v="1"/>
    <x v="59"/>
    <x v="215"/>
    <x v="68"/>
    <x v="68"/>
    <x v="68"/>
    <x v="6"/>
    <x v="2"/>
    <x v="1"/>
    <x v="4"/>
  </r>
  <r>
    <x v="5"/>
    <x v="2827"/>
    <n v="2"/>
    <x v="59"/>
    <x v="215"/>
    <x v="1393"/>
    <x v="1412"/>
    <x v="1379"/>
    <x v="7"/>
    <x v="2"/>
    <x v="1"/>
    <x v="5"/>
  </r>
  <r>
    <x v="5"/>
    <x v="2828"/>
    <n v="5"/>
    <x v="59"/>
    <x v="215"/>
    <x v="225"/>
    <x v="226"/>
    <x v="225"/>
    <x v="0"/>
    <x v="2"/>
    <x v="1"/>
    <x v="5"/>
  </r>
  <r>
    <x v="5"/>
    <x v="2829"/>
    <n v="35"/>
    <x v="41"/>
    <x v="0"/>
    <x v="1379"/>
    <x v="1398"/>
    <x v="1365"/>
    <x v="0"/>
    <x v="3"/>
    <x v="0"/>
    <x v="0"/>
  </r>
  <r>
    <x v="5"/>
    <x v="2830"/>
    <n v="1"/>
    <x v="41"/>
    <x v="0"/>
    <x v="1380"/>
    <x v="1399"/>
    <x v="1366"/>
    <x v="12"/>
    <x v="3"/>
    <x v="0"/>
    <x v="0"/>
  </r>
  <r>
    <x v="5"/>
    <x v="2831"/>
    <n v="1"/>
    <x v="41"/>
    <x v="0"/>
    <x v="766"/>
    <x v="779"/>
    <x v="757"/>
    <x v="4"/>
    <x v="2"/>
    <x v="1"/>
    <x v="3"/>
  </r>
  <r>
    <x v="5"/>
    <x v="2832"/>
    <n v="2"/>
    <x v="41"/>
    <x v="15"/>
    <x v="157"/>
    <x v="158"/>
    <x v="157"/>
    <x v="8"/>
    <x v="4"/>
    <x v="7"/>
    <x v="18"/>
  </r>
  <r>
    <x v="5"/>
    <x v="2833"/>
    <n v="1"/>
    <x v="41"/>
    <x v="15"/>
    <x v="158"/>
    <x v="159"/>
    <x v="158"/>
    <x v="8"/>
    <x v="5"/>
    <x v="7"/>
    <x v="18"/>
  </r>
  <r>
    <x v="5"/>
    <x v="2834"/>
    <n v="1"/>
    <x v="41"/>
    <x v="15"/>
    <x v="153"/>
    <x v="154"/>
    <x v="153"/>
    <x v="8"/>
    <x v="2"/>
    <x v="5"/>
    <x v="16"/>
  </r>
  <r>
    <x v="5"/>
    <x v="2835"/>
    <n v="1"/>
    <x v="41"/>
    <x v="216"/>
    <x v="1644"/>
    <x v="1668"/>
    <x v="1619"/>
    <x v="0"/>
    <x v="3"/>
    <x v="0"/>
    <x v="0"/>
  </r>
  <r>
    <x v="5"/>
    <x v="2836"/>
    <n v="1"/>
    <x v="41"/>
    <x v="216"/>
    <x v="262"/>
    <x v="264"/>
    <x v="260"/>
    <x v="9"/>
    <x v="3"/>
    <x v="0"/>
    <x v="0"/>
  </r>
  <r>
    <x v="5"/>
    <x v="2837"/>
    <n v="1"/>
    <x v="41"/>
    <x v="216"/>
    <x v="263"/>
    <x v="265"/>
    <x v="261"/>
    <x v="8"/>
    <x v="2"/>
    <x v="10"/>
    <x v="25"/>
  </r>
  <r>
    <x v="5"/>
    <x v="2838"/>
    <n v="1"/>
    <x v="41"/>
    <x v="216"/>
    <x v="264"/>
    <x v="266"/>
    <x v="262"/>
    <x v="8"/>
    <x v="2"/>
    <x v="10"/>
    <x v="25"/>
  </r>
  <r>
    <x v="5"/>
    <x v="2839"/>
    <n v="2"/>
    <x v="41"/>
    <x v="216"/>
    <x v="265"/>
    <x v="267"/>
    <x v="263"/>
    <x v="8"/>
    <x v="2"/>
    <x v="10"/>
    <x v="25"/>
  </r>
  <r>
    <x v="5"/>
    <x v="2840"/>
    <n v="1"/>
    <x v="41"/>
    <x v="216"/>
    <x v="1383"/>
    <x v="1402"/>
    <x v="1369"/>
    <x v="8"/>
    <x v="2"/>
    <x v="2"/>
    <x v="26"/>
  </r>
  <r>
    <x v="5"/>
    <x v="2841"/>
    <n v="1"/>
    <x v="41"/>
    <x v="13"/>
    <x v="150"/>
    <x v="151"/>
    <x v="150"/>
    <x v="8"/>
    <x v="4"/>
    <x v="7"/>
    <x v="18"/>
  </r>
  <r>
    <x v="5"/>
    <x v="2842"/>
    <n v="1"/>
    <x v="41"/>
    <x v="13"/>
    <x v="151"/>
    <x v="152"/>
    <x v="151"/>
    <x v="8"/>
    <x v="5"/>
    <x v="7"/>
    <x v="18"/>
  </r>
  <r>
    <x v="5"/>
    <x v="2843"/>
    <n v="2"/>
    <x v="41"/>
    <x v="14"/>
    <x v="152"/>
    <x v="153"/>
    <x v="152"/>
    <x v="8"/>
    <x v="2"/>
    <x v="8"/>
    <x v="2"/>
  </r>
  <r>
    <x v="5"/>
    <x v="2844"/>
    <n v="1"/>
    <x v="41"/>
    <x v="14"/>
    <x v="153"/>
    <x v="154"/>
    <x v="153"/>
    <x v="8"/>
    <x v="2"/>
    <x v="5"/>
    <x v="16"/>
  </r>
  <r>
    <x v="5"/>
    <x v="2845"/>
    <n v="4"/>
    <x v="41"/>
    <x v="0"/>
    <x v="1384"/>
    <x v="1403"/>
    <x v="1370"/>
    <x v="14"/>
    <x v="2"/>
    <x v="1"/>
    <x v="20"/>
  </r>
  <r>
    <x v="5"/>
    <x v="2846"/>
    <n v="2"/>
    <x v="41"/>
    <x v="0"/>
    <x v="1385"/>
    <x v="1404"/>
    <x v="1371"/>
    <x v="7"/>
    <x v="2"/>
    <x v="1"/>
    <x v="7"/>
  </r>
  <r>
    <x v="5"/>
    <x v="2847"/>
    <n v="2"/>
    <x v="41"/>
    <x v="0"/>
    <x v="117"/>
    <x v="118"/>
    <x v="117"/>
    <x v="6"/>
    <x v="2"/>
    <x v="1"/>
    <x v="5"/>
  </r>
  <r>
    <x v="5"/>
    <x v="2290"/>
    <n v="4"/>
    <x v="41"/>
    <x v="0"/>
    <x v="59"/>
    <x v="59"/>
    <x v="59"/>
    <x v="4"/>
    <x v="2"/>
    <x v="1"/>
    <x v="7"/>
  </r>
  <r>
    <x v="5"/>
    <x v="2848"/>
    <n v="2"/>
    <x v="41"/>
    <x v="0"/>
    <x v="274"/>
    <x v="276"/>
    <x v="272"/>
    <x v="8"/>
    <x v="2"/>
    <x v="2"/>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0E0C8-2016-4DB1-AAA1-C340EB9ACE7C}"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F142" firstHeaderRow="2" firstDataRow="2" firstDataCol="5" rowPageCount="5" colPageCount="1"/>
  <pivotFields count="12">
    <pivotField axis="axisRow" compact="0" outline="0" showAll="0">
      <items count="8">
        <item h="1" x="3"/>
        <item x="4"/>
        <item h="1" x="1"/>
        <item h="1" m="1" x="6"/>
        <item h="1" x="5"/>
        <item h="1" x="2"/>
        <item h="1" x="0"/>
        <item t="default"/>
      </items>
    </pivotField>
    <pivotField compact="0" outline="0" showAll="0"/>
    <pivotField dataField="1" compact="0" outline="0" showAll="0"/>
    <pivotField axis="axisRow" compact="0" outline="0" showAll="0" defaultSubtotal="0">
      <items count="60">
        <item h="1" x="0"/>
        <item h="1" x="29"/>
        <item h="1" x="8"/>
        <item h="1" x="12"/>
        <item h="1" x="9"/>
        <item h="1" x="10"/>
        <item h="1" x="11"/>
        <item h="1" x="13"/>
        <item h="1" x="14"/>
        <item h="1" x="15"/>
        <item h="1" x="1"/>
        <item h="1" x="6"/>
        <item h="1" x="7"/>
        <item h="1" x="2"/>
        <item h="1" x="4"/>
        <item h="1" x="3"/>
        <item h="1" x="5"/>
        <item h="1" x="16"/>
        <item h="1" x="17"/>
        <item h="1" x="18"/>
        <item h="1" x="19"/>
        <item x="20"/>
        <item x="21"/>
        <item h="1" x="40"/>
        <item h="1" x="37"/>
        <item h="1" x="38"/>
        <item h="1" x="39"/>
        <item h="1" x="26"/>
        <item h="1" x="30"/>
        <item h="1" x="32"/>
        <item h="1" x="27"/>
        <item h="1" x="36"/>
        <item h="1" x="31"/>
        <item h="1" x="28"/>
        <item h="1" x="35"/>
        <item h="1" x="34"/>
        <item h="1" x="33"/>
        <item h="1" x="24"/>
        <item h="1" x="22"/>
        <item h="1" x="23"/>
        <item h="1" x="25"/>
        <item h="1" x="54"/>
        <item h="1" x="55"/>
        <item h="1" x="41"/>
        <item h="1" x="43"/>
        <item h="1" x="59"/>
        <item h="1" x="52"/>
        <item h="1" x="53"/>
        <item h="1" x="47"/>
        <item h="1" x="48"/>
        <item h="1" x="49"/>
        <item h="1" x="50"/>
        <item h="1" x="51"/>
        <item h="1" x="42"/>
        <item h="1" x="58"/>
        <item h="1" x="45"/>
        <item h="1" x="57"/>
        <item h="1" x="44"/>
        <item h="1" x="46"/>
        <item h="1" x="56"/>
      </items>
    </pivotField>
    <pivotField axis="axisRow" compact="0" outline="0" showAll="0" defaultSubtotal="0">
      <items count="218">
        <item m="1" x="217"/>
        <item x="2"/>
        <item x="3"/>
        <item x="4"/>
        <item x="5"/>
        <item x="15"/>
        <item x="36"/>
        <item x="14"/>
        <item x="147"/>
        <item x="39"/>
        <item x="210"/>
        <item x="41"/>
        <item x="42"/>
        <item x="43"/>
        <item x="1"/>
        <item x="205"/>
        <item x="207"/>
        <item x="209"/>
        <item x="208"/>
        <item x="206"/>
        <item x="92"/>
        <item x="60"/>
        <item x="61"/>
        <item x="190"/>
        <item x="81"/>
        <item x="185"/>
        <item x="186"/>
        <item x="75"/>
        <item x="79"/>
        <item x="76"/>
        <item x="78"/>
        <item x="77"/>
        <item x="214"/>
        <item x="211"/>
        <item x="212"/>
        <item x="213"/>
        <item x="215"/>
        <item x="80"/>
        <item x="71"/>
        <item x="72"/>
        <item x="73"/>
        <item x="74"/>
        <item x="132"/>
        <item x="133"/>
        <item x="134"/>
        <item x="136"/>
        <item x="137"/>
        <item x="135"/>
        <item x="198"/>
        <item x="199"/>
        <item x="11"/>
        <item x="196"/>
        <item x="197"/>
        <item x="181"/>
        <item x="178"/>
        <item x="167"/>
        <item x="176"/>
        <item x="174"/>
        <item x="173"/>
        <item x="168"/>
        <item x="172"/>
        <item x="169"/>
        <item x="171"/>
        <item x="170"/>
        <item x="175"/>
        <item x="177"/>
        <item x="180"/>
        <item x="34"/>
        <item x="10"/>
        <item x="37"/>
        <item x="12"/>
        <item x="44"/>
        <item x="32"/>
        <item x="138"/>
        <item x="139"/>
        <item x="54"/>
        <item x="59"/>
        <item x="57"/>
        <item x="56"/>
        <item x="55"/>
        <item x="58"/>
        <item x="16"/>
        <item x="19"/>
        <item x="31"/>
        <item x="30"/>
        <item x="29"/>
        <item x="27"/>
        <item x="26"/>
        <item x="28"/>
        <item x="20"/>
        <item x="25"/>
        <item x="22"/>
        <item x="23"/>
        <item x="24"/>
        <item x="21"/>
        <item x="45"/>
        <item x="51"/>
        <item x="53"/>
        <item x="52"/>
        <item x="50"/>
        <item x="47"/>
        <item x="48"/>
        <item x="46"/>
        <item x="49"/>
        <item x="17"/>
        <item x="18"/>
        <item x="90"/>
        <item x="140"/>
        <item x="33"/>
        <item x="216"/>
        <item x="35"/>
        <item x="38"/>
        <item x="91"/>
        <item x="84"/>
        <item x="88"/>
        <item x="89"/>
        <item x="87"/>
        <item x="86"/>
        <item x="85"/>
        <item x="166"/>
        <item x="163"/>
        <item x="164"/>
        <item x="165"/>
        <item x="159"/>
        <item x="161"/>
        <item x="162"/>
        <item x="160"/>
        <item x="40"/>
        <item x="122"/>
        <item x="124"/>
        <item x="125"/>
        <item x="126"/>
        <item x="127"/>
        <item x="128"/>
        <item x="123"/>
        <item x="121"/>
        <item x="129"/>
        <item x="93"/>
        <item x="114"/>
        <item x="112"/>
        <item x="115"/>
        <item x="113"/>
        <item x="120"/>
        <item x="94"/>
        <item x="105"/>
        <item x="106"/>
        <item x="102"/>
        <item x="103"/>
        <item x="104"/>
        <item x="95"/>
        <item x="96"/>
        <item x="97"/>
        <item x="98"/>
        <item x="99"/>
        <item x="100"/>
        <item x="101"/>
        <item x="107"/>
        <item x="108"/>
        <item x="109"/>
        <item x="110"/>
        <item x="111"/>
        <item x="116"/>
        <item x="117"/>
        <item x="118"/>
        <item x="119"/>
        <item x="191"/>
        <item x="158"/>
        <item x="143"/>
        <item x="68"/>
        <item x="131"/>
        <item x="150"/>
        <item x="144"/>
        <item x="141"/>
        <item x="142"/>
        <item x="182"/>
        <item x="183"/>
        <item x="184"/>
        <item x="82"/>
        <item x="62"/>
        <item x="63"/>
        <item x="192"/>
        <item x="66"/>
        <item x="188"/>
        <item x="64"/>
        <item x="65"/>
        <item x="203"/>
        <item x="70"/>
        <item x="148"/>
        <item x="204"/>
        <item x="145"/>
        <item x="194"/>
        <item x="195"/>
        <item x="201"/>
        <item x="151"/>
        <item x="200"/>
        <item x="146"/>
        <item x="193"/>
        <item x="187"/>
        <item x="202"/>
        <item x="157"/>
        <item x="152"/>
        <item x="179"/>
        <item x="83"/>
        <item x="67"/>
        <item x="153"/>
        <item x="155"/>
        <item x="156"/>
        <item x="154"/>
        <item x="8"/>
        <item x="149"/>
        <item x="9"/>
        <item x="69"/>
        <item x="130"/>
        <item x="6"/>
        <item x="7"/>
        <item x="189"/>
        <item x="0"/>
        <item x="13"/>
      </items>
    </pivotField>
    <pivotField axis="axisRow" compact="0" outline="0" showAll="0" defaultSubtotal="0">
      <items count="1645">
        <item x="245"/>
        <item x="75"/>
        <item x="1610"/>
        <item x="1497"/>
        <item x="964"/>
        <item x="1376"/>
        <item x="1177"/>
        <item x="152"/>
        <item x="182"/>
        <item x="1255"/>
        <item x="589"/>
        <item x="178"/>
        <item x="326"/>
        <item x="1272"/>
        <item x="1089"/>
        <item x="686"/>
        <item x="473"/>
        <item x="1388"/>
        <item x="1383"/>
        <item x="288"/>
        <item x="515"/>
        <item x="1496"/>
        <item x="268"/>
        <item x="278"/>
        <item x="270"/>
        <item x="1074"/>
        <item x="1078"/>
        <item x="1227"/>
        <item x="252"/>
        <item x="619"/>
        <item x="646"/>
        <item x="108"/>
        <item x="356"/>
        <item x="615"/>
        <item x="1498"/>
        <item x="323"/>
        <item x="282"/>
        <item x="265"/>
        <item x="1389"/>
        <item x="264"/>
        <item x="263"/>
        <item x="712"/>
        <item x="325"/>
        <item x="737"/>
        <item x="1332"/>
        <item x="355"/>
        <item x="1294"/>
        <item x="1293"/>
        <item x="1274"/>
        <item x="1574"/>
        <item x="960"/>
        <item x="704"/>
        <item x="393"/>
        <item x="954"/>
        <item x="945"/>
        <item x="826"/>
        <item x="769"/>
        <item x="856"/>
        <item x="699"/>
        <item x="1323"/>
        <item x="949"/>
        <item x="1144"/>
        <item x="1123"/>
        <item x="687"/>
        <item x="688"/>
        <item x="765"/>
        <item x="682"/>
        <item x="850"/>
        <item x="681"/>
        <item x="1348"/>
        <item x="1034"/>
        <item x="1219"/>
        <item x="1580"/>
        <item x="1216"/>
        <item x="1594"/>
        <item x="1284"/>
        <item x="1141"/>
        <item x="1164"/>
        <item x="1276"/>
        <item x="684"/>
        <item x="680"/>
        <item x="867"/>
        <item x="844"/>
        <item x="883"/>
        <item x="937"/>
        <item x="383"/>
        <item x="233"/>
        <item x="1124"/>
        <item x="1122"/>
        <item x="137"/>
        <item x="1321"/>
        <item x="1365"/>
        <item x="228"/>
        <item x="1137"/>
        <item x="1032"/>
        <item x="702"/>
        <item x="980"/>
        <item x="1619"/>
        <item x="1363"/>
        <item x="679"/>
        <item x="1539"/>
        <item x="1538"/>
        <item x="397"/>
        <item x="398"/>
        <item x="705"/>
        <item x="260"/>
        <item x="1037"/>
        <item x="955"/>
        <item x="230"/>
        <item x="1091"/>
        <item x="1092"/>
        <item x="60"/>
        <item x="51"/>
        <item x="647"/>
        <item x="78"/>
        <item x="149"/>
        <item x="1080"/>
        <item x="1134"/>
        <item x="1136"/>
        <item x="385"/>
        <item x="1026"/>
        <item x="59"/>
        <item x="58"/>
        <item x="671"/>
        <item x="293"/>
        <item x="235"/>
        <item x="766"/>
        <item x="474"/>
        <item x="691"/>
        <item x="738"/>
        <item x="1500"/>
        <item x="77"/>
        <item x="627"/>
        <item x="1285"/>
        <item x="267"/>
        <item x="966"/>
        <item x="147"/>
        <item x="297"/>
        <item x="62"/>
        <item x="475"/>
        <item x="54"/>
        <item x="53"/>
        <item x="624"/>
        <item x="1616"/>
        <item x="685"/>
        <item x="1138"/>
        <item x="111"/>
        <item x="1131"/>
        <item x="234"/>
        <item x="1139"/>
        <item x="678"/>
        <item x="332"/>
        <item x="1161"/>
        <item x="832"/>
        <item x="259"/>
        <item x="171"/>
        <item x="1369"/>
        <item x="1366"/>
        <item x="296"/>
        <item x="1352"/>
        <item x="1385"/>
        <item x="112"/>
        <item x="1033"/>
        <item x="1090"/>
        <item x="1583"/>
        <item x="143"/>
        <item x="141"/>
        <item x="130"/>
        <item x="291"/>
        <item x="142"/>
        <item x="226"/>
        <item x="1641"/>
        <item x="1025"/>
        <item x="227"/>
        <item x="1322"/>
        <item x="328"/>
        <item x="1300"/>
        <item x="327"/>
        <item x="357"/>
        <item x="555"/>
        <item x="550"/>
        <item x="923"/>
        <item x="869"/>
        <item x="831"/>
        <item x="917"/>
        <item x="912"/>
        <item x="871"/>
        <item x="256"/>
        <item x="1143"/>
        <item x="764"/>
        <item x="1129"/>
        <item x="669"/>
        <item x="1375"/>
        <item x="232"/>
        <item x="673"/>
        <item x="229"/>
        <item x="389"/>
        <item x="670"/>
        <item x="675"/>
        <item x="529"/>
        <item x="76"/>
        <item x="739"/>
        <item x="1265"/>
        <item x="148"/>
        <item x="626"/>
        <item x="1135"/>
        <item x="146"/>
        <item x="910"/>
        <item x="948"/>
        <item x="1231"/>
        <item x="225"/>
        <item x="255"/>
        <item x="1320"/>
        <item x="231"/>
        <item x="1393"/>
        <item x="56"/>
        <item x="1163"/>
        <item x="827"/>
        <item x="1160"/>
        <item x="853"/>
        <item x="881"/>
        <item x="892"/>
        <item x="902"/>
        <item x="861"/>
        <item x="52"/>
        <item x="645"/>
        <item x="843"/>
        <item x="939"/>
        <item x="952"/>
        <item x="849"/>
        <item x="865"/>
        <item x="840"/>
        <item x="828"/>
        <item x="922"/>
        <item x="921"/>
        <item x="920"/>
        <item x="876"/>
        <item x="156"/>
        <item x="224"/>
        <item x="672"/>
        <item x="254"/>
        <item x="1632"/>
        <item x="1319"/>
        <item x="435"/>
        <item x="1355"/>
        <item x="253"/>
        <item x="628"/>
        <item x="236"/>
        <item x="94"/>
        <item x="440"/>
        <item x="107"/>
        <item x="1232"/>
        <item x="532"/>
        <item x="388"/>
        <item x="1597"/>
        <item x="1305"/>
        <item x="623"/>
        <item x="1130"/>
        <item x="1618"/>
        <item x="172"/>
        <item x="630"/>
        <item x="1062"/>
        <item x="1063"/>
        <item x="676"/>
        <item x="677"/>
        <item x="248"/>
        <item x="287"/>
        <item x="875"/>
        <item x="1615"/>
        <item x="476"/>
        <item x="1105"/>
        <item x="1364"/>
        <item x="767"/>
        <item x="860"/>
        <item x="360"/>
        <item x="1132"/>
        <item x="690"/>
        <item x="689"/>
        <item x="674"/>
        <item x="68"/>
        <item x="1316"/>
        <item x="110"/>
        <item x="67"/>
        <item x="55"/>
        <item x="402"/>
        <item x="863"/>
        <item x="891"/>
        <item x="868"/>
        <item x="864"/>
        <item x="904"/>
        <item x="1299"/>
        <item x="1166"/>
        <item x="128"/>
        <item x="1140"/>
        <item x="1180"/>
        <item x="1390"/>
        <item x="951"/>
        <item x="823"/>
        <item x="893"/>
        <item x="870"/>
        <item x="896"/>
        <item x="950"/>
        <item x="116"/>
        <item x="1228"/>
        <item x="1035"/>
        <item x="837"/>
        <item x="938"/>
        <item x="838"/>
        <item x="1133"/>
        <item x="1384"/>
        <item x="117"/>
        <item x="123"/>
        <item x="911"/>
        <item x="710"/>
        <item x="257"/>
        <item x="1362"/>
        <item x="582"/>
        <item x="890"/>
        <item x="1230"/>
        <item x="1093"/>
        <item x="1036"/>
        <item x="683"/>
        <item x="711"/>
        <item x="953"/>
        <item x="1318"/>
        <item x="1317"/>
        <item x="620"/>
        <item x="1225"/>
        <item x="621"/>
        <item x="1088"/>
        <item x="538"/>
        <item x="237"/>
        <item x="629"/>
        <item x="1125"/>
        <item x="249"/>
        <item x="614"/>
        <item x="57"/>
        <item x="768"/>
        <item x="1142"/>
        <item x="1082"/>
        <item x="811"/>
        <item x="516"/>
        <item x="384"/>
        <item x="79"/>
        <item x="812"/>
        <item x="129"/>
        <item x="1262"/>
        <item x="1612"/>
        <item x="1465"/>
        <item x="157"/>
        <item x="158"/>
        <item x="1165"/>
        <item x="1181"/>
        <item x="1182"/>
        <item x="858"/>
        <item x="272"/>
        <item x="273"/>
        <item x="283"/>
        <item x="284"/>
        <item x="1410"/>
        <item x="1564"/>
        <item x="1566"/>
        <item x="1565"/>
        <item x="382"/>
        <item x="1237"/>
        <item x="1103"/>
        <item x="437"/>
        <item x="513"/>
        <item x="1238"/>
        <item x="443"/>
        <item x="444"/>
        <item x="1104"/>
        <item x="1239"/>
        <item x="1042"/>
        <item x="274"/>
        <item x="816"/>
        <item x="240"/>
        <item x="241"/>
        <item x="1639"/>
        <item x="1175"/>
        <item x="1176"/>
        <item x="1174"/>
        <item x="1339"/>
        <item x="616"/>
        <item x="617"/>
        <item x="275"/>
        <item x="1638"/>
        <item x="153"/>
        <item x="1611"/>
        <item x="1361"/>
        <item x="1127"/>
        <item x="1128"/>
        <item x="1126"/>
        <item x="1047"/>
        <item x="1189"/>
        <item x="97"/>
        <item x="144"/>
        <item x="321"/>
        <item x="145"/>
        <item x="625"/>
        <item x="1617"/>
        <item x="852"/>
        <item x="851"/>
        <item x="1234"/>
        <item x="109"/>
        <item x="358"/>
        <item x="180"/>
        <item x="179"/>
        <item x="590"/>
        <item x="181"/>
        <item x="1499"/>
        <item x="968"/>
        <item x="967"/>
        <item x="648"/>
        <item x="514"/>
        <item x="907"/>
        <item x="900"/>
        <item x="901"/>
        <item x="1273"/>
        <item x="936"/>
        <item x="113"/>
        <item x="1494"/>
        <item x="1102"/>
        <item x="1563"/>
        <item x="1236"/>
        <item x="969"/>
        <item x="1340"/>
        <item x="445"/>
        <item x="1209"/>
        <item x="528"/>
        <item x="186"/>
        <item x="618"/>
        <item x="266"/>
        <item x="0"/>
        <item x="1184"/>
        <item x="1185"/>
        <item x="1186"/>
        <item x="1187"/>
        <item x="1188"/>
        <item x="395"/>
        <item x="396"/>
        <item x="400"/>
        <item x="401"/>
        <item x="399"/>
        <item x="405"/>
        <item x="406"/>
        <item x="407"/>
        <item x="408"/>
        <item x="409"/>
        <item x="410"/>
        <item x="411"/>
        <item x="412"/>
        <item x="413"/>
        <item x="403"/>
        <item x="404"/>
        <item x="414"/>
        <item x="415"/>
        <item x="416"/>
        <item x="417"/>
        <item x="418"/>
        <item x="419"/>
        <item x="420"/>
        <item x="422"/>
        <item x="421"/>
        <item x="489"/>
        <item x="490"/>
        <item x="496"/>
        <item x="497"/>
        <item x="498"/>
        <item x="499"/>
        <item x="500"/>
        <item x="501"/>
        <item x="502"/>
        <item x="503"/>
        <item x="491"/>
        <item x="492"/>
        <item x="493"/>
        <item x="494"/>
        <item x="495"/>
        <item x="511"/>
        <item x="512"/>
        <item x="504"/>
        <item x="505"/>
        <item x="506"/>
        <item x="507"/>
        <item x="508"/>
        <item x="509"/>
        <item x="510"/>
        <item x="423"/>
        <item x="424"/>
        <item x="425"/>
        <item x="426"/>
        <item x="427"/>
        <item x="428"/>
        <item x="429"/>
        <item x="430"/>
        <item x="431"/>
        <item x="432"/>
        <item x="433"/>
        <item x="434"/>
        <item x="446"/>
        <item x="450"/>
        <item x="451"/>
        <item x="452"/>
        <item x="453"/>
        <item x="454"/>
        <item x="455"/>
        <item x="456"/>
        <item x="457"/>
        <item x="458"/>
        <item x="459"/>
        <item x="461"/>
        <item x="462"/>
        <item x="463"/>
        <item x="466"/>
        <item x="469"/>
        <item x="470"/>
        <item x="471"/>
        <item x="477"/>
        <item x="478"/>
        <item x="479"/>
        <item x="472"/>
        <item x="447"/>
        <item x="448"/>
        <item x="480"/>
        <item x="449"/>
        <item x="481"/>
        <item x="460"/>
        <item x="464"/>
        <item x="468"/>
        <item x="467"/>
        <item x="465"/>
        <item x="482"/>
        <item x="483"/>
        <item x="484"/>
        <item x="485"/>
        <item x="486"/>
        <item x="487"/>
        <item x="488"/>
        <item x="517"/>
        <item x="518"/>
        <item x="521"/>
        <item x="522"/>
        <item x="523"/>
        <item x="524"/>
        <item x="525"/>
        <item x="519"/>
        <item x="520"/>
        <item x="526"/>
        <item x="527"/>
        <item x="533"/>
        <item x="534"/>
        <item x="535"/>
        <item x="545"/>
        <item x="536"/>
        <item x="537"/>
        <item x="546"/>
        <item x="547"/>
        <item x="548"/>
        <item x="622"/>
        <item x="551"/>
        <item x="552"/>
        <item x="556"/>
        <item x="557"/>
        <item x="558"/>
        <item x="559"/>
        <item x="560"/>
        <item x="561"/>
        <item x="562"/>
        <item x="563"/>
        <item x="553"/>
        <item x="564"/>
        <item x="597"/>
        <item x="565"/>
        <item x="566"/>
        <item x="567"/>
        <item x="568"/>
        <item x="569"/>
        <item x="570"/>
        <item x="571"/>
        <item x="572"/>
        <item x="554"/>
        <item x="573"/>
        <item x="574"/>
        <item x="575"/>
        <item x="576"/>
        <item x="577"/>
        <item x="578"/>
        <item x="579"/>
        <item x="580"/>
        <item x="581"/>
        <item x="549"/>
        <item x="583"/>
        <item x="584"/>
        <item x="594"/>
        <item x="595"/>
        <item x="596"/>
        <item x="598"/>
        <item x="599"/>
        <item x="600"/>
        <item x="602"/>
        <item x="601"/>
        <item x="603"/>
        <item x="604"/>
        <item x="605"/>
        <item x="606"/>
        <item x="607"/>
        <item x="608"/>
        <item x="609"/>
        <item x="610"/>
        <item x="611"/>
        <item x="612"/>
        <item x="613"/>
        <item x="1"/>
        <item x="2"/>
        <item x="298"/>
        <item x="3"/>
        <item x="4"/>
        <item x="334"/>
        <item x="335"/>
        <item x="336"/>
        <item x="337"/>
        <item x="299"/>
        <item x="300"/>
        <item x="333"/>
        <item x="242"/>
        <item x="243"/>
        <item x="5"/>
        <item x="6"/>
        <item x="289"/>
        <item x="290"/>
        <item x="394"/>
        <item x="294"/>
        <item x="292"/>
        <item x="295"/>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61"/>
        <item x="131"/>
        <item x="140"/>
        <item x="132"/>
        <item x="133"/>
        <item x="134"/>
        <item x="135"/>
        <item x="136"/>
        <item x="139"/>
        <item x="138"/>
        <item x="154"/>
        <item x="155"/>
        <item x="188"/>
        <item x="189"/>
        <item x="205"/>
        <item x="199"/>
        <item x="201"/>
        <item x="203"/>
        <item x="193"/>
        <item x="191"/>
        <item x="190"/>
        <item x="194"/>
        <item x="195"/>
        <item x="196"/>
        <item x="197"/>
        <item x="198"/>
        <item x="200"/>
        <item x="204"/>
        <item x="202"/>
        <item x="206"/>
        <item x="221"/>
        <item x="219"/>
        <item x="217"/>
        <item x="213"/>
        <item x="207"/>
        <item x="215"/>
        <item x="208"/>
        <item x="209"/>
        <item x="210"/>
        <item x="211"/>
        <item x="212"/>
        <item x="214"/>
        <item x="216"/>
        <item x="218"/>
        <item x="220"/>
        <item x="222"/>
        <item x="192"/>
        <item x="159"/>
        <item x="160"/>
        <item x="161"/>
        <item x="162"/>
        <item x="163"/>
        <item x="164"/>
        <item x="165"/>
        <item x="166"/>
        <item x="167"/>
        <item x="168"/>
        <item x="169"/>
        <item x="170"/>
        <item x="173"/>
        <item x="174"/>
        <item x="175"/>
        <item x="176"/>
        <item x="177"/>
        <item x="187"/>
        <item x="301"/>
        <item x="302"/>
        <item x="303"/>
        <item x="304"/>
        <item x="305"/>
        <item x="306"/>
        <item x="307"/>
        <item x="308"/>
        <item x="309"/>
        <item x="310"/>
        <item x="311"/>
        <item x="312"/>
        <item x="313"/>
        <item x="314"/>
        <item x="315"/>
        <item x="316"/>
        <item x="317"/>
        <item x="318"/>
        <item x="319"/>
        <item x="320"/>
        <item x="322"/>
        <item x="324"/>
        <item x="338"/>
        <item x="339"/>
        <item x="342"/>
        <item x="344"/>
        <item x="340"/>
        <item x="341"/>
        <item x="359"/>
        <item x="361"/>
        <item x="345"/>
        <item x="346"/>
        <item x="347"/>
        <item x="348"/>
        <item x="349"/>
        <item x="350"/>
        <item x="351"/>
        <item x="352"/>
        <item x="353"/>
        <item x="354"/>
        <item x="366"/>
        <item x="367"/>
        <item x="370"/>
        <item x="343"/>
        <item x="372"/>
        <item x="373"/>
        <item x="374"/>
        <item x="368"/>
        <item x="369"/>
        <item x="375"/>
        <item x="371"/>
        <item x="390"/>
        <item x="391"/>
        <item x="63"/>
        <item x="66"/>
        <item x="69"/>
        <item x="70"/>
        <item x="71"/>
        <item x="65"/>
        <item x="64"/>
        <item x="91"/>
        <item x="99"/>
        <item x="100"/>
        <item x="86"/>
        <item x="87"/>
        <item x="88"/>
        <item x="89"/>
        <item x="90"/>
        <item x="93"/>
        <item x="92"/>
        <item x="98"/>
        <item x="101"/>
        <item x="102"/>
        <item x="103"/>
        <item x="104"/>
        <item x="105"/>
        <item x="106"/>
        <item x="114"/>
        <item x="115"/>
        <item x="118"/>
        <item x="119"/>
        <item x="120"/>
        <item x="121"/>
        <item x="127"/>
        <item x="126"/>
        <item x="125"/>
        <item x="238"/>
        <item x="246"/>
        <item x="244"/>
        <item x="247"/>
        <item x="250"/>
        <item x="258"/>
        <item x="251"/>
        <item x="631"/>
        <item x="633"/>
        <item x="634"/>
        <item x="635"/>
        <item x="636"/>
        <item x="640"/>
        <item x="637"/>
        <item x="638"/>
        <item x="639"/>
        <item x="641"/>
        <item x="642"/>
        <item x="643"/>
        <item x="644"/>
        <item x="632"/>
        <item x="649"/>
        <item x="782"/>
        <item x="650"/>
        <item x="651"/>
        <item x="652"/>
        <item x="653"/>
        <item x="654"/>
        <item x="655"/>
        <item x="783"/>
        <item x="784"/>
        <item x="785"/>
        <item x="786"/>
        <item x="787"/>
        <item x="788"/>
        <item x="789"/>
        <item x="790"/>
        <item x="791"/>
        <item x="814"/>
        <item x="657"/>
        <item x="658"/>
        <item x="659"/>
        <item x="660"/>
        <item x="792"/>
        <item x="793"/>
        <item x="815"/>
        <item x="794"/>
        <item x="795"/>
        <item x="796"/>
        <item x="656"/>
        <item x="797"/>
        <item x="798"/>
        <item x="799"/>
        <item x="781"/>
        <item x="800"/>
        <item x="801"/>
        <item x="740"/>
        <item x="741"/>
        <item x="802"/>
        <item x="803"/>
        <item x="804"/>
        <item x="805"/>
        <item x="806"/>
        <item x="807"/>
        <item x="813"/>
        <item x="808"/>
        <item x="809"/>
        <item x="810"/>
        <item x="661"/>
        <item x="713"/>
        <item x="716"/>
        <item x="717"/>
        <item x="718"/>
        <item x="719"/>
        <item x="720"/>
        <item x="721"/>
        <item x="722"/>
        <item x="723"/>
        <item x="724"/>
        <item x="662"/>
        <item x="725"/>
        <item x="726"/>
        <item x="727"/>
        <item x="728"/>
        <item x="730"/>
        <item x="731"/>
        <item x="692"/>
        <item x="732"/>
        <item x="733"/>
        <item x="735"/>
        <item x="734"/>
        <item x="668"/>
        <item x="698"/>
        <item x="693"/>
        <item x="694"/>
        <item x="695"/>
        <item x="696"/>
        <item x="700"/>
        <item x="697"/>
        <item x="665"/>
        <item x="667"/>
        <item x="664"/>
        <item x="663"/>
        <item x="666"/>
        <item x="729"/>
        <item x="714"/>
        <item x="715"/>
        <item x="701"/>
        <item x="706"/>
        <item x="707"/>
        <item x="708"/>
        <item x="709"/>
        <item x="736"/>
        <item x="742"/>
        <item x="746"/>
        <item x="747"/>
        <item x="748"/>
        <item x="749"/>
        <item x="750"/>
        <item x="751"/>
        <item x="752"/>
        <item x="753"/>
        <item x="754"/>
        <item x="755"/>
        <item x="756"/>
        <item x="757"/>
        <item x="758"/>
        <item x="759"/>
        <item x="760"/>
        <item x="761"/>
        <item x="762"/>
        <item x="763"/>
        <item x="743"/>
        <item x="744"/>
        <item x="745"/>
        <item x="771"/>
        <item x="770"/>
        <item x="773"/>
        <item x="772"/>
        <item x="775"/>
        <item x="776"/>
        <item x="774"/>
        <item x="777"/>
        <item x="778"/>
        <item x="779"/>
        <item x="780"/>
        <item x="817"/>
        <item x="818"/>
        <item x="819"/>
        <item x="820"/>
        <item x="821"/>
        <item x="822"/>
        <item x="824"/>
        <item x="825"/>
        <item x="829"/>
        <item x="830"/>
        <item x="833"/>
        <item x="834"/>
        <item x="894"/>
        <item x="835"/>
        <item x="836"/>
        <item x="841"/>
        <item x="842"/>
        <item x="839"/>
        <item x="872"/>
        <item x="873"/>
        <item x="874"/>
        <item x="845"/>
        <item x="846"/>
        <item x="897"/>
        <item x="848"/>
        <item x="847"/>
        <item x="862"/>
        <item x="857"/>
        <item x="866"/>
        <item x="877"/>
        <item x="884"/>
        <item x="885"/>
        <item x="886"/>
        <item x="887"/>
        <item x="905"/>
        <item x="888"/>
        <item x="882"/>
        <item x="878"/>
        <item x="879"/>
        <item x="880"/>
        <item x="889"/>
        <item x="895"/>
        <item x="898"/>
        <item x="909"/>
        <item x="914"/>
        <item x="906"/>
        <item x="916"/>
        <item x="919"/>
        <item x="924"/>
        <item x="927"/>
        <item x="908"/>
        <item x="859"/>
        <item x="854"/>
        <item x="855"/>
        <item x="913"/>
        <item x="915"/>
        <item x="918"/>
        <item x="899"/>
        <item x="903"/>
        <item x="932"/>
        <item x="934"/>
        <item x="935"/>
        <item x="942"/>
        <item x="941"/>
        <item x="943"/>
        <item x="944"/>
        <item x="946"/>
        <item x="947"/>
        <item x="957"/>
        <item x="933"/>
        <item x="959"/>
        <item x="940"/>
        <item x="956"/>
        <item x="958"/>
        <item x="928"/>
        <item x="929"/>
        <item x="930"/>
        <item x="931"/>
        <item x="961"/>
        <item x="963"/>
        <item x="962"/>
        <item x="965"/>
        <item x="970"/>
        <item x="971"/>
        <item x="972"/>
        <item x="925"/>
        <item x="926"/>
        <item x="1391"/>
        <item x="1392"/>
        <item x="973"/>
        <item x="974"/>
        <item x="983"/>
        <item x="1381"/>
        <item x="1386"/>
        <item x="1387"/>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333"/>
        <item x="1334"/>
        <item x="1372"/>
        <item x="1373"/>
        <item x="1374"/>
        <item x="1335"/>
        <item x="1336"/>
        <item x="1337"/>
        <item x="1338"/>
        <item x="1370"/>
        <item x="1341"/>
        <item x="1371"/>
        <item x="1378"/>
        <item x="1342"/>
        <item x="1343"/>
        <item x="1344"/>
        <item x="1345"/>
        <item x="1346"/>
        <item x="1347"/>
        <item x="1349"/>
        <item x="1350"/>
        <item x="1351"/>
        <item x="1353"/>
        <item x="1354"/>
        <item x="1356"/>
        <item x="1357"/>
        <item x="1358"/>
        <item x="1359"/>
        <item x="1360"/>
        <item x="1367"/>
        <item x="1368"/>
        <item x="1277"/>
        <item x="1308"/>
        <item x="1286"/>
        <item x="1288"/>
        <item x="1287"/>
        <item x="1290"/>
        <item x="1289"/>
        <item x="1297"/>
        <item x="1296"/>
        <item x="1291"/>
        <item x="1292"/>
        <item x="1295"/>
        <item x="1298"/>
        <item x="1278"/>
        <item x="1279"/>
        <item x="1280"/>
        <item x="1281"/>
        <item x="1282"/>
        <item x="1283"/>
        <item x="1304"/>
        <item x="1303"/>
        <item x="1307"/>
        <item x="1306"/>
        <item x="1302"/>
        <item x="1301"/>
        <item x="1309"/>
        <item x="1310"/>
        <item x="1311"/>
        <item x="1312"/>
        <item x="1313"/>
        <item x="1314"/>
        <item x="1315"/>
        <item x="1324"/>
        <item x="1325"/>
        <item x="1326"/>
        <item x="1327"/>
        <item x="1328"/>
        <item x="1329"/>
        <item x="1330"/>
        <item x="1331"/>
        <item x="1145"/>
        <item x="1146"/>
        <item x="1147"/>
        <item x="1148"/>
        <item x="1149"/>
        <item x="1193"/>
        <item x="1194"/>
        <item x="1195"/>
        <item x="1196"/>
        <item x="1197"/>
        <item x="1201"/>
        <item x="1240"/>
        <item x="1242"/>
        <item x="1243"/>
        <item x="1244"/>
        <item x="1150"/>
        <item x="1151"/>
        <item x="1152"/>
        <item x="1153"/>
        <item x="1154"/>
        <item x="1155"/>
        <item x="1167"/>
        <item x="1267"/>
        <item x="1268"/>
        <item x="1269"/>
        <item x="1270"/>
        <item x="1271"/>
        <item x="1202"/>
        <item x="1203"/>
        <item x="1213"/>
        <item x="1214"/>
        <item x="1215"/>
        <item x="1217"/>
        <item x="1218"/>
        <item x="1220"/>
        <item x="1221"/>
        <item x="1222"/>
        <item x="1223"/>
        <item x="1224"/>
        <item x="1204"/>
        <item x="1229"/>
        <item x="1233"/>
        <item x="1205"/>
        <item x="1206"/>
        <item x="1207"/>
        <item x="1212"/>
        <item x="1235"/>
        <item x="1168"/>
        <item x="1169"/>
        <item x="1170"/>
        <item x="1171"/>
        <item x="1172"/>
        <item x="1183"/>
        <item x="1256"/>
        <item x="1257"/>
        <item x="1258"/>
        <item x="1259"/>
        <item x="1260"/>
        <item x="1261"/>
        <item x="1266"/>
        <item x="1250"/>
        <item x="1254"/>
        <item x="1251"/>
        <item x="1252"/>
        <item x="1253"/>
        <item x="1245"/>
        <item x="1246"/>
        <item x="1247"/>
        <item x="1248"/>
        <item x="1249"/>
        <item x="1043"/>
        <item x="1044"/>
        <item x="1045"/>
        <item x="1046"/>
        <item x="1027"/>
        <item x="1028"/>
        <item x="1029"/>
        <item x="1030"/>
        <item x="1031"/>
        <item x="1038"/>
        <item x="1039"/>
        <item x="1040"/>
        <item x="1048"/>
        <item x="1049"/>
        <item x="1054"/>
        <item x="1083"/>
        <item x="1084"/>
        <item x="1085"/>
        <item x="1086"/>
        <item x="1087"/>
        <item x="1055"/>
        <item x="1056"/>
        <item x="1057"/>
        <item x="1058"/>
        <item x="1050"/>
        <item x="1059"/>
        <item x="1060"/>
        <item x="1061"/>
        <item x="1067"/>
        <item x="1068"/>
        <item x="1071"/>
        <item x="1073"/>
        <item x="1075"/>
        <item x="1077"/>
        <item x="1051"/>
        <item x="1069"/>
        <item x="1070"/>
        <item x="1072"/>
        <item x="1076"/>
        <item x="1079"/>
        <item x="1066"/>
        <item x="1052"/>
        <item x="1053"/>
        <item x="1107"/>
        <item x="1108"/>
        <item x="1109"/>
        <item x="1110"/>
        <item x="1111"/>
        <item x="1112"/>
        <item x="1094"/>
        <item x="1095"/>
        <item x="1096"/>
        <item x="1097"/>
        <item x="1098"/>
        <item x="1099"/>
        <item x="1100"/>
        <item x="1101"/>
        <item x="1106"/>
        <item x="1113"/>
        <item x="1114"/>
        <item x="1115"/>
        <item x="1116"/>
        <item x="1117"/>
        <item x="1118"/>
        <item x="1119"/>
        <item x="1120"/>
        <item x="1121"/>
        <item x="975"/>
        <item x="976"/>
        <item x="977"/>
        <item x="978"/>
        <item x="979"/>
        <item x="981"/>
        <item x="982"/>
        <item x="1545"/>
        <item x="1546"/>
        <item x="1547"/>
        <item x="1549"/>
        <item x="1550"/>
        <item x="1551"/>
        <item x="1394"/>
        <item x="1395"/>
        <item x="1396"/>
        <item x="1397"/>
        <item x="1552"/>
        <item x="1548"/>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625"/>
        <item x="1627"/>
        <item x="1628"/>
        <item x="1629"/>
        <item x="1630"/>
        <item x="1642"/>
        <item x="1643"/>
        <item x="1631"/>
        <item x="1626"/>
        <item x="1633"/>
        <item x="1634"/>
        <item x="1635"/>
        <item x="1636"/>
        <item x="1637"/>
        <item x="1528"/>
        <item x="1536"/>
        <item x="1537"/>
        <item x="1529"/>
        <item x="1531"/>
        <item x="1535"/>
        <item x="1532"/>
        <item x="1534"/>
        <item x="1533"/>
        <item x="1530"/>
        <item x="1544"/>
        <item x="1540"/>
        <item x="1541"/>
        <item x="1542"/>
        <item x="1543"/>
        <item x="1477"/>
        <item x="1478"/>
        <item x="1479"/>
        <item x="1480"/>
        <item x="1481"/>
        <item x="1482"/>
        <item x="1483"/>
        <item x="1484"/>
        <item x="1485"/>
        <item x="1486"/>
        <item x="1487"/>
        <item x="1488"/>
        <item x="1489"/>
        <item x="1490"/>
        <item x="1491"/>
        <item x="1495"/>
        <item x="1501"/>
        <item x="1502"/>
        <item x="1503"/>
        <item x="1504"/>
        <item x="1505"/>
        <item x="1506"/>
        <item x="1507"/>
        <item x="1512"/>
        <item x="1508"/>
        <item x="1509"/>
        <item x="1510"/>
        <item x="1511"/>
        <item x="1513"/>
        <item x="1514"/>
        <item x="1515"/>
        <item x="1516"/>
        <item x="1517"/>
        <item x="1518"/>
        <item x="1519"/>
        <item x="1520"/>
        <item x="1521"/>
        <item x="1522"/>
        <item x="1523"/>
        <item x="1524"/>
        <item x="1525"/>
        <item x="1526"/>
        <item x="1527"/>
        <item x="1398"/>
        <item x="1400"/>
        <item x="1403"/>
        <item x="1404"/>
        <item x="1405"/>
        <item x="1406"/>
        <item x="1407"/>
        <item x="1408"/>
        <item x="1409"/>
        <item x="1411"/>
        <item x="1412"/>
        <item x="1413"/>
        <item x="1401"/>
        <item x="1402"/>
        <item x="1399"/>
        <item x="1415"/>
        <item x="1416"/>
        <item x="1588"/>
        <item x="1590"/>
        <item x="1592"/>
        <item x="1591"/>
        <item x="1589"/>
        <item x="1593"/>
        <item x="1602"/>
        <item x="1603"/>
        <item x="1604"/>
        <item x="1605"/>
        <item x="1606"/>
        <item x="1607"/>
        <item x="1608"/>
        <item x="1613"/>
        <item x="1614"/>
        <item x="1609"/>
        <item x="1620"/>
        <item x="1622"/>
        <item x="1623"/>
        <item x="1624"/>
        <item x="1466"/>
        <item x="1468"/>
        <item x="1469"/>
        <item x="1470"/>
        <item x="1467"/>
        <item x="1575"/>
        <item x="1577"/>
        <item x="1581"/>
        <item x="1578"/>
        <item x="1579"/>
        <item x="1576"/>
        <item x="1582"/>
        <item x="1457"/>
        <item x="1459"/>
        <item x="1460"/>
        <item x="1461"/>
        <item x="1458"/>
        <item x="1462"/>
        <item x="1471"/>
        <item x="1473"/>
        <item x="1474"/>
        <item x="1475"/>
        <item x="1472"/>
        <item x="1476"/>
        <item x="1555"/>
        <item x="1557"/>
        <item x="1573"/>
        <item x="1558"/>
        <item x="1559"/>
        <item x="1560"/>
        <item x="1561"/>
        <item x="1562"/>
        <item x="1556"/>
        <item x="1041"/>
        <item x="378"/>
        <item x="379"/>
        <item x="381"/>
        <item x="1198"/>
        <item x="1157"/>
        <item x="376"/>
        <item x="1173"/>
        <item x="1156"/>
        <item x="185"/>
        <item x="365"/>
        <item x="363"/>
        <item x="439"/>
        <item x="442"/>
        <item x="1599"/>
        <item x="531"/>
        <item x="1191"/>
        <item x="1601"/>
        <item x="541"/>
        <item x="1570"/>
        <item x="543"/>
        <item x="1572"/>
        <item x="1587"/>
        <item x="1200"/>
        <item x="387"/>
        <item x="1585"/>
        <item x="331"/>
        <item x="1179"/>
        <item x="1568"/>
        <item x="1464"/>
        <item x="1596"/>
        <item x="1211"/>
        <item x="184"/>
        <item x="364"/>
        <item x="362"/>
        <item x="438"/>
        <item x="441"/>
        <item x="1598"/>
        <item x="530"/>
        <item x="1190"/>
        <item x="1600"/>
        <item x="540"/>
        <item x="1569"/>
        <item x="542"/>
        <item x="1571"/>
        <item x="1586"/>
        <item x="1199"/>
        <item x="386"/>
        <item x="1584"/>
        <item x="1178"/>
        <item x="1567"/>
        <item x="1463"/>
        <item x="1263"/>
        <item x="1210"/>
        <item x="1595"/>
        <item x="1158"/>
        <item x="1162"/>
        <item x="1275"/>
        <item x="1553"/>
        <item x="72"/>
        <item x="81"/>
        <item x="73"/>
        <item x="74"/>
        <item x="83"/>
        <item x="84"/>
        <item x="85"/>
        <item x="82"/>
        <item x="392"/>
        <item x="1379"/>
        <item x="1380"/>
        <item x="1382"/>
        <item x="262"/>
        <item x="1644"/>
        <item x="277"/>
        <item x="261"/>
        <item x="280"/>
        <item x="269"/>
        <item x="286"/>
        <item x="276"/>
        <item x="279"/>
        <item x="285"/>
        <item x="329"/>
        <item x="330"/>
        <item x="1264"/>
        <item x="1064"/>
        <item x="1621"/>
        <item x="1065"/>
        <item x="539"/>
        <item x="544"/>
        <item x="591"/>
        <item x="281"/>
        <item x="183"/>
        <item x="1159"/>
        <item x="1081"/>
        <item x="239"/>
        <item x="96"/>
        <item x="124"/>
        <item x="436"/>
        <item x="122"/>
        <item x="95"/>
        <item x="1208"/>
        <item x="1226"/>
        <item x="703"/>
        <item x="1554"/>
        <item x="1640"/>
        <item x="380"/>
        <item x="593"/>
        <item x="377"/>
        <item x="1493"/>
        <item x="1492"/>
        <item x="1192"/>
        <item x="587"/>
        <item x="585"/>
        <item x="588"/>
        <item x="586"/>
        <item x="271"/>
        <item x="592"/>
        <item x="80"/>
        <item x="1414"/>
        <item x="223"/>
        <item x="1241"/>
        <item x="150"/>
        <item x="151"/>
        <item x="1377"/>
      </items>
    </pivotField>
    <pivotField axis="axisPage" compact="0" outline="0" showAll="0" defaultSubtotal="0">
      <items count="1674">
        <item x="153"/>
        <item x="246"/>
        <item x="183"/>
        <item x="1272"/>
        <item x="599"/>
        <item x="179"/>
        <item x="330"/>
        <item x="1289"/>
        <item x="1104"/>
        <item x="697"/>
        <item x="483"/>
        <item x="1407"/>
        <item x="1402"/>
        <item x="291"/>
        <item x="525"/>
        <item x="1515"/>
        <item x="270"/>
        <item x="281"/>
        <item x="272"/>
        <item x="75"/>
        <item x="1089"/>
        <item x="1093"/>
        <item x="1244"/>
        <item x="253"/>
        <item x="978"/>
        <item x="629"/>
        <item x="657"/>
        <item x="109"/>
        <item x="360"/>
        <item x="625"/>
        <item x="1517"/>
        <item x="426"/>
        <item x="327"/>
        <item x="285"/>
        <item x="267"/>
        <item x="1408"/>
        <item x="266"/>
        <item x="265"/>
        <item x="723"/>
        <item x="329"/>
        <item x="750"/>
        <item x="1395"/>
        <item x="1349"/>
        <item x="359"/>
        <item x="1311"/>
        <item x="1310"/>
        <item x="1291"/>
        <item x="1595"/>
        <item x="974"/>
        <item x="715"/>
        <item x="400"/>
        <item x="968"/>
        <item x="959"/>
        <item x="839"/>
        <item x="782"/>
        <item x="869"/>
        <item x="710"/>
        <item x="1340"/>
        <item x="963"/>
        <item x="1159"/>
        <item x="1138"/>
        <item x="698"/>
        <item x="699"/>
        <item x="778"/>
        <item x="693"/>
        <item x="863"/>
        <item x="1632"/>
        <item x="692"/>
        <item x="1365"/>
        <item x="1048"/>
        <item x="1236"/>
        <item x="1516"/>
        <item x="1602"/>
        <item x="1233"/>
        <item x="1616"/>
        <item x="1301"/>
        <item x="1156"/>
        <item x="1180"/>
        <item x="1293"/>
        <item x="695"/>
        <item x="691"/>
        <item x="880"/>
        <item x="857"/>
        <item x="897"/>
        <item x="951"/>
        <item x="389"/>
        <item x="234"/>
        <item x="1139"/>
        <item x="1137"/>
        <item x="138"/>
        <item x="324"/>
        <item x="1338"/>
        <item x="1384"/>
        <item x="229"/>
        <item x="1152"/>
        <item x="1046"/>
        <item x="713"/>
        <item x="994"/>
        <item x="1641"/>
        <item x="1382"/>
        <item x="690"/>
        <item x="1558"/>
        <item x="1557"/>
        <item x="430"/>
        <item x="404"/>
        <item x="405"/>
        <item x="431"/>
        <item x="716"/>
        <item x="262"/>
        <item x="1051"/>
        <item x="969"/>
        <item x="231"/>
        <item x="1106"/>
        <item x="1107"/>
        <item x="60"/>
        <item x="51"/>
        <item x="658"/>
        <item x="78"/>
        <item x="150"/>
        <item x="1095"/>
        <item x="1149"/>
        <item x="1151"/>
        <item x="391"/>
        <item x="1040"/>
        <item x="59"/>
        <item x="58"/>
        <item x="682"/>
        <item x="296"/>
        <item x="236"/>
        <item x="779"/>
        <item x="484"/>
        <item x="702"/>
        <item x="751"/>
        <item x="1519"/>
        <item x="77"/>
        <item x="638"/>
        <item x="1302"/>
        <item x="269"/>
        <item x="980"/>
        <item x="148"/>
        <item x="300"/>
        <item x="62"/>
        <item x="485"/>
        <item x="54"/>
        <item x="53"/>
        <item x="635"/>
        <item x="1638"/>
        <item x="696"/>
        <item x="910"/>
        <item x="1153"/>
        <item x="112"/>
        <item x="1146"/>
        <item x="235"/>
        <item x="1154"/>
        <item x="689"/>
        <item x="336"/>
        <item x="1177"/>
        <item x="845"/>
        <item x="261"/>
        <item x="172"/>
        <item x="1388"/>
        <item x="1385"/>
        <item x="299"/>
        <item x="1369"/>
        <item x="1404"/>
        <item x="113"/>
        <item x="1047"/>
        <item x="1105"/>
        <item x="1605"/>
        <item x="144"/>
        <item x="142"/>
        <item x="131"/>
        <item x="294"/>
        <item x="143"/>
        <item x="227"/>
        <item x="1665"/>
        <item x="1039"/>
        <item x="228"/>
        <item x="1339"/>
        <item x="332"/>
        <item x="1317"/>
        <item x="331"/>
        <item x="361"/>
        <item x="565"/>
        <item x="560"/>
        <item x="937"/>
        <item x="882"/>
        <item x="844"/>
        <item x="931"/>
        <item x="926"/>
        <item x="884"/>
        <item x="257"/>
        <item x="1158"/>
        <item x="777"/>
        <item x="1144"/>
        <item x="680"/>
        <item x="1394"/>
        <item x="233"/>
        <item x="684"/>
        <item x="230"/>
        <item x="395"/>
        <item x="681"/>
        <item x="686"/>
        <item x="539"/>
        <item x="76"/>
        <item x="752"/>
        <item x="1282"/>
        <item x="149"/>
        <item x="637"/>
        <item x="1150"/>
        <item x="147"/>
        <item x="924"/>
        <item x="962"/>
        <item x="1248"/>
        <item x="226"/>
        <item x="256"/>
        <item x="1337"/>
        <item x="232"/>
        <item x="1412"/>
        <item x="56"/>
        <item x="1179"/>
        <item x="840"/>
        <item x="1176"/>
        <item x="866"/>
        <item x="895"/>
        <item x="906"/>
        <item x="916"/>
        <item x="874"/>
        <item x="52"/>
        <item x="656"/>
        <item x="856"/>
        <item x="953"/>
        <item x="966"/>
        <item x="862"/>
        <item x="878"/>
        <item x="853"/>
        <item x="841"/>
        <item x="936"/>
        <item x="935"/>
        <item x="934"/>
        <item x="890"/>
        <item x="157"/>
        <item x="225"/>
        <item x="683"/>
        <item x="255"/>
        <item x="1655"/>
        <item x="1336"/>
        <item x="445"/>
        <item x="1372"/>
        <item x="254"/>
        <item x="639"/>
        <item x="237"/>
        <item x="94"/>
        <item x="450"/>
        <item x="108"/>
        <item x="1249"/>
        <item x="542"/>
        <item x="394"/>
        <item x="1619"/>
        <item x="1322"/>
        <item x="634"/>
        <item x="1145"/>
        <item x="1640"/>
        <item x="173"/>
        <item x="641"/>
        <item x="1077"/>
        <item x="1078"/>
        <item x="687"/>
        <item x="688"/>
        <item x="249"/>
        <item x="290"/>
        <item x="889"/>
        <item x="1637"/>
        <item x="486"/>
        <item x="1120"/>
        <item x="1383"/>
        <item x="780"/>
        <item x="873"/>
        <item x="364"/>
        <item x="1147"/>
        <item x="701"/>
        <item x="700"/>
        <item x="685"/>
        <item x="68"/>
        <item x="1333"/>
        <item x="111"/>
        <item x="67"/>
        <item x="55"/>
        <item x="409"/>
        <item x="876"/>
        <item x="905"/>
        <item x="881"/>
        <item x="877"/>
        <item x="918"/>
        <item x="1316"/>
        <item x="1182"/>
        <item x="129"/>
        <item x="1155"/>
        <item x="1196"/>
        <item x="1409"/>
        <item x="965"/>
        <item x="836"/>
        <item x="907"/>
        <item x="883"/>
        <item x="117"/>
        <item x="1245"/>
        <item x="1049"/>
        <item x="850"/>
        <item x="952"/>
        <item x="851"/>
        <item x="1148"/>
        <item x="1403"/>
        <item x="118"/>
        <item x="124"/>
        <item x="925"/>
        <item x="721"/>
        <item x="258"/>
        <item x="1381"/>
        <item x="592"/>
        <item x="1247"/>
        <item x="1108"/>
        <item x="1050"/>
        <item x="694"/>
        <item x="722"/>
        <item x="967"/>
        <item x="1335"/>
        <item x="1334"/>
        <item x="631"/>
        <item x="1242"/>
        <item x="632"/>
        <item x="1103"/>
        <item x="548"/>
        <item x="238"/>
        <item x="640"/>
        <item x="1140"/>
        <item x="250"/>
        <item x="624"/>
        <item x="630"/>
        <item x="57"/>
        <item x="781"/>
        <item x="1157"/>
        <item x="1097"/>
        <item m="1" x="1671"/>
        <item x="526"/>
        <item x="390"/>
        <item x="79"/>
        <item x="825"/>
        <item x="130"/>
        <item x="1279"/>
        <item x="1634"/>
        <item x="1484"/>
        <item x="158"/>
        <item x="159"/>
        <item x="1181"/>
        <item x="1197"/>
        <item x="1198"/>
        <item m="1" x="1669"/>
        <item m="1" x="1670"/>
        <item x="871"/>
        <item x="274"/>
        <item x="275"/>
        <item x="278"/>
        <item x="286"/>
        <item x="287"/>
        <item x="1429"/>
        <item x="1584"/>
        <item x="1586"/>
        <item x="1585"/>
        <item x="388"/>
        <item x="1254"/>
        <item x="447"/>
        <item x="1062"/>
        <item x="1255"/>
        <item x="523"/>
        <item x="453"/>
        <item x="454"/>
        <item x="1596"/>
        <item x="1256"/>
        <item x="1056"/>
        <item x="276"/>
        <item x="829"/>
        <item x="241"/>
        <item x="242"/>
        <item x="1663"/>
        <item x="1191"/>
        <item x="1192"/>
        <item x="1190"/>
        <item x="1356"/>
        <item x="626"/>
        <item x="627"/>
        <item x="277"/>
        <item x="1662"/>
        <item x="154"/>
        <item x="1633"/>
        <item x="1380"/>
        <item x="1142"/>
        <item x="1143"/>
        <item x="1061"/>
        <item x="1205"/>
        <item x="97"/>
        <item x="636"/>
        <item x="146"/>
        <item x="325"/>
        <item x="1639"/>
        <item x="1251"/>
        <item x="110"/>
        <item x="1193"/>
        <item x="362"/>
        <item x="181"/>
        <item x="180"/>
        <item x="600"/>
        <item x="182"/>
        <item x="1518"/>
        <item x="982"/>
        <item x="981"/>
        <item x="659"/>
        <item x="524"/>
        <item x="921"/>
        <item x="914"/>
        <item x="915"/>
        <item m="1" x="1673"/>
        <item x="114"/>
        <item x="1513"/>
        <item x="1117"/>
        <item x="1583"/>
        <item x="1253"/>
        <item x="983"/>
        <item x="1290"/>
        <item x="1357"/>
        <item x="455"/>
        <item x="1226"/>
        <item x="538"/>
        <item x="187"/>
        <item x="370"/>
        <item x="628"/>
        <item x="268"/>
        <item x="0"/>
        <item x="1200"/>
        <item x="1201"/>
        <item x="1202"/>
        <item x="1203"/>
        <item x="1204"/>
        <item x="402"/>
        <item x="403"/>
        <item x="407"/>
        <item x="408"/>
        <item x="406"/>
        <item x="412"/>
        <item x="413"/>
        <item x="414"/>
        <item x="415"/>
        <item x="416"/>
        <item x="417"/>
        <item x="418"/>
        <item x="419"/>
        <item x="420"/>
        <item x="410"/>
        <item x="411"/>
        <item x="421"/>
        <item x="422"/>
        <item x="423"/>
        <item x="424"/>
        <item x="425"/>
        <item x="427"/>
        <item x="428"/>
        <item x="432"/>
        <item x="429"/>
        <item x="499"/>
        <item x="500"/>
        <item x="506"/>
        <item x="507"/>
        <item x="508"/>
        <item x="509"/>
        <item x="510"/>
        <item x="511"/>
        <item x="512"/>
        <item x="513"/>
        <item x="501"/>
        <item x="502"/>
        <item x="503"/>
        <item x="504"/>
        <item x="505"/>
        <item x="521"/>
        <item x="522"/>
        <item x="514"/>
        <item x="515"/>
        <item x="516"/>
        <item x="517"/>
        <item x="518"/>
        <item x="519"/>
        <item x="520"/>
        <item x="433"/>
        <item x="434"/>
        <item x="435"/>
        <item x="436"/>
        <item x="437"/>
        <item x="438"/>
        <item x="439"/>
        <item x="440"/>
        <item x="441"/>
        <item x="442"/>
        <item x="443"/>
        <item x="444"/>
        <item x="456"/>
        <item x="460"/>
        <item x="461"/>
        <item x="462"/>
        <item x="463"/>
        <item x="464"/>
        <item x="465"/>
        <item x="466"/>
        <item x="467"/>
        <item x="468"/>
        <item x="469"/>
        <item x="471"/>
        <item x="472"/>
        <item x="473"/>
        <item x="476"/>
        <item x="479"/>
        <item x="480"/>
        <item x="481"/>
        <item x="488"/>
        <item x="489"/>
        <item x="482"/>
        <item x="457"/>
        <item x="458"/>
        <item x="490"/>
        <item x="459"/>
        <item x="491"/>
        <item x="470"/>
        <item x="474"/>
        <item x="478"/>
        <item x="477"/>
        <item x="475"/>
        <item x="492"/>
        <item x="493"/>
        <item x="494"/>
        <item x="495"/>
        <item x="496"/>
        <item x="497"/>
        <item x="498"/>
        <item x="527"/>
        <item x="528"/>
        <item x="531"/>
        <item x="532"/>
        <item x="533"/>
        <item x="534"/>
        <item x="535"/>
        <item x="529"/>
        <item x="530"/>
        <item x="536"/>
        <item x="537"/>
        <item x="543"/>
        <item x="544"/>
        <item x="545"/>
        <item x="555"/>
        <item x="546"/>
        <item x="547"/>
        <item x="556"/>
        <item x="557"/>
        <item x="558"/>
        <item x="633"/>
        <item x="561"/>
        <item x="562"/>
        <item x="566"/>
        <item x="567"/>
        <item x="568"/>
        <item x="569"/>
        <item x="570"/>
        <item x="571"/>
        <item x="572"/>
        <item x="573"/>
        <item x="563"/>
        <item x="574"/>
        <item x="607"/>
        <item x="575"/>
        <item x="576"/>
        <item x="577"/>
        <item x="578"/>
        <item x="579"/>
        <item x="580"/>
        <item x="581"/>
        <item x="582"/>
        <item x="564"/>
        <item x="583"/>
        <item x="584"/>
        <item x="585"/>
        <item x="586"/>
        <item x="587"/>
        <item x="588"/>
        <item x="589"/>
        <item x="590"/>
        <item x="591"/>
        <item x="559"/>
        <item x="593"/>
        <item x="594"/>
        <item x="604"/>
        <item x="605"/>
        <item x="606"/>
        <item x="608"/>
        <item x="609"/>
        <item x="610"/>
        <item x="612"/>
        <item x="611"/>
        <item x="613"/>
        <item x="614"/>
        <item x="615"/>
        <item x="616"/>
        <item x="617"/>
        <item x="618"/>
        <item x="619"/>
        <item x="620"/>
        <item x="621"/>
        <item x="622"/>
        <item x="623"/>
        <item x="1"/>
        <item x="2"/>
        <item x="301"/>
        <item x="3"/>
        <item x="4"/>
        <item x="338"/>
        <item x="339"/>
        <item x="340"/>
        <item x="341"/>
        <item x="302"/>
        <item x="303"/>
        <item x="337"/>
        <item x="5"/>
        <item x="6"/>
        <item x="292"/>
        <item x="293"/>
        <item x="401"/>
        <item x="297"/>
        <item x="295"/>
        <item x="298"/>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61"/>
        <item x="132"/>
        <item x="141"/>
        <item x="133"/>
        <item x="134"/>
        <item x="135"/>
        <item x="136"/>
        <item x="137"/>
        <item x="140"/>
        <item x="139"/>
        <item x="155"/>
        <item x="156"/>
        <item x="189"/>
        <item x="190"/>
        <item x="206"/>
        <item x="200"/>
        <item x="202"/>
        <item x="204"/>
        <item x="194"/>
        <item x="192"/>
        <item x="191"/>
        <item x="195"/>
        <item x="196"/>
        <item x="197"/>
        <item x="198"/>
        <item x="199"/>
        <item x="201"/>
        <item x="205"/>
        <item x="203"/>
        <item x="207"/>
        <item x="222"/>
        <item x="220"/>
        <item x="218"/>
        <item x="214"/>
        <item x="208"/>
        <item x="216"/>
        <item x="209"/>
        <item x="210"/>
        <item x="211"/>
        <item x="212"/>
        <item x="213"/>
        <item x="215"/>
        <item x="217"/>
        <item x="219"/>
        <item x="221"/>
        <item x="223"/>
        <item x="193"/>
        <item x="160"/>
        <item x="161"/>
        <item x="162"/>
        <item x="163"/>
        <item x="164"/>
        <item x="165"/>
        <item x="166"/>
        <item x="167"/>
        <item x="168"/>
        <item x="169"/>
        <item x="170"/>
        <item x="171"/>
        <item x="174"/>
        <item x="175"/>
        <item x="176"/>
        <item x="177"/>
        <item x="178"/>
        <item x="188"/>
        <item x="304"/>
        <item x="305"/>
        <item x="306"/>
        <item x="307"/>
        <item x="308"/>
        <item x="309"/>
        <item x="310"/>
        <item x="311"/>
        <item x="312"/>
        <item x="313"/>
        <item x="314"/>
        <item x="315"/>
        <item x="316"/>
        <item x="317"/>
        <item x="318"/>
        <item x="319"/>
        <item x="320"/>
        <item x="321"/>
        <item x="322"/>
        <item x="323"/>
        <item x="326"/>
        <item x="328"/>
        <item x="342"/>
        <item x="343"/>
        <item x="346"/>
        <item x="348"/>
        <item x="344"/>
        <item x="345"/>
        <item x="363"/>
        <item x="365"/>
        <item x="349"/>
        <item x="350"/>
        <item x="351"/>
        <item x="352"/>
        <item x="353"/>
        <item x="354"/>
        <item x="355"/>
        <item x="356"/>
        <item x="357"/>
        <item x="358"/>
        <item x="371"/>
        <item x="372"/>
        <item x="375"/>
        <item x="347"/>
        <item x="377"/>
        <item x="378"/>
        <item x="379"/>
        <item x="373"/>
        <item x="374"/>
        <item x="380"/>
        <item x="381"/>
        <item x="376"/>
        <item x="396"/>
        <item x="397"/>
        <item x="63"/>
        <item x="66"/>
        <item x="69"/>
        <item x="70"/>
        <item x="71"/>
        <item x="65"/>
        <item x="64"/>
        <item x="91"/>
        <item x="99"/>
        <item x="100"/>
        <item x="86"/>
        <item x="87"/>
        <item x="88"/>
        <item x="89"/>
        <item x="90"/>
        <item x="93"/>
        <item x="92"/>
        <item x="98"/>
        <item x="101"/>
        <item x="102"/>
        <item x="104"/>
        <item x="103"/>
        <item x="105"/>
        <item x="106"/>
        <item x="107"/>
        <item x="115"/>
        <item x="116"/>
        <item x="119"/>
        <item x="120"/>
        <item x="121"/>
        <item x="122"/>
        <item x="128"/>
        <item x="127"/>
        <item x="126"/>
        <item x="239"/>
        <item x="247"/>
        <item x="245"/>
        <item x="248"/>
        <item x="244"/>
        <item x="251"/>
        <item x="259"/>
        <item x="252"/>
        <item x="260"/>
        <item x="243"/>
        <item x="642"/>
        <item x="644"/>
        <item x="645"/>
        <item x="646"/>
        <item x="647"/>
        <item x="651"/>
        <item x="648"/>
        <item x="649"/>
        <item x="650"/>
        <item x="652"/>
        <item x="653"/>
        <item x="654"/>
        <item x="655"/>
        <item x="643"/>
        <item x="660"/>
        <item x="795"/>
        <item x="661"/>
        <item x="662"/>
        <item x="663"/>
        <item x="664"/>
        <item x="665"/>
        <item x="666"/>
        <item x="796"/>
        <item x="797"/>
        <item x="798"/>
        <item x="799"/>
        <item x="800"/>
        <item x="801"/>
        <item x="802"/>
        <item x="803"/>
        <item x="804"/>
        <item x="827"/>
        <item x="668"/>
        <item x="669"/>
        <item x="670"/>
        <item x="671"/>
        <item x="805"/>
        <item x="806"/>
        <item x="828"/>
        <item x="807"/>
        <item x="808"/>
        <item x="809"/>
        <item x="667"/>
        <item x="810"/>
        <item x="811"/>
        <item x="812"/>
        <item x="794"/>
        <item x="813"/>
        <item x="814"/>
        <item x="753"/>
        <item x="754"/>
        <item x="815"/>
        <item x="816"/>
        <item x="817"/>
        <item x="818"/>
        <item x="819"/>
        <item x="820"/>
        <item x="826"/>
        <item x="821"/>
        <item x="822"/>
        <item x="823"/>
        <item x="672"/>
        <item x="724"/>
        <item x="727"/>
        <item x="728"/>
        <item x="729"/>
        <item x="730"/>
        <item x="731"/>
        <item x="735"/>
        <item x="732"/>
        <item x="736"/>
        <item x="733"/>
        <item x="734"/>
        <item x="737"/>
        <item x="673"/>
        <item x="738"/>
        <item x="739"/>
        <item x="740"/>
        <item x="741"/>
        <item x="743"/>
        <item x="744"/>
        <item x="703"/>
        <item x="745"/>
        <item x="746"/>
        <item x="748"/>
        <item x="747"/>
        <item x="679"/>
        <item x="709"/>
        <item x="704"/>
        <item x="705"/>
        <item x="706"/>
        <item x="707"/>
        <item x="711"/>
        <item x="708"/>
        <item x="676"/>
        <item x="678"/>
        <item x="675"/>
        <item x="674"/>
        <item x="677"/>
        <item x="742"/>
        <item x="725"/>
        <item x="726"/>
        <item x="712"/>
        <item x="717"/>
        <item x="718"/>
        <item x="719"/>
        <item x="720"/>
        <item x="749"/>
        <item x="755"/>
        <item x="759"/>
        <item x="760"/>
        <item x="761"/>
        <item x="762"/>
        <item x="763"/>
        <item x="764"/>
        <item x="765"/>
        <item x="766"/>
        <item x="767"/>
        <item x="768"/>
        <item x="769"/>
        <item x="770"/>
        <item x="771"/>
        <item x="772"/>
        <item x="773"/>
        <item x="774"/>
        <item x="775"/>
        <item x="776"/>
        <item x="756"/>
        <item x="757"/>
        <item x="758"/>
        <item x="784"/>
        <item x="783"/>
        <item x="786"/>
        <item x="785"/>
        <item x="788"/>
        <item x="789"/>
        <item x="787"/>
        <item x="790"/>
        <item x="791"/>
        <item x="792"/>
        <item x="793"/>
        <item x="830"/>
        <item x="831"/>
        <item x="832"/>
        <item x="833"/>
        <item x="834"/>
        <item x="835"/>
        <item x="837"/>
        <item x="838"/>
        <item x="842"/>
        <item x="843"/>
        <item x="846"/>
        <item x="847"/>
        <item x="908"/>
        <item x="848"/>
        <item x="849"/>
        <item x="854"/>
        <item x="855"/>
        <item x="852"/>
        <item x="885"/>
        <item x="886"/>
        <item x="887"/>
        <item x="858"/>
        <item x="888"/>
        <item x="859"/>
        <item x="911"/>
        <item x="861"/>
        <item x="860"/>
        <item x="875"/>
        <item x="870"/>
        <item x="879"/>
        <item x="891"/>
        <item x="898"/>
        <item x="899"/>
        <item x="900"/>
        <item x="901"/>
        <item x="919"/>
        <item x="902"/>
        <item x="896"/>
        <item x="892"/>
        <item x="893"/>
        <item x="894"/>
        <item x="903"/>
        <item x="909"/>
        <item x="912"/>
        <item x="923"/>
        <item x="928"/>
        <item x="920"/>
        <item x="930"/>
        <item x="933"/>
        <item x="938"/>
        <item x="941"/>
        <item x="922"/>
        <item x="872"/>
        <item x="867"/>
        <item x="868"/>
        <item x="927"/>
        <item x="929"/>
        <item x="932"/>
        <item x="913"/>
        <item x="917"/>
        <item x="946"/>
        <item x="948"/>
        <item x="949"/>
        <item x="956"/>
        <item x="955"/>
        <item x="957"/>
        <item x="958"/>
        <item x="960"/>
        <item x="961"/>
        <item x="971"/>
        <item x="947"/>
        <item x="973"/>
        <item x="954"/>
        <item x="970"/>
        <item x="972"/>
        <item x="942"/>
        <item x="943"/>
        <item x="944"/>
        <item x="945"/>
        <item x="975"/>
        <item x="977"/>
        <item x="976"/>
        <item x="979"/>
        <item x="984"/>
        <item x="985"/>
        <item x="986"/>
        <item x="939"/>
        <item x="940"/>
        <item x="1410"/>
        <item x="1411"/>
        <item x="987"/>
        <item x="988"/>
        <item x="997"/>
        <item x="1400"/>
        <item x="1405"/>
        <item x="140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350"/>
        <item x="1351"/>
        <item x="1391"/>
        <item x="1392"/>
        <item x="1393"/>
        <item x="1352"/>
        <item x="1353"/>
        <item x="1354"/>
        <item x="1355"/>
        <item x="1389"/>
        <item x="1358"/>
        <item x="1390"/>
        <item x="1397"/>
        <item x="1359"/>
        <item x="1360"/>
        <item x="1361"/>
        <item x="1362"/>
        <item x="1363"/>
        <item x="1364"/>
        <item x="1366"/>
        <item x="1367"/>
        <item x="1368"/>
        <item x="1373"/>
        <item x="1370"/>
        <item x="1374"/>
        <item x="1371"/>
        <item x="1375"/>
        <item x="1376"/>
        <item x="1377"/>
        <item x="1378"/>
        <item x="1379"/>
        <item x="1386"/>
        <item x="1387"/>
        <item x="1294"/>
        <item x="1325"/>
        <item x="1303"/>
        <item x="1305"/>
        <item x="1304"/>
        <item x="1307"/>
        <item x="1306"/>
        <item x="1314"/>
        <item x="1313"/>
        <item x="1308"/>
        <item x="1309"/>
        <item x="1312"/>
        <item x="1315"/>
        <item x="1295"/>
        <item x="1296"/>
        <item x="1297"/>
        <item x="1298"/>
        <item x="1299"/>
        <item x="1300"/>
        <item x="1321"/>
        <item x="1320"/>
        <item x="1324"/>
        <item x="1323"/>
        <item x="1319"/>
        <item x="1318"/>
        <item x="1326"/>
        <item x="1327"/>
        <item x="1328"/>
        <item x="1329"/>
        <item x="1330"/>
        <item x="1331"/>
        <item x="1332"/>
        <item x="1341"/>
        <item x="1342"/>
        <item x="1343"/>
        <item x="1344"/>
        <item x="1345"/>
        <item x="1346"/>
        <item x="1347"/>
        <item x="1348"/>
        <item x="1160"/>
        <item x="1161"/>
        <item x="1162"/>
        <item x="1163"/>
        <item x="1164"/>
        <item x="1210"/>
        <item x="1211"/>
        <item x="1212"/>
        <item x="1213"/>
        <item x="1214"/>
        <item x="1218"/>
        <item x="1257"/>
        <item x="1259"/>
        <item x="1260"/>
        <item x="1261"/>
        <item x="1166"/>
        <item x="1167"/>
        <item x="1168"/>
        <item x="1169"/>
        <item x="1170"/>
        <item x="1171"/>
        <item x="1183"/>
        <item x="1284"/>
        <item x="1285"/>
        <item x="1286"/>
        <item x="1287"/>
        <item x="1288"/>
        <item x="1219"/>
        <item x="1220"/>
        <item x="1230"/>
        <item x="1231"/>
        <item x="1232"/>
        <item x="1234"/>
        <item x="1235"/>
        <item x="1237"/>
        <item x="1238"/>
        <item x="1239"/>
        <item x="1240"/>
        <item x="1241"/>
        <item x="1221"/>
        <item x="1246"/>
        <item x="1250"/>
        <item x="1222"/>
        <item x="1223"/>
        <item x="1224"/>
        <item x="1229"/>
        <item x="1252"/>
        <item x="1184"/>
        <item x="1185"/>
        <item x="1186"/>
        <item x="1187"/>
        <item x="1188"/>
        <item x="1199"/>
        <item x="1273"/>
        <item x="1274"/>
        <item x="1275"/>
        <item x="1276"/>
        <item x="1277"/>
        <item x="1278"/>
        <item x="1283"/>
        <item x="1267"/>
        <item x="1271"/>
        <item x="1268"/>
        <item x="1269"/>
        <item x="1270"/>
        <item x="1262"/>
        <item x="1263"/>
        <item x="1264"/>
        <item x="1265"/>
        <item x="1266"/>
        <item x="1057"/>
        <item x="1058"/>
        <item x="1059"/>
        <item x="1060"/>
        <item x="1041"/>
        <item x="1042"/>
        <item x="1043"/>
        <item x="1044"/>
        <item x="1045"/>
        <item x="1052"/>
        <item x="1053"/>
        <item x="1054"/>
        <item x="1063"/>
        <item x="1064"/>
        <item x="1069"/>
        <item x="1098"/>
        <item x="1099"/>
        <item x="1100"/>
        <item x="1101"/>
        <item x="1102"/>
        <item x="1070"/>
        <item x="1071"/>
        <item x="1072"/>
        <item x="1073"/>
        <item x="1065"/>
        <item x="1074"/>
        <item x="1075"/>
        <item x="1076"/>
        <item x="1082"/>
        <item x="1083"/>
        <item x="1086"/>
        <item x="1088"/>
        <item x="1090"/>
        <item x="1092"/>
        <item x="1066"/>
        <item x="1084"/>
        <item x="1085"/>
        <item x="1087"/>
        <item x="1091"/>
        <item x="1094"/>
        <item x="1081"/>
        <item x="1067"/>
        <item x="1068"/>
        <item x="1122"/>
        <item x="1123"/>
        <item x="1124"/>
        <item x="1125"/>
        <item x="1126"/>
        <item x="1127"/>
        <item x="1109"/>
        <item x="1110"/>
        <item x="1111"/>
        <item x="1112"/>
        <item x="1113"/>
        <item x="1114"/>
        <item x="1115"/>
        <item x="1116"/>
        <item x="1121"/>
        <item x="1128"/>
        <item x="1129"/>
        <item x="1130"/>
        <item x="1131"/>
        <item x="1132"/>
        <item x="1133"/>
        <item x="1134"/>
        <item x="1135"/>
        <item x="1136"/>
        <item x="989"/>
        <item x="990"/>
        <item x="991"/>
        <item x="992"/>
        <item x="993"/>
        <item x="995"/>
        <item x="996"/>
        <item x="1564"/>
        <item x="1565"/>
        <item x="1566"/>
        <item x="1568"/>
        <item x="1569"/>
        <item x="1570"/>
        <item x="1413"/>
        <item x="1414"/>
        <item x="1415"/>
        <item x="1416"/>
        <item x="1571"/>
        <item x="1567"/>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647"/>
        <item x="1649"/>
        <item x="1651"/>
        <item x="1650"/>
        <item x="1661"/>
        <item x="1652"/>
        <item x="1653"/>
        <item x="1666"/>
        <item x="1667"/>
        <item x="1654"/>
        <item x="1648"/>
        <item x="1656"/>
        <item x="1657"/>
        <item x="1658"/>
        <item x="1659"/>
        <item x="1660"/>
        <item x="1547"/>
        <item x="1555"/>
        <item x="1556"/>
        <item x="1548"/>
        <item x="1550"/>
        <item x="1554"/>
        <item x="1551"/>
        <item x="1553"/>
        <item x="1552"/>
        <item x="1549"/>
        <item x="1563"/>
        <item x="1559"/>
        <item x="1560"/>
        <item x="1561"/>
        <item x="1562"/>
        <item x="1496"/>
        <item x="1497"/>
        <item x="1498"/>
        <item x="1499"/>
        <item x="1500"/>
        <item x="1501"/>
        <item x="1502"/>
        <item x="1503"/>
        <item x="1504"/>
        <item x="1505"/>
        <item x="1506"/>
        <item x="1507"/>
        <item x="1508"/>
        <item x="1509"/>
        <item x="1510"/>
        <item x="1514"/>
        <item x="1520"/>
        <item x="1521"/>
        <item x="1522"/>
        <item x="1523"/>
        <item x="1524"/>
        <item x="1525"/>
        <item x="1526"/>
        <item x="1531"/>
        <item x="1527"/>
        <item x="1528"/>
        <item x="1529"/>
        <item x="1530"/>
        <item x="1532"/>
        <item x="1533"/>
        <item x="1534"/>
        <item x="1535"/>
        <item x="1536"/>
        <item x="1537"/>
        <item x="1538"/>
        <item x="1539"/>
        <item x="1540"/>
        <item x="1541"/>
        <item x="1542"/>
        <item x="1543"/>
        <item x="1544"/>
        <item x="1545"/>
        <item x="1546"/>
        <item x="1417"/>
        <item x="1419"/>
        <item x="1422"/>
        <item x="1423"/>
        <item x="1424"/>
        <item x="1425"/>
        <item x="1426"/>
        <item x="1427"/>
        <item x="1428"/>
        <item x="1430"/>
        <item x="1431"/>
        <item x="1432"/>
        <item x="1420"/>
        <item x="1421"/>
        <item x="1418"/>
        <item x="1434"/>
        <item x="1435"/>
        <item x="1610"/>
        <item x="1612"/>
        <item x="1614"/>
        <item x="1613"/>
        <item x="1611"/>
        <item x="1615"/>
        <item x="1624"/>
        <item x="1625"/>
        <item x="1626"/>
        <item x="1627"/>
        <item x="1628"/>
        <item x="1629"/>
        <item x="1630"/>
        <item x="1635"/>
        <item x="1636"/>
        <item x="1631"/>
        <item x="1642"/>
        <item x="1644"/>
        <item x="1645"/>
        <item x="1646"/>
        <item x="1485"/>
        <item x="1487"/>
        <item x="1488"/>
        <item x="1489"/>
        <item x="1486"/>
        <item x="1597"/>
        <item x="1599"/>
        <item x="1603"/>
        <item x="1600"/>
        <item x="1601"/>
        <item x="1598"/>
        <item x="1604"/>
        <item x="1476"/>
        <item x="1478"/>
        <item x="1479"/>
        <item x="1480"/>
        <item x="1477"/>
        <item x="1481"/>
        <item x="1490"/>
        <item x="1492"/>
        <item x="1493"/>
        <item x="1494"/>
        <item x="1491"/>
        <item x="1495"/>
        <item x="1575"/>
        <item x="1577"/>
        <item x="1593"/>
        <item x="1578"/>
        <item x="1579"/>
        <item x="1580"/>
        <item x="1581"/>
        <item x="1582"/>
        <item x="1594"/>
        <item x="1576"/>
        <item x="1055"/>
        <item x="384"/>
        <item x="385"/>
        <item x="387"/>
        <item x="1215"/>
        <item x="1173"/>
        <item x="382"/>
        <item x="1189"/>
        <item x="1172"/>
        <item x="186"/>
        <item x="369"/>
        <item x="367"/>
        <item x="449"/>
        <item x="452"/>
        <item x="1621"/>
        <item x="541"/>
        <item x="1207"/>
        <item x="1623"/>
        <item x="551"/>
        <item x="1590"/>
        <item x="553"/>
        <item x="1592"/>
        <item x="1609"/>
        <item x="1217"/>
        <item x="393"/>
        <item x="1607"/>
        <item x="335"/>
        <item x="1195"/>
        <item x="1588"/>
        <item x="1483"/>
        <item x="1618"/>
        <item x="185"/>
        <item x="368"/>
        <item x="366"/>
        <item x="448"/>
        <item x="451"/>
        <item x="1620"/>
        <item x="540"/>
        <item x="1206"/>
        <item x="1622"/>
        <item x="550"/>
        <item x="1589"/>
        <item x="552"/>
        <item x="1591"/>
        <item x="1608"/>
        <item x="1216"/>
        <item x="392"/>
        <item x="1606"/>
        <item x="1194"/>
        <item x="1587"/>
        <item x="1482"/>
        <item x="1617"/>
        <item x="1280"/>
        <item x="1227"/>
        <item x="1174"/>
        <item x="1178"/>
        <item x="1292"/>
        <item x="1572"/>
        <item x="72"/>
        <item x="81"/>
        <item x="73"/>
        <item x="74"/>
        <item x="83"/>
        <item x="84"/>
        <item x="85"/>
        <item x="82"/>
        <item x="398"/>
        <item x="1398"/>
        <item x="1399"/>
        <item x="1401"/>
        <item x="264"/>
        <item x="1668"/>
        <item x="280"/>
        <item x="263"/>
        <item x="283"/>
        <item x="271"/>
        <item x="289"/>
        <item x="279"/>
        <item x="282"/>
        <item x="288"/>
        <item x="333"/>
        <item x="334"/>
        <item x="1281"/>
        <item x="1228"/>
        <item x="1079"/>
        <item x="1643"/>
        <item x="1080"/>
        <item x="549"/>
        <item x="554"/>
        <item x="601"/>
        <item x="284"/>
        <item x="184"/>
        <item x="1175"/>
        <item x="1096"/>
        <item x="240"/>
        <item x="96"/>
        <item x="125"/>
        <item x="446"/>
        <item x="123"/>
        <item x="95"/>
        <item x="1225"/>
        <item x="1243"/>
        <item x="714"/>
        <item x="1574"/>
        <item x="1573"/>
        <item x="1664"/>
        <item x="386"/>
        <item x="1208"/>
        <item x="603"/>
        <item x="383"/>
        <item x="1512"/>
        <item x="1511"/>
        <item x="602"/>
        <item x="1209"/>
        <item m="1" x="1672"/>
        <item x="597"/>
        <item x="595"/>
        <item x="596"/>
        <item x="598"/>
        <item x="273"/>
        <item x="399"/>
        <item x="80"/>
        <item x="1433"/>
        <item x="224"/>
        <item x="487"/>
        <item x="145"/>
        <item x="864"/>
        <item x="865"/>
        <item x="904"/>
        <item x="950"/>
        <item x="964"/>
        <item x="1118"/>
        <item x="1119"/>
        <item x="1141"/>
        <item x="1258"/>
        <item x="151"/>
        <item x="152"/>
        <item x="824"/>
        <item x="1165"/>
        <item x="1396"/>
      </items>
    </pivotField>
    <pivotField axis="axisRow" compact="0" outline="0" showAll="0">
      <items count="1625">
        <item x="179"/>
        <item x="630"/>
        <item x="632"/>
        <item x="971"/>
        <item x="397"/>
        <item x="398"/>
        <item x="197"/>
        <item x="370"/>
        <item x="194"/>
        <item x="342"/>
        <item x="508"/>
        <item x="371"/>
        <item x="419"/>
        <item x="322"/>
        <item x="1309"/>
        <item x="1310"/>
        <item x="614"/>
        <item x="817"/>
        <item x="899"/>
        <item x="82"/>
        <item x="83"/>
        <item x="84"/>
        <item x="85"/>
        <item x="73"/>
        <item x="74"/>
        <item x="944"/>
        <item x="1363"/>
        <item x="1316"/>
        <item x="1542"/>
        <item x="1543"/>
        <item x="945"/>
        <item x="835"/>
        <item x="858"/>
        <item x="875"/>
        <item x="929"/>
        <item x="936"/>
        <item x="951"/>
        <item x="841"/>
        <item x="855"/>
        <item x="985"/>
        <item x="1004"/>
        <item x="720"/>
        <item x="269"/>
        <item x="1383"/>
        <item x="1427"/>
        <item x="1008"/>
        <item x="1420"/>
        <item x="1426"/>
        <item x="993"/>
        <item x="997"/>
        <item x="44"/>
        <item x="972"/>
        <item x="741"/>
        <item x="806"/>
        <item x="48"/>
        <item x="1423"/>
        <item x="1103"/>
        <item x="69"/>
        <item x="70"/>
        <item x="71"/>
        <item x="1280"/>
        <item x="86"/>
        <item x="87"/>
        <item x="88"/>
        <item x="90"/>
        <item x="93"/>
        <item x="89"/>
        <item x="91"/>
        <item x="99"/>
        <item x="100"/>
        <item x="301"/>
        <item x="305"/>
        <item x="309"/>
        <item x="310"/>
        <item x="306"/>
        <item x="307"/>
        <item x="308"/>
        <item x="323"/>
        <item x="318"/>
        <item x="319"/>
        <item x="313"/>
        <item x="316"/>
        <item x="314"/>
        <item x="315"/>
        <item x="317"/>
        <item x="311"/>
        <item x="312"/>
        <item x="321"/>
        <item x="66"/>
        <item x="1062"/>
        <item x="1051"/>
        <item x="1053"/>
        <item x="1052"/>
        <item x="1234"/>
        <item x="1236"/>
        <item x="1235"/>
        <item x="1233"/>
        <item x="588"/>
        <item x="589"/>
        <item x="598"/>
        <item x="591"/>
        <item x="596"/>
        <item x="595"/>
        <item x="592"/>
        <item x="594"/>
        <item x="597"/>
        <item x="593"/>
        <item x="1367"/>
        <item x="1500"/>
        <item x="1255"/>
        <item x="1257"/>
        <item x="1256"/>
        <item x="1254"/>
        <item x="129"/>
        <item x="153"/>
        <item x="72"/>
        <item x="391"/>
        <item x="157"/>
        <item x="270"/>
        <item m="1" x="1620"/>
        <item x="1171"/>
        <item x="282"/>
        <item x="853"/>
        <item x="1595"/>
        <item x="92"/>
        <item x="300"/>
        <item x="1050"/>
        <item x="1232"/>
        <item x="587"/>
        <item x="1253"/>
        <item x="1518"/>
        <item x="1577"/>
        <item x="1308"/>
        <item x="804"/>
        <item x="1484"/>
        <item x="389"/>
        <item x="1528"/>
        <item x="1492"/>
        <item x="702"/>
        <item x="620"/>
        <item x="1160"/>
        <item x="328"/>
        <item x="424"/>
        <item x="1445"/>
        <item x="1018"/>
        <item x="1063"/>
        <item x="1396"/>
        <item x="1565"/>
        <item x="689"/>
        <item x="638"/>
        <item x="1384"/>
        <item x="1401"/>
        <item x="1182"/>
        <item x="447"/>
        <item x="478"/>
        <item x="1189"/>
        <item x="1137"/>
        <item x="931"/>
        <item x="808"/>
        <item x="1142"/>
        <item x="837"/>
        <item x="836"/>
        <item x="541"/>
        <item x="1227"/>
        <item x="934"/>
        <item x="1608"/>
        <item x="1602"/>
        <item x="1600"/>
        <item x="1605"/>
        <item x="1617"/>
        <item x="599"/>
        <item x="529"/>
        <item x="536"/>
        <item x="1480"/>
        <item x="1046"/>
        <item x="1047"/>
        <item x="1562"/>
        <item x="1556"/>
        <item x="221"/>
        <item x="219"/>
        <item x="217"/>
        <item x="213"/>
        <item x="207"/>
        <item x="215"/>
        <item x="205"/>
        <item x="199"/>
        <item x="201"/>
        <item x="203"/>
        <item x="193"/>
        <item x="132"/>
        <item x="1550"/>
        <item x="1548"/>
        <item x="1546"/>
        <item x="361"/>
        <item x="330"/>
        <item x="439"/>
        <item x="184"/>
        <item x="385"/>
        <item x="1572"/>
        <item x="442"/>
        <item x="1575"/>
        <item x="1442"/>
        <item x="1197"/>
        <item x="1552"/>
        <item x="1534"/>
        <item x="1317"/>
        <item x="1372"/>
        <item x="1487"/>
        <item x="1353"/>
        <item x="1342"/>
        <item x="1340"/>
        <item x="1326"/>
        <item x="1337"/>
        <item x="1325"/>
        <item x="1356"/>
        <item x="1344"/>
        <item x="1368"/>
        <item x="1034"/>
        <item x="964"/>
        <item x="975"/>
        <item x="259"/>
        <item x="131"/>
        <item x="275"/>
        <item x="891"/>
        <item x="886"/>
        <item x="681"/>
        <item x="0"/>
        <item x="1580"/>
        <item x="332"/>
        <item x="1"/>
        <item x="7"/>
        <item x="811"/>
        <item x="812"/>
        <item x="815"/>
        <item x="621"/>
        <item x="1237"/>
        <item x="243"/>
        <item x="1029"/>
        <item x="1243"/>
        <item x="1086"/>
        <item x="1091"/>
        <item x="364"/>
        <item x="528"/>
        <item x="159"/>
        <item x="188"/>
        <item x="490"/>
        <item x="337"/>
        <item x="515"/>
        <item x="173"/>
        <item x="733"/>
        <item x="1293"/>
        <item x="1112"/>
        <item x="573"/>
        <item x="249"/>
        <item x="826"/>
        <item x="832"/>
        <item x="824"/>
        <item x="1588"/>
        <item x="947"/>
        <item x="949"/>
        <item x="1456"/>
        <item x="1619"/>
        <item x="1523"/>
        <item x="1380"/>
        <item x="1403"/>
        <item x="267"/>
        <item x="278"/>
        <item x="895"/>
        <item x="889"/>
        <item x="651"/>
        <item x="863"/>
        <item x="865"/>
        <item x="848"/>
        <item x="238"/>
        <item x="870"/>
        <item x="876"/>
        <item x="869"/>
        <item x="772"/>
        <item x="650"/>
        <item x="1290"/>
        <item x="1285"/>
        <item x="1287"/>
        <item x="1263"/>
        <item x="1272"/>
        <item x="284"/>
        <item x="1450"/>
        <item x="1174"/>
        <item x="1436"/>
        <item x="1582"/>
        <item x="1069"/>
        <item x="925"/>
        <item x="924"/>
        <item x="63"/>
        <item x="920"/>
        <item x="917"/>
        <item x="952"/>
        <item x="809"/>
        <item x="810"/>
        <item x="1261"/>
        <item x="1531"/>
        <item x="1150"/>
        <item x="378"/>
        <item x="1032"/>
        <item x="1187"/>
        <item x="1165"/>
        <item x="375"/>
        <item x="1148"/>
        <item x="1058"/>
        <item x="937"/>
        <item x="1040"/>
        <item x="1377"/>
        <item x="900"/>
        <item x="905"/>
        <item x="907"/>
        <item x="910"/>
        <item x="538"/>
        <item x="1578"/>
        <item x="297"/>
        <item x="395"/>
        <item x="1507"/>
        <item x="1430"/>
        <item x="1409"/>
        <item x="1432"/>
        <item x="1434"/>
        <item x="1433"/>
        <item x="1431"/>
        <item x="1435"/>
        <item x="1522"/>
        <item x="1520"/>
        <item x="1519"/>
        <item x="575"/>
        <item x="897"/>
        <item x="921"/>
        <item x="380"/>
        <item x="377"/>
        <item x="1149"/>
        <item x="1504"/>
        <item x="1393"/>
        <item x="1390"/>
        <item x="1391"/>
        <item x="1399"/>
        <item x="1394"/>
        <item x="1395"/>
        <item x="1398"/>
        <item x="1397"/>
        <item x="1392"/>
        <item x="1389"/>
        <item x="987"/>
        <item x="1005"/>
        <item x="838"/>
        <item x="393"/>
        <item x="1136"/>
        <item x="1115"/>
        <item x="670"/>
        <item x="669"/>
        <item x="1206"/>
        <item x="1332"/>
        <item x="1203"/>
        <item x="1114"/>
        <item x="1116"/>
        <item x="884"/>
        <item x="603"/>
        <item x="852"/>
        <item x="1152"/>
        <item x="873"/>
        <item x="844"/>
        <item x="894"/>
        <item x="1505"/>
        <item x="887"/>
        <item x="890"/>
        <item x="759"/>
        <item x="1226"/>
        <item x="675"/>
        <item x="1154"/>
        <item x="728"/>
        <item x="1314"/>
        <item x="1313"/>
        <item x="1315"/>
        <item x="1311"/>
        <item x="1312"/>
        <item x="260"/>
        <item x="1486"/>
        <item x="1485"/>
        <item x="777"/>
        <item x="1195"/>
        <item x="390"/>
        <item x="286"/>
        <item x="1374"/>
        <item x="1369"/>
        <item x="287"/>
        <item x="266"/>
        <item x="277"/>
        <item x="268"/>
        <item x="994"/>
        <item x="992"/>
        <item x="1529"/>
        <item x="1323"/>
        <item x="803"/>
        <item x="988"/>
        <item x="1006"/>
        <item x="31"/>
        <item x="29"/>
        <item x="624"/>
        <item x="622"/>
        <item x="626"/>
        <item x="623"/>
        <item x="625"/>
        <item x="629"/>
        <item x="1527"/>
        <item x="1525"/>
        <item x="1524"/>
        <item x="1037"/>
        <item x="1036"/>
        <item x="1496"/>
        <item x="336"/>
        <item x="1493"/>
        <item x="1495"/>
        <item x="1506"/>
        <item x="1026"/>
        <item x="1067"/>
        <item x="1173"/>
        <item x="1162"/>
        <item x="1164"/>
        <item x="1163"/>
        <item x="1161"/>
        <item x="960"/>
        <item x="264"/>
        <item x="959"/>
        <item x="958"/>
        <item x="1425"/>
        <item x="1428"/>
        <item x="995"/>
        <item x="1421"/>
        <item x="996"/>
        <item x="1422"/>
        <item x="280"/>
        <item x="655"/>
        <item x="893"/>
        <item x="981"/>
        <item x="425"/>
        <item x="426"/>
        <item x="427"/>
        <item x="432"/>
        <item x="434"/>
        <item x="435"/>
        <item x="429"/>
        <item x="430"/>
        <item x="431"/>
        <item x="433"/>
        <item x="329"/>
        <item x="989"/>
        <item x="762"/>
        <item x="761"/>
        <item x="1530"/>
        <item x="764"/>
        <item x="763"/>
        <item x="771"/>
        <item x="963"/>
        <item x="766"/>
        <item x="767"/>
        <item x="769"/>
        <item x="765"/>
        <item x="768"/>
        <item x="770"/>
        <item x="611"/>
        <item x="1447"/>
        <item x="1449"/>
        <item x="1382"/>
        <item x="1448"/>
        <item x="374"/>
        <item x="1019"/>
        <item x="1020"/>
        <item x="1022"/>
        <item x="1021"/>
        <item x="366"/>
        <item x="365"/>
        <item x="367"/>
        <item x="576"/>
        <item x="578"/>
        <item x="577"/>
        <item x="1121"/>
        <item x="637"/>
        <item x="805"/>
        <item x="644"/>
        <item x="639"/>
        <item x="642"/>
        <item x="641"/>
        <item x="643"/>
        <item x="640"/>
        <item x="787"/>
        <item x="1597"/>
        <item x="607"/>
        <item x="983"/>
        <item x="990"/>
        <item x="369"/>
        <item x="368"/>
        <item x="372"/>
        <item x="1569"/>
        <item x="1568"/>
        <item x="1567"/>
        <item x="1570"/>
        <item x="982"/>
        <item x="1007"/>
        <item x="695"/>
        <item x="690"/>
        <item x="696"/>
        <item x="1386"/>
        <item x="1388"/>
        <item x="1387"/>
        <item x="1402"/>
        <item x="1151"/>
        <item x="496"/>
        <item x="510"/>
        <item x="509"/>
        <item x="437"/>
        <item x="95"/>
        <item x="122"/>
        <item x="480"/>
        <item x="448"/>
        <item x="449"/>
        <item x="479"/>
        <item x="473"/>
        <item x="1188"/>
        <item x="1184"/>
        <item x="1186"/>
        <item x="1185"/>
        <item x="1183"/>
        <item x="1381"/>
        <item x="465"/>
        <item x="468"/>
        <item x="467"/>
        <item x="483"/>
        <item x="469"/>
        <item x="464"/>
        <item x="450"/>
        <item x="461"/>
        <item x="462"/>
        <item x="463"/>
        <item x="489"/>
        <item x="485"/>
        <item x="456"/>
        <item x="486"/>
        <item x="487"/>
        <item x="455"/>
        <item x="460"/>
        <item x="459"/>
        <item x="484"/>
        <item x="458"/>
        <item x="452"/>
        <item x="482"/>
        <item x="454"/>
        <item x="488"/>
        <item x="457"/>
        <item x="451"/>
        <item x="453"/>
        <item x="955"/>
        <item x="1365"/>
        <item x="1366"/>
        <item x="1502"/>
        <item x="1199"/>
        <item x="1526"/>
        <item x="1222"/>
        <item x="1497"/>
        <item x="1191"/>
        <item x="1193"/>
        <item x="1192"/>
        <item x="1190"/>
        <item x="1414"/>
        <item x="856"/>
        <item x="834"/>
        <item x="930"/>
        <item x="943"/>
        <item x="831"/>
        <item x="819"/>
        <item x="868"/>
        <item x="840"/>
        <item x="914"/>
        <item x="913"/>
        <item x="912"/>
        <item x="613"/>
        <item x="1080"/>
        <item x="296"/>
        <item x="609"/>
        <item x="77"/>
        <item x="616"/>
        <item x="1212"/>
        <item x="1271"/>
        <item x="610"/>
        <item x="265"/>
        <item x="476"/>
        <item x="477"/>
        <item x="1350"/>
        <item x="957"/>
        <item x="147"/>
        <item x="1097"/>
        <item x="54"/>
        <item x="62"/>
        <item x="53"/>
        <item x="758"/>
        <item x="1361"/>
        <item x="1302"/>
        <item x="1301"/>
        <item x="662"/>
        <item x="229"/>
        <item x="232"/>
        <item x="292"/>
        <item x="235"/>
        <item x="757"/>
        <item x="60"/>
        <item x="51"/>
        <item x="636"/>
        <item x="1139"/>
        <item x="1141"/>
        <item x="1140"/>
        <item x="1138"/>
        <item x="933"/>
        <item x="932"/>
        <item x="1269"/>
        <item x="896"/>
        <item x="854"/>
        <item x="883"/>
        <item x="859"/>
        <item x="1109"/>
        <item x="1108"/>
        <item x="1159"/>
        <item x="1498"/>
        <item x="1144"/>
        <item x="1146"/>
        <item x="1145"/>
        <item x="1143"/>
        <item x="1419"/>
        <item x="539"/>
        <item x="991"/>
        <item x="973"/>
        <item x="738"/>
        <item x="773"/>
        <item x="718"/>
        <item x="543"/>
        <item x="712"/>
        <item x="1474"/>
        <item x="1214"/>
        <item x="1585"/>
        <item x="1229"/>
        <item x="1501"/>
        <item x="1231"/>
        <item x="1230"/>
        <item x="1410"/>
        <item x="1415"/>
        <item x="400"/>
        <item x="403"/>
        <item x="401"/>
        <item x="404"/>
        <item x="665"/>
        <item x="666"/>
        <item x="526"/>
        <item x="1196"/>
        <item x="1105"/>
        <item x="1106"/>
        <item x="474"/>
        <item x="1068"/>
        <item x="302"/>
        <item x="304"/>
        <item x="303"/>
        <item x="152"/>
        <item x="828"/>
        <item x="691"/>
        <item x="1168"/>
        <item x="1119"/>
        <item x="357"/>
        <item x="534"/>
        <item x="580"/>
        <item x="1279"/>
        <item x="181"/>
        <item x="381"/>
        <item x="1096"/>
        <item x="445"/>
        <item x="1555"/>
        <item x="96"/>
        <item x="851"/>
        <item x="902"/>
        <item x="939"/>
        <item x="612"/>
        <item x="255"/>
        <item x="257"/>
        <item x="1135"/>
        <item x="755"/>
        <item x="617"/>
        <item x="860"/>
        <item x="822"/>
        <item x="915"/>
        <item x="1411"/>
        <item x="1416"/>
        <item x="1260"/>
        <item x="1614"/>
        <item x="1615"/>
        <item x="1616"/>
        <item x="1612"/>
        <item x="1609"/>
        <item x="1610"/>
        <item x="1613"/>
        <item x="1611"/>
        <item x="1604"/>
        <item x="1603"/>
        <item x="1601"/>
        <item x="272"/>
        <item x="600"/>
        <item x="601"/>
        <item x="602"/>
        <item x="416"/>
        <item x="535"/>
        <item x="417"/>
        <item x="537"/>
        <item x="531"/>
        <item x="530"/>
        <item x="174"/>
        <item x="176"/>
        <item x="175"/>
        <item x="1241"/>
        <item x="1481"/>
        <item x="1482"/>
        <item x="1483"/>
        <item x="1099"/>
        <item x="160"/>
        <item x="163"/>
        <item x="165"/>
        <item x="168"/>
        <item x="170"/>
        <item x="164"/>
        <item x="167"/>
        <item x="169"/>
        <item x="162"/>
        <item x="161"/>
        <item x="1412"/>
        <item x="1417"/>
        <item x="1424"/>
        <item x="1078"/>
        <item x="1429"/>
        <item x="1009"/>
        <item x="998"/>
        <item x="779"/>
        <item x="1076"/>
        <item x="1077"/>
        <item x="1075"/>
        <item x="1079"/>
        <item x="967"/>
        <item x="970"/>
        <item x="1003"/>
        <item x="1599"/>
        <item x="684"/>
        <item x="402"/>
        <item x="634"/>
        <item x="663"/>
        <item x="68"/>
        <item x="1300"/>
        <item x="110"/>
        <item x="67"/>
        <item x="55"/>
        <item x="52"/>
        <item x="187"/>
        <item x="1563"/>
        <item x="1558"/>
        <item x="1560"/>
        <item x="1559"/>
        <item x="1413"/>
        <item x="1418"/>
        <item x="189"/>
        <item x="212"/>
        <item x="208"/>
        <item x="210"/>
        <item x="222"/>
        <item x="220"/>
        <item x="218"/>
        <item x="214"/>
        <item x="209"/>
        <item x="216"/>
        <item x="211"/>
        <item x="191"/>
        <item x="198"/>
        <item x="206"/>
        <item x="200"/>
        <item x="202"/>
        <item x="204"/>
        <item x="195"/>
        <item x="196"/>
        <item x="135"/>
        <item x="133"/>
        <item x="134"/>
        <item x="704"/>
        <item x="1551"/>
        <item x="1549"/>
        <item x="1547"/>
        <item x="362"/>
        <item x="440"/>
        <item x="185"/>
        <item x="386"/>
        <item x="1573"/>
        <item x="443"/>
        <item x="1576"/>
        <item x="1443"/>
        <item x="1250"/>
        <item x="1198"/>
        <item x="760"/>
        <item x="1540"/>
        <item x="1539"/>
        <item x="1536"/>
        <item x="1538"/>
        <item x="1537"/>
        <item x="1541"/>
        <item x="1553"/>
        <item x="1499"/>
        <item x="1221"/>
        <item x="1364"/>
        <item x="1319"/>
        <item x="1321"/>
        <item x="1320"/>
        <item x="1318"/>
        <item x="1268"/>
        <item x="1267"/>
        <item x="1373"/>
        <item x="109"/>
        <item x="1491"/>
        <item x="1489"/>
        <item x="1488"/>
        <item x="1354"/>
        <item x="1359"/>
        <item x="1360"/>
        <item x="1343"/>
        <item x="1341"/>
        <item x="1333"/>
        <item x="1338"/>
        <item x="1327"/>
        <item x="1329"/>
        <item x="1335"/>
        <item x="1331"/>
        <item x="1357"/>
        <item x="1346"/>
        <item x="604"/>
        <item x="75"/>
        <item x="1259"/>
        <item x="1473"/>
        <item x="1001"/>
        <item x="1000"/>
        <item x="1011"/>
        <item x="1013"/>
        <item x="1015"/>
        <item x="1014"/>
        <item x="1012"/>
        <item x="1010"/>
        <item x="1035"/>
        <item x="984"/>
        <item x="965"/>
        <item x="999"/>
        <item x="1002"/>
        <item x="16"/>
        <item x="1606"/>
        <item x="27"/>
        <item x="1049"/>
        <item x="713"/>
        <item x="727"/>
        <item x="138"/>
        <item x="43"/>
        <item x="155"/>
        <item x="154"/>
        <item x="276"/>
        <item x="140"/>
        <item x="4"/>
        <item x="3"/>
        <item x="34"/>
        <item x="32"/>
        <item x="1093"/>
        <item x="715"/>
        <item x="726"/>
        <item x="687"/>
        <item x="740"/>
        <item x="986"/>
        <item x="714"/>
        <item x="605"/>
        <item x="606"/>
        <item x="1258"/>
        <item x="1472"/>
        <item x="1471"/>
        <item x="743"/>
        <item x="793"/>
        <item x="745"/>
        <item x="245"/>
        <item x="1041"/>
        <item x="928"/>
        <item x="61"/>
        <item x="6"/>
        <item x="5"/>
        <item x="45"/>
        <item x="49"/>
        <item x="46"/>
        <item x="50"/>
        <item x="1225"/>
        <item x="180"/>
        <item x="511"/>
        <item x="444"/>
        <item x="438"/>
        <item x="1039"/>
        <item x="1167"/>
        <item x="1169"/>
        <item x="1581"/>
        <item x="333"/>
        <item x="30"/>
        <item x="697"/>
        <item x="797"/>
        <item x="798"/>
        <item x="795"/>
        <item x="796"/>
        <item x="801"/>
        <item x="783"/>
        <item x="26"/>
        <item x="39"/>
        <item x="737"/>
        <item x="752"/>
        <item x="788"/>
        <item x="41"/>
        <item x="1060"/>
        <item x="940"/>
        <item x="847"/>
        <item x="813"/>
        <item x="816"/>
        <item x="839"/>
        <item x="654"/>
        <item x="652"/>
        <item x="653"/>
        <item x="491"/>
        <item x="494"/>
        <item x="493"/>
        <item x="495"/>
        <item x="497"/>
        <item x="503"/>
        <item x="498"/>
        <item x="499"/>
        <item x="504"/>
        <item x="500"/>
        <item x="501"/>
        <item x="502"/>
        <item x="492"/>
        <item x="1238"/>
        <item x="1240"/>
        <item x="1239"/>
        <item x="583"/>
        <item x="412"/>
        <item x="413"/>
        <item x="414"/>
        <item x="244"/>
        <item x="392"/>
        <item x="80"/>
        <item x="1400"/>
        <item x="825"/>
        <item x="470"/>
        <item x="471"/>
        <item x="420"/>
        <item x="1362"/>
        <item x="281"/>
        <item x="261"/>
        <item x="263"/>
        <item x="1375"/>
        <item x="262"/>
        <item x="223"/>
        <item x="892"/>
        <item x="240"/>
        <item x="1031"/>
        <item x="1030"/>
        <item x="186"/>
        <item x="1057"/>
        <item x="172"/>
        <item x="674"/>
        <item x="1304"/>
        <item x="117"/>
        <item x="1591"/>
        <item x="231"/>
        <item x="1379"/>
        <item x="56"/>
        <item x="619"/>
        <item x="234"/>
        <item x="1123"/>
        <item x="1218"/>
        <item x="331"/>
        <item x="942"/>
        <item x="814"/>
        <item x="885"/>
        <item x="861"/>
        <item x="888"/>
        <item x="254"/>
        <item x="225"/>
        <item x="256"/>
        <item x="1245"/>
        <item x="1247"/>
        <item x="1246"/>
        <item x="1252"/>
        <item x="1244"/>
        <item x="1248"/>
        <item x="1358"/>
        <item x="97"/>
        <item x="1544"/>
        <item x="1033"/>
        <item x="1090"/>
        <item x="778"/>
        <item x="1089"/>
        <item x="1088"/>
        <item x="1098"/>
        <item x="1087"/>
        <item x="1111"/>
        <item x="969"/>
        <item x="968"/>
        <item x="37"/>
        <item x="38"/>
        <item x="1598"/>
        <item x="683"/>
        <item x="751"/>
        <item x="823"/>
        <item x="953"/>
        <item x="956"/>
        <item x="646"/>
        <item x="647"/>
        <item x="648"/>
        <item x="649"/>
        <item x="1298"/>
        <item x="1294"/>
        <item x="1297"/>
        <item x="1299"/>
        <item x="158"/>
        <item x="1157"/>
        <item m="1" x="1621"/>
        <item x="1172"/>
        <item x="283"/>
        <item x="271"/>
        <item x="274"/>
        <item x="1521"/>
        <item x="1494"/>
        <item x="1113"/>
        <item x="428"/>
        <item x="1446"/>
        <item x="373"/>
        <item x="1566"/>
        <item x="1385"/>
        <item x="472"/>
        <item x="481"/>
        <item x="849"/>
        <item x="145"/>
        <item x="177"/>
        <item x="166"/>
        <item x="1557"/>
        <item x="192"/>
        <item x="136"/>
        <item x="1535"/>
        <item x="1490"/>
        <item x="1470"/>
        <item x="113"/>
        <item x="353"/>
        <item x="1292"/>
        <item x="1451"/>
        <item x="1437"/>
        <item x="524"/>
        <item x="98"/>
        <item x="918"/>
        <item x="590"/>
        <item x="574"/>
        <item x="734"/>
        <item x="736"/>
        <item x="735"/>
        <item x="250"/>
        <item x="388"/>
        <item x="171"/>
        <item x="664"/>
        <item x="659"/>
        <item x="660"/>
        <item x="116"/>
        <item x="1355"/>
        <item x="78"/>
        <item x="149"/>
        <item x="1352"/>
        <item x="295"/>
        <item x="1336"/>
        <item x="1371"/>
        <item x="1072"/>
        <item x="112"/>
        <item x="1126"/>
        <item x="1024"/>
        <item x="1128"/>
        <item x="1082"/>
        <item x="1564"/>
        <item x="143"/>
        <item x="141"/>
        <item x="527"/>
        <item x="130"/>
        <item x="290"/>
        <item x="142"/>
        <item x="384"/>
        <item x="226"/>
        <item x="1016"/>
        <item x="227"/>
        <item x="1017"/>
        <item x="59"/>
        <item x="58"/>
        <item x="383"/>
        <item x="1479"/>
        <item x="79"/>
        <item m="1" x="1622"/>
        <item x="1074"/>
        <item x="1134"/>
        <item x="1122"/>
        <item x="898"/>
        <item x="916"/>
        <item x="827"/>
        <item x="833"/>
        <item x="830"/>
        <item m="1" x="1623"/>
        <item x="355"/>
        <item x="324"/>
        <item x="108"/>
        <item x="1477"/>
        <item x="183"/>
        <item x="1596"/>
        <item x="1213"/>
        <item x="533"/>
        <item x="1056"/>
        <item x="1328"/>
        <item x="1334"/>
        <item x="1330"/>
        <item x="1204"/>
        <item x="1208"/>
        <item x="1201"/>
        <item x="1275"/>
        <item x="1281"/>
        <item x="1273"/>
        <item x="977"/>
        <item x="978"/>
        <item x="979"/>
        <item x="980"/>
        <item x="976"/>
        <item x="1405"/>
        <item x="1406"/>
        <item x="1407"/>
        <item x="1408"/>
        <item x="1404"/>
        <item x="293"/>
        <item x="294"/>
        <item x="291"/>
        <item x="1589"/>
        <item x="1211"/>
        <item x="466"/>
        <item x="1073"/>
        <item x="512"/>
        <item x="1533"/>
        <item x="1503"/>
        <item x="1457"/>
        <item x="1463"/>
        <item x="1460"/>
        <item x="1458"/>
        <item x="1466"/>
        <item x="1465"/>
        <item x="1467"/>
        <item x="1464"/>
        <item x="1459"/>
        <item x="1469"/>
        <item x="1468"/>
        <item x="1461"/>
        <item x="1462"/>
        <item x="505"/>
        <item x="507"/>
        <item x="506"/>
        <item x="628"/>
        <item x="627"/>
        <item x="717"/>
        <item x="961"/>
        <item x="1147"/>
        <item x="1545"/>
        <item x="744"/>
        <item x="794"/>
        <item x="792"/>
        <item x="789"/>
        <item x="746"/>
        <item x="246"/>
        <item x="1042"/>
        <item x="790"/>
        <item x="791"/>
        <item x="475"/>
        <item x="11"/>
        <item x="10"/>
        <item x="9"/>
        <item x="8"/>
        <item x="15"/>
        <item x="14"/>
        <item x="13"/>
        <item x="12"/>
        <item x="22"/>
        <item x="1618"/>
        <item x="28"/>
        <item x="1048"/>
        <item x="710"/>
        <item x="703"/>
        <item x="47"/>
        <item x="279"/>
        <item x="754"/>
        <item x="35"/>
        <item x="33"/>
        <item x="1092"/>
        <item x="707"/>
        <item x="753"/>
        <item x="724"/>
        <item x="657"/>
        <item x="742"/>
        <item x="711"/>
        <item x="514"/>
        <item x="962"/>
        <item x="922"/>
        <item x="273"/>
        <item x="756"/>
        <item x="671"/>
        <item x="677"/>
        <item x="676"/>
        <item x="1590"/>
        <item x="699"/>
        <item x="948"/>
        <item x="935"/>
        <item x="673"/>
        <item x="950"/>
        <item x="938"/>
        <item x="820"/>
        <item x="680"/>
        <item x="359"/>
        <item x="845"/>
        <item x="846"/>
        <item x="864"/>
        <item x="866"/>
        <item x="850"/>
        <item x="694"/>
        <item x="843"/>
        <item x="842"/>
        <item x="1179"/>
        <item x="1584"/>
        <item x="1277"/>
        <item x="1210"/>
        <item x="1205"/>
        <item x="1209"/>
        <item x="1207"/>
        <item x="1202"/>
        <item x="242"/>
        <item x="241"/>
        <item x="334"/>
        <item x="335"/>
        <item x="1200"/>
        <item x="104"/>
        <item x="105"/>
        <item x="347"/>
        <item x="343"/>
        <item x="349"/>
        <item x="350"/>
        <item x="344"/>
        <item x="346"/>
        <item x="341"/>
        <item x="348"/>
        <item x="345"/>
        <item x="351"/>
        <item x="352"/>
        <item x="360"/>
        <item x="338"/>
        <item x="340"/>
        <item x="339"/>
        <item x="358"/>
        <item x="106"/>
        <item x="118"/>
        <item x="114"/>
        <item x="115"/>
        <item x="119"/>
        <item x="120"/>
        <item x="121"/>
        <item x="127"/>
        <item x="125"/>
        <item x="126"/>
        <item x="872"/>
        <item x="871"/>
        <item x="880"/>
        <item x="879"/>
        <item x="878"/>
        <item x="877"/>
        <item x="874"/>
        <item x="881"/>
        <item x="857"/>
        <item x="658"/>
        <item x="667"/>
        <item x="829"/>
        <item x="656"/>
        <item x="721"/>
        <item x="732"/>
        <item x="722"/>
        <item x="723"/>
        <item x="725"/>
        <item x="705"/>
        <item x="774"/>
        <item x="776"/>
        <item x="785"/>
        <item x="775"/>
        <item x="799"/>
        <item x="682"/>
        <item x="731"/>
        <item x="719"/>
        <item x="786"/>
        <item x="800"/>
        <item x="1286"/>
        <item x="1264"/>
        <item x="1291"/>
        <item x="1288"/>
        <item x="1266"/>
        <item x="1265"/>
        <item x="1276"/>
        <item x="1282"/>
        <item x="1274"/>
        <item x="1478"/>
        <item x="1476"/>
        <item x="1219"/>
        <item x="1289"/>
        <item x="94"/>
        <item x="441"/>
        <item x="107"/>
        <item x="387"/>
        <item x="1574"/>
        <item x="818"/>
        <item x="1215"/>
        <item x="1133"/>
        <item x="1220"/>
        <item x="252"/>
        <item x="572"/>
        <item x="436"/>
        <item x="1306"/>
        <item x="327"/>
        <item x="1339"/>
        <item x="1284"/>
        <item x="326"/>
        <item x="236"/>
        <item x="545"/>
        <item x="540"/>
        <item x="356"/>
        <item x="862"/>
        <item x="909"/>
        <item x="904"/>
        <item x="247"/>
        <item x="285"/>
        <item x="685"/>
        <item x="686"/>
        <item x="867"/>
        <item x="1131"/>
        <item x="1452"/>
        <item x="1454"/>
        <item x="1453"/>
        <item x="1455"/>
        <item x="1176"/>
        <item x="1178"/>
        <item x="1177"/>
        <item x="1175"/>
        <item x="747"/>
        <item x="750"/>
        <item x="749"/>
        <item x="748"/>
        <item x="1025"/>
        <item x="692"/>
        <item x="1438"/>
        <item x="1440"/>
        <item x="1439"/>
        <item x="1441"/>
        <item x="582"/>
        <item x="1583"/>
        <item x="1345"/>
        <item x="1100"/>
        <item x="1101"/>
        <item x="1102"/>
        <item x="1347"/>
        <item x="1586"/>
        <item x="1118"/>
        <item x="1370"/>
        <item x="230"/>
        <item x="1083"/>
        <item x="1084"/>
        <item x="1064"/>
        <item x="1065"/>
        <item x="516"/>
        <item x="518"/>
        <item x="517"/>
        <item x="525"/>
        <item x="1045"/>
        <item x="519"/>
        <item x="520"/>
        <item x="521"/>
        <item x="523"/>
        <item x="522"/>
        <item x="1216"/>
        <item x="926"/>
        <item x="927"/>
        <item x="1081"/>
        <item x="1307"/>
        <item x="688"/>
        <item x="1516"/>
        <item x="1517"/>
        <item x="1594"/>
        <item x="668"/>
        <item x="1349"/>
        <item x="672"/>
        <item x="1085"/>
        <item x="1027"/>
        <item x="700"/>
        <item x="1217"/>
        <item x="1125"/>
        <item x="513"/>
        <item x="233"/>
        <item x="1055"/>
        <item x="1054"/>
        <item x="1117"/>
        <item x="586"/>
        <item x="1181"/>
        <item x="2"/>
        <item x="64"/>
        <item x="679"/>
        <item x="678"/>
        <item x="76"/>
        <item x="148"/>
        <item x="1158"/>
        <item x="615"/>
        <item x="128"/>
        <item x="730"/>
        <item x="1124"/>
        <item x="1283"/>
        <item x="1251"/>
        <item x="1127"/>
        <item x="1170"/>
        <item x="146"/>
        <item x="1376"/>
        <item x="1132"/>
        <item x="1155"/>
        <item x="919"/>
        <item x="954"/>
        <item x="701"/>
        <item x="631"/>
        <item x="633"/>
        <item x="585"/>
        <item x="584"/>
        <item x="821"/>
        <item x="65"/>
        <item x="190"/>
        <item x="139"/>
        <item x="18"/>
        <item x="17"/>
        <item x="21"/>
        <item x="20"/>
        <item x="19"/>
        <item x="25"/>
        <item x="24"/>
        <item x="23"/>
        <item x="608"/>
        <item x="1592"/>
        <item x="1129"/>
        <item x="1023"/>
        <item x="1305"/>
        <item x="1351"/>
        <item x="228"/>
        <item x="1532"/>
        <item x="123"/>
        <item x="1324"/>
        <item x="1223"/>
        <item x="1038"/>
        <item x="1166"/>
        <item x="1554"/>
        <item x="354"/>
        <item x="446"/>
        <item x="1278"/>
        <item x="1444"/>
        <item x="382"/>
        <item x="1249"/>
        <item x="1587"/>
        <item x="325"/>
        <item x="376"/>
        <item x="379"/>
        <item x="1180"/>
        <item x="1262"/>
        <item x="1156"/>
        <item x="1094"/>
        <item x="1242"/>
        <item x="1561"/>
        <item x="1571"/>
        <item x="178"/>
        <item x="1270"/>
        <item x="182"/>
        <item x="1066"/>
        <item x="1070"/>
        <item x="1194"/>
        <item x="137"/>
        <item x="320"/>
        <item x="1059"/>
        <item x="1061"/>
        <item x="1104"/>
        <item x="1044"/>
        <item x="1110"/>
        <item x="1107"/>
        <item x="966"/>
        <item x="1043"/>
        <item x="1071"/>
        <item x="579"/>
        <item x="363"/>
        <item x="1224"/>
        <item x="739"/>
        <item x="923"/>
        <item x="239"/>
        <item x="1378"/>
        <item x="901"/>
        <item x="906"/>
        <item x="908"/>
        <item x="911"/>
        <item x="693"/>
        <item x="1475"/>
        <item x="560"/>
        <item x="547"/>
        <item x="548"/>
        <item x="544"/>
        <item x="559"/>
        <item x="558"/>
        <item x="557"/>
        <item x="549"/>
        <item x="550"/>
        <item x="542"/>
        <item x="546"/>
        <item x="555"/>
        <item x="556"/>
        <item x="551"/>
        <item x="552"/>
        <item x="567"/>
        <item x="553"/>
        <item x="564"/>
        <item x="568"/>
        <item x="561"/>
        <item x="565"/>
        <item x="569"/>
        <item x="562"/>
        <item x="566"/>
        <item x="570"/>
        <item x="563"/>
        <item x="554"/>
        <item x="571"/>
        <item x="418"/>
        <item x="415"/>
        <item x="408"/>
        <item x="410"/>
        <item x="396"/>
        <item x="407"/>
        <item x="406"/>
        <item x="422"/>
        <item x="421"/>
        <item x="399"/>
        <item x="903"/>
        <item x="1579"/>
        <item x="299"/>
        <item x="298"/>
        <item x="698"/>
        <item x="782"/>
        <item x="409"/>
        <item x="405"/>
        <item x="36"/>
        <item x="40"/>
        <item x="645"/>
        <item x="784"/>
        <item x="42"/>
        <item x="706"/>
        <item x="708"/>
        <item x="709"/>
        <item x="716"/>
        <item x="411"/>
        <item x="423"/>
        <item x="288"/>
        <item x="289"/>
        <item x="974"/>
        <item x="394"/>
        <item x="81"/>
        <item x="780"/>
        <item x="781"/>
        <item x="101"/>
        <item x="635"/>
        <item x="102"/>
        <item x="103"/>
        <item x="1322"/>
        <item x="1120"/>
        <item x="581"/>
        <item x="124"/>
        <item x="661"/>
        <item x="253"/>
        <item x="156"/>
        <item x="111"/>
        <item x="224"/>
        <item x="532"/>
        <item x="1593"/>
        <item x="237"/>
        <item x="248"/>
        <item x="57"/>
        <item x="1130"/>
        <item x="1348"/>
        <item x="258"/>
        <item x="618"/>
        <item x="729"/>
        <item x="1607"/>
        <item x="1303"/>
        <item x="1028"/>
        <item x="946"/>
        <item x="1153"/>
        <item x="251"/>
        <item x="1510"/>
        <item x="1512"/>
        <item x="1511"/>
        <item x="1515"/>
        <item x="1296"/>
        <item x="1508"/>
        <item x="1514"/>
        <item x="1513"/>
        <item x="1295"/>
        <item x="1509"/>
        <item x="807"/>
        <item x="144"/>
        <item x="882"/>
        <item x="941"/>
        <item x="1095"/>
        <item x="1228"/>
        <item x="150"/>
        <item x="151"/>
        <item x="802"/>
        <item t="default"/>
      </items>
    </pivotField>
    <pivotField axis="axisPage" compact="0" outline="0" showAll="0">
      <items count="24">
        <item x="2"/>
        <item x="15"/>
        <item x="10"/>
        <item x="11"/>
        <item x="20"/>
        <item x="6"/>
        <item x="3"/>
        <item x="8"/>
        <item x="14"/>
        <item x="19"/>
        <item x="1"/>
        <item x="18"/>
        <item x="16"/>
        <item x="12"/>
        <item x="9"/>
        <item x="21"/>
        <item x="7"/>
        <item x="13"/>
        <item x="4"/>
        <item x="22"/>
        <item x="17"/>
        <item x="5"/>
        <item x="0"/>
        <item t="default"/>
      </items>
    </pivotField>
    <pivotField axis="axisPage" compact="0" outline="0" showAll="0">
      <items count="7">
        <item x="5"/>
        <item x="4"/>
        <item x="2"/>
        <item x="0"/>
        <item x="3"/>
        <item x="1"/>
        <item t="default"/>
      </items>
    </pivotField>
    <pivotField axis="axisPage" compact="0" outline="0" showAll="0">
      <items count="17">
        <item x="7"/>
        <item x="5"/>
        <item x="11"/>
        <item x="10"/>
        <item x="13"/>
        <item x="6"/>
        <item x="15"/>
        <item x="1"/>
        <item x="12"/>
        <item x="2"/>
        <item x="0"/>
        <item x="8"/>
        <item x="4"/>
        <item x="9"/>
        <item x="14"/>
        <item x="3"/>
        <item t="default"/>
      </items>
    </pivotField>
    <pivotField axis="axisPage" compact="0" outline="0" showAll="0">
      <items count="42">
        <item x="18"/>
        <item x="16"/>
        <item x="30"/>
        <item x="29"/>
        <item x="35"/>
        <item x="26"/>
        <item x="36"/>
        <item x="25"/>
        <item x="32"/>
        <item x="14"/>
        <item x="38"/>
        <item x="31"/>
        <item x="3"/>
        <item x="1"/>
        <item x="24"/>
        <item x="33"/>
        <item x="27"/>
        <item x="4"/>
        <item x="8"/>
        <item x="34"/>
        <item x="10"/>
        <item x="40"/>
        <item x="15"/>
        <item x="5"/>
        <item x="0"/>
        <item x="7"/>
        <item x="2"/>
        <item x="39"/>
        <item x="13"/>
        <item x="19"/>
        <item x="28"/>
        <item x="23"/>
        <item x="11"/>
        <item x="22"/>
        <item x="37"/>
        <item x="20"/>
        <item x="21"/>
        <item x="9"/>
        <item x="12"/>
        <item x="17"/>
        <item x="6"/>
        <item t="default"/>
      </items>
    </pivotField>
  </pivotFields>
  <rowFields count="5">
    <field x="0"/>
    <field x="3"/>
    <field x="4"/>
    <field x="5"/>
    <field x="7"/>
  </rowFields>
  <rowItems count="134">
    <i>
      <x v="1"/>
      <x v="21"/>
      <x v="5"/>
      <x v="349"/>
      <x v="117"/>
    </i>
    <i r="3">
      <x v="350"/>
      <x v="1024"/>
    </i>
    <i r="3">
      <x v="387"/>
      <x v="114"/>
    </i>
    <i r="2">
      <x v="7"/>
      <x v="7"/>
      <x v="663"/>
    </i>
    <i r="3">
      <x v="387"/>
      <x v="114"/>
    </i>
    <i r="2">
      <x v="53"/>
      <x v="17"/>
      <x v="387"/>
    </i>
    <i r="3">
      <x v="38"/>
      <x v="959"/>
    </i>
    <i r="3">
      <x v="134"/>
      <x v="588"/>
    </i>
    <i r="3">
      <x v="213"/>
      <x v="973"/>
    </i>
    <i r="3">
      <x v="432"/>
      <x v="426"/>
    </i>
    <i r="3">
      <x v="1069"/>
      <x v="206"/>
    </i>
    <i r="3">
      <x v="1070"/>
      <x v="818"/>
    </i>
    <i r="2">
      <x v="66"/>
      <x v="18"/>
      <x v="388"/>
    </i>
    <i r="3">
      <x v="37"/>
      <x v="958"/>
    </i>
    <i r="3">
      <x v="39"/>
      <x v="960"/>
    </i>
    <i r="3">
      <x v="40"/>
      <x v="957"/>
    </i>
    <i r="3">
      <x v="134"/>
      <x v="588"/>
    </i>
    <i r="3">
      <x v="213"/>
      <x v="973"/>
    </i>
    <i r="3">
      <x v="432"/>
      <x v="426"/>
    </i>
    <i r="3">
      <x v="1591"/>
      <x v="216"/>
    </i>
    <i r="3">
      <x v="1592"/>
      <x v="380"/>
    </i>
    <i r="2">
      <x v="174"/>
      <x v="1063"/>
      <x v="310"/>
    </i>
    <i r="3">
      <x v="1064"/>
      <x v="1505"/>
    </i>
    <i r="3">
      <x v="1608"/>
      <x v="1118"/>
    </i>
    <i r="3">
      <x v="1609"/>
      <x v="669"/>
    </i>
    <i r="3">
      <x v="1610"/>
      <x v="1582"/>
    </i>
    <i r="2">
      <x v="175"/>
      <x v="252"/>
      <x v="1319"/>
    </i>
    <i r="3">
      <x v="1537"/>
      <x v="793"/>
    </i>
    <i r="3">
      <x v="1560"/>
      <x v="196"/>
    </i>
    <i r="2">
      <x v="201"/>
      <x v="126"/>
      <x v="607"/>
    </i>
    <i r="3">
      <x v="1589"/>
      <x v="556"/>
    </i>
    <i r="3">
      <x v="1590"/>
      <x v="557"/>
    </i>
    <i r="2">
      <x v="212"/>
      <x v="96"/>
      <x v="3"/>
    </i>
    <i r="3">
      <x v="146"/>
      <x v="1587"/>
    </i>
    <i r="3">
      <x v="161"/>
      <x v="1079"/>
    </i>
    <i r="3">
      <x v="281"/>
      <x v="754"/>
    </i>
    <i r="3">
      <x v="1067"/>
      <x v="1571"/>
    </i>
    <i r="3">
      <x v="1320"/>
      <x v="1496"/>
    </i>
    <i r="3">
      <x v="1321"/>
      <x v="744"/>
    </i>
    <i r="3">
      <x v="1322"/>
      <x v="1007"/>
    </i>
    <i r="3">
      <x v="1323"/>
      <x v="1006"/>
    </i>
    <i r="3">
      <x v="1324"/>
      <x v="745"/>
    </i>
    <i r="3">
      <x v="1325"/>
      <x v="51"/>
    </i>
    <i r="3">
      <x v="1326"/>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3"/>
      <x v="973"/>
    </i>
    <i r="3">
      <x v="214"/>
      <x v="974"/>
    </i>
    <i r="3">
      <x v="215"/>
      <x v="975"/>
    </i>
    <i r="3">
      <x v="224"/>
      <x v="757"/>
    </i>
    <i r="3">
      <x v="295"/>
      <x v="1429"/>
    </i>
    <i r="3">
      <x v="302"/>
      <x v="1070"/>
    </i>
    <i r="3">
      <x v="309"/>
      <x v="1373"/>
    </i>
    <i r="3">
      <x v="310"/>
      <x v="971"/>
    </i>
    <i r="3">
      <x v="336"/>
      <x v="1593"/>
    </i>
    <i r="3">
      <x v="351"/>
      <x v="1025"/>
    </i>
    <i r="3">
      <x v="374"/>
      <x v="704"/>
    </i>
    <i r="3">
      <x v="1065"/>
      <x v="218"/>
    </i>
    <i r="3">
      <x v="1066"/>
      <x v="850"/>
    </i>
    <i r="3">
      <x v="1068"/>
      <x v="107"/>
    </i>
    <i r="2">
      <x v="217"/>
      <x v="1642"/>
      <x v="1621"/>
    </i>
    <i r="3">
      <x v="1643"/>
      <x v="1622"/>
    </i>
    <i r="1">
      <x v="22"/>
      <x v="216"/>
      <x v="30"/>
      <x v="1577"/>
    </i>
    <i r="3">
      <x v="112"/>
      <x v="609"/>
    </i>
    <i r="3">
      <x v="120"/>
      <x v="1095"/>
    </i>
    <i r="3">
      <x v="122"/>
      <x v="1097"/>
    </i>
    <i r="3">
      <x v="140"/>
      <x v="595"/>
    </i>
    <i r="3">
      <x v="141"/>
      <x v="597"/>
    </i>
    <i r="3">
      <x v="167"/>
      <x v="1088"/>
    </i>
    <i r="3">
      <x v="172"/>
      <x v="1093"/>
    </i>
    <i r="3">
      <x v="215"/>
      <x v="975"/>
    </i>
    <i r="3">
      <x v="224"/>
      <x v="757"/>
    </i>
    <i r="3">
      <x v="281"/>
      <x v="754"/>
    </i>
    <i r="3">
      <x v="282"/>
      <x v="755"/>
    </i>
    <i r="3">
      <x v="283"/>
      <x v="756"/>
    </i>
    <i r="3">
      <x v="336"/>
      <x v="1593"/>
    </i>
    <i r="3">
      <x v="1071"/>
      <x v="219"/>
    </i>
    <i r="3">
      <x v="1072"/>
      <x v="1133"/>
    </i>
    <i r="3">
      <x v="1073"/>
      <x v="1129"/>
    </i>
    <i r="3">
      <x v="1074"/>
      <x v="1130"/>
    </i>
    <i r="3">
      <x v="1075"/>
      <x v="1131"/>
    </i>
    <i r="3">
      <x v="1076"/>
      <x v="1132"/>
    </i>
    <i r="3">
      <x v="1077"/>
      <x v="438"/>
    </i>
    <i r="3">
      <x v="1078"/>
      <x v="501"/>
    </i>
    <i r="3">
      <x v="1079"/>
      <x v="492"/>
    </i>
    <i r="3">
      <x v="1080"/>
      <x v="849"/>
    </i>
    <i r="3">
      <x v="1081"/>
      <x v="39"/>
    </i>
    <i r="3">
      <x v="1082"/>
      <x v="874"/>
    </i>
    <i r="3">
      <x v="1083"/>
      <x v="347"/>
    </i>
    <i r="3">
      <x v="1084"/>
      <x v="398"/>
    </i>
    <i r="3">
      <x v="1085"/>
      <x v="450"/>
    </i>
    <i r="3">
      <x v="1086"/>
      <x v="493"/>
    </i>
    <i r="3">
      <x v="1087"/>
      <x v="632"/>
    </i>
    <i r="3">
      <x v="1088"/>
      <x v="394"/>
    </i>
    <i r="3">
      <x v="1089"/>
      <x v="48"/>
    </i>
    <i r="3">
      <x v="1090"/>
      <x v="393"/>
    </i>
    <i r="3">
      <x v="1091"/>
      <x v="431"/>
    </i>
    <i r="3">
      <x v="1092"/>
      <x v="433"/>
    </i>
    <i r="3">
      <x v="1093"/>
      <x v="49"/>
    </i>
    <i r="3">
      <x v="1094"/>
      <x v="738"/>
    </i>
    <i r="3">
      <x v="1095"/>
      <x v="851"/>
    </i>
    <i r="3">
      <x v="1096"/>
      <x v="841"/>
    </i>
    <i r="3">
      <x v="1097"/>
      <x v="840"/>
    </i>
    <i r="3">
      <x v="1098"/>
      <x v="852"/>
    </i>
    <i r="3">
      <x v="1099"/>
      <x v="746"/>
    </i>
    <i r="3">
      <x v="1100"/>
      <x v="40"/>
    </i>
    <i r="3">
      <x v="1101"/>
      <x v="348"/>
    </i>
    <i r="3">
      <x v="1102"/>
      <x v="399"/>
    </i>
    <i r="3">
      <x v="1103"/>
      <x v="502"/>
    </i>
    <i r="3">
      <x v="1104"/>
      <x v="45"/>
    </i>
    <i r="3">
      <x v="1105"/>
      <x v="737"/>
    </i>
    <i r="3">
      <x v="1106"/>
      <x v="847"/>
    </i>
    <i r="3">
      <x v="1107"/>
      <x v="842"/>
    </i>
    <i r="3">
      <x v="1108"/>
      <x v="846"/>
    </i>
    <i r="3">
      <x v="1109"/>
      <x v="843"/>
    </i>
    <i r="3">
      <x v="1110"/>
      <x v="845"/>
    </i>
    <i r="3">
      <x v="1111"/>
      <x v="844"/>
    </i>
    <i t="default">
      <x v="1"/>
    </i>
    <i t="grand">
      <x/>
    </i>
  </rowItems>
  <colItems count="1">
    <i/>
  </colItems>
  <pageFields count="5">
    <pageField fld="9" hier="-1"/>
    <pageField fld="6" hier="-1"/>
    <pageField fld="8" hier="-1"/>
    <pageField fld="10" hier="-1"/>
    <pageField fld="11" hier="-1"/>
  </pageFields>
  <dataFields count="1">
    <dataField name="Sum of QTY" fld="2" baseField="0" baseItem="0"/>
  </dataFields>
  <formats count="3206">
    <format dxfId="3220">
      <pivotArea type="origin" dataOnly="0" labelOnly="1" outline="0" fieldPosition="0"/>
    </format>
    <format dxfId="3219">
      <pivotArea field="0" type="button" dataOnly="0" labelOnly="1" outline="0" axis="axisRow" fieldPosition="0"/>
    </format>
    <format dxfId="3218">
      <pivotArea field="3" type="button" dataOnly="0" labelOnly="1" outline="0" axis="axisRow" fieldPosition="1"/>
    </format>
    <format dxfId="3217">
      <pivotArea field="4" type="button" dataOnly="0" labelOnly="1" outline="0" axis="axisRow" fieldPosition="2"/>
    </format>
    <format dxfId="3216">
      <pivotArea field="5" type="button" dataOnly="0" labelOnly="1" outline="0" axis="axisRow" fieldPosition="3"/>
    </format>
    <format dxfId="3215">
      <pivotArea field="7" type="button" dataOnly="0" labelOnly="1" outline="0" axis="axisRow" fieldPosition="4"/>
    </format>
    <format dxfId="3214">
      <pivotArea dataOnly="0" labelOnly="1" outline="0" fieldPosition="0">
        <references count="1">
          <reference field="0" count="0"/>
        </references>
      </pivotArea>
    </format>
    <format dxfId="3213">
      <pivotArea dataOnly="0" labelOnly="1" outline="0" fieldPosition="0">
        <references count="1">
          <reference field="0" count="0" defaultSubtotal="1"/>
        </references>
      </pivotArea>
    </format>
    <format dxfId="3212">
      <pivotArea dataOnly="0" labelOnly="1" grandRow="1" outline="0" fieldPosition="0"/>
    </format>
    <format dxfId="3211">
      <pivotArea dataOnly="0" labelOnly="1" outline="0" fieldPosition="0">
        <references count="2">
          <reference field="0" count="1" selected="0">
            <x v="0"/>
          </reference>
          <reference field="3" count="4">
            <x v="17"/>
            <x v="18"/>
            <x v="19"/>
            <x v="20"/>
          </reference>
        </references>
      </pivotArea>
    </format>
    <format dxfId="3210">
      <pivotArea dataOnly="0" labelOnly="1" outline="0" fieldPosition="0">
        <references count="2">
          <reference field="0" count="1" selected="0">
            <x v="1"/>
          </reference>
          <reference field="3" count="21">
            <x v="1"/>
            <x v="21"/>
            <x v="22"/>
            <x v="23"/>
            <x v="24"/>
            <x v="25"/>
            <x v="26"/>
            <x v="27"/>
            <x v="28"/>
            <x v="29"/>
            <x v="30"/>
            <x v="31"/>
            <x v="32"/>
            <x v="33"/>
            <x v="34"/>
            <x v="35"/>
            <x v="36"/>
            <x v="37"/>
            <x v="38"/>
            <x v="39"/>
            <x v="40"/>
          </reference>
        </references>
      </pivotArea>
    </format>
    <format dxfId="3209">
      <pivotArea dataOnly="0" labelOnly="1" outline="0" fieldPosition="0">
        <references count="2">
          <reference field="0" count="1" selected="0">
            <x v="2"/>
          </reference>
          <reference field="3" count="7">
            <x v="10"/>
            <x v="11"/>
            <x v="12"/>
            <x v="13"/>
            <x v="14"/>
            <x v="15"/>
            <x v="16"/>
          </reference>
        </references>
      </pivotArea>
    </format>
    <format dxfId="3208">
      <pivotArea dataOnly="0" labelOnly="1" outline="0" fieldPosition="0">
        <references count="2">
          <reference field="0" count="1" selected="0">
            <x v="4"/>
          </reference>
          <reference field="3" count="19">
            <x v="41"/>
            <x v="42"/>
            <x v="43"/>
            <x v="44"/>
            <x v="45"/>
            <x v="46"/>
            <x v="47"/>
            <x v="48"/>
            <x v="49"/>
            <x v="50"/>
            <x v="51"/>
            <x v="52"/>
            <x v="53"/>
            <x v="54"/>
            <x v="55"/>
            <x v="56"/>
            <x v="57"/>
            <x v="58"/>
            <x v="59"/>
          </reference>
        </references>
      </pivotArea>
    </format>
    <format dxfId="3207">
      <pivotArea dataOnly="0" labelOnly="1" outline="0" fieldPosition="0">
        <references count="2">
          <reference field="0" count="1" selected="0">
            <x v="5"/>
          </reference>
          <reference field="3" count="8">
            <x v="2"/>
            <x v="3"/>
            <x v="4"/>
            <x v="5"/>
            <x v="6"/>
            <x v="7"/>
            <x v="8"/>
            <x v="9"/>
          </reference>
        </references>
      </pivotArea>
    </format>
    <format dxfId="3206">
      <pivotArea dataOnly="0" labelOnly="1" outline="0" fieldPosition="0">
        <references count="2">
          <reference field="0" count="1" selected="0">
            <x v="6"/>
          </reference>
          <reference field="3" count="1">
            <x v="0"/>
          </reference>
        </references>
      </pivotArea>
    </format>
    <format dxfId="3205">
      <pivotArea dataOnly="0" labelOnly="1" outline="0" fieldPosition="0">
        <references count="3">
          <reference field="0" count="1" selected="0">
            <x v="0"/>
          </reference>
          <reference field="3" count="1" selected="0">
            <x v="17"/>
          </reference>
          <reference field="4" count="1">
            <x v="216"/>
          </reference>
        </references>
      </pivotArea>
    </format>
    <format dxfId="3204">
      <pivotArea dataOnly="0" labelOnly="1" outline="0" fieldPosition="0">
        <references count="3">
          <reference field="0" count="1" selected="0">
            <x v="0"/>
          </reference>
          <reference field="3" count="1" selected="0">
            <x v="19"/>
          </reference>
          <reference field="4" count="12">
            <x v="20"/>
            <x v="106"/>
            <x v="112"/>
            <x v="113"/>
            <x v="114"/>
            <x v="115"/>
            <x v="116"/>
            <x v="117"/>
            <x v="118"/>
            <x v="177"/>
            <x v="202"/>
            <x v="216"/>
          </reference>
        </references>
      </pivotArea>
    </format>
    <format dxfId="3203">
      <pivotArea dataOnly="0" labelOnly="1" outline="0" fieldPosition="0">
        <references count="3">
          <reference field="0" count="1" selected="0">
            <x v="0"/>
          </reference>
          <reference field="3" count="1" selected="0">
            <x v="20"/>
          </reference>
          <reference field="4" count="38">
            <x v="128"/>
            <x v="129"/>
            <x v="130"/>
            <x v="131"/>
            <x v="132"/>
            <x v="133"/>
            <x v="134"/>
            <x v="135"/>
            <x v="136"/>
            <x v="137"/>
            <x v="138"/>
            <x v="139"/>
            <x v="140"/>
            <x v="141"/>
            <x v="142"/>
            <x v="143"/>
            <x v="144"/>
            <x v="145"/>
            <x v="146"/>
            <x v="147"/>
            <x v="148"/>
            <x v="149"/>
            <x v="150"/>
            <x v="151"/>
            <x v="152"/>
            <x v="153"/>
            <x v="154"/>
            <x v="155"/>
            <x v="156"/>
            <x v="157"/>
            <x v="158"/>
            <x v="159"/>
            <x v="160"/>
            <x v="161"/>
            <x v="162"/>
            <x v="163"/>
            <x v="164"/>
            <x v="216"/>
          </reference>
        </references>
      </pivotArea>
    </format>
    <format dxfId="3202">
      <pivotArea dataOnly="0" labelOnly="1" outline="0" fieldPosition="0">
        <references count="3">
          <reference field="0" count="1" selected="0">
            <x v="1"/>
          </reference>
          <reference field="3" count="1" selected="0">
            <x v="1"/>
          </reference>
          <reference field="4" count="6">
            <x v="169"/>
            <x v="171"/>
            <x v="173"/>
            <x v="187"/>
            <x v="209"/>
            <x v="216"/>
          </reference>
        </references>
      </pivotArea>
    </format>
    <format dxfId="3201">
      <pivotArea dataOnly="0" labelOnly="1" outline="0" fieldPosition="0">
        <references count="3">
          <reference field="0" count="1" selected="0">
            <x v="1"/>
          </reference>
          <reference field="3" count="1" selected="0">
            <x v="21"/>
          </reference>
          <reference field="4" count="9">
            <x v="5"/>
            <x v="7"/>
            <x v="53"/>
            <x v="66"/>
            <x v="174"/>
            <x v="175"/>
            <x v="201"/>
            <x v="212"/>
            <x v="216"/>
          </reference>
        </references>
      </pivotArea>
    </format>
    <format dxfId="3200">
      <pivotArea dataOnly="0" labelOnly="1" outline="0" fieldPosition="0">
        <references count="3">
          <reference field="0" count="1" selected="0">
            <x v="1"/>
          </reference>
          <reference field="3" count="1" selected="0">
            <x v="23"/>
          </reference>
          <reference field="4" count="14">
            <x v="5"/>
            <x v="54"/>
            <x v="55"/>
            <x v="56"/>
            <x v="57"/>
            <x v="58"/>
            <x v="59"/>
            <x v="60"/>
            <x v="61"/>
            <x v="62"/>
            <x v="63"/>
            <x v="64"/>
            <x v="65"/>
            <x v="216"/>
          </reference>
        </references>
      </pivotArea>
    </format>
    <format dxfId="3199">
      <pivotArea dataOnly="0" labelOnly="1" outline="0" fieldPosition="0">
        <references count="3">
          <reference field="0" count="1" selected="0">
            <x v="1"/>
          </reference>
          <reference field="3" count="1" selected="0">
            <x v="24"/>
          </reference>
          <reference field="4" count="11">
            <x v="119"/>
            <x v="120"/>
            <x v="121"/>
            <x v="122"/>
            <x v="123"/>
            <x v="124"/>
            <x v="125"/>
            <x v="126"/>
            <x v="167"/>
            <x v="169"/>
            <x v="216"/>
          </reference>
        </references>
      </pivotArea>
    </format>
    <format dxfId="3198">
      <pivotArea dataOnly="0" labelOnly="1" outline="0" fieldPosition="0">
        <references count="3">
          <reference field="0" count="1" selected="0">
            <x v="1"/>
          </reference>
          <reference field="3" count="1" selected="0">
            <x v="28"/>
          </reference>
          <reference field="4" count="4">
            <x v="5"/>
            <x v="170"/>
            <x v="193"/>
            <x v="216"/>
          </reference>
        </references>
      </pivotArea>
    </format>
    <format dxfId="3197">
      <pivotArea dataOnly="0" labelOnly="1" outline="0" fieldPosition="0">
        <references count="3">
          <reference field="0" count="1" selected="0">
            <x v="1"/>
          </reference>
          <reference field="3" count="1" selected="0">
            <x v="30"/>
          </reference>
          <reference field="4" count="5">
            <x v="5"/>
            <x v="167"/>
            <x v="172"/>
            <x v="173"/>
            <x v="216"/>
          </reference>
        </references>
      </pivotArea>
    </format>
    <format dxfId="3196">
      <pivotArea dataOnly="0" labelOnly="1" outline="0" fieldPosition="0">
        <references count="3">
          <reference field="0" count="1" selected="0">
            <x v="1"/>
          </reference>
          <reference field="3" count="1" selected="0">
            <x v="31"/>
          </reference>
          <reference field="4" count="3">
            <x v="166"/>
            <x v="167"/>
            <x v="216"/>
          </reference>
        </references>
      </pivotArea>
    </format>
    <format dxfId="3195">
      <pivotArea dataOnly="0" labelOnly="1" outline="0" fieldPosition="0">
        <references count="3">
          <reference field="0" count="1" selected="0">
            <x v="1"/>
          </reference>
          <reference field="3" count="1" selected="0">
            <x v="32"/>
          </reference>
          <reference field="4" count="7">
            <x v="5"/>
            <x v="200"/>
            <x v="204"/>
            <x v="205"/>
            <x v="206"/>
            <x v="207"/>
            <x v="216"/>
          </reference>
        </references>
      </pivotArea>
    </format>
    <format dxfId="3194">
      <pivotArea dataOnly="0" labelOnly="1" outline="0" fieldPosition="0">
        <references count="3">
          <reference field="0" count="1" selected="0">
            <x v="1"/>
          </reference>
          <reference field="3" count="1" selected="0">
            <x v="33"/>
          </reference>
          <reference field="4" count="7">
            <x v="8"/>
            <x v="168"/>
            <x v="171"/>
            <x v="186"/>
            <x v="189"/>
            <x v="195"/>
            <x v="216"/>
          </reference>
        </references>
      </pivotArea>
    </format>
    <format dxfId="3193">
      <pivotArea dataOnly="0" labelOnly="1" outline="0" fieldPosition="0">
        <references count="3">
          <reference field="0" count="1" selected="0">
            <x v="1"/>
          </reference>
          <reference field="3" count="1" selected="0">
            <x v="34"/>
          </reference>
          <reference field="4" count="4">
            <x v="5"/>
            <x v="169"/>
            <x v="199"/>
            <x v="216"/>
          </reference>
        </references>
      </pivotArea>
    </format>
    <format dxfId="3192">
      <pivotArea dataOnly="0" labelOnly="1" outline="0" fieldPosition="0">
        <references count="3">
          <reference field="0" count="1" selected="0">
            <x v="1"/>
          </reference>
          <reference field="3" count="1" selected="0">
            <x v="39"/>
          </reference>
          <reference field="4" count="2">
            <x v="169"/>
            <x v="216"/>
          </reference>
        </references>
      </pivotArea>
    </format>
    <format dxfId="3191">
      <pivotArea dataOnly="0" labelOnly="1" outline="0" fieldPosition="0">
        <references count="3">
          <reference field="0" count="1" selected="0">
            <x v="1"/>
          </reference>
          <reference field="3" count="1" selected="0">
            <x v="40"/>
          </reference>
          <reference field="4" count="10">
            <x v="42"/>
            <x v="43"/>
            <x v="44"/>
            <x v="45"/>
            <x v="46"/>
            <x v="47"/>
            <x v="73"/>
            <x v="74"/>
            <x v="107"/>
            <x v="216"/>
          </reference>
        </references>
      </pivotArea>
    </format>
    <format dxfId="3190">
      <pivotArea dataOnly="0" labelOnly="1" outline="0" fieldPosition="0">
        <references count="3">
          <reference field="0" count="1" selected="0">
            <x v="2"/>
          </reference>
          <reference field="3" count="1" selected="0">
            <x v="10"/>
          </reference>
          <reference field="4" count="8">
            <x v="6"/>
            <x v="9"/>
            <x v="67"/>
            <x v="69"/>
            <x v="110"/>
            <x v="111"/>
            <x v="127"/>
            <x v="216"/>
          </reference>
        </references>
      </pivotArea>
    </format>
    <format dxfId="3189">
      <pivotArea dataOnly="0" labelOnly="1" outline="0" fieldPosition="0">
        <references count="3">
          <reference field="0" count="1" selected="0">
            <x v="2"/>
          </reference>
          <reference field="3" count="1" selected="0">
            <x v="11"/>
          </reference>
          <reference field="4" count="4">
            <x v="11"/>
            <x v="12"/>
            <x v="13"/>
            <x v="216"/>
          </reference>
        </references>
      </pivotArea>
    </format>
    <format dxfId="3188">
      <pivotArea dataOnly="0" labelOnly="1" outline="0" fieldPosition="0">
        <references count="3">
          <reference field="0" count="1" selected="0">
            <x v="2"/>
          </reference>
          <reference field="3" count="1" selected="0">
            <x v="12"/>
          </reference>
          <reference field="4" count="19">
            <x v="21"/>
            <x v="22"/>
            <x v="71"/>
            <x v="75"/>
            <x v="76"/>
            <x v="77"/>
            <x v="78"/>
            <x v="79"/>
            <x v="80"/>
            <x v="95"/>
            <x v="96"/>
            <x v="97"/>
            <x v="98"/>
            <x v="99"/>
            <x v="100"/>
            <x v="101"/>
            <x v="102"/>
            <x v="103"/>
            <x v="216"/>
          </reference>
        </references>
      </pivotArea>
    </format>
    <format dxfId="3187">
      <pivotArea dataOnly="0" labelOnly="1" outline="0" fieldPosition="0">
        <references count="3">
          <reference field="0" count="1" selected="0">
            <x v="2"/>
          </reference>
          <reference field="3" count="1" selected="0">
            <x v="14"/>
          </reference>
          <reference field="4" count="22">
            <x v="5"/>
            <x v="7"/>
            <x v="50"/>
            <x v="68"/>
            <x v="70"/>
            <x v="81"/>
            <x v="82"/>
            <x v="83"/>
            <x v="84"/>
            <x v="85"/>
            <x v="86"/>
            <x v="87"/>
            <x v="88"/>
            <x v="89"/>
            <x v="90"/>
            <x v="91"/>
            <x v="92"/>
            <x v="93"/>
            <x v="94"/>
            <x v="104"/>
            <x v="105"/>
            <x v="216"/>
          </reference>
        </references>
      </pivotArea>
    </format>
    <format dxfId="3186">
      <pivotArea dataOnly="0" labelOnly="1" outline="0" fieldPosition="0">
        <references count="3">
          <reference field="0" count="1" selected="0">
            <x v="2"/>
          </reference>
          <reference field="3" count="1" selected="0">
            <x v="15"/>
          </reference>
          <reference field="4" count="10">
            <x v="1"/>
            <x v="2"/>
            <x v="3"/>
            <x v="4"/>
            <x v="14"/>
            <x v="208"/>
            <x v="210"/>
            <x v="213"/>
            <x v="214"/>
            <x v="216"/>
          </reference>
        </references>
      </pivotArea>
    </format>
    <format dxfId="3185">
      <pivotArea dataOnly="0" labelOnly="1" outline="0" fieldPosition="0">
        <references count="3">
          <reference field="0" count="1" selected="0">
            <x v="2"/>
          </reference>
          <reference field="3" count="1" selected="0">
            <x v="16"/>
          </reference>
          <reference field="4" count="3">
            <x v="72"/>
            <x v="108"/>
            <x v="216"/>
          </reference>
        </references>
      </pivotArea>
    </format>
    <format dxfId="3184">
      <pivotArea dataOnly="0" labelOnly="1" outline="0" fieldPosition="0">
        <references count="3">
          <reference field="0" count="1" selected="0">
            <x v="4"/>
          </reference>
          <reference field="3" count="1" selected="0">
            <x v="41"/>
          </reference>
          <reference field="4" count="2">
            <x v="169"/>
            <x v="216"/>
          </reference>
        </references>
      </pivotArea>
    </format>
    <format dxfId="3183">
      <pivotArea dataOnly="0" labelOnly="1" outline="0" fieldPosition="0">
        <references count="3">
          <reference field="0" count="1" selected="0">
            <x v="4"/>
          </reference>
          <reference field="3" count="1" selected="0">
            <x v="42"/>
          </reference>
          <reference field="4" count="3">
            <x v="23"/>
            <x v="165"/>
            <x v="216"/>
          </reference>
        </references>
      </pivotArea>
    </format>
    <format dxfId="3182">
      <pivotArea dataOnly="0" labelOnly="1" outline="0" fieldPosition="0">
        <references count="3">
          <reference field="0" count="1" selected="0">
            <x v="4"/>
          </reference>
          <reference field="3" count="1" selected="0">
            <x v="43"/>
          </reference>
          <reference field="4" count="4">
            <x v="5"/>
            <x v="7"/>
            <x v="109"/>
            <x v="216"/>
          </reference>
        </references>
      </pivotArea>
    </format>
    <format dxfId="3181">
      <pivotArea dataOnly="0" labelOnly="1" outline="0" fieldPosition="0">
        <references count="3">
          <reference field="0" count="1" selected="0">
            <x v="4"/>
          </reference>
          <reference field="3" count="1" selected="0">
            <x v="45"/>
          </reference>
          <reference field="4" count="6">
            <x v="32"/>
            <x v="33"/>
            <x v="34"/>
            <x v="35"/>
            <x v="36"/>
            <x v="216"/>
          </reference>
        </references>
      </pivotArea>
    </format>
    <format dxfId="3180">
      <pivotArea dataOnly="0" labelOnly="1" outline="0" fieldPosition="0">
        <references count="3">
          <reference field="0" count="1" selected="0">
            <x v="4"/>
          </reference>
          <reference field="3" count="1" selected="0">
            <x v="46"/>
          </reference>
          <reference field="4" count="2">
            <x v="215"/>
            <x v="216"/>
          </reference>
        </references>
      </pivotArea>
    </format>
    <format dxfId="3179">
      <pivotArea dataOnly="0" labelOnly="1" outline="0" fieldPosition="0">
        <references count="3">
          <reference field="0" count="1" selected="0">
            <x v="4"/>
          </reference>
          <reference field="3" count="1" selected="0">
            <x v="47"/>
          </reference>
          <reference field="4" count="2">
            <x v="169"/>
            <x v="216"/>
          </reference>
        </references>
      </pivotArea>
    </format>
    <format dxfId="3178">
      <pivotArea dataOnly="0" labelOnly="1" outline="0" fieldPosition="0">
        <references count="3">
          <reference field="0" count="1" selected="0">
            <x v="4"/>
          </reference>
          <reference field="3" count="1" selected="0">
            <x v="48"/>
          </reference>
          <reference field="4" count="2">
            <x v="182"/>
            <x v="216"/>
          </reference>
        </references>
      </pivotArea>
    </format>
    <format dxfId="3177">
      <pivotArea dataOnly="0" labelOnly="1" outline="0" fieldPosition="0">
        <references count="3">
          <reference field="0" count="1" selected="0">
            <x v="4"/>
          </reference>
          <reference field="3" count="1" selected="0">
            <x v="53"/>
          </reference>
          <reference field="4" count="6">
            <x v="25"/>
            <x v="26"/>
            <x v="168"/>
            <x v="172"/>
            <x v="176"/>
            <x v="216"/>
          </reference>
        </references>
      </pivotArea>
    </format>
    <format dxfId="3176">
      <pivotArea dataOnly="0" labelOnly="1" outline="0" fieldPosition="0">
        <references count="3">
          <reference field="0" count="1" selected="0">
            <x v="4"/>
          </reference>
          <reference field="3" count="1" selected="0">
            <x v="54"/>
          </reference>
          <reference field="4" count="13">
            <x v="5"/>
            <x v="10"/>
            <x v="15"/>
            <x v="16"/>
            <x v="17"/>
            <x v="18"/>
            <x v="19"/>
            <x v="167"/>
            <x v="172"/>
            <x v="185"/>
            <x v="188"/>
            <x v="198"/>
            <x v="216"/>
          </reference>
        </references>
      </pivotArea>
    </format>
    <format dxfId="3175">
      <pivotArea dataOnly="0" labelOnly="1" outline="0" fieldPosition="0">
        <references count="3">
          <reference field="0" count="1" selected="0">
            <x v="4"/>
          </reference>
          <reference field="3" count="1" selected="0">
            <x v="55"/>
          </reference>
          <reference field="4" count="2">
            <x v="171"/>
            <x v="216"/>
          </reference>
        </references>
      </pivotArea>
    </format>
    <format dxfId="3174">
      <pivotArea dataOnly="0" labelOnly="1" outline="0" fieldPosition="0">
        <references count="3">
          <reference field="0" count="1" selected="0">
            <x v="4"/>
          </reference>
          <reference field="3" count="1" selected="0">
            <x v="56"/>
          </reference>
          <reference field="4" count="7">
            <x v="48"/>
            <x v="49"/>
            <x v="173"/>
            <x v="192"/>
            <x v="193"/>
            <x v="194"/>
            <x v="216"/>
          </reference>
        </references>
      </pivotArea>
    </format>
    <format dxfId="3173">
      <pivotArea dataOnly="0" labelOnly="1" outline="0" fieldPosition="0">
        <references count="3">
          <reference field="0" count="1" selected="0">
            <x v="4"/>
          </reference>
          <reference field="3" count="1" selected="0">
            <x v="57"/>
          </reference>
          <reference field="4" count="4">
            <x v="5"/>
            <x v="167"/>
            <x v="197"/>
            <x v="216"/>
          </reference>
        </references>
      </pivotArea>
    </format>
    <format dxfId="3172">
      <pivotArea dataOnly="0" labelOnly="1" outline="0" fieldPosition="0">
        <references count="3">
          <reference field="0" count="1" selected="0">
            <x v="4"/>
          </reference>
          <reference field="3" count="1" selected="0">
            <x v="58"/>
          </reference>
          <reference field="4" count="3">
            <x v="5"/>
            <x v="197"/>
            <x v="216"/>
          </reference>
        </references>
      </pivotArea>
    </format>
    <format dxfId="3171">
      <pivotArea dataOnly="0" labelOnly="1" outline="0" fieldPosition="0">
        <references count="3">
          <reference field="0" count="1" selected="0">
            <x v="4"/>
          </reference>
          <reference field="3" count="1" selected="0">
            <x v="59"/>
          </reference>
          <reference field="4" count="7">
            <x v="51"/>
            <x v="52"/>
            <x v="180"/>
            <x v="190"/>
            <x v="191"/>
            <x v="196"/>
            <x v="216"/>
          </reference>
        </references>
      </pivotArea>
    </format>
    <format dxfId="3170">
      <pivotArea dataOnly="0" labelOnly="1" outline="0" fieldPosition="0">
        <references count="3">
          <reference field="0" count="1" selected="0">
            <x v="5"/>
          </reference>
          <reference field="3" count="1" selected="0">
            <x v="2"/>
          </reference>
          <reference field="4" count="6">
            <x v="5"/>
            <x v="7"/>
            <x v="24"/>
            <x v="178"/>
            <x v="179"/>
            <x v="216"/>
          </reference>
        </references>
      </pivotArea>
    </format>
    <format dxfId="3169">
      <pivotArea dataOnly="0" labelOnly="1" outline="0" fieldPosition="0">
        <references count="3">
          <reference field="0" count="1" selected="0">
            <x v="5"/>
          </reference>
          <reference field="3" count="1" selected="0">
            <x v="3"/>
          </reference>
          <reference field="4" count="5">
            <x v="5"/>
            <x v="168"/>
            <x v="181"/>
            <x v="203"/>
            <x v="216"/>
          </reference>
        </references>
      </pivotArea>
    </format>
    <format dxfId="3168">
      <pivotArea dataOnly="0" labelOnly="1" outline="0" fieldPosition="0">
        <references count="3">
          <reference field="0" count="1" selected="0">
            <x v="5"/>
          </reference>
          <reference field="3" count="1" selected="0">
            <x v="4"/>
          </reference>
          <reference field="4" count="3">
            <x v="183"/>
            <x v="184"/>
            <x v="216"/>
          </reference>
        </references>
      </pivotArea>
    </format>
    <format dxfId="3167">
      <pivotArea dataOnly="0" labelOnly="1" outline="0" fieldPosition="0">
        <references count="3">
          <reference field="0" count="1" selected="0">
            <x v="5"/>
          </reference>
          <reference field="3" count="1" selected="0">
            <x v="7"/>
          </reference>
          <reference field="4" count="4">
            <x v="5"/>
            <x v="186"/>
            <x v="211"/>
            <x v="216"/>
          </reference>
        </references>
      </pivotArea>
    </format>
    <format dxfId="3166">
      <pivotArea dataOnly="0" labelOnly="1" outline="0" fieldPosition="0">
        <references count="3">
          <reference field="0" count="1" selected="0">
            <x v="5"/>
          </reference>
          <reference field="3" count="1" selected="0">
            <x v="8"/>
          </reference>
          <reference field="4" count="5">
            <x v="38"/>
            <x v="39"/>
            <x v="40"/>
            <x v="41"/>
            <x v="216"/>
          </reference>
        </references>
      </pivotArea>
    </format>
    <format dxfId="3165">
      <pivotArea dataOnly="0" labelOnly="1" outline="0" fieldPosition="0">
        <references count="3">
          <reference field="0" count="1" selected="0">
            <x v="5"/>
          </reference>
          <reference field="3" count="1" selected="0">
            <x v="9"/>
          </reference>
          <reference field="4" count="7">
            <x v="27"/>
            <x v="28"/>
            <x v="29"/>
            <x v="30"/>
            <x v="31"/>
            <x v="37"/>
            <x v="216"/>
          </reference>
        </references>
      </pivotArea>
    </format>
    <format dxfId="3164">
      <pivotArea dataOnly="0" labelOnly="1" outline="0" fieldPosition="0">
        <references count="3">
          <reference field="0" count="1" selected="0">
            <x v="6"/>
          </reference>
          <reference field="3" count="1" selected="0">
            <x v="0"/>
          </reference>
          <reference field="4" count="1">
            <x v="216"/>
          </reference>
        </references>
      </pivotArea>
    </format>
    <format dxfId="3163">
      <pivotArea dataOnly="0" labelOnly="1" outline="0" fieldPosition="0">
        <references count="4">
          <reference field="0" count="1" selected="0">
            <x v="0"/>
          </reference>
          <reference field="3" count="1" selected="0">
            <x v="17"/>
          </reference>
          <reference field="4" count="1" selected="0">
            <x v="216"/>
          </reference>
          <reference field="5" count="3">
            <x v="105"/>
            <x v="187"/>
            <x v="837"/>
          </reference>
        </references>
      </pivotArea>
    </format>
    <format dxfId="3162">
      <pivotArea dataOnly="0" labelOnly="1" outline="0" fieldPosition="0">
        <references count="4">
          <reference field="0" count="1" selected="0">
            <x v="0"/>
          </reference>
          <reference field="3" count="1" selected="0">
            <x v="18"/>
          </reference>
          <reference field="4" count="1" selected="0">
            <x v="216"/>
          </reference>
          <reference field="5" count="23">
            <x v="30"/>
            <x v="112"/>
            <x v="113"/>
            <x v="140"/>
            <x v="141"/>
            <x v="173"/>
            <x v="224"/>
            <x v="225"/>
            <x v="336"/>
            <x v="413"/>
            <x v="838"/>
            <x v="839"/>
            <x v="840"/>
            <x v="841"/>
            <x v="842"/>
            <x v="843"/>
            <x v="844"/>
            <x v="845"/>
            <x v="846"/>
            <x v="847"/>
            <x v="848"/>
            <x v="849"/>
            <x v="850"/>
          </reference>
        </references>
      </pivotArea>
    </format>
    <format dxfId="3161">
      <pivotArea dataOnly="0" labelOnly="1" outline="0" fieldPosition="0">
        <references count="4">
          <reference field="0" count="1" selected="0">
            <x v="0"/>
          </reference>
          <reference field="3" count="1" selected="0">
            <x v="19"/>
          </reference>
          <reference field="4" count="1" selected="0">
            <x v="20"/>
          </reference>
          <reference field="5" count="4">
            <x v="112"/>
            <x v="868"/>
            <x v="875"/>
            <x v="894"/>
          </reference>
        </references>
      </pivotArea>
    </format>
    <format dxfId="3160">
      <pivotArea dataOnly="0" labelOnly="1" outline="0" fieldPosition="0">
        <references count="4">
          <reference field="0" count="1" selected="0">
            <x v="0"/>
          </reference>
          <reference field="3" count="1" selected="0">
            <x v="19"/>
          </reference>
          <reference field="4" count="1" selected="0">
            <x v="106"/>
          </reference>
          <reference field="5" count="38">
            <x v="43"/>
            <x v="65"/>
            <x v="111"/>
            <x v="112"/>
            <x v="121"/>
            <x v="126"/>
            <x v="140"/>
            <x v="173"/>
            <x v="189"/>
            <x v="191"/>
            <x v="215"/>
            <x v="224"/>
            <x v="260"/>
            <x v="283"/>
            <x v="332"/>
            <x v="336"/>
            <x v="943"/>
            <x v="944"/>
            <x v="945"/>
            <x v="946"/>
            <x v="947"/>
            <x v="948"/>
            <x v="949"/>
            <x v="950"/>
            <x v="951"/>
            <x v="952"/>
            <x v="953"/>
            <x v="954"/>
            <x v="955"/>
            <x v="956"/>
            <x v="957"/>
            <x v="958"/>
            <x v="959"/>
            <x v="960"/>
            <x v="961"/>
            <x v="962"/>
            <x v="963"/>
            <x v="964"/>
          </reference>
        </references>
      </pivotArea>
    </format>
    <format dxfId="3159">
      <pivotArea dataOnly="0" labelOnly="1" outline="0" fieldPosition="0">
        <references count="4">
          <reference field="0" count="1" selected="0">
            <x v="0"/>
          </reference>
          <reference field="3" count="1" selected="0">
            <x v="19"/>
          </reference>
          <reference field="4" count="1" selected="0">
            <x v="112"/>
          </reference>
          <reference field="5" count="45">
            <x v="111"/>
            <x v="112"/>
            <x v="113"/>
            <x v="121"/>
            <x v="122"/>
            <x v="140"/>
            <x v="173"/>
            <x v="215"/>
            <x v="224"/>
            <x v="225"/>
            <x v="283"/>
            <x v="331"/>
            <x v="336"/>
            <x v="340"/>
            <x v="344"/>
            <x v="852"/>
            <x v="859"/>
            <x v="860"/>
            <x v="861"/>
            <x v="862"/>
            <x v="863"/>
            <x v="864"/>
            <x v="865"/>
            <x v="866"/>
            <x v="867"/>
            <x v="873"/>
            <x v="874"/>
            <x v="876"/>
            <x v="877"/>
            <x v="878"/>
            <x v="880"/>
            <x v="881"/>
            <x v="882"/>
            <x v="883"/>
            <x v="884"/>
            <x v="885"/>
            <x v="888"/>
            <x v="889"/>
            <x v="890"/>
            <x v="891"/>
            <x v="892"/>
            <x v="893"/>
            <x v="895"/>
            <x v="896"/>
            <x v="897"/>
          </reference>
        </references>
      </pivotArea>
    </format>
    <format dxfId="3158">
      <pivotArea dataOnly="0" labelOnly="1" outline="0" fieldPosition="0">
        <references count="4">
          <reference field="0" count="1" selected="0">
            <x v="0"/>
          </reference>
          <reference field="3" count="1" selected="0">
            <x v="19"/>
          </reference>
          <reference field="4" count="1" selected="0">
            <x v="113"/>
          </reference>
          <reference field="5" count="5">
            <x v="166"/>
            <x v="173"/>
            <x v="330"/>
            <x v="331"/>
            <x v="898"/>
          </reference>
        </references>
      </pivotArea>
    </format>
    <format dxfId="3157">
      <pivotArea dataOnly="0" labelOnly="1" outline="0" fieldPosition="0">
        <references count="4">
          <reference field="0" count="1" selected="0">
            <x v="0"/>
          </reference>
          <reference field="3" count="1" selected="0">
            <x v="19"/>
          </reference>
          <reference field="4" count="1" selected="0">
            <x v="114"/>
          </reference>
          <reference field="5" count="39">
            <x v="43"/>
            <x v="112"/>
            <x v="113"/>
            <x v="129"/>
            <x v="158"/>
            <x v="173"/>
            <x v="201"/>
            <x v="224"/>
            <x v="246"/>
            <x v="260"/>
            <x v="282"/>
            <x v="283"/>
            <x v="302"/>
            <x v="332"/>
            <x v="336"/>
            <x v="899"/>
            <x v="900"/>
            <x v="901"/>
            <x v="902"/>
            <x v="903"/>
            <x v="904"/>
            <x v="905"/>
            <x v="906"/>
            <x v="907"/>
            <x v="908"/>
            <x v="910"/>
            <x v="911"/>
            <x v="912"/>
            <x v="913"/>
            <x v="914"/>
            <x v="915"/>
            <x v="917"/>
            <x v="918"/>
            <x v="919"/>
            <x v="920"/>
            <x v="934"/>
            <x v="935"/>
            <x v="936"/>
            <x v="942"/>
          </reference>
        </references>
      </pivotArea>
    </format>
    <format dxfId="3156">
      <pivotArea dataOnly="0" labelOnly="1" outline="0" fieldPosition="0">
        <references count="4">
          <reference field="0" count="1" selected="0">
            <x v="0"/>
          </reference>
          <reference field="3" count="1" selected="0">
            <x v="19"/>
          </reference>
          <reference field="4" count="1" selected="0">
            <x v="115"/>
          </reference>
          <reference field="5" count="3">
            <x v="349"/>
            <x v="350"/>
            <x v="387"/>
          </reference>
        </references>
      </pivotArea>
    </format>
    <format dxfId="3155">
      <pivotArea dataOnly="0" labelOnly="1" outline="0" fieldPosition="0">
        <references count="4">
          <reference field="0" count="1" selected="0">
            <x v="0"/>
          </reference>
          <reference field="3" count="1" selected="0">
            <x v="19"/>
          </reference>
          <reference field="4" count="1" selected="0">
            <x v="116"/>
          </reference>
          <reference field="5" count="22">
            <x v="41"/>
            <x v="51"/>
            <x v="92"/>
            <x v="95"/>
            <x v="104"/>
            <x v="105"/>
            <x v="115"/>
            <x v="122"/>
            <x v="151"/>
            <x v="279"/>
            <x v="283"/>
            <x v="284"/>
            <x v="313"/>
            <x v="322"/>
            <x v="336"/>
            <x v="927"/>
            <x v="937"/>
            <x v="938"/>
            <x v="939"/>
            <x v="940"/>
            <x v="941"/>
            <x v="1623"/>
          </reference>
        </references>
      </pivotArea>
    </format>
    <format dxfId="3154">
      <pivotArea dataOnly="0" labelOnly="1" outline="0" fieldPosition="0">
        <references count="4">
          <reference field="0" count="1" selected="0">
            <x v="0"/>
          </reference>
          <reference field="3" count="1" selected="0">
            <x v="19"/>
          </reference>
          <reference field="4" count="1" selected="0">
            <x v="117"/>
          </reference>
          <reference field="5" count="19">
            <x v="12"/>
            <x v="58"/>
            <x v="92"/>
            <x v="141"/>
            <x v="191"/>
            <x v="198"/>
            <x v="215"/>
            <x v="278"/>
            <x v="283"/>
            <x v="406"/>
            <x v="407"/>
            <x v="409"/>
            <x v="916"/>
            <x v="922"/>
            <x v="923"/>
            <x v="924"/>
            <x v="925"/>
            <x v="926"/>
            <x v="928"/>
          </reference>
        </references>
      </pivotArea>
    </format>
    <format dxfId="3153">
      <pivotArea dataOnly="0" labelOnly="1" outline="0" fieldPosition="0">
        <references count="4">
          <reference field="0" count="1" selected="0">
            <x v="0"/>
          </reference>
          <reference field="3" count="1" selected="0">
            <x v="19"/>
          </reference>
          <reference field="4" count="1" selected="0">
            <x v="118"/>
          </reference>
          <reference field="5" count="37">
            <x v="15"/>
            <x v="63"/>
            <x v="64"/>
            <x v="66"/>
            <x v="68"/>
            <x v="79"/>
            <x v="80"/>
            <x v="92"/>
            <x v="99"/>
            <x v="123"/>
            <x v="128"/>
            <x v="144"/>
            <x v="146"/>
            <x v="150"/>
            <x v="161"/>
            <x v="191"/>
            <x v="194"/>
            <x v="197"/>
            <x v="198"/>
            <x v="239"/>
            <x v="259"/>
            <x v="260"/>
            <x v="263"/>
            <x v="264"/>
            <x v="276"/>
            <x v="277"/>
            <x v="278"/>
            <x v="279"/>
            <x v="281"/>
            <x v="321"/>
            <x v="909"/>
            <x v="921"/>
            <x v="929"/>
            <x v="930"/>
            <x v="931"/>
            <x v="932"/>
            <x v="933"/>
          </reference>
        </references>
      </pivotArea>
    </format>
    <format dxfId="3152">
      <pivotArea dataOnly="0" labelOnly="1" outline="0" fieldPosition="0">
        <references count="4">
          <reference field="0" count="1" selected="0">
            <x v="0"/>
          </reference>
          <reference field="3" count="1" selected="0">
            <x v="19"/>
          </reference>
          <reference field="4" count="1" selected="0">
            <x v="177"/>
          </reference>
          <reference field="5" count="6">
            <x v="853"/>
            <x v="854"/>
            <x v="855"/>
            <x v="856"/>
            <x v="857"/>
            <x v="858"/>
          </reference>
        </references>
      </pivotArea>
    </format>
    <format dxfId="3151">
      <pivotArea dataOnly="0" labelOnly="1" outline="0" fieldPosition="0">
        <references count="4">
          <reference field="0" count="1" selected="0">
            <x v="0"/>
          </reference>
          <reference field="3" count="1" selected="0">
            <x v="19"/>
          </reference>
          <reference field="4" count="1" selected="0">
            <x v="202"/>
          </reference>
          <reference field="5" count="4">
            <x v="869"/>
            <x v="870"/>
            <x v="871"/>
            <x v="872"/>
          </reference>
        </references>
      </pivotArea>
    </format>
    <format dxfId="3150">
      <pivotArea dataOnly="0" labelOnly="1" outline="0" fieldPosition="0">
        <references count="4">
          <reference field="0" count="1" selected="0">
            <x v="0"/>
          </reference>
          <reference field="3" count="1" selected="0">
            <x v="19"/>
          </reference>
          <reference field="4" count="1" selected="0">
            <x v="216"/>
          </reference>
          <reference field="5" count="27">
            <x v="56"/>
            <x v="105"/>
            <x v="129"/>
            <x v="187"/>
            <x v="215"/>
            <x v="246"/>
            <x v="260"/>
            <x v="272"/>
            <x v="331"/>
            <x v="332"/>
            <x v="337"/>
            <x v="375"/>
            <x v="851"/>
            <x v="879"/>
            <x v="886"/>
            <x v="887"/>
            <x v="965"/>
            <x v="966"/>
            <x v="967"/>
            <x v="968"/>
            <x v="969"/>
            <x v="970"/>
            <x v="971"/>
            <x v="972"/>
            <x v="973"/>
            <x v="974"/>
            <x v="975"/>
          </reference>
        </references>
      </pivotArea>
    </format>
    <format dxfId="3149">
      <pivotArea dataOnly="0" labelOnly="1" outline="0" fieldPosition="0">
        <references count="4">
          <reference field="0" count="1" selected="0">
            <x v="0"/>
          </reference>
          <reference field="3" count="1" selected="0">
            <x v="20"/>
          </reference>
          <reference field="4" count="1" selected="0">
            <x v="128"/>
          </reference>
          <reference field="5" count="4">
            <x v="53"/>
            <x v="107"/>
            <x v="323"/>
            <x v="1035"/>
          </reference>
        </references>
      </pivotArea>
    </format>
    <format dxfId="3148">
      <pivotArea dataOnly="0" labelOnly="1" outline="0" fieldPosition="0">
        <references count="4">
          <reference field="0" count="1" selected="0">
            <x v="0"/>
          </reference>
          <reference field="3" count="1" selected="0">
            <x v="20"/>
          </reference>
          <reference field="4" count="1" selected="0">
            <x v="129"/>
          </reference>
          <reference field="5" count="11">
            <x v="60"/>
            <x v="153"/>
            <x v="208"/>
            <x v="228"/>
            <x v="288"/>
            <x v="296"/>
            <x v="300"/>
            <x v="301"/>
            <x v="1038"/>
            <x v="1039"/>
            <x v="1047"/>
          </reference>
        </references>
      </pivotArea>
    </format>
    <format dxfId="3147">
      <pivotArea dataOnly="0" labelOnly="1" outline="0" fieldPosition="0">
        <references count="4">
          <reference field="0" count="1" selected="0">
            <x v="0"/>
          </reference>
          <reference field="3" count="1" selected="0">
            <x v="20"/>
          </reference>
          <reference field="4" count="1" selected="0">
            <x v="130"/>
          </reference>
          <reference field="5" count="3">
            <x v="54"/>
            <x v="1040"/>
            <x v="1041"/>
          </reference>
        </references>
      </pivotArea>
    </format>
    <format dxfId="3146">
      <pivotArea dataOnly="0" labelOnly="1" outline="0" fieldPosition="0">
        <references count="4">
          <reference field="0" count="1" selected="0">
            <x v="0"/>
          </reference>
          <reference field="3" count="1" selected="0">
            <x v="20"/>
          </reference>
          <reference field="4" count="1" selected="0">
            <x v="131"/>
          </reference>
          <reference field="5" count="4">
            <x v="153"/>
            <x v="208"/>
            <x v="1042"/>
            <x v="1043"/>
          </reference>
        </references>
      </pivotArea>
    </format>
    <format dxfId="3145">
      <pivotArea dataOnly="0" labelOnly="1" outline="0" fieldPosition="0">
        <references count="4">
          <reference field="0" count="1" selected="0">
            <x v="0"/>
          </reference>
          <reference field="3" count="1" selected="0">
            <x v="20"/>
          </reference>
          <reference field="4" count="1" selected="0">
            <x v="132"/>
          </reference>
          <reference field="5" count="4">
            <x v="53"/>
            <x v="107"/>
            <x v="1044"/>
            <x v="1048"/>
          </reference>
        </references>
      </pivotArea>
    </format>
    <format dxfId="3144">
      <pivotArea dataOnly="0" labelOnly="1" outline="0" fieldPosition="0">
        <references count="4">
          <reference field="0" count="1" selected="0">
            <x v="0"/>
          </reference>
          <reference field="3" count="1" selected="0">
            <x v="20"/>
          </reference>
          <reference field="4" count="1" selected="0">
            <x v="133"/>
          </reference>
          <reference field="5" count="6">
            <x v="50"/>
            <x v="60"/>
            <x v="208"/>
            <x v="288"/>
            <x v="1046"/>
            <x v="1049"/>
          </reference>
        </references>
      </pivotArea>
    </format>
    <format dxfId="3143">
      <pivotArea dataOnly="0" labelOnly="1" outline="0" fieldPosition="0">
        <references count="4">
          <reference field="0" count="1" selected="0">
            <x v="0"/>
          </reference>
          <reference field="3" count="1" selected="0">
            <x v="20"/>
          </reference>
          <reference field="4" count="1" selected="0">
            <x v="134"/>
          </reference>
          <reference field="5" count="7">
            <x v="84"/>
            <x v="227"/>
            <x v="306"/>
            <x v="419"/>
            <x v="1036"/>
            <x v="1037"/>
            <x v="1045"/>
          </reference>
        </references>
      </pivotArea>
    </format>
    <format dxfId="3142">
      <pivotArea dataOnly="0" labelOnly="1" outline="0" fieldPosition="0">
        <references count="4">
          <reference field="0" count="1" selected="0">
            <x v="0"/>
          </reference>
          <reference field="3" count="1" selected="0">
            <x v="20"/>
          </reference>
          <reference field="4" count="1" selected="0">
            <x v="135"/>
          </reference>
          <reference field="5" count="7">
            <x v="233"/>
            <x v="286"/>
            <x v="298"/>
            <x v="1050"/>
            <x v="1051"/>
            <x v="1052"/>
            <x v="1053"/>
          </reference>
        </references>
      </pivotArea>
    </format>
    <format dxfId="3141">
      <pivotArea dataOnly="0" labelOnly="1" outline="0" fieldPosition="0">
        <references count="4">
          <reference field="0" count="1" selected="0">
            <x v="0"/>
          </reference>
          <reference field="3" count="1" selected="0">
            <x v="20"/>
          </reference>
          <reference field="4" count="1" selected="0">
            <x v="136"/>
          </reference>
          <reference field="5" count="15">
            <x v="4"/>
            <x v="135"/>
            <x v="219"/>
            <x v="282"/>
            <x v="285"/>
            <x v="297"/>
            <x v="411"/>
            <x v="412"/>
            <x v="425"/>
            <x v="1054"/>
            <x v="1055"/>
            <x v="1056"/>
            <x v="1057"/>
            <x v="1058"/>
            <x v="1059"/>
          </reference>
        </references>
      </pivotArea>
    </format>
    <format dxfId="3140">
      <pivotArea dataOnly="0" labelOnly="1" outline="0" fieldPosition="0">
        <references count="4">
          <reference field="0" count="1" selected="0">
            <x v="0"/>
          </reference>
          <reference field="3" count="1" selected="0">
            <x v="20"/>
          </reference>
          <reference field="4" count="1" selected="0">
            <x v="137"/>
          </reference>
          <reference field="5" count="21">
            <x v="57"/>
            <x v="181"/>
            <x v="223"/>
            <x v="233"/>
            <x v="234"/>
            <x v="235"/>
            <x v="273"/>
            <x v="286"/>
            <x v="287"/>
            <x v="289"/>
            <x v="298"/>
            <x v="299"/>
            <x v="300"/>
            <x v="310"/>
            <x v="354"/>
            <x v="415"/>
            <x v="977"/>
            <x v="1010"/>
            <x v="1021"/>
            <x v="1024"/>
            <x v="1025"/>
          </reference>
        </references>
      </pivotArea>
    </format>
    <format dxfId="3139">
      <pivotArea dataOnly="0" labelOnly="1" outline="0" fieldPosition="0">
        <references count="4">
          <reference field="0" count="1" selected="0">
            <x v="0"/>
          </reference>
          <reference field="3" count="1" selected="0">
            <x v="20"/>
          </reference>
          <reference field="4" count="1" selected="0">
            <x v="138"/>
          </reference>
          <reference field="5" count="5">
            <x v="222"/>
            <x v="288"/>
            <x v="416"/>
            <x v="417"/>
            <x v="1033"/>
          </reference>
        </references>
      </pivotArea>
    </format>
    <format dxfId="3138">
      <pivotArea dataOnly="0" labelOnly="1" outline="0" fieldPosition="0">
        <references count="4">
          <reference field="0" count="1" selected="0">
            <x v="0"/>
          </reference>
          <reference field="3" count="1" selected="0">
            <x v="20"/>
          </reference>
          <reference field="4" count="1" selected="0">
            <x v="139"/>
          </reference>
          <reference field="5" count="5">
            <x v="288"/>
            <x v="298"/>
            <x v="300"/>
            <x v="988"/>
            <x v="1017"/>
          </reference>
        </references>
      </pivotArea>
    </format>
    <format dxfId="3137">
      <pivotArea dataOnly="0" labelOnly="1" outline="0" fieldPosition="0">
        <references count="4">
          <reference field="0" count="1" selected="0">
            <x v="0"/>
          </reference>
          <reference field="3" count="1" selected="0">
            <x v="20"/>
          </reference>
          <reference field="4" count="1" selected="0">
            <x v="140"/>
          </reference>
          <reference field="5" count="4">
            <x v="222"/>
            <x v="416"/>
            <x v="417"/>
            <x v="1034"/>
          </reference>
        </references>
      </pivotArea>
    </format>
    <format dxfId="3136">
      <pivotArea dataOnly="0" labelOnly="1" outline="0" fieldPosition="0">
        <references count="4">
          <reference field="0" count="1" selected="0">
            <x v="0"/>
          </reference>
          <reference field="3" count="1" selected="0">
            <x v="20"/>
          </reference>
          <reference field="4" count="1" selected="0">
            <x v="141"/>
          </reference>
          <reference field="5" count="5">
            <x v="288"/>
            <x v="298"/>
            <x v="300"/>
            <x v="999"/>
            <x v="1018"/>
          </reference>
        </references>
      </pivotArea>
    </format>
    <format dxfId="3135">
      <pivotArea dataOnly="0" labelOnly="1" outline="0" fieldPosition="0">
        <references count="4">
          <reference field="0" count="1" selected="0">
            <x v="0"/>
          </reference>
          <reference field="3" count="1" selected="0">
            <x v="20"/>
          </reference>
          <reference field="4" count="1" selected="0">
            <x v="142"/>
          </reference>
          <reference field="5" count="3">
            <x v="387"/>
            <x v="1061"/>
            <x v="1062"/>
          </reference>
        </references>
      </pivotArea>
    </format>
    <format dxfId="3134">
      <pivotArea dataOnly="0" labelOnly="1" outline="0" fieldPosition="0">
        <references count="4">
          <reference field="0" count="1" selected="0">
            <x v="0"/>
          </reference>
          <reference field="3" count="1" selected="0">
            <x v="20"/>
          </reference>
          <reference field="4" count="1" selected="0">
            <x v="143"/>
          </reference>
          <reference field="5" count="14">
            <x v="81"/>
            <x v="182"/>
            <x v="186"/>
            <x v="226"/>
            <x v="230"/>
            <x v="236"/>
            <x v="267"/>
            <x v="285"/>
            <x v="287"/>
            <x v="288"/>
            <x v="297"/>
            <x v="299"/>
            <x v="978"/>
            <x v="1004"/>
          </reference>
        </references>
      </pivotArea>
    </format>
    <format dxfId="3133">
      <pivotArea dataOnly="0" labelOnly="1" outline="0" fieldPosition="0">
        <references count="4">
          <reference field="0" count="1" selected="0">
            <x v="0"/>
          </reference>
          <reference field="3" count="1" selected="0">
            <x v="20"/>
          </reference>
          <reference field="4" count="1" selected="0">
            <x v="144"/>
          </reference>
          <reference field="5" count="6">
            <x v="219"/>
            <x v="285"/>
            <x v="297"/>
            <x v="401"/>
            <x v="402"/>
            <x v="1002"/>
          </reference>
        </references>
      </pivotArea>
    </format>
    <format dxfId="3132">
      <pivotArea dataOnly="0" labelOnly="1" outline="0" fieldPosition="0">
        <references count="4">
          <reference field="0" count="1" selected="0">
            <x v="0"/>
          </reference>
          <reference field="3" count="1" selected="0">
            <x v="20"/>
          </reference>
          <reference field="4" count="1" selected="0">
            <x v="145"/>
          </reference>
          <reference field="5" count="5">
            <x v="67"/>
            <x v="229"/>
            <x v="998"/>
            <x v="1000"/>
            <x v="1001"/>
          </reference>
        </references>
      </pivotArea>
    </format>
    <format dxfId="3131">
      <pivotArea dataOnly="0" labelOnly="1" outline="0" fieldPosition="0">
        <references count="4">
          <reference field="0" count="1" selected="0">
            <x v="0"/>
          </reference>
          <reference field="3" count="1" selected="0">
            <x v="20"/>
          </reference>
          <reference field="4" count="1" selected="0">
            <x v="146"/>
          </reference>
          <reference field="5" count="7">
            <x v="57"/>
            <x v="219"/>
            <x v="401"/>
            <x v="402"/>
            <x v="997"/>
            <x v="1028"/>
            <x v="1029"/>
          </reference>
        </references>
      </pivotArea>
    </format>
    <format dxfId="3130">
      <pivotArea dataOnly="0" labelOnly="1" outline="0" fieldPosition="0">
        <references count="4">
          <reference field="0" count="1" selected="0">
            <x v="0"/>
          </reference>
          <reference field="3" count="1" selected="0">
            <x v="20"/>
          </reference>
          <reference field="4" count="1" selected="0">
            <x v="147"/>
          </reference>
          <reference field="5" count="5">
            <x v="67"/>
            <x v="229"/>
            <x v="998"/>
            <x v="1000"/>
            <x v="1001"/>
          </reference>
        </references>
      </pivotArea>
    </format>
    <format dxfId="3129">
      <pivotArea dataOnly="0" labelOnly="1" outline="0" fieldPosition="0">
        <references count="4">
          <reference field="0" count="1" selected="0">
            <x v="0"/>
          </reference>
          <reference field="3" count="1" selected="0">
            <x v="20"/>
          </reference>
          <reference field="4" count="1" selected="0">
            <x v="148"/>
          </reference>
          <reference field="5" count="6">
            <x v="223"/>
            <x v="273"/>
            <x v="307"/>
            <x v="354"/>
            <x v="1003"/>
            <x v="1027"/>
          </reference>
        </references>
      </pivotArea>
    </format>
    <format dxfId="3128">
      <pivotArea dataOnly="0" labelOnly="1" outline="0" fieldPosition="0">
        <references count="4">
          <reference field="0" count="1" selected="0">
            <x v="0"/>
          </reference>
          <reference field="3" count="1" selected="0">
            <x v="20"/>
          </reference>
          <reference field="4" count="1" selected="0">
            <x v="149"/>
          </reference>
          <reference field="5" count="5">
            <x v="55"/>
            <x v="217"/>
            <x v="232"/>
            <x v="979"/>
            <x v="984"/>
          </reference>
        </references>
      </pivotArea>
    </format>
    <format dxfId="3127">
      <pivotArea dataOnly="0" labelOnly="1" outline="0" fieldPosition="0">
        <references count="4">
          <reference field="0" count="1" selected="0">
            <x v="0"/>
          </reference>
          <reference field="3" count="1" selected="0">
            <x v="20"/>
          </reference>
          <reference field="4" count="1" selected="0">
            <x v="150"/>
          </reference>
          <reference field="5" count="3">
            <x v="297"/>
            <x v="980"/>
            <x v="981"/>
          </reference>
        </references>
      </pivotArea>
    </format>
    <format dxfId="3126">
      <pivotArea dataOnly="0" labelOnly="1" outline="0" fieldPosition="0">
        <references count="4">
          <reference field="0" count="1" selected="0">
            <x v="0"/>
          </reference>
          <reference field="3" count="1" selected="0">
            <x v="20"/>
          </reference>
          <reference field="4" count="1" selected="0">
            <x v="151"/>
          </reference>
          <reference field="5" count="3">
            <x v="297"/>
            <x v="982"/>
            <x v="983"/>
          </reference>
        </references>
      </pivotArea>
    </format>
    <format dxfId="3125">
      <pivotArea dataOnly="0" labelOnly="1" outline="0" fieldPosition="0">
        <references count="4">
          <reference field="0" count="1" selected="0">
            <x v="0"/>
          </reference>
          <reference field="3" count="1" selected="0">
            <x v="20"/>
          </reference>
          <reference field="4" count="1" selected="0">
            <x v="152"/>
          </reference>
          <reference field="5" count="3">
            <x v="153"/>
            <x v="183"/>
            <x v="985"/>
          </reference>
        </references>
      </pivotArea>
    </format>
    <format dxfId="3124">
      <pivotArea dataOnly="0" labelOnly="1" outline="0" fieldPosition="0">
        <references count="4">
          <reference field="0" count="1" selected="0">
            <x v="0"/>
          </reference>
          <reference field="3" count="1" selected="0">
            <x v="20"/>
          </reference>
          <reference field="4" count="1" selected="0">
            <x v="153"/>
          </reference>
          <reference field="5" count="6">
            <x v="82"/>
            <x v="226"/>
            <x v="231"/>
            <x v="986"/>
            <x v="987"/>
            <x v="993"/>
          </reference>
        </references>
      </pivotArea>
    </format>
    <format dxfId="3123">
      <pivotArea dataOnly="0" labelOnly="1" outline="0" fieldPosition="0">
        <references count="4">
          <reference field="0" count="1" selected="0">
            <x v="0"/>
          </reference>
          <reference field="3" count="1" selected="0">
            <x v="20"/>
          </reference>
          <reference field="4" count="1" selected="0">
            <x v="154"/>
          </reference>
          <reference field="5" count="5">
            <x v="297"/>
            <x v="305"/>
            <x v="307"/>
            <x v="989"/>
            <x v="990"/>
          </reference>
        </references>
      </pivotArea>
    </format>
    <format dxfId="3122">
      <pivotArea dataOnly="0" labelOnly="1" outline="0" fieldPosition="0">
        <references count="4">
          <reference field="0" count="1" selected="0">
            <x v="0"/>
          </reference>
          <reference field="3" count="1" selected="0">
            <x v="20"/>
          </reference>
          <reference field="4" count="1" selected="0">
            <x v="155"/>
          </reference>
          <reference field="5" count="5">
            <x v="297"/>
            <x v="305"/>
            <x v="307"/>
            <x v="991"/>
            <x v="992"/>
          </reference>
        </references>
      </pivotArea>
    </format>
    <format dxfId="3121">
      <pivotArea dataOnly="0" labelOnly="1" outline="0" fieldPosition="0">
        <references count="4">
          <reference field="0" count="1" selected="0">
            <x v="0"/>
          </reference>
          <reference field="3" count="1" selected="0">
            <x v="20"/>
          </reference>
          <reference field="4" count="1" selected="0">
            <x v="156"/>
          </reference>
          <reference field="5" count="3">
            <x v="305"/>
            <x v="994"/>
            <x v="995"/>
          </reference>
        </references>
      </pivotArea>
    </format>
    <format dxfId="3120">
      <pivotArea dataOnly="0" labelOnly="1" outline="0" fieldPosition="0">
        <references count="4">
          <reference field="0" count="1" selected="0">
            <x v="0"/>
          </reference>
          <reference field="3" count="1" selected="0">
            <x v="20"/>
          </reference>
          <reference field="4" count="1" selected="0">
            <x v="157"/>
          </reference>
          <reference field="5" count="3">
            <x v="305"/>
            <x v="996"/>
            <x v="997"/>
          </reference>
        </references>
      </pivotArea>
    </format>
    <format dxfId="3119">
      <pivotArea dataOnly="0" labelOnly="1" outline="0" fieldPosition="0">
        <references count="4">
          <reference field="0" count="1" selected="0">
            <x v="0"/>
          </reference>
          <reference field="3" count="1" selected="0">
            <x v="20"/>
          </reference>
          <reference field="4" count="1" selected="0">
            <x v="158"/>
          </reference>
          <reference field="5" count="6">
            <x v="221"/>
            <x v="286"/>
            <x v="298"/>
            <x v="317"/>
            <x v="1005"/>
            <x v="1016"/>
          </reference>
        </references>
      </pivotArea>
    </format>
    <format dxfId="3118">
      <pivotArea dataOnly="0" labelOnly="1" outline="0" fieldPosition="0">
        <references count="4">
          <reference field="0" count="1" selected="0">
            <x v="0"/>
          </reference>
          <reference field="3" count="1" selected="0">
            <x v="20"/>
          </reference>
          <reference field="4" count="1" selected="0">
            <x v="159"/>
          </reference>
          <reference field="5" count="8">
            <x v="83"/>
            <x v="220"/>
            <x v="285"/>
            <x v="297"/>
            <x v="1012"/>
            <x v="1013"/>
            <x v="1014"/>
            <x v="1015"/>
          </reference>
        </references>
      </pivotArea>
    </format>
    <format dxfId="3117">
      <pivotArea dataOnly="0" labelOnly="1" outline="0" fieldPosition="0">
        <references count="4">
          <reference field="0" count="1" selected="0">
            <x v="0"/>
          </reference>
          <reference field="3" count="1" selected="0">
            <x v="20"/>
          </reference>
          <reference field="4" count="1" selected="0">
            <x v="160"/>
          </reference>
          <reference field="5" count="10">
            <x v="83"/>
            <x v="220"/>
            <x v="285"/>
            <x v="297"/>
            <x v="1006"/>
            <x v="1007"/>
            <x v="1008"/>
            <x v="1009"/>
            <x v="1011"/>
            <x v="1012"/>
          </reference>
        </references>
      </pivotArea>
    </format>
    <format dxfId="3116">
      <pivotArea dataOnly="0" labelOnly="1" outline="0" fieldPosition="0">
        <references count="4">
          <reference field="0" count="1" selected="0">
            <x v="0"/>
          </reference>
          <reference field="3" count="1" selected="0">
            <x v="20"/>
          </reference>
          <reference field="4" count="1" selected="0">
            <x v="161"/>
          </reference>
          <reference field="5" count="6">
            <x v="185"/>
            <x v="207"/>
            <x v="298"/>
            <x v="312"/>
            <x v="1019"/>
            <x v="1026"/>
          </reference>
        </references>
      </pivotArea>
    </format>
    <format dxfId="3115">
      <pivotArea dataOnly="0" labelOnly="1" outline="0" fieldPosition="0">
        <references count="4">
          <reference field="0" count="1" selected="0">
            <x v="0"/>
          </reference>
          <reference field="3" count="1" selected="0">
            <x v="20"/>
          </reference>
          <reference field="4" count="1" selected="0">
            <x v="162"/>
          </reference>
          <reference field="5" count="6">
            <x v="185"/>
            <x v="207"/>
            <x v="298"/>
            <x v="312"/>
            <x v="1020"/>
            <x v="1030"/>
          </reference>
        </references>
      </pivotArea>
    </format>
    <format dxfId="3114">
      <pivotArea dataOnly="0" labelOnly="1" outline="0" fieldPosition="0">
        <references count="4">
          <reference field="0" count="1" selected="0">
            <x v="0"/>
          </reference>
          <reference field="3" count="1" selected="0">
            <x v="20"/>
          </reference>
          <reference field="4" count="1" selected="0">
            <x v="163"/>
          </reference>
          <reference field="5" count="6">
            <x v="184"/>
            <x v="207"/>
            <x v="298"/>
            <x v="312"/>
            <x v="1022"/>
            <x v="1031"/>
          </reference>
        </references>
      </pivotArea>
    </format>
    <format dxfId="3113">
      <pivotArea dataOnly="0" labelOnly="1" outline="0" fieldPosition="0">
        <references count="4">
          <reference field="0" count="1" selected="0">
            <x v="0"/>
          </reference>
          <reference field="3" count="1" selected="0">
            <x v="20"/>
          </reference>
          <reference field="4" count="1" selected="0">
            <x v="164"/>
          </reference>
          <reference field="5" count="6">
            <x v="184"/>
            <x v="207"/>
            <x v="298"/>
            <x v="312"/>
            <x v="1023"/>
            <x v="1032"/>
          </reference>
        </references>
      </pivotArea>
    </format>
    <format dxfId="3112">
      <pivotArea dataOnly="0" labelOnly="1" outline="0" fieldPosition="0">
        <references count="4">
          <reference field="0" count="1" selected="0">
            <x v="0"/>
          </reference>
          <reference field="3" count="1" selected="0">
            <x v="20"/>
          </reference>
          <reference field="4" count="1" selected="0">
            <x v="216"/>
          </reference>
          <reference field="5" count="8">
            <x v="183"/>
            <x v="220"/>
            <x v="285"/>
            <x v="288"/>
            <x v="297"/>
            <x v="300"/>
            <x v="976"/>
            <x v="1060"/>
          </reference>
        </references>
      </pivotArea>
    </format>
    <format dxfId="3111">
      <pivotArea dataOnly="0" labelOnly="1" outline="0" fieldPosition="0">
        <references count="4">
          <reference field="0" count="1" selected="0">
            <x v="1"/>
          </reference>
          <reference field="3" count="1" selected="0">
            <x v="1"/>
          </reference>
          <reference field="4" count="1" selected="0">
            <x v="169"/>
          </reference>
          <reference field="5" count="3">
            <x v="1521"/>
            <x v="1522"/>
            <x v="1626"/>
          </reference>
        </references>
      </pivotArea>
    </format>
    <format dxfId="3110">
      <pivotArea dataOnly="0" labelOnly="1" outline="0" fieldPosition="0">
        <references count="4">
          <reference field="0" count="1" selected="0">
            <x v="1"/>
          </reference>
          <reference field="3" count="1" selected="0">
            <x v="1"/>
          </reference>
          <reference field="4" count="1" selected="0">
            <x v="171"/>
          </reference>
          <reference field="5" count="3">
            <x v="1524"/>
            <x v="1528"/>
            <x v="1628"/>
          </reference>
        </references>
      </pivotArea>
    </format>
    <format dxfId="3109">
      <pivotArea dataOnly="0" labelOnly="1" outline="0" fieldPosition="0">
        <references count="4">
          <reference field="0" count="1" selected="0">
            <x v="1"/>
          </reference>
          <reference field="3" count="1" selected="0">
            <x v="1"/>
          </reference>
          <reference field="4" count="1" selected="0">
            <x v="173"/>
          </reference>
          <reference field="5" count="3">
            <x v="1526"/>
            <x v="1529"/>
            <x v="1628"/>
          </reference>
        </references>
      </pivotArea>
    </format>
    <format dxfId="3108">
      <pivotArea dataOnly="0" labelOnly="1" outline="0" fieldPosition="0">
        <references count="4">
          <reference field="0" count="1" selected="0">
            <x v="1"/>
          </reference>
          <reference field="3" count="1" selected="0">
            <x v="1"/>
          </reference>
          <reference field="4" count="1" selected="0">
            <x v="187"/>
          </reference>
          <reference field="5" count="3">
            <x v="252"/>
            <x v="1537"/>
            <x v="1560"/>
          </reference>
        </references>
      </pivotArea>
    </format>
    <format dxfId="3107">
      <pivotArea dataOnly="0" labelOnly="1" outline="0" fieldPosition="0">
        <references count="4">
          <reference field="0" count="1" selected="0">
            <x v="1"/>
          </reference>
          <reference field="3" count="1" selected="0">
            <x v="1"/>
          </reference>
          <reference field="4" count="1" selected="0">
            <x v="209"/>
          </reference>
          <reference field="5" count="2">
            <x v="1626"/>
            <x v="1631"/>
          </reference>
        </references>
      </pivotArea>
    </format>
    <format dxfId="3106">
      <pivotArea dataOnly="0" labelOnly="1" outline="0" fieldPosition="0">
        <references count="4">
          <reference field="0" count="1" selected="0">
            <x v="1"/>
          </reference>
          <reference field="3" count="1" selected="0">
            <x v="1"/>
          </reference>
          <reference field="4" count="1" selected="0">
            <x v="216"/>
          </reference>
          <reference field="5" count="12">
            <x v="148"/>
            <x v="167"/>
            <x v="363"/>
            <x v="367"/>
            <x v="373"/>
            <x v="394"/>
            <x v="434"/>
            <x v="435"/>
            <x v="436"/>
            <x v="437"/>
            <x v="438"/>
            <x v="1616"/>
          </reference>
        </references>
      </pivotArea>
    </format>
    <format dxfId="3105">
      <pivotArea dataOnly="0" labelOnly="1" outline="0" fieldPosition="0">
        <references count="4">
          <reference field="0" count="1" selected="0">
            <x v="1"/>
          </reference>
          <reference field="3" count="1" selected="0">
            <x v="21"/>
          </reference>
          <reference field="4" count="1" selected="0">
            <x v="5"/>
          </reference>
          <reference field="5" count="3">
            <x v="349"/>
            <x v="350"/>
            <x v="387"/>
          </reference>
        </references>
      </pivotArea>
    </format>
    <format dxfId="3104">
      <pivotArea dataOnly="0" labelOnly="1" outline="0" fieldPosition="0">
        <references count="4">
          <reference field="0" count="1" selected="0">
            <x v="1"/>
          </reference>
          <reference field="3" count="1" selected="0">
            <x v="21"/>
          </reference>
          <reference field="4" count="1" selected="0">
            <x v="7"/>
          </reference>
          <reference field="5" count="2">
            <x v="7"/>
            <x v="387"/>
          </reference>
        </references>
      </pivotArea>
    </format>
    <format dxfId="3103">
      <pivotArea dataOnly="0" labelOnly="1" outline="0" fieldPosition="0">
        <references count="4">
          <reference field="0" count="1" selected="0">
            <x v="1"/>
          </reference>
          <reference field="3" count="1" selected="0">
            <x v="21"/>
          </reference>
          <reference field="4" count="1" selected="0">
            <x v="53"/>
          </reference>
          <reference field="5" count="7">
            <x v="17"/>
            <x v="38"/>
            <x v="134"/>
            <x v="213"/>
            <x v="432"/>
            <x v="1069"/>
            <x v="1070"/>
          </reference>
        </references>
      </pivotArea>
    </format>
    <format dxfId="3102">
      <pivotArea dataOnly="0" labelOnly="1" outline="0" fieldPosition="0">
        <references count="4">
          <reference field="0" count="1" selected="0">
            <x v="1"/>
          </reference>
          <reference field="3" count="1" selected="0">
            <x v="21"/>
          </reference>
          <reference field="4" count="1" selected="0">
            <x v="66"/>
          </reference>
          <reference field="5" count="9">
            <x v="18"/>
            <x v="37"/>
            <x v="39"/>
            <x v="40"/>
            <x v="134"/>
            <x v="213"/>
            <x v="432"/>
            <x v="1591"/>
            <x v="1592"/>
          </reference>
        </references>
      </pivotArea>
    </format>
    <format dxfId="3101">
      <pivotArea dataOnly="0" labelOnly="1" outline="0" fieldPosition="0">
        <references count="4">
          <reference field="0" count="1" selected="0">
            <x v="1"/>
          </reference>
          <reference field="3" count="1" selected="0">
            <x v="21"/>
          </reference>
          <reference field="4" count="1" selected="0">
            <x v="174"/>
          </reference>
          <reference field="5" count="5">
            <x v="1063"/>
            <x v="1064"/>
            <x v="1608"/>
            <x v="1609"/>
            <x v="1610"/>
          </reference>
        </references>
      </pivotArea>
    </format>
    <format dxfId="3100">
      <pivotArea dataOnly="0" labelOnly="1" outline="0" fieldPosition="0">
        <references count="4">
          <reference field="0" count="1" selected="0">
            <x v="1"/>
          </reference>
          <reference field="3" count="1" selected="0">
            <x v="21"/>
          </reference>
          <reference field="4" count="1" selected="0">
            <x v="175"/>
          </reference>
          <reference field="5" count="3">
            <x v="252"/>
            <x v="1537"/>
            <x v="1560"/>
          </reference>
        </references>
      </pivotArea>
    </format>
    <format dxfId="3099">
      <pivotArea dataOnly="0" labelOnly="1" outline="0" fieldPosition="0">
        <references count="4">
          <reference field="0" count="1" selected="0">
            <x v="1"/>
          </reference>
          <reference field="3" count="1" selected="0">
            <x v="21"/>
          </reference>
          <reference field="4" count="1" selected="0">
            <x v="201"/>
          </reference>
          <reference field="5" count="3">
            <x v="126"/>
            <x v="1589"/>
            <x v="1590"/>
          </reference>
        </references>
      </pivotArea>
    </format>
    <format dxfId="3098">
      <pivotArea dataOnly="0" labelOnly="1" outline="0" fieldPosition="0">
        <references count="4">
          <reference field="0" count="1" selected="0">
            <x v="1"/>
          </reference>
          <reference field="3" count="1" selected="0">
            <x v="21"/>
          </reference>
          <reference field="4" count="1" selected="0">
            <x v="212"/>
          </reference>
          <reference field="5" count="12">
            <x v="96"/>
            <x v="146"/>
            <x v="161"/>
            <x v="281"/>
            <x v="1067"/>
            <x v="1320"/>
            <x v="1321"/>
            <x v="1322"/>
            <x v="1323"/>
            <x v="1324"/>
            <x v="1325"/>
            <x v="1326"/>
          </reference>
        </references>
      </pivotArea>
    </format>
    <format dxfId="3097">
      <pivotArea dataOnly="0" labelOnly="1" outline="0" fieldPosition="0">
        <references count="4">
          <reference field="0" count="1" selected="0">
            <x v="1"/>
          </reference>
          <reference field="3" count="1" selected="0">
            <x v="21"/>
          </reference>
          <reference field="4" count="1" selected="0">
            <x v="216"/>
          </reference>
          <reference field="5" count="30">
            <x v="44"/>
            <x v="115"/>
            <x v="116"/>
            <x v="121"/>
            <x v="122"/>
            <x v="136"/>
            <x v="140"/>
            <x v="146"/>
            <x v="148"/>
            <x v="160"/>
            <x v="161"/>
            <x v="163"/>
            <x v="166"/>
            <x v="170"/>
            <x v="172"/>
            <x v="203"/>
            <x v="213"/>
            <x v="214"/>
            <x v="215"/>
            <x v="224"/>
            <x v="295"/>
            <x v="302"/>
            <x v="309"/>
            <x v="310"/>
            <x v="336"/>
            <x v="351"/>
            <x v="374"/>
            <x v="1065"/>
            <x v="1066"/>
            <x v="1068"/>
          </reference>
        </references>
      </pivotArea>
    </format>
    <format dxfId="3096">
      <pivotArea dataOnly="0" labelOnly="1" outline="0" fieldPosition="0">
        <references count="4">
          <reference field="0" count="1" selected="0">
            <x v="1"/>
          </reference>
          <reference field="3" count="1" selected="0">
            <x v="22"/>
          </reference>
          <reference field="4" count="1" selected="0">
            <x v="216"/>
          </reference>
          <reference field="5" count="50">
            <x v="30"/>
            <x v="112"/>
            <x v="120"/>
            <x v="122"/>
            <x v="140"/>
            <x v="141"/>
            <x v="167"/>
            <x v="172"/>
            <x v="215"/>
            <x v="224"/>
            <x v="281"/>
            <x v="282"/>
            <x v="283"/>
            <x v="336"/>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reference>
        </references>
      </pivotArea>
    </format>
    <format dxfId="3095">
      <pivotArea dataOnly="0" labelOnly="1" outline="0" fieldPosition="0">
        <references count="4">
          <reference field="0" count="1" selected="0">
            <x v="1"/>
          </reference>
          <reference field="3" count="1" selected="0">
            <x v="22"/>
          </reference>
          <reference field="4" count="1" selected="0">
            <x v="216"/>
          </reference>
          <reference field="5" count="5">
            <x v="1107"/>
            <x v="1108"/>
            <x v="1109"/>
            <x v="1110"/>
            <x v="1111"/>
          </reference>
        </references>
      </pivotArea>
    </format>
    <format dxfId="3094">
      <pivotArea dataOnly="0" labelOnly="1" outline="0" fieldPosition="0">
        <references count="4">
          <reference field="0" count="1" selected="0">
            <x v="1"/>
          </reference>
          <reference field="3" count="1" selected="0">
            <x v="23"/>
          </reference>
          <reference field="4" count="1" selected="0">
            <x v="5"/>
          </reference>
          <reference field="5" count="3">
            <x v="349"/>
            <x v="350"/>
            <x v="387"/>
          </reference>
        </references>
      </pivotArea>
    </format>
    <format dxfId="3093">
      <pivotArea dataOnly="0" labelOnly="1" outline="0" fieldPosition="0">
        <references count="4">
          <reference field="0" count="1" selected="0">
            <x v="1"/>
          </reference>
          <reference field="3" count="1" selected="0">
            <x v="23"/>
          </reference>
          <reference field="4" count="1" selected="0">
            <x v="54"/>
          </reference>
          <reference field="5" count="4">
            <x v="259"/>
            <x v="1114"/>
            <x v="1115"/>
            <x v="1116"/>
          </reference>
        </references>
      </pivotArea>
    </format>
    <format dxfId="3092">
      <pivotArea dataOnly="0" labelOnly="1" outline="0" fieldPosition="0">
        <references count="4">
          <reference field="0" count="1" selected="0">
            <x v="1"/>
          </reference>
          <reference field="3" count="1" selected="0">
            <x v="23"/>
          </reference>
          <reference field="4" count="1" selected="0">
            <x v="55"/>
          </reference>
          <reference field="5" count="11">
            <x v="91"/>
            <x v="98"/>
            <x v="115"/>
            <x v="146"/>
            <x v="157"/>
            <x v="162"/>
            <x v="237"/>
            <x v="271"/>
            <x v="315"/>
            <x v="389"/>
            <x v="1122"/>
          </reference>
        </references>
      </pivotArea>
    </format>
    <format dxfId="3091">
      <pivotArea dataOnly="0" labelOnly="1" outline="0" fieldPosition="0">
        <references count="4">
          <reference field="0" count="1" selected="0">
            <x v="1"/>
          </reference>
          <reference field="3" count="1" selected="0">
            <x v="23"/>
          </reference>
          <reference field="4" count="1" selected="0">
            <x v="56"/>
          </reference>
          <reference field="5" count="4">
            <x v="156"/>
            <x v="279"/>
            <x v="1141"/>
            <x v="1142"/>
          </reference>
        </references>
      </pivotArea>
    </format>
    <format dxfId="3090">
      <pivotArea dataOnly="0" labelOnly="1" outline="0" fieldPosition="0">
        <references count="4">
          <reference field="0" count="1" selected="0">
            <x v="1"/>
          </reference>
          <reference field="3" count="1" selected="0">
            <x v="23"/>
          </reference>
          <reference field="4" count="1" selected="0">
            <x v="57"/>
          </reference>
          <reference field="5" count="6">
            <x v="70"/>
            <x v="279"/>
            <x v="281"/>
            <x v="282"/>
            <x v="1136"/>
            <x v="1137"/>
          </reference>
        </references>
      </pivotArea>
    </format>
    <format dxfId="3089">
      <pivotArea dataOnly="0" labelOnly="1" outline="0" fieldPosition="0">
        <references count="4">
          <reference field="0" count="1" selected="0">
            <x v="1"/>
          </reference>
          <reference field="3" count="1" selected="0">
            <x v="23"/>
          </reference>
          <reference field="4" count="1" selected="0">
            <x v="58"/>
          </reference>
          <reference field="5" count="6">
            <x v="70"/>
            <x v="209"/>
            <x v="279"/>
            <x v="281"/>
            <x v="1134"/>
            <x v="1135"/>
          </reference>
        </references>
      </pivotArea>
    </format>
    <format dxfId="3088">
      <pivotArea dataOnly="0" labelOnly="1" outline="0" fieldPosition="0">
        <references count="4">
          <reference field="0" count="1" selected="0">
            <x v="1"/>
          </reference>
          <reference field="3" count="1" selected="0">
            <x v="23"/>
          </reference>
          <reference field="4" count="1" selected="0">
            <x v="59"/>
          </reference>
          <reference field="5" count="10">
            <x v="69"/>
            <x v="90"/>
            <x v="99"/>
            <x v="159"/>
            <x v="212"/>
            <x v="237"/>
            <x v="269"/>
            <x v="1125"/>
            <x v="1126"/>
            <x v="1131"/>
          </reference>
        </references>
      </pivotArea>
    </format>
    <format dxfId="3087">
      <pivotArea dataOnly="0" labelOnly="1" outline="0" fieldPosition="0">
        <references count="4">
          <reference field="0" count="1" selected="0">
            <x v="1"/>
          </reference>
          <reference field="3" count="1" selected="0">
            <x v="23"/>
          </reference>
          <reference field="4" count="1" selected="0">
            <x v="60"/>
          </reference>
          <reference field="5" count="3">
            <x v="244"/>
            <x v="1134"/>
            <x v="1135"/>
          </reference>
        </references>
      </pivotArea>
    </format>
    <format dxfId="3086">
      <pivotArea dataOnly="0" labelOnly="1" outline="0" fieldPosition="0">
        <references count="4">
          <reference field="0" count="1" selected="0">
            <x v="1"/>
          </reference>
          <reference field="3" count="1" selected="0">
            <x v="23"/>
          </reference>
          <reference field="4" count="1" selected="0">
            <x v="61"/>
          </reference>
          <reference field="5" count="3">
            <x v="281"/>
            <x v="1127"/>
            <x v="1128"/>
          </reference>
        </references>
      </pivotArea>
    </format>
    <format dxfId="3085">
      <pivotArea dataOnly="0" labelOnly="1" outline="0" fieldPosition="0">
        <references count="4">
          <reference field="0" count="1" selected="0">
            <x v="1"/>
          </reference>
          <reference field="3" count="1" selected="0">
            <x v="23"/>
          </reference>
          <reference field="4" count="1" selected="0">
            <x v="62"/>
          </reference>
          <reference field="5" count="3">
            <x v="279"/>
            <x v="1132"/>
            <x v="1133"/>
          </reference>
        </references>
      </pivotArea>
    </format>
    <format dxfId="3084">
      <pivotArea dataOnly="0" labelOnly="1" outline="0" fieldPosition="0">
        <references count="4">
          <reference field="0" count="1" selected="0">
            <x v="1"/>
          </reference>
          <reference field="3" count="1" selected="0">
            <x v="23"/>
          </reference>
          <reference field="4" count="1" selected="0">
            <x v="63"/>
          </reference>
          <reference field="5" count="3">
            <x v="69"/>
            <x v="1129"/>
            <x v="1130"/>
          </reference>
        </references>
      </pivotArea>
    </format>
    <format dxfId="3083">
      <pivotArea dataOnly="0" labelOnly="1" outline="0" fieldPosition="0">
        <references count="4">
          <reference field="0" count="1" selected="0">
            <x v="1"/>
          </reference>
          <reference field="3" count="1" selected="0">
            <x v="23"/>
          </reference>
          <reference field="4" count="1" selected="0">
            <x v="64"/>
          </reference>
          <reference field="5" count="5">
            <x v="177"/>
            <x v="209"/>
            <x v="1138"/>
            <x v="1139"/>
            <x v="1140"/>
          </reference>
        </references>
      </pivotArea>
    </format>
    <format dxfId="3082">
      <pivotArea dataOnly="0" labelOnly="1" outline="0" fieldPosition="0">
        <references count="4">
          <reference field="0" count="1" selected="0">
            <x v="1"/>
          </reference>
          <reference field="3" count="1" selected="0">
            <x v="23"/>
          </reference>
          <reference field="4" count="1" selected="0">
            <x v="65"/>
          </reference>
          <reference field="5" count="3">
            <x v="282"/>
            <x v="1121"/>
            <x v="1123"/>
          </reference>
        </references>
      </pivotArea>
    </format>
    <format dxfId="3081">
      <pivotArea dataOnly="0" labelOnly="1" outline="0" fieldPosition="0">
        <references count="4">
          <reference field="0" count="1" selected="0">
            <x v="1"/>
          </reference>
          <reference field="3" count="1" selected="0">
            <x v="23"/>
          </reference>
          <reference field="4" count="1" selected="0">
            <x v="216"/>
          </reference>
          <reference field="5" count="21">
            <x v="5"/>
            <x v="115"/>
            <x v="134"/>
            <x v="167"/>
            <x v="192"/>
            <x v="291"/>
            <x v="292"/>
            <x v="302"/>
            <x v="326"/>
            <x v="351"/>
            <x v="370"/>
            <x v="382"/>
            <x v="414"/>
            <x v="426"/>
            <x v="1112"/>
            <x v="1113"/>
            <x v="1117"/>
            <x v="1118"/>
            <x v="1119"/>
            <x v="1120"/>
            <x v="1124"/>
          </reference>
        </references>
      </pivotArea>
    </format>
    <format dxfId="3080">
      <pivotArea dataOnly="0" labelOnly="1" outline="0" fieldPosition="0">
        <references count="4">
          <reference field="0" count="1" selected="0">
            <x v="1"/>
          </reference>
          <reference field="3" count="1" selected="0">
            <x v="24"/>
          </reference>
          <reference field="4" count="1" selected="0">
            <x v="119"/>
          </reference>
          <reference field="5" count="4">
            <x v="251"/>
            <x v="303"/>
            <x v="1164"/>
            <x v="1165"/>
          </reference>
        </references>
      </pivotArea>
    </format>
    <format dxfId="3079">
      <pivotArea dataOnly="0" labelOnly="1" outline="0" fieldPosition="0">
        <references count="4">
          <reference field="0" count="1" selected="0">
            <x v="1"/>
          </reference>
          <reference field="3" count="1" selected="0">
            <x v="24"/>
          </reference>
          <reference field="4" count="1" selected="0">
            <x v="120"/>
          </reference>
          <reference field="5" count="6">
            <x v="203"/>
            <x v="291"/>
            <x v="302"/>
            <x v="351"/>
            <x v="1166"/>
            <x v="1167"/>
          </reference>
        </references>
      </pivotArea>
    </format>
    <format dxfId="3078">
      <pivotArea dataOnly="0" labelOnly="1" outline="0" fieldPosition="0">
        <references count="4">
          <reference field="0" count="1" selected="0">
            <x v="1"/>
          </reference>
          <reference field="3" count="1" selected="0">
            <x v="24"/>
          </reference>
          <reference field="4" count="1" selected="0">
            <x v="121"/>
          </reference>
          <reference field="5" count="3">
            <x v="349"/>
            <x v="350"/>
            <x v="387"/>
          </reference>
        </references>
      </pivotArea>
    </format>
    <format dxfId="3077">
      <pivotArea dataOnly="0" labelOnly="1" outline="0" fieldPosition="0">
        <references count="4">
          <reference field="0" count="1" selected="0">
            <x v="1"/>
          </reference>
          <reference field="3" count="1" selected="0">
            <x v="24"/>
          </reference>
          <reference field="4" count="1" selected="0">
            <x v="122"/>
          </reference>
          <reference field="5" count="4">
            <x v="255"/>
            <x v="304"/>
            <x v="1162"/>
            <x v="1163"/>
          </reference>
        </references>
      </pivotArea>
    </format>
    <format dxfId="3076">
      <pivotArea dataOnly="0" labelOnly="1" outline="0" fieldPosition="0">
        <references count="4">
          <reference field="0" count="1" selected="0">
            <x v="1"/>
          </reference>
          <reference field="3" count="1" selected="0">
            <x v="24"/>
          </reference>
          <reference field="4" count="1" selected="0">
            <x v="123"/>
          </reference>
          <reference field="5" count="19">
            <x v="27"/>
            <x v="46"/>
            <x v="47"/>
            <x v="94"/>
            <x v="135"/>
            <x v="136"/>
            <x v="146"/>
            <x v="163"/>
            <x v="209"/>
            <x v="239"/>
            <x v="251"/>
            <x v="303"/>
            <x v="318"/>
            <x v="327"/>
            <x v="1145"/>
            <x v="1152"/>
            <x v="1153"/>
            <x v="1154"/>
            <x v="1155"/>
          </reference>
        </references>
      </pivotArea>
    </format>
    <format dxfId="3075">
      <pivotArea dataOnly="0" labelOnly="1" outline="0" fieldPosition="0">
        <references count="4">
          <reference field="0" count="1" selected="0">
            <x v="1"/>
          </reference>
          <reference field="3" count="1" selected="0">
            <x v="24"/>
          </reference>
          <reference field="4" count="1" selected="0">
            <x v="124"/>
          </reference>
          <reference field="5" count="4">
            <x v="71"/>
            <x v="73"/>
            <x v="1148"/>
            <x v="1149"/>
          </reference>
        </references>
      </pivotArea>
    </format>
    <format dxfId="3074">
      <pivotArea dataOnly="0" labelOnly="1" outline="0" fieldPosition="0">
        <references count="4">
          <reference field="0" count="1" selected="0">
            <x v="1"/>
          </reference>
          <reference field="3" count="1" selected="0">
            <x v="24"/>
          </reference>
          <reference field="4" count="1" selected="0">
            <x v="125"/>
          </reference>
          <reference field="5" count="3">
            <x v="279"/>
            <x v="1150"/>
            <x v="1151"/>
          </reference>
        </references>
      </pivotArea>
    </format>
    <format dxfId="3073">
      <pivotArea dataOnly="0" labelOnly="1" outline="0" fieldPosition="0">
        <references count="4">
          <reference field="0" count="1" selected="0">
            <x v="1"/>
          </reference>
          <reference field="3" count="1" selected="0">
            <x v="24"/>
          </reference>
          <reference field="4" count="1" selected="0">
            <x v="126"/>
          </reference>
          <reference field="5" count="4">
            <x v="73"/>
            <x v="282"/>
            <x v="1146"/>
            <x v="1147"/>
          </reference>
        </references>
      </pivotArea>
    </format>
    <format dxfId="3072">
      <pivotArea dataOnly="0" labelOnly="1" outline="0" fieldPosition="0">
        <references count="4">
          <reference field="0" count="1" selected="0">
            <x v="1"/>
          </reference>
          <reference field="3" count="1" selected="0">
            <x v="24"/>
          </reference>
          <reference field="4" count="1" selected="0">
            <x v="167"/>
          </reference>
          <reference field="5" count="7">
            <x v="77"/>
            <x v="152"/>
            <x v="216"/>
            <x v="218"/>
            <x v="1576"/>
            <x v="1577"/>
            <x v="1613"/>
          </reference>
        </references>
      </pivotArea>
    </format>
    <format dxfId="3071">
      <pivotArea dataOnly="0" labelOnly="1" outline="0" fieldPosition="0">
        <references count="4">
          <reference field="0" count="1" selected="0">
            <x v="1"/>
          </reference>
          <reference field="3" count="1" selected="0">
            <x v="24"/>
          </reference>
          <reference field="4" count="1" selected="0">
            <x v="169"/>
          </reference>
          <reference field="5" count="3">
            <x v="1521"/>
            <x v="1522"/>
            <x v="1626"/>
          </reference>
        </references>
      </pivotArea>
    </format>
    <format dxfId="3070">
      <pivotArea dataOnly="0" labelOnly="1" outline="0" fieldPosition="0">
        <references count="4">
          <reference field="0" count="1" selected="0">
            <x v="1"/>
          </reference>
          <reference field="3" count="1" selected="0">
            <x v="24"/>
          </reference>
          <reference field="4" count="1" selected="0">
            <x v="216"/>
          </reference>
          <reference field="5" count="27">
            <x v="8"/>
            <x v="75"/>
            <x v="116"/>
            <x v="119"/>
            <x v="133"/>
            <x v="136"/>
            <x v="148"/>
            <x v="167"/>
            <x v="176"/>
            <x v="202"/>
            <x v="206"/>
            <x v="290"/>
            <x v="294"/>
            <x v="363"/>
            <x v="367"/>
            <x v="373"/>
            <x v="406"/>
            <x v="407"/>
            <x v="409"/>
            <x v="1143"/>
            <x v="1144"/>
            <x v="1156"/>
            <x v="1157"/>
            <x v="1158"/>
            <x v="1159"/>
            <x v="1160"/>
            <x v="1161"/>
          </reference>
        </references>
      </pivotArea>
    </format>
    <format dxfId="3069">
      <pivotArea dataOnly="0" labelOnly="1" outline="0" fieldPosition="0">
        <references count="4">
          <reference field="0" count="1" selected="0">
            <x v="1"/>
          </reference>
          <reference field="3" count="1" selected="0">
            <x v="25"/>
          </reference>
          <reference field="4" count="1" selected="0">
            <x v="216"/>
          </reference>
          <reference field="5" count="19">
            <x v="59"/>
            <x v="70"/>
            <x v="90"/>
            <x v="108"/>
            <x v="158"/>
            <x v="174"/>
            <x v="212"/>
            <x v="242"/>
            <x v="280"/>
            <x v="284"/>
            <x v="324"/>
            <x v="325"/>
            <x v="1168"/>
            <x v="1169"/>
            <x v="1170"/>
            <x v="1171"/>
            <x v="1172"/>
            <x v="1173"/>
            <x v="1174"/>
          </reference>
        </references>
      </pivotArea>
    </format>
    <format dxfId="3068">
      <pivotArea dataOnly="0" labelOnly="1" outline="0" fieldPosition="0">
        <references count="4">
          <reference field="0" count="1" selected="0">
            <x v="1"/>
          </reference>
          <reference field="3" count="1" selected="0">
            <x v="26"/>
          </reference>
          <reference field="4" count="1" selected="0">
            <x v="216"/>
          </reference>
          <reference field="5" count="13">
            <x v="1"/>
            <x v="198"/>
            <x v="278"/>
            <x v="282"/>
            <x v="1175"/>
            <x v="1176"/>
            <x v="1177"/>
            <x v="1178"/>
            <x v="1179"/>
            <x v="1180"/>
            <x v="1181"/>
            <x v="1182"/>
            <x v="1638"/>
          </reference>
        </references>
      </pivotArea>
    </format>
    <format dxfId="3067">
      <pivotArea dataOnly="0" labelOnly="1" outline="0" fieldPosition="0">
        <references count="4">
          <reference field="0" count="1" selected="0">
            <x v="1"/>
          </reference>
          <reference field="3" count="1" selected="0">
            <x v="27"/>
          </reference>
          <reference field="4" count="1" selected="0">
            <x v="216"/>
          </reference>
          <reference field="5" count="11">
            <x v="11"/>
            <x v="148"/>
            <x v="167"/>
            <x v="406"/>
            <x v="407"/>
            <x v="409"/>
            <x v="1183"/>
            <x v="1184"/>
            <x v="1185"/>
            <x v="1186"/>
            <x v="1187"/>
          </reference>
        </references>
      </pivotArea>
    </format>
    <format dxfId="3066">
      <pivotArea dataOnly="0" labelOnly="1" outline="0" fieldPosition="0">
        <references count="4">
          <reference field="0" count="1" selected="0">
            <x v="1"/>
          </reference>
          <reference field="3" count="1" selected="0">
            <x v="28"/>
          </reference>
          <reference field="4" count="1" selected="0">
            <x v="5"/>
          </reference>
          <reference field="5" count="3">
            <x v="349"/>
            <x v="350"/>
            <x v="387"/>
          </reference>
        </references>
      </pivotArea>
    </format>
    <format dxfId="3065">
      <pivotArea dataOnly="0" labelOnly="1" outline="0" fieldPosition="0">
        <references count="4">
          <reference field="0" count="1" selected="0">
            <x v="1"/>
          </reference>
          <reference field="3" count="1" selected="0">
            <x v="28"/>
          </reference>
          <reference field="4" count="1" selected="0">
            <x v="170"/>
          </reference>
          <reference field="5" count="3">
            <x v="1525"/>
            <x v="1526"/>
            <x v="1626"/>
          </reference>
        </references>
      </pivotArea>
    </format>
    <format dxfId="3064">
      <pivotArea dataOnly="0" labelOnly="1" outline="0" fieldPosition="0">
        <references count="4">
          <reference field="0" count="1" selected="0">
            <x v="1"/>
          </reference>
          <reference field="3" count="1" selected="0">
            <x v="28"/>
          </reference>
          <reference field="4" count="1" selected="0">
            <x v="193"/>
          </reference>
          <reference field="5" count="4">
            <x v="252"/>
            <x v="253"/>
            <x v="1544"/>
            <x v="1567"/>
          </reference>
        </references>
      </pivotArea>
    </format>
    <format dxfId="3063">
      <pivotArea dataOnly="0" labelOnly="1" outline="0" fieldPosition="0">
        <references count="4">
          <reference field="0" count="1" selected="0">
            <x v="1"/>
          </reference>
          <reference field="3" count="1" selected="0">
            <x v="28"/>
          </reference>
          <reference field="4" count="1" selected="0">
            <x v="216"/>
          </reference>
          <reference field="5" count="23">
            <x v="6"/>
            <x v="11"/>
            <x v="119"/>
            <x v="135"/>
            <x v="148"/>
            <x v="167"/>
            <x v="200"/>
            <x v="206"/>
            <x v="302"/>
            <x v="363"/>
            <x v="367"/>
            <x v="373"/>
            <x v="405"/>
            <x v="406"/>
            <x v="407"/>
            <x v="409"/>
            <x v="1188"/>
            <x v="1189"/>
            <x v="1190"/>
            <x v="1191"/>
            <x v="1192"/>
            <x v="1193"/>
            <x v="1608"/>
          </reference>
        </references>
      </pivotArea>
    </format>
    <format dxfId="3062">
      <pivotArea dataOnly="0" labelOnly="1" outline="0" fieldPosition="0">
        <references count="4">
          <reference field="0" count="1" selected="0">
            <x v="1"/>
          </reference>
          <reference field="3" count="1" selected="0">
            <x v="29"/>
          </reference>
          <reference field="4" count="1" selected="0">
            <x v="216"/>
          </reference>
          <reference field="5" count="11">
            <x v="8"/>
            <x v="167"/>
            <x v="406"/>
            <x v="407"/>
            <x v="409"/>
            <x v="428"/>
            <x v="1194"/>
            <x v="1195"/>
            <x v="1196"/>
            <x v="1197"/>
            <x v="1641"/>
          </reference>
        </references>
      </pivotArea>
    </format>
    <format dxfId="3061">
      <pivotArea dataOnly="0" labelOnly="1" outline="0" fieldPosition="0">
        <references count="4">
          <reference field="0" count="1" selected="0">
            <x v="1"/>
          </reference>
          <reference field="3" count="1" selected="0">
            <x v="30"/>
          </reference>
          <reference field="4" count="1" selected="0">
            <x v="5"/>
          </reference>
          <reference field="5" count="3">
            <x v="349"/>
            <x v="350"/>
            <x v="387"/>
          </reference>
        </references>
      </pivotArea>
    </format>
    <format dxfId="3060">
      <pivotArea dataOnly="0" labelOnly="1" outline="0" fieldPosition="0">
        <references count="4">
          <reference field="0" count="1" selected="0">
            <x v="1"/>
          </reference>
          <reference field="3" count="1" selected="0">
            <x v="30"/>
          </reference>
          <reference field="4" count="1" selected="0">
            <x v="167"/>
          </reference>
          <reference field="5" count="7">
            <x v="77"/>
            <x v="152"/>
            <x v="216"/>
            <x v="218"/>
            <x v="1576"/>
            <x v="1577"/>
            <x v="1613"/>
          </reference>
        </references>
      </pivotArea>
    </format>
    <format dxfId="3059">
      <pivotArea dataOnly="0" labelOnly="1" outline="0" fieldPosition="0">
        <references count="4">
          <reference field="0" count="1" selected="0">
            <x v="1"/>
          </reference>
          <reference field="3" count="1" selected="0">
            <x v="30"/>
          </reference>
          <reference field="4" count="1" selected="0">
            <x v="172"/>
          </reference>
          <reference field="5" count="3">
            <x v="1522"/>
            <x v="1527"/>
            <x v="1628"/>
          </reference>
        </references>
      </pivotArea>
    </format>
    <format dxfId="3058">
      <pivotArea dataOnly="0" labelOnly="1" outline="0" fieldPosition="0">
        <references count="4">
          <reference field="0" count="1" selected="0">
            <x v="1"/>
          </reference>
          <reference field="3" count="1" selected="0">
            <x v="30"/>
          </reference>
          <reference field="4" count="1" selected="0">
            <x v="173"/>
          </reference>
          <reference field="5" count="3">
            <x v="1526"/>
            <x v="1529"/>
            <x v="1628"/>
          </reference>
        </references>
      </pivotArea>
    </format>
    <format dxfId="3057">
      <pivotArea dataOnly="0" labelOnly="1" outline="0" fieldPosition="0">
        <references count="4">
          <reference field="0" count="1" selected="0">
            <x v="1"/>
          </reference>
          <reference field="3" count="1" selected="0">
            <x v="30"/>
          </reference>
          <reference field="4" count="1" selected="0">
            <x v="216"/>
          </reference>
          <reference field="5" count="21">
            <x v="119"/>
            <x v="161"/>
            <x v="167"/>
            <x v="203"/>
            <x v="206"/>
            <x v="213"/>
            <x v="291"/>
            <x v="302"/>
            <x v="351"/>
            <x v="363"/>
            <x v="367"/>
            <x v="373"/>
            <x v="409"/>
            <x v="1198"/>
            <x v="1199"/>
            <x v="1200"/>
            <x v="1201"/>
            <x v="1202"/>
            <x v="1203"/>
            <x v="1204"/>
            <x v="1522"/>
          </reference>
        </references>
      </pivotArea>
    </format>
    <format dxfId="3056">
      <pivotArea dataOnly="0" labelOnly="1" outline="0" fieldPosition="0">
        <references count="4">
          <reference field="0" count="1" selected="0">
            <x v="1"/>
          </reference>
          <reference field="3" count="1" selected="0">
            <x v="31"/>
          </reference>
          <reference field="4" count="1" selected="0">
            <x v="166"/>
          </reference>
          <reference field="5" count="7">
            <x v="78"/>
            <x v="152"/>
            <x v="216"/>
            <x v="218"/>
            <x v="1577"/>
            <x v="1578"/>
            <x v="1613"/>
          </reference>
        </references>
      </pivotArea>
    </format>
    <format dxfId="3055">
      <pivotArea dataOnly="0" labelOnly="1" outline="0" fieldPosition="0">
        <references count="4">
          <reference field="0" count="1" selected="0">
            <x v="1"/>
          </reference>
          <reference field="3" count="1" selected="0">
            <x v="31"/>
          </reference>
          <reference field="4" count="1" selected="0">
            <x v="167"/>
          </reference>
          <reference field="5" count="7">
            <x v="77"/>
            <x v="152"/>
            <x v="216"/>
            <x v="218"/>
            <x v="1576"/>
            <x v="1577"/>
            <x v="1613"/>
          </reference>
        </references>
      </pivotArea>
    </format>
    <format dxfId="3054">
      <pivotArea dataOnly="0" labelOnly="1" outline="0" fieldPosition="0">
        <references count="4">
          <reference field="0" count="1" selected="0">
            <x v="1"/>
          </reference>
          <reference field="3" count="1" selected="0">
            <x v="31"/>
          </reference>
          <reference field="4" count="1" selected="0">
            <x v="216"/>
          </reference>
          <reference field="5" count="12">
            <x v="13"/>
            <x v="48"/>
            <x v="148"/>
            <x v="167"/>
            <x v="409"/>
            <x v="418"/>
            <x v="1205"/>
            <x v="1206"/>
            <x v="1207"/>
            <x v="1208"/>
            <x v="1209"/>
            <x v="1522"/>
          </reference>
        </references>
      </pivotArea>
    </format>
    <format dxfId="3053">
      <pivotArea dataOnly="0" labelOnly="1" outline="0" fieldPosition="0">
        <references count="4">
          <reference field="0" count="1" selected="0">
            <x v="1"/>
          </reference>
          <reference field="3" count="1" selected="0">
            <x v="32"/>
          </reference>
          <reference field="4" count="1" selected="0">
            <x v="5"/>
          </reference>
          <reference field="5" count="3">
            <x v="349"/>
            <x v="350"/>
            <x v="387"/>
          </reference>
        </references>
      </pivotArea>
    </format>
    <format dxfId="3052">
      <pivotArea dataOnly="0" labelOnly="1" outline="0" fieldPosition="0">
        <references count="4">
          <reference field="0" count="1" selected="0">
            <x v="1"/>
          </reference>
          <reference field="3" count="1" selected="0">
            <x v="32"/>
          </reference>
          <reference field="4" count="1" selected="0">
            <x v="200"/>
          </reference>
          <reference field="5" count="3">
            <x v="253"/>
            <x v="1552"/>
            <x v="1574"/>
          </reference>
        </references>
      </pivotArea>
    </format>
    <format dxfId="3051">
      <pivotArea dataOnly="0" labelOnly="1" outline="0" fieldPosition="0">
        <references count="4">
          <reference field="0" count="1" selected="0">
            <x v="1"/>
          </reference>
          <reference field="3" count="1" selected="0">
            <x v="32"/>
          </reference>
          <reference field="4" count="1" selected="0">
            <x v="204"/>
          </reference>
          <reference field="5" count="18">
            <x v="27"/>
            <x v="94"/>
            <x v="136"/>
            <x v="146"/>
            <x v="163"/>
            <x v="209"/>
            <x v="239"/>
            <x v="251"/>
            <x v="303"/>
            <x v="318"/>
            <x v="327"/>
            <x v="1212"/>
            <x v="1217"/>
            <x v="1220"/>
            <x v="1221"/>
            <x v="1223"/>
            <x v="1224"/>
            <x v="1622"/>
          </reference>
        </references>
      </pivotArea>
    </format>
    <format dxfId="3050">
      <pivotArea dataOnly="0" labelOnly="1" outline="0" fieldPosition="0">
        <references count="4">
          <reference field="0" count="1" selected="0">
            <x v="1"/>
          </reference>
          <reference field="3" count="1" selected="0">
            <x v="32"/>
          </reference>
          <reference field="4" count="1" selected="0">
            <x v="205"/>
          </reference>
          <reference field="5" count="4">
            <x v="71"/>
            <x v="73"/>
            <x v="1215"/>
            <x v="1216"/>
          </reference>
        </references>
      </pivotArea>
    </format>
    <format dxfId="3049">
      <pivotArea dataOnly="0" labelOnly="1" outline="0" fieldPosition="0">
        <references count="4">
          <reference field="0" count="1" selected="0">
            <x v="1"/>
          </reference>
          <reference field="3" count="1" selected="0">
            <x v="32"/>
          </reference>
          <reference field="4" count="1" selected="0">
            <x v="206"/>
          </reference>
          <reference field="5" count="3">
            <x v="279"/>
            <x v="1218"/>
            <x v="1219"/>
          </reference>
        </references>
      </pivotArea>
    </format>
    <format dxfId="3048">
      <pivotArea dataOnly="0" labelOnly="1" outline="0" fieldPosition="0">
        <references count="4">
          <reference field="0" count="1" selected="0">
            <x v="1"/>
          </reference>
          <reference field="3" count="1" selected="0">
            <x v="32"/>
          </reference>
          <reference field="4" count="1" selected="0">
            <x v="207"/>
          </reference>
          <reference field="5" count="4">
            <x v="73"/>
            <x v="282"/>
            <x v="1213"/>
            <x v="1214"/>
          </reference>
        </references>
      </pivotArea>
    </format>
    <format dxfId="3047">
      <pivotArea dataOnly="0" labelOnly="1" outline="0" fieldPosition="0">
        <references count="4">
          <reference field="0" count="1" selected="0">
            <x v="1"/>
          </reference>
          <reference field="3" count="1" selected="0">
            <x v="32"/>
          </reference>
          <reference field="4" count="1" selected="0">
            <x v="216"/>
          </reference>
          <reference field="5" count="29">
            <x v="8"/>
            <x v="115"/>
            <x v="119"/>
            <x v="136"/>
            <x v="148"/>
            <x v="167"/>
            <x v="203"/>
            <x v="206"/>
            <x v="294"/>
            <x v="302"/>
            <x v="310"/>
            <x v="364"/>
            <x v="368"/>
            <x v="372"/>
            <x v="403"/>
            <x v="406"/>
            <x v="407"/>
            <x v="409"/>
            <x v="424"/>
            <x v="428"/>
            <x v="1210"/>
            <x v="1211"/>
            <x v="1222"/>
            <x v="1225"/>
            <x v="1226"/>
            <x v="1227"/>
            <x v="1228"/>
            <x v="1229"/>
            <x v="1621"/>
          </reference>
        </references>
      </pivotArea>
    </format>
    <format dxfId="3046">
      <pivotArea dataOnly="0" labelOnly="1" outline="0" fieldPosition="0">
        <references count="4">
          <reference field="0" count="1" selected="0">
            <x v="1"/>
          </reference>
          <reference field="3" count="1" selected="0">
            <x v="33"/>
          </reference>
          <reference field="4" count="1" selected="0">
            <x v="8"/>
          </reference>
          <reference field="5" count="3">
            <x v="345"/>
            <x v="352"/>
            <x v="353"/>
          </reference>
        </references>
      </pivotArea>
    </format>
    <format dxfId="3045">
      <pivotArea dataOnly="0" labelOnly="1" outline="0" fieldPosition="0">
        <references count="4">
          <reference field="0" count="1" selected="0">
            <x v="1"/>
          </reference>
          <reference field="3" count="1" selected="0">
            <x v="33"/>
          </reference>
          <reference field="4" count="1" selected="0">
            <x v="168"/>
          </reference>
          <reference field="5" count="3">
            <x v="1523"/>
            <x v="1524"/>
            <x v="1626"/>
          </reference>
        </references>
      </pivotArea>
    </format>
    <format dxfId="3044">
      <pivotArea dataOnly="0" labelOnly="1" outline="0" fieldPosition="0">
        <references count="4">
          <reference field="0" count="1" selected="0">
            <x v="1"/>
          </reference>
          <reference field="3" count="1" selected="0">
            <x v="33"/>
          </reference>
          <reference field="4" count="1" selected="0">
            <x v="171"/>
          </reference>
          <reference field="5" count="3">
            <x v="1524"/>
            <x v="1528"/>
            <x v="1628"/>
          </reference>
        </references>
      </pivotArea>
    </format>
    <format dxfId="3043">
      <pivotArea dataOnly="0" labelOnly="1" outline="0" fieldPosition="0">
        <references count="4">
          <reference field="0" count="1" selected="0">
            <x v="1"/>
          </reference>
          <reference field="3" count="1" selected="0">
            <x v="33"/>
          </reference>
          <reference field="4" count="1" selected="0">
            <x v="186"/>
          </reference>
          <reference field="5" count="3">
            <x v="252"/>
            <x v="1536"/>
            <x v="1559"/>
          </reference>
        </references>
      </pivotArea>
    </format>
    <format dxfId="3042">
      <pivotArea dataOnly="0" labelOnly="1" outline="0" fieldPosition="0">
        <references count="4">
          <reference field="0" count="1" selected="0">
            <x v="1"/>
          </reference>
          <reference field="3" count="1" selected="0">
            <x v="33"/>
          </reference>
          <reference field="4" count="1" selected="0">
            <x v="189"/>
          </reference>
          <reference field="5" count="3">
            <x v="248"/>
            <x v="1539"/>
            <x v="1562"/>
          </reference>
        </references>
      </pivotArea>
    </format>
    <format dxfId="3041">
      <pivotArea dataOnly="0" labelOnly="1" outline="0" fieldPosition="0">
        <references count="4">
          <reference field="0" count="1" selected="0">
            <x v="1"/>
          </reference>
          <reference field="3" count="1" selected="0">
            <x v="33"/>
          </reference>
          <reference field="4" count="1" selected="0">
            <x v="195"/>
          </reference>
          <reference field="5" count="3">
            <x v="252"/>
            <x v="1548"/>
            <x v="1570"/>
          </reference>
        </references>
      </pivotArea>
    </format>
    <format dxfId="3040">
      <pivotArea dataOnly="0" labelOnly="1" outline="0" fieldPosition="0">
        <references count="4">
          <reference field="0" count="1" selected="0">
            <x v="1"/>
          </reference>
          <reference field="3" count="1" selected="0">
            <x v="33"/>
          </reference>
          <reference field="4" count="1" selected="0">
            <x v="216"/>
          </reference>
          <reference field="5" count="22">
            <x v="6"/>
            <x v="119"/>
            <x v="148"/>
            <x v="167"/>
            <x v="200"/>
            <x v="206"/>
            <x v="294"/>
            <x v="302"/>
            <x v="363"/>
            <x v="367"/>
            <x v="373"/>
            <x v="379"/>
            <x v="380"/>
            <x v="381"/>
            <x v="405"/>
            <x v="1230"/>
            <x v="1231"/>
            <x v="1232"/>
            <x v="1233"/>
            <x v="1234"/>
            <x v="1235"/>
            <x v="1608"/>
          </reference>
        </references>
      </pivotArea>
    </format>
    <format dxfId="3039">
      <pivotArea dataOnly="0" labelOnly="1" outline="0" fieldPosition="0">
        <references count="4">
          <reference field="0" count="1" selected="0">
            <x v="1"/>
          </reference>
          <reference field="3" count="1" selected="0">
            <x v="34"/>
          </reference>
          <reference field="4" count="1" selected="0">
            <x v="5"/>
          </reference>
          <reference field="5" count="3">
            <x v="349"/>
            <x v="350"/>
            <x v="387"/>
          </reference>
        </references>
      </pivotArea>
    </format>
    <format dxfId="3038">
      <pivotArea dataOnly="0" labelOnly="1" outline="0" fieldPosition="0">
        <references count="4">
          <reference field="0" count="1" selected="0">
            <x v="1"/>
          </reference>
          <reference field="3" count="1" selected="0">
            <x v="34"/>
          </reference>
          <reference field="4" count="1" selected="0">
            <x v="169"/>
          </reference>
          <reference field="5" count="3">
            <x v="1521"/>
            <x v="1522"/>
            <x v="1626"/>
          </reference>
        </references>
      </pivotArea>
    </format>
    <format dxfId="3037">
      <pivotArea dataOnly="0" labelOnly="1" outline="0" fieldPosition="0">
        <references count="4">
          <reference field="0" count="1" selected="0">
            <x v="1"/>
          </reference>
          <reference field="3" count="1" selected="0">
            <x v="34"/>
          </reference>
          <reference field="4" count="1" selected="0">
            <x v="199"/>
          </reference>
          <reference field="5" count="3">
            <x v="253"/>
            <x v="1573"/>
            <x v="1604"/>
          </reference>
        </references>
      </pivotArea>
    </format>
    <format dxfId="3036">
      <pivotArea dataOnly="0" labelOnly="1" outline="0" fieldPosition="0">
        <references count="4">
          <reference field="0" count="1" selected="0">
            <x v="1"/>
          </reference>
          <reference field="3" count="1" selected="0">
            <x v="34"/>
          </reference>
          <reference field="4" count="1" selected="0">
            <x v="216"/>
          </reference>
          <reference field="5" count="20">
            <x v="116"/>
            <x v="148"/>
            <x v="167"/>
            <x v="177"/>
            <x v="202"/>
            <x v="203"/>
            <x v="213"/>
            <x v="302"/>
            <x v="346"/>
            <x v="363"/>
            <x v="367"/>
            <x v="373"/>
            <x v="380"/>
            <x v="1236"/>
            <x v="1237"/>
            <x v="1238"/>
            <x v="1239"/>
            <x v="1240"/>
            <x v="1241"/>
            <x v="1242"/>
          </reference>
        </references>
      </pivotArea>
    </format>
    <format dxfId="3035">
      <pivotArea dataOnly="0" labelOnly="1" outline="0" fieldPosition="0">
        <references count="4">
          <reference field="0" count="1" selected="0">
            <x v="1"/>
          </reference>
          <reference field="3" count="1" selected="0">
            <x v="35"/>
          </reference>
          <reference field="4" count="1" selected="0">
            <x v="216"/>
          </reference>
          <reference field="5" count="12">
            <x v="9"/>
            <x v="11"/>
            <x v="148"/>
            <x v="167"/>
            <x v="406"/>
            <x v="407"/>
            <x v="409"/>
            <x v="1243"/>
            <x v="1244"/>
            <x v="1245"/>
            <x v="1246"/>
            <x v="1247"/>
          </reference>
        </references>
      </pivotArea>
    </format>
    <format dxfId="3034">
      <pivotArea dataOnly="0" labelOnly="1" outline="0" fieldPosition="0">
        <references count="4">
          <reference field="0" count="1" selected="0">
            <x v="1"/>
          </reference>
          <reference field="3" count="1" selected="0">
            <x v="36"/>
          </reference>
          <reference field="4" count="1" selected="0">
            <x v="216"/>
          </reference>
          <reference field="5" count="11">
            <x v="11"/>
            <x v="148"/>
            <x v="167"/>
            <x v="406"/>
            <x v="407"/>
            <x v="409"/>
            <x v="1248"/>
            <x v="1249"/>
            <x v="1250"/>
            <x v="1251"/>
            <x v="1252"/>
          </reference>
        </references>
      </pivotArea>
    </format>
    <format dxfId="3033">
      <pivotArea dataOnly="0" labelOnly="1" outline="0" fieldPosition="0">
        <references count="4">
          <reference field="0" count="1" selected="0">
            <x v="1"/>
          </reference>
          <reference field="3" count="1" selected="0">
            <x v="37"/>
          </reference>
          <reference field="4" count="1" selected="0">
            <x v="216"/>
          </reference>
          <reference field="5" count="10">
            <x v="172"/>
            <x v="283"/>
            <x v="366"/>
            <x v="369"/>
            <x v="370"/>
            <x v="393"/>
            <x v="1253"/>
            <x v="1254"/>
            <x v="1255"/>
            <x v="1256"/>
          </reference>
        </references>
      </pivotArea>
    </format>
    <format dxfId="3032">
      <pivotArea dataOnly="0" labelOnly="1" outline="0" fieldPosition="0">
        <references count="4">
          <reference field="0" count="1" selected="0">
            <x v="1"/>
          </reference>
          <reference field="3" count="1" selected="0">
            <x v="38"/>
          </reference>
          <reference field="4" count="1" selected="0">
            <x v="216"/>
          </reference>
          <reference field="5" count="15">
            <x v="70"/>
            <x v="94"/>
            <x v="106"/>
            <x v="162"/>
            <x v="215"/>
            <x v="253"/>
            <x v="281"/>
            <x v="283"/>
            <x v="304"/>
            <x v="320"/>
            <x v="1257"/>
            <x v="1258"/>
            <x v="1259"/>
            <x v="1260"/>
            <x v="1261"/>
          </reference>
        </references>
      </pivotArea>
    </format>
    <format dxfId="3031">
      <pivotArea dataOnly="0" labelOnly="1" outline="0" fieldPosition="0">
        <references count="4">
          <reference field="0" count="1" selected="0">
            <x v="1"/>
          </reference>
          <reference field="3" count="1" selected="0">
            <x v="39"/>
          </reference>
          <reference field="4" count="1" selected="0">
            <x v="169"/>
          </reference>
          <reference field="5" count="3">
            <x v="1521"/>
            <x v="1522"/>
            <x v="1626"/>
          </reference>
        </references>
      </pivotArea>
    </format>
    <format dxfId="3030">
      <pivotArea dataOnly="0" labelOnly="1" outline="0" fieldPosition="0">
        <references count="4">
          <reference field="0" count="1" selected="0">
            <x v="1"/>
          </reference>
          <reference field="3" count="1" selected="0">
            <x v="39"/>
          </reference>
          <reference field="4" count="1" selected="0">
            <x v="216"/>
          </reference>
          <reference field="5" count="6">
            <x v="363"/>
            <x v="367"/>
            <x v="373"/>
            <x v="1262"/>
            <x v="1263"/>
            <x v="1264"/>
          </reference>
        </references>
      </pivotArea>
    </format>
    <format dxfId="3029">
      <pivotArea dataOnly="0" labelOnly="1" outline="0" fieldPosition="0">
        <references count="4">
          <reference field="0" count="1" selected="0">
            <x v="1"/>
          </reference>
          <reference field="3" count="1" selected="0">
            <x v="40"/>
          </reference>
          <reference field="4" count="1" selected="0">
            <x v="42"/>
          </reference>
          <reference field="5" count="20">
            <x v="14"/>
            <x v="109"/>
            <x v="110"/>
            <x v="140"/>
            <x v="161"/>
            <x v="163"/>
            <x v="179"/>
            <x v="213"/>
            <x v="281"/>
            <x v="282"/>
            <x v="284"/>
            <x v="319"/>
            <x v="329"/>
            <x v="330"/>
            <x v="1267"/>
            <x v="1268"/>
            <x v="1269"/>
            <x v="1270"/>
            <x v="1271"/>
            <x v="1272"/>
          </reference>
        </references>
      </pivotArea>
    </format>
    <format dxfId="3028">
      <pivotArea dataOnly="0" labelOnly="1" outline="0" fieldPosition="0">
        <references count="4">
          <reference field="0" count="1" selected="0">
            <x v="1"/>
          </reference>
          <reference field="3" count="1" selected="0">
            <x v="40"/>
          </reference>
          <reference field="4" count="1" selected="0">
            <x v="43"/>
          </reference>
          <reference field="5" count="16">
            <x v="116"/>
            <x v="139"/>
            <x v="146"/>
            <x v="173"/>
            <x v="279"/>
            <x v="281"/>
            <x v="283"/>
            <x v="302"/>
            <x v="339"/>
            <x v="1273"/>
            <x v="1274"/>
            <x v="1275"/>
            <x v="1285"/>
            <x v="1291"/>
            <x v="1292"/>
            <x v="1614"/>
          </reference>
        </references>
      </pivotArea>
    </format>
    <format dxfId="3027">
      <pivotArea dataOnly="0" labelOnly="1" outline="0" fieldPosition="0">
        <references count="4">
          <reference field="0" count="1" selected="0">
            <x v="1"/>
          </reference>
          <reference field="3" count="1" selected="0">
            <x v="40"/>
          </reference>
          <reference field="4" count="1" selected="0">
            <x v="44"/>
          </reference>
          <reference field="5" count="10">
            <x v="139"/>
            <x v="261"/>
            <x v="262"/>
            <x v="281"/>
            <x v="1276"/>
            <x v="1278"/>
            <x v="1279"/>
            <x v="1280"/>
            <x v="1605"/>
            <x v="1607"/>
          </reference>
        </references>
      </pivotArea>
    </format>
    <format dxfId="3026">
      <pivotArea dataOnly="0" labelOnly="1" outline="0" fieldPosition="0">
        <references count="4">
          <reference field="0" count="1" selected="0">
            <x v="1"/>
          </reference>
          <reference field="3" count="1" selected="0">
            <x v="40"/>
          </reference>
          <reference field="4" count="1" selected="0">
            <x v="45"/>
          </reference>
          <reference field="5" count="4">
            <x v="25"/>
            <x v="1283"/>
            <x v="1284"/>
            <x v="1290"/>
          </reference>
        </references>
      </pivotArea>
    </format>
    <format dxfId="3025">
      <pivotArea dataOnly="0" labelOnly="1" outline="0" fieldPosition="0">
        <references count="4">
          <reference field="0" count="1" selected="0">
            <x v="1"/>
          </reference>
          <reference field="3" count="1" selected="0">
            <x v="40"/>
          </reference>
          <reference field="4" count="1" selected="0">
            <x v="46"/>
          </reference>
          <reference field="5" count="4">
            <x v="26"/>
            <x v="1284"/>
            <x v="1286"/>
            <x v="1290"/>
          </reference>
        </references>
      </pivotArea>
    </format>
    <format dxfId="3024">
      <pivotArea dataOnly="0" labelOnly="1" outline="0" fieldPosition="0">
        <references count="4">
          <reference field="0" count="1" selected="0">
            <x v="1"/>
          </reference>
          <reference field="3" count="1" selected="0">
            <x v="40"/>
          </reference>
          <reference field="4" count="1" selected="0">
            <x v="47"/>
          </reference>
          <reference field="5" count="5">
            <x v="1281"/>
            <x v="1282"/>
            <x v="1288"/>
            <x v="1289"/>
            <x v="1293"/>
          </reference>
        </references>
      </pivotArea>
    </format>
    <format dxfId="3023">
      <pivotArea dataOnly="0" labelOnly="1" outline="0" fieldPosition="0">
        <references count="4">
          <reference field="0" count="1" selected="0">
            <x v="1"/>
          </reference>
          <reference field="3" count="1" selected="0">
            <x v="40"/>
          </reference>
          <reference field="4" count="1" selected="0">
            <x v="73"/>
          </reference>
          <reference field="5" count="21">
            <x v="14"/>
            <x v="109"/>
            <x v="110"/>
            <x v="140"/>
            <x v="161"/>
            <x v="163"/>
            <x v="179"/>
            <x v="213"/>
            <x v="270"/>
            <x v="281"/>
            <x v="282"/>
            <x v="284"/>
            <x v="319"/>
            <x v="329"/>
            <x v="330"/>
            <x v="1302"/>
            <x v="1303"/>
            <x v="1304"/>
            <x v="1305"/>
            <x v="1306"/>
            <x v="1310"/>
          </reference>
        </references>
      </pivotArea>
    </format>
    <format dxfId="3022">
      <pivotArea dataOnly="0" labelOnly="1" outline="0" fieldPosition="0">
        <references count="4">
          <reference field="0" count="1" selected="0">
            <x v="1"/>
          </reference>
          <reference field="3" count="1" selected="0">
            <x v="40"/>
          </reference>
          <reference field="4" count="1" selected="0">
            <x v="74"/>
          </reference>
          <reference field="5" count="15">
            <x v="116"/>
            <x v="173"/>
            <x v="281"/>
            <x v="283"/>
            <x v="330"/>
            <x v="339"/>
            <x v="363"/>
            <x v="365"/>
            <x v="367"/>
            <x v="371"/>
            <x v="422"/>
            <x v="1307"/>
            <x v="1308"/>
            <x v="1309"/>
            <x v="1614"/>
          </reference>
        </references>
      </pivotArea>
    </format>
    <format dxfId="3021">
      <pivotArea dataOnly="0" labelOnly="1" outline="0" fieldPosition="0">
        <references count="4">
          <reference field="0" count="1" selected="0">
            <x v="1"/>
          </reference>
          <reference field="3" count="1" selected="0">
            <x v="40"/>
          </reference>
          <reference field="4" count="1" selected="0">
            <x v="107"/>
          </reference>
          <reference field="5" count="3">
            <x v="1318"/>
            <x v="1319"/>
            <x v="1627"/>
          </reference>
        </references>
      </pivotArea>
    </format>
    <format dxfId="3020">
      <pivotArea dataOnly="0" labelOnly="1" outline="0" fieldPosition="0">
        <references count="4">
          <reference field="0" count="1" selected="0">
            <x v="1"/>
          </reference>
          <reference field="3" count="1" selected="0">
            <x v="40"/>
          </reference>
          <reference field="4" count="1" selected="0">
            <x v="216"/>
          </reference>
          <reference field="5" count="50">
            <x v="57"/>
            <x v="61"/>
            <x v="62"/>
            <x v="76"/>
            <x v="87"/>
            <x v="88"/>
            <x v="93"/>
            <x v="105"/>
            <x v="116"/>
            <x v="117"/>
            <x v="118"/>
            <x v="135"/>
            <x v="145"/>
            <x v="147"/>
            <x v="149"/>
            <x v="151"/>
            <x v="166"/>
            <x v="188"/>
            <x v="190"/>
            <x v="205"/>
            <x v="238"/>
            <x v="257"/>
            <x v="275"/>
            <x v="279"/>
            <x v="292"/>
            <x v="293"/>
            <x v="302"/>
            <x v="308"/>
            <x v="314"/>
            <x v="333"/>
            <x v="338"/>
            <x v="343"/>
            <x v="354"/>
            <x v="390"/>
            <x v="391"/>
            <x v="392"/>
            <x v="1265"/>
            <x v="1266"/>
            <x v="1277"/>
            <x v="1287"/>
            <x v="1294"/>
            <x v="1295"/>
            <x v="1296"/>
            <x v="1297"/>
            <x v="1298"/>
            <x v="1299"/>
            <x v="1300"/>
            <x v="1301"/>
            <x v="1311"/>
            <x v="1312"/>
          </reference>
        </references>
      </pivotArea>
    </format>
    <format dxfId="3019">
      <pivotArea dataOnly="0" labelOnly="1" outline="0" fieldPosition="0">
        <references count="4">
          <reference field="0" count="1" selected="0">
            <x v="1"/>
          </reference>
          <reference field="3" count="1" selected="0">
            <x v="40"/>
          </reference>
          <reference field="4" count="1" selected="0">
            <x v="216"/>
          </reference>
          <reference field="5" count="5">
            <x v="1313"/>
            <x v="1314"/>
            <x v="1315"/>
            <x v="1316"/>
            <x v="1317"/>
          </reference>
        </references>
      </pivotArea>
    </format>
    <format dxfId="3018">
      <pivotArea dataOnly="0" labelOnly="1" outline="0" fieldPosition="0">
        <references count="4">
          <reference field="0" count="1" selected="0">
            <x v="2"/>
          </reference>
          <reference field="3" count="1" selected="0">
            <x v="10"/>
          </reference>
          <reference field="4" count="1" selected="0">
            <x v="6"/>
          </reference>
          <reference field="5" count="3">
            <x v="345"/>
            <x v="355"/>
            <x v="356"/>
          </reference>
        </references>
      </pivotArea>
    </format>
    <format dxfId="3017">
      <pivotArea dataOnly="0" labelOnly="1" outline="0" fieldPosition="0">
        <references count="4">
          <reference field="0" count="1" selected="0">
            <x v="2"/>
          </reference>
          <reference field="3" count="1" selected="0">
            <x v="10"/>
          </reference>
          <reference field="4" count="1" selected="0">
            <x v="9"/>
          </reference>
          <reference field="5" count="3">
            <x v="357"/>
            <x v="358"/>
            <x v="387"/>
          </reference>
        </references>
      </pivotArea>
    </format>
    <format dxfId="3016">
      <pivotArea dataOnly="0" labelOnly="1" outline="0" fieldPosition="0">
        <references count="4">
          <reference field="0" count="1" selected="0">
            <x v="2"/>
          </reference>
          <reference field="3" count="1" selected="0">
            <x v="10"/>
          </reference>
          <reference field="4" count="1" selected="0">
            <x v="67"/>
          </reference>
          <reference field="5" count="9">
            <x v="22"/>
            <x v="37"/>
            <x v="39"/>
            <x v="40"/>
            <x v="134"/>
            <x v="213"/>
            <x v="432"/>
            <x v="1592"/>
            <x v="1595"/>
          </reference>
        </references>
      </pivotArea>
    </format>
    <format dxfId="3015">
      <pivotArea dataOnly="0" labelOnly="1" outline="0" fieldPosition="0">
        <references count="4">
          <reference field="0" count="1" selected="0">
            <x v="2"/>
          </reference>
          <reference field="3" count="1" selected="0">
            <x v="10"/>
          </reference>
          <reference field="4" count="1" selected="0">
            <x v="69"/>
          </reference>
          <reference field="5" count="5">
            <x v="23"/>
            <x v="37"/>
            <x v="39"/>
            <x v="1594"/>
            <x v="1599"/>
          </reference>
        </references>
      </pivotArea>
    </format>
    <format dxfId="3014">
      <pivotArea dataOnly="0" labelOnly="1" outline="0" fieldPosition="0">
        <references count="4">
          <reference field="0" count="1" selected="0">
            <x v="2"/>
          </reference>
          <reference field="3" count="1" selected="0">
            <x v="10"/>
          </reference>
          <reference field="4" count="1" selected="0">
            <x v="110"/>
          </reference>
          <reference field="5" count="6">
            <x v="24"/>
            <x v="37"/>
            <x v="39"/>
            <x v="40"/>
            <x v="1592"/>
            <x v="1597"/>
          </reference>
        </references>
      </pivotArea>
    </format>
    <format dxfId="3013">
      <pivotArea dataOnly="0" labelOnly="1" outline="0" fieldPosition="0">
        <references count="4">
          <reference field="0" count="1" selected="0">
            <x v="2"/>
          </reference>
          <reference field="3" count="1" selected="0">
            <x v="10"/>
          </reference>
          <reference field="4" count="1" selected="0">
            <x v="111"/>
          </reference>
          <reference field="5" count="4">
            <x v="36"/>
            <x v="1596"/>
            <x v="1600"/>
            <x v="1611"/>
          </reference>
        </references>
      </pivotArea>
    </format>
    <format dxfId="3012">
      <pivotArea dataOnly="0" labelOnly="1" outline="0" fieldPosition="0">
        <references count="4">
          <reference field="0" count="1" selected="0">
            <x v="2"/>
          </reference>
          <reference field="3" count="1" selected="0">
            <x v="10"/>
          </reference>
          <reference field="4" count="1" selected="0">
            <x v="127"/>
          </reference>
          <reference field="5" count="5">
            <x v="19"/>
            <x v="39"/>
            <x v="266"/>
            <x v="1598"/>
            <x v="1601"/>
          </reference>
        </references>
      </pivotArea>
    </format>
    <format dxfId="3011">
      <pivotArea dataOnly="0" labelOnly="1" outline="0" fieldPosition="0">
        <references count="4">
          <reference field="0" count="1" selected="0">
            <x v="2"/>
          </reference>
          <reference field="3" count="1" selected="0">
            <x v="10"/>
          </reference>
          <reference field="4" count="1" selected="0">
            <x v="216"/>
          </reference>
          <reference field="5" count="46">
            <x v="86"/>
            <x v="92"/>
            <x v="108"/>
            <x v="121"/>
            <x v="124"/>
            <x v="125"/>
            <x v="137"/>
            <x v="138"/>
            <x v="140"/>
            <x v="141"/>
            <x v="146"/>
            <x v="148"/>
            <x v="158"/>
            <x v="168"/>
            <x v="169"/>
            <x v="170"/>
            <x v="173"/>
            <x v="193"/>
            <x v="195"/>
            <x v="203"/>
            <x v="210"/>
            <x v="213"/>
            <x v="215"/>
            <x v="238"/>
            <x v="247"/>
            <x v="302"/>
            <x v="310"/>
            <x v="331"/>
            <x v="336"/>
            <x v="355"/>
            <x v="374"/>
            <x v="385"/>
            <x v="613"/>
            <x v="614"/>
            <x v="616"/>
            <x v="617"/>
            <x v="627"/>
            <x v="628"/>
            <x v="629"/>
            <x v="630"/>
            <x v="631"/>
            <x v="632"/>
            <x v="633"/>
            <x v="634"/>
            <x v="1636"/>
            <x v="1640"/>
          </reference>
        </references>
      </pivotArea>
    </format>
    <format dxfId="3010">
      <pivotArea dataOnly="0" labelOnly="1" outline="0" fieldPosition="0">
        <references count="4">
          <reference field="0" count="1" selected="0">
            <x v="2"/>
          </reference>
          <reference field="3" count="1" selected="0">
            <x v="11"/>
          </reference>
          <reference field="4" count="1" selected="0">
            <x v="11"/>
          </reference>
          <reference field="5" count="38">
            <x v="12"/>
            <x v="35"/>
            <x v="42"/>
            <x v="89"/>
            <x v="136"/>
            <x v="166"/>
            <x v="169"/>
            <x v="175"/>
            <x v="177"/>
            <x v="281"/>
            <x v="282"/>
            <x v="283"/>
            <x v="397"/>
            <x v="406"/>
            <x v="407"/>
            <x v="409"/>
            <x v="744"/>
            <x v="745"/>
            <x v="746"/>
            <x v="747"/>
            <x v="748"/>
            <x v="749"/>
            <x v="750"/>
            <x v="751"/>
            <x v="752"/>
            <x v="753"/>
            <x v="754"/>
            <x v="755"/>
            <x v="756"/>
            <x v="757"/>
            <x v="758"/>
            <x v="759"/>
            <x v="760"/>
            <x v="761"/>
            <x v="762"/>
            <x v="763"/>
            <x v="764"/>
            <x v="765"/>
          </reference>
        </references>
      </pivotArea>
    </format>
    <format dxfId="3009">
      <pivotArea dataOnly="0" labelOnly="1" outline="0" fieldPosition="0">
        <references count="4">
          <reference field="0" count="1" selected="0">
            <x v="2"/>
          </reference>
          <reference field="3" count="1" selected="0">
            <x v="11"/>
          </reference>
          <reference field="4" count="1" selected="0">
            <x v="12"/>
          </reference>
          <reference field="5" count="3">
            <x v="387"/>
            <x v="1602"/>
            <x v="1603"/>
          </reference>
        </references>
      </pivotArea>
    </format>
    <format dxfId="3008">
      <pivotArea dataOnly="0" labelOnly="1" outline="0" fieldPosition="0">
        <references count="4">
          <reference field="0" count="1" selected="0">
            <x v="2"/>
          </reference>
          <reference field="3" count="1" selected="0">
            <x v="11"/>
          </reference>
          <reference field="4" count="1" selected="0">
            <x v="13"/>
          </reference>
          <reference field="5" count="2">
            <x v="248"/>
            <x v="1547"/>
          </reference>
        </references>
      </pivotArea>
    </format>
    <format dxfId="3007">
      <pivotArea dataOnly="0" labelOnly="1" outline="0" fieldPosition="0">
        <references count="4">
          <reference field="0" count="1" selected="0">
            <x v="2"/>
          </reference>
          <reference field="3" count="1" selected="0">
            <x v="11"/>
          </reference>
          <reference field="4" count="1" selected="0">
            <x v="216"/>
          </reference>
          <reference field="5" count="8">
            <x v="105"/>
            <x v="140"/>
            <x v="151"/>
            <x v="187"/>
            <x v="215"/>
            <x v="615"/>
            <x v="622"/>
            <x v="623"/>
          </reference>
        </references>
      </pivotArea>
    </format>
    <format dxfId="3006">
      <pivotArea dataOnly="0" labelOnly="1" outline="0" fieldPosition="0">
        <references count="4">
          <reference field="0" count="1" selected="0">
            <x v="2"/>
          </reference>
          <reference field="3" count="1" selected="0">
            <x v="12"/>
          </reference>
          <reference field="4" count="1" selected="0">
            <x v="21"/>
          </reference>
          <reference field="5" count="6">
            <x v="795"/>
            <x v="796"/>
            <x v="800"/>
            <x v="1584"/>
            <x v="1585"/>
            <x v="1586"/>
          </reference>
        </references>
      </pivotArea>
    </format>
    <format dxfId="3005">
      <pivotArea dataOnly="0" labelOnly="1" outline="0" fieldPosition="0">
        <references count="4">
          <reference field="0" count="1" selected="0">
            <x v="2"/>
          </reference>
          <reference field="3" count="1" selected="0">
            <x v="12"/>
          </reference>
          <reference field="4" count="1" selected="0">
            <x v="22"/>
          </reference>
          <reference field="5" count="9">
            <x v="1"/>
            <x v="114"/>
            <x v="131"/>
            <x v="200"/>
            <x v="343"/>
            <x v="1582"/>
            <x v="1587"/>
            <x v="1588"/>
            <x v="1638"/>
          </reference>
        </references>
      </pivotArea>
    </format>
    <format dxfId="3004">
      <pivotArea dataOnly="0" labelOnly="1" outline="0" fieldPosition="0">
        <references count="4">
          <reference field="0" count="1" selected="0">
            <x v="2"/>
          </reference>
          <reference field="3" count="1" selected="0">
            <x v="12"/>
          </reference>
          <reference field="4" count="1" selected="0">
            <x v="71"/>
          </reference>
          <reference field="5" count="1">
            <x v="624"/>
          </reference>
        </references>
      </pivotArea>
    </format>
    <format dxfId="3003">
      <pivotArea dataOnly="0" labelOnly="1" outline="0" fieldPosition="0">
        <references count="4">
          <reference field="0" count="1" selected="0">
            <x v="2"/>
          </reference>
          <reference field="3" count="1" selected="0">
            <x v="12"/>
          </reference>
          <reference field="4" count="1" selected="0">
            <x v="75"/>
          </reference>
          <reference field="5" count="18">
            <x v="85"/>
            <x v="119"/>
            <x v="136"/>
            <x v="148"/>
            <x v="167"/>
            <x v="196"/>
            <x v="200"/>
            <x v="206"/>
            <x v="259"/>
            <x v="302"/>
            <x v="342"/>
            <x v="363"/>
            <x v="784"/>
            <x v="785"/>
            <x v="791"/>
            <x v="792"/>
            <x v="793"/>
            <x v="794"/>
          </reference>
        </references>
      </pivotArea>
    </format>
    <format dxfId="3002">
      <pivotArea dataOnly="0" labelOnly="1" outline="0" fieldPosition="0">
        <references count="4">
          <reference field="0" count="1" selected="0">
            <x v="2"/>
          </reference>
          <reference field="3" count="1" selected="0">
            <x v="12"/>
          </reference>
          <reference field="4" count="1" selected="0">
            <x v="76"/>
          </reference>
          <reference field="5" count="3">
            <x v="349"/>
            <x v="350"/>
            <x v="387"/>
          </reference>
        </references>
      </pivotArea>
    </format>
    <format dxfId="3001">
      <pivotArea dataOnly="0" labelOnly="1" outline="0" fieldPosition="0">
        <references count="4">
          <reference field="0" count="1" selected="0">
            <x v="2"/>
          </reference>
          <reference field="3" count="1" selected="0">
            <x v="12"/>
          </reference>
          <reference field="4" count="1" selected="0">
            <x v="77"/>
          </reference>
          <reference field="5" count="3">
            <x v="1523"/>
            <x v="1524"/>
            <x v="1626"/>
          </reference>
        </references>
      </pivotArea>
    </format>
    <format dxfId="3000">
      <pivotArea dataOnly="0" labelOnly="1" outline="0" fieldPosition="0">
        <references count="4">
          <reference field="0" count="1" selected="0">
            <x v="2"/>
          </reference>
          <reference field="3" count="1" selected="0">
            <x v="12"/>
          </reference>
          <reference field="4" count="1" selected="0">
            <x v="78"/>
          </reference>
          <reference field="5" count="3">
            <x v="1522"/>
            <x v="1527"/>
            <x v="1628"/>
          </reference>
        </references>
      </pivotArea>
    </format>
    <format dxfId="2999">
      <pivotArea dataOnly="0" labelOnly="1" outline="0" fieldPosition="0">
        <references count="4">
          <reference field="0" count="1" selected="0">
            <x v="2"/>
          </reference>
          <reference field="3" count="1" selected="0">
            <x v="12"/>
          </reference>
          <reference field="4" count="1" selected="0">
            <x v="79"/>
          </reference>
          <reference field="5" count="8">
            <x v="700"/>
            <x v="703"/>
            <x v="704"/>
            <x v="786"/>
            <x v="788"/>
            <x v="789"/>
            <x v="790"/>
            <x v="794"/>
          </reference>
        </references>
      </pivotArea>
    </format>
    <format dxfId="2998">
      <pivotArea dataOnly="0" labelOnly="1" outline="0" fieldPosition="0">
        <references count="4">
          <reference field="0" count="1" selected="0">
            <x v="2"/>
          </reference>
          <reference field="3" count="1" selected="0">
            <x v="12"/>
          </reference>
          <reference field="4" count="1" selected="0">
            <x v="80"/>
          </reference>
          <reference field="5" count="3">
            <x v="253"/>
            <x v="1545"/>
            <x v="1568"/>
          </reference>
        </references>
      </pivotArea>
    </format>
    <format dxfId="2997">
      <pivotArea dataOnly="0" labelOnly="1" outline="0" fieldPosition="0">
        <references count="4">
          <reference field="0" count="1" selected="0">
            <x v="2"/>
          </reference>
          <reference field="3" count="1" selected="0">
            <x v="12"/>
          </reference>
          <reference field="4" count="1" selected="0">
            <x v="95"/>
          </reference>
          <reference field="5" count="14">
            <x v="32"/>
            <x v="45"/>
            <x v="115"/>
            <x v="178"/>
            <x v="274"/>
            <x v="279"/>
            <x v="282"/>
            <x v="405"/>
            <x v="766"/>
            <x v="767"/>
            <x v="770"/>
            <x v="771"/>
            <x v="772"/>
            <x v="783"/>
          </reference>
        </references>
      </pivotArea>
    </format>
    <format dxfId="2996">
      <pivotArea dataOnly="0" labelOnly="1" outline="0" fieldPosition="0">
        <references count="4">
          <reference field="0" count="1" selected="0">
            <x v="2"/>
          </reference>
          <reference field="3" count="1" selected="0">
            <x v="12"/>
          </reference>
          <reference field="4" count="1" selected="0">
            <x v="96"/>
          </reference>
          <reference field="5" count="3">
            <x v="349"/>
            <x v="350"/>
            <x v="387"/>
          </reference>
        </references>
      </pivotArea>
    </format>
    <format dxfId="2995">
      <pivotArea dataOnly="0" labelOnly="1" outline="0" fieldPosition="0">
        <references count="4">
          <reference field="0" count="1" selected="0">
            <x v="2"/>
          </reference>
          <reference field="3" count="1" selected="0">
            <x v="12"/>
          </reference>
          <reference field="4" count="1" selected="0">
            <x v="97"/>
          </reference>
          <reference field="5" count="3">
            <x v="248"/>
            <x v="1531"/>
            <x v="1554"/>
          </reference>
        </references>
      </pivotArea>
    </format>
    <format dxfId="2994">
      <pivotArea dataOnly="0" labelOnly="1" outline="0" fieldPosition="0">
        <references count="4">
          <reference field="0" count="1" selected="0">
            <x v="2"/>
          </reference>
          <reference field="3" count="1" selected="0">
            <x v="12"/>
          </reference>
          <reference field="4" count="1" selected="0">
            <x v="98"/>
          </reference>
          <reference field="5" count="3">
            <x v="248"/>
            <x v="1532"/>
            <x v="1555"/>
          </reference>
        </references>
      </pivotArea>
    </format>
    <format dxfId="2993">
      <pivotArea dataOnly="0" labelOnly="1" outline="0" fieldPosition="0">
        <references count="4">
          <reference field="0" count="1" selected="0">
            <x v="2"/>
          </reference>
          <reference field="3" count="1" selected="0">
            <x v="12"/>
          </reference>
          <reference field="4" count="1" selected="0">
            <x v="99"/>
          </reference>
          <reference field="5" count="6">
            <x v="700"/>
            <x v="703"/>
            <x v="704"/>
            <x v="780"/>
            <x v="781"/>
            <x v="782"/>
          </reference>
        </references>
      </pivotArea>
    </format>
    <format dxfId="2992">
      <pivotArea dataOnly="0" labelOnly="1" outline="0" fieldPosition="0">
        <references count="4">
          <reference field="0" count="1" selected="0">
            <x v="2"/>
          </reference>
          <reference field="3" count="1" selected="0">
            <x v="12"/>
          </reference>
          <reference field="4" count="1" selected="0">
            <x v="100"/>
          </reference>
          <reference field="5" count="6">
            <x v="700"/>
            <x v="703"/>
            <x v="704"/>
            <x v="774"/>
            <x v="775"/>
            <x v="787"/>
          </reference>
        </references>
      </pivotArea>
    </format>
    <format dxfId="2991">
      <pivotArea dataOnly="0" labelOnly="1" outline="0" fieldPosition="0">
        <references count="4">
          <reference field="0" count="1" selected="0">
            <x v="2"/>
          </reference>
          <reference field="3" count="1" selected="0">
            <x v="12"/>
          </reference>
          <reference field="4" count="1" selected="0">
            <x v="101"/>
          </reference>
          <reference field="5" count="6">
            <x v="700"/>
            <x v="703"/>
            <x v="704"/>
            <x v="776"/>
            <x v="777"/>
            <x v="787"/>
          </reference>
        </references>
      </pivotArea>
    </format>
    <format dxfId="2990">
      <pivotArea dataOnly="0" labelOnly="1" outline="0" fieldPosition="0">
        <references count="4">
          <reference field="0" count="1" selected="0">
            <x v="2"/>
          </reference>
          <reference field="3" count="1" selected="0">
            <x v="12"/>
          </reference>
          <reference field="4" count="1" selected="0">
            <x v="102"/>
          </reference>
          <reference field="5" count="6">
            <x v="700"/>
            <x v="703"/>
            <x v="704"/>
            <x v="768"/>
            <x v="769"/>
            <x v="787"/>
          </reference>
        </references>
      </pivotArea>
    </format>
    <format dxfId="2989">
      <pivotArea dataOnly="0" labelOnly="1" outline="0" fieldPosition="0">
        <references count="4">
          <reference field="0" count="1" selected="0">
            <x v="2"/>
          </reference>
          <reference field="3" count="1" selected="0">
            <x v="12"/>
          </reference>
          <reference field="4" count="1" selected="0">
            <x v="103"/>
          </reference>
          <reference field="5" count="6">
            <x v="700"/>
            <x v="703"/>
            <x v="704"/>
            <x v="778"/>
            <x v="779"/>
            <x v="787"/>
          </reference>
        </references>
      </pivotArea>
    </format>
    <format dxfId="2988">
      <pivotArea dataOnly="0" labelOnly="1" outline="0" fieldPosition="0">
        <references count="4">
          <reference field="0" count="1" selected="0">
            <x v="2"/>
          </reference>
          <reference field="3" count="1" selected="0">
            <x v="12"/>
          </reference>
          <reference field="4" count="1" selected="0">
            <x v="216"/>
          </reference>
          <reference field="5" count="17">
            <x v="52"/>
            <x v="137"/>
            <x v="148"/>
            <x v="166"/>
            <x v="167"/>
            <x v="200"/>
            <x v="215"/>
            <x v="238"/>
            <x v="282"/>
            <x v="302"/>
            <x v="310"/>
            <x v="430"/>
            <x v="618"/>
            <x v="619"/>
            <x v="620"/>
            <x v="621"/>
            <x v="773"/>
          </reference>
        </references>
      </pivotArea>
    </format>
    <format dxfId="2987">
      <pivotArea dataOnly="0" labelOnly="1" outline="0" fieldPosition="0">
        <references count="4">
          <reference field="0" count="1" selected="0">
            <x v="2"/>
          </reference>
          <reference field="3" count="1" selected="0">
            <x v="13"/>
          </reference>
          <reference field="4" count="1" selected="0">
            <x v="216"/>
          </reference>
          <reference field="5" count="50">
            <x v="111"/>
            <x v="112"/>
            <x v="121"/>
            <x v="122"/>
            <x v="138"/>
            <x v="140"/>
            <x v="141"/>
            <x v="215"/>
            <x v="224"/>
            <x v="283"/>
            <x v="336"/>
            <x v="635"/>
            <x v="636"/>
            <x v="637"/>
            <x v="638"/>
            <x v="639"/>
            <x v="640"/>
            <x v="641"/>
            <x v="642"/>
            <x v="643"/>
            <x v="644"/>
            <x v="645"/>
            <x v="646"/>
            <x v="647"/>
            <x v="648"/>
            <x v="649"/>
            <x v="650"/>
            <x v="651"/>
            <x v="652"/>
            <x v="653"/>
            <x v="654"/>
            <x v="655"/>
            <x v="656"/>
            <x v="657"/>
            <x v="658"/>
            <x v="659"/>
            <x v="660"/>
            <x v="661"/>
            <x v="662"/>
            <x v="663"/>
            <x v="664"/>
            <x v="665"/>
            <x v="666"/>
            <x v="667"/>
            <x v="668"/>
            <x v="669"/>
            <x v="670"/>
            <x v="671"/>
            <x v="672"/>
            <x v="673"/>
          </reference>
        </references>
      </pivotArea>
    </format>
    <format dxfId="2986">
      <pivotArea dataOnly="0" labelOnly="1" outline="0" fieldPosition="0">
        <references count="4">
          <reference field="0" count="1" selected="0">
            <x v="2"/>
          </reference>
          <reference field="3" count="1" selected="0">
            <x v="13"/>
          </reference>
          <reference field="4" count="1" selected="0">
            <x v="216"/>
          </reference>
          <reference field="5" count="6">
            <x v="674"/>
            <x v="675"/>
            <x v="676"/>
            <x v="677"/>
            <x v="678"/>
            <x v="679"/>
          </reference>
        </references>
      </pivotArea>
    </format>
    <format dxfId="2985">
      <pivotArea dataOnly="0" labelOnly="1" outline="0" fieldPosition="0">
        <references count="4">
          <reference field="0" count="1" selected="0">
            <x v="2"/>
          </reference>
          <reference field="3" count="1" selected="0">
            <x v="14"/>
          </reference>
          <reference field="4" count="1" selected="0">
            <x v="5"/>
          </reference>
          <reference field="5" count="3">
            <x v="349"/>
            <x v="350"/>
            <x v="387"/>
          </reference>
        </references>
      </pivotArea>
    </format>
    <format dxfId="2984">
      <pivotArea dataOnly="0" labelOnly="1" outline="0" fieldPosition="0">
        <references count="4">
          <reference field="0" count="1" selected="0">
            <x v="2"/>
          </reference>
          <reference field="3" count="1" selected="0">
            <x v="14"/>
          </reference>
          <reference field="4" count="1" selected="0">
            <x v="7"/>
          </reference>
          <reference field="5" count="2">
            <x v="7"/>
            <x v="387"/>
          </reference>
        </references>
      </pivotArea>
    </format>
    <format dxfId="2983">
      <pivotArea dataOnly="0" labelOnly="1" outline="0" fieldPosition="0">
        <references count="4">
          <reference field="0" count="1" selected="0">
            <x v="2"/>
          </reference>
          <reference field="3" count="1" selected="0">
            <x v="14"/>
          </reference>
          <reference field="4" count="1" selected="0">
            <x v="50"/>
          </reference>
          <reference field="5" count="5">
            <x v="682"/>
            <x v="683"/>
            <x v="684"/>
            <x v="685"/>
            <x v="686"/>
          </reference>
        </references>
      </pivotArea>
    </format>
    <format dxfId="2982">
      <pivotArea dataOnly="0" labelOnly="1" outline="0" fieldPosition="0">
        <references count="4">
          <reference field="0" count="1" selected="0">
            <x v="2"/>
          </reference>
          <reference field="3" count="1" selected="0">
            <x v="14"/>
          </reference>
          <reference field="4" count="1" selected="0">
            <x v="68"/>
          </reference>
          <reference field="5" count="1">
            <x v="680"/>
          </reference>
        </references>
      </pivotArea>
    </format>
    <format dxfId="2981">
      <pivotArea dataOnly="0" labelOnly="1" outline="0" fieldPosition="0">
        <references count="4">
          <reference field="0" count="1" selected="0">
            <x v="2"/>
          </reference>
          <reference field="3" count="1" selected="0">
            <x v="14"/>
          </reference>
          <reference field="4" count="1" selected="0">
            <x v="70"/>
          </reference>
          <reference field="5" count="4">
            <x v="279"/>
            <x v="282"/>
            <x v="681"/>
            <x v="687"/>
          </reference>
        </references>
      </pivotArea>
    </format>
    <format dxfId="2980">
      <pivotArea dataOnly="0" labelOnly="1" outline="0" fieldPosition="0">
        <references count="4">
          <reference field="0" count="1" selected="0">
            <x v="2"/>
          </reference>
          <reference field="3" count="1" selected="0">
            <x v="14"/>
          </reference>
          <reference field="4" count="1" selected="0">
            <x v="81"/>
          </reference>
          <reference field="5" count="14">
            <x v="155"/>
            <x v="259"/>
            <x v="726"/>
            <x v="727"/>
            <x v="728"/>
            <x v="729"/>
            <x v="730"/>
            <x v="731"/>
            <x v="732"/>
            <x v="733"/>
            <x v="734"/>
            <x v="735"/>
            <x v="736"/>
            <x v="737"/>
          </reference>
        </references>
      </pivotArea>
    </format>
    <format dxfId="2979">
      <pivotArea dataOnly="0" labelOnly="1" outline="0" fieldPosition="0">
        <references count="4">
          <reference field="0" count="1" selected="0">
            <x v="2"/>
          </reference>
          <reference field="3" count="1" selected="0">
            <x v="14"/>
          </reference>
          <reference field="4" count="1" selected="0">
            <x v="82"/>
          </reference>
          <reference field="5" count="4">
            <x v="302"/>
            <x v="691"/>
            <x v="692"/>
            <x v="725"/>
          </reference>
        </references>
      </pivotArea>
    </format>
    <format dxfId="2978">
      <pivotArea dataOnly="0" labelOnly="1" outline="0" fieldPosition="0">
        <references count="4">
          <reference field="0" count="1" selected="0">
            <x v="2"/>
          </reference>
          <reference field="3" count="1" selected="0">
            <x v="14"/>
          </reference>
          <reference field="4" count="1" selected="0">
            <x v="83"/>
          </reference>
          <reference field="5" count="6">
            <x v="709"/>
            <x v="715"/>
            <x v="717"/>
            <x v="718"/>
            <x v="719"/>
            <x v="724"/>
          </reference>
        </references>
      </pivotArea>
    </format>
    <format dxfId="2977">
      <pivotArea dataOnly="0" labelOnly="1" outline="0" fieldPosition="0">
        <references count="4">
          <reference field="0" count="1" selected="0">
            <x v="2"/>
          </reference>
          <reference field="3" count="1" selected="0">
            <x v="14"/>
          </reference>
          <reference field="4" count="1" selected="0">
            <x v="84"/>
          </reference>
          <reference field="5" count="6">
            <x v="710"/>
            <x v="715"/>
            <x v="717"/>
            <x v="718"/>
            <x v="719"/>
            <x v="723"/>
          </reference>
        </references>
      </pivotArea>
    </format>
    <format dxfId="2976">
      <pivotArea dataOnly="0" labelOnly="1" outline="0" fieldPosition="0">
        <references count="4">
          <reference field="0" count="1" selected="0">
            <x v="2"/>
          </reference>
          <reference field="3" count="1" selected="0">
            <x v="14"/>
          </reference>
          <reference field="4" count="1" selected="0">
            <x v="85"/>
          </reference>
          <reference field="5" count="6">
            <x v="711"/>
            <x v="715"/>
            <x v="717"/>
            <x v="718"/>
            <x v="719"/>
            <x v="722"/>
          </reference>
        </references>
      </pivotArea>
    </format>
    <format dxfId="2975">
      <pivotArea dataOnly="0" labelOnly="1" outline="0" fieldPosition="0">
        <references count="4">
          <reference field="0" count="1" selected="0">
            <x v="2"/>
          </reference>
          <reference field="3" count="1" selected="0">
            <x v="14"/>
          </reference>
          <reference field="4" count="1" selected="0">
            <x v="86"/>
          </reference>
          <reference field="5" count="6">
            <x v="712"/>
            <x v="715"/>
            <x v="717"/>
            <x v="718"/>
            <x v="719"/>
            <x v="720"/>
          </reference>
        </references>
      </pivotArea>
    </format>
    <format dxfId="2974">
      <pivotArea dataOnly="0" labelOnly="1" outline="0" fieldPosition="0">
        <references count="4">
          <reference field="0" count="1" selected="0">
            <x v="2"/>
          </reference>
          <reference field="3" count="1" selected="0">
            <x v="14"/>
          </reference>
          <reference field="4" count="1" selected="0">
            <x v="87"/>
          </reference>
          <reference field="5" count="6">
            <x v="713"/>
            <x v="715"/>
            <x v="716"/>
            <x v="717"/>
            <x v="718"/>
            <x v="719"/>
          </reference>
        </references>
      </pivotArea>
    </format>
    <format dxfId="2973">
      <pivotArea dataOnly="0" labelOnly="1" outline="0" fieldPosition="0">
        <references count="4">
          <reference field="0" count="1" selected="0">
            <x v="2"/>
          </reference>
          <reference field="3" count="1" selected="0">
            <x v="14"/>
          </reference>
          <reference field="4" count="1" selected="0">
            <x v="88"/>
          </reference>
          <reference field="5" count="6">
            <x v="714"/>
            <x v="715"/>
            <x v="717"/>
            <x v="718"/>
            <x v="719"/>
            <x v="721"/>
          </reference>
        </references>
      </pivotArea>
    </format>
    <format dxfId="2972">
      <pivotArea dataOnly="0" labelOnly="1" outline="0" fieldPosition="0">
        <references count="4">
          <reference field="0" count="1" selected="0">
            <x v="2"/>
          </reference>
          <reference field="3" count="1" selected="0">
            <x v="14"/>
          </reference>
          <reference field="4" count="1" selected="0">
            <x v="89"/>
          </reference>
          <reference field="5" count="3">
            <x v="279"/>
            <x v="698"/>
            <x v="699"/>
          </reference>
        </references>
      </pivotArea>
    </format>
    <format dxfId="2971">
      <pivotArea dataOnly="0" labelOnly="1" outline="0" fieldPosition="0">
        <references count="4">
          <reference field="0" count="1" selected="0">
            <x v="2"/>
          </reference>
          <reference field="3" count="1" selected="0">
            <x v="14"/>
          </reference>
          <reference field="4" count="1" selected="0">
            <x v="90"/>
          </reference>
          <reference field="5" count="6">
            <x v="693"/>
            <x v="700"/>
            <x v="702"/>
            <x v="703"/>
            <x v="704"/>
            <x v="708"/>
          </reference>
        </references>
      </pivotArea>
    </format>
    <format dxfId="2970">
      <pivotArea dataOnly="0" labelOnly="1" outline="0" fieldPosition="0">
        <references count="4">
          <reference field="0" count="1" selected="0">
            <x v="2"/>
          </reference>
          <reference field="3" count="1" selected="0">
            <x v="14"/>
          </reference>
          <reference field="4" count="1" selected="0">
            <x v="91"/>
          </reference>
          <reference field="5" count="6">
            <x v="694"/>
            <x v="700"/>
            <x v="702"/>
            <x v="703"/>
            <x v="704"/>
            <x v="705"/>
          </reference>
        </references>
      </pivotArea>
    </format>
    <format dxfId="2969">
      <pivotArea dataOnly="0" labelOnly="1" outline="0" fieldPosition="0">
        <references count="4">
          <reference field="0" count="1" selected="0">
            <x v="2"/>
          </reference>
          <reference field="3" count="1" selected="0">
            <x v="14"/>
          </reference>
          <reference field="4" count="1" selected="0">
            <x v="92"/>
          </reference>
          <reference field="5" count="6">
            <x v="695"/>
            <x v="700"/>
            <x v="702"/>
            <x v="703"/>
            <x v="704"/>
            <x v="707"/>
          </reference>
        </references>
      </pivotArea>
    </format>
    <format dxfId="2968">
      <pivotArea dataOnly="0" labelOnly="1" outline="0" fieldPosition="0">
        <references count="4">
          <reference field="0" count="1" selected="0">
            <x v="2"/>
          </reference>
          <reference field="3" count="1" selected="0">
            <x v="14"/>
          </reference>
          <reference field="4" count="1" selected="0">
            <x v="93"/>
          </reference>
          <reference field="5" count="6">
            <x v="696"/>
            <x v="700"/>
            <x v="702"/>
            <x v="703"/>
            <x v="704"/>
            <x v="706"/>
          </reference>
        </references>
      </pivotArea>
    </format>
    <format dxfId="2967">
      <pivotArea dataOnly="0" labelOnly="1" outline="0" fieldPosition="0">
        <references count="4">
          <reference field="0" count="1" selected="0">
            <x v="2"/>
          </reference>
          <reference field="3" count="1" selected="0">
            <x v="14"/>
          </reference>
          <reference field="4" count="1" selected="0">
            <x v="94"/>
          </reference>
          <reference field="5" count="6">
            <x v="697"/>
            <x v="700"/>
            <x v="701"/>
            <x v="702"/>
            <x v="703"/>
            <x v="704"/>
          </reference>
        </references>
      </pivotArea>
    </format>
    <format dxfId="2966">
      <pivotArea dataOnly="0" labelOnly="1" outline="0" fieldPosition="0">
        <references count="4">
          <reference field="0" count="1" selected="0">
            <x v="2"/>
          </reference>
          <reference field="3" count="1" selected="0">
            <x v="14"/>
          </reference>
          <reference field="4" count="1" selected="0">
            <x v="104"/>
          </reference>
          <reference field="5" count="13">
            <x v="8"/>
            <x v="11"/>
            <x v="406"/>
            <x v="407"/>
            <x v="409"/>
            <x v="430"/>
            <x v="738"/>
            <x v="739"/>
            <x v="740"/>
            <x v="741"/>
            <x v="742"/>
            <x v="743"/>
            <x v="1612"/>
          </reference>
        </references>
      </pivotArea>
    </format>
    <format dxfId="2965">
      <pivotArea dataOnly="0" labelOnly="1" outline="0" fieldPosition="0">
        <references count="4">
          <reference field="0" count="1" selected="0">
            <x v="2"/>
          </reference>
          <reference field="3" count="1" selected="0">
            <x v="14"/>
          </reference>
          <reference field="4" count="1" selected="0">
            <x v="105"/>
          </reference>
          <reference field="5" count="3">
            <x v="248"/>
            <x v="1530"/>
            <x v="1553"/>
          </reference>
        </references>
      </pivotArea>
    </format>
    <format dxfId="2964">
      <pivotArea dataOnly="0" labelOnly="1" outline="0" fieldPosition="0">
        <references count="4">
          <reference field="0" count="1" selected="0">
            <x v="2"/>
          </reference>
          <reference field="3" count="1" selected="0">
            <x v="14"/>
          </reference>
          <reference field="4" count="1" selected="0">
            <x v="216"/>
          </reference>
          <reference field="5" count="17">
            <x v="89"/>
            <x v="114"/>
            <x v="115"/>
            <x v="131"/>
            <x v="136"/>
            <x v="165"/>
            <x v="166"/>
            <x v="169"/>
            <x v="203"/>
            <x v="206"/>
            <x v="237"/>
            <x v="302"/>
            <x v="396"/>
            <x v="398"/>
            <x v="688"/>
            <x v="689"/>
            <x v="690"/>
          </reference>
        </references>
      </pivotArea>
    </format>
    <format dxfId="2963">
      <pivotArea dataOnly="0" labelOnly="1" outline="0" fieldPosition="0">
        <references count="4">
          <reference field="0" count="1" selected="0">
            <x v="2"/>
          </reference>
          <reference field="3" count="1" selected="0">
            <x v="15"/>
          </reference>
          <reference field="4" count="1" selected="0">
            <x v="1"/>
          </reference>
          <reference field="5" count="6">
            <x v="799"/>
            <x v="800"/>
            <x v="801"/>
            <x v="1584"/>
            <x v="1585"/>
            <x v="1586"/>
          </reference>
        </references>
      </pivotArea>
    </format>
    <format dxfId="2962">
      <pivotArea dataOnly="0" labelOnly="1" outline="0" fieldPosition="0">
        <references count="4">
          <reference field="0" count="1" selected="0">
            <x v="2"/>
          </reference>
          <reference field="3" count="1" selected="0">
            <x v="15"/>
          </reference>
          <reference field="4" count="1" selected="0">
            <x v="2"/>
          </reference>
          <reference field="5" count="11">
            <x v="1"/>
            <x v="114"/>
            <x v="131"/>
            <x v="200"/>
            <x v="343"/>
            <x v="1580"/>
            <x v="1581"/>
            <x v="1582"/>
            <x v="1583"/>
            <x v="1587"/>
            <x v="1638"/>
          </reference>
        </references>
      </pivotArea>
    </format>
    <format dxfId="2961">
      <pivotArea dataOnly="0" labelOnly="1" outline="0" fieldPosition="0">
        <references count="4">
          <reference field="0" count="1" selected="0">
            <x v="2"/>
          </reference>
          <reference field="3" count="1" selected="0">
            <x v="15"/>
          </reference>
          <reference field="4" count="1" selected="0">
            <x v="3"/>
          </reference>
          <reference field="5" count="21">
            <x v="1"/>
            <x v="114"/>
            <x v="131"/>
            <x v="200"/>
            <x v="343"/>
            <x v="395"/>
            <x v="804"/>
            <x v="805"/>
            <x v="806"/>
            <x v="807"/>
            <x v="808"/>
            <x v="809"/>
            <x v="810"/>
            <x v="811"/>
            <x v="814"/>
            <x v="1581"/>
            <x v="1584"/>
            <x v="1585"/>
            <x v="1616"/>
            <x v="1620"/>
            <x v="1638"/>
          </reference>
        </references>
      </pivotArea>
    </format>
    <format dxfId="2960">
      <pivotArea dataOnly="0" labelOnly="1" outline="0" fieldPosition="0">
        <references count="4">
          <reference field="0" count="1" selected="0">
            <x v="2"/>
          </reference>
          <reference field="3" count="1" selected="0">
            <x v="15"/>
          </reference>
          <reference field="4" count="1" selected="0">
            <x v="4"/>
          </reference>
          <reference field="5" count="3">
            <x v="248"/>
            <x v="812"/>
            <x v="813"/>
          </reference>
        </references>
      </pivotArea>
    </format>
    <format dxfId="2959">
      <pivotArea dataOnly="0" labelOnly="1" outline="0" fieldPosition="0">
        <references count="4">
          <reference field="0" count="1" selected="0">
            <x v="2"/>
          </reference>
          <reference field="3" count="1" selected="0">
            <x v="15"/>
          </reference>
          <reference field="4" count="1" selected="0">
            <x v="14"/>
          </reference>
          <reference field="5" count="4">
            <x v="279"/>
            <x v="282"/>
            <x v="798"/>
            <x v="802"/>
          </reference>
        </references>
      </pivotArea>
    </format>
    <format dxfId="2958">
      <pivotArea dataOnly="0" labelOnly="1" outline="0" fieldPosition="0">
        <references count="4">
          <reference field="0" count="1" selected="0">
            <x v="2"/>
          </reference>
          <reference field="3" count="1" selected="0">
            <x v="15"/>
          </reference>
          <reference field="4" count="1" selected="0">
            <x v="208"/>
          </reference>
          <reference field="5" count="17">
            <x v="31"/>
            <x v="114"/>
            <x v="146"/>
            <x v="161"/>
            <x v="250"/>
            <x v="279"/>
            <x v="281"/>
            <x v="302"/>
            <x v="310"/>
            <x v="404"/>
            <x v="420"/>
            <x v="818"/>
            <x v="819"/>
            <x v="820"/>
            <x v="821"/>
            <x v="822"/>
            <x v="823"/>
          </reference>
        </references>
      </pivotArea>
    </format>
    <format dxfId="2957">
      <pivotArea dataOnly="0" labelOnly="1" outline="0" fieldPosition="0">
        <references count="4">
          <reference field="0" count="1" selected="0">
            <x v="2"/>
          </reference>
          <reference field="3" count="1" selected="0">
            <x v="15"/>
          </reference>
          <reference field="4" count="1" selected="0">
            <x v="210"/>
          </reference>
          <reference field="5" count="17">
            <x v="114"/>
            <x v="248"/>
            <x v="279"/>
            <x v="302"/>
            <x v="310"/>
            <x v="311"/>
            <x v="404"/>
            <x v="420"/>
            <x v="824"/>
            <x v="825"/>
            <x v="826"/>
            <x v="827"/>
            <x v="828"/>
            <x v="829"/>
            <x v="1616"/>
            <x v="1617"/>
            <x v="1619"/>
          </reference>
        </references>
      </pivotArea>
    </format>
    <format dxfId="2956">
      <pivotArea dataOnly="0" labelOnly="1" outline="0" fieldPosition="0">
        <references count="4">
          <reference field="0" count="1" selected="0">
            <x v="2"/>
          </reference>
          <reference field="3" count="1" selected="0">
            <x v="15"/>
          </reference>
          <reference field="4" count="1" selected="0">
            <x v="213"/>
          </reference>
          <reference field="5" count="6">
            <x v="815"/>
            <x v="816"/>
            <x v="817"/>
            <x v="1584"/>
            <x v="1585"/>
            <x v="1586"/>
          </reference>
        </references>
      </pivotArea>
    </format>
    <format dxfId="2955">
      <pivotArea dataOnly="0" labelOnly="1" outline="0" fieldPosition="0">
        <references count="4">
          <reference field="0" count="1" selected="0">
            <x v="2"/>
          </reference>
          <reference field="3" count="1" selected="0">
            <x v="15"/>
          </reference>
          <reference field="4" count="1" selected="0">
            <x v="214"/>
          </reference>
          <reference field="5" count="11">
            <x v="1"/>
            <x v="114"/>
            <x v="131"/>
            <x v="200"/>
            <x v="343"/>
            <x v="1580"/>
            <x v="1581"/>
            <x v="1582"/>
            <x v="1583"/>
            <x v="1587"/>
            <x v="1638"/>
          </reference>
        </references>
      </pivotArea>
    </format>
    <format dxfId="2954">
      <pivotArea dataOnly="0" labelOnly="1" outline="0" fieldPosition="0">
        <references count="4">
          <reference field="0" count="1" selected="0">
            <x v="2"/>
          </reference>
          <reference field="3" count="1" selected="0">
            <x v="15"/>
          </reference>
          <reference field="4" count="1" selected="0">
            <x v="216"/>
          </reference>
          <reference field="5" count="6">
            <x v="114"/>
            <x v="167"/>
            <x v="292"/>
            <x v="345"/>
            <x v="797"/>
            <x v="803"/>
          </reference>
        </references>
      </pivotArea>
    </format>
    <format dxfId="2953">
      <pivotArea dataOnly="0" labelOnly="1" outline="0" fieldPosition="0">
        <references count="4">
          <reference field="0" count="1" selected="0">
            <x v="2"/>
          </reference>
          <reference field="3" count="1" selected="0">
            <x v="16"/>
          </reference>
          <reference field="4" count="1" selected="0">
            <x v="72"/>
          </reference>
          <reference field="5" count="5">
            <x v="0"/>
            <x v="265"/>
            <x v="831"/>
            <x v="832"/>
            <x v="833"/>
          </reference>
        </references>
      </pivotArea>
    </format>
    <format dxfId="2952">
      <pivotArea dataOnly="0" labelOnly="1" outline="0" fieldPosition="0">
        <references count="4">
          <reference field="0" count="1" selected="0">
            <x v="2"/>
          </reference>
          <reference field="3" count="1" selected="0">
            <x v="16"/>
          </reference>
          <reference field="4" count="1" selected="0">
            <x v="108"/>
          </reference>
          <reference field="5" count="7">
            <x v="28"/>
            <x v="211"/>
            <x v="240"/>
            <x v="245"/>
            <x v="834"/>
            <x v="835"/>
            <x v="836"/>
          </reference>
        </references>
      </pivotArea>
    </format>
    <format dxfId="2951">
      <pivotArea dataOnly="0" labelOnly="1" outline="0" fieldPosition="0">
        <references count="4">
          <reference field="0" count="1" selected="0">
            <x v="2"/>
          </reference>
          <reference field="3" count="1" selected="0">
            <x v="16"/>
          </reference>
          <reference field="4" count="1" selected="0">
            <x v="216"/>
          </reference>
          <reference field="5" count="12">
            <x v="105"/>
            <x v="154"/>
            <x v="173"/>
            <x v="187"/>
            <x v="314"/>
            <x v="334"/>
            <x v="376"/>
            <x v="377"/>
            <x v="625"/>
            <x v="626"/>
            <x v="830"/>
            <x v="1615"/>
          </reference>
        </references>
      </pivotArea>
    </format>
    <format dxfId="2950">
      <pivotArea dataOnly="0" labelOnly="1" outline="0" fieldPosition="0">
        <references count="4">
          <reference field="0" count="1" selected="0">
            <x v="4"/>
          </reference>
          <reference field="3" count="1" selected="0">
            <x v="41"/>
          </reference>
          <reference field="4" count="1" selected="0">
            <x v="169"/>
          </reference>
          <reference field="5" count="3">
            <x v="1521"/>
            <x v="1522"/>
            <x v="1626"/>
          </reference>
        </references>
      </pivotArea>
    </format>
    <format dxfId="2949">
      <pivotArea dataOnly="0" labelOnly="1" outline="0" fieldPosition="0">
        <references count="4">
          <reference field="0" count="1" selected="0">
            <x v="4"/>
          </reference>
          <reference field="3" count="1" selected="0">
            <x v="41"/>
          </reference>
          <reference field="4" count="1" selected="0">
            <x v="216"/>
          </reference>
          <reference field="5" count="14">
            <x v="148"/>
            <x v="166"/>
            <x v="363"/>
            <x v="366"/>
            <x v="367"/>
            <x v="369"/>
            <x v="370"/>
            <x v="373"/>
            <x v="393"/>
            <x v="1327"/>
            <x v="1328"/>
            <x v="1329"/>
            <x v="1330"/>
            <x v="1338"/>
          </reference>
        </references>
      </pivotArea>
    </format>
    <format dxfId="2948">
      <pivotArea dataOnly="0" labelOnly="1" outline="0" fieldPosition="0">
        <references count="4">
          <reference field="0" count="1" selected="0">
            <x v="4"/>
          </reference>
          <reference field="3" count="1" selected="0">
            <x v="42"/>
          </reference>
          <reference field="4" count="1" selected="0">
            <x v="23"/>
          </reference>
          <reference field="5" count="1">
            <x v="1331"/>
          </reference>
        </references>
      </pivotArea>
    </format>
    <format dxfId="2947">
      <pivotArea dataOnly="0" labelOnly="1" outline="0" fieldPosition="0">
        <references count="4">
          <reference field="0" count="1" selected="0">
            <x v="4"/>
          </reference>
          <reference field="3" count="1" selected="0">
            <x v="42"/>
          </reference>
          <reference field="4" count="1" selected="0">
            <x v="165"/>
          </reference>
          <reference field="5" count="7">
            <x v="78"/>
            <x v="152"/>
            <x v="216"/>
            <x v="218"/>
            <x v="1577"/>
            <x v="1579"/>
            <x v="1613"/>
          </reference>
        </references>
      </pivotArea>
    </format>
    <format dxfId="2946">
      <pivotArea dataOnly="0" labelOnly="1" outline="0" fieldPosition="0">
        <references count="4">
          <reference field="0" count="1" selected="0">
            <x v="4"/>
          </reference>
          <reference field="3" count="1" selected="0">
            <x v="42"/>
          </reference>
          <reference field="4" count="1" selected="0">
            <x v="216"/>
          </reference>
          <reference field="5" count="5">
            <x v="191"/>
            <x v="409"/>
            <x v="1332"/>
            <x v="1337"/>
            <x v="1624"/>
          </reference>
        </references>
      </pivotArea>
    </format>
    <format dxfId="2945">
      <pivotArea dataOnly="0" labelOnly="1" outline="0" fieldPosition="0">
        <references count="4">
          <reference field="0" count="1" selected="0">
            <x v="4"/>
          </reference>
          <reference field="3" count="1" selected="0">
            <x v="43"/>
          </reference>
          <reference field="4" count="1" selected="0">
            <x v="5"/>
          </reference>
          <reference field="5" count="3">
            <x v="349"/>
            <x v="350"/>
            <x v="387"/>
          </reference>
        </references>
      </pivotArea>
    </format>
    <format dxfId="2944">
      <pivotArea dataOnly="0" labelOnly="1" outline="0" fieldPosition="0">
        <references count="4">
          <reference field="0" count="1" selected="0">
            <x v="4"/>
          </reference>
          <reference field="3" count="1" selected="0">
            <x v="43"/>
          </reference>
          <reference field="4" count="1" selected="0">
            <x v="7"/>
          </reference>
          <reference field="5" count="2">
            <x v="7"/>
            <x v="387"/>
          </reference>
        </references>
      </pivotArea>
    </format>
    <format dxfId="2943">
      <pivotArea dataOnly="0" labelOnly="1" outline="0" fieldPosition="0">
        <references count="4">
          <reference field="0" count="1" selected="0">
            <x v="4"/>
          </reference>
          <reference field="3" count="1" selected="0">
            <x v="43"/>
          </reference>
          <reference field="4" count="1" selected="0">
            <x v="109"/>
          </reference>
          <reference field="5" count="6">
            <x v="18"/>
            <x v="37"/>
            <x v="39"/>
            <x v="40"/>
            <x v="1592"/>
            <x v="1593"/>
          </reference>
        </references>
      </pivotArea>
    </format>
    <format dxfId="2942">
      <pivotArea dataOnly="0" labelOnly="1" outline="0" fieldPosition="0">
        <references count="4">
          <reference field="0" count="1" selected="0">
            <x v="4"/>
          </reference>
          <reference field="3" count="1" selected="0">
            <x v="43"/>
          </reference>
          <reference field="4" count="1" selected="0">
            <x v="216"/>
          </reference>
          <reference field="5" count="23">
            <x v="121"/>
            <x v="126"/>
            <x v="136"/>
            <x v="137"/>
            <x v="160"/>
            <x v="166"/>
            <x v="167"/>
            <x v="172"/>
            <x v="215"/>
            <x v="272"/>
            <x v="291"/>
            <x v="302"/>
            <x v="309"/>
            <x v="310"/>
            <x v="351"/>
            <x v="374"/>
            <x v="1333"/>
            <x v="1334"/>
            <x v="1335"/>
            <x v="1336"/>
            <x v="1589"/>
            <x v="1590"/>
            <x v="1608"/>
          </reference>
        </references>
      </pivotArea>
    </format>
    <format dxfId="2941">
      <pivotArea dataOnly="0" labelOnly="1" outline="0" fieldPosition="0">
        <references count="4">
          <reference field="0" count="1" selected="0">
            <x v="4"/>
          </reference>
          <reference field="3" count="1" selected="0">
            <x v="44"/>
          </reference>
          <reference field="4" count="1" selected="0">
            <x v="216"/>
          </reference>
          <reference field="5" count="50">
            <x v="30"/>
            <x v="111"/>
            <x v="120"/>
            <x v="122"/>
            <x v="140"/>
            <x v="141"/>
            <x v="167"/>
            <x v="172"/>
            <x v="215"/>
            <x v="224"/>
            <x v="279"/>
            <x v="282"/>
            <x v="283"/>
            <x v="336"/>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reference>
        </references>
      </pivotArea>
    </format>
    <format dxfId="2940">
      <pivotArea dataOnly="0" labelOnly="1" outline="0" fieldPosition="0">
        <references count="4">
          <reference field="0" count="1" selected="0">
            <x v="4"/>
          </reference>
          <reference field="3" count="1" selected="0">
            <x v="44"/>
          </reference>
          <reference field="4" count="1" selected="0">
            <x v="216"/>
          </reference>
          <reference field="5" count="4">
            <x v="1375"/>
            <x v="1376"/>
            <x v="1377"/>
            <x v="1378"/>
          </reference>
        </references>
      </pivotArea>
    </format>
    <format dxfId="2939">
      <pivotArea dataOnly="0" labelOnly="1" outline="0" fieldPosition="0">
        <references count="4">
          <reference field="0" count="1" selected="0">
            <x v="4"/>
          </reference>
          <reference field="3" count="1" selected="0">
            <x v="45"/>
          </reference>
          <reference field="4" count="1" selected="0">
            <x v="32"/>
          </reference>
          <reference field="5" count="13">
            <x v="98"/>
            <x v="132"/>
            <x v="171"/>
            <x v="378"/>
            <x v="386"/>
            <x v="421"/>
            <x v="1382"/>
            <x v="1388"/>
            <x v="1389"/>
            <x v="1390"/>
            <x v="1391"/>
            <x v="1392"/>
            <x v="1625"/>
          </reference>
        </references>
      </pivotArea>
    </format>
    <format dxfId="2938">
      <pivotArea dataOnly="0" labelOnly="1" outline="0" fieldPosition="0">
        <references count="4">
          <reference field="0" count="1" selected="0">
            <x v="4"/>
          </reference>
          <reference field="3" count="1" selected="0">
            <x v="45"/>
          </reference>
          <reference field="4" count="1" selected="0">
            <x v="33"/>
          </reference>
          <reference field="5" count="5">
            <x v="146"/>
            <x v="164"/>
            <x v="174"/>
            <x v="1380"/>
            <x v="1382"/>
          </reference>
        </references>
      </pivotArea>
    </format>
    <format dxfId="2937">
      <pivotArea dataOnly="0" labelOnly="1" outline="0" fieldPosition="0">
        <references count="4">
          <reference field="0" count="1" selected="0">
            <x v="4"/>
          </reference>
          <reference field="3" count="1" selected="0">
            <x v="45"/>
          </reference>
          <reference field="4" count="1" selected="0">
            <x v="34"/>
          </reference>
          <reference field="5" count="4">
            <x v="70"/>
            <x v="281"/>
            <x v="282"/>
            <x v="1381"/>
          </reference>
        </references>
      </pivotArea>
    </format>
    <format dxfId="2936">
      <pivotArea dataOnly="0" labelOnly="1" outline="0" fieldPosition="0">
        <references count="4">
          <reference field="0" count="1" selected="0">
            <x v="4"/>
          </reference>
          <reference field="3" count="1" selected="0">
            <x v="45"/>
          </reference>
          <reference field="4" count="1" selected="0">
            <x v="35"/>
          </reference>
          <reference field="5" count="8">
            <x v="93"/>
            <x v="162"/>
            <x v="214"/>
            <x v="241"/>
            <x v="279"/>
            <x v="281"/>
            <x v="1383"/>
            <x v="1386"/>
          </reference>
        </references>
      </pivotArea>
    </format>
    <format dxfId="2935">
      <pivotArea dataOnly="0" labelOnly="1" outline="0" fieldPosition="0">
        <references count="4">
          <reference field="0" count="1" selected="0">
            <x v="4"/>
          </reference>
          <reference field="3" count="1" selected="0">
            <x v="45"/>
          </reference>
          <reference field="4" count="1" selected="0">
            <x v="36"/>
          </reference>
          <reference field="5" count="6">
            <x v="210"/>
            <x v="214"/>
            <x v="241"/>
            <x v="279"/>
            <x v="1384"/>
            <x v="1385"/>
          </reference>
        </references>
      </pivotArea>
    </format>
    <format dxfId="2934">
      <pivotArea dataOnly="0" labelOnly="1" outline="0" fieldPosition="0">
        <references count="4">
          <reference field="0" count="1" selected="0">
            <x v="4"/>
          </reference>
          <reference field="3" count="1" selected="0">
            <x v="45"/>
          </reference>
          <reference field="4" count="1" selected="0">
            <x v="216"/>
          </reference>
          <reference field="5" count="2">
            <x v="1379"/>
            <x v="1387"/>
          </reference>
        </references>
      </pivotArea>
    </format>
    <format dxfId="2933">
      <pivotArea dataOnly="0" labelOnly="1" outline="0" fieldPosition="0">
        <references count="4">
          <reference field="0" count="1" selected="0">
            <x v="4"/>
          </reference>
          <reference field="3" count="1" selected="0">
            <x v="46"/>
          </reference>
          <reference field="4" count="1" selected="0">
            <x v="215"/>
          </reference>
          <reference field="5" count="3">
            <x v="70"/>
            <x v="280"/>
            <x v="1399"/>
          </reference>
        </references>
      </pivotArea>
    </format>
    <format dxfId="2932">
      <pivotArea dataOnly="0" labelOnly="1" outline="0" fieldPosition="0">
        <references count="4">
          <reference field="0" count="1" selected="0">
            <x v="4"/>
          </reference>
          <reference field="3" count="1" selected="0">
            <x v="46"/>
          </reference>
          <reference field="4" count="1" selected="0">
            <x v="216"/>
          </reference>
          <reference field="5" count="28">
            <x v="70"/>
            <x v="90"/>
            <x v="91"/>
            <x v="100"/>
            <x v="101"/>
            <x v="156"/>
            <x v="158"/>
            <x v="160"/>
            <x v="161"/>
            <x v="176"/>
            <x v="212"/>
            <x v="213"/>
            <x v="242"/>
            <x v="250"/>
            <x v="255"/>
            <x v="280"/>
            <x v="304"/>
            <x v="324"/>
            <x v="325"/>
            <x v="1393"/>
            <x v="1394"/>
            <x v="1395"/>
            <x v="1396"/>
            <x v="1397"/>
            <x v="1398"/>
            <x v="1400"/>
            <x v="1401"/>
            <x v="1402"/>
          </reference>
        </references>
      </pivotArea>
    </format>
    <format dxfId="2931">
      <pivotArea dataOnly="0" labelOnly="1" outline="0" fieldPosition="0">
        <references count="4">
          <reference field="0" count="1" selected="0">
            <x v="4"/>
          </reference>
          <reference field="3" count="1" selected="0">
            <x v="47"/>
          </reference>
          <reference field="4" count="1" selected="0">
            <x v="169"/>
          </reference>
          <reference field="5" count="3">
            <x v="1521"/>
            <x v="1522"/>
            <x v="1626"/>
          </reference>
        </references>
      </pivotArea>
    </format>
    <format dxfId="2930">
      <pivotArea dataOnly="0" labelOnly="1" outline="0" fieldPosition="0">
        <references count="4">
          <reference field="0" count="1" selected="0">
            <x v="4"/>
          </reference>
          <reference field="3" count="1" selected="0">
            <x v="47"/>
          </reference>
          <reference field="4" count="1" selected="0">
            <x v="216"/>
          </reference>
          <reference field="5" count="9">
            <x v="167"/>
            <x v="363"/>
            <x v="367"/>
            <x v="373"/>
            <x v="1403"/>
            <x v="1404"/>
            <x v="1405"/>
            <x v="1406"/>
            <x v="1407"/>
          </reference>
        </references>
      </pivotArea>
    </format>
    <format dxfId="2929">
      <pivotArea dataOnly="0" labelOnly="1" outline="0" fieldPosition="0">
        <references count="4">
          <reference field="0" count="1" selected="0">
            <x v="4"/>
          </reference>
          <reference field="3" count="1" selected="0">
            <x v="48"/>
          </reference>
          <reference field="4" count="1" selected="0">
            <x v="182"/>
          </reference>
          <reference field="5" count="2">
            <x v="387"/>
            <x v="1422"/>
          </reference>
        </references>
      </pivotArea>
    </format>
    <format dxfId="2928">
      <pivotArea dataOnly="0" labelOnly="1" outline="0" fieldPosition="0">
        <references count="4">
          <reference field="0" count="1" selected="0">
            <x v="4"/>
          </reference>
          <reference field="3" count="1" selected="0">
            <x v="48"/>
          </reference>
          <reference field="4" count="1" selected="0">
            <x v="216"/>
          </reference>
          <reference field="5" count="34">
            <x v="1"/>
            <x v="3"/>
            <x v="21"/>
            <x v="34"/>
            <x v="92"/>
            <x v="114"/>
            <x v="115"/>
            <x v="130"/>
            <x v="147"/>
            <x v="198"/>
            <x v="248"/>
            <x v="252"/>
            <x v="279"/>
            <x v="410"/>
            <x v="421"/>
            <x v="1408"/>
            <x v="1409"/>
            <x v="1410"/>
            <x v="1411"/>
            <x v="1412"/>
            <x v="1413"/>
            <x v="1414"/>
            <x v="1415"/>
            <x v="1416"/>
            <x v="1417"/>
            <x v="1418"/>
            <x v="1419"/>
            <x v="1420"/>
            <x v="1421"/>
            <x v="1423"/>
            <x v="1587"/>
            <x v="1629"/>
            <x v="1630"/>
            <x v="1638"/>
          </reference>
        </references>
      </pivotArea>
    </format>
    <format dxfId="2927">
      <pivotArea dataOnly="0" labelOnly="1" outline="0" fieldPosition="0">
        <references count="4">
          <reference field="0" count="1" selected="0">
            <x v="4"/>
          </reference>
          <reference field="3" count="1" selected="0">
            <x v="49"/>
          </reference>
          <reference field="4" count="1" selected="0">
            <x v="216"/>
          </reference>
          <reference field="5" count="14">
            <x v="119"/>
            <x v="282"/>
            <x v="359"/>
            <x v="1424"/>
            <x v="1425"/>
            <x v="1426"/>
            <x v="1427"/>
            <x v="1454"/>
            <x v="1455"/>
            <x v="1456"/>
            <x v="1460"/>
            <x v="1461"/>
            <x v="1462"/>
            <x v="1639"/>
          </reference>
        </references>
      </pivotArea>
    </format>
    <format dxfId="2926">
      <pivotArea dataOnly="0" labelOnly="1" outline="0" fieldPosition="0">
        <references count="4">
          <reference field="0" count="1" selected="0">
            <x v="4"/>
          </reference>
          <reference field="3" count="1" selected="0">
            <x v="50"/>
          </reference>
          <reference field="4" count="1" selected="0">
            <x v="216"/>
          </reference>
          <reference field="5" count="4">
            <x v="166"/>
            <x v="1428"/>
            <x v="1429"/>
            <x v="1430"/>
          </reference>
        </references>
      </pivotArea>
    </format>
    <format dxfId="2925">
      <pivotArea dataOnly="0" labelOnly="1" outline="0" fieldPosition="0">
        <references count="4">
          <reference field="0" count="1" selected="0">
            <x v="4"/>
          </reference>
          <reference field="3" count="1" selected="0">
            <x v="51"/>
          </reference>
          <reference field="4" count="1" selected="0">
            <x v="216"/>
          </reference>
          <reference field="5" count="7">
            <x v="148"/>
            <x v="169"/>
            <x v="1431"/>
            <x v="1432"/>
            <x v="1433"/>
            <x v="1434"/>
            <x v="1435"/>
          </reference>
        </references>
      </pivotArea>
    </format>
    <format dxfId="2924">
      <pivotArea dataOnly="0" labelOnly="1" outline="0" fieldPosition="0">
        <references count="4">
          <reference field="0" count="1" selected="0">
            <x v="4"/>
          </reference>
          <reference field="3" count="1" selected="0">
            <x v="52"/>
          </reference>
          <reference field="4" count="1" selected="0">
            <x v="216"/>
          </reference>
          <reference field="5" count="18">
            <x v="127"/>
            <x v="279"/>
            <x v="302"/>
            <x v="1436"/>
            <x v="1437"/>
            <x v="1438"/>
            <x v="1439"/>
            <x v="1440"/>
            <x v="1441"/>
            <x v="1442"/>
            <x v="1443"/>
            <x v="1444"/>
            <x v="1445"/>
            <x v="1446"/>
            <x v="1447"/>
            <x v="1448"/>
            <x v="1449"/>
            <x v="1450"/>
          </reference>
        </references>
      </pivotArea>
    </format>
    <format dxfId="2923">
      <pivotArea dataOnly="0" labelOnly="1" outline="0" fieldPosition="0">
        <references count="4">
          <reference field="0" count="1" selected="0">
            <x v="4"/>
          </reference>
          <reference field="3" count="1" selected="0">
            <x v="53"/>
          </reference>
          <reference field="4" count="1" selected="0">
            <x v="25"/>
          </reference>
          <reference field="5" count="4">
            <x v="203"/>
            <x v="302"/>
            <x v="1466"/>
            <x v="1467"/>
          </reference>
        </references>
      </pivotArea>
    </format>
    <format dxfId="2922">
      <pivotArea dataOnly="0" labelOnly="1" outline="0" fieldPosition="0">
        <references count="4">
          <reference field="0" count="1" selected="0">
            <x v="4"/>
          </reference>
          <reference field="3" count="1" selected="0">
            <x v="53"/>
          </reference>
          <reference field="4" count="1" selected="0">
            <x v="26"/>
          </reference>
          <reference field="5" count="3">
            <x v="349"/>
            <x v="350"/>
            <x v="387"/>
          </reference>
        </references>
      </pivotArea>
    </format>
    <format dxfId="2921">
      <pivotArea dataOnly="0" labelOnly="1" outline="0" fieldPosition="0">
        <references count="4">
          <reference field="0" count="1" selected="0">
            <x v="4"/>
          </reference>
          <reference field="3" count="1" selected="0">
            <x v="53"/>
          </reference>
          <reference field="4" count="1" selected="0">
            <x v="168"/>
          </reference>
          <reference field="5" count="3">
            <x v="1523"/>
            <x v="1524"/>
            <x v="1626"/>
          </reference>
        </references>
      </pivotArea>
    </format>
    <format dxfId="2920">
      <pivotArea dataOnly="0" labelOnly="1" outline="0" fieldPosition="0">
        <references count="4">
          <reference field="0" count="1" selected="0">
            <x v="4"/>
          </reference>
          <reference field="3" count="1" selected="0">
            <x v="53"/>
          </reference>
          <reference field="4" count="1" selected="0">
            <x v="172"/>
          </reference>
          <reference field="5" count="3">
            <x v="1522"/>
            <x v="1527"/>
            <x v="1628"/>
          </reference>
        </references>
      </pivotArea>
    </format>
    <format dxfId="2919">
      <pivotArea dataOnly="0" labelOnly="1" outline="0" fieldPosition="0">
        <references count="4">
          <reference field="0" count="1" selected="0">
            <x v="4"/>
          </reference>
          <reference field="3" count="1" selected="0">
            <x v="53"/>
          </reference>
          <reference field="4" count="1" selected="0">
            <x v="176"/>
          </reference>
          <reference field="5" count="14">
            <x v="119"/>
            <x v="282"/>
            <x v="359"/>
            <x v="1453"/>
            <x v="1454"/>
            <x v="1455"/>
            <x v="1456"/>
            <x v="1457"/>
            <x v="1458"/>
            <x v="1459"/>
            <x v="1460"/>
            <x v="1461"/>
            <x v="1462"/>
            <x v="1639"/>
          </reference>
        </references>
      </pivotArea>
    </format>
    <format dxfId="2918">
      <pivotArea dataOnly="0" labelOnly="1" outline="0" fieldPosition="0">
        <references count="4">
          <reference field="0" count="1" selected="0">
            <x v="4"/>
          </reference>
          <reference field="3" count="1" selected="0">
            <x v="53"/>
          </reference>
          <reference field="4" count="1" selected="0">
            <x v="216"/>
          </reference>
          <reference field="5" count="15">
            <x v="119"/>
            <x v="137"/>
            <x v="148"/>
            <x v="167"/>
            <x v="206"/>
            <x v="238"/>
            <x v="293"/>
            <x v="363"/>
            <x v="367"/>
            <x v="373"/>
            <x v="1451"/>
            <x v="1452"/>
            <x v="1463"/>
            <x v="1464"/>
            <x v="1465"/>
          </reference>
        </references>
      </pivotArea>
    </format>
    <format dxfId="2917">
      <pivotArea dataOnly="0" labelOnly="1" outline="0" fieldPosition="0">
        <references count="4">
          <reference field="0" count="1" selected="0">
            <x v="4"/>
          </reference>
          <reference field="3" count="1" selected="0">
            <x v="54"/>
          </reference>
          <reference field="4" count="1" selected="0">
            <x v="5"/>
          </reference>
          <reference field="5" count="3">
            <x v="349"/>
            <x v="350"/>
            <x v="387"/>
          </reference>
        </references>
      </pivotArea>
    </format>
    <format dxfId="2916">
      <pivotArea dataOnly="0" labelOnly="1" outline="0" fieldPosition="0">
        <references count="4">
          <reference field="0" count="1" selected="0">
            <x v="4"/>
          </reference>
          <reference field="3" count="1" selected="0">
            <x v="54"/>
          </reference>
          <reference field="4" count="1" selected="0">
            <x v="10"/>
          </reference>
          <reference field="5" count="7">
            <x v="279"/>
            <x v="1484"/>
            <x v="1485"/>
            <x v="1486"/>
            <x v="1487"/>
            <x v="1606"/>
            <x v="1607"/>
          </reference>
        </references>
      </pivotArea>
    </format>
    <format dxfId="2915">
      <pivotArea dataOnly="0" labelOnly="1" outline="0" fieldPosition="0">
        <references count="4">
          <reference field="0" count="1" selected="0">
            <x v="4"/>
          </reference>
          <reference field="3" count="1" selected="0">
            <x v="54"/>
          </reference>
          <reference field="4" count="1" selected="0">
            <x v="15"/>
          </reference>
          <reference field="5" count="20">
            <x v="2"/>
            <x v="97"/>
            <x v="132"/>
            <x v="135"/>
            <x v="136"/>
            <x v="139"/>
            <x v="143"/>
            <x v="156"/>
            <x v="160"/>
            <x v="214"/>
            <x v="237"/>
            <x v="258"/>
            <x v="268"/>
            <x v="318"/>
            <x v="330"/>
            <x v="347"/>
            <x v="388"/>
            <x v="400"/>
            <x v="1474"/>
            <x v="1483"/>
          </reference>
        </references>
      </pivotArea>
    </format>
    <format dxfId="2914">
      <pivotArea dataOnly="0" labelOnly="1" outline="0" fieldPosition="0">
        <references count="4">
          <reference field="0" count="1" selected="0">
            <x v="4"/>
          </reference>
          <reference field="3" count="1" selected="0">
            <x v="54"/>
          </reference>
          <reference field="4" count="1" selected="0">
            <x v="16"/>
          </reference>
          <reference field="5" count="4">
            <x v="73"/>
            <x v="279"/>
            <x v="1477"/>
            <x v="1478"/>
          </reference>
        </references>
      </pivotArea>
    </format>
    <format dxfId="2913">
      <pivotArea dataOnly="0" labelOnly="1" outline="0" fieldPosition="0">
        <references count="4">
          <reference field="0" count="1" selected="0">
            <x v="4"/>
          </reference>
          <reference field="3" count="1" selected="0">
            <x v="54"/>
          </reference>
          <reference field="4" count="1" selected="0">
            <x v="17"/>
          </reference>
          <reference field="5" count="3">
            <x v="282"/>
            <x v="1481"/>
            <x v="1482"/>
          </reference>
        </references>
      </pivotArea>
    </format>
    <format dxfId="2912">
      <pivotArea dataOnly="0" labelOnly="1" outline="0" fieldPosition="0">
        <references count="4">
          <reference field="0" count="1" selected="0">
            <x v="4"/>
          </reference>
          <reference field="3" count="1" selected="0">
            <x v="54"/>
          </reference>
          <reference field="4" count="1" selected="0">
            <x v="18"/>
          </reference>
          <reference field="5" count="4">
            <x v="279"/>
            <x v="282"/>
            <x v="1479"/>
            <x v="1480"/>
          </reference>
        </references>
      </pivotArea>
    </format>
    <format dxfId="2911">
      <pivotArea dataOnly="0" labelOnly="1" outline="0" fieldPosition="0">
        <references count="4">
          <reference field="0" count="1" selected="0">
            <x v="4"/>
          </reference>
          <reference field="3" count="1" selected="0">
            <x v="54"/>
          </reference>
          <reference field="4" count="1" selected="0">
            <x v="19"/>
          </reference>
          <reference field="5" count="5">
            <x v="73"/>
            <x v="281"/>
            <x v="282"/>
            <x v="1475"/>
            <x v="1476"/>
          </reference>
        </references>
      </pivotArea>
    </format>
    <format dxfId="2910">
      <pivotArea dataOnly="0" labelOnly="1" outline="0" fieldPosition="0">
        <references count="4">
          <reference field="0" count="1" selected="0">
            <x v="4"/>
          </reference>
          <reference field="3" count="1" selected="0">
            <x v="54"/>
          </reference>
          <reference field="4" count="1" selected="0">
            <x v="167"/>
          </reference>
          <reference field="5" count="7">
            <x v="77"/>
            <x v="152"/>
            <x v="216"/>
            <x v="218"/>
            <x v="1576"/>
            <x v="1577"/>
            <x v="1613"/>
          </reference>
        </references>
      </pivotArea>
    </format>
    <format dxfId="2909">
      <pivotArea dataOnly="0" labelOnly="1" outline="0" fieldPosition="0">
        <references count="4">
          <reference field="0" count="1" selected="0">
            <x v="4"/>
          </reference>
          <reference field="3" count="1" selected="0">
            <x v="54"/>
          </reference>
          <reference field="4" count="1" selected="0">
            <x v="172"/>
          </reference>
          <reference field="5" count="3">
            <x v="1522"/>
            <x v="1527"/>
            <x v="1628"/>
          </reference>
        </references>
      </pivotArea>
    </format>
    <format dxfId="2908">
      <pivotArea dataOnly="0" labelOnly="1" outline="0" fieldPosition="0">
        <references count="4">
          <reference field="0" count="1" selected="0">
            <x v="4"/>
          </reference>
          <reference field="3" count="1" selected="0">
            <x v="54"/>
          </reference>
          <reference field="4" count="1" selected="0">
            <x v="185"/>
          </reference>
          <reference field="5" count="3">
            <x v="250"/>
            <x v="1535"/>
            <x v="1558"/>
          </reference>
        </references>
      </pivotArea>
    </format>
    <format dxfId="2907">
      <pivotArea dataOnly="0" labelOnly="1" outline="0" fieldPosition="0">
        <references count="4">
          <reference field="0" count="1" selected="0">
            <x v="4"/>
          </reference>
          <reference field="3" count="1" selected="0">
            <x v="54"/>
          </reference>
          <reference field="4" count="1" selected="0">
            <x v="188"/>
          </reference>
          <reference field="5" count="4">
            <x v="250"/>
            <x v="282"/>
            <x v="1538"/>
            <x v="1561"/>
          </reference>
        </references>
      </pivotArea>
    </format>
    <format dxfId="2906">
      <pivotArea dataOnly="0" labelOnly="1" outline="0" fieldPosition="0">
        <references count="4">
          <reference field="0" count="1" selected="0">
            <x v="4"/>
          </reference>
          <reference field="3" count="1" selected="0">
            <x v="54"/>
          </reference>
          <reference field="4" count="1" selected="0">
            <x v="198"/>
          </reference>
          <reference field="5" count="3">
            <x v="254"/>
            <x v="1551"/>
            <x v="1575"/>
          </reference>
        </references>
      </pivotArea>
    </format>
    <format dxfId="2905">
      <pivotArea dataOnly="0" labelOnly="1" outline="0" fieldPosition="0">
        <references count="4">
          <reference field="0" count="1" selected="0">
            <x v="4"/>
          </reference>
          <reference field="3" count="1" selected="0">
            <x v="54"/>
          </reference>
          <reference field="4" count="1" selected="0">
            <x v="216"/>
          </reference>
          <reference field="5" count="26">
            <x v="74"/>
            <x v="119"/>
            <x v="136"/>
            <x v="148"/>
            <x v="167"/>
            <x v="201"/>
            <x v="203"/>
            <x v="206"/>
            <x v="291"/>
            <x v="292"/>
            <x v="294"/>
            <x v="302"/>
            <x v="326"/>
            <x v="327"/>
            <x v="351"/>
            <x v="363"/>
            <x v="367"/>
            <x v="371"/>
            <x v="373"/>
            <x v="409"/>
            <x v="1468"/>
            <x v="1469"/>
            <x v="1470"/>
            <x v="1471"/>
            <x v="1472"/>
            <x v="1473"/>
          </reference>
        </references>
      </pivotArea>
    </format>
    <format dxfId="2904">
      <pivotArea dataOnly="0" labelOnly="1" outline="0" fieldPosition="0">
        <references count="4">
          <reference field="0" count="1" selected="0">
            <x v="4"/>
          </reference>
          <reference field="3" count="1" selected="0">
            <x v="55"/>
          </reference>
          <reference field="4" count="1" selected="0">
            <x v="171"/>
          </reference>
          <reference field="5" count="3">
            <x v="1524"/>
            <x v="1528"/>
            <x v="1628"/>
          </reference>
        </references>
      </pivotArea>
    </format>
    <format dxfId="2903">
      <pivotArea dataOnly="0" labelOnly="1" outline="0" fieldPosition="0">
        <references count="4">
          <reference field="0" count="1" selected="0">
            <x v="4"/>
          </reference>
          <reference field="3" count="1" selected="0">
            <x v="55"/>
          </reference>
          <reference field="4" count="1" selected="0">
            <x v="216"/>
          </reference>
          <reference field="5" count="9">
            <x v="166"/>
            <x v="363"/>
            <x v="367"/>
            <x v="373"/>
            <x v="1488"/>
            <x v="1489"/>
            <x v="1490"/>
            <x v="1491"/>
            <x v="1492"/>
          </reference>
        </references>
      </pivotArea>
    </format>
    <format dxfId="2902">
      <pivotArea dataOnly="0" labelOnly="1" outline="0" fieldPosition="0">
        <references count="4">
          <reference field="0" count="1" selected="0">
            <x v="4"/>
          </reference>
          <reference field="3" count="1" selected="0">
            <x v="56"/>
          </reference>
          <reference field="4" count="1" selected="0">
            <x v="48"/>
          </reference>
          <reference field="5" count="4">
            <x v="203"/>
            <x v="302"/>
            <x v="1495"/>
            <x v="1499"/>
          </reference>
        </references>
      </pivotArea>
    </format>
    <format dxfId="2901">
      <pivotArea dataOnly="0" labelOnly="1" outline="0" fieldPosition="0">
        <references count="4">
          <reference field="0" count="1" selected="0">
            <x v="4"/>
          </reference>
          <reference field="3" count="1" selected="0">
            <x v="56"/>
          </reference>
          <reference field="4" count="1" selected="0">
            <x v="49"/>
          </reference>
          <reference field="5" count="3">
            <x v="349"/>
            <x v="350"/>
            <x v="387"/>
          </reference>
        </references>
      </pivotArea>
    </format>
    <format dxfId="2900">
      <pivotArea dataOnly="0" labelOnly="1" outline="0" fieldPosition="0">
        <references count="4">
          <reference field="0" count="1" selected="0">
            <x v="4"/>
          </reference>
          <reference field="3" count="1" selected="0">
            <x v="56"/>
          </reference>
          <reference field="4" count="1" selected="0">
            <x v="173"/>
          </reference>
          <reference field="5" count="3">
            <x v="1526"/>
            <x v="1529"/>
            <x v="1628"/>
          </reference>
        </references>
      </pivotArea>
    </format>
    <format dxfId="2899">
      <pivotArea dataOnly="0" labelOnly="1" outline="0" fieldPosition="0">
        <references count="4">
          <reference field="0" count="1" selected="0">
            <x v="4"/>
          </reference>
          <reference field="3" count="1" selected="0">
            <x v="56"/>
          </reference>
          <reference field="4" count="1" selected="0">
            <x v="192"/>
          </reference>
          <reference field="5" count="3">
            <x v="253"/>
            <x v="1543"/>
            <x v="1566"/>
          </reference>
        </references>
      </pivotArea>
    </format>
    <format dxfId="2898">
      <pivotArea dataOnly="0" labelOnly="1" outline="0" fieldPosition="0">
        <references count="4">
          <reference field="0" count="1" selected="0">
            <x v="4"/>
          </reference>
          <reference field="3" count="1" selected="0">
            <x v="56"/>
          </reference>
          <reference field="4" count="1" selected="0">
            <x v="193"/>
          </reference>
          <reference field="5" count="4">
            <x v="252"/>
            <x v="253"/>
            <x v="1544"/>
            <x v="1567"/>
          </reference>
        </references>
      </pivotArea>
    </format>
    <format dxfId="2897">
      <pivotArea dataOnly="0" labelOnly="1" outline="0" fieldPosition="0">
        <references count="4">
          <reference field="0" count="1" selected="0">
            <x v="4"/>
          </reference>
          <reference field="3" count="1" selected="0">
            <x v="56"/>
          </reference>
          <reference field="4" count="1" selected="0">
            <x v="194"/>
          </reference>
          <reference field="5" count="3">
            <x v="253"/>
            <x v="1546"/>
            <x v="1569"/>
          </reference>
        </references>
      </pivotArea>
    </format>
    <format dxfId="2896">
      <pivotArea dataOnly="0" labelOnly="1" outline="0" fieldPosition="0">
        <references count="4">
          <reference field="0" count="1" selected="0">
            <x v="4"/>
          </reference>
          <reference field="3" count="1" selected="0">
            <x v="56"/>
          </reference>
          <reference field="4" count="1" selected="0">
            <x v="216"/>
          </reference>
          <reference field="5" count="16">
            <x v="72"/>
            <x v="148"/>
            <x v="164"/>
            <x v="167"/>
            <x v="206"/>
            <x v="363"/>
            <x v="367"/>
            <x v="371"/>
            <x v="373"/>
            <x v="1493"/>
            <x v="1494"/>
            <x v="1496"/>
            <x v="1497"/>
            <x v="1498"/>
            <x v="1608"/>
            <x v="1609"/>
          </reference>
        </references>
      </pivotArea>
    </format>
    <format dxfId="2895">
      <pivotArea dataOnly="0" labelOnly="1" outline="0" fieldPosition="0">
        <references count="4">
          <reference field="0" count="1" selected="0">
            <x v="4"/>
          </reference>
          <reference field="3" count="1" selected="0">
            <x v="57"/>
          </reference>
          <reference field="4" count="1" selected="0">
            <x v="5"/>
          </reference>
          <reference field="5" count="3">
            <x v="349"/>
            <x v="350"/>
            <x v="387"/>
          </reference>
        </references>
      </pivotArea>
    </format>
    <format dxfId="2894">
      <pivotArea dataOnly="0" labelOnly="1" outline="0" fieldPosition="0">
        <references count="4">
          <reference field="0" count="1" selected="0">
            <x v="4"/>
          </reference>
          <reference field="3" count="1" selected="0">
            <x v="57"/>
          </reference>
          <reference field="4" count="1" selected="0">
            <x v="167"/>
          </reference>
          <reference field="5" count="7">
            <x v="77"/>
            <x v="152"/>
            <x v="216"/>
            <x v="218"/>
            <x v="1576"/>
            <x v="1577"/>
            <x v="1613"/>
          </reference>
        </references>
      </pivotArea>
    </format>
    <format dxfId="2893">
      <pivotArea dataOnly="0" labelOnly="1" outline="0" fieldPosition="0">
        <references count="4">
          <reference field="0" count="1" selected="0">
            <x v="4"/>
          </reference>
          <reference field="3" count="1" selected="0">
            <x v="57"/>
          </reference>
          <reference field="4" count="1" selected="0">
            <x v="197"/>
          </reference>
          <reference field="5" count="3">
            <x v="253"/>
            <x v="1550"/>
            <x v="1572"/>
          </reference>
        </references>
      </pivotArea>
    </format>
    <format dxfId="2892">
      <pivotArea dataOnly="0" labelOnly="1" outline="0" fieldPosition="0">
        <references count="4">
          <reference field="0" count="1" selected="0">
            <x v="4"/>
          </reference>
          <reference field="3" count="1" selected="0">
            <x v="57"/>
          </reference>
          <reference field="4" count="1" selected="0">
            <x v="216"/>
          </reference>
          <reference field="5" count="24">
            <x v="8"/>
            <x v="11"/>
            <x v="119"/>
            <x v="148"/>
            <x v="167"/>
            <x v="200"/>
            <x v="201"/>
            <x v="206"/>
            <x v="291"/>
            <x v="302"/>
            <x v="327"/>
            <x v="348"/>
            <x v="351"/>
            <x v="380"/>
            <x v="406"/>
            <x v="407"/>
            <x v="409"/>
            <x v="1500"/>
            <x v="1501"/>
            <x v="1502"/>
            <x v="1503"/>
            <x v="1504"/>
            <x v="1505"/>
            <x v="1522"/>
          </reference>
        </references>
      </pivotArea>
    </format>
    <format dxfId="2891">
      <pivotArea dataOnly="0" labelOnly="1" outline="0" fieldPosition="0">
        <references count="4">
          <reference field="0" count="1" selected="0">
            <x v="4"/>
          </reference>
          <reference field="3" count="1" selected="0">
            <x v="58"/>
          </reference>
          <reference field="4" count="1" selected="0">
            <x v="5"/>
          </reference>
          <reference field="5" count="3">
            <x v="349"/>
            <x v="350"/>
            <x v="387"/>
          </reference>
        </references>
      </pivotArea>
    </format>
    <format dxfId="2890">
      <pivotArea dataOnly="0" labelOnly="1" outline="0" fieldPosition="0">
        <references count="4">
          <reference field="0" count="1" selected="0">
            <x v="4"/>
          </reference>
          <reference field="3" count="1" selected="0">
            <x v="58"/>
          </reference>
          <reference field="4" count="1" selected="0">
            <x v="197"/>
          </reference>
          <reference field="5" count="3">
            <x v="253"/>
            <x v="1550"/>
            <x v="1572"/>
          </reference>
        </references>
      </pivotArea>
    </format>
    <format dxfId="2889">
      <pivotArea dataOnly="0" labelOnly="1" outline="0" fieldPosition="0">
        <references count="4">
          <reference field="0" count="1" selected="0">
            <x v="4"/>
          </reference>
          <reference field="3" count="1" selected="0">
            <x v="58"/>
          </reference>
          <reference field="4" count="1" selected="0">
            <x v="216"/>
          </reference>
          <reference field="5" count="18">
            <x v="12"/>
            <x v="148"/>
            <x v="167"/>
            <x v="201"/>
            <x v="203"/>
            <x v="302"/>
            <x v="326"/>
            <x v="348"/>
            <x v="380"/>
            <x v="406"/>
            <x v="407"/>
            <x v="409"/>
            <x v="1506"/>
            <x v="1507"/>
            <x v="1508"/>
            <x v="1509"/>
            <x v="1510"/>
            <x v="1511"/>
          </reference>
        </references>
      </pivotArea>
    </format>
    <format dxfId="2888">
      <pivotArea dataOnly="0" labelOnly="1" outline="0" fieldPosition="0">
        <references count="4">
          <reference field="0" count="1" selected="0">
            <x v="4"/>
          </reference>
          <reference field="3" count="1" selected="0">
            <x v="59"/>
          </reference>
          <reference field="4" count="1" selected="0">
            <x v="51"/>
          </reference>
          <reference field="5" count="4">
            <x v="203"/>
            <x v="302"/>
            <x v="1514"/>
            <x v="1520"/>
          </reference>
        </references>
      </pivotArea>
    </format>
    <format dxfId="2887">
      <pivotArea dataOnly="0" labelOnly="1" outline="0" fieldPosition="0">
        <references count="4">
          <reference field="0" count="1" selected="0">
            <x v="4"/>
          </reference>
          <reference field="3" count="1" selected="0">
            <x v="59"/>
          </reference>
          <reference field="4" count="1" selected="0">
            <x v="52"/>
          </reference>
          <reference field="5" count="3">
            <x v="349"/>
            <x v="350"/>
            <x v="387"/>
          </reference>
        </references>
      </pivotArea>
    </format>
    <format dxfId="2886">
      <pivotArea dataOnly="0" labelOnly="1" outline="0" fieldPosition="0">
        <references count="4">
          <reference field="0" count="1" selected="0">
            <x v="4"/>
          </reference>
          <reference field="3" count="1" selected="0">
            <x v="59"/>
          </reference>
          <reference field="4" count="1" selected="0">
            <x v="180"/>
          </reference>
          <reference field="5" count="3">
            <x v="360"/>
            <x v="362"/>
            <x v="423"/>
          </reference>
        </references>
      </pivotArea>
    </format>
    <format dxfId="2885">
      <pivotArea dataOnly="0" labelOnly="1" outline="0" fieldPosition="0">
        <references count="4">
          <reference field="0" count="1" selected="0">
            <x v="4"/>
          </reference>
          <reference field="3" count="1" selected="0">
            <x v="59"/>
          </reference>
          <reference field="4" count="1" selected="0">
            <x v="190"/>
          </reference>
          <reference field="5" count="3">
            <x v="253"/>
            <x v="1540"/>
            <x v="1563"/>
          </reference>
        </references>
      </pivotArea>
    </format>
    <format dxfId="2884">
      <pivotArea dataOnly="0" labelOnly="1" outline="0" fieldPosition="0">
        <references count="4">
          <reference field="0" count="1" selected="0">
            <x v="4"/>
          </reference>
          <reference field="3" count="1" selected="0">
            <x v="59"/>
          </reference>
          <reference field="4" count="1" selected="0">
            <x v="191"/>
          </reference>
          <reference field="5" count="3">
            <x v="250"/>
            <x v="1542"/>
            <x v="1565"/>
          </reference>
        </references>
      </pivotArea>
    </format>
    <format dxfId="2883">
      <pivotArea dataOnly="0" labelOnly="1" outline="0" fieldPosition="0">
        <references count="4">
          <reference field="0" count="1" selected="0">
            <x v="4"/>
          </reference>
          <reference field="3" count="1" selected="0">
            <x v="59"/>
          </reference>
          <reference field="4" count="1" selected="0">
            <x v="196"/>
          </reference>
          <reference field="5" count="3">
            <x v="253"/>
            <x v="1549"/>
            <x v="1571"/>
          </reference>
        </references>
      </pivotArea>
    </format>
    <format dxfId="2882">
      <pivotArea dataOnly="0" labelOnly="1" outline="0" fieldPosition="0">
        <references count="4">
          <reference field="0" count="1" selected="0">
            <x v="4"/>
          </reference>
          <reference field="3" count="1" selected="0">
            <x v="59"/>
          </reference>
          <reference field="4" count="1" selected="0">
            <x v="216"/>
          </reference>
          <reference field="5" count="23">
            <x v="6"/>
            <x v="49"/>
            <x v="148"/>
            <x v="162"/>
            <x v="167"/>
            <x v="201"/>
            <x v="213"/>
            <x v="302"/>
            <x v="326"/>
            <x v="348"/>
            <x v="361"/>
            <x v="370"/>
            <x v="380"/>
            <x v="1512"/>
            <x v="1513"/>
            <x v="1515"/>
            <x v="1516"/>
            <x v="1517"/>
            <x v="1518"/>
            <x v="1519"/>
            <x v="1520"/>
            <x v="1608"/>
            <x v="1609"/>
          </reference>
        </references>
      </pivotArea>
    </format>
    <format dxfId="2881">
      <pivotArea dataOnly="0" labelOnly="1" outline="0" fieldPosition="0">
        <references count="4">
          <reference field="0" count="1" selected="0">
            <x v="5"/>
          </reference>
          <reference field="3" count="1" selected="0">
            <x v="2"/>
          </reference>
          <reference field="4" count="1" selected="0">
            <x v="5"/>
          </reference>
          <reference field="5" count="3">
            <x v="349"/>
            <x v="350"/>
            <x v="387"/>
          </reference>
        </references>
      </pivotArea>
    </format>
    <format dxfId="2880">
      <pivotArea dataOnly="0" labelOnly="1" outline="0" fieldPosition="0">
        <references count="4">
          <reference field="0" count="1" selected="0">
            <x v="5"/>
          </reference>
          <reference field="3" count="1" selected="0">
            <x v="2"/>
          </reference>
          <reference field="4" count="1" selected="0">
            <x v="7"/>
          </reference>
          <reference field="5" count="2">
            <x v="7"/>
            <x v="387"/>
          </reference>
        </references>
      </pivotArea>
    </format>
    <format dxfId="2879">
      <pivotArea dataOnly="0" labelOnly="1" outline="0" fieldPosition="0">
        <references count="4">
          <reference field="0" count="1" selected="0">
            <x v="5"/>
          </reference>
          <reference field="3" count="1" selected="0">
            <x v="2"/>
          </reference>
          <reference field="4" count="1" selected="0">
            <x v="24"/>
          </reference>
          <reference field="5" count="2">
            <x v="1602"/>
            <x v="1603"/>
          </reference>
        </references>
      </pivotArea>
    </format>
    <format dxfId="2878">
      <pivotArea dataOnly="0" labelOnly="1" outline="0" fieldPosition="0">
        <references count="4">
          <reference field="0" count="1" selected="0">
            <x v="5"/>
          </reference>
          <reference field="3" count="1" selected="0">
            <x v="2"/>
          </reference>
          <reference field="4" count="1" selected="0">
            <x v="178"/>
          </reference>
          <reference field="5" count="3">
            <x v="284"/>
            <x v="441"/>
            <x v="442"/>
          </reference>
        </references>
      </pivotArea>
    </format>
    <format dxfId="2877">
      <pivotArea dataOnly="0" labelOnly="1" outline="0" fieldPosition="0">
        <references count="4">
          <reference field="0" count="1" selected="0">
            <x v="5"/>
          </reference>
          <reference field="3" count="1" selected="0">
            <x v="2"/>
          </reference>
          <reference field="4" count="1" selected="0">
            <x v="179"/>
          </reference>
          <reference field="5" count="3">
            <x v="284"/>
            <x v="453"/>
            <x v="454"/>
          </reference>
        </references>
      </pivotArea>
    </format>
    <format dxfId="2876">
      <pivotArea dataOnly="0" labelOnly="1" outline="0" fieldPosition="0">
        <references count="4">
          <reference field="0" count="1" selected="0">
            <x v="5"/>
          </reference>
          <reference field="3" count="1" selected="0">
            <x v="2"/>
          </reference>
          <reference field="4" count="1" selected="0">
            <x v="216"/>
          </reference>
          <reference field="5" count="50">
            <x v="35"/>
            <x v="89"/>
            <x v="102"/>
            <x v="103"/>
            <x v="105"/>
            <x v="112"/>
            <x v="121"/>
            <x v="122"/>
            <x v="124"/>
            <x v="132"/>
            <x v="136"/>
            <x v="139"/>
            <x v="140"/>
            <x v="142"/>
            <x v="148"/>
            <x v="151"/>
            <x v="158"/>
            <x v="169"/>
            <x v="173"/>
            <x v="187"/>
            <x v="203"/>
            <x v="204"/>
            <x v="215"/>
            <x v="224"/>
            <x v="237"/>
            <x v="256"/>
            <x v="282"/>
            <x v="283"/>
            <x v="302"/>
            <x v="334"/>
            <x v="336"/>
            <x v="374"/>
            <x v="398"/>
            <x v="399"/>
            <x v="439"/>
            <x v="440"/>
            <x v="443"/>
            <x v="444"/>
            <x v="445"/>
            <x v="446"/>
            <x v="447"/>
            <x v="448"/>
            <x v="449"/>
            <x v="450"/>
            <x v="451"/>
            <x v="452"/>
            <x v="455"/>
            <x v="456"/>
            <x v="457"/>
            <x v="458"/>
          </reference>
        </references>
      </pivotArea>
    </format>
    <format dxfId="2875">
      <pivotArea dataOnly="0" labelOnly="1" outline="0" fieldPosition="0">
        <references count="4">
          <reference field="0" count="1" selected="0">
            <x v="5"/>
          </reference>
          <reference field="3" count="1" selected="0">
            <x v="2"/>
          </reference>
          <reference field="4" count="1" selected="0">
            <x v="216"/>
          </reference>
          <reference field="5" count="5">
            <x v="459"/>
            <x v="460"/>
            <x v="461"/>
            <x v="462"/>
            <x v="463"/>
          </reference>
        </references>
      </pivotArea>
    </format>
    <format dxfId="2874">
      <pivotArea dataOnly="0" labelOnly="1" outline="0" fieldPosition="0">
        <references count="4">
          <reference field="0" count="1" selected="0">
            <x v="5"/>
          </reference>
          <reference field="3" count="1" selected="0">
            <x v="3"/>
          </reference>
          <reference field="4" count="1" selected="0">
            <x v="5"/>
          </reference>
          <reference field="5" count="3">
            <x v="349"/>
            <x v="350"/>
            <x v="387"/>
          </reference>
        </references>
      </pivotArea>
    </format>
    <format dxfId="2873">
      <pivotArea dataOnly="0" labelOnly="1" outline="0" fieldPosition="0">
        <references count="4">
          <reference field="0" count="1" selected="0">
            <x v="5"/>
          </reference>
          <reference field="3" count="1" selected="0">
            <x v="3"/>
          </reference>
          <reference field="4" count="1" selected="0">
            <x v="168"/>
          </reference>
          <reference field="5" count="3">
            <x v="1523"/>
            <x v="1524"/>
            <x v="1626"/>
          </reference>
        </references>
      </pivotArea>
    </format>
    <format dxfId="2872">
      <pivotArea dataOnly="0" labelOnly="1" outline="0" fieldPosition="0">
        <references count="4">
          <reference field="0" count="1" selected="0">
            <x v="5"/>
          </reference>
          <reference field="3" count="1" selected="0">
            <x v="3"/>
          </reference>
          <reference field="4" count="1" selected="0">
            <x v="181"/>
          </reference>
          <reference field="5" count="9">
            <x v="342"/>
            <x v="466"/>
            <x v="467"/>
            <x v="468"/>
            <x v="469"/>
            <x v="470"/>
            <x v="471"/>
            <x v="472"/>
            <x v="473"/>
          </reference>
        </references>
      </pivotArea>
    </format>
    <format dxfId="2871">
      <pivotArea dataOnly="0" labelOnly="1" outline="0" fieldPosition="0">
        <references count="4">
          <reference field="0" count="1" selected="0">
            <x v="5"/>
          </reference>
          <reference field="3" count="1" selected="0">
            <x v="3"/>
          </reference>
          <reference field="4" count="1" selected="0">
            <x v="203"/>
          </reference>
          <reference field="5" count="8">
            <x v="342"/>
            <x v="481"/>
            <x v="482"/>
            <x v="483"/>
            <x v="484"/>
            <x v="485"/>
            <x v="486"/>
            <x v="487"/>
          </reference>
        </references>
      </pivotArea>
    </format>
    <format dxfId="2870">
      <pivotArea dataOnly="0" labelOnly="1" outline="0" fieldPosition="0">
        <references count="4">
          <reference field="0" count="1" selected="0">
            <x v="5"/>
          </reference>
          <reference field="3" count="1" selected="0">
            <x v="3"/>
          </reference>
          <reference field="4" count="1" selected="0">
            <x v="216"/>
          </reference>
          <reference field="5" count="23">
            <x v="20"/>
            <x v="136"/>
            <x v="148"/>
            <x v="166"/>
            <x v="169"/>
            <x v="238"/>
            <x v="279"/>
            <x v="282"/>
            <x v="284"/>
            <x v="302"/>
            <x v="341"/>
            <x v="363"/>
            <x v="367"/>
            <x v="414"/>
            <x v="464"/>
            <x v="465"/>
            <x v="474"/>
            <x v="475"/>
            <x v="476"/>
            <x v="477"/>
            <x v="478"/>
            <x v="479"/>
            <x v="480"/>
          </reference>
        </references>
      </pivotArea>
    </format>
    <format dxfId="2869">
      <pivotArea dataOnly="0" labelOnly="1" outline="0" fieldPosition="0">
        <references count="4">
          <reference field="0" count="1" selected="0">
            <x v="5"/>
          </reference>
          <reference field="3" count="1" selected="0">
            <x v="4"/>
          </reference>
          <reference field="4" count="1" selected="0">
            <x v="183"/>
          </reference>
          <reference field="5" count="3">
            <x v="249"/>
            <x v="1533"/>
            <x v="1556"/>
          </reference>
        </references>
      </pivotArea>
    </format>
    <format dxfId="2868">
      <pivotArea dataOnly="0" labelOnly="1" outline="0" fieldPosition="0">
        <references count="4">
          <reference field="0" count="1" selected="0">
            <x v="5"/>
          </reference>
          <reference field="3" count="1" selected="0">
            <x v="4"/>
          </reference>
          <reference field="4" count="1" selected="0">
            <x v="184"/>
          </reference>
          <reference field="5" count="3">
            <x v="249"/>
            <x v="1534"/>
            <x v="1557"/>
          </reference>
        </references>
      </pivotArea>
    </format>
    <format dxfId="2867">
      <pivotArea dataOnly="0" labelOnly="1" outline="0" fieldPosition="0">
        <references count="4">
          <reference field="0" count="1" selected="0">
            <x v="5"/>
          </reference>
          <reference field="3" count="1" selected="0">
            <x v="4"/>
          </reference>
          <reference field="4" count="1" selected="0">
            <x v="216"/>
          </reference>
          <reference field="5" count="20">
            <x v="243"/>
            <x v="279"/>
            <x v="281"/>
            <x v="366"/>
            <x v="369"/>
            <x v="370"/>
            <x v="427"/>
            <x v="488"/>
            <x v="489"/>
            <x v="490"/>
            <x v="491"/>
            <x v="492"/>
            <x v="493"/>
            <x v="494"/>
            <x v="495"/>
            <x v="496"/>
            <x v="497"/>
            <x v="498"/>
            <x v="499"/>
            <x v="1618"/>
          </reference>
        </references>
      </pivotArea>
    </format>
    <format dxfId="2866">
      <pivotArea dataOnly="0" labelOnly="1" outline="0" fieldPosition="0">
        <references count="4">
          <reference field="0" count="1" selected="0">
            <x v="5"/>
          </reference>
          <reference field="3" count="1" selected="0">
            <x v="5"/>
          </reference>
          <reference field="4" count="1" selected="0">
            <x v="216"/>
          </reference>
          <reference field="5" count="35">
            <x v="16"/>
            <x v="127"/>
            <x v="139"/>
            <x v="269"/>
            <x v="279"/>
            <x v="281"/>
            <x v="282"/>
            <x v="302"/>
            <x v="500"/>
            <x v="501"/>
            <x v="502"/>
            <x v="503"/>
            <x v="504"/>
            <x v="505"/>
            <x v="506"/>
            <x v="507"/>
            <x v="508"/>
            <x v="509"/>
            <x v="510"/>
            <x v="511"/>
            <x v="512"/>
            <x v="513"/>
            <x v="514"/>
            <x v="515"/>
            <x v="516"/>
            <x v="517"/>
            <x v="521"/>
            <x v="522"/>
            <x v="523"/>
            <x v="525"/>
            <x v="527"/>
            <x v="528"/>
            <x v="529"/>
            <x v="530"/>
            <x v="531"/>
          </reference>
        </references>
      </pivotArea>
    </format>
    <format dxfId="2865">
      <pivotArea dataOnly="0" labelOnly="1" outline="0" fieldPosition="0">
        <references count="4">
          <reference field="0" count="1" selected="0">
            <x v="5"/>
          </reference>
          <reference field="3" count="1" selected="0">
            <x v="6"/>
          </reference>
          <reference field="4" count="1" selected="0">
            <x v="216"/>
          </reference>
          <reference field="5" count="29">
            <x v="16"/>
            <x v="127"/>
            <x v="139"/>
            <x v="269"/>
            <x v="279"/>
            <x v="281"/>
            <x v="282"/>
            <x v="302"/>
            <x v="518"/>
            <x v="519"/>
            <x v="520"/>
            <x v="521"/>
            <x v="522"/>
            <x v="523"/>
            <x v="524"/>
            <x v="525"/>
            <x v="526"/>
            <x v="527"/>
            <x v="528"/>
            <x v="529"/>
            <x v="530"/>
            <x v="531"/>
            <x v="532"/>
            <x v="533"/>
            <x v="534"/>
            <x v="535"/>
            <x v="536"/>
            <x v="537"/>
            <x v="538"/>
          </reference>
        </references>
      </pivotArea>
    </format>
    <format dxfId="2864">
      <pivotArea dataOnly="0" labelOnly="1" outline="0" fieldPosition="0">
        <references count="4">
          <reference field="0" count="1" selected="0">
            <x v="5"/>
          </reference>
          <reference field="3" count="1" selected="0">
            <x v="7"/>
          </reference>
          <reference field="4" count="1" selected="0">
            <x v="5"/>
          </reference>
          <reference field="5" count="3">
            <x v="349"/>
            <x v="350"/>
            <x v="387"/>
          </reference>
        </references>
      </pivotArea>
    </format>
    <format dxfId="2863">
      <pivotArea dataOnly="0" labelOnly="1" outline="0" fieldPosition="0">
        <references count="4">
          <reference field="0" count="1" selected="0">
            <x v="5"/>
          </reference>
          <reference field="3" count="1" selected="0">
            <x v="7"/>
          </reference>
          <reference field="4" count="1" selected="0">
            <x v="186"/>
          </reference>
          <reference field="5" count="3">
            <x v="252"/>
            <x v="1536"/>
            <x v="1559"/>
          </reference>
        </references>
      </pivotArea>
    </format>
    <format dxfId="2862">
      <pivotArea dataOnly="0" labelOnly="1" outline="0" fieldPosition="0">
        <references count="4">
          <reference field="0" count="1" selected="0">
            <x v="5"/>
          </reference>
          <reference field="3" count="1" selected="0">
            <x v="7"/>
          </reference>
          <reference field="4" count="1" selected="0">
            <x v="211"/>
          </reference>
          <reference field="5" count="5">
            <x v="541"/>
            <x v="542"/>
            <x v="543"/>
            <x v="544"/>
            <x v="545"/>
          </reference>
        </references>
      </pivotArea>
    </format>
    <format dxfId="2861">
      <pivotArea dataOnly="0" labelOnly="1" outline="0" fieldPosition="0">
        <references count="4">
          <reference field="0" count="1" selected="0">
            <x v="5"/>
          </reference>
          <reference field="3" count="1" selected="0">
            <x v="7"/>
          </reference>
          <reference field="4" count="1" selected="0">
            <x v="216"/>
          </reference>
          <reference field="5" count="23">
            <x v="8"/>
            <x v="11"/>
            <x v="148"/>
            <x v="166"/>
            <x v="169"/>
            <x v="199"/>
            <x v="279"/>
            <x v="282"/>
            <x v="284"/>
            <x v="302"/>
            <x v="406"/>
            <x v="407"/>
            <x v="409"/>
            <x v="429"/>
            <x v="430"/>
            <x v="539"/>
            <x v="540"/>
            <x v="546"/>
            <x v="547"/>
            <x v="548"/>
            <x v="549"/>
            <x v="550"/>
            <x v="1612"/>
          </reference>
        </references>
      </pivotArea>
    </format>
    <format dxfId="2860">
      <pivotArea dataOnly="0" labelOnly="1" outline="0" fieldPosition="0">
        <references count="4">
          <reference field="0" count="1" selected="0">
            <x v="5"/>
          </reference>
          <reference field="3" count="1" selected="0">
            <x v="8"/>
          </reference>
          <reference field="4" count="1" selected="0">
            <x v="38"/>
          </reference>
          <reference field="5" count="14">
            <x v="8"/>
            <x v="11"/>
            <x v="148"/>
            <x v="167"/>
            <x v="330"/>
            <x v="406"/>
            <x v="407"/>
            <x v="409"/>
            <x v="552"/>
            <x v="553"/>
            <x v="554"/>
            <x v="555"/>
            <x v="1608"/>
            <x v="1609"/>
          </reference>
        </references>
      </pivotArea>
    </format>
    <format dxfId="2859">
      <pivotArea dataOnly="0" labelOnly="1" outline="0" fieldPosition="0">
        <references count="4">
          <reference field="0" count="1" selected="0">
            <x v="5"/>
          </reference>
          <reference field="3" count="1" selected="0">
            <x v="8"/>
          </reference>
          <reference field="4" count="1" selected="0">
            <x v="39"/>
          </reference>
          <reference field="5" count="3">
            <x v="248"/>
            <x v="1539"/>
            <x v="1562"/>
          </reference>
        </references>
      </pivotArea>
    </format>
    <format dxfId="2858">
      <pivotArea dataOnly="0" labelOnly="1" outline="0" fieldPosition="0">
        <references count="4">
          <reference field="0" count="1" selected="0">
            <x v="5"/>
          </reference>
          <reference field="3" count="1" selected="0">
            <x v="8"/>
          </reference>
          <reference field="4" count="1" selected="0">
            <x v="40"/>
          </reference>
          <reference field="5" count="3">
            <x v="253"/>
            <x v="1541"/>
            <x v="1564"/>
          </reference>
        </references>
      </pivotArea>
    </format>
    <format dxfId="2857">
      <pivotArea dataOnly="0" labelOnly="1" outline="0" fieldPosition="0">
        <references count="4">
          <reference field="0" count="1" selected="0">
            <x v="5"/>
          </reference>
          <reference field="3" count="1" selected="0">
            <x v="8"/>
          </reference>
          <reference field="4" count="1" selected="0">
            <x v="41"/>
          </reference>
          <reference field="5" count="3">
            <x v="282"/>
            <x v="556"/>
            <x v="557"/>
          </reference>
        </references>
      </pivotArea>
    </format>
    <format dxfId="2856">
      <pivotArea dataOnly="0" labelOnly="1" outline="0" fieldPosition="0">
        <references count="4">
          <reference field="0" count="1" selected="0">
            <x v="5"/>
          </reference>
          <reference field="3" count="1" selected="0">
            <x v="8"/>
          </reference>
          <reference field="4" count="1" selected="0">
            <x v="216"/>
          </reference>
          <reference field="5" count="2">
            <x v="167"/>
            <x v="551"/>
          </reference>
        </references>
      </pivotArea>
    </format>
    <format dxfId="2855">
      <pivotArea dataOnly="0" labelOnly="1" outline="0" fieldPosition="0">
        <references count="4">
          <reference field="0" count="1" selected="0">
            <x v="5"/>
          </reference>
          <reference field="3" count="1" selected="0">
            <x v="9"/>
          </reference>
          <reference field="4" count="1" selected="0">
            <x v="27"/>
          </reference>
          <reference field="5" count="12">
            <x v="166"/>
            <x v="179"/>
            <x v="248"/>
            <x v="282"/>
            <x v="284"/>
            <x v="560"/>
            <x v="561"/>
            <x v="570"/>
            <x v="581"/>
            <x v="1616"/>
            <x v="1617"/>
            <x v="1619"/>
          </reference>
        </references>
      </pivotArea>
    </format>
    <format dxfId="2854">
      <pivotArea dataOnly="0" labelOnly="1" outline="0" fieldPosition="0">
        <references count="4">
          <reference field="0" count="1" selected="0">
            <x v="5"/>
          </reference>
          <reference field="3" count="1" selected="0">
            <x v="9"/>
          </reference>
          <reference field="4" count="1" selected="0">
            <x v="28"/>
          </reference>
          <reference field="5" count="14">
            <x v="114"/>
            <x v="310"/>
            <x v="597"/>
            <x v="598"/>
            <x v="599"/>
            <x v="600"/>
            <x v="601"/>
            <x v="602"/>
            <x v="603"/>
            <x v="604"/>
            <x v="605"/>
            <x v="606"/>
            <x v="607"/>
            <x v="608"/>
          </reference>
        </references>
      </pivotArea>
    </format>
    <format dxfId="2853">
      <pivotArea dataOnly="0" labelOnly="1" outline="0" fieldPosition="0">
        <references count="4">
          <reference field="0" count="1" selected="0">
            <x v="5"/>
          </reference>
          <reference field="3" count="1" selected="0">
            <x v="9"/>
          </reference>
          <reference field="4" count="1" selected="0">
            <x v="29"/>
          </reference>
          <reference field="5" count="28">
            <x v="316"/>
            <x v="562"/>
            <x v="563"/>
            <x v="564"/>
            <x v="565"/>
            <x v="566"/>
            <x v="567"/>
            <x v="568"/>
            <x v="569"/>
            <x v="571"/>
            <x v="572"/>
            <x v="573"/>
            <x v="574"/>
            <x v="575"/>
            <x v="576"/>
            <x v="577"/>
            <x v="578"/>
            <x v="579"/>
            <x v="580"/>
            <x v="582"/>
            <x v="583"/>
            <x v="584"/>
            <x v="585"/>
            <x v="586"/>
            <x v="587"/>
            <x v="588"/>
            <x v="589"/>
            <x v="590"/>
          </reference>
        </references>
      </pivotArea>
    </format>
    <format dxfId="2852">
      <pivotArea dataOnly="0" labelOnly="1" outline="0" fieldPosition="0">
        <references count="4">
          <reference field="0" count="1" selected="0">
            <x v="5"/>
          </reference>
          <reference field="3" count="1" selected="0">
            <x v="9"/>
          </reference>
          <reference field="4" count="1" selected="0">
            <x v="30"/>
          </reference>
          <reference field="5" count="16">
            <x v="10"/>
            <x v="408"/>
            <x v="592"/>
            <x v="593"/>
            <x v="594"/>
            <x v="595"/>
            <x v="596"/>
            <x v="1608"/>
            <x v="1609"/>
            <x v="1610"/>
            <x v="1627"/>
            <x v="1632"/>
            <x v="1633"/>
            <x v="1634"/>
            <x v="1635"/>
            <x v="1637"/>
          </reference>
        </references>
      </pivotArea>
    </format>
    <format dxfId="2851">
      <pivotArea dataOnly="0" labelOnly="1" outline="0" fieldPosition="0">
        <references count="4">
          <reference field="0" count="1" selected="0">
            <x v="5"/>
          </reference>
          <reference field="3" count="1" selected="0">
            <x v="9"/>
          </reference>
          <reference field="4" count="1" selected="0">
            <x v="31"/>
          </reference>
          <reference field="5" count="3">
            <x v="248"/>
            <x v="1530"/>
            <x v="1553"/>
          </reference>
        </references>
      </pivotArea>
    </format>
    <format dxfId="2850">
      <pivotArea dataOnly="0" labelOnly="1" outline="0" fieldPosition="0">
        <references count="4">
          <reference field="0" count="1" selected="0">
            <x v="5"/>
          </reference>
          <reference field="3" count="1" selected="0">
            <x v="9"/>
          </reference>
          <reference field="4" count="1" selected="0">
            <x v="37"/>
          </reference>
          <reference field="5" count="15">
            <x v="29"/>
            <x v="33"/>
            <x v="281"/>
            <x v="282"/>
            <x v="310"/>
            <x v="326"/>
            <x v="328"/>
            <x v="335"/>
            <x v="383"/>
            <x v="384"/>
            <x v="431"/>
            <x v="609"/>
            <x v="610"/>
            <x v="611"/>
            <x v="612"/>
          </reference>
        </references>
      </pivotArea>
    </format>
    <format dxfId="2849">
      <pivotArea dataOnly="0" labelOnly="1" outline="0" fieldPosition="0">
        <references count="4">
          <reference field="0" count="1" selected="0">
            <x v="5"/>
          </reference>
          <reference field="3" count="1" selected="0">
            <x v="9"/>
          </reference>
          <reference field="4" count="1" selected="0">
            <x v="216"/>
          </reference>
          <reference field="5" count="8">
            <x v="136"/>
            <x v="148"/>
            <x v="180"/>
            <x v="238"/>
            <x v="284"/>
            <x v="558"/>
            <x v="559"/>
            <x v="591"/>
          </reference>
        </references>
      </pivotArea>
    </format>
    <format dxfId="2848">
      <pivotArea dataOnly="0" labelOnly="1" outline="0" fieldPosition="0">
        <references count="4">
          <reference field="0" count="1" selected="0">
            <x v="6"/>
          </reference>
          <reference field="3" count="1" selected="0">
            <x v="0"/>
          </reference>
          <reference field="4" count="1" selected="0">
            <x v="216"/>
          </reference>
          <reference field="5" count="4">
            <x v="246"/>
            <x v="260"/>
            <x v="332"/>
            <x v="433"/>
          </reference>
        </references>
      </pivotArea>
    </format>
    <format dxfId="2847">
      <pivotArea dataOnly="0" labelOnly="1" outline="0" fieldPosition="0">
        <references count="5">
          <reference field="0" count="1" selected="0">
            <x v="0"/>
          </reference>
          <reference field="3" count="1" selected="0">
            <x v="17"/>
          </reference>
          <reference field="4" count="1" selected="0">
            <x v="216"/>
          </reference>
          <reference field="5" count="1" selected="0">
            <x v="105"/>
          </reference>
          <reference field="7" count="1">
            <x v="1596"/>
          </reference>
        </references>
      </pivotArea>
    </format>
    <format dxfId="2846">
      <pivotArea dataOnly="0" labelOnly="1" outline="0" fieldPosition="0">
        <references count="5">
          <reference field="0" count="1" selected="0">
            <x v="0"/>
          </reference>
          <reference field="3" count="1" selected="0">
            <x v="17"/>
          </reference>
          <reference field="4" count="1" selected="0">
            <x v="216"/>
          </reference>
          <reference field="5" count="1" selected="0">
            <x v="187"/>
          </reference>
          <reference field="7" count="1">
            <x v="682"/>
          </reference>
        </references>
      </pivotArea>
    </format>
    <format dxfId="2845">
      <pivotArea dataOnly="0" labelOnly="1" outline="0" fieldPosition="0">
        <references count="5">
          <reference field="0" count="1" selected="0">
            <x v="0"/>
          </reference>
          <reference field="3" count="1" selected="0">
            <x v="17"/>
          </reference>
          <reference field="4" count="1" selected="0">
            <x v="216"/>
          </reference>
          <reference field="5" count="1" selected="0">
            <x v="837"/>
          </reference>
          <reference field="7" count="1">
            <x v="139"/>
          </reference>
        </references>
      </pivotArea>
    </format>
    <format dxfId="2844">
      <pivotArea dataOnly="0" labelOnly="1" outline="0" fieldPosition="0">
        <references count="5">
          <reference field="0" count="1" selected="0">
            <x v="0"/>
          </reference>
          <reference field="3" count="1" selected="0">
            <x v="18"/>
          </reference>
          <reference field="4" count="1" selected="0">
            <x v="216"/>
          </reference>
          <reference field="5" count="1" selected="0">
            <x v="30"/>
          </reference>
          <reference field="7" count="1">
            <x v="1577"/>
          </reference>
        </references>
      </pivotArea>
    </format>
    <format dxfId="2843">
      <pivotArea dataOnly="0" labelOnly="1" outline="0" fieldPosition="0">
        <references count="5">
          <reference field="0" count="1" selected="0">
            <x v="0"/>
          </reference>
          <reference field="3" count="1" selected="0">
            <x v="18"/>
          </reference>
          <reference field="4" count="1" selected="0">
            <x v="216"/>
          </reference>
          <reference field="5" count="1" selected="0">
            <x v="112"/>
          </reference>
          <reference field="7" count="1">
            <x v="609"/>
          </reference>
        </references>
      </pivotArea>
    </format>
    <format dxfId="2842">
      <pivotArea dataOnly="0" labelOnly="1" outline="0" fieldPosition="0">
        <references count="5">
          <reference field="0" count="1" selected="0">
            <x v="0"/>
          </reference>
          <reference field="3" count="1" selected="0">
            <x v="18"/>
          </reference>
          <reference field="4" count="1" selected="0">
            <x v="216"/>
          </reference>
          <reference field="5" count="1" selected="0">
            <x v="113"/>
          </reference>
          <reference field="7" count="1">
            <x v="610"/>
          </reference>
        </references>
      </pivotArea>
    </format>
    <format dxfId="2841">
      <pivotArea dataOnly="0" labelOnly="1" outline="0" fieldPosition="0">
        <references count="5">
          <reference field="0" count="1" selected="0">
            <x v="0"/>
          </reference>
          <reference field="3" count="1" selected="0">
            <x v="18"/>
          </reference>
          <reference field="4" count="1" selected="0">
            <x v="216"/>
          </reference>
          <reference field="5" count="1" selected="0">
            <x v="140"/>
          </reference>
          <reference field="7" count="1">
            <x v="595"/>
          </reference>
        </references>
      </pivotArea>
    </format>
    <format dxfId="2840">
      <pivotArea dataOnly="0" labelOnly="1" outline="0" fieldPosition="0">
        <references count="5">
          <reference field="0" count="1" selected="0">
            <x v="0"/>
          </reference>
          <reference field="3" count="1" selected="0">
            <x v="18"/>
          </reference>
          <reference field="4" count="1" selected="0">
            <x v="216"/>
          </reference>
          <reference field="5" count="1" selected="0">
            <x v="141"/>
          </reference>
          <reference field="7" count="1">
            <x v="597"/>
          </reference>
        </references>
      </pivotArea>
    </format>
    <format dxfId="2839">
      <pivotArea dataOnly="0" labelOnly="1" outline="0" fieldPosition="0">
        <references count="5">
          <reference field="0" count="1" selected="0">
            <x v="0"/>
          </reference>
          <reference field="3" count="1" selected="0">
            <x v="18"/>
          </reference>
          <reference field="4" count="1" selected="0">
            <x v="216"/>
          </reference>
          <reference field="5" count="1" selected="0">
            <x v="173"/>
          </reference>
          <reference field="7" count="1">
            <x v="1094"/>
          </reference>
        </references>
      </pivotArea>
    </format>
    <format dxfId="2838">
      <pivotArea dataOnly="0" labelOnly="1" outline="0" fieldPosition="0">
        <references count="5">
          <reference field="0" count="1" selected="0">
            <x v="0"/>
          </reference>
          <reference field="3" count="1" selected="0">
            <x v="18"/>
          </reference>
          <reference field="4" count="1" selected="0">
            <x v="216"/>
          </reference>
          <reference field="5" count="1" selected="0">
            <x v="224"/>
          </reference>
          <reference field="7" count="1">
            <x v="757"/>
          </reference>
        </references>
      </pivotArea>
    </format>
    <format dxfId="2837">
      <pivotArea dataOnly="0" labelOnly="1" outline="0" fieldPosition="0">
        <references count="5">
          <reference field="0" count="1" selected="0">
            <x v="0"/>
          </reference>
          <reference field="3" count="1" selected="0">
            <x v="18"/>
          </reference>
          <reference field="4" count="1" selected="0">
            <x v="216"/>
          </reference>
          <reference field="5" count="1" selected="0">
            <x v="225"/>
          </reference>
          <reference field="7" count="1">
            <x v="750"/>
          </reference>
        </references>
      </pivotArea>
    </format>
    <format dxfId="2836">
      <pivotArea dataOnly="0" labelOnly="1" outline="0" fieldPosition="0">
        <references count="5">
          <reference field="0" count="1" selected="0">
            <x v="0"/>
          </reference>
          <reference field="3" count="1" selected="0">
            <x v="18"/>
          </reference>
          <reference field="4" count="1" selected="0">
            <x v="216"/>
          </reference>
          <reference field="5" count="1" selected="0">
            <x v="336"/>
          </reference>
          <reference field="7" count="1">
            <x v="1593"/>
          </reference>
        </references>
      </pivotArea>
    </format>
    <format dxfId="2835">
      <pivotArea dataOnly="0" labelOnly="1" outline="0" fieldPosition="0">
        <references count="5">
          <reference field="0" count="1" selected="0">
            <x v="0"/>
          </reference>
          <reference field="3" count="1" selected="0">
            <x v="18"/>
          </reference>
          <reference field="4" count="1" selected="0">
            <x v="216"/>
          </reference>
          <reference field="5" count="1" selected="0">
            <x v="413"/>
          </reference>
          <reference field="7" count="1">
            <x v="481"/>
          </reference>
        </references>
      </pivotArea>
    </format>
    <format dxfId="2834">
      <pivotArea dataOnly="0" labelOnly="1" outline="0" fieldPosition="0">
        <references count="5">
          <reference field="0" count="1" selected="0">
            <x v="0"/>
          </reference>
          <reference field="3" count="1" selected="0">
            <x v="18"/>
          </reference>
          <reference field="4" count="1" selected="0">
            <x v="216"/>
          </reference>
          <reference field="5" count="1" selected="0">
            <x v="838"/>
          </reference>
          <reference field="7" count="1">
            <x v="403"/>
          </reference>
        </references>
      </pivotArea>
    </format>
    <format dxfId="2833">
      <pivotArea dataOnly="0" labelOnly="1" outline="0" fieldPosition="0">
        <references count="5">
          <reference field="0" count="1" selected="0">
            <x v="0"/>
          </reference>
          <reference field="3" count="1" selected="0">
            <x v="18"/>
          </reference>
          <reference field="4" count="1" selected="0">
            <x v="216"/>
          </reference>
          <reference field="5" count="1" selected="0">
            <x v="839"/>
          </reference>
          <reference field="7" count="1">
            <x v="405"/>
          </reference>
        </references>
      </pivotArea>
    </format>
    <format dxfId="2832">
      <pivotArea dataOnly="0" labelOnly="1" outline="0" fieldPosition="0">
        <references count="5">
          <reference field="0" count="1" selected="0">
            <x v="0"/>
          </reference>
          <reference field="3" count="1" selected="0">
            <x v="18"/>
          </reference>
          <reference field="4" count="1" selected="0">
            <x v="216"/>
          </reference>
          <reference field="5" count="1" selected="0">
            <x v="840"/>
          </reference>
          <reference field="7" count="1">
            <x v="402"/>
          </reference>
        </references>
      </pivotArea>
    </format>
    <format dxfId="2831">
      <pivotArea dataOnly="0" labelOnly="1" outline="0" fieldPosition="0">
        <references count="5">
          <reference field="0" count="1" selected="0">
            <x v="0"/>
          </reference>
          <reference field="3" count="1" selected="0">
            <x v="18"/>
          </reference>
          <reference field="4" count="1" selected="0">
            <x v="216"/>
          </reference>
          <reference field="5" count="1" selected="0">
            <x v="841"/>
          </reference>
          <reference field="7" count="1">
            <x v="406"/>
          </reference>
        </references>
      </pivotArea>
    </format>
    <format dxfId="2830">
      <pivotArea dataOnly="0" labelOnly="1" outline="0" fieldPosition="0">
        <references count="5">
          <reference field="0" count="1" selected="0">
            <x v="0"/>
          </reference>
          <reference field="3" count="1" selected="0">
            <x v="18"/>
          </reference>
          <reference field="4" count="1" selected="0">
            <x v="216"/>
          </reference>
          <reference field="5" count="1" selected="0">
            <x v="842"/>
          </reference>
          <reference field="7" count="1">
            <x v="407"/>
          </reference>
        </references>
      </pivotArea>
    </format>
    <format dxfId="2829">
      <pivotArea dataOnly="0" labelOnly="1" outline="0" fieldPosition="0">
        <references count="5">
          <reference field="0" count="1" selected="0">
            <x v="0"/>
          </reference>
          <reference field="3" count="1" selected="0">
            <x v="18"/>
          </reference>
          <reference field="4" count="1" selected="0">
            <x v="216"/>
          </reference>
          <reference field="5" count="1" selected="0">
            <x v="843"/>
          </reference>
          <reference field="7" count="1">
            <x v="404"/>
          </reference>
        </references>
      </pivotArea>
    </format>
    <format dxfId="2828">
      <pivotArea dataOnly="0" labelOnly="1" outline="0" fieldPosition="0">
        <references count="5">
          <reference field="0" count="1" selected="0">
            <x v="0"/>
          </reference>
          <reference field="3" count="1" selected="0">
            <x v="18"/>
          </reference>
          <reference field="4" count="1" selected="0">
            <x v="216"/>
          </reference>
          <reference field="5" count="1" selected="0">
            <x v="844"/>
          </reference>
          <reference field="7" count="1">
            <x v="1166"/>
          </reference>
        </references>
      </pivotArea>
    </format>
    <format dxfId="2827">
      <pivotArea dataOnly="0" labelOnly="1" outline="0" fieldPosition="0">
        <references count="5">
          <reference field="0" count="1" selected="0">
            <x v="0"/>
          </reference>
          <reference field="3" count="1" selected="0">
            <x v="18"/>
          </reference>
          <reference field="4" count="1" selected="0">
            <x v="216"/>
          </reference>
          <reference field="5" count="1" selected="0">
            <x v="845"/>
          </reference>
          <reference field="7" count="1">
            <x v="1165"/>
          </reference>
        </references>
      </pivotArea>
    </format>
    <format dxfId="2826">
      <pivotArea dataOnly="0" labelOnly="1" outline="0" fieldPosition="0">
        <references count="5">
          <reference field="0" count="1" selected="0">
            <x v="0"/>
          </reference>
          <reference field="3" count="1" selected="0">
            <x v="18"/>
          </reference>
          <reference field="4" count="1" selected="0">
            <x v="216"/>
          </reference>
          <reference field="5" count="1" selected="0">
            <x v="846"/>
          </reference>
          <reference field="7" count="1">
            <x v="1"/>
          </reference>
        </references>
      </pivotArea>
    </format>
    <format dxfId="2825">
      <pivotArea dataOnly="0" labelOnly="1" outline="0" fieldPosition="0">
        <references count="5">
          <reference field="0" count="1" selected="0">
            <x v="0"/>
          </reference>
          <reference field="3" count="1" selected="0">
            <x v="18"/>
          </reference>
          <reference field="4" count="1" selected="0">
            <x v="216"/>
          </reference>
          <reference field="5" count="1" selected="0">
            <x v="847"/>
          </reference>
          <reference field="7" count="1">
            <x v="1435"/>
          </reference>
        </references>
      </pivotArea>
    </format>
    <format dxfId="2824">
      <pivotArea dataOnly="0" labelOnly="1" outline="0" fieldPosition="0">
        <references count="5">
          <reference field="0" count="1" selected="0">
            <x v="0"/>
          </reference>
          <reference field="3" count="1" selected="0">
            <x v="18"/>
          </reference>
          <reference field="4" count="1" selected="0">
            <x v="216"/>
          </reference>
          <reference field="5" count="1" selected="0">
            <x v="848"/>
          </reference>
          <reference field="7" count="1">
            <x v="2"/>
          </reference>
        </references>
      </pivotArea>
    </format>
    <format dxfId="2823">
      <pivotArea dataOnly="0" labelOnly="1" outline="0" fieldPosition="0">
        <references count="5">
          <reference field="0" count="1" selected="0">
            <x v="0"/>
          </reference>
          <reference field="3" count="1" selected="0">
            <x v="18"/>
          </reference>
          <reference field="4" count="1" selected="0">
            <x v="216"/>
          </reference>
          <reference field="5" count="1" selected="0">
            <x v="849"/>
          </reference>
          <reference field="7" count="1">
            <x v="1436"/>
          </reference>
        </references>
      </pivotArea>
    </format>
    <format dxfId="2822">
      <pivotArea dataOnly="0" labelOnly="1" outline="0" fieldPosition="0">
        <references count="5">
          <reference field="0" count="1" selected="0">
            <x v="0"/>
          </reference>
          <reference field="3" count="1" selected="0">
            <x v="18"/>
          </reference>
          <reference field="4" count="1" selected="0">
            <x v="216"/>
          </reference>
          <reference field="5" count="1" selected="0">
            <x v="850"/>
          </reference>
          <reference field="7" count="1">
            <x v="234"/>
          </reference>
        </references>
      </pivotArea>
    </format>
    <format dxfId="2821">
      <pivotArea dataOnly="0" labelOnly="1" outline="0" fieldPosition="0">
        <references count="5">
          <reference field="0" count="1" selected="0">
            <x v="0"/>
          </reference>
          <reference field="3" count="1" selected="0">
            <x v="19"/>
          </reference>
          <reference field="4" count="1" selected="0">
            <x v="20"/>
          </reference>
          <reference field="5" count="1" selected="0">
            <x v="112"/>
          </reference>
          <reference field="7" count="1">
            <x v="609"/>
          </reference>
        </references>
      </pivotArea>
    </format>
    <format dxfId="2820">
      <pivotArea dataOnly="0" labelOnly="1" outline="0" fieldPosition="0">
        <references count="5">
          <reference field="0" count="1" selected="0">
            <x v="0"/>
          </reference>
          <reference field="3" count="1" selected="0">
            <x v="19"/>
          </reference>
          <reference field="4" count="1" selected="0">
            <x v="20"/>
          </reference>
          <reference field="5" count="1" selected="0">
            <x v="868"/>
          </reference>
          <reference field="7" count="1">
            <x v="482"/>
          </reference>
        </references>
      </pivotArea>
    </format>
    <format dxfId="2819">
      <pivotArea dataOnly="0" labelOnly="1" outline="0" fieldPosition="0">
        <references count="5">
          <reference field="0" count="1" selected="0">
            <x v="0"/>
          </reference>
          <reference field="3" count="1" selected="0">
            <x v="19"/>
          </reference>
          <reference field="4" count="1" selected="0">
            <x v="20"/>
          </reference>
          <reference field="5" count="1" selected="0">
            <x v="875"/>
          </reference>
          <reference field="7" count="1">
            <x v="53"/>
          </reference>
        </references>
      </pivotArea>
    </format>
    <format dxfId="2818">
      <pivotArea dataOnly="0" labelOnly="1" outline="0" fieldPosition="0">
        <references count="5">
          <reference field="0" count="1" selected="0">
            <x v="0"/>
          </reference>
          <reference field="3" count="1" selected="0">
            <x v="19"/>
          </reference>
          <reference field="4" count="1" selected="0">
            <x v="20"/>
          </reference>
          <reference field="5" count="1" selected="0">
            <x v="894"/>
          </reference>
          <reference field="7" count="1">
            <x v="133"/>
          </reference>
        </references>
      </pivotArea>
    </format>
    <format dxfId="2817">
      <pivotArea dataOnly="0" labelOnly="1" outline="0" fieldPosition="0">
        <references count="5">
          <reference field="0" count="1" selected="0">
            <x v="0"/>
          </reference>
          <reference field="3" count="1" selected="0">
            <x v="19"/>
          </reference>
          <reference field="4" count="1" selected="0">
            <x v="106"/>
          </reference>
          <reference field="5" count="1" selected="0">
            <x v="43"/>
          </reference>
          <reference field="7" count="1">
            <x v="374"/>
          </reference>
        </references>
      </pivotArea>
    </format>
    <format dxfId="2816">
      <pivotArea dataOnly="0" labelOnly="1" outline="0" fieldPosition="0">
        <references count="5">
          <reference field="0" count="1" selected="0">
            <x v="0"/>
          </reference>
          <reference field="3" count="1" selected="0">
            <x v="19"/>
          </reference>
          <reference field="4" count="1" selected="0">
            <x v="106"/>
          </reference>
          <reference field="5" count="1" selected="0">
            <x v="65"/>
          </reference>
          <reference field="7" count="1">
            <x v="1211"/>
          </reference>
        </references>
      </pivotArea>
    </format>
    <format dxfId="2815">
      <pivotArea dataOnly="0" labelOnly="1" outline="0" fieldPosition="0">
        <references count="5">
          <reference field="0" count="1" selected="0">
            <x v="0"/>
          </reference>
          <reference field="3" count="1" selected="0">
            <x v="19"/>
          </reference>
          <reference field="4" count="1" selected="0">
            <x v="106"/>
          </reference>
          <reference field="5" count="1" selected="0">
            <x v="111"/>
          </reference>
          <reference field="7" count="1">
            <x v="608"/>
          </reference>
        </references>
      </pivotArea>
    </format>
    <format dxfId="2814">
      <pivotArea dataOnly="0" labelOnly="1" outline="0" fieldPosition="0">
        <references count="5">
          <reference field="0" count="1" selected="0">
            <x v="0"/>
          </reference>
          <reference field="3" count="1" selected="0">
            <x v="19"/>
          </reference>
          <reference field="4" count="1" selected="0">
            <x v="106"/>
          </reference>
          <reference field="5" count="1" selected="0">
            <x v="112"/>
          </reference>
          <reference field="7" count="1">
            <x v="609"/>
          </reference>
        </references>
      </pivotArea>
    </format>
    <format dxfId="2813">
      <pivotArea dataOnly="0" labelOnly="1" outline="0" fieldPosition="0">
        <references count="5">
          <reference field="0" count="1" selected="0">
            <x v="0"/>
          </reference>
          <reference field="3" count="1" selected="0">
            <x v="19"/>
          </reference>
          <reference field="4" count="1" selected="0">
            <x v="106"/>
          </reference>
          <reference field="5" count="1" selected="0">
            <x v="121"/>
          </reference>
          <reference field="7" count="1">
            <x v="1096"/>
          </reference>
        </references>
      </pivotArea>
    </format>
    <format dxfId="2812">
      <pivotArea dataOnly="0" labelOnly="1" outline="0" fieldPosition="0">
        <references count="5">
          <reference field="0" count="1" selected="0">
            <x v="0"/>
          </reference>
          <reference field="3" count="1" selected="0">
            <x v="19"/>
          </reference>
          <reference field="4" count="1" selected="0">
            <x v="106"/>
          </reference>
          <reference field="5" count="1" selected="0">
            <x v="126"/>
          </reference>
          <reference field="7" count="1">
            <x v="607"/>
          </reference>
        </references>
      </pivotArea>
    </format>
    <format dxfId="2811">
      <pivotArea dataOnly="0" labelOnly="1" outline="0" fieldPosition="0">
        <references count="5">
          <reference field="0" count="1" selected="0">
            <x v="0"/>
          </reference>
          <reference field="3" count="1" selected="0">
            <x v="19"/>
          </reference>
          <reference field="4" count="1" selected="0">
            <x v="106"/>
          </reference>
          <reference field="5" count="1" selected="0">
            <x v="140"/>
          </reference>
          <reference field="7" count="1">
            <x v="595"/>
          </reference>
        </references>
      </pivotArea>
    </format>
    <format dxfId="2810">
      <pivotArea dataOnly="0" labelOnly="1" outline="0" fieldPosition="0">
        <references count="5">
          <reference field="0" count="1" selected="0">
            <x v="0"/>
          </reference>
          <reference field="3" count="1" selected="0">
            <x v="19"/>
          </reference>
          <reference field="4" count="1" selected="0">
            <x v="106"/>
          </reference>
          <reference field="5" count="1" selected="0">
            <x v="173"/>
          </reference>
          <reference field="7" count="1">
            <x v="1094"/>
          </reference>
        </references>
      </pivotArea>
    </format>
    <format dxfId="2809">
      <pivotArea dataOnly="0" labelOnly="1" outline="0" fieldPosition="0">
        <references count="5">
          <reference field="0" count="1" selected="0">
            <x v="0"/>
          </reference>
          <reference field="3" count="1" selected="0">
            <x v="19"/>
          </reference>
          <reference field="4" count="1" selected="0">
            <x v="106"/>
          </reference>
          <reference field="5" count="1" selected="0">
            <x v="189"/>
          </reference>
          <reference field="7" count="1">
            <x v="685"/>
          </reference>
        </references>
      </pivotArea>
    </format>
    <format dxfId="2808">
      <pivotArea dataOnly="0" labelOnly="1" outline="0" fieldPosition="0">
        <references count="5">
          <reference field="0" count="1" selected="0">
            <x v="0"/>
          </reference>
          <reference field="3" count="1" selected="0">
            <x v="19"/>
          </reference>
          <reference field="4" count="1" selected="0">
            <x v="106"/>
          </reference>
          <reference field="5" count="1" selected="0">
            <x v="191"/>
          </reference>
          <reference field="7" count="1">
            <x v="1283"/>
          </reference>
        </references>
      </pivotArea>
    </format>
    <format dxfId="2807">
      <pivotArea dataOnly="0" labelOnly="1" outline="0" fieldPosition="0">
        <references count="5">
          <reference field="0" count="1" selected="0">
            <x v="0"/>
          </reference>
          <reference field="3" count="1" selected="0">
            <x v="19"/>
          </reference>
          <reference field="4" count="1" selected="0">
            <x v="106"/>
          </reference>
          <reference field="5" count="1" selected="0">
            <x v="215"/>
          </reference>
          <reference field="7" count="1">
            <x v="975"/>
          </reference>
        </references>
      </pivotArea>
    </format>
    <format dxfId="2806">
      <pivotArea dataOnly="0" labelOnly="1" outline="0" fieldPosition="0">
        <references count="5">
          <reference field="0" count="1" selected="0">
            <x v="0"/>
          </reference>
          <reference field="3" count="1" selected="0">
            <x v="19"/>
          </reference>
          <reference field="4" count="1" selected="0">
            <x v="106"/>
          </reference>
          <reference field="5" count="1" selected="0">
            <x v="224"/>
          </reference>
          <reference field="7" count="1">
            <x v="757"/>
          </reference>
        </references>
      </pivotArea>
    </format>
    <format dxfId="2805">
      <pivotArea dataOnly="0" labelOnly="1" outline="0" fieldPosition="0">
        <references count="5">
          <reference field="0" count="1" selected="0">
            <x v="0"/>
          </reference>
          <reference field="3" count="1" selected="0">
            <x v="19"/>
          </reference>
          <reference field="4" count="1" selected="0">
            <x v="106"/>
          </reference>
          <reference field="5" count="1" selected="0">
            <x v="260"/>
          </reference>
          <reference field="7" count="1">
            <x v="976"/>
          </reference>
        </references>
      </pivotArea>
    </format>
    <format dxfId="2804">
      <pivotArea dataOnly="0" labelOnly="1" outline="0" fieldPosition="0">
        <references count="5">
          <reference field="0" count="1" selected="0">
            <x v="0"/>
          </reference>
          <reference field="3" count="1" selected="0">
            <x v="19"/>
          </reference>
          <reference field="4" count="1" selected="0">
            <x v="106"/>
          </reference>
          <reference field="5" count="1" selected="0">
            <x v="283"/>
          </reference>
          <reference field="7" count="1">
            <x v="756"/>
          </reference>
        </references>
      </pivotArea>
    </format>
    <format dxfId="2803">
      <pivotArea dataOnly="0" labelOnly="1" outline="0" fieldPosition="0">
        <references count="5">
          <reference field="0" count="1" selected="0">
            <x v="0"/>
          </reference>
          <reference field="3" count="1" selected="0">
            <x v="19"/>
          </reference>
          <reference field="4" count="1" selected="0">
            <x v="106"/>
          </reference>
          <reference field="5" count="1" selected="0">
            <x v="332"/>
          </reference>
          <reference field="7" count="1">
            <x v="1597"/>
          </reference>
        </references>
      </pivotArea>
    </format>
    <format dxfId="2802">
      <pivotArea dataOnly="0" labelOnly="1" outline="0" fieldPosition="0">
        <references count="5">
          <reference field="0" count="1" selected="0">
            <x v="0"/>
          </reference>
          <reference field="3" count="1" selected="0">
            <x v="19"/>
          </reference>
          <reference field="4" count="1" selected="0">
            <x v="106"/>
          </reference>
          <reference field="5" count="1" selected="0">
            <x v="336"/>
          </reference>
          <reference field="7" count="1">
            <x v="1593"/>
          </reference>
        </references>
      </pivotArea>
    </format>
    <format dxfId="2801">
      <pivotArea dataOnly="0" labelOnly="1" outline="0" fieldPosition="0">
        <references count="5">
          <reference field="0" count="1" selected="0">
            <x v="0"/>
          </reference>
          <reference field="3" count="1" selected="0">
            <x v="19"/>
          </reference>
          <reference field="4" count="1" selected="0">
            <x v="106"/>
          </reference>
          <reference field="5" count="1" selected="0">
            <x v="943"/>
          </reference>
          <reference field="7" count="1">
            <x v="249"/>
          </reference>
        </references>
      </pivotArea>
    </format>
    <format dxfId="2800">
      <pivotArea dataOnly="0" labelOnly="1" outline="0" fieldPosition="0">
        <references count="5">
          <reference field="0" count="1" selected="0">
            <x v="0"/>
          </reference>
          <reference field="3" count="1" selected="0">
            <x v="19"/>
          </reference>
          <reference field="4" count="1" selected="0">
            <x v="106"/>
          </reference>
          <reference field="5" count="1" selected="0">
            <x v="944"/>
          </reference>
          <reference field="7" count="1">
            <x v="914"/>
          </reference>
        </references>
      </pivotArea>
    </format>
    <format dxfId="2799">
      <pivotArea dataOnly="0" labelOnly="1" outline="0" fieldPosition="0">
        <references count="5">
          <reference field="0" count="1" selected="0">
            <x v="0"/>
          </reference>
          <reference field="3" count="1" selected="0">
            <x v="19"/>
          </reference>
          <reference field="4" count="1" selected="0">
            <x v="106"/>
          </reference>
          <reference field="5" count="1" selected="0">
            <x v="945"/>
          </reference>
          <reference field="7" count="1">
            <x v="634"/>
          </reference>
        </references>
      </pivotArea>
    </format>
    <format dxfId="2798">
      <pivotArea dataOnly="0" labelOnly="1" outline="0" fieldPosition="0">
        <references count="5">
          <reference field="0" count="1" selected="0">
            <x v="0"/>
          </reference>
          <reference field="3" count="1" selected="0">
            <x v="19"/>
          </reference>
          <reference field="4" count="1" selected="0">
            <x v="106"/>
          </reference>
          <reference field="5" count="1" selected="0">
            <x v="946"/>
          </reference>
          <reference field="7" count="1">
            <x v="1502"/>
          </reference>
        </references>
      </pivotArea>
    </format>
    <format dxfId="2797">
      <pivotArea dataOnly="0" labelOnly="1" outline="0" fieldPosition="0">
        <references count="5">
          <reference field="0" count="1" selected="0">
            <x v="0"/>
          </reference>
          <reference field="3" count="1" selected="0">
            <x v="19"/>
          </reference>
          <reference field="4" count="1" selected="0">
            <x v="106"/>
          </reference>
          <reference field="5" count="1" selected="0">
            <x v="947"/>
          </reference>
          <reference field="7" count="1">
            <x v="873"/>
          </reference>
        </references>
      </pivotArea>
    </format>
    <format dxfId="2796">
      <pivotArea dataOnly="0" labelOnly="1" outline="0" fieldPosition="0">
        <references count="5">
          <reference field="0" count="1" selected="0">
            <x v="0"/>
          </reference>
          <reference field="3" count="1" selected="0">
            <x v="19"/>
          </reference>
          <reference field="4" count="1" selected="0">
            <x v="106"/>
          </reference>
          <reference field="5" count="1" selected="0">
            <x v="948"/>
          </reference>
          <reference field="7" count="1">
            <x v="52"/>
          </reference>
        </references>
      </pivotArea>
    </format>
    <format dxfId="2795">
      <pivotArea dataOnly="0" labelOnly="1" outline="0" fieldPosition="0">
        <references count="5">
          <reference field="0" count="1" selected="0">
            <x v="0"/>
          </reference>
          <reference field="3" count="1" selected="0">
            <x v="19"/>
          </reference>
          <reference field="4" count="1" selected="0">
            <x v="106"/>
          </reference>
          <reference field="5" count="1" selected="0">
            <x v="949"/>
          </reference>
          <reference field="7" count="1">
            <x v="1205"/>
          </reference>
        </references>
      </pivotArea>
    </format>
    <format dxfId="2794">
      <pivotArea dataOnly="0" labelOnly="1" outline="0" fieldPosition="0">
        <references count="5">
          <reference field="0" count="1" selected="0">
            <x v="0"/>
          </reference>
          <reference field="3" count="1" selected="0">
            <x v="19"/>
          </reference>
          <reference field="4" count="1" selected="0">
            <x v="106"/>
          </reference>
          <reference field="5" count="1" selected="0">
            <x v="950"/>
          </reference>
          <reference field="7" count="1">
            <x v="881"/>
          </reference>
        </references>
      </pivotArea>
    </format>
    <format dxfId="2793">
      <pivotArea dataOnly="0" labelOnly="1" outline="0" fieldPosition="0">
        <references count="5">
          <reference field="0" count="1" selected="0">
            <x v="0"/>
          </reference>
          <reference field="3" count="1" selected="0">
            <x v="19"/>
          </reference>
          <reference field="4" count="1" selected="0">
            <x v="106"/>
          </reference>
          <reference field="5" count="1" selected="0">
            <x v="951"/>
          </reference>
          <reference field="7" count="1">
            <x v="1171"/>
          </reference>
        </references>
      </pivotArea>
    </format>
    <format dxfId="2792">
      <pivotArea dataOnly="0" labelOnly="1" outline="0" fieldPosition="0">
        <references count="5">
          <reference field="0" count="1" selected="0">
            <x v="0"/>
          </reference>
          <reference field="3" count="1" selected="0">
            <x v="19"/>
          </reference>
          <reference field="4" count="1" selected="0">
            <x v="106"/>
          </reference>
          <reference field="5" count="1" selected="0">
            <x v="952"/>
          </reference>
          <reference field="7" count="1">
            <x v="883"/>
          </reference>
        </references>
      </pivotArea>
    </format>
    <format dxfId="2791">
      <pivotArea dataOnly="0" labelOnly="1" outline="0" fieldPosition="0">
        <references count="5">
          <reference field="0" count="1" selected="0">
            <x v="0"/>
          </reference>
          <reference field="3" count="1" selected="0">
            <x v="19"/>
          </reference>
          <reference field="4" count="1" selected="0">
            <x v="106"/>
          </reference>
          <reference field="5" count="1" selected="0">
            <x v="953"/>
          </reference>
          <reference field="7" count="1">
            <x v="1175"/>
          </reference>
        </references>
      </pivotArea>
    </format>
    <format dxfId="2790">
      <pivotArea dataOnly="0" labelOnly="1" outline="0" fieldPosition="0">
        <references count="5">
          <reference field="0" count="1" selected="0">
            <x v="0"/>
          </reference>
          <reference field="3" count="1" selected="0">
            <x v="19"/>
          </reference>
          <reference field="4" count="1" selected="0">
            <x v="106"/>
          </reference>
          <reference field="5" count="1" selected="0">
            <x v="954"/>
          </reference>
          <reference field="7" count="1">
            <x v="1354"/>
          </reference>
        </references>
      </pivotArea>
    </format>
    <format dxfId="2789">
      <pivotArea dataOnly="0" labelOnly="1" outline="0" fieldPosition="0">
        <references count="5">
          <reference field="0" count="1" selected="0">
            <x v="0"/>
          </reference>
          <reference field="3" count="1" selected="0">
            <x v="19"/>
          </reference>
          <reference field="4" count="1" selected="0">
            <x v="106"/>
          </reference>
          <reference field="5" count="1" selected="0">
            <x v="955"/>
          </reference>
          <reference field="7" count="1">
            <x v="1357"/>
          </reference>
        </references>
      </pivotArea>
    </format>
    <format dxfId="2788">
      <pivotArea dataOnly="0" labelOnly="1" outline="0" fieldPosition="0">
        <references count="5">
          <reference field="0" count="1" selected="0">
            <x v="0"/>
          </reference>
          <reference field="3" count="1" selected="0">
            <x v="19"/>
          </reference>
          <reference field="4" count="1" selected="0">
            <x v="106"/>
          </reference>
          <reference field="5" count="1" selected="0">
            <x v="956"/>
          </reference>
          <reference field="7" count="1">
            <x v="1356"/>
          </reference>
        </references>
      </pivotArea>
    </format>
    <format dxfId="2787">
      <pivotArea dataOnly="0" labelOnly="1" outline="0" fieldPosition="0">
        <references count="5">
          <reference field="0" count="1" selected="0">
            <x v="0"/>
          </reference>
          <reference field="3" count="1" selected="0">
            <x v="19"/>
          </reference>
          <reference field="4" count="1" selected="0">
            <x v="106"/>
          </reference>
          <reference field="5" count="1" selected="0">
            <x v="957"/>
          </reference>
          <reference field="7" count="1">
            <x v="1355"/>
          </reference>
        </references>
      </pivotArea>
    </format>
    <format dxfId="2786">
      <pivotArea dataOnly="0" labelOnly="1" outline="0" fieldPosition="0">
        <references count="5">
          <reference field="0" count="1" selected="0">
            <x v="0"/>
          </reference>
          <reference field="3" count="1" selected="0">
            <x v="19"/>
          </reference>
          <reference field="4" count="1" selected="0">
            <x v="106"/>
          </reference>
          <reference field="5" count="1" selected="0">
            <x v="958"/>
          </reference>
          <reference field="7" count="1">
            <x v="1012"/>
          </reference>
        </references>
      </pivotArea>
    </format>
    <format dxfId="2785">
      <pivotArea dataOnly="0" labelOnly="1" outline="0" fieldPosition="0">
        <references count="5">
          <reference field="0" count="1" selected="0">
            <x v="0"/>
          </reference>
          <reference field="3" count="1" selected="0">
            <x v="19"/>
          </reference>
          <reference field="4" count="1" selected="0">
            <x v="106"/>
          </reference>
          <reference field="5" count="1" selected="0">
            <x v="959"/>
          </reference>
          <reference field="7" count="1">
            <x v="915"/>
          </reference>
        </references>
      </pivotArea>
    </format>
    <format dxfId="2784">
      <pivotArea dataOnly="0" labelOnly="1" outline="0" fieldPosition="0">
        <references count="5">
          <reference field="0" count="1" selected="0">
            <x v="0"/>
          </reference>
          <reference field="3" count="1" selected="0">
            <x v="19"/>
          </reference>
          <reference field="4" count="1" selected="0">
            <x v="106"/>
          </reference>
          <reference field="5" count="1" selected="0">
            <x v="960"/>
          </reference>
          <reference field="7" count="1">
            <x v="1202"/>
          </reference>
        </references>
      </pivotArea>
    </format>
    <format dxfId="2783">
      <pivotArea dataOnly="0" labelOnly="1" outline="0" fieldPosition="0">
        <references count="5">
          <reference field="0" count="1" selected="0">
            <x v="0"/>
          </reference>
          <reference field="3" count="1" selected="0">
            <x v="19"/>
          </reference>
          <reference field="4" count="1" selected="0">
            <x v="106"/>
          </reference>
          <reference field="5" count="1" selected="0">
            <x v="961"/>
          </reference>
          <reference field="7" count="1">
            <x v="1197"/>
          </reference>
        </references>
      </pivotArea>
    </format>
    <format dxfId="2782">
      <pivotArea dataOnly="0" labelOnly="1" outline="0" fieldPosition="0">
        <references count="5">
          <reference field="0" count="1" selected="0">
            <x v="0"/>
          </reference>
          <reference field="3" count="1" selected="0">
            <x v="19"/>
          </reference>
          <reference field="4" count="1" selected="0">
            <x v="106"/>
          </reference>
          <reference field="5" count="1" selected="0">
            <x v="962"/>
          </reference>
          <reference field="7" count="1">
            <x v="1061"/>
          </reference>
        </references>
      </pivotArea>
    </format>
    <format dxfId="2781">
      <pivotArea dataOnly="0" labelOnly="1" outline="0" fieldPosition="0">
        <references count="5">
          <reference field="0" count="1" selected="0">
            <x v="0"/>
          </reference>
          <reference field="3" count="1" selected="0">
            <x v="19"/>
          </reference>
          <reference field="4" count="1" selected="0">
            <x v="106"/>
          </reference>
          <reference field="5" count="1" selected="0">
            <x v="963"/>
          </reference>
          <reference field="7" count="1">
            <x v="1063"/>
          </reference>
        </references>
      </pivotArea>
    </format>
    <format dxfId="2780">
      <pivotArea dataOnly="0" labelOnly="1" outline="0" fieldPosition="0">
        <references count="5">
          <reference field="0" count="1" selected="0">
            <x v="0"/>
          </reference>
          <reference field="3" count="1" selected="0">
            <x v="19"/>
          </reference>
          <reference field="4" count="1" selected="0">
            <x v="106"/>
          </reference>
          <reference field="5" count="1" selected="0">
            <x v="964"/>
          </reference>
          <reference field="7" count="1">
            <x v="1062"/>
          </reference>
        </references>
      </pivotArea>
    </format>
    <format dxfId="2779">
      <pivotArea dataOnly="0" labelOnly="1" outline="0" fieldPosition="0">
        <references count="5">
          <reference field="0" count="1" selected="0">
            <x v="0"/>
          </reference>
          <reference field="3" count="1" selected="0">
            <x v="19"/>
          </reference>
          <reference field="4" count="1" selected="0">
            <x v="112"/>
          </reference>
          <reference field="5" count="1" selected="0">
            <x v="111"/>
          </reference>
          <reference field="7" count="1">
            <x v="608"/>
          </reference>
        </references>
      </pivotArea>
    </format>
    <format dxfId="2778">
      <pivotArea dataOnly="0" labelOnly="1" outline="0" fieldPosition="0">
        <references count="5">
          <reference field="0" count="1" selected="0">
            <x v="0"/>
          </reference>
          <reference field="3" count="1" selected="0">
            <x v="19"/>
          </reference>
          <reference field="4" count="1" selected="0">
            <x v="112"/>
          </reference>
          <reference field="5" count="1" selected="0">
            <x v="112"/>
          </reference>
          <reference field="7" count="1">
            <x v="609"/>
          </reference>
        </references>
      </pivotArea>
    </format>
    <format dxfId="2777">
      <pivotArea dataOnly="0" labelOnly="1" outline="0" fieldPosition="0">
        <references count="5">
          <reference field="0" count="1" selected="0">
            <x v="0"/>
          </reference>
          <reference field="3" count="1" selected="0">
            <x v="19"/>
          </reference>
          <reference field="4" count="1" selected="0">
            <x v="112"/>
          </reference>
          <reference field="5" count="1" selected="0">
            <x v="113"/>
          </reference>
          <reference field="7" count="1">
            <x v="610"/>
          </reference>
        </references>
      </pivotArea>
    </format>
    <format dxfId="2776">
      <pivotArea dataOnly="0" labelOnly="1" outline="0" fieldPosition="0">
        <references count="5">
          <reference field="0" count="1" selected="0">
            <x v="0"/>
          </reference>
          <reference field="3" count="1" selected="0">
            <x v="19"/>
          </reference>
          <reference field="4" count="1" selected="0">
            <x v="112"/>
          </reference>
          <reference field="5" count="1" selected="0">
            <x v="121"/>
          </reference>
          <reference field="7" count="1">
            <x v="1096"/>
          </reference>
        </references>
      </pivotArea>
    </format>
    <format dxfId="2775">
      <pivotArea dataOnly="0" labelOnly="1" outline="0" fieldPosition="0">
        <references count="5">
          <reference field="0" count="1" selected="0">
            <x v="0"/>
          </reference>
          <reference field="3" count="1" selected="0">
            <x v="19"/>
          </reference>
          <reference field="4" count="1" selected="0">
            <x v="112"/>
          </reference>
          <reference field="5" count="1" selected="0">
            <x v="122"/>
          </reference>
          <reference field="7" count="1">
            <x v="1097"/>
          </reference>
        </references>
      </pivotArea>
    </format>
    <format dxfId="2774">
      <pivotArea dataOnly="0" labelOnly="1" outline="0" fieldPosition="0">
        <references count="5">
          <reference field="0" count="1" selected="0">
            <x v="0"/>
          </reference>
          <reference field="3" count="1" selected="0">
            <x v="19"/>
          </reference>
          <reference field="4" count="1" selected="0">
            <x v="112"/>
          </reference>
          <reference field="5" count="1" selected="0">
            <x v="140"/>
          </reference>
          <reference field="7" count="1">
            <x v="595"/>
          </reference>
        </references>
      </pivotArea>
    </format>
    <format dxfId="2773">
      <pivotArea dataOnly="0" labelOnly="1" outline="0" fieldPosition="0">
        <references count="5">
          <reference field="0" count="1" selected="0">
            <x v="0"/>
          </reference>
          <reference field="3" count="1" selected="0">
            <x v="19"/>
          </reference>
          <reference field="4" count="1" selected="0">
            <x v="112"/>
          </reference>
          <reference field="5" count="1" selected="0">
            <x v="173"/>
          </reference>
          <reference field="7" count="1">
            <x v="1094"/>
          </reference>
        </references>
      </pivotArea>
    </format>
    <format dxfId="2772">
      <pivotArea dataOnly="0" labelOnly="1" outline="0" fieldPosition="0">
        <references count="5">
          <reference field="0" count="1" selected="0">
            <x v="0"/>
          </reference>
          <reference field="3" count="1" selected="0">
            <x v="19"/>
          </reference>
          <reference field="4" count="1" selected="0">
            <x v="112"/>
          </reference>
          <reference field="5" count="1" selected="0">
            <x v="215"/>
          </reference>
          <reference field="7" count="1">
            <x v="975"/>
          </reference>
        </references>
      </pivotArea>
    </format>
    <format dxfId="2771">
      <pivotArea dataOnly="0" labelOnly="1" outline="0" fieldPosition="0">
        <references count="5">
          <reference field="0" count="1" selected="0">
            <x v="0"/>
          </reference>
          <reference field="3" count="1" selected="0">
            <x v="19"/>
          </reference>
          <reference field="4" count="1" selected="0">
            <x v="112"/>
          </reference>
          <reference field="5" count="1" selected="0">
            <x v="224"/>
          </reference>
          <reference field="7" count="1">
            <x v="757"/>
          </reference>
        </references>
      </pivotArea>
    </format>
    <format dxfId="2770">
      <pivotArea dataOnly="0" labelOnly="1" outline="0" fieldPosition="0">
        <references count="5">
          <reference field="0" count="1" selected="0">
            <x v="0"/>
          </reference>
          <reference field="3" count="1" selected="0">
            <x v="19"/>
          </reference>
          <reference field="4" count="1" selected="0">
            <x v="112"/>
          </reference>
          <reference field="5" count="1" selected="0">
            <x v="225"/>
          </reference>
          <reference field="7" count="1">
            <x v="750"/>
          </reference>
        </references>
      </pivotArea>
    </format>
    <format dxfId="2769">
      <pivotArea dataOnly="0" labelOnly="1" outline="0" fieldPosition="0">
        <references count="5">
          <reference field="0" count="1" selected="0">
            <x v="0"/>
          </reference>
          <reference field="3" count="1" selected="0">
            <x v="19"/>
          </reference>
          <reference field="4" count="1" selected="0">
            <x v="112"/>
          </reference>
          <reference field="5" count="1" selected="0">
            <x v="283"/>
          </reference>
          <reference field="7" count="1">
            <x v="756"/>
          </reference>
        </references>
      </pivotArea>
    </format>
    <format dxfId="2768">
      <pivotArea dataOnly="0" labelOnly="1" outline="0" fieldPosition="0">
        <references count="5">
          <reference field="0" count="1" selected="0">
            <x v="0"/>
          </reference>
          <reference field="3" count="1" selected="0">
            <x v="19"/>
          </reference>
          <reference field="4" count="1" selected="0">
            <x v="112"/>
          </reference>
          <reference field="5" count="1" selected="0">
            <x v="331"/>
          </reference>
          <reference field="7" count="1">
            <x v="1591"/>
          </reference>
        </references>
      </pivotArea>
    </format>
    <format dxfId="2767">
      <pivotArea dataOnly="0" labelOnly="1" outline="0" fieldPosition="0">
        <references count="5">
          <reference field="0" count="1" selected="0">
            <x v="0"/>
          </reference>
          <reference field="3" count="1" selected="0">
            <x v="19"/>
          </reference>
          <reference field="4" count="1" selected="0">
            <x v="112"/>
          </reference>
          <reference field="5" count="1" selected="0">
            <x v="336"/>
          </reference>
          <reference field="7" count="1">
            <x v="1593"/>
          </reference>
        </references>
      </pivotArea>
    </format>
    <format dxfId="2766">
      <pivotArea dataOnly="0" labelOnly="1" outline="0" fieldPosition="0">
        <references count="5">
          <reference field="0" count="1" selected="0">
            <x v="0"/>
          </reference>
          <reference field="3" count="1" selected="0">
            <x v="19"/>
          </reference>
          <reference field="4" count="1" selected="0">
            <x v="112"/>
          </reference>
          <reference field="5" count="1" selected="0">
            <x v="340"/>
          </reference>
          <reference field="7" count="1">
            <x v="1101"/>
          </reference>
        </references>
      </pivotArea>
    </format>
    <format dxfId="2765">
      <pivotArea dataOnly="0" labelOnly="1" outline="0" fieldPosition="0">
        <references count="5">
          <reference field="0" count="1" selected="0">
            <x v="0"/>
          </reference>
          <reference field="3" count="1" selected="0">
            <x v="19"/>
          </reference>
          <reference field="4" count="1" selected="0">
            <x v="112"/>
          </reference>
          <reference field="5" count="1" selected="0">
            <x v="344"/>
          </reference>
          <reference field="7" count="1">
            <x v="397"/>
          </reference>
        </references>
      </pivotArea>
    </format>
    <format dxfId="2764">
      <pivotArea dataOnly="0" labelOnly="1" outline="0" fieldPosition="0">
        <references count="5">
          <reference field="0" count="1" selected="0">
            <x v="0"/>
          </reference>
          <reference field="3" count="1" selected="0">
            <x v="19"/>
          </reference>
          <reference field="4" count="1" selected="0">
            <x v="112"/>
          </reference>
          <reference field="5" count="1" selected="0">
            <x v="852"/>
          </reference>
          <reference field="7" count="1">
            <x v="635"/>
          </reference>
        </references>
      </pivotArea>
    </format>
    <format dxfId="2763">
      <pivotArea dataOnly="0" labelOnly="1" outline="0" fieldPosition="0">
        <references count="5">
          <reference field="0" count="1" selected="0">
            <x v="0"/>
          </reference>
          <reference field="3" count="1" selected="0">
            <x v="19"/>
          </reference>
          <reference field="4" count="1" selected="0">
            <x v="112"/>
          </reference>
          <reference field="5" count="1" selected="0">
            <x v="859"/>
          </reference>
          <reference field="7" count="1">
            <x v="1293"/>
          </reference>
        </references>
      </pivotArea>
    </format>
    <format dxfId="2762">
      <pivotArea dataOnly="0" labelOnly="1" outline="0" fieldPosition="0">
        <references count="5">
          <reference field="0" count="1" selected="0">
            <x v="0"/>
          </reference>
          <reference field="3" count="1" selected="0">
            <x v="19"/>
          </reference>
          <reference field="4" count="1" selected="0">
            <x v="112"/>
          </reference>
          <reference field="5" count="1" selected="0">
            <x v="860"/>
          </reference>
          <reference field="7" count="1">
            <x v="1296"/>
          </reference>
        </references>
      </pivotArea>
    </format>
    <format dxfId="2761">
      <pivotArea dataOnly="0" labelOnly="1" outline="0" fieldPosition="0">
        <references count="5">
          <reference field="0" count="1" selected="0">
            <x v="0"/>
          </reference>
          <reference field="3" count="1" selected="0">
            <x v="19"/>
          </reference>
          <reference field="4" count="1" selected="0">
            <x v="112"/>
          </reference>
          <reference field="5" count="1" selected="0">
            <x v="861"/>
          </reference>
          <reference field="7" count="1">
            <x v="1294"/>
          </reference>
        </references>
      </pivotArea>
    </format>
    <format dxfId="2760">
      <pivotArea dataOnly="0" labelOnly="1" outline="0" fieldPosition="0">
        <references count="5">
          <reference field="0" count="1" selected="0">
            <x v="0"/>
          </reference>
          <reference field="3" count="1" selected="0">
            <x v="19"/>
          </reference>
          <reference field="4" count="1" selected="0">
            <x v="112"/>
          </reference>
          <reference field="5" count="1" selected="0">
            <x v="862"/>
          </reference>
          <reference field="7" count="1">
            <x v="383"/>
          </reference>
        </references>
      </pivotArea>
    </format>
    <format dxfId="2759">
      <pivotArea dataOnly="0" labelOnly="1" outline="0" fieldPosition="0">
        <references count="5">
          <reference field="0" count="1" selected="0">
            <x v="0"/>
          </reference>
          <reference field="3" count="1" selected="0">
            <x v="19"/>
          </reference>
          <reference field="4" count="1" selected="0">
            <x v="112"/>
          </reference>
          <reference field="5" count="1" selected="0">
            <x v="863"/>
          </reference>
          <reference field="7" count="1">
            <x v="1000"/>
          </reference>
        </references>
      </pivotArea>
    </format>
    <format dxfId="2758">
      <pivotArea dataOnly="0" labelOnly="1" outline="0" fieldPosition="0">
        <references count="5">
          <reference field="0" count="1" selected="0">
            <x v="0"/>
          </reference>
          <reference field="3" count="1" selected="0">
            <x v="19"/>
          </reference>
          <reference field="4" count="1" selected="0">
            <x v="112"/>
          </reference>
          <reference field="5" count="1" selected="0">
            <x v="864"/>
          </reference>
          <reference field="7" count="1">
            <x v="739"/>
          </reference>
        </references>
      </pivotArea>
    </format>
    <format dxfId="2757">
      <pivotArea dataOnly="0" labelOnly="1" outline="0" fieldPosition="0">
        <references count="5">
          <reference field="0" count="1" selected="0">
            <x v="0"/>
          </reference>
          <reference field="3" count="1" selected="0">
            <x v="19"/>
          </reference>
          <reference field="4" count="1" selected="0">
            <x v="112"/>
          </reference>
          <reference field="5" count="1" selected="0">
            <x v="865"/>
          </reference>
          <reference field="7" count="1">
            <x v="1574"/>
          </reference>
        </references>
      </pivotArea>
    </format>
    <format dxfId="2756">
      <pivotArea dataOnly="0" labelOnly="1" outline="0" fieldPosition="0">
        <references count="5">
          <reference field="0" count="1" selected="0">
            <x v="0"/>
          </reference>
          <reference field="3" count="1" selected="0">
            <x v="19"/>
          </reference>
          <reference field="4" count="1" selected="0">
            <x v="112"/>
          </reference>
          <reference field="5" count="1" selected="0">
            <x v="866"/>
          </reference>
          <reference field="7" count="1">
            <x v="1575"/>
          </reference>
        </references>
      </pivotArea>
    </format>
    <format dxfId="2755">
      <pivotArea dataOnly="0" labelOnly="1" outline="0" fieldPosition="0">
        <references count="5">
          <reference field="0" count="1" selected="0">
            <x v="0"/>
          </reference>
          <reference field="3" count="1" selected="0">
            <x v="19"/>
          </reference>
          <reference field="4" count="1" selected="0">
            <x v="112"/>
          </reference>
          <reference field="5" count="1" selected="0">
            <x v="867"/>
          </reference>
          <reference field="7" count="1">
            <x v="1555"/>
          </reference>
        </references>
      </pivotArea>
    </format>
    <format dxfId="2754">
      <pivotArea dataOnly="0" labelOnly="1" outline="0" fieldPosition="0">
        <references count="5">
          <reference field="0" count="1" selected="0">
            <x v="0"/>
          </reference>
          <reference field="3" count="1" selected="0">
            <x v="19"/>
          </reference>
          <reference field="4" count="1" selected="0">
            <x v="112"/>
          </reference>
          <reference field="5" count="1" selected="0">
            <x v="873"/>
          </reference>
          <reference field="7" count="1">
            <x v="911"/>
          </reference>
        </references>
      </pivotArea>
    </format>
    <format dxfId="2753">
      <pivotArea dataOnly="0" labelOnly="1" outline="0" fieldPosition="0">
        <references count="5">
          <reference field="0" count="1" selected="0">
            <x v="0"/>
          </reference>
          <reference field="3" count="1" selected="0">
            <x v="19"/>
          </reference>
          <reference field="4" count="1" selected="0">
            <x v="112"/>
          </reference>
          <reference field="5" count="1" selected="0">
            <x v="874"/>
          </reference>
          <reference field="7" count="1">
            <x v="1561"/>
          </reference>
        </references>
      </pivotArea>
    </format>
    <format dxfId="2752">
      <pivotArea dataOnly="0" labelOnly="1" outline="0" fieldPosition="0">
        <references count="5">
          <reference field="0" count="1" selected="0">
            <x v="0"/>
          </reference>
          <reference field="3" count="1" selected="0">
            <x v="19"/>
          </reference>
          <reference field="4" count="1" selected="0">
            <x v="112"/>
          </reference>
          <reference field="5" count="1" selected="0">
            <x v="876"/>
          </reference>
          <reference field="7" count="1">
            <x v="1295"/>
          </reference>
        </references>
      </pivotArea>
    </format>
    <format dxfId="2751">
      <pivotArea dataOnly="0" labelOnly="1" outline="0" fieldPosition="0">
        <references count="5">
          <reference field="0" count="1" selected="0">
            <x v="0"/>
          </reference>
          <reference field="3" count="1" selected="0">
            <x v="19"/>
          </reference>
          <reference field="4" count="1" selected="0">
            <x v="112"/>
          </reference>
          <reference field="5" count="1" selected="0">
            <x v="877"/>
          </reference>
          <reference field="7" count="1">
            <x v="1301"/>
          </reference>
        </references>
      </pivotArea>
    </format>
    <format dxfId="2750">
      <pivotArea dataOnly="0" labelOnly="1" outline="0" fieldPosition="0">
        <references count="5">
          <reference field="0" count="1" selected="0">
            <x v="0"/>
          </reference>
          <reference field="3" count="1" selected="0">
            <x v="19"/>
          </reference>
          <reference field="4" count="1" selected="0">
            <x v="112"/>
          </reference>
          <reference field="5" count="1" selected="0">
            <x v="878"/>
          </reference>
          <reference field="7" count="1">
            <x v="489"/>
          </reference>
        </references>
      </pivotArea>
    </format>
    <format dxfId="2749">
      <pivotArea dataOnly="0" labelOnly="1" outline="0" fieldPosition="0">
        <references count="5">
          <reference field="0" count="1" selected="0">
            <x v="0"/>
          </reference>
          <reference field="3" count="1" selected="0">
            <x v="19"/>
          </reference>
          <reference field="4" count="1" selected="0">
            <x v="112"/>
          </reference>
          <reference field="5" count="1" selected="0">
            <x v="880"/>
          </reference>
          <reference field="7" count="1">
            <x v="916"/>
          </reference>
        </references>
      </pivotArea>
    </format>
    <format dxfId="2748">
      <pivotArea dataOnly="0" labelOnly="1" outline="0" fieldPosition="0">
        <references count="5">
          <reference field="0" count="1" selected="0">
            <x v="0"/>
          </reference>
          <reference field="3" count="1" selected="0">
            <x v="19"/>
          </reference>
          <reference field="4" count="1" selected="0">
            <x v="112"/>
          </reference>
          <reference field="5" count="1" selected="0">
            <x v="881"/>
          </reference>
          <reference field="7" count="1">
            <x v="1174"/>
          </reference>
        </references>
      </pivotArea>
    </format>
    <format dxfId="2747">
      <pivotArea dataOnly="0" labelOnly="1" outline="0" fieldPosition="0">
        <references count="5">
          <reference field="0" count="1" selected="0">
            <x v="0"/>
          </reference>
          <reference field="3" count="1" selected="0">
            <x v="19"/>
          </reference>
          <reference field="4" count="1" selected="0">
            <x v="112"/>
          </reference>
          <reference field="5" count="1" selected="0">
            <x v="882"/>
          </reference>
          <reference field="7" count="1">
            <x v="1178"/>
          </reference>
        </references>
      </pivotArea>
    </format>
    <format dxfId="2746">
      <pivotArea dataOnly="0" labelOnly="1" outline="0" fieldPosition="0">
        <references count="5">
          <reference field="0" count="1" selected="0">
            <x v="0"/>
          </reference>
          <reference field="3" count="1" selected="0">
            <x v="19"/>
          </reference>
          <reference field="4" count="1" selected="0">
            <x v="112"/>
          </reference>
          <reference field="5" count="1" selected="0">
            <x v="883"/>
          </reference>
          <reference field="7" count="1">
            <x v="277"/>
          </reference>
        </references>
      </pivotArea>
    </format>
    <format dxfId="2745">
      <pivotArea dataOnly="0" labelOnly="1" outline="0" fieldPosition="0">
        <references count="5">
          <reference field="0" count="1" selected="0">
            <x v="0"/>
          </reference>
          <reference field="3" count="1" selected="0">
            <x v="19"/>
          </reference>
          <reference field="4" count="1" selected="0">
            <x v="112"/>
          </reference>
          <reference field="5" count="1" selected="0">
            <x v="884"/>
          </reference>
          <reference field="7" count="1">
            <x v="1179"/>
          </reference>
        </references>
      </pivotArea>
    </format>
    <format dxfId="2744">
      <pivotArea dataOnly="0" labelOnly="1" outline="0" fieldPosition="0">
        <references count="5">
          <reference field="0" count="1" selected="0">
            <x v="0"/>
          </reference>
          <reference field="3" count="1" selected="0">
            <x v="19"/>
          </reference>
          <reference field="4" count="1" selected="0">
            <x v="112"/>
          </reference>
          <reference field="5" count="1" selected="0">
            <x v="885"/>
          </reference>
          <reference field="7" count="1">
            <x v="1173"/>
          </reference>
        </references>
      </pivotArea>
    </format>
    <format dxfId="2743">
      <pivotArea dataOnly="0" labelOnly="1" outline="0" fieldPosition="0">
        <references count="5">
          <reference field="0" count="1" selected="0">
            <x v="0"/>
          </reference>
          <reference field="3" count="1" selected="0">
            <x v="19"/>
          </reference>
          <reference field="4" count="1" selected="0">
            <x v="112"/>
          </reference>
          <reference field="5" count="1" selected="0">
            <x v="888"/>
          </reference>
          <reference field="7" count="1">
            <x v="882"/>
          </reference>
        </references>
      </pivotArea>
    </format>
    <format dxfId="2742">
      <pivotArea dataOnly="0" labelOnly="1" outline="0" fieldPosition="0">
        <references count="5">
          <reference field="0" count="1" selected="0">
            <x v="0"/>
          </reference>
          <reference field="3" count="1" selected="0">
            <x v="19"/>
          </reference>
          <reference field="4" count="1" selected="0">
            <x v="112"/>
          </reference>
          <reference field="5" count="1" selected="0">
            <x v="889"/>
          </reference>
          <reference field="7" count="1">
            <x v="1172"/>
          </reference>
        </references>
      </pivotArea>
    </format>
    <format dxfId="2741">
      <pivotArea dataOnly="0" labelOnly="1" outline="0" fieldPosition="0">
        <references count="5">
          <reference field="0" count="1" selected="0">
            <x v="0"/>
          </reference>
          <reference field="3" count="1" selected="0">
            <x v="19"/>
          </reference>
          <reference field="4" count="1" selected="0">
            <x v="112"/>
          </reference>
          <reference field="5" count="1" selected="0">
            <x v="890"/>
          </reference>
          <reference field="7" count="1">
            <x v="908"/>
          </reference>
        </references>
      </pivotArea>
    </format>
    <format dxfId="2740">
      <pivotArea dataOnly="0" labelOnly="1" outline="0" fieldPosition="0">
        <references count="5">
          <reference field="0" count="1" selected="0">
            <x v="0"/>
          </reference>
          <reference field="3" count="1" selected="0">
            <x v="19"/>
          </reference>
          <reference field="4" count="1" selected="0">
            <x v="112"/>
          </reference>
          <reference field="5" count="1" selected="0">
            <x v="891"/>
          </reference>
          <reference field="7" count="1">
            <x v="909"/>
          </reference>
        </references>
      </pivotArea>
    </format>
    <format dxfId="2739">
      <pivotArea dataOnly="0" labelOnly="1" outline="0" fieldPosition="0">
        <references count="5">
          <reference field="0" count="1" selected="0">
            <x v="0"/>
          </reference>
          <reference field="3" count="1" selected="0">
            <x v="19"/>
          </reference>
          <reference field="4" count="1" selected="0">
            <x v="112"/>
          </reference>
          <reference field="5" count="1" selected="0">
            <x v="892"/>
          </reference>
          <reference field="7" count="1">
            <x v="906"/>
          </reference>
        </references>
      </pivotArea>
    </format>
    <format dxfId="2738">
      <pivotArea dataOnly="0" labelOnly="1" outline="0" fieldPosition="0">
        <references count="5">
          <reference field="0" count="1" selected="0">
            <x v="0"/>
          </reference>
          <reference field="3" count="1" selected="0">
            <x v="19"/>
          </reference>
          <reference field="4" count="1" selected="0">
            <x v="112"/>
          </reference>
          <reference field="5" count="1" selected="0">
            <x v="893"/>
          </reference>
          <reference field="7" count="1">
            <x v="907"/>
          </reference>
        </references>
      </pivotArea>
    </format>
    <format dxfId="2737">
      <pivotArea dataOnly="0" labelOnly="1" outline="0" fieldPosition="0">
        <references count="5">
          <reference field="0" count="1" selected="0">
            <x v="0"/>
          </reference>
          <reference field="3" count="1" selected="0">
            <x v="19"/>
          </reference>
          <reference field="4" count="1" selected="0">
            <x v="112"/>
          </reference>
          <reference field="5" count="1" selected="0">
            <x v="895"/>
          </reference>
          <reference field="7" count="1">
            <x v="1297"/>
          </reference>
        </references>
      </pivotArea>
    </format>
    <format dxfId="2736">
      <pivotArea dataOnly="0" labelOnly="1" outline="0" fieldPosition="0">
        <references count="5">
          <reference field="0" count="1" selected="0">
            <x v="0"/>
          </reference>
          <reference field="3" count="1" selected="0">
            <x v="19"/>
          </reference>
          <reference field="4" count="1" selected="0">
            <x v="112"/>
          </reference>
          <reference field="5" count="1" selected="0">
            <x v="896"/>
          </reference>
          <reference field="7" count="1">
            <x v="1302"/>
          </reference>
        </references>
      </pivotArea>
    </format>
    <format dxfId="2735">
      <pivotArea dataOnly="0" labelOnly="1" outline="0" fieldPosition="0">
        <references count="5">
          <reference field="0" count="1" selected="0">
            <x v="0"/>
          </reference>
          <reference field="3" count="1" selected="0">
            <x v="19"/>
          </reference>
          <reference field="4" count="1" selected="0">
            <x v="112"/>
          </reference>
          <reference field="5" count="1" selected="0">
            <x v="897"/>
          </reference>
          <reference field="7" count="1">
            <x v="910"/>
          </reference>
        </references>
      </pivotArea>
    </format>
    <format dxfId="2734">
      <pivotArea dataOnly="0" labelOnly="1" outline="0" fieldPosition="0">
        <references count="5">
          <reference field="0" count="1" selected="0">
            <x v="0"/>
          </reference>
          <reference field="3" count="1" selected="0">
            <x v="19"/>
          </reference>
          <reference field="4" count="1" selected="0">
            <x v="113"/>
          </reference>
          <reference field="5" count="1" selected="0">
            <x v="166"/>
          </reference>
          <reference field="7" count="1">
            <x v="1086"/>
          </reference>
        </references>
      </pivotArea>
    </format>
    <format dxfId="2733">
      <pivotArea dataOnly="0" labelOnly="1" outline="0" fieldPosition="0">
        <references count="5">
          <reference field="0" count="1" selected="0">
            <x v="0"/>
          </reference>
          <reference field="3" count="1" selected="0">
            <x v="19"/>
          </reference>
          <reference field="4" count="1" selected="0">
            <x v="113"/>
          </reference>
          <reference field="5" count="1" selected="0">
            <x v="173"/>
          </reference>
          <reference field="7" count="1">
            <x v="1094"/>
          </reference>
        </references>
      </pivotArea>
    </format>
    <format dxfId="2732">
      <pivotArea dataOnly="0" labelOnly="1" outline="0" fieldPosition="0">
        <references count="5">
          <reference field="0" count="1" selected="0">
            <x v="0"/>
          </reference>
          <reference field="3" count="1" selected="0">
            <x v="19"/>
          </reference>
          <reference field="4" count="1" selected="0">
            <x v="113"/>
          </reference>
          <reference field="5" count="1" selected="0">
            <x v="330"/>
          </reference>
          <reference field="7" count="1">
            <x v="1589"/>
          </reference>
        </references>
      </pivotArea>
    </format>
    <format dxfId="2731">
      <pivotArea dataOnly="0" labelOnly="1" outline="0" fieldPosition="0">
        <references count="5">
          <reference field="0" count="1" selected="0">
            <x v="0"/>
          </reference>
          <reference field="3" count="1" selected="0">
            <x v="19"/>
          </reference>
          <reference field="4" count="1" selected="0">
            <x v="113"/>
          </reference>
          <reference field="5" count="1" selected="0">
            <x v="331"/>
          </reference>
          <reference field="7" count="1">
            <x v="1591"/>
          </reference>
        </references>
      </pivotArea>
    </format>
    <format dxfId="2730">
      <pivotArea dataOnly="0" labelOnly="1" outline="0" fieldPosition="0">
        <references count="5">
          <reference field="0" count="1" selected="0">
            <x v="0"/>
          </reference>
          <reference field="3" count="1" selected="0">
            <x v="19"/>
          </reference>
          <reference field="4" count="1" selected="0">
            <x v="113"/>
          </reference>
          <reference field="5" count="1" selected="0">
            <x v="898"/>
          </reference>
          <reference field="7" count="1">
            <x v="278"/>
          </reference>
        </references>
      </pivotArea>
    </format>
    <format dxfId="2729">
      <pivotArea dataOnly="0" labelOnly="1" outline="0" fieldPosition="0">
        <references count="5">
          <reference field="0" count="1" selected="0">
            <x v="0"/>
          </reference>
          <reference field="3" count="1" selected="0">
            <x v="19"/>
          </reference>
          <reference field="4" count="1" selected="0">
            <x v="114"/>
          </reference>
          <reference field="5" count="1" selected="0">
            <x v="43"/>
          </reference>
          <reference field="7" count="1">
            <x v="374"/>
          </reference>
        </references>
      </pivotArea>
    </format>
    <format dxfId="2728">
      <pivotArea dataOnly="0" labelOnly="1" outline="0" fieldPosition="0">
        <references count="5">
          <reference field="0" count="1" selected="0">
            <x v="0"/>
          </reference>
          <reference field="3" count="1" selected="0">
            <x v="19"/>
          </reference>
          <reference field="4" count="1" selected="0">
            <x v="114"/>
          </reference>
          <reference field="5" count="1" selected="0">
            <x v="112"/>
          </reference>
          <reference field="7" count="1">
            <x v="609"/>
          </reference>
        </references>
      </pivotArea>
    </format>
    <format dxfId="2727">
      <pivotArea dataOnly="0" labelOnly="1" outline="0" fieldPosition="0">
        <references count="5">
          <reference field="0" count="1" selected="0">
            <x v="0"/>
          </reference>
          <reference field="3" count="1" selected="0">
            <x v="19"/>
          </reference>
          <reference field="4" count="1" selected="0">
            <x v="114"/>
          </reference>
          <reference field="5" count="1" selected="0">
            <x v="113"/>
          </reference>
          <reference field="7" count="1">
            <x v="610"/>
          </reference>
        </references>
      </pivotArea>
    </format>
    <format dxfId="2726">
      <pivotArea dataOnly="0" labelOnly="1" outline="0" fieldPosition="0">
        <references count="5">
          <reference field="0" count="1" selected="0">
            <x v="0"/>
          </reference>
          <reference field="3" count="1" selected="0">
            <x v="19"/>
          </reference>
          <reference field="4" count="1" selected="0">
            <x v="114"/>
          </reference>
          <reference field="5" count="1" selected="0">
            <x v="129"/>
          </reference>
          <reference field="7" count="1">
            <x v="1598"/>
          </reference>
        </references>
      </pivotArea>
    </format>
    <format dxfId="2725">
      <pivotArea dataOnly="0" labelOnly="1" outline="0" fieldPosition="0">
        <references count="5">
          <reference field="0" count="1" selected="0">
            <x v="0"/>
          </reference>
          <reference field="3" count="1" selected="0">
            <x v="19"/>
          </reference>
          <reference field="4" count="1" selected="0">
            <x v="114"/>
          </reference>
          <reference field="5" count="1" selected="0">
            <x v="158"/>
          </reference>
          <reference field="7" count="1">
            <x v="1075"/>
          </reference>
        </references>
      </pivotArea>
    </format>
    <format dxfId="2724">
      <pivotArea dataOnly="0" labelOnly="1" outline="0" fieldPosition="0">
        <references count="5">
          <reference field="0" count="1" selected="0">
            <x v="0"/>
          </reference>
          <reference field="3" count="1" selected="0">
            <x v="19"/>
          </reference>
          <reference field="4" count="1" selected="0">
            <x v="114"/>
          </reference>
          <reference field="5" count="1" selected="0">
            <x v="173"/>
          </reference>
          <reference field="7" count="1">
            <x v="1094"/>
          </reference>
        </references>
      </pivotArea>
    </format>
    <format dxfId="2723">
      <pivotArea dataOnly="0" labelOnly="1" outline="0" fieldPosition="0">
        <references count="5">
          <reference field="0" count="1" selected="0">
            <x v="0"/>
          </reference>
          <reference field="3" count="1" selected="0">
            <x v="19"/>
          </reference>
          <reference field="4" count="1" selected="0">
            <x v="114"/>
          </reference>
          <reference field="5" count="1" selected="0">
            <x v="201"/>
          </reference>
          <reference field="7" count="1">
            <x v="1422"/>
          </reference>
        </references>
      </pivotArea>
    </format>
    <format dxfId="2722">
      <pivotArea dataOnly="0" labelOnly="1" outline="0" fieldPosition="0">
        <references count="5">
          <reference field="0" count="1" selected="0">
            <x v="0"/>
          </reference>
          <reference field="3" count="1" selected="0">
            <x v="19"/>
          </reference>
          <reference field="4" count="1" selected="0">
            <x v="114"/>
          </reference>
          <reference field="5" count="1" selected="0">
            <x v="224"/>
          </reference>
          <reference field="7" count="1">
            <x v="757"/>
          </reference>
        </references>
      </pivotArea>
    </format>
    <format dxfId="2721">
      <pivotArea dataOnly="0" labelOnly="1" outline="0" fieldPosition="0">
        <references count="5">
          <reference field="0" count="1" selected="0">
            <x v="0"/>
          </reference>
          <reference field="3" count="1" selected="0">
            <x v="19"/>
          </reference>
          <reference field="4" count="1" selected="0">
            <x v="114"/>
          </reference>
          <reference field="5" count="1" selected="0">
            <x v="246"/>
          </reference>
          <reference field="7" count="1">
            <x v="686"/>
          </reference>
        </references>
      </pivotArea>
    </format>
    <format dxfId="2720">
      <pivotArea dataOnly="0" labelOnly="1" outline="0" fieldPosition="0">
        <references count="5">
          <reference field="0" count="1" selected="0">
            <x v="0"/>
          </reference>
          <reference field="3" count="1" selected="0">
            <x v="19"/>
          </reference>
          <reference field="4" count="1" selected="0">
            <x v="114"/>
          </reference>
          <reference field="5" count="1" selected="0">
            <x v="260"/>
          </reference>
          <reference field="7" count="1">
            <x v="976"/>
          </reference>
        </references>
      </pivotArea>
    </format>
    <format dxfId="2719">
      <pivotArea dataOnly="0" labelOnly="1" outline="0" fieldPosition="0">
        <references count="5">
          <reference field="0" count="1" selected="0">
            <x v="0"/>
          </reference>
          <reference field="3" count="1" selected="0">
            <x v="19"/>
          </reference>
          <reference field="4" count="1" selected="0">
            <x v="114"/>
          </reference>
          <reference field="5" count="1" selected="0">
            <x v="282"/>
          </reference>
          <reference field="7" count="1">
            <x v="755"/>
          </reference>
        </references>
      </pivotArea>
    </format>
    <format dxfId="2718">
      <pivotArea dataOnly="0" labelOnly="1" outline="0" fieldPosition="0">
        <references count="5">
          <reference field="0" count="1" selected="0">
            <x v="0"/>
          </reference>
          <reference field="3" count="1" selected="0">
            <x v="19"/>
          </reference>
          <reference field="4" count="1" selected="0">
            <x v="114"/>
          </reference>
          <reference field="5" count="1" selected="0">
            <x v="283"/>
          </reference>
          <reference field="7" count="1">
            <x v="756"/>
          </reference>
        </references>
      </pivotArea>
    </format>
    <format dxfId="2717">
      <pivotArea dataOnly="0" labelOnly="1" outline="0" fieldPosition="0">
        <references count="5">
          <reference field="0" count="1" selected="0">
            <x v="0"/>
          </reference>
          <reference field="3" count="1" selected="0">
            <x v="19"/>
          </reference>
          <reference field="4" count="1" selected="0">
            <x v="114"/>
          </reference>
          <reference field="5" count="1" selected="0">
            <x v="302"/>
          </reference>
          <reference field="7" count="1">
            <x v="1070"/>
          </reference>
        </references>
      </pivotArea>
    </format>
    <format dxfId="2716">
      <pivotArea dataOnly="0" labelOnly="1" outline="0" fieldPosition="0">
        <references count="5">
          <reference field="0" count="1" selected="0">
            <x v="0"/>
          </reference>
          <reference field="3" count="1" selected="0">
            <x v="19"/>
          </reference>
          <reference field="4" count="1" selected="0">
            <x v="114"/>
          </reference>
          <reference field="5" count="1" selected="0">
            <x v="332"/>
          </reference>
          <reference field="7" count="1">
            <x v="1597"/>
          </reference>
        </references>
      </pivotArea>
    </format>
    <format dxfId="2715">
      <pivotArea dataOnly="0" labelOnly="1" outline="0" fieldPosition="0">
        <references count="5">
          <reference field="0" count="1" selected="0">
            <x v="0"/>
          </reference>
          <reference field="3" count="1" selected="0">
            <x v="19"/>
          </reference>
          <reference field="4" count="1" selected="0">
            <x v="114"/>
          </reference>
          <reference field="5" count="1" selected="0">
            <x v="336"/>
          </reference>
          <reference field="7" count="1">
            <x v="1593"/>
          </reference>
        </references>
      </pivotArea>
    </format>
    <format dxfId="2714">
      <pivotArea dataOnly="0" labelOnly="1" outline="0" fieldPosition="0">
        <references count="5">
          <reference field="0" count="1" selected="0">
            <x v="0"/>
          </reference>
          <reference field="3" count="1" selected="0">
            <x v="19"/>
          </reference>
          <reference field="4" count="1" selected="0">
            <x v="114"/>
          </reference>
          <reference field="5" count="1" selected="0">
            <x v="899"/>
          </reference>
          <reference field="7" count="1">
            <x v="138"/>
          </reference>
        </references>
      </pivotArea>
    </format>
    <format dxfId="2713">
      <pivotArea dataOnly="0" labelOnly="1" outline="0" fieldPosition="0">
        <references count="5">
          <reference field="0" count="1" selected="0">
            <x v="0"/>
          </reference>
          <reference field="3" count="1" selected="0">
            <x v="19"/>
          </reference>
          <reference field="4" count="1" selected="0">
            <x v="114"/>
          </reference>
          <reference field="5" count="1" selected="0">
            <x v="900"/>
          </reference>
          <reference field="7" count="1">
            <x v="1292"/>
          </reference>
        </references>
      </pivotArea>
    </format>
    <format dxfId="2712">
      <pivotArea dataOnly="0" labelOnly="1" outline="0" fieldPosition="0">
        <references count="5">
          <reference field="0" count="1" selected="0">
            <x v="0"/>
          </reference>
          <reference field="3" count="1" selected="0">
            <x v="19"/>
          </reference>
          <reference field="4" count="1" selected="0">
            <x v="114"/>
          </reference>
          <reference field="5" count="1" selected="0">
            <x v="901"/>
          </reference>
          <reference field="7" count="1">
            <x v="1563"/>
          </reference>
        </references>
      </pivotArea>
    </format>
    <format dxfId="2711">
      <pivotArea dataOnly="0" labelOnly="1" outline="0" fieldPosition="0">
        <references count="5">
          <reference field="0" count="1" selected="0">
            <x v="0"/>
          </reference>
          <reference field="3" count="1" selected="0">
            <x v="19"/>
          </reference>
          <reference field="4" count="1" selected="0">
            <x v="114"/>
          </reference>
          <reference field="5" count="1" selected="0">
            <x v="902"/>
          </reference>
          <reference field="7" count="1">
            <x v="1201"/>
          </reference>
        </references>
      </pivotArea>
    </format>
    <format dxfId="2710">
      <pivotArea dataOnly="0" labelOnly="1" outline="0" fieldPosition="0">
        <references count="5">
          <reference field="0" count="1" selected="0">
            <x v="0"/>
          </reference>
          <reference field="3" count="1" selected="0">
            <x v="19"/>
          </reference>
          <reference field="4" count="1" selected="0">
            <x v="114"/>
          </reference>
          <reference field="5" count="1" selected="0">
            <x v="903"/>
          </reference>
          <reference field="7" count="1">
            <x v="1564"/>
          </reference>
        </references>
      </pivotArea>
    </format>
    <format dxfId="2709">
      <pivotArea dataOnly="0" labelOnly="1" outline="0" fieldPosition="0">
        <references count="5">
          <reference field="0" count="1" selected="0">
            <x v="0"/>
          </reference>
          <reference field="3" count="1" selected="0">
            <x v="19"/>
          </reference>
          <reference field="4" count="1" selected="0">
            <x v="114"/>
          </reference>
          <reference field="5" count="1" selected="0">
            <x v="904"/>
          </reference>
          <reference field="7" count="1">
            <x v="1565"/>
          </reference>
        </references>
      </pivotArea>
    </format>
    <format dxfId="2708">
      <pivotArea dataOnly="0" labelOnly="1" outline="0" fieldPosition="0">
        <references count="5">
          <reference field="0" count="1" selected="0">
            <x v="0"/>
          </reference>
          <reference field="3" count="1" selected="0">
            <x v="19"/>
          </reference>
          <reference field="4" count="1" selected="0">
            <x v="114"/>
          </reference>
          <reference field="5" count="1" selected="0">
            <x v="905"/>
          </reference>
          <reference field="7" count="2">
            <x v="857"/>
            <x v="1193"/>
          </reference>
        </references>
      </pivotArea>
    </format>
    <format dxfId="2707">
      <pivotArea dataOnly="0" labelOnly="1" outline="0" fieldPosition="0">
        <references count="5">
          <reference field="0" count="1" selected="0">
            <x v="0"/>
          </reference>
          <reference field="3" count="1" selected="0">
            <x v="19"/>
          </reference>
          <reference field="4" count="1" selected="0">
            <x v="114"/>
          </reference>
          <reference field="5" count="1" selected="0">
            <x v="906"/>
          </reference>
          <reference field="7" count="2">
            <x v="875"/>
            <x v="1206"/>
          </reference>
        </references>
      </pivotArea>
    </format>
    <format dxfId="2706">
      <pivotArea dataOnly="0" labelOnly="1" outline="0" fieldPosition="0">
        <references count="5">
          <reference field="0" count="1" selected="0">
            <x v="0"/>
          </reference>
          <reference field="3" count="1" selected="0">
            <x v="19"/>
          </reference>
          <reference field="4" count="1" selected="0">
            <x v="114"/>
          </reference>
          <reference field="5" count="1" selected="0">
            <x v="907"/>
          </reference>
          <reference field="7" count="1">
            <x v="638"/>
          </reference>
        </references>
      </pivotArea>
    </format>
    <format dxfId="2705">
      <pivotArea dataOnly="0" labelOnly="1" outline="0" fieldPosition="0">
        <references count="5">
          <reference field="0" count="1" selected="0">
            <x v="0"/>
          </reference>
          <reference field="3" count="1" selected="0">
            <x v="19"/>
          </reference>
          <reference field="4" count="1" selected="0">
            <x v="114"/>
          </reference>
          <reference field="5" count="1" selected="0">
            <x v="908"/>
          </reference>
          <reference field="7" count="1">
            <x v="870"/>
          </reference>
        </references>
      </pivotArea>
    </format>
    <format dxfId="2704">
      <pivotArea dataOnly="0" labelOnly="1" outline="0" fieldPosition="0">
        <references count="5">
          <reference field="0" count="1" selected="0">
            <x v="0"/>
          </reference>
          <reference field="3" count="1" selected="0">
            <x v="19"/>
          </reference>
          <reference field="4" count="1" selected="0">
            <x v="114"/>
          </reference>
          <reference field="5" count="1" selected="0">
            <x v="910"/>
          </reference>
          <reference field="7" count="1">
            <x v="1566"/>
          </reference>
        </references>
      </pivotArea>
    </format>
    <format dxfId="2703">
      <pivotArea dataOnly="0" labelOnly="1" outline="0" fieldPosition="0">
        <references count="5">
          <reference field="0" count="1" selected="0">
            <x v="0"/>
          </reference>
          <reference field="3" count="1" selected="0">
            <x v="19"/>
          </reference>
          <reference field="4" count="1" selected="0">
            <x v="114"/>
          </reference>
          <reference field="5" count="1" selected="0">
            <x v="911"/>
          </reference>
          <reference field="7" count="1">
            <x v="1167"/>
          </reference>
        </references>
      </pivotArea>
    </format>
    <format dxfId="2702">
      <pivotArea dataOnly="0" labelOnly="1" outline="0" fieldPosition="0">
        <references count="5">
          <reference field="0" count="1" selected="0">
            <x v="0"/>
          </reference>
          <reference field="3" count="1" selected="0">
            <x v="19"/>
          </reference>
          <reference field="4" count="1" selected="0">
            <x v="114"/>
          </reference>
          <reference field="5" count="1" selected="0">
            <x v="912"/>
          </reference>
          <reference field="7" count="1">
            <x v="636"/>
          </reference>
        </references>
      </pivotArea>
    </format>
    <format dxfId="2701">
      <pivotArea dataOnly="0" labelOnly="1" outline="0" fieldPosition="0">
        <references count="5">
          <reference field="0" count="1" selected="0">
            <x v="0"/>
          </reference>
          <reference field="3" count="1" selected="0">
            <x v="19"/>
          </reference>
          <reference field="4" count="1" selected="0">
            <x v="114"/>
          </reference>
          <reference field="5" count="1" selected="0">
            <x v="913"/>
          </reference>
          <reference field="7" count="1">
            <x v="1300"/>
          </reference>
        </references>
      </pivotArea>
    </format>
    <format dxfId="2700">
      <pivotArea dataOnly="0" labelOnly="1" outline="0" fieldPosition="0">
        <references count="5">
          <reference field="0" count="1" selected="0">
            <x v="0"/>
          </reference>
          <reference field="3" count="1" selected="0">
            <x v="19"/>
          </reference>
          <reference field="4" count="1" selected="0">
            <x v="114"/>
          </reference>
          <reference field="5" count="1" selected="0">
            <x v="914"/>
          </reference>
          <reference field="7" count="1">
            <x v="1287"/>
          </reference>
        </references>
      </pivotArea>
    </format>
    <format dxfId="2699">
      <pivotArea dataOnly="0" labelOnly="1" outline="0" fieldPosition="0">
        <references count="5">
          <reference field="0" count="1" selected="0">
            <x v="0"/>
          </reference>
          <reference field="3" count="1" selected="0">
            <x v="19"/>
          </reference>
          <reference field="4" count="1" selected="0">
            <x v="114"/>
          </reference>
          <reference field="5" count="1" selected="0">
            <x v="915"/>
          </reference>
          <reference field="7" count="1">
            <x v="1289"/>
          </reference>
        </references>
      </pivotArea>
    </format>
    <format dxfId="2698">
      <pivotArea dataOnly="0" labelOnly="1" outline="0" fieldPosition="0">
        <references count="5">
          <reference field="0" count="1" selected="0">
            <x v="0"/>
          </reference>
          <reference field="3" count="1" selected="0">
            <x v="19"/>
          </reference>
          <reference field="4" count="1" selected="0">
            <x v="114"/>
          </reference>
          <reference field="5" count="1" selected="0">
            <x v="917"/>
          </reference>
          <reference field="7" count="1">
            <x v="1290"/>
          </reference>
        </references>
      </pivotArea>
    </format>
    <format dxfId="2697">
      <pivotArea dataOnly="0" labelOnly="1" outline="0" fieldPosition="0">
        <references count="5">
          <reference field="0" count="1" selected="0">
            <x v="0"/>
          </reference>
          <reference field="3" count="1" selected="0">
            <x v="19"/>
          </reference>
          <reference field="4" count="1" selected="0">
            <x v="114"/>
          </reference>
          <reference field="5" count="1" selected="0">
            <x v="918"/>
          </reference>
          <reference field="7" count="1">
            <x v="1203"/>
          </reference>
        </references>
      </pivotArea>
    </format>
    <format dxfId="2696">
      <pivotArea dataOnly="0" labelOnly="1" outline="0" fieldPosition="0">
        <references count="5">
          <reference field="0" count="1" selected="0">
            <x v="0"/>
          </reference>
          <reference field="3" count="1" selected="0">
            <x v="19"/>
          </reference>
          <reference field="4" count="1" selected="0">
            <x v="114"/>
          </reference>
          <reference field="5" count="1" selected="0">
            <x v="919"/>
          </reference>
          <reference field="7" count="1">
            <x v="871"/>
          </reference>
        </references>
      </pivotArea>
    </format>
    <format dxfId="2695">
      <pivotArea dataOnly="0" labelOnly="1" outline="0" fieldPosition="0">
        <references count="5">
          <reference field="0" count="1" selected="0">
            <x v="0"/>
          </reference>
          <reference field="3" count="1" selected="0">
            <x v="19"/>
          </reference>
          <reference field="4" count="1" selected="0">
            <x v="114"/>
          </reference>
          <reference field="5" count="1" selected="0">
            <x v="920"/>
          </reference>
          <reference field="7" count="1">
            <x v="1291"/>
          </reference>
        </references>
      </pivotArea>
    </format>
    <format dxfId="2694">
      <pivotArea dataOnly="0" labelOnly="1" outline="0" fieldPosition="0">
        <references count="5">
          <reference field="0" count="1" selected="0">
            <x v="0"/>
          </reference>
          <reference field="3" count="1" selected="0">
            <x v="19"/>
          </reference>
          <reference field="4" count="1" selected="0">
            <x v="114"/>
          </reference>
          <reference field="5" count="1" selected="0">
            <x v="934"/>
          </reference>
          <reference field="7" count="1">
            <x v="41"/>
          </reference>
        </references>
      </pivotArea>
    </format>
    <format dxfId="2693">
      <pivotArea dataOnly="0" labelOnly="1" outline="0" fieldPosition="0">
        <references count="5">
          <reference field="0" count="1" selected="0">
            <x v="0"/>
          </reference>
          <reference field="3" count="1" selected="0">
            <x v="19"/>
          </reference>
          <reference field="4" count="1" selected="0">
            <x v="114"/>
          </reference>
          <reference field="5" count="1" selected="0">
            <x v="935"/>
          </reference>
          <reference field="7" count="1">
            <x v="1194"/>
          </reference>
        </references>
      </pivotArea>
    </format>
    <format dxfId="2692">
      <pivotArea dataOnly="0" labelOnly="1" outline="0" fieldPosition="0">
        <references count="5">
          <reference field="0" count="1" selected="0">
            <x v="0"/>
          </reference>
          <reference field="3" count="1" selected="0">
            <x v="19"/>
          </reference>
          <reference field="4" count="1" selected="0">
            <x v="114"/>
          </reference>
          <reference field="5" count="1" selected="0">
            <x v="936"/>
          </reference>
          <reference field="7" count="1">
            <x v="787"/>
          </reference>
        </references>
      </pivotArea>
    </format>
    <format dxfId="2691">
      <pivotArea dataOnly="0" labelOnly="1" outline="0" fieldPosition="0">
        <references count="5">
          <reference field="0" count="1" selected="0">
            <x v="0"/>
          </reference>
          <reference field="3" count="1" selected="0">
            <x v="19"/>
          </reference>
          <reference field="4" count="1" selected="0">
            <x v="114"/>
          </reference>
          <reference field="5" count="1" selected="0">
            <x v="942"/>
          </reference>
          <reference field="7" count="1">
            <x v="858"/>
          </reference>
        </references>
      </pivotArea>
    </format>
    <format dxfId="2690">
      <pivotArea dataOnly="0" labelOnly="1" outline="0" fieldPosition="0">
        <references count="5">
          <reference field="0" count="1" selected="0">
            <x v="0"/>
          </reference>
          <reference field="3" count="1" selected="0">
            <x v="19"/>
          </reference>
          <reference field="4" count="1" selected="0">
            <x v="115"/>
          </reference>
          <reference field="5" count="1" selected="0">
            <x v="349"/>
          </reference>
          <reference field="7" count="1">
            <x v="117"/>
          </reference>
        </references>
      </pivotArea>
    </format>
    <format dxfId="2689">
      <pivotArea dataOnly="0" labelOnly="1" outline="0" fieldPosition="0">
        <references count="5">
          <reference field="0" count="1" selected="0">
            <x v="0"/>
          </reference>
          <reference field="3" count="1" selected="0">
            <x v="19"/>
          </reference>
          <reference field="4" count="1" selected="0">
            <x v="115"/>
          </reference>
          <reference field="5" count="1" selected="0">
            <x v="350"/>
          </reference>
          <reference field="7" count="1">
            <x v="1024"/>
          </reference>
        </references>
      </pivotArea>
    </format>
    <format dxfId="2688">
      <pivotArea dataOnly="0" labelOnly="1" outline="0" fieldPosition="0">
        <references count="5">
          <reference field="0" count="1" selected="0">
            <x v="0"/>
          </reference>
          <reference field="3" count="1" selected="0">
            <x v="19"/>
          </reference>
          <reference field="4" count="1" selected="0">
            <x v="115"/>
          </reference>
          <reference field="5" count="1" selected="0">
            <x v="387"/>
          </reference>
          <reference field="7" count="1">
            <x v="114"/>
          </reference>
        </references>
      </pivotArea>
    </format>
    <format dxfId="2687">
      <pivotArea dataOnly="0" labelOnly="1" outline="0" fieldPosition="0">
        <references count="5">
          <reference field="0" count="1" selected="0">
            <x v="0"/>
          </reference>
          <reference field="3" count="1" selected="0">
            <x v="19"/>
          </reference>
          <reference field="4" count="1" selected="0">
            <x v="116"/>
          </reference>
          <reference field="5" count="1" selected="0">
            <x v="41"/>
          </reference>
          <reference field="7" count="1">
            <x v="1434"/>
          </reference>
        </references>
      </pivotArea>
    </format>
    <format dxfId="2686">
      <pivotArea dataOnly="0" labelOnly="1" outline="0" fieldPosition="0">
        <references count="5">
          <reference field="0" count="1" selected="0">
            <x v="0"/>
          </reference>
          <reference field="3" count="1" selected="0">
            <x v="19"/>
          </reference>
          <reference field="4" count="1" selected="0">
            <x v="116"/>
          </reference>
          <reference field="5" count="1" selected="0">
            <x v="51"/>
          </reference>
          <reference field="7" count="1">
            <x v="1510"/>
          </reference>
        </references>
      </pivotArea>
    </format>
    <format dxfId="2685">
      <pivotArea dataOnly="0" labelOnly="1" outline="0" fieldPosition="0">
        <references count="5">
          <reference field="0" count="1" selected="0">
            <x v="0"/>
          </reference>
          <reference field="3" count="1" selected="0">
            <x v="19"/>
          </reference>
          <reference field="4" count="1" selected="0">
            <x v="116"/>
          </reference>
          <reference field="5" count="1" selected="0">
            <x v="92"/>
          </reference>
          <reference field="7" count="1">
            <x v="1457"/>
          </reference>
        </references>
      </pivotArea>
    </format>
    <format dxfId="2684">
      <pivotArea dataOnly="0" labelOnly="1" outline="0" fieldPosition="0">
        <references count="5">
          <reference field="0" count="1" selected="0">
            <x v="0"/>
          </reference>
          <reference field="3" count="1" selected="0">
            <x v="19"/>
          </reference>
          <reference field="4" count="1" selected="0">
            <x v="116"/>
          </reference>
          <reference field="5" count="1" selected="0">
            <x v="95"/>
          </reference>
          <reference field="7" count="1">
            <x v="665"/>
          </reference>
        </references>
      </pivotArea>
    </format>
    <format dxfId="2683">
      <pivotArea dataOnly="0" labelOnly="1" outline="0" fieldPosition="0">
        <references count="5">
          <reference field="0" count="1" selected="0">
            <x v="0"/>
          </reference>
          <reference field="3" count="1" selected="0">
            <x v="19"/>
          </reference>
          <reference field="4" count="1" selected="0">
            <x v="116"/>
          </reference>
          <reference field="5" count="1" selected="0">
            <x v="104"/>
          </reference>
          <reference field="7" count="1">
            <x v="1230"/>
          </reference>
        </references>
      </pivotArea>
    </format>
    <format dxfId="2682">
      <pivotArea dataOnly="0" labelOnly="1" outline="0" fieldPosition="0">
        <references count="5">
          <reference field="0" count="1" selected="0">
            <x v="0"/>
          </reference>
          <reference field="3" count="1" selected="0">
            <x v="19"/>
          </reference>
          <reference field="4" count="1" selected="0">
            <x v="116"/>
          </reference>
          <reference field="5" count="1" selected="0">
            <x v="105"/>
          </reference>
          <reference field="7" count="1">
            <x v="1596"/>
          </reference>
        </references>
      </pivotArea>
    </format>
    <format dxfId="2681">
      <pivotArea dataOnly="0" labelOnly="1" outline="0" fieldPosition="0">
        <references count="5">
          <reference field="0" count="1" selected="0">
            <x v="0"/>
          </reference>
          <reference field="3" count="1" selected="0">
            <x v="19"/>
          </reference>
          <reference field="4" count="1" selected="0">
            <x v="116"/>
          </reference>
          <reference field="5" count="1" selected="0">
            <x v="115"/>
          </reference>
          <reference field="7" count="1">
            <x v="1073"/>
          </reference>
        </references>
      </pivotArea>
    </format>
    <format dxfId="2680">
      <pivotArea dataOnly="0" labelOnly="1" outline="0" fieldPosition="0">
        <references count="5">
          <reference field="0" count="1" selected="0">
            <x v="0"/>
          </reference>
          <reference field="3" count="1" selected="0">
            <x v="19"/>
          </reference>
          <reference field="4" count="1" selected="0">
            <x v="116"/>
          </reference>
          <reference field="5" count="1" selected="0">
            <x v="122"/>
          </reference>
          <reference field="7" count="1">
            <x v="1097"/>
          </reference>
        </references>
      </pivotArea>
    </format>
    <format dxfId="2679">
      <pivotArea dataOnly="0" labelOnly="1" outline="0" fieldPosition="0">
        <references count="5">
          <reference field="0" count="1" selected="0">
            <x v="0"/>
          </reference>
          <reference field="3" count="1" selected="0">
            <x v="19"/>
          </reference>
          <reference field="4" count="1" selected="0">
            <x v="116"/>
          </reference>
          <reference field="5" count="1" selected="0">
            <x v="151"/>
          </reference>
          <reference field="7" count="1">
            <x v="980"/>
          </reference>
        </references>
      </pivotArea>
    </format>
    <format dxfId="2678">
      <pivotArea dataOnly="0" labelOnly="1" outline="0" fieldPosition="0">
        <references count="5">
          <reference field="0" count="1" selected="0">
            <x v="0"/>
          </reference>
          <reference field="3" count="1" selected="0">
            <x v="19"/>
          </reference>
          <reference field="4" count="1" selected="0">
            <x v="116"/>
          </reference>
          <reference field="5" count="1" selected="0">
            <x v="279"/>
          </reference>
          <reference field="7" count="1">
            <x v="752"/>
          </reference>
        </references>
      </pivotArea>
    </format>
    <format dxfId="2677">
      <pivotArea dataOnly="0" labelOnly="1" outline="0" fieldPosition="0">
        <references count="5">
          <reference field="0" count="1" selected="0">
            <x v="0"/>
          </reference>
          <reference field="3" count="1" selected="0">
            <x v="19"/>
          </reference>
          <reference field="4" count="1" selected="0">
            <x v="116"/>
          </reference>
          <reference field="5" count="1" selected="0">
            <x v="283"/>
          </reference>
          <reference field="7" count="1">
            <x v="756"/>
          </reference>
        </references>
      </pivotArea>
    </format>
    <format dxfId="2676">
      <pivotArea dataOnly="0" labelOnly="1" outline="0" fieldPosition="0">
        <references count="5">
          <reference field="0" count="1" selected="0">
            <x v="0"/>
          </reference>
          <reference field="3" count="1" selected="0">
            <x v="19"/>
          </reference>
          <reference field="4" count="1" selected="0">
            <x v="116"/>
          </reference>
          <reference field="5" count="1" selected="0">
            <x v="284"/>
          </reference>
          <reference field="7" count="1">
            <x v="749"/>
          </reference>
        </references>
      </pivotArea>
    </format>
    <format dxfId="2675">
      <pivotArea dataOnly="0" labelOnly="1" outline="0" fieldPosition="0">
        <references count="5">
          <reference field="0" count="1" selected="0">
            <x v="0"/>
          </reference>
          <reference field="3" count="1" selected="0">
            <x v="19"/>
          </reference>
          <reference field="4" count="1" selected="0">
            <x v="116"/>
          </reference>
          <reference field="5" count="1" selected="0">
            <x v="313"/>
          </reference>
          <reference field="7" count="1">
            <x v="1216"/>
          </reference>
        </references>
      </pivotArea>
    </format>
    <format dxfId="2674">
      <pivotArea dataOnly="0" labelOnly="1" outline="0" fieldPosition="0">
        <references count="5">
          <reference field="0" count="1" selected="0">
            <x v="0"/>
          </reference>
          <reference field="3" count="1" selected="0">
            <x v="19"/>
          </reference>
          <reference field="4" count="1" selected="0">
            <x v="116"/>
          </reference>
          <reference field="5" count="1" selected="0">
            <x v="322"/>
          </reference>
          <reference field="7" count="1">
            <x v="1403"/>
          </reference>
        </references>
      </pivotArea>
    </format>
    <format dxfId="2673">
      <pivotArea dataOnly="0" labelOnly="1" outline="0" fieldPosition="0">
        <references count="5">
          <reference field="0" count="1" selected="0">
            <x v="0"/>
          </reference>
          <reference field="3" count="1" selected="0">
            <x v="19"/>
          </reference>
          <reference field="4" count="1" selected="0">
            <x v="116"/>
          </reference>
          <reference field="5" count="1" selected="0">
            <x v="336"/>
          </reference>
          <reference field="7" count="1">
            <x v="1593"/>
          </reference>
        </references>
      </pivotArea>
    </format>
    <format dxfId="2672">
      <pivotArea dataOnly="0" labelOnly="1" outline="0" fieldPosition="0">
        <references count="5">
          <reference field="0" count="1" selected="0">
            <x v="0"/>
          </reference>
          <reference field="3" count="1" selected="0">
            <x v="19"/>
          </reference>
          <reference field="4" count="1" selected="0">
            <x v="116"/>
          </reference>
          <reference field="5" count="1" selected="0">
            <x v="927"/>
          </reference>
          <reference field="7" count="1">
            <x v="148"/>
          </reference>
        </references>
      </pivotArea>
    </format>
    <format dxfId="2671">
      <pivotArea dataOnly="0" labelOnly="1" outline="0" fieldPosition="0">
        <references count="5">
          <reference field="0" count="1" selected="0">
            <x v="0"/>
          </reference>
          <reference field="3" count="1" selected="0">
            <x v="19"/>
          </reference>
          <reference field="4" count="1" selected="0">
            <x v="116"/>
          </reference>
          <reference field="5" count="1" selected="0">
            <x v="937"/>
          </reference>
          <reference field="7" count="1">
            <x v="504"/>
          </reference>
        </references>
      </pivotArea>
    </format>
    <format dxfId="2670">
      <pivotArea dataOnly="0" labelOnly="1" outline="0" fieldPosition="0">
        <references count="5">
          <reference field="0" count="1" selected="0">
            <x v="0"/>
          </reference>
          <reference field="3" count="1" selected="0">
            <x v="19"/>
          </reference>
          <reference field="4" count="1" selected="0">
            <x v="116"/>
          </reference>
          <reference field="5" count="1" selected="0">
            <x v="938"/>
          </reference>
          <reference field="7" count="1">
            <x v="503"/>
          </reference>
        </references>
      </pivotArea>
    </format>
    <format dxfId="2669">
      <pivotArea dataOnly="0" labelOnly="1" outline="0" fieldPosition="0">
        <references count="5">
          <reference field="0" count="1" selected="0">
            <x v="0"/>
          </reference>
          <reference field="3" count="1" selected="0">
            <x v="19"/>
          </reference>
          <reference field="4" count="1" selected="0">
            <x v="116"/>
          </reference>
          <reference field="5" count="1" selected="0">
            <x v="939"/>
          </reference>
          <reference field="7" count="1">
            <x v="505"/>
          </reference>
        </references>
      </pivotArea>
    </format>
    <format dxfId="2668">
      <pivotArea dataOnly="0" labelOnly="1" outline="0" fieldPosition="0">
        <references count="5">
          <reference field="0" count="1" selected="0">
            <x v="0"/>
          </reference>
          <reference field="3" count="1" selected="0">
            <x v="19"/>
          </reference>
          <reference field="4" count="1" selected="0">
            <x v="116"/>
          </reference>
          <reference field="5" count="1" selected="0">
            <x v="940"/>
          </reference>
          <reference field="7" count="1">
            <x v="905"/>
          </reference>
        </references>
      </pivotArea>
    </format>
    <format dxfId="2667">
      <pivotArea dataOnly="0" labelOnly="1" outline="0" fieldPosition="0">
        <references count="5">
          <reference field="0" count="1" selected="0">
            <x v="0"/>
          </reference>
          <reference field="3" count="1" selected="0">
            <x v="19"/>
          </reference>
          <reference field="4" count="1" selected="0">
            <x v="116"/>
          </reference>
          <reference field="5" count="1" selected="0">
            <x v="941"/>
          </reference>
          <reference field="7" count="1">
            <x v="1554"/>
          </reference>
        </references>
      </pivotArea>
    </format>
    <format dxfId="2666">
      <pivotArea dataOnly="0" labelOnly="1" outline="0" fieldPosition="0">
        <references count="5">
          <reference field="0" count="1" selected="0">
            <x v="0"/>
          </reference>
          <reference field="3" count="1" selected="0">
            <x v="19"/>
          </reference>
          <reference field="4" count="1" selected="0">
            <x v="116"/>
          </reference>
          <reference field="5" count="1" selected="0">
            <x v="1623"/>
          </reference>
          <reference field="7" count="1">
            <x v="1359"/>
          </reference>
        </references>
      </pivotArea>
    </format>
    <format dxfId="2665">
      <pivotArea dataOnly="0" labelOnly="1" outline="0" fieldPosition="0">
        <references count="5">
          <reference field="0" count="1" selected="0">
            <x v="0"/>
          </reference>
          <reference field="3" count="1" selected="0">
            <x v="19"/>
          </reference>
          <reference field="4" count="1" selected="0">
            <x v="117"/>
          </reference>
          <reference field="5" count="1" selected="0">
            <x v="12"/>
          </reference>
          <reference field="7" count="1">
            <x v="1472"/>
          </reference>
        </references>
      </pivotArea>
    </format>
    <format dxfId="2664">
      <pivotArea dataOnly="0" labelOnly="1" outline="0" fieldPosition="0">
        <references count="5">
          <reference field="0" count="1" selected="0">
            <x v="0"/>
          </reference>
          <reference field="3" count="1" selected="0">
            <x v="19"/>
          </reference>
          <reference field="4" count="1" selected="0">
            <x v="117"/>
          </reference>
          <reference field="5" count="1" selected="0">
            <x v="58"/>
          </reference>
          <reference field="7" count="1">
            <x v="1394"/>
          </reference>
        </references>
      </pivotArea>
    </format>
    <format dxfId="2663">
      <pivotArea dataOnly="0" labelOnly="1" outline="0" fieldPosition="0">
        <references count="5">
          <reference field="0" count="1" selected="0">
            <x v="0"/>
          </reference>
          <reference field="3" count="1" selected="0">
            <x v="19"/>
          </reference>
          <reference field="4" count="1" selected="0">
            <x v="117"/>
          </reference>
          <reference field="5" count="1" selected="0">
            <x v="92"/>
          </reference>
          <reference field="7" count="1">
            <x v="1457"/>
          </reference>
        </references>
      </pivotArea>
    </format>
    <format dxfId="2662">
      <pivotArea dataOnly="0" labelOnly="1" outline="0" fieldPosition="0">
        <references count="5">
          <reference field="0" count="1" selected="0">
            <x v="0"/>
          </reference>
          <reference field="3" count="1" selected="0">
            <x v="19"/>
          </reference>
          <reference field="4" count="1" selected="0">
            <x v="117"/>
          </reference>
          <reference field="5" count="1" selected="0">
            <x v="141"/>
          </reference>
          <reference field="7" count="1">
            <x v="597"/>
          </reference>
        </references>
      </pivotArea>
    </format>
    <format dxfId="2661">
      <pivotArea dataOnly="0" labelOnly="1" outline="0" fieldPosition="0">
        <references count="5">
          <reference field="0" count="1" selected="0">
            <x v="0"/>
          </reference>
          <reference field="3" count="1" selected="0">
            <x v="19"/>
          </reference>
          <reference field="4" count="1" selected="0">
            <x v="117"/>
          </reference>
          <reference field="5" count="1" selected="0">
            <x v="191"/>
          </reference>
          <reference field="7" count="1">
            <x v="1283"/>
          </reference>
        </references>
      </pivotArea>
    </format>
    <format dxfId="2660">
      <pivotArea dataOnly="0" labelOnly="1" outline="0" fieldPosition="0">
        <references count="5">
          <reference field="0" count="1" selected="0">
            <x v="0"/>
          </reference>
          <reference field="3" count="1" selected="0">
            <x v="19"/>
          </reference>
          <reference field="4" count="1" selected="0">
            <x v="117"/>
          </reference>
          <reference field="5" count="1" selected="0">
            <x v="198"/>
          </reference>
          <reference field="7" count="1">
            <x v="1067"/>
          </reference>
        </references>
      </pivotArea>
    </format>
    <format dxfId="2659">
      <pivotArea dataOnly="0" labelOnly="1" outline="0" fieldPosition="0">
        <references count="5">
          <reference field="0" count="1" selected="0">
            <x v="0"/>
          </reference>
          <reference field="3" count="1" selected="0">
            <x v="19"/>
          </reference>
          <reference field="4" count="1" selected="0">
            <x v="117"/>
          </reference>
          <reference field="5" count="1" selected="0">
            <x v="215"/>
          </reference>
          <reference field="7" count="1">
            <x v="975"/>
          </reference>
        </references>
      </pivotArea>
    </format>
    <format dxfId="2658">
      <pivotArea dataOnly="0" labelOnly="1" outline="0" fieldPosition="0">
        <references count="5">
          <reference field="0" count="1" selected="0">
            <x v="0"/>
          </reference>
          <reference field="3" count="1" selected="0">
            <x v="19"/>
          </reference>
          <reference field="4" count="1" selected="0">
            <x v="117"/>
          </reference>
          <reference field="5" count="1" selected="0">
            <x v="278"/>
          </reference>
          <reference field="7" count="1">
            <x v="751"/>
          </reference>
        </references>
      </pivotArea>
    </format>
    <format dxfId="2657">
      <pivotArea dataOnly="0" labelOnly="1" outline="0" fieldPosition="0">
        <references count="5">
          <reference field="0" count="1" selected="0">
            <x v="0"/>
          </reference>
          <reference field="3" count="1" selected="0">
            <x v="19"/>
          </reference>
          <reference field="4" count="1" selected="0">
            <x v="117"/>
          </reference>
          <reference field="5" count="1" selected="0">
            <x v="283"/>
          </reference>
          <reference field="7" count="1">
            <x v="756"/>
          </reference>
        </references>
      </pivotArea>
    </format>
    <format dxfId="2656">
      <pivotArea dataOnly="0" labelOnly="1" outline="0" fieldPosition="0">
        <references count="5">
          <reference field="0" count="1" selected="0">
            <x v="0"/>
          </reference>
          <reference field="3" count="1" selected="0">
            <x v="19"/>
          </reference>
          <reference field="4" count="1" selected="0">
            <x v="117"/>
          </reference>
          <reference field="5" count="1" selected="0">
            <x v="406"/>
          </reference>
          <reference field="7" count="1">
            <x v="895"/>
          </reference>
        </references>
      </pivotArea>
    </format>
    <format dxfId="2655">
      <pivotArea dataOnly="0" labelOnly="1" outline="0" fieldPosition="0">
        <references count="5">
          <reference field="0" count="1" selected="0">
            <x v="0"/>
          </reference>
          <reference field="3" count="1" selected="0">
            <x v="19"/>
          </reference>
          <reference field="4" count="1" selected="0">
            <x v="117"/>
          </reference>
          <reference field="5" count="1" selected="0">
            <x v="407"/>
          </reference>
          <reference field="7" count="1">
            <x v="0"/>
          </reference>
        </references>
      </pivotArea>
    </format>
    <format dxfId="2654">
      <pivotArea dataOnly="0" labelOnly="1" outline="0" fieldPosition="0">
        <references count="5">
          <reference field="0" count="1" selected="0">
            <x v="0"/>
          </reference>
          <reference field="3" count="1" selected="0">
            <x v="19"/>
          </reference>
          <reference field="4" count="1" selected="0">
            <x v="117"/>
          </reference>
          <reference field="5" count="1" selected="0">
            <x v="409"/>
          </reference>
          <reference field="7" count="1">
            <x v="672"/>
          </reference>
        </references>
      </pivotArea>
    </format>
    <format dxfId="2653">
      <pivotArea dataOnly="0" labelOnly="1" outline="0" fieldPosition="0">
        <references count="5">
          <reference field="0" count="1" selected="0">
            <x v="0"/>
          </reference>
          <reference field="3" count="1" selected="0">
            <x v="19"/>
          </reference>
          <reference field="4" count="1" selected="0">
            <x v="117"/>
          </reference>
          <reference field="5" count="1" selected="0">
            <x v="916"/>
          </reference>
          <reference field="7" count="1">
            <x v="225"/>
          </reference>
        </references>
      </pivotArea>
    </format>
    <format dxfId="2652">
      <pivotArea dataOnly="0" labelOnly="1" outline="0" fieldPosition="0">
        <references count="5">
          <reference field="0" count="1" selected="0">
            <x v="0"/>
          </reference>
          <reference field="3" count="1" selected="0">
            <x v="19"/>
          </reference>
          <reference field="4" count="1" selected="0">
            <x v="117"/>
          </reference>
          <reference field="5" count="1" selected="0">
            <x v="922"/>
          </reference>
          <reference field="7" count="1">
            <x v="872"/>
          </reference>
        </references>
      </pivotArea>
    </format>
    <format dxfId="2651">
      <pivotArea dataOnly="0" labelOnly="1" outline="0" fieldPosition="0">
        <references count="5">
          <reference field="0" count="1" selected="0">
            <x v="0"/>
          </reference>
          <reference field="3" count="1" selected="0">
            <x v="19"/>
          </reference>
          <reference field="4" count="1" selected="0">
            <x v="117"/>
          </reference>
          <reference field="5" count="1" selected="0">
            <x v="923"/>
          </reference>
          <reference field="7" count="1">
            <x v="1298"/>
          </reference>
        </references>
      </pivotArea>
    </format>
    <format dxfId="2650">
      <pivotArea dataOnly="0" labelOnly="1" outline="0" fieldPosition="0">
        <references count="5">
          <reference field="0" count="1" selected="0">
            <x v="0"/>
          </reference>
          <reference field="3" count="1" selected="0">
            <x v="19"/>
          </reference>
          <reference field="4" count="1" selected="0">
            <x v="117"/>
          </reference>
          <reference field="5" count="1" selected="0">
            <x v="924"/>
          </reference>
          <reference field="7" count="1">
            <x v="1011"/>
          </reference>
        </references>
      </pivotArea>
    </format>
    <format dxfId="2649">
      <pivotArea dataOnly="0" labelOnly="1" outline="0" fieldPosition="0">
        <references count="5">
          <reference field="0" count="1" selected="0">
            <x v="0"/>
          </reference>
          <reference field="3" count="1" selected="0">
            <x v="19"/>
          </reference>
          <reference field="4" count="1" selected="0">
            <x v="117"/>
          </reference>
          <reference field="5" count="1" selected="0">
            <x v="925"/>
          </reference>
          <reference field="7" count="1">
            <x v="748"/>
          </reference>
        </references>
      </pivotArea>
    </format>
    <format dxfId="2648">
      <pivotArea dataOnly="0" labelOnly="1" outline="0" fieldPosition="0">
        <references count="5">
          <reference field="0" count="1" selected="0">
            <x v="0"/>
          </reference>
          <reference field="3" count="1" selected="0">
            <x v="19"/>
          </reference>
          <reference field="4" count="1" selected="0">
            <x v="117"/>
          </reference>
          <reference field="5" count="1" selected="0">
            <x v="926"/>
          </reference>
          <reference field="7" count="1">
            <x v="1342"/>
          </reference>
        </references>
      </pivotArea>
    </format>
    <format dxfId="2647">
      <pivotArea dataOnly="0" labelOnly="1" outline="0" fieldPosition="0">
        <references count="5">
          <reference field="0" count="1" selected="0">
            <x v="0"/>
          </reference>
          <reference field="3" count="1" selected="0">
            <x v="19"/>
          </reference>
          <reference field="4" count="1" selected="0">
            <x v="117"/>
          </reference>
          <reference field="5" count="1" selected="0">
            <x v="928"/>
          </reference>
          <reference field="7" count="1">
            <x v="1343"/>
          </reference>
        </references>
      </pivotArea>
    </format>
    <format dxfId="2646">
      <pivotArea dataOnly="0" labelOnly="1" outline="0" fieldPosition="0">
        <references count="5">
          <reference field="0" count="1" selected="0">
            <x v="0"/>
          </reference>
          <reference field="3" count="1" selected="0">
            <x v="19"/>
          </reference>
          <reference field="4" count="1" selected="0">
            <x v="118"/>
          </reference>
          <reference field="5" count="1" selected="0">
            <x v="15"/>
          </reference>
          <reference field="7" count="1">
            <x v="372"/>
          </reference>
        </references>
      </pivotArea>
    </format>
    <format dxfId="2645">
      <pivotArea dataOnly="0" labelOnly="1" outline="0" fieldPosition="0">
        <references count="5">
          <reference field="0" count="1" selected="0">
            <x v="0"/>
          </reference>
          <reference field="3" count="1" selected="0">
            <x v="19"/>
          </reference>
          <reference field="4" count="1" selected="0">
            <x v="118"/>
          </reference>
          <reference field="5" count="1" selected="0">
            <x v="63"/>
          </reference>
          <reference field="7" count="1">
            <x v="1214"/>
          </reference>
        </references>
      </pivotArea>
    </format>
    <format dxfId="2644">
      <pivotArea dataOnly="0" labelOnly="1" outline="0" fieldPosition="0">
        <references count="5">
          <reference field="0" count="1" selected="0">
            <x v="0"/>
          </reference>
          <reference field="3" count="1" selected="0">
            <x v="19"/>
          </reference>
          <reference field="4" count="1" selected="0">
            <x v="118"/>
          </reference>
          <reference field="5" count="1" selected="0">
            <x v="64"/>
          </reference>
          <reference field="7" count="1">
            <x v="1213"/>
          </reference>
        </references>
      </pivotArea>
    </format>
    <format dxfId="2643">
      <pivotArea dataOnly="0" labelOnly="1" outline="0" fieldPosition="0">
        <references count="5">
          <reference field="0" count="1" selected="0">
            <x v="0"/>
          </reference>
          <reference field="3" count="1" selected="0">
            <x v="19"/>
          </reference>
          <reference field="4" count="1" selected="0">
            <x v="118"/>
          </reference>
          <reference field="5" count="1" selected="0">
            <x v="66"/>
          </reference>
          <reference field="7" count="1">
            <x v="1212"/>
          </reference>
        </references>
      </pivotArea>
    </format>
    <format dxfId="2642">
      <pivotArea dataOnly="0" labelOnly="1" outline="0" fieldPosition="0">
        <references count="5">
          <reference field="0" count="1" selected="0">
            <x v="0"/>
          </reference>
          <reference field="3" count="1" selected="0">
            <x v="19"/>
          </reference>
          <reference field="4" count="1" selected="0">
            <x v="118"/>
          </reference>
          <reference field="5" count="1" selected="0">
            <x v="68"/>
          </reference>
          <reference field="7" count="1">
            <x v="353"/>
          </reference>
        </references>
      </pivotArea>
    </format>
    <format dxfId="2641">
      <pivotArea dataOnly="0" labelOnly="1" outline="0" fieldPosition="0">
        <references count="5">
          <reference field="0" count="1" selected="0">
            <x v="0"/>
          </reference>
          <reference field="3" count="1" selected="0">
            <x v="19"/>
          </reference>
          <reference field="4" count="1" selected="0">
            <x v="118"/>
          </reference>
          <reference field="5" count="1" selected="0">
            <x v="79"/>
          </reference>
          <reference field="7" count="1">
            <x v="1219"/>
          </reference>
        </references>
      </pivotArea>
    </format>
    <format dxfId="2640">
      <pivotArea dataOnly="0" labelOnly="1" outline="0" fieldPosition="0">
        <references count="5">
          <reference field="0" count="1" selected="0">
            <x v="0"/>
          </reference>
          <reference field="3" count="1" selected="0">
            <x v="19"/>
          </reference>
          <reference field="4" count="1" selected="0">
            <x v="118"/>
          </reference>
          <reference field="5" count="1" selected="0">
            <x v="80"/>
          </reference>
          <reference field="7" count="1">
            <x v="354"/>
          </reference>
        </references>
      </pivotArea>
    </format>
    <format dxfId="2639">
      <pivotArea dataOnly="0" labelOnly="1" outline="0" fieldPosition="0">
        <references count="5">
          <reference field="0" count="1" selected="0">
            <x v="0"/>
          </reference>
          <reference field="3" count="1" selected="0">
            <x v="19"/>
          </reference>
          <reference field="4" count="1" selected="0">
            <x v="118"/>
          </reference>
          <reference field="5" count="1" selected="0">
            <x v="92"/>
          </reference>
          <reference field="7" count="1">
            <x v="1457"/>
          </reference>
        </references>
      </pivotArea>
    </format>
    <format dxfId="2638">
      <pivotArea dataOnly="0" labelOnly="1" outline="0" fieldPosition="0">
        <references count="5">
          <reference field="0" count="1" selected="0">
            <x v="0"/>
          </reference>
          <reference field="3" count="1" selected="0">
            <x v="19"/>
          </reference>
          <reference field="4" count="1" selected="0">
            <x v="118"/>
          </reference>
          <reference field="5" count="1" selected="0">
            <x v="99"/>
          </reference>
          <reference field="7" count="1">
            <x v="1398"/>
          </reference>
        </references>
      </pivotArea>
    </format>
    <format dxfId="2637">
      <pivotArea dataOnly="0" labelOnly="1" outline="0" fieldPosition="0">
        <references count="5">
          <reference field="0" count="1" selected="0">
            <x v="0"/>
          </reference>
          <reference field="3" count="1" selected="0">
            <x v="19"/>
          </reference>
          <reference field="4" count="1" selected="0">
            <x v="118"/>
          </reference>
          <reference field="5" count="1" selected="0">
            <x v="123"/>
          </reference>
          <reference field="7" count="1">
            <x v="1069"/>
          </reference>
        </references>
      </pivotArea>
    </format>
    <format dxfId="2636">
      <pivotArea dataOnly="0" labelOnly="1" outline="0" fieldPosition="0">
        <references count="5">
          <reference field="0" count="1" selected="0">
            <x v="0"/>
          </reference>
          <reference field="3" count="1" selected="0">
            <x v="19"/>
          </reference>
          <reference field="4" count="1" selected="0">
            <x v="118"/>
          </reference>
          <reference field="5" count="1" selected="0">
            <x v="128"/>
          </reference>
          <reference field="7" count="1">
            <x v="1223"/>
          </reference>
        </references>
      </pivotArea>
    </format>
    <format dxfId="2635">
      <pivotArea dataOnly="0" labelOnly="1" outline="0" fieldPosition="0">
        <references count="5">
          <reference field="0" count="1" selected="0">
            <x v="0"/>
          </reference>
          <reference field="3" count="1" selected="0">
            <x v="19"/>
          </reference>
          <reference field="4" count="1" selected="0">
            <x v="118"/>
          </reference>
          <reference field="5" count="1" selected="0">
            <x v="144"/>
          </reference>
          <reference field="7" count="1">
            <x v="969"/>
          </reference>
        </references>
      </pivotArea>
    </format>
    <format dxfId="2634">
      <pivotArea dataOnly="0" labelOnly="1" outline="0" fieldPosition="0">
        <references count="5">
          <reference field="0" count="1" selected="0">
            <x v="0"/>
          </reference>
          <reference field="3" count="1" selected="0">
            <x v="19"/>
          </reference>
          <reference field="4" count="1" selected="0">
            <x v="118"/>
          </reference>
          <reference field="5" count="1" selected="0">
            <x v="146"/>
          </reference>
          <reference field="7" count="1">
            <x v="1587"/>
          </reference>
        </references>
      </pivotArea>
    </format>
    <format dxfId="2633">
      <pivotArea dataOnly="0" labelOnly="1" outline="0" fieldPosition="0">
        <references count="5">
          <reference field="0" count="1" selected="0">
            <x v="0"/>
          </reference>
          <reference field="3" count="1" selected="0">
            <x v="19"/>
          </reference>
          <reference field="4" count="1" selected="0">
            <x v="118"/>
          </reference>
          <reference field="5" count="1" selected="0">
            <x v="150"/>
          </reference>
          <reference field="7" count="1">
            <x v="1284"/>
          </reference>
        </references>
      </pivotArea>
    </format>
    <format dxfId="2632">
      <pivotArea dataOnly="0" labelOnly="1" outline="0" fieldPosition="0">
        <references count="5">
          <reference field="0" count="1" selected="0">
            <x v="0"/>
          </reference>
          <reference field="3" count="1" selected="0">
            <x v="19"/>
          </reference>
          <reference field="4" count="1" selected="0">
            <x v="118"/>
          </reference>
          <reference field="5" count="1" selected="0">
            <x v="161"/>
          </reference>
          <reference field="7" count="1">
            <x v="1079"/>
          </reference>
        </references>
      </pivotArea>
    </format>
    <format dxfId="2631">
      <pivotArea dataOnly="0" labelOnly="1" outline="0" fieldPosition="0">
        <references count="5">
          <reference field="0" count="1" selected="0">
            <x v="0"/>
          </reference>
          <reference field="3" count="1" selected="0">
            <x v="19"/>
          </reference>
          <reference field="4" count="1" selected="0">
            <x v="118"/>
          </reference>
          <reference field="5" count="1" selected="0">
            <x v="191"/>
          </reference>
          <reference field="7" count="1">
            <x v="1283"/>
          </reference>
        </references>
      </pivotArea>
    </format>
    <format dxfId="2630">
      <pivotArea dataOnly="0" labelOnly="1" outline="0" fieldPosition="0">
        <references count="5">
          <reference field="0" count="1" selected="0">
            <x v="0"/>
          </reference>
          <reference field="3" count="1" selected="0">
            <x v="19"/>
          </reference>
          <reference field="4" count="1" selected="0">
            <x v="118"/>
          </reference>
          <reference field="5" count="1" selected="0">
            <x v="194"/>
          </reference>
          <reference field="7" count="1">
            <x v="602"/>
          </reference>
        </references>
      </pivotArea>
    </format>
    <format dxfId="2629">
      <pivotArea dataOnly="0" labelOnly="1" outline="0" fieldPosition="0">
        <references count="5">
          <reference field="0" count="1" selected="0">
            <x v="0"/>
          </reference>
          <reference field="3" count="1" selected="0">
            <x v="19"/>
          </reference>
          <reference field="4" count="1" selected="0">
            <x v="118"/>
          </reference>
          <reference field="5" count="1" selected="0">
            <x v="197"/>
          </reference>
          <reference field="7" count="1">
            <x v="1068"/>
          </reference>
        </references>
      </pivotArea>
    </format>
    <format dxfId="2628">
      <pivotArea dataOnly="0" labelOnly="1" outline="0" fieldPosition="0">
        <references count="5">
          <reference field="0" count="1" selected="0">
            <x v="0"/>
          </reference>
          <reference field="3" count="1" selected="0">
            <x v="19"/>
          </reference>
          <reference field="4" count="1" selected="0">
            <x v="118"/>
          </reference>
          <reference field="5" count="1" selected="0">
            <x v="198"/>
          </reference>
          <reference field="7" count="1">
            <x v="1067"/>
          </reference>
        </references>
      </pivotArea>
    </format>
    <format dxfId="2627">
      <pivotArea dataOnly="0" labelOnly="1" outline="0" fieldPosition="0">
        <references count="5">
          <reference field="0" count="1" selected="0">
            <x v="0"/>
          </reference>
          <reference field="3" count="1" selected="0">
            <x v="19"/>
          </reference>
          <reference field="4" count="1" selected="0">
            <x v="118"/>
          </reference>
          <reference field="5" count="1" selected="0">
            <x v="239"/>
          </reference>
          <reference field="7" count="1">
            <x v="1584"/>
          </reference>
        </references>
      </pivotArea>
    </format>
    <format dxfId="2626">
      <pivotArea dataOnly="0" labelOnly="1" outline="0" fieldPosition="0">
        <references count="5">
          <reference field="0" count="1" selected="0">
            <x v="0"/>
          </reference>
          <reference field="3" count="1" selected="0">
            <x v="19"/>
          </reference>
          <reference field="4" count="1" selected="0">
            <x v="118"/>
          </reference>
          <reference field="5" count="1" selected="0">
            <x v="259"/>
          </reference>
          <reference field="7" count="1">
            <x v="968"/>
          </reference>
        </references>
      </pivotArea>
    </format>
    <format dxfId="2625">
      <pivotArea dataOnly="0" labelOnly="1" outline="0" fieldPosition="0">
        <references count="5">
          <reference field="0" count="1" selected="0">
            <x v="0"/>
          </reference>
          <reference field="3" count="1" selected="0">
            <x v="19"/>
          </reference>
          <reference field="4" count="1" selected="0">
            <x v="118"/>
          </reference>
          <reference field="5" count="1" selected="0">
            <x v="260"/>
          </reference>
          <reference field="7" count="1">
            <x v="976"/>
          </reference>
        </references>
      </pivotArea>
    </format>
    <format dxfId="2624">
      <pivotArea dataOnly="0" labelOnly="1" outline="0" fieldPosition="0">
        <references count="5">
          <reference field="0" count="1" selected="0">
            <x v="0"/>
          </reference>
          <reference field="3" count="1" selected="0">
            <x v="19"/>
          </reference>
          <reference field="4" count="1" selected="0">
            <x v="118"/>
          </reference>
          <reference field="5" count="1" selected="0">
            <x v="263"/>
          </reference>
          <reference field="7" count="1">
            <x v="652"/>
          </reference>
        </references>
      </pivotArea>
    </format>
    <format dxfId="2623">
      <pivotArea dataOnly="0" labelOnly="1" outline="0" fieldPosition="0">
        <references count="5">
          <reference field="0" count="1" selected="0">
            <x v="0"/>
          </reference>
          <reference field="3" count="1" selected="0">
            <x v="19"/>
          </reference>
          <reference field="4" count="1" selected="0">
            <x v="118"/>
          </reference>
          <reference field="5" count="1" selected="0">
            <x v="264"/>
          </reference>
          <reference field="7" count="1">
            <x v="653"/>
          </reference>
        </references>
      </pivotArea>
    </format>
    <format dxfId="2622">
      <pivotArea dataOnly="0" labelOnly="1" outline="0" fieldPosition="0">
        <references count="5">
          <reference field="0" count="1" selected="0">
            <x v="0"/>
          </reference>
          <reference field="3" count="1" selected="0">
            <x v="19"/>
          </reference>
          <reference field="4" count="1" selected="0">
            <x v="118"/>
          </reference>
          <reference field="5" count="1" selected="0">
            <x v="276"/>
          </reference>
          <reference field="7" count="1">
            <x v="1415"/>
          </reference>
        </references>
      </pivotArea>
    </format>
    <format dxfId="2621">
      <pivotArea dataOnly="0" labelOnly="1" outline="0" fieldPosition="0">
        <references count="5">
          <reference field="0" count="1" selected="0">
            <x v="0"/>
          </reference>
          <reference field="3" count="1" selected="0">
            <x v="19"/>
          </reference>
          <reference field="4" count="1" selected="0">
            <x v="118"/>
          </reference>
          <reference field="5" count="1" selected="0">
            <x v="277"/>
          </reference>
          <reference field="7" count="1">
            <x v="1416"/>
          </reference>
        </references>
      </pivotArea>
    </format>
    <format dxfId="2620">
      <pivotArea dataOnly="0" labelOnly="1" outline="0" fieldPosition="0">
        <references count="5">
          <reference field="0" count="1" selected="0">
            <x v="0"/>
          </reference>
          <reference field="3" count="1" selected="0">
            <x v="19"/>
          </reference>
          <reference field="4" count="1" selected="0">
            <x v="118"/>
          </reference>
          <reference field="5" count="1" selected="0">
            <x v="278"/>
          </reference>
          <reference field="7" count="1">
            <x v="751"/>
          </reference>
        </references>
      </pivotArea>
    </format>
    <format dxfId="2619">
      <pivotArea dataOnly="0" labelOnly="1" outline="0" fieldPosition="0">
        <references count="5">
          <reference field="0" count="1" selected="0">
            <x v="0"/>
          </reference>
          <reference field="3" count="1" selected="0">
            <x v="19"/>
          </reference>
          <reference field="4" count="1" selected="0">
            <x v="118"/>
          </reference>
          <reference field="5" count="1" selected="0">
            <x v="279"/>
          </reference>
          <reference field="7" count="1">
            <x v="752"/>
          </reference>
        </references>
      </pivotArea>
    </format>
    <format dxfId="2618">
      <pivotArea dataOnly="0" labelOnly="1" outline="0" fieldPosition="0">
        <references count="5">
          <reference field="0" count="1" selected="0">
            <x v="0"/>
          </reference>
          <reference field="3" count="1" selected="0">
            <x v="19"/>
          </reference>
          <reference field="4" count="1" selected="0">
            <x v="118"/>
          </reference>
          <reference field="5" count="1" selected="0">
            <x v="281"/>
          </reference>
          <reference field="7" count="1">
            <x v="754"/>
          </reference>
        </references>
      </pivotArea>
    </format>
    <format dxfId="2617">
      <pivotArea dataOnly="0" labelOnly="1" outline="0" fieldPosition="0">
        <references count="5">
          <reference field="0" count="1" selected="0">
            <x v="0"/>
          </reference>
          <reference field="3" count="1" selected="0">
            <x v="19"/>
          </reference>
          <reference field="4" count="1" selected="0">
            <x v="118"/>
          </reference>
          <reference field="5" count="1" selected="0">
            <x v="321"/>
          </reference>
          <reference field="7" count="1">
            <x v="1400"/>
          </reference>
        </references>
      </pivotArea>
    </format>
    <format dxfId="2616">
      <pivotArea dataOnly="0" labelOnly="1" outline="0" fieldPosition="0">
        <references count="5">
          <reference field="0" count="1" selected="0">
            <x v="0"/>
          </reference>
          <reference field="3" count="1" selected="0">
            <x v="19"/>
          </reference>
          <reference field="4" count="1" selected="0">
            <x v="118"/>
          </reference>
          <reference field="5" count="1" selected="0">
            <x v="909"/>
          </reference>
          <reference field="7" count="1">
            <x v="269"/>
          </reference>
        </references>
      </pivotArea>
    </format>
    <format dxfId="2615">
      <pivotArea dataOnly="0" labelOnly="1" outline="0" fieldPosition="0">
        <references count="5">
          <reference field="0" count="1" selected="0">
            <x v="0"/>
          </reference>
          <reference field="3" count="1" selected="0">
            <x v="19"/>
          </reference>
          <reference field="4" count="1" selected="0">
            <x v="118"/>
          </reference>
          <reference field="5" count="1" selected="0">
            <x v="921"/>
          </reference>
          <reference field="7" count="1">
            <x v="1204"/>
          </reference>
        </references>
      </pivotArea>
    </format>
    <format dxfId="2614">
      <pivotArea dataOnly="0" labelOnly="1" outline="0" fieldPosition="0">
        <references count="5">
          <reference field="0" count="1" selected="0">
            <x v="0"/>
          </reference>
          <reference field="3" count="1" selected="0">
            <x v="19"/>
          </reference>
          <reference field="4" count="1" selected="0">
            <x v="118"/>
          </reference>
          <reference field="5" count="1" selected="0">
            <x v="929"/>
          </reference>
          <reference field="7" count="1">
            <x v="924"/>
          </reference>
        </references>
      </pivotArea>
    </format>
    <format dxfId="2613">
      <pivotArea dataOnly="0" labelOnly="1" outline="0" fieldPosition="0">
        <references count="5">
          <reference field="0" count="1" selected="0">
            <x v="0"/>
          </reference>
          <reference field="3" count="1" selected="0">
            <x v="19"/>
          </reference>
          <reference field="4" count="1" selected="0">
            <x v="118"/>
          </reference>
          <reference field="5" count="1" selected="0">
            <x v="930"/>
          </reference>
          <reference field="7" count="1">
            <x v="1286"/>
          </reference>
        </references>
      </pivotArea>
    </format>
    <format dxfId="2612">
      <pivotArea dataOnly="0" labelOnly="1" outline="0" fieldPosition="0">
        <references count="5">
          <reference field="0" count="1" selected="0">
            <x v="0"/>
          </reference>
          <reference field="3" count="1" selected="0">
            <x v="19"/>
          </reference>
          <reference field="4" count="1" selected="0">
            <x v="118"/>
          </reference>
          <reference field="5" count="1" selected="0">
            <x v="931"/>
          </reference>
          <reference field="7" count="1">
            <x v="926"/>
          </reference>
        </references>
      </pivotArea>
    </format>
    <format dxfId="2611">
      <pivotArea dataOnly="0" labelOnly="1" outline="0" fieldPosition="0">
        <references count="5">
          <reference field="0" count="1" selected="0">
            <x v="0"/>
          </reference>
          <reference field="3" count="1" selected="0">
            <x v="19"/>
          </reference>
          <reference field="4" count="1" selected="0">
            <x v="118"/>
          </reference>
          <reference field="5" count="1" selected="0">
            <x v="932"/>
          </reference>
          <reference field="7" count="1">
            <x v="925"/>
          </reference>
        </references>
      </pivotArea>
    </format>
    <format dxfId="2610">
      <pivotArea dataOnly="0" labelOnly="1" outline="0" fieldPosition="0">
        <references count="5">
          <reference field="0" count="1" selected="0">
            <x v="0"/>
          </reference>
          <reference field="3" count="1" selected="0">
            <x v="19"/>
          </reference>
          <reference field="4" count="1" selected="0">
            <x v="118"/>
          </reference>
          <reference field="5" count="1" selected="0">
            <x v="933"/>
          </reference>
          <reference field="7" count="1">
            <x v="436"/>
          </reference>
        </references>
      </pivotArea>
    </format>
    <format dxfId="2609">
      <pivotArea dataOnly="0" labelOnly="1" outline="0" fieldPosition="0">
        <references count="5">
          <reference field="0" count="1" selected="0">
            <x v="0"/>
          </reference>
          <reference field="3" count="1" selected="0">
            <x v="19"/>
          </reference>
          <reference field="4" count="1" selected="0">
            <x v="177"/>
          </reference>
          <reference field="5" count="1" selected="0">
            <x v="853"/>
          </reference>
          <reference field="7" count="1">
            <x v="484"/>
          </reference>
        </references>
      </pivotArea>
    </format>
    <format dxfId="2608">
      <pivotArea dataOnly="0" labelOnly="1" outline="0" fieldPosition="0">
        <references count="5">
          <reference field="0" count="1" selected="0">
            <x v="0"/>
          </reference>
          <reference field="3" count="1" selected="0">
            <x v="19"/>
          </reference>
          <reference field="4" count="1" selected="0">
            <x v="177"/>
          </reference>
          <reference field="5" count="1" selected="0">
            <x v="854"/>
          </reference>
          <reference field="7" count="1">
            <x v="488"/>
          </reference>
        </references>
      </pivotArea>
    </format>
    <format dxfId="2607">
      <pivotArea dataOnly="0" labelOnly="1" outline="0" fieldPosition="0">
        <references count="5">
          <reference field="0" count="1" selected="0">
            <x v="0"/>
          </reference>
          <reference field="3" count="1" selected="0">
            <x v="19"/>
          </reference>
          <reference field="4" count="1" selected="0">
            <x v="177"/>
          </reference>
          <reference field="5" count="1" selected="0">
            <x v="855"/>
          </reference>
          <reference field="7" count="1">
            <x v="486"/>
          </reference>
        </references>
      </pivotArea>
    </format>
    <format dxfId="2606">
      <pivotArea dataOnly="0" labelOnly="1" outline="0" fieldPosition="0">
        <references count="5">
          <reference field="0" count="1" selected="0">
            <x v="0"/>
          </reference>
          <reference field="3" count="1" selected="0">
            <x v="19"/>
          </reference>
          <reference field="4" count="1" selected="0">
            <x v="177"/>
          </reference>
          <reference field="5" count="1" selected="0">
            <x v="856"/>
          </reference>
          <reference field="7" count="1">
            <x v="485"/>
          </reference>
        </references>
      </pivotArea>
    </format>
    <format dxfId="2605">
      <pivotArea dataOnly="0" labelOnly="1" outline="0" fieldPosition="0">
        <references count="5">
          <reference field="0" count="1" selected="0">
            <x v="0"/>
          </reference>
          <reference field="3" count="1" selected="0">
            <x v="19"/>
          </reference>
          <reference field="4" count="1" selected="0">
            <x v="177"/>
          </reference>
          <reference field="5" count="1" selected="0">
            <x v="857"/>
          </reference>
          <reference field="7" count="1">
            <x v="487"/>
          </reference>
        </references>
      </pivotArea>
    </format>
    <format dxfId="2604">
      <pivotArea dataOnly="0" labelOnly="1" outline="0" fieldPosition="0">
        <references count="5">
          <reference field="0" count="1" selected="0">
            <x v="0"/>
          </reference>
          <reference field="3" count="1" selected="0">
            <x v="19"/>
          </reference>
          <reference field="4" count="1" selected="0">
            <x v="177"/>
          </reference>
          <reference field="5" count="1" selected="0">
            <x v="858"/>
          </reference>
          <reference field="7" count="1">
            <x v="483"/>
          </reference>
        </references>
      </pivotArea>
    </format>
    <format dxfId="2603">
      <pivotArea dataOnly="0" labelOnly="1" outline="0" fieldPosition="0">
        <references count="5">
          <reference field="0" count="1" selected="0">
            <x v="0"/>
          </reference>
          <reference field="3" count="1" selected="0">
            <x v="19"/>
          </reference>
          <reference field="4" count="1" selected="0">
            <x v="202"/>
          </reference>
          <reference field="5" count="1" selected="0">
            <x v="869"/>
          </reference>
          <reference field="7" count="1">
            <x v="1016"/>
          </reference>
        </references>
      </pivotArea>
    </format>
    <format dxfId="2602">
      <pivotArea dataOnly="0" labelOnly="1" outline="0" fieldPosition="0">
        <references count="5">
          <reference field="0" count="1" selected="0">
            <x v="0"/>
          </reference>
          <reference field="3" count="1" selected="0">
            <x v="19"/>
          </reference>
          <reference field="4" count="1" selected="0">
            <x v="202"/>
          </reference>
          <reference field="5" count="1" selected="0">
            <x v="870"/>
          </reference>
          <reference field="7" count="1">
            <x v="1017"/>
          </reference>
        </references>
      </pivotArea>
    </format>
    <format dxfId="2601">
      <pivotArea dataOnly="0" labelOnly="1" outline="0" fieldPosition="0">
        <references count="5">
          <reference field="0" count="1" selected="0">
            <x v="0"/>
          </reference>
          <reference field="3" count="1" selected="0">
            <x v="19"/>
          </reference>
          <reference field="4" count="1" selected="0">
            <x v="202"/>
          </reference>
          <reference field="5" count="1" selected="0">
            <x v="871"/>
          </reference>
          <reference field="7" count="1">
            <x v="1018"/>
          </reference>
        </references>
      </pivotArea>
    </format>
    <format dxfId="2600">
      <pivotArea dataOnly="0" labelOnly="1" outline="0" fieldPosition="0">
        <references count="5">
          <reference field="0" count="1" selected="0">
            <x v="0"/>
          </reference>
          <reference field="3" count="1" selected="0">
            <x v="19"/>
          </reference>
          <reference field="4" count="1" selected="0">
            <x v="202"/>
          </reference>
          <reference field="5" count="1" selected="0">
            <x v="872"/>
          </reference>
          <reference field="7" count="1">
            <x v="1019"/>
          </reference>
        </references>
      </pivotArea>
    </format>
    <format dxfId="2599">
      <pivotArea dataOnly="0" labelOnly="1" outline="0" fieldPosition="0">
        <references count="5">
          <reference field="0" count="1" selected="0">
            <x v="0"/>
          </reference>
          <reference field="3" count="1" selected="0">
            <x v="19"/>
          </reference>
          <reference field="4" count="1" selected="0">
            <x v="216"/>
          </reference>
          <reference field="5" count="1" selected="0">
            <x v="56"/>
          </reference>
          <reference field="7" count="1">
            <x v="801"/>
          </reference>
        </references>
      </pivotArea>
    </format>
    <format dxfId="2598">
      <pivotArea dataOnly="0" labelOnly="1" outline="0" fieldPosition="0">
        <references count="5">
          <reference field="0" count="1" selected="0">
            <x v="0"/>
          </reference>
          <reference field="3" count="1" selected="0">
            <x v="19"/>
          </reference>
          <reference field="4" count="1" selected="0">
            <x v="216"/>
          </reference>
          <reference field="5" count="1" selected="0">
            <x v="105"/>
          </reference>
          <reference field="7" count="1">
            <x v="1596"/>
          </reference>
        </references>
      </pivotArea>
    </format>
    <format dxfId="2597">
      <pivotArea dataOnly="0" labelOnly="1" outline="0" fieldPosition="0">
        <references count="5">
          <reference field="0" count="1" selected="0">
            <x v="0"/>
          </reference>
          <reference field="3" count="1" selected="0">
            <x v="19"/>
          </reference>
          <reference field="4" count="1" selected="0">
            <x v="216"/>
          </reference>
          <reference field="5" count="1" selected="0">
            <x v="129"/>
          </reference>
          <reference field="7" count="1">
            <x v="1598"/>
          </reference>
        </references>
      </pivotArea>
    </format>
    <format dxfId="2596">
      <pivotArea dataOnly="0" labelOnly="1" outline="0" fieldPosition="0">
        <references count="5">
          <reference field="0" count="1" selected="0">
            <x v="0"/>
          </reference>
          <reference field="3" count="1" selected="0">
            <x v="19"/>
          </reference>
          <reference field="4" count="1" selected="0">
            <x v="216"/>
          </reference>
          <reference field="5" count="1" selected="0">
            <x v="187"/>
          </reference>
          <reference field="7" count="1">
            <x v="682"/>
          </reference>
        </references>
      </pivotArea>
    </format>
    <format dxfId="2595">
      <pivotArea dataOnly="0" labelOnly="1" outline="0" fieldPosition="0">
        <references count="5">
          <reference field="0" count="1" selected="0">
            <x v="0"/>
          </reference>
          <reference field="3" count="1" selected="0">
            <x v="19"/>
          </reference>
          <reference field="4" count="1" selected="0">
            <x v="216"/>
          </reference>
          <reference field="5" count="1" selected="0">
            <x v="215"/>
          </reference>
          <reference field="7" count="1">
            <x v="975"/>
          </reference>
        </references>
      </pivotArea>
    </format>
    <format dxfId="2594">
      <pivotArea dataOnly="0" labelOnly="1" outline="0" fieldPosition="0">
        <references count="5">
          <reference field="0" count="1" selected="0">
            <x v="0"/>
          </reference>
          <reference field="3" count="1" selected="0">
            <x v="19"/>
          </reference>
          <reference field="4" count="1" selected="0">
            <x v="216"/>
          </reference>
          <reference field="5" count="1" selected="0">
            <x v="246"/>
          </reference>
          <reference field="7" count="1">
            <x v="686"/>
          </reference>
        </references>
      </pivotArea>
    </format>
    <format dxfId="2593">
      <pivotArea dataOnly="0" labelOnly="1" outline="0" fieldPosition="0">
        <references count="5">
          <reference field="0" count="1" selected="0">
            <x v="0"/>
          </reference>
          <reference field="3" count="1" selected="0">
            <x v="19"/>
          </reference>
          <reference field="4" count="1" selected="0">
            <x v="216"/>
          </reference>
          <reference field="5" count="1" selected="0">
            <x v="260"/>
          </reference>
          <reference field="7" count="1">
            <x v="976"/>
          </reference>
        </references>
      </pivotArea>
    </format>
    <format dxfId="2592">
      <pivotArea dataOnly="0" labelOnly="1" outline="0" fieldPosition="0">
        <references count="5">
          <reference field="0" count="1" selected="0">
            <x v="0"/>
          </reference>
          <reference field="3" count="1" selected="0">
            <x v="19"/>
          </reference>
          <reference field="4" count="1" selected="0">
            <x v="216"/>
          </reference>
          <reference field="5" count="1" selected="0">
            <x v="272"/>
          </reference>
          <reference field="7" count="1">
            <x v="598"/>
          </reference>
        </references>
      </pivotArea>
    </format>
    <format dxfId="2591">
      <pivotArea dataOnly="0" labelOnly="1" outline="0" fieldPosition="0">
        <references count="5">
          <reference field="0" count="1" selected="0">
            <x v="0"/>
          </reference>
          <reference field="3" count="1" selected="0">
            <x v="19"/>
          </reference>
          <reference field="4" count="1" selected="0">
            <x v="216"/>
          </reference>
          <reference field="5" count="1" selected="0">
            <x v="331"/>
          </reference>
          <reference field="7" count="1">
            <x v="1591"/>
          </reference>
        </references>
      </pivotArea>
    </format>
    <format dxfId="2590">
      <pivotArea dataOnly="0" labelOnly="1" outline="0" fieldPosition="0">
        <references count="5">
          <reference field="0" count="1" selected="0">
            <x v="0"/>
          </reference>
          <reference field="3" count="1" selected="0">
            <x v="19"/>
          </reference>
          <reference field="4" count="1" selected="0">
            <x v="216"/>
          </reference>
          <reference field="5" count="1" selected="0">
            <x v="332"/>
          </reference>
          <reference field="7" count="1">
            <x v="1597"/>
          </reference>
        </references>
      </pivotArea>
    </format>
    <format dxfId="2589">
      <pivotArea dataOnly="0" labelOnly="1" outline="0" fieldPosition="0">
        <references count="5">
          <reference field="0" count="1" selected="0">
            <x v="0"/>
          </reference>
          <reference field="3" count="1" selected="0">
            <x v="19"/>
          </reference>
          <reference field="4" count="1" selected="0">
            <x v="216"/>
          </reference>
          <reference field="5" count="1" selected="0">
            <x v="337"/>
          </reference>
          <reference field="7" count="1">
            <x v="370"/>
          </reference>
        </references>
      </pivotArea>
    </format>
    <format dxfId="2588">
      <pivotArea dataOnly="0" labelOnly="1" outline="0" fieldPosition="0">
        <references count="5">
          <reference field="0" count="1" selected="0">
            <x v="0"/>
          </reference>
          <reference field="3" count="1" selected="0">
            <x v="19"/>
          </reference>
          <reference field="4" count="1" selected="0">
            <x v="216"/>
          </reference>
          <reference field="5" count="1" selected="0">
            <x v="375"/>
          </reference>
          <reference field="7" count="1">
            <x v="1615"/>
          </reference>
        </references>
      </pivotArea>
    </format>
    <format dxfId="2587">
      <pivotArea dataOnly="0" labelOnly="1" outline="0" fieldPosition="0">
        <references count="5">
          <reference field="0" count="1" selected="0">
            <x v="0"/>
          </reference>
          <reference field="3" count="1" selected="0">
            <x v="19"/>
          </reference>
          <reference field="4" count="1" selected="0">
            <x v="216"/>
          </reference>
          <reference field="5" count="1" selected="0">
            <x v="851"/>
          </reference>
          <reference field="7" count="1">
            <x v="149"/>
          </reference>
        </references>
      </pivotArea>
    </format>
    <format dxfId="2586">
      <pivotArea dataOnly="0" labelOnly="1" outline="0" fieldPosition="0">
        <references count="5">
          <reference field="0" count="1" selected="0">
            <x v="0"/>
          </reference>
          <reference field="3" count="1" selected="0">
            <x v="19"/>
          </reference>
          <reference field="4" count="1" selected="0">
            <x v="216"/>
          </reference>
          <reference field="5" count="1" selected="0">
            <x v="879"/>
          </reference>
          <reference field="7" count="1">
            <x v="1560"/>
          </reference>
        </references>
      </pivotArea>
    </format>
    <format dxfId="2585">
      <pivotArea dataOnly="0" labelOnly="1" outline="0" fieldPosition="0">
        <references count="5">
          <reference field="0" count="1" selected="0">
            <x v="0"/>
          </reference>
          <reference field="3" count="1" selected="0">
            <x v="19"/>
          </reference>
          <reference field="4" count="1" selected="0">
            <x v="216"/>
          </reference>
          <reference field="5" count="1" selected="0">
            <x v="886"/>
          </reference>
          <reference field="7" count="1">
            <x v="1299"/>
          </reference>
        </references>
      </pivotArea>
    </format>
    <format dxfId="2584">
      <pivotArea dataOnly="0" labelOnly="1" outline="0" fieldPosition="0">
        <references count="5">
          <reference field="0" count="1" selected="0">
            <x v="0"/>
          </reference>
          <reference field="3" count="1" selected="0">
            <x v="19"/>
          </reference>
          <reference field="4" count="1" selected="0">
            <x v="216"/>
          </reference>
          <reference field="5" count="1" selected="0">
            <x v="887"/>
          </reference>
          <reference field="7" count="1">
            <x v="1288"/>
          </reference>
        </references>
      </pivotArea>
    </format>
    <format dxfId="2583">
      <pivotArea dataOnly="0" labelOnly="1" outline="0" fieldPosition="0">
        <references count="5">
          <reference field="0" count="1" selected="0">
            <x v="0"/>
          </reference>
          <reference field="3" count="1" selected="0">
            <x v="19"/>
          </reference>
          <reference field="4" count="1" selected="0">
            <x v="216"/>
          </reference>
          <reference field="5" count="1" selected="0">
            <x v="965"/>
          </reference>
          <reference field="7" count="1">
            <x v="451"/>
          </reference>
        </references>
      </pivotArea>
    </format>
    <format dxfId="2582">
      <pivotArea dataOnly="0" labelOnly="1" outline="0" fieldPosition="0">
        <references count="5">
          <reference field="0" count="1" selected="0">
            <x v="0"/>
          </reference>
          <reference field="3" count="1" selected="0">
            <x v="19"/>
          </reference>
          <reference field="4" count="1" selected="0">
            <x v="216"/>
          </reference>
          <reference field="5" count="1" selected="0">
            <x v="966"/>
          </reference>
          <reference field="7" count="1">
            <x v="452"/>
          </reference>
        </references>
      </pivotArea>
    </format>
    <format dxfId="2581">
      <pivotArea dataOnly="0" labelOnly="1" outline="0" fieldPosition="0">
        <references count="5">
          <reference field="0" count="1" selected="0">
            <x v="0"/>
          </reference>
          <reference field="3" count="1" selected="0">
            <x v="19"/>
          </reference>
          <reference field="4" count="1" selected="0">
            <x v="216"/>
          </reference>
          <reference field="5" count="1" selected="0">
            <x v="967"/>
          </reference>
          <reference field="7" count="1">
            <x v="454"/>
          </reference>
        </references>
      </pivotArea>
    </format>
    <format dxfId="2580">
      <pivotArea dataOnly="0" labelOnly="1" outline="0" fieldPosition="0">
        <references count="5">
          <reference field="0" count="1" selected="0">
            <x v="0"/>
          </reference>
          <reference field="3" count="1" selected="0">
            <x v="19"/>
          </reference>
          <reference field="4" count="1" selected="0">
            <x v="216"/>
          </reference>
          <reference field="5" count="1" selected="0">
            <x v="968"/>
          </reference>
          <reference field="7" count="1">
            <x v="455"/>
          </reference>
        </references>
      </pivotArea>
    </format>
    <format dxfId="2579">
      <pivotArea dataOnly="0" labelOnly="1" outline="0" fieldPosition="0">
        <references count="5">
          <reference field="0" count="1" selected="0">
            <x v="0"/>
          </reference>
          <reference field="3" count="1" selected="0">
            <x v="19"/>
          </reference>
          <reference field="4" count="1" selected="0">
            <x v="216"/>
          </reference>
          <reference field="5" count="1" selected="0">
            <x v="969"/>
          </reference>
          <reference field="7" count="1">
            <x v="458"/>
          </reference>
        </references>
      </pivotArea>
    </format>
    <format dxfId="2578">
      <pivotArea dataOnly="0" labelOnly="1" outline="0" fieldPosition="0">
        <references count="5">
          <reference field="0" count="1" selected="0">
            <x v="0"/>
          </reference>
          <reference field="3" count="1" selected="0">
            <x v="19"/>
          </reference>
          <reference field="4" count="1" selected="0">
            <x v="216"/>
          </reference>
          <reference field="5" count="1" selected="0">
            <x v="970"/>
          </reference>
          <reference field="7" count="1">
            <x v="459"/>
          </reference>
        </references>
      </pivotArea>
    </format>
    <format dxfId="2577">
      <pivotArea dataOnly="0" labelOnly="1" outline="0" fieldPosition="0">
        <references count="5">
          <reference field="0" count="1" selected="0">
            <x v="0"/>
          </reference>
          <reference field="3" count="1" selected="0">
            <x v="19"/>
          </reference>
          <reference field="4" count="1" selected="0">
            <x v="216"/>
          </reference>
          <reference field="5" count="1" selected="0">
            <x v="971"/>
          </reference>
          <reference field="7" count="1">
            <x v="461"/>
          </reference>
        </references>
      </pivotArea>
    </format>
    <format dxfId="2576">
      <pivotArea dataOnly="0" labelOnly="1" outline="0" fieldPosition="0">
        <references count="5">
          <reference field="0" count="1" selected="0">
            <x v="0"/>
          </reference>
          <reference field="3" count="1" selected="0">
            <x v="19"/>
          </reference>
          <reference field="4" count="1" selected="0">
            <x v="216"/>
          </reference>
          <reference field="5" count="1" selected="0">
            <x v="972"/>
          </reference>
          <reference field="7" count="1">
            <x v="462"/>
          </reference>
        </references>
      </pivotArea>
    </format>
    <format dxfId="2575">
      <pivotArea dataOnly="0" labelOnly="1" outline="0" fieldPosition="0">
        <references count="5">
          <reference field="0" count="1" selected="0">
            <x v="0"/>
          </reference>
          <reference field="3" count="1" selected="0">
            <x v="19"/>
          </reference>
          <reference field="4" count="1" selected="0">
            <x v="216"/>
          </reference>
          <reference field="5" count="1" selected="0">
            <x v="973"/>
          </reference>
          <reference field="7" count="1">
            <x v="460"/>
          </reference>
        </references>
      </pivotArea>
    </format>
    <format dxfId="2574">
      <pivotArea dataOnly="0" labelOnly="1" outline="0" fieldPosition="0">
        <references count="5">
          <reference field="0" count="1" selected="0">
            <x v="0"/>
          </reference>
          <reference field="3" count="1" selected="0">
            <x v="19"/>
          </reference>
          <reference field="4" count="1" selected="0">
            <x v="216"/>
          </reference>
          <reference field="5" count="1" selected="0">
            <x v="974"/>
          </reference>
          <reference field="7" count="1">
            <x v="463"/>
          </reference>
        </references>
      </pivotArea>
    </format>
    <format dxfId="2573">
      <pivotArea dataOnly="0" labelOnly="1" outline="0" fieldPosition="0">
        <references count="5">
          <reference field="0" count="1" selected="0">
            <x v="0"/>
          </reference>
          <reference field="3" count="1" selected="0">
            <x v="19"/>
          </reference>
          <reference field="4" count="1" selected="0">
            <x v="216"/>
          </reference>
          <reference field="5" count="1" selected="0">
            <x v="975"/>
          </reference>
          <reference field="7" count="1">
            <x v="456"/>
          </reference>
        </references>
      </pivotArea>
    </format>
    <format dxfId="2572">
      <pivotArea dataOnly="0" labelOnly="1" outline="0" fieldPosition="0">
        <references count="5">
          <reference field="0" count="1" selected="0">
            <x v="0"/>
          </reference>
          <reference field="3" count="1" selected="0">
            <x v="20"/>
          </reference>
          <reference field="4" count="1" selected="0">
            <x v="128"/>
          </reference>
          <reference field="5" count="1" selected="0">
            <x v="53"/>
          </reference>
          <reference field="7" count="1">
            <x v="30"/>
          </reference>
        </references>
      </pivotArea>
    </format>
    <format dxfId="2571">
      <pivotArea dataOnly="0" labelOnly="1" outline="0" fieldPosition="0">
        <references count="5">
          <reference field="0" count="1" selected="0">
            <x v="0"/>
          </reference>
          <reference field="3" count="1" selected="0">
            <x v="20"/>
          </reference>
          <reference field="4" count="1" selected="0">
            <x v="128"/>
          </reference>
          <reference field="5" count="1" selected="0">
            <x v="107"/>
          </reference>
          <reference field="7" count="1">
            <x v="1602"/>
          </reference>
        </references>
      </pivotArea>
    </format>
    <format dxfId="2570">
      <pivotArea dataOnly="0" labelOnly="1" outline="0" fieldPosition="0">
        <references count="5">
          <reference field="0" count="1" selected="0">
            <x v="0"/>
          </reference>
          <reference field="3" count="1" selected="0">
            <x v="20"/>
          </reference>
          <reference field="4" count="1" selected="0">
            <x v="128"/>
          </reference>
          <reference field="5" count="1" selected="0">
            <x v="323"/>
          </reference>
          <reference field="7" count="1">
            <x v="25"/>
          </reference>
        </references>
      </pivotArea>
    </format>
    <format dxfId="2569">
      <pivotArea dataOnly="0" labelOnly="1" outline="0" fieldPosition="0">
        <references count="5">
          <reference field="0" count="1" selected="0">
            <x v="0"/>
          </reference>
          <reference field="3" count="1" selected="0">
            <x v="20"/>
          </reference>
          <reference field="4" count="1" selected="0">
            <x v="128"/>
          </reference>
          <reference field="5" count="1" selected="0">
            <x v="1035"/>
          </reference>
          <reference field="7" count="1">
            <x v="291"/>
          </reference>
        </references>
      </pivotArea>
    </format>
    <format dxfId="2568">
      <pivotArea dataOnly="0" labelOnly="1" outline="0" fieldPosition="0">
        <references count="5">
          <reference field="0" count="1" selected="0">
            <x v="0"/>
          </reference>
          <reference field="3" count="1" selected="0">
            <x v="20"/>
          </reference>
          <reference field="4" count="1" selected="0">
            <x v="129"/>
          </reference>
          <reference field="5" count="1" selected="0">
            <x v="60"/>
          </reference>
          <reference field="7" count="1">
            <x v="919"/>
          </reference>
        </references>
      </pivotArea>
    </format>
    <format dxfId="2567">
      <pivotArea dataOnly="0" labelOnly="1" outline="0" fieldPosition="0">
        <references count="5">
          <reference field="0" count="1" selected="0">
            <x v="0"/>
          </reference>
          <reference field="3" count="1" selected="0">
            <x v="20"/>
          </reference>
          <reference field="4" count="1" selected="0">
            <x v="129"/>
          </reference>
          <reference field="5" count="1" selected="0">
            <x v="153"/>
          </reference>
          <reference field="7" count="1">
            <x v="1013"/>
          </reference>
        </references>
      </pivotArea>
    </format>
    <format dxfId="2566">
      <pivotArea dataOnly="0" labelOnly="1" outline="0" fieldPosition="0">
        <references count="5">
          <reference field="0" count="1" selected="0">
            <x v="0"/>
          </reference>
          <reference field="3" count="1" selected="0">
            <x v="20"/>
          </reference>
          <reference field="4" count="1" selected="0">
            <x v="129"/>
          </reference>
          <reference field="5" count="1" selected="0">
            <x v="208"/>
          </reference>
          <reference field="7" count="1">
            <x v="680"/>
          </reference>
        </references>
      </pivotArea>
    </format>
    <format dxfId="2565">
      <pivotArea dataOnly="0" labelOnly="1" outline="0" fieldPosition="0">
        <references count="5">
          <reference field="0" count="1" selected="0">
            <x v="0"/>
          </reference>
          <reference field="3" count="1" selected="0">
            <x v="20"/>
          </reference>
          <reference field="4" count="1" selected="0">
            <x v="129"/>
          </reference>
          <reference field="5" count="1" selected="0">
            <x v="228"/>
          </reference>
          <reference field="7" count="1">
            <x v="571"/>
          </reference>
        </references>
      </pivotArea>
    </format>
    <format dxfId="2564">
      <pivotArea dataOnly="0" labelOnly="1" outline="0" fieldPosition="0">
        <references count="5">
          <reference field="0" count="1" selected="0">
            <x v="0"/>
          </reference>
          <reference field="3" count="1" selected="0">
            <x v="20"/>
          </reference>
          <reference field="4" count="1" selected="0">
            <x v="129"/>
          </reference>
          <reference field="5" count="1" selected="0">
            <x v="288"/>
          </reference>
          <reference field="7" count="1">
            <x v="38"/>
          </reference>
        </references>
      </pivotArea>
    </format>
    <format dxfId="2563">
      <pivotArea dataOnly="0" labelOnly="1" outline="0" fieldPosition="0">
        <references count="5">
          <reference field="0" count="1" selected="0">
            <x v="0"/>
          </reference>
          <reference field="3" count="1" selected="0">
            <x v="20"/>
          </reference>
          <reference field="4" count="1" selected="0">
            <x v="129"/>
          </reference>
          <reference field="5" count="1" selected="0">
            <x v="296"/>
          </reference>
          <reference field="7" count="1">
            <x v="981"/>
          </reference>
        </references>
      </pivotArea>
    </format>
    <format dxfId="2562">
      <pivotArea dataOnly="0" labelOnly="1" outline="0" fieldPosition="0">
        <references count="5">
          <reference field="0" count="1" selected="0">
            <x v="0"/>
          </reference>
          <reference field="3" count="1" selected="0">
            <x v="20"/>
          </reference>
          <reference field="4" count="1" selected="0">
            <x v="129"/>
          </reference>
          <reference field="5" count="1" selected="0">
            <x v="300"/>
          </reference>
          <reference field="7" count="1">
            <x v="985"/>
          </reference>
        </references>
      </pivotArea>
    </format>
    <format dxfId="2561">
      <pivotArea dataOnly="0" labelOnly="1" outline="0" fieldPosition="0">
        <references count="5">
          <reference field="0" count="1" selected="0">
            <x v="0"/>
          </reference>
          <reference field="3" count="1" selected="0">
            <x v="20"/>
          </reference>
          <reference field="4" count="1" selected="0">
            <x v="129"/>
          </reference>
          <reference field="5" count="1" selected="0">
            <x v="301"/>
          </reference>
          <reference field="7" count="1">
            <x v="1618"/>
          </reference>
        </references>
      </pivotArea>
    </format>
    <format dxfId="2560">
      <pivotArea dataOnly="0" labelOnly="1" outline="0" fieldPosition="0">
        <references count="5">
          <reference field="0" count="1" selected="0">
            <x v="0"/>
          </reference>
          <reference field="3" count="1" selected="0">
            <x v="20"/>
          </reference>
          <reference field="4" count="1" selected="0">
            <x v="129"/>
          </reference>
          <reference field="5" count="1" selected="0">
            <x v="1038"/>
          </reference>
          <reference field="7" count="1">
            <x v="615"/>
          </reference>
        </references>
      </pivotArea>
    </format>
    <format dxfId="2559">
      <pivotArea dataOnly="0" labelOnly="1" outline="0" fieldPosition="0">
        <references count="5">
          <reference field="0" count="1" selected="0">
            <x v="0"/>
          </reference>
          <reference field="3" count="1" selected="0">
            <x v="20"/>
          </reference>
          <reference field="4" count="1" selected="0">
            <x v="129"/>
          </reference>
          <reference field="5" count="1" selected="0">
            <x v="1039"/>
          </reference>
          <reference field="7" count="1">
            <x v="616"/>
          </reference>
        </references>
      </pivotArea>
    </format>
    <format dxfId="2558">
      <pivotArea dataOnly="0" labelOnly="1" outline="0" fieldPosition="0">
        <references count="5">
          <reference field="0" count="1" selected="0">
            <x v="0"/>
          </reference>
          <reference field="3" count="1" selected="0">
            <x v="20"/>
          </reference>
          <reference field="4" count="1" selected="0">
            <x v="129"/>
          </reference>
          <reference field="5" count="1" selected="0">
            <x v="1047"/>
          </reference>
          <reference field="7" count="1">
            <x v="157"/>
          </reference>
        </references>
      </pivotArea>
    </format>
    <format dxfId="2557">
      <pivotArea dataOnly="0" labelOnly="1" outline="0" fieldPosition="0">
        <references count="5">
          <reference field="0" count="1" selected="0">
            <x v="0"/>
          </reference>
          <reference field="3" count="1" selected="0">
            <x v="20"/>
          </reference>
          <reference field="4" count="1" selected="0">
            <x v="130"/>
          </reference>
          <reference field="5" count="1" selected="0">
            <x v="54"/>
          </reference>
          <reference field="7" count="1">
            <x v="35"/>
          </reference>
        </references>
      </pivotArea>
    </format>
    <format dxfId="2556">
      <pivotArea dataOnly="0" labelOnly="1" outline="0" fieldPosition="0">
        <references count="5">
          <reference field="0" count="1" selected="0">
            <x v="0"/>
          </reference>
          <reference field="3" count="1" selected="0">
            <x v="20"/>
          </reference>
          <reference field="4" count="1" selected="0">
            <x v="130"/>
          </reference>
          <reference field="5" count="1" selected="0">
            <x v="1040"/>
          </reference>
          <reference field="7" count="1">
            <x v="164"/>
          </reference>
        </references>
      </pivotArea>
    </format>
    <format dxfId="2555">
      <pivotArea dataOnly="0" labelOnly="1" outline="0" fieldPosition="0">
        <references count="5">
          <reference field="0" count="1" selected="0">
            <x v="0"/>
          </reference>
          <reference field="3" count="1" selected="0">
            <x v="20"/>
          </reference>
          <reference field="4" count="1" selected="0">
            <x v="130"/>
          </reference>
          <reference field="5" count="1" selected="0">
            <x v="1041"/>
          </reference>
          <reference field="7" count="1">
            <x v="1218"/>
          </reference>
        </references>
      </pivotArea>
    </format>
    <format dxfId="2554">
      <pivotArea dataOnly="0" labelOnly="1" outline="0" fieldPosition="0">
        <references count="5">
          <reference field="0" count="1" selected="0">
            <x v="0"/>
          </reference>
          <reference field="3" count="1" selected="0">
            <x v="20"/>
          </reference>
          <reference field="4" count="1" selected="0">
            <x v="131"/>
          </reference>
          <reference field="5" count="1" selected="0">
            <x v="153"/>
          </reference>
          <reference field="7" count="1">
            <x v="1013"/>
          </reference>
        </references>
      </pivotArea>
    </format>
    <format dxfId="2553">
      <pivotArea dataOnly="0" labelOnly="1" outline="0" fieldPosition="0">
        <references count="5">
          <reference field="0" count="1" selected="0">
            <x v="0"/>
          </reference>
          <reference field="3" count="1" selected="0">
            <x v="20"/>
          </reference>
          <reference field="4" count="1" selected="0">
            <x v="131"/>
          </reference>
          <reference field="5" count="1" selected="0">
            <x v="208"/>
          </reference>
          <reference field="7" count="1">
            <x v="680"/>
          </reference>
        </references>
      </pivotArea>
    </format>
    <format dxfId="2552">
      <pivotArea dataOnly="0" labelOnly="1" outline="0" fieldPosition="0">
        <references count="5">
          <reference field="0" count="1" selected="0">
            <x v="0"/>
          </reference>
          <reference field="3" count="1" selected="0">
            <x v="20"/>
          </reference>
          <reference field="4" count="1" selected="0">
            <x v="131"/>
          </reference>
          <reference field="5" count="1" selected="0">
            <x v="1042"/>
          </reference>
          <reference field="7" count="1">
            <x v="308"/>
          </reference>
        </references>
      </pivotArea>
    </format>
    <format dxfId="2551">
      <pivotArea dataOnly="0" labelOnly="1" outline="0" fieldPosition="0">
        <references count="5">
          <reference field="0" count="1" selected="0">
            <x v="0"/>
          </reference>
          <reference field="3" count="1" selected="0">
            <x v="20"/>
          </reference>
          <reference field="4" count="1" selected="0">
            <x v="131"/>
          </reference>
          <reference field="5" count="1" selected="0">
            <x v="1043"/>
          </reference>
          <reference field="7" count="1">
            <x v="1221"/>
          </reference>
        </references>
      </pivotArea>
    </format>
    <format dxfId="2550">
      <pivotArea dataOnly="0" labelOnly="1" outline="0" fieldPosition="0">
        <references count="5">
          <reference field="0" count="1" selected="0">
            <x v="0"/>
          </reference>
          <reference field="3" count="1" selected="0">
            <x v="20"/>
          </reference>
          <reference field="4" count="1" selected="0">
            <x v="132"/>
          </reference>
          <reference field="5" count="1" selected="0">
            <x v="53"/>
          </reference>
          <reference field="7" count="1">
            <x v="30"/>
          </reference>
        </references>
      </pivotArea>
    </format>
    <format dxfId="2549">
      <pivotArea dataOnly="0" labelOnly="1" outline="0" fieldPosition="0">
        <references count="5">
          <reference field="0" count="1" selected="0">
            <x v="0"/>
          </reference>
          <reference field="3" count="1" selected="0">
            <x v="20"/>
          </reference>
          <reference field="4" count="1" selected="0">
            <x v="132"/>
          </reference>
          <reference field="5" count="1" selected="0">
            <x v="107"/>
          </reference>
          <reference field="7" count="1">
            <x v="1602"/>
          </reference>
        </references>
      </pivotArea>
    </format>
    <format dxfId="2548">
      <pivotArea dataOnly="0" labelOnly="1" outline="0" fieldPosition="0">
        <references count="5">
          <reference field="0" count="1" selected="0">
            <x v="0"/>
          </reference>
          <reference field="3" count="1" selected="0">
            <x v="20"/>
          </reference>
          <reference field="4" count="1" selected="0">
            <x v="132"/>
          </reference>
          <reference field="5" count="1" selected="0">
            <x v="1044"/>
          </reference>
          <reference field="7" count="1">
            <x v="1217"/>
          </reference>
        </references>
      </pivotArea>
    </format>
    <format dxfId="2547">
      <pivotArea dataOnly="0" labelOnly="1" outline="0" fieldPosition="0">
        <references count="5">
          <reference field="0" count="1" selected="0">
            <x v="0"/>
          </reference>
          <reference field="3" count="1" selected="0">
            <x v="20"/>
          </reference>
          <reference field="4" count="1" selected="0">
            <x v="132"/>
          </reference>
          <reference field="5" count="1" selected="0">
            <x v="1048"/>
          </reference>
          <reference field="7" count="1">
            <x v="258"/>
          </reference>
        </references>
      </pivotArea>
    </format>
    <format dxfId="2546">
      <pivotArea dataOnly="0" labelOnly="1" outline="0" fieldPosition="0">
        <references count="5">
          <reference field="0" count="1" selected="0">
            <x v="0"/>
          </reference>
          <reference field="3" count="1" selected="0">
            <x v="20"/>
          </reference>
          <reference field="4" count="1" selected="0">
            <x v="133"/>
          </reference>
          <reference field="5" count="1" selected="0">
            <x v="50"/>
          </reference>
          <reference field="7" count="1">
            <x v="36"/>
          </reference>
        </references>
      </pivotArea>
    </format>
    <format dxfId="2545">
      <pivotArea dataOnly="0" labelOnly="1" outline="0" fieldPosition="0">
        <references count="5">
          <reference field="0" count="1" selected="0">
            <x v="0"/>
          </reference>
          <reference field="3" count="1" selected="0">
            <x v="20"/>
          </reference>
          <reference field="4" count="1" selected="0">
            <x v="133"/>
          </reference>
          <reference field="5" count="1" selected="0">
            <x v="60"/>
          </reference>
          <reference field="7" count="1">
            <x v="919"/>
          </reference>
        </references>
      </pivotArea>
    </format>
    <format dxfId="2544">
      <pivotArea dataOnly="0" labelOnly="1" outline="0" fieldPosition="0">
        <references count="5">
          <reference field="0" count="1" selected="0">
            <x v="0"/>
          </reference>
          <reference field="3" count="1" selected="0">
            <x v="20"/>
          </reference>
          <reference field="4" count="1" selected="0">
            <x v="133"/>
          </reference>
          <reference field="5" count="1" selected="0">
            <x v="208"/>
          </reference>
          <reference field="7" count="1">
            <x v="680"/>
          </reference>
        </references>
      </pivotArea>
    </format>
    <format dxfId="2543">
      <pivotArea dataOnly="0" labelOnly="1" outline="0" fieldPosition="0">
        <references count="5">
          <reference field="0" count="1" selected="0">
            <x v="0"/>
          </reference>
          <reference field="3" count="1" selected="0">
            <x v="20"/>
          </reference>
          <reference field="4" count="1" selected="0">
            <x v="133"/>
          </reference>
          <reference field="5" count="1" selected="0">
            <x v="288"/>
          </reference>
          <reference field="7" count="1">
            <x v="38"/>
          </reference>
        </references>
      </pivotArea>
    </format>
    <format dxfId="2542">
      <pivotArea dataOnly="0" labelOnly="1" outline="0" fieldPosition="0">
        <references count="5">
          <reference field="0" count="1" selected="0">
            <x v="0"/>
          </reference>
          <reference field="3" count="1" selected="0">
            <x v="20"/>
          </reference>
          <reference field="4" count="1" selected="0">
            <x v="133"/>
          </reference>
          <reference field="5" count="1" selected="0">
            <x v="1046"/>
          </reference>
          <reference field="7" count="1">
            <x v="1220"/>
          </reference>
        </references>
      </pivotArea>
    </format>
    <format dxfId="2541">
      <pivotArea dataOnly="0" labelOnly="1" outline="0" fieldPosition="0">
        <references count="5">
          <reference field="0" count="1" selected="0">
            <x v="0"/>
          </reference>
          <reference field="3" count="1" selected="0">
            <x v="20"/>
          </reference>
          <reference field="4" count="1" selected="0">
            <x v="133"/>
          </reference>
          <reference field="5" count="1" selected="0">
            <x v="1049"/>
          </reference>
          <reference field="7" count="1">
            <x v="259"/>
          </reference>
        </references>
      </pivotArea>
    </format>
    <format dxfId="2540">
      <pivotArea dataOnly="0" labelOnly="1" outline="0" fieldPosition="0">
        <references count="5">
          <reference field="0" count="1" selected="0">
            <x v="0"/>
          </reference>
          <reference field="3" count="1" selected="0">
            <x v="20"/>
          </reference>
          <reference field="4" count="1" selected="0">
            <x v="134"/>
          </reference>
          <reference field="5" count="1" selected="0">
            <x v="84"/>
          </reference>
          <reference field="7" count="1">
            <x v="34"/>
          </reference>
        </references>
      </pivotArea>
    </format>
    <format dxfId="2539">
      <pivotArea dataOnly="0" labelOnly="1" outline="0" fieldPosition="0">
        <references count="5">
          <reference field="0" count="1" selected="0">
            <x v="0"/>
          </reference>
          <reference field="3" count="1" selected="0">
            <x v="20"/>
          </reference>
          <reference field="4" count="1" selected="0">
            <x v="134"/>
          </reference>
          <reference field="5" count="1" selected="0">
            <x v="227"/>
          </reference>
          <reference field="7" count="1">
            <x v="570"/>
          </reference>
        </references>
      </pivotArea>
    </format>
    <format dxfId="2538">
      <pivotArea dataOnly="0" labelOnly="1" outline="0" fieldPosition="0">
        <references count="5">
          <reference field="0" count="1" selected="0">
            <x v="0"/>
          </reference>
          <reference field="3" count="1" selected="0">
            <x v="20"/>
          </reference>
          <reference field="4" count="1" selected="0">
            <x v="134"/>
          </reference>
          <reference field="5" count="1" selected="0">
            <x v="306"/>
          </reference>
          <reference field="7" count="1">
            <x v="664"/>
          </reference>
        </references>
      </pivotArea>
    </format>
    <format dxfId="2537">
      <pivotArea dataOnly="0" labelOnly="1" outline="0" fieldPosition="0">
        <references count="5">
          <reference field="0" count="1" selected="0">
            <x v="0"/>
          </reference>
          <reference field="3" count="1" selected="0">
            <x v="20"/>
          </reference>
          <reference field="4" count="1" selected="0">
            <x v="134"/>
          </reference>
          <reference field="5" count="1" selected="0">
            <x v="419"/>
          </reference>
          <reference field="7" count="1">
            <x v="886"/>
          </reference>
        </references>
      </pivotArea>
    </format>
    <format dxfId="2536">
      <pivotArea dataOnly="0" labelOnly="1" outline="0" fieldPosition="0">
        <references count="5">
          <reference field="0" count="1" selected="0">
            <x v="0"/>
          </reference>
          <reference field="3" count="1" selected="0">
            <x v="20"/>
          </reference>
          <reference field="4" count="1" selected="0">
            <x v="134"/>
          </reference>
          <reference field="5" count="1" selected="0">
            <x v="1036"/>
          </reference>
          <reference field="7" count="1">
            <x v="1390"/>
          </reference>
        </references>
      </pivotArea>
    </format>
    <format dxfId="2535">
      <pivotArea dataOnly="0" labelOnly="1" outline="0" fieldPosition="0">
        <references count="5">
          <reference field="0" count="1" selected="0">
            <x v="0"/>
          </reference>
          <reference field="3" count="1" selected="0">
            <x v="20"/>
          </reference>
          <reference field="4" count="1" selected="0">
            <x v="134"/>
          </reference>
          <reference field="5" count="1" selected="0">
            <x v="1037"/>
          </reference>
          <reference field="7" count="1">
            <x v="1391"/>
          </reference>
        </references>
      </pivotArea>
    </format>
    <format dxfId="2534">
      <pivotArea dataOnly="0" labelOnly="1" outline="0" fieldPosition="0">
        <references count="5">
          <reference field="0" count="1" selected="0">
            <x v="0"/>
          </reference>
          <reference field="3" count="1" selected="0">
            <x v="20"/>
          </reference>
          <reference field="4" count="1" selected="0">
            <x v="134"/>
          </reference>
          <reference field="5" count="1" selected="0">
            <x v="1045"/>
          </reference>
          <reference field="7" count="1">
            <x v="290"/>
          </reference>
        </references>
      </pivotArea>
    </format>
    <format dxfId="2533">
      <pivotArea dataOnly="0" labelOnly="1" outline="0" fieldPosition="0">
        <references count="5">
          <reference field="0" count="1" selected="0">
            <x v="0"/>
          </reference>
          <reference field="3" count="1" selected="0">
            <x v="20"/>
          </reference>
          <reference field="4" count="1" selected="0">
            <x v="135"/>
          </reference>
          <reference field="5" count="1" selected="0">
            <x v="233"/>
          </reference>
          <reference field="7" count="1">
            <x v="576"/>
          </reference>
        </references>
      </pivotArea>
    </format>
    <format dxfId="2532">
      <pivotArea dataOnly="0" labelOnly="1" outline="0" fieldPosition="0">
        <references count="5">
          <reference field="0" count="1" selected="0">
            <x v="0"/>
          </reference>
          <reference field="3" count="1" selected="0">
            <x v="20"/>
          </reference>
          <reference field="4" count="1" selected="0">
            <x v="135"/>
          </reference>
          <reference field="5" count="1" selected="0">
            <x v="286"/>
          </reference>
          <reference field="7" count="1">
            <x v="620"/>
          </reference>
        </references>
      </pivotArea>
    </format>
    <format dxfId="2531">
      <pivotArea dataOnly="0" labelOnly="1" outline="0" fieldPosition="0">
        <references count="5">
          <reference field="0" count="1" selected="0">
            <x v="0"/>
          </reference>
          <reference field="3" count="1" selected="0">
            <x v="20"/>
          </reference>
          <reference field="4" count="1" selected="0">
            <x v="135"/>
          </reference>
          <reference field="5" count="1" selected="0">
            <x v="298"/>
          </reference>
          <reference field="7" count="1">
            <x v="983"/>
          </reference>
        </references>
      </pivotArea>
    </format>
    <format dxfId="2530">
      <pivotArea dataOnly="0" labelOnly="1" outline="0" fieldPosition="0">
        <references count="5">
          <reference field="0" count="1" selected="0">
            <x v="0"/>
          </reference>
          <reference field="3" count="1" selected="0">
            <x v="20"/>
          </reference>
          <reference field="4" count="1" selected="0">
            <x v="135"/>
          </reference>
          <reference field="5" count="1" selected="0">
            <x v="1050"/>
          </reference>
          <reference field="7" count="1">
            <x v="293"/>
          </reference>
        </references>
      </pivotArea>
    </format>
    <format dxfId="2529">
      <pivotArea dataOnly="0" labelOnly="1" outline="0" fieldPosition="0">
        <references count="5">
          <reference field="0" count="1" selected="0">
            <x v="0"/>
          </reference>
          <reference field="3" count="1" selected="0">
            <x v="20"/>
          </reference>
          <reference field="4" count="1" selected="0">
            <x v="135"/>
          </reference>
          <reference field="5" count="1" selected="0">
            <x v="1051"/>
          </reference>
          <reference field="7" count="1">
            <x v="332"/>
          </reference>
        </references>
      </pivotArea>
    </format>
    <format dxfId="2528">
      <pivotArea dataOnly="0" labelOnly="1" outline="0" fieldPosition="0">
        <references count="5">
          <reference field="0" count="1" selected="0">
            <x v="0"/>
          </reference>
          <reference field="3" count="1" selected="0">
            <x v="20"/>
          </reference>
          <reference field="4" count="1" selected="0">
            <x v="135"/>
          </reference>
          <reference field="5" count="1" selected="0">
            <x v="1052"/>
          </reference>
          <reference field="7" count="1">
            <x v="1209"/>
          </reference>
        </references>
      </pivotArea>
    </format>
    <format dxfId="2527">
      <pivotArea dataOnly="0" labelOnly="1" outline="0" fieldPosition="0">
        <references count="5">
          <reference field="0" count="1" selected="0">
            <x v="0"/>
          </reference>
          <reference field="3" count="1" selected="0">
            <x v="20"/>
          </reference>
          <reference field="4" count="1" selected="0">
            <x v="135"/>
          </reference>
          <reference field="5" count="1" selected="0">
            <x v="1053"/>
          </reference>
          <reference field="7" count="1">
            <x v="1503"/>
          </reference>
        </references>
      </pivotArea>
    </format>
    <format dxfId="2526">
      <pivotArea dataOnly="0" labelOnly="1" outline="0" fieldPosition="0">
        <references count="5">
          <reference field="0" count="1" selected="0">
            <x v="0"/>
          </reference>
          <reference field="3" count="1" selected="0">
            <x v="20"/>
          </reference>
          <reference field="4" count="1" selected="0">
            <x v="136"/>
          </reference>
          <reference field="5" count="1" selected="0">
            <x v="4"/>
          </reference>
          <reference field="7" count="1">
            <x v="555"/>
          </reference>
        </references>
      </pivotArea>
    </format>
    <format dxfId="2525">
      <pivotArea dataOnly="0" labelOnly="1" outline="0" fieldPosition="0">
        <references count="5">
          <reference field="0" count="1" selected="0">
            <x v="0"/>
          </reference>
          <reference field="3" count="1" selected="0">
            <x v="20"/>
          </reference>
          <reference field="4" count="1" selected="0">
            <x v="136"/>
          </reference>
          <reference field="5" count="1" selected="0">
            <x v="135"/>
          </reference>
          <reference field="7" count="1">
            <x v="592"/>
          </reference>
        </references>
      </pivotArea>
    </format>
    <format dxfId="2524">
      <pivotArea dataOnly="0" labelOnly="1" outline="0" fieldPosition="0">
        <references count="5">
          <reference field="0" count="1" selected="0">
            <x v="0"/>
          </reference>
          <reference field="3" count="1" selected="0">
            <x v="20"/>
          </reference>
          <reference field="4" count="1" selected="0">
            <x v="136"/>
          </reference>
          <reference field="5" count="1" selected="0">
            <x v="219"/>
          </reference>
          <reference field="7" count="1">
            <x v="365"/>
          </reference>
        </references>
      </pivotArea>
    </format>
    <format dxfId="2523">
      <pivotArea dataOnly="0" labelOnly="1" outline="0" fieldPosition="0">
        <references count="5">
          <reference field="0" count="1" selected="0">
            <x v="0"/>
          </reference>
          <reference field="3" count="1" selected="0">
            <x v="20"/>
          </reference>
          <reference field="4" count="1" selected="0">
            <x v="136"/>
          </reference>
          <reference field="5" count="1" selected="0">
            <x v="282"/>
          </reference>
          <reference field="7" count="1">
            <x v="755"/>
          </reference>
        </references>
      </pivotArea>
    </format>
    <format dxfId="2522">
      <pivotArea dataOnly="0" labelOnly="1" outline="0" fieldPosition="0">
        <references count="5">
          <reference field="0" count="1" selected="0">
            <x v="0"/>
          </reference>
          <reference field="3" count="1" selected="0">
            <x v="20"/>
          </reference>
          <reference field="4" count="1" selected="0">
            <x v="136"/>
          </reference>
          <reference field="5" count="1" selected="0">
            <x v="285"/>
          </reference>
          <reference field="7" count="1">
            <x v="619"/>
          </reference>
        </references>
      </pivotArea>
    </format>
    <format dxfId="2521">
      <pivotArea dataOnly="0" labelOnly="1" outline="0" fieldPosition="0">
        <references count="5">
          <reference field="0" count="1" selected="0">
            <x v="0"/>
          </reference>
          <reference field="3" count="1" selected="0">
            <x v="20"/>
          </reference>
          <reference field="4" count="1" selected="0">
            <x v="136"/>
          </reference>
          <reference field="5" count="1" selected="0">
            <x v="297"/>
          </reference>
          <reference field="7" count="1">
            <x v="982"/>
          </reference>
        </references>
      </pivotArea>
    </format>
    <format dxfId="2520">
      <pivotArea dataOnly="0" labelOnly="1" outline="0" fieldPosition="0">
        <references count="5">
          <reference field="0" count="1" selected="0">
            <x v="0"/>
          </reference>
          <reference field="3" count="1" selected="0">
            <x v="20"/>
          </reference>
          <reference field="4" count="1" selected="0">
            <x v="136"/>
          </reference>
          <reference field="5" count="1" selected="0">
            <x v="411"/>
          </reference>
          <reference field="7" count="1">
            <x v="427"/>
          </reference>
        </references>
      </pivotArea>
    </format>
    <format dxfId="2519">
      <pivotArea dataOnly="0" labelOnly="1" outline="0" fieldPosition="0">
        <references count="5">
          <reference field="0" count="1" selected="0">
            <x v="0"/>
          </reference>
          <reference field="3" count="1" selected="0">
            <x v="20"/>
          </reference>
          <reference field="4" count="1" selected="0">
            <x v="136"/>
          </reference>
          <reference field="5" count="1" selected="0">
            <x v="412"/>
          </reference>
          <reference field="7" count="1">
            <x v="428"/>
          </reference>
        </references>
      </pivotArea>
    </format>
    <format dxfId="2518">
      <pivotArea dataOnly="0" labelOnly="1" outline="0" fieldPosition="0">
        <references count="5">
          <reference field="0" count="1" selected="0">
            <x v="0"/>
          </reference>
          <reference field="3" count="1" selected="0">
            <x v="20"/>
          </reference>
          <reference field="4" count="1" selected="0">
            <x v="136"/>
          </reference>
          <reference field="5" count="1" selected="0">
            <x v="425"/>
          </reference>
          <reference field="7" count="1">
            <x v="425"/>
          </reference>
        </references>
      </pivotArea>
    </format>
    <format dxfId="2517">
      <pivotArea dataOnly="0" labelOnly="1" outline="0" fieldPosition="0">
        <references count="5">
          <reference field="0" count="1" selected="0">
            <x v="0"/>
          </reference>
          <reference field="3" count="1" selected="0">
            <x v="20"/>
          </reference>
          <reference field="4" count="1" selected="0">
            <x v="136"/>
          </reference>
          <reference field="5" count="1" selected="0">
            <x v="1054"/>
          </reference>
          <reference field="7" count="1">
            <x v="295"/>
          </reference>
        </references>
      </pivotArea>
    </format>
    <format dxfId="2516">
      <pivotArea dataOnly="0" labelOnly="1" outline="0" fieldPosition="0">
        <references count="5">
          <reference field="0" count="1" selected="0">
            <x v="0"/>
          </reference>
          <reference field="3" count="1" selected="0">
            <x v="20"/>
          </reference>
          <reference field="4" count="1" selected="0">
            <x v="136"/>
          </reference>
          <reference field="5" count="1" selected="0">
            <x v="1055"/>
          </reference>
          <reference field="7" count="1">
            <x v="1433"/>
          </reference>
        </references>
      </pivotArea>
    </format>
    <format dxfId="2515">
      <pivotArea dataOnly="0" labelOnly="1" outline="0" fieldPosition="0">
        <references count="5">
          <reference field="0" count="1" selected="0">
            <x v="0"/>
          </reference>
          <reference field="3" count="1" selected="0">
            <x v="20"/>
          </reference>
          <reference field="4" count="1" selected="0">
            <x v="136"/>
          </reference>
          <reference field="5" count="1" selected="0">
            <x v="1056"/>
          </reference>
          <reference field="7" count="1">
            <x v="1014"/>
          </reference>
        </references>
      </pivotArea>
    </format>
    <format dxfId="2514">
      <pivotArea dataOnly="0" labelOnly="1" outline="0" fieldPosition="0">
        <references count="5">
          <reference field="0" count="1" selected="0">
            <x v="0"/>
          </reference>
          <reference field="3" count="1" selected="0">
            <x v="20"/>
          </reference>
          <reference field="4" count="1" selected="0">
            <x v="136"/>
          </reference>
          <reference field="5" count="1" selected="0">
            <x v="1057"/>
          </reference>
          <reference field="7" count="1">
            <x v="1015"/>
          </reference>
        </references>
      </pivotArea>
    </format>
    <format dxfId="2513">
      <pivotArea dataOnly="0" labelOnly="1" outline="0" fieldPosition="0">
        <references count="5">
          <reference field="0" count="1" selected="0">
            <x v="0"/>
          </reference>
          <reference field="3" count="1" selected="0">
            <x v="20"/>
          </reference>
          <reference field="4" count="1" selected="0">
            <x v="136"/>
          </reference>
          <reference field="5" count="1" selected="0">
            <x v="1058"/>
          </reference>
          <reference field="7" count="1">
            <x v="1168"/>
          </reference>
        </references>
      </pivotArea>
    </format>
    <format dxfId="2512">
      <pivotArea dataOnly="0" labelOnly="1" outline="0" fieldPosition="0">
        <references count="5">
          <reference field="0" count="1" selected="0">
            <x v="0"/>
          </reference>
          <reference field="3" count="1" selected="0">
            <x v="20"/>
          </reference>
          <reference field="4" count="1" selected="0">
            <x v="136"/>
          </reference>
          <reference field="5" count="1" selected="0">
            <x v="1059"/>
          </reference>
          <reference field="7" count="1">
            <x v="1208"/>
          </reference>
        </references>
      </pivotArea>
    </format>
    <format dxfId="2511">
      <pivotArea dataOnly="0" labelOnly="1" outline="0" fieldPosition="0">
        <references count="5">
          <reference field="0" count="1" selected="0">
            <x v="0"/>
          </reference>
          <reference field="3" count="1" selected="0">
            <x v="20"/>
          </reference>
          <reference field="4" count="1" selected="0">
            <x v="137"/>
          </reference>
          <reference field="5" count="1" selected="0">
            <x v="57"/>
          </reference>
          <reference field="7" count="1">
            <x v="920"/>
          </reference>
        </references>
      </pivotArea>
    </format>
    <format dxfId="2510">
      <pivotArea dataOnly="0" labelOnly="1" outline="0" fieldPosition="0">
        <references count="5">
          <reference field="0" count="1" selected="0">
            <x v="0"/>
          </reference>
          <reference field="3" count="1" selected="0">
            <x v="20"/>
          </reference>
          <reference field="4" count="1" selected="0">
            <x v="137"/>
          </reference>
          <reference field="5" count="1" selected="0">
            <x v="181"/>
          </reference>
          <reference field="7" count="1">
            <x v="689"/>
          </reference>
        </references>
      </pivotArea>
    </format>
    <format dxfId="2509">
      <pivotArea dataOnly="0" labelOnly="1" outline="0" fieldPosition="0">
        <references count="5">
          <reference field="0" count="1" selected="0">
            <x v="0"/>
          </reference>
          <reference field="3" count="1" selected="0">
            <x v="20"/>
          </reference>
          <reference field="4" count="1" selected="0">
            <x v="137"/>
          </reference>
          <reference field="5" count="1" selected="0">
            <x v="223"/>
          </reference>
          <reference field="7" count="1">
            <x v="362"/>
          </reference>
        </references>
      </pivotArea>
    </format>
    <format dxfId="2508">
      <pivotArea dataOnly="0" labelOnly="1" outline="0" fieldPosition="0">
        <references count="5">
          <reference field="0" count="1" selected="0">
            <x v="0"/>
          </reference>
          <reference field="3" count="1" selected="0">
            <x v="20"/>
          </reference>
          <reference field="4" count="1" selected="0">
            <x v="137"/>
          </reference>
          <reference field="5" count="1" selected="0">
            <x v="233"/>
          </reference>
          <reference field="7" count="1">
            <x v="576"/>
          </reference>
        </references>
      </pivotArea>
    </format>
    <format dxfId="2507">
      <pivotArea dataOnly="0" labelOnly="1" outline="0" fieldPosition="0">
        <references count="5">
          <reference field="0" count="1" selected="0">
            <x v="0"/>
          </reference>
          <reference field="3" count="1" selected="0">
            <x v="20"/>
          </reference>
          <reference field="4" count="1" selected="0">
            <x v="137"/>
          </reference>
          <reference field="5" count="1" selected="0">
            <x v="234"/>
          </reference>
          <reference field="7" count="1">
            <x v="577"/>
          </reference>
        </references>
      </pivotArea>
    </format>
    <format dxfId="2506">
      <pivotArea dataOnly="0" labelOnly="1" outline="0" fieldPosition="0">
        <references count="5">
          <reference field="0" count="1" selected="0">
            <x v="0"/>
          </reference>
          <reference field="3" count="1" selected="0">
            <x v="20"/>
          </reference>
          <reference field="4" count="1" selected="0">
            <x v="137"/>
          </reference>
          <reference field="5" count="1" selected="0">
            <x v="235"/>
          </reference>
          <reference field="7" count="1">
            <x v="578"/>
          </reference>
        </references>
      </pivotArea>
    </format>
    <format dxfId="2505">
      <pivotArea dataOnly="0" labelOnly="1" outline="0" fieldPosition="0">
        <references count="5">
          <reference field="0" count="1" selected="0">
            <x v="0"/>
          </reference>
          <reference field="3" count="1" selected="0">
            <x v="20"/>
          </reference>
          <reference field="4" count="1" selected="0">
            <x v="137"/>
          </reference>
          <reference field="5" count="1" selected="0">
            <x v="273"/>
          </reference>
          <reference field="7" count="1">
            <x v="678"/>
          </reference>
        </references>
      </pivotArea>
    </format>
    <format dxfId="2504">
      <pivotArea dataOnly="0" labelOnly="1" outline="0" fieldPosition="0">
        <references count="5">
          <reference field="0" count="1" selected="0">
            <x v="0"/>
          </reference>
          <reference field="3" count="1" selected="0">
            <x v="20"/>
          </reference>
          <reference field="4" count="1" selected="0">
            <x v="137"/>
          </reference>
          <reference field="5" count="1" selected="0">
            <x v="286"/>
          </reference>
          <reference field="7" count="1">
            <x v="620"/>
          </reference>
        </references>
      </pivotArea>
    </format>
    <format dxfId="2503">
      <pivotArea dataOnly="0" labelOnly="1" outline="0" fieldPosition="0">
        <references count="5">
          <reference field="0" count="1" selected="0">
            <x v="0"/>
          </reference>
          <reference field="3" count="1" selected="0">
            <x v="20"/>
          </reference>
          <reference field="4" count="1" selected="0">
            <x v="137"/>
          </reference>
          <reference field="5" count="1" selected="0">
            <x v="287"/>
          </reference>
          <reference field="7" count="1">
            <x v="621"/>
          </reference>
        </references>
      </pivotArea>
    </format>
    <format dxfId="2502">
      <pivotArea dataOnly="0" labelOnly="1" outline="0" fieldPosition="0">
        <references count="5">
          <reference field="0" count="1" selected="0">
            <x v="0"/>
          </reference>
          <reference field="3" count="1" selected="0">
            <x v="20"/>
          </reference>
          <reference field="4" count="1" selected="0">
            <x v="137"/>
          </reference>
          <reference field="5" count="1" selected="0">
            <x v="289"/>
          </reference>
          <reference field="7" count="1">
            <x v="618"/>
          </reference>
        </references>
      </pivotArea>
    </format>
    <format dxfId="2501">
      <pivotArea dataOnly="0" labelOnly="1" outline="0" fieldPosition="0">
        <references count="5">
          <reference field="0" count="1" selected="0">
            <x v="0"/>
          </reference>
          <reference field="3" count="1" selected="0">
            <x v="20"/>
          </reference>
          <reference field="4" count="1" selected="0">
            <x v="137"/>
          </reference>
          <reference field="5" count="1" selected="0">
            <x v="298"/>
          </reference>
          <reference field="7" count="1">
            <x v="983"/>
          </reference>
        </references>
      </pivotArea>
    </format>
    <format dxfId="2500">
      <pivotArea dataOnly="0" labelOnly="1" outline="0" fieldPosition="0">
        <references count="5">
          <reference field="0" count="1" selected="0">
            <x v="0"/>
          </reference>
          <reference field="3" count="1" selected="0">
            <x v="20"/>
          </reference>
          <reference field="4" count="1" selected="0">
            <x v="137"/>
          </reference>
          <reference field="5" count="1" selected="0">
            <x v="299"/>
          </reference>
          <reference field="7" count="1">
            <x v="984"/>
          </reference>
        </references>
      </pivotArea>
    </format>
    <format dxfId="2499">
      <pivotArea dataOnly="0" labelOnly="1" outline="0" fieldPosition="0">
        <references count="5">
          <reference field="0" count="1" selected="0">
            <x v="0"/>
          </reference>
          <reference field="3" count="1" selected="0">
            <x v="20"/>
          </reference>
          <reference field="4" count="1" selected="0">
            <x v="137"/>
          </reference>
          <reference field="5" count="1" selected="0">
            <x v="300"/>
          </reference>
          <reference field="7" count="1">
            <x v="985"/>
          </reference>
        </references>
      </pivotArea>
    </format>
    <format dxfId="2498">
      <pivotArea dataOnly="0" labelOnly="1" outline="0" fieldPosition="0">
        <references count="5">
          <reference field="0" count="1" selected="0">
            <x v="0"/>
          </reference>
          <reference field="3" count="1" selected="0">
            <x v="20"/>
          </reference>
          <reference field="4" count="1" selected="0">
            <x v="137"/>
          </reference>
          <reference field="5" count="1" selected="0">
            <x v="310"/>
          </reference>
          <reference field="7" count="1">
            <x v="971"/>
          </reference>
        </references>
      </pivotArea>
    </format>
    <format dxfId="2497">
      <pivotArea dataOnly="0" labelOnly="1" outline="0" fieldPosition="0">
        <references count="5">
          <reference field="0" count="1" selected="0">
            <x v="0"/>
          </reference>
          <reference field="3" count="1" selected="0">
            <x v="20"/>
          </reference>
          <reference field="4" count="1" selected="0">
            <x v="137"/>
          </reference>
          <reference field="5" count="1" selected="0">
            <x v="354"/>
          </reference>
          <reference field="7" count="1">
            <x v="1041"/>
          </reference>
        </references>
      </pivotArea>
    </format>
    <format dxfId="2496">
      <pivotArea dataOnly="0" labelOnly="1" outline="0" fieldPosition="0">
        <references count="5">
          <reference field="0" count="1" selected="0">
            <x v="0"/>
          </reference>
          <reference field="3" count="1" selected="0">
            <x v="20"/>
          </reference>
          <reference field="4" count="1" selected="0">
            <x v="137"/>
          </reference>
          <reference field="5" count="1" selected="0">
            <x v="415"/>
          </reference>
          <reference field="7" count="1">
            <x v="18"/>
          </reference>
        </references>
      </pivotArea>
    </format>
    <format dxfId="2495">
      <pivotArea dataOnly="0" labelOnly="1" outline="0" fieldPosition="0">
        <references count="5">
          <reference field="0" count="1" selected="0">
            <x v="0"/>
          </reference>
          <reference field="3" count="1" selected="0">
            <x v="20"/>
          </reference>
          <reference field="4" count="1" selected="0">
            <x v="137"/>
          </reference>
          <reference field="5" count="1" selected="0">
            <x v="977"/>
          </reference>
          <reference field="7" count="1">
            <x v="296"/>
          </reference>
        </references>
      </pivotArea>
    </format>
    <format dxfId="2494">
      <pivotArea dataOnly="0" labelOnly="1" outline="0" fieldPosition="0">
        <references count="5">
          <reference field="0" count="1" selected="0">
            <x v="0"/>
          </reference>
          <reference field="3" count="1" selected="0">
            <x v="20"/>
          </reference>
          <reference field="4" count="1" selected="0">
            <x v="137"/>
          </reference>
          <reference field="5" count="1" selected="0">
            <x v="1010"/>
          </reference>
          <reference field="7" count="1">
            <x v="331"/>
          </reference>
        </references>
      </pivotArea>
    </format>
    <format dxfId="2493">
      <pivotArea dataOnly="0" labelOnly="1" outline="0" fieldPosition="0">
        <references count="5">
          <reference field="0" count="1" selected="0">
            <x v="0"/>
          </reference>
          <reference field="3" count="1" selected="0">
            <x v="20"/>
          </reference>
          <reference field="4" count="1" selected="0">
            <x v="137"/>
          </reference>
          <reference field="5" count="1" selected="0">
            <x v="1021"/>
          </reference>
          <reference field="7" count="1">
            <x v="1105"/>
          </reference>
        </references>
      </pivotArea>
    </format>
    <format dxfId="2492">
      <pivotArea dataOnly="0" labelOnly="1" outline="0" fieldPosition="0">
        <references count="5">
          <reference field="0" count="1" selected="0">
            <x v="0"/>
          </reference>
          <reference field="3" count="1" selected="0">
            <x v="20"/>
          </reference>
          <reference field="4" count="1" selected="0">
            <x v="137"/>
          </reference>
          <reference field="5" count="1" selected="0">
            <x v="1024"/>
          </reference>
          <reference field="7" count="1">
            <x v="1106"/>
          </reference>
        </references>
      </pivotArea>
    </format>
    <format dxfId="2491">
      <pivotArea dataOnly="0" labelOnly="1" outline="0" fieldPosition="0">
        <references count="5">
          <reference field="0" count="1" selected="0">
            <x v="0"/>
          </reference>
          <reference field="3" count="1" selected="0">
            <x v="20"/>
          </reference>
          <reference field="4" count="1" selected="0">
            <x v="137"/>
          </reference>
          <reference field="5" count="1" selected="0">
            <x v="1025"/>
          </reference>
          <reference field="7" count="1">
            <x v="1432"/>
          </reference>
        </references>
      </pivotArea>
    </format>
    <format dxfId="2490">
      <pivotArea dataOnly="0" labelOnly="1" outline="0" fieldPosition="0">
        <references count="5">
          <reference field="0" count="1" selected="0">
            <x v="0"/>
          </reference>
          <reference field="3" count="1" selected="0">
            <x v="20"/>
          </reference>
          <reference field="4" count="1" selected="0">
            <x v="138"/>
          </reference>
          <reference field="5" count="1" selected="0">
            <x v="222"/>
          </reference>
          <reference field="7" count="1">
            <x v="366"/>
          </reference>
        </references>
      </pivotArea>
    </format>
    <format dxfId="2489">
      <pivotArea dataOnly="0" labelOnly="1" outline="0" fieldPosition="0">
        <references count="5">
          <reference field="0" count="1" selected="0">
            <x v="0"/>
          </reference>
          <reference field="3" count="1" selected="0">
            <x v="20"/>
          </reference>
          <reference field="4" count="1" selected="0">
            <x v="138"/>
          </reference>
          <reference field="5" count="1" selected="0">
            <x v="288"/>
          </reference>
          <reference field="7" count="1">
            <x v="38"/>
          </reference>
        </references>
      </pivotArea>
    </format>
    <format dxfId="2488">
      <pivotArea dataOnly="0" labelOnly="1" outline="0" fieldPosition="0">
        <references count="5">
          <reference field="0" count="1" selected="0">
            <x v="0"/>
          </reference>
          <reference field="3" count="1" selected="0">
            <x v="20"/>
          </reference>
          <reference field="4" count="1" selected="0">
            <x v="138"/>
          </reference>
          <reference field="5" count="1" selected="0">
            <x v="416"/>
          </reference>
          <reference field="7" count="1">
            <x v="962"/>
          </reference>
        </references>
      </pivotArea>
    </format>
    <format dxfId="2487">
      <pivotArea dataOnly="0" labelOnly="1" outline="0" fieldPosition="0">
        <references count="5">
          <reference field="0" count="1" selected="0">
            <x v="0"/>
          </reference>
          <reference field="3" count="1" selected="0">
            <x v="20"/>
          </reference>
          <reference field="4" count="1" selected="0">
            <x v="138"/>
          </reference>
          <reference field="5" count="1" selected="0">
            <x v="417"/>
          </reference>
          <reference field="7" count="1">
            <x v="437"/>
          </reference>
        </references>
      </pivotArea>
    </format>
    <format dxfId="2486">
      <pivotArea dataOnly="0" labelOnly="1" outline="0" fieldPosition="0">
        <references count="5">
          <reference field="0" count="1" selected="0">
            <x v="0"/>
          </reference>
          <reference field="3" count="1" selected="0">
            <x v="20"/>
          </reference>
          <reference field="4" count="1" selected="0">
            <x v="138"/>
          </reference>
          <reference field="5" count="1" selected="0">
            <x v="1033"/>
          </reference>
          <reference field="7" count="1">
            <x v="223"/>
          </reference>
        </references>
      </pivotArea>
    </format>
    <format dxfId="2485">
      <pivotArea dataOnly="0" labelOnly="1" outline="0" fieldPosition="0">
        <references count="5">
          <reference field="0" count="1" selected="0">
            <x v="0"/>
          </reference>
          <reference field="3" count="1" selected="0">
            <x v="20"/>
          </reference>
          <reference field="4" count="1" selected="0">
            <x v="139"/>
          </reference>
          <reference field="5" count="1" selected="0">
            <x v="288"/>
          </reference>
          <reference field="7" count="1">
            <x v="38"/>
          </reference>
        </references>
      </pivotArea>
    </format>
    <format dxfId="2484">
      <pivotArea dataOnly="0" labelOnly="1" outline="0" fieldPosition="0">
        <references count="5">
          <reference field="0" count="1" selected="0">
            <x v="0"/>
          </reference>
          <reference field="3" count="1" selected="0">
            <x v="20"/>
          </reference>
          <reference field="4" count="1" selected="0">
            <x v="139"/>
          </reference>
          <reference field="5" count="1" selected="0">
            <x v="298"/>
          </reference>
          <reference field="7" count="1">
            <x v="983"/>
          </reference>
        </references>
      </pivotArea>
    </format>
    <format dxfId="2483">
      <pivotArea dataOnly="0" labelOnly="1" outline="0" fieldPosition="0">
        <references count="5">
          <reference field="0" count="1" selected="0">
            <x v="0"/>
          </reference>
          <reference field="3" count="1" selected="0">
            <x v="20"/>
          </reference>
          <reference field="4" count="1" selected="0">
            <x v="139"/>
          </reference>
          <reference field="5" count="1" selected="0">
            <x v="300"/>
          </reference>
          <reference field="7" count="1">
            <x v="985"/>
          </reference>
        </references>
      </pivotArea>
    </format>
    <format dxfId="2482">
      <pivotArea dataOnly="0" labelOnly="1" outline="0" fieldPosition="0">
        <references count="5">
          <reference field="0" count="1" selected="0">
            <x v="0"/>
          </reference>
          <reference field="3" count="1" selected="0">
            <x v="20"/>
          </reference>
          <reference field="4" count="1" selected="0">
            <x v="139"/>
          </reference>
          <reference field="5" count="1" selected="0">
            <x v="988"/>
          </reference>
          <reference field="7" count="1">
            <x v="224"/>
          </reference>
        </references>
      </pivotArea>
    </format>
    <format dxfId="2481">
      <pivotArea dataOnly="0" labelOnly="1" outline="0" fieldPosition="0">
        <references count="5">
          <reference field="0" count="1" selected="0">
            <x v="0"/>
          </reference>
          <reference field="3" count="1" selected="0">
            <x v="20"/>
          </reference>
          <reference field="4" count="1" selected="0">
            <x v="139"/>
          </reference>
          <reference field="5" count="1" selected="0">
            <x v="1017"/>
          </reference>
          <reference field="7" count="1">
            <x v="368"/>
          </reference>
        </references>
      </pivotArea>
    </format>
    <format dxfId="2480">
      <pivotArea dataOnly="0" labelOnly="1" outline="0" fieldPosition="0">
        <references count="5">
          <reference field="0" count="1" selected="0">
            <x v="0"/>
          </reference>
          <reference field="3" count="1" selected="0">
            <x v="20"/>
          </reference>
          <reference field="4" count="1" selected="0">
            <x v="140"/>
          </reference>
          <reference field="5" count="1" selected="0">
            <x v="222"/>
          </reference>
          <reference field="7" count="1">
            <x v="366"/>
          </reference>
        </references>
      </pivotArea>
    </format>
    <format dxfId="2479">
      <pivotArea dataOnly="0" labelOnly="1" outline="0" fieldPosition="0">
        <references count="5">
          <reference field="0" count="1" selected="0">
            <x v="0"/>
          </reference>
          <reference field="3" count="1" selected="0">
            <x v="20"/>
          </reference>
          <reference field="4" count="1" selected="0">
            <x v="140"/>
          </reference>
          <reference field="5" count="1" selected="0">
            <x v="416"/>
          </reference>
          <reference field="7" count="1">
            <x v="962"/>
          </reference>
        </references>
      </pivotArea>
    </format>
    <format dxfId="2478">
      <pivotArea dataOnly="0" labelOnly="1" outline="0" fieldPosition="0">
        <references count="5">
          <reference field="0" count="1" selected="0">
            <x v="0"/>
          </reference>
          <reference field="3" count="1" selected="0">
            <x v="20"/>
          </reference>
          <reference field="4" count="1" selected="0">
            <x v="140"/>
          </reference>
          <reference field="5" count="1" selected="0">
            <x v="417"/>
          </reference>
          <reference field="7" count="1">
            <x v="437"/>
          </reference>
        </references>
      </pivotArea>
    </format>
    <format dxfId="2477">
      <pivotArea dataOnly="0" labelOnly="1" outline="0" fieldPosition="0">
        <references count="5">
          <reference field="0" count="1" selected="0">
            <x v="0"/>
          </reference>
          <reference field="3" count="1" selected="0">
            <x v="20"/>
          </reference>
          <reference field="4" count="1" selected="0">
            <x v="140"/>
          </reference>
          <reference field="5" count="1" selected="0">
            <x v="1034"/>
          </reference>
          <reference field="7" count="1">
            <x v="267"/>
          </reference>
        </references>
      </pivotArea>
    </format>
    <format dxfId="2476">
      <pivotArea dataOnly="0" labelOnly="1" outline="0" fieldPosition="0">
        <references count="5">
          <reference field="0" count="1" selected="0">
            <x v="0"/>
          </reference>
          <reference field="3" count="1" selected="0">
            <x v="20"/>
          </reference>
          <reference field="4" count="1" selected="0">
            <x v="141"/>
          </reference>
          <reference field="5" count="1" selected="0">
            <x v="288"/>
          </reference>
          <reference field="7" count="1">
            <x v="38"/>
          </reference>
        </references>
      </pivotArea>
    </format>
    <format dxfId="2475">
      <pivotArea dataOnly="0" labelOnly="1" outline="0" fieldPosition="0">
        <references count="5">
          <reference field="0" count="1" selected="0">
            <x v="0"/>
          </reference>
          <reference field="3" count="1" selected="0">
            <x v="20"/>
          </reference>
          <reference field="4" count="1" selected="0">
            <x v="141"/>
          </reference>
          <reference field="5" count="1" selected="0">
            <x v="298"/>
          </reference>
          <reference field="7" count="1">
            <x v="983"/>
          </reference>
        </references>
      </pivotArea>
    </format>
    <format dxfId="2474">
      <pivotArea dataOnly="0" labelOnly="1" outline="0" fieldPosition="0">
        <references count="5">
          <reference field="0" count="1" selected="0">
            <x v="0"/>
          </reference>
          <reference field="3" count="1" selected="0">
            <x v="20"/>
          </reference>
          <reference field="4" count="1" selected="0">
            <x v="141"/>
          </reference>
          <reference field="5" count="1" selected="0">
            <x v="300"/>
          </reference>
          <reference field="7" count="1">
            <x v="985"/>
          </reference>
        </references>
      </pivotArea>
    </format>
    <format dxfId="2473">
      <pivotArea dataOnly="0" labelOnly="1" outline="0" fieldPosition="0">
        <references count="5">
          <reference field="0" count="1" selected="0">
            <x v="0"/>
          </reference>
          <reference field="3" count="1" selected="0">
            <x v="20"/>
          </reference>
          <reference field="4" count="1" selected="0">
            <x v="141"/>
          </reference>
          <reference field="5" count="1" selected="0">
            <x v="999"/>
          </reference>
          <reference field="7" count="1">
            <x v="268"/>
          </reference>
        </references>
      </pivotArea>
    </format>
    <format dxfId="2472">
      <pivotArea dataOnly="0" labelOnly="1" outline="0" fieldPosition="0">
        <references count="5">
          <reference field="0" count="1" selected="0">
            <x v="0"/>
          </reference>
          <reference field="3" count="1" selected="0">
            <x v="20"/>
          </reference>
          <reference field="4" count="1" selected="0">
            <x v="141"/>
          </reference>
          <reference field="5" count="1" selected="0">
            <x v="1018"/>
          </reference>
          <reference field="7" count="1">
            <x v="369"/>
          </reference>
        </references>
      </pivotArea>
    </format>
    <format dxfId="2471">
      <pivotArea dataOnly="0" labelOnly="1" outline="0" fieldPosition="0">
        <references count="5">
          <reference field="0" count="1" selected="0">
            <x v="0"/>
          </reference>
          <reference field="3" count="1" selected="0">
            <x v="20"/>
          </reference>
          <reference field="4" count="1" selected="0">
            <x v="142"/>
          </reference>
          <reference field="5" count="1" selected="0">
            <x v="387"/>
          </reference>
          <reference field="7" count="1">
            <x v="114"/>
          </reference>
        </references>
      </pivotArea>
    </format>
    <format dxfId="2470">
      <pivotArea dataOnly="0" labelOnly="1" outline="0" fieldPosition="0">
        <references count="5">
          <reference field="0" count="1" selected="0">
            <x v="0"/>
          </reference>
          <reference field="3" count="1" selected="0">
            <x v="20"/>
          </reference>
          <reference field="4" count="1" selected="0">
            <x v="142"/>
          </reference>
          <reference field="5" count="1" selected="0">
            <x v="1061"/>
          </reference>
          <reference field="7" count="1">
            <x v="294"/>
          </reference>
        </references>
      </pivotArea>
    </format>
    <format dxfId="2469">
      <pivotArea dataOnly="0" labelOnly="1" outline="0" fieldPosition="0">
        <references count="5">
          <reference field="0" count="1" selected="0">
            <x v="0"/>
          </reference>
          <reference field="3" count="1" selected="0">
            <x v="20"/>
          </reference>
          <reference field="4" count="1" selected="0">
            <x v="142"/>
          </reference>
          <reference field="5" count="1" selected="0">
            <x v="1062"/>
          </reference>
          <reference field="7" count="1">
            <x v="1058"/>
          </reference>
        </references>
      </pivotArea>
    </format>
    <format dxfId="2468">
      <pivotArea dataOnly="0" labelOnly="1" outline="0" fieldPosition="0">
        <references count="5">
          <reference field="0" count="1" selected="0">
            <x v="0"/>
          </reference>
          <reference field="3" count="1" selected="0">
            <x v="20"/>
          </reference>
          <reference field="4" count="1" selected="0">
            <x v="143"/>
          </reference>
          <reference field="5" count="1" selected="0">
            <x v="81"/>
          </reference>
          <reference field="7" count="1">
            <x v="32"/>
          </reference>
        </references>
      </pivotArea>
    </format>
    <format dxfId="2467">
      <pivotArea dataOnly="0" labelOnly="1" outline="0" fieldPosition="0">
        <references count="5">
          <reference field="0" count="1" selected="0">
            <x v="0"/>
          </reference>
          <reference field="3" count="1" selected="0">
            <x v="20"/>
          </reference>
          <reference field="4" count="1" selected="0">
            <x v="143"/>
          </reference>
          <reference field="5" count="1" selected="0">
            <x v="182"/>
          </reference>
          <reference field="7" count="1">
            <x v="687"/>
          </reference>
        </references>
      </pivotArea>
    </format>
    <format dxfId="2466">
      <pivotArea dataOnly="0" labelOnly="1" outline="0" fieldPosition="0">
        <references count="5">
          <reference field="0" count="1" selected="0">
            <x v="0"/>
          </reference>
          <reference field="3" count="1" selected="0">
            <x v="20"/>
          </reference>
          <reference field="4" count="1" selected="0">
            <x v="143"/>
          </reference>
          <reference field="5" count="1" selected="0">
            <x v="186"/>
          </reference>
          <reference field="7" count="1">
            <x v="1337"/>
          </reference>
        </references>
      </pivotArea>
    </format>
    <format dxfId="2465">
      <pivotArea dataOnly="0" labelOnly="1" outline="0" fieldPosition="0">
        <references count="5">
          <reference field="0" count="1" selected="0">
            <x v="0"/>
          </reference>
          <reference field="3" count="1" selected="0">
            <x v="20"/>
          </reference>
          <reference field="4" count="1" selected="0">
            <x v="143"/>
          </reference>
          <reference field="5" count="1" selected="0">
            <x v="226"/>
          </reference>
          <reference field="7" count="1">
            <x v="569"/>
          </reference>
        </references>
      </pivotArea>
    </format>
    <format dxfId="2464">
      <pivotArea dataOnly="0" labelOnly="1" outline="0" fieldPosition="0">
        <references count="5">
          <reference field="0" count="1" selected="0">
            <x v="0"/>
          </reference>
          <reference field="3" count="1" selected="0">
            <x v="20"/>
          </reference>
          <reference field="4" count="1" selected="0">
            <x v="143"/>
          </reference>
          <reference field="5" count="1" selected="0">
            <x v="230"/>
          </reference>
          <reference field="7" count="1">
            <x v="568"/>
          </reference>
        </references>
      </pivotArea>
    </format>
    <format dxfId="2463">
      <pivotArea dataOnly="0" labelOnly="1" outline="0" fieldPosition="0">
        <references count="5">
          <reference field="0" count="1" selected="0">
            <x v="0"/>
          </reference>
          <reference field="3" count="1" selected="0">
            <x v="20"/>
          </reference>
          <reference field="4" count="1" selected="0">
            <x v="143"/>
          </reference>
          <reference field="5" count="1" selected="0">
            <x v="236"/>
          </reference>
          <reference field="7" count="1">
            <x v="574"/>
          </reference>
        </references>
      </pivotArea>
    </format>
    <format dxfId="2462">
      <pivotArea dataOnly="0" labelOnly="1" outline="0" fieldPosition="0">
        <references count="5">
          <reference field="0" count="1" selected="0">
            <x v="0"/>
          </reference>
          <reference field="3" count="1" selected="0">
            <x v="20"/>
          </reference>
          <reference field="4" count="1" selected="0">
            <x v="143"/>
          </reference>
          <reference field="5" count="1" selected="0">
            <x v="267"/>
          </reference>
          <reference field="7" count="1">
            <x v="1344"/>
          </reference>
        </references>
      </pivotArea>
    </format>
    <format dxfId="2461">
      <pivotArea dataOnly="0" labelOnly="1" outline="0" fieldPosition="0">
        <references count="5">
          <reference field="0" count="1" selected="0">
            <x v="0"/>
          </reference>
          <reference field="3" count="1" selected="0">
            <x v="20"/>
          </reference>
          <reference field="4" count="1" selected="0">
            <x v="143"/>
          </reference>
          <reference field="5" count="1" selected="0">
            <x v="285"/>
          </reference>
          <reference field="7" count="1">
            <x v="619"/>
          </reference>
        </references>
      </pivotArea>
    </format>
    <format dxfId="2460">
      <pivotArea dataOnly="0" labelOnly="1" outline="0" fieldPosition="0">
        <references count="5">
          <reference field="0" count="1" selected="0">
            <x v="0"/>
          </reference>
          <reference field="3" count="1" selected="0">
            <x v="20"/>
          </reference>
          <reference field="4" count="1" selected="0">
            <x v="143"/>
          </reference>
          <reference field="5" count="1" selected="0">
            <x v="287"/>
          </reference>
          <reference field="7" count="1">
            <x v="621"/>
          </reference>
        </references>
      </pivotArea>
    </format>
    <format dxfId="2459">
      <pivotArea dataOnly="0" labelOnly="1" outline="0" fieldPosition="0">
        <references count="5">
          <reference field="0" count="1" selected="0">
            <x v="0"/>
          </reference>
          <reference field="3" count="1" selected="0">
            <x v="20"/>
          </reference>
          <reference field="4" count="1" selected="0">
            <x v="143"/>
          </reference>
          <reference field="5" count="1" selected="0">
            <x v="288"/>
          </reference>
          <reference field="7" count="1">
            <x v="38"/>
          </reference>
        </references>
      </pivotArea>
    </format>
    <format dxfId="2458">
      <pivotArea dataOnly="0" labelOnly="1" outline="0" fieldPosition="0">
        <references count="5">
          <reference field="0" count="1" selected="0">
            <x v="0"/>
          </reference>
          <reference field="3" count="1" selected="0">
            <x v="20"/>
          </reference>
          <reference field="4" count="1" selected="0">
            <x v="143"/>
          </reference>
          <reference field="5" count="1" selected="0">
            <x v="297"/>
          </reference>
          <reference field="7" count="1">
            <x v="982"/>
          </reference>
        </references>
      </pivotArea>
    </format>
    <format dxfId="2457">
      <pivotArea dataOnly="0" labelOnly="1" outline="0" fieldPosition="0">
        <references count="5">
          <reference field="0" count="1" selected="0">
            <x v="0"/>
          </reference>
          <reference field="3" count="1" selected="0">
            <x v="20"/>
          </reference>
          <reference field="4" count="1" selected="0">
            <x v="143"/>
          </reference>
          <reference field="5" count="1" selected="0">
            <x v="299"/>
          </reference>
          <reference field="7" count="1">
            <x v="984"/>
          </reference>
        </references>
      </pivotArea>
    </format>
    <format dxfId="2456">
      <pivotArea dataOnly="0" labelOnly="1" outline="0" fieldPosition="0">
        <references count="5">
          <reference field="0" count="1" selected="0">
            <x v="0"/>
          </reference>
          <reference field="3" count="1" selected="0">
            <x v="20"/>
          </reference>
          <reference field="4" count="1" selected="0">
            <x v="143"/>
          </reference>
          <reference field="5" count="1" selected="0">
            <x v="978"/>
          </reference>
          <reference field="7" count="1">
            <x v="297"/>
          </reference>
        </references>
      </pivotArea>
    </format>
    <format dxfId="2455">
      <pivotArea dataOnly="0" labelOnly="1" outline="0" fieldPosition="0">
        <references count="5">
          <reference field="0" count="1" selected="0">
            <x v="0"/>
          </reference>
          <reference field="3" count="1" selected="0">
            <x v="20"/>
          </reference>
          <reference field="4" count="1" selected="0">
            <x v="143"/>
          </reference>
          <reference field="5" count="1" selected="0">
            <x v="1004"/>
          </reference>
          <reference field="7" count="1">
            <x v="1282"/>
          </reference>
        </references>
      </pivotArea>
    </format>
    <format dxfId="2454">
      <pivotArea dataOnly="0" labelOnly="1" outline="0" fieldPosition="0">
        <references count="5">
          <reference field="0" count="1" selected="0">
            <x v="0"/>
          </reference>
          <reference field="3" count="1" selected="0">
            <x v="20"/>
          </reference>
          <reference field="4" count="1" selected="0">
            <x v="144"/>
          </reference>
          <reference field="5" count="1" selected="0">
            <x v="219"/>
          </reference>
          <reference field="7" count="1">
            <x v="365"/>
          </reference>
        </references>
      </pivotArea>
    </format>
    <format dxfId="2453">
      <pivotArea dataOnly="0" labelOnly="1" outline="0" fieldPosition="0">
        <references count="5">
          <reference field="0" count="1" selected="0">
            <x v="0"/>
          </reference>
          <reference field="3" count="1" selected="0">
            <x v="20"/>
          </reference>
          <reference field="4" count="1" selected="0">
            <x v="144"/>
          </reference>
          <reference field="5" count="1" selected="0">
            <x v="285"/>
          </reference>
          <reference field="7" count="1">
            <x v="619"/>
          </reference>
        </references>
      </pivotArea>
    </format>
    <format dxfId="2452">
      <pivotArea dataOnly="0" labelOnly="1" outline="0" fieldPosition="0">
        <references count="5">
          <reference field="0" count="1" selected="0">
            <x v="0"/>
          </reference>
          <reference field="3" count="1" selected="0">
            <x v="20"/>
          </reference>
          <reference field="4" count="1" selected="0">
            <x v="144"/>
          </reference>
          <reference field="5" count="1" selected="0">
            <x v="297"/>
          </reference>
          <reference field="7" count="1">
            <x v="982"/>
          </reference>
        </references>
      </pivotArea>
    </format>
    <format dxfId="2451">
      <pivotArea dataOnly="0" labelOnly="1" outline="0" fieldPosition="0">
        <references count="5">
          <reference field="0" count="1" selected="0">
            <x v="0"/>
          </reference>
          <reference field="3" count="1" selected="0">
            <x v="20"/>
          </reference>
          <reference field="4" count="1" selected="0">
            <x v="144"/>
          </reference>
          <reference field="5" count="1" selected="0">
            <x v="401"/>
          </reference>
          <reference field="7" count="1">
            <x v="1231"/>
          </reference>
        </references>
      </pivotArea>
    </format>
    <format dxfId="2450">
      <pivotArea dataOnly="0" labelOnly="1" outline="0" fieldPosition="0">
        <references count="5">
          <reference field="0" count="1" selected="0">
            <x v="0"/>
          </reference>
          <reference field="3" count="1" selected="0">
            <x v="20"/>
          </reference>
          <reference field="4" count="1" selected="0">
            <x v="144"/>
          </reference>
          <reference field="5" count="1" selected="0">
            <x v="402"/>
          </reference>
          <reference field="7" count="1">
            <x v="1232"/>
          </reference>
        </references>
      </pivotArea>
    </format>
    <format dxfId="2449">
      <pivotArea dataOnly="0" labelOnly="1" outline="0" fieldPosition="0">
        <references count="5">
          <reference field="0" count="1" selected="0">
            <x v="0"/>
          </reference>
          <reference field="3" count="1" selected="0">
            <x v="20"/>
          </reference>
          <reference field="4" count="1" selected="0">
            <x v="144"/>
          </reference>
          <reference field="5" count="1" selected="0">
            <x v="1002"/>
          </reference>
          <reference field="7" count="1">
            <x v="122"/>
          </reference>
        </references>
      </pivotArea>
    </format>
    <format dxfId="2448">
      <pivotArea dataOnly="0" labelOnly="1" outline="0" fieldPosition="0">
        <references count="5">
          <reference field="0" count="1" selected="0">
            <x v="0"/>
          </reference>
          <reference field="3" count="1" selected="0">
            <x v="20"/>
          </reference>
          <reference field="4" count="1" selected="0">
            <x v="145"/>
          </reference>
          <reference field="5" count="1" selected="0">
            <x v="67"/>
          </reference>
          <reference field="7" count="1">
            <x v="37"/>
          </reference>
        </references>
      </pivotArea>
    </format>
    <format dxfId="2447">
      <pivotArea dataOnly="0" labelOnly="1" outline="0" fieldPosition="0">
        <references count="5">
          <reference field="0" count="1" selected="0">
            <x v="0"/>
          </reference>
          <reference field="3" count="1" selected="0">
            <x v="20"/>
          </reference>
          <reference field="4" count="1" selected="0">
            <x v="145"/>
          </reference>
          <reference field="5" count="1" selected="0">
            <x v="229"/>
          </reference>
          <reference field="7" count="1">
            <x v="575"/>
          </reference>
        </references>
      </pivotArea>
    </format>
    <format dxfId="2446">
      <pivotArea dataOnly="0" labelOnly="1" outline="0" fieldPosition="0">
        <references count="5">
          <reference field="0" count="1" selected="0">
            <x v="0"/>
          </reference>
          <reference field="3" count="1" selected="0">
            <x v="20"/>
          </reference>
          <reference field="4" count="1" selected="0">
            <x v="145"/>
          </reference>
          <reference field="5" count="1" selected="0">
            <x v="998"/>
          </reference>
          <reference field="7" count="1">
            <x v="160"/>
          </reference>
        </references>
      </pivotArea>
    </format>
    <format dxfId="2445">
      <pivotArea dataOnly="0" labelOnly="1" outline="0" fieldPosition="0">
        <references count="5">
          <reference field="0" count="1" selected="0">
            <x v="0"/>
          </reference>
          <reference field="3" count="1" selected="0">
            <x v="20"/>
          </reference>
          <reference field="4" count="1" selected="0">
            <x v="145"/>
          </reference>
          <reference field="5" count="1" selected="0">
            <x v="1000"/>
          </reference>
          <reference field="7" count="1">
            <x v="923"/>
          </reference>
        </references>
      </pivotArea>
    </format>
    <format dxfId="2444">
      <pivotArea dataOnly="0" labelOnly="1" outline="0" fieldPosition="0">
        <references count="5">
          <reference field="0" count="1" selected="0">
            <x v="0"/>
          </reference>
          <reference field="3" count="1" selected="0">
            <x v="20"/>
          </reference>
          <reference field="4" count="1" selected="0">
            <x v="145"/>
          </reference>
          <reference field="5" count="1" selected="0">
            <x v="1001"/>
          </reference>
          <reference field="7" count="1">
            <x v="349"/>
          </reference>
        </references>
      </pivotArea>
    </format>
    <format dxfId="2443">
      <pivotArea dataOnly="0" labelOnly="1" outline="0" fieldPosition="0">
        <references count="5">
          <reference field="0" count="1" selected="0">
            <x v="0"/>
          </reference>
          <reference field="3" count="1" selected="0">
            <x v="20"/>
          </reference>
          <reference field="4" count="1" selected="0">
            <x v="146"/>
          </reference>
          <reference field="5" count="1" selected="0">
            <x v="57"/>
          </reference>
          <reference field="7" count="1">
            <x v="920"/>
          </reference>
        </references>
      </pivotArea>
    </format>
    <format dxfId="2442">
      <pivotArea dataOnly="0" labelOnly="1" outline="0" fieldPosition="0">
        <references count="5">
          <reference field="0" count="1" selected="0">
            <x v="0"/>
          </reference>
          <reference field="3" count="1" selected="0">
            <x v="20"/>
          </reference>
          <reference field="4" count="1" selected="0">
            <x v="146"/>
          </reference>
          <reference field="5" count="1" selected="0">
            <x v="219"/>
          </reference>
          <reference field="7" count="1">
            <x v="365"/>
          </reference>
        </references>
      </pivotArea>
    </format>
    <format dxfId="2441">
      <pivotArea dataOnly="0" labelOnly="1" outline="0" fieldPosition="0">
        <references count="5">
          <reference field="0" count="1" selected="0">
            <x v="0"/>
          </reference>
          <reference field="3" count="1" selected="0">
            <x v="20"/>
          </reference>
          <reference field="4" count="1" selected="0">
            <x v="146"/>
          </reference>
          <reference field="5" count="1" selected="0">
            <x v="401"/>
          </reference>
          <reference field="7" count="1">
            <x v="1231"/>
          </reference>
        </references>
      </pivotArea>
    </format>
    <format dxfId="2440">
      <pivotArea dataOnly="0" labelOnly="1" outline="0" fieldPosition="0">
        <references count="5">
          <reference field="0" count="1" selected="0">
            <x v="0"/>
          </reference>
          <reference field="3" count="1" selected="0">
            <x v="20"/>
          </reference>
          <reference field="4" count="1" selected="0">
            <x v="146"/>
          </reference>
          <reference field="5" count="1" selected="0">
            <x v="402"/>
          </reference>
          <reference field="7" count="1">
            <x v="1232"/>
          </reference>
        </references>
      </pivotArea>
    </format>
    <format dxfId="2439">
      <pivotArea dataOnly="0" labelOnly="1" outline="0" fieldPosition="0">
        <references count="5">
          <reference field="0" count="1" selected="0">
            <x v="0"/>
          </reference>
          <reference field="3" count="1" selected="0">
            <x v="20"/>
          </reference>
          <reference field="4" count="1" selected="0">
            <x v="146"/>
          </reference>
          <reference field="5" count="1" selected="0">
            <x v="997"/>
          </reference>
          <reference field="7" count="1">
            <x v="161"/>
          </reference>
        </references>
      </pivotArea>
    </format>
    <format dxfId="2438">
      <pivotArea dataOnly="0" labelOnly="1" outline="0" fieldPosition="0">
        <references count="5">
          <reference field="0" count="1" selected="0">
            <x v="0"/>
          </reference>
          <reference field="3" count="1" selected="0">
            <x v="20"/>
          </reference>
          <reference field="4" count="1" selected="0">
            <x v="146"/>
          </reference>
          <reference field="5" count="1" selected="0">
            <x v="1028"/>
          </reference>
          <reference field="7" count="1">
            <x v="1225"/>
          </reference>
        </references>
      </pivotArea>
    </format>
    <format dxfId="2437">
      <pivotArea dataOnly="0" labelOnly="1" outline="0" fieldPosition="0">
        <references count="5">
          <reference field="0" count="1" selected="0">
            <x v="0"/>
          </reference>
          <reference field="3" count="1" selected="0">
            <x v="20"/>
          </reference>
          <reference field="4" count="1" selected="0">
            <x v="146"/>
          </reference>
          <reference field="5" count="1" selected="0">
            <x v="1029"/>
          </reference>
          <reference field="7" count="1">
            <x v="1226"/>
          </reference>
        </references>
      </pivotArea>
    </format>
    <format dxfId="2436">
      <pivotArea dataOnly="0" labelOnly="1" outline="0" fieldPosition="0">
        <references count="5">
          <reference field="0" count="1" selected="0">
            <x v="0"/>
          </reference>
          <reference field="3" count="1" selected="0">
            <x v="20"/>
          </reference>
          <reference field="4" count="1" selected="0">
            <x v="147"/>
          </reference>
          <reference field="5" count="1" selected="0">
            <x v="67"/>
          </reference>
          <reference field="7" count="1">
            <x v="37"/>
          </reference>
        </references>
      </pivotArea>
    </format>
    <format dxfId="2435">
      <pivotArea dataOnly="0" labelOnly="1" outline="0" fieldPosition="0">
        <references count="5">
          <reference field="0" count="1" selected="0">
            <x v="0"/>
          </reference>
          <reference field="3" count="1" selected="0">
            <x v="20"/>
          </reference>
          <reference field="4" count="1" selected="0">
            <x v="147"/>
          </reference>
          <reference field="5" count="1" selected="0">
            <x v="229"/>
          </reference>
          <reference field="7" count="1">
            <x v="575"/>
          </reference>
        </references>
      </pivotArea>
    </format>
    <format dxfId="2434">
      <pivotArea dataOnly="0" labelOnly="1" outline="0" fieldPosition="0">
        <references count="5">
          <reference field="0" count="1" selected="0">
            <x v="0"/>
          </reference>
          <reference field="3" count="1" selected="0">
            <x v="20"/>
          </reference>
          <reference field="4" count="1" selected="0">
            <x v="147"/>
          </reference>
          <reference field="5" count="1" selected="0">
            <x v="998"/>
          </reference>
          <reference field="7" count="1">
            <x v="160"/>
          </reference>
        </references>
      </pivotArea>
    </format>
    <format dxfId="2433">
      <pivotArea dataOnly="0" labelOnly="1" outline="0" fieldPosition="0">
        <references count="5">
          <reference field="0" count="1" selected="0">
            <x v="0"/>
          </reference>
          <reference field="3" count="1" selected="0">
            <x v="20"/>
          </reference>
          <reference field="4" count="1" selected="0">
            <x v="147"/>
          </reference>
          <reference field="5" count="1" selected="0">
            <x v="1000"/>
          </reference>
          <reference field="7" count="1">
            <x v="923"/>
          </reference>
        </references>
      </pivotArea>
    </format>
    <format dxfId="2432">
      <pivotArea dataOnly="0" labelOnly="1" outline="0" fieldPosition="0">
        <references count="5">
          <reference field="0" count="1" selected="0">
            <x v="0"/>
          </reference>
          <reference field="3" count="1" selected="0">
            <x v="20"/>
          </reference>
          <reference field="4" count="1" selected="0">
            <x v="147"/>
          </reference>
          <reference field="5" count="1" selected="0">
            <x v="1001"/>
          </reference>
          <reference field="7" count="1">
            <x v="349"/>
          </reference>
        </references>
      </pivotArea>
    </format>
    <format dxfId="2431">
      <pivotArea dataOnly="0" labelOnly="1" outline="0" fieldPosition="0">
        <references count="5">
          <reference field="0" count="1" selected="0">
            <x v="0"/>
          </reference>
          <reference field="3" count="1" selected="0">
            <x v="20"/>
          </reference>
          <reference field="4" count="1" selected="0">
            <x v="148"/>
          </reference>
          <reference field="5" count="1" selected="0">
            <x v="223"/>
          </reference>
          <reference field="7" count="1">
            <x v="362"/>
          </reference>
        </references>
      </pivotArea>
    </format>
    <format dxfId="2430">
      <pivotArea dataOnly="0" labelOnly="1" outline="0" fieldPosition="0">
        <references count="5">
          <reference field="0" count="1" selected="0">
            <x v="0"/>
          </reference>
          <reference field="3" count="1" selected="0">
            <x v="20"/>
          </reference>
          <reference field="4" count="1" selected="0">
            <x v="148"/>
          </reference>
          <reference field="5" count="1" selected="0">
            <x v="273"/>
          </reference>
          <reference field="7" count="1">
            <x v="678"/>
          </reference>
        </references>
      </pivotArea>
    </format>
    <format dxfId="2429">
      <pivotArea dataOnly="0" labelOnly="1" outline="0" fieldPosition="0">
        <references count="5">
          <reference field="0" count="1" selected="0">
            <x v="0"/>
          </reference>
          <reference field="3" count="1" selected="0">
            <x v="20"/>
          </reference>
          <reference field="4" count="1" selected="0">
            <x v="148"/>
          </reference>
          <reference field="5" count="1" selected="0">
            <x v="307"/>
          </reference>
          <reference field="7" count="1">
            <x v="1285"/>
          </reference>
        </references>
      </pivotArea>
    </format>
    <format dxfId="2428">
      <pivotArea dataOnly="0" labelOnly="1" outline="0" fieldPosition="0">
        <references count="5">
          <reference field="0" count="1" selected="0">
            <x v="0"/>
          </reference>
          <reference field="3" count="1" selected="0">
            <x v="20"/>
          </reference>
          <reference field="4" count="1" selected="0">
            <x v="148"/>
          </reference>
          <reference field="5" count="1" selected="0">
            <x v="354"/>
          </reference>
          <reference field="7" count="1">
            <x v="1041"/>
          </reference>
        </references>
      </pivotArea>
    </format>
    <format dxfId="2427">
      <pivotArea dataOnly="0" labelOnly="1" outline="0" fieldPosition="0">
        <references count="5">
          <reference field="0" count="1" selected="0">
            <x v="0"/>
          </reference>
          <reference field="3" count="1" selected="0">
            <x v="20"/>
          </reference>
          <reference field="4" count="1" selected="0">
            <x v="148"/>
          </reference>
          <reference field="5" count="1" selected="0">
            <x v="1003"/>
          </reference>
          <reference field="7" count="1">
            <x v="272"/>
          </reference>
        </references>
      </pivotArea>
    </format>
    <format dxfId="2426">
      <pivotArea dataOnly="0" labelOnly="1" outline="0" fieldPosition="0">
        <references count="5">
          <reference field="0" count="1" selected="0">
            <x v="0"/>
          </reference>
          <reference field="3" count="1" selected="0">
            <x v="20"/>
          </reference>
          <reference field="4" count="1" selected="0">
            <x v="148"/>
          </reference>
          <reference field="5" count="1" selected="0">
            <x v="1027"/>
          </reference>
          <reference field="7" count="1">
            <x v="1229"/>
          </reference>
        </references>
      </pivotArea>
    </format>
    <format dxfId="2425">
      <pivotArea dataOnly="0" labelOnly="1" outline="0" fieldPosition="0">
        <references count="5">
          <reference field="0" count="1" selected="0">
            <x v="0"/>
          </reference>
          <reference field="3" count="1" selected="0">
            <x v="20"/>
          </reference>
          <reference field="4" count="1" selected="0">
            <x v="149"/>
          </reference>
          <reference field="5" count="1" selected="0">
            <x v="55"/>
          </reference>
          <reference field="7" count="1">
            <x v="17"/>
          </reference>
        </references>
      </pivotArea>
    </format>
    <format dxfId="2424">
      <pivotArea dataOnly="0" labelOnly="1" outline="0" fieldPosition="0">
        <references count="5">
          <reference field="0" count="1" selected="0">
            <x v="0"/>
          </reference>
          <reference field="3" count="1" selected="0">
            <x v="20"/>
          </reference>
          <reference field="4" count="1" selected="0">
            <x v="149"/>
          </reference>
          <reference field="5" count="1" selected="0">
            <x v="217"/>
          </reference>
          <reference field="7" count="1">
            <x v="1321"/>
          </reference>
        </references>
      </pivotArea>
    </format>
    <format dxfId="2423">
      <pivotArea dataOnly="0" labelOnly="1" outline="0" fieldPosition="0">
        <references count="5">
          <reference field="0" count="1" selected="0">
            <x v="0"/>
          </reference>
          <reference field="3" count="1" selected="0">
            <x v="20"/>
          </reference>
          <reference field="4" count="1" selected="0">
            <x v="149"/>
          </reference>
          <reference field="5" count="1" selected="0">
            <x v="232"/>
          </reference>
          <reference field="7" count="1">
            <x v="573"/>
          </reference>
        </references>
      </pivotArea>
    </format>
    <format dxfId="2422">
      <pivotArea dataOnly="0" labelOnly="1" outline="0" fieldPosition="0">
        <references count="5">
          <reference field="0" count="1" selected="0">
            <x v="0"/>
          </reference>
          <reference field="3" count="1" selected="0">
            <x v="20"/>
          </reference>
          <reference field="4" count="1" selected="0">
            <x v="149"/>
          </reference>
          <reference field="5" count="1" selected="0">
            <x v="979"/>
          </reference>
          <reference field="7" count="1">
            <x v="231"/>
          </reference>
        </references>
      </pivotArea>
    </format>
    <format dxfId="2421">
      <pivotArea dataOnly="0" labelOnly="1" outline="0" fieldPosition="0">
        <references count="5">
          <reference field="0" count="1" selected="0">
            <x v="0"/>
          </reference>
          <reference field="3" count="1" selected="0">
            <x v="20"/>
          </reference>
          <reference field="4" count="1" selected="0">
            <x v="149"/>
          </reference>
          <reference field="5" count="1" selected="0">
            <x v="984"/>
          </reference>
          <reference field="7" count="1">
            <x v="1222"/>
          </reference>
        </references>
      </pivotArea>
    </format>
    <format dxfId="2420">
      <pivotArea dataOnly="0" labelOnly="1" outline="0" fieldPosition="0">
        <references count="5">
          <reference field="0" count="1" selected="0">
            <x v="0"/>
          </reference>
          <reference field="3" count="1" selected="0">
            <x v="20"/>
          </reference>
          <reference field="4" count="1" selected="0">
            <x v="150"/>
          </reference>
          <reference field="5" count="1" selected="0">
            <x v="297"/>
          </reference>
          <reference field="7" count="1">
            <x v="982"/>
          </reference>
        </references>
      </pivotArea>
    </format>
    <format dxfId="2419">
      <pivotArea dataOnly="0" labelOnly="1" outline="0" fieldPosition="0">
        <references count="5">
          <reference field="0" count="1" selected="0">
            <x v="0"/>
          </reference>
          <reference field="3" count="1" selected="0">
            <x v="20"/>
          </reference>
          <reference field="4" count="1" selected="0">
            <x v="150"/>
          </reference>
          <reference field="5" count="1" selected="0">
            <x v="980"/>
          </reference>
          <reference field="7" count="1">
            <x v="232"/>
          </reference>
        </references>
      </pivotArea>
    </format>
    <format dxfId="2418">
      <pivotArea dataOnly="0" labelOnly="1" outline="0" fieldPosition="0">
        <references count="5">
          <reference field="0" count="1" selected="0">
            <x v="0"/>
          </reference>
          <reference field="3" count="1" selected="0">
            <x v="20"/>
          </reference>
          <reference field="4" count="1" selected="0">
            <x v="150"/>
          </reference>
          <reference field="5" count="1" selected="0">
            <x v="981"/>
          </reference>
          <reference field="7" count="1">
            <x v="921"/>
          </reference>
        </references>
      </pivotArea>
    </format>
    <format dxfId="2417">
      <pivotArea dataOnly="0" labelOnly="1" outline="0" fieldPosition="0">
        <references count="5">
          <reference field="0" count="1" selected="0">
            <x v="0"/>
          </reference>
          <reference field="3" count="1" selected="0">
            <x v="20"/>
          </reference>
          <reference field="4" count="1" selected="0">
            <x v="151"/>
          </reference>
          <reference field="5" count="1" selected="0">
            <x v="297"/>
          </reference>
          <reference field="7" count="1">
            <x v="982"/>
          </reference>
        </references>
      </pivotArea>
    </format>
    <format dxfId="2416">
      <pivotArea dataOnly="0" labelOnly="1" outline="0" fieldPosition="0">
        <references count="5">
          <reference field="0" count="1" selected="0">
            <x v="0"/>
          </reference>
          <reference field="3" count="1" selected="0">
            <x v="20"/>
          </reference>
          <reference field="4" count="1" selected="0">
            <x v="151"/>
          </reference>
          <reference field="5" count="1" selected="0">
            <x v="982"/>
          </reference>
          <reference field="7" count="1">
            <x v="233"/>
          </reference>
        </references>
      </pivotArea>
    </format>
    <format dxfId="2415">
      <pivotArea dataOnly="0" labelOnly="1" outline="0" fieldPosition="0">
        <references count="5">
          <reference field="0" count="1" selected="0">
            <x v="0"/>
          </reference>
          <reference field="3" count="1" selected="0">
            <x v="20"/>
          </reference>
          <reference field="4" count="1" selected="0">
            <x v="151"/>
          </reference>
          <reference field="5" count="1" selected="0">
            <x v="983"/>
          </reference>
          <reference field="7" count="1">
            <x v="922"/>
          </reference>
        </references>
      </pivotArea>
    </format>
    <format dxfId="2414">
      <pivotArea dataOnly="0" labelOnly="1" outline="0" fieldPosition="0">
        <references count="5">
          <reference field="0" count="1" selected="0">
            <x v="0"/>
          </reference>
          <reference field="3" count="1" selected="0">
            <x v="20"/>
          </reference>
          <reference field="4" count="1" selected="0">
            <x v="152"/>
          </reference>
          <reference field="5" count="1" selected="0">
            <x v="153"/>
          </reference>
          <reference field="7" count="1">
            <x v="1013"/>
          </reference>
        </references>
      </pivotArea>
    </format>
    <format dxfId="2413">
      <pivotArea dataOnly="0" labelOnly="1" outline="0" fieldPosition="0">
        <references count="5">
          <reference field="0" count="1" selected="0">
            <x v="0"/>
          </reference>
          <reference field="3" count="1" selected="0">
            <x v="20"/>
          </reference>
          <reference field="4" count="1" selected="0">
            <x v="152"/>
          </reference>
          <reference field="5" count="1" selected="0">
            <x v="183"/>
          </reference>
          <reference field="7" count="1">
            <x v="688"/>
          </reference>
        </references>
      </pivotArea>
    </format>
    <format dxfId="2412">
      <pivotArea dataOnly="0" labelOnly="1" outline="0" fieldPosition="0">
        <references count="5">
          <reference field="0" count="1" selected="0">
            <x v="0"/>
          </reference>
          <reference field="3" count="1" selected="0">
            <x v="20"/>
          </reference>
          <reference field="4" count="1" selected="0">
            <x v="152"/>
          </reference>
          <reference field="5" count="1" selected="0">
            <x v="985"/>
          </reference>
          <reference field="7" count="1">
            <x v="1439"/>
          </reference>
        </references>
      </pivotArea>
    </format>
    <format dxfId="2411">
      <pivotArea dataOnly="0" labelOnly="1" outline="0" fieldPosition="0">
        <references count="5">
          <reference field="0" count="1" selected="0">
            <x v="0"/>
          </reference>
          <reference field="3" count="1" selected="0">
            <x v="20"/>
          </reference>
          <reference field="4" count="1" selected="0">
            <x v="153"/>
          </reference>
          <reference field="5" count="1" selected="0">
            <x v="82"/>
          </reference>
          <reference field="7" count="1">
            <x v="31"/>
          </reference>
        </references>
      </pivotArea>
    </format>
    <format dxfId="2410">
      <pivotArea dataOnly="0" labelOnly="1" outline="0" fieldPosition="0">
        <references count="5">
          <reference field="0" count="1" selected="0">
            <x v="0"/>
          </reference>
          <reference field="3" count="1" selected="0">
            <x v="20"/>
          </reference>
          <reference field="4" count="1" selected="0">
            <x v="153"/>
          </reference>
          <reference field="5" count="1" selected="0">
            <x v="226"/>
          </reference>
          <reference field="7" count="1">
            <x v="569"/>
          </reference>
        </references>
      </pivotArea>
    </format>
    <format dxfId="2409">
      <pivotArea dataOnly="0" labelOnly="1" outline="0" fieldPosition="0">
        <references count="5">
          <reference field="0" count="1" selected="0">
            <x v="0"/>
          </reference>
          <reference field="3" count="1" selected="0">
            <x v="20"/>
          </reference>
          <reference field="4" count="1" selected="0">
            <x v="153"/>
          </reference>
          <reference field="5" count="1" selected="0">
            <x v="231"/>
          </reference>
          <reference field="7" count="1">
            <x v="572"/>
          </reference>
        </references>
      </pivotArea>
    </format>
    <format dxfId="2408">
      <pivotArea dataOnly="0" labelOnly="1" outline="0" fieldPosition="0">
        <references count="5">
          <reference field="0" count="1" selected="0">
            <x v="0"/>
          </reference>
          <reference field="3" count="1" selected="0">
            <x v="20"/>
          </reference>
          <reference field="4" count="1" selected="0">
            <x v="153"/>
          </reference>
          <reference field="5" count="1" selected="0">
            <x v="986"/>
          </reference>
          <reference field="7" count="1">
            <x v="256"/>
          </reference>
        </references>
      </pivotArea>
    </format>
    <format dxfId="2407">
      <pivotArea dataOnly="0" labelOnly="1" outline="0" fieldPosition="0">
        <references count="5">
          <reference field="0" count="1" selected="0">
            <x v="0"/>
          </reference>
          <reference field="3" count="1" selected="0">
            <x v="20"/>
          </reference>
          <reference field="4" count="1" selected="0">
            <x v="153"/>
          </reference>
          <reference field="5" count="1" selected="0">
            <x v="987"/>
          </reference>
          <reference field="7" count="1">
            <x v="951"/>
          </reference>
        </references>
      </pivotArea>
    </format>
    <format dxfId="2406">
      <pivotArea dataOnly="0" labelOnly="1" outline="0" fieldPosition="0">
        <references count="5">
          <reference field="0" count="1" selected="0">
            <x v="0"/>
          </reference>
          <reference field="3" count="1" selected="0">
            <x v="20"/>
          </reference>
          <reference field="4" count="1" selected="0">
            <x v="153"/>
          </reference>
          <reference field="5" count="1" selected="0">
            <x v="993"/>
          </reference>
          <reference field="7" count="1">
            <x v="1109"/>
          </reference>
        </references>
      </pivotArea>
    </format>
    <format dxfId="2405">
      <pivotArea dataOnly="0" labelOnly="1" outline="0" fieldPosition="0">
        <references count="5">
          <reference field="0" count="1" selected="0">
            <x v="0"/>
          </reference>
          <reference field="3" count="1" selected="0">
            <x v="20"/>
          </reference>
          <reference field="4" count="1" selected="0">
            <x v="154"/>
          </reference>
          <reference field="5" count="1" selected="0">
            <x v="297"/>
          </reference>
          <reference field="7" count="1">
            <x v="982"/>
          </reference>
        </references>
      </pivotArea>
    </format>
    <format dxfId="2404">
      <pivotArea dataOnly="0" labelOnly="1" outline="0" fieldPosition="0">
        <references count="5">
          <reference field="0" count="1" selected="0">
            <x v="0"/>
          </reference>
          <reference field="3" count="1" selected="0">
            <x v="20"/>
          </reference>
          <reference field="4" count="1" selected="0">
            <x v="154"/>
          </reference>
          <reference field="5" count="1" selected="0">
            <x v="305"/>
          </reference>
          <reference field="7" count="1">
            <x v="664"/>
          </reference>
        </references>
      </pivotArea>
    </format>
    <format dxfId="2403">
      <pivotArea dataOnly="0" labelOnly="1" outline="0" fieldPosition="0">
        <references count="5">
          <reference field="0" count="1" selected="0">
            <x v="0"/>
          </reference>
          <reference field="3" count="1" selected="0">
            <x v="20"/>
          </reference>
          <reference field="4" count="1" selected="0">
            <x v="154"/>
          </reference>
          <reference field="5" count="1" selected="0">
            <x v="307"/>
          </reference>
          <reference field="7" count="1">
            <x v="1285"/>
          </reference>
        </references>
      </pivotArea>
    </format>
    <format dxfId="2402">
      <pivotArea dataOnly="0" labelOnly="1" outline="0" fieldPosition="0">
        <references count="5">
          <reference field="0" count="1" selected="0">
            <x v="0"/>
          </reference>
          <reference field="3" count="1" selected="0">
            <x v="20"/>
          </reference>
          <reference field="4" count="1" selected="0">
            <x v="154"/>
          </reference>
          <reference field="5" count="1" selected="0">
            <x v="989"/>
          </reference>
          <reference field="7" count="1">
            <x v="254"/>
          </reference>
        </references>
      </pivotArea>
    </format>
    <format dxfId="2401">
      <pivotArea dataOnly="0" labelOnly="1" outline="0" fieldPosition="0">
        <references count="5">
          <reference field="0" count="1" selected="0">
            <x v="0"/>
          </reference>
          <reference field="3" count="1" selected="0">
            <x v="20"/>
          </reference>
          <reference field="4" count="1" selected="0">
            <x v="154"/>
          </reference>
          <reference field="5" count="1" selected="0">
            <x v="990"/>
          </reference>
          <reference field="7" count="1">
            <x v="1107"/>
          </reference>
        </references>
      </pivotArea>
    </format>
    <format dxfId="2400">
      <pivotArea dataOnly="0" labelOnly="1" outline="0" fieldPosition="0">
        <references count="5">
          <reference field="0" count="1" selected="0">
            <x v="0"/>
          </reference>
          <reference field="3" count="1" selected="0">
            <x v="20"/>
          </reference>
          <reference field="4" count="1" selected="0">
            <x v="155"/>
          </reference>
          <reference field="5" count="1" selected="0">
            <x v="297"/>
          </reference>
          <reference field="7" count="1">
            <x v="982"/>
          </reference>
        </references>
      </pivotArea>
    </format>
    <format dxfId="2399">
      <pivotArea dataOnly="0" labelOnly="1" outline="0" fieldPosition="0">
        <references count="5">
          <reference field="0" count="1" selected="0">
            <x v="0"/>
          </reference>
          <reference field="3" count="1" selected="0">
            <x v="20"/>
          </reference>
          <reference field="4" count="1" selected="0">
            <x v="155"/>
          </reference>
          <reference field="5" count="1" selected="0">
            <x v="305"/>
          </reference>
          <reference field="7" count="1">
            <x v="664"/>
          </reference>
        </references>
      </pivotArea>
    </format>
    <format dxfId="2398">
      <pivotArea dataOnly="0" labelOnly="1" outline="0" fieldPosition="0">
        <references count="5">
          <reference field="0" count="1" selected="0">
            <x v="0"/>
          </reference>
          <reference field="3" count="1" selected="0">
            <x v="20"/>
          </reference>
          <reference field="4" count="1" selected="0">
            <x v="155"/>
          </reference>
          <reference field="5" count="1" selected="0">
            <x v="307"/>
          </reference>
          <reference field="7" count="1">
            <x v="1285"/>
          </reference>
        </references>
      </pivotArea>
    </format>
    <format dxfId="2397">
      <pivotArea dataOnly="0" labelOnly="1" outline="0" fieldPosition="0">
        <references count="5">
          <reference field="0" count="1" selected="0">
            <x v="0"/>
          </reference>
          <reference field="3" count="1" selected="0">
            <x v="20"/>
          </reference>
          <reference field="4" count="1" selected="0">
            <x v="155"/>
          </reference>
          <reference field="5" count="1" selected="0">
            <x v="991"/>
          </reference>
          <reference field="7" count="1">
            <x v="255"/>
          </reference>
        </references>
      </pivotArea>
    </format>
    <format dxfId="2396">
      <pivotArea dataOnly="0" labelOnly="1" outline="0" fieldPosition="0">
        <references count="5">
          <reference field="0" count="1" selected="0">
            <x v="0"/>
          </reference>
          <reference field="3" count="1" selected="0">
            <x v="20"/>
          </reference>
          <reference field="4" count="1" selected="0">
            <x v="155"/>
          </reference>
          <reference field="5" count="1" selected="0">
            <x v="992"/>
          </reference>
          <reference field="7" count="1">
            <x v="1108"/>
          </reference>
        </references>
      </pivotArea>
    </format>
    <format dxfId="2395">
      <pivotArea dataOnly="0" labelOnly="1" outline="0" fieldPosition="0">
        <references count="5">
          <reference field="0" count="1" selected="0">
            <x v="0"/>
          </reference>
          <reference field="3" count="1" selected="0">
            <x v="20"/>
          </reference>
          <reference field="4" count="1" selected="0">
            <x v="156"/>
          </reference>
          <reference field="5" count="1" selected="0">
            <x v="305"/>
          </reference>
          <reference field="7" count="1">
            <x v="664"/>
          </reference>
        </references>
      </pivotArea>
    </format>
    <format dxfId="2394">
      <pivotArea dataOnly="0" labelOnly="1" outline="0" fieldPosition="0">
        <references count="5">
          <reference field="0" count="1" selected="0">
            <x v="0"/>
          </reference>
          <reference field="3" count="1" selected="0">
            <x v="20"/>
          </reference>
          <reference field="4" count="1" selected="0">
            <x v="156"/>
          </reference>
          <reference field="5" count="1" selected="0">
            <x v="994"/>
          </reference>
          <reference field="7" count="1">
            <x v="270"/>
          </reference>
        </references>
      </pivotArea>
    </format>
    <format dxfId="2393">
      <pivotArea dataOnly="0" labelOnly="1" outline="0" fieldPosition="0">
        <references count="5">
          <reference field="0" count="1" selected="0">
            <x v="0"/>
          </reference>
          <reference field="3" count="1" selected="0">
            <x v="20"/>
          </reference>
          <reference field="4" count="1" selected="0">
            <x v="156"/>
          </reference>
          <reference field="5" count="1" selected="0">
            <x v="995"/>
          </reference>
          <reference field="7" count="1">
            <x v="1227"/>
          </reference>
        </references>
      </pivotArea>
    </format>
    <format dxfId="2392">
      <pivotArea dataOnly="0" labelOnly="1" outline="0" fieldPosition="0">
        <references count="5">
          <reference field="0" count="1" selected="0">
            <x v="0"/>
          </reference>
          <reference field="3" count="1" selected="0">
            <x v="20"/>
          </reference>
          <reference field="4" count="1" selected="0">
            <x v="157"/>
          </reference>
          <reference field="5" count="1" selected="0">
            <x v="305"/>
          </reference>
          <reference field="7" count="1">
            <x v="664"/>
          </reference>
        </references>
      </pivotArea>
    </format>
    <format dxfId="2391">
      <pivotArea dataOnly="0" labelOnly="1" outline="0" fieldPosition="0">
        <references count="5">
          <reference field="0" count="1" selected="0">
            <x v="0"/>
          </reference>
          <reference field="3" count="1" selected="0">
            <x v="20"/>
          </reference>
          <reference field="4" count="1" selected="0">
            <x v="157"/>
          </reference>
          <reference field="5" count="1" selected="0">
            <x v="996"/>
          </reference>
          <reference field="7" count="1">
            <x v="271"/>
          </reference>
        </references>
      </pivotArea>
    </format>
    <format dxfId="2390">
      <pivotArea dataOnly="0" labelOnly="1" outline="0" fieldPosition="0">
        <references count="5">
          <reference field="0" count="1" selected="0">
            <x v="0"/>
          </reference>
          <reference field="3" count="1" selected="0">
            <x v="20"/>
          </reference>
          <reference field="4" count="1" selected="0">
            <x v="157"/>
          </reference>
          <reference field="5" count="1" selected="0">
            <x v="997"/>
          </reference>
          <reference field="7" count="1">
            <x v="1228"/>
          </reference>
        </references>
      </pivotArea>
    </format>
    <format dxfId="2389">
      <pivotArea dataOnly="0" labelOnly="1" outline="0" fieldPosition="0">
        <references count="5">
          <reference field="0" count="1" selected="0">
            <x v="0"/>
          </reference>
          <reference field="3" count="1" selected="0">
            <x v="20"/>
          </reference>
          <reference field="4" count="1" selected="0">
            <x v="158"/>
          </reference>
          <reference field="5" count="1" selected="0">
            <x v="221"/>
          </reference>
          <reference field="7" count="1">
            <x v="360"/>
          </reference>
        </references>
      </pivotArea>
    </format>
    <format dxfId="2388">
      <pivotArea dataOnly="0" labelOnly="1" outline="0" fieldPosition="0">
        <references count="5">
          <reference field="0" count="1" selected="0">
            <x v="0"/>
          </reference>
          <reference field="3" count="1" selected="0">
            <x v="20"/>
          </reference>
          <reference field="4" count="1" selected="0">
            <x v="158"/>
          </reference>
          <reference field="5" count="1" selected="0">
            <x v="286"/>
          </reference>
          <reference field="7" count="1">
            <x v="620"/>
          </reference>
        </references>
      </pivotArea>
    </format>
    <format dxfId="2387">
      <pivotArea dataOnly="0" labelOnly="1" outline="0" fieldPosition="0">
        <references count="5">
          <reference field="0" count="1" selected="0">
            <x v="0"/>
          </reference>
          <reference field="3" count="1" selected="0">
            <x v="20"/>
          </reference>
          <reference field="4" count="1" selected="0">
            <x v="158"/>
          </reference>
          <reference field="5" count="1" selected="0">
            <x v="298"/>
          </reference>
          <reference field="7" count="1">
            <x v="983"/>
          </reference>
        </references>
      </pivotArea>
    </format>
    <format dxfId="2386">
      <pivotArea dataOnly="0" labelOnly="1" outline="0" fieldPosition="0">
        <references count="5">
          <reference field="0" count="1" selected="0">
            <x v="0"/>
          </reference>
          <reference field="3" count="1" selected="0">
            <x v="20"/>
          </reference>
          <reference field="4" count="1" selected="0">
            <x v="158"/>
          </reference>
          <reference field="5" count="1" selected="0">
            <x v="317"/>
          </reference>
          <reference field="7" count="1">
            <x v="1617"/>
          </reference>
        </references>
      </pivotArea>
    </format>
    <format dxfId="2385">
      <pivotArea dataOnly="0" labelOnly="1" outline="0" fieldPosition="0">
        <references count="5">
          <reference field="0" count="1" selected="0">
            <x v="0"/>
          </reference>
          <reference field="3" count="1" selected="0">
            <x v="20"/>
          </reference>
          <reference field="4" count="1" selected="0">
            <x v="158"/>
          </reference>
          <reference field="5" count="1" selected="0">
            <x v="1005"/>
          </reference>
          <reference field="7" count="1">
            <x v="276"/>
          </reference>
        </references>
      </pivotArea>
    </format>
    <format dxfId="2384">
      <pivotArea dataOnly="0" labelOnly="1" outline="0" fieldPosition="0">
        <references count="5">
          <reference field="0" count="1" selected="0">
            <x v="0"/>
          </reference>
          <reference field="3" count="1" selected="0">
            <x v="20"/>
          </reference>
          <reference field="4" count="1" selected="0">
            <x v="158"/>
          </reference>
          <reference field="5" count="1" selected="0">
            <x v="1016"/>
          </reference>
          <reference field="7" count="1">
            <x v="1281"/>
          </reference>
        </references>
      </pivotArea>
    </format>
    <format dxfId="2383">
      <pivotArea dataOnly="0" labelOnly="1" outline="0" fieldPosition="0">
        <references count="5">
          <reference field="0" count="1" selected="0">
            <x v="0"/>
          </reference>
          <reference field="3" count="1" selected="0">
            <x v="20"/>
          </reference>
          <reference field="4" count="1" selected="0">
            <x v="159"/>
          </reference>
          <reference field="5" count="1" selected="0">
            <x v="83"/>
          </reference>
          <reference field="7" count="1">
            <x v="33"/>
          </reference>
        </references>
      </pivotArea>
    </format>
    <format dxfId="2382">
      <pivotArea dataOnly="0" labelOnly="1" outline="0" fieldPosition="0">
        <references count="5">
          <reference field="0" count="1" selected="0">
            <x v="0"/>
          </reference>
          <reference field="3" count="1" selected="0">
            <x v="20"/>
          </reference>
          <reference field="4" count="1" selected="0">
            <x v="159"/>
          </reference>
          <reference field="5" count="1" selected="0">
            <x v="220"/>
          </reference>
          <reference field="7" count="1">
            <x v="364"/>
          </reference>
        </references>
      </pivotArea>
    </format>
    <format dxfId="2381">
      <pivotArea dataOnly="0" labelOnly="1" outline="0" fieldPosition="0">
        <references count="5">
          <reference field="0" count="1" selected="0">
            <x v="0"/>
          </reference>
          <reference field="3" count="1" selected="0">
            <x v="20"/>
          </reference>
          <reference field="4" count="1" selected="0">
            <x v="159"/>
          </reference>
          <reference field="5" count="1" selected="0">
            <x v="285"/>
          </reference>
          <reference field="7" count="1">
            <x v="619"/>
          </reference>
        </references>
      </pivotArea>
    </format>
    <format dxfId="2380">
      <pivotArea dataOnly="0" labelOnly="1" outline="0" fieldPosition="0">
        <references count="5">
          <reference field="0" count="1" selected="0">
            <x v="0"/>
          </reference>
          <reference field="3" count="1" selected="0">
            <x v="20"/>
          </reference>
          <reference field="4" count="1" selected="0">
            <x v="159"/>
          </reference>
          <reference field="5" count="1" selected="0">
            <x v="297"/>
          </reference>
          <reference field="7" count="1">
            <x v="982"/>
          </reference>
        </references>
      </pivotArea>
    </format>
    <format dxfId="2379">
      <pivotArea dataOnly="0" labelOnly="1" outline="0" fieldPosition="0">
        <references count="5">
          <reference field="0" count="1" selected="0">
            <x v="0"/>
          </reference>
          <reference field="3" count="1" selected="0">
            <x v="20"/>
          </reference>
          <reference field="4" count="1" selected="0">
            <x v="159"/>
          </reference>
          <reference field="5" count="1" selected="0">
            <x v="1012"/>
          </reference>
          <reference field="7" count="1">
            <x v="1280"/>
          </reference>
        </references>
      </pivotArea>
    </format>
    <format dxfId="2378">
      <pivotArea dataOnly="0" labelOnly="1" outline="0" fieldPosition="0">
        <references count="5">
          <reference field="0" count="1" selected="0">
            <x v="0"/>
          </reference>
          <reference field="3" count="1" selected="0">
            <x v="20"/>
          </reference>
          <reference field="4" count="1" selected="0">
            <x v="159"/>
          </reference>
          <reference field="5" count="1" selected="0">
            <x v="1013"/>
          </reference>
          <reference field="7" count="1">
            <x v="274"/>
          </reference>
        </references>
      </pivotArea>
    </format>
    <format dxfId="2377">
      <pivotArea dataOnly="0" labelOnly="1" outline="0" fieldPosition="0">
        <references count="5">
          <reference field="0" count="1" selected="0">
            <x v="0"/>
          </reference>
          <reference field="3" count="1" selected="0">
            <x v="20"/>
          </reference>
          <reference field="4" count="1" selected="0">
            <x v="159"/>
          </reference>
          <reference field="5" count="1" selected="0">
            <x v="1014"/>
          </reference>
          <reference field="7" count="1">
            <x v="1275"/>
          </reference>
        </references>
      </pivotArea>
    </format>
    <format dxfId="2376">
      <pivotArea dataOnly="0" labelOnly="1" outline="0" fieldPosition="0">
        <references count="5">
          <reference field="0" count="1" selected="0">
            <x v="0"/>
          </reference>
          <reference field="3" count="1" selected="0">
            <x v="20"/>
          </reference>
          <reference field="4" count="1" selected="0">
            <x v="159"/>
          </reference>
          <reference field="5" count="1" selected="0">
            <x v="1015"/>
          </reference>
          <reference field="7" count="1">
            <x v="1274"/>
          </reference>
        </references>
      </pivotArea>
    </format>
    <format dxfId="2375">
      <pivotArea dataOnly="0" labelOnly="1" outline="0" fieldPosition="0">
        <references count="5">
          <reference field="0" count="1" selected="0">
            <x v="0"/>
          </reference>
          <reference field="3" count="1" selected="0">
            <x v="20"/>
          </reference>
          <reference field="4" count="1" selected="0">
            <x v="160"/>
          </reference>
          <reference field="5" count="1" selected="0">
            <x v="83"/>
          </reference>
          <reference field="7" count="1">
            <x v="33"/>
          </reference>
        </references>
      </pivotArea>
    </format>
    <format dxfId="2374">
      <pivotArea dataOnly="0" labelOnly="1" outline="0" fieldPosition="0">
        <references count="5">
          <reference field="0" count="1" selected="0">
            <x v="0"/>
          </reference>
          <reference field="3" count="1" selected="0">
            <x v="20"/>
          </reference>
          <reference field="4" count="1" selected="0">
            <x v="160"/>
          </reference>
          <reference field="5" count="1" selected="0">
            <x v="220"/>
          </reference>
          <reference field="7" count="1">
            <x v="364"/>
          </reference>
        </references>
      </pivotArea>
    </format>
    <format dxfId="2373">
      <pivotArea dataOnly="0" labelOnly="1" outline="0" fieldPosition="0">
        <references count="5">
          <reference field="0" count="1" selected="0">
            <x v="0"/>
          </reference>
          <reference field="3" count="1" selected="0">
            <x v="20"/>
          </reference>
          <reference field="4" count="1" selected="0">
            <x v="160"/>
          </reference>
          <reference field="5" count="1" selected="0">
            <x v="285"/>
          </reference>
          <reference field="7" count="1">
            <x v="619"/>
          </reference>
        </references>
      </pivotArea>
    </format>
    <format dxfId="2372">
      <pivotArea dataOnly="0" labelOnly="1" outline="0" fieldPosition="0">
        <references count="5">
          <reference field="0" count="1" selected="0">
            <x v="0"/>
          </reference>
          <reference field="3" count="1" selected="0">
            <x v="20"/>
          </reference>
          <reference field="4" count="1" selected="0">
            <x v="160"/>
          </reference>
          <reference field="5" count="1" selected="0">
            <x v="297"/>
          </reference>
          <reference field="7" count="1">
            <x v="982"/>
          </reference>
        </references>
      </pivotArea>
    </format>
    <format dxfId="2371">
      <pivotArea dataOnly="0" labelOnly="1" outline="0" fieldPosition="0">
        <references count="5">
          <reference field="0" count="1" selected="0">
            <x v="0"/>
          </reference>
          <reference field="3" count="1" selected="0">
            <x v="20"/>
          </reference>
          <reference field="4" count="1" selected="0">
            <x v="160"/>
          </reference>
          <reference field="5" count="1" selected="0">
            <x v="1006"/>
          </reference>
          <reference field="7" count="1">
            <x v="275"/>
          </reference>
        </references>
      </pivotArea>
    </format>
    <format dxfId="2370">
      <pivotArea dataOnly="0" labelOnly="1" outline="0" fieldPosition="0">
        <references count="5">
          <reference field="0" count="1" selected="0">
            <x v="0"/>
          </reference>
          <reference field="3" count="1" selected="0">
            <x v="20"/>
          </reference>
          <reference field="4" count="1" selected="0">
            <x v="160"/>
          </reference>
          <reference field="5" count="1" selected="0">
            <x v="1007"/>
          </reference>
          <reference field="7" count="1">
            <x v="1279"/>
          </reference>
        </references>
      </pivotArea>
    </format>
    <format dxfId="2369">
      <pivotArea dataOnly="0" labelOnly="1" outline="0" fieldPosition="0">
        <references count="5">
          <reference field="0" count="1" selected="0">
            <x v="0"/>
          </reference>
          <reference field="3" count="1" selected="0">
            <x v="20"/>
          </reference>
          <reference field="4" count="1" selected="0">
            <x v="160"/>
          </reference>
          <reference field="5" count="1" selected="0">
            <x v="1008"/>
          </reference>
          <reference field="7" count="1">
            <x v="1278"/>
          </reference>
        </references>
      </pivotArea>
    </format>
    <format dxfId="2368">
      <pivotArea dataOnly="0" labelOnly="1" outline="0" fieldPosition="0">
        <references count="5">
          <reference field="0" count="1" selected="0">
            <x v="0"/>
          </reference>
          <reference field="3" count="1" selected="0">
            <x v="20"/>
          </reference>
          <reference field="4" count="1" selected="0">
            <x v="160"/>
          </reference>
          <reference field="5" count="1" selected="0">
            <x v="1009"/>
          </reference>
          <reference field="7" count="1">
            <x v="1277"/>
          </reference>
        </references>
      </pivotArea>
    </format>
    <format dxfId="2367">
      <pivotArea dataOnly="0" labelOnly="1" outline="0" fieldPosition="0">
        <references count="5">
          <reference field="0" count="1" selected="0">
            <x v="0"/>
          </reference>
          <reference field="3" count="1" selected="0">
            <x v="20"/>
          </reference>
          <reference field="4" count="1" selected="0">
            <x v="160"/>
          </reference>
          <reference field="5" count="1" selected="0">
            <x v="1011"/>
          </reference>
          <reference field="7" count="1">
            <x v="1276"/>
          </reference>
        </references>
      </pivotArea>
    </format>
    <format dxfId="2366">
      <pivotArea dataOnly="0" labelOnly="1" outline="0" fieldPosition="0">
        <references count="5">
          <reference field="0" count="1" selected="0">
            <x v="0"/>
          </reference>
          <reference field="3" count="1" selected="0">
            <x v="20"/>
          </reference>
          <reference field="4" count="1" selected="0">
            <x v="160"/>
          </reference>
          <reference field="5" count="1" selected="0">
            <x v="1012"/>
          </reference>
          <reference field="7" count="1">
            <x v="1280"/>
          </reference>
        </references>
      </pivotArea>
    </format>
    <format dxfId="2365">
      <pivotArea dataOnly="0" labelOnly="1" outline="0" fieldPosition="0">
        <references count="5">
          <reference field="0" count="1" selected="0">
            <x v="0"/>
          </reference>
          <reference field="3" count="1" selected="0">
            <x v="20"/>
          </reference>
          <reference field="4" count="1" selected="0">
            <x v="161"/>
          </reference>
          <reference field="5" count="1" selected="0">
            <x v="185"/>
          </reference>
          <reference field="7" count="1">
            <x v="1339"/>
          </reference>
        </references>
      </pivotArea>
    </format>
    <format dxfId="2364">
      <pivotArea dataOnly="0" labelOnly="1" outline="0" fieldPosition="0">
        <references count="5">
          <reference field="0" count="1" selected="0">
            <x v="0"/>
          </reference>
          <reference field="3" count="1" selected="0">
            <x v="20"/>
          </reference>
          <reference field="4" count="1" selected="0">
            <x v="161"/>
          </reference>
          <reference field="5" count="1" selected="0">
            <x v="207"/>
          </reference>
          <reference field="7" count="1">
            <x v="679"/>
          </reference>
        </references>
      </pivotArea>
    </format>
    <format dxfId="2363">
      <pivotArea dataOnly="0" labelOnly="1" outline="0" fieldPosition="0">
        <references count="5">
          <reference field="0" count="1" selected="0">
            <x v="0"/>
          </reference>
          <reference field="3" count="1" selected="0">
            <x v="20"/>
          </reference>
          <reference field="4" count="1" selected="0">
            <x v="161"/>
          </reference>
          <reference field="5" count="1" selected="0">
            <x v="298"/>
          </reference>
          <reference field="7" count="1">
            <x v="983"/>
          </reference>
        </references>
      </pivotArea>
    </format>
    <format dxfId="2362">
      <pivotArea dataOnly="0" labelOnly="1" outline="0" fieldPosition="0">
        <references count="5">
          <reference field="0" count="1" selected="0">
            <x v="0"/>
          </reference>
          <reference field="3" count="1" selected="0">
            <x v="20"/>
          </reference>
          <reference field="4" count="1" selected="0">
            <x v="161"/>
          </reference>
          <reference field="5" count="1" selected="0">
            <x v="312"/>
          </reference>
          <reference field="7" count="1">
            <x v="1550"/>
          </reference>
        </references>
      </pivotArea>
    </format>
    <format dxfId="2361">
      <pivotArea dataOnly="0" labelOnly="1" outline="0" fieldPosition="0">
        <references count="5">
          <reference field="0" count="1" selected="0">
            <x v="0"/>
          </reference>
          <reference field="3" count="1" selected="0">
            <x v="20"/>
          </reference>
          <reference field="4" count="1" selected="0">
            <x v="161"/>
          </reference>
          <reference field="5" count="1" selected="0">
            <x v="1019"/>
          </reference>
          <reference field="7" count="1">
            <x v="1506"/>
          </reference>
        </references>
      </pivotArea>
    </format>
    <format dxfId="2360">
      <pivotArea dataOnly="0" labelOnly="1" outline="0" fieldPosition="0">
        <references count="5">
          <reference field="0" count="1" selected="0">
            <x v="0"/>
          </reference>
          <reference field="3" count="1" selected="0">
            <x v="20"/>
          </reference>
          <reference field="4" count="1" selected="0">
            <x v="161"/>
          </reference>
          <reference field="5" count="1" selected="0">
            <x v="1026"/>
          </reference>
          <reference field="7" count="1">
            <x v="311"/>
          </reference>
        </references>
      </pivotArea>
    </format>
    <format dxfId="2359">
      <pivotArea dataOnly="0" labelOnly="1" outline="0" fieldPosition="0">
        <references count="5">
          <reference field="0" count="1" selected="0">
            <x v="0"/>
          </reference>
          <reference field="3" count="1" selected="0">
            <x v="20"/>
          </reference>
          <reference field="4" count="1" selected="0">
            <x v="162"/>
          </reference>
          <reference field="5" count="1" selected="0">
            <x v="185"/>
          </reference>
          <reference field="7" count="1">
            <x v="1339"/>
          </reference>
        </references>
      </pivotArea>
    </format>
    <format dxfId="2358">
      <pivotArea dataOnly="0" labelOnly="1" outline="0" fieldPosition="0">
        <references count="5">
          <reference field="0" count="1" selected="0">
            <x v="0"/>
          </reference>
          <reference field="3" count="1" selected="0">
            <x v="20"/>
          </reference>
          <reference field="4" count="1" selected="0">
            <x v="162"/>
          </reference>
          <reference field="5" count="1" selected="0">
            <x v="207"/>
          </reference>
          <reference field="7" count="1">
            <x v="679"/>
          </reference>
        </references>
      </pivotArea>
    </format>
    <format dxfId="2357">
      <pivotArea dataOnly="0" labelOnly="1" outline="0" fieldPosition="0">
        <references count="5">
          <reference field="0" count="1" selected="0">
            <x v="0"/>
          </reference>
          <reference field="3" count="1" selected="0">
            <x v="20"/>
          </reference>
          <reference field="4" count="1" selected="0">
            <x v="162"/>
          </reference>
          <reference field="5" count="1" selected="0">
            <x v="298"/>
          </reference>
          <reference field="7" count="1">
            <x v="983"/>
          </reference>
        </references>
      </pivotArea>
    </format>
    <format dxfId="2356">
      <pivotArea dataOnly="0" labelOnly="1" outline="0" fieldPosition="0">
        <references count="5">
          <reference field="0" count="1" selected="0">
            <x v="0"/>
          </reference>
          <reference field="3" count="1" selected="0">
            <x v="20"/>
          </reference>
          <reference field="4" count="1" selected="0">
            <x v="162"/>
          </reference>
          <reference field="5" count="1" selected="0">
            <x v="312"/>
          </reference>
          <reference field="7" count="1">
            <x v="1550"/>
          </reference>
        </references>
      </pivotArea>
    </format>
    <format dxfId="2355">
      <pivotArea dataOnly="0" labelOnly="1" outline="0" fieldPosition="0">
        <references count="5">
          <reference field="0" count="1" selected="0">
            <x v="0"/>
          </reference>
          <reference field="3" count="1" selected="0">
            <x v="20"/>
          </reference>
          <reference field="4" count="1" selected="0">
            <x v="162"/>
          </reference>
          <reference field="5" count="1" selected="0">
            <x v="1020"/>
          </reference>
          <reference field="7" count="1">
            <x v="1507"/>
          </reference>
        </references>
      </pivotArea>
    </format>
    <format dxfId="2354">
      <pivotArea dataOnly="0" labelOnly="1" outline="0" fieldPosition="0">
        <references count="5">
          <reference field="0" count="1" selected="0">
            <x v="0"/>
          </reference>
          <reference field="3" count="1" selected="0">
            <x v="20"/>
          </reference>
          <reference field="4" count="1" selected="0">
            <x v="162"/>
          </reference>
          <reference field="5" count="1" selected="0">
            <x v="1030"/>
          </reference>
          <reference field="7" count="1">
            <x v="312"/>
          </reference>
        </references>
      </pivotArea>
    </format>
    <format dxfId="2353">
      <pivotArea dataOnly="0" labelOnly="1" outline="0" fieldPosition="0">
        <references count="5">
          <reference field="0" count="1" selected="0">
            <x v="0"/>
          </reference>
          <reference field="3" count="1" selected="0">
            <x v="20"/>
          </reference>
          <reference field="4" count="1" selected="0">
            <x v="163"/>
          </reference>
          <reference field="5" count="1" selected="0">
            <x v="184"/>
          </reference>
          <reference field="7" count="1">
            <x v="1338"/>
          </reference>
        </references>
      </pivotArea>
    </format>
    <format dxfId="2352">
      <pivotArea dataOnly="0" labelOnly="1" outline="0" fieldPosition="0">
        <references count="5">
          <reference field="0" count="1" selected="0">
            <x v="0"/>
          </reference>
          <reference field="3" count="1" selected="0">
            <x v="20"/>
          </reference>
          <reference field="4" count="1" selected="0">
            <x v="163"/>
          </reference>
          <reference field="5" count="1" selected="0">
            <x v="207"/>
          </reference>
          <reference field="7" count="1">
            <x v="679"/>
          </reference>
        </references>
      </pivotArea>
    </format>
    <format dxfId="2351">
      <pivotArea dataOnly="0" labelOnly="1" outline="0" fieldPosition="0">
        <references count="5">
          <reference field="0" count="1" selected="0">
            <x v="0"/>
          </reference>
          <reference field="3" count="1" selected="0">
            <x v="20"/>
          </reference>
          <reference field="4" count="1" selected="0">
            <x v="163"/>
          </reference>
          <reference field="5" count="1" selected="0">
            <x v="298"/>
          </reference>
          <reference field="7" count="1">
            <x v="983"/>
          </reference>
        </references>
      </pivotArea>
    </format>
    <format dxfId="2350">
      <pivotArea dataOnly="0" labelOnly="1" outline="0" fieldPosition="0">
        <references count="5">
          <reference field="0" count="1" selected="0">
            <x v="0"/>
          </reference>
          <reference field="3" count="1" selected="0">
            <x v="20"/>
          </reference>
          <reference field="4" count="1" selected="0">
            <x v="163"/>
          </reference>
          <reference field="5" count="1" selected="0">
            <x v="312"/>
          </reference>
          <reference field="7" count="1">
            <x v="1550"/>
          </reference>
        </references>
      </pivotArea>
    </format>
    <format dxfId="2349">
      <pivotArea dataOnly="0" labelOnly="1" outline="0" fieldPosition="0">
        <references count="5">
          <reference field="0" count="1" selected="0">
            <x v="0"/>
          </reference>
          <reference field="3" count="1" selected="0">
            <x v="20"/>
          </reference>
          <reference field="4" count="1" selected="0">
            <x v="163"/>
          </reference>
          <reference field="5" count="1" selected="0">
            <x v="1022"/>
          </reference>
          <reference field="7" count="1">
            <x v="1508"/>
          </reference>
        </references>
      </pivotArea>
    </format>
    <format dxfId="2348">
      <pivotArea dataOnly="0" labelOnly="1" outline="0" fieldPosition="0">
        <references count="5">
          <reference field="0" count="1" selected="0">
            <x v="0"/>
          </reference>
          <reference field="3" count="1" selected="0">
            <x v="20"/>
          </reference>
          <reference field="4" count="1" selected="0">
            <x v="163"/>
          </reference>
          <reference field="5" count="1" selected="0">
            <x v="1031"/>
          </reference>
          <reference field="7" count="1">
            <x v="313"/>
          </reference>
        </references>
      </pivotArea>
    </format>
    <format dxfId="2347">
      <pivotArea dataOnly="0" labelOnly="1" outline="0" fieldPosition="0">
        <references count="5">
          <reference field="0" count="1" selected="0">
            <x v="0"/>
          </reference>
          <reference field="3" count="1" selected="0">
            <x v="20"/>
          </reference>
          <reference field="4" count="1" selected="0">
            <x v="164"/>
          </reference>
          <reference field="5" count="1" selected="0">
            <x v="184"/>
          </reference>
          <reference field="7" count="1">
            <x v="1338"/>
          </reference>
        </references>
      </pivotArea>
    </format>
    <format dxfId="2346">
      <pivotArea dataOnly="0" labelOnly="1" outline="0" fieldPosition="0">
        <references count="5">
          <reference field="0" count="1" selected="0">
            <x v="0"/>
          </reference>
          <reference field="3" count="1" selected="0">
            <x v="20"/>
          </reference>
          <reference field="4" count="1" selected="0">
            <x v="164"/>
          </reference>
          <reference field="5" count="1" selected="0">
            <x v="207"/>
          </reference>
          <reference field="7" count="1">
            <x v="679"/>
          </reference>
        </references>
      </pivotArea>
    </format>
    <format dxfId="2345">
      <pivotArea dataOnly="0" labelOnly="1" outline="0" fieldPosition="0">
        <references count="5">
          <reference field="0" count="1" selected="0">
            <x v="0"/>
          </reference>
          <reference field="3" count="1" selected="0">
            <x v="20"/>
          </reference>
          <reference field="4" count="1" selected="0">
            <x v="164"/>
          </reference>
          <reference field="5" count="1" selected="0">
            <x v="298"/>
          </reference>
          <reference field="7" count="1">
            <x v="983"/>
          </reference>
        </references>
      </pivotArea>
    </format>
    <format dxfId="2344">
      <pivotArea dataOnly="0" labelOnly="1" outline="0" fieldPosition="0">
        <references count="5">
          <reference field="0" count="1" selected="0">
            <x v="0"/>
          </reference>
          <reference field="3" count="1" selected="0">
            <x v="20"/>
          </reference>
          <reference field="4" count="1" selected="0">
            <x v="164"/>
          </reference>
          <reference field="5" count="1" selected="0">
            <x v="312"/>
          </reference>
          <reference field="7" count="1">
            <x v="1550"/>
          </reference>
        </references>
      </pivotArea>
    </format>
    <format dxfId="2343">
      <pivotArea dataOnly="0" labelOnly="1" outline="0" fieldPosition="0">
        <references count="5">
          <reference field="0" count="1" selected="0">
            <x v="0"/>
          </reference>
          <reference field="3" count="1" selected="0">
            <x v="20"/>
          </reference>
          <reference field="4" count="1" selected="0">
            <x v="164"/>
          </reference>
          <reference field="5" count="1" selected="0">
            <x v="1023"/>
          </reference>
          <reference field="7" count="1">
            <x v="1509"/>
          </reference>
        </references>
      </pivotArea>
    </format>
    <format dxfId="2342">
      <pivotArea dataOnly="0" labelOnly="1" outline="0" fieldPosition="0">
        <references count="5">
          <reference field="0" count="1" selected="0">
            <x v="0"/>
          </reference>
          <reference field="3" count="1" selected="0">
            <x v="20"/>
          </reference>
          <reference field="4" count="1" selected="0">
            <x v="164"/>
          </reference>
          <reference field="5" count="1" selected="0">
            <x v="1032"/>
          </reference>
          <reference field="7" count="1">
            <x v="314"/>
          </reference>
        </references>
      </pivotArea>
    </format>
    <format dxfId="2341">
      <pivotArea dataOnly="0" labelOnly="1" outline="0" fieldPosition="0">
        <references count="5">
          <reference field="0" count="1" selected="0">
            <x v="0"/>
          </reference>
          <reference field="3" count="1" selected="0">
            <x v="20"/>
          </reference>
          <reference field="4" count="1" selected="0">
            <x v="216"/>
          </reference>
          <reference field="5" count="1" selected="0">
            <x v="183"/>
          </reference>
          <reference field="7" count="1">
            <x v="688"/>
          </reference>
        </references>
      </pivotArea>
    </format>
    <format dxfId="2340">
      <pivotArea dataOnly="0" labelOnly="1" outline="0" fieldPosition="0">
        <references count="5">
          <reference field="0" count="1" selected="0">
            <x v="0"/>
          </reference>
          <reference field="3" count="1" selected="0">
            <x v="20"/>
          </reference>
          <reference field="4" count="1" selected="0">
            <x v="216"/>
          </reference>
          <reference field="5" count="1" selected="0">
            <x v="220"/>
          </reference>
          <reference field="7" count="1">
            <x v="364"/>
          </reference>
        </references>
      </pivotArea>
    </format>
    <format dxfId="2339">
      <pivotArea dataOnly="0" labelOnly="1" outline="0" fieldPosition="0">
        <references count="5">
          <reference field="0" count="1" selected="0">
            <x v="0"/>
          </reference>
          <reference field="3" count="1" selected="0">
            <x v="20"/>
          </reference>
          <reference field="4" count="1" selected="0">
            <x v="216"/>
          </reference>
          <reference field="5" count="1" selected="0">
            <x v="285"/>
          </reference>
          <reference field="7" count="1">
            <x v="619"/>
          </reference>
        </references>
      </pivotArea>
    </format>
    <format dxfId="2338">
      <pivotArea dataOnly="0" labelOnly="1" outline="0" fieldPosition="0">
        <references count="5">
          <reference field="0" count="1" selected="0">
            <x v="0"/>
          </reference>
          <reference field="3" count="1" selected="0">
            <x v="20"/>
          </reference>
          <reference field="4" count="1" selected="0">
            <x v="216"/>
          </reference>
          <reference field="5" count="1" selected="0">
            <x v="288"/>
          </reference>
          <reference field="7" count="1">
            <x v="38"/>
          </reference>
        </references>
      </pivotArea>
    </format>
    <format dxfId="2337">
      <pivotArea dataOnly="0" labelOnly="1" outline="0" fieldPosition="0">
        <references count="5">
          <reference field="0" count="1" selected="0">
            <x v="0"/>
          </reference>
          <reference field="3" count="1" selected="0">
            <x v="20"/>
          </reference>
          <reference field="4" count="1" selected="0">
            <x v="216"/>
          </reference>
          <reference field="5" count="1" selected="0">
            <x v="297"/>
          </reference>
          <reference field="7" count="1">
            <x v="982"/>
          </reference>
        </references>
      </pivotArea>
    </format>
    <format dxfId="2336">
      <pivotArea dataOnly="0" labelOnly="1" outline="0" fieldPosition="0">
        <references count="5">
          <reference field="0" count="1" selected="0">
            <x v="0"/>
          </reference>
          <reference field="3" count="1" selected="0">
            <x v="20"/>
          </reference>
          <reference field="4" count="1" selected="0">
            <x v="216"/>
          </reference>
          <reference field="5" count="1" selected="0">
            <x v="300"/>
          </reference>
          <reference field="7" count="1">
            <x v="985"/>
          </reference>
        </references>
      </pivotArea>
    </format>
    <format dxfId="2335">
      <pivotArea dataOnly="0" labelOnly="1" outline="0" fieldPosition="0">
        <references count="5">
          <reference field="0" count="1" selected="0">
            <x v="0"/>
          </reference>
          <reference field="3" count="1" selected="0">
            <x v="20"/>
          </reference>
          <reference field="4" count="1" selected="0">
            <x v="216"/>
          </reference>
          <reference field="5" count="1" selected="0">
            <x v="976"/>
          </reference>
          <reference field="7" count="1">
            <x v="158"/>
          </reference>
        </references>
      </pivotArea>
    </format>
    <format dxfId="2334">
      <pivotArea dataOnly="0" labelOnly="1" outline="0" fieldPosition="0">
        <references count="5">
          <reference field="0" count="1" selected="0">
            <x v="0"/>
          </reference>
          <reference field="3" count="1" selected="0">
            <x v="20"/>
          </reference>
          <reference field="4" count="1" selected="0">
            <x v="216"/>
          </reference>
          <reference field="5" count="1" selected="0">
            <x v="1060"/>
          </reference>
          <reference field="7" count="1">
            <x v="457"/>
          </reference>
        </references>
      </pivotArea>
    </format>
    <format dxfId="2333">
      <pivotArea dataOnly="0" labelOnly="1" outline="0" fieldPosition="0">
        <references count="5">
          <reference field="0" count="1" selected="0">
            <x v="1"/>
          </reference>
          <reference field="3" count="1" selected="0">
            <x v="1"/>
          </reference>
          <reference field="4" count="1" selected="0">
            <x v="169"/>
          </reference>
          <reference field="5" count="1" selected="0">
            <x v="1521"/>
          </reference>
          <reference field="7" count="1">
            <x v="302"/>
          </reference>
        </references>
      </pivotArea>
    </format>
    <format dxfId="2332">
      <pivotArea dataOnly="0" labelOnly="1" outline="0" fieldPosition="0">
        <references count="5">
          <reference field="0" count="1" selected="0">
            <x v="1"/>
          </reference>
          <reference field="3" count="1" selected="0">
            <x v="1"/>
          </reference>
          <reference field="4" count="1" selected="0">
            <x v="169"/>
          </reference>
          <reference field="5" count="1" selected="0">
            <x v="1522"/>
          </reference>
          <reference field="7" count="1">
            <x v="334"/>
          </reference>
        </references>
      </pivotArea>
    </format>
    <format dxfId="2331">
      <pivotArea dataOnly="0" labelOnly="1" outline="0" fieldPosition="0">
        <references count="5">
          <reference field="0" count="1" selected="0">
            <x v="1"/>
          </reference>
          <reference field="3" count="1" selected="0">
            <x v="1"/>
          </reference>
          <reference field="4" count="1" selected="0">
            <x v="169"/>
          </reference>
          <reference field="5" count="1" selected="0">
            <x v="1626"/>
          </reference>
          <reference field="7" count="1">
            <x v="1474"/>
          </reference>
        </references>
      </pivotArea>
    </format>
    <format dxfId="2330">
      <pivotArea dataOnly="0" labelOnly="1" outline="0" fieldPosition="0">
        <references count="5">
          <reference field="0" count="1" selected="0">
            <x v="1"/>
          </reference>
          <reference field="3" count="1" selected="0">
            <x v="1"/>
          </reference>
          <reference field="4" count="1" selected="0">
            <x v="171"/>
          </reference>
          <reference field="5" count="1" selected="0">
            <x v="1524"/>
          </reference>
          <reference field="7" count="1">
            <x v="333"/>
          </reference>
        </references>
      </pivotArea>
    </format>
    <format dxfId="2329">
      <pivotArea dataOnly="0" labelOnly="1" outline="0" fieldPosition="0">
        <references count="5">
          <reference field="0" count="1" selected="0">
            <x v="1"/>
          </reference>
          <reference field="3" count="1" selected="0">
            <x v="1"/>
          </reference>
          <reference field="4" count="1" selected="0">
            <x v="171"/>
          </reference>
          <reference field="5" count="1" selected="0">
            <x v="1528"/>
          </reference>
          <reference field="7" count="1">
            <x v="304"/>
          </reference>
        </references>
      </pivotArea>
    </format>
    <format dxfId="2328">
      <pivotArea dataOnly="0" labelOnly="1" outline="0" fieldPosition="0">
        <references count="5">
          <reference field="0" count="1" selected="0">
            <x v="1"/>
          </reference>
          <reference field="3" count="1" selected="0">
            <x v="1"/>
          </reference>
          <reference field="4" count="1" selected="0">
            <x v="171"/>
          </reference>
          <reference field="5" count="1" selected="0">
            <x v="1628"/>
          </reference>
          <reference field="7" count="1">
            <x v="1473"/>
          </reference>
        </references>
      </pivotArea>
    </format>
    <format dxfId="2327">
      <pivotArea dataOnly="0" labelOnly="1" outline="0" fieldPosition="0">
        <references count="5">
          <reference field="0" count="1" selected="0">
            <x v="1"/>
          </reference>
          <reference field="3" count="1" selected="0">
            <x v="1"/>
          </reference>
          <reference field="4" count="1" selected="0">
            <x v="173"/>
          </reference>
          <reference field="5" count="1" selected="0">
            <x v="1526"/>
          </reference>
          <reference field="7" count="1">
            <x v="335"/>
          </reference>
        </references>
      </pivotArea>
    </format>
    <format dxfId="2326">
      <pivotArea dataOnly="0" labelOnly="1" outline="0" fieldPosition="0">
        <references count="5">
          <reference field="0" count="1" selected="0">
            <x v="1"/>
          </reference>
          <reference field="3" count="1" selected="0">
            <x v="1"/>
          </reference>
          <reference field="4" count="1" selected="0">
            <x v="173"/>
          </reference>
          <reference field="5" count="1" selected="0">
            <x v="1529"/>
          </reference>
          <reference field="7" count="1">
            <x v="306"/>
          </reference>
        </references>
      </pivotArea>
    </format>
    <format dxfId="2325">
      <pivotArea dataOnly="0" labelOnly="1" outline="0" fieldPosition="0">
        <references count="5">
          <reference field="0" count="1" selected="0">
            <x v="1"/>
          </reference>
          <reference field="3" count="1" selected="0">
            <x v="1"/>
          </reference>
          <reference field="4" count="1" selected="0">
            <x v="173"/>
          </reference>
          <reference field="5" count="1" selected="0">
            <x v="1628"/>
          </reference>
          <reference field="7" count="1">
            <x v="1473"/>
          </reference>
        </references>
      </pivotArea>
    </format>
    <format dxfId="2324">
      <pivotArea dataOnly="0" labelOnly="1" outline="0" fieldPosition="0">
        <references count="5">
          <reference field="0" count="1" selected="0">
            <x v="1"/>
          </reference>
          <reference field="3" count="1" selected="0">
            <x v="1"/>
          </reference>
          <reference field="4" count="1" selected="0">
            <x v="187"/>
          </reference>
          <reference field="5" count="1" selected="0">
            <x v="252"/>
          </reference>
          <reference field="7" count="1">
            <x v="1319"/>
          </reference>
        </references>
      </pivotArea>
    </format>
    <format dxfId="2323">
      <pivotArea dataOnly="0" labelOnly="1" outline="0" fieldPosition="0">
        <references count="5">
          <reference field="0" count="1" selected="0">
            <x v="1"/>
          </reference>
          <reference field="3" count="1" selected="0">
            <x v="1"/>
          </reference>
          <reference field="4" count="1" selected="0">
            <x v="187"/>
          </reference>
          <reference field="5" count="1" selected="0">
            <x v="1537"/>
          </reference>
          <reference field="7" count="1">
            <x v="793"/>
          </reference>
        </references>
      </pivotArea>
    </format>
    <format dxfId="2322">
      <pivotArea dataOnly="0" labelOnly="1" outline="0" fieldPosition="0">
        <references count="5">
          <reference field="0" count="1" selected="0">
            <x v="1"/>
          </reference>
          <reference field="3" count="1" selected="0">
            <x v="1"/>
          </reference>
          <reference field="4" count="1" selected="0">
            <x v="187"/>
          </reference>
          <reference field="5" count="1" selected="0">
            <x v="1560"/>
          </reference>
          <reference field="7" count="1">
            <x v="196"/>
          </reference>
        </references>
      </pivotArea>
    </format>
    <format dxfId="2321">
      <pivotArea dataOnly="0" labelOnly="1" outline="0" fieldPosition="0">
        <references count="5">
          <reference field="0" count="1" selected="0">
            <x v="1"/>
          </reference>
          <reference field="3" count="1" selected="0">
            <x v="1"/>
          </reference>
          <reference field="4" count="1" selected="0">
            <x v="209"/>
          </reference>
          <reference field="5" count="1" selected="0">
            <x v="1626"/>
          </reference>
          <reference field="7" count="2">
            <x v="1474"/>
            <x v="1475"/>
          </reference>
        </references>
      </pivotArea>
    </format>
    <format dxfId="2320">
      <pivotArea dataOnly="0" labelOnly="1" outline="0" fieldPosition="0">
        <references count="5">
          <reference field="0" count="1" selected="0">
            <x v="1"/>
          </reference>
          <reference field="3" count="1" selected="0">
            <x v="1"/>
          </reference>
          <reference field="4" count="1" selected="0">
            <x v="209"/>
          </reference>
          <reference field="5" count="1" selected="0">
            <x v="1631"/>
          </reference>
          <reference field="7" count="1">
            <x v="1412"/>
          </reference>
        </references>
      </pivotArea>
    </format>
    <format dxfId="2319">
      <pivotArea dataOnly="0" labelOnly="1" outline="0" fieldPosition="0">
        <references count="5">
          <reference field="0" count="1" selected="0">
            <x v="1"/>
          </reference>
          <reference field="3" count="1" selected="0">
            <x v="1"/>
          </reference>
          <reference field="4" count="1" selected="0">
            <x v="216"/>
          </reference>
          <reference field="5" count="1" selected="0">
            <x v="148"/>
          </reference>
          <reference field="7" count="1">
            <x v="977"/>
          </reference>
        </references>
      </pivotArea>
    </format>
    <format dxfId="2318">
      <pivotArea dataOnly="0" labelOnly="1" outline="0" fieldPosition="0">
        <references count="5">
          <reference field="0" count="1" selected="0">
            <x v="1"/>
          </reference>
          <reference field="3" count="1" selected="0">
            <x v="1"/>
          </reference>
          <reference field="4" count="1" selected="0">
            <x v="216"/>
          </reference>
          <reference field="5" count="1" selected="0">
            <x v="167"/>
          </reference>
          <reference field="7" count="1">
            <x v="1088"/>
          </reference>
        </references>
      </pivotArea>
    </format>
    <format dxfId="2317">
      <pivotArea dataOnly="0" labelOnly="1" outline="0" fieldPosition="0">
        <references count="5">
          <reference field="0" count="1" selected="0">
            <x v="1"/>
          </reference>
          <reference field="3" count="1" selected="0">
            <x v="1"/>
          </reference>
          <reference field="4" count="1" selected="0">
            <x v="216"/>
          </reference>
          <reference field="5" count="1" selected="0">
            <x v="363"/>
          </reference>
          <reference field="7" count="1">
            <x v="673"/>
          </reference>
        </references>
      </pivotArea>
    </format>
    <format dxfId="2316">
      <pivotArea dataOnly="0" labelOnly="1" outline="0" fieldPosition="0">
        <references count="5">
          <reference field="0" count="1" selected="0">
            <x v="1"/>
          </reference>
          <reference field="3" count="1" selected="0">
            <x v="1"/>
          </reference>
          <reference field="4" count="1" selected="0">
            <x v="216"/>
          </reference>
          <reference field="5" count="1" selected="0">
            <x v="367"/>
          </reference>
          <reference field="7" count="1">
            <x v="896"/>
          </reference>
        </references>
      </pivotArea>
    </format>
    <format dxfId="2315">
      <pivotArea dataOnly="0" labelOnly="1" outline="0" fieldPosition="0">
        <references count="5">
          <reference field="0" count="1" selected="0">
            <x v="1"/>
          </reference>
          <reference field="3" count="1" selected="0">
            <x v="1"/>
          </reference>
          <reference field="4" count="1" selected="0">
            <x v="216"/>
          </reference>
          <reference field="5" count="1" selected="0">
            <x v="373"/>
          </reference>
          <reference field="7" count="1">
            <x v="998"/>
          </reference>
        </references>
      </pivotArea>
    </format>
    <format dxfId="2314">
      <pivotArea dataOnly="0" labelOnly="1" outline="0" fieldPosition="0">
        <references count="5">
          <reference field="0" count="1" selected="0">
            <x v="1"/>
          </reference>
          <reference field="3" count="1" selected="0">
            <x v="1"/>
          </reference>
          <reference field="4" count="1" selected="0">
            <x v="216"/>
          </reference>
          <reference field="5" count="1" selected="0">
            <x v="394"/>
          </reference>
          <reference field="7" count="1">
            <x v="1233"/>
          </reference>
        </references>
      </pivotArea>
    </format>
    <format dxfId="2313">
      <pivotArea dataOnly="0" labelOnly="1" outline="0" fieldPosition="0">
        <references count="5">
          <reference field="0" count="1" selected="0">
            <x v="1"/>
          </reference>
          <reference field="3" count="1" selected="0">
            <x v="1"/>
          </reference>
          <reference field="4" count="1" selected="0">
            <x v="216"/>
          </reference>
          <reference field="5" count="1" selected="0">
            <x v="434"/>
          </reference>
          <reference field="7" count="1">
            <x v="286"/>
          </reference>
        </references>
      </pivotArea>
    </format>
    <format dxfId="2312">
      <pivotArea dataOnly="0" labelOnly="1" outline="0" fieldPosition="0">
        <references count="5">
          <reference field="0" count="1" selected="0">
            <x v="1"/>
          </reference>
          <reference field="3" count="1" selected="0">
            <x v="1"/>
          </reference>
          <reference field="4" count="1" selected="0">
            <x v="216"/>
          </reference>
          <reference field="5" count="1" selected="0">
            <x v="435"/>
          </reference>
          <reference field="7" count="1">
            <x v="1353"/>
          </reference>
        </references>
      </pivotArea>
    </format>
    <format dxfId="2311">
      <pivotArea dataOnly="0" labelOnly="1" outline="0" fieldPosition="0">
        <references count="5">
          <reference field="0" count="1" selected="0">
            <x v="1"/>
          </reference>
          <reference field="3" count="1" selected="0">
            <x v="1"/>
          </reference>
          <reference field="4" count="1" selected="0">
            <x v="216"/>
          </reference>
          <reference field="5" count="1" selected="0">
            <x v="436"/>
          </reference>
          <reference field="7" count="1">
            <x v="1350"/>
          </reference>
        </references>
      </pivotArea>
    </format>
    <format dxfId="2310">
      <pivotArea dataOnly="0" labelOnly="1" outline="0" fieldPosition="0">
        <references count="5">
          <reference field="0" count="1" selected="0">
            <x v="1"/>
          </reference>
          <reference field="3" count="1" selected="0">
            <x v="1"/>
          </reference>
          <reference field="4" count="1" selected="0">
            <x v="216"/>
          </reference>
          <reference field="5" count="1" selected="0">
            <x v="437"/>
          </reference>
          <reference field="7" count="1">
            <x v="1352"/>
          </reference>
        </references>
      </pivotArea>
    </format>
    <format dxfId="2309">
      <pivotArea dataOnly="0" labelOnly="1" outline="0" fieldPosition="0">
        <references count="5">
          <reference field="0" count="1" selected="0">
            <x v="1"/>
          </reference>
          <reference field="3" count="1" selected="0">
            <x v="1"/>
          </reference>
          <reference field="4" count="1" selected="0">
            <x v="216"/>
          </reference>
          <reference field="5" count="1" selected="0">
            <x v="438"/>
          </reference>
          <reference field="7" count="1">
            <x v="1351"/>
          </reference>
        </references>
      </pivotArea>
    </format>
    <format dxfId="2308">
      <pivotArea dataOnly="0" labelOnly="1" outline="0" fieldPosition="0">
        <references count="5">
          <reference field="0" count="1" selected="0">
            <x v="1"/>
          </reference>
          <reference field="3" count="1" selected="0">
            <x v="1"/>
          </reference>
          <reference field="4" count="1" selected="0">
            <x v="216"/>
          </reference>
          <reference field="5" count="1" selected="0">
            <x v="1616"/>
          </reference>
          <reference field="7" count="1">
            <x v="677"/>
          </reference>
        </references>
      </pivotArea>
    </format>
    <format dxfId="2307">
      <pivotArea dataOnly="0" labelOnly="1" outline="0" fieldPosition="0">
        <references count="5">
          <reference field="0" count="1" selected="0">
            <x v="1"/>
          </reference>
          <reference field="3" count="1" selected="0">
            <x v="21"/>
          </reference>
          <reference field="4" count="1" selected="0">
            <x v="5"/>
          </reference>
          <reference field="5" count="1" selected="0">
            <x v="349"/>
          </reference>
          <reference field="7" count="1">
            <x v="117"/>
          </reference>
        </references>
      </pivotArea>
    </format>
    <format dxfId="2306">
      <pivotArea dataOnly="0" labelOnly="1" outline="0" fieldPosition="0">
        <references count="5">
          <reference field="0" count="1" selected="0">
            <x v="1"/>
          </reference>
          <reference field="3" count="1" selected="0">
            <x v="21"/>
          </reference>
          <reference field="4" count="1" selected="0">
            <x v="5"/>
          </reference>
          <reference field="5" count="1" selected="0">
            <x v="350"/>
          </reference>
          <reference field="7" count="1">
            <x v="1024"/>
          </reference>
        </references>
      </pivotArea>
    </format>
    <format dxfId="2305">
      <pivotArea dataOnly="0" labelOnly="1" outline="0" fieldPosition="0">
        <references count="5">
          <reference field="0" count="1" selected="0">
            <x v="1"/>
          </reference>
          <reference field="3" count="1" selected="0">
            <x v="21"/>
          </reference>
          <reference field="4" count="1" selected="0">
            <x v="5"/>
          </reference>
          <reference field="5" count="1" selected="0">
            <x v="387"/>
          </reference>
          <reference field="7" count="1">
            <x v="114"/>
          </reference>
        </references>
      </pivotArea>
    </format>
    <format dxfId="2304">
      <pivotArea dataOnly="0" labelOnly="1" outline="0" fieldPosition="0">
        <references count="5">
          <reference field="0" count="1" selected="0">
            <x v="1"/>
          </reference>
          <reference field="3" count="1" selected="0">
            <x v="21"/>
          </reference>
          <reference field="4" count="1" selected="0">
            <x v="7"/>
          </reference>
          <reference field="5" count="1" selected="0">
            <x v="7"/>
          </reference>
          <reference field="7" count="1">
            <x v="663"/>
          </reference>
        </references>
      </pivotArea>
    </format>
    <format dxfId="2303">
      <pivotArea dataOnly="0" labelOnly="1" outline="0" fieldPosition="0">
        <references count="5">
          <reference field="0" count="1" selected="0">
            <x v="1"/>
          </reference>
          <reference field="3" count="1" selected="0">
            <x v="21"/>
          </reference>
          <reference field="4" count="1" selected="0">
            <x v="7"/>
          </reference>
          <reference field="5" count="1" selected="0">
            <x v="387"/>
          </reference>
          <reference field="7" count="1">
            <x v="114"/>
          </reference>
        </references>
      </pivotArea>
    </format>
    <format dxfId="2302">
      <pivotArea dataOnly="0" labelOnly="1" outline="0" fieldPosition="0">
        <references count="5">
          <reference field="0" count="1" selected="0">
            <x v="1"/>
          </reference>
          <reference field="3" count="1" selected="0">
            <x v="21"/>
          </reference>
          <reference field="4" count="1" selected="0">
            <x v="53"/>
          </reference>
          <reference field="5" count="1" selected="0">
            <x v="17"/>
          </reference>
          <reference field="7" count="1">
            <x v="387"/>
          </reference>
        </references>
      </pivotArea>
    </format>
    <format dxfId="2301">
      <pivotArea dataOnly="0" labelOnly="1" outline="0" fieldPosition="0">
        <references count="5">
          <reference field="0" count="1" selected="0">
            <x v="1"/>
          </reference>
          <reference field="3" count="1" selected="0">
            <x v="21"/>
          </reference>
          <reference field="4" count="1" selected="0">
            <x v="53"/>
          </reference>
          <reference field="5" count="1" selected="0">
            <x v="38"/>
          </reference>
          <reference field="7" count="1">
            <x v="959"/>
          </reference>
        </references>
      </pivotArea>
    </format>
    <format dxfId="2300">
      <pivotArea dataOnly="0" labelOnly="1" outline="0" fieldPosition="0">
        <references count="5">
          <reference field="0" count="1" selected="0">
            <x v="1"/>
          </reference>
          <reference field="3" count="1" selected="0">
            <x v="21"/>
          </reference>
          <reference field="4" count="1" selected="0">
            <x v="53"/>
          </reference>
          <reference field="5" count="1" selected="0">
            <x v="134"/>
          </reference>
          <reference field="7" count="1">
            <x v="588"/>
          </reference>
        </references>
      </pivotArea>
    </format>
    <format dxfId="2299">
      <pivotArea dataOnly="0" labelOnly="1" outline="0" fieldPosition="0">
        <references count="5">
          <reference field="0" count="1" selected="0">
            <x v="1"/>
          </reference>
          <reference field="3" count="1" selected="0">
            <x v="21"/>
          </reference>
          <reference field="4" count="1" selected="0">
            <x v="53"/>
          </reference>
          <reference field="5" count="1" selected="0">
            <x v="213"/>
          </reference>
          <reference field="7" count="1">
            <x v="973"/>
          </reference>
        </references>
      </pivotArea>
    </format>
    <format dxfId="2298">
      <pivotArea dataOnly="0" labelOnly="1" outline="0" fieldPosition="0">
        <references count="5">
          <reference field="0" count="1" selected="0">
            <x v="1"/>
          </reference>
          <reference field="3" count="1" selected="0">
            <x v="21"/>
          </reference>
          <reference field="4" count="1" selected="0">
            <x v="53"/>
          </reference>
          <reference field="5" count="1" selected="0">
            <x v="432"/>
          </reference>
          <reference field="7" count="1">
            <x v="426"/>
          </reference>
        </references>
      </pivotArea>
    </format>
    <format dxfId="2297">
      <pivotArea dataOnly="0" labelOnly="1" outline="0" fieldPosition="0">
        <references count="5">
          <reference field="0" count="1" selected="0">
            <x v="1"/>
          </reference>
          <reference field="3" count="1" selected="0">
            <x v="21"/>
          </reference>
          <reference field="4" count="1" selected="0">
            <x v="53"/>
          </reference>
          <reference field="5" count="1" selected="0">
            <x v="1069"/>
          </reference>
          <reference field="7" count="1">
            <x v="206"/>
          </reference>
        </references>
      </pivotArea>
    </format>
    <format dxfId="2296">
      <pivotArea dataOnly="0" labelOnly="1" outline="0" fieldPosition="0">
        <references count="5">
          <reference field="0" count="1" selected="0">
            <x v="1"/>
          </reference>
          <reference field="3" count="1" selected="0">
            <x v="21"/>
          </reference>
          <reference field="4" count="1" selected="0">
            <x v="53"/>
          </reference>
          <reference field="5" count="1" selected="0">
            <x v="1070"/>
          </reference>
          <reference field="7" count="1">
            <x v="818"/>
          </reference>
        </references>
      </pivotArea>
    </format>
    <format dxfId="2295">
      <pivotArea dataOnly="0" labelOnly="1" outline="0" fieldPosition="0">
        <references count="5">
          <reference field="0" count="1" selected="0">
            <x v="1"/>
          </reference>
          <reference field="3" count="1" selected="0">
            <x v="21"/>
          </reference>
          <reference field="4" count="1" selected="0">
            <x v="66"/>
          </reference>
          <reference field="5" count="1" selected="0">
            <x v="18"/>
          </reference>
          <reference field="7" count="1">
            <x v="388"/>
          </reference>
        </references>
      </pivotArea>
    </format>
    <format dxfId="2294">
      <pivotArea dataOnly="0" labelOnly="1" outline="0" fieldPosition="0">
        <references count="5">
          <reference field="0" count="1" selected="0">
            <x v="1"/>
          </reference>
          <reference field="3" count="1" selected="0">
            <x v="21"/>
          </reference>
          <reference field="4" count="1" selected="0">
            <x v="66"/>
          </reference>
          <reference field="5" count="1" selected="0">
            <x v="37"/>
          </reference>
          <reference field="7" count="1">
            <x v="958"/>
          </reference>
        </references>
      </pivotArea>
    </format>
    <format dxfId="2293">
      <pivotArea dataOnly="0" labelOnly="1" outline="0" fieldPosition="0">
        <references count="5">
          <reference field="0" count="1" selected="0">
            <x v="1"/>
          </reference>
          <reference field="3" count="1" selected="0">
            <x v="21"/>
          </reference>
          <reference field="4" count="1" selected="0">
            <x v="66"/>
          </reference>
          <reference field="5" count="1" selected="0">
            <x v="39"/>
          </reference>
          <reference field="7" count="1">
            <x v="960"/>
          </reference>
        </references>
      </pivotArea>
    </format>
    <format dxfId="2292">
      <pivotArea dataOnly="0" labelOnly="1" outline="0" fieldPosition="0">
        <references count="5">
          <reference field="0" count="1" selected="0">
            <x v="1"/>
          </reference>
          <reference field="3" count="1" selected="0">
            <x v="21"/>
          </reference>
          <reference field="4" count="1" selected="0">
            <x v="66"/>
          </reference>
          <reference field="5" count="1" selected="0">
            <x v="40"/>
          </reference>
          <reference field="7" count="1">
            <x v="957"/>
          </reference>
        </references>
      </pivotArea>
    </format>
    <format dxfId="2291">
      <pivotArea dataOnly="0" labelOnly="1" outline="0" fieldPosition="0">
        <references count="5">
          <reference field="0" count="1" selected="0">
            <x v="1"/>
          </reference>
          <reference field="3" count="1" selected="0">
            <x v="21"/>
          </reference>
          <reference field="4" count="1" selected="0">
            <x v="66"/>
          </reference>
          <reference field="5" count="1" selected="0">
            <x v="134"/>
          </reference>
          <reference field="7" count="1">
            <x v="588"/>
          </reference>
        </references>
      </pivotArea>
    </format>
    <format dxfId="2290">
      <pivotArea dataOnly="0" labelOnly="1" outline="0" fieldPosition="0">
        <references count="5">
          <reference field="0" count="1" selected="0">
            <x v="1"/>
          </reference>
          <reference field="3" count="1" selected="0">
            <x v="21"/>
          </reference>
          <reference field="4" count="1" selected="0">
            <x v="66"/>
          </reference>
          <reference field="5" count="1" selected="0">
            <x v="213"/>
          </reference>
          <reference field="7" count="1">
            <x v="973"/>
          </reference>
        </references>
      </pivotArea>
    </format>
    <format dxfId="2289">
      <pivotArea dataOnly="0" labelOnly="1" outline="0" fieldPosition="0">
        <references count="5">
          <reference field="0" count="1" selected="0">
            <x v="1"/>
          </reference>
          <reference field="3" count="1" selected="0">
            <x v="21"/>
          </reference>
          <reference field="4" count="1" selected="0">
            <x v="66"/>
          </reference>
          <reference field="5" count="1" selected="0">
            <x v="432"/>
          </reference>
          <reference field="7" count="1">
            <x v="426"/>
          </reference>
        </references>
      </pivotArea>
    </format>
    <format dxfId="2288">
      <pivotArea dataOnly="0" labelOnly="1" outline="0" fieldPosition="0">
        <references count="5">
          <reference field="0" count="1" selected="0">
            <x v="1"/>
          </reference>
          <reference field="3" count="1" selected="0">
            <x v="21"/>
          </reference>
          <reference field="4" count="1" selected="0">
            <x v="66"/>
          </reference>
          <reference field="5" count="1" selected="0">
            <x v="1591"/>
          </reference>
          <reference field="7" count="1">
            <x v="216"/>
          </reference>
        </references>
      </pivotArea>
    </format>
    <format dxfId="2287">
      <pivotArea dataOnly="0" labelOnly="1" outline="0" fieldPosition="0">
        <references count="5">
          <reference field="0" count="1" selected="0">
            <x v="1"/>
          </reference>
          <reference field="3" count="1" selected="0">
            <x v="21"/>
          </reference>
          <reference field="4" count="1" selected="0">
            <x v="66"/>
          </reference>
          <reference field="5" count="1" selected="0">
            <x v="1592"/>
          </reference>
          <reference field="7" count="1">
            <x v="380"/>
          </reference>
        </references>
      </pivotArea>
    </format>
    <format dxfId="2286">
      <pivotArea dataOnly="0" labelOnly="1" outline="0" fieldPosition="0">
        <references count="5">
          <reference field="0" count="1" selected="0">
            <x v="1"/>
          </reference>
          <reference field="3" count="1" selected="0">
            <x v="21"/>
          </reference>
          <reference field="4" count="1" selected="0">
            <x v="174"/>
          </reference>
          <reference field="5" count="1" selected="0">
            <x v="1063"/>
          </reference>
          <reference field="7" count="1">
            <x v="310"/>
          </reference>
        </references>
      </pivotArea>
    </format>
    <format dxfId="2285">
      <pivotArea dataOnly="0" labelOnly="1" outline="0" fieldPosition="0">
        <references count="5">
          <reference field="0" count="1" selected="0">
            <x v="1"/>
          </reference>
          <reference field="3" count="1" selected="0">
            <x v="21"/>
          </reference>
          <reference field="4" count="1" selected="0">
            <x v="174"/>
          </reference>
          <reference field="5" count="1" selected="0">
            <x v="1064"/>
          </reference>
          <reference field="7" count="1">
            <x v="1505"/>
          </reference>
        </references>
      </pivotArea>
    </format>
    <format dxfId="2284">
      <pivotArea dataOnly="0" labelOnly="1" outline="0" fieldPosition="0">
        <references count="5">
          <reference field="0" count="1" selected="0">
            <x v="1"/>
          </reference>
          <reference field="3" count="1" selected="0">
            <x v="21"/>
          </reference>
          <reference field="4" count="1" selected="0">
            <x v="174"/>
          </reference>
          <reference field="5" count="1" selected="0">
            <x v="1608"/>
          </reference>
          <reference field="7" count="1">
            <x v="1118"/>
          </reference>
        </references>
      </pivotArea>
    </format>
    <format dxfId="2283">
      <pivotArea dataOnly="0" labelOnly="1" outline="0" fieldPosition="0">
        <references count="5">
          <reference field="0" count="1" selected="0">
            <x v="1"/>
          </reference>
          <reference field="3" count="1" selected="0">
            <x v="21"/>
          </reference>
          <reference field="4" count="1" selected="0">
            <x v="174"/>
          </reference>
          <reference field="5" count="1" selected="0">
            <x v="1609"/>
          </reference>
          <reference field="7" count="1">
            <x v="669"/>
          </reference>
        </references>
      </pivotArea>
    </format>
    <format dxfId="2282">
      <pivotArea dataOnly="0" labelOnly="1" outline="0" fieldPosition="0">
        <references count="5">
          <reference field="0" count="1" selected="0">
            <x v="1"/>
          </reference>
          <reference field="3" count="1" selected="0">
            <x v="21"/>
          </reference>
          <reference field="4" count="1" selected="0">
            <x v="174"/>
          </reference>
          <reference field="5" count="1" selected="0">
            <x v="1610"/>
          </reference>
          <reference field="7" count="1">
            <x v="1582"/>
          </reference>
        </references>
      </pivotArea>
    </format>
    <format dxfId="2281">
      <pivotArea dataOnly="0" labelOnly="1" outline="0" fieldPosition="0">
        <references count="5">
          <reference field="0" count="1" selected="0">
            <x v="1"/>
          </reference>
          <reference field="3" count="1" selected="0">
            <x v="21"/>
          </reference>
          <reference field="4" count="1" selected="0">
            <x v="175"/>
          </reference>
          <reference field="5" count="1" selected="0">
            <x v="252"/>
          </reference>
          <reference field="7" count="1">
            <x v="1319"/>
          </reference>
        </references>
      </pivotArea>
    </format>
    <format dxfId="2280">
      <pivotArea dataOnly="0" labelOnly="1" outline="0" fieldPosition="0">
        <references count="5">
          <reference field="0" count="1" selected="0">
            <x v="1"/>
          </reference>
          <reference field="3" count="1" selected="0">
            <x v="21"/>
          </reference>
          <reference field="4" count="1" selected="0">
            <x v="175"/>
          </reference>
          <reference field="5" count="1" selected="0">
            <x v="1537"/>
          </reference>
          <reference field="7" count="1">
            <x v="793"/>
          </reference>
        </references>
      </pivotArea>
    </format>
    <format dxfId="2279">
      <pivotArea dataOnly="0" labelOnly="1" outline="0" fieldPosition="0">
        <references count="5">
          <reference field="0" count="1" selected="0">
            <x v="1"/>
          </reference>
          <reference field="3" count="1" selected="0">
            <x v="21"/>
          </reference>
          <reference field="4" count="1" selected="0">
            <x v="175"/>
          </reference>
          <reference field="5" count="1" selected="0">
            <x v="1560"/>
          </reference>
          <reference field="7" count="1">
            <x v="196"/>
          </reference>
        </references>
      </pivotArea>
    </format>
    <format dxfId="2278">
      <pivotArea dataOnly="0" labelOnly="1" outline="0" fieldPosition="0">
        <references count="5">
          <reference field="0" count="1" selected="0">
            <x v="1"/>
          </reference>
          <reference field="3" count="1" selected="0">
            <x v="21"/>
          </reference>
          <reference field="4" count="1" selected="0">
            <x v="201"/>
          </reference>
          <reference field="5" count="1" selected="0">
            <x v="126"/>
          </reference>
          <reference field="7" count="1">
            <x v="607"/>
          </reference>
        </references>
      </pivotArea>
    </format>
    <format dxfId="2277">
      <pivotArea dataOnly="0" labelOnly="1" outline="0" fieldPosition="0">
        <references count="5">
          <reference field="0" count="1" selected="0">
            <x v="1"/>
          </reference>
          <reference field="3" count="1" selected="0">
            <x v="21"/>
          </reference>
          <reference field="4" count="1" selected="0">
            <x v="201"/>
          </reference>
          <reference field="5" count="1" selected="0">
            <x v="1589"/>
          </reference>
          <reference field="7" count="1">
            <x v="556"/>
          </reference>
        </references>
      </pivotArea>
    </format>
    <format dxfId="2276">
      <pivotArea dataOnly="0" labelOnly="1" outline="0" fieldPosition="0">
        <references count="5">
          <reference field="0" count="1" selected="0">
            <x v="1"/>
          </reference>
          <reference field="3" count="1" selected="0">
            <x v="21"/>
          </reference>
          <reference field="4" count="1" selected="0">
            <x v="201"/>
          </reference>
          <reference field="5" count="1" selected="0">
            <x v="1590"/>
          </reference>
          <reference field="7" count="1">
            <x v="557"/>
          </reference>
        </references>
      </pivotArea>
    </format>
    <format dxfId="2275">
      <pivotArea dataOnly="0" labelOnly="1" outline="0" fieldPosition="0">
        <references count="5">
          <reference field="0" count="1" selected="0">
            <x v="1"/>
          </reference>
          <reference field="3" count="1" selected="0">
            <x v="21"/>
          </reference>
          <reference field="4" count="1" selected="0">
            <x v="212"/>
          </reference>
          <reference field="5" count="1" selected="0">
            <x v="96"/>
          </reference>
          <reference field="7" count="1">
            <x v="3"/>
          </reference>
        </references>
      </pivotArea>
    </format>
    <format dxfId="2274">
      <pivotArea dataOnly="0" labelOnly="1" outline="0" fieldPosition="0">
        <references count="5">
          <reference field="0" count="1" selected="0">
            <x v="1"/>
          </reference>
          <reference field="3" count="1" selected="0">
            <x v="21"/>
          </reference>
          <reference field="4" count="1" selected="0">
            <x v="212"/>
          </reference>
          <reference field="5" count="1" selected="0">
            <x v="146"/>
          </reference>
          <reference field="7" count="1">
            <x v="1587"/>
          </reference>
        </references>
      </pivotArea>
    </format>
    <format dxfId="2273">
      <pivotArea dataOnly="0" labelOnly="1" outline="0" fieldPosition="0">
        <references count="5">
          <reference field="0" count="1" selected="0">
            <x v="1"/>
          </reference>
          <reference field="3" count="1" selected="0">
            <x v="21"/>
          </reference>
          <reference field="4" count="1" selected="0">
            <x v="212"/>
          </reference>
          <reference field="5" count="1" selected="0">
            <x v="161"/>
          </reference>
          <reference field="7" count="1">
            <x v="1079"/>
          </reference>
        </references>
      </pivotArea>
    </format>
    <format dxfId="2272">
      <pivotArea dataOnly="0" labelOnly="1" outline="0" fieldPosition="0">
        <references count="5">
          <reference field="0" count="1" selected="0">
            <x v="1"/>
          </reference>
          <reference field="3" count="1" selected="0">
            <x v="21"/>
          </reference>
          <reference field="4" count="1" selected="0">
            <x v="212"/>
          </reference>
          <reference field="5" count="1" selected="0">
            <x v="281"/>
          </reference>
          <reference field="7" count="1">
            <x v="754"/>
          </reference>
        </references>
      </pivotArea>
    </format>
    <format dxfId="2271">
      <pivotArea dataOnly="0" labelOnly="1" outline="0" fieldPosition="0">
        <references count="5">
          <reference field="0" count="1" selected="0">
            <x v="1"/>
          </reference>
          <reference field="3" count="1" selected="0">
            <x v="21"/>
          </reference>
          <reference field="4" count="1" selected="0">
            <x v="212"/>
          </reference>
          <reference field="5" count="1" selected="0">
            <x v="1067"/>
          </reference>
          <reference field="7" count="1">
            <x v="1571"/>
          </reference>
        </references>
      </pivotArea>
    </format>
    <format dxfId="2270">
      <pivotArea dataOnly="0" labelOnly="1" outline="0" fieldPosition="0">
        <references count="5">
          <reference field="0" count="1" selected="0">
            <x v="1"/>
          </reference>
          <reference field="3" count="1" selected="0">
            <x v="21"/>
          </reference>
          <reference field="4" count="1" selected="0">
            <x v="212"/>
          </reference>
          <reference field="5" count="1" selected="0">
            <x v="1320"/>
          </reference>
          <reference field="7" count="1">
            <x v="1496"/>
          </reference>
        </references>
      </pivotArea>
    </format>
    <format dxfId="2269">
      <pivotArea dataOnly="0" labelOnly="1" outline="0" fieldPosition="0">
        <references count="5">
          <reference field="0" count="1" selected="0">
            <x v="1"/>
          </reference>
          <reference field="3" count="1" selected="0">
            <x v="21"/>
          </reference>
          <reference field="4" count="1" selected="0">
            <x v="212"/>
          </reference>
          <reference field="5" count="1" selected="0">
            <x v="1321"/>
          </reference>
          <reference field="7" count="1">
            <x v="744"/>
          </reference>
        </references>
      </pivotArea>
    </format>
    <format dxfId="2268">
      <pivotArea dataOnly="0" labelOnly="1" outline="0" fieldPosition="0">
        <references count="5">
          <reference field="0" count="1" selected="0">
            <x v="1"/>
          </reference>
          <reference field="3" count="1" selected="0">
            <x v="21"/>
          </reference>
          <reference field="4" count="1" selected="0">
            <x v="212"/>
          </reference>
          <reference field="5" count="1" selected="0">
            <x v="1322"/>
          </reference>
          <reference field="7" count="1">
            <x v="1007"/>
          </reference>
        </references>
      </pivotArea>
    </format>
    <format dxfId="2267">
      <pivotArea dataOnly="0" labelOnly="1" outline="0" fieldPosition="0">
        <references count="5">
          <reference field="0" count="1" selected="0">
            <x v="1"/>
          </reference>
          <reference field="3" count="1" selected="0">
            <x v="21"/>
          </reference>
          <reference field="4" count="1" selected="0">
            <x v="212"/>
          </reference>
          <reference field="5" count="1" selected="0">
            <x v="1323"/>
          </reference>
          <reference field="7" count="1">
            <x v="1006"/>
          </reference>
        </references>
      </pivotArea>
    </format>
    <format dxfId="2266">
      <pivotArea dataOnly="0" labelOnly="1" outline="0" fieldPosition="0">
        <references count="5">
          <reference field="0" count="1" selected="0">
            <x v="1"/>
          </reference>
          <reference field="3" count="1" selected="0">
            <x v="21"/>
          </reference>
          <reference field="4" count="1" selected="0">
            <x v="212"/>
          </reference>
          <reference field="5" count="1" selected="0">
            <x v="1324"/>
          </reference>
          <reference field="7" count="1">
            <x v="745"/>
          </reference>
        </references>
      </pivotArea>
    </format>
    <format dxfId="2265">
      <pivotArea dataOnly="0" labelOnly="1" outline="0" fieldPosition="0">
        <references count="5">
          <reference field="0" count="1" selected="0">
            <x v="1"/>
          </reference>
          <reference field="3" count="1" selected="0">
            <x v="21"/>
          </reference>
          <reference field="4" count="1" selected="0">
            <x v="212"/>
          </reference>
          <reference field="5" count="1" selected="0">
            <x v="1325"/>
          </reference>
          <reference field="7" count="1">
            <x v="51"/>
          </reference>
        </references>
      </pivotArea>
    </format>
    <format dxfId="2264">
      <pivotArea dataOnly="0" labelOnly="1" outline="0" fieldPosition="0">
        <references count="5">
          <reference field="0" count="1" selected="0">
            <x v="1"/>
          </reference>
          <reference field="3" count="1" selected="0">
            <x v="21"/>
          </reference>
          <reference field="4" count="1" selected="0">
            <x v="212"/>
          </reference>
          <reference field="5" count="1" selected="0">
            <x v="1326"/>
          </reference>
          <reference field="7" count="1">
            <x v="633"/>
          </reference>
        </references>
      </pivotArea>
    </format>
    <format dxfId="2263">
      <pivotArea dataOnly="0" labelOnly="1" outline="0" fieldPosition="0">
        <references count="5">
          <reference field="0" count="1" selected="0">
            <x v="1"/>
          </reference>
          <reference field="3" count="1" selected="0">
            <x v="21"/>
          </reference>
          <reference field="4" count="1" selected="0">
            <x v="216"/>
          </reference>
          <reference field="5" count="1" selected="0">
            <x v="44"/>
          </reference>
          <reference field="7" count="1">
            <x v="27"/>
          </reference>
        </references>
      </pivotArea>
    </format>
    <format dxfId="2262">
      <pivotArea dataOnly="0" labelOnly="1" outline="0" fieldPosition="0">
        <references count="5">
          <reference field="0" count="1" selected="0">
            <x v="1"/>
          </reference>
          <reference field="3" count="1" selected="0">
            <x v="21"/>
          </reference>
          <reference field="4" count="1" selected="0">
            <x v="216"/>
          </reference>
          <reference field="5" count="1" selected="0">
            <x v="115"/>
          </reference>
          <reference field="7" count="1">
            <x v="1073"/>
          </reference>
        </references>
      </pivotArea>
    </format>
    <format dxfId="2261">
      <pivotArea dataOnly="0" labelOnly="1" outline="0" fieldPosition="0">
        <references count="5">
          <reference field="0" count="1" selected="0">
            <x v="1"/>
          </reference>
          <reference field="3" count="1" selected="0">
            <x v="21"/>
          </reference>
          <reference field="4" count="1" selected="0">
            <x v="216"/>
          </reference>
          <reference field="5" count="1" selected="0">
            <x v="116"/>
          </reference>
          <reference field="7" count="1">
            <x v="1078"/>
          </reference>
        </references>
      </pivotArea>
    </format>
    <format dxfId="2260">
      <pivotArea dataOnly="0" labelOnly="1" outline="0" fieldPosition="0">
        <references count="5">
          <reference field="0" count="1" selected="0">
            <x v="1"/>
          </reference>
          <reference field="3" count="1" selected="0">
            <x v="21"/>
          </reference>
          <reference field="4" count="1" selected="0">
            <x v="216"/>
          </reference>
          <reference field="5" count="1" selected="0">
            <x v="121"/>
          </reference>
          <reference field="7" count="1">
            <x v="1096"/>
          </reference>
        </references>
      </pivotArea>
    </format>
    <format dxfId="2259">
      <pivotArea dataOnly="0" labelOnly="1" outline="0" fieldPosition="0">
        <references count="5">
          <reference field="0" count="1" selected="0">
            <x v="1"/>
          </reference>
          <reference field="3" count="1" selected="0">
            <x v="21"/>
          </reference>
          <reference field="4" count="1" selected="0">
            <x v="216"/>
          </reference>
          <reference field="5" count="1" selected="0">
            <x v="122"/>
          </reference>
          <reference field="7" count="1">
            <x v="1097"/>
          </reference>
        </references>
      </pivotArea>
    </format>
    <format dxfId="2258">
      <pivotArea dataOnly="0" labelOnly="1" outline="0" fieldPosition="0">
        <references count="5">
          <reference field="0" count="1" selected="0">
            <x v="1"/>
          </reference>
          <reference field="3" count="1" selected="0">
            <x v="21"/>
          </reference>
          <reference field="4" count="1" selected="0">
            <x v="216"/>
          </reference>
          <reference field="5" count="1" selected="0">
            <x v="136"/>
          </reference>
          <reference field="7" count="1">
            <x v="593"/>
          </reference>
        </references>
      </pivotArea>
    </format>
    <format dxfId="2257">
      <pivotArea dataOnly="0" labelOnly="1" outline="0" fieldPosition="0">
        <references count="5">
          <reference field="0" count="1" selected="0">
            <x v="1"/>
          </reference>
          <reference field="3" count="1" selected="0">
            <x v="21"/>
          </reference>
          <reference field="4" count="1" selected="0">
            <x v="216"/>
          </reference>
          <reference field="5" count="1" selected="0">
            <x v="140"/>
          </reference>
          <reference field="7" count="1">
            <x v="595"/>
          </reference>
        </references>
      </pivotArea>
    </format>
    <format dxfId="2256">
      <pivotArea dataOnly="0" labelOnly="1" outline="0" fieldPosition="0">
        <references count="5">
          <reference field="0" count="1" selected="0">
            <x v="1"/>
          </reference>
          <reference field="3" count="1" selected="0">
            <x v="21"/>
          </reference>
          <reference field="4" count="1" selected="0">
            <x v="216"/>
          </reference>
          <reference field="5" count="1" selected="0">
            <x v="146"/>
          </reference>
          <reference field="7" count="1">
            <x v="1587"/>
          </reference>
        </references>
      </pivotArea>
    </format>
    <format dxfId="2255">
      <pivotArea dataOnly="0" labelOnly="1" outline="0" fieldPosition="0">
        <references count="5">
          <reference field="0" count="1" selected="0">
            <x v="1"/>
          </reference>
          <reference field="3" count="1" selected="0">
            <x v="21"/>
          </reference>
          <reference field="4" count="1" selected="0">
            <x v="216"/>
          </reference>
          <reference field="5" count="1" selected="0">
            <x v="148"/>
          </reference>
          <reference field="7" count="1">
            <x v="977"/>
          </reference>
        </references>
      </pivotArea>
    </format>
    <format dxfId="2254">
      <pivotArea dataOnly="0" labelOnly="1" outline="0" fieldPosition="0">
        <references count="5">
          <reference field="0" count="1" selected="0">
            <x v="1"/>
          </reference>
          <reference field="3" count="1" selected="0">
            <x v="21"/>
          </reference>
          <reference field="4" count="1" selected="0">
            <x v="216"/>
          </reference>
          <reference field="5" count="1" selected="0">
            <x v="160"/>
          </reference>
          <reference field="7" count="1">
            <x v="1077"/>
          </reference>
        </references>
      </pivotArea>
    </format>
    <format dxfId="2253">
      <pivotArea dataOnly="0" labelOnly="1" outline="0" fieldPosition="0">
        <references count="5">
          <reference field="0" count="1" selected="0">
            <x v="1"/>
          </reference>
          <reference field="3" count="1" selected="0">
            <x v="21"/>
          </reference>
          <reference field="4" count="1" selected="0">
            <x v="216"/>
          </reference>
          <reference field="5" count="1" selected="0">
            <x v="161"/>
          </reference>
          <reference field="7" count="1">
            <x v="1079"/>
          </reference>
        </references>
      </pivotArea>
    </format>
    <format dxfId="2252">
      <pivotArea dataOnly="0" labelOnly="1" outline="0" fieldPosition="0">
        <references count="5">
          <reference field="0" count="1" selected="0">
            <x v="1"/>
          </reference>
          <reference field="3" count="1" selected="0">
            <x v="21"/>
          </reference>
          <reference field="4" count="1" selected="0">
            <x v="216"/>
          </reference>
          <reference field="5" count="1" selected="0">
            <x v="163"/>
          </reference>
          <reference field="7" count="1">
            <x v="1083"/>
          </reference>
        </references>
      </pivotArea>
    </format>
    <format dxfId="2251">
      <pivotArea dataOnly="0" labelOnly="1" outline="0" fieldPosition="0">
        <references count="5">
          <reference field="0" count="1" selected="0">
            <x v="1"/>
          </reference>
          <reference field="3" count="1" selected="0">
            <x v="21"/>
          </reference>
          <reference field="4" count="1" selected="0">
            <x v="216"/>
          </reference>
          <reference field="5" count="1" selected="0">
            <x v="166"/>
          </reference>
          <reference field="7" count="1">
            <x v="1086"/>
          </reference>
        </references>
      </pivotArea>
    </format>
    <format dxfId="2250">
      <pivotArea dataOnly="0" labelOnly="1" outline="0" fieldPosition="0">
        <references count="5">
          <reference field="0" count="1" selected="0">
            <x v="1"/>
          </reference>
          <reference field="3" count="1" selected="0">
            <x v="21"/>
          </reference>
          <reference field="4" count="1" selected="0">
            <x v="216"/>
          </reference>
          <reference field="5" count="1" selected="0">
            <x v="170"/>
          </reference>
          <reference field="7" count="1">
            <x v="1092"/>
          </reference>
        </references>
      </pivotArea>
    </format>
    <format dxfId="2249">
      <pivotArea dataOnly="0" labelOnly="1" outline="0" fieldPosition="0">
        <references count="5">
          <reference field="0" count="1" selected="0">
            <x v="1"/>
          </reference>
          <reference field="3" count="1" selected="0">
            <x v="21"/>
          </reference>
          <reference field="4" count="1" selected="0">
            <x v="216"/>
          </reference>
          <reference field="5" count="1" selected="0">
            <x v="172"/>
          </reference>
          <reference field="7" count="1">
            <x v="1093"/>
          </reference>
        </references>
      </pivotArea>
    </format>
    <format dxfId="2248">
      <pivotArea dataOnly="0" labelOnly="1" outline="0" fieldPosition="0">
        <references count="5">
          <reference field="0" count="1" selected="0">
            <x v="1"/>
          </reference>
          <reference field="3" count="1" selected="0">
            <x v="21"/>
          </reference>
          <reference field="4" count="1" selected="0">
            <x v="216"/>
          </reference>
          <reference field="5" count="1" selected="0">
            <x v="203"/>
          </reference>
          <reference field="7" count="1">
            <x v="1418"/>
          </reference>
        </references>
      </pivotArea>
    </format>
    <format dxfId="2247">
      <pivotArea dataOnly="0" labelOnly="1" outline="0" fieldPosition="0">
        <references count="5">
          <reference field="0" count="1" selected="0">
            <x v="1"/>
          </reference>
          <reference field="3" count="1" selected="0">
            <x v="21"/>
          </reference>
          <reference field="4" count="1" selected="0">
            <x v="216"/>
          </reference>
          <reference field="5" count="1" selected="0">
            <x v="213"/>
          </reference>
          <reference field="7" count="1">
            <x v="973"/>
          </reference>
        </references>
      </pivotArea>
    </format>
    <format dxfId="2246">
      <pivotArea dataOnly="0" labelOnly="1" outline="0" fieldPosition="0">
        <references count="5">
          <reference field="0" count="1" selected="0">
            <x v="1"/>
          </reference>
          <reference field="3" count="1" selected="0">
            <x v="21"/>
          </reference>
          <reference field="4" count="1" selected="0">
            <x v="216"/>
          </reference>
          <reference field="5" count="1" selected="0">
            <x v="214"/>
          </reference>
          <reference field="7" count="1">
            <x v="974"/>
          </reference>
        </references>
      </pivotArea>
    </format>
    <format dxfId="2245">
      <pivotArea dataOnly="0" labelOnly="1" outline="0" fieldPosition="0">
        <references count="5">
          <reference field="0" count="1" selected="0">
            <x v="1"/>
          </reference>
          <reference field="3" count="1" selected="0">
            <x v="21"/>
          </reference>
          <reference field="4" count="1" selected="0">
            <x v="216"/>
          </reference>
          <reference field="5" count="1" selected="0">
            <x v="215"/>
          </reference>
          <reference field="7" count="1">
            <x v="975"/>
          </reference>
        </references>
      </pivotArea>
    </format>
    <format dxfId="2244">
      <pivotArea dataOnly="0" labelOnly="1" outline="0" fieldPosition="0">
        <references count="5">
          <reference field="0" count="1" selected="0">
            <x v="1"/>
          </reference>
          <reference field="3" count="1" selected="0">
            <x v="21"/>
          </reference>
          <reference field="4" count="1" selected="0">
            <x v="216"/>
          </reference>
          <reference field="5" count="1" selected="0">
            <x v="224"/>
          </reference>
          <reference field="7" count="1">
            <x v="757"/>
          </reference>
        </references>
      </pivotArea>
    </format>
    <format dxfId="2243">
      <pivotArea dataOnly="0" labelOnly="1" outline="0" fieldPosition="0">
        <references count="5">
          <reference field="0" count="1" selected="0">
            <x v="1"/>
          </reference>
          <reference field="3" count="1" selected="0">
            <x v="21"/>
          </reference>
          <reference field="4" count="1" selected="0">
            <x v="216"/>
          </reference>
          <reference field="5" count="1" selected="0">
            <x v="295"/>
          </reference>
          <reference field="7" count="1">
            <x v="1429"/>
          </reference>
        </references>
      </pivotArea>
    </format>
    <format dxfId="2242">
      <pivotArea dataOnly="0" labelOnly="1" outline="0" fieldPosition="0">
        <references count="5">
          <reference field="0" count="1" selected="0">
            <x v="1"/>
          </reference>
          <reference field="3" count="1" selected="0">
            <x v="21"/>
          </reference>
          <reference field="4" count="1" selected="0">
            <x v="216"/>
          </reference>
          <reference field="5" count="1" selected="0">
            <x v="302"/>
          </reference>
          <reference field="7" count="1">
            <x v="1070"/>
          </reference>
        </references>
      </pivotArea>
    </format>
    <format dxfId="2241">
      <pivotArea dataOnly="0" labelOnly="1" outline="0" fieldPosition="0">
        <references count="5">
          <reference field="0" count="1" selected="0">
            <x v="1"/>
          </reference>
          <reference field="3" count="1" selected="0">
            <x v="21"/>
          </reference>
          <reference field="4" count="1" selected="0">
            <x v="216"/>
          </reference>
          <reference field="5" count="1" selected="0">
            <x v="309"/>
          </reference>
          <reference field="7" count="1">
            <x v="1373"/>
          </reference>
        </references>
      </pivotArea>
    </format>
    <format dxfId="2240">
      <pivotArea dataOnly="0" labelOnly="1" outline="0" fieldPosition="0">
        <references count="5">
          <reference field="0" count="1" selected="0">
            <x v="1"/>
          </reference>
          <reference field="3" count="1" selected="0">
            <x v="21"/>
          </reference>
          <reference field="4" count="1" selected="0">
            <x v="216"/>
          </reference>
          <reference field="5" count="1" selected="0">
            <x v="310"/>
          </reference>
          <reference field="7" count="1">
            <x v="971"/>
          </reference>
        </references>
      </pivotArea>
    </format>
    <format dxfId="2239">
      <pivotArea dataOnly="0" labelOnly="1" outline="0" fieldPosition="0">
        <references count="5">
          <reference field="0" count="1" selected="0">
            <x v="1"/>
          </reference>
          <reference field="3" count="1" selected="0">
            <x v="21"/>
          </reference>
          <reference field="4" count="1" selected="0">
            <x v="216"/>
          </reference>
          <reference field="5" count="1" selected="0">
            <x v="336"/>
          </reference>
          <reference field="7" count="1">
            <x v="1593"/>
          </reference>
        </references>
      </pivotArea>
    </format>
    <format dxfId="2238">
      <pivotArea dataOnly="0" labelOnly="1" outline="0" fieldPosition="0">
        <references count="5">
          <reference field="0" count="1" selected="0">
            <x v="1"/>
          </reference>
          <reference field="3" count="1" selected="0">
            <x v="21"/>
          </reference>
          <reference field="4" count="1" selected="0">
            <x v="216"/>
          </reference>
          <reference field="5" count="1" selected="0">
            <x v="351"/>
          </reference>
          <reference field="7" count="1">
            <x v="1025"/>
          </reference>
        </references>
      </pivotArea>
    </format>
    <format dxfId="2237">
      <pivotArea dataOnly="0" labelOnly="1" outline="0" fieldPosition="0">
        <references count="5">
          <reference field="0" count="1" selected="0">
            <x v="1"/>
          </reference>
          <reference field="3" count="1" selected="0">
            <x v="21"/>
          </reference>
          <reference field="4" count="1" selected="0">
            <x v="216"/>
          </reference>
          <reference field="5" count="1" selected="0">
            <x v="374"/>
          </reference>
          <reference field="7" count="1">
            <x v="704"/>
          </reference>
        </references>
      </pivotArea>
    </format>
    <format dxfId="2236">
      <pivotArea dataOnly="0" labelOnly="1" outline="0" fieldPosition="0">
        <references count="5">
          <reference field="0" count="1" selected="0">
            <x v="1"/>
          </reference>
          <reference field="3" count="1" selected="0">
            <x v="21"/>
          </reference>
          <reference field="4" count="1" selected="0">
            <x v="216"/>
          </reference>
          <reference field="5" count="1" selected="0">
            <x v="1065"/>
          </reference>
          <reference field="7" count="1">
            <x v="218"/>
          </reference>
        </references>
      </pivotArea>
    </format>
    <format dxfId="2235">
      <pivotArea dataOnly="0" labelOnly="1" outline="0" fieldPosition="0">
        <references count="5">
          <reference field="0" count="1" selected="0">
            <x v="1"/>
          </reference>
          <reference field="3" count="1" selected="0">
            <x v="21"/>
          </reference>
          <reference field="4" count="1" selected="0">
            <x v="216"/>
          </reference>
          <reference field="5" count="1" selected="0">
            <x v="1066"/>
          </reference>
          <reference field="7" count="1">
            <x v="850"/>
          </reference>
        </references>
      </pivotArea>
    </format>
    <format dxfId="2234">
      <pivotArea dataOnly="0" labelOnly="1" outline="0" fieldPosition="0">
        <references count="5">
          <reference field="0" count="1" selected="0">
            <x v="1"/>
          </reference>
          <reference field="3" count="1" selected="0">
            <x v="21"/>
          </reference>
          <reference field="4" count="1" selected="0">
            <x v="216"/>
          </reference>
          <reference field="5" count="1" selected="0">
            <x v="1068"/>
          </reference>
          <reference field="7" count="1">
            <x v="107"/>
          </reference>
        </references>
      </pivotArea>
    </format>
    <format dxfId="2233">
      <pivotArea dataOnly="0" labelOnly="1" outline="0" fieldPosition="0">
        <references count="5">
          <reference field="0" count="1" selected="0">
            <x v="1"/>
          </reference>
          <reference field="3" count="1" selected="0">
            <x v="22"/>
          </reference>
          <reference field="4" count="1" selected="0">
            <x v="216"/>
          </reference>
          <reference field="5" count="1" selected="0">
            <x v="30"/>
          </reference>
          <reference field="7" count="1">
            <x v="1577"/>
          </reference>
        </references>
      </pivotArea>
    </format>
    <format dxfId="2232">
      <pivotArea dataOnly="0" labelOnly="1" outline="0" fieldPosition="0">
        <references count="5">
          <reference field="0" count="1" selected="0">
            <x v="1"/>
          </reference>
          <reference field="3" count="1" selected="0">
            <x v="22"/>
          </reference>
          <reference field="4" count="1" selected="0">
            <x v="216"/>
          </reference>
          <reference field="5" count="1" selected="0">
            <x v="112"/>
          </reference>
          <reference field="7" count="1">
            <x v="609"/>
          </reference>
        </references>
      </pivotArea>
    </format>
    <format dxfId="2231">
      <pivotArea dataOnly="0" labelOnly="1" outline="0" fieldPosition="0">
        <references count="5">
          <reference field="0" count="1" selected="0">
            <x v="1"/>
          </reference>
          <reference field="3" count="1" selected="0">
            <x v="22"/>
          </reference>
          <reference field="4" count="1" selected="0">
            <x v="216"/>
          </reference>
          <reference field="5" count="1" selected="0">
            <x v="120"/>
          </reference>
          <reference field="7" count="1">
            <x v="1095"/>
          </reference>
        </references>
      </pivotArea>
    </format>
    <format dxfId="2230">
      <pivotArea dataOnly="0" labelOnly="1" outline="0" fieldPosition="0">
        <references count="5">
          <reference field="0" count="1" selected="0">
            <x v="1"/>
          </reference>
          <reference field="3" count="1" selected="0">
            <x v="22"/>
          </reference>
          <reference field="4" count="1" selected="0">
            <x v="216"/>
          </reference>
          <reference field="5" count="1" selected="0">
            <x v="122"/>
          </reference>
          <reference field="7" count="1">
            <x v="1097"/>
          </reference>
        </references>
      </pivotArea>
    </format>
    <format dxfId="2229">
      <pivotArea dataOnly="0" labelOnly="1" outline="0" fieldPosition="0">
        <references count="5">
          <reference field="0" count="1" selected="0">
            <x v="1"/>
          </reference>
          <reference field="3" count="1" selected="0">
            <x v="22"/>
          </reference>
          <reference field="4" count="1" selected="0">
            <x v="216"/>
          </reference>
          <reference field="5" count="1" selected="0">
            <x v="140"/>
          </reference>
          <reference field="7" count="1">
            <x v="595"/>
          </reference>
        </references>
      </pivotArea>
    </format>
    <format dxfId="2228">
      <pivotArea dataOnly="0" labelOnly="1" outline="0" fieldPosition="0">
        <references count="5">
          <reference field="0" count="1" selected="0">
            <x v="1"/>
          </reference>
          <reference field="3" count="1" selected="0">
            <x v="22"/>
          </reference>
          <reference field="4" count="1" selected="0">
            <x v="216"/>
          </reference>
          <reference field="5" count="1" selected="0">
            <x v="141"/>
          </reference>
          <reference field="7" count="1">
            <x v="597"/>
          </reference>
        </references>
      </pivotArea>
    </format>
    <format dxfId="2227">
      <pivotArea dataOnly="0" labelOnly="1" outline="0" fieldPosition="0">
        <references count="5">
          <reference field="0" count="1" selected="0">
            <x v="1"/>
          </reference>
          <reference field="3" count="1" selected="0">
            <x v="22"/>
          </reference>
          <reference field="4" count="1" selected="0">
            <x v="216"/>
          </reference>
          <reference field="5" count="1" selected="0">
            <x v="167"/>
          </reference>
          <reference field="7" count="1">
            <x v="1088"/>
          </reference>
        </references>
      </pivotArea>
    </format>
    <format dxfId="2226">
      <pivotArea dataOnly="0" labelOnly="1" outline="0" fieldPosition="0">
        <references count="5">
          <reference field="0" count="1" selected="0">
            <x v="1"/>
          </reference>
          <reference field="3" count="1" selected="0">
            <x v="22"/>
          </reference>
          <reference field="4" count="1" selected="0">
            <x v="216"/>
          </reference>
          <reference field="5" count="1" selected="0">
            <x v="172"/>
          </reference>
          <reference field="7" count="1">
            <x v="1093"/>
          </reference>
        </references>
      </pivotArea>
    </format>
    <format dxfId="2225">
      <pivotArea dataOnly="0" labelOnly="1" outline="0" fieldPosition="0">
        <references count="5">
          <reference field="0" count="1" selected="0">
            <x v="1"/>
          </reference>
          <reference field="3" count="1" selected="0">
            <x v="22"/>
          </reference>
          <reference field="4" count="1" selected="0">
            <x v="216"/>
          </reference>
          <reference field="5" count="1" selected="0">
            <x v="215"/>
          </reference>
          <reference field="7" count="1">
            <x v="975"/>
          </reference>
        </references>
      </pivotArea>
    </format>
    <format dxfId="2224">
      <pivotArea dataOnly="0" labelOnly="1" outline="0" fieldPosition="0">
        <references count="5">
          <reference field="0" count="1" selected="0">
            <x v="1"/>
          </reference>
          <reference field="3" count="1" selected="0">
            <x v="22"/>
          </reference>
          <reference field="4" count="1" selected="0">
            <x v="216"/>
          </reference>
          <reference field="5" count="1" selected="0">
            <x v="224"/>
          </reference>
          <reference field="7" count="1">
            <x v="757"/>
          </reference>
        </references>
      </pivotArea>
    </format>
    <format dxfId="2223">
      <pivotArea dataOnly="0" labelOnly="1" outline="0" fieldPosition="0">
        <references count="5">
          <reference field="0" count="1" selected="0">
            <x v="1"/>
          </reference>
          <reference field="3" count="1" selected="0">
            <x v="22"/>
          </reference>
          <reference field="4" count="1" selected="0">
            <x v="216"/>
          </reference>
          <reference field="5" count="1" selected="0">
            <x v="281"/>
          </reference>
          <reference field="7" count="1">
            <x v="754"/>
          </reference>
        </references>
      </pivotArea>
    </format>
    <format dxfId="2222">
      <pivotArea dataOnly="0" labelOnly="1" outline="0" fieldPosition="0">
        <references count="5">
          <reference field="0" count="1" selected="0">
            <x v="1"/>
          </reference>
          <reference field="3" count="1" selected="0">
            <x v="22"/>
          </reference>
          <reference field="4" count="1" selected="0">
            <x v="216"/>
          </reference>
          <reference field="5" count="1" selected="0">
            <x v="282"/>
          </reference>
          <reference field="7" count="1">
            <x v="755"/>
          </reference>
        </references>
      </pivotArea>
    </format>
    <format dxfId="2221">
      <pivotArea dataOnly="0" labelOnly="1" outline="0" fieldPosition="0">
        <references count="5">
          <reference field="0" count="1" selected="0">
            <x v="1"/>
          </reference>
          <reference field="3" count="1" selected="0">
            <x v="22"/>
          </reference>
          <reference field="4" count="1" selected="0">
            <x v="216"/>
          </reference>
          <reference field="5" count="1" selected="0">
            <x v="283"/>
          </reference>
          <reference field="7" count="1">
            <x v="756"/>
          </reference>
        </references>
      </pivotArea>
    </format>
    <format dxfId="2220">
      <pivotArea dataOnly="0" labelOnly="1" outline="0" fieldPosition="0">
        <references count="5">
          <reference field="0" count="1" selected="0">
            <x v="1"/>
          </reference>
          <reference field="3" count="1" selected="0">
            <x v="22"/>
          </reference>
          <reference field="4" count="1" selected="0">
            <x v="216"/>
          </reference>
          <reference field="5" count="1" selected="0">
            <x v="336"/>
          </reference>
          <reference field="7" count="1">
            <x v="1593"/>
          </reference>
        </references>
      </pivotArea>
    </format>
    <format dxfId="2219">
      <pivotArea dataOnly="0" labelOnly="1" outline="0" fieldPosition="0">
        <references count="5">
          <reference field="0" count="1" selected="0">
            <x v="1"/>
          </reference>
          <reference field="3" count="1" selected="0">
            <x v="22"/>
          </reference>
          <reference field="4" count="1" selected="0">
            <x v="216"/>
          </reference>
          <reference field="5" count="1" selected="0">
            <x v="1071"/>
          </reference>
          <reference field="7" count="1">
            <x v="219"/>
          </reference>
        </references>
      </pivotArea>
    </format>
    <format dxfId="2218">
      <pivotArea dataOnly="0" labelOnly="1" outline="0" fieldPosition="0">
        <references count="5">
          <reference field="0" count="1" selected="0">
            <x v="1"/>
          </reference>
          <reference field="3" count="1" selected="0">
            <x v="22"/>
          </reference>
          <reference field="4" count="1" selected="0">
            <x v="216"/>
          </reference>
          <reference field="5" count="1" selected="0">
            <x v="1072"/>
          </reference>
          <reference field="7" count="1">
            <x v="1133"/>
          </reference>
        </references>
      </pivotArea>
    </format>
    <format dxfId="2217">
      <pivotArea dataOnly="0" labelOnly="1" outline="0" fieldPosition="0">
        <references count="5">
          <reference field="0" count="1" selected="0">
            <x v="1"/>
          </reference>
          <reference field="3" count="1" selected="0">
            <x v="22"/>
          </reference>
          <reference field="4" count="1" selected="0">
            <x v="216"/>
          </reference>
          <reference field="5" count="1" selected="0">
            <x v="1073"/>
          </reference>
          <reference field="7" count="1">
            <x v="1129"/>
          </reference>
        </references>
      </pivotArea>
    </format>
    <format dxfId="2216">
      <pivotArea dataOnly="0" labelOnly="1" outline="0" fieldPosition="0">
        <references count="5">
          <reference field="0" count="1" selected="0">
            <x v="1"/>
          </reference>
          <reference field="3" count="1" selected="0">
            <x v="22"/>
          </reference>
          <reference field="4" count="1" selected="0">
            <x v="216"/>
          </reference>
          <reference field="5" count="1" selected="0">
            <x v="1074"/>
          </reference>
          <reference field="7" count="1">
            <x v="1130"/>
          </reference>
        </references>
      </pivotArea>
    </format>
    <format dxfId="2215">
      <pivotArea dataOnly="0" labelOnly="1" outline="0" fieldPosition="0">
        <references count="5">
          <reference field="0" count="1" selected="0">
            <x v="1"/>
          </reference>
          <reference field="3" count="1" selected="0">
            <x v="22"/>
          </reference>
          <reference field="4" count="1" selected="0">
            <x v="216"/>
          </reference>
          <reference field="5" count="1" selected="0">
            <x v="1075"/>
          </reference>
          <reference field="7" count="1">
            <x v="1131"/>
          </reference>
        </references>
      </pivotArea>
    </format>
    <format dxfId="2214">
      <pivotArea dataOnly="0" labelOnly="1" outline="0" fieldPosition="0">
        <references count="5">
          <reference field="0" count="1" selected="0">
            <x v="1"/>
          </reference>
          <reference field="3" count="1" selected="0">
            <x v="22"/>
          </reference>
          <reference field="4" count="1" selected="0">
            <x v="216"/>
          </reference>
          <reference field="5" count="1" selected="0">
            <x v="1076"/>
          </reference>
          <reference field="7" count="1">
            <x v="1132"/>
          </reference>
        </references>
      </pivotArea>
    </format>
    <format dxfId="2213">
      <pivotArea dataOnly="0" labelOnly="1" outline="0" fieldPosition="0">
        <references count="5">
          <reference field="0" count="1" selected="0">
            <x v="1"/>
          </reference>
          <reference field="3" count="1" selected="0">
            <x v="22"/>
          </reference>
          <reference field="4" count="1" selected="0">
            <x v="216"/>
          </reference>
          <reference field="5" count="1" selected="0">
            <x v="1077"/>
          </reference>
          <reference field="7" count="1">
            <x v="438"/>
          </reference>
        </references>
      </pivotArea>
    </format>
    <format dxfId="2212">
      <pivotArea dataOnly="0" labelOnly="1" outline="0" fieldPosition="0">
        <references count="5">
          <reference field="0" count="1" selected="0">
            <x v="1"/>
          </reference>
          <reference field="3" count="1" selected="0">
            <x v="22"/>
          </reference>
          <reference field="4" count="1" selected="0">
            <x v="216"/>
          </reference>
          <reference field="5" count="1" selected="0">
            <x v="1078"/>
          </reference>
          <reference field="7" count="1">
            <x v="501"/>
          </reference>
        </references>
      </pivotArea>
    </format>
    <format dxfId="2211">
      <pivotArea dataOnly="0" labelOnly="1" outline="0" fieldPosition="0">
        <references count="5">
          <reference field="0" count="1" selected="0">
            <x v="1"/>
          </reference>
          <reference field="3" count="1" selected="0">
            <x v="22"/>
          </reference>
          <reference field="4" count="1" selected="0">
            <x v="216"/>
          </reference>
          <reference field="5" count="1" selected="0">
            <x v="1079"/>
          </reference>
          <reference field="7" count="1">
            <x v="492"/>
          </reference>
        </references>
      </pivotArea>
    </format>
    <format dxfId="2210">
      <pivotArea dataOnly="0" labelOnly="1" outline="0" fieldPosition="0">
        <references count="5">
          <reference field="0" count="1" selected="0">
            <x v="1"/>
          </reference>
          <reference field="3" count="1" selected="0">
            <x v="22"/>
          </reference>
          <reference field="4" count="1" selected="0">
            <x v="216"/>
          </reference>
          <reference field="5" count="1" selected="0">
            <x v="1080"/>
          </reference>
          <reference field="7" count="1">
            <x v="849"/>
          </reference>
        </references>
      </pivotArea>
    </format>
    <format dxfId="2209">
      <pivotArea dataOnly="0" labelOnly="1" outline="0" fieldPosition="0">
        <references count="5">
          <reference field="0" count="1" selected="0">
            <x v="1"/>
          </reference>
          <reference field="3" count="1" selected="0">
            <x v="22"/>
          </reference>
          <reference field="4" count="1" selected="0">
            <x v="216"/>
          </reference>
          <reference field="5" count="1" selected="0">
            <x v="1081"/>
          </reference>
          <reference field="7" count="1">
            <x v="39"/>
          </reference>
        </references>
      </pivotArea>
    </format>
    <format dxfId="2208">
      <pivotArea dataOnly="0" labelOnly="1" outline="0" fieldPosition="0">
        <references count="5">
          <reference field="0" count="1" selected="0">
            <x v="1"/>
          </reference>
          <reference field="3" count="1" selected="0">
            <x v="22"/>
          </reference>
          <reference field="4" count="1" selected="0">
            <x v="216"/>
          </reference>
          <reference field="5" count="1" selected="0">
            <x v="1082"/>
          </reference>
          <reference field="7" count="1">
            <x v="874"/>
          </reference>
        </references>
      </pivotArea>
    </format>
    <format dxfId="2207">
      <pivotArea dataOnly="0" labelOnly="1" outline="0" fieldPosition="0">
        <references count="5">
          <reference field="0" count="1" selected="0">
            <x v="1"/>
          </reference>
          <reference field="3" count="1" selected="0">
            <x v="22"/>
          </reference>
          <reference field="4" count="1" selected="0">
            <x v="216"/>
          </reference>
          <reference field="5" count="1" selected="0">
            <x v="1083"/>
          </reference>
          <reference field="7" count="1">
            <x v="347"/>
          </reference>
        </references>
      </pivotArea>
    </format>
    <format dxfId="2206">
      <pivotArea dataOnly="0" labelOnly="1" outline="0" fieldPosition="0">
        <references count="5">
          <reference field="0" count="1" selected="0">
            <x v="1"/>
          </reference>
          <reference field="3" count="1" selected="0">
            <x v="22"/>
          </reference>
          <reference field="4" count="1" selected="0">
            <x v="216"/>
          </reference>
          <reference field="5" count="1" selected="0">
            <x v="1084"/>
          </reference>
          <reference field="7" count="1">
            <x v="398"/>
          </reference>
        </references>
      </pivotArea>
    </format>
    <format dxfId="2205">
      <pivotArea dataOnly="0" labelOnly="1" outline="0" fieldPosition="0">
        <references count="5">
          <reference field="0" count="1" selected="0">
            <x v="1"/>
          </reference>
          <reference field="3" count="1" selected="0">
            <x v="22"/>
          </reference>
          <reference field="4" count="1" selected="0">
            <x v="216"/>
          </reference>
          <reference field="5" count="1" selected="0">
            <x v="1085"/>
          </reference>
          <reference field="7" count="1">
            <x v="450"/>
          </reference>
        </references>
      </pivotArea>
    </format>
    <format dxfId="2204">
      <pivotArea dataOnly="0" labelOnly="1" outline="0" fieldPosition="0">
        <references count="5">
          <reference field="0" count="1" selected="0">
            <x v="1"/>
          </reference>
          <reference field="3" count="1" selected="0">
            <x v="22"/>
          </reference>
          <reference field="4" count="1" selected="0">
            <x v="216"/>
          </reference>
          <reference field="5" count="1" selected="0">
            <x v="1086"/>
          </reference>
          <reference field="7" count="1">
            <x v="493"/>
          </reference>
        </references>
      </pivotArea>
    </format>
    <format dxfId="2203">
      <pivotArea dataOnly="0" labelOnly="1" outline="0" fieldPosition="0">
        <references count="5">
          <reference field="0" count="1" selected="0">
            <x v="1"/>
          </reference>
          <reference field="3" count="1" selected="0">
            <x v="22"/>
          </reference>
          <reference field="4" count="1" selected="0">
            <x v="216"/>
          </reference>
          <reference field="5" count="1" selected="0">
            <x v="1087"/>
          </reference>
          <reference field="7" count="1">
            <x v="632"/>
          </reference>
        </references>
      </pivotArea>
    </format>
    <format dxfId="2202">
      <pivotArea dataOnly="0" labelOnly="1" outline="0" fieldPosition="0">
        <references count="5">
          <reference field="0" count="1" selected="0">
            <x v="1"/>
          </reference>
          <reference field="3" count="1" selected="0">
            <x v="22"/>
          </reference>
          <reference field="4" count="1" selected="0">
            <x v="216"/>
          </reference>
          <reference field="5" count="1" selected="0">
            <x v="1088"/>
          </reference>
          <reference field="7" count="1">
            <x v="394"/>
          </reference>
        </references>
      </pivotArea>
    </format>
    <format dxfId="2201">
      <pivotArea dataOnly="0" labelOnly="1" outline="0" fieldPosition="0">
        <references count="5">
          <reference field="0" count="1" selected="0">
            <x v="1"/>
          </reference>
          <reference field="3" count="1" selected="0">
            <x v="22"/>
          </reference>
          <reference field="4" count="1" selected="0">
            <x v="216"/>
          </reference>
          <reference field="5" count="1" selected="0">
            <x v="1089"/>
          </reference>
          <reference field="7" count="1">
            <x v="48"/>
          </reference>
        </references>
      </pivotArea>
    </format>
    <format dxfId="2200">
      <pivotArea dataOnly="0" labelOnly="1" outline="0" fieldPosition="0">
        <references count="5">
          <reference field="0" count="1" selected="0">
            <x v="1"/>
          </reference>
          <reference field="3" count="1" selected="0">
            <x v="22"/>
          </reference>
          <reference field="4" count="1" selected="0">
            <x v="216"/>
          </reference>
          <reference field="5" count="1" selected="0">
            <x v="1090"/>
          </reference>
          <reference field="7" count="1">
            <x v="393"/>
          </reference>
        </references>
      </pivotArea>
    </format>
    <format dxfId="2199">
      <pivotArea dataOnly="0" labelOnly="1" outline="0" fieldPosition="0">
        <references count="5">
          <reference field="0" count="1" selected="0">
            <x v="1"/>
          </reference>
          <reference field="3" count="1" selected="0">
            <x v="22"/>
          </reference>
          <reference field="4" count="1" selected="0">
            <x v="216"/>
          </reference>
          <reference field="5" count="1" selected="0">
            <x v="1091"/>
          </reference>
          <reference field="7" count="1">
            <x v="431"/>
          </reference>
        </references>
      </pivotArea>
    </format>
    <format dxfId="2198">
      <pivotArea dataOnly="0" labelOnly="1" outline="0" fieldPosition="0">
        <references count="5">
          <reference field="0" count="1" selected="0">
            <x v="1"/>
          </reference>
          <reference field="3" count="1" selected="0">
            <x v="22"/>
          </reference>
          <reference field="4" count="1" selected="0">
            <x v="216"/>
          </reference>
          <reference field="5" count="1" selected="0">
            <x v="1092"/>
          </reference>
          <reference field="7" count="1">
            <x v="433"/>
          </reference>
        </references>
      </pivotArea>
    </format>
    <format dxfId="2197">
      <pivotArea dataOnly="0" labelOnly="1" outline="0" fieldPosition="0">
        <references count="5">
          <reference field="0" count="1" selected="0">
            <x v="1"/>
          </reference>
          <reference field="3" count="1" selected="0">
            <x v="22"/>
          </reference>
          <reference field="4" count="1" selected="0">
            <x v="216"/>
          </reference>
          <reference field="5" count="1" selected="0">
            <x v="1093"/>
          </reference>
          <reference field="7" count="1">
            <x v="49"/>
          </reference>
        </references>
      </pivotArea>
    </format>
    <format dxfId="2196">
      <pivotArea dataOnly="0" labelOnly="1" outline="0" fieldPosition="0">
        <references count="5">
          <reference field="0" count="1" selected="0">
            <x v="1"/>
          </reference>
          <reference field="3" count="1" selected="0">
            <x v="22"/>
          </reference>
          <reference field="4" count="1" selected="0">
            <x v="216"/>
          </reference>
          <reference field="5" count="1" selected="0">
            <x v="1094"/>
          </reference>
          <reference field="7" count="1">
            <x v="738"/>
          </reference>
        </references>
      </pivotArea>
    </format>
    <format dxfId="2195">
      <pivotArea dataOnly="0" labelOnly="1" outline="0" fieldPosition="0">
        <references count="5">
          <reference field="0" count="1" selected="0">
            <x v="1"/>
          </reference>
          <reference field="3" count="1" selected="0">
            <x v="22"/>
          </reference>
          <reference field="4" count="1" selected="0">
            <x v="216"/>
          </reference>
          <reference field="5" count="1" selected="0">
            <x v="1095"/>
          </reference>
          <reference field="7" count="1">
            <x v="851"/>
          </reference>
        </references>
      </pivotArea>
    </format>
    <format dxfId="2194">
      <pivotArea dataOnly="0" labelOnly="1" outline="0" fieldPosition="0">
        <references count="5">
          <reference field="0" count="1" selected="0">
            <x v="1"/>
          </reference>
          <reference field="3" count="1" selected="0">
            <x v="22"/>
          </reference>
          <reference field="4" count="1" selected="0">
            <x v="216"/>
          </reference>
          <reference field="5" count="1" selected="0">
            <x v="1096"/>
          </reference>
          <reference field="7" count="1">
            <x v="841"/>
          </reference>
        </references>
      </pivotArea>
    </format>
    <format dxfId="2193">
      <pivotArea dataOnly="0" labelOnly="1" outline="0" fieldPosition="0">
        <references count="5">
          <reference field="0" count="1" selected="0">
            <x v="1"/>
          </reference>
          <reference field="3" count="1" selected="0">
            <x v="22"/>
          </reference>
          <reference field="4" count="1" selected="0">
            <x v="216"/>
          </reference>
          <reference field="5" count="1" selected="0">
            <x v="1097"/>
          </reference>
          <reference field="7" count="1">
            <x v="840"/>
          </reference>
        </references>
      </pivotArea>
    </format>
    <format dxfId="2192">
      <pivotArea dataOnly="0" labelOnly="1" outline="0" fieldPosition="0">
        <references count="5">
          <reference field="0" count="1" selected="0">
            <x v="1"/>
          </reference>
          <reference field="3" count="1" selected="0">
            <x v="22"/>
          </reference>
          <reference field="4" count="1" selected="0">
            <x v="216"/>
          </reference>
          <reference field="5" count="1" selected="0">
            <x v="1098"/>
          </reference>
          <reference field="7" count="1">
            <x v="852"/>
          </reference>
        </references>
      </pivotArea>
    </format>
    <format dxfId="2191">
      <pivotArea dataOnly="0" labelOnly="1" outline="0" fieldPosition="0">
        <references count="5">
          <reference field="0" count="1" selected="0">
            <x v="1"/>
          </reference>
          <reference field="3" count="1" selected="0">
            <x v="22"/>
          </reference>
          <reference field="4" count="1" selected="0">
            <x v="216"/>
          </reference>
          <reference field="5" count="1" selected="0">
            <x v="1099"/>
          </reference>
          <reference field="7" count="1">
            <x v="746"/>
          </reference>
        </references>
      </pivotArea>
    </format>
    <format dxfId="2190">
      <pivotArea dataOnly="0" labelOnly="1" outline="0" fieldPosition="0">
        <references count="5">
          <reference field="0" count="1" selected="0">
            <x v="1"/>
          </reference>
          <reference field="3" count="1" selected="0">
            <x v="22"/>
          </reference>
          <reference field="4" count="1" selected="0">
            <x v="216"/>
          </reference>
          <reference field="5" count="1" selected="0">
            <x v="1100"/>
          </reference>
          <reference field="7" count="1">
            <x v="40"/>
          </reference>
        </references>
      </pivotArea>
    </format>
    <format dxfId="2189">
      <pivotArea dataOnly="0" labelOnly="1" outline="0" fieldPosition="0">
        <references count="5">
          <reference field="0" count="1" selected="0">
            <x v="1"/>
          </reference>
          <reference field="3" count="1" selected="0">
            <x v="22"/>
          </reference>
          <reference field="4" count="1" selected="0">
            <x v="216"/>
          </reference>
          <reference field="5" count="1" selected="0">
            <x v="1101"/>
          </reference>
          <reference field="7" count="1">
            <x v="348"/>
          </reference>
        </references>
      </pivotArea>
    </format>
    <format dxfId="2188">
      <pivotArea dataOnly="0" labelOnly="1" outline="0" fieldPosition="0">
        <references count="5">
          <reference field="0" count="1" selected="0">
            <x v="1"/>
          </reference>
          <reference field="3" count="1" selected="0">
            <x v="22"/>
          </reference>
          <reference field="4" count="1" selected="0">
            <x v="216"/>
          </reference>
          <reference field="5" count="1" selected="0">
            <x v="1102"/>
          </reference>
          <reference field="7" count="1">
            <x v="399"/>
          </reference>
        </references>
      </pivotArea>
    </format>
    <format dxfId="2187">
      <pivotArea dataOnly="0" labelOnly="1" outline="0" fieldPosition="0">
        <references count="5">
          <reference field="0" count="1" selected="0">
            <x v="1"/>
          </reference>
          <reference field="3" count="1" selected="0">
            <x v="22"/>
          </reference>
          <reference field="4" count="1" selected="0">
            <x v="216"/>
          </reference>
          <reference field="5" count="1" selected="0">
            <x v="1103"/>
          </reference>
          <reference field="7" count="1">
            <x v="502"/>
          </reference>
        </references>
      </pivotArea>
    </format>
    <format dxfId="2186">
      <pivotArea dataOnly="0" labelOnly="1" outline="0" fieldPosition="0">
        <references count="5">
          <reference field="0" count="1" selected="0">
            <x v="1"/>
          </reference>
          <reference field="3" count="1" selected="0">
            <x v="22"/>
          </reference>
          <reference field="4" count="1" selected="0">
            <x v="216"/>
          </reference>
          <reference field="5" count="1" selected="0">
            <x v="1104"/>
          </reference>
          <reference field="7" count="1">
            <x v="45"/>
          </reference>
        </references>
      </pivotArea>
    </format>
    <format dxfId="2185">
      <pivotArea dataOnly="0" labelOnly="1" outline="0" fieldPosition="0">
        <references count="5">
          <reference field="0" count="1" selected="0">
            <x v="1"/>
          </reference>
          <reference field="3" count="1" selected="0">
            <x v="22"/>
          </reference>
          <reference field="4" count="1" selected="0">
            <x v="216"/>
          </reference>
          <reference field="5" count="1" selected="0">
            <x v="1105"/>
          </reference>
          <reference field="7" count="1">
            <x v="737"/>
          </reference>
        </references>
      </pivotArea>
    </format>
    <format dxfId="2184">
      <pivotArea dataOnly="0" labelOnly="1" outline="0" fieldPosition="0">
        <references count="5">
          <reference field="0" count="1" selected="0">
            <x v="1"/>
          </reference>
          <reference field="3" count="1" selected="0">
            <x v="22"/>
          </reference>
          <reference field="4" count="1" selected="0">
            <x v="216"/>
          </reference>
          <reference field="5" count="1" selected="0">
            <x v="1106"/>
          </reference>
          <reference field="7" count="1">
            <x v="847"/>
          </reference>
        </references>
      </pivotArea>
    </format>
    <format dxfId="2183">
      <pivotArea dataOnly="0" labelOnly="1" outline="0" fieldPosition="0">
        <references count="5">
          <reference field="0" count="1" selected="0">
            <x v="1"/>
          </reference>
          <reference field="3" count="1" selected="0">
            <x v="22"/>
          </reference>
          <reference field="4" count="1" selected="0">
            <x v="216"/>
          </reference>
          <reference field="5" count="1" selected="0">
            <x v="1107"/>
          </reference>
          <reference field="7" count="1">
            <x v="842"/>
          </reference>
        </references>
      </pivotArea>
    </format>
    <format dxfId="2182">
      <pivotArea dataOnly="0" labelOnly="1" outline="0" fieldPosition="0">
        <references count="5">
          <reference field="0" count="1" selected="0">
            <x v="1"/>
          </reference>
          <reference field="3" count="1" selected="0">
            <x v="22"/>
          </reference>
          <reference field="4" count="1" selected="0">
            <x v="216"/>
          </reference>
          <reference field="5" count="1" selected="0">
            <x v="1108"/>
          </reference>
          <reference field="7" count="1">
            <x v="846"/>
          </reference>
        </references>
      </pivotArea>
    </format>
    <format dxfId="2181">
      <pivotArea dataOnly="0" labelOnly="1" outline="0" fieldPosition="0">
        <references count="5">
          <reference field="0" count="1" selected="0">
            <x v="1"/>
          </reference>
          <reference field="3" count="1" selected="0">
            <x v="22"/>
          </reference>
          <reference field="4" count="1" selected="0">
            <x v="216"/>
          </reference>
          <reference field="5" count="1" selected="0">
            <x v="1109"/>
          </reference>
          <reference field="7" count="1">
            <x v="843"/>
          </reference>
        </references>
      </pivotArea>
    </format>
    <format dxfId="2180">
      <pivotArea dataOnly="0" labelOnly="1" outline="0" fieldPosition="0">
        <references count="5">
          <reference field="0" count="1" selected="0">
            <x v="1"/>
          </reference>
          <reference field="3" count="1" selected="0">
            <x v="22"/>
          </reference>
          <reference field="4" count="1" selected="0">
            <x v="216"/>
          </reference>
          <reference field="5" count="1" selected="0">
            <x v="1110"/>
          </reference>
          <reference field="7" count="1">
            <x v="845"/>
          </reference>
        </references>
      </pivotArea>
    </format>
    <format dxfId="2179">
      <pivotArea dataOnly="0" labelOnly="1" outline="0" fieldPosition="0">
        <references count="5">
          <reference field="0" count="1" selected="0">
            <x v="1"/>
          </reference>
          <reference field="3" count="1" selected="0">
            <x v="22"/>
          </reference>
          <reference field="4" count="1" selected="0">
            <x v="216"/>
          </reference>
          <reference field="5" count="1" selected="0">
            <x v="1111"/>
          </reference>
          <reference field="7" count="1">
            <x v="844"/>
          </reference>
        </references>
      </pivotArea>
    </format>
    <format dxfId="2178">
      <pivotArea dataOnly="0" labelOnly="1" outline="0" fieldPosition="0">
        <references count="5">
          <reference field="0" count="1" selected="0">
            <x v="1"/>
          </reference>
          <reference field="3" count="1" selected="0">
            <x v="23"/>
          </reference>
          <reference field="4" count="1" selected="0">
            <x v="5"/>
          </reference>
          <reference field="5" count="1" selected="0">
            <x v="349"/>
          </reference>
          <reference field="7" count="1">
            <x v="117"/>
          </reference>
        </references>
      </pivotArea>
    </format>
    <format dxfId="2177">
      <pivotArea dataOnly="0" labelOnly="1" outline="0" fieldPosition="0">
        <references count="5">
          <reference field="0" count="1" selected="0">
            <x v="1"/>
          </reference>
          <reference field="3" count="1" selected="0">
            <x v="23"/>
          </reference>
          <reference field="4" count="1" selected="0">
            <x v="5"/>
          </reference>
          <reference field="5" count="1" selected="0">
            <x v="350"/>
          </reference>
          <reference field="7" count="1">
            <x v="1024"/>
          </reference>
        </references>
      </pivotArea>
    </format>
    <format dxfId="2176">
      <pivotArea dataOnly="0" labelOnly="1" outline="0" fieldPosition="0">
        <references count="5">
          <reference field="0" count="1" selected="0">
            <x v="1"/>
          </reference>
          <reference field="3" count="1" selected="0">
            <x v="23"/>
          </reference>
          <reference field="4" count="1" selected="0">
            <x v="5"/>
          </reference>
          <reference field="5" count="1" selected="0">
            <x v="387"/>
          </reference>
          <reference field="7" count="1">
            <x v="114"/>
          </reference>
        </references>
      </pivotArea>
    </format>
    <format dxfId="2175">
      <pivotArea dataOnly="0" labelOnly="1" outline="0" fieldPosition="0">
        <references count="5">
          <reference field="0" count="1" selected="0">
            <x v="1"/>
          </reference>
          <reference field="3" count="1" selected="0">
            <x v="23"/>
          </reference>
          <reference field="4" count="1" selected="0">
            <x v="54"/>
          </reference>
          <reference field="5" count="1" selected="0">
            <x v="259"/>
          </reference>
          <reference field="7" count="1">
            <x v="968"/>
          </reference>
        </references>
      </pivotArea>
    </format>
    <format dxfId="2174">
      <pivotArea dataOnly="0" labelOnly="1" outline="0" fieldPosition="0">
        <references count="5">
          <reference field="0" count="1" selected="0">
            <x v="1"/>
          </reference>
          <reference field="3" count="1" selected="0">
            <x v="23"/>
          </reference>
          <reference field="4" count="1" selected="0">
            <x v="54"/>
          </reference>
          <reference field="5" count="1" selected="0">
            <x v="1114"/>
          </reference>
          <reference field="7" count="1">
            <x v="995"/>
          </reference>
        </references>
      </pivotArea>
    </format>
    <format dxfId="2173">
      <pivotArea dataOnly="0" labelOnly="1" outline="0" fieldPosition="0">
        <references count="5">
          <reference field="0" count="1" selected="0">
            <x v="1"/>
          </reference>
          <reference field="3" count="1" selected="0">
            <x v="23"/>
          </reference>
          <reference field="4" count="1" selected="0">
            <x v="54"/>
          </reference>
          <reference field="5" count="1" selected="0">
            <x v="1115"/>
          </reference>
          <reference field="7" count="1">
            <x v="824"/>
          </reference>
        </references>
      </pivotArea>
    </format>
    <format dxfId="2172">
      <pivotArea dataOnly="0" labelOnly="1" outline="0" fieldPosition="0">
        <references count="5">
          <reference field="0" count="1" selected="0">
            <x v="1"/>
          </reference>
          <reference field="3" count="1" selected="0">
            <x v="23"/>
          </reference>
          <reference field="4" count="1" selected="0">
            <x v="54"/>
          </reference>
          <reference field="5" count="1" selected="0">
            <x v="1116"/>
          </reference>
          <reference field="7" count="1">
            <x v="825"/>
          </reference>
        </references>
      </pivotArea>
    </format>
    <format dxfId="2171">
      <pivotArea dataOnly="0" labelOnly="1" outline="0" fieldPosition="0">
        <references count="5">
          <reference field="0" count="1" selected="0">
            <x v="1"/>
          </reference>
          <reference field="3" count="1" selected="0">
            <x v="23"/>
          </reference>
          <reference field="4" count="1" selected="0">
            <x v="55"/>
          </reference>
          <reference field="5" count="1" selected="0">
            <x v="91"/>
          </reference>
          <reference field="7" count="1">
            <x v="1456"/>
          </reference>
        </references>
      </pivotArea>
    </format>
    <format dxfId="2170">
      <pivotArea dataOnly="0" labelOnly="1" outline="0" fieldPosition="0">
        <references count="5">
          <reference field="0" count="1" selected="0">
            <x v="1"/>
          </reference>
          <reference field="3" count="1" selected="0">
            <x v="23"/>
          </reference>
          <reference field="4" count="1" selected="0">
            <x v="55"/>
          </reference>
          <reference field="5" count="1" selected="0">
            <x v="98"/>
          </reference>
          <reference field="7" count="1">
            <x v="1399"/>
          </reference>
        </references>
      </pivotArea>
    </format>
    <format dxfId="2169">
      <pivotArea dataOnly="0" labelOnly="1" outline="0" fieldPosition="0">
        <references count="5">
          <reference field="0" count="1" selected="0">
            <x v="1"/>
          </reference>
          <reference field="3" count="1" selected="0">
            <x v="23"/>
          </reference>
          <reference field="4" count="1" selected="0">
            <x v="55"/>
          </reference>
          <reference field="5" count="1" selected="0">
            <x v="115"/>
          </reference>
          <reference field="7" count="1">
            <x v="1073"/>
          </reference>
        </references>
      </pivotArea>
    </format>
    <format dxfId="2168">
      <pivotArea dataOnly="0" labelOnly="1" outline="0" fieldPosition="0">
        <references count="5">
          <reference field="0" count="1" selected="0">
            <x v="1"/>
          </reference>
          <reference field="3" count="1" selected="0">
            <x v="23"/>
          </reference>
          <reference field="4" count="1" selected="0">
            <x v="55"/>
          </reference>
          <reference field="5" count="1" selected="0">
            <x v="146"/>
          </reference>
          <reference field="7" count="1">
            <x v="1587"/>
          </reference>
        </references>
      </pivotArea>
    </format>
    <format dxfId="2167">
      <pivotArea dataOnly="0" labelOnly="1" outline="0" fieldPosition="0">
        <references count="5">
          <reference field="0" count="1" selected="0">
            <x v="1"/>
          </reference>
          <reference field="3" count="1" selected="0">
            <x v="23"/>
          </reference>
          <reference field="4" count="1" selected="0">
            <x v="55"/>
          </reference>
          <reference field="5" count="1" selected="0">
            <x v="157"/>
          </reference>
          <reference field="7" count="1">
            <x v="1074"/>
          </reference>
        </references>
      </pivotArea>
    </format>
    <format dxfId="2166">
      <pivotArea dataOnly="0" labelOnly="1" outline="0" fieldPosition="0">
        <references count="5">
          <reference field="0" count="1" selected="0">
            <x v="1"/>
          </reference>
          <reference field="3" count="1" selected="0">
            <x v="23"/>
          </reference>
          <reference field="4" count="1" selected="0">
            <x v="55"/>
          </reference>
          <reference field="5" count="1" selected="0">
            <x v="162"/>
          </reference>
          <reference field="7" count="1">
            <x v="1081"/>
          </reference>
        </references>
      </pivotArea>
    </format>
    <format dxfId="2165">
      <pivotArea dataOnly="0" labelOnly="1" outline="0" fieldPosition="0">
        <references count="5">
          <reference field="0" count="1" selected="0">
            <x v="1"/>
          </reference>
          <reference field="3" count="1" selected="0">
            <x v="23"/>
          </reference>
          <reference field="4" count="1" selected="0">
            <x v="55"/>
          </reference>
          <reference field="5" count="1" selected="0">
            <x v="237"/>
          </reference>
          <reference field="7" count="1">
            <x v="1586"/>
          </reference>
        </references>
      </pivotArea>
    </format>
    <format dxfId="2164">
      <pivotArea dataOnly="0" labelOnly="1" outline="0" fieldPosition="0">
        <references count="5">
          <reference field="0" count="1" selected="0">
            <x v="1"/>
          </reference>
          <reference field="3" count="1" selected="0">
            <x v="23"/>
          </reference>
          <reference field="4" count="1" selected="0">
            <x v="55"/>
          </reference>
          <reference field="5" count="1" selected="0">
            <x v="271"/>
          </reference>
          <reference field="7" count="1">
            <x v="591"/>
          </reference>
        </references>
      </pivotArea>
    </format>
    <format dxfId="2163">
      <pivotArea dataOnly="0" labelOnly="1" outline="0" fieldPosition="0">
        <references count="5">
          <reference field="0" count="1" selected="0">
            <x v="1"/>
          </reference>
          <reference field="3" count="1" selected="0">
            <x v="23"/>
          </reference>
          <reference field="4" count="1" selected="0">
            <x v="55"/>
          </reference>
          <reference field="5" count="1" selected="0">
            <x v="315"/>
          </reference>
          <reference field="7" count="1">
            <x v="1595"/>
          </reference>
        </references>
      </pivotArea>
    </format>
    <format dxfId="2162">
      <pivotArea dataOnly="0" labelOnly="1" outline="0" fieldPosition="0">
        <references count="5">
          <reference field="0" count="1" selected="0">
            <x v="1"/>
          </reference>
          <reference field="3" count="1" selected="0">
            <x v="23"/>
          </reference>
          <reference field="4" count="1" selected="0">
            <x v="55"/>
          </reference>
          <reference field="5" count="1" selected="0">
            <x v="389"/>
          </reference>
          <reference field="7" count="1">
            <x v="1370"/>
          </reference>
        </references>
      </pivotArea>
    </format>
    <format dxfId="2161">
      <pivotArea dataOnly="0" labelOnly="1" outline="0" fieldPosition="0">
        <references count="5">
          <reference field="0" count="1" selected="0">
            <x v="1"/>
          </reference>
          <reference field="3" count="1" selected="0">
            <x v="23"/>
          </reference>
          <reference field="4" count="1" selected="0">
            <x v="55"/>
          </reference>
          <reference field="5" count="1" selected="0">
            <x v="1122"/>
          </reference>
          <reference field="7" count="1">
            <x v="213"/>
          </reference>
        </references>
      </pivotArea>
    </format>
    <format dxfId="2160">
      <pivotArea dataOnly="0" labelOnly="1" outline="0" fieldPosition="0">
        <references count="5">
          <reference field="0" count="1" selected="0">
            <x v="1"/>
          </reference>
          <reference field="3" count="1" selected="0">
            <x v="23"/>
          </reference>
          <reference field="4" count="1" selected="0">
            <x v="56"/>
          </reference>
          <reference field="5" count="1" selected="0">
            <x v="156"/>
          </reference>
          <reference field="7" count="1">
            <x v="1071"/>
          </reference>
        </references>
      </pivotArea>
    </format>
    <format dxfId="2159">
      <pivotArea dataOnly="0" labelOnly="1" outline="0" fieldPosition="0">
        <references count="5">
          <reference field="0" count="1" selected="0">
            <x v="1"/>
          </reference>
          <reference field="3" count="1" selected="0">
            <x v="23"/>
          </reference>
          <reference field="4" count="1" selected="0">
            <x v="56"/>
          </reference>
          <reference field="5" count="1" selected="0">
            <x v="279"/>
          </reference>
          <reference field="7" count="1">
            <x v="752"/>
          </reference>
        </references>
      </pivotArea>
    </format>
    <format dxfId="2158">
      <pivotArea dataOnly="0" labelOnly="1" outline="0" fieldPosition="0">
        <references count="5">
          <reference field="0" count="1" selected="0">
            <x v="1"/>
          </reference>
          <reference field="3" count="1" selected="0">
            <x v="23"/>
          </reference>
          <reference field="4" count="1" selected="0">
            <x v="56"/>
          </reference>
          <reference field="5" count="1" selected="0">
            <x v="1141"/>
          </reference>
          <reference field="7" count="1">
            <x v="208"/>
          </reference>
        </references>
      </pivotArea>
    </format>
    <format dxfId="2157">
      <pivotArea dataOnly="0" labelOnly="1" outline="0" fieldPosition="0">
        <references count="5">
          <reference field="0" count="1" selected="0">
            <x v="1"/>
          </reference>
          <reference field="3" count="1" selected="0">
            <x v="23"/>
          </reference>
          <reference field="4" count="1" selected="0">
            <x v="56"/>
          </reference>
          <reference field="5" count="1" selected="0">
            <x v="1142"/>
          </reference>
          <reference field="7" count="1">
            <x v="823"/>
          </reference>
        </references>
      </pivotArea>
    </format>
    <format dxfId="2156">
      <pivotArea dataOnly="0" labelOnly="1" outline="0" fieldPosition="0">
        <references count="5">
          <reference field="0" count="1" selected="0">
            <x v="1"/>
          </reference>
          <reference field="3" count="1" selected="0">
            <x v="23"/>
          </reference>
          <reference field="4" count="1" selected="0">
            <x v="57"/>
          </reference>
          <reference field="5" count="1" selected="0">
            <x v="70"/>
          </reference>
          <reference field="7" count="1">
            <x v="1358"/>
          </reference>
        </references>
      </pivotArea>
    </format>
    <format dxfId="2155">
      <pivotArea dataOnly="0" labelOnly="1" outline="0" fieldPosition="0">
        <references count="5">
          <reference field="0" count="1" selected="0">
            <x v="1"/>
          </reference>
          <reference field="3" count="1" selected="0">
            <x v="23"/>
          </reference>
          <reference field="4" count="1" selected="0">
            <x v="57"/>
          </reference>
          <reference field="5" count="1" selected="0">
            <x v="279"/>
          </reference>
          <reference field="7" count="1">
            <x v="752"/>
          </reference>
        </references>
      </pivotArea>
    </format>
    <format dxfId="2154">
      <pivotArea dataOnly="0" labelOnly="1" outline="0" fieldPosition="0">
        <references count="5">
          <reference field="0" count="1" selected="0">
            <x v="1"/>
          </reference>
          <reference field="3" count="1" selected="0">
            <x v="23"/>
          </reference>
          <reference field="4" count="1" selected="0">
            <x v="57"/>
          </reference>
          <reference field="5" count="1" selected="0">
            <x v="281"/>
          </reference>
          <reference field="7" count="1">
            <x v="754"/>
          </reference>
        </references>
      </pivotArea>
    </format>
    <format dxfId="2153">
      <pivotArea dataOnly="0" labelOnly="1" outline="0" fieldPosition="0">
        <references count="5">
          <reference field="0" count="1" selected="0">
            <x v="1"/>
          </reference>
          <reference field="3" count="1" selected="0">
            <x v="23"/>
          </reference>
          <reference field="4" count="1" selected="0">
            <x v="57"/>
          </reference>
          <reference field="5" count="1" selected="0">
            <x v="282"/>
          </reference>
          <reference field="7" count="1">
            <x v="755"/>
          </reference>
        </references>
      </pivotArea>
    </format>
    <format dxfId="2152">
      <pivotArea dataOnly="0" labelOnly="1" outline="0" fieldPosition="0">
        <references count="5">
          <reference field="0" count="1" selected="0">
            <x v="1"/>
          </reference>
          <reference field="3" count="1" selected="0">
            <x v="23"/>
          </reference>
          <reference field="4" count="1" selected="0">
            <x v="57"/>
          </reference>
          <reference field="5" count="1" selected="0">
            <x v="1136"/>
          </reference>
          <reference field="7" count="1">
            <x v="209"/>
          </reference>
        </references>
      </pivotArea>
    </format>
    <format dxfId="2151">
      <pivotArea dataOnly="0" labelOnly="1" outline="0" fieldPosition="0">
        <references count="5">
          <reference field="0" count="1" selected="0">
            <x v="1"/>
          </reference>
          <reference field="3" count="1" selected="0">
            <x v="23"/>
          </reference>
          <reference field="4" count="1" selected="0">
            <x v="57"/>
          </reference>
          <reference field="5" count="1" selected="0">
            <x v="1137"/>
          </reference>
          <reference field="7" count="1">
            <x v="826"/>
          </reference>
        </references>
      </pivotArea>
    </format>
    <format dxfId="2150">
      <pivotArea dataOnly="0" labelOnly="1" outline="0" fieldPosition="0">
        <references count="5">
          <reference field="0" count="1" selected="0">
            <x v="1"/>
          </reference>
          <reference field="3" count="1" selected="0">
            <x v="23"/>
          </reference>
          <reference field="4" count="1" selected="0">
            <x v="58"/>
          </reference>
          <reference field="5" count="1" selected="0">
            <x v="70"/>
          </reference>
          <reference field="7" count="1">
            <x v="1358"/>
          </reference>
        </references>
      </pivotArea>
    </format>
    <format dxfId="2149">
      <pivotArea dataOnly="0" labelOnly="1" outline="0" fieldPosition="0">
        <references count="5">
          <reference field="0" count="1" selected="0">
            <x v="1"/>
          </reference>
          <reference field="3" count="1" selected="0">
            <x v="23"/>
          </reference>
          <reference field="4" count="1" selected="0">
            <x v="58"/>
          </reference>
          <reference field="5" count="1" selected="0">
            <x v="209"/>
          </reference>
          <reference field="7" count="1">
            <x v="979"/>
          </reference>
        </references>
      </pivotArea>
    </format>
    <format dxfId="2148">
      <pivotArea dataOnly="0" labelOnly="1" outline="0" fieldPosition="0">
        <references count="5">
          <reference field="0" count="1" selected="0">
            <x v="1"/>
          </reference>
          <reference field="3" count="1" selected="0">
            <x v="23"/>
          </reference>
          <reference field="4" count="1" selected="0">
            <x v="58"/>
          </reference>
          <reference field="5" count="1" selected="0">
            <x v="279"/>
          </reference>
          <reference field="7" count="1">
            <x v="752"/>
          </reference>
        </references>
      </pivotArea>
    </format>
    <format dxfId="2147">
      <pivotArea dataOnly="0" labelOnly="1" outline="0" fieldPosition="0">
        <references count="5">
          <reference field="0" count="1" selected="0">
            <x v="1"/>
          </reference>
          <reference field="3" count="1" selected="0">
            <x v="23"/>
          </reference>
          <reference field="4" count="1" selected="0">
            <x v="58"/>
          </reference>
          <reference field="5" count="1" selected="0">
            <x v="281"/>
          </reference>
          <reference field="7" count="1">
            <x v="754"/>
          </reference>
        </references>
      </pivotArea>
    </format>
    <format dxfId="2146">
      <pivotArea dataOnly="0" labelOnly="1" outline="0" fieldPosition="0">
        <references count="5">
          <reference field="0" count="1" selected="0">
            <x v="1"/>
          </reference>
          <reference field="3" count="1" selected="0">
            <x v="23"/>
          </reference>
          <reference field="4" count="1" selected="0">
            <x v="58"/>
          </reference>
          <reference field="5" count="1" selected="0">
            <x v="1134"/>
          </reference>
          <reference field="7" count="1">
            <x v="210"/>
          </reference>
        </references>
      </pivotArea>
    </format>
    <format dxfId="2145">
      <pivotArea dataOnly="0" labelOnly="1" outline="0" fieldPosition="0">
        <references count="5">
          <reference field="0" count="1" selected="0">
            <x v="1"/>
          </reference>
          <reference field="3" count="1" selected="0">
            <x v="23"/>
          </reference>
          <reference field="4" count="1" selected="0">
            <x v="58"/>
          </reference>
          <reference field="5" count="1" selected="0">
            <x v="1135"/>
          </reference>
          <reference field="7" count="1">
            <x v="827"/>
          </reference>
        </references>
      </pivotArea>
    </format>
    <format dxfId="2144">
      <pivotArea dataOnly="0" labelOnly="1" outline="0" fieldPosition="0">
        <references count="5">
          <reference field="0" count="1" selected="0">
            <x v="1"/>
          </reference>
          <reference field="3" count="1" selected="0">
            <x v="23"/>
          </reference>
          <reference field="4" count="1" selected="0">
            <x v="59"/>
          </reference>
          <reference field="5" count="1" selected="0">
            <x v="69"/>
          </reference>
          <reference field="7" count="1">
            <x v="356"/>
          </reference>
        </references>
      </pivotArea>
    </format>
    <format dxfId="2143">
      <pivotArea dataOnly="0" labelOnly="1" outline="0" fieldPosition="0">
        <references count="5">
          <reference field="0" count="1" selected="0">
            <x v="1"/>
          </reference>
          <reference field="3" count="1" selected="0">
            <x v="23"/>
          </reference>
          <reference field="4" count="1" selected="0">
            <x v="59"/>
          </reference>
          <reference field="5" count="1" selected="0">
            <x v="90"/>
          </reference>
          <reference field="7" count="1">
            <x v="1455"/>
          </reference>
        </references>
      </pivotArea>
    </format>
    <format dxfId="2142">
      <pivotArea dataOnly="0" labelOnly="1" outline="0" fieldPosition="0">
        <references count="5">
          <reference field="0" count="1" selected="0">
            <x v="1"/>
          </reference>
          <reference field="3" count="1" selected="0">
            <x v="23"/>
          </reference>
          <reference field="4" count="1" selected="0">
            <x v="59"/>
          </reference>
          <reference field="5" count="1" selected="0">
            <x v="99"/>
          </reference>
          <reference field="7" count="1">
            <x v="1398"/>
          </reference>
        </references>
      </pivotArea>
    </format>
    <format dxfId="2141">
      <pivotArea dataOnly="0" labelOnly="1" outline="0" fieldPosition="0">
        <references count="5">
          <reference field="0" count="1" selected="0">
            <x v="1"/>
          </reference>
          <reference field="3" count="1" selected="0">
            <x v="23"/>
          </reference>
          <reference field="4" count="1" selected="0">
            <x v="59"/>
          </reference>
          <reference field="5" count="1" selected="0">
            <x v="159"/>
          </reference>
          <reference field="7" count="1">
            <x v="1076"/>
          </reference>
        </references>
      </pivotArea>
    </format>
    <format dxfId="2140">
      <pivotArea dataOnly="0" labelOnly="1" outline="0" fieldPosition="0">
        <references count="5">
          <reference field="0" count="1" selected="0">
            <x v="1"/>
          </reference>
          <reference field="3" count="1" selected="0">
            <x v="23"/>
          </reference>
          <reference field="4" count="1" selected="0">
            <x v="59"/>
          </reference>
          <reference field="5" count="1" selected="0">
            <x v="212"/>
          </reference>
          <reference field="7" count="1">
            <x v="970"/>
          </reference>
        </references>
      </pivotArea>
    </format>
    <format dxfId="2139">
      <pivotArea dataOnly="0" labelOnly="1" outline="0" fieldPosition="0">
        <references count="5">
          <reference field="0" count="1" selected="0">
            <x v="1"/>
          </reference>
          <reference field="3" count="1" selected="0">
            <x v="23"/>
          </reference>
          <reference field="4" count="1" selected="0">
            <x v="59"/>
          </reference>
          <reference field="5" count="1" selected="0">
            <x v="237"/>
          </reference>
          <reference field="7" count="1">
            <x v="1586"/>
          </reference>
        </references>
      </pivotArea>
    </format>
    <format dxfId="2138">
      <pivotArea dataOnly="0" labelOnly="1" outline="0" fieldPosition="0">
        <references count="5">
          <reference field="0" count="1" selected="0">
            <x v="1"/>
          </reference>
          <reference field="3" count="1" selected="0">
            <x v="23"/>
          </reference>
          <reference field="4" count="1" selected="0">
            <x v="59"/>
          </reference>
          <reference field="5" count="1" selected="0">
            <x v="269"/>
          </reference>
          <reference field="7" count="1">
            <x v="590"/>
          </reference>
        </references>
      </pivotArea>
    </format>
    <format dxfId="2137">
      <pivotArea dataOnly="0" labelOnly="1" outline="0" fieldPosition="0">
        <references count="5">
          <reference field="0" count="1" selected="0">
            <x v="1"/>
          </reference>
          <reference field="3" count="1" selected="0">
            <x v="23"/>
          </reference>
          <reference field="4" count="1" selected="0">
            <x v="59"/>
          </reference>
          <reference field="5" count="1" selected="0">
            <x v="1125"/>
          </reference>
          <reference field="7" count="1">
            <x v="211"/>
          </reference>
        </references>
      </pivotArea>
    </format>
    <format dxfId="2136">
      <pivotArea dataOnly="0" labelOnly="1" outline="0" fieldPosition="0">
        <references count="5">
          <reference field="0" count="1" selected="0">
            <x v="1"/>
          </reference>
          <reference field="3" count="1" selected="0">
            <x v="23"/>
          </reference>
          <reference field="4" count="1" selected="0">
            <x v="59"/>
          </reference>
          <reference field="5" count="1" selected="0">
            <x v="1126"/>
          </reference>
          <reference field="7" count="1">
            <x v="830"/>
          </reference>
        </references>
      </pivotArea>
    </format>
    <format dxfId="2135">
      <pivotArea dataOnly="0" labelOnly="1" outline="0" fieldPosition="0">
        <references count="5">
          <reference field="0" count="1" selected="0">
            <x v="1"/>
          </reference>
          <reference field="3" count="1" selected="0">
            <x v="23"/>
          </reference>
          <reference field="4" count="1" selected="0">
            <x v="59"/>
          </reference>
          <reference field="5" count="1" selected="0">
            <x v="1131"/>
          </reference>
          <reference field="7" count="1">
            <x v="828"/>
          </reference>
        </references>
      </pivotArea>
    </format>
    <format dxfId="2134">
      <pivotArea dataOnly="0" labelOnly="1" outline="0" fieldPosition="0">
        <references count="5">
          <reference field="0" count="1" selected="0">
            <x v="1"/>
          </reference>
          <reference field="3" count="1" selected="0">
            <x v="23"/>
          </reference>
          <reference field="4" count="1" selected="0">
            <x v="60"/>
          </reference>
          <reference field="5" count="1" selected="0">
            <x v="244"/>
          </reference>
          <reference field="7" count="1">
            <x v="1330"/>
          </reference>
        </references>
      </pivotArea>
    </format>
    <format dxfId="2133">
      <pivotArea dataOnly="0" labelOnly="1" outline="0" fieldPosition="0">
        <references count="5">
          <reference field="0" count="1" selected="0">
            <x v="1"/>
          </reference>
          <reference field="3" count="1" selected="0">
            <x v="23"/>
          </reference>
          <reference field="4" count="1" selected="0">
            <x v="60"/>
          </reference>
          <reference field="5" count="1" selected="0">
            <x v="1134"/>
          </reference>
          <reference field="7" count="1">
            <x v="212"/>
          </reference>
        </references>
      </pivotArea>
    </format>
    <format dxfId="2132">
      <pivotArea dataOnly="0" labelOnly="1" outline="0" fieldPosition="0">
        <references count="5">
          <reference field="0" count="1" selected="0">
            <x v="1"/>
          </reference>
          <reference field="3" count="1" selected="0">
            <x v="23"/>
          </reference>
          <reference field="4" count="1" selected="0">
            <x v="60"/>
          </reference>
          <reference field="5" count="1" selected="0">
            <x v="1135"/>
          </reference>
          <reference field="7" count="1">
            <x v="829"/>
          </reference>
        </references>
      </pivotArea>
    </format>
    <format dxfId="2131">
      <pivotArea dataOnly="0" labelOnly="1" outline="0" fieldPosition="0">
        <references count="5">
          <reference field="0" count="1" selected="0">
            <x v="1"/>
          </reference>
          <reference field="3" count="1" selected="0">
            <x v="23"/>
          </reference>
          <reference field="4" count="1" selected="0">
            <x v="61"/>
          </reference>
          <reference field="5" count="1" selected="0">
            <x v="281"/>
          </reference>
          <reference field="7" count="1">
            <x v="754"/>
          </reference>
        </references>
      </pivotArea>
    </format>
    <format dxfId="2130">
      <pivotArea dataOnly="0" labelOnly="1" outline="0" fieldPosition="0">
        <references count="5">
          <reference field="0" count="1" selected="0">
            <x v="1"/>
          </reference>
          <reference field="3" count="1" selected="0">
            <x v="23"/>
          </reference>
          <reference field="4" count="1" selected="0">
            <x v="61"/>
          </reference>
          <reference field="5" count="1" selected="0">
            <x v="1127"/>
          </reference>
          <reference field="7" count="1">
            <x v="1120"/>
          </reference>
        </references>
      </pivotArea>
    </format>
    <format dxfId="2129">
      <pivotArea dataOnly="0" labelOnly="1" outline="0" fieldPosition="0">
        <references count="5">
          <reference field="0" count="1" selected="0">
            <x v="1"/>
          </reference>
          <reference field="3" count="1" selected="0">
            <x v="23"/>
          </reference>
          <reference field="4" count="1" selected="0">
            <x v="61"/>
          </reference>
          <reference field="5" count="1" selected="0">
            <x v="1128"/>
          </reference>
          <reference field="7" count="1">
            <x v="831"/>
          </reference>
        </references>
      </pivotArea>
    </format>
    <format dxfId="2128">
      <pivotArea dataOnly="0" labelOnly="1" outline="0" fieldPosition="0">
        <references count="5">
          <reference field="0" count="1" selected="0">
            <x v="1"/>
          </reference>
          <reference field="3" count="1" selected="0">
            <x v="23"/>
          </reference>
          <reference field="4" count="1" selected="0">
            <x v="62"/>
          </reference>
          <reference field="5" count="1" selected="0">
            <x v="279"/>
          </reference>
          <reference field="7" count="1">
            <x v="752"/>
          </reference>
        </references>
      </pivotArea>
    </format>
    <format dxfId="2127">
      <pivotArea dataOnly="0" labelOnly="1" outline="0" fieldPosition="0">
        <references count="5">
          <reference field="0" count="1" selected="0">
            <x v="1"/>
          </reference>
          <reference field="3" count="1" selected="0">
            <x v="23"/>
          </reference>
          <reference field="4" count="1" selected="0">
            <x v="62"/>
          </reference>
          <reference field="5" count="1" selected="0">
            <x v="1132"/>
          </reference>
          <reference field="7" count="1">
            <x v="1121"/>
          </reference>
        </references>
      </pivotArea>
    </format>
    <format dxfId="2126">
      <pivotArea dataOnly="0" labelOnly="1" outline="0" fieldPosition="0">
        <references count="5">
          <reference field="0" count="1" selected="0">
            <x v="1"/>
          </reference>
          <reference field="3" count="1" selected="0">
            <x v="23"/>
          </reference>
          <reference field="4" count="1" selected="0">
            <x v="62"/>
          </reference>
          <reference field="5" count="1" selected="0">
            <x v="1133"/>
          </reference>
          <reference field="7" count="1">
            <x v="832"/>
          </reference>
        </references>
      </pivotArea>
    </format>
    <format dxfId="2125">
      <pivotArea dataOnly="0" labelOnly="1" outline="0" fieldPosition="0">
        <references count="5">
          <reference field="0" count="1" selected="0">
            <x v="1"/>
          </reference>
          <reference field="3" count="1" selected="0">
            <x v="23"/>
          </reference>
          <reference field="4" count="1" selected="0">
            <x v="63"/>
          </reference>
          <reference field="5" count="1" selected="0">
            <x v="69"/>
          </reference>
          <reference field="7" count="1">
            <x v="356"/>
          </reference>
        </references>
      </pivotArea>
    </format>
    <format dxfId="2124">
      <pivotArea dataOnly="0" labelOnly="1" outline="0" fieldPosition="0">
        <references count="5">
          <reference field="0" count="1" selected="0">
            <x v="1"/>
          </reference>
          <reference field="3" count="1" selected="0">
            <x v="23"/>
          </reference>
          <reference field="4" count="1" selected="0">
            <x v="63"/>
          </reference>
          <reference field="5" count="1" selected="0">
            <x v="1129"/>
          </reference>
          <reference field="7" count="1">
            <x v="1122"/>
          </reference>
        </references>
      </pivotArea>
    </format>
    <format dxfId="2123">
      <pivotArea dataOnly="0" labelOnly="1" outline="0" fieldPosition="0">
        <references count="5">
          <reference field="0" count="1" selected="0">
            <x v="1"/>
          </reference>
          <reference field="3" count="1" selected="0">
            <x v="23"/>
          </reference>
          <reference field="4" count="1" selected="0">
            <x v="63"/>
          </reference>
          <reference field="5" count="1" selected="0">
            <x v="1130"/>
          </reference>
          <reference field="7" count="1">
            <x v="833"/>
          </reference>
        </references>
      </pivotArea>
    </format>
    <format dxfId="2122">
      <pivotArea dataOnly="0" labelOnly="1" outline="0" fieldPosition="0">
        <references count="5">
          <reference field="0" count="1" selected="0">
            <x v="1"/>
          </reference>
          <reference field="3" count="1" selected="0">
            <x v="23"/>
          </reference>
          <reference field="4" count="1" selected="0">
            <x v="64"/>
          </reference>
          <reference field="5" count="1" selected="0">
            <x v="177"/>
          </reference>
          <reference field="7" count="1">
            <x v="1332"/>
          </reference>
        </references>
      </pivotArea>
    </format>
    <format dxfId="2121">
      <pivotArea dataOnly="0" labelOnly="1" outline="0" fieldPosition="0">
        <references count="5">
          <reference field="0" count="1" selected="0">
            <x v="1"/>
          </reference>
          <reference field="3" count="1" selected="0">
            <x v="23"/>
          </reference>
          <reference field="4" count="1" selected="0">
            <x v="64"/>
          </reference>
          <reference field="5" count="1" selected="0">
            <x v="209"/>
          </reference>
          <reference field="7" count="1">
            <x v="979"/>
          </reference>
        </references>
      </pivotArea>
    </format>
    <format dxfId="2120">
      <pivotArea dataOnly="0" labelOnly="1" outline="0" fieldPosition="0">
        <references count="5">
          <reference field="0" count="1" selected="0">
            <x v="1"/>
          </reference>
          <reference field="3" count="1" selected="0">
            <x v="23"/>
          </reference>
          <reference field="4" count="1" selected="0">
            <x v="64"/>
          </reference>
          <reference field="5" count="1" selected="0">
            <x v="1138"/>
          </reference>
          <reference field="7" count="1">
            <x v="215"/>
          </reference>
        </references>
      </pivotArea>
    </format>
    <format dxfId="2119">
      <pivotArea dataOnly="0" labelOnly="1" outline="0" fieldPosition="0">
        <references count="5">
          <reference field="0" count="1" selected="0">
            <x v="1"/>
          </reference>
          <reference field="3" count="1" selected="0">
            <x v="23"/>
          </reference>
          <reference field="4" count="1" selected="0">
            <x v="64"/>
          </reference>
          <reference field="5" count="1" selected="0">
            <x v="1139"/>
          </reference>
          <reference field="7" count="1">
            <x v="1366"/>
          </reference>
        </references>
      </pivotArea>
    </format>
    <format dxfId="2118">
      <pivotArea dataOnly="0" labelOnly="1" outline="0" fieldPosition="0">
        <references count="5">
          <reference field="0" count="1" selected="0">
            <x v="1"/>
          </reference>
          <reference field="3" count="1" selected="0">
            <x v="23"/>
          </reference>
          <reference field="4" count="1" selected="0">
            <x v="64"/>
          </reference>
          <reference field="5" count="1" selected="0">
            <x v="1140"/>
          </reference>
          <reference field="7" count="1">
            <x v="835"/>
          </reference>
        </references>
      </pivotArea>
    </format>
    <format dxfId="2117">
      <pivotArea dataOnly="0" labelOnly="1" outline="0" fieldPosition="0">
        <references count="5">
          <reference field="0" count="1" selected="0">
            <x v="1"/>
          </reference>
          <reference field="3" count="1" selected="0">
            <x v="23"/>
          </reference>
          <reference field="4" count="1" selected="0">
            <x v="65"/>
          </reference>
          <reference field="5" count="1" selected="0">
            <x v="282"/>
          </reference>
          <reference field="7" count="1">
            <x v="755"/>
          </reference>
        </references>
      </pivotArea>
    </format>
    <format dxfId="2116">
      <pivotArea dataOnly="0" labelOnly="1" outline="0" fieldPosition="0">
        <references count="5">
          <reference field="0" count="1" selected="0">
            <x v="1"/>
          </reference>
          <reference field="3" count="1" selected="0">
            <x v="23"/>
          </reference>
          <reference field="4" count="1" selected="0">
            <x v="65"/>
          </reference>
          <reference field="5" count="1" selected="0">
            <x v="1121"/>
          </reference>
          <reference field="7" count="1">
            <x v="214"/>
          </reference>
        </references>
      </pivotArea>
    </format>
    <format dxfId="2115">
      <pivotArea dataOnly="0" labelOnly="1" outline="0" fieldPosition="0">
        <references count="5">
          <reference field="0" count="1" selected="0">
            <x v="1"/>
          </reference>
          <reference field="3" count="1" selected="0">
            <x v="23"/>
          </reference>
          <reference field="4" count="1" selected="0">
            <x v="65"/>
          </reference>
          <reference field="5" count="1" selected="0">
            <x v="1123"/>
          </reference>
          <reference field="7" count="1">
            <x v="834"/>
          </reference>
        </references>
      </pivotArea>
    </format>
    <format dxfId="2114">
      <pivotArea dataOnly="0" labelOnly="1" outline="0" fieldPosition="0">
        <references count="5">
          <reference field="0" count="1" selected="0">
            <x v="1"/>
          </reference>
          <reference field="3" count="1" selected="0">
            <x v="23"/>
          </reference>
          <reference field="4" count="1" selected="0">
            <x v="216"/>
          </reference>
          <reference field="5" count="1" selected="0">
            <x v="5"/>
          </reference>
          <reference field="7" count="1">
            <x v="955"/>
          </reference>
        </references>
      </pivotArea>
    </format>
    <format dxfId="2113">
      <pivotArea dataOnly="0" labelOnly="1" outline="0" fieldPosition="0">
        <references count="5">
          <reference field="0" count="1" selected="0">
            <x v="1"/>
          </reference>
          <reference field="3" count="1" selected="0">
            <x v="23"/>
          </reference>
          <reference field="4" count="1" selected="0">
            <x v="216"/>
          </reference>
          <reference field="5" count="1" selected="0">
            <x v="115"/>
          </reference>
          <reference field="7" count="1">
            <x v="1073"/>
          </reference>
        </references>
      </pivotArea>
    </format>
    <format dxfId="2112">
      <pivotArea dataOnly="0" labelOnly="1" outline="0" fieldPosition="0">
        <references count="5">
          <reference field="0" count="1" selected="0">
            <x v="1"/>
          </reference>
          <reference field="3" count="1" selected="0">
            <x v="23"/>
          </reference>
          <reference field="4" count="1" selected="0">
            <x v="216"/>
          </reference>
          <reference field="5" count="1" selected="0">
            <x v="134"/>
          </reference>
          <reference field="7" count="1">
            <x v="588"/>
          </reference>
        </references>
      </pivotArea>
    </format>
    <format dxfId="2111">
      <pivotArea dataOnly="0" labelOnly="1" outline="0" fieldPosition="0">
        <references count="5">
          <reference field="0" count="1" selected="0">
            <x v="1"/>
          </reference>
          <reference field="3" count="1" selected="0">
            <x v="23"/>
          </reference>
          <reference field="4" count="1" selected="0">
            <x v="216"/>
          </reference>
          <reference field="5" count="1" selected="0">
            <x v="167"/>
          </reference>
          <reference field="7" count="1">
            <x v="1088"/>
          </reference>
        </references>
      </pivotArea>
    </format>
    <format dxfId="2110">
      <pivotArea dataOnly="0" labelOnly="1" outline="0" fieldPosition="0">
        <references count="5">
          <reference field="0" count="1" selected="0">
            <x v="1"/>
          </reference>
          <reference field="3" count="1" selected="0">
            <x v="23"/>
          </reference>
          <reference field="4" count="1" selected="0">
            <x v="216"/>
          </reference>
          <reference field="5" count="1" selected="0">
            <x v="192"/>
          </reference>
          <reference field="7" count="1">
            <x v="599"/>
          </reference>
        </references>
      </pivotArea>
    </format>
    <format dxfId="2109">
      <pivotArea dataOnly="0" labelOnly="1" outline="0" fieldPosition="0">
        <references count="5">
          <reference field="0" count="1" selected="0">
            <x v="1"/>
          </reference>
          <reference field="3" count="1" selected="0">
            <x v="23"/>
          </reference>
          <reference field="4" count="1" selected="0">
            <x v="216"/>
          </reference>
          <reference field="5" count="1" selected="0">
            <x v="291"/>
          </reference>
          <reference field="7" count="1">
            <x v="1419"/>
          </reference>
        </references>
      </pivotArea>
    </format>
    <format dxfId="2108">
      <pivotArea dataOnly="0" labelOnly="1" outline="0" fieldPosition="0">
        <references count="5">
          <reference field="0" count="1" selected="0">
            <x v="1"/>
          </reference>
          <reference field="3" count="1" selected="0">
            <x v="23"/>
          </reference>
          <reference field="4" count="1" selected="0">
            <x v="216"/>
          </reference>
          <reference field="5" count="1" selected="0">
            <x v="292"/>
          </reference>
          <reference field="7" count="1">
            <x v="1421"/>
          </reference>
        </references>
      </pivotArea>
    </format>
    <format dxfId="2107">
      <pivotArea dataOnly="0" labelOnly="1" outline="0" fieldPosition="0">
        <references count="5">
          <reference field="0" count="1" selected="0">
            <x v="1"/>
          </reference>
          <reference field="3" count="1" selected="0">
            <x v="23"/>
          </reference>
          <reference field="4" count="1" selected="0">
            <x v="216"/>
          </reference>
          <reference field="5" count="1" selected="0">
            <x v="302"/>
          </reference>
          <reference field="7" count="1">
            <x v="1070"/>
          </reference>
        </references>
      </pivotArea>
    </format>
    <format dxfId="2106">
      <pivotArea dataOnly="0" labelOnly="1" outline="0" fieldPosition="0">
        <references count="5">
          <reference field="0" count="1" selected="0">
            <x v="1"/>
          </reference>
          <reference field="3" count="1" selected="0">
            <x v="23"/>
          </reference>
          <reference field="4" count="1" selected="0">
            <x v="216"/>
          </reference>
          <reference field="5" count="1" selected="0">
            <x v="326"/>
          </reference>
          <reference field="7" count="1">
            <x v="582"/>
          </reference>
        </references>
      </pivotArea>
    </format>
    <format dxfId="2105">
      <pivotArea dataOnly="0" labelOnly="1" outline="0" fieldPosition="0">
        <references count="5">
          <reference field="0" count="1" selected="0">
            <x v="1"/>
          </reference>
          <reference field="3" count="1" selected="0">
            <x v="23"/>
          </reference>
          <reference field="4" count="1" selected="0">
            <x v="216"/>
          </reference>
          <reference field="5" count="1" selected="0">
            <x v="351"/>
          </reference>
          <reference field="7" count="1">
            <x v="1025"/>
          </reference>
        </references>
      </pivotArea>
    </format>
    <format dxfId="2104">
      <pivotArea dataOnly="0" labelOnly="1" outline="0" fieldPosition="0">
        <references count="5">
          <reference field="0" count="1" selected="0">
            <x v="1"/>
          </reference>
          <reference field="3" count="1" selected="0">
            <x v="23"/>
          </reference>
          <reference field="4" count="1" selected="0">
            <x v="216"/>
          </reference>
          <reference field="5" count="1" selected="0">
            <x v="370"/>
          </reference>
          <reference field="7" count="1">
            <x v="675"/>
          </reference>
        </references>
      </pivotArea>
    </format>
    <format dxfId="2103">
      <pivotArea dataOnly="0" labelOnly="1" outline="0" fieldPosition="0">
        <references count="5">
          <reference field="0" count="1" selected="0">
            <x v="1"/>
          </reference>
          <reference field="3" count="1" selected="0">
            <x v="23"/>
          </reference>
          <reference field="4" count="1" selected="0">
            <x v="216"/>
          </reference>
          <reference field="5" count="1" selected="0">
            <x v="382"/>
          </reference>
          <reference field="7" count="1">
            <x v="396"/>
          </reference>
        </references>
      </pivotArea>
    </format>
    <format dxfId="2102">
      <pivotArea dataOnly="0" labelOnly="1" outline="0" fieldPosition="0">
        <references count="5">
          <reference field="0" count="1" selected="0">
            <x v="1"/>
          </reference>
          <reference field="3" count="1" selected="0">
            <x v="23"/>
          </reference>
          <reference field="4" count="1" selected="0">
            <x v="216"/>
          </reference>
          <reference field="5" count="1" selected="0">
            <x v="414"/>
          </reference>
          <reference field="7" count="1">
            <x v="1146"/>
          </reference>
        </references>
      </pivotArea>
    </format>
    <format dxfId="2101">
      <pivotArea dataOnly="0" labelOnly="1" outline="0" fieldPosition="0">
        <references count="5">
          <reference field="0" count="1" selected="0">
            <x v="1"/>
          </reference>
          <reference field="3" count="1" selected="0">
            <x v="23"/>
          </reference>
          <reference field="4" count="1" selected="0">
            <x v="216"/>
          </reference>
          <reference field="5" count="1" selected="0">
            <x v="426"/>
          </reference>
          <reference field="7" count="1">
            <x v="1460"/>
          </reference>
        </references>
      </pivotArea>
    </format>
    <format dxfId="2100">
      <pivotArea dataOnly="0" labelOnly="1" outline="0" fieldPosition="0">
        <references count="5">
          <reference field="0" count="1" selected="0">
            <x v="1"/>
          </reference>
          <reference field="3" count="1" selected="0">
            <x v="23"/>
          </reference>
          <reference field="4" count="1" selected="0">
            <x v="216"/>
          </reference>
          <reference field="5" count="1" selected="0">
            <x v="1112"/>
          </reference>
          <reference field="7" count="1">
            <x v="205"/>
          </reference>
        </references>
      </pivotArea>
    </format>
    <format dxfId="2099">
      <pivotArea dataOnly="0" labelOnly="1" outline="0" fieldPosition="0">
        <references count="5">
          <reference field="0" count="1" selected="0">
            <x v="1"/>
          </reference>
          <reference field="3" count="1" selected="0">
            <x v="23"/>
          </reference>
          <reference field="4" count="1" selected="0">
            <x v="216"/>
          </reference>
          <reference field="5" count="1" selected="0">
            <x v="1113"/>
          </reference>
          <reference field="7" count="1">
            <x v="815"/>
          </reference>
        </references>
      </pivotArea>
    </format>
    <format dxfId="2098">
      <pivotArea dataOnly="0" labelOnly="1" outline="0" fieldPosition="0">
        <references count="5">
          <reference field="0" count="1" selected="0">
            <x v="1"/>
          </reference>
          <reference field="3" count="1" selected="0">
            <x v="23"/>
          </reference>
          <reference field="4" count="1" selected="0">
            <x v="216"/>
          </reference>
          <reference field="5" count="1" selected="0">
            <x v="1117"/>
          </reference>
          <reference field="7" count="1">
            <x v="812"/>
          </reference>
        </references>
      </pivotArea>
    </format>
    <format dxfId="2097">
      <pivotArea dataOnly="0" labelOnly="1" outline="0" fieldPosition="0">
        <references count="5">
          <reference field="0" count="1" selected="0">
            <x v="1"/>
          </reference>
          <reference field="3" count="1" selected="0">
            <x v="23"/>
          </reference>
          <reference field="4" count="1" selected="0">
            <x v="216"/>
          </reference>
          <reference field="5" count="1" selected="0">
            <x v="1118"/>
          </reference>
          <reference field="7" count="1">
            <x v="814"/>
          </reference>
        </references>
      </pivotArea>
    </format>
    <format dxfId="2096">
      <pivotArea dataOnly="0" labelOnly="1" outline="0" fieldPosition="0">
        <references count="5">
          <reference field="0" count="1" selected="0">
            <x v="1"/>
          </reference>
          <reference field="3" count="1" selected="0">
            <x v="23"/>
          </reference>
          <reference field="4" count="1" selected="0">
            <x v="216"/>
          </reference>
          <reference field="5" count="1" selected="0">
            <x v="1119"/>
          </reference>
          <reference field="7" count="1">
            <x v="813"/>
          </reference>
        </references>
      </pivotArea>
    </format>
    <format dxfId="2095">
      <pivotArea dataOnly="0" labelOnly="1" outline="0" fieldPosition="0">
        <references count="5">
          <reference field="0" count="1" selected="0">
            <x v="1"/>
          </reference>
          <reference field="3" count="1" selected="0">
            <x v="23"/>
          </reference>
          <reference field="4" count="1" selected="0">
            <x v="216"/>
          </reference>
          <reference field="5" count="1" selected="0">
            <x v="1120"/>
          </reference>
          <reference field="7" count="1">
            <x v="1580"/>
          </reference>
        </references>
      </pivotArea>
    </format>
    <format dxfId="2094">
      <pivotArea dataOnly="0" labelOnly="1" outline="0" fieldPosition="0">
        <references count="5">
          <reference field="0" count="1" selected="0">
            <x v="1"/>
          </reference>
          <reference field="3" count="1" selected="0">
            <x v="23"/>
          </reference>
          <reference field="4" count="1" selected="0">
            <x v="216"/>
          </reference>
          <reference field="5" count="1" selected="0">
            <x v="1124"/>
          </reference>
          <reference field="7" count="1">
            <x v="811"/>
          </reference>
        </references>
      </pivotArea>
    </format>
    <format dxfId="2093">
      <pivotArea dataOnly="0" labelOnly="1" outline="0" fieldPosition="0">
        <references count="5">
          <reference field="0" count="1" selected="0">
            <x v="1"/>
          </reference>
          <reference field="3" count="1" selected="0">
            <x v="24"/>
          </reference>
          <reference field="4" count="1" selected="0">
            <x v="119"/>
          </reference>
          <reference field="5" count="1" selected="0">
            <x v="251"/>
          </reference>
          <reference field="7" count="1">
            <x v="1314"/>
          </reference>
        </references>
      </pivotArea>
    </format>
    <format dxfId="2092">
      <pivotArea dataOnly="0" labelOnly="1" outline="0" fieldPosition="0">
        <references count="5">
          <reference field="0" count="1" selected="0">
            <x v="1"/>
          </reference>
          <reference field="3" count="1" selected="0">
            <x v="24"/>
          </reference>
          <reference field="4" count="1" selected="0">
            <x v="119"/>
          </reference>
          <reference field="5" count="1" selected="0">
            <x v="303"/>
          </reference>
          <reference field="7" count="1">
            <x v="1322"/>
          </reference>
        </references>
      </pivotArea>
    </format>
    <format dxfId="2091">
      <pivotArea dataOnly="0" labelOnly="1" outline="0" fieldPosition="0">
        <references count="5">
          <reference field="0" count="1" selected="0">
            <x v="1"/>
          </reference>
          <reference field="3" count="1" selected="0">
            <x v="24"/>
          </reference>
          <reference field="4" count="1" selected="0">
            <x v="119"/>
          </reference>
          <reference field="5" count="1" selected="0">
            <x v="1164"/>
          </reference>
          <reference field="7" count="1">
            <x v="1305"/>
          </reference>
        </references>
      </pivotArea>
    </format>
    <format dxfId="2090">
      <pivotArea dataOnly="0" labelOnly="1" outline="0" fieldPosition="0">
        <references count="5">
          <reference field="0" count="1" selected="0">
            <x v="1"/>
          </reference>
          <reference field="3" count="1" selected="0">
            <x v="24"/>
          </reference>
          <reference field="4" count="1" selected="0">
            <x v="119"/>
          </reference>
          <reference field="5" count="1" selected="0">
            <x v="1165"/>
          </reference>
          <reference field="7" count="1">
            <x v="279"/>
          </reference>
        </references>
      </pivotArea>
    </format>
    <format dxfId="2089">
      <pivotArea dataOnly="0" labelOnly="1" outline="0" fieldPosition="0">
        <references count="5">
          <reference field="0" count="1" selected="0">
            <x v="1"/>
          </reference>
          <reference field="3" count="1" selected="0">
            <x v="24"/>
          </reference>
          <reference field="4" count="1" selected="0">
            <x v="120"/>
          </reference>
          <reference field="5" count="1" selected="0">
            <x v="203"/>
          </reference>
          <reference field="7" count="1">
            <x v="1418"/>
          </reference>
        </references>
      </pivotArea>
    </format>
    <format dxfId="2088">
      <pivotArea dataOnly="0" labelOnly="1" outline="0" fieldPosition="0">
        <references count="5">
          <reference field="0" count="1" selected="0">
            <x v="1"/>
          </reference>
          <reference field="3" count="1" selected="0">
            <x v="24"/>
          </reference>
          <reference field="4" count="1" selected="0">
            <x v="120"/>
          </reference>
          <reference field="5" count="1" selected="0">
            <x v="291"/>
          </reference>
          <reference field="7" count="1">
            <x v="1419"/>
          </reference>
        </references>
      </pivotArea>
    </format>
    <format dxfId="2087">
      <pivotArea dataOnly="0" labelOnly="1" outline="0" fieldPosition="0">
        <references count="5">
          <reference field="0" count="1" selected="0">
            <x v="1"/>
          </reference>
          <reference field="3" count="1" selected="0">
            <x v="24"/>
          </reference>
          <reference field="4" count="1" selected="0">
            <x v="120"/>
          </reference>
          <reference field="5" count="1" selected="0">
            <x v="302"/>
          </reference>
          <reference field="7" count="1">
            <x v="1070"/>
          </reference>
        </references>
      </pivotArea>
    </format>
    <format dxfId="2086">
      <pivotArea dataOnly="0" labelOnly="1" outline="0" fieldPosition="0">
        <references count="5">
          <reference field="0" count="1" selected="0">
            <x v="1"/>
          </reference>
          <reference field="3" count="1" selected="0">
            <x v="24"/>
          </reference>
          <reference field="4" count="1" selected="0">
            <x v="120"/>
          </reference>
          <reference field="5" count="1" selected="0">
            <x v="351"/>
          </reference>
          <reference field="7" count="1">
            <x v="1025"/>
          </reference>
        </references>
      </pivotArea>
    </format>
    <format dxfId="2085">
      <pivotArea dataOnly="0" labelOnly="1" outline="0" fieldPosition="0">
        <references count="5">
          <reference field="0" count="1" selected="0">
            <x v="1"/>
          </reference>
          <reference field="3" count="1" selected="0">
            <x v="24"/>
          </reference>
          <reference field="4" count="1" selected="0">
            <x v="120"/>
          </reference>
          <reference field="5" count="1" selected="0">
            <x v="1166"/>
          </reference>
          <reference field="7" count="1">
            <x v="1303"/>
          </reference>
        </references>
      </pivotArea>
    </format>
    <format dxfId="2084">
      <pivotArea dataOnly="0" labelOnly="1" outline="0" fieldPosition="0">
        <references count="5">
          <reference field="0" count="1" selected="0">
            <x v="1"/>
          </reference>
          <reference field="3" count="1" selected="0">
            <x v="24"/>
          </reference>
          <reference field="4" count="1" selected="0">
            <x v="120"/>
          </reference>
          <reference field="5" count="1" selected="0">
            <x v="1167"/>
          </reference>
          <reference field="7" count="1">
            <x v="280"/>
          </reference>
        </references>
      </pivotArea>
    </format>
    <format dxfId="2083">
      <pivotArea dataOnly="0" labelOnly="1" outline="0" fieldPosition="0">
        <references count="5">
          <reference field="0" count="1" selected="0">
            <x v="1"/>
          </reference>
          <reference field="3" count="1" selected="0">
            <x v="24"/>
          </reference>
          <reference field="4" count="1" selected="0">
            <x v="121"/>
          </reference>
          <reference field="5" count="1" selected="0">
            <x v="349"/>
          </reference>
          <reference field="7" count="1">
            <x v="117"/>
          </reference>
        </references>
      </pivotArea>
    </format>
    <format dxfId="2082">
      <pivotArea dataOnly="0" labelOnly="1" outline="0" fieldPosition="0">
        <references count="5">
          <reference field="0" count="1" selected="0">
            <x v="1"/>
          </reference>
          <reference field="3" count="1" selected="0">
            <x v="24"/>
          </reference>
          <reference field="4" count="1" selected="0">
            <x v="121"/>
          </reference>
          <reference field="5" count="1" selected="0">
            <x v="350"/>
          </reference>
          <reference field="7" count="1">
            <x v="1024"/>
          </reference>
        </references>
      </pivotArea>
    </format>
    <format dxfId="2081">
      <pivotArea dataOnly="0" labelOnly="1" outline="0" fieldPosition="0">
        <references count="5">
          <reference field="0" count="1" selected="0">
            <x v="1"/>
          </reference>
          <reference field="3" count="1" selected="0">
            <x v="24"/>
          </reference>
          <reference field="4" count="1" selected="0">
            <x v="121"/>
          </reference>
          <reference field="5" count="1" selected="0">
            <x v="387"/>
          </reference>
          <reference field="7" count="1">
            <x v="114"/>
          </reference>
        </references>
      </pivotArea>
    </format>
    <format dxfId="2080">
      <pivotArea dataOnly="0" labelOnly="1" outline="0" fieldPosition="0">
        <references count="5">
          <reference field="0" count="1" selected="0">
            <x v="1"/>
          </reference>
          <reference field="3" count="1" selected="0">
            <x v="24"/>
          </reference>
          <reference field="4" count="1" selected="0">
            <x v="122"/>
          </reference>
          <reference field="5" count="1" selected="0">
            <x v="255"/>
          </reference>
          <reference field="7" count="1">
            <x v="1315"/>
          </reference>
        </references>
      </pivotArea>
    </format>
    <format dxfId="2079">
      <pivotArea dataOnly="0" labelOnly="1" outline="0" fieldPosition="0">
        <references count="5">
          <reference field="0" count="1" selected="0">
            <x v="1"/>
          </reference>
          <reference field="3" count="1" selected="0">
            <x v="24"/>
          </reference>
          <reference field="4" count="1" selected="0">
            <x v="122"/>
          </reference>
          <reference field="5" count="1" selected="0">
            <x v="304"/>
          </reference>
          <reference field="7" count="1">
            <x v="418"/>
          </reference>
        </references>
      </pivotArea>
    </format>
    <format dxfId="2078">
      <pivotArea dataOnly="0" labelOnly="1" outline="0" fieldPosition="0">
        <references count="5">
          <reference field="0" count="1" selected="0">
            <x v="1"/>
          </reference>
          <reference field="3" count="1" selected="0">
            <x v="24"/>
          </reference>
          <reference field="4" count="1" selected="0">
            <x v="122"/>
          </reference>
          <reference field="5" count="1" selected="0">
            <x v="1162"/>
          </reference>
          <reference field="7" count="1">
            <x v="1306"/>
          </reference>
        </references>
      </pivotArea>
    </format>
    <format dxfId="2077">
      <pivotArea dataOnly="0" labelOnly="1" outline="0" fieldPosition="0">
        <references count="5">
          <reference field="0" count="1" selected="0">
            <x v="1"/>
          </reference>
          <reference field="3" count="1" selected="0">
            <x v="24"/>
          </reference>
          <reference field="4" count="1" selected="0">
            <x v="122"/>
          </reference>
          <reference field="5" count="1" selected="0">
            <x v="1163"/>
          </reference>
          <reference field="7" count="1">
            <x v="281"/>
          </reference>
        </references>
      </pivotArea>
    </format>
    <format dxfId="2076">
      <pivotArea dataOnly="0" labelOnly="1" outline="0" fieldPosition="0">
        <references count="5">
          <reference field="0" count="1" selected="0">
            <x v="1"/>
          </reference>
          <reference field="3" count="1" selected="0">
            <x v="24"/>
          </reference>
          <reference field="4" count="1" selected="0">
            <x v="123"/>
          </reference>
          <reference field="5" count="1" selected="0">
            <x v="27"/>
          </reference>
          <reference field="7" count="1">
            <x v="640"/>
          </reference>
        </references>
      </pivotArea>
    </format>
    <format dxfId="2075">
      <pivotArea dataOnly="0" labelOnly="1" outline="0" fieldPosition="0">
        <references count="5">
          <reference field="0" count="1" selected="0">
            <x v="1"/>
          </reference>
          <reference field="3" count="1" selected="0">
            <x v="24"/>
          </reference>
          <reference field="4" count="1" selected="0">
            <x v="123"/>
          </reference>
          <reference field="5" count="1" selected="0">
            <x v="46"/>
          </reference>
          <reference field="7" count="1">
            <x v="671"/>
          </reference>
        </references>
      </pivotArea>
    </format>
    <format dxfId="2074">
      <pivotArea dataOnly="0" labelOnly="1" outline="0" fieldPosition="0">
        <references count="5">
          <reference field="0" count="1" selected="0">
            <x v="1"/>
          </reference>
          <reference field="3" count="1" selected="0">
            <x v="24"/>
          </reference>
          <reference field="4" count="1" selected="0">
            <x v="123"/>
          </reference>
          <reference field="5" count="1" selected="0">
            <x v="47"/>
          </reference>
          <reference field="7" count="1">
            <x v="1467"/>
          </reference>
        </references>
      </pivotArea>
    </format>
    <format dxfId="2073">
      <pivotArea dataOnly="0" labelOnly="1" outline="0" fieldPosition="0">
        <references count="5">
          <reference field="0" count="1" selected="0">
            <x v="1"/>
          </reference>
          <reference field="3" count="1" selected="0">
            <x v="24"/>
          </reference>
          <reference field="4" count="1" selected="0">
            <x v="123"/>
          </reference>
          <reference field="5" count="1" selected="0">
            <x v="94"/>
          </reference>
          <reference field="7" count="1">
            <x v="1454"/>
          </reference>
        </references>
      </pivotArea>
    </format>
    <format dxfId="2072">
      <pivotArea dataOnly="0" labelOnly="1" outline="0" fieldPosition="0">
        <references count="5">
          <reference field="0" count="1" selected="0">
            <x v="1"/>
          </reference>
          <reference field="3" count="1" selected="0">
            <x v="24"/>
          </reference>
          <reference field="4" count="1" selected="0">
            <x v="123"/>
          </reference>
          <reference field="5" count="1" selected="0">
            <x v="135"/>
          </reference>
          <reference field="7" count="1">
            <x v="592"/>
          </reference>
        </references>
      </pivotArea>
    </format>
    <format dxfId="2071">
      <pivotArea dataOnly="0" labelOnly="1" outline="0" fieldPosition="0">
        <references count="5">
          <reference field="0" count="1" selected="0">
            <x v="1"/>
          </reference>
          <reference field="3" count="1" selected="0">
            <x v="24"/>
          </reference>
          <reference field="4" count="1" selected="0">
            <x v="123"/>
          </reference>
          <reference field="5" count="1" selected="0">
            <x v="136"/>
          </reference>
          <reference field="7" count="1">
            <x v="593"/>
          </reference>
        </references>
      </pivotArea>
    </format>
    <format dxfId="2070">
      <pivotArea dataOnly="0" labelOnly="1" outline="0" fieldPosition="0">
        <references count="5">
          <reference field="0" count="1" selected="0">
            <x v="1"/>
          </reference>
          <reference field="3" count="1" selected="0">
            <x v="24"/>
          </reference>
          <reference field="4" count="1" selected="0">
            <x v="123"/>
          </reference>
          <reference field="5" count="1" selected="0">
            <x v="146"/>
          </reference>
          <reference field="7" count="1">
            <x v="1587"/>
          </reference>
        </references>
      </pivotArea>
    </format>
    <format dxfId="2069">
      <pivotArea dataOnly="0" labelOnly="1" outline="0" fieldPosition="0">
        <references count="5">
          <reference field="0" count="1" selected="0">
            <x v="1"/>
          </reference>
          <reference field="3" count="1" selected="0">
            <x v="24"/>
          </reference>
          <reference field="4" count="1" selected="0">
            <x v="123"/>
          </reference>
          <reference field="5" count="1" selected="0">
            <x v="163"/>
          </reference>
          <reference field="7" count="1">
            <x v="1083"/>
          </reference>
        </references>
      </pivotArea>
    </format>
    <format dxfId="2068">
      <pivotArea dataOnly="0" labelOnly="1" outline="0" fieldPosition="0">
        <references count="5">
          <reference field="0" count="1" selected="0">
            <x v="1"/>
          </reference>
          <reference field="3" count="1" selected="0">
            <x v="24"/>
          </reference>
          <reference field="4" count="1" selected="0">
            <x v="123"/>
          </reference>
          <reference field="5" count="1" selected="0">
            <x v="209"/>
          </reference>
          <reference field="7" count="1">
            <x v="979"/>
          </reference>
        </references>
      </pivotArea>
    </format>
    <format dxfId="2067">
      <pivotArea dataOnly="0" labelOnly="1" outline="0" fieldPosition="0">
        <references count="5">
          <reference field="0" count="1" selected="0">
            <x v="1"/>
          </reference>
          <reference field="3" count="1" selected="0">
            <x v="24"/>
          </reference>
          <reference field="4" count="1" selected="0">
            <x v="123"/>
          </reference>
          <reference field="5" count="1" selected="0">
            <x v="239"/>
          </reference>
          <reference field="7" count="1">
            <x v="1584"/>
          </reference>
        </references>
      </pivotArea>
    </format>
    <format dxfId="2066">
      <pivotArea dataOnly="0" labelOnly="1" outline="0" fieldPosition="0">
        <references count="5">
          <reference field="0" count="1" selected="0">
            <x v="1"/>
          </reference>
          <reference field="3" count="1" selected="0">
            <x v="24"/>
          </reference>
          <reference field="4" count="1" selected="0">
            <x v="123"/>
          </reference>
          <reference field="5" count="1" selected="0">
            <x v="251"/>
          </reference>
          <reference field="7" count="1">
            <x v="1314"/>
          </reference>
        </references>
      </pivotArea>
    </format>
    <format dxfId="2065">
      <pivotArea dataOnly="0" labelOnly="1" outline="0" fieldPosition="0">
        <references count="5">
          <reference field="0" count="1" selected="0">
            <x v="1"/>
          </reference>
          <reference field="3" count="1" selected="0">
            <x v="24"/>
          </reference>
          <reference field="4" count="1" selected="0">
            <x v="123"/>
          </reference>
          <reference field="5" count="1" selected="0">
            <x v="303"/>
          </reference>
          <reference field="7" count="1">
            <x v="1322"/>
          </reference>
        </references>
      </pivotArea>
    </format>
    <format dxfId="2064">
      <pivotArea dataOnly="0" labelOnly="1" outline="0" fieldPosition="0">
        <references count="5">
          <reference field="0" count="1" selected="0">
            <x v="1"/>
          </reference>
          <reference field="3" count="1" selected="0">
            <x v="24"/>
          </reference>
          <reference field="4" count="1" selected="0">
            <x v="123"/>
          </reference>
          <reference field="5" count="1" selected="0">
            <x v="318"/>
          </reference>
          <reference field="7" count="1">
            <x v="1404"/>
          </reference>
        </references>
      </pivotArea>
    </format>
    <format dxfId="2063">
      <pivotArea dataOnly="0" labelOnly="1" outline="0" fieldPosition="0">
        <references count="5">
          <reference field="0" count="1" selected="0">
            <x v="1"/>
          </reference>
          <reference field="3" count="1" selected="0">
            <x v="24"/>
          </reference>
          <reference field="4" count="1" selected="0">
            <x v="123"/>
          </reference>
          <reference field="5" count="1" selected="0">
            <x v="327"/>
          </reference>
          <reference field="7" count="1">
            <x v="585"/>
          </reference>
        </references>
      </pivotArea>
    </format>
    <format dxfId="2062">
      <pivotArea dataOnly="0" labelOnly="1" outline="0" fieldPosition="0">
        <references count="5">
          <reference field="0" count="1" selected="0">
            <x v="1"/>
          </reference>
          <reference field="3" count="1" selected="0">
            <x v="24"/>
          </reference>
          <reference field="4" count="1" selected="0">
            <x v="123"/>
          </reference>
          <reference field="5" count="1" selected="0">
            <x v="1145"/>
          </reference>
          <reference field="7" count="1">
            <x v="283"/>
          </reference>
        </references>
      </pivotArea>
    </format>
    <format dxfId="2061">
      <pivotArea dataOnly="0" labelOnly="1" outline="0" fieldPosition="0">
        <references count="5">
          <reference field="0" count="1" selected="0">
            <x v="1"/>
          </reference>
          <reference field="3" count="1" selected="0">
            <x v="24"/>
          </reference>
          <reference field="4" count="1" selected="0">
            <x v="123"/>
          </reference>
          <reference field="5" count="1" selected="0">
            <x v="1152"/>
          </reference>
          <reference field="7" count="1">
            <x v="1235"/>
          </reference>
        </references>
      </pivotArea>
    </format>
    <format dxfId="2060">
      <pivotArea dataOnly="0" labelOnly="1" outline="0" fieldPosition="0">
        <references count="5">
          <reference field="0" count="1" selected="0">
            <x v="1"/>
          </reference>
          <reference field="3" count="1" selected="0">
            <x v="24"/>
          </reference>
          <reference field="4" count="1" selected="0">
            <x v="123"/>
          </reference>
          <reference field="5" count="1" selected="0">
            <x v="1153"/>
          </reference>
          <reference field="7" count="1">
            <x v="1143"/>
          </reference>
        </references>
      </pivotArea>
    </format>
    <format dxfId="2059">
      <pivotArea dataOnly="0" labelOnly="1" outline="0" fieldPosition="0">
        <references count="5">
          <reference field="0" count="1" selected="0">
            <x v="1"/>
          </reference>
          <reference field="3" count="1" selected="0">
            <x v="24"/>
          </reference>
          <reference field="4" count="1" selected="0">
            <x v="123"/>
          </reference>
          <reference field="5" count="1" selected="0">
            <x v="1154"/>
          </reference>
          <reference field="7" count="1">
            <x v="60"/>
          </reference>
        </references>
      </pivotArea>
    </format>
    <format dxfId="2058">
      <pivotArea dataOnly="0" labelOnly="1" outline="0" fieldPosition="0">
        <references count="5">
          <reference field="0" count="1" selected="0">
            <x v="1"/>
          </reference>
          <reference field="3" count="1" selected="0">
            <x v="24"/>
          </reference>
          <reference field="4" count="1" selected="0">
            <x v="123"/>
          </reference>
          <reference field="5" count="1" selected="0">
            <x v="1155"/>
          </reference>
          <reference field="7" count="1">
            <x v="1389"/>
          </reference>
        </references>
      </pivotArea>
    </format>
    <format dxfId="2057">
      <pivotArea dataOnly="0" labelOnly="1" outline="0" fieldPosition="0">
        <references count="5">
          <reference field="0" count="1" selected="0">
            <x v="1"/>
          </reference>
          <reference field="3" count="1" selected="0">
            <x v="24"/>
          </reference>
          <reference field="4" count="1" selected="0">
            <x v="124"/>
          </reference>
          <reference field="5" count="1" selected="0">
            <x v="71"/>
          </reference>
          <reference field="7" count="1">
            <x v="355"/>
          </reference>
        </references>
      </pivotArea>
    </format>
    <format dxfId="2056">
      <pivotArea dataOnly="0" labelOnly="1" outline="0" fieldPosition="0">
        <references count="5">
          <reference field="0" count="1" selected="0">
            <x v="1"/>
          </reference>
          <reference field="3" count="1" selected="0">
            <x v="24"/>
          </reference>
          <reference field="4" count="1" selected="0">
            <x v="124"/>
          </reference>
          <reference field="5" count="1" selected="0">
            <x v="73"/>
          </reference>
          <reference field="7" count="1">
            <x v="357"/>
          </reference>
        </references>
      </pivotArea>
    </format>
    <format dxfId="2055">
      <pivotArea dataOnly="0" labelOnly="1" outline="0" fieldPosition="0">
        <references count="5">
          <reference field="0" count="1" selected="0">
            <x v="1"/>
          </reference>
          <reference field="3" count="1" selected="0">
            <x v="24"/>
          </reference>
          <reference field="4" count="1" selected="0">
            <x v="124"/>
          </reference>
          <reference field="5" count="1" selected="0">
            <x v="1148"/>
          </reference>
          <reference field="7" count="1">
            <x v="1309"/>
          </reference>
        </references>
      </pivotArea>
    </format>
    <format dxfId="2054">
      <pivotArea dataOnly="0" labelOnly="1" outline="0" fieldPosition="0">
        <references count="5">
          <reference field="0" count="1" selected="0">
            <x v="1"/>
          </reference>
          <reference field="3" count="1" selected="0">
            <x v="24"/>
          </reference>
          <reference field="4" count="1" selected="0">
            <x v="124"/>
          </reference>
          <reference field="5" count="1" selected="0">
            <x v="1149"/>
          </reference>
          <reference field="7" count="1">
            <x v="1126"/>
          </reference>
        </references>
      </pivotArea>
    </format>
    <format dxfId="2053">
      <pivotArea dataOnly="0" labelOnly="1" outline="0" fieldPosition="0">
        <references count="5">
          <reference field="0" count="1" selected="0">
            <x v="1"/>
          </reference>
          <reference field="3" count="1" selected="0">
            <x v="24"/>
          </reference>
          <reference field="4" count="1" selected="0">
            <x v="125"/>
          </reference>
          <reference field="5" count="1" selected="0">
            <x v="279"/>
          </reference>
          <reference field="7" count="1">
            <x v="752"/>
          </reference>
        </references>
      </pivotArea>
    </format>
    <format dxfId="2052">
      <pivotArea dataOnly="0" labelOnly="1" outline="0" fieldPosition="0">
        <references count="5">
          <reference field="0" count="1" selected="0">
            <x v="1"/>
          </reference>
          <reference field="3" count="1" selected="0">
            <x v="24"/>
          </reference>
          <reference field="4" count="1" selected="0">
            <x v="125"/>
          </reference>
          <reference field="5" count="1" selected="0">
            <x v="1150"/>
          </reference>
          <reference field="7" count="1">
            <x v="1310"/>
          </reference>
        </references>
      </pivotArea>
    </format>
    <format dxfId="2051">
      <pivotArea dataOnly="0" labelOnly="1" outline="0" fieldPosition="0">
        <references count="5">
          <reference field="0" count="1" selected="0">
            <x v="1"/>
          </reference>
          <reference field="3" count="1" selected="0">
            <x v="24"/>
          </reference>
          <reference field="4" count="1" selected="0">
            <x v="125"/>
          </reference>
          <reference field="5" count="1" selected="0">
            <x v="1151"/>
          </reference>
          <reference field="7" count="1">
            <x v="1127"/>
          </reference>
        </references>
      </pivotArea>
    </format>
    <format dxfId="2050">
      <pivotArea dataOnly="0" labelOnly="1" outline="0" fieldPosition="0">
        <references count="5">
          <reference field="0" count="1" selected="0">
            <x v="1"/>
          </reference>
          <reference field="3" count="1" selected="0">
            <x v="24"/>
          </reference>
          <reference field="4" count="1" selected="0">
            <x v="126"/>
          </reference>
          <reference field="5" count="1" selected="0">
            <x v="73"/>
          </reference>
          <reference field="7" count="1">
            <x v="357"/>
          </reference>
        </references>
      </pivotArea>
    </format>
    <format dxfId="2049">
      <pivotArea dataOnly="0" labelOnly="1" outline="0" fieldPosition="0">
        <references count="5">
          <reference field="0" count="1" selected="0">
            <x v="1"/>
          </reference>
          <reference field="3" count="1" selected="0">
            <x v="24"/>
          </reference>
          <reference field="4" count="1" selected="0">
            <x v="126"/>
          </reference>
          <reference field="5" count="1" selected="0">
            <x v="282"/>
          </reference>
          <reference field="7" count="1">
            <x v="755"/>
          </reference>
        </references>
      </pivotArea>
    </format>
    <format dxfId="2048">
      <pivotArea dataOnly="0" labelOnly="1" outline="0" fieldPosition="0">
        <references count="5">
          <reference field="0" count="1" selected="0">
            <x v="1"/>
          </reference>
          <reference field="3" count="1" selected="0">
            <x v="24"/>
          </reference>
          <reference field="4" count="1" selected="0">
            <x v="126"/>
          </reference>
          <reference field="5" count="1" selected="0">
            <x v="1146"/>
          </reference>
          <reference field="7" count="1">
            <x v="1311"/>
          </reference>
        </references>
      </pivotArea>
    </format>
    <format dxfId="2047">
      <pivotArea dataOnly="0" labelOnly="1" outline="0" fieldPosition="0">
        <references count="5">
          <reference field="0" count="1" selected="0">
            <x v="1"/>
          </reference>
          <reference field="3" count="1" selected="0">
            <x v="24"/>
          </reference>
          <reference field="4" count="1" selected="0">
            <x v="126"/>
          </reference>
          <reference field="5" count="1" selected="0">
            <x v="1147"/>
          </reference>
          <reference field="7" count="1">
            <x v="1128"/>
          </reference>
        </references>
      </pivotArea>
    </format>
    <format dxfId="2046">
      <pivotArea dataOnly="0" labelOnly="1" outline="0" fieldPosition="0">
        <references count="5">
          <reference field="0" count="1" selected="0">
            <x v="1"/>
          </reference>
          <reference field="3" count="1" selected="0">
            <x v="24"/>
          </reference>
          <reference field="4" count="1" selected="0">
            <x v="167"/>
          </reference>
          <reference field="5" count="1" selected="0">
            <x v="77"/>
          </reference>
          <reference field="7" count="1">
            <x v="1477"/>
          </reference>
        </references>
      </pivotArea>
    </format>
    <format dxfId="2045">
      <pivotArea dataOnly="0" labelOnly="1" outline="0" fieldPosition="0">
        <references count="5">
          <reference field="0" count="1" selected="0">
            <x v="1"/>
          </reference>
          <reference field="3" count="1" selected="0">
            <x v="24"/>
          </reference>
          <reference field="4" count="1" selected="0">
            <x v="167"/>
          </reference>
          <reference field="5" count="1" selected="0">
            <x v="152"/>
          </reference>
          <reference field="7" count="1">
            <x v="1603"/>
          </reference>
        </references>
      </pivotArea>
    </format>
    <format dxfId="2044">
      <pivotArea dataOnly="0" labelOnly="1" outline="0" fieldPosition="0">
        <references count="5">
          <reference field="0" count="1" selected="0">
            <x v="1"/>
          </reference>
          <reference field="3" count="1" selected="0">
            <x v="24"/>
          </reference>
          <reference field="4" count="1" selected="0">
            <x v="167"/>
          </reference>
          <reference field="5" count="1" selected="0">
            <x v="216"/>
          </reference>
          <reference field="7" count="1">
            <x v="1431"/>
          </reference>
        </references>
      </pivotArea>
    </format>
    <format dxfId="2043">
      <pivotArea dataOnly="0" labelOnly="1" outline="0" fieldPosition="0">
        <references count="5">
          <reference field="0" count="1" selected="0">
            <x v="1"/>
          </reference>
          <reference field="3" count="1" selected="0">
            <x v="24"/>
          </reference>
          <reference field="4" count="1" selected="0">
            <x v="167"/>
          </reference>
          <reference field="5" count="1" selected="0">
            <x v="218"/>
          </reference>
          <reference field="7" count="1">
            <x v="363"/>
          </reference>
        </references>
      </pivotArea>
    </format>
    <format dxfId="2042">
      <pivotArea dataOnly="0" labelOnly="1" outline="0" fieldPosition="0">
        <references count="5">
          <reference field="0" count="1" selected="0">
            <x v="1"/>
          </reference>
          <reference field="3" count="1" selected="0">
            <x v="24"/>
          </reference>
          <reference field="4" count="1" selected="0">
            <x v="167"/>
          </reference>
          <reference field="5" count="1" selected="0">
            <x v="1576"/>
          </reference>
          <reference field="7" count="1">
            <x v="300"/>
          </reference>
        </references>
      </pivotArea>
    </format>
    <format dxfId="2041">
      <pivotArea dataOnly="0" labelOnly="1" outline="0" fieldPosition="0">
        <references count="5">
          <reference field="0" count="1" selected="0">
            <x v="1"/>
          </reference>
          <reference field="3" count="1" selected="0">
            <x v="24"/>
          </reference>
          <reference field="4" count="1" selected="0">
            <x v="167"/>
          </reference>
          <reference field="5" count="1" selected="0">
            <x v="1577"/>
          </reference>
          <reference field="7" count="1">
            <x v="373"/>
          </reference>
        </references>
      </pivotArea>
    </format>
    <format dxfId="2040">
      <pivotArea dataOnly="0" labelOnly="1" outline="0" fieldPosition="0">
        <references count="5">
          <reference field="0" count="1" selected="0">
            <x v="1"/>
          </reference>
          <reference field="3" count="1" selected="0">
            <x v="24"/>
          </reference>
          <reference field="4" count="1" selected="0">
            <x v="167"/>
          </reference>
          <reference field="5" count="1" selected="0">
            <x v="1613"/>
          </reference>
          <reference field="7" count="1">
            <x v="510"/>
          </reference>
        </references>
      </pivotArea>
    </format>
    <format dxfId="2039">
      <pivotArea dataOnly="0" labelOnly="1" outline="0" fieldPosition="0">
        <references count="5">
          <reference field="0" count="1" selected="0">
            <x v="1"/>
          </reference>
          <reference field="3" count="1" selected="0">
            <x v="24"/>
          </reference>
          <reference field="4" count="1" selected="0">
            <x v="169"/>
          </reference>
          <reference field="5" count="1" selected="0">
            <x v="1521"/>
          </reference>
          <reference field="7" count="1">
            <x v="302"/>
          </reference>
        </references>
      </pivotArea>
    </format>
    <format dxfId="2038">
      <pivotArea dataOnly="0" labelOnly="1" outline="0" fieldPosition="0">
        <references count="5">
          <reference field="0" count="1" selected="0">
            <x v="1"/>
          </reference>
          <reference field="3" count="1" selected="0">
            <x v="24"/>
          </reference>
          <reference field="4" count="1" selected="0">
            <x v="169"/>
          </reference>
          <reference field="5" count="1" selected="0">
            <x v="1522"/>
          </reference>
          <reference field="7" count="1">
            <x v="334"/>
          </reference>
        </references>
      </pivotArea>
    </format>
    <format dxfId="2037">
      <pivotArea dataOnly="0" labelOnly="1" outline="0" fieldPosition="0">
        <references count="5">
          <reference field="0" count="1" selected="0">
            <x v="1"/>
          </reference>
          <reference field="3" count="1" selected="0">
            <x v="24"/>
          </reference>
          <reference field="4" count="1" selected="0">
            <x v="169"/>
          </reference>
          <reference field="5" count="1" selected="0">
            <x v="1626"/>
          </reference>
          <reference field="7" count="1">
            <x v="1474"/>
          </reference>
        </references>
      </pivotArea>
    </format>
    <format dxfId="2036">
      <pivotArea dataOnly="0" labelOnly="1" outline="0" fieldPosition="0">
        <references count="5">
          <reference field="0" count="1" selected="0">
            <x v="1"/>
          </reference>
          <reference field="3" count="1" selected="0">
            <x v="24"/>
          </reference>
          <reference field="4" count="1" selected="0">
            <x v="216"/>
          </reference>
          <reference field="5" count="1" selected="0">
            <x v="8"/>
          </reference>
          <reference field="7" count="1">
            <x v="1484"/>
          </reference>
        </references>
      </pivotArea>
    </format>
    <format dxfId="2035">
      <pivotArea dataOnly="0" labelOnly="1" outline="0" fieldPosition="0">
        <references count="5">
          <reference field="0" count="1" selected="0">
            <x v="1"/>
          </reference>
          <reference field="3" count="1" selected="0">
            <x v="24"/>
          </reference>
          <reference field="4" count="1" selected="0">
            <x v="216"/>
          </reference>
          <reference field="5" count="1" selected="0">
            <x v="75"/>
          </reference>
          <reference field="7" count="1">
            <x v="1483"/>
          </reference>
        </references>
      </pivotArea>
    </format>
    <format dxfId="2034">
      <pivotArea dataOnly="0" labelOnly="1" outline="0" fieldPosition="0">
        <references count="5">
          <reference field="0" count="1" selected="0">
            <x v="1"/>
          </reference>
          <reference field="3" count="1" selected="0">
            <x v="24"/>
          </reference>
          <reference field="4" count="1" selected="0">
            <x v="216"/>
          </reference>
          <reference field="5" count="1" selected="0">
            <x v="116"/>
          </reference>
          <reference field="7" count="1">
            <x v="1078"/>
          </reference>
        </references>
      </pivotArea>
    </format>
    <format dxfId="2033">
      <pivotArea dataOnly="0" labelOnly="1" outline="0" fieldPosition="0">
        <references count="5">
          <reference field="0" count="1" selected="0">
            <x v="1"/>
          </reference>
          <reference field="3" count="1" selected="0">
            <x v="24"/>
          </reference>
          <reference field="4" count="1" selected="0">
            <x v="216"/>
          </reference>
          <reference field="5" count="1" selected="0">
            <x v="119"/>
          </reference>
          <reference field="7" count="1">
            <x v="1091"/>
          </reference>
        </references>
      </pivotArea>
    </format>
    <format dxfId="2032">
      <pivotArea dataOnly="0" labelOnly="1" outline="0" fieldPosition="0">
        <references count="5">
          <reference field="0" count="1" selected="0">
            <x v="1"/>
          </reference>
          <reference field="3" count="1" selected="0">
            <x v="24"/>
          </reference>
          <reference field="4" count="1" selected="0">
            <x v="216"/>
          </reference>
          <reference field="5" count="1" selected="0">
            <x v="133"/>
          </reference>
          <reference field="7" count="1">
            <x v="586"/>
          </reference>
        </references>
      </pivotArea>
    </format>
    <format dxfId="2031">
      <pivotArea dataOnly="0" labelOnly="1" outline="0" fieldPosition="0">
        <references count="5">
          <reference field="0" count="1" selected="0">
            <x v="1"/>
          </reference>
          <reference field="3" count="1" selected="0">
            <x v="24"/>
          </reference>
          <reference field="4" count="1" selected="0">
            <x v="216"/>
          </reference>
          <reference field="5" count="1" selected="0">
            <x v="136"/>
          </reference>
          <reference field="7" count="1">
            <x v="593"/>
          </reference>
        </references>
      </pivotArea>
    </format>
    <format dxfId="2030">
      <pivotArea dataOnly="0" labelOnly="1" outline="0" fieldPosition="0">
        <references count="5">
          <reference field="0" count="1" selected="0">
            <x v="1"/>
          </reference>
          <reference field="3" count="1" selected="0">
            <x v="24"/>
          </reference>
          <reference field="4" count="1" selected="0">
            <x v="216"/>
          </reference>
          <reference field="5" count="1" selected="0">
            <x v="148"/>
          </reference>
          <reference field="7" count="1">
            <x v="977"/>
          </reference>
        </references>
      </pivotArea>
    </format>
    <format dxfId="2029">
      <pivotArea dataOnly="0" labelOnly="1" outline="0" fieldPosition="0">
        <references count="5">
          <reference field="0" count="1" selected="0">
            <x v="1"/>
          </reference>
          <reference field="3" count="1" selected="0">
            <x v="24"/>
          </reference>
          <reference field="4" count="1" selected="0">
            <x v="216"/>
          </reference>
          <reference field="5" count="1" selected="0">
            <x v="167"/>
          </reference>
          <reference field="7" count="1">
            <x v="1088"/>
          </reference>
        </references>
      </pivotArea>
    </format>
    <format dxfId="2028">
      <pivotArea dataOnly="0" labelOnly="1" outline="0" fieldPosition="0">
        <references count="5">
          <reference field="0" count="1" selected="0">
            <x v="1"/>
          </reference>
          <reference field="3" count="1" selected="0">
            <x v="24"/>
          </reference>
          <reference field="4" count="1" selected="0">
            <x v="216"/>
          </reference>
          <reference field="5" count="1" selected="0">
            <x v="176"/>
          </reference>
          <reference field="7" count="1">
            <x v="1331"/>
          </reference>
        </references>
      </pivotArea>
    </format>
    <format dxfId="2027">
      <pivotArea dataOnly="0" labelOnly="1" outline="0" fieldPosition="0">
        <references count="5">
          <reference field="0" count="1" selected="0">
            <x v="1"/>
          </reference>
          <reference field="3" count="1" selected="0">
            <x v="24"/>
          </reference>
          <reference field="4" count="1" selected="0">
            <x v="216"/>
          </reference>
          <reference field="5" count="1" selected="0">
            <x v="202"/>
          </reference>
          <reference field="7" count="1">
            <x v="1425"/>
          </reference>
        </references>
      </pivotArea>
    </format>
    <format dxfId="2026">
      <pivotArea dataOnly="0" labelOnly="1" outline="0" fieldPosition="0">
        <references count="5">
          <reference field="0" count="1" selected="0">
            <x v="1"/>
          </reference>
          <reference field="3" count="1" selected="0">
            <x v="24"/>
          </reference>
          <reference field="4" count="1" selected="0">
            <x v="216"/>
          </reference>
          <reference field="5" count="1" selected="0">
            <x v="206"/>
          </reference>
          <reference field="7" count="1">
            <x v="1428"/>
          </reference>
        </references>
      </pivotArea>
    </format>
    <format dxfId="2025">
      <pivotArea dataOnly="0" labelOnly="1" outline="0" fieldPosition="0">
        <references count="5">
          <reference field="0" count="1" selected="0">
            <x v="1"/>
          </reference>
          <reference field="3" count="1" selected="0">
            <x v="24"/>
          </reference>
          <reference field="4" count="1" selected="0">
            <x v="216"/>
          </reference>
          <reference field="5" count="1" selected="0">
            <x v="290"/>
          </reference>
          <reference field="7" count="1">
            <x v="1424"/>
          </reference>
        </references>
      </pivotArea>
    </format>
    <format dxfId="2024">
      <pivotArea dataOnly="0" labelOnly="1" outline="0" fieldPosition="0">
        <references count="5">
          <reference field="0" count="1" selected="0">
            <x v="1"/>
          </reference>
          <reference field="3" count="1" selected="0">
            <x v="24"/>
          </reference>
          <reference field="4" count="1" selected="0">
            <x v="216"/>
          </reference>
          <reference field="5" count="1" selected="0">
            <x v="294"/>
          </reference>
          <reference field="7" count="1">
            <x v="1427"/>
          </reference>
        </references>
      </pivotArea>
    </format>
    <format dxfId="2023">
      <pivotArea dataOnly="0" labelOnly="1" outline="0" fieldPosition="0">
        <references count="5">
          <reference field="0" count="1" selected="0">
            <x v="1"/>
          </reference>
          <reference field="3" count="1" selected="0">
            <x v="24"/>
          </reference>
          <reference field="4" count="1" selected="0">
            <x v="216"/>
          </reference>
          <reference field="5" count="1" selected="0">
            <x v="363"/>
          </reference>
          <reference field="7" count="1">
            <x v="673"/>
          </reference>
        </references>
      </pivotArea>
    </format>
    <format dxfId="2022">
      <pivotArea dataOnly="0" labelOnly="1" outline="0" fieldPosition="0">
        <references count="5">
          <reference field="0" count="1" selected="0">
            <x v="1"/>
          </reference>
          <reference field="3" count="1" selected="0">
            <x v="24"/>
          </reference>
          <reference field="4" count="1" selected="0">
            <x v="216"/>
          </reference>
          <reference field="5" count="1" selected="0">
            <x v="367"/>
          </reference>
          <reference field="7" count="1">
            <x v="896"/>
          </reference>
        </references>
      </pivotArea>
    </format>
    <format dxfId="2021">
      <pivotArea dataOnly="0" labelOnly="1" outline="0" fieldPosition="0">
        <references count="5">
          <reference field="0" count="1" selected="0">
            <x v="1"/>
          </reference>
          <reference field="3" count="1" selected="0">
            <x v="24"/>
          </reference>
          <reference field="4" count="1" selected="0">
            <x v="216"/>
          </reference>
          <reference field="5" count="1" selected="0">
            <x v="373"/>
          </reference>
          <reference field="7" count="1">
            <x v="998"/>
          </reference>
        </references>
      </pivotArea>
    </format>
    <format dxfId="2020">
      <pivotArea dataOnly="0" labelOnly="1" outline="0" fieldPosition="0">
        <references count="5">
          <reference field="0" count="1" selected="0">
            <x v="1"/>
          </reference>
          <reference field="3" count="1" selected="0">
            <x v="24"/>
          </reference>
          <reference field="4" count="1" selected="0">
            <x v="216"/>
          </reference>
          <reference field="5" count="1" selected="0">
            <x v="406"/>
          </reference>
          <reference field="7" count="1">
            <x v="895"/>
          </reference>
        </references>
      </pivotArea>
    </format>
    <format dxfId="2019">
      <pivotArea dataOnly="0" labelOnly="1" outline="0" fieldPosition="0">
        <references count="5">
          <reference field="0" count="1" selected="0">
            <x v="1"/>
          </reference>
          <reference field="3" count="1" selected="0">
            <x v="24"/>
          </reference>
          <reference field="4" count="1" selected="0">
            <x v="216"/>
          </reference>
          <reference field="5" count="1" selected="0">
            <x v="407"/>
          </reference>
          <reference field="7" count="1">
            <x v="0"/>
          </reference>
        </references>
      </pivotArea>
    </format>
    <format dxfId="2018">
      <pivotArea dataOnly="0" labelOnly="1" outline="0" fieldPosition="0">
        <references count="5">
          <reference field="0" count="1" selected="0">
            <x v="1"/>
          </reference>
          <reference field="3" count="1" selected="0">
            <x v="24"/>
          </reference>
          <reference field="4" count="1" selected="0">
            <x v="216"/>
          </reference>
          <reference field="5" count="1" selected="0">
            <x v="409"/>
          </reference>
          <reference field="7" count="1">
            <x v="672"/>
          </reference>
        </references>
      </pivotArea>
    </format>
    <format dxfId="2017">
      <pivotArea dataOnly="0" labelOnly="1" outline="0" fieldPosition="0">
        <references count="5">
          <reference field="0" count="1" selected="0">
            <x v="1"/>
          </reference>
          <reference field="3" count="1" selected="0">
            <x v="24"/>
          </reference>
          <reference field="4" count="1" selected="0">
            <x v="216"/>
          </reference>
          <reference field="5" count="1" selected="0">
            <x v="1143"/>
          </reference>
          <reference field="7" count="1">
            <x v="282"/>
          </reference>
        </references>
      </pivotArea>
    </format>
    <format dxfId="2016">
      <pivotArea dataOnly="0" labelOnly="1" outline="0" fieldPosition="0">
        <references count="5">
          <reference field="0" count="1" selected="0">
            <x v="1"/>
          </reference>
          <reference field="3" count="1" selected="0">
            <x v="24"/>
          </reference>
          <reference field="4" count="1" selected="0">
            <x v="216"/>
          </reference>
          <reference field="5" count="1" selected="0">
            <x v="1144"/>
          </reference>
          <reference field="7" count="1">
            <x v="1053"/>
          </reference>
        </references>
      </pivotArea>
    </format>
    <format dxfId="2015">
      <pivotArea dataOnly="0" labelOnly="1" outline="0" fieldPosition="0">
        <references count="5">
          <reference field="0" count="1" selected="0">
            <x v="1"/>
          </reference>
          <reference field="3" count="1" selected="0">
            <x v="24"/>
          </reference>
          <reference field="4" count="1" selected="0">
            <x v="216"/>
          </reference>
          <reference field="5" count="1" selected="0">
            <x v="1156"/>
          </reference>
          <reference field="7" count="1">
            <x v="1304"/>
          </reference>
        </references>
      </pivotArea>
    </format>
    <format dxfId="2014">
      <pivotArea dataOnly="0" labelOnly="1" outline="0" fieldPosition="0">
        <references count="5">
          <reference field="0" count="1" selected="0">
            <x v="1"/>
          </reference>
          <reference field="3" count="1" selected="0">
            <x v="24"/>
          </reference>
          <reference field="4" count="1" selected="0">
            <x v="216"/>
          </reference>
          <reference field="5" count="1" selected="0">
            <x v="1157"/>
          </reference>
          <reference field="7" count="1">
            <x v="1308"/>
          </reference>
        </references>
      </pivotArea>
    </format>
    <format dxfId="2013">
      <pivotArea dataOnly="0" labelOnly="1" outline="0" fieldPosition="0">
        <references count="5">
          <reference field="0" count="1" selected="0">
            <x v="1"/>
          </reference>
          <reference field="3" count="1" selected="0">
            <x v="24"/>
          </reference>
          <reference field="4" count="1" selected="0">
            <x v="216"/>
          </reference>
          <reference field="5" count="1" selected="0">
            <x v="1158"/>
          </reference>
          <reference field="7" count="1">
            <x v="1307"/>
          </reference>
        </references>
      </pivotArea>
    </format>
    <format dxfId="2012">
      <pivotArea dataOnly="0" labelOnly="1" outline="0" fieldPosition="0">
        <references count="5">
          <reference field="0" count="1" selected="0">
            <x v="1"/>
          </reference>
          <reference field="3" count="1" selected="0">
            <x v="24"/>
          </reference>
          <reference field="4" count="1" selected="0">
            <x v="216"/>
          </reference>
          <reference field="5" count="1" selected="0">
            <x v="1159"/>
          </reference>
          <reference field="7" count="1">
            <x v="817"/>
          </reference>
        </references>
      </pivotArea>
    </format>
    <format dxfId="2011">
      <pivotArea dataOnly="0" labelOnly="1" outline="0" fieldPosition="0">
        <references count="5">
          <reference field="0" count="1" selected="0">
            <x v="1"/>
          </reference>
          <reference field="3" count="1" selected="0">
            <x v="24"/>
          </reference>
          <reference field="4" count="1" selected="0">
            <x v="216"/>
          </reference>
          <reference field="5" count="1" selected="0">
            <x v="1160"/>
          </reference>
          <reference field="7" count="1">
            <x v="816"/>
          </reference>
        </references>
      </pivotArea>
    </format>
    <format dxfId="2010">
      <pivotArea dataOnly="0" labelOnly="1" outline="0" fieldPosition="0">
        <references count="5">
          <reference field="0" count="1" selected="0">
            <x v="1"/>
          </reference>
          <reference field="3" count="1" selected="0">
            <x v="24"/>
          </reference>
          <reference field="4" count="1" selected="0">
            <x v="216"/>
          </reference>
          <reference field="5" count="1" selected="0">
            <x v="1161"/>
          </reference>
          <reference field="7" count="1">
            <x v="617"/>
          </reference>
        </references>
      </pivotArea>
    </format>
    <format dxfId="2009">
      <pivotArea dataOnly="0" labelOnly="1" outline="0" fieldPosition="0">
        <references count="5">
          <reference field="0" count="1" selected="0">
            <x v="1"/>
          </reference>
          <reference field="3" count="1" selected="0">
            <x v="25"/>
          </reference>
          <reference field="4" count="1" selected="0">
            <x v="216"/>
          </reference>
          <reference field="5" count="1" selected="0">
            <x v="59"/>
          </reference>
          <reference field="7" count="1">
            <x v="1393"/>
          </reference>
        </references>
      </pivotArea>
    </format>
    <format dxfId="2008">
      <pivotArea dataOnly="0" labelOnly="1" outline="0" fieldPosition="0">
        <references count="5">
          <reference field="0" count="1" selected="0">
            <x v="1"/>
          </reference>
          <reference field="3" count="1" selected="0">
            <x v="25"/>
          </reference>
          <reference field="4" count="1" selected="0">
            <x v="216"/>
          </reference>
          <reference field="5" count="1" selected="0">
            <x v="70"/>
          </reference>
          <reference field="7" count="1">
            <x v="1358"/>
          </reference>
        </references>
      </pivotArea>
    </format>
    <format dxfId="2007">
      <pivotArea dataOnly="0" labelOnly="1" outline="0" fieldPosition="0">
        <references count="5">
          <reference field="0" count="1" selected="0">
            <x v="1"/>
          </reference>
          <reference field="3" count="1" selected="0">
            <x v="25"/>
          </reference>
          <reference field="4" count="1" selected="0">
            <x v="216"/>
          </reference>
          <reference field="5" count="1" selected="0">
            <x v="90"/>
          </reference>
          <reference field="7" count="1">
            <x v="1455"/>
          </reference>
        </references>
      </pivotArea>
    </format>
    <format dxfId="2006">
      <pivotArea dataOnly="0" labelOnly="1" outline="0" fieldPosition="0">
        <references count="5">
          <reference field="0" count="1" selected="0">
            <x v="1"/>
          </reference>
          <reference field="3" count="1" selected="0">
            <x v="25"/>
          </reference>
          <reference field="4" count="1" selected="0">
            <x v="216"/>
          </reference>
          <reference field="5" count="1" selected="0">
            <x v="108"/>
          </reference>
          <reference field="7" count="1">
            <x v="1374"/>
          </reference>
        </references>
      </pivotArea>
    </format>
    <format dxfId="2005">
      <pivotArea dataOnly="0" labelOnly="1" outline="0" fieldPosition="0">
        <references count="5">
          <reference field="0" count="1" selected="0">
            <x v="1"/>
          </reference>
          <reference field="3" count="1" selected="0">
            <x v="25"/>
          </reference>
          <reference field="4" count="1" selected="0">
            <x v="216"/>
          </reference>
          <reference field="5" count="1" selected="0">
            <x v="158"/>
          </reference>
          <reference field="7" count="1">
            <x v="1075"/>
          </reference>
        </references>
      </pivotArea>
    </format>
    <format dxfId="2004">
      <pivotArea dataOnly="0" labelOnly="1" outline="0" fieldPosition="0">
        <references count="5">
          <reference field="0" count="1" selected="0">
            <x v="1"/>
          </reference>
          <reference field="3" count="1" selected="0">
            <x v="25"/>
          </reference>
          <reference field="4" count="1" selected="0">
            <x v="216"/>
          </reference>
          <reference field="5" count="1" selected="0">
            <x v="174"/>
          </reference>
          <reference field="7" count="1">
            <x v="1328"/>
          </reference>
        </references>
      </pivotArea>
    </format>
    <format dxfId="2003">
      <pivotArea dataOnly="0" labelOnly="1" outline="0" fieldPosition="0">
        <references count="5">
          <reference field="0" count="1" selected="0">
            <x v="1"/>
          </reference>
          <reference field="3" count="1" selected="0">
            <x v="25"/>
          </reference>
          <reference field="4" count="1" selected="0">
            <x v="216"/>
          </reference>
          <reference field="5" count="1" selected="0">
            <x v="212"/>
          </reference>
          <reference field="7" count="1">
            <x v="970"/>
          </reference>
        </references>
      </pivotArea>
    </format>
    <format dxfId="2002">
      <pivotArea dataOnly="0" labelOnly="1" outline="0" fieldPosition="0">
        <references count="5">
          <reference field="0" count="1" selected="0">
            <x v="1"/>
          </reference>
          <reference field="3" count="1" selected="0">
            <x v="25"/>
          </reference>
          <reference field="4" count="1" selected="0">
            <x v="216"/>
          </reference>
          <reference field="5" count="1" selected="0">
            <x v="242"/>
          </reference>
          <reference field="7" count="1">
            <x v="1600"/>
          </reference>
        </references>
      </pivotArea>
    </format>
    <format dxfId="2001">
      <pivotArea dataOnly="0" labelOnly="1" outline="0" fieldPosition="0">
        <references count="5">
          <reference field="0" count="1" selected="0">
            <x v="1"/>
          </reference>
          <reference field="3" count="1" selected="0">
            <x v="25"/>
          </reference>
          <reference field="4" count="1" selected="0">
            <x v="216"/>
          </reference>
          <reference field="5" count="1" selected="0">
            <x v="280"/>
          </reference>
          <reference field="7" count="1">
            <x v="753"/>
          </reference>
        </references>
      </pivotArea>
    </format>
    <format dxfId="2000">
      <pivotArea dataOnly="0" labelOnly="1" outline="0" fieldPosition="0">
        <references count="5">
          <reference field="0" count="1" selected="0">
            <x v="1"/>
          </reference>
          <reference field="3" count="1" selected="0">
            <x v="25"/>
          </reference>
          <reference field="4" count="1" selected="0">
            <x v="216"/>
          </reference>
          <reference field="5" count="1" selected="0">
            <x v="284"/>
          </reference>
          <reference field="7" count="1">
            <x v="749"/>
          </reference>
        </references>
      </pivotArea>
    </format>
    <format dxfId="1999">
      <pivotArea dataOnly="0" labelOnly="1" outline="0" fieldPosition="0">
        <references count="5">
          <reference field="0" count="1" selected="0">
            <x v="1"/>
          </reference>
          <reference field="3" count="1" selected="0">
            <x v="25"/>
          </reference>
          <reference field="4" count="1" selected="0">
            <x v="216"/>
          </reference>
          <reference field="5" count="1" selected="0">
            <x v="324"/>
          </reference>
          <reference field="7" count="1">
            <x v="600"/>
          </reference>
        </references>
      </pivotArea>
    </format>
    <format dxfId="1998">
      <pivotArea dataOnly="0" labelOnly="1" outline="0" fieldPosition="0">
        <references count="5">
          <reference field="0" count="1" selected="0">
            <x v="1"/>
          </reference>
          <reference field="3" count="1" selected="0">
            <x v="25"/>
          </reference>
          <reference field="4" count="1" selected="0">
            <x v="216"/>
          </reference>
          <reference field="5" count="1" selected="0">
            <x v="325"/>
          </reference>
          <reference field="7" count="1">
            <x v="601"/>
          </reference>
        </references>
      </pivotArea>
    </format>
    <format dxfId="1997">
      <pivotArea dataOnly="0" labelOnly="1" outline="0" fieldPosition="0">
        <references count="5">
          <reference field="0" count="1" selected="0">
            <x v="1"/>
          </reference>
          <reference field="3" count="1" selected="0">
            <x v="25"/>
          </reference>
          <reference field="4" count="1" selected="0">
            <x v="216"/>
          </reference>
          <reference field="5" count="1" selected="0">
            <x v="1168"/>
          </reference>
          <reference field="7" count="1">
            <x v="250"/>
          </reference>
        </references>
      </pivotArea>
    </format>
    <format dxfId="1996">
      <pivotArea dataOnly="0" labelOnly="1" outline="0" fieldPosition="0">
        <references count="5">
          <reference field="0" count="1" selected="0">
            <x v="1"/>
          </reference>
          <reference field="3" count="1" selected="0">
            <x v="25"/>
          </reference>
          <reference field="4" count="1" selected="0">
            <x v="216"/>
          </reference>
          <reference field="5" count="1" selected="0">
            <x v="1169"/>
          </reference>
          <reference field="7" count="1">
            <x v="1021"/>
          </reference>
        </references>
      </pivotArea>
    </format>
    <format dxfId="1995">
      <pivotArea dataOnly="0" labelOnly="1" outline="0" fieldPosition="0">
        <references count="5">
          <reference field="0" count="1" selected="0">
            <x v="1"/>
          </reference>
          <reference field="3" count="1" selected="0">
            <x v="25"/>
          </reference>
          <reference field="4" count="1" selected="0">
            <x v="216"/>
          </reference>
          <reference field="5" count="1" selected="0">
            <x v="1170"/>
          </reference>
          <reference field="7" count="1">
            <x v="1613"/>
          </reference>
        </references>
      </pivotArea>
    </format>
    <format dxfId="1994">
      <pivotArea dataOnly="0" labelOnly="1" outline="0" fieldPosition="0">
        <references count="5">
          <reference field="0" count="1" selected="0">
            <x v="1"/>
          </reference>
          <reference field="3" count="1" selected="0">
            <x v="25"/>
          </reference>
          <reference field="4" count="1" selected="0">
            <x v="216"/>
          </reference>
          <reference field="5" count="1" selected="0">
            <x v="1171"/>
          </reference>
          <reference field="7" count="1">
            <x v="1609"/>
          </reference>
        </references>
      </pivotArea>
    </format>
    <format dxfId="1993">
      <pivotArea dataOnly="0" labelOnly="1" outline="0" fieldPosition="0">
        <references count="5">
          <reference field="0" count="1" selected="0">
            <x v="1"/>
          </reference>
          <reference field="3" count="1" selected="0">
            <x v="25"/>
          </reference>
          <reference field="4" count="1" selected="0">
            <x v="216"/>
          </reference>
          <reference field="5" count="1" selected="0">
            <x v="1172"/>
          </reference>
          <reference field="7" count="1">
            <x v="1022"/>
          </reference>
        </references>
      </pivotArea>
    </format>
    <format dxfId="1992">
      <pivotArea dataOnly="0" labelOnly="1" outline="0" fieldPosition="0">
        <references count="5">
          <reference field="0" count="1" selected="0">
            <x v="1"/>
          </reference>
          <reference field="3" count="1" selected="0">
            <x v="25"/>
          </reference>
          <reference field="4" count="1" selected="0">
            <x v="216"/>
          </reference>
          <reference field="5" count="1" selected="0">
            <x v="1173"/>
          </reference>
          <reference field="7" count="1">
            <x v="1020"/>
          </reference>
        </references>
      </pivotArea>
    </format>
    <format dxfId="1991">
      <pivotArea dataOnly="0" labelOnly="1" outline="0" fieldPosition="0">
        <references count="5">
          <reference field="0" count="1" selected="0">
            <x v="1"/>
          </reference>
          <reference field="3" count="1" selected="0">
            <x v="25"/>
          </reference>
          <reference field="4" count="1" selected="0">
            <x v="216"/>
          </reference>
          <reference field="5" count="1" selected="0">
            <x v="1174"/>
          </reference>
          <reference field="7" count="1">
            <x v="1023"/>
          </reference>
        </references>
      </pivotArea>
    </format>
    <format dxfId="1990">
      <pivotArea dataOnly="0" labelOnly="1" outline="0" fieldPosition="0">
        <references count="5">
          <reference field="0" count="1" selected="0">
            <x v="1"/>
          </reference>
          <reference field="3" count="1" selected="0">
            <x v="26"/>
          </reference>
          <reference field="4" count="1" selected="0">
            <x v="216"/>
          </reference>
          <reference field="5" count="1" selected="0">
            <x v="1"/>
          </reference>
          <reference field="7" count="1">
            <x v="837"/>
          </reference>
        </references>
      </pivotArea>
    </format>
    <format dxfId="1989">
      <pivotArea dataOnly="0" labelOnly="1" outline="0" fieldPosition="0">
        <references count="5">
          <reference field="0" count="1" selected="0">
            <x v="1"/>
          </reference>
          <reference field="3" count="1" selected="0">
            <x v="26"/>
          </reference>
          <reference field="4" count="1" selected="0">
            <x v="216"/>
          </reference>
          <reference field="5" count="1" selected="0">
            <x v="198"/>
          </reference>
          <reference field="7" count="1">
            <x v="1067"/>
          </reference>
        </references>
      </pivotArea>
    </format>
    <format dxfId="1988">
      <pivotArea dataOnly="0" labelOnly="1" outline="0" fieldPosition="0">
        <references count="5">
          <reference field="0" count="1" selected="0">
            <x v="1"/>
          </reference>
          <reference field="3" count="1" selected="0">
            <x v="26"/>
          </reference>
          <reference field="4" count="1" selected="0">
            <x v="216"/>
          </reference>
          <reference field="5" count="1" selected="0">
            <x v="278"/>
          </reference>
          <reference field="7" count="1">
            <x v="751"/>
          </reference>
        </references>
      </pivotArea>
    </format>
    <format dxfId="1987">
      <pivotArea dataOnly="0" labelOnly="1" outline="0" fieldPosition="0">
        <references count="5">
          <reference field="0" count="1" selected="0">
            <x v="1"/>
          </reference>
          <reference field="3" count="1" selected="0">
            <x v="26"/>
          </reference>
          <reference field="4" count="1" selected="0">
            <x v="216"/>
          </reference>
          <reference field="5" count="1" selected="0">
            <x v="282"/>
          </reference>
          <reference field="7" count="1">
            <x v="755"/>
          </reference>
        </references>
      </pivotArea>
    </format>
    <format dxfId="1986">
      <pivotArea dataOnly="0" labelOnly="1" outline="0" fieldPosition="0">
        <references count="5">
          <reference field="0" count="1" selected="0">
            <x v="1"/>
          </reference>
          <reference field="3" count="1" selected="0">
            <x v="26"/>
          </reference>
          <reference field="4" count="1" selected="0">
            <x v="216"/>
          </reference>
          <reference field="5" count="1" selected="0">
            <x v="1175"/>
          </reference>
          <reference field="7" count="1">
            <x v="132"/>
          </reference>
        </references>
      </pivotArea>
    </format>
    <format dxfId="1985">
      <pivotArea dataOnly="0" labelOnly="1" outline="0" fieldPosition="0">
        <references count="5">
          <reference field="0" count="1" selected="0">
            <x v="1"/>
          </reference>
          <reference field="3" count="1" selected="0">
            <x v="26"/>
          </reference>
          <reference field="4" count="1" selected="0">
            <x v="216"/>
          </reference>
          <reference field="5" count="1" selected="0">
            <x v="1176"/>
          </reference>
          <reference field="7" count="1">
            <x v="14"/>
          </reference>
        </references>
      </pivotArea>
    </format>
    <format dxfId="1984">
      <pivotArea dataOnly="0" labelOnly="1" outline="0" fieldPosition="0">
        <references count="5">
          <reference field="0" count="1" selected="0">
            <x v="1"/>
          </reference>
          <reference field="3" count="1" selected="0">
            <x v="26"/>
          </reference>
          <reference field="4" count="1" selected="0">
            <x v="216"/>
          </reference>
          <reference field="5" count="1" selected="0">
            <x v="1177"/>
          </reference>
          <reference field="7" count="1">
            <x v="15"/>
          </reference>
        </references>
      </pivotArea>
    </format>
    <format dxfId="1983">
      <pivotArea dataOnly="0" labelOnly="1" outline="0" fieldPosition="0">
        <references count="5">
          <reference field="0" count="1" selected="0">
            <x v="1"/>
          </reference>
          <reference field="3" count="1" selected="0">
            <x v="26"/>
          </reference>
          <reference field="4" count="1" selected="0">
            <x v="216"/>
          </reference>
          <reference field="5" count="1" selected="0">
            <x v="1178"/>
          </reference>
          <reference field="7" count="1">
            <x v="378"/>
          </reference>
        </references>
      </pivotArea>
    </format>
    <format dxfId="1982">
      <pivotArea dataOnly="0" labelOnly="1" outline="0" fieldPosition="0">
        <references count="5">
          <reference field="0" count="1" selected="0">
            <x v="1"/>
          </reference>
          <reference field="3" count="1" selected="0">
            <x v="26"/>
          </reference>
          <reference field="4" count="1" selected="0">
            <x v="216"/>
          </reference>
          <reference field="5" count="1" selected="0">
            <x v="1179"/>
          </reference>
          <reference field="7" count="1">
            <x v="379"/>
          </reference>
        </references>
      </pivotArea>
    </format>
    <format dxfId="1981">
      <pivotArea dataOnly="0" labelOnly="1" outline="0" fieldPosition="0">
        <references count="5">
          <reference field="0" count="1" selected="0">
            <x v="1"/>
          </reference>
          <reference field="3" count="1" selected="0">
            <x v="26"/>
          </reference>
          <reference field="4" count="1" selected="0">
            <x v="216"/>
          </reference>
          <reference field="5" count="1" selected="0">
            <x v="1180"/>
          </reference>
          <reference field="7" count="1">
            <x v="376"/>
          </reference>
        </references>
      </pivotArea>
    </format>
    <format dxfId="1980">
      <pivotArea dataOnly="0" labelOnly="1" outline="0" fieldPosition="0">
        <references count="5">
          <reference field="0" count="1" selected="0">
            <x v="1"/>
          </reference>
          <reference field="3" count="1" selected="0">
            <x v="26"/>
          </reference>
          <reference field="4" count="1" selected="0">
            <x v="216"/>
          </reference>
          <reference field="5" count="1" selected="0">
            <x v="1181"/>
          </reference>
          <reference field="7" count="1">
            <x v="375"/>
          </reference>
        </references>
      </pivotArea>
    </format>
    <format dxfId="1979">
      <pivotArea dataOnly="0" labelOnly="1" outline="0" fieldPosition="0">
        <references count="5">
          <reference field="0" count="1" selected="0">
            <x v="1"/>
          </reference>
          <reference field="3" count="1" selected="0">
            <x v="26"/>
          </reference>
          <reference field="4" count="1" selected="0">
            <x v="216"/>
          </reference>
          <reference field="5" count="1" selected="0">
            <x v="1182"/>
          </reference>
          <reference field="7" count="1">
            <x v="377"/>
          </reference>
        </references>
      </pivotArea>
    </format>
    <format dxfId="1978">
      <pivotArea dataOnly="0" labelOnly="1" outline="0" fieldPosition="0">
        <references count="5">
          <reference field="0" count="1" selected="0">
            <x v="1"/>
          </reference>
          <reference field="3" count="1" selected="0">
            <x v="26"/>
          </reference>
          <reference field="4" count="1" selected="0">
            <x v="216"/>
          </reference>
          <reference field="5" count="1" selected="0">
            <x v="1638"/>
          </reference>
          <reference field="7" count="1">
            <x v="948"/>
          </reference>
        </references>
      </pivotArea>
    </format>
    <format dxfId="1977">
      <pivotArea dataOnly="0" labelOnly="1" outline="0" fieldPosition="0">
        <references count="5">
          <reference field="0" count="1" selected="0">
            <x v="1"/>
          </reference>
          <reference field="3" count="1" selected="0">
            <x v="27"/>
          </reference>
          <reference field="4" count="1" selected="0">
            <x v="216"/>
          </reference>
          <reference field="5" count="1" selected="0">
            <x v="11"/>
          </reference>
          <reference field="7" count="1">
            <x v="1482"/>
          </reference>
        </references>
      </pivotArea>
    </format>
    <format dxfId="1976">
      <pivotArea dataOnly="0" labelOnly="1" outline="0" fieldPosition="0">
        <references count="5">
          <reference field="0" count="1" selected="0">
            <x v="1"/>
          </reference>
          <reference field="3" count="1" selected="0">
            <x v="27"/>
          </reference>
          <reference field="4" count="1" selected="0">
            <x v="216"/>
          </reference>
          <reference field="5" count="1" selected="0">
            <x v="148"/>
          </reference>
          <reference field="7" count="1">
            <x v="977"/>
          </reference>
        </references>
      </pivotArea>
    </format>
    <format dxfId="1975">
      <pivotArea dataOnly="0" labelOnly="1" outline="0" fieldPosition="0">
        <references count="5">
          <reference field="0" count="1" selected="0">
            <x v="1"/>
          </reference>
          <reference field="3" count="1" selected="0">
            <x v="27"/>
          </reference>
          <reference field="4" count="1" selected="0">
            <x v="216"/>
          </reference>
          <reference field="5" count="1" selected="0">
            <x v="167"/>
          </reference>
          <reference field="7" count="1">
            <x v="1088"/>
          </reference>
        </references>
      </pivotArea>
    </format>
    <format dxfId="1974">
      <pivotArea dataOnly="0" labelOnly="1" outline="0" fieldPosition="0">
        <references count="5">
          <reference field="0" count="1" selected="0">
            <x v="1"/>
          </reference>
          <reference field="3" count="1" selected="0">
            <x v="27"/>
          </reference>
          <reference field="4" count="1" selected="0">
            <x v="216"/>
          </reference>
          <reference field="5" count="1" selected="0">
            <x v="406"/>
          </reference>
          <reference field="7" count="1">
            <x v="895"/>
          </reference>
        </references>
      </pivotArea>
    </format>
    <format dxfId="1973">
      <pivotArea dataOnly="0" labelOnly="1" outline="0" fieldPosition="0">
        <references count="5">
          <reference field="0" count="1" selected="0">
            <x v="1"/>
          </reference>
          <reference field="3" count="1" selected="0">
            <x v="27"/>
          </reference>
          <reference field="4" count="1" selected="0">
            <x v="216"/>
          </reference>
          <reference field="5" count="1" selected="0">
            <x v="407"/>
          </reference>
          <reference field="7" count="1">
            <x v="0"/>
          </reference>
        </references>
      </pivotArea>
    </format>
    <format dxfId="1972">
      <pivotArea dataOnly="0" labelOnly="1" outline="0" fieldPosition="0">
        <references count="5">
          <reference field="0" count="1" selected="0">
            <x v="1"/>
          </reference>
          <reference field="3" count="1" selected="0">
            <x v="27"/>
          </reference>
          <reference field="4" count="1" selected="0">
            <x v="216"/>
          </reference>
          <reference field="5" count="1" selected="0">
            <x v="409"/>
          </reference>
          <reference field="7" count="1">
            <x v="672"/>
          </reference>
        </references>
      </pivotArea>
    </format>
    <format dxfId="1971">
      <pivotArea dataOnly="0" labelOnly="1" outline="0" fieldPosition="0">
        <references count="5">
          <reference field="0" count="1" selected="0">
            <x v="1"/>
          </reference>
          <reference field="3" count="1" selected="0">
            <x v="27"/>
          </reference>
          <reference field="4" count="1" selected="0">
            <x v="216"/>
          </reference>
          <reference field="5" count="1" selected="0">
            <x v="1183"/>
          </reference>
          <reference field="7" count="1">
            <x v="156"/>
          </reference>
        </references>
      </pivotArea>
    </format>
    <format dxfId="1970">
      <pivotArea dataOnly="0" labelOnly="1" outline="0" fieldPosition="0">
        <references count="5">
          <reference field="0" count="1" selected="0">
            <x v="1"/>
          </reference>
          <reference field="3" count="1" selected="0">
            <x v="27"/>
          </reference>
          <reference field="4" count="1" selected="0">
            <x v="216"/>
          </reference>
          <reference field="5" count="1" selected="0">
            <x v="1184"/>
          </reference>
          <reference field="7" count="1">
            <x v="614"/>
          </reference>
        </references>
      </pivotArea>
    </format>
    <format dxfId="1969">
      <pivotArea dataOnly="0" labelOnly="1" outline="0" fieldPosition="0">
        <references count="5">
          <reference field="0" count="1" selected="0">
            <x v="1"/>
          </reference>
          <reference field="3" count="1" selected="0">
            <x v="27"/>
          </reference>
          <reference field="4" count="1" selected="0">
            <x v="216"/>
          </reference>
          <reference field="5" count="1" selected="0">
            <x v="1185"/>
          </reference>
          <reference field="7" count="1">
            <x v="611"/>
          </reference>
        </references>
      </pivotArea>
    </format>
    <format dxfId="1968">
      <pivotArea dataOnly="0" labelOnly="1" outline="0" fieldPosition="0">
        <references count="5">
          <reference field="0" count="1" selected="0">
            <x v="1"/>
          </reference>
          <reference field="3" count="1" selected="0">
            <x v="27"/>
          </reference>
          <reference field="4" count="1" selected="0">
            <x v="216"/>
          </reference>
          <reference field="5" count="1" selected="0">
            <x v="1186"/>
          </reference>
          <reference field="7" count="1">
            <x v="613"/>
          </reference>
        </references>
      </pivotArea>
    </format>
    <format dxfId="1967">
      <pivotArea dataOnly="0" labelOnly="1" outline="0" fieldPosition="0">
        <references count="5">
          <reference field="0" count="1" selected="0">
            <x v="1"/>
          </reference>
          <reference field="3" count="1" selected="0">
            <x v="27"/>
          </reference>
          <reference field="4" count="1" selected="0">
            <x v="216"/>
          </reference>
          <reference field="5" count="1" selected="0">
            <x v="1187"/>
          </reference>
          <reference field="7" count="1">
            <x v="612"/>
          </reference>
        </references>
      </pivotArea>
    </format>
    <format dxfId="1966">
      <pivotArea dataOnly="0" labelOnly="1" outline="0" fieldPosition="0">
        <references count="5">
          <reference field="0" count="1" selected="0">
            <x v="1"/>
          </reference>
          <reference field="3" count="1" selected="0">
            <x v="28"/>
          </reference>
          <reference field="4" count="1" selected="0">
            <x v="5"/>
          </reference>
          <reference field="5" count="1" selected="0">
            <x v="349"/>
          </reference>
          <reference field="7" count="1">
            <x v="117"/>
          </reference>
        </references>
      </pivotArea>
    </format>
    <format dxfId="1965">
      <pivotArea dataOnly="0" labelOnly="1" outline="0" fieldPosition="0">
        <references count="5">
          <reference field="0" count="1" selected="0">
            <x v="1"/>
          </reference>
          <reference field="3" count="1" selected="0">
            <x v="28"/>
          </reference>
          <reference field="4" count="1" selected="0">
            <x v="5"/>
          </reference>
          <reference field="5" count="1" selected="0">
            <x v="350"/>
          </reference>
          <reference field="7" count="1">
            <x v="1024"/>
          </reference>
        </references>
      </pivotArea>
    </format>
    <format dxfId="1964">
      <pivotArea dataOnly="0" labelOnly="1" outline="0" fieldPosition="0">
        <references count="5">
          <reference field="0" count="1" selected="0">
            <x v="1"/>
          </reference>
          <reference field="3" count="1" selected="0">
            <x v="28"/>
          </reference>
          <reference field="4" count="1" selected="0">
            <x v="5"/>
          </reference>
          <reference field="5" count="1" selected="0">
            <x v="387"/>
          </reference>
          <reference field="7" count="1">
            <x v="114"/>
          </reference>
        </references>
      </pivotArea>
    </format>
    <format dxfId="1963">
      <pivotArea dataOnly="0" labelOnly="1" outline="0" fieldPosition="0">
        <references count="5">
          <reference field="0" count="1" selected="0">
            <x v="1"/>
          </reference>
          <reference field="3" count="1" selected="0">
            <x v="28"/>
          </reference>
          <reference field="4" count="1" selected="0">
            <x v="170"/>
          </reference>
          <reference field="5" count="1" selected="0">
            <x v="1525"/>
          </reference>
          <reference field="7" count="1">
            <x v="303"/>
          </reference>
        </references>
      </pivotArea>
    </format>
    <format dxfId="1962">
      <pivotArea dataOnly="0" labelOnly="1" outline="0" fieldPosition="0">
        <references count="5">
          <reference field="0" count="1" selected="0">
            <x v="1"/>
          </reference>
          <reference field="3" count="1" selected="0">
            <x v="28"/>
          </reference>
          <reference field="4" count="1" selected="0">
            <x v="170"/>
          </reference>
          <reference field="5" count="1" selected="0">
            <x v="1526"/>
          </reference>
          <reference field="7" count="1">
            <x v="335"/>
          </reference>
        </references>
      </pivotArea>
    </format>
    <format dxfId="1961">
      <pivotArea dataOnly="0" labelOnly="1" outline="0" fieldPosition="0">
        <references count="5">
          <reference field="0" count="1" selected="0">
            <x v="1"/>
          </reference>
          <reference field="3" count="1" selected="0">
            <x v="28"/>
          </reference>
          <reference field="4" count="1" selected="0">
            <x v="170"/>
          </reference>
          <reference field="5" count="1" selected="0">
            <x v="1626"/>
          </reference>
          <reference field="7" count="1">
            <x v="1474"/>
          </reference>
        </references>
      </pivotArea>
    </format>
    <format dxfId="1960">
      <pivotArea dataOnly="0" labelOnly="1" outline="0" fieldPosition="0">
        <references count="5">
          <reference field="0" count="1" selected="0">
            <x v="1"/>
          </reference>
          <reference field="3" count="1" selected="0">
            <x v="28"/>
          </reference>
          <reference field="4" count="1" selected="0">
            <x v="193"/>
          </reference>
          <reference field="5" count="1" selected="0">
            <x v="252"/>
          </reference>
          <reference field="7" count="1">
            <x v="1319"/>
          </reference>
        </references>
      </pivotArea>
    </format>
    <format dxfId="1959">
      <pivotArea dataOnly="0" labelOnly="1" outline="0" fieldPosition="0">
        <references count="5">
          <reference field="0" count="1" selected="0">
            <x v="1"/>
          </reference>
          <reference field="3" count="1" selected="0">
            <x v="28"/>
          </reference>
          <reference field="4" count="1" selected="0">
            <x v="193"/>
          </reference>
          <reference field="5" count="1" selected="0">
            <x v="253"/>
          </reference>
          <reference field="7" count="1">
            <x v="1319"/>
          </reference>
        </references>
      </pivotArea>
    </format>
    <format dxfId="1958">
      <pivotArea dataOnly="0" labelOnly="1" outline="0" fieldPosition="0">
        <references count="5">
          <reference field="0" count="1" selected="0">
            <x v="1"/>
          </reference>
          <reference field="3" count="1" selected="0">
            <x v="28"/>
          </reference>
          <reference field="4" count="1" selected="0">
            <x v="193"/>
          </reference>
          <reference field="5" count="1" selected="0">
            <x v="1544"/>
          </reference>
          <reference field="7" count="1">
            <x v="793"/>
          </reference>
        </references>
      </pivotArea>
    </format>
    <format dxfId="1957">
      <pivotArea dataOnly="0" labelOnly="1" outline="0" fieldPosition="0">
        <references count="5">
          <reference field="0" count="1" selected="0">
            <x v="1"/>
          </reference>
          <reference field="3" count="1" selected="0">
            <x v="28"/>
          </reference>
          <reference field="4" count="1" selected="0">
            <x v="193"/>
          </reference>
          <reference field="5" count="1" selected="0">
            <x v="1567"/>
          </reference>
          <reference field="7" count="1">
            <x v="196"/>
          </reference>
        </references>
      </pivotArea>
    </format>
    <format dxfId="1956">
      <pivotArea dataOnly="0" labelOnly="1" outline="0" fieldPosition="0">
        <references count="5">
          <reference field="0" count="1" selected="0">
            <x v="1"/>
          </reference>
          <reference field="3" count="1" selected="0">
            <x v="28"/>
          </reference>
          <reference field="4" count="1" selected="0">
            <x v="216"/>
          </reference>
          <reference field="5" count="1" selected="0">
            <x v="6"/>
          </reference>
          <reference field="7" count="1">
            <x v="901"/>
          </reference>
        </references>
      </pivotArea>
    </format>
    <format dxfId="1955">
      <pivotArea dataOnly="0" labelOnly="1" outline="0" fieldPosition="0">
        <references count="5">
          <reference field="0" count="1" selected="0">
            <x v="1"/>
          </reference>
          <reference field="3" count="1" selected="0">
            <x v="28"/>
          </reference>
          <reference field="4" count="1" selected="0">
            <x v="216"/>
          </reference>
          <reference field="5" count="1" selected="0">
            <x v="11"/>
          </reference>
          <reference field="7" count="1">
            <x v="1482"/>
          </reference>
        </references>
      </pivotArea>
    </format>
    <format dxfId="1954">
      <pivotArea dataOnly="0" labelOnly="1" outline="0" fieldPosition="0">
        <references count="5">
          <reference field="0" count="1" selected="0">
            <x v="1"/>
          </reference>
          <reference field="3" count="1" selected="0">
            <x v="28"/>
          </reference>
          <reference field="4" count="1" selected="0">
            <x v="216"/>
          </reference>
          <reference field="5" count="1" selected="0">
            <x v="119"/>
          </reference>
          <reference field="7" count="1">
            <x v="1091"/>
          </reference>
        </references>
      </pivotArea>
    </format>
    <format dxfId="1953">
      <pivotArea dataOnly="0" labelOnly="1" outline="0" fieldPosition="0">
        <references count="5">
          <reference field="0" count="1" selected="0">
            <x v="1"/>
          </reference>
          <reference field="3" count="1" selected="0">
            <x v="28"/>
          </reference>
          <reference field="4" count="1" selected="0">
            <x v="216"/>
          </reference>
          <reference field="5" count="1" selected="0">
            <x v="135"/>
          </reference>
          <reference field="7" count="1">
            <x v="592"/>
          </reference>
        </references>
      </pivotArea>
    </format>
    <format dxfId="1952">
      <pivotArea dataOnly="0" labelOnly="1" outline="0" fieldPosition="0">
        <references count="5">
          <reference field="0" count="1" selected="0">
            <x v="1"/>
          </reference>
          <reference field="3" count="1" selected="0">
            <x v="28"/>
          </reference>
          <reference field="4" count="1" selected="0">
            <x v="216"/>
          </reference>
          <reference field="5" count="1" selected="0">
            <x v="148"/>
          </reference>
          <reference field="7" count="1">
            <x v="977"/>
          </reference>
        </references>
      </pivotArea>
    </format>
    <format dxfId="1951">
      <pivotArea dataOnly="0" labelOnly="1" outline="0" fieldPosition="0">
        <references count="5">
          <reference field="0" count="1" selected="0">
            <x v="1"/>
          </reference>
          <reference field="3" count="1" selected="0">
            <x v="28"/>
          </reference>
          <reference field="4" count="1" selected="0">
            <x v="216"/>
          </reference>
          <reference field="5" count="1" selected="0">
            <x v="167"/>
          </reference>
          <reference field="7" count="1">
            <x v="1088"/>
          </reference>
        </references>
      </pivotArea>
    </format>
    <format dxfId="1950">
      <pivotArea dataOnly="0" labelOnly="1" outline="0" fieldPosition="0">
        <references count="5">
          <reference field="0" count="1" selected="0">
            <x v="1"/>
          </reference>
          <reference field="3" count="1" selected="0">
            <x v="28"/>
          </reference>
          <reference field="4" count="1" selected="0">
            <x v="216"/>
          </reference>
          <reference field="5" count="1" selected="0">
            <x v="200"/>
          </reference>
          <reference field="7" count="1">
            <x v="1417"/>
          </reference>
        </references>
      </pivotArea>
    </format>
    <format dxfId="1949">
      <pivotArea dataOnly="0" labelOnly="1" outline="0" fieldPosition="0">
        <references count="5">
          <reference field="0" count="1" selected="0">
            <x v="1"/>
          </reference>
          <reference field="3" count="1" selected="0">
            <x v="28"/>
          </reference>
          <reference field="4" count="1" selected="0">
            <x v="216"/>
          </reference>
          <reference field="5" count="1" selected="0">
            <x v="206"/>
          </reference>
          <reference field="7" count="1">
            <x v="1428"/>
          </reference>
        </references>
      </pivotArea>
    </format>
    <format dxfId="1948">
      <pivotArea dataOnly="0" labelOnly="1" outline="0" fieldPosition="0">
        <references count="5">
          <reference field="0" count="1" selected="0">
            <x v="1"/>
          </reference>
          <reference field="3" count="1" selected="0">
            <x v="28"/>
          </reference>
          <reference field="4" count="1" selected="0">
            <x v="216"/>
          </reference>
          <reference field="5" count="1" selected="0">
            <x v="302"/>
          </reference>
          <reference field="7" count="1">
            <x v="1070"/>
          </reference>
        </references>
      </pivotArea>
    </format>
    <format dxfId="1947">
      <pivotArea dataOnly="0" labelOnly="1" outline="0" fieldPosition="0">
        <references count="5">
          <reference field="0" count="1" selected="0">
            <x v="1"/>
          </reference>
          <reference field="3" count="1" selected="0">
            <x v="28"/>
          </reference>
          <reference field="4" count="1" selected="0">
            <x v="216"/>
          </reference>
          <reference field="5" count="1" selected="0">
            <x v="363"/>
          </reference>
          <reference field="7" count="1">
            <x v="673"/>
          </reference>
        </references>
      </pivotArea>
    </format>
    <format dxfId="1946">
      <pivotArea dataOnly="0" labelOnly="1" outline="0" fieldPosition="0">
        <references count="5">
          <reference field="0" count="1" selected="0">
            <x v="1"/>
          </reference>
          <reference field="3" count="1" selected="0">
            <x v="28"/>
          </reference>
          <reference field="4" count="1" selected="0">
            <x v="216"/>
          </reference>
          <reference field="5" count="1" selected="0">
            <x v="367"/>
          </reference>
          <reference field="7" count="1">
            <x v="896"/>
          </reference>
        </references>
      </pivotArea>
    </format>
    <format dxfId="1945">
      <pivotArea dataOnly="0" labelOnly="1" outline="0" fieldPosition="0">
        <references count="5">
          <reference field="0" count="1" selected="0">
            <x v="1"/>
          </reference>
          <reference field="3" count="1" selected="0">
            <x v="28"/>
          </reference>
          <reference field="4" count="1" selected="0">
            <x v="216"/>
          </reference>
          <reference field="5" count="1" selected="0">
            <x v="373"/>
          </reference>
          <reference field="7" count="1">
            <x v="998"/>
          </reference>
        </references>
      </pivotArea>
    </format>
    <format dxfId="1944">
      <pivotArea dataOnly="0" labelOnly="1" outline="0" fieldPosition="0">
        <references count="5">
          <reference field="0" count="1" selected="0">
            <x v="1"/>
          </reference>
          <reference field="3" count="1" selected="0">
            <x v="28"/>
          </reference>
          <reference field="4" count="1" selected="0">
            <x v="216"/>
          </reference>
          <reference field="5" count="1" selected="0">
            <x v="405"/>
          </reference>
          <reference field="7" count="1">
            <x v="668"/>
          </reference>
        </references>
      </pivotArea>
    </format>
    <format dxfId="1943">
      <pivotArea dataOnly="0" labelOnly="1" outline="0" fieldPosition="0">
        <references count="5">
          <reference field="0" count="1" selected="0">
            <x v="1"/>
          </reference>
          <reference field="3" count="1" selected="0">
            <x v="28"/>
          </reference>
          <reference field="4" count="1" selected="0">
            <x v="216"/>
          </reference>
          <reference field="5" count="1" selected="0">
            <x v="406"/>
          </reference>
          <reference field="7" count="1">
            <x v="895"/>
          </reference>
        </references>
      </pivotArea>
    </format>
    <format dxfId="1942">
      <pivotArea dataOnly="0" labelOnly="1" outline="0" fieldPosition="0">
        <references count="5">
          <reference field="0" count="1" selected="0">
            <x v="1"/>
          </reference>
          <reference field="3" count="1" selected="0">
            <x v="28"/>
          </reference>
          <reference field="4" count="1" selected="0">
            <x v="216"/>
          </reference>
          <reference field="5" count="1" selected="0">
            <x v="407"/>
          </reference>
          <reference field="7" count="1">
            <x v="0"/>
          </reference>
        </references>
      </pivotArea>
    </format>
    <format dxfId="1941">
      <pivotArea dataOnly="0" labelOnly="1" outline="0" fieldPosition="0">
        <references count="5">
          <reference field="0" count="1" selected="0">
            <x v="1"/>
          </reference>
          <reference field="3" count="1" selected="0">
            <x v="28"/>
          </reference>
          <reference field="4" count="1" selected="0">
            <x v="216"/>
          </reference>
          <reference field="5" count="1" selected="0">
            <x v="409"/>
          </reference>
          <reference field="7" count="1">
            <x v="672"/>
          </reference>
        </references>
      </pivotArea>
    </format>
    <format dxfId="1940">
      <pivotArea dataOnly="0" labelOnly="1" outline="0" fieldPosition="0">
        <references count="5">
          <reference field="0" count="1" selected="0">
            <x v="1"/>
          </reference>
          <reference field="3" count="1" selected="0">
            <x v="28"/>
          </reference>
          <reference field="4" count="1" selected="0">
            <x v="216"/>
          </reference>
          <reference field="5" count="1" selected="0">
            <x v="1188"/>
          </reference>
          <reference field="7" count="1">
            <x v="152"/>
          </reference>
        </references>
      </pivotArea>
    </format>
    <format dxfId="1939">
      <pivotArea dataOnly="0" labelOnly="1" outline="0" fieldPosition="0">
        <references count="5">
          <reference field="0" count="1" selected="0">
            <x v="1"/>
          </reference>
          <reference field="3" count="1" selected="0">
            <x v="28"/>
          </reference>
          <reference field="4" count="1" selected="0">
            <x v="216"/>
          </reference>
          <reference field="5" count="1" selected="0">
            <x v="1189"/>
          </reference>
          <reference field="7" count="1">
            <x v="526"/>
          </reference>
        </references>
      </pivotArea>
    </format>
    <format dxfId="1938">
      <pivotArea dataOnly="0" labelOnly="1" outline="0" fieldPosition="0">
        <references count="5">
          <reference field="0" count="1" selected="0">
            <x v="1"/>
          </reference>
          <reference field="3" count="1" selected="0">
            <x v="28"/>
          </reference>
          <reference field="4" count="1" selected="0">
            <x v="216"/>
          </reference>
          <reference field="5" count="1" selected="0">
            <x v="1190"/>
          </reference>
          <reference field="7" count="1">
            <x v="523"/>
          </reference>
        </references>
      </pivotArea>
    </format>
    <format dxfId="1937">
      <pivotArea dataOnly="0" labelOnly="1" outline="0" fieldPosition="0">
        <references count="5">
          <reference field="0" count="1" selected="0">
            <x v="1"/>
          </reference>
          <reference field="3" count="1" selected="0">
            <x v="28"/>
          </reference>
          <reference field="4" count="1" selected="0">
            <x v="216"/>
          </reference>
          <reference field="5" count="1" selected="0">
            <x v="1191"/>
          </reference>
          <reference field="7" count="1">
            <x v="525"/>
          </reference>
        </references>
      </pivotArea>
    </format>
    <format dxfId="1936">
      <pivotArea dataOnly="0" labelOnly="1" outline="0" fieldPosition="0">
        <references count="5">
          <reference field="0" count="1" selected="0">
            <x v="1"/>
          </reference>
          <reference field="3" count="1" selected="0">
            <x v="28"/>
          </reference>
          <reference field="4" count="1" selected="0">
            <x v="216"/>
          </reference>
          <reference field="5" count="1" selected="0">
            <x v="1192"/>
          </reference>
          <reference field="7" count="1">
            <x v="524"/>
          </reference>
        </references>
      </pivotArea>
    </format>
    <format dxfId="1935">
      <pivotArea dataOnly="0" labelOnly="1" outline="0" fieldPosition="0">
        <references count="5">
          <reference field="0" count="1" selected="0">
            <x v="1"/>
          </reference>
          <reference field="3" count="1" selected="0">
            <x v="28"/>
          </reference>
          <reference field="4" count="1" selected="0">
            <x v="216"/>
          </reference>
          <reference field="5" count="1" selected="0">
            <x v="1193"/>
          </reference>
          <reference field="7" count="1">
            <x v="522"/>
          </reference>
        </references>
      </pivotArea>
    </format>
    <format dxfId="1934">
      <pivotArea dataOnly="0" labelOnly="1" outline="0" fieldPosition="0">
        <references count="5">
          <reference field="0" count="1" selected="0">
            <x v="1"/>
          </reference>
          <reference field="3" count="1" selected="0">
            <x v="28"/>
          </reference>
          <reference field="4" count="1" selected="0">
            <x v="216"/>
          </reference>
          <reference field="5" count="1" selected="0">
            <x v="1608"/>
          </reference>
          <reference field="7" count="1">
            <x v="1118"/>
          </reference>
        </references>
      </pivotArea>
    </format>
    <format dxfId="1933">
      <pivotArea dataOnly="0" labelOnly="1" outline="0" fieldPosition="0">
        <references count="5">
          <reference field="0" count="1" selected="0">
            <x v="1"/>
          </reference>
          <reference field="3" count="1" selected="0">
            <x v="29"/>
          </reference>
          <reference field="4" count="1" selected="0">
            <x v="216"/>
          </reference>
          <reference field="5" count="1" selected="0">
            <x v="8"/>
          </reference>
          <reference field="7" count="1">
            <x v="1484"/>
          </reference>
        </references>
      </pivotArea>
    </format>
    <format dxfId="1932">
      <pivotArea dataOnly="0" labelOnly="1" outline="0" fieldPosition="0">
        <references count="5">
          <reference field="0" count="1" selected="0">
            <x v="1"/>
          </reference>
          <reference field="3" count="1" selected="0">
            <x v="29"/>
          </reference>
          <reference field="4" count="1" selected="0">
            <x v="216"/>
          </reference>
          <reference field="5" count="1" selected="0">
            <x v="167"/>
          </reference>
          <reference field="7" count="1">
            <x v="1088"/>
          </reference>
        </references>
      </pivotArea>
    </format>
    <format dxfId="1931">
      <pivotArea dataOnly="0" labelOnly="1" outline="0" fieldPosition="0">
        <references count="5">
          <reference field="0" count="1" selected="0">
            <x v="1"/>
          </reference>
          <reference field="3" count="1" selected="0">
            <x v="29"/>
          </reference>
          <reference field="4" count="1" selected="0">
            <x v="216"/>
          </reference>
          <reference field="5" count="1" selected="0">
            <x v="406"/>
          </reference>
          <reference field="7" count="1">
            <x v="895"/>
          </reference>
        </references>
      </pivotArea>
    </format>
    <format dxfId="1930">
      <pivotArea dataOnly="0" labelOnly="1" outline="0" fieldPosition="0">
        <references count="5">
          <reference field="0" count="1" selected="0">
            <x v="1"/>
          </reference>
          <reference field="3" count="1" selected="0">
            <x v="29"/>
          </reference>
          <reference field="4" count="1" selected="0">
            <x v="216"/>
          </reference>
          <reference field="5" count="1" selected="0">
            <x v="407"/>
          </reference>
          <reference field="7" count="1">
            <x v="0"/>
          </reference>
        </references>
      </pivotArea>
    </format>
    <format dxfId="1929">
      <pivotArea dataOnly="0" labelOnly="1" outline="0" fieldPosition="0">
        <references count="5">
          <reference field="0" count="1" selected="0">
            <x v="1"/>
          </reference>
          <reference field="3" count="1" selected="0">
            <x v="29"/>
          </reference>
          <reference field="4" count="1" selected="0">
            <x v="216"/>
          </reference>
          <reference field="5" count="1" selected="0">
            <x v="409"/>
          </reference>
          <reference field="7" count="1">
            <x v="672"/>
          </reference>
        </references>
      </pivotArea>
    </format>
    <format dxfId="1928">
      <pivotArea dataOnly="0" labelOnly="1" outline="0" fieldPosition="0">
        <references count="5">
          <reference field="0" count="1" selected="0">
            <x v="1"/>
          </reference>
          <reference field="3" count="1" selected="0">
            <x v="29"/>
          </reference>
          <reference field="4" count="1" selected="0">
            <x v="216"/>
          </reference>
          <reference field="5" count="1" selected="0">
            <x v="428"/>
          </reference>
          <reference field="7" count="1">
            <x v="655"/>
          </reference>
        </references>
      </pivotArea>
    </format>
    <format dxfId="1927">
      <pivotArea dataOnly="0" labelOnly="1" outline="0" fieldPosition="0">
        <references count="5">
          <reference field="0" count="1" selected="0">
            <x v="1"/>
          </reference>
          <reference field="3" count="1" selected="0">
            <x v="29"/>
          </reference>
          <reference field="4" count="1" selected="0">
            <x v="216"/>
          </reference>
          <reference field="5" count="1" selected="0">
            <x v="1194"/>
          </reference>
          <reference field="7" count="1">
            <x v="163"/>
          </reference>
        </references>
      </pivotArea>
    </format>
    <format dxfId="1926">
      <pivotArea dataOnly="0" labelOnly="1" outline="0" fieldPosition="0">
        <references count="5">
          <reference field="0" count="1" selected="0">
            <x v="1"/>
          </reference>
          <reference field="3" count="1" selected="0">
            <x v="29"/>
          </reference>
          <reference field="4" count="1" selected="0">
            <x v="216"/>
          </reference>
          <reference field="5" count="1" selected="0">
            <x v="1195"/>
          </reference>
          <reference field="7" count="1">
            <x v="642"/>
          </reference>
        </references>
      </pivotArea>
    </format>
    <format dxfId="1925">
      <pivotArea dataOnly="0" labelOnly="1" outline="0" fieldPosition="0">
        <references count="5">
          <reference field="0" count="1" selected="0">
            <x v="1"/>
          </reference>
          <reference field="3" count="1" selected="0">
            <x v="29"/>
          </reference>
          <reference field="4" count="1" selected="0">
            <x v="216"/>
          </reference>
          <reference field="5" count="1" selected="0">
            <x v="1196"/>
          </reference>
          <reference field="7" count="1">
            <x v="645"/>
          </reference>
        </references>
      </pivotArea>
    </format>
    <format dxfId="1924">
      <pivotArea dataOnly="0" labelOnly="1" outline="0" fieldPosition="0">
        <references count="5">
          <reference field="0" count="1" selected="0">
            <x v="1"/>
          </reference>
          <reference field="3" count="1" selected="0">
            <x v="29"/>
          </reference>
          <reference field="4" count="1" selected="0">
            <x v="216"/>
          </reference>
          <reference field="5" count="1" selected="0">
            <x v="1197"/>
          </reference>
          <reference field="7" count="1">
            <x v="644"/>
          </reference>
        </references>
      </pivotArea>
    </format>
    <format dxfId="1923">
      <pivotArea dataOnly="0" labelOnly="1" outline="0" fieldPosition="0">
        <references count="5">
          <reference field="0" count="1" selected="0">
            <x v="1"/>
          </reference>
          <reference field="3" count="1" selected="0">
            <x v="29"/>
          </reference>
          <reference field="4" count="1" selected="0">
            <x v="216"/>
          </reference>
          <reference field="5" count="1" selected="0">
            <x v="1641"/>
          </reference>
          <reference field="7" count="1">
            <x v="1620"/>
          </reference>
        </references>
      </pivotArea>
    </format>
    <format dxfId="1922">
      <pivotArea dataOnly="0" labelOnly="1" outline="0" fieldPosition="0">
        <references count="5">
          <reference field="0" count="1" selected="0">
            <x v="1"/>
          </reference>
          <reference field="3" count="1" selected="0">
            <x v="30"/>
          </reference>
          <reference field="4" count="1" selected="0">
            <x v="5"/>
          </reference>
          <reference field="5" count="1" selected="0">
            <x v="349"/>
          </reference>
          <reference field="7" count="1">
            <x v="117"/>
          </reference>
        </references>
      </pivotArea>
    </format>
    <format dxfId="1921">
      <pivotArea dataOnly="0" labelOnly="1" outline="0" fieldPosition="0">
        <references count="5">
          <reference field="0" count="1" selected="0">
            <x v="1"/>
          </reference>
          <reference field="3" count="1" selected="0">
            <x v="30"/>
          </reference>
          <reference field="4" count="1" selected="0">
            <x v="5"/>
          </reference>
          <reference field="5" count="1" selected="0">
            <x v="350"/>
          </reference>
          <reference field="7" count="1">
            <x v="1024"/>
          </reference>
        </references>
      </pivotArea>
    </format>
    <format dxfId="1920">
      <pivotArea dataOnly="0" labelOnly="1" outline="0" fieldPosition="0">
        <references count="5">
          <reference field="0" count="1" selected="0">
            <x v="1"/>
          </reference>
          <reference field="3" count="1" selected="0">
            <x v="30"/>
          </reference>
          <reference field="4" count="1" selected="0">
            <x v="5"/>
          </reference>
          <reference field="5" count="1" selected="0">
            <x v="387"/>
          </reference>
          <reference field="7" count="1">
            <x v="114"/>
          </reference>
        </references>
      </pivotArea>
    </format>
    <format dxfId="1919">
      <pivotArea dataOnly="0" labelOnly="1" outline="0" fieldPosition="0">
        <references count="5">
          <reference field="0" count="1" selected="0">
            <x v="1"/>
          </reference>
          <reference field="3" count="1" selected="0">
            <x v="30"/>
          </reference>
          <reference field="4" count="1" selected="0">
            <x v="167"/>
          </reference>
          <reference field="5" count="1" selected="0">
            <x v="77"/>
          </reference>
          <reference field="7" count="1">
            <x v="1477"/>
          </reference>
        </references>
      </pivotArea>
    </format>
    <format dxfId="1918">
      <pivotArea dataOnly="0" labelOnly="1" outline="0" fieldPosition="0">
        <references count="5">
          <reference field="0" count="1" selected="0">
            <x v="1"/>
          </reference>
          <reference field="3" count="1" selected="0">
            <x v="30"/>
          </reference>
          <reference field="4" count="1" selected="0">
            <x v="167"/>
          </reference>
          <reference field="5" count="1" selected="0">
            <x v="152"/>
          </reference>
          <reference field="7" count="1">
            <x v="1603"/>
          </reference>
        </references>
      </pivotArea>
    </format>
    <format dxfId="1917">
      <pivotArea dataOnly="0" labelOnly="1" outline="0" fieldPosition="0">
        <references count="5">
          <reference field="0" count="1" selected="0">
            <x v="1"/>
          </reference>
          <reference field="3" count="1" selected="0">
            <x v="30"/>
          </reference>
          <reference field="4" count="1" selected="0">
            <x v="167"/>
          </reference>
          <reference field="5" count="1" selected="0">
            <x v="216"/>
          </reference>
          <reference field="7" count="1">
            <x v="1431"/>
          </reference>
        </references>
      </pivotArea>
    </format>
    <format dxfId="1916">
      <pivotArea dataOnly="0" labelOnly="1" outline="0" fieldPosition="0">
        <references count="5">
          <reference field="0" count="1" selected="0">
            <x v="1"/>
          </reference>
          <reference field="3" count="1" selected="0">
            <x v="30"/>
          </reference>
          <reference field="4" count="1" selected="0">
            <x v="167"/>
          </reference>
          <reference field="5" count="1" selected="0">
            <x v="218"/>
          </reference>
          <reference field="7" count="1">
            <x v="363"/>
          </reference>
        </references>
      </pivotArea>
    </format>
    <format dxfId="1915">
      <pivotArea dataOnly="0" labelOnly="1" outline="0" fieldPosition="0">
        <references count="5">
          <reference field="0" count="1" selected="0">
            <x v="1"/>
          </reference>
          <reference field="3" count="1" selected="0">
            <x v="30"/>
          </reference>
          <reference field="4" count="1" selected="0">
            <x v="167"/>
          </reference>
          <reference field="5" count="1" selected="0">
            <x v="1576"/>
          </reference>
          <reference field="7" count="1">
            <x v="300"/>
          </reference>
        </references>
      </pivotArea>
    </format>
    <format dxfId="1914">
      <pivotArea dataOnly="0" labelOnly="1" outline="0" fieldPosition="0">
        <references count="5">
          <reference field="0" count="1" selected="0">
            <x v="1"/>
          </reference>
          <reference field="3" count="1" selected="0">
            <x v="30"/>
          </reference>
          <reference field="4" count="1" selected="0">
            <x v="167"/>
          </reference>
          <reference field="5" count="1" selected="0">
            <x v="1577"/>
          </reference>
          <reference field="7" count="1">
            <x v="373"/>
          </reference>
        </references>
      </pivotArea>
    </format>
    <format dxfId="1913">
      <pivotArea dataOnly="0" labelOnly="1" outline="0" fieldPosition="0">
        <references count="5">
          <reference field="0" count="1" selected="0">
            <x v="1"/>
          </reference>
          <reference field="3" count="1" selected="0">
            <x v="30"/>
          </reference>
          <reference field="4" count="1" selected="0">
            <x v="167"/>
          </reference>
          <reference field="5" count="1" selected="0">
            <x v="1613"/>
          </reference>
          <reference field="7" count="1">
            <x v="510"/>
          </reference>
        </references>
      </pivotArea>
    </format>
    <format dxfId="1912">
      <pivotArea dataOnly="0" labelOnly="1" outline="0" fieldPosition="0">
        <references count="5">
          <reference field="0" count="1" selected="0">
            <x v="1"/>
          </reference>
          <reference field="3" count="1" selected="0">
            <x v="30"/>
          </reference>
          <reference field="4" count="1" selected="0">
            <x v="172"/>
          </reference>
          <reference field="5" count="1" selected="0">
            <x v="1522"/>
          </reference>
          <reference field="7" count="1">
            <x v="334"/>
          </reference>
        </references>
      </pivotArea>
    </format>
    <format dxfId="1911">
      <pivotArea dataOnly="0" labelOnly="1" outline="0" fieldPosition="0">
        <references count="5">
          <reference field="0" count="1" selected="0">
            <x v="1"/>
          </reference>
          <reference field="3" count="1" selected="0">
            <x v="30"/>
          </reference>
          <reference field="4" count="1" selected="0">
            <x v="172"/>
          </reference>
          <reference field="5" count="1" selected="0">
            <x v="1527"/>
          </reference>
          <reference field="7" count="1">
            <x v="305"/>
          </reference>
        </references>
      </pivotArea>
    </format>
    <format dxfId="1910">
      <pivotArea dataOnly="0" labelOnly="1" outline="0" fieldPosition="0">
        <references count="5">
          <reference field="0" count="1" selected="0">
            <x v="1"/>
          </reference>
          <reference field="3" count="1" selected="0">
            <x v="30"/>
          </reference>
          <reference field="4" count="1" selected="0">
            <x v="172"/>
          </reference>
          <reference field="5" count="1" selected="0">
            <x v="1628"/>
          </reference>
          <reference field="7" count="1">
            <x v="1473"/>
          </reference>
        </references>
      </pivotArea>
    </format>
    <format dxfId="1909">
      <pivotArea dataOnly="0" labelOnly="1" outline="0" fieldPosition="0">
        <references count="5">
          <reference field="0" count="1" selected="0">
            <x v="1"/>
          </reference>
          <reference field="3" count="1" selected="0">
            <x v="30"/>
          </reference>
          <reference field="4" count="1" selected="0">
            <x v="173"/>
          </reference>
          <reference field="5" count="1" selected="0">
            <x v="1526"/>
          </reference>
          <reference field="7" count="1">
            <x v="335"/>
          </reference>
        </references>
      </pivotArea>
    </format>
    <format dxfId="1908">
      <pivotArea dataOnly="0" labelOnly="1" outline="0" fieldPosition="0">
        <references count="5">
          <reference field="0" count="1" selected="0">
            <x v="1"/>
          </reference>
          <reference field="3" count="1" selected="0">
            <x v="30"/>
          </reference>
          <reference field="4" count="1" selected="0">
            <x v="173"/>
          </reference>
          <reference field="5" count="1" selected="0">
            <x v="1529"/>
          </reference>
          <reference field="7" count="1">
            <x v="306"/>
          </reference>
        </references>
      </pivotArea>
    </format>
    <format dxfId="1907">
      <pivotArea dataOnly="0" labelOnly="1" outline="0" fieldPosition="0">
        <references count="5">
          <reference field="0" count="1" selected="0">
            <x v="1"/>
          </reference>
          <reference field="3" count="1" selected="0">
            <x v="30"/>
          </reference>
          <reference field="4" count="1" selected="0">
            <x v="173"/>
          </reference>
          <reference field="5" count="1" selected="0">
            <x v="1628"/>
          </reference>
          <reference field="7" count="1">
            <x v="1473"/>
          </reference>
        </references>
      </pivotArea>
    </format>
    <format dxfId="1906">
      <pivotArea dataOnly="0" labelOnly="1" outline="0" fieldPosition="0">
        <references count="5">
          <reference field="0" count="1" selected="0">
            <x v="1"/>
          </reference>
          <reference field="3" count="1" selected="0">
            <x v="30"/>
          </reference>
          <reference field="4" count="1" selected="0">
            <x v="216"/>
          </reference>
          <reference field="5" count="1" selected="0">
            <x v="119"/>
          </reference>
          <reference field="7" count="1">
            <x v="1091"/>
          </reference>
        </references>
      </pivotArea>
    </format>
    <format dxfId="1905">
      <pivotArea dataOnly="0" labelOnly="1" outline="0" fieldPosition="0">
        <references count="5">
          <reference field="0" count="1" selected="0">
            <x v="1"/>
          </reference>
          <reference field="3" count="1" selected="0">
            <x v="30"/>
          </reference>
          <reference field="4" count="1" selected="0">
            <x v="216"/>
          </reference>
          <reference field="5" count="1" selected="0">
            <x v="161"/>
          </reference>
          <reference field="7" count="1">
            <x v="1079"/>
          </reference>
        </references>
      </pivotArea>
    </format>
    <format dxfId="1904">
      <pivotArea dataOnly="0" labelOnly="1" outline="0" fieldPosition="0">
        <references count="5">
          <reference field="0" count="1" selected="0">
            <x v="1"/>
          </reference>
          <reference field="3" count="1" selected="0">
            <x v="30"/>
          </reference>
          <reference field="4" count="1" selected="0">
            <x v="216"/>
          </reference>
          <reference field="5" count="1" selected="0">
            <x v="167"/>
          </reference>
          <reference field="7" count="1">
            <x v="1088"/>
          </reference>
        </references>
      </pivotArea>
    </format>
    <format dxfId="1903">
      <pivotArea dataOnly="0" labelOnly="1" outline="0" fieldPosition="0">
        <references count="5">
          <reference field="0" count="1" selected="0">
            <x v="1"/>
          </reference>
          <reference field="3" count="1" selected="0">
            <x v="30"/>
          </reference>
          <reference field="4" count="1" selected="0">
            <x v="216"/>
          </reference>
          <reference field="5" count="1" selected="0">
            <x v="203"/>
          </reference>
          <reference field="7" count="1">
            <x v="1418"/>
          </reference>
        </references>
      </pivotArea>
    </format>
    <format dxfId="1902">
      <pivotArea dataOnly="0" labelOnly="1" outline="0" fieldPosition="0">
        <references count="5">
          <reference field="0" count="1" selected="0">
            <x v="1"/>
          </reference>
          <reference field="3" count="1" selected="0">
            <x v="30"/>
          </reference>
          <reference field="4" count="1" selected="0">
            <x v="216"/>
          </reference>
          <reference field="5" count="1" selected="0">
            <x v="206"/>
          </reference>
          <reference field="7" count="1">
            <x v="1428"/>
          </reference>
        </references>
      </pivotArea>
    </format>
    <format dxfId="1901">
      <pivotArea dataOnly="0" labelOnly="1" outline="0" fieldPosition="0">
        <references count="5">
          <reference field="0" count="1" selected="0">
            <x v="1"/>
          </reference>
          <reference field="3" count="1" selected="0">
            <x v="30"/>
          </reference>
          <reference field="4" count="1" selected="0">
            <x v="216"/>
          </reference>
          <reference field="5" count="1" selected="0">
            <x v="213"/>
          </reference>
          <reference field="7" count="1">
            <x v="973"/>
          </reference>
        </references>
      </pivotArea>
    </format>
    <format dxfId="1900">
      <pivotArea dataOnly="0" labelOnly="1" outline="0" fieldPosition="0">
        <references count="5">
          <reference field="0" count="1" selected="0">
            <x v="1"/>
          </reference>
          <reference field="3" count="1" selected="0">
            <x v="30"/>
          </reference>
          <reference field="4" count="1" selected="0">
            <x v="216"/>
          </reference>
          <reference field="5" count="1" selected="0">
            <x v="291"/>
          </reference>
          <reference field="7" count="1">
            <x v="1419"/>
          </reference>
        </references>
      </pivotArea>
    </format>
    <format dxfId="1899">
      <pivotArea dataOnly="0" labelOnly="1" outline="0" fieldPosition="0">
        <references count="5">
          <reference field="0" count="1" selected="0">
            <x v="1"/>
          </reference>
          <reference field="3" count="1" selected="0">
            <x v="30"/>
          </reference>
          <reference field="4" count="1" selected="0">
            <x v="216"/>
          </reference>
          <reference field="5" count="1" selected="0">
            <x v="302"/>
          </reference>
          <reference field="7" count="1">
            <x v="1070"/>
          </reference>
        </references>
      </pivotArea>
    </format>
    <format dxfId="1898">
      <pivotArea dataOnly="0" labelOnly="1" outline="0" fieldPosition="0">
        <references count="5">
          <reference field="0" count="1" selected="0">
            <x v="1"/>
          </reference>
          <reference field="3" count="1" selected="0">
            <x v="30"/>
          </reference>
          <reference field="4" count="1" selected="0">
            <x v="216"/>
          </reference>
          <reference field="5" count="1" selected="0">
            <x v="351"/>
          </reference>
          <reference field="7" count="1">
            <x v="1025"/>
          </reference>
        </references>
      </pivotArea>
    </format>
    <format dxfId="1897">
      <pivotArea dataOnly="0" labelOnly="1" outline="0" fieldPosition="0">
        <references count="5">
          <reference field="0" count="1" selected="0">
            <x v="1"/>
          </reference>
          <reference field="3" count="1" selected="0">
            <x v="30"/>
          </reference>
          <reference field="4" count="1" selected="0">
            <x v="216"/>
          </reference>
          <reference field="5" count="1" selected="0">
            <x v="363"/>
          </reference>
          <reference field="7" count="1">
            <x v="673"/>
          </reference>
        </references>
      </pivotArea>
    </format>
    <format dxfId="1896">
      <pivotArea dataOnly="0" labelOnly="1" outline="0" fieldPosition="0">
        <references count="5">
          <reference field="0" count="1" selected="0">
            <x v="1"/>
          </reference>
          <reference field="3" count="1" selected="0">
            <x v="30"/>
          </reference>
          <reference field="4" count="1" selected="0">
            <x v="216"/>
          </reference>
          <reference field="5" count="1" selected="0">
            <x v="367"/>
          </reference>
          <reference field="7" count="1">
            <x v="896"/>
          </reference>
        </references>
      </pivotArea>
    </format>
    <format dxfId="1895">
      <pivotArea dataOnly="0" labelOnly="1" outline="0" fieldPosition="0">
        <references count="5">
          <reference field="0" count="1" selected="0">
            <x v="1"/>
          </reference>
          <reference field="3" count="1" selected="0">
            <x v="30"/>
          </reference>
          <reference field="4" count="1" selected="0">
            <x v="216"/>
          </reference>
          <reference field="5" count="1" selected="0">
            <x v="373"/>
          </reference>
          <reference field="7" count="1">
            <x v="998"/>
          </reference>
        </references>
      </pivotArea>
    </format>
    <format dxfId="1894">
      <pivotArea dataOnly="0" labelOnly="1" outline="0" fieldPosition="0">
        <references count="5">
          <reference field="0" count="1" selected="0">
            <x v="1"/>
          </reference>
          <reference field="3" count="1" selected="0">
            <x v="30"/>
          </reference>
          <reference field="4" count="1" selected="0">
            <x v="216"/>
          </reference>
          <reference field="5" count="1" selected="0">
            <x v="409"/>
          </reference>
          <reference field="7" count="1">
            <x v="672"/>
          </reference>
        </references>
      </pivotArea>
    </format>
    <format dxfId="1893">
      <pivotArea dataOnly="0" labelOnly="1" outline="0" fieldPosition="0">
        <references count="5">
          <reference field="0" count="1" selected="0">
            <x v="1"/>
          </reference>
          <reference field="3" count="1" selected="0">
            <x v="30"/>
          </reference>
          <reference field="4" count="1" selected="0">
            <x v="216"/>
          </reference>
          <reference field="5" count="1" selected="0">
            <x v="1198"/>
          </reference>
          <reference field="7" count="1">
            <x v="159"/>
          </reference>
        </references>
      </pivotArea>
    </format>
    <format dxfId="1892">
      <pivotArea dataOnly="0" labelOnly="1" outline="0" fieldPosition="0">
        <references count="5">
          <reference field="0" count="1" selected="0">
            <x v="1"/>
          </reference>
          <reference field="3" count="1" selected="0">
            <x v="30"/>
          </reference>
          <reference field="4" count="1" selected="0">
            <x v="216"/>
          </reference>
          <reference field="5" count="1" selected="0">
            <x v="1199"/>
          </reference>
          <reference field="7" count="1">
            <x v="629"/>
          </reference>
        </references>
      </pivotArea>
    </format>
    <format dxfId="1891">
      <pivotArea dataOnly="0" labelOnly="1" outline="0" fieldPosition="0">
        <references count="5">
          <reference field="0" count="1" selected="0">
            <x v="1"/>
          </reference>
          <reference field="3" count="1" selected="0">
            <x v="30"/>
          </reference>
          <reference field="4" count="1" selected="0">
            <x v="216"/>
          </reference>
          <reference field="5" count="1" selected="0">
            <x v="1200"/>
          </reference>
          <reference field="7" count="1">
            <x v="626"/>
          </reference>
        </references>
      </pivotArea>
    </format>
    <format dxfId="1890">
      <pivotArea dataOnly="0" labelOnly="1" outline="0" fieldPosition="0">
        <references count="5">
          <reference field="0" count="1" selected="0">
            <x v="1"/>
          </reference>
          <reference field="3" count="1" selected="0">
            <x v="30"/>
          </reference>
          <reference field="4" count="1" selected="0">
            <x v="216"/>
          </reference>
          <reference field="5" count="1" selected="0">
            <x v="1201"/>
          </reference>
          <reference field="7" count="1">
            <x v="628"/>
          </reference>
        </references>
      </pivotArea>
    </format>
    <format dxfId="1889">
      <pivotArea dataOnly="0" labelOnly="1" outline="0" fieldPosition="0">
        <references count="5">
          <reference field="0" count="1" selected="0">
            <x v="1"/>
          </reference>
          <reference field="3" count="1" selected="0">
            <x v="30"/>
          </reference>
          <reference field="4" count="1" selected="0">
            <x v="216"/>
          </reference>
          <reference field="5" count="1" selected="0">
            <x v="1202"/>
          </reference>
          <reference field="7" count="1">
            <x v="627"/>
          </reference>
        </references>
      </pivotArea>
    </format>
    <format dxfId="1888">
      <pivotArea dataOnly="0" labelOnly="1" outline="0" fieldPosition="0">
        <references count="5">
          <reference field="0" count="1" selected="0">
            <x v="1"/>
          </reference>
          <reference field="3" count="1" selected="0">
            <x v="30"/>
          </reference>
          <reference field="4" count="1" selected="0">
            <x v="216"/>
          </reference>
          <reference field="5" count="1" selected="0">
            <x v="1203"/>
          </reference>
          <reference field="7" count="1">
            <x v="1169"/>
          </reference>
        </references>
      </pivotArea>
    </format>
    <format dxfId="1887">
      <pivotArea dataOnly="0" labelOnly="1" outline="0" fieldPosition="0">
        <references count="5">
          <reference field="0" count="1" selected="0">
            <x v="1"/>
          </reference>
          <reference field="3" count="1" selected="0">
            <x v="30"/>
          </reference>
          <reference field="4" count="1" selected="0">
            <x v="216"/>
          </reference>
          <reference field="5" count="1" selected="0">
            <x v="1204"/>
          </reference>
          <reference field="7" count="1">
            <x v="624"/>
          </reference>
        </references>
      </pivotArea>
    </format>
    <format dxfId="1886">
      <pivotArea dataOnly="0" labelOnly="1" outline="0" fieldPosition="0">
        <references count="5">
          <reference field="0" count="1" selected="0">
            <x v="1"/>
          </reference>
          <reference field="3" count="1" selected="0">
            <x v="30"/>
          </reference>
          <reference field="4" count="1" selected="0">
            <x v="216"/>
          </reference>
          <reference field="5" count="1" selected="0">
            <x v="1522"/>
          </reference>
          <reference field="7" count="1">
            <x v="334"/>
          </reference>
        </references>
      </pivotArea>
    </format>
    <format dxfId="1885">
      <pivotArea dataOnly="0" labelOnly="1" outline="0" fieldPosition="0">
        <references count="5">
          <reference field="0" count="1" selected="0">
            <x v="1"/>
          </reference>
          <reference field="3" count="1" selected="0">
            <x v="31"/>
          </reference>
          <reference field="4" count="1" selected="0">
            <x v="166"/>
          </reference>
          <reference field="5" count="1" selected="0">
            <x v="78"/>
          </reference>
          <reference field="7" count="1">
            <x v="1476"/>
          </reference>
        </references>
      </pivotArea>
    </format>
    <format dxfId="1884">
      <pivotArea dataOnly="0" labelOnly="1" outline="0" fieldPosition="0">
        <references count="5">
          <reference field="0" count="1" selected="0">
            <x v="1"/>
          </reference>
          <reference field="3" count="1" selected="0">
            <x v="31"/>
          </reference>
          <reference field="4" count="1" selected="0">
            <x v="166"/>
          </reference>
          <reference field="5" count="1" selected="0">
            <x v="152"/>
          </reference>
          <reference field="7" count="1">
            <x v="1603"/>
          </reference>
        </references>
      </pivotArea>
    </format>
    <format dxfId="1883">
      <pivotArea dataOnly="0" labelOnly="1" outline="0" fieldPosition="0">
        <references count="5">
          <reference field="0" count="1" selected="0">
            <x v="1"/>
          </reference>
          <reference field="3" count="1" selected="0">
            <x v="31"/>
          </reference>
          <reference field="4" count="1" selected="0">
            <x v="166"/>
          </reference>
          <reference field="5" count="1" selected="0">
            <x v="216"/>
          </reference>
          <reference field="7" count="1">
            <x v="1431"/>
          </reference>
        </references>
      </pivotArea>
    </format>
    <format dxfId="1882">
      <pivotArea dataOnly="0" labelOnly="1" outline="0" fieldPosition="0">
        <references count="5">
          <reference field="0" count="1" selected="0">
            <x v="1"/>
          </reference>
          <reference field="3" count="1" selected="0">
            <x v="31"/>
          </reference>
          <reference field="4" count="1" selected="0">
            <x v="166"/>
          </reference>
          <reference field="5" count="1" selected="0">
            <x v="218"/>
          </reference>
          <reference field="7" count="1">
            <x v="363"/>
          </reference>
        </references>
      </pivotArea>
    </format>
    <format dxfId="1881">
      <pivotArea dataOnly="0" labelOnly="1" outline="0" fieldPosition="0">
        <references count="5">
          <reference field="0" count="1" selected="0">
            <x v="1"/>
          </reference>
          <reference field="3" count="1" selected="0">
            <x v="31"/>
          </reference>
          <reference field="4" count="1" selected="0">
            <x v="166"/>
          </reference>
          <reference field="5" count="1" selected="0">
            <x v="1577"/>
          </reference>
          <reference field="7" count="1">
            <x v="373"/>
          </reference>
        </references>
      </pivotArea>
    </format>
    <format dxfId="1880">
      <pivotArea dataOnly="0" labelOnly="1" outline="0" fieldPosition="0">
        <references count="5">
          <reference field="0" count="1" selected="0">
            <x v="1"/>
          </reference>
          <reference field="3" count="1" selected="0">
            <x v="31"/>
          </reference>
          <reference field="4" count="1" selected="0">
            <x v="166"/>
          </reference>
          <reference field="5" count="1" selected="0">
            <x v="1578"/>
          </reference>
          <reference field="7" count="1">
            <x v="298"/>
          </reference>
        </references>
      </pivotArea>
    </format>
    <format dxfId="1879">
      <pivotArea dataOnly="0" labelOnly="1" outline="0" fieldPosition="0">
        <references count="5">
          <reference field="0" count="1" selected="0">
            <x v="1"/>
          </reference>
          <reference field="3" count="1" selected="0">
            <x v="31"/>
          </reference>
          <reference field="4" count="1" selected="0">
            <x v="166"/>
          </reference>
          <reference field="5" count="1" selected="0">
            <x v="1613"/>
          </reference>
          <reference field="7" count="1">
            <x v="510"/>
          </reference>
        </references>
      </pivotArea>
    </format>
    <format dxfId="1878">
      <pivotArea dataOnly="0" labelOnly="1" outline="0" fieldPosition="0">
        <references count="5">
          <reference field="0" count="1" selected="0">
            <x v="1"/>
          </reference>
          <reference field="3" count="1" selected="0">
            <x v="31"/>
          </reference>
          <reference field="4" count="1" selected="0">
            <x v="167"/>
          </reference>
          <reference field="5" count="1" selected="0">
            <x v="77"/>
          </reference>
          <reference field="7" count="1">
            <x v="1477"/>
          </reference>
        </references>
      </pivotArea>
    </format>
    <format dxfId="1877">
      <pivotArea dataOnly="0" labelOnly="1" outline="0" fieldPosition="0">
        <references count="5">
          <reference field="0" count="1" selected="0">
            <x v="1"/>
          </reference>
          <reference field="3" count="1" selected="0">
            <x v="31"/>
          </reference>
          <reference field="4" count="1" selected="0">
            <x v="167"/>
          </reference>
          <reference field="5" count="1" selected="0">
            <x v="152"/>
          </reference>
          <reference field="7" count="1">
            <x v="1603"/>
          </reference>
        </references>
      </pivotArea>
    </format>
    <format dxfId="1876">
      <pivotArea dataOnly="0" labelOnly="1" outline="0" fieldPosition="0">
        <references count="5">
          <reference field="0" count="1" selected="0">
            <x v="1"/>
          </reference>
          <reference field="3" count="1" selected="0">
            <x v="31"/>
          </reference>
          <reference field="4" count="1" selected="0">
            <x v="167"/>
          </reference>
          <reference field="5" count="1" selected="0">
            <x v="216"/>
          </reference>
          <reference field="7" count="1">
            <x v="1431"/>
          </reference>
        </references>
      </pivotArea>
    </format>
    <format dxfId="1875">
      <pivotArea dataOnly="0" labelOnly="1" outline="0" fieldPosition="0">
        <references count="5">
          <reference field="0" count="1" selected="0">
            <x v="1"/>
          </reference>
          <reference field="3" count="1" selected="0">
            <x v="31"/>
          </reference>
          <reference field="4" count="1" selected="0">
            <x v="167"/>
          </reference>
          <reference field="5" count="1" selected="0">
            <x v="218"/>
          </reference>
          <reference field="7" count="1">
            <x v="363"/>
          </reference>
        </references>
      </pivotArea>
    </format>
    <format dxfId="1874">
      <pivotArea dataOnly="0" labelOnly="1" outline="0" fieldPosition="0">
        <references count="5">
          <reference field="0" count="1" selected="0">
            <x v="1"/>
          </reference>
          <reference field="3" count="1" selected="0">
            <x v="31"/>
          </reference>
          <reference field="4" count="1" selected="0">
            <x v="167"/>
          </reference>
          <reference field="5" count="1" selected="0">
            <x v="1576"/>
          </reference>
          <reference field="7" count="1">
            <x v="300"/>
          </reference>
        </references>
      </pivotArea>
    </format>
    <format dxfId="1873">
      <pivotArea dataOnly="0" labelOnly="1" outline="0" fieldPosition="0">
        <references count="5">
          <reference field="0" count="1" selected="0">
            <x v="1"/>
          </reference>
          <reference field="3" count="1" selected="0">
            <x v="31"/>
          </reference>
          <reference field="4" count="1" selected="0">
            <x v="167"/>
          </reference>
          <reference field="5" count="1" selected="0">
            <x v="1577"/>
          </reference>
          <reference field="7" count="1">
            <x v="373"/>
          </reference>
        </references>
      </pivotArea>
    </format>
    <format dxfId="1872">
      <pivotArea dataOnly="0" labelOnly="1" outline="0" fieldPosition="0">
        <references count="5">
          <reference field="0" count="1" selected="0">
            <x v="1"/>
          </reference>
          <reference field="3" count="1" selected="0">
            <x v="31"/>
          </reference>
          <reference field="4" count="1" selected="0">
            <x v="167"/>
          </reference>
          <reference field="5" count="1" selected="0">
            <x v="1613"/>
          </reference>
          <reference field="7" count="1">
            <x v="510"/>
          </reference>
        </references>
      </pivotArea>
    </format>
    <format dxfId="1871">
      <pivotArea dataOnly="0" labelOnly="1" outline="0" fieldPosition="0">
        <references count="5">
          <reference field="0" count="1" selected="0">
            <x v="1"/>
          </reference>
          <reference field="3" count="1" selected="0">
            <x v="31"/>
          </reference>
          <reference field="4" count="1" selected="0">
            <x v="216"/>
          </reference>
          <reference field="5" count="1" selected="0">
            <x v="13"/>
          </reference>
          <reference field="7" count="1">
            <x v="878"/>
          </reference>
        </references>
      </pivotArea>
    </format>
    <format dxfId="1870">
      <pivotArea dataOnly="0" labelOnly="1" outline="0" fieldPosition="0">
        <references count="5">
          <reference field="0" count="1" selected="0">
            <x v="1"/>
          </reference>
          <reference field="3" count="1" selected="0">
            <x v="31"/>
          </reference>
          <reference field="4" count="1" selected="0">
            <x v="216"/>
          </reference>
          <reference field="5" count="1" selected="0">
            <x v="48"/>
          </reference>
          <reference field="7" count="1">
            <x v="692"/>
          </reference>
        </references>
      </pivotArea>
    </format>
    <format dxfId="1869">
      <pivotArea dataOnly="0" labelOnly="1" outline="0" fieldPosition="0">
        <references count="5">
          <reference field="0" count="1" selected="0">
            <x v="1"/>
          </reference>
          <reference field="3" count="1" selected="0">
            <x v="31"/>
          </reference>
          <reference field="4" count="1" selected="0">
            <x v="216"/>
          </reference>
          <reference field="5" count="1" selected="0">
            <x v="148"/>
          </reference>
          <reference field="7" count="1">
            <x v="977"/>
          </reference>
        </references>
      </pivotArea>
    </format>
    <format dxfId="1868">
      <pivotArea dataOnly="0" labelOnly="1" outline="0" fieldPosition="0">
        <references count="5">
          <reference field="0" count="1" selected="0">
            <x v="1"/>
          </reference>
          <reference field="3" count="1" selected="0">
            <x v="31"/>
          </reference>
          <reference field="4" count="1" selected="0">
            <x v="216"/>
          </reference>
          <reference field="5" count="1" selected="0">
            <x v="167"/>
          </reference>
          <reference field="7" count="1">
            <x v="1088"/>
          </reference>
        </references>
      </pivotArea>
    </format>
    <format dxfId="1867">
      <pivotArea dataOnly="0" labelOnly="1" outline="0" fieldPosition="0">
        <references count="5">
          <reference field="0" count="1" selected="0">
            <x v="1"/>
          </reference>
          <reference field="3" count="1" selected="0">
            <x v="31"/>
          </reference>
          <reference field="4" count="1" selected="0">
            <x v="216"/>
          </reference>
          <reference field="5" count="1" selected="0">
            <x v="409"/>
          </reference>
          <reference field="7" count="1">
            <x v="672"/>
          </reference>
        </references>
      </pivotArea>
    </format>
    <format dxfId="1866">
      <pivotArea dataOnly="0" labelOnly="1" outline="0" fieldPosition="0">
        <references count="5">
          <reference field="0" count="1" selected="0">
            <x v="1"/>
          </reference>
          <reference field="3" count="1" selected="0">
            <x v="31"/>
          </reference>
          <reference field="4" count="1" selected="0">
            <x v="216"/>
          </reference>
          <reference field="5" count="1" selected="0">
            <x v="418"/>
          </reference>
          <reference field="7" count="1">
            <x v="838"/>
          </reference>
        </references>
      </pivotArea>
    </format>
    <format dxfId="1865">
      <pivotArea dataOnly="0" labelOnly="1" outline="0" fieldPosition="0">
        <references count="5">
          <reference field="0" count="1" selected="0">
            <x v="1"/>
          </reference>
          <reference field="3" count="1" selected="0">
            <x v="31"/>
          </reference>
          <reference field="4" count="1" selected="0">
            <x v="216"/>
          </reference>
          <reference field="5" count="1" selected="0">
            <x v="1205"/>
          </reference>
          <reference field="7" count="1">
            <x v="129"/>
          </reference>
        </references>
      </pivotArea>
    </format>
    <format dxfId="1864">
      <pivotArea dataOnly="0" labelOnly="1" outline="0" fieldPosition="0">
        <references count="5">
          <reference field="0" count="1" selected="0">
            <x v="1"/>
          </reference>
          <reference field="3" count="1" selected="0">
            <x v="31"/>
          </reference>
          <reference field="4" count="1" selected="0">
            <x v="216"/>
          </reference>
          <reference field="5" count="1" selected="0">
            <x v="1206"/>
          </reference>
          <reference field="7" count="1">
            <x v="112"/>
          </reference>
        </references>
      </pivotArea>
    </format>
    <format dxfId="1863">
      <pivotArea dataOnly="0" labelOnly="1" outline="0" fieldPosition="0">
        <references count="5">
          <reference field="0" count="1" selected="0">
            <x v="1"/>
          </reference>
          <reference field="3" count="1" selected="0">
            <x v="31"/>
          </reference>
          <reference field="4" count="1" selected="0">
            <x v="216"/>
          </reference>
          <reference field="5" count="1" selected="0">
            <x v="1207"/>
          </reference>
          <reference field="7" count="1">
            <x v="109"/>
          </reference>
        </references>
      </pivotArea>
    </format>
    <format dxfId="1862">
      <pivotArea dataOnly="0" labelOnly="1" outline="0" fieldPosition="0">
        <references count="5">
          <reference field="0" count="1" selected="0">
            <x v="1"/>
          </reference>
          <reference field="3" count="1" selected="0">
            <x v="31"/>
          </reference>
          <reference field="4" count="1" selected="0">
            <x v="216"/>
          </reference>
          <reference field="5" count="1" selected="0">
            <x v="1208"/>
          </reference>
          <reference field="7" count="1">
            <x v="111"/>
          </reference>
        </references>
      </pivotArea>
    </format>
    <format dxfId="1861">
      <pivotArea dataOnly="0" labelOnly="1" outline="0" fieldPosition="0">
        <references count="5">
          <reference field="0" count="1" selected="0">
            <x v="1"/>
          </reference>
          <reference field="3" count="1" selected="0">
            <x v="31"/>
          </reference>
          <reference field="4" count="1" selected="0">
            <x v="216"/>
          </reference>
          <reference field="5" count="1" selected="0">
            <x v="1209"/>
          </reference>
          <reference field="7" count="1">
            <x v="110"/>
          </reference>
        </references>
      </pivotArea>
    </format>
    <format dxfId="1860">
      <pivotArea dataOnly="0" labelOnly="1" outline="0" fieldPosition="0">
        <references count="5">
          <reference field="0" count="1" selected="0">
            <x v="1"/>
          </reference>
          <reference field="3" count="1" selected="0">
            <x v="31"/>
          </reference>
          <reference field="4" count="1" selected="0">
            <x v="216"/>
          </reference>
          <reference field="5" count="1" selected="0">
            <x v="1522"/>
          </reference>
          <reference field="7" count="1">
            <x v="334"/>
          </reference>
        </references>
      </pivotArea>
    </format>
    <format dxfId="1859">
      <pivotArea dataOnly="0" labelOnly="1" outline="0" fieldPosition="0">
        <references count="5">
          <reference field="0" count="1" selected="0">
            <x v="1"/>
          </reference>
          <reference field="3" count="1" selected="0">
            <x v="32"/>
          </reference>
          <reference field="4" count="1" selected="0">
            <x v="5"/>
          </reference>
          <reference field="5" count="1" selected="0">
            <x v="349"/>
          </reference>
          <reference field="7" count="1">
            <x v="117"/>
          </reference>
        </references>
      </pivotArea>
    </format>
    <format dxfId="1858">
      <pivotArea dataOnly="0" labelOnly="1" outline="0" fieldPosition="0">
        <references count="5">
          <reference field="0" count="1" selected="0">
            <x v="1"/>
          </reference>
          <reference field="3" count="1" selected="0">
            <x v="32"/>
          </reference>
          <reference field="4" count="1" selected="0">
            <x v="5"/>
          </reference>
          <reference field="5" count="1" selected="0">
            <x v="350"/>
          </reference>
          <reference field="7" count="1">
            <x v="1024"/>
          </reference>
        </references>
      </pivotArea>
    </format>
    <format dxfId="1857">
      <pivotArea dataOnly="0" labelOnly="1" outline="0" fieldPosition="0">
        <references count="5">
          <reference field="0" count="1" selected="0">
            <x v="1"/>
          </reference>
          <reference field="3" count="1" selected="0">
            <x v="32"/>
          </reference>
          <reference field="4" count="1" selected="0">
            <x v="5"/>
          </reference>
          <reference field="5" count="1" selected="0">
            <x v="387"/>
          </reference>
          <reference field="7" count="1">
            <x v="114"/>
          </reference>
        </references>
      </pivotArea>
    </format>
    <format dxfId="1856">
      <pivotArea dataOnly="0" labelOnly="1" outline="0" fieldPosition="0">
        <references count="5">
          <reference field="0" count="1" selected="0">
            <x v="1"/>
          </reference>
          <reference field="3" count="1" selected="0">
            <x v="32"/>
          </reference>
          <reference field="4" count="1" selected="0">
            <x v="200"/>
          </reference>
          <reference field="5" count="1" selected="0">
            <x v="253"/>
          </reference>
          <reference field="7" count="1">
            <x v="1319"/>
          </reference>
        </references>
      </pivotArea>
    </format>
    <format dxfId="1855">
      <pivotArea dataOnly="0" labelOnly="1" outline="0" fieldPosition="0">
        <references count="5">
          <reference field="0" count="1" selected="0">
            <x v="1"/>
          </reference>
          <reference field="3" count="1" selected="0">
            <x v="32"/>
          </reference>
          <reference field="4" count="1" selected="0">
            <x v="200"/>
          </reference>
          <reference field="5" count="1" selected="0">
            <x v="1552"/>
          </reference>
          <reference field="7" count="1">
            <x v="800"/>
          </reference>
        </references>
      </pivotArea>
    </format>
    <format dxfId="1854">
      <pivotArea dataOnly="0" labelOnly="1" outline="0" fieldPosition="0">
        <references count="5">
          <reference field="0" count="1" selected="0">
            <x v="1"/>
          </reference>
          <reference field="3" count="1" selected="0">
            <x v="32"/>
          </reference>
          <reference field="4" count="1" selected="0">
            <x v="200"/>
          </reference>
          <reference field="5" count="1" selected="0">
            <x v="1574"/>
          </reference>
          <reference field="7" count="1">
            <x v="202"/>
          </reference>
        </references>
      </pivotArea>
    </format>
    <format dxfId="1853">
      <pivotArea dataOnly="0" labelOnly="1" outline="0" fieldPosition="0">
        <references count="5">
          <reference field="0" count="1" selected="0">
            <x v="1"/>
          </reference>
          <reference field="3" count="1" selected="0">
            <x v="32"/>
          </reference>
          <reference field="4" count="1" selected="0">
            <x v="204"/>
          </reference>
          <reference field="5" count="1" selected="0">
            <x v="27"/>
          </reference>
          <reference field="7" count="1">
            <x v="640"/>
          </reference>
        </references>
      </pivotArea>
    </format>
    <format dxfId="1852">
      <pivotArea dataOnly="0" labelOnly="1" outline="0" fieldPosition="0">
        <references count="5">
          <reference field="0" count="1" selected="0">
            <x v="1"/>
          </reference>
          <reference field="3" count="1" selected="0">
            <x v="32"/>
          </reference>
          <reference field="4" count="1" selected="0">
            <x v="204"/>
          </reference>
          <reference field="5" count="1" selected="0">
            <x v="94"/>
          </reference>
          <reference field="7" count="1">
            <x v="1454"/>
          </reference>
        </references>
      </pivotArea>
    </format>
    <format dxfId="1851">
      <pivotArea dataOnly="0" labelOnly="1" outline="0" fieldPosition="0">
        <references count="5">
          <reference field="0" count="1" selected="0">
            <x v="1"/>
          </reference>
          <reference field="3" count="1" selected="0">
            <x v="32"/>
          </reference>
          <reference field="4" count="1" selected="0">
            <x v="204"/>
          </reference>
          <reference field="5" count="1" selected="0">
            <x v="136"/>
          </reference>
          <reference field="7" count="1">
            <x v="593"/>
          </reference>
        </references>
      </pivotArea>
    </format>
    <format dxfId="1850">
      <pivotArea dataOnly="0" labelOnly="1" outline="0" fieldPosition="0">
        <references count="5">
          <reference field="0" count="1" selected="0">
            <x v="1"/>
          </reference>
          <reference field="3" count="1" selected="0">
            <x v="32"/>
          </reference>
          <reference field="4" count="1" selected="0">
            <x v="204"/>
          </reference>
          <reference field="5" count="1" selected="0">
            <x v="146"/>
          </reference>
          <reference field="7" count="1">
            <x v="1587"/>
          </reference>
        </references>
      </pivotArea>
    </format>
    <format dxfId="1849">
      <pivotArea dataOnly="0" labelOnly="1" outline="0" fieldPosition="0">
        <references count="5">
          <reference field="0" count="1" selected="0">
            <x v="1"/>
          </reference>
          <reference field="3" count="1" selected="0">
            <x v="32"/>
          </reference>
          <reference field="4" count="1" selected="0">
            <x v="204"/>
          </reference>
          <reference field="5" count="1" selected="0">
            <x v="163"/>
          </reference>
          <reference field="7" count="1">
            <x v="1083"/>
          </reference>
        </references>
      </pivotArea>
    </format>
    <format dxfId="1848">
      <pivotArea dataOnly="0" labelOnly="1" outline="0" fieldPosition="0">
        <references count="5">
          <reference field="0" count="1" selected="0">
            <x v="1"/>
          </reference>
          <reference field="3" count="1" selected="0">
            <x v="32"/>
          </reference>
          <reference field="4" count="1" selected="0">
            <x v="204"/>
          </reference>
          <reference field="5" count="1" selected="0">
            <x v="209"/>
          </reference>
          <reference field="7" count="1">
            <x v="979"/>
          </reference>
        </references>
      </pivotArea>
    </format>
    <format dxfId="1847">
      <pivotArea dataOnly="0" labelOnly="1" outline="0" fieldPosition="0">
        <references count="5">
          <reference field="0" count="1" selected="0">
            <x v="1"/>
          </reference>
          <reference field="3" count="1" selected="0">
            <x v="32"/>
          </reference>
          <reference field="4" count="1" selected="0">
            <x v="204"/>
          </reference>
          <reference field="5" count="1" selected="0">
            <x v="239"/>
          </reference>
          <reference field="7" count="1">
            <x v="1584"/>
          </reference>
        </references>
      </pivotArea>
    </format>
    <format dxfId="1846">
      <pivotArea dataOnly="0" labelOnly="1" outline="0" fieldPosition="0">
        <references count="5">
          <reference field="0" count="1" selected="0">
            <x v="1"/>
          </reference>
          <reference field="3" count="1" selected="0">
            <x v="32"/>
          </reference>
          <reference field="4" count="1" selected="0">
            <x v="204"/>
          </reference>
          <reference field="5" count="1" selected="0">
            <x v="251"/>
          </reference>
          <reference field="7" count="1">
            <x v="1314"/>
          </reference>
        </references>
      </pivotArea>
    </format>
    <format dxfId="1845">
      <pivotArea dataOnly="0" labelOnly="1" outline="0" fieldPosition="0">
        <references count="5">
          <reference field="0" count="1" selected="0">
            <x v="1"/>
          </reference>
          <reference field="3" count="1" selected="0">
            <x v="32"/>
          </reference>
          <reference field="4" count="1" selected="0">
            <x v="204"/>
          </reference>
          <reference field="5" count="1" selected="0">
            <x v="303"/>
          </reference>
          <reference field="7" count="1">
            <x v="1322"/>
          </reference>
        </references>
      </pivotArea>
    </format>
    <format dxfId="1844">
      <pivotArea dataOnly="0" labelOnly="1" outline="0" fieldPosition="0">
        <references count="5">
          <reference field="0" count="1" selected="0">
            <x v="1"/>
          </reference>
          <reference field="3" count="1" selected="0">
            <x v="32"/>
          </reference>
          <reference field="4" count="1" selected="0">
            <x v="204"/>
          </reference>
          <reference field="5" count="1" selected="0">
            <x v="318"/>
          </reference>
          <reference field="7" count="1">
            <x v="1404"/>
          </reference>
        </references>
      </pivotArea>
    </format>
    <format dxfId="1843">
      <pivotArea dataOnly="0" labelOnly="1" outline="0" fieldPosition="0">
        <references count="5">
          <reference field="0" count="1" selected="0">
            <x v="1"/>
          </reference>
          <reference field="3" count="1" selected="0">
            <x v="32"/>
          </reference>
          <reference field="4" count="1" selected="0">
            <x v="204"/>
          </reference>
          <reference field="5" count="1" selected="0">
            <x v="327"/>
          </reference>
          <reference field="7" count="1">
            <x v="585"/>
          </reference>
        </references>
      </pivotArea>
    </format>
    <format dxfId="1842">
      <pivotArea dataOnly="0" labelOnly="1" outline="0" fieldPosition="0">
        <references count="5">
          <reference field="0" count="1" selected="0">
            <x v="1"/>
          </reference>
          <reference field="3" count="1" selected="0">
            <x v="32"/>
          </reference>
          <reference field="4" count="1" selected="0">
            <x v="204"/>
          </reference>
          <reference field="5" count="1" selected="0">
            <x v="1212"/>
          </reference>
          <reference field="7" count="1">
            <x v="1245"/>
          </reference>
        </references>
      </pivotArea>
    </format>
    <format dxfId="1841">
      <pivotArea dataOnly="0" labelOnly="1" outline="0" fieldPosition="0">
        <references count="5">
          <reference field="0" count="1" selected="0">
            <x v="1"/>
          </reference>
          <reference field="3" count="1" selected="0">
            <x v="32"/>
          </reference>
          <reference field="4" count="1" selected="0">
            <x v="204"/>
          </reference>
          <reference field="5" count="1" selected="0">
            <x v="1217"/>
          </reference>
          <reference field="7" count="1">
            <x v="1239"/>
          </reference>
        </references>
      </pivotArea>
    </format>
    <format dxfId="1840">
      <pivotArea dataOnly="0" labelOnly="1" outline="0" fieldPosition="0">
        <references count="5">
          <reference field="0" count="1" selected="0">
            <x v="1"/>
          </reference>
          <reference field="3" count="1" selected="0">
            <x v="32"/>
          </reference>
          <reference field="4" count="1" selected="0">
            <x v="204"/>
          </reference>
          <reference field="5" count="1" selected="0">
            <x v="1220"/>
          </reference>
          <reference field="7" count="1">
            <x v="1236"/>
          </reference>
        </references>
      </pivotArea>
    </format>
    <format dxfId="1839">
      <pivotArea dataOnly="0" labelOnly="1" outline="0" fieldPosition="0">
        <references count="5">
          <reference field="0" count="1" selected="0">
            <x v="1"/>
          </reference>
          <reference field="3" count="1" selected="0">
            <x v="32"/>
          </reference>
          <reference field="4" count="1" selected="0">
            <x v="204"/>
          </reference>
          <reference field="5" count="1" selected="0">
            <x v="1221"/>
          </reference>
          <reference field="7" count="1">
            <x v="1143"/>
          </reference>
        </references>
      </pivotArea>
    </format>
    <format dxfId="1838">
      <pivotArea dataOnly="0" labelOnly="1" outline="0" fieldPosition="0">
        <references count="5">
          <reference field="0" count="1" selected="0">
            <x v="1"/>
          </reference>
          <reference field="3" count="1" selected="0">
            <x v="32"/>
          </reference>
          <reference field="4" count="1" selected="0">
            <x v="204"/>
          </reference>
          <reference field="5" count="1" selected="0">
            <x v="1223"/>
          </reference>
          <reference field="7" count="1">
            <x v="1389"/>
          </reference>
        </references>
      </pivotArea>
    </format>
    <format dxfId="1837">
      <pivotArea dataOnly="0" labelOnly="1" outline="0" fieldPosition="0">
        <references count="5">
          <reference field="0" count="1" selected="0">
            <x v="1"/>
          </reference>
          <reference field="3" count="1" selected="0">
            <x v="32"/>
          </reference>
          <reference field="4" count="1" selected="0">
            <x v="204"/>
          </reference>
          <reference field="5" count="1" selected="0">
            <x v="1224"/>
          </reference>
          <reference field="7" count="1">
            <x v="1324"/>
          </reference>
        </references>
      </pivotArea>
    </format>
    <format dxfId="1836">
      <pivotArea dataOnly="0" labelOnly="1" outline="0" fieldPosition="0">
        <references count="5">
          <reference field="0" count="1" selected="0">
            <x v="1"/>
          </reference>
          <reference field="3" count="1" selected="0">
            <x v="32"/>
          </reference>
          <reference field="4" count="1" selected="0">
            <x v="204"/>
          </reference>
          <reference field="5" count="1" selected="0">
            <x v="1622"/>
          </reference>
          <reference field="7" count="1">
            <x v="1117"/>
          </reference>
        </references>
      </pivotArea>
    </format>
    <format dxfId="1835">
      <pivotArea dataOnly="0" labelOnly="1" outline="0" fieldPosition="0">
        <references count="5">
          <reference field="0" count="1" selected="0">
            <x v="1"/>
          </reference>
          <reference field="3" count="1" selected="0">
            <x v="32"/>
          </reference>
          <reference field="4" count="1" selected="0">
            <x v="205"/>
          </reference>
          <reference field="5" count="1" selected="0">
            <x v="71"/>
          </reference>
          <reference field="7" count="1">
            <x v="355"/>
          </reference>
        </references>
      </pivotArea>
    </format>
    <format dxfId="1834">
      <pivotArea dataOnly="0" labelOnly="1" outline="0" fieldPosition="0">
        <references count="5">
          <reference field="0" count="1" selected="0">
            <x v="1"/>
          </reference>
          <reference field="3" count="1" selected="0">
            <x v="32"/>
          </reference>
          <reference field="4" count="1" selected="0">
            <x v="205"/>
          </reference>
          <reference field="5" count="1" selected="0">
            <x v="73"/>
          </reference>
          <reference field="7" count="1">
            <x v="357"/>
          </reference>
        </references>
      </pivotArea>
    </format>
    <format dxfId="1833">
      <pivotArea dataOnly="0" labelOnly="1" outline="0" fieldPosition="0">
        <references count="5">
          <reference field="0" count="1" selected="0">
            <x v="1"/>
          </reference>
          <reference field="3" count="1" selected="0">
            <x v="32"/>
          </reference>
          <reference field="4" count="1" selected="0">
            <x v="205"/>
          </reference>
          <reference field="5" count="1" selected="0">
            <x v="1215"/>
          </reference>
          <reference field="7" count="1">
            <x v="1123"/>
          </reference>
        </references>
      </pivotArea>
    </format>
    <format dxfId="1832">
      <pivotArea dataOnly="0" labelOnly="1" outline="0" fieldPosition="0">
        <references count="5">
          <reference field="0" count="1" selected="0">
            <x v="1"/>
          </reference>
          <reference field="3" count="1" selected="0">
            <x v="32"/>
          </reference>
          <reference field="4" count="1" selected="0">
            <x v="205"/>
          </reference>
          <reference field="5" count="1" selected="0">
            <x v="1216"/>
          </reference>
          <reference field="7" count="1">
            <x v="1237"/>
          </reference>
        </references>
      </pivotArea>
    </format>
    <format dxfId="1831">
      <pivotArea dataOnly="0" labelOnly="1" outline="0" fieldPosition="0">
        <references count="5">
          <reference field="0" count="1" selected="0">
            <x v="1"/>
          </reference>
          <reference field="3" count="1" selected="0">
            <x v="32"/>
          </reference>
          <reference field="4" count="1" selected="0">
            <x v="206"/>
          </reference>
          <reference field="5" count="1" selected="0">
            <x v="279"/>
          </reference>
          <reference field="7" count="1">
            <x v="752"/>
          </reference>
        </references>
      </pivotArea>
    </format>
    <format dxfId="1830">
      <pivotArea dataOnly="0" labelOnly="1" outline="0" fieldPosition="0">
        <references count="5">
          <reference field="0" count="1" selected="0">
            <x v="1"/>
          </reference>
          <reference field="3" count="1" selected="0">
            <x v="32"/>
          </reference>
          <reference field="4" count="1" selected="0">
            <x v="206"/>
          </reference>
          <reference field="5" count="1" selected="0">
            <x v="1218"/>
          </reference>
          <reference field="7" count="1">
            <x v="1124"/>
          </reference>
        </references>
      </pivotArea>
    </format>
    <format dxfId="1829">
      <pivotArea dataOnly="0" labelOnly="1" outline="0" fieldPosition="0">
        <references count="5">
          <reference field="0" count="1" selected="0">
            <x v="1"/>
          </reference>
          <reference field="3" count="1" selected="0">
            <x v="32"/>
          </reference>
          <reference field="4" count="1" selected="0">
            <x v="206"/>
          </reference>
          <reference field="5" count="1" selected="0">
            <x v="1219"/>
          </reference>
          <reference field="7" count="1">
            <x v="1238"/>
          </reference>
        </references>
      </pivotArea>
    </format>
    <format dxfId="1828">
      <pivotArea dataOnly="0" labelOnly="1" outline="0" fieldPosition="0">
        <references count="5">
          <reference field="0" count="1" selected="0">
            <x v="1"/>
          </reference>
          <reference field="3" count="1" selected="0">
            <x v="32"/>
          </reference>
          <reference field="4" count="1" selected="0">
            <x v="207"/>
          </reference>
          <reference field="5" count="1" selected="0">
            <x v="73"/>
          </reference>
          <reference field="7" count="1">
            <x v="357"/>
          </reference>
        </references>
      </pivotArea>
    </format>
    <format dxfId="1827">
      <pivotArea dataOnly="0" labelOnly="1" outline="0" fieldPosition="0">
        <references count="5">
          <reference field="0" count="1" selected="0">
            <x v="1"/>
          </reference>
          <reference field="3" count="1" selected="0">
            <x v="32"/>
          </reference>
          <reference field="4" count="1" selected="0">
            <x v="207"/>
          </reference>
          <reference field="5" count="1" selected="0">
            <x v="282"/>
          </reference>
          <reference field="7" count="1">
            <x v="755"/>
          </reference>
        </references>
      </pivotArea>
    </format>
    <format dxfId="1826">
      <pivotArea dataOnly="0" labelOnly="1" outline="0" fieldPosition="0">
        <references count="5">
          <reference field="0" count="1" selected="0">
            <x v="1"/>
          </reference>
          <reference field="3" count="1" selected="0">
            <x v="32"/>
          </reference>
          <reference field="4" count="1" selected="0">
            <x v="207"/>
          </reference>
          <reference field="5" count="1" selected="0">
            <x v="1213"/>
          </reference>
          <reference field="7" count="1">
            <x v="1125"/>
          </reference>
        </references>
      </pivotArea>
    </format>
    <format dxfId="1825">
      <pivotArea dataOnly="0" labelOnly="1" outline="0" fieldPosition="0">
        <references count="5">
          <reference field="0" count="1" selected="0">
            <x v="1"/>
          </reference>
          <reference field="3" count="1" selected="0">
            <x v="32"/>
          </reference>
          <reference field="4" count="1" selected="0">
            <x v="207"/>
          </reference>
          <reference field="5" count="1" selected="0">
            <x v="1214"/>
          </reference>
          <reference field="7" count="1">
            <x v="1240"/>
          </reference>
        </references>
      </pivotArea>
    </format>
    <format dxfId="1824">
      <pivotArea dataOnly="0" labelOnly="1" outline="0" fieldPosition="0">
        <references count="5">
          <reference field="0" count="1" selected="0">
            <x v="1"/>
          </reference>
          <reference field="3" count="1" selected="0">
            <x v="32"/>
          </reference>
          <reference field="4" count="1" selected="0">
            <x v="216"/>
          </reference>
          <reference field="5" count="1" selected="0">
            <x v="8"/>
          </reference>
          <reference field="7" count="1">
            <x v="1484"/>
          </reference>
        </references>
      </pivotArea>
    </format>
    <format dxfId="1823">
      <pivotArea dataOnly="0" labelOnly="1" outline="0" fieldPosition="0">
        <references count="5">
          <reference field="0" count="1" selected="0">
            <x v="1"/>
          </reference>
          <reference field="3" count="1" selected="0">
            <x v="32"/>
          </reference>
          <reference field="4" count="1" selected="0">
            <x v="216"/>
          </reference>
          <reference field="5" count="1" selected="0">
            <x v="115"/>
          </reference>
          <reference field="7" count="1">
            <x v="1073"/>
          </reference>
        </references>
      </pivotArea>
    </format>
    <format dxfId="1822">
      <pivotArea dataOnly="0" labelOnly="1" outline="0" fieldPosition="0">
        <references count="5">
          <reference field="0" count="1" selected="0">
            <x v="1"/>
          </reference>
          <reference field="3" count="1" selected="0">
            <x v="32"/>
          </reference>
          <reference field="4" count="1" selected="0">
            <x v="216"/>
          </reference>
          <reference field="5" count="1" selected="0">
            <x v="119"/>
          </reference>
          <reference field="7" count="1">
            <x v="1091"/>
          </reference>
        </references>
      </pivotArea>
    </format>
    <format dxfId="1821">
      <pivotArea dataOnly="0" labelOnly="1" outline="0" fieldPosition="0">
        <references count="5">
          <reference field="0" count="1" selected="0">
            <x v="1"/>
          </reference>
          <reference field="3" count="1" selected="0">
            <x v="32"/>
          </reference>
          <reference field="4" count="1" selected="0">
            <x v="216"/>
          </reference>
          <reference field="5" count="1" selected="0">
            <x v="136"/>
          </reference>
          <reference field="7" count="1">
            <x v="593"/>
          </reference>
        </references>
      </pivotArea>
    </format>
    <format dxfId="1820">
      <pivotArea dataOnly="0" labelOnly="1" outline="0" fieldPosition="0">
        <references count="5">
          <reference field="0" count="1" selected="0">
            <x v="1"/>
          </reference>
          <reference field="3" count="1" selected="0">
            <x v="32"/>
          </reference>
          <reference field="4" count="1" selected="0">
            <x v="216"/>
          </reference>
          <reference field="5" count="1" selected="0">
            <x v="148"/>
          </reference>
          <reference field="7" count="1">
            <x v="977"/>
          </reference>
        </references>
      </pivotArea>
    </format>
    <format dxfId="1819">
      <pivotArea dataOnly="0" labelOnly="1" outline="0" fieldPosition="0">
        <references count="5">
          <reference field="0" count="1" selected="0">
            <x v="1"/>
          </reference>
          <reference field="3" count="1" selected="0">
            <x v="32"/>
          </reference>
          <reference field="4" count="1" selected="0">
            <x v="216"/>
          </reference>
          <reference field="5" count="1" selected="0">
            <x v="167"/>
          </reference>
          <reference field="7" count="1">
            <x v="1088"/>
          </reference>
        </references>
      </pivotArea>
    </format>
    <format dxfId="1818">
      <pivotArea dataOnly="0" labelOnly="1" outline="0" fieldPosition="0">
        <references count="5">
          <reference field="0" count="1" selected="0">
            <x v="1"/>
          </reference>
          <reference field="3" count="1" selected="0">
            <x v="32"/>
          </reference>
          <reference field="4" count="1" selected="0">
            <x v="216"/>
          </reference>
          <reference field="5" count="1" selected="0">
            <x v="203"/>
          </reference>
          <reference field="7" count="1">
            <x v="1418"/>
          </reference>
        </references>
      </pivotArea>
    </format>
    <format dxfId="1817">
      <pivotArea dataOnly="0" labelOnly="1" outline="0" fieldPosition="0">
        <references count="5">
          <reference field="0" count="1" selected="0">
            <x v="1"/>
          </reference>
          <reference field="3" count="1" selected="0">
            <x v="32"/>
          </reference>
          <reference field="4" count="1" selected="0">
            <x v="216"/>
          </reference>
          <reference field="5" count="1" selected="0">
            <x v="206"/>
          </reference>
          <reference field="7" count="1">
            <x v="1428"/>
          </reference>
        </references>
      </pivotArea>
    </format>
    <format dxfId="1816">
      <pivotArea dataOnly="0" labelOnly="1" outline="0" fieldPosition="0">
        <references count="5">
          <reference field="0" count="1" selected="0">
            <x v="1"/>
          </reference>
          <reference field="3" count="1" selected="0">
            <x v="32"/>
          </reference>
          <reference field="4" count="1" selected="0">
            <x v="216"/>
          </reference>
          <reference field="5" count="1" selected="0">
            <x v="294"/>
          </reference>
          <reference field="7" count="1">
            <x v="1427"/>
          </reference>
        </references>
      </pivotArea>
    </format>
    <format dxfId="1815">
      <pivotArea dataOnly="0" labelOnly="1" outline="0" fieldPosition="0">
        <references count="5">
          <reference field="0" count="1" selected="0">
            <x v="1"/>
          </reference>
          <reference field="3" count="1" selected="0">
            <x v="32"/>
          </reference>
          <reference field="4" count="1" selected="0">
            <x v="216"/>
          </reference>
          <reference field="5" count="1" selected="0">
            <x v="302"/>
          </reference>
          <reference field="7" count="1">
            <x v="1070"/>
          </reference>
        </references>
      </pivotArea>
    </format>
    <format dxfId="1814">
      <pivotArea dataOnly="0" labelOnly="1" outline="0" fieldPosition="0">
        <references count="5">
          <reference field="0" count="1" selected="0">
            <x v="1"/>
          </reference>
          <reference field="3" count="1" selected="0">
            <x v="32"/>
          </reference>
          <reference field="4" count="1" selected="0">
            <x v="216"/>
          </reference>
          <reference field="5" count="1" selected="0">
            <x v="310"/>
          </reference>
          <reference field="7" count="1">
            <x v="971"/>
          </reference>
        </references>
      </pivotArea>
    </format>
    <format dxfId="1813">
      <pivotArea dataOnly="0" labelOnly="1" outline="0" fieldPosition="0">
        <references count="5">
          <reference field="0" count="1" selected="0">
            <x v="1"/>
          </reference>
          <reference field="3" count="1" selected="0">
            <x v="32"/>
          </reference>
          <reference field="4" count="1" selected="0">
            <x v="216"/>
          </reference>
          <reference field="5" count="1" selected="0">
            <x v="364"/>
          </reference>
          <reference field="7" count="1">
            <x v="1501"/>
          </reference>
        </references>
      </pivotArea>
    </format>
    <format dxfId="1812">
      <pivotArea dataOnly="0" labelOnly="1" outline="0" fieldPosition="0">
        <references count="5">
          <reference field="0" count="1" selected="0">
            <x v="1"/>
          </reference>
          <reference field="3" count="1" selected="0">
            <x v="32"/>
          </reference>
          <reference field="4" count="1" selected="0">
            <x v="216"/>
          </reference>
          <reference field="5" count="1" selected="0">
            <x v="368"/>
          </reference>
          <reference field="7" count="1">
            <x v="894"/>
          </reference>
        </references>
      </pivotArea>
    </format>
    <format dxfId="1811">
      <pivotArea dataOnly="0" labelOnly="1" outline="0" fieldPosition="0">
        <references count="5">
          <reference field="0" count="1" selected="0">
            <x v="1"/>
          </reference>
          <reference field="3" count="1" selected="0">
            <x v="32"/>
          </reference>
          <reference field="4" count="1" selected="0">
            <x v="216"/>
          </reference>
          <reference field="5" count="1" selected="0">
            <x v="372"/>
          </reference>
          <reference field="7" count="1">
            <x v="371"/>
          </reference>
        </references>
      </pivotArea>
    </format>
    <format dxfId="1810">
      <pivotArea dataOnly="0" labelOnly="1" outline="0" fieldPosition="0">
        <references count="5">
          <reference field="0" count="1" selected="0">
            <x v="1"/>
          </reference>
          <reference field="3" count="1" selected="0">
            <x v="32"/>
          </reference>
          <reference field="4" count="1" selected="0">
            <x v="216"/>
          </reference>
          <reference field="5" count="1" selected="0">
            <x v="403"/>
          </reference>
          <reference field="7" count="1">
            <x v="810"/>
          </reference>
        </references>
      </pivotArea>
    </format>
    <format dxfId="1809">
      <pivotArea dataOnly="0" labelOnly="1" outline="0" fieldPosition="0">
        <references count="5">
          <reference field="0" count="1" selected="0">
            <x v="1"/>
          </reference>
          <reference field="3" count="1" selected="0">
            <x v="32"/>
          </reference>
          <reference field="4" count="1" selected="0">
            <x v="216"/>
          </reference>
          <reference field="5" count="1" selected="0">
            <x v="406"/>
          </reference>
          <reference field="7" count="1">
            <x v="895"/>
          </reference>
        </references>
      </pivotArea>
    </format>
    <format dxfId="1808">
      <pivotArea dataOnly="0" labelOnly="1" outline="0" fieldPosition="0">
        <references count="5">
          <reference field="0" count="1" selected="0">
            <x v="1"/>
          </reference>
          <reference field="3" count="1" selected="0">
            <x v="32"/>
          </reference>
          <reference field="4" count="1" selected="0">
            <x v="216"/>
          </reference>
          <reference field="5" count="1" selected="0">
            <x v="407"/>
          </reference>
          <reference field="7" count="1">
            <x v="0"/>
          </reference>
        </references>
      </pivotArea>
    </format>
    <format dxfId="1807">
      <pivotArea dataOnly="0" labelOnly="1" outline="0" fieldPosition="0">
        <references count="5">
          <reference field="0" count="1" selected="0">
            <x v="1"/>
          </reference>
          <reference field="3" count="1" selected="0">
            <x v="32"/>
          </reference>
          <reference field="4" count="1" selected="0">
            <x v="216"/>
          </reference>
          <reference field="5" count="1" selected="0">
            <x v="409"/>
          </reference>
          <reference field="7" count="1">
            <x v="672"/>
          </reference>
        </references>
      </pivotArea>
    </format>
    <format dxfId="1806">
      <pivotArea dataOnly="0" labelOnly="1" outline="0" fieldPosition="0">
        <references count="5">
          <reference field="0" count="1" selected="0">
            <x v="1"/>
          </reference>
          <reference field="3" count="1" selected="0">
            <x v="32"/>
          </reference>
          <reference field="4" count="1" selected="0">
            <x v="216"/>
          </reference>
          <reference field="5" count="1" selected="0">
            <x v="424"/>
          </reference>
          <reference field="7" count="1">
            <x v="1461"/>
          </reference>
        </references>
      </pivotArea>
    </format>
    <format dxfId="1805">
      <pivotArea dataOnly="0" labelOnly="1" outline="0" fieldPosition="0">
        <references count="5">
          <reference field="0" count="1" selected="0">
            <x v="1"/>
          </reference>
          <reference field="3" count="1" selected="0">
            <x v="32"/>
          </reference>
          <reference field="4" count="1" selected="0">
            <x v="216"/>
          </reference>
          <reference field="5" count="1" selected="0">
            <x v="428"/>
          </reference>
          <reference field="7" count="1">
            <x v="655"/>
          </reference>
        </references>
      </pivotArea>
    </format>
    <format dxfId="1804">
      <pivotArea dataOnly="0" labelOnly="1" outline="0" fieldPosition="0">
        <references count="5">
          <reference field="0" count="1" selected="0">
            <x v="1"/>
          </reference>
          <reference field="3" count="1" selected="0">
            <x v="32"/>
          </reference>
          <reference field="4" count="1" selected="0">
            <x v="216"/>
          </reference>
          <reference field="5" count="1" selected="0">
            <x v="1210"/>
          </reference>
          <reference field="7" count="1">
            <x v="155"/>
          </reference>
        </references>
      </pivotArea>
    </format>
    <format dxfId="1803">
      <pivotArea dataOnly="0" labelOnly="1" outline="0" fieldPosition="0">
        <references count="5">
          <reference field="0" count="1" selected="0">
            <x v="1"/>
          </reference>
          <reference field="3" count="1" selected="0">
            <x v="32"/>
          </reference>
          <reference field="4" count="1" selected="0">
            <x v="216"/>
          </reference>
          <reference field="5" count="1" selected="0">
            <x v="1211"/>
          </reference>
          <reference field="7" count="1">
            <x v="566"/>
          </reference>
        </references>
      </pivotArea>
    </format>
    <format dxfId="1802">
      <pivotArea dataOnly="0" labelOnly="1" outline="0" fieldPosition="0">
        <references count="5">
          <reference field="0" count="1" selected="0">
            <x v="1"/>
          </reference>
          <reference field="3" count="1" selected="0">
            <x v="32"/>
          </reference>
          <reference field="4" count="1" selected="0">
            <x v="216"/>
          </reference>
          <reference field="5" count="1" selected="0">
            <x v="1222"/>
          </reference>
          <reference field="7" count="1">
            <x v="563"/>
          </reference>
        </references>
      </pivotArea>
    </format>
    <format dxfId="1801">
      <pivotArea dataOnly="0" labelOnly="1" outline="0" fieldPosition="0">
        <references count="5">
          <reference field="0" count="1" selected="0">
            <x v="1"/>
          </reference>
          <reference field="3" count="1" selected="0">
            <x v="32"/>
          </reference>
          <reference field="4" count="1" selected="0">
            <x v="216"/>
          </reference>
          <reference field="5" count="1" selected="0">
            <x v="1225"/>
          </reference>
          <reference field="7" count="1">
            <x v="565"/>
          </reference>
        </references>
      </pivotArea>
    </format>
    <format dxfId="1800">
      <pivotArea dataOnly="0" labelOnly="1" outline="0" fieldPosition="0">
        <references count="5">
          <reference field="0" count="1" selected="0">
            <x v="1"/>
          </reference>
          <reference field="3" count="1" selected="0">
            <x v="32"/>
          </reference>
          <reference field="4" count="1" selected="0">
            <x v="216"/>
          </reference>
          <reference field="5" count="1" selected="0">
            <x v="1226"/>
          </reference>
          <reference field="7" count="1">
            <x v="564"/>
          </reference>
        </references>
      </pivotArea>
    </format>
    <format dxfId="1799">
      <pivotArea dataOnly="0" labelOnly="1" outline="0" fieldPosition="0">
        <references count="5">
          <reference field="0" count="1" selected="0">
            <x v="1"/>
          </reference>
          <reference field="3" count="1" selected="0">
            <x v="32"/>
          </reference>
          <reference field="4" count="1" selected="0">
            <x v="216"/>
          </reference>
          <reference field="5" count="1" selected="0">
            <x v="1227"/>
          </reference>
          <reference field="7" count="1">
            <x v="1487"/>
          </reference>
        </references>
      </pivotArea>
    </format>
    <format dxfId="1798">
      <pivotArea dataOnly="0" labelOnly="1" outline="0" fieldPosition="0">
        <references count="5">
          <reference field="0" count="1" selected="0">
            <x v="1"/>
          </reference>
          <reference field="3" count="1" selected="0">
            <x v="32"/>
          </reference>
          <reference field="4" count="1" selected="0">
            <x v="216"/>
          </reference>
          <reference field="5" count="1" selected="0">
            <x v="1228"/>
          </reference>
          <reference field="7" count="1">
            <x v="559"/>
          </reference>
        </references>
      </pivotArea>
    </format>
    <format dxfId="1797">
      <pivotArea dataOnly="0" labelOnly="1" outline="0" fieldPosition="0">
        <references count="5">
          <reference field="0" count="1" selected="0">
            <x v="1"/>
          </reference>
          <reference field="3" count="1" selected="0">
            <x v="32"/>
          </reference>
          <reference field="4" count="1" selected="0">
            <x v="216"/>
          </reference>
          <reference field="5" count="1" selected="0">
            <x v="1229"/>
          </reference>
          <reference field="7" count="1">
            <x v="561"/>
          </reference>
        </references>
      </pivotArea>
    </format>
    <format dxfId="1796">
      <pivotArea dataOnly="0" labelOnly="1" outline="0" fieldPosition="0">
        <references count="5">
          <reference field="0" count="1" selected="0">
            <x v="1"/>
          </reference>
          <reference field="3" count="1" selected="0">
            <x v="32"/>
          </reference>
          <reference field="4" count="1" selected="0">
            <x v="216"/>
          </reference>
          <reference field="5" count="1" selected="0">
            <x v="1621"/>
          </reference>
          <reference field="7" count="1">
            <x v="384"/>
          </reference>
        </references>
      </pivotArea>
    </format>
    <format dxfId="1795">
      <pivotArea dataOnly="0" labelOnly="1" outline="0" fieldPosition="0">
        <references count="5">
          <reference field="0" count="1" selected="0">
            <x v="1"/>
          </reference>
          <reference field="3" count="1" selected="0">
            <x v="33"/>
          </reference>
          <reference field="4" count="1" selected="0">
            <x v="8"/>
          </reference>
          <reference field="5" count="1" selected="0">
            <x v="345"/>
          </reference>
          <reference field="7" count="1">
            <x v="113"/>
          </reference>
        </references>
      </pivotArea>
    </format>
    <format dxfId="1794">
      <pivotArea dataOnly="0" labelOnly="1" outline="0" fieldPosition="0">
        <references count="5">
          <reference field="0" count="1" selected="0">
            <x v="1"/>
          </reference>
          <reference field="3" count="1" selected="0">
            <x v="33"/>
          </reference>
          <reference field="4" count="1" selected="0">
            <x v="8"/>
          </reference>
          <reference field="5" count="1" selected="0">
            <x v="352"/>
          </reference>
          <reference field="7" count="1">
            <x v="120"/>
          </reference>
        </references>
      </pivotArea>
    </format>
    <format dxfId="1793">
      <pivotArea dataOnly="0" labelOnly="1" outline="0" fieldPosition="0">
        <references count="5">
          <reference field="0" count="1" selected="0">
            <x v="1"/>
          </reference>
          <reference field="3" count="1" selected="0">
            <x v="33"/>
          </reference>
          <reference field="4" count="1" selected="0">
            <x v="8"/>
          </reference>
          <reference field="5" count="1" selected="0">
            <x v="353"/>
          </reference>
          <reference field="7" count="1">
            <x v="1027"/>
          </reference>
        </references>
      </pivotArea>
    </format>
    <format dxfId="1792">
      <pivotArea dataOnly="0" labelOnly="1" outline="0" fieldPosition="0">
        <references count="5">
          <reference field="0" count="1" selected="0">
            <x v="1"/>
          </reference>
          <reference field="3" count="1" selected="0">
            <x v="33"/>
          </reference>
          <reference field="4" count="1" selected="0">
            <x v="168"/>
          </reference>
          <reference field="5" count="1" selected="0">
            <x v="1523"/>
          </reference>
          <reference field="7" count="1">
            <x v="301"/>
          </reference>
        </references>
      </pivotArea>
    </format>
    <format dxfId="1791">
      <pivotArea dataOnly="0" labelOnly="1" outline="0" fieldPosition="0">
        <references count="5">
          <reference field="0" count="1" selected="0">
            <x v="1"/>
          </reference>
          <reference field="3" count="1" selected="0">
            <x v="33"/>
          </reference>
          <reference field="4" count="1" selected="0">
            <x v="168"/>
          </reference>
          <reference field="5" count="1" selected="0">
            <x v="1524"/>
          </reference>
          <reference field="7" count="1">
            <x v="333"/>
          </reference>
        </references>
      </pivotArea>
    </format>
    <format dxfId="1790">
      <pivotArea dataOnly="0" labelOnly="1" outline="0" fieldPosition="0">
        <references count="5">
          <reference field="0" count="1" selected="0">
            <x v="1"/>
          </reference>
          <reference field="3" count="1" selected="0">
            <x v="33"/>
          </reference>
          <reference field="4" count="1" selected="0">
            <x v="168"/>
          </reference>
          <reference field="5" count="1" selected="0">
            <x v="1626"/>
          </reference>
          <reference field="7" count="1">
            <x v="1474"/>
          </reference>
        </references>
      </pivotArea>
    </format>
    <format dxfId="1789">
      <pivotArea dataOnly="0" labelOnly="1" outline="0" fieldPosition="0">
        <references count="5">
          <reference field="0" count="1" selected="0">
            <x v="1"/>
          </reference>
          <reference field="3" count="1" selected="0">
            <x v="33"/>
          </reference>
          <reference field="4" count="1" selected="0">
            <x v="171"/>
          </reference>
          <reference field="5" count="1" selected="0">
            <x v="1524"/>
          </reference>
          <reference field="7" count="1">
            <x v="333"/>
          </reference>
        </references>
      </pivotArea>
    </format>
    <format dxfId="1788">
      <pivotArea dataOnly="0" labelOnly="1" outline="0" fieldPosition="0">
        <references count="5">
          <reference field="0" count="1" selected="0">
            <x v="1"/>
          </reference>
          <reference field="3" count="1" selected="0">
            <x v="33"/>
          </reference>
          <reference field="4" count="1" selected="0">
            <x v="171"/>
          </reference>
          <reference field="5" count="1" selected="0">
            <x v="1528"/>
          </reference>
          <reference field="7" count="1">
            <x v="304"/>
          </reference>
        </references>
      </pivotArea>
    </format>
    <format dxfId="1787">
      <pivotArea dataOnly="0" labelOnly="1" outline="0" fieldPosition="0">
        <references count="5">
          <reference field="0" count="1" selected="0">
            <x v="1"/>
          </reference>
          <reference field="3" count="1" selected="0">
            <x v="33"/>
          </reference>
          <reference field="4" count="1" selected="0">
            <x v="171"/>
          </reference>
          <reference field="5" count="1" selected="0">
            <x v="1628"/>
          </reference>
          <reference field="7" count="1">
            <x v="1473"/>
          </reference>
        </references>
      </pivotArea>
    </format>
    <format dxfId="1786">
      <pivotArea dataOnly="0" labelOnly="1" outline="0" fieldPosition="0">
        <references count="5">
          <reference field="0" count="1" selected="0">
            <x v="1"/>
          </reference>
          <reference field="3" count="1" selected="0">
            <x v="33"/>
          </reference>
          <reference field="4" count="1" selected="0">
            <x v="186"/>
          </reference>
          <reference field="5" count="1" selected="0">
            <x v="252"/>
          </reference>
          <reference field="7" count="1">
            <x v="1319"/>
          </reference>
        </references>
      </pivotArea>
    </format>
    <format dxfId="1785">
      <pivotArea dataOnly="0" labelOnly="1" outline="0" fieldPosition="0">
        <references count="5">
          <reference field="0" count="1" selected="0">
            <x v="1"/>
          </reference>
          <reference field="3" count="1" selected="0">
            <x v="33"/>
          </reference>
          <reference field="4" count="1" selected="0">
            <x v="186"/>
          </reference>
          <reference field="5" count="1" selected="0">
            <x v="1536"/>
          </reference>
          <reference field="7" count="1">
            <x v="793"/>
          </reference>
        </references>
      </pivotArea>
    </format>
    <format dxfId="1784">
      <pivotArea dataOnly="0" labelOnly="1" outline="0" fieldPosition="0">
        <references count="5">
          <reference field="0" count="1" selected="0">
            <x v="1"/>
          </reference>
          <reference field="3" count="1" selected="0">
            <x v="33"/>
          </reference>
          <reference field="4" count="1" selected="0">
            <x v="186"/>
          </reference>
          <reference field="5" count="1" selected="0">
            <x v="1559"/>
          </reference>
          <reference field="7" count="1">
            <x v="196"/>
          </reference>
        </references>
      </pivotArea>
    </format>
    <format dxfId="1783">
      <pivotArea dataOnly="0" labelOnly="1" outline="0" fieldPosition="0">
        <references count="5">
          <reference field="0" count="1" selected="0">
            <x v="1"/>
          </reference>
          <reference field="3" count="1" selected="0">
            <x v="33"/>
          </reference>
          <reference field="4" count="1" selected="0">
            <x v="189"/>
          </reference>
          <reference field="5" count="1" selected="0">
            <x v="248"/>
          </reference>
          <reference field="7" count="1">
            <x v="1316"/>
          </reference>
        </references>
      </pivotArea>
    </format>
    <format dxfId="1782">
      <pivotArea dataOnly="0" labelOnly="1" outline="0" fieldPosition="0">
        <references count="5">
          <reference field="0" count="1" selected="0">
            <x v="1"/>
          </reference>
          <reference field="3" count="1" selected="0">
            <x v="33"/>
          </reference>
          <reference field="4" count="1" selected="0">
            <x v="189"/>
          </reference>
          <reference field="5" count="1" selected="0">
            <x v="1539"/>
          </reference>
          <reference field="7" count="1">
            <x v="793"/>
          </reference>
        </references>
      </pivotArea>
    </format>
    <format dxfId="1781">
      <pivotArea dataOnly="0" labelOnly="1" outline="0" fieldPosition="0">
        <references count="5">
          <reference field="0" count="1" selected="0">
            <x v="1"/>
          </reference>
          <reference field="3" count="1" selected="0">
            <x v="33"/>
          </reference>
          <reference field="4" count="1" selected="0">
            <x v="189"/>
          </reference>
          <reference field="5" count="1" selected="0">
            <x v="1562"/>
          </reference>
          <reference field="7" count="1">
            <x v="196"/>
          </reference>
        </references>
      </pivotArea>
    </format>
    <format dxfId="1780">
      <pivotArea dataOnly="0" labelOnly="1" outline="0" fieldPosition="0">
        <references count="5">
          <reference field="0" count="1" selected="0">
            <x v="1"/>
          </reference>
          <reference field="3" count="1" selected="0">
            <x v="33"/>
          </reference>
          <reference field="4" count="1" selected="0">
            <x v="195"/>
          </reference>
          <reference field="5" count="1" selected="0">
            <x v="252"/>
          </reference>
          <reference field="7" count="1">
            <x v="1319"/>
          </reference>
        </references>
      </pivotArea>
    </format>
    <format dxfId="1779">
      <pivotArea dataOnly="0" labelOnly="1" outline="0" fieldPosition="0">
        <references count="5">
          <reference field="0" count="1" selected="0">
            <x v="1"/>
          </reference>
          <reference field="3" count="1" selected="0">
            <x v="33"/>
          </reference>
          <reference field="4" count="1" selected="0">
            <x v="195"/>
          </reference>
          <reference field="5" count="1" selected="0">
            <x v="1548"/>
          </reference>
          <reference field="7" count="1">
            <x v="793"/>
          </reference>
        </references>
      </pivotArea>
    </format>
    <format dxfId="1778">
      <pivotArea dataOnly="0" labelOnly="1" outline="0" fieldPosition="0">
        <references count="5">
          <reference field="0" count="1" selected="0">
            <x v="1"/>
          </reference>
          <reference field="3" count="1" selected="0">
            <x v="33"/>
          </reference>
          <reference field="4" count="1" selected="0">
            <x v="195"/>
          </reference>
          <reference field="5" count="1" selected="0">
            <x v="1570"/>
          </reference>
          <reference field="7" count="1">
            <x v="196"/>
          </reference>
        </references>
      </pivotArea>
    </format>
    <format dxfId="1777">
      <pivotArea dataOnly="0" labelOnly="1" outline="0" fieldPosition="0">
        <references count="5">
          <reference field="0" count="1" selected="0">
            <x v="1"/>
          </reference>
          <reference field="3" count="1" selected="0">
            <x v="33"/>
          </reference>
          <reference field="4" count="1" selected="0">
            <x v="216"/>
          </reference>
          <reference field="5" count="1" selected="0">
            <x v="6"/>
          </reference>
          <reference field="7" count="1">
            <x v="901"/>
          </reference>
        </references>
      </pivotArea>
    </format>
    <format dxfId="1776">
      <pivotArea dataOnly="0" labelOnly="1" outline="0" fieldPosition="0">
        <references count="5">
          <reference field="0" count="1" selected="0">
            <x v="1"/>
          </reference>
          <reference field="3" count="1" selected="0">
            <x v="33"/>
          </reference>
          <reference field="4" count="1" selected="0">
            <x v="216"/>
          </reference>
          <reference field="5" count="1" selected="0">
            <x v="119"/>
          </reference>
          <reference field="7" count="1">
            <x v="1091"/>
          </reference>
        </references>
      </pivotArea>
    </format>
    <format dxfId="1775">
      <pivotArea dataOnly="0" labelOnly="1" outline="0" fieldPosition="0">
        <references count="5">
          <reference field="0" count="1" selected="0">
            <x v="1"/>
          </reference>
          <reference field="3" count="1" selected="0">
            <x v="33"/>
          </reference>
          <reference field="4" count="1" selected="0">
            <x v="216"/>
          </reference>
          <reference field="5" count="1" selected="0">
            <x v="148"/>
          </reference>
          <reference field="7" count="1">
            <x v="977"/>
          </reference>
        </references>
      </pivotArea>
    </format>
    <format dxfId="1774">
      <pivotArea dataOnly="0" labelOnly="1" outline="0" fieldPosition="0">
        <references count="5">
          <reference field="0" count="1" selected="0">
            <x v="1"/>
          </reference>
          <reference field="3" count="1" selected="0">
            <x v="33"/>
          </reference>
          <reference field="4" count="1" selected="0">
            <x v="216"/>
          </reference>
          <reference field="5" count="1" selected="0">
            <x v="167"/>
          </reference>
          <reference field="7" count="1">
            <x v="1088"/>
          </reference>
        </references>
      </pivotArea>
    </format>
    <format dxfId="1773">
      <pivotArea dataOnly="0" labelOnly="1" outline="0" fieldPosition="0">
        <references count="5">
          <reference field="0" count="1" selected="0">
            <x v="1"/>
          </reference>
          <reference field="3" count="1" selected="0">
            <x v="33"/>
          </reference>
          <reference field="4" count="1" selected="0">
            <x v="216"/>
          </reference>
          <reference field="5" count="1" selected="0">
            <x v="200"/>
          </reference>
          <reference field="7" count="1">
            <x v="1417"/>
          </reference>
        </references>
      </pivotArea>
    </format>
    <format dxfId="1772">
      <pivotArea dataOnly="0" labelOnly="1" outline="0" fieldPosition="0">
        <references count="5">
          <reference field="0" count="1" selected="0">
            <x v="1"/>
          </reference>
          <reference field="3" count="1" selected="0">
            <x v="33"/>
          </reference>
          <reference field="4" count="1" selected="0">
            <x v="216"/>
          </reference>
          <reference field="5" count="1" selected="0">
            <x v="206"/>
          </reference>
          <reference field="7" count="1">
            <x v="1428"/>
          </reference>
        </references>
      </pivotArea>
    </format>
    <format dxfId="1771">
      <pivotArea dataOnly="0" labelOnly="1" outline="0" fieldPosition="0">
        <references count="5">
          <reference field="0" count="1" selected="0">
            <x v="1"/>
          </reference>
          <reference field="3" count="1" selected="0">
            <x v="33"/>
          </reference>
          <reference field="4" count="1" selected="0">
            <x v="216"/>
          </reference>
          <reference field="5" count="1" selected="0">
            <x v="294"/>
          </reference>
          <reference field="7" count="1">
            <x v="1427"/>
          </reference>
        </references>
      </pivotArea>
    </format>
    <format dxfId="1770">
      <pivotArea dataOnly="0" labelOnly="1" outline="0" fieldPosition="0">
        <references count="5">
          <reference field="0" count="1" selected="0">
            <x v="1"/>
          </reference>
          <reference field="3" count="1" selected="0">
            <x v="33"/>
          </reference>
          <reference field="4" count="1" selected="0">
            <x v="216"/>
          </reference>
          <reference field="5" count="1" selected="0">
            <x v="302"/>
          </reference>
          <reference field="7" count="1">
            <x v="1070"/>
          </reference>
        </references>
      </pivotArea>
    </format>
    <format dxfId="1769">
      <pivotArea dataOnly="0" labelOnly="1" outline="0" fieldPosition="0">
        <references count="5">
          <reference field="0" count="1" selected="0">
            <x v="1"/>
          </reference>
          <reference field="3" count="1" selected="0">
            <x v="33"/>
          </reference>
          <reference field="4" count="1" selected="0">
            <x v="216"/>
          </reference>
          <reference field="5" count="1" selected="0">
            <x v="363"/>
          </reference>
          <reference field="7" count="1">
            <x v="673"/>
          </reference>
        </references>
      </pivotArea>
    </format>
    <format dxfId="1768">
      <pivotArea dataOnly="0" labelOnly="1" outline="0" fieldPosition="0">
        <references count="5">
          <reference field="0" count="1" selected="0">
            <x v="1"/>
          </reference>
          <reference field="3" count="1" selected="0">
            <x v="33"/>
          </reference>
          <reference field="4" count="1" selected="0">
            <x v="216"/>
          </reference>
          <reference field="5" count="1" selected="0">
            <x v="367"/>
          </reference>
          <reference field="7" count="1">
            <x v="896"/>
          </reference>
        </references>
      </pivotArea>
    </format>
    <format dxfId="1767">
      <pivotArea dataOnly="0" labelOnly="1" outline="0" fieldPosition="0">
        <references count="5">
          <reference field="0" count="1" selected="0">
            <x v="1"/>
          </reference>
          <reference field="3" count="1" selected="0">
            <x v="33"/>
          </reference>
          <reference field="4" count="1" selected="0">
            <x v="216"/>
          </reference>
          <reference field="5" count="1" selected="0">
            <x v="373"/>
          </reference>
          <reference field="7" count="1">
            <x v="998"/>
          </reference>
        </references>
      </pivotArea>
    </format>
    <format dxfId="1766">
      <pivotArea dataOnly="0" labelOnly="1" outline="0" fieldPosition="0">
        <references count="5">
          <reference field="0" count="1" selected="0">
            <x v="1"/>
          </reference>
          <reference field="3" count="1" selected="0">
            <x v="33"/>
          </reference>
          <reference field="4" count="1" selected="0">
            <x v="216"/>
          </reference>
          <reference field="5" count="1" selected="0">
            <x v="379"/>
          </reference>
          <reference field="7" count="1">
            <x v="900"/>
          </reference>
        </references>
      </pivotArea>
    </format>
    <format dxfId="1765">
      <pivotArea dataOnly="0" labelOnly="1" outline="0" fieldPosition="0">
        <references count="5">
          <reference field="0" count="1" selected="0">
            <x v="1"/>
          </reference>
          <reference field="3" count="1" selected="0">
            <x v="33"/>
          </reference>
          <reference field="4" count="1" selected="0">
            <x v="216"/>
          </reference>
          <reference field="5" count="1" selected="0">
            <x v="380"/>
          </reference>
          <reference field="7" count="1">
            <x v="666"/>
          </reference>
        </references>
      </pivotArea>
    </format>
    <format dxfId="1764">
      <pivotArea dataOnly="0" labelOnly="1" outline="0" fieldPosition="0">
        <references count="5">
          <reference field="0" count="1" selected="0">
            <x v="1"/>
          </reference>
          <reference field="3" count="1" selected="0">
            <x v="33"/>
          </reference>
          <reference field="4" count="1" selected="0">
            <x v="216"/>
          </reference>
          <reference field="5" count="1" selected="0">
            <x v="381"/>
          </reference>
          <reference field="7" count="1">
            <x v="1463"/>
          </reference>
        </references>
      </pivotArea>
    </format>
    <format dxfId="1763">
      <pivotArea dataOnly="0" labelOnly="1" outline="0" fieldPosition="0">
        <references count="5">
          <reference field="0" count="1" selected="0">
            <x v="1"/>
          </reference>
          <reference field="3" count="1" selected="0">
            <x v="33"/>
          </reference>
          <reference field="4" count="1" selected="0">
            <x v="216"/>
          </reference>
          <reference field="5" count="1" selected="0">
            <x v="405"/>
          </reference>
          <reference field="7" count="1">
            <x v="668"/>
          </reference>
        </references>
      </pivotArea>
    </format>
    <format dxfId="1762">
      <pivotArea dataOnly="0" labelOnly="1" outline="0" fieldPosition="0">
        <references count="5">
          <reference field="0" count="1" selected="0">
            <x v="1"/>
          </reference>
          <reference field="3" count="1" selected="0">
            <x v="33"/>
          </reference>
          <reference field="4" count="1" selected="0">
            <x v="216"/>
          </reference>
          <reference field="5" count="1" selected="0">
            <x v="1230"/>
          </reference>
          <reference field="7" count="1">
            <x v="140"/>
          </reference>
        </references>
      </pivotArea>
    </format>
    <format dxfId="1761">
      <pivotArea dataOnly="0" labelOnly="1" outline="0" fieldPosition="0">
        <references count="5">
          <reference field="0" count="1" selected="0">
            <x v="1"/>
          </reference>
          <reference field="3" count="1" selected="0">
            <x v="33"/>
          </reference>
          <reference field="4" count="1" selected="0">
            <x v="216"/>
          </reference>
          <reference field="5" count="1" selected="0">
            <x v="1231"/>
          </reference>
          <reference field="7" count="1">
            <x v="424"/>
          </reference>
        </references>
      </pivotArea>
    </format>
    <format dxfId="1760">
      <pivotArea dataOnly="0" labelOnly="1" outline="0" fieldPosition="0">
        <references count="5">
          <reference field="0" count="1" selected="0">
            <x v="1"/>
          </reference>
          <reference field="3" count="1" selected="0">
            <x v="33"/>
          </reference>
          <reference field="4" count="1" selected="0">
            <x v="216"/>
          </reference>
          <reference field="5" count="1" selected="0">
            <x v="1232"/>
          </reference>
          <reference field="7" count="1">
            <x v="421"/>
          </reference>
        </references>
      </pivotArea>
    </format>
    <format dxfId="1759">
      <pivotArea dataOnly="0" labelOnly="1" outline="0" fieldPosition="0">
        <references count="5">
          <reference field="0" count="1" selected="0">
            <x v="1"/>
          </reference>
          <reference field="3" count="1" selected="0">
            <x v="33"/>
          </reference>
          <reference field="4" count="1" selected="0">
            <x v="216"/>
          </reference>
          <reference field="5" count="1" selected="0">
            <x v="1233"/>
          </reference>
          <reference field="7" count="1">
            <x v="423"/>
          </reference>
        </references>
      </pivotArea>
    </format>
    <format dxfId="1758">
      <pivotArea dataOnly="0" labelOnly="1" outline="0" fieldPosition="0">
        <references count="5">
          <reference field="0" count="1" selected="0">
            <x v="1"/>
          </reference>
          <reference field="3" count="1" selected="0">
            <x v="33"/>
          </reference>
          <reference field="4" count="1" selected="0">
            <x v="216"/>
          </reference>
          <reference field="5" count="1" selected="0">
            <x v="1234"/>
          </reference>
          <reference field="7" count="1">
            <x v="422"/>
          </reference>
        </references>
      </pivotArea>
    </format>
    <format dxfId="1757">
      <pivotArea dataOnly="0" labelOnly="1" outline="0" fieldPosition="0">
        <references count="5">
          <reference field="0" count="1" selected="0">
            <x v="1"/>
          </reference>
          <reference field="3" count="1" selected="0">
            <x v="33"/>
          </reference>
          <reference field="4" count="1" selected="0">
            <x v="216"/>
          </reference>
          <reference field="5" count="1" selected="0">
            <x v="1235"/>
          </reference>
          <reference field="7" count="1">
            <x v="420"/>
          </reference>
        </references>
      </pivotArea>
    </format>
    <format dxfId="1756">
      <pivotArea dataOnly="0" labelOnly="1" outline="0" fieldPosition="0">
        <references count="5">
          <reference field="0" count="1" selected="0">
            <x v="1"/>
          </reference>
          <reference field="3" count="1" selected="0">
            <x v="33"/>
          </reference>
          <reference field="4" count="1" selected="0">
            <x v="216"/>
          </reference>
          <reference field="5" count="1" selected="0">
            <x v="1608"/>
          </reference>
          <reference field="7" count="1">
            <x v="1118"/>
          </reference>
        </references>
      </pivotArea>
    </format>
    <format dxfId="1755">
      <pivotArea dataOnly="0" labelOnly="1" outline="0" fieldPosition="0">
        <references count="5">
          <reference field="0" count="1" selected="0">
            <x v="1"/>
          </reference>
          <reference field="3" count="1" selected="0">
            <x v="34"/>
          </reference>
          <reference field="4" count="1" selected="0">
            <x v="5"/>
          </reference>
          <reference field="5" count="1" selected="0">
            <x v="349"/>
          </reference>
          <reference field="7" count="1">
            <x v="117"/>
          </reference>
        </references>
      </pivotArea>
    </format>
    <format dxfId="1754">
      <pivotArea dataOnly="0" labelOnly="1" outline="0" fieldPosition="0">
        <references count="5">
          <reference field="0" count="1" selected="0">
            <x v="1"/>
          </reference>
          <reference field="3" count="1" selected="0">
            <x v="34"/>
          </reference>
          <reference field="4" count="1" selected="0">
            <x v="5"/>
          </reference>
          <reference field="5" count="1" selected="0">
            <x v="350"/>
          </reference>
          <reference field="7" count="1">
            <x v="1024"/>
          </reference>
        </references>
      </pivotArea>
    </format>
    <format dxfId="1753">
      <pivotArea dataOnly="0" labelOnly="1" outline="0" fieldPosition="0">
        <references count="5">
          <reference field="0" count="1" selected="0">
            <x v="1"/>
          </reference>
          <reference field="3" count="1" selected="0">
            <x v="34"/>
          </reference>
          <reference field="4" count="1" selected="0">
            <x v="5"/>
          </reference>
          <reference field="5" count="1" selected="0">
            <x v="387"/>
          </reference>
          <reference field="7" count="1">
            <x v="114"/>
          </reference>
        </references>
      </pivotArea>
    </format>
    <format dxfId="1752">
      <pivotArea dataOnly="0" labelOnly="1" outline="0" fieldPosition="0">
        <references count="5">
          <reference field="0" count="1" selected="0">
            <x v="1"/>
          </reference>
          <reference field="3" count="1" selected="0">
            <x v="34"/>
          </reference>
          <reference field="4" count="1" selected="0">
            <x v="169"/>
          </reference>
          <reference field="5" count="1" selected="0">
            <x v="1521"/>
          </reference>
          <reference field="7" count="1">
            <x v="302"/>
          </reference>
        </references>
      </pivotArea>
    </format>
    <format dxfId="1751">
      <pivotArea dataOnly="0" labelOnly="1" outline="0" fieldPosition="0">
        <references count="5">
          <reference field="0" count="1" selected="0">
            <x v="1"/>
          </reference>
          <reference field="3" count="1" selected="0">
            <x v="34"/>
          </reference>
          <reference field="4" count="1" selected="0">
            <x v="169"/>
          </reference>
          <reference field="5" count="1" selected="0">
            <x v="1522"/>
          </reference>
          <reference field="7" count="1">
            <x v="334"/>
          </reference>
        </references>
      </pivotArea>
    </format>
    <format dxfId="1750">
      <pivotArea dataOnly="0" labelOnly="1" outline="0" fieldPosition="0">
        <references count="5">
          <reference field="0" count="1" selected="0">
            <x v="1"/>
          </reference>
          <reference field="3" count="1" selected="0">
            <x v="34"/>
          </reference>
          <reference field="4" count="1" selected="0">
            <x v="169"/>
          </reference>
          <reference field="5" count="1" selected="0">
            <x v="1626"/>
          </reference>
          <reference field="7" count="1">
            <x v="1474"/>
          </reference>
        </references>
      </pivotArea>
    </format>
    <format dxfId="1749">
      <pivotArea dataOnly="0" labelOnly="1" outline="0" fieldPosition="0">
        <references count="5">
          <reference field="0" count="1" selected="0">
            <x v="1"/>
          </reference>
          <reference field="3" count="1" selected="0">
            <x v="34"/>
          </reference>
          <reference field="4" count="1" selected="0">
            <x v="199"/>
          </reference>
          <reference field="5" count="1" selected="0">
            <x v="253"/>
          </reference>
          <reference field="7" count="1">
            <x v="1319"/>
          </reference>
        </references>
      </pivotArea>
    </format>
    <format dxfId="1748">
      <pivotArea dataOnly="0" labelOnly="1" outline="0" fieldPosition="0">
        <references count="5">
          <reference field="0" count="1" selected="0">
            <x v="1"/>
          </reference>
          <reference field="3" count="1" selected="0">
            <x v="34"/>
          </reference>
          <reference field="4" count="1" selected="0">
            <x v="199"/>
          </reference>
          <reference field="5" count="1" selected="0">
            <x v="1573"/>
          </reference>
          <reference field="7" count="1">
            <x v="799"/>
          </reference>
        </references>
      </pivotArea>
    </format>
    <format dxfId="1747">
      <pivotArea dataOnly="0" labelOnly="1" outline="0" fieldPosition="0">
        <references count="5">
          <reference field="0" count="1" selected="0">
            <x v="1"/>
          </reference>
          <reference field="3" count="1" selected="0">
            <x v="34"/>
          </reference>
          <reference field="4" count="1" selected="0">
            <x v="199"/>
          </reference>
          <reference field="5" count="1" selected="0">
            <x v="1604"/>
          </reference>
          <reference field="7" count="1">
            <x v="799"/>
          </reference>
        </references>
      </pivotArea>
    </format>
    <format dxfId="1746">
      <pivotArea dataOnly="0" labelOnly="1" outline="0" fieldPosition="0">
        <references count="5">
          <reference field="0" count="1" selected="0">
            <x v="1"/>
          </reference>
          <reference field="3" count="1" selected="0">
            <x v="34"/>
          </reference>
          <reference field="4" count="1" selected="0">
            <x v="216"/>
          </reference>
          <reference field="5" count="1" selected="0">
            <x v="116"/>
          </reference>
          <reference field="7" count="1">
            <x v="1078"/>
          </reference>
        </references>
      </pivotArea>
    </format>
    <format dxfId="1745">
      <pivotArea dataOnly="0" labelOnly="1" outline="0" fieldPosition="0">
        <references count="5">
          <reference field="0" count="1" selected="0">
            <x v="1"/>
          </reference>
          <reference field="3" count="1" selected="0">
            <x v="34"/>
          </reference>
          <reference field="4" count="1" selected="0">
            <x v="216"/>
          </reference>
          <reference field="5" count="1" selected="0">
            <x v="148"/>
          </reference>
          <reference field="7" count="1">
            <x v="977"/>
          </reference>
        </references>
      </pivotArea>
    </format>
    <format dxfId="1744">
      <pivotArea dataOnly="0" labelOnly="1" outline="0" fieldPosition="0">
        <references count="5">
          <reference field="0" count="1" selected="0">
            <x v="1"/>
          </reference>
          <reference field="3" count="1" selected="0">
            <x v="34"/>
          </reference>
          <reference field="4" count="1" selected="0">
            <x v="216"/>
          </reference>
          <reference field="5" count="1" selected="0">
            <x v="167"/>
          </reference>
          <reference field="7" count="1">
            <x v="1088"/>
          </reference>
        </references>
      </pivotArea>
    </format>
    <format dxfId="1743">
      <pivotArea dataOnly="0" labelOnly="1" outline="0" fieldPosition="0">
        <references count="5">
          <reference field="0" count="1" selected="0">
            <x v="1"/>
          </reference>
          <reference field="3" count="1" selected="0">
            <x v="34"/>
          </reference>
          <reference field="4" count="1" selected="0">
            <x v="216"/>
          </reference>
          <reference field="5" count="1" selected="0">
            <x v="177"/>
          </reference>
          <reference field="7" count="1">
            <x v="1332"/>
          </reference>
        </references>
      </pivotArea>
    </format>
    <format dxfId="1742">
      <pivotArea dataOnly="0" labelOnly="1" outline="0" fieldPosition="0">
        <references count="5">
          <reference field="0" count="1" selected="0">
            <x v="1"/>
          </reference>
          <reference field="3" count="1" selected="0">
            <x v="34"/>
          </reference>
          <reference field="4" count="1" selected="0">
            <x v="216"/>
          </reference>
          <reference field="5" count="1" selected="0">
            <x v="202"/>
          </reference>
          <reference field="7" count="1">
            <x v="1425"/>
          </reference>
        </references>
      </pivotArea>
    </format>
    <format dxfId="1741">
      <pivotArea dataOnly="0" labelOnly="1" outline="0" fieldPosition="0">
        <references count="5">
          <reference field="0" count="1" selected="0">
            <x v="1"/>
          </reference>
          <reference field="3" count="1" selected="0">
            <x v="34"/>
          </reference>
          <reference field="4" count="1" selected="0">
            <x v="216"/>
          </reference>
          <reference field="5" count="1" selected="0">
            <x v="203"/>
          </reference>
          <reference field="7" count="1">
            <x v="1418"/>
          </reference>
        </references>
      </pivotArea>
    </format>
    <format dxfId="1740">
      <pivotArea dataOnly="0" labelOnly="1" outline="0" fieldPosition="0">
        <references count="5">
          <reference field="0" count="1" selected="0">
            <x v="1"/>
          </reference>
          <reference field="3" count="1" selected="0">
            <x v="34"/>
          </reference>
          <reference field="4" count="1" selected="0">
            <x v="216"/>
          </reference>
          <reference field="5" count="1" selected="0">
            <x v="213"/>
          </reference>
          <reference field="7" count="1">
            <x v="973"/>
          </reference>
        </references>
      </pivotArea>
    </format>
    <format dxfId="1739">
      <pivotArea dataOnly="0" labelOnly="1" outline="0" fieldPosition="0">
        <references count="5">
          <reference field="0" count="1" selected="0">
            <x v="1"/>
          </reference>
          <reference field="3" count="1" selected="0">
            <x v="34"/>
          </reference>
          <reference field="4" count="1" selected="0">
            <x v="216"/>
          </reference>
          <reference field="5" count="1" selected="0">
            <x v="302"/>
          </reference>
          <reference field="7" count="1">
            <x v="1070"/>
          </reference>
        </references>
      </pivotArea>
    </format>
    <format dxfId="1738">
      <pivotArea dataOnly="0" labelOnly="1" outline="0" fieldPosition="0">
        <references count="5">
          <reference field="0" count="1" selected="0">
            <x v="1"/>
          </reference>
          <reference field="3" count="1" selected="0">
            <x v="34"/>
          </reference>
          <reference field="4" count="1" selected="0">
            <x v="216"/>
          </reference>
          <reference field="5" count="1" selected="0">
            <x v="346"/>
          </reference>
          <reference field="7" count="1">
            <x v="1470"/>
          </reference>
        </references>
      </pivotArea>
    </format>
    <format dxfId="1737">
      <pivotArea dataOnly="0" labelOnly="1" outline="0" fieldPosition="0">
        <references count="5">
          <reference field="0" count="1" selected="0">
            <x v="1"/>
          </reference>
          <reference field="3" count="1" selected="0">
            <x v="34"/>
          </reference>
          <reference field="4" count="1" selected="0">
            <x v="216"/>
          </reference>
          <reference field="5" count="1" selected="0">
            <x v="363"/>
          </reference>
          <reference field="7" count="1">
            <x v="673"/>
          </reference>
        </references>
      </pivotArea>
    </format>
    <format dxfId="1736">
      <pivotArea dataOnly="0" labelOnly="1" outline="0" fieldPosition="0">
        <references count="5">
          <reference field="0" count="1" selected="0">
            <x v="1"/>
          </reference>
          <reference field="3" count="1" selected="0">
            <x v="34"/>
          </reference>
          <reference field="4" count="1" selected="0">
            <x v="216"/>
          </reference>
          <reference field="5" count="1" selected="0">
            <x v="367"/>
          </reference>
          <reference field="7" count="1">
            <x v="896"/>
          </reference>
        </references>
      </pivotArea>
    </format>
    <format dxfId="1735">
      <pivotArea dataOnly="0" labelOnly="1" outline="0" fieldPosition="0">
        <references count="5">
          <reference field="0" count="1" selected="0">
            <x v="1"/>
          </reference>
          <reference field="3" count="1" selected="0">
            <x v="34"/>
          </reference>
          <reference field="4" count="1" selected="0">
            <x v="216"/>
          </reference>
          <reference field="5" count="1" selected="0">
            <x v="373"/>
          </reference>
          <reference field="7" count="1">
            <x v="998"/>
          </reference>
        </references>
      </pivotArea>
    </format>
    <format dxfId="1734">
      <pivotArea dataOnly="0" labelOnly="1" outline="0" fieldPosition="0">
        <references count="5">
          <reference field="0" count="1" selected="0">
            <x v="1"/>
          </reference>
          <reference field="3" count="1" selected="0">
            <x v="34"/>
          </reference>
          <reference field="4" count="1" selected="0">
            <x v="216"/>
          </reference>
          <reference field="5" count="1" selected="0">
            <x v="380"/>
          </reference>
          <reference field="7" count="1">
            <x v="666"/>
          </reference>
        </references>
      </pivotArea>
    </format>
    <format dxfId="1733">
      <pivotArea dataOnly="0" labelOnly="1" outline="0" fieldPosition="0">
        <references count="5">
          <reference field="0" count="1" selected="0">
            <x v="1"/>
          </reference>
          <reference field="3" count="1" selected="0">
            <x v="34"/>
          </reference>
          <reference field="4" count="1" selected="0">
            <x v="216"/>
          </reference>
          <reference field="5" count="1" selected="0">
            <x v="1236"/>
          </reference>
          <reference field="7" count="1">
            <x v="238"/>
          </reference>
        </references>
      </pivotArea>
    </format>
    <format dxfId="1732">
      <pivotArea dataOnly="0" labelOnly="1" outline="0" fieldPosition="0">
        <references count="5">
          <reference field="0" count="1" selected="0">
            <x v="1"/>
          </reference>
          <reference field="3" count="1" selected="0">
            <x v="34"/>
          </reference>
          <reference field="4" count="1" selected="0">
            <x v="216"/>
          </reference>
          <reference field="5" count="1" selected="0">
            <x v="1237"/>
          </reference>
          <reference field="7" count="1">
            <x v="993"/>
          </reference>
        </references>
      </pivotArea>
    </format>
    <format dxfId="1731">
      <pivotArea dataOnly="0" labelOnly="1" outline="0" fieldPosition="0">
        <references count="5">
          <reference field="0" count="1" selected="0">
            <x v="1"/>
          </reference>
          <reference field="3" count="1" selected="0">
            <x v="34"/>
          </reference>
          <reference field="4" count="1" selected="0">
            <x v="216"/>
          </reference>
          <reference field="5" count="1" selected="0">
            <x v="1238"/>
          </reference>
          <reference field="7" count="1">
            <x v="989"/>
          </reference>
        </references>
      </pivotArea>
    </format>
    <format dxfId="1730">
      <pivotArea dataOnly="0" labelOnly="1" outline="0" fieldPosition="0">
        <references count="5">
          <reference field="0" count="1" selected="0">
            <x v="1"/>
          </reference>
          <reference field="3" count="1" selected="0">
            <x v="34"/>
          </reference>
          <reference field="4" count="1" selected="0">
            <x v="216"/>
          </reference>
          <reference field="5" count="1" selected="0">
            <x v="1239"/>
          </reference>
          <reference field="7" count="1">
            <x v="991"/>
          </reference>
        </references>
      </pivotArea>
    </format>
    <format dxfId="1729">
      <pivotArea dataOnly="0" labelOnly="1" outline="0" fieldPosition="0">
        <references count="5">
          <reference field="0" count="1" selected="0">
            <x v="1"/>
          </reference>
          <reference field="3" count="1" selected="0">
            <x v="34"/>
          </reference>
          <reference field="4" count="1" selected="0">
            <x v="216"/>
          </reference>
          <reference field="5" count="1" selected="0">
            <x v="1240"/>
          </reference>
          <reference field="7" count="1">
            <x v="990"/>
          </reference>
        </references>
      </pivotArea>
    </format>
    <format dxfId="1728">
      <pivotArea dataOnly="0" labelOnly="1" outline="0" fieldPosition="0">
        <references count="5">
          <reference field="0" count="1" selected="0">
            <x v="1"/>
          </reference>
          <reference field="3" count="1" selected="0">
            <x v="34"/>
          </reference>
          <reference field="4" count="1" selected="0">
            <x v="216"/>
          </reference>
          <reference field="5" count="1" selected="0">
            <x v="1241"/>
          </reference>
          <reference field="7" count="1">
            <x v="994"/>
          </reference>
        </references>
      </pivotArea>
    </format>
    <format dxfId="1727">
      <pivotArea dataOnly="0" labelOnly="1" outline="0" fieldPosition="0">
        <references count="5">
          <reference field="0" count="1" selected="0">
            <x v="1"/>
          </reference>
          <reference field="3" count="1" selected="0">
            <x v="34"/>
          </reference>
          <reference field="4" count="1" selected="0">
            <x v="216"/>
          </reference>
          <reference field="5" count="1" selected="0">
            <x v="1242"/>
          </reference>
          <reference field="7" count="1">
            <x v="992"/>
          </reference>
        </references>
      </pivotArea>
    </format>
    <format dxfId="1726">
      <pivotArea dataOnly="0" labelOnly="1" outline="0" fieldPosition="0">
        <references count="5">
          <reference field="0" count="1" selected="0">
            <x v="1"/>
          </reference>
          <reference field="3" count="1" selected="0">
            <x v="35"/>
          </reference>
          <reference field="4" count="1" selected="0">
            <x v="216"/>
          </reference>
          <reference field="5" count="1" selected="0">
            <x v="9"/>
          </reference>
          <reference field="7" count="1">
            <x v="1479"/>
          </reference>
        </references>
      </pivotArea>
    </format>
    <format dxfId="1725">
      <pivotArea dataOnly="0" labelOnly="1" outline="0" fieldPosition="0">
        <references count="5">
          <reference field="0" count="1" selected="0">
            <x v="1"/>
          </reference>
          <reference field="3" count="1" selected="0">
            <x v="35"/>
          </reference>
          <reference field="4" count="1" selected="0">
            <x v="216"/>
          </reference>
          <reference field="5" count="1" selected="0">
            <x v="11"/>
          </reference>
          <reference field="7" count="1">
            <x v="1482"/>
          </reference>
        </references>
      </pivotArea>
    </format>
    <format dxfId="1724">
      <pivotArea dataOnly="0" labelOnly="1" outline="0" fieldPosition="0">
        <references count="5">
          <reference field="0" count="1" selected="0">
            <x v="1"/>
          </reference>
          <reference field="3" count="1" selected="0">
            <x v="35"/>
          </reference>
          <reference field="4" count="1" selected="0">
            <x v="216"/>
          </reference>
          <reference field="5" count="1" selected="0">
            <x v="148"/>
          </reference>
          <reference field="7" count="1">
            <x v="977"/>
          </reference>
        </references>
      </pivotArea>
    </format>
    <format dxfId="1723">
      <pivotArea dataOnly="0" labelOnly="1" outline="0" fieldPosition="0">
        <references count="5">
          <reference field="0" count="1" selected="0">
            <x v="1"/>
          </reference>
          <reference field="3" count="1" selected="0">
            <x v="35"/>
          </reference>
          <reference field="4" count="1" selected="0">
            <x v="216"/>
          </reference>
          <reference field="5" count="1" selected="0">
            <x v="167"/>
          </reference>
          <reference field="7" count="1">
            <x v="1088"/>
          </reference>
        </references>
      </pivotArea>
    </format>
    <format dxfId="1722">
      <pivotArea dataOnly="0" labelOnly="1" outline="0" fieldPosition="0">
        <references count="5">
          <reference field="0" count="1" selected="0">
            <x v="1"/>
          </reference>
          <reference field="3" count="1" selected="0">
            <x v="35"/>
          </reference>
          <reference field="4" count="1" selected="0">
            <x v="216"/>
          </reference>
          <reference field="5" count="1" selected="0">
            <x v="406"/>
          </reference>
          <reference field="7" count="1">
            <x v="895"/>
          </reference>
        </references>
      </pivotArea>
    </format>
    <format dxfId="1721">
      <pivotArea dataOnly="0" labelOnly="1" outline="0" fieldPosition="0">
        <references count="5">
          <reference field="0" count="1" selected="0">
            <x v="1"/>
          </reference>
          <reference field="3" count="1" selected="0">
            <x v="35"/>
          </reference>
          <reference field="4" count="1" selected="0">
            <x v="216"/>
          </reference>
          <reference field="5" count="1" selected="0">
            <x v="407"/>
          </reference>
          <reference field="7" count="1">
            <x v="0"/>
          </reference>
        </references>
      </pivotArea>
    </format>
    <format dxfId="1720">
      <pivotArea dataOnly="0" labelOnly="1" outline="0" fieldPosition="0">
        <references count="5">
          <reference field="0" count="1" selected="0">
            <x v="1"/>
          </reference>
          <reference field="3" count="1" selected="0">
            <x v="35"/>
          </reference>
          <reference field="4" count="1" selected="0">
            <x v="216"/>
          </reference>
          <reference field="5" count="1" selected="0">
            <x v="409"/>
          </reference>
          <reference field="7" count="1">
            <x v="672"/>
          </reference>
        </references>
      </pivotArea>
    </format>
    <format dxfId="1719">
      <pivotArea dataOnly="0" labelOnly="1" outline="0" fieldPosition="0">
        <references count="5">
          <reference field="0" count="1" selected="0">
            <x v="1"/>
          </reference>
          <reference field="3" count="1" selected="0">
            <x v="35"/>
          </reference>
          <reference field="4" count="1" selected="0">
            <x v="216"/>
          </reference>
          <reference field="5" count="1" selected="0">
            <x v="1243"/>
          </reference>
          <reference field="7" count="1">
            <x v="235"/>
          </reference>
        </references>
      </pivotArea>
    </format>
    <format dxfId="1718">
      <pivotArea dataOnly="0" labelOnly="1" outline="0" fieldPosition="0">
        <references count="5">
          <reference field="0" count="1" selected="0">
            <x v="1"/>
          </reference>
          <reference field="3" count="1" selected="0">
            <x v="35"/>
          </reference>
          <reference field="4" count="1" selected="0">
            <x v="216"/>
          </reference>
          <reference field="5" count="1" selected="0">
            <x v="1244"/>
          </reference>
          <reference field="7" count="1">
            <x v="717"/>
          </reference>
        </references>
      </pivotArea>
    </format>
    <format dxfId="1717">
      <pivotArea dataOnly="0" labelOnly="1" outline="0" fieldPosition="0">
        <references count="5">
          <reference field="0" count="1" selected="0">
            <x v="1"/>
          </reference>
          <reference field="3" count="1" selected="0">
            <x v="35"/>
          </reference>
          <reference field="4" count="1" selected="0">
            <x v="216"/>
          </reference>
          <reference field="5" count="1" selected="0">
            <x v="1245"/>
          </reference>
          <reference field="7" count="1">
            <x v="940"/>
          </reference>
        </references>
      </pivotArea>
    </format>
    <format dxfId="1716">
      <pivotArea dataOnly="0" labelOnly="1" outline="0" fieldPosition="0">
        <references count="5">
          <reference field="0" count="1" selected="0">
            <x v="1"/>
          </reference>
          <reference field="3" count="1" selected="0">
            <x v="35"/>
          </reference>
          <reference field="4" count="1" selected="0">
            <x v="216"/>
          </reference>
          <reference field="5" count="1" selected="0">
            <x v="1246"/>
          </reference>
          <reference field="7" count="1">
            <x v="942"/>
          </reference>
        </references>
      </pivotArea>
    </format>
    <format dxfId="1715">
      <pivotArea dataOnly="0" labelOnly="1" outline="0" fieldPosition="0">
        <references count="5">
          <reference field="0" count="1" selected="0">
            <x v="1"/>
          </reference>
          <reference field="3" count="1" selected="0">
            <x v="35"/>
          </reference>
          <reference field="4" count="1" selected="0">
            <x v="216"/>
          </reference>
          <reference field="5" count="1" selected="0">
            <x v="1247"/>
          </reference>
          <reference field="7" count="1">
            <x v="941"/>
          </reference>
        </references>
      </pivotArea>
    </format>
    <format dxfId="1714">
      <pivotArea dataOnly="0" labelOnly="1" outline="0" fieldPosition="0">
        <references count="5">
          <reference field="0" count="1" selected="0">
            <x v="1"/>
          </reference>
          <reference field="3" count="1" selected="0">
            <x v="36"/>
          </reference>
          <reference field="4" count="1" selected="0">
            <x v="216"/>
          </reference>
          <reference field="5" count="1" selected="0">
            <x v="11"/>
          </reference>
          <reference field="7" count="1">
            <x v="1482"/>
          </reference>
        </references>
      </pivotArea>
    </format>
    <format dxfId="1713">
      <pivotArea dataOnly="0" labelOnly="1" outline="0" fieldPosition="0">
        <references count="5">
          <reference field="0" count="1" selected="0">
            <x v="1"/>
          </reference>
          <reference field="3" count="1" selected="0">
            <x v="36"/>
          </reference>
          <reference field="4" count="1" selected="0">
            <x v="216"/>
          </reference>
          <reference field="5" count="1" selected="0">
            <x v="148"/>
          </reference>
          <reference field="7" count="1">
            <x v="977"/>
          </reference>
        </references>
      </pivotArea>
    </format>
    <format dxfId="1712">
      <pivotArea dataOnly="0" labelOnly="1" outline="0" fieldPosition="0">
        <references count="5">
          <reference field="0" count="1" selected="0">
            <x v="1"/>
          </reference>
          <reference field="3" count="1" selected="0">
            <x v="36"/>
          </reference>
          <reference field="4" count="1" selected="0">
            <x v="216"/>
          </reference>
          <reference field="5" count="1" selected="0">
            <x v="167"/>
          </reference>
          <reference field="7" count="1">
            <x v="1088"/>
          </reference>
        </references>
      </pivotArea>
    </format>
    <format dxfId="1711">
      <pivotArea dataOnly="0" labelOnly="1" outline="0" fieldPosition="0">
        <references count="5">
          <reference field="0" count="1" selected="0">
            <x v="1"/>
          </reference>
          <reference field="3" count="1" selected="0">
            <x v="36"/>
          </reference>
          <reference field="4" count="1" selected="0">
            <x v="216"/>
          </reference>
          <reference field="5" count="1" selected="0">
            <x v="406"/>
          </reference>
          <reference field="7" count="1">
            <x v="895"/>
          </reference>
        </references>
      </pivotArea>
    </format>
    <format dxfId="1710">
      <pivotArea dataOnly="0" labelOnly="1" outline="0" fieldPosition="0">
        <references count="5">
          <reference field="0" count="1" selected="0">
            <x v="1"/>
          </reference>
          <reference field="3" count="1" selected="0">
            <x v="36"/>
          </reference>
          <reference field="4" count="1" selected="0">
            <x v="216"/>
          </reference>
          <reference field="5" count="1" selected="0">
            <x v="407"/>
          </reference>
          <reference field="7" count="1">
            <x v="0"/>
          </reference>
        </references>
      </pivotArea>
    </format>
    <format dxfId="1709">
      <pivotArea dataOnly="0" labelOnly="1" outline="0" fieldPosition="0">
        <references count="5">
          <reference field="0" count="1" selected="0">
            <x v="1"/>
          </reference>
          <reference field="3" count="1" selected="0">
            <x v="36"/>
          </reference>
          <reference field="4" count="1" selected="0">
            <x v="216"/>
          </reference>
          <reference field="5" count="1" selected="0">
            <x v="409"/>
          </reference>
          <reference field="7" count="1">
            <x v="672"/>
          </reference>
        </references>
      </pivotArea>
    </format>
    <format dxfId="1708">
      <pivotArea dataOnly="0" labelOnly="1" outline="0" fieldPosition="0">
        <references count="5">
          <reference field="0" count="1" selected="0">
            <x v="1"/>
          </reference>
          <reference field="3" count="1" selected="0">
            <x v="36"/>
          </reference>
          <reference field="4" count="1" selected="0">
            <x v="216"/>
          </reference>
          <reference field="5" count="1" selected="0">
            <x v="1248"/>
          </reference>
          <reference field="7" count="1">
            <x v="127"/>
          </reference>
        </references>
      </pivotArea>
    </format>
    <format dxfId="1707">
      <pivotArea dataOnly="0" labelOnly="1" outline="0" fieldPosition="0">
        <references count="5">
          <reference field="0" count="1" selected="0">
            <x v="1"/>
          </reference>
          <reference field="3" count="1" selected="0">
            <x v="36"/>
          </reference>
          <reference field="4" count="1" selected="0">
            <x v="216"/>
          </reference>
          <reference field="5" count="1" selected="0">
            <x v="1249"/>
          </reference>
          <reference field="7" count="1">
            <x v="96"/>
          </reference>
        </references>
      </pivotArea>
    </format>
    <format dxfId="1706">
      <pivotArea dataOnly="0" labelOnly="1" outline="0" fieldPosition="0">
        <references count="5">
          <reference field="0" count="1" selected="0">
            <x v="1"/>
          </reference>
          <reference field="3" count="1" selected="0">
            <x v="36"/>
          </reference>
          <reference field="4" count="1" selected="0">
            <x v="216"/>
          </reference>
          <reference field="5" count="1" selected="0">
            <x v="1250"/>
          </reference>
          <reference field="7" count="1">
            <x v="93"/>
          </reference>
        </references>
      </pivotArea>
    </format>
    <format dxfId="1705">
      <pivotArea dataOnly="0" labelOnly="1" outline="0" fieldPosition="0">
        <references count="5">
          <reference field="0" count="1" selected="0">
            <x v="1"/>
          </reference>
          <reference field="3" count="1" selected="0">
            <x v="36"/>
          </reference>
          <reference field="4" count="1" selected="0">
            <x v="216"/>
          </reference>
          <reference field="5" count="1" selected="0">
            <x v="1251"/>
          </reference>
          <reference field="7" count="1">
            <x v="95"/>
          </reference>
        </references>
      </pivotArea>
    </format>
    <format dxfId="1704">
      <pivotArea dataOnly="0" labelOnly="1" outline="0" fieldPosition="0">
        <references count="5">
          <reference field="0" count="1" selected="0">
            <x v="1"/>
          </reference>
          <reference field="3" count="1" selected="0">
            <x v="36"/>
          </reference>
          <reference field="4" count="1" selected="0">
            <x v="216"/>
          </reference>
          <reference field="5" count="1" selected="0">
            <x v="1252"/>
          </reference>
          <reference field="7" count="1">
            <x v="94"/>
          </reference>
        </references>
      </pivotArea>
    </format>
    <format dxfId="1703">
      <pivotArea dataOnly="0" labelOnly="1" outline="0" fieldPosition="0">
        <references count="5">
          <reference field="0" count="1" selected="0">
            <x v="1"/>
          </reference>
          <reference field="3" count="1" selected="0">
            <x v="37"/>
          </reference>
          <reference field="4" count="1" selected="0">
            <x v="216"/>
          </reference>
          <reference field="5" count="1" selected="0">
            <x v="172"/>
          </reference>
          <reference field="7" count="1">
            <x v="1093"/>
          </reference>
        </references>
      </pivotArea>
    </format>
    <format dxfId="1702">
      <pivotArea dataOnly="0" labelOnly="1" outline="0" fieldPosition="0">
        <references count="5">
          <reference field="0" count="1" selected="0">
            <x v="1"/>
          </reference>
          <reference field="3" count="1" selected="0">
            <x v="37"/>
          </reference>
          <reference field="4" count="1" selected="0">
            <x v="216"/>
          </reference>
          <reference field="5" count="1" selected="0">
            <x v="283"/>
          </reference>
          <reference field="7" count="1">
            <x v="756"/>
          </reference>
        </references>
      </pivotArea>
    </format>
    <format dxfId="1701">
      <pivotArea dataOnly="0" labelOnly="1" outline="0" fieldPosition="0">
        <references count="5">
          <reference field="0" count="1" selected="0">
            <x v="1"/>
          </reference>
          <reference field="3" count="1" selected="0">
            <x v="37"/>
          </reference>
          <reference field="4" count="1" selected="0">
            <x v="216"/>
          </reference>
          <reference field="5" count="1" selected="0">
            <x v="366"/>
          </reference>
          <reference field="7" count="1">
            <x v="899"/>
          </reference>
        </references>
      </pivotArea>
    </format>
    <format dxfId="1700">
      <pivotArea dataOnly="0" labelOnly="1" outline="0" fieldPosition="0">
        <references count="5">
          <reference field="0" count="1" selected="0">
            <x v="1"/>
          </reference>
          <reference field="3" count="1" selected="0">
            <x v="37"/>
          </reference>
          <reference field="4" count="1" selected="0">
            <x v="216"/>
          </reference>
          <reference field="5" count="1" selected="0">
            <x v="369"/>
          </reference>
          <reference field="7" count="1">
            <x v="897"/>
          </reference>
        </references>
      </pivotArea>
    </format>
    <format dxfId="1699">
      <pivotArea dataOnly="0" labelOnly="1" outline="0" fieldPosition="0">
        <references count="5">
          <reference field="0" count="1" selected="0">
            <x v="1"/>
          </reference>
          <reference field="3" count="1" selected="0">
            <x v="37"/>
          </reference>
          <reference field="4" count="1" selected="0">
            <x v="216"/>
          </reference>
          <reference field="5" count="1" selected="0">
            <x v="370"/>
          </reference>
          <reference field="7" count="1">
            <x v="675"/>
          </reference>
        </references>
      </pivotArea>
    </format>
    <format dxfId="1698">
      <pivotArea dataOnly="0" labelOnly="1" outline="0" fieldPosition="0">
        <references count="5">
          <reference field="0" count="1" selected="0">
            <x v="1"/>
          </reference>
          <reference field="3" count="1" selected="0">
            <x v="37"/>
          </reference>
          <reference field="4" count="1" selected="0">
            <x v="216"/>
          </reference>
          <reference field="5" count="1" selected="0">
            <x v="393"/>
          </reference>
          <reference field="7" count="1">
            <x v="1462"/>
          </reference>
        </references>
      </pivotArea>
    </format>
    <format dxfId="1697">
      <pivotArea dataOnly="0" labelOnly="1" outline="0" fieldPosition="0">
        <references count="5">
          <reference field="0" count="1" selected="0">
            <x v="1"/>
          </reference>
          <reference field="3" count="1" selected="0">
            <x v="37"/>
          </reference>
          <reference field="4" count="1" selected="0">
            <x v="216"/>
          </reference>
          <reference field="5" count="1" selected="0">
            <x v="1253"/>
          </reference>
          <reference field="7" count="1">
            <x v="217"/>
          </reference>
        </references>
      </pivotArea>
    </format>
    <format dxfId="1696">
      <pivotArea dataOnly="0" labelOnly="1" outline="0" fieldPosition="0">
        <references count="5">
          <reference field="0" count="1" selected="0">
            <x v="1"/>
          </reference>
          <reference field="3" count="1" selected="0">
            <x v="37"/>
          </reference>
          <reference field="4" count="1" selected="0">
            <x v="216"/>
          </reference>
          <reference field="5" count="1" selected="0">
            <x v="1254"/>
          </reference>
          <reference field="7" count="1">
            <x v="848"/>
          </reference>
        </references>
      </pivotArea>
    </format>
    <format dxfId="1695">
      <pivotArea dataOnly="0" labelOnly="1" outline="0" fieldPosition="0">
        <references count="5">
          <reference field="0" count="1" selected="0">
            <x v="1"/>
          </reference>
          <reference field="3" count="1" selected="0">
            <x v="37"/>
          </reference>
          <reference field="4" count="1" selected="0">
            <x v="216"/>
          </reference>
          <reference field="5" count="1" selected="0">
            <x v="1255"/>
          </reference>
          <reference field="7" count="1">
            <x v="412"/>
          </reference>
        </references>
      </pivotArea>
    </format>
    <format dxfId="1694">
      <pivotArea dataOnly="0" labelOnly="1" outline="0" fieldPosition="0">
        <references count="5">
          <reference field="0" count="1" selected="0">
            <x v="1"/>
          </reference>
          <reference field="3" count="1" selected="0">
            <x v="37"/>
          </reference>
          <reference field="4" count="1" selected="0">
            <x v="216"/>
          </reference>
          <reference field="5" count="1" selected="0">
            <x v="1256"/>
          </reference>
          <reference field="7" count="1">
            <x v="411"/>
          </reference>
        </references>
      </pivotArea>
    </format>
    <format dxfId="1693">
      <pivotArea dataOnly="0" labelOnly="1" outline="0" fieldPosition="0">
        <references count="5">
          <reference field="0" count="1" selected="0">
            <x v="1"/>
          </reference>
          <reference field="3" count="1" selected="0">
            <x v="38"/>
          </reference>
          <reference field="4" count="1" selected="0">
            <x v="216"/>
          </reference>
          <reference field="5" count="1" selected="0">
            <x v="70"/>
          </reference>
          <reference field="7" count="1">
            <x v="1358"/>
          </reference>
        </references>
      </pivotArea>
    </format>
    <format dxfId="1692">
      <pivotArea dataOnly="0" labelOnly="1" outline="0" fieldPosition="0">
        <references count="5">
          <reference field="0" count="1" selected="0">
            <x v="1"/>
          </reference>
          <reference field="3" count="1" selected="0">
            <x v="38"/>
          </reference>
          <reference field="4" count="1" selected="0">
            <x v="216"/>
          </reference>
          <reference field="5" count="1" selected="0">
            <x v="94"/>
          </reference>
          <reference field="7" count="1">
            <x v="1454"/>
          </reference>
        </references>
      </pivotArea>
    </format>
    <format dxfId="1691">
      <pivotArea dataOnly="0" labelOnly="1" outline="0" fieldPosition="0">
        <references count="5">
          <reference field="0" count="1" selected="0">
            <x v="1"/>
          </reference>
          <reference field="3" count="1" selected="0">
            <x v="38"/>
          </reference>
          <reference field="4" count="1" selected="0">
            <x v="216"/>
          </reference>
          <reference field="5" count="1" selected="0">
            <x v="106"/>
          </reference>
          <reference field="7" count="1">
            <x v="1601"/>
          </reference>
        </references>
      </pivotArea>
    </format>
    <format dxfId="1690">
      <pivotArea dataOnly="0" labelOnly="1" outline="0" fieldPosition="0">
        <references count="5">
          <reference field="0" count="1" selected="0">
            <x v="1"/>
          </reference>
          <reference field="3" count="1" selected="0">
            <x v="38"/>
          </reference>
          <reference field="4" count="1" selected="0">
            <x v="216"/>
          </reference>
          <reference field="5" count="1" selected="0">
            <x v="162"/>
          </reference>
          <reference field="7" count="1">
            <x v="1081"/>
          </reference>
        </references>
      </pivotArea>
    </format>
    <format dxfId="1689">
      <pivotArea dataOnly="0" labelOnly="1" outline="0" fieldPosition="0">
        <references count="5">
          <reference field="0" count="1" selected="0">
            <x v="1"/>
          </reference>
          <reference field="3" count="1" selected="0">
            <x v="38"/>
          </reference>
          <reference field="4" count="1" selected="0">
            <x v="216"/>
          </reference>
          <reference field="5" count="1" selected="0">
            <x v="215"/>
          </reference>
          <reference field="7" count="1">
            <x v="975"/>
          </reference>
        </references>
      </pivotArea>
    </format>
    <format dxfId="1688">
      <pivotArea dataOnly="0" labelOnly="1" outline="0" fieldPosition="0">
        <references count="5">
          <reference field="0" count="1" selected="0">
            <x v="1"/>
          </reference>
          <reference field="3" count="1" selected="0">
            <x v="38"/>
          </reference>
          <reference field="4" count="1" selected="0">
            <x v="216"/>
          </reference>
          <reference field="5" count="1" selected="0">
            <x v="253"/>
          </reference>
          <reference field="7" count="1">
            <x v="1319"/>
          </reference>
        </references>
      </pivotArea>
    </format>
    <format dxfId="1687">
      <pivotArea dataOnly="0" labelOnly="1" outline="0" fieldPosition="0">
        <references count="5">
          <reference field="0" count="1" selected="0">
            <x v="1"/>
          </reference>
          <reference field="3" count="1" selected="0">
            <x v="38"/>
          </reference>
          <reference field="4" count="1" selected="0">
            <x v="216"/>
          </reference>
          <reference field="5" count="1" selected="0">
            <x v="281"/>
          </reference>
          <reference field="7" count="1">
            <x v="754"/>
          </reference>
        </references>
      </pivotArea>
    </format>
    <format dxfId="1686">
      <pivotArea dataOnly="0" labelOnly="1" outline="0" fieldPosition="0">
        <references count="5">
          <reference field="0" count="1" selected="0">
            <x v="1"/>
          </reference>
          <reference field="3" count="1" selected="0">
            <x v="38"/>
          </reference>
          <reference field="4" count="1" selected="0">
            <x v="216"/>
          </reference>
          <reference field="5" count="1" selected="0">
            <x v="283"/>
          </reference>
          <reference field="7" count="1">
            <x v="756"/>
          </reference>
        </references>
      </pivotArea>
    </format>
    <format dxfId="1685">
      <pivotArea dataOnly="0" labelOnly="1" outline="0" fieldPosition="0">
        <references count="5">
          <reference field="0" count="1" selected="0">
            <x v="1"/>
          </reference>
          <reference field="3" count="1" selected="0">
            <x v="38"/>
          </reference>
          <reference field="4" count="1" selected="0">
            <x v="216"/>
          </reference>
          <reference field="5" count="1" selected="0">
            <x v="304"/>
          </reference>
          <reference field="7" count="1">
            <x v="418"/>
          </reference>
        </references>
      </pivotArea>
    </format>
    <format dxfId="1684">
      <pivotArea dataOnly="0" labelOnly="1" outline="0" fieldPosition="0">
        <references count="5">
          <reference field="0" count="1" selected="0">
            <x v="1"/>
          </reference>
          <reference field="3" count="1" selected="0">
            <x v="38"/>
          </reference>
          <reference field="4" count="1" selected="0">
            <x v="216"/>
          </reference>
          <reference field="5" count="1" selected="0">
            <x v="320"/>
          </reference>
          <reference field="7" count="1">
            <x v="1402"/>
          </reference>
        </references>
      </pivotArea>
    </format>
    <format dxfId="1683">
      <pivotArea dataOnly="0" labelOnly="1" outline="0" fieldPosition="0">
        <references count="5">
          <reference field="0" count="1" selected="0">
            <x v="1"/>
          </reference>
          <reference field="3" count="1" selected="0">
            <x v="38"/>
          </reference>
          <reference field="4" count="1" selected="0">
            <x v="216"/>
          </reference>
          <reference field="5" count="1" selected="0">
            <x v="1257"/>
          </reference>
          <reference field="7" count="1">
            <x v="144"/>
          </reference>
        </references>
      </pivotArea>
    </format>
    <format dxfId="1682">
      <pivotArea dataOnly="0" labelOnly="1" outline="0" fieldPosition="0">
        <references count="5">
          <reference field="0" count="1" selected="0">
            <x v="1"/>
          </reference>
          <reference field="3" count="1" selected="0">
            <x v="38"/>
          </reference>
          <reference field="4" count="1" selected="0">
            <x v="216"/>
          </reference>
          <reference field="5" count="1" selected="0">
            <x v="1258"/>
          </reference>
          <reference field="7" count="1">
            <x v="470"/>
          </reference>
        </references>
      </pivotArea>
    </format>
    <format dxfId="1681">
      <pivotArea dataOnly="0" labelOnly="1" outline="0" fieldPosition="0">
        <references count="5">
          <reference field="0" count="1" selected="0">
            <x v="1"/>
          </reference>
          <reference field="3" count="1" selected="0">
            <x v="38"/>
          </reference>
          <reference field="4" count="1" selected="0">
            <x v="216"/>
          </reference>
          <reference field="5" count="1" selected="0">
            <x v="1259"/>
          </reference>
          <reference field="7" count="1">
            <x v="471"/>
          </reference>
        </references>
      </pivotArea>
    </format>
    <format dxfId="1680">
      <pivotArea dataOnly="0" labelOnly="1" outline="0" fieldPosition="0">
        <references count="5">
          <reference field="0" count="1" selected="0">
            <x v="1"/>
          </reference>
          <reference field="3" count="1" selected="0">
            <x v="38"/>
          </reference>
          <reference field="4" count="1" selected="0">
            <x v="216"/>
          </reference>
          <reference field="5" count="1" selected="0">
            <x v="1260"/>
          </reference>
          <reference field="7" count="1">
            <x v="473"/>
          </reference>
        </references>
      </pivotArea>
    </format>
    <format dxfId="1679">
      <pivotArea dataOnly="0" labelOnly="1" outline="0" fieldPosition="0">
        <references count="5">
          <reference field="0" count="1" selected="0">
            <x v="1"/>
          </reference>
          <reference field="3" count="1" selected="0">
            <x v="38"/>
          </reference>
          <reference field="4" count="1" selected="0">
            <x v="216"/>
          </reference>
          <reference field="5" count="1" selected="0">
            <x v="1261"/>
          </reference>
          <reference field="7" count="1">
            <x v="472"/>
          </reference>
        </references>
      </pivotArea>
    </format>
    <format dxfId="1678">
      <pivotArea dataOnly="0" labelOnly="1" outline="0" fieldPosition="0">
        <references count="5">
          <reference field="0" count="1" selected="0">
            <x v="1"/>
          </reference>
          <reference field="3" count="1" selected="0">
            <x v="39"/>
          </reference>
          <reference field="4" count="1" selected="0">
            <x v="169"/>
          </reference>
          <reference field="5" count="1" selected="0">
            <x v="1521"/>
          </reference>
          <reference field="7" count="1">
            <x v="302"/>
          </reference>
        </references>
      </pivotArea>
    </format>
    <format dxfId="1677">
      <pivotArea dataOnly="0" labelOnly="1" outline="0" fieldPosition="0">
        <references count="5">
          <reference field="0" count="1" selected="0">
            <x v="1"/>
          </reference>
          <reference field="3" count="1" selected="0">
            <x v="39"/>
          </reference>
          <reference field="4" count="1" selected="0">
            <x v="169"/>
          </reference>
          <reference field="5" count="1" selected="0">
            <x v="1522"/>
          </reference>
          <reference field="7" count="1">
            <x v="334"/>
          </reference>
        </references>
      </pivotArea>
    </format>
    <format dxfId="1676">
      <pivotArea dataOnly="0" labelOnly="1" outline="0" fieldPosition="0">
        <references count="5">
          <reference field="0" count="1" selected="0">
            <x v="1"/>
          </reference>
          <reference field="3" count="1" selected="0">
            <x v="39"/>
          </reference>
          <reference field="4" count="1" selected="0">
            <x v="169"/>
          </reference>
          <reference field="5" count="1" selected="0">
            <x v="1626"/>
          </reference>
          <reference field="7" count="1">
            <x v="1474"/>
          </reference>
        </references>
      </pivotArea>
    </format>
    <format dxfId="1675">
      <pivotArea dataOnly="0" labelOnly="1" outline="0" fieldPosition="0">
        <references count="5">
          <reference field="0" count="1" selected="0">
            <x v="1"/>
          </reference>
          <reference field="3" count="1" selected="0">
            <x v="39"/>
          </reference>
          <reference field="4" count="1" selected="0">
            <x v="216"/>
          </reference>
          <reference field="5" count="1" selected="0">
            <x v="363"/>
          </reference>
          <reference field="7" count="1">
            <x v="673"/>
          </reference>
        </references>
      </pivotArea>
    </format>
    <format dxfId="1674">
      <pivotArea dataOnly="0" labelOnly="1" outline="0" fieldPosition="0">
        <references count="5">
          <reference field="0" count="1" selected="0">
            <x v="1"/>
          </reference>
          <reference field="3" count="1" selected="0">
            <x v="39"/>
          </reference>
          <reference field="4" count="1" selected="0">
            <x v="216"/>
          </reference>
          <reference field="5" count="1" selected="0">
            <x v="367"/>
          </reference>
          <reference field="7" count="1">
            <x v="896"/>
          </reference>
        </references>
      </pivotArea>
    </format>
    <format dxfId="1673">
      <pivotArea dataOnly="0" labelOnly="1" outline="0" fieldPosition="0">
        <references count="5">
          <reference field="0" count="1" selected="0">
            <x v="1"/>
          </reference>
          <reference field="3" count="1" selected="0">
            <x v="39"/>
          </reference>
          <reference field="4" count="1" selected="0">
            <x v="216"/>
          </reference>
          <reference field="5" count="1" selected="0">
            <x v="373"/>
          </reference>
          <reference field="7" count="1">
            <x v="998"/>
          </reference>
        </references>
      </pivotArea>
    </format>
    <format dxfId="1672">
      <pivotArea dataOnly="0" labelOnly="1" outline="0" fieldPosition="0">
        <references count="5">
          <reference field="0" count="1" selected="0">
            <x v="1"/>
          </reference>
          <reference field="3" count="1" selected="0">
            <x v="39"/>
          </reference>
          <reference field="4" count="1" selected="0">
            <x v="216"/>
          </reference>
          <reference field="5" count="1" selected="0">
            <x v="1262"/>
          </reference>
          <reference field="7" count="1">
            <x v="237"/>
          </reference>
        </references>
      </pivotArea>
    </format>
    <format dxfId="1671">
      <pivotArea dataOnly="0" labelOnly="1" outline="0" fieldPosition="0">
        <references count="5">
          <reference field="0" count="1" selected="0">
            <x v="1"/>
          </reference>
          <reference field="3" count="1" selected="0">
            <x v="39"/>
          </reference>
          <reference field="4" count="1" selected="0">
            <x v="216"/>
          </reference>
          <reference field="5" count="1" selected="0">
            <x v="1263"/>
          </reference>
          <reference field="7" count="1">
            <x v="965"/>
          </reference>
        </references>
      </pivotArea>
    </format>
    <format dxfId="1670">
      <pivotArea dataOnly="0" labelOnly="1" outline="0" fieldPosition="0">
        <references count="5">
          <reference field="0" count="1" selected="0">
            <x v="1"/>
          </reference>
          <reference field="3" count="1" selected="0">
            <x v="39"/>
          </reference>
          <reference field="4" count="1" selected="0">
            <x v="216"/>
          </reference>
          <reference field="5" count="1" selected="0">
            <x v="1264"/>
          </reference>
          <reference field="7" count="1">
            <x v="964"/>
          </reference>
        </references>
      </pivotArea>
    </format>
    <format dxfId="1669">
      <pivotArea dataOnly="0" labelOnly="1" outline="0" fieldPosition="0">
        <references count="5">
          <reference field="0" count="1" selected="0">
            <x v="1"/>
          </reference>
          <reference field="3" count="1" selected="0">
            <x v="40"/>
          </reference>
          <reference field="4" count="1" selected="0">
            <x v="42"/>
          </reference>
          <reference field="5" count="1" selected="0">
            <x v="14"/>
          </reference>
          <reference field="7" count="1">
            <x v="1392"/>
          </reference>
        </references>
      </pivotArea>
    </format>
    <format dxfId="1668">
      <pivotArea dataOnly="0" labelOnly="1" outline="0" fieldPosition="0">
        <references count="5">
          <reference field="0" count="1" selected="0">
            <x v="1"/>
          </reference>
          <reference field="3" count="1" selected="0">
            <x v="40"/>
          </reference>
          <reference field="4" count="1" selected="0">
            <x v="42"/>
          </reference>
          <reference field="5" count="1" selected="0">
            <x v="109"/>
          </reference>
          <reference field="7" count="1">
            <x v="1375"/>
          </reference>
        </references>
      </pivotArea>
    </format>
    <format dxfId="1667">
      <pivotArea dataOnly="0" labelOnly="1" outline="0" fieldPosition="0">
        <references count="5">
          <reference field="0" count="1" selected="0">
            <x v="1"/>
          </reference>
          <reference field="3" count="1" selected="0">
            <x v="40"/>
          </reference>
          <reference field="4" count="1" selected="0">
            <x v="42"/>
          </reference>
          <reference field="5" count="1" selected="0">
            <x v="110"/>
          </reference>
          <reference field="7" count="1">
            <x v="1376"/>
          </reference>
        </references>
      </pivotArea>
    </format>
    <format dxfId="1666">
      <pivotArea dataOnly="0" labelOnly="1" outline="0" fieldPosition="0">
        <references count="5">
          <reference field="0" count="1" selected="0">
            <x v="1"/>
          </reference>
          <reference field="3" count="1" selected="0">
            <x v="40"/>
          </reference>
          <reference field="4" count="1" selected="0">
            <x v="42"/>
          </reference>
          <reference field="5" count="1" selected="0">
            <x v="140"/>
          </reference>
          <reference field="7" count="1">
            <x v="595"/>
          </reference>
        </references>
      </pivotArea>
    </format>
    <format dxfId="1665">
      <pivotArea dataOnly="0" labelOnly="1" outline="0" fieldPosition="0">
        <references count="5">
          <reference field="0" count="1" selected="0">
            <x v="1"/>
          </reference>
          <reference field="3" count="1" selected="0">
            <x v="40"/>
          </reference>
          <reference field="4" count="1" selected="0">
            <x v="42"/>
          </reference>
          <reference field="5" count="1" selected="0">
            <x v="161"/>
          </reference>
          <reference field="7" count="1">
            <x v="1079"/>
          </reference>
        </references>
      </pivotArea>
    </format>
    <format dxfId="1664">
      <pivotArea dataOnly="0" labelOnly="1" outline="0" fieldPosition="0">
        <references count="5">
          <reference field="0" count="1" selected="0">
            <x v="1"/>
          </reference>
          <reference field="3" count="1" selected="0">
            <x v="40"/>
          </reference>
          <reference field="4" count="1" selected="0">
            <x v="42"/>
          </reference>
          <reference field="5" count="1" selected="0">
            <x v="163"/>
          </reference>
          <reference field="7" count="1">
            <x v="1083"/>
          </reference>
        </references>
      </pivotArea>
    </format>
    <format dxfId="1663">
      <pivotArea dataOnly="0" labelOnly="1" outline="0" fieldPosition="0">
        <references count="5">
          <reference field="0" count="1" selected="0">
            <x v="1"/>
          </reference>
          <reference field="3" count="1" selected="0">
            <x v="40"/>
          </reference>
          <reference field="4" count="1" selected="0">
            <x v="42"/>
          </reference>
          <reference field="5" count="1" selected="0">
            <x v="179"/>
          </reference>
          <reference field="7" count="1">
            <x v="1334"/>
          </reference>
        </references>
      </pivotArea>
    </format>
    <format dxfId="1662">
      <pivotArea dataOnly="0" labelOnly="1" outline="0" fieldPosition="0">
        <references count="5">
          <reference field="0" count="1" selected="0">
            <x v="1"/>
          </reference>
          <reference field="3" count="1" selected="0">
            <x v="40"/>
          </reference>
          <reference field="4" count="1" selected="0">
            <x v="42"/>
          </reference>
          <reference field="5" count="1" selected="0">
            <x v="213"/>
          </reference>
          <reference field="7" count="1">
            <x v="973"/>
          </reference>
        </references>
      </pivotArea>
    </format>
    <format dxfId="1661">
      <pivotArea dataOnly="0" labelOnly="1" outline="0" fieldPosition="0">
        <references count="5">
          <reference field="0" count="1" selected="0">
            <x v="1"/>
          </reference>
          <reference field="3" count="1" selected="0">
            <x v="40"/>
          </reference>
          <reference field="4" count="1" selected="0">
            <x v="42"/>
          </reference>
          <reference field="5" count="1" selected="0">
            <x v="281"/>
          </reference>
          <reference field="7" count="1">
            <x v="754"/>
          </reference>
        </references>
      </pivotArea>
    </format>
    <format dxfId="1660">
      <pivotArea dataOnly="0" labelOnly="1" outline="0" fieldPosition="0">
        <references count="5">
          <reference field="0" count="1" selected="0">
            <x v="1"/>
          </reference>
          <reference field="3" count="1" selected="0">
            <x v="40"/>
          </reference>
          <reference field="4" count="1" selected="0">
            <x v="42"/>
          </reference>
          <reference field="5" count="1" selected="0">
            <x v="282"/>
          </reference>
          <reference field="7" count="1">
            <x v="755"/>
          </reference>
        </references>
      </pivotArea>
    </format>
    <format dxfId="1659">
      <pivotArea dataOnly="0" labelOnly="1" outline="0" fieldPosition="0">
        <references count="5">
          <reference field="0" count="1" selected="0">
            <x v="1"/>
          </reference>
          <reference field="3" count="1" selected="0">
            <x v="40"/>
          </reference>
          <reference field="4" count="1" selected="0">
            <x v="42"/>
          </reference>
          <reference field="5" count="1" selected="0">
            <x v="284"/>
          </reference>
          <reference field="7" count="1">
            <x v="749"/>
          </reference>
        </references>
      </pivotArea>
    </format>
    <format dxfId="1658">
      <pivotArea dataOnly="0" labelOnly="1" outline="0" fieldPosition="0">
        <references count="5">
          <reference field="0" count="1" selected="0">
            <x v="1"/>
          </reference>
          <reference field="3" count="1" selected="0">
            <x v="40"/>
          </reference>
          <reference field="4" count="1" selected="0">
            <x v="42"/>
          </reference>
          <reference field="5" count="1" selected="0">
            <x v="319"/>
          </reference>
          <reference field="7" count="1">
            <x v="1401"/>
          </reference>
        </references>
      </pivotArea>
    </format>
    <format dxfId="1657">
      <pivotArea dataOnly="0" labelOnly="1" outline="0" fieldPosition="0">
        <references count="5">
          <reference field="0" count="1" selected="0">
            <x v="1"/>
          </reference>
          <reference field="3" count="1" selected="0">
            <x v="40"/>
          </reference>
          <reference field="4" count="1" selected="0">
            <x v="42"/>
          </reference>
          <reference field="5" count="1" selected="0">
            <x v="329"/>
          </reference>
          <reference field="7" count="1">
            <x v="580"/>
          </reference>
        </references>
      </pivotArea>
    </format>
    <format dxfId="1656">
      <pivotArea dataOnly="0" labelOnly="1" outline="0" fieldPosition="0">
        <references count="5">
          <reference field="0" count="1" selected="0">
            <x v="1"/>
          </reference>
          <reference field="3" count="1" selected="0">
            <x v="40"/>
          </reference>
          <reference field="4" count="1" selected="0">
            <x v="42"/>
          </reference>
          <reference field="5" count="1" selected="0">
            <x v="330"/>
          </reference>
          <reference field="7" count="1">
            <x v="1589"/>
          </reference>
        </references>
      </pivotArea>
    </format>
    <format dxfId="1655">
      <pivotArea dataOnly="0" labelOnly="1" outline="0" fieldPosition="0">
        <references count="5">
          <reference field="0" count="1" selected="0">
            <x v="1"/>
          </reference>
          <reference field="3" count="1" selected="0">
            <x v="40"/>
          </reference>
          <reference field="4" count="1" selected="0">
            <x v="42"/>
          </reference>
          <reference field="5" count="1" selected="0">
            <x v="1267"/>
          </reference>
          <reference field="7" count="1">
            <x v="174"/>
          </reference>
        </references>
      </pivotArea>
    </format>
    <format dxfId="1654">
      <pivotArea dataOnly="0" labelOnly="1" outline="0" fieldPosition="0">
        <references count="5">
          <reference field="0" count="1" selected="0">
            <x v="1"/>
          </reference>
          <reference field="3" count="1" selected="0">
            <x v="40"/>
          </reference>
          <reference field="4" count="1" selected="0">
            <x v="42"/>
          </reference>
          <reference field="5" count="1" selected="0">
            <x v="1268"/>
          </reference>
          <reference field="7" count="1">
            <x v="742"/>
          </reference>
        </references>
      </pivotArea>
    </format>
    <format dxfId="1653">
      <pivotArea dataOnly="0" labelOnly="1" outline="0" fieldPosition="0">
        <references count="5">
          <reference field="0" count="1" selected="0">
            <x v="1"/>
          </reference>
          <reference field="3" count="1" selected="0">
            <x v="40"/>
          </reference>
          <reference field="4" count="1" selected="0">
            <x v="42"/>
          </reference>
          <reference field="5" count="1" selected="0">
            <x v="1269"/>
          </reference>
          <reference field="7" count="1">
            <x v="740"/>
          </reference>
        </references>
      </pivotArea>
    </format>
    <format dxfId="1652">
      <pivotArea dataOnly="0" labelOnly="1" outline="0" fieldPosition="0">
        <references count="5">
          <reference field="0" count="1" selected="0">
            <x v="1"/>
          </reference>
          <reference field="3" count="1" selected="0">
            <x v="40"/>
          </reference>
          <reference field="4" count="1" selected="0">
            <x v="42"/>
          </reference>
          <reference field="5" count="1" selected="0">
            <x v="1270"/>
          </reference>
          <reference field="7" count="1">
            <x v="741"/>
          </reference>
        </references>
      </pivotArea>
    </format>
    <format dxfId="1651">
      <pivotArea dataOnly="0" labelOnly="1" outline="0" fieldPosition="0">
        <references count="5">
          <reference field="0" count="1" selected="0">
            <x v="1"/>
          </reference>
          <reference field="3" count="1" selected="0">
            <x v="40"/>
          </reference>
          <reference field="4" count="1" selected="0">
            <x v="42"/>
          </reference>
          <reference field="5" count="1" selected="0">
            <x v="1271"/>
          </reference>
          <reference field="7" count="1">
            <x v="735"/>
          </reference>
        </references>
      </pivotArea>
    </format>
    <format dxfId="1650">
      <pivotArea dataOnly="0" labelOnly="1" outline="0" fieldPosition="0">
        <references count="5">
          <reference field="0" count="1" selected="0">
            <x v="1"/>
          </reference>
          <reference field="3" count="1" selected="0">
            <x v="40"/>
          </reference>
          <reference field="4" count="1" selected="0">
            <x v="42"/>
          </reference>
          <reference field="5" count="1" selected="0">
            <x v="1272"/>
          </reference>
          <reference field="7" count="1">
            <x v="743"/>
          </reference>
        </references>
      </pivotArea>
    </format>
    <format dxfId="1649">
      <pivotArea dataOnly="0" labelOnly="1" outline="0" fieldPosition="0">
        <references count="5">
          <reference field="0" count="1" selected="0">
            <x v="1"/>
          </reference>
          <reference field="3" count="1" selected="0">
            <x v="40"/>
          </reference>
          <reference field="4" count="1" selected="0">
            <x v="43"/>
          </reference>
          <reference field="5" count="1" selected="0">
            <x v="116"/>
          </reference>
          <reference field="7" count="1">
            <x v="1078"/>
          </reference>
        </references>
      </pivotArea>
    </format>
    <format dxfId="1648">
      <pivotArea dataOnly="0" labelOnly="1" outline="0" fieldPosition="0">
        <references count="5">
          <reference field="0" count="1" selected="0">
            <x v="1"/>
          </reference>
          <reference field="3" count="1" selected="0">
            <x v="40"/>
          </reference>
          <reference field="4" count="1" selected="0">
            <x v="43"/>
          </reference>
          <reference field="5" count="1" selected="0">
            <x v="139"/>
          </reference>
          <reference field="7" count="1">
            <x v="589"/>
          </reference>
        </references>
      </pivotArea>
    </format>
    <format dxfId="1647">
      <pivotArea dataOnly="0" labelOnly="1" outline="0" fieldPosition="0">
        <references count="5">
          <reference field="0" count="1" selected="0">
            <x v="1"/>
          </reference>
          <reference field="3" count="1" selected="0">
            <x v="40"/>
          </reference>
          <reference field="4" count="1" selected="0">
            <x v="43"/>
          </reference>
          <reference field="5" count="1" selected="0">
            <x v="146"/>
          </reference>
          <reference field="7" count="1">
            <x v="1587"/>
          </reference>
        </references>
      </pivotArea>
    </format>
    <format dxfId="1646">
      <pivotArea dataOnly="0" labelOnly="1" outline="0" fieldPosition="0">
        <references count="5">
          <reference field="0" count="1" selected="0">
            <x v="1"/>
          </reference>
          <reference field="3" count="1" selected="0">
            <x v="40"/>
          </reference>
          <reference field="4" count="1" selected="0">
            <x v="43"/>
          </reference>
          <reference field="5" count="1" selected="0">
            <x v="173"/>
          </reference>
          <reference field="7" count="1">
            <x v="1094"/>
          </reference>
        </references>
      </pivotArea>
    </format>
    <format dxfId="1645">
      <pivotArea dataOnly="0" labelOnly="1" outline="0" fieldPosition="0">
        <references count="5">
          <reference field="0" count="1" selected="0">
            <x v="1"/>
          </reference>
          <reference field="3" count="1" selected="0">
            <x v="40"/>
          </reference>
          <reference field="4" count="1" selected="0">
            <x v="43"/>
          </reference>
          <reference field="5" count="1" selected="0">
            <x v="279"/>
          </reference>
          <reference field="7" count="1">
            <x v="752"/>
          </reference>
        </references>
      </pivotArea>
    </format>
    <format dxfId="1644">
      <pivotArea dataOnly="0" labelOnly="1" outline="0" fieldPosition="0">
        <references count="5">
          <reference field="0" count="1" selected="0">
            <x v="1"/>
          </reference>
          <reference field="3" count="1" selected="0">
            <x v="40"/>
          </reference>
          <reference field="4" count="1" selected="0">
            <x v="43"/>
          </reference>
          <reference field="5" count="1" selected="0">
            <x v="281"/>
          </reference>
          <reference field="7" count="1">
            <x v="754"/>
          </reference>
        </references>
      </pivotArea>
    </format>
    <format dxfId="1643">
      <pivotArea dataOnly="0" labelOnly="1" outline="0" fieldPosition="0">
        <references count="5">
          <reference field="0" count="1" selected="0">
            <x v="1"/>
          </reference>
          <reference field="3" count="1" selected="0">
            <x v="40"/>
          </reference>
          <reference field="4" count="1" selected="0">
            <x v="43"/>
          </reference>
          <reference field="5" count="1" selected="0">
            <x v="283"/>
          </reference>
          <reference field="7" count="1">
            <x v="756"/>
          </reference>
        </references>
      </pivotArea>
    </format>
    <format dxfId="1642">
      <pivotArea dataOnly="0" labelOnly="1" outline="0" fieldPosition="0">
        <references count="5">
          <reference field="0" count="1" selected="0">
            <x v="1"/>
          </reference>
          <reference field="3" count="1" selected="0">
            <x v="40"/>
          </reference>
          <reference field="4" count="1" selected="0">
            <x v="43"/>
          </reference>
          <reference field="5" count="1" selected="0">
            <x v="302"/>
          </reference>
          <reference field="7" count="1">
            <x v="1070"/>
          </reference>
        </references>
      </pivotArea>
    </format>
    <format dxfId="1641">
      <pivotArea dataOnly="0" labelOnly="1" outline="0" fieldPosition="0">
        <references count="5">
          <reference field="0" count="1" selected="0">
            <x v="1"/>
          </reference>
          <reference field="3" count="1" selected="0">
            <x v="40"/>
          </reference>
          <reference field="4" count="1" selected="0">
            <x v="43"/>
          </reference>
          <reference field="5" count="1" selected="0">
            <x v="339"/>
          </reference>
          <reference field="7" count="1">
            <x v="1102"/>
          </reference>
        </references>
      </pivotArea>
    </format>
    <format dxfId="1640">
      <pivotArea dataOnly="0" labelOnly="1" outline="0" fieldPosition="0">
        <references count="5">
          <reference field="0" count="1" selected="0">
            <x v="1"/>
          </reference>
          <reference field="3" count="1" selected="0">
            <x v="40"/>
          </reference>
          <reference field="4" count="1" selected="0">
            <x v="43"/>
          </reference>
          <reference field="5" count="1" selected="0">
            <x v="1273"/>
          </reference>
          <reference field="7" count="1">
            <x v="175"/>
          </reference>
        </references>
      </pivotArea>
    </format>
    <format dxfId="1639">
      <pivotArea dataOnly="0" labelOnly="1" outline="0" fieldPosition="0">
        <references count="5">
          <reference field="0" count="1" selected="0">
            <x v="1"/>
          </reference>
          <reference field="3" count="1" selected="0">
            <x v="40"/>
          </reference>
          <reference field="4" count="1" selected="0">
            <x v="43"/>
          </reference>
          <reference field="5" count="1" selected="0">
            <x v="1274"/>
          </reference>
          <reference field="7" count="1">
            <x v="1192"/>
          </reference>
        </references>
      </pivotArea>
    </format>
    <format dxfId="1638">
      <pivotArea dataOnly="0" labelOnly="1" outline="0" fieldPosition="0">
        <references count="5">
          <reference field="0" count="1" selected="0">
            <x v="1"/>
          </reference>
          <reference field="3" count="1" selected="0">
            <x v="40"/>
          </reference>
          <reference field="4" count="1" selected="0">
            <x v="43"/>
          </reference>
          <reference field="5" count="1" selected="0">
            <x v="1275"/>
          </reference>
          <reference field="7" count="1">
            <x v="856"/>
          </reference>
        </references>
      </pivotArea>
    </format>
    <format dxfId="1637">
      <pivotArea dataOnly="0" labelOnly="1" outline="0" fieldPosition="0">
        <references count="5">
          <reference field="0" count="1" selected="0">
            <x v="1"/>
          </reference>
          <reference field="3" count="1" selected="0">
            <x v="40"/>
          </reference>
          <reference field="4" count="1" selected="0">
            <x v="43"/>
          </reference>
          <reference field="5" count="1" selected="0">
            <x v="1285"/>
          </reference>
          <reference field="7" count="1">
            <x v="419"/>
          </reference>
        </references>
      </pivotArea>
    </format>
    <format dxfId="1636">
      <pivotArea dataOnly="0" labelOnly="1" outline="0" fieldPosition="0">
        <references count="5">
          <reference field="0" count="1" selected="0">
            <x v="1"/>
          </reference>
          <reference field="3" count="1" selected="0">
            <x v="40"/>
          </reference>
          <reference field="4" count="1" selected="0">
            <x v="43"/>
          </reference>
          <reference field="5" count="1" selected="0">
            <x v="1291"/>
          </reference>
          <reference field="7" count="1">
            <x v="659"/>
          </reference>
        </references>
      </pivotArea>
    </format>
    <format dxfId="1635">
      <pivotArea dataOnly="0" labelOnly="1" outline="0" fieldPosition="0">
        <references count="5">
          <reference field="0" count="1" selected="0">
            <x v="1"/>
          </reference>
          <reference field="3" count="1" selected="0">
            <x v="40"/>
          </reference>
          <reference field="4" count="1" selected="0">
            <x v="43"/>
          </reference>
          <reference field="5" count="1" selected="0">
            <x v="1292"/>
          </reference>
          <reference field="7" count="1">
            <x v="1498"/>
          </reference>
        </references>
      </pivotArea>
    </format>
    <format dxfId="1634">
      <pivotArea dataOnly="0" labelOnly="1" outline="0" fieldPosition="0">
        <references count="5">
          <reference field="0" count="1" selected="0">
            <x v="1"/>
          </reference>
          <reference field="3" count="1" selected="0">
            <x v="40"/>
          </reference>
          <reference field="4" count="1" selected="0">
            <x v="43"/>
          </reference>
          <reference field="5" count="1" selected="0">
            <x v="1614"/>
          </reference>
          <reference field="7" count="1">
            <x v="1145"/>
          </reference>
        </references>
      </pivotArea>
    </format>
    <format dxfId="1633">
      <pivotArea dataOnly="0" labelOnly="1" outline="0" fieldPosition="0">
        <references count="5">
          <reference field="0" count="1" selected="0">
            <x v="1"/>
          </reference>
          <reference field="3" count="1" selected="0">
            <x v="40"/>
          </reference>
          <reference field="4" count="1" selected="0">
            <x v="44"/>
          </reference>
          <reference field="5" count="1" selected="0">
            <x v="139"/>
          </reference>
          <reference field="7" count="1">
            <x v="589"/>
          </reference>
        </references>
      </pivotArea>
    </format>
    <format dxfId="1632">
      <pivotArea dataOnly="0" labelOnly="1" outline="0" fieldPosition="0">
        <references count="5">
          <reference field="0" count="1" selected="0">
            <x v="1"/>
          </reference>
          <reference field="3" count="1" selected="0">
            <x v="40"/>
          </reference>
          <reference field="4" count="1" selected="0">
            <x v="44"/>
          </reference>
          <reference field="5" count="1" selected="0">
            <x v="261"/>
          </reference>
          <reference field="7" count="1">
            <x v="1409"/>
          </reference>
        </references>
      </pivotArea>
    </format>
    <format dxfId="1631">
      <pivotArea dataOnly="0" labelOnly="1" outline="0" fieldPosition="0">
        <references count="5">
          <reference field="0" count="1" selected="0">
            <x v="1"/>
          </reference>
          <reference field="3" count="1" selected="0">
            <x v="40"/>
          </reference>
          <reference field="4" count="1" selected="0">
            <x v="44"/>
          </reference>
          <reference field="5" count="1" selected="0">
            <x v="262"/>
          </reference>
          <reference field="7" count="1">
            <x v="1408"/>
          </reference>
        </references>
      </pivotArea>
    </format>
    <format dxfId="1630">
      <pivotArea dataOnly="0" labelOnly="1" outline="0" fieldPosition="0">
        <references count="5">
          <reference field="0" count="1" selected="0">
            <x v="1"/>
          </reference>
          <reference field="3" count="1" selected="0">
            <x v="40"/>
          </reference>
          <reference field="4" count="1" selected="0">
            <x v="44"/>
          </reference>
          <reference field="5" count="1" selected="0">
            <x v="281"/>
          </reference>
          <reference field="7" count="1">
            <x v="754"/>
          </reference>
        </references>
      </pivotArea>
    </format>
    <format dxfId="1629">
      <pivotArea dataOnly="0" labelOnly="1" outline="0" fieldPosition="0">
        <references count="5">
          <reference field="0" count="1" selected="0">
            <x v="1"/>
          </reference>
          <reference field="3" count="1" selected="0">
            <x v="40"/>
          </reference>
          <reference field="4" count="1" selected="0">
            <x v="44"/>
          </reference>
          <reference field="5" count="1" selected="0">
            <x v="1276"/>
          </reference>
          <reference field="7" count="1">
            <x v="126"/>
          </reference>
        </references>
      </pivotArea>
    </format>
    <format dxfId="1628">
      <pivotArea dataOnly="0" labelOnly="1" outline="0" fieldPosition="0">
        <references count="5">
          <reference field="0" count="1" selected="0">
            <x v="1"/>
          </reference>
          <reference field="3" count="1" selected="0">
            <x v="40"/>
          </reference>
          <reference field="4" count="1" selected="0">
            <x v="44"/>
          </reference>
          <reference field="5" count="1" selected="0">
            <x v="1278"/>
          </reference>
          <reference field="7" count="1">
            <x v="90"/>
          </reference>
        </references>
      </pivotArea>
    </format>
    <format dxfId="1627">
      <pivotArea dataOnly="0" labelOnly="1" outline="0" fieldPosition="0">
        <references count="5">
          <reference field="0" count="1" selected="0">
            <x v="1"/>
          </reference>
          <reference field="3" count="1" selected="0">
            <x v="40"/>
          </reference>
          <reference field="4" count="1" selected="0">
            <x v="44"/>
          </reference>
          <reference field="5" count="1" selected="0">
            <x v="1279"/>
          </reference>
          <reference field="7" count="1">
            <x v="92"/>
          </reference>
        </references>
      </pivotArea>
    </format>
    <format dxfId="1626">
      <pivotArea dataOnly="0" labelOnly="1" outline="0" fieldPosition="0">
        <references count="5">
          <reference field="0" count="1" selected="0">
            <x v="1"/>
          </reference>
          <reference field="3" count="1" selected="0">
            <x v="40"/>
          </reference>
          <reference field="4" count="1" selected="0">
            <x v="44"/>
          </reference>
          <reference field="5" count="1" selected="0">
            <x v="1280"/>
          </reference>
          <reference field="7" count="1">
            <x v="91"/>
          </reference>
        </references>
      </pivotArea>
    </format>
    <format dxfId="1625">
      <pivotArea dataOnly="0" labelOnly="1" outline="0" fieldPosition="0">
        <references count="5">
          <reference field="0" count="1" selected="0">
            <x v="1"/>
          </reference>
          <reference field="3" count="1" selected="0">
            <x v="40"/>
          </reference>
          <reference field="4" count="1" selected="0">
            <x v="44"/>
          </reference>
          <reference field="5" count="1" selected="0">
            <x v="1605"/>
          </reference>
          <reference field="7" count="1">
            <x v="1119"/>
          </reference>
        </references>
      </pivotArea>
    </format>
    <format dxfId="1624">
      <pivotArea dataOnly="0" labelOnly="1" outline="0" fieldPosition="0">
        <references count="5">
          <reference field="0" count="1" selected="0">
            <x v="1"/>
          </reference>
          <reference field="3" count="1" selected="0">
            <x v="40"/>
          </reference>
          <reference field="4" count="1" selected="0">
            <x v="44"/>
          </reference>
          <reference field="5" count="1" selected="0">
            <x v="1607"/>
          </reference>
          <reference field="7" count="1">
            <x v="967"/>
          </reference>
        </references>
      </pivotArea>
    </format>
    <format dxfId="1623">
      <pivotArea dataOnly="0" labelOnly="1" outline="0" fieldPosition="0">
        <references count="5">
          <reference field="0" count="1" selected="0">
            <x v="1"/>
          </reference>
          <reference field="3" count="1" selected="0">
            <x v="40"/>
          </reference>
          <reference field="4" count="1" selected="0">
            <x v="45"/>
          </reference>
          <reference field="5" count="1" selected="0">
            <x v="25"/>
          </reference>
          <reference field="7" count="1">
            <x v="1485"/>
          </reference>
        </references>
      </pivotArea>
    </format>
    <format dxfId="1622">
      <pivotArea dataOnly="0" labelOnly="1" outline="0" fieldPosition="0">
        <references count="5">
          <reference field="0" count="1" selected="0">
            <x v="1"/>
          </reference>
          <reference field="3" count="1" selected="0">
            <x v="40"/>
          </reference>
          <reference field="4" count="1" selected="0">
            <x v="45"/>
          </reference>
          <reference field="5" count="1" selected="0">
            <x v="1283"/>
          </reference>
          <reference field="7" count="1">
            <x v="145"/>
          </reference>
        </references>
      </pivotArea>
    </format>
    <format dxfId="1621">
      <pivotArea dataOnly="0" labelOnly="1" outline="0" fieldPosition="0">
        <references count="5">
          <reference field="0" count="1" selected="0">
            <x v="1"/>
          </reference>
          <reference field="3" count="1" selected="0">
            <x v="40"/>
          </reference>
          <reference field="4" count="1" selected="0">
            <x v="45"/>
          </reference>
          <reference field="5" count="1" selected="0">
            <x v="1284"/>
          </reference>
          <reference field="7" count="1">
            <x v="1378"/>
          </reference>
        </references>
      </pivotArea>
    </format>
    <format dxfId="1620">
      <pivotArea dataOnly="0" labelOnly="1" outline="0" fieldPosition="0">
        <references count="5">
          <reference field="0" count="1" selected="0">
            <x v="1"/>
          </reference>
          <reference field="3" count="1" selected="0">
            <x v="40"/>
          </reference>
          <reference field="4" count="1" selected="0">
            <x v="45"/>
          </reference>
          <reference field="5" count="1" selected="0">
            <x v="1290"/>
          </reference>
          <reference field="7" count="1">
            <x v="1377"/>
          </reference>
        </references>
      </pivotArea>
    </format>
    <format dxfId="1619">
      <pivotArea dataOnly="0" labelOnly="1" outline="0" fieldPosition="0">
        <references count="5">
          <reference field="0" count="1" selected="0">
            <x v="1"/>
          </reference>
          <reference field="3" count="1" selected="0">
            <x v="40"/>
          </reference>
          <reference field="4" count="1" selected="0">
            <x v="46"/>
          </reference>
          <reference field="5" count="1" selected="0">
            <x v="26"/>
          </reference>
          <reference field="7" count="1">
            <x v="1486"/>
          </reference>
        </references>
      </pivotArea>
    </format>
    <format dxfId="1618">
      <pivotArea dataOnly="0" labelOnly="1" outline="0" fieldPosition="0">
        <references count="5">
          <reference field="0" count="1" selected="0">
            <x v="1"/>
          </reference>
          <reference field="3" count="1" selected="0">
            <x v="40"/>
          </reference>
          <reference field="4" count="1" selected="0">
            <x v="46"/>
          </reference>
          <reference field="5" count="1" selected="0">
            <x v="1284"/>
          </reference>
          <reference field="7" count="1">
            <x v="1378"/>
          </reference>
        </references>
      </pivotArea>
    </format>
    <format dxfId="1617">
      <pivotArea dataOnly="0" labelOnly="1" outline="0" fieldPosition="0">
        <references count="5">
          <reference field="0" count="1" selected="0">
            <x v="1"/>
          </reference>
          <reference field="3" count="1" selected="0">
            <x v="40"/>
          </reference>
          <reference field="4" count="1" selected="0">
            <x v="46"/>
          </reference>
          <reference field="5" count="1" selected="0">
            <x v="1286"/>
          </reference>
          <reference field="7" count="1">
            <x v="289"/>
          </reference>
        </references>
      </pivotArea>
    </format>
    <format dxfId="1616">
      <pivotArea dataOnly="0" labelOnly="1" outline="0" fieldPosition="0">
        <references count="5">
          <reference field="0" count="1" selected="0">
            <x v="1"/>
          </reference>
          <reference field="3" count="1" selected="0">
            <x v="40"/>
          </reference>
          <reference field="4" count="1" selected="0">
            <x v="46"/>
          </reference>
          <reference field="5" count="1" selected="0">
            <x v="1290"/>
          </reference>
          <reference field="7" count="1">
            <x v="1377"/>
          </reference>
        </references>
      </pivotArea>
    </format>
    <format dxfId="1615">
      <pivotArea dataOnly="0" labelOnly="1" outline="0" fieldPosition="0">
        <references count="5">
          <reference field="0" count="1" selected="0">
            <x v="1"/>
          </reference>
          <reference field="3" count="1" selected="0">
            <x v="40"/>
          </reference>
          <reference field="4" count="1" selected="0">
            <x v="47"/>
          </reference>
          <reference field="5" count="1" selected="0">
            <x v="1281"/>
          </reference>
          <reference field="7" count="1">
            <x v="1490"/>
          </reference>
        </references>
      </pivotArea>
    </format>
    <format dxfId="1614">
      <pivotArea dataOnly="0" labelOnly="1" outline="0" fieldPosition="0">
        <references count="5">
          <reference field="0" count="1" selected="0">
            <x v="1"/>
          </reference>
          <reference field="3" count="1" selected="0">
            <x v="40"/>
          </reference>
          <reference field="4" count="1" selected="0">
            <x v="47"/>
          </reference>
          <reference field="5" count="1" selected="0">
            <x v="1282"/>
          </reference>
          <reference field="7" count="1">
            <x v="918"/>
          </reference>
        </references>
      </pivotArea>
    </format>
    <format dxfId="1613">
      <pivotArea dataOnly="0" labelOnly="1" outline="0" fieldPosition="0">
        <references count="5">
          <reference field="0" count="1" selected="0">
            <x v="1"/>
          </reference>
          <reference field="3" count="1" selected="0">
            <x v="40"/>
          </reference>
          <reference field="4" count="1" selected="0">
            <x v="47"/>
          </reference>
          <reference field="5" count="1" selected="0">
            <x v="1288"/>
          </reference>
          <reference field="7" count="1">
            <x v="1491"/>
          </reference>
        </references>
      </pivotArea>
    </format>
    <format dxfId="1612">
      <pivotArea dataOnly="0" labelOnly="1" outline="0" fieldPosition="0">
        <references count="5">
          <reference field="0" count="1" selected="0">
            <x v="1"/>
          </reference>
          <reference field="3" count="1" selected="0">
            <x v="40"/>
          </reference>
          <reference field="4" count="1" selected="0">
            <x v="47"/>
          </reference>
          <reference field="5" count="1" selected="0">
            <x v="1289"/>
          </reference>
          <reference field="7" count="1">
            <x v="89"/>
          </reference>
        </references>
      </pivotArea>
    </format>
    <format dxfId="1611">
      <pivotArea dataOnly="0" labelOnly="1" outline="0" fieldPosition="0">
        <references count="5">
          <reference field="0" count="1" selected="0">
            <x v="1"/>
          </reference>
          <reference field="3" count="1" selected="0">
            <x v="40"/>
          </reference>
          <reference field="4" count="1" selected="0">
            <x v="47"/>
          </reference>
          <reference field="5" count="1" selected="0">
            <x v="1293"/>
          </reference>
          <reference field="7" count="1">
            <x v="307"/>
          </reference>
        </references>
      </pivotArea>
    </format>
    <format dxfId="1610">
      <pivotArea dataOnly="0" labelOnly="1" outline="0" fieldPosition="0">
        <references count="5">
          <reference field="0" count="1" selected="0">
            <x v="1"/>
          </reference>
          <reference field="3" count="1" selected="0">
            <x v="40"/>
          </reference>
          <reference field="4" count="1" selected="0">
            <x v="73"/>
          </reference>
          <reference field="5" count="1" selected="0">
            <x v="14"/>
          </reference>
          <reference field="7" count="1">
            <x v="1392"/>
          </reference>
        </references>
      </pivotArea>
    </format>
    <format dxfId="1609">
      <pivotArea dataOnly="0" labelOnly="1" outline="0" fieldPosition="0">
        <references count="5">
          <reference field="0" count="1" selected="0">
            <x v="1"/>
          </reference>
          <reference field="3" count="1" selected="0">
            <x v="40"/>
          </reference>
          <reference field="4" count="1" selected="0">
            <x v="73"/>
          </reference>
          <reference field="5" count="1" selected="0">
            <x v="109"/>
          </reference>
          <reference field="7" count="1">
            <x v="1375"/>
          </reference>
        </references>
      </pivotArea>
    </format>
    <format dxfId="1608">
      <pivotArea dataOnly="0" labelOnly="1" outline="0" fieldPosition="0">
        <references count="5">
          <reference field="0" count="1" selected="0">
            <x v="1"/>
          </reference>
          <reference field="3" count="1" selected="0">
            <x v="40"/>
          </reference>
          <reference field="4" count="1" selected="0">
            <x v="73"/>
          </reference>
          <reference field="5" count="1" selected="0">
            <x v="110"/>
          </reference>
          <reference field="7" count="1">
            <x v="1376"/>
          </reference>
        </references>
      </pivotArea>
    </format>
    <format dxfId="1607">
      <pivotArea dataOnly="0" labelOnly="1" outline="0" fieldPosition="0">
        <references count="5">
          <reference field="0" count="1" selected="0">
            <x v="1"/>
          </reference>
          <reference field="3" count="1" selected="0">
            <x v="40"/>
          </reference>
          <reference field="4" count="1" selected="0">
            <x v="73"/>
          </reference>
          <reference field="5" count="1" selected="0">
            <x v="140"/>
          </reference>
          <reference field="7" count="1">
            <x v="595"/>
          </reference>
        </references>
      </pivotArea>
    </format>
    <format dxfId="1606">
      <pivotArea dataOnly="0" labelOnly="1" outline="0" fieldPosition="0">
        <references count="5">
          <reference field="0" count="1" selected="0">
            <x v="1"/>
          </reference>
          <reference field="3" count="1" selected="0">
            <x v="40"/>
          </reference>
          <reference field="4" count="1" selected="0">
            <x v="73"/>
          </reference>
          <reference field="5" count="1" selected="0">
            <x v="161"/>
          </reference>
          <reference field="7" count="1">
            <x v="1079"/>
          </reference>
        </references>
      </pivotArea>
    </format>
    <format dxfId="1605">
      <pivotArea dataOnly="0" labelOnly="1" outline="0" fieldPosition="0">
        <references count="5">
          <reference field="0" count="1" selected="0">
            <x v="1"/>
          </reference>
          <reference field="3" count="1" selected="0">
            <x v="40"/>
          </reference>
          <reference field="4" count="1" selected="0">
            <x v="73"/>
          </reference>
          <reference field="5" count="1" selected="0">
            <x v="163"/>
          </reference>
          <reference field="7" count="1">
            <x v="1083"/>
          </reference>
        </references>
      </pivotArea>
    </format>
    <format dxfId="1604">
      <pivotArea dataOnly="0" labelOnly="1" outline="0" fieldPosition="0">
        <references count="5">
          <reference field="0" count="1" selected="0">
            <x v="1"/>
          </reference>
          <reference field="3" count="1" selected="0">
            <x v="40"/>
          </reference>
          <reference field="4" count="1" selected="0">
            <x v="73"/>
          </reference>
          <reference field="5" count="1" selected="0">
            <x v="179"/>
          </reference>
          <reference field="7" count="1">
            <x v="1334"/>
          </reference>
        </references>
      </pivotArea>
    </format>
    <format dxfId="1603">
      <pivotArea dataOnly="0" labelOnly="1" outline="0" fieldPosition="0">
        <references count="5">
          <reference field="0" count="1" selected="0">
            <x v="1"/>
          </reference>
          <reference field="3" count="1" selected="0">
            <x v="40"/>
          </reference>
          <reference field="4" count="1" selected="0">
            <x v="73"/>
          </reference>
          <reference field="5" count="1" selected="0">
            <x v="213"/>
          </reference>
          <reference field="7" count="1">
            <x v="973"/>
          </reference>
        </references>
      </pivotArea>
    </format>
    <format dxfId="1602">
      <pivotArea dataOnly="0" labelOnly="1" outline="0" fieldPosition="0">
        <references count="5">
          <reference field="0" count="1" selected="0">
            <x v="1"/>
          </reference>
          <reference field="3" count="1" selected="0">
            <x v="40"/>
          </reference>
          <reference field="4" count="1" selected="0">
            <x v="73"/>
          </reference>
          <reference field="5" count="1" selected="0">
            <x v="270"/>
          </reference>
          <reference field="7" count="1">
            <x v="594"/>
          </reference>
        </references>
      </pivotArea>
    </format>
    <format dxfId="1601">
      <pivotArea dataOnly="0" labelOnly="1" outline="0" fieldPosition="0">
        <references count="5">
          <reference field="0" count="1" selected="0">
            <x v="1"/>
          </reference>
          <reference field="3" count="1" selected="0">
            <x v="40"/>
          </reference>
          <reference field="4" count="1" selected="0">
            <x v="73"/>
          </reference>
          <reference field="5" count="1" selected="0">
            <x v="281"/>
          </reference>
          <reference field="7" count="1">
            <x v="754"/>
          </reference>
        </references>
      </pivotArea>
    </format>
    <format dxfId="1600">
      <pivotArea dataOnly="0" labelOnly="1" outline="0" fieldPosition="0">
        <references count="5">
          <reference field="0" count="1" selected="0">
            <x v="1"/>
          </reference>
          <reference field="3" count="1" selected="0">
            <x v="40"/>
          </reference>
          <reference field="4" count="1" selected="0">
            <x v="73"/>
          </reference>
          <reference field="5" count="1" selected="0">
            <x v="282"/>
          </reference>
          <reference field="7" count="1">
            <x v="755"/>
          </reference>
        </references>
      </pivotArea>
    </format>
    <format dxfId="1599">
      <pivotArea dataOnly="0" labelOnly="1" outline="0" fieldPosition="0">
        <references count="5">
          <reference field="0" count="1" selected="0">
            <x v="1"/>
          </reference>
          <reference field="3" count="1" selected="0">
            <x v="40"/>
          </reference>
          <reference field="4" count="1" selected="0">
            <x v="73"/>
          </reference>
          <reference field="5" count="1" selected="0">
            <x v="284"/>
          </reference>
          <reference field="7" count="1">
            <x v="749"/>
          </reference>
        </references>
      </pivotArea>
    </format>
    <format dxfId="1598">
      <pivotArea dataOnly="0" labelOnly="1" outline="0" fieldPosition="0">
        <references count="5">
          <reference field="0" count="1" selected="0">
            <x v="1"/>
          </reference>
          <reference field="3" count="1" selected="0">
            <x v="40"/>
          </reference>
          <reference field="4" count="1" selected="0">
            <x v="73"/>
          </reference>
          <reference field="5" count="1" selected="0">
            <x v="319"/>
          </reference>
          <reference field="7" count="1">
            <x v="1401"/>
          </reference>
        </references>
      </pivotArea>
    </format>
    <format dxfId="1597">
      <pivotArea dataOnly="0" labelOnly="1" outline="0" fieldPosition="0">
        <references count="5">
          <reference field="0" count="1" selected="0">
            <x v="1"/>
          </reference>
          <reference field="3" count="1" selected="0">
            <x v="40"/>
          </reference>
          <reference field="4" count="1" selected="0">
            <x v="73"/>
          </reference>
          <reference field="5" count="1" selected="0">
            <x v="329"/>
          </reference>
          <reference field="7" count="1">
            <x v="580"/>
          </reference>
        </references>
      </pivotArea>
    </format>
    <format dxfId="1596">
      <pivotArea dataOnly="0" labelOnly="1" outline="0" fieldPosition="0">
        <references count="5">
          <reference field="0" count="1" selected="0">
            <x v="1"/>
          </reference>
          <reference field="3" count="1" selected="0">
            <x v="40"/>
          </reference>
          <reference field="4" count="1" selected="0">
            <x v="73"/>
          </reference>
          <reference field="5" count="1" selected="0">
            <x v="330"/>
          </reference>
          <reference field="7" count="1">
            <x v="1589"/>
          </reference>
        </references>
      </pivotArea>
    </format>
    <format dxfId="1595">
      <pivotArea dataOnly="0" labelOnly="1" outline="0" fieldPosition="0">
        <references count="5">
          <reference field="0" count="1" selected="0">
            <x v="1"/>
          </reference>
          <reference field="3" count="1" selected="0">
            <x v="40"/>
          </reference>
          <reference field="4" count="1" selected="0">
            <x v="73"/>
          </reference>
          <reference field="5" count="1" selected="0">
            <x v="1302"/>
          </reference>
          <reference field="7" count="1">
            <x v="239"/>
          </reference>
        </references>
      </pivotArea>
    </format>
    <format dxfId="1594">
      <pivotArea dataOnly="0" labelOnly="1" outline="0" fieldPosition="0">
        <references count="5">
          <reference field="0" count="1" selected="0">
            <x v="1"/>
          </reference>
          <reference field="3" count="1" selected="0">
            <x v="40"/>
          </reference>
          <reference field="4" count="1" selected="0">
            <x v="73"/>
          </reference>
          <reference field="5" count="1" selected="0">
            <x v="1303"/>
          </reference>
          <reference field="7" count="1">
            <x v="1004"/>
          </reference>
        </references>
      </pivotArea>
    </format>
    <format dxfId="1593">
      <pivotArea dataOnly="0" labelOnly="1" outline="0" fieldPosition="0">
        <references count="5">
          <reference field="0" count="1" selected="0">
            <x v="1"/>
          </reference>
          <reference field="3" count="1" selected="0">
            <x v="40"/>
          </reference>
          <reference field="4" count="1" selected="0">
            <x v="73"/>
          </reference>
          <reference field="5" count="1" selected="0">
            <x v="1304"/>
          </reference>
          <reference field="7" count="1">
            <x v="1002"/>
          </reference>
        </references>
      </pivotArea>
    </format>
    <format dxfId="1592">
      <pivotArea dataOnly="0" labelOnly="1" outline="0" fieldPosition="0">
        <references count="5">
          <reference field="0" count="1" selected="0">
            <x v="1"/>
          </reference>
          <reference field="3" count="1" selected="0">
            <x v="40"/>
          </reference>
          <reference field="4" count="1" selected="0">
            <x v="73"/>
          </reference>
          <reference field="5" count="1" selected="0">
            <x v="1305"/>
          </reference>
          <reference field="7" count="1">
            <x v="1001"/>
          </reference>
        </references>
      </pivotArea>
    </format>
    <format dxfId="1591">
      <pivotArea dataOnly="0" labelOnly="1" outline="0" fieldPosition="0">
        <references count="5">
          <reference field="0" count="1" selected="0">
            <x v="1"/>
          </reference>
          <reference field="3" count="1" selected="0">
            <x v="40"/>
          </reference>
          <reference field="4" count="1" selected="0">
            <x v="73"/>
          </reference>
          <reference field="5" count="1" selected="0">
            <x v="1306"/>
          </reference>
          <reference field="7" count="1">
            <x v="999"/>
          </reference>
        </references>
      </pivotArea>
    </format>
    <format dxfId="1590">
      <pivotArea dataOnly="0" labelOnly="1" outline="0" fieldPosition="0">
        <references count="5">
          <reference field="0" count="1" selected="0">
            <x v="1"/>
          </reference>
          <reference field="3" count="1" selected="0">
            <x v="40"/>
          </reference>
          <reference field="4" count="1" selected="0">
            <x v="73"/>
          </reference>
          <reference field="5" count="1" selected="0">
            <x v="1310"/>
          </reference>
          <reference field="7" count="1">
            <x v="1003"/>
          </reference>
        </references>
      </pivotArea>
    </format>
    <format dxfId="1589">
      <pivotArea dataOnly="0" labelOnly="1" outline="0" fieldPosition="0">
        <references count="5">
          <reference field="0" count="1" selected="0">
            <x v="1"/>
          </reference>
          <reference field="3" count="1" selected="0">
            <x v="40"/>
          </reference>
          <reference field="4" count="1" selected="0">
            <x v="74"/>
          </reference>
          <reference field="5" count="1" selected="0">
            <x v="116"/>
          </reference>
          <reference field="7" count="1">
            <x v="1078"/>
          </reference>
        </references>
      </pivotArea>
    </format>
    <format dxfId="1588">
      <pivotArea dataOnly="0" labelOnly="1" outline="0" fieldPosition="0">
        <references count="5">
          <reference field="0" count="1" selected="0">
            <x v="1"/>
          </reference>
          <reference field="3" count="1" selected="0">
            <x v="40"/>
          </reference>
          <reference field="4" count="1" selected="0">
            <x v="74"/>
          </reference>
          <reference field="5" count="1" selected="0">
            <x v="173"/>
          </reference>
          <reference field="7" count="1">
            <x v="1094"/>
          </reference>
        </references>
      </pivotArea>
    </format>
    <format dxfId="1587">
      <pivotArea dataOnly="0" labelOnly="1" outline="0" fieldPosition="0">
        <references count="5">
          <reference field="0" count="1" selected="0">
            <x v="1"/>
          </reference>
          <reference field="3" count="1" selected="0">
            <x v="40"/>
          </reference>
          <reference field="4" count="1" selected="0">
            <x v="74"/>
          </reference>
          <reference field="5" count="1" selected="0">
            <x v="281"/>
          </reference>
          <reference field="7" count="1">
            <x v="754"/>
          </reference>
        </references>
      </pivotArea>
    </format>
    <format dxfId="1586">
      <pivotArea dataOnly="0" labelOnly="1" outline="0" fieldPosition="0">
        <references count="5">
          <reference field="0" count="1" selected="0">
            <x v="1"/>
          </reference>
          <reference field="3" count="1" selected="0">
            <x v="40"/>
          </reference>
          <reference field="4" count="1" selected="0">
            <x v="74"/>
          </reference>
          <reference field="5" count="1" selected="0">
            <x v="283"/>
          </reference>
          <reference field="7" count="1">
            <x v="756"/>
          </reference>
        </references>
      </pivotArea>
    </format>
    <format dxfId="1585">
      <pivotArea dataOnly="0" labelOnly="1" outline="0" fieldPosition="0">
        <references count="5">
          <reference field="0" count="1" selected="0">
            <x v="1"/>
          </reference>
          <reference field="3" count="1" selected="0">
            <x v="40"/>
          </reference>
          <reference field="4" count="1" selected="0">
            <x v="74"/>
          </reference>
          <reference field="5" count="1" selected="0">
            <x v="330"/>
          </reference>
          <reference field="7" count="1">
            <x v="1589"/>
          </reference>
        </references>
      </pivotArea>
    </format>
    <format dxfId="1584">
      <pivotArea dataOnly="0" labelOnly="1" outline="0" fieldPosition="0">
        <references count="5">
          <reference field="0" count="1" selected="0">
            <x v="1"/>
          </reference>
          <reference field="3" count="1" selected="0">
            <x v="40"/>
          </reference>
          <reference field="4" count="1" selected="0">
            <x v="74"/>
          </reference>
          <reference field="5" count="1" selected="0">
            <x v="339"/>
          </reference>
          <reference field="7" count="1">
            <x v="1102"/>
          </reference>
        </references>
      </pivotArea>
    </format>
    <format dxfId="1583">
      <pivotArea dataOnly="0" labelOnly="1" outline="0" fieldPosition="0">
        <references count="5">
          <reference field="0" count="1" selected="0">
            <x v="1"/>
          </reference>
          <reference field="3" count="1" selected="0">
            <x v="40"/>
          </reference>
          <reference field="4" count="1" selected="0">
            <x v="74"/>
          </reference>
          <reference field="5" count="1" selected="0">
            <x v="363"/>
          </reference>
          <reference field="7" count="1">
            <x v="673"/>
          </reference>
        </references>
      </pivotArea>
    </format>
    <format dxfId="1582">
      <pivotArea dataOnly="0" labelOnly="1" outline="0" fieldPosition="0">
        <references count="5">
          <reference field="0" count="1" selected="0">
            <x v="1"/>
          </reference>
          <reference field="3" count="1" selected="0">
            <x v="40"/>
          </reference>
          <reference field="4" count="1" selected="0">
            <x v="74"/>
          </reference>
          <reference field="5" count="1" selected="0">
            <x v="365"/>
          </reference>
          <reference field="7" count="1">
            <x v="1619"/>
          </reference>
        </references>
      </pivotArea>
    </format>
    <format dxfId="1581">
      <pivotArea dataOnly="0" labelOnly="1" outline="0" fieldPosition="0">
        <references count="5">
          <reference field="0" count="1" selected="0">
            <x v="1"/>
          </reference>
          <reference field="3" count="1" selected="0">
            <x v="40"/>
          </reference>
          <reference field="4" count="1" selected="0">
            <x v="74"/>
          </reference>
          <reference field="5" count="1" selected="0">
            <x v="367"/>
          </reference>
          <reference field="7" count="1">
            <x v="896"/>
          </reference>
        </references>
      </pivotArea>
    </format>
    <format dxfId="1580">
      <pivotArea dataOnly="0" labelOnly="1" outline="0" fieldPosition="0">
        <references count="5">
          <reference field="0" count="1" selected="0">
            <x v="1"/>
          </reference>
          <reference field="3" count="1" selected="0">
            <x v="40"/>
          </reference>
          <reference field="4" count="1" selected="0">
            <x v="74"/>
          </reference>
          <reference field="5" count="1" selected="0">
            <x v="371"/>
          </reference>
          <reference field="7" count="1">
            <x v="674"/>
          </reference>
        </references>
      </pivotArea>
    </format>
    <format dxfId="1579">
      <pivotArea dataOnly="0" labelOnly="1" outline="0" fieldPosition="0">
        <references count="5">
          <reference field="0" count="1" selected="0">
            <x v="1"/>
          </reference>
          <reference field="3" count="1" selected="0">
            <x v="40"/>
          </reference>
          <reference field="4" count="1" selected="0">
            <x v="74"/>
          </reference>
          <reference field="5" count="1" selected="0">
            <x v="422"/>
          </reference>
          <reference field="7" count="1">
            <x v="1478"/>
          </reference>
        </references>
      </pivotArea>
    </format>
    <format dxfId="1578">
      <pivotArea dataOnly="0" labelOnly="1" outline="0" fieldPosition="0">
        <references count="5">
          <reference field="0" count="1" selected="0">
            <x v="1"/>
          </reference>
          <reference field="3" count="1" selected="0">
            <x v="40"/>
          </reference>
          <reference field="4" count="1" selected="0">
            <x v="74"/>
          </reference>
          <reference field="5" count="1" selected="0">
            <x v="1307"/>
          </reference>
          <reference field="7" count="1">
            <x v="240"/>
          </reference>
        </references>
      </pivotArea>
    </format>
    <format dxfId="1577">
      <pivotArea dataOnly="0" labelOnly="1" outline="0" fieldPosition="0">
        <references count="5">
          <reference field="0" count="1" selected="0">
            <x v="1"/>
          </reference>
          <reference field="3" count="1" selected="0">
            <x v="40"/>
          </reference>
          <reference field="4" count="1" selected="0">
            <x v="74"/>
          </reference>
          <reference field="5" count="1" selected="0">
            <x v="1308"/>
          </reference>
          <reference field="7" count="1">
            <x v="1200"/>
          </reference>
        </references>
      </pivotArea>
    </format>
    <format dxfId="1576">
      <pivotArea dataOnly="0" labelOnly="1" outline="0" fieldPosition="0">
        <references count="5">
          <reference field="0" count="1" selected="0">
            <x v="1"/>
          </reference>
          <reference field="3" count="1" selected="0">
            <x v="40"/>
          </reference>
          <reference field="4" count="1" selected="0">
            <x v="74"/>
          </reference>
          <reference field="5" count="1" selected="0">
            <x v="1309"/>
          </reference>
          <reference field="7" count="1">
            <x v="869"/>
          </reference>
        </references>
      </pivotArea>
    </format>
    <format dxfId="1575">
      <pivotArea dataOnly="0" labelOnly="1" outline="0" fieldPosition="0">
        <references count="5">
          <reference field="0" count="1" selected="0">
            <x v="1"/>
          </reference>
          <reference field="3" count="1" selected="0">
            <x v="40"/>
          </reference>
          <reference field="4" count="1" selected="0">
            <x v="74"/>
          </reference>
          <reference field="5" count="1" selected="0">
            <x v="1614"/>
          </reference>
          <reference field="7" count="1">
            <x v="1145"/>
          </reference>
        </references>
      </pivotArea>
    </format>
    <format dxfId="1574">
      <pivotArea dataOnly="0" labelOnly="1" outline="0" fieldPosition="0">
        <references count="5">
          <reference field="0" count="1" selected="0">
            <x v="1"/>
          </reference>
          <reference field="3" count="1" selected="0">
            <x v="40"/>
          </reference>
          <reference field="4" count="1" selected="0">
            <x v="107"/>
          </reference>
          <reference field="5" count="1" selected="0">
            <x v="1318"/>
          </reference>
          <reference field="7" count="1">
            <x v="251"/>
          </reference>
        </references>
      </pivotArea>
    </format>
    <format dxfId="1573">
      <pivotArea dataOnly="0" labelOnly="1" outline="0" fieldPosition="0">
        <references count="5">
          <reference field="0" count="1" selected="0">
            <x v="1"/>
          </reference>
          <reference field="3" count="1" selected="0">
            <x v="40"/>
          </reference>
          <reference field="4" count="1" selected="0">
            <x v="107"/>
          </reference>
          <reference field="5" count="1" selected="0">
            <x v="1319"/>
          </reference>
          <reference field="7" count="1">
            <x v="1033"/>
          </reference>
        </references>
      </pivotArea>
    </format>
    <format dxfId="1572">
      <pivotArea dataOnly="0" labelOnly="1" outline="0" fieldPosition="0">
        <references count="5">
          <reference field="0" count="1" selected="0">
            <x v="1"/>
          </reference>
          <reference field="3" count="1" selected="0">
            <x v="40"/>
          </reference>
          <reference field="4" count="1" selected="0">
            <x v="107"/>
          </reference>
          <reference field="5" count="1" selected="0">
            <x v="1627"/>
          </reference>
          <reference field="7" count="1">
            <x v="943"/>
          </reference>
        </references>
      </pivotArea>
    </format>
    <format dxfId="1571">
      <pivotArea dataOnly="0" labelOnly="1" outline="0" fieldPosition="0">
        <references count="5">
          <reference field="0" count="1" selected="0">
            <x v="1"/>
          </reference>
          <reference field="3" count="1" selected="0">
            <x v="40"/>
          </reference>
          <reference field="4" count="1" selected="0">
            <x v="216"/>
          </reference>
          <reference field="5" count="1" selected="0">
            <x v="57"/>
          </reference>
          <reference field="7" count="1">
            <x v="920"/>
          </reference>
        </references>
      </pivotArea>
    </format>
    <format dxfId="1570">
      <pivotArea dataOnly="0" labelOnly="1" outline="0" fieldPosition="0">
        <references count="5">
          <reference field="0" count="1" selected="0">
            <x v="1"/>
          </reference>
          <reference field="3" count="1" selected="0">
            <x v="40"/>
          </reference>
          <reference field="4" count="1" selected="0">
            <x v="216"/>
          </reference>
          <reference field="5" count="1" selected="0">
            <x v="61"/>
          </reference>
          <reference field="7" count="1">
            <x v="351"/>
          </reference>
        </references>
      </pivotArea>
    </format>
    <format dxfId="1569">
      <pivotArea dataOnly="0" labelOnly="1" outline="0" fieldPosition="0">
        <references count="5">
          <reference field="0" count="1" selected="0">
            <x v="1"/>
          </reference>
          <reference field="3" count="1" selected="0">
            <x v="40"/>
          </reference>
          <reference field="4" count="1" selected="0">
            <x v="216"/>
          </reference>
          <reference field="5" count="1" selected="0">
            <x v="62"/>
          </reference>
          <reference field="7" count="1">
            <x v="352"/>
          </reference>
        </references>
      </pivotArea>
    </format>
    <format dxfId="1568">
      <pivotArea dataOnly="0" labelOnly="1" outline="0" fieldPosition="0">
        <references count="5">
          <reference field="0" count="1" selected="0">
            <x v="1"/>
          </reference>
          <reference field="3" count="1" selected="0">
            <x v="40"/>
          </reference>
          <reference field="4" count="1" selected="0">
            <x v="216"/>
          </reference>
          <reference field="5" count="1" selected="0">
            <x v="76"/>
          </reference>
          <reference field="7" count="1">
            <x v="1323"/>
          </reference>
        </references>
      </pivotArea>
    </format>
    <format dxfId="1567">
      <pivotArea dataOnly="0" labelOnly="1" outline="0" fieldPosition="0">
        <references count="5">
          <reference field="0" count="1" selected="0">
            <x v="1"/>
          </reference>
          <reference field="3" count="1" selected="0">
            <x v="40"/>
          </reference>
          <reference field="4" count="1" selected="0">
            <x v="216"/>
          </reference>
          <reference field="5" count="1" selected="0">
            <x v="87"/>
          </reference>
          <reference field="7" count="1">
            <x v="359"/>
          </reference>
        </references>
      </pivotArea>
    </format>
    <format dxfId="1566">
      <pivotArea dataOnly="0" labelOnly="1" outline="0" fieldPosition="0">
        <references count="5">
          <reference field="0" count="1" selected="0">
            <x v="1"/>
          </reference>
          <reference field="3" count="1" selected="0">
            <x v="40"/>
          </reference>
          <reference field="4" count="1" selected="0">
            <x v="216"/>
          </reference>
          <reference field="5" count="1" selected="0">
            <x v="88"/>
          </reference>
          <reference field="7" count="1">
            <x v="358"/>
          </reference>
        </references>
      </pivotArea>
    </format>
    <format dxfId="1565">
      <pivotArea dataOnly="0" labelOnly="1" outline="0" fieldPosition="0">
        <references count="5">
          <reference field="0" count="1" selected="0">
            <x v="1"/>
          </reference>
          <reference field="3" count="1" selected="0">
            <x v="40"/>
          </reference>
          <reference field="4" count="1" selected="0">
            <x v="216"/>
          </reference>
          <reference field="5" count="1" selected="0">
            <x v="93"/>
          </reference>
          <reference field="7" count="1">
            <x v="1453"/>
          </reference>
        </references>
      </pivotArea>
    </format>
    <format dxfId="1564">
      <pivotArea dataOnly="0" labelOnly="1" outline="0" fieldPosition="0">
        <references count="5">
          <reference field="0" count="1" selected="0">
            <x v="1"/>
          </reference>
          <reference field="3" count="1" selected="0">
            <x v="40"/>
          </reference>
          <reference field="4" count="1" selected="0">
            <x v="216"/>
          </reference>
          <reference field="5" count="1" selected="0">
            <x v="105"/>
          </reference>
          <reference field="7" count="1">
            <x v="1596"/>
          </reference>
        </references>
      </pivotArea>
    </format>
    <format dxfId="1563">
      <pivotArea dataOnly="0" labelOnly="1" outline="0" fieldPosition="0">
        <references count="5">
          <reference field="0" count="1" selected="0">
            <x v="1"/>
          </reference>
          <reference field="3" count="1" selected="0">
            <x v="40"/>
          </reference>
          <reference field="4" count="1" selected="0">
            <x v="216"/>
          </reference>
          <reference field="5" count="1" selected="0">
            <x v="116"/>
          </reference>
          <reference field="7" count="1">
            <x v="1078"/>
          </reference>
        </references>
      </pivotArea>
    </format>
    <format dxfId="1562">
      <pivotArea dataOnly="0" labelOnly="1" outline="0" fieldPosition="0">
        <references count="5">
          <reference field="0" count="1" selected="0">
            <x v="1"/>
          </reference>
          <reference field="3" count="1" selected="0">
            <x v="40"/>
          </reference>
          <reference field="4" count="1" selected="0">
            <x v="216"/>
          </reference>
          <reference field="5" count="1" selected="0">
            <x v="117"/>
          </reference>
          <reference field="7" count="1">
            <x v="1080"/>
          </reference>
        </references>
      </pivotArea>
    </format>
    <format dxfId="1561">
      <pivotArea dataOnly="0" labelOnly="1" outline="0" fieldPosition="0">
        <references count="5">
          <reference field="0" count="1" selected="0">
            <x v="1"/>
          </reference>
          <reference field="3" count="1" selected="0">
            <x v="40"/>
          </reference>
          <reference field="4" count="1" selected="0">
            <x v="216"/>
          </reference>
          <reference field="5" count="1" selected="0">
            <x v="118"/>
          </reference>
          <reference field="7" count="1">
            <x v="1082"/>
          </reference>
        </references>
      </pivotArea>
    </format>
    <format dxfId="1560">
      <pivotArea dataOnly="0" labelOnly="1" outline="0" fieldPosition="0">
        <references count="5">
          <reference field="0" count="1" selected="0">
            <x v="1"/>
          </reference>
          <reference field="3" count="1" selected="0">
            <x v="40"/>
          </reference>
          <reference field="4" count="1" selected="0">
            <x v="216"/>
          </reference>
          <reference field="5" count="1" selected="0">
            <x v="135"/>
          </reference>
          <reference field="7" count="1">
            <x v="592"/>
          </reference>
        </references>
      </pivotArea>
    </format>
    <format dxfId="1559">
      <pivotArea dataOnly="0" labelOnly="1" outline="0" fieldPosition="0">
        <references count="5">
          <reference field="0" count="1" selected="0">
            <x v="1"/>
          </reference>
          <reference field="3" count="1" selected="0">
            <x v="40"/>
          </reference>
          <reference field="4" count="1" selected="0">
            <x v="216"/>
          </reference>
          <reference field="5" count="1" selected="0">
            <x v="145"/>
          </reference>
          <reference field="7" count="1">
            <x v="1594"/>
          </reference>
        </references>
      </pivotArea>
    </format>
    <format dxfId="1558">
      <pivotArea dataOnly="0" labelOnly="1" outline="0" fieldPosition="0">
        <references count="5">
          <reference field="0" count="1" selected="0">
            <x v="1"/>
          </reference>
          <reference field="3" count="1" selected="0">
            <x v="40"/>
          </reference>
          <reference field="4" count="1" selected="0">
            <x v="216"/>
          </reference>
          <reference field="5" count="1" selected="0">
            <x v="147"/>
          </reference>
          <reference field="7" count="1">
            <x v="978"/>
          </reference>
        </references>
      </pivotArea>
    </format>
    <format dxfId="1557">
      <pivotArea dataOnly="0" labelOnly="1" outline="0" fieldPosition="0">
        <references count="5">
          <reference field="0" count="1" selected="0">
            <x v="1"/>
          </reference>
          <reference field="3" count="1" selected="0">
            <x v="40"/>
          </reference>
          <reference field="4" count="1" selected="0">
            <x v="216"/>
          </reference>
          <reference field="5" count="1" selected="0">
            <x v="149"/>
          </reference>
          <reference field="7" count="1">
            <x v="1345"/>
          </reference>
        </references>
      </pivotArea>
    </format>
    <format dxfId="1556">
      <pivotArea dataOnly="0" labelOnly="1" outline="0" fieldPosition="0">
        <references count="5">
          <reference field="0" count="1" selected="0">
            <x v="1"/>
          </reference>
          <reference field="3" count="1" selected="0">
            <x v="40"/>
          </reference>
          <reference field="4" count="1" selected="0">
            <x v="216"/>
          </reference>
          <reference field="5" count="1" selected="0">
            <x v="151"/>
          </reference>
          <reference field="7" count="1">
            <x v="980"/>
          </reference>
        </references>
      </pivotArea>
    </format>
    <format dxfId="1555">
      <pivotArea dataOnly="0" labelOnly="1" outline="0" fieldPosition="0">
        <references count="5">
          <reference field="0" count="1" selected="0">
            <x v="1"/>
          </reference>
          <reference field="3" count="1" selected="0">
            <x v="40"/>
          </reference>
          <reference field="4" count="1" selected="0">
            <x v="216"/>
          </reference>
          <reference field="5" count="1" selected="0">
            <x v="166"/>
          </reference>
          <reference field="7" count="1">
            <x v="1086"/>
          </reference>
        </references>
      </pivotArea>
    </format>
    <format dxfId="1554">
      <pivotArea dataOnly="0" labelOnly="1" outline="0" fieldPosition="0">
        <references count="5">
          <reference field="0" count="1" selected="0">
            <x v="1"/>
          </reference>
          <reference field="3" count="1" selected="0">
            <x v="40"/>
          </reference>
          <reference field="4" count="1" selected="0">
            <x v="216"/>
          </reference>
          <reference field="5" count="1" selected="0">
            <x v="188"/>
          </reference>
          <reference field="7" count="1">
            <x v="684"/>
          </reference>
        </references>
      </pivotArea>
    </format>
    <format dxfId="1553">
      <pivotArea dataOnly="0" labelOnly="1" outline="0" fieldPosition="0">
        <references count="5">
          <reference field="0" count="1" selected="0">
            <x v="1"/>
          </reference>
          <reference field="3" count="1" selected="0">
            <x v="40"/>
          </reference>
          <reference field="4" count="1" selected="0">
            <x v="216"/>
          </reference>
          <reference field="5" count="1" selected="0">
            <x v="190"/>
          </reference>
          <reference field="7" count="1">
            <x v="480"/>
          </reference>
        </references>
      </pivotArea>
    </format>
    <format dxfId="1552">
      <pivotArea dataOnly="0" labelOnly="1" outline="0" fieldPosition="0">
        <references count="5">
          <reference field="0" count="1" selected="0">
            <x v="1"/>
          </reference>
          <reference field="3" count="1" selected="0">
            <x v="40"/>
          </reference>
          <reference field="4" count="1" selected="0">
            <x v="216"/>
          </reference>
          <reference field="5" count="1" selected="0">
            <x v="205"/>
          </reference>
          <reference field="7" count="1">
            <x v="1426"/>
          </reference>
        </references>
      </pivotArea>
    </format>
    <format dxfId="1551">
      <pivotArea dataOnly="0" labelOnly="1" outline="0" fieldPosition="0">
        <references count="5">
          <reference field="0" count="1" selected="0">
            <x v="1"/>
          </reference>
          <reference field="3" count="1" selected="0">
            <x v="40"/>
          </reference>
          <reference field="4" count="1" selected="0">
            <x v="216"/>
          </reference>
          <reference field="5" count="1" selected="0">
            <x v="238"/>
          </reference>
          <reference field="7" count="1">
            <x v="1588"/>
          </reference>
        </references>
      </pivotArea>
    </format>
    <format dxfId="1550">
      <pivotArea dataOnly="0" labelOnly="1" outline="0" fieldPosition="0">
        <references count="5">
          <reference field="0" count="1" selected="0">
            <x v="1"/>
          </reference>
          <reference field="3" count="1" selected="0">
            <x v="40"/>
          </reference>
          <reference field="4" count="1" selected="0">
            <x v="216"/>
          </reference>
          <reference field="5" count="1" selected="0">
            <x v="257"/>
          </reference>
          <reference field="7" count="1">
            <x v="1104"/>
          </reference>
        </references>
      </pivotArea>
    </format>
    <format dxfId="1549">
      <pivotArea dataOnly="0" labelOnly="1" outline="0" fieldPosition="0">
        <references count="5">
          <reference field="0" count="1" selected="0">
            <x v="1"/>
          </reference>
          <reference field="3" count="1" selected="0">
            <x v="40"/>
          </reference>
          <reference field="4" count="1" selected="0">
            <x v="216"/>
          </reference>
          <reference field="5" count="1" selected="0">
            <x v="275"/>
          </reference>
          <reference field="7" count="1">
            <x v="1423"/>
          </reference>
        </references>
      </pivotArea>
    </format>
    <format dxfId="1548">
      <pivotArea dataOnly="0" labelOnly="1" outline="0" fieldPosition="0">
        <references count="5">
          <reference field="0" count="1" selected="0">
            <x v="1"/>
          </reference>
          <reference field="3" count="1" selected="0">
            <x v="40"/>
          </reference>
          <reference field="4" count="1" selected="0">
            <x v="216"/>
          </reference>
          <reference field="5" count="1" selected="0">
            <x v="279"/>
          </reference>
          <reference field="7" count="1">
            <x v="752"/>
          </reference>
        </references>
      </pivotArea>
    </format>
    <format dxfId="1547">
      <pivotArea dataOnly="0" labelOnly="1" outline="0" fieldPosition="0">
        <references count="5">
          <reference field="0" count="1" selected="0">
            <x v="1"/>
          </reference>
          <reference field="3" count="1" selected="0">
            <x v="40"/>
          </reference>
          <reference field="4" count="1" selected="0">
            <x v="216"/>
          </reference>
          <reference field="5" count="1" selected="0">
            <x v="292"/>
          </reference>
          <reference field="7" count="1">
            <x v="1421"/>
          </reference>
        </references>
      </pivotArea>
    </format>
    <format dxfId="1546">
      <pivotArea dataOnly="0" labelOnly="1" outline="0" fieldPosition="0">
        <references count="5">
          <reference field="0" count="1" selected="0">
            <x v="1"/>
          </reference>
          <reference field="3" count="1" selected="0">
            <x v="40"/>
          </reference>
          <reference field="4" count="1" selected="0">
            <x v="216"/>
          </reference>
          <reference field="5" count="1" selected="0">
            <x v="293"/>
          </reference>
          <reference field="7" count="1">
            <x v="1430"/>
          </reference>
        </references>
      </pivotArea>
    </format>
    <format dxfId="1545">
      <pivotArea dataOnly="0" labelOnly="1" outline="0" fieldPosition="0">
        <references count="5">
          <reference field="0" count="1" selected="0">
            <x v="1"/>
          </reference>
          <reference field="3" count="1" selected="0">
            <x v="40"/>
          </reference>
          <reference field="4" count="1" selected="0">
            <x v="216"/>
          </reference>
          <reference field="5" count="1" selected="0">
            <x v="302"/>
          </reference>
          <reference field="7" count="1">
            <x v="1070"/>
          </reference>
        </references>
      </pivotArea>
    </format>
    <format dxfId="1544">
      <pivotArea dataOnly="0" labelOnly="1" outline="0" fieldPosition="0">
        <references count="5">
          <reference field="0" count="1" selected="0">
            <x v="1"/>
          </reference>
          <reference field="3" count="1" selected="0">
            <x v="40"/>
          </reference>
          <reference field="4" count="1" selected="0">
            <x v="216"/>
          </reference>
          <reference field="5" count="1" selected="0">
            <x v="308"/>
          </reference>
          <reference field="7" count="1">
            <x v="1405"/>
          </reference>
        </references>
      </pivotArea>
    </format>
    <format dxfId="1543">
      <pivotArea dataOnly="0" labelOnly="1" outline="0" fieldPosition="0">
        <references count="5">
          <reference field="0" count="1" selected="0">
            <x v="1"/>
          </reference>
          <reference field="3" count="1" selected="0">
            <x v="40"/>
          </reference>
          <reference field="4" count="1" selected="0">
            <x v="216"/>
          </reference>
          <reference field="5" count="1" selected="0">
            <x v="314"/>
          </reference>
          <reference field="7" count="1">
            <x v="988"/>
          </reference>
        </references>
      </pivotArea>
    </format>
    <format dxfId="1542">
      <pivotArea dataOnly="0" labelOnly="1" outline="0" fieldPosition="0">
        <references count="5">
          <reference field="0" count="1" selected="0">
            <x v="1"/>
          </reference>
          <reference field="3" count="1" selected="0">
            <x v="40"/>
          </reference>
          <reference field="4" count="1" selected="0">
            <x v="216"/>
          </reference>
          <reference field="5" count="1" selected="0">
            <x v="333"/>
          </reference>
          <reference field="7" count="1">
            <x v="1410"/>
          </reference>
        </references>
      </pivotArea>
    </format>
    <format dxfId="1541">
      <pivotArea dataOnly="0" labelOnly="1" outline="0" fieldPosition="0">
        <references count="5">
          <reference field="0" count="1" selected="0">
            <x v="1"/>
          </reference>
          <reference field="3" count="1" selected="0">
            <x v="40"/>
          </reference>
          <reference field="4" count="1" selected="0">
            <x v="216"/>
          </reference>
          <reference field="5" count="1" selected="0">
            <x v="338"/>
          </reference>
          <reference field="7" count="1">
            <x v="1103"/>
          </reference>
        </references>
      </pivotArea>
    </format>
    <format dxfId="1540">
      <pivotArea dataOnly="0" labelOnly="1" outline="0" fieldPosition="0">
        <references count="5">
          <reference field="0" count="1" selected="0">
            <x v="1"/>
          </reference>
          <reference field="3" count="1" selected="0">
            <x v="40"/>
          </reference>
          <reference field="4" count="1" selected="0">
            <x v="216"/>
          </reference>
          <reference field="5" count="1" selected="0">
            <x v="343"/>
          </reference>
          <reference field="7" count="1">
            <x v="1100"/>
          </reference>
        </references>
      </pivotArea>
    </format>
    <format dxfId="1539">
      <pivotArea dataOnly="0" labelOnly="1" outline="0" fieldPosition="0">
        <references count="5">
          <reference field="0" count="1" selected="0">
            <x v="1"/>
          </reference>
          <reference field="3" count="1" selected="0">
            <x v="40"/>
          </reference>
          <reference field="4" count="1" selected="0">
            <x v="216"/>
          </reference>
          <reference field="5" count="1" selected="0">
            <x v="354"/>
          </reference>
          <reference field="7" count="1">
            <x v="1041"/>
          </reference>
        </references>
      </pivotArea>
    </format>
    <format dxfId="1538">
      <pivotArea dataOnly="0" labelOnly="1" outline="0" fieldPosition="0">
        <references count="5">
          <reference field="0" count="1" selected="0">
            <x v="1"/>
          </reference>
          <reference field="3" count="1" selected="0">
            <x v="40"/>
          </reference>
          <reference field="4" count="1" selected="0">
            <x v="216"/>
          </reference>
          <reference field="5" count="1" selected="0">
            <x v="390"/>
          </reference>
          <reference field="7" count="1">
            <x v="667"/>
          </reference>
        </references>
      </pivotArea>
    </format>
    <format dxfId="1537">
      <pivotArea dataOnly="0" labelOnly="1" outline="0" fieldPosition="0">
        <references count="5">
          <reference field="0" count="1" selected="0">
            <x v="1"/>
          </reference>
          <reference field="3" count="1" selected="0">
            <x v="40"/>
          </reference>
          <reference field="4" count="1" selected="0">
            <x v="216"/>
          </reference>
          <reference field="5" count="1" selected="0">
            <x v="391"/>
          </reference>
          <reference field="7" count="1">
            <x v="1581"/>
          </reference>
        </references>
      </pivotArea>
    </format>
    <format dxfId="1536">
      <pivotArea dataOnly="0" labelOnly="1" outline="0" fieldPosition="0">
        <references count="5">
          <reference field="0" count="1" selected="0">
            <x v="1"/>
          </reference>
          <reference field="3" count="1" selected="0">
            <x v="40"/>
          </reference>
          <reference field="4" count="1" selected="0">
            <x v="216"/>
          </reference>
          <reference field="5" count="1" selected="0">
            <x v="392"/>
          </reference>
          <reference field="7" count="1">
            <x v="1372"/>
          </reference>
        </references>
      </pivotArea>
    </format>
    <format dxfId="1535">
      <pivotArea dataOnly="0" labelOnly="1" outline="0" fieldPosition="0">
        <references count="5">
          <reference field="0" count="1" selected="0">
            <x v="1"/>
          </reference>
          <reference field="3" count="1" selected="0">
            <x v="40"/>
          </reference>
          <reference field="4" count="1" selected="0">
            <x v="216"/>
          </reference>
          <reference field="5" count="1" selected="0">
            <x v="1265"/>
          </reference>
          <reference field="7" count="1">
            <x v="309"/>
          </reference>
        </references>
      </pivotArea>
    </format>
    <format dxfId="1534">
      <pivotArea dataOnly="0" labelOnly="1" outline="0" fieldPosition="0">
        <references count="5">
          <reference field="0" count="1" selected="0">
            <x v="1"/>
          </reference>
          <reference field="3" count="1" selected="0">
            <x v="40"/>
          </reference>
          <reference field="4" count="1" selected="0">
            <x v="216"/>
          </reference>
          <reference field="5" count="1" selected="0">
            <x v="1266"/>
          </reference>
          <reference field="7" count="1">
            <x v="885"/>
          </reference>
        </references>
      </pivotArea>
    </format>
    <format dxfId="1533">
      <pivotArea dataOnly="0" labelOnly="1" outline="0" fieldPosition="0">
        <references count="5">
          <reference field="0" count="1" selected="0">
            <x v="1"/>
          </reference>
          <reference field="3" count="1" selected="0">
            <x v="40"/>
          </reference>
          <reference field="4" count="1" selected="0">
            <x v="216"/>
          </reference>
          <reference field="5" count="1" selected="0">
            <x v="1277"/>
          </reference>
          <reference field="7" count="1">
            <x v="1177"/>
          </reference>
        </references>
      </pivotArea>
    </format>
    <format dxfId="1532">
      <pivotArea dataOnly="0" labelOnly="1" outline="0" fieldPosition="0">
        <references count="5">
          <reference field="0" count="1" selected="0">
            <x v="1"/>
          </reference>
          <reference field="3" count="1" selected="0">
            <x v="40"/>
          </reference>
          <reference field="4" count="1" selected="0">
            <x v="216"/>
          </reference>
          <reference field="5" count="1" selected="0">
            <x v="1287"/>
          </reference>
          <reference field="7" count="1">
            <x v="1497"/>
          </reference>
        </references>
      </pivotArea>
    </format>
    <format dxfId="1531">
      <pivotArea dataOnly="0" labelOnly="1" outline="0" fieldPosition="0">
        <references count="5">
          <reference field="0" count="1" selected="0">
            <x v="1"/>
          </reference>
          <reference field="3" count="1" selected="0">
            <x v="40"/>
          </reference>
          <reference field="4" count="1" selected="0">
            <x v="216"/>
          </reference>
          <reference field="5" count="1" selected="0">
            <x v="1294"/>
          </reference>
          <reference field="7" count="1">
            <x v="1493"/>
          </reference>
        </references>
      </pivotArea>
    </format>
    <format dxfId="1530">
      <pivotArea dataOnly="0" labelOnly="1" outline="0" fieldPosition="0">
        <references count="5">
          <reference field="0" count="1" selected="0">
            <x v="1"/>
          </reference>
          <reference field="3" count="1" selected="0">
            <x v="40"/>
          </reference>
          <reference field="4" count="1" selected="0">
            <x v="216"/>
          </reference>
          <reference field="5" count="1" selected="0">
            <x v="1295"/>
          </reference>
          <reference field="7" count="1">
            <x v="1383"/>
          </reference>
        </references>
      </pivotArea>
    </format>
    <format dxfId="1529">
      <pivotArea dataOnly="0" labelOnly="1" outline="0" fieldPosition="0">
        <references count="5">
          <reference field="0" count="1" selected="0">
            <x v="1"/>
          </reference>
          <reference field="3" count="1" selected="0">
            <x v="40"/>
          </reference>
          <reference field="4" count="1" selected="0">
            <x v="216"/>
          </reference>
          <reference field="5" count="1" selected="0">
            <x v="1296"/>
          </reference>
          <reference field="7" count="1">
            <x v="721"/>
          </reference>
        </references>
      </pivotArea>
    </format>
    <format dxfId="1528">
      <pivotArea dataOnly="0" labelOnly="1" outline="0" fieldPosition="0">
        <references count="5">
          <reference field="0" count="1" selected="0">
            <x v="1"/>
          </reference>
          <reference field="3" count="1" selected="0">
            <x v="40"/>
          </reference>
          <reference field="4" count="1" selected="0">
            <x v="216"/>
          </reference>
          <reference field="5" count="1" selected="0">
            <x v="1297"/>
          </reference>
          <reference field="7" count="1">
            <x v="1367"/>
          </reference>
        </references>
      </pivotArea>
    </format>
    <format dxfId="1527">
      <pivotArea dataOnly="0" labelOnly="1" outline="0" fieldPosition="0">
        <references count="5">
          <reference field="0" count="1" selected="0">
            <x v="1"/>
          </reference>
          <reference field="3" count="1" selected="0">
            <x v="40"/>
          </reference>
          <reference field="4" count="1" selected="0">
            <x v="216"/>
          </reference>
          <reference field="5" count="1" selected="0">
            <x v="1298"/>
          </reference>
          <reference field="7" count="1">
            <x v="1368"/>
          </reference>
        </references>
      </pivotArea>
    </format>
    <format dxfId="1526">
      <pivotArea dataOnly="0" labelOnly="1" outline="0" fieldPosition="0">
        <references count="5">
          <reference field="0" count="1" selected="0">
            <x v="1"/>
          </reference>
          <reference field="3" count="1" selected="0">
            <x v="40"/>
          </reference>
          <reference field="4" count="1" selected="0">
            <x v="216"/>
          </reference>
          <reference field="5" count="1" selected="0">
            <x v="1299"/>
          </reference>
          <reference field="7" count="1">
            <x v="1369"/>
          </reference>
        </references>
      </pivotArea>
    </format>
    <format dxfId="1525">
      <pivotArea dataOnly="0" labelOnly="1" outline="0" fieldPosition="0">
        <references count="5">
          <reference field="0" count="1" selected="0">
            <x v="1"/>
          </reference>
          <reference field="3" count="1" selected="0">
            <x v="40"/>
          </reference>
          <reference field="4" count="1" selected="0">
            <x v="216"/>
          </reference>
          <reference field="5" count="1" selected="0">
            <x v="1300"/>
          </reference>
          <reference field="7" count="1">
            <x v="56"/>
          </reference>
        </references>
      </pivotArea>
    </format>
    <format dxfId="1524">
      <pivotArea dataOnly="0" labelOnly="1" outline="0" fieldPosition="0">
        <references count="5">
          <reference field="0" count="1" selected="0">
            <x v="1"/>
          </reference>
          <reference field="3" count="1" selected="0">
            <x v="40"/>
          </reference>
          <reference field="4" count="1" selected="0">
            <x v="216"/>
          </reference>
          <reference field="5" count="1" selected="0">
            <x v="1301"/>
          </reference>
          <reference field="7" count="1">
            <x v="1492"/>
          </reference>
        </references>
      </pivotArea>
    </format>
    <format dxfId="1523">
      <pivotArea dataOnly="0" labelOnly="1" outline="0" fieldPosition="0">
        <references count="5">
          <reference field="0" count="1" selected="0">
            <x v="1"/>
          </reference>
          <reference field="3" count="1" selected="0">
            <x v="40"/>
          </reference>
          <reference field="4" count="1" selected="0">
            <x v="216"/>
          </reference>
          <reference field="5" count="1" selected="0">
            <x v="1311"/>
          </reference>
          <reference field="7" count="1">
            <x v="656"/>
          </reference>
        </references>
      </pivotArea>
    </format>
    <format dxfId="1522">
      <pivotArea dataOnly="0" labelOnly="1" outline="0" fieldPosition="0">
        <references count="5">
          <reference field="0" count="1" selected="0">
            <x v="1"/>
          </reference>
          <reference field="3" count="1" selected="0">
            <x v="40"/>
          </reference>
          <reference field="4" count="1" selected="0">
            <x v="216"/>
          </reference>
          <reference field="5" count="1" selected="0">
            <x v="1312"/>
          </reference>
          <reference field="7" count="1">
            <x v="657"/>
          </reference>
        </references>
      </pivotArea>
    </format>
    <format dxfId="1521">
      <pivotArea dataOnly="0" labelOnly="1" outline="0" fieldPosition="0">
        <references count="5">
          <reference field="0" count="1" selected="0">
            <x v="1"/>
          </reference>
          <reference field="3" count="1" selected="0">
            <x v="40"/>
          </reference>
          <reference field="4" count="1" selected="0">
            <x v="216"/>
          </reference>
          <reference field="5" count="1" selected="0">
            <x v="1313"/>
          </reference>
          <reference field="7" count="1">
            <x v="1495"/>
          </reference>
        </references>
      </pivotArea>
    </format>
    <format dxfId="1520">
      <pivotArea dataOnly="0" labelOnly="1" outline="0" fieldPosition="0">
        <references count="5">
          <reference field="0" count="1" selected="0">
            <x v="1"/>
          </reference>
          <reference field="3" count="1" selected="0">
            <x v="40"/>
          </reference>
          <reference field="4" count="1" selected="0">
            <x v="216"/>
          </reference>
          <reference field="5" count="1" selected="0">
            <x v="1314"/>
          </reference>
          <reference field="7" count="1">
            <x v="623"/>
          </reference>
        </references>
      </pivotArea>
    </format>
    <format dxfId="1519">
      <pivotArea dataOnly="0" labelOnly="1" outline="0" fieldPosition="0">
        <references count="5">
          <reference field="0" count="1" selected="0">
            <x v="1"/>
          </reference>
          <reference field="3" count="1" selected="0">
            <x v="40"/>
          </reference>
          <reference field="4" count="1" selected="0">
            <x v="216"/>
          </reference>
          <reference field="5" count="1" selected="0">
            <x v="1315"/>
          </reference>
          <reference field="7" count="1">
            <x v="622"/>
          </reference>
        </references>
      </pivotArea>
    </format>
    <format dxfId="1518">
      <pivotArea dataOnly="0" labelOnly="1" outline="0" fieldPosition="0">
        <references count="5">
          <reference field="0" count="1" selected="0">
            <x v="1"/>
          </reference>
          <reference field="3" count="1" selected="0">
            <x v="40"/>
          </reference>
          <reference field="4" count="1" selected="0">
            <x v="216"/>
          </reference>
          <reference field="5" count="1" selected="0">
            <x v="1316"/>
          </reference>
          <reference field="7" count="1">
            <x v="1494"/>
          </reference>
        </references>
      </pivotArea>
    </format>
    <format dxfId="1517">
      <pivotArea dataOnly="0" labelOnly="1" outline="0" fieldPosition="0">
        <references count="5">
          <reference field="0" count="1" selected="0">
            <x v="1"/>
          </reference>
          <reference field="3" count="1" selected="0">
            <x v="40"/>
          </reference>
          <reference field="4" count="1" selected="0">
            <x v="216"/>
          </reference>
          <reference field="5" count="1" selected="0">
            <x v="1317"/>
          </reference>
          <reference field="7" count="1">
            <x v="1005"/>
          </reference>
        </references>
      </pivotArea>
    </format>
    <format dxfId="1516">
      <pivotArea dataOnly="0" labelOnly="1" outline="0" fieldPosition="0">
        <references count="5">
          <reference field="0" count="1" selected="0">
            <x v="2"/>
          </reference>
          <reference field="3" count="1" selected="0">
            <x v="10"/>
          </reference>
          <reference field="4" count="1" selected="0">
            <x v="6"/>
          </reference>
          <reference field="5" count="1" selected="0">
            <x v="345"/>
          </reference>
          <reference field="7" count="1">
            <x v="113"/>
          </reference>
        </references>
      </pivotArea>
    </format>
    <format dxfId="1515">
      <pivotArea dataOnly="0" labelOnly="1" outline="0" fieldPosition="0">
        <references count="5">
          <reference field="0" count="1" selected="0">
            <x v="2"/>
          </reference>
          <reference field="3" count="1" selected="0">
            <x v="10"/>
          </reference>
          <reference field="4" count="1" selected="0">
            <x v="6"/>
          </reference>
          <reference field="5" count="1" selected="0">
            <x v="355"/>
          </reference>
          <reference field="7" count="1">
            <x v="118"/>
          </reference>
        </references>
      </pivotArea>
    </format>
    <format dxfId="1514">
      <pivotArea dataOnly="0" labelOnly="1" outline="0" fieldPosition="0">
        <references count="5">
          <reference field="0" count="1" selected="0">
            <x v="2"/>
          </reference>
          <reference field="3" count="1" selected="0">
            <x v="10"/>
          </reference>
          <reference field="4" count="1" selected="0">
            <x v="6"/>
          </reference>
          <reference field="5" count="1" selected="0">
            <x v="356"/>
          </reference>
          <reference field="7" count="1">
            <x v="1029"/>
          </reference>
        </references>
      </pivotArea>
    </format>
    <format dxfId="1513">
      <pivotArea dataOnly="0" labelOnly="1" outline="0" fieldPosition="0">
        <references count="5">
          <reference field="0" count="1" selected="0">
            <x v="2"/>
          </reference>
          <reference field="3" count="1" selected="0">
            <x v="10"/>
          </reference>
          <reference field="4" count="1" selected="0">
            <x v="9"/>
          </reference>
          <reference field="5" count="1" selected="0">
            <x v="357"/>
          </reference>
          <reference field="7" count="1">
            <x v="121"/>
          </reference>
        </references>
      </pivotArea>
    </format>
    <format dxfId="1512">
      <pivotArea dataOnly="0" labelOnly="1" outline="0" fieldPosition="0">
        <references count="5">
          <reference field="0" count="1" selected="0">
            <x v="2"/>
          </reference>
          <reference field="3" count="1" selected="0">
            <x v="10"/>
          </reference>
          <reference field="4" count="1" selected="0">
            <x v="9"/>
          </reference>
          <reference field="5" count="1" selected="0">
            <x v="358"/>
          </reference>
          <reference field="7" count="1">
            <x v="1028"/>
          </reference>
        </references>
      </pivotArea>
    </format>
    <format dxfId="1511">
      <pivotArea dataOnly="0" labelOnly="1" outline="0" fieldPosition="0">
        <references count="5">
          <reference field="0" count="1" selected="0">
            <x v="2"/>
          </reference>
          <reference field="3" count="1" selected="0">
            <x v="10"/>
          </reference>
          <reference field="4" count="1" selected="0">
            <x v="9"/>
          </reference>
          <reference field="5" count="1" selected="0">
            <x v="387"/>
          </reference>
          <reference field="7" count="1">
            <x v="114"/>
          </reference>
        </references>
      </pivotArea>
    </format>
    <format dxfId="1510">
      <pivotArea dataOnly="0" labelOnly="1" outline="0" fieldPosition="0">
        <references count="5">
          <reference field="0" count="1" selected="0">
            <x v="2"/>
          </reference>
          <reference field="3" count="1" selected="0">
            <x v="10"/>
          </reference>
          <reference field="4" count="1" selected="0">
            <x v="67"/>
          </reference>
          <reference field="5" count="1" selected="0">
            <x v="22"/>
          </reference>
          <reference field="7" count="1">
            <x v="390"/>
          </reference>
        </references>
      </pivotArea>
    </format>
    <format dxfId="1509">
      <pivotArea dataOnly="0" labelOnly="1" outline="0" fieldPosition="0">
        <references count="5">
          <reference field="0" count="1" selected="0">
            <x v="2"/>
          </reference>
          <reference field="3" count="1" selected="0">
            <x v="10"/>
          </reference>
          <reference field="4" count="1" selected="0">
            <x v="67"/>
          </reference>
          <reference field="5" count="1" selected="0">
            <x v="37"/>
          </reference>
          <reference field="7" count="1">
            <x v="958"/>
          </reference>
        </references>
      </pivotArea>
    </format>
    <format dxfId="1508">
      <pivotArea dataOnly="0" labelOnly="1" outline="0" fieldPosition="0">
        <references count="5">
          <reference field="0" count="1" selected="0">
            <x v="2"/>
          </reference>
          <reference field="3" count="1" selected="0">
            <x v="10"/>
          </reference>
          <reference field="4" count="1" selected="0">
            <x v="67"/>
          </reference>
          <reference field="5" count="1" selected="0">
            <x v="39"/>
          </reference>
          <reference field="7" count="1">
            <x v="960"/>
          </reference>
        </references>
      </pivotArea>
    </format>
    <format dxfId="1507">
      <pivotArea dataOnly="0" labelOnly="1" outline="0" fieldPosition="0">
        <references count="5">
          <reference field="0" count="1" selected="0">
            <x v="2"/>
          </reference>
          <reference field="3" count="1" selected="0">
            <x v="10"/>
          </reference>
          <reference field="4" count="1" selected="0">
            <x v="67"/>
          </reference>
          <reference field="5" count="1" selected="0">
            <x v="40"/>
          </reference>
          <reference field="7" count="1">
            <x v="957"/>
          </reference>
        </references>
      </pivotArea>
    </format>
    <format dxfId="1506">
      <pivotArea dataOnly="0" labelOnly="1" outline="0" fieldPosition="0">
        <references count="5">
          <reference field="0" count="1" selected="0">
            <x v="2"/>
          </reference>
          <reference field="3" count="1" selected="0">
            <x v="10"/>
          </reference>
          <reference field="4" count="1" selected="0">
            <x v="67"/>
          </reference>
          <reference field="5" count="1" selected="0">
            <x v="134"/>
          </reference>
          <reference field="7" count="1">
            <x v="588"/>
          </reference>
        </references>
      </pivotArea>
    </format>
    <format dxfId="1505">
      <pivotArea dataOnly="0" labelOnly="1" outline="0" fieldPosition="0">
        <references count="5">
          <reference field="0" count="1" selected="0">
            <x v="2"/>
          </reference>
          <reference field="3" count="1" selected="0">
            <x v="10"/>
          </reference>
          <reference field="4" count="1" selected="0">
            <x v="67"/>
          </reference>
          <reference field="5" count="1" selected="0">
            <x v="213"/>
          </reference>
          <reference field="7" count="1">
            <x v="973"/>
          </reference>
        </references>
      </pivotArea>
    </format>
    <format dxfId="1504">
      <pivotArea dataOnly="0" labelOnly="1" outline="0" fieldPosition="0">
        <references count="5">
          <reference field="0" count="1" selected="0">
            <x v="2"/>
          </reference>
          <reference field="3" count="1" selected="0">
            <x v="10"/>
          </reference>
          <reference field="4" count="1" selected="0">
            <x v="67"/>
          </reference>
          <reference field="5" count="1" selected="0">
            <x v="432"/>
          </reference>
          <reference field="7" count="1">
            <x v="426"/>
          </reference>
        </references>
      </pivotArea>
    </format>
    <format dxfId="1503">
      <pivotArea dataOnly="0" labelOnly="1" outline="0" fieldPosition="0">
        <references count="5">
          <reference field="0" count="1" selected="0">
            <x v="2"/>
          </reference>
          <reference field="3" count="1" selected="0">
            <x v="10"/>
          </reference>
          <reference field="4" count="1" selected="0">
            <x v="67"/>
          </reference>
          <reference field="5" count="1" selected="0">
            <x v="1592"/>
          </reference>
          <reference field="7" count="1">
            <x v="380"/>
          </reference>
        </references>
      </pivotArea>
    </format>
    <format dxfId="1502">
      <pivotArea dataOnly="0" labelOnly="1" outline="0" fieldPosition="0">
        <references count="5">
          <reference field="0" count="1" selected="0">
            <x v="2"/>
          </reference>
          <reference field="3" count="1" selected="0">
            <x v="10"/>
          </reference>
          <reference field="4" count="1" selected="0">
            <x v="67"/>
          </reference>
          <reference field="5" count="1" selected="0">
            <x v="1595"/>
          </reference>
          <reference field="7" count="1">
            <x v="220"/>
          </reference>
        </references>
      </pivotArea>
    </format>
    <format dxfId="1501">
      <pivotArea dataOnly="0" labelOnly="1" outline="0" fieldPosition="0">
        <references count="5">
          <reference field="0" count="1" selected="0">
            <x v="2"/>
          </reference>
          <reference field="3" count="1" selected="0">
            <x v="10"/>
          </reference>
          <reference field="4" count="1" selected="0">
            <x v="69"/>
          </reference>
          <reference field="5" count="1" selected="0">
            <x v="23"/>
          </reference>
          <reference field="7" count="1">
            <x v="391"/>
          </reference>
        </references>
      </pivotArea>
    </format>
    <format dxfId="1500">
      <pivotArea dataOnly="0" labelOnly="1" outline="0" fieldPosition="0">
        <references count="5">
          <reference field="0" count="1" selected="0">
            <x v="2"/>
          </reference>
          <reference field="3" count="1" selected="0">
            <x v="10"/>
          </reference>
          <reference field="4" count="1" selected="0">
            <x v="69"/>
          </reference>
          <reference field="5" count="1" selected="0">
            <x v="37"/>
          </reference>
          <reference field="7" count="1">
            <x v="958"/>
          </reference>
        </references>
      </pivotArea>
    </format>
    <format dxfId="1499">
      <pivotArea dataOnly="0" labelOnly="1" outline="0" fieldPosition="0">
        <references count="5">
          <reference field="0" count="1" selected="0">
            <x v="2"/>
          </reference>
          <reference field="3" count="1" selected="0">
            <x v="10"/>
          </reference>
          <reference field="4" count="1" selected="0">
            <x v="69"/>
          </reference>
          <reference field="5" count="1" selected="0">
            <x v="39"/>
          </reference>
          <reference field="7" count="1">
            <x v="960"/>
          </reference>
        </references>
      </pivotArea>
    </format>
    <format dxfId="1498">
      <pivotArea dataOnly="0" labelOnly="1" outline="0" fieldPosition="0">
        <references count="5">
          <reference field="0" count="1" selected="0">
            <x v="2"/>
          </reference>
          <reference field="3" count="1" selected="0">
            <x v="10"/>
          </reference>
          <reference field="4" count="1" selected="0">
            <x v="69"/>
          </reference>
          <reference field="5" count="1" selected="0">
            <x v="1594"/>
          </reference>
          <reference field="7" count="1">
            <x v="863"/>
          </reference>
        </references>
      </pivotArea>
    </format>
    <format dxfId="1497">
      <pivotArea dataOnly="0" labelOnly="1" outline="0" fieldPosition="0">
        <references count="5">
          <reference field="0" count="1" selected="0">
            <x v="2"/>
          </reference>
          <reference field="3" count="1" selected="0">
            <x v="10"/>
          </reference>
          <reference field="4" count="1" selected="0">
            <x v="69"/>
          </reference>
          <reference field="5" count="1" selected="0">
            <x v="1599"/>
          </reference>
          <reference field="7" count="1">
            <x v="222"/>
          </reference>
        </references>
      </pivotArea>
    </format>
    <format dxfId="1496">
      <pivotArea dataOnly="0" labelOnly="1" outline="0" fieldPosition="0">
        <references count="5">
          <reference field="0" count="1" selected="0">
            <x v="2"/>
          </reference>
          <reference field="3" count="1" selected="0">
            <x v="10"/>
          </reference>
          <reference field="4" count="1" selected="0">
            <x v="110"/>
          </reference>
          <reference field="5" count="1" selected="0">
            <x v="24"/>
          </reference>
          <reference field="7" count="1">
            <x v="392"/>
          </reference>
        </references>
      </pivotArea>
    </format>
    <format dxfId="1495">
      <pivotArea dataOnly="0" labelOnly="1" outline="0" fieldPosition="0">
        <references count="5">
          <reference field="0" count="1" selected="0">
            <x v="2"/>
          </reference>
          <reference field="3" count="1" selected="0">
            <x v="10"/>
          </reference>
          <reference field="4" count="1" selected="0">
            <x v="110"/>
          </reference>
          <reference field="5" count="1" selected="0">
            <x v="37"/>
          </reference>
          <reference field="7" count="1">
            <x v="958"/>
          </reference>
        </references>
      </pivotArea>
    </format>
    <format dxfId="1494">
      <pivotArea dataOnly="0" labelOnly="1" outline="0" fieldPosition="0">
        <references count="5">
          <reference field="0" count="1" selected="0">
            <x v="2"/>
          </reference>
          <reference field="3" count="1" selected="0">
            <x v="10"/>
          </reference>
          <reference field="4" count="1" selected="0">
            <x v="110"/>
          </reference>
          <reference field="5" count="1" selected="0">
            <x v="39"/>
          </reference>
          <reference field="7" count="1">
            <x v="960"/>
          </reference>
        </references>
      </pivotArea>
    </format>
    <format dxfId="1493">
      <pivotArea dataOnly="0" labelOnly="1" outline="0" fieldPosition="0">
        <references count="5">
          <reference field="0" count="1" selected="0">
            <x v="2"/>
          </reference>
          <reference field="3" count="1" selected="0">
            <x v="10"/>
          </reference>
          <reference field="4" count="1" selected="0">
            <x v="110"/>
          </reference>
          <reference field="5" count="1" selected="0">
            <x v="40"/>
          </reference>
          <reference field="7" count="1">
            <x v="957"/>
          </reference>
        </references>
      </pivotArea>
    </format>
    <format dxfId="1492">
      <pivotArea dataOnly="0" labelOnly="1" outline="0" fieldPosition="0">
        <references count="5">
          <reference field="0" count="1" selected="0">
            <x v="2"/>
          </reference>
          <reference field="3" count="1" selected="0">
            <x v="10"/>
          </reference>
          <reference field="4" count="1" selected="0">
            <x v="110"/>
          </reference>
          <reference field="5" count="1" selected="0">
            <x v="1592"/>
          </reference>
          <reference field="7" count="1">
            <x v="380"/>
          </reference>
        </references>
      </pivotArea>
    </format>
    <format dxfId="1491">
      <pivotArea dataOnly="0" labelOnly="1" outline="0" fieldPosition="0">
        <references count="5">
          <reference field="0" count="1" selected="0">
            <x v="2"/>
          </reference>
          <reference field="3" count="1" selected="0">
            <x v="10"/>
          </reference>
          <reference field="4" count="1" selected="0">
            <x v="110"/>
          </reference>
          <reference field="5" count="1" selected="0">
            <x v="1597"/>
          </reference>
          <reference field="7" count="1">
            <x v="265"/>
          </reference>
        </references>
      </pivotArea>
    </format>
    <format dxfId="1490">
      <pivotArea dataOnly="0" labelOnly="1" outline="0" fieldPosition="0">
        <references count="5">
          <reference field="0" count="1" selected="0">
            <x v="2"/>
          </reference>
          <reference field="3" count="1" selected="0">
            <x v="10"/>
          </reference>
          <reference field="4" count="1" selected="0">
            <x v="111"/>
          </reference>
          <reference field="5" count="1" selected="0">
            <x v="36"/>
          </reference>
          <reference field="7" count="1">
            <x v="956"/>
          </reference>
        </references>
      </pivotArea>
    </format>
    <format dxfId="1489">
      <pivotArea dataOnly="0" labelOnly="1" outline="0" fieldPosition="0">
        <references count="5">
          <reference field="0" count="1" selected="0">
            <x v="2"/>
          </reference>
          <reference field="3" count="1" selected="0">
            <x v="10"/>
          </reference>
          <reference field="4" count="1" selected="0">
            <x v="111"/>
          </reference>
          <reference field="5" count="1" selected="0">
            <x v="1596"/>
          </reference>
          <reference field="7" count="1">
            <x v="1196"/>
          </reference>
        </references>
      </pivotArea>
    </format>
    <format dxfId="1488">
      <pivotArea dataOnly="0" labelOnly="1" outline="0" fieldPosition="0">
        <references count="5">
          <reference field="0" count="1" selected="0">
            <x v="2"/>
          </reference>
          <reference field="3" count="1" selected="0">
            <x v="10"/>
          </reference>
          <reference field="4" count="1" selected="0">
            <x v="111"/>
          </reference>
          <reference field="5" count="1" selected="0">
            <x v="1600"/>
          </reference>
          <reference field="7" count="1">
            <x v="266"/>
          </reference>
        </references>
      </pivotArea>
    </format>
    <format dxfId="1487">
      <pivotArea dataOnly="0" labelOnly="1" outline="0" fieldPosition="0">
        <references count="5">
          <reference field="0" count="1" selected="0">
            <x v="2"/>
          </reference>
          <reference field="3" count="1" selected="0">
            <x v="10"/>
          </reference>
          <reference field="4" count="1" selected="0">
            <x v="111"/>
          </reference>
          <reference field="5" count="1" selected="0">
            <x v="1611"/>
          </reference>
          <reference field="7" count="1">
            <x v="435"/>
          </reference>
        </references>
      </pivotArea>
    </format>
    <format dxfId="1486">
      <pivotArea dataOnly="0" labelOnly="1" outline="0" fieldPosition="0">
        <references count="5">
          <reference field="0" count="1" selected="0">
            <x v="2"/>
          </reference>
          <reference field="3" count="1" selected="0">
            <x v="10"/>
          </reference>
          <reference field="4" count="1" selected="0">
            <x v="127"/>
          </reference>
          <reference field="5" count="1" selected="0">
            <x v="19"/>
          </reference>
          <reference field="7" count="1">
            <x v="389"/>
          </reference>
        </references>
      </pivotArea>
    </format>
    <format dxfId="1485">
      <pivotArea dataOnly="0" labelOnly="1" outline="0" fieldPosition="0">
        <references count="5">
          <reference field="0" count="1" selected="0">
            <x v="2"/>
          </reference>
          <reference field="3" count="1" selected="0">
            <x v="10"/>
          </reference>
          <reference field="4" count="1" selected="0">
            <x v="127"/>
          </reference>
          <reference field="5" count="1" selected="0">
            <x v="39"/>
          </reference>
          <reference field="7" count="1">
            <x v="960"/>
          </reference>
        </references>
      </pivotArea>
    </format>
    <format dxfId="1484">
      <pivotArea dataOnly="0" labelOnly="1" outline="0" fieldPosition="0">
        <references count="5">
          <reference field="0" count="1" selected="0">
            <x v="2"/>
          </reference>
          <reference field="3" count="1" selected="0">
            <x v="10"/>
          </reference>
          <reference field="4" count="1" selected="0">
            <x v="127"/>
          </reference>
          <reference field="5" count="1" selected="0">
            <x v="266"/>
          </reference>
          <reference field="7" count="1">
            <x v="386"/>
          </reference>
        </references>
      </pivotArea>
    </format>
    <format dxfId="1483">
      <pivotArea dataOnly="0" labelOnly="1" outline="0" fieldPosition="0">
        <references count="5">
          <reference field="0" count="1" selected="0">
            <x v="2"/>
          </reference>
          <reference field="3" count="1" selected="0">
            <x v="10"/>
          </reference>
          <reference field="4" count="1" selected="0">
            <x v="127"/>
          </reference>
          <reference field="5" count="1" selected="0">
            <x v="1598"/>
          </reference>
          <reference field="7" count="1">
            <x v="1341"/>
          </reference>
        </references>
      </pivotArea>
    </format>
    <format dxfId="1482">
      <pivotArea dataOnly="0" labelOnly="1" outline="0" fieldPosition="0">
        <references count="5">
          <reference field="0" count="1" selected="0">
            <x v="2"/>
          </reference>
          <reference field="3" count="1" selected="0">
            <x v="10"/>
          </reference>
          <reference field="4" count="1" selected="0">
            <x v="127"/>
          </reference>
          <reference field="5" count="1" selected="0">
            <x v="1601"/>
          </reference>
          <reference field="7" count="1">
            <x v="284"/>
          </reference>
        </references>
      </pivotArea>
    </format>
    <format dxfId="1481">
      <pivotArea dataOnly="0" labelOnly="1" outline="0" fieldPosition="0">
        <references count="5">
          <reference field="0" count="1" selected="0">
            <x v="2"/>
          </reference>
          <reference field="3" count="1" selected="0">
            <x v="10"/>
          </reference>
          <reference field="4" count="1" selected="0">
            <x v="216"/>
          </reference>
          <reference field="5" count="1" selected="0">
            <x v="86"/>
          </reference>
          <reference field="7" count="1">
            <x v="1407"/>
          </reference>
        </references>
      </pivotArea>
    </format>
    <format dxfId="1480">
      <pivotArea dataOnly="0" labelOnly="1" outline="0" fieldPosition="0">
        <references count="5">
          <reference field="0" count="1" selected="0">
            <x v="2"/>
          </reference>
          <reference field="3" count="1" selected="0">
            <x v="10"/>
          </reference>
          <reference field="4" count="1" selected="0">
            <x v="216"/>
          </reference>
          <reference field="5" count="1" selected="0">
            <x v="92"/>
          </reference>
          <reference field="7" count="1">
            <x v="1457"/>
          </reference>
        </references>
      </pivotArea>
    </format>
    <format dxfId="1479">
      <pivotArea dataOnly="0" labelOnly="1" outline="0" fieldPosition="0">
        <references count="5">
          <reference field="0" count="1" selected="0">
            <x v="2"/>
          </reference>
          <reference field="3" count="1" selected="0">
            <x v="10"/>
          </reference>
          <reference field="4" count="1" selected="0">
            <x v="216"/>
          </reference>
          <reference field="5" count="1" selected="0">
            <x v="108"/>
          </reference>
          <reference field="7" count="1">
            <x v="1374"/>
          </reference>
        </references>
      </pivotArea>
    </format>
    <format dxfId="1478">
      <pivotArea dataOnly="0" labelOnly="1" outline="0" fieldPosition="0">
        <references count="5">
          <reference field="0" count="1" selected="0">
            <x v="2"/>
          </reference>
          <reference field="3" count="1" selected="0">
            <x v="10"/>
          </reference>
          <reference field="4" count="1" selected="0">
            <x v="216"/>
          </reference>
          <reference field="5" count="1" selected="0">
            <x v="121"/>
          </reference>
          <reference field="7" count="1">
            <x v="1096"/>
          </reference>
        </references>
      </pivotArea>
    </format>
    <format dxfId="1477">
      <pivotArea dataOnly="0" labelOnly="1" outline="0" fieldPosition="0">
        <references count="5">
          <reference field="0" count="1" selected="0">
            <x v="2"/>
          </reference>
          <reference field="3" count="1" selected="0">
            <x v="10"/>
          </reference>
          <reference field="4" count="1" selected="0">
            <x v="216"/>
          </reference>
          <reference field="5" count="1" selected="0">
            <x v="124"/>
          </reference>
          <reference field="7" count="1">
            <x v="605"/>
          </reference>
        </references>
      </pivotArea>
    </format>
    <format dxfId="1476">
      <pivotArea dataOnly="0" labelOnly="1" outline="0" fieldPosition="0">
        <references count="5">
          <reference field="0" count="1" selected="0">
            <x v="2"/>
          </reference>
          <reference field="3" count="1" selected="0">
            <x v="10"/>
          </reference>
          <reference field="4" count="1" selected="0">
            <x v="216"/>
          </reference>
          <reference field="5" count="1" selected="0">
            <x v="125"/>
          </reference>
          <reference field="7" count="1">
            <x v="606"/>
          </reference>
        </references>
      </pivotArea>
    </format>
    <format dxfId="1475">
      <pivotArea dataOnly="0" labelOnly="1" outline="0" fieldPosition="0">
        <references count="5">
          <reference field="0" count="1" selected="0">
            <x v="2"/>
          </reference>
          <reference field="3" count="1" selected="0">
            <x v="10"/>
          </reference>
          <reference field="4" count="1" selected="0">
            <x v="216"/>
          </reference>
          <reference field="5" count="1" selected="0">
            <x v="137"/>
          </reference>
          <reference field="7" count="1">
            <x v="581"/>
          </reference>
        </references>
      </pivotArea>
    </format>
    <format dxfId="1474">
      <pivotArea dataOnly="0" labelOnly="1" outline="0" fieldPosition="0">
        <references count="5">
          <reference field="0" count="1" selected="0">
            <x v="2"/>
          </reference>
          <reference field="3" count="1" selected="0">
            <x v="10"/>
          </reference>
          <reference field="4" count="1" selected="0">
            <x v="216"/>
          </reference>
          <reference field="5" count="1" selected="0">
            <x v="138"/>
          </reference>
          <reference field="7" count="1">
            <x v="596"/>
          </reference>
        </references>
      </pivotArea>
    </format>
    <format dxfId="1473">
      <pivotArea dataOnly="0" labelOnly="1" outline="0" fieldPosition="0">
        <references count="5">
          <reference field="0" count="1" selected="0">
            <x v="2"/>
          </reference>
          <reference field="3" count="1" selected="0">
            <x v="10"/>
          </reference>
          <reference field="4" count="1" selected="0">
            <x v="216"/>
          </reference>
          <reference field="5" count="1" selected="0">
            <x v="140"/>
          </reference>
          <reference field="7" count="1">
            <x v="595"/>
          </reference>
        </references>
      </pivotArea>
    </format>
    <format dxfId="1472">
      <pivotArea dataOnly="0" labelOnly="1" outline="0" fieldPosition="0">
        <references count="5">
          <reference field="0" count="1" selected="0">
            <x v="2"/>
          </reference>
          <reference field="3" count="1" selected="0">
            <x v="10"/>
          </reference>
          <reference field="4" count="1" selected="0">
            <x v="216"/>
          </reference>
          <reference field="5" count="1" selected="0">
            <x v="141"/>
          </reference>
          <reference field="7" count="1">
            <x v="597"/>
          </reference>
        </references>
      </pivotArea>
    </format>
    <format dxfId="1471">
      <pivotArea dataOnly="0" labelOnly="1" outline="0" fieldPosition="0">
        <references count="5">
          <reference field="0" count="1" selected="0">
            <x v="2"/>
          </reference>
          <reference field="3" count="1" selected="0">
            <x v="10"/>
          </reference>
          <reference field="4" count="1" selected="0">
            <x v="216"/>
          </reference>
          <reference field="5" count="1" selected="0">
            <x v="146"/>
          </reference>
          <reference field="7" count="1">
            <x v="1587"/>
          </reference>
        </references>
      </pivotArea>
    </format>
    <format dxfId="1470">
      <pivotArea dataOnly="0" labelOnly="1" outline="0" fieldPosition="0">
        <references count="5">
          <reference field="0" count="1" selected="0">
            <x v="2"/>
          </reference>
          <reference field="3" count="1" selected="0">
            <x v="10"/>
          </reference>
          <reference field="4" count="1" selected="0">
            <x v="216"/>
          </reference>
          <reference field="5" count="1" selected="0">
            <x v="148"/>
          </reference>
          <reference field="7" count="1">
            <x v="977"/>
          </reference>
        </references>
      </pivotArea>
    </format>
    <format dxfId="1469">
      <pivotArea dataOnly="0" labelOnly="1" outline="0" fieldPosition="0">
        <references count="5">
          <reference field="0" count="1" selected="0">
            <x v="2"/>
          </reference>
          <reference field="3" count="1" selected="0">
            <x v="10"/>
          </reference>
          <reference field="4" count="1" selected="0">
            <x v="216"/>
          </reference>
          <reference field="5" count="1" selected="0">
            <x v="158"/>
          </reference>
          <reference field="7" count="1">
            <x v="1075"/>
          </reference>
        </references>
      </pivotArea>
    </format>
    <format dxfId="1468">
      <pivotArea dataOnly="0" labelOnly="1" outline="0" fieldPosition="0">
        <references count="5">
          <reference field="0" count="1" selected="0">
            <x v="2"/>
          </reference>
          <reference field="3" count="1" selected="0">
            <x v="10"/>
          </reference>
          <reference field="4" count="1" selected="0">
            <x v="216"/>
          </reference>
          <reference field="5" count="1" selected="0">
            <x v="168"/>
          </reference>
          <reference field="7" count="1">
            <x v="1089"/>
          </reference>
        </references>
      </pivotArea>
    </format>
    <format dxfId="1467">
      <pivotArea dataOnly="0" labelOnly="1" outline="0" fieldPosition="0">
        <references count="5">
          <reference field="0" count="1" selected="0">
            <x v="2"/>
          </reference>
          <reference field="3" count="1" selected="0">
            <x v="10"/>
          </reference>
          <reference field="4" count="1" selected="0">
            <x v="216"/>
          </reference>
          <reference field="5" count="1" selected="0">
            <x v="169"/>
          </reference>
          <reference field="7" count="1">
            <x v="1090"/>
          </reference>
        </references>
      </pivotArea>
    </format>
    <format dxfId="1466">
      <pivotArea dataOnly="0" labelOnly="1" outline="0" fieldPosition="0">
        <references count="5">
          <reference field="0" count="1" selected="0">
            <x v="2"/>
          </reference>
          <reference field="3" count="1" selected="0">
            <x v="10"/>
          </reference>
          <reference field="4" count="1" selected="0">
            <x v="216"/>
          </reference>
          <reference field="5" count="1" selected="0">
            <x v="170"/>
          </reference>
          <reference field="7" count="1">
            <x v="1092"/>
          </reference>
        </references>
      </pivotArea>
    </format>
    <format dxfId="1465">
      <pivotArea dataOnly="0" labelOnly="1" outline="0" fieldPosition="0">
        <references count="5">
          <reference field="0" count="1" selected="0">
            <x v="2"/>
          </reference>
          <reference field="3" count="1" selected="0">
            <x v="10"/>
          </reference>
          <reference field="4" count="1" selected="0">
            <x v="216"/>
          </reference>
          <reference field="5" count="1" selected="0">
            <x v="173"/>
          </reference>
          <reference field="7" count="1">
            <x v="1094"/>
          </reference>
        </references>
      </pivotArea>
    </format>
    <format dxfId="1464">
      <pivotArea dataOnly="0" labelOnly="1" outline="0" fieldPosition="0">
        <references count="5">
          <reference field="0" count="1" selected="0">
            <x v="2"/>
          </reference>
          <reference field="3" count="1" selected="0">
            <x v="10"/>
          </reference>
          <reference field="4" count="1" selected="0">
            <x v="216"/>
          </reference>
          <reference field="5" count="1" selected="0">
            <x v="193"/>
          </reference>
          <reference field="7" count="1">
            <x v="604"/>
          </reference>
        </references>
      </pivotArea>
    </format>
    <format dxfId="1463">
      <pivotArea dataOnly="0" labelOnly="1" outline="0" fieldPosition="0">
        <references count="5">
          <reference field="0" count="1" selected="0">
            <x v="2"/>
          </reference>
          <reference field="3" count="1" selected="0">
            <x v="10"/>
          </reference>
          <reference field="4" count="1" selected="0">
            <x v="216"/>
          </reference>
          <reference field="5" count="1" selected="0">
            <x v="195"/>
          </reference>
          <reference field="7" count="1">
            <x v="603"/>
          </reference>
        </references>
      </pivotArea>
    </format>
    <format dxfId="1462">
      <pivotArea dataOnly="0" labelOnly="1" outline="0" fieldPosition="0">
        <references count="5">
          <reference field="0" count="1" selected="0">
            <x v="2"/>
          </reference>
          <reference field="3" count="1" selected="0">
            <x v="10"/>
          </reference>
          <reference field="4" count="1" selected="0">
            <x v="216"/>
          </reference>
          <reference field="5" count="1" selected="0">
            <x v="203"/>
          </reference>
          <reference field="7" count="1">
            <x v="1418"/>
          </reference>
        </references>
      </pivotArea>
    </format>
    <format dxfId="1461">
      <pivotArea dataOnly="0" labelOnly="1" outline="0" fieldPosition="0">
        <references count="5">
          <reference field="0" count="1" selected="0">
            <x v="2"/>
          </reference>
          <reference field="3" count="1" selected="0">
            <x v="10"/>
          </reference>
          <reference field="4" count="1" selected="0">
            <x v="216"/>
          </reference>
          <reference field="5" count="1" selected="0">
            <x v="210"/>
          </reference>
          <reference field="7" count="1">
            <x v="987"/>
          </reference>
        </references>
      </pivotArea>
    </format>
    <format dxfId="1460">
      <pivotArea dataOnly="0" labelOnly="1" outline="0" fieldPosition="0">
        <references count="5">
          <reference field="0" count="1" selected="0">
            <x v="2"/>
          </reference>
          <reference field="3" count="1" selected="0">
            <x v="10"/>
          </reference>
          <reference field="4" count="1" selected="0">
            <x v="216"/>
          </reference>
          <reference field="5" count="1" selected="0">
            <x v="213"/>
          </reference>
          <reference field="7" count="1">
            <x v="973"/>
          </reference>
        </references>
      </pivotArea>
    </format>
    <format dxfId="1459">
      <pivotArea dataOnly="0" labelOnly="1" outline="0" fieldPosition="0">
        <references count="5">
          <reference field="0" count="1" selected="0">
            <x v="2"/>
          </reference>
          <reference field="3" count="1" selected="0">
            <x v="10"/>
          </reference>
          <reference field="4" count="1" selected="0">
            <x v="216"/>
          </reference>
          <reference field="5" count="1" selected="0">
            <x v="215"/>
          </reference>
          <reference field="7" count="1">
            <x v="975"/>
          </reference>
        </references>
      </pivotArea>
    </format>
    <format dxfId="1458">
      <pivotArea dataOnly="0" labelOnly="1" outline="0" fieldPosition="0">
        <references count="5">
          <reference field="0" count="1" selected="0">
            <x v="2"/>
          </reference>
          <reference field="3" count="1" selected="0">
            <x v="10"/>
          </reference>
          <reference field="4" count="1" selected="0">
            <x v="216"/>
          </reference>
          <reference field="5" count="1" selected="0">
            <x v="238"/>
          </reference>
          <reference field="7" count="1">
            <x v="1588"/>
          </reference>
        </references>
      </pivotArea>
    </format>
    <format dxfId="1457">
      <pivotArea dataOnly="0" labelOnly="1" outline="0" fieldPosition="0">
        <references count="5">
          <reference field="0" count="1" selected="0">
            <x v="2"/>
          </reference>
          <reference field="3" count="1" selected="0">
            <x v="10"/>
          </reference>
          <reference field="4" count="1" selected="0">
            <x v="216"/>
          </reference>
          <reference field="5" count="1" selected="0">
            <x v="247"/>
          </reference>
          <reference field="7" count="1">
            <x v="1333"/>
          </reference>
        </references>
      </pivotArea>
    </format>
    <format dxfId="1456">
      <pivotArea dataOnly="0" labelOnly="1" outline="0" fieldPosition="0">
        <references count="5">
          <reference field="0" count="1" selected="0">
            <x v="2"/>
          </reference>
          <reference field="3" count="1" selected="0">
            <x v="10"/>
          </reference>
          <reference field="4" count="1" selected="0">
            <x v="216"/>
          </reference>
          <reference field="5" count="1" selected="0">
            <x v="302"/>
          </reference>
          <reference field="7" count="1">
            <x v="1070"/>
          </reference>
        </references>
      </pivotArea>
    </format>
    <format dxfId="1455">
      <pivotArea dataOnly="0" labelOnly="1" outline="0" fieldPosition="0">
        <references count="5">
          <reference field="0" count="1" selected="0">
            <x v="2"/>
          </reference>
          <reference field="3" count="1" selected="0">
            <x v="10"/>
          </reference>
          <reference field="4" count="1" selected="0">
            <x v="216"/>
          </reference>
          <reference field="5" count="1" selected="0">
            <x v="310"/>
          </reference>
          <reference field="7" count="1">
            <x v="971"/>
          </reference>
        </references>
      </pivotArea>
    </format>
    <format dxfId="1454">
      <pivotArea dataOnly="0" labelOnly="1" outline="0" fieldPosition="0">
        <references count="5">
          <reference field="0" count="1" selected="0">
            <x v="2"/>
          </reference>
          <reference field="3" count="1" selected="0">
            <x v="10"/>
          </reference>
          <reference field="4" count="1" selected="0">
            <x v="216"/>
          </reference>
          <reference field="5" count="1" selected="0">
            <x v="331"/>
          </reference>
          <reference field="7" count="1">
            <x v="1591"/>
          </reference>
        </references>
      </pivotArea>
    </format>
    <format dxfId="1453">
      <pivotArea dataOnly="0" labelOnly="1" outline="0" fieldPosition="0">
        <references count="5">
          <reference field="0" count="1" selected="0">
            <x v="2"/>
          </reference>
          <reference field="3" count="1" selected="0">
            <x v="10"/>
          </reference>
          <reference field="4" count="1" selected="0">
            <x v="216"/>
          </reference>
          <reference field="5" count="1" selected="0">
            <x v="336"/>
          </reference>
          <reference field="7" count="1">
            <x v="1593"/>
          </reference>
        </references>
      </pivotArea>
    </format>
    <format dxfId="1452">
      <pivotArea dataOnly="0" labelOnly="1" outline="0" fieldPosition="0">
        <references count="5">
          <reference field="0" count="1" selected="0">
            <x v="2"/>
          </reference>
          <reference field="3" count="1" selected="0">
            <x v="10"/>
          </reference>
          <reference field="4" count="1" selected="0">
            <x v="216"/>
          </reference>
          <reference field="5" count="1" selected="0">
            <x v="355"/>
          </reference>
          <reference field="7" count="1">
            <x v="1030"/>
          </reference>
        </references>
      </pivotArea>
    </format>
    <format dxfId="1451">
      <pivotArea dataOnly="0" labelOnly="1" outline="0" fieldPosition="0">
        <references count="5">
          <reference field="0" count="1" selected="0">
            <x v="2"/>
          </reference>
          <reference field="3" count="1" selected="0">
            <x v="10"/>
          </reference>
          <reference field="4" count="1" selected="0">
            <x v="216"/>
          </reference>
          <reference field="5" count="1" selected="0">
            <x v="374"/>
          </reference>
          <reference field="7" count="1">
            <x v="704"/>
          </reference>
        </references>
      </pivotArea>
    </format>
    <format dxfId="1450">
      <pivotArea dataOnly="0" labelOnly="1" outline="0" fieldPosition="0">
        <references count="5">
          <reference field="0" count="1" selected="0">
            <x v="2"/>
          </reference>
          <reference field="3" count="1" selected="0">
            <x v="10"/>
          </reference>
          <reference field="4" count="1" selected="0">
            <x v="216"/>
          </reference>
          <reference field="5" count="1" selected="0">
            <x v="385"/>
          </reference>
          <reference field="7" count="1">
            <x v="1210"/>
          </reference>
        </references>
      </pivotArea>
    </format>
    <format dxfId="1449">
      <pivotArea dataOnly="0" labelOnly="1" outline="0" fieldPosition="0">
        <references count="5">
          <reference field="0" count="1" selected="0">
            <x v="2"/>
          </reference>
          <reference field="3" count="1" selected="0">
            <x v="10"/>
          </reference>
          <reference field="4" count="1" selected="0">
            <x v="216"/>
          </reference>
          <reference field="5" count="1" selected="0">
            <x v="613"/>
          </reference>
          <reference field="7" count="1">
            <x v="229"/>
          </reference>
        </references>
      </pivotArea>
    </format>
    <format dxfId="1448">
      <pivotArea dataOnly="0" labelOnly="1" outline="0" fieldPosition="0">
        <references count="5">
          <reference field="0" count="1" selected="0">
            <x v="2"/>
          </reference>
          <reference field="3" count="1" selected="0">
            <x v="10"/>
          </reference>
          <reference field="4" count="1" selected="0">
            <x v="216"/>
          </reference>
          <reference field="5" count="1" selected="0">
            <x v="614"/>
          </reference>
          <reference field="7" count="1">
            <x v="1413"/>
          </reference>
        </references>
      </pivotArea>
    </format>
    <format dxfId="1447">
      <pivotArea dataOnly="0" labelOnly="1" outline="0" fieldPosition="0">
        <references count="5">
          <reference field="0" count="1" selected="0">
            <x v="2"/>
          </reference>
          <reference field="3" count="1" selected="0">
            <x v="10"/>
          </reference>
          <reference field="4" count="1" selected="0">
            <x v="216"/>
          </reference>
          <reference field="5" count="1" selected="0">
            <x v="616"/>
          </reference>
          <reference field="7" count="1">
            <x v="866"/>
          </reference>
        </references>
      </pivotArea>
    </format>
    <format dxfId="1446">
      <pivotArea dataOnly="0" labelOnly="1" outline="0" fieldPosition="0">
        <references count="5">
          <reference field="0" count="1" selected="0">
            <x v="2"/>
          </reference>
          <reference field="3" count="1" selected="0">
            <x v="10"/>
          </reference>
          <reference field="4" count="1" selected="0">
            <x v="216"/>
          </reference>
          <reference field="5" count="1" selected="0">
            <x v="617"/>
          </reference>
          <reference field="7" count="1">
            <x v="865"/>
          </reference>
        </references>
      </pivotArea>
    </format>
    <format dxfId="1445">
      <pivotArea dataOnly="0" labelOnly="1" outline="0" fieldPosition="0">
        <references count="5">
          <reference field="0" count="1" selected="0">
            <x v="2"/>
          </reference>
          <reference field="3" count="1" selected="0">
            <x v="10"/>
          </reference>
          <reference field="4" count="1" selected="0">
            <x v="216"/>
          </reference>
          <reference field="5" count="1" selected="0">
            <x v="627"/>
          </reference>
          <reference field="7" count="1">
            <x v="889"/>
          </reference>
        </references>
      </pivotArea>
    </format>
    <format dxfId="1444">
      <pivotArea dataOnly="0" labelOnly="1" outline="0" fieldPosition="0">
        <references count="5">
          <reference field="0" count="1" selected="0">
            <x v="2"/>
          </reference>
          <reference field="3" count="1" selected="0">
            <x v="10"/>
          </reference>
          <reference field="4" count="1" selected="0">
            <x v="216"/>
          </reference>
          <reference field="5" count="1" selected="0">
            <x v="628"/>
          </reference>
          <reference field="7" count="1">
            <x v="888"/>
          </reference>
        </references>
      </pivotArea>
    </format>
    <format dxfId="1443">
      <pivotArea dataOnly="0" labelOnly="1" outline="0" fieldPosition="0">
        <references count="5">
          <reference field="0" count="1" selected="0">
            <x v="2"/>
          </reference>
          <reference field="3" count="1" selected="0">
            <x v="10"/>
          </reference>
          <reference field="4" count="1" selected="0">
            <x v="216"/>
          </reference>
          <reference field="5" count="1" selected="0">
            <x v="629"/>
          </reference>
          <reference field="7" count="1">
            <x v="1569"/>
          </reference>
        </references>
      </pivotArea>
    </format>
    <format dxfId="1442">
      <pivotArea dataOnly="0" labelOnly="1" outline="0" fieldPosition="0">
        <references count="5">
          <reference field="0" count="1" selected="0">
            <x v="2"/>
          </reference>
          <reference field="3" count="1" selected="0">
            <x v="10"/>
          </reference>
          <reference field="4" count="1" selected="0">
            <x v="216"/>
          </reference>
          <reference field="5" count="1" selected="0">
            <x v="630"/>
          </reference>
          <reference field="7" count="1">
            <x v="1570"/>
          </reference>
        </references>
      </pivotArea>
    </format>
    <format dxfId="1441">
      <pivotArea dataOnly="0" labelOnly="1" outline="0" fieldPosition="0">
        <references count="5">
          <reference field="0" count="1" selected="0">
            <x v="2"/>
          </reference>
          <reference field="3" count="1" selected="0">
            <x v="10"/>
          </reference>
          <reference field="4" count="1" selected="0">
            <x v="216"/>
          </reference>
          <reference field="5" count="1" selected="0">
            <x v="631"/>
          </reference>
          <reference field="7" count="1">
            <x v="1572"/>
          </reference>
        </references>
      </pivotArea>
    </format>
    <format dxfId="1440">
      <pivotArea dataOnly="0" labelOnly="1" outline="0" fieldPosition="0">
        <references count="5">
          <reference field="0" count="1" selected="0">
            <x v="2"/>
          </reference>
          <reference field="3" count="1" selected="0">
            <x v="10"/>
          </reference>
          <reference field="4" count="1" selected="0">
            <x v="216"/>
          </reference>
          <reference field="5" count="1" selected="0">
            <x v="632"/>
          </reference>
          <reference field="7" count="1">
            <x v="1139"/>
          </reference>
        </references>
      </pivotArea>
    </format>
    <format dxfId="1439">
      <pivotArea dataOnly="0" labelOnly="1" outline="0" fieldPosition="0">
        <references count="5">
          <reference field="0" count="1" selected="0">
            <x v="2"/>
          </reference>
          <reference field="3" count="1" selected="0">
            <x v="10"/>
          </reference>
          <reference field="4" count="1" selected="0">
            <x v="216"/>
          </reference>
          <reference field="5" count="1" selected="0">
            <x v="633"/>
          </reference>
          <reference field="7" count="1">
            <x v="1141"/>
          </reference>
        </references>
      </pivotArea>
    </format>
    <format dxfId="1438">
      <pivotArea dataOnly="0" labelOnly="1" outline="0" fieldPosition="0">
        <references count="5">
          <reference field="0" count="1" selected="0">
            <x v="2"/>
          </reference>
          <reference field="3" count="1" selected="0">
            <x v="10"/>
          </reference>
          <reference field="4" count="1" selected="0">
            <x v="216"/>
          </reference>
          <reference field="5" count="1" selected="0">
            <x v="634"/>
          </reference>
          <reference field="7" count="1">
            <x v="1140"/>
          </reference>
        </references>
      </pivotArea>
    </format>
    <format dxfId="1437">
      <pivotArea dataOnly="0" labelOnly="1" outline="0" fieldPosition="0">
        <references count="5">
          <reference field="0" count="1" selected="0">
            <x v="2"/>
          </reference>
          <reference field="3" count="1" selected="0">
            <x v="10"/>
          </reference>
          <reference field="4" count="1" selected="0">
            <x v="216"/>
          </reference>
          <reference field="5" count="1" selected="0">
            <x v="1636"/>
          </reference>
          <reference field="7" count="1">
            <x v="42"/>
          </reference>
        </references>
      </pivotArea>
    </format>
    <format dxfId="1436">
      <pivotArea dataOnly="0" labelOnly="1" outline="0" fieldPosition="0">
        <references count="5">
          <reference field="0" count="1" selected="0">
            <x v="2"/>
          </reference>
          <reference field="3" count="1" selected="0">
            <x v="10"/>
          </reference>
          <reference field="4" count="1" selected="0">
            <x v="216"/>
          </reference>
          <reference field="5" count="1" selected="0">
            <x v="1640"/>
          </reference>
          <reference field="7" count="1">
            <x v="961"/>
          </reference>
        </references>
      </pivotArea>
    </format>
    <format dxfId="1435">
      <pivotArea dataOnly="0" labelOnly="1" outline="0" fieldPosition="0">
        <references count="5">
          <reference field="0" count="1" selected="0">
            <x v="2"/>
          </reference>
          <reference field="3" count="1" selected="0">
            <x v="11"/>
          </reference>
          <reference field="4" count="1" selected="0">
            <x v="11"/>
          </reference>
          <reference field="5" count="1" selected="0">
            <x v="12"/>
          </reference>
          <reference field="7" count="1">
            <x v="1472"/>
          </reference>
        </references>
      </pivotArea>
    </format>
    <format dxfId="1434">
      <pivotArea dataOnly="0" labelOnly="1" outline="0" fieldPosition="0">
        <references count="5">
          <reference field="0" count="1" selected="0">
            <x v="2"/>
          </reference>
          <reference field="3" count="1" selected="0">
            <x v="11"/>
          </reference>
          <reference field="4" count="1" selected="0">
            <x v="11"/>
          </reference>
          <reference field="5" count="1" selected="0">
            <x v="35"/>
          </reference>
          <reference field="7" count="1">
            <x v="13"/>
          </reference>
        </references>
      </pivotArea>
    </format>
    <format dxfId="1433">
      <pivotArea dataOnly="0" labelOnly="1" outline="0" fieldPosition="0">
        <references count="5">
          <reference field="0" count="1" selected="0">
            <x v="2"/>
          </reference>
          <reference field="3" count="1" selected="0">
            <x v="11"/>
          </reference>
          <reference field="4" count="1" selected="0">
            <x v="11"/>
          </reference>
          <reference field="5" count="1" selected="0">
            <x v="42"/>
          </reference>
          <reference field="7" count="1">
            <x v="1112"/>
          </reference>
        </references>
      </pivotArea>
    </format>
    <format dxfId="1432">
      <pivotArea dataOnly="0" labelOnly="1" outline="0" fieldPosition="0">
        <references count="5">
          <reference field="0" count="1" selected="0">
            <x v="2"/>
          </reference>
          <reference field="3" count="1" selected="0">
            <x v="11"/>
          </reference>
          <reference field="4" count="1" selected="0">
            <x v="11"/>
          </reference>
          <reference field="5" count="1" selected="0">
            <x v="89"/>
          </reference>
          <reference field="7" count="2">
            <x v="1488"/>
            <x v="1489"/>
          </reference>
        </references>
      </pivotArea>
    </format>
    <format dxfId="1431">
      <pivotArea dataOnly="0" labelOnly="1" outline="0" fieldPosition="0">
        <references count="5">
          <reference field="0" count="1" selected="0">
            <x v="2"/>
          </reference>
          <reference field="3" count="1" selected="0">
            <x v="11"/>
          </reference>
          <reference field="4" count="1" selected="0">
            <x v="11"/>
          </reference>
          <reference field="5" count="1" selected="0">
            <x v="136"/>
          </reference>
          <reference field="7" count="1">
            <x v="593"/>
          </reference>
        </references>
      </pivotArea>
    </format>
    <format dxfId="1430">
      <pivotArea dataOnly="0" labelOnly="1" outline="0" fieldPosition="0">
        <references count="5">
          <reference field="0" count="1" selected="0">
            <x v="2"/>
          </reference>
          <reference field="3" count="1" selected="0">
            <x v="11"/>
          </reference>
          <reference field="4" count="1" selected="0">
            <x v="11"/>
          </reference>
          <reference field="5" count="1" selected="0">
            <x v="166"/>
          </reference>
          <reference field="7" count="1">
            <x v="1086"/>
          </reference>
        </references>
      </pivotArea>
    </format>
    <format dxfId="1429">
      <pivotArea dataOnly="0" labelOnly="1" outline="0" fieldPosition="0">
        <references count="5">
          <reference field="0" count="1" selected="0">
            <x v="2"/>
          </reference>
          <reference field="3" count="1" selected="0">
            <x v="11"/>
          </reference>
          <reference field="4" count="1" selected="0">
            <x v="11"/>
          </reference>
          <reference field="5" count="1" selected="0">
            <x v="169"/>
          </reference>
          <reference field="7" count="1">
            <x v="1090"/>
          </reference>
        </references>
      </pivotArea>
    </format>
    <format dxfId="1428">
      <pivotArea dataOnly="0" labelOnly="1" outline="0" fieldPosition="0">
        <references count="5">
          <reference field="0" count="1" selected="0">
            <x v="2"/>
          </reference>
          <reference field="3" count="1" selected="0">
            <x v="11"/>
          </reference>
          <reference field="4" count="1" selected="0">
            <x v="11"/>
          </reference>
          <reference field="5" count="1" selected="0">
            <x v="175"/>
          </reference>
          <reference field="7" count="1">
            <x v="1329"/>
          </reference>
        </references>
      </pivotArea>
    </format>
    <format dxfId="1427">
      <pivotArea dataOnly="0" labelOnly="1" outline="0" fieldPosition="0">
        <references count="5">
          <reference field="0" count="1" selected="0">
            <x v="2"/>
          </reference>
          <reference field="3" count="1" selected="0">
            <x v="11"/>
          </reference>
          <reference field="4" count="1" selected="0">
            <x v="11"/>
          </reference>
          <reference field="5" count="1" selected="0">
            <x v="177"/>
          </reference>
          <reference field="7" count="1">
            <x v="1332"/>
          </reference>
        </references>
      </pivotArea>
    </format>
    <format dxfId="1426">
      <pivotArea dataOnly="0" labelOnly="1" outline="0" fieldPosition="0">
        <references count="5">
          <reference field="0" count="1" selected="0">
            <x v="2"/>
          </reference>
          <reference field="3" count="1" selected="0">
            <x v="11"/>
          </reference>
          <reference field="4" count="1" selected="0">
            <x v="11"/>
          </reference>
          <reference field="5" count="1" selected="0">
            <x v="281"/>
          </reference>
          <reference field="7" count="1">
            <x v="754"/>
          </reference>
        </references>
      </pivotArea>
    </format>
    <format dxfId="1425">
      <pivotArea dataOnly="0" labelOnly="1" outline="0" fieldPosition="0">
        <references count="5">
          <reference field="0" count="1" selected="0">
            <x v="2"/>
          </reference>
          <reference field="3" count="1" selected="0">
            <x v="11"/>
          </reference>
          <reference field="4" count="1" selected="0">
            <x v="11"/>
          </reference>
          <reference field="5" count="1" selected="0">
            <x v="282"/>
          </reference>
          <reference field="7" count="1">
            <x v="755"/>
          </reference>
        </references>
      </pivotArea>
    </format>
    <format dxfId="1424">
      <pivotArea dataOnly="0" labelOnly="1" outline="0" fieldPosition="0">
        <references count="5">
          <reference field="0" count="1" selected="0">
            <x v="2"/>
          </reference>
          <reference field="3" count="1" selected="0">
            <x v="11"/>
          </reference>
          <reference field="4" count="1" selected="0">
            <x v="11"/>
          </reference>
          <reference field="5" count="1" selected="0">
            <x v="283"/>
          </reference>
          <reference field="7" count="1">
            <x v="756"/>
          </reference>
        </references>
      </pivotArea>
    </format>
    <format dxfId="1423">
      <pivotArea dataOnly="0" labelOnly="1" outline="0" fieldPosition="0">
        <references count="5">
          <reference field="0" count="1" selected="0">
            <x v="2"/>
          </reference>
          <reference field="3" count="1" selected="0">
            <x v="11"/>
          </reference>
          <reference field="4" count="1" selected="0">
            <x v="11"/>
          </reference>
          <reference field="5" count="1" selected="0">
            <x v="397"/>
          </reference>
          <reference field="7" count="1">
            <x v="1042"/>
          </reference>
        </references>
      </pivotArea>
    </format>
    <format dxfId="1422">
      <pivotArea dataOnly="0" labelOnly="1" outline="0" fieldPosition="0">
        <references count="5">
          <reference field="0" count="1" selected="0">
            <x v="2"/>
          </reference>
          <reference field="3" count="1" selected="0">
            <x v="11"/>
          </reference>
          <reference field="4" count="1" selected="0">
            <x v="11"/>
          </reference>
          <reference field="5" count="1" selected="0">
            <x v="406"/>
          </reference>
          <reference field="7" count="1">
            <x v="895"/>
          </reference>
        </references>
      </pivotArea>
    </format>
    <format dxfId="1421">
      <pivotArea dataOnly="0" labelOnly="1" outline="0" fieldPosition="0">
        <references count="5">
          <reference field="0" count="1" selected="0">
            <x v="2"/>
          </reference>
          <reference field="3" count="1" selected="0">
            <x v="11"/>
          </reference>
          <reference field="4" count="1" selected="0">
            <x v="11"/>
          </reference>
          <reference field="5" count="1" selected="0">
            <x v="407"/>
          </reference>
          <reference field="7" count="1">
            <x v="0"/>
          </reference>
        </references>
      </pivotArea>
    </format>
    <format dxfId="1420">
      <pivotArea dataOnly="0" labelOnly="1" outline="0" fieldPosition="0">
        <references count="5">
          <reference field="0" count="1" selected="0">
            <x v="2"/>
          </reference>
          <reference field="3" count="1" selected="0">
            <x v="11"/>
          </reference>
          <reference field="4" count="1" selected="0">
            <x v="11"/>
          </reference>
          <reference field="5" count="1" selected="0">
            <x v="409"/>
          </reference>
          <reference field="7" count="1">
            <x v="672"/>
          </reference>
        </references>
      </pivotArea>
    </format>
    <format dxfId="1419">
      <pivotArea dataOnly="0" labelOnly="1" outline="0" fieldPosition="0">
        <references count="5">
          <reference field="0" count="1" selected="0">
            <x v="2"/>
          </reference>
          <reference field="3" count="1" selected="0">
            <x v="11"/>
          </reference>
          <reference field="4" count="1" selected="0">
            <x v="11"/>
          </reference>
          <reference field="5" count="1" selected="0">
            <x v="744"/>
          </reference>
          <reference field="7" count="1">
            <x v="125"/>
          </reference>
        </references>
      </pivotArea>
    </format>
    <format dxfId="1418">
      <pivotArea dataOnly="0" labelOnly="1" outline="0" fieldPosition="0">
        <references count="5">
          <reference field="0" count="1" selected="0">
            <x v="2"/>
          </reference>
          <reference field="3" count="1" selected="0">
            <x v="11"/>
          </reference>
          <reference field="4" count="1" selected="0">
            <x v="11"/>
          </reference>
          <reference field="5" count="1" selected="0">
            <x v="745"/>
          </reference>
          <reference field="7" count="1">
            <x v="70"/>
          </reference>
        </references>
      </pivotArea>
    </format>
    <format dxfId="1417">
      <pivotArea dataOnly="0" labelOnly="1" outline="0" fieldPosition="0">
        <references count="5">
          <reference field="0" count="1" selected="0">
            <x v="2"/>
          </reference>
          <reference field="3" count="1" selected="0">
            <x v="11"/>
          </reference>
          <reference field="4" count="1" selected="0">
            <x v="11"/>
          </reference>
          <reference field="5" count="1" selected="0">
            <x v="746"/>
          </reference>
          <reference field="7" count="1">
            <x v="660"/>
          </reference>
        </references>
      </pivotArea>
    </format>
    <format dxfId="1416">
      <pivotArea dataOnly="0" labelOnly="1" outline="0" fieldPosition="0">
        <references count="5">
          <reference field="0" count="1" selected="0">
            <x v="2"/>
          </reference>
          <reference field="3" count="1" selected="0">
            <x v="11"/>
          </reference>
          <reference field="4" count="1" selected="0">
            <x v="11"/>
          </reference>
          <reference field="5" count="1" selected="0">
            <x v="747"/>
          </reference>
          <reference field="7" count="1">
            <x v="662"/>
          </reference>
        </references>
      </pivotArea>
    </format>
    <format dxfId="1415">
      <pivotArea dataOnly="0" labelOnly="1" outline="0" fieldPosition="0">
        <references count="5">
          <reference field="0" count="1" selected="0">
            <x v="2"/>
          </reference>
          <reference field="3" count="1" selected="0">
            <x v="11"/>
          </reference>
          <reference field="4" count="1" selected="0">
            <x v="11"/>
          </reference>
          <reference field="5" count="1" selected="0">
            <x v="748"/>
          </reference>
          <reference field="7" count="1">
            <x v="661"/>
          </reference>
        </references>
      </pivotArea>
    </format>
    <format dxfId="1414">
      <pivotArea dataOnly="0" labelOnly="1" outline="0" fieldPosition="0">
        <references count="5">
          <reference field="0" count="1" selected="0">
            <x v="2"/>
          </reference>
          <reference field="3" count="1" selected="0">
            <x v="11"/>
          </reference>
          <reference field="4" count="1" selected="0">
            <x v="11"/>
          </reference>
          <reference field="5" count="1" selected="0">
            <x v="749"/>
          </reference>
          <reference field="7" count="1">
            <x v="71"/>
          </reference>
        </references>
      </pivotArea>
    </format>
    <format dxfId="1413">
      <pivotArea dataOnly="0" labelOnly="1" outline="0" fieldPosition="0">
        <references count="5">
          <reference field="0" count="1" selected="0">
            <x v="2"/>
          </reference>
          <reference field="3" count="1" selected="0">
            <x v="11"/>
          </reference>
          <reference field="4" count="1" selected="0">
            <x v="11"/>
          </reference>
          <reference field="5" count="1" selected="0">
            <x v="750"/>
          </reference>
          <reference field="7" count="1">
            <x v="74"/>
          </reference>
        </references>
      </pivotArea>
    </format>
    <format dxfId="1412">
      <pivotArea dataOnly="0" labelOnly="1" outline="0" fieldPosition="0">
        <references count="5">
          <reference field="0" count="1" selected="0">
            <x v="2"/>
          </reference>
          <reference field="3" count="1" selected="0">
            <x v="11"/>
          </reference>
          <reference field="4" count="1" selected="0">
            <x v="11"/>
          </reference>
          <reference field="5" count="1" selected="0">
            <x v="751"/>
          </reference>
          <reference field="7" count="1">
            <x v="75"/>
          </reference>
        </references>
      </pivotArea>
    </format>
    <format dxfId="1411">
      <pivotArea dataOnly="0" labelOnly="1" outline="0" fieldPosition="0">
        <references count="5">
          <reference field="0" count="1" selected="0">
            <x v="2"/>
          </reference>
          <reference field="3" count="1" selected="0">
            <x v="11"/>
          </reference>
          <reference field="4" count="1" selected="0">
            <x v="11"/>
          </reference>
          <reference field="5" count="1" selected="0">
            <x v="752"/>
          </reference>
          <reference field="7" count="1">
            <x v="76"/>
          </reference>
        </references>
      </pivotArea>
    </format>
    <format dxfId="1410">
      <pivotArea dataOnly="0" labelOnly="1" outline="0" fieldPosition="0">
        <references count="5">
          <reference field="0" count="1" selected="0">
            <x v="2"/>
          </reference>
          <reference field="3" count="1" selected="0">
            <x v="11"/>
          </reference>
          <reference field="4" count="1" selected="0">
            <x v="11"/>
          </reference>
          <reference field="5" count="1" selected="0">
            <x v="753"/>
          </reference>
          <reference field="7" count="1">
            <x v="72"/>
          </reference>
        </references>
      </pivotArea>
    </format>
    <format dxfId="1409">
      <pivotArea dataOnly="0" labelOnly="1" outline="0" fieldPosition="0">
        <references count="5">
          <reference field="0" count="1" selected="0">
            <x v="2"/>
          </reference>
          <reference field="3" count="1" selected="0">
            <x v="11"/>
          </reference>
          <reference field="4" count="1" selected="0">
            <x v="11"/>
          </reference>
          <reference field="5" count="1" selected="0">
            <x v="754"/>
          </reference>
          <reference field="7" count="1">
            <x v="73"/>
          </reference>
        </references>
      </pivotArea>
    </format>
    <format dxfId="1408">
      <pivotArea dataOnly="0" labelOnly="1" outline="0" fieldPosition="0">
        <references count="5">
          <reference field="0" count="1" selected="0">
            <x v="2"/>
          </reference>
          <reference field="3" count="1" selected="0">
            <x v="11"/>
          </reference>
          <reference field="4" count="1" selected="0">
            <x v="11"/>
          </reference>
          <reference field="5" count="1" selected="0">
            <x v="755"/>
          </reference>
          <reference field="7" count="1">
            <x v="85"/>
          </reference>
        </references>
      </pivotArea>
    </format>
    <format dxfId="1407">
      <pivotArea dataOnly="0" labelOnly="1" outline="0" fieldPosition="0">
        <references count="5">
          <reference field="0" count="1" selected="0">
            <x v="2"/>
          </reference>
          <reference field="3" count="1" selected="0">
            <x v="11"/>
          </reference>
          <reference field="4" count="1" selected="0">
            <x v="11"/>
          </reference>
          <reference field="5" count="1" selected="0">
            <x v="756"/>
          </reference>
          <reference field="7" count="1">
            <x v="86"/>
          </reference>
        </references>
      </pivotArea>
    </format>
    <format dxfId="1406">
      <pivotArea dataOnly="0" labelOnly="1" outline="0" fieldPosition="0">
        <references count="5">
          <reference field="0" count="1" selected="0">
            <x v="2"/>
          </reference>
          <reference field="3" count="1" selected="0">
            <x v="11"/>
          </reference>
          <reference field="4" count="1" selected="0">
            <x v="11"/>
          </reference>
          <reference field="5" count="1" selected="0">
            <x v="757"/>
          </reference>
          <reference field="7" count="1">
            <x v="80"/>
          </reference>
        </references>
      </pivotArea>
    </format>
    <format dxfId="1405">
      <pivotArea dataOnly="0" labelOnly="1" outline="0" fieldPosition="0">
        <references count="5">
          <reference field="0" count="1" selected="0">
            <x v="2"/>
          </reference>
          <reference field="3" count="1" selected="0">
            <x v="11"/>
          </reference>
          <reference field="4" count="1" selected="0">
            <x v="11"/>
          </reference>
          <reference field="5" count="1" selected="0">
            <x v="758"/>
          </reference>
          <reference field="7" count="1">
            <x v="82"/>
          </reference>
        </references>
      </pivotArea>
    </format>
    <format dxfId="1404">
      <pivotArea dataOnly="0" labelOnly="1" outline="0" fieldPosition="0">
        <references count="5">
          <reference field="0" count="1" selected="0">
            <x v="2"/>
          </reference>
          <reference field="3" count="1" selected="0">
            <x v="11"/>
          </reference>
          <reference field="4" count="1" selected="0">
            <x v="11"/>
          </reference>
          <reference field="5" count="1" selected="0">
            <x v="759"/>
          </reference>
          <reference field="7" count="1">
            <x v="83"/>
          </reference>
        </references>
      </pivotArea>
    </format>
    <format dxfId="1403">
      <pivotArea dataOnly="0" labelOnly="1" outline="0" fieldPosition="0">
        <references count="5">
          <reference field="0" count="1" selected="0">
            <x v="2"/>
          </reference>
          <reference field="3" count="1" selected="0">
            <x v="11"/>
          </reference>
          <reference field="4" count="1" selected="0">
            <x v="11"/>
          </reference>
          <reference field="5" count="1" selected="0">
            <x v="760"/>
          </reference>
          <reference field="7" count="1">
            <x v="81"/>
          </reference>
        </references>
      </pivotArea>
    </format>
    <format dxfId="1402">
      <pivotArea dataOnly="0" labelOnly="1" outline="0" fieldPosition="0">
        <references count="5">
          <reference field="0" count="1" selected="0">
            <x v="2"/>
          </reference>
          <reference field="3" count="1" selected="0">
            <x v="11"/>
          </reference>
          <reference field="4" count="1" selected="0">
            <x v="11"/>
          </reference>
          <reference field="5" count="1" selected="0">
            <x v="761"/>
          </reference>
          <reference field="7" count="1">
            <x v="84"/>
          </reference>
        </references>
      </pivotArea>
    </format>
    <format dxfId="1401">
      <pivotArea dataOnly="0" labelOnly="1" outline="0" fieldPosition="0">
        <references count="5">
          <reference field="0" count="1" selected="0">
            <x v="2"/>
          </reference>
          <reference field="3" count="1" selected="0">
            <x v="11"/>
          </reference>
          <reference field="4" count="1" selected="0">
            <x v="11"/>
          </reference>
          <reference field="5" count="1" selected="0">
            <x v="762"/>
          </reference>
          <reference field="7" count="1">
            <x v="78"/>
          </reference>
        </references>
      </pivotArea>
    </format>
    <format dxfId="1400">
      <pivotArea dataOnly="0" labelOnly="1" outline="0" fieldPosition="0">
        <references count="5">
          <reference field="0" count="1" selected="0">
            <x v="2"/>
          </reference>
          <reference field="3" count="1" selected="0">
            <x v="11"/>
          </reference>
          <reference field="4" count="1" selected="0">
            <x v="11"/>
          </reference>
          <reference field="5" count="1" selected="0">
            <x v="763"/>
          </reference>
          <reference field="7" count="1">
            <x v="79"/>
          </reference>
        </references>
      </pivotArea>
    </format>
    <format dxfId="1399">
      <pivotArea dataOnly="0" labelOnly="1" outline="0" fieldPosition="0">
        <references count="5">
          <reference field="0" count="1" selected="0">
            <x v="2"/>
          </reference>
          <reference field="3" count="1" selected="0">
            <x v="11"/>
          </reference>
          <reference field="4" count="1" selected="0">
            <x v="11"/>
          </reference>
          <reference field="5" count="1" selected="0">
            <x v="764"/>
          </reference>
          <reference field="7" count="1">
            <x v="87"/>
          </reference>
        </references>
      </pivotArea>
    </format>
    <format dxfId="1398">
      <pivotArea dataOnly="0" labelOnly="1" outline="0" fieldPosition="0">
        <references count="5">
          <reference field="0" count="1" selected="0">
            <x v="2"/>
          </reference>
          <reference field="3" count="1" selected="0">
            <x v="11"/>
          </reference>
          <reference field="4" count="1" selected="0">
            <x v="11"/>
          </reference>
          <reference field="5" count="1" selected="0">
            <x v="765"/>
          </reference>
          <reference field="7" count="1">
            <x v="77"/>
          </reference>
        </references>
      </pivotArea>
    </format>
    <format dxfId="1397">
      <pivotArea dataOnly="0" labelOnly="1" outline="0" fieldPosition="0">
        <references count="5">
          <reference field="0" count="1" selected="0">
            <x v="2"/>
          </reference>
          <reference field="3" count="1" selected="0">
            <x v="11"/>
          </reference>
          <reference field="4" count="1" selected="0">
            <x v="12"/>
          </reference>
          <reference field="5" count="1" selected="0">
            <x v="387"/>
          </reference>
          <reference field="7" count="1">
            <x v="114"/>
          </reference>
        </references>
      </pivotArea>
    </format>
    <format dxfId="1396">
      <pivotArea dataOnly="0" labelOnly="1" outline="0" fieldPosition="0">
        <references count="5">
          <reference field="0" count="1" selected="0">
            <x v="2"/>
          </reference>
          <reference field="3" count="1" selected="0">
            <x v="11"/>
          </reference>
          <reference field="4" count="1" selected="0">
            <x v="12"/>
          </reference>
          <reference field="5" count="1" selected="0">
            <x v="1602"/>
          </reference>
          <reference field="7" count="1">
            <x v="141"/>
          </reference>
        </references>
      </pivotArea>
    </format>
    <format dxfId="1395">
      <pivotArea dataOnly="0" labelOnly="1" outline="0" fieldPosition="0">
        <references count="5">
          <reference field="0" count="1" selected="0">
            <x v="2"/>
          </reference>
          <reference field="3" count="1" selected="0">
            <x v="11"/>
          </reference>
          <reference field="4" count="1" selected="0">
            <x v="12"/>
          </reference>
          <reference field="5" count="1" selected="0">
            <x v="1603"/>
          </reference>
          <reference field="7" count="1">
            <x v="449"/>
          </reference>
        </references>
      </pivotArea>
    </format>
    <format dxfId="1394">
      <pivotArea dataOnly="0" labelOnly="1" outline="0" fieldPosition="0">
        <references count="5">
          <reference field="0" count="1" selected="0">
            <x v="2"/>
          </reference>
          <reference field="3" count="1" selected="0">
            <x v="11"/>
          </reference>
          <reference field="4" count="1" selected="0">
            <x v="13"/>
          </reference>
          <reference field="5" count="1" selected="0">
            <x v="248"/>
          </reference>
          <reference field="7" count="1">
            <x v="1316"/>
          </reference>
        </references>
      </pivotArea>
    </format>
    <format dxfId="1393">
      <pivotArea dataOnly="0" labelOnly="1" outline="0" fieldPosition="0">
        <references count="5">
          <reference field="0" count="1" selected="0">
            <x v="2"/>
          </reference>
          <reference field="3" count="1" selected="0">
            <x v="11"/>
          </reference>
          <reference field="4" count="1" selected="0">
            <x v="13"/>
          </reference>
          <reference field="5" count="1" selected="0">
            <x v="1547"/>
          </reference>
          <reference field="7" count="1">
            <x v="194"/>
          </reference>
        </references>
      </pivotArea>
    </format>
    <format dxfId="1392">
      <pivotArea dataOnly="0" labelOnly="1" outline="0" fieldPosition="0">
        <references count="5">
          <reference field="0" count="1" selected="0">
            <x v="2"/>
          </reference>
          <reference field="3" count="1" selected="0">
            <x v="11"/>
          </reference>
          <reference field="4" count="1" selected="0">
            <x v="216"/>
          </reference>
          <reference field="5" count="1" selected="0">
            <x v="105"/>
          </reference>
          <reference field="7" count="1">
            <x v="1596"/>
          </reference>
        </references>
      </pivotArea>
    </format>
    <format dxfId="1391">
      <pivotArea dataOnly="0" labelOnly="1" outline="0" fieldPosition="0">
        <references count="5">
          <reference field="0" count="1" selected="0">
            <x v="2"/>
          </reference>
          <reference field="3" count="1" selected="0">
            <x v="11"/>
          </reference>
          <reference field="4" count="1" selected="0">
            <x v="216"/>
          </reference>
          <reference field="5" count="1" selected="0">
            <x v="140"/>
          </reference>
          <reference field="7" count="1">
            <x v="595"/>
          </reference>
        </references>
      </pivotArea>
    </format>
    <format dxfId="1390">
      <pivotArea dataOnly="0" labelOnly="1" outline="0" fieldPosition="0">
        <references count="5">
          <reference field="0" count="1" selected="0">
            <x v="2"/>
          </reference>
          <reference field="3" count="1" selected="0">
            <x v="11"/>
          </reference>
          <reference field="4" count="1" selected="0">
            <x v="216"/>
          </reference>
          <reference field="5" count="1" selected="0">
            <x v="151"/>
          </reference>
          <reference field="7" count="1">
            <x v="980"/>
          </reference>
        </references>
      </pivotArea>
    </format>
    <format dxfId="1389">
      <pivotArea dataOnly="0" labelOnly="1" outline="0" fieldPosition="0">
        <references count="5">
          <reference field="0" count="1" selected="0">
            <x v="2"/>
          </reference>
          <reference field="3" count="1" selected="0">
            <x v="11"/>
          </reference>
          <reference field="4" count="1" selected="0">
            <x v="216"/>
          </reference>
          <reference field="5" count="1" selected="0">
            <x v="187"/>
          </reference>
          <reference field="7" count="1">
            <x v="682"/>
          </reference>
        </references>
      </pivotArea>
    </format>
    <format dxfId="1388">
      <pivotArea dataOnly="0" labelOnly="1" outline="0" fieldPosition="0">
        <references count="5">
          <reference field="0" count="1" selected="0">
            <x v="2"/>
          </reference>
          <reference field="3" count="1" selected="0">
            <x v="11"/>
          </reference>
          <reference field="4" count="1" selected="0">
            <x v="216"/>
          </reference>
          <reference field="5" count="1" selected="0">
            <x v="215"/>
          </reference>
          <reference field="7" count="1">
            <x v="975"/>
          </reference>
        </references>
      </pivotArea>
    </format>
    <format dxfId="1387">
      <pivotArea dataOnly="0" labelOnly="1" outline="0" fieldPosition="0">
        <references count="5">
          <reference field="0" count="1" selected="0">
            <x v="2"/>
          </reference>
          <reference field="3" count="1" selected="0">
            <x v="11"/>
          </reference>
          <reference field="4" count="1" selected="0">
            <x v="216"/>
          </reference>
          <reference field="5" count="1" selected="0">
            <x v="615"/>
          </reference>
          <reference field="7" count="1">
            <x v="317"/>
          </reference>
        </references>
      </pivotArea>
    </format>
    <format dxfId="1386">
      <pivotArea dataOnly="0" labelOnly="1" outline="0" fieldPosition="0">
        <references count="5">
          <reference field="0" count="1" selected="0">
            <x v="2"/>
          </reference>
          <reference field="3" count="1" selected="0">
            <x v="11"/>
          </reference>
          <reference field="4" count="1" selected="0">
            <x v="216"/>
          </reference>
          <reference field="5" count="1" selected="0">
            <x v="622"/>
          </reference>
          <reference field="7" count="1">
            <x v="1553"/>
          </reference>
        </references>
      </pivotArea>
    </format>
    <format dxfId="1385">
      <pivotArea dataOnly="0" labelOnly="1" outline="0" fieldPosition="0">
        <references count="5">
          <reference field="0" count="1" selected="0">
            <x v="2"/>
          </reference>
          <reference field="3" count="1" selected="0">
            <x v="11"/>
          </reference>
          <reference field="4" count="1" selected="0">
            <x v="216"/>
          </reference>
          <reference field="5" count="1" selected="0">
            <x v="623"/>
          </reference>
          <reference field="7" count="1">
            <x v="1552"/>
          </reference>
        </references>
      </pivotArea>
    </format>
    <format dxfId="1384">
      <pivotArea dataOnly="0" labelOnly="1" outline="0" fieldPosition="0">
        <references count="5">
          <reference field="0" count="1" selected="0">
            <x v="2"/>
          </reference>
          <reference field="3" count="1" selected="0">
            <x v="12"/>
          </reference>
          <reference field="4" count="1" selected="0">
            <x v="21"/>
          </reference>
          <reference field="5" count="1" selected="0">
            <x v="795"/>
          </reference>
          <reference field="7" count="1">
            <x v="135"/>
          </reference>
        </references>
      </pivotArea>
    </format>
    <format dxfId="1383">
      <pivotArea dataOnly="0" labelOnly="1" outline="0" fieldPosition="0">
        <references count="5">
          <reference field="0" count="1" selected="0">
            <x v="2"/>
          </reference>
          <reference field="3" count="1" selected="0">
            <x v="12"/>
          </reference>
          <reference field="4" count="1" selected="0">
            <x v="21"/>
          </reference>
          <reference field="5" count="1" selected="0">
            <x v="796"/>
          </reference>
          <reference field="7" count="1">
            <x v="385"/>
          </reference>
        </references>
      </pivotArea>
    </format>
    <format dxfId="1382">
      <pivotArea dataOnly="0" labelOnly="1" outline="0" fieldPosition="0">
        <references count="5">
          <reference field="0" count="1" selected="0">
            <x v="2"/>
          </reference>
          <reference field="3" count="1" selected="0">
            <x v="12"/>
          </reference>
          <reference field="4" count="1" selected="0">
            <x v="21"/>
          </reference>
          <reference field="5" count="1" selected="0">
            <x v="800"/>
          </reference>
          <reference field="7" count="1">
            <x v="58"/>
          </reference>
        </references>
      </pivotArea>
    </format>
    <format dxfId="1381">
      <pivotArea dataOnly="0" labelOnly="1" outline="0" fieldPosition="0">
        <references count="5">
          <reference field="0" count="1" selected="0">
            <x v="2"/>
          </reference>
          <reference field="3" count="1" selected="0">
            <x v="12"/>
          </reference>
          <reference field="4" count="1" selected="0">
            <x v="21"/>
          </reference>
          <reference field="5" count="1" selected="0">
            <x v="1584"/>
          </reference>
          <reference field="7" count="1">
            <x v="20"/>
          </reference>
        </references>
      </pivotArea>
    </format>
    <format dxfId="1380">
      <pivotArea dataOnly="0" labelOnly="1" outline="0" fieldPosition="0">
        <references count="5">
          <reference field="0" count="1" selected="0">
            <x v="2"/>
          </reference>
          <reference field="3" count="1" selected="0">
            <x v="12"/>
          </reference>
          <reference field="4" count="1" selected="0">
            <x v="21"/>
          </reference>
          <reference field="5" count="1" selected="0">
            <x v="1585"/>
          </reference>
          <reference field="7" count="1">
            <x v="21"/>
          </reference>
        </references>
      </pivotArea>
    </format>
    <format dxfId="1379">
      <pivotArea dataOnly="0" labelOnly="1" outline="0" fieldPosition="0">
        <references count="5">
          <reference field="0" count="1" selected="0">
            <x v="2"/>
          </reference>
          <reference field="3" count="1" selected="0">
            <x v="12"/>
          </reference>
          <reference field="4" count="1" selected="0">
            <x v="21"/>
          </reference>
          <reference field="5" count="1" selected="0">
            <x v="1586"/>
          </reference>
          <reference field="7" count="1">
            <x v="22"/>
          </reference>
        </references>
      </pivotArea>
    </format>
    <format dxfId="1378">
      <pivotArea dataOnly="0" labelOnly="1" outline="0" fieldPosition="0">
        <references count="5">
          <reference field="0" count="1" selected="0">
            <x v="2"/>
          </reference>
          <reference field="3" count="1" selected="0">
            <x v="12"/>
          </reference>
          <reference field="4" count="1" selected="0">
            <x v="22"/>
          </reference>
          <reference field="5" count="1" selected="0">
            <x v="1"/>
          </reference>
          <reference field="7" count="1">
            <x v="837"/>
          </reference>
        </references>
      </pivotArea>
    </format>
    <format dxfId="1377">
      <pivotArea dataOnly="0" labelOnly="1" outline="0" fieldPosition="0">
        <references count="5">
          <reference field="0" count="1" selected="0">
            <x v="2"/>
          </reference>
          <reference field="3" count="1" selected="0">
            <x v="12"/>
          </reference>
          <reference field="4" count="1" selected="0">
            <x v="22"/>
          </reference>
          <reference field="5" count="1" selected="0">
            <x v="114"/>
          </reference>
          <reference field="7" count="1">
            <x v="1072"/>
          </reference>
        </references>
      </pivotArea>
    </format>
    <format dxfId="1376">
      <pivotArea dataOnly="0" labelOnly="1" outline="0" fieldPosition="0">
        <references count="5">
          <reference field="0" count="1" selected="0">
            <x v="2"/>
          </reference>
          <reference field="3" count="1" selected="0">
            <x v="12"/>
          </reference>
          <reference field="4" count="1" selected="0">
            <x v="22"/>
          </reference>
          <reference field="5" count="1" selected="0">
            <x v="131"/>
          </reference>
          <reference field="7" count="1">
            <x v="583"/>
          </reference>
        </references>
      </pivotArea>
    </format>
    <format dxfId="1375">
      <pivotArea dataOnly="0" labelOnly="1" outline="0" fieldPosition="0">
        <references count="5">
          <reference field="0" count="1" selected="0">
            <x v="2"/>
          </reference>
          <reference field="3" count="1" selected="0">
            <x v="12"/>
          </reference>
          <reference field="4" count="1" selected="0">
            <x v="22"/>
          </reference>
          <reference field="5" count="1" selected="0">
            <x v="200"/>
          </reference>
          <reference field="7" count="1">
            <x v="1417"/>
          </reference>
        </references>
      </pivotArea>
    </format>
    <format dxfId="1374">
      <pivotArea dataOnly="0" labelOnly="1" outline="0" fieldPosition="0">
        <references count="5">
          <reference field="0" count="1" selected="0">
            <x v="2"/>
          </reference>
          <reference field="3" count="1" selected="0">
            <x v="12"/>
          </reference>
          <reference field="4" count="1" selected="0">
            <x v="22"/>
          </reference>
          <reference field="5" count="1" selected="0">
            <x v="343"/>
          </reference>
          <reference field="7" count="1">
            <x v="1100"/>
          </reference>
        </references>
      </pivotArea>
    </format>
    <format dxfId="1373">
      <pivotArea dataOnly="0" labelOnly="1" outline="0" fieldPosition="0">
        <references count="5">
          <reference field="0" count="1" selected="0">
            <x v="2"/>
          </reference>
          <reference field="3" count="1" selected="0">
            <x v="12"/>
          </reference>
          <reference field="4" count="1" selected="0">
            <x v="22"/>
          </reference>
          <reference field="5" count="1" selected="0">
            <x v="1582"/>
          </reference>
          <reference field="7" count="1">
            <x v="23"/>
          </reference>
        </references>
      </pivotArea>
    </format>
    <format dxfId="1372">
      <pivotArea dataOnly="0" labelOnly="1" outline="0" fieldPosition="0">
        <references count="5">
          <reference field="0" count="1" selected="0">
            <x v="2"/>
          </reference>
          <reference field="3" count="1" selected="0">
            <x v="12"/>
          </reference>
          <reference field="4" count="1" selected="0">
            <x v="22"/>
          </reference>
          <reference field="5" count="1" selected="0">
            <x v="1587"/>
          </reference>
          <reference field="7" count="1">
            <x v="19"/>
          </reference>
        </references>
      </pivotArea>
    </format>
    <format dxfId="1371">
      <pivotArea dataOnly="0" labelOnly="1" outline="0" fieldPosition="0">
        <references count="5">
          <reference field="0" count="1" selected="0">
            <x v="2"/>
          </reference>
          <reference field="3" count="1" selected="0">
            <x v="12"/>
          </reference>
          <reference field="4" count="1" selected="0">
            <x v="22"/>
          </reference>
          <reference field="5" count="1" selected="0">
            <x v="1588"/>
          </reference>
          <reference field="7" count="1">
            <x v="116"/>
          </reference>
        </references>
      </pivotArea>
    </format>
    <format dxfId="1370">
      <pivotArea dataOnly="0" labelOnly="1" outline="0" fieldPosition="0">
        <references count="5">
          <reference field="0" count="1" selected="0">
            <x v="2"/>
          </reference>
          <reference field="3" count="1" selected="0">
            <x v="12"/>
          </reference>
          <reference field="4" count="1" selected="0">
            <x v="22"/>
          </reference>
          <reference field="5" count="1" selected="0">
            <x v="1638"/>
          </reference>
          <reference field="7" count="1">
            <x v="948"/>
          </reference>
        </references>
      </pivotArea>
    </format>
    <format dxfId="1369">
      <pivotArea dataOnly="0" labelOnly="1" outline="0" fieldPosition="0">
        <references count="5">
          <reference field="0" count="1" selected="0">
            <x v="2"/>
          </reference>
          <reference field="3" count="1" selected="0">
            <x v="12"/>
          </reference>
          <reference field="4" count="1" selected="0">
            <x v="71"/>
          </reference>
          <reference field="5" count="1" selected="0">
            <x v="624"/>
          </reference>
          <reference field="7" count="1">
            <x v="228"/>
          </reference>
        </references>
      </pivotArea>
    </format>
    <format dxfId="1368">
      <pivotArea dataOnly="0" labelOnly="1" outline="0" fieldPosition="0">
        <references count="5">
          <reference field="0" count="1" selected="0">
            <x v="2"/>
          </reference>
          <reference field="3" count="1" selected="0">
            <x v="12"/>
          </reference>
          <reference field="4" count="1" selected="0">
            <x v="75"/>
          </reference>
          <reference field="5" count="1" selected="0">
            <x v="85"/>
          </reference>
          <reference field="7" count="1">
            <x v="1469"/>
          </reference>
        </references>
      </pivotArea>
    </format>
    <format dxfId="1367">
      <pivotArea dataOnly="0" labelOnly="1" outline="0" fieldPosition="0">
        <references count="5">
          <reference field="0" count="1" selected="0">
            <x v="2"/>
          </reference>
          <reference field="3" count="1" selected="0">
            <x v="12"/>
          </reference>
          <reference field="4" count="1" selected="0">
            <x v="75"/>
          </reference>
          <reference field="5" count="1" selected="0">
            <x v="119"/>
          </reference>
          <reference field="7" count="1">
            <x v="1091"/>
          </reference>
        </references>
      </pivotArea>
    </format>
    <format dxfId="1366">
      <pivotArea dataOnly="0" labelOnly="1" outline="0" fieldPosition="0">
        <references count="5">
          <reference field="0" count="1" selected="0">
            <x v="2"/>
          </reference>
          <reference field="3" count="1" selected="0">
            <x v="12"/>
          </reference>
          <reference field="4" count="1" selected="0">
            <x v="75"/>
          </reference>
          <reference field="5" count="1" selected="0">
            <x v="136"/>
          </reference>
          <reference field="7" count="1">
            <x v="593"/>
          </reference>
        </references>
      </pivotArea>
    </format>
    <format dxfId="1365">
      <pivotArea dataOnly="0" labelOnly="1" outline="0" fieldPosition="0">
        <references count="5">
          <reference field="0" count="1" selected="0">
            <x v="2"/>
          </reference>
          <reference field="3" count="1" selected="0">
            <x v="12"/>
          </reference>
          <reference field="4" count="1" selected="0">
            <x v="75"/>
          </reference>
          <reference field="5" count="1" selected="0">
            <x v="148"/>
          </reference>
          <reference field="7" count="1">
            <x v="977"/>
          </reference>
        </references>
      </pivotArea>
    </format>
    <format dxfId="1364">
      <pivotArea dataOnly="0" labelOnly="1" outline="0" fieldPosition="0">
        <references count="5">
          <reference field="0" count="1" selected="0">
            <x v="2"/>
          </reference>
          <reference field="3" count="1" selected="0">
            <x v="12"/>
          </reference>
          <reference field="4" count="1" selected="0">
            <x v="75"/>
          </reference>
          <reference field="5" count="1" selected="0">
            <x v="167"/>
          </reference>
          <reference field="7" count="1">
            <x v="1088"/>
          </reference>
        </references>
      </pivotArea>
    </format>
    <format dxfId="1363">
      <pivotArea dataOnly="0" labelOnly="1" outline="0" fieldPosition="0">
        <references count="5">
          <reference field="0" count="1" selected="0">
            <x v="2"/>
          </reference>
          <reference field="3" count="1" selected="0">
            <x v="12"/>
          </reference>
          <reference field="4" count="1" selected="0">
            <x v="75"/>
          </reference>
          <reference field="5" count="1" selected="0">
            <x v="196"/>
          </reference>
          <reference field="7" count="1">
            <x v="1065"/>
          </reference>
        </references>
      </pivotArea>
    </format>
    <format dxfId="1362">
      <pivotArea dataOnly="0" labelOnly="1" outline="0" fieldPosition="0">
        <references count="5">
          <reference field="0" count="1" selected="0">
            <x v="2"/>
          </reference>
          <reference field="3" count="1" selected="0">
            <x v="12"/>
          </reference>
          <reference field="4" count="1" selected="0">
            <x v="75"/>
          </reference>
          <reference field="5" count="1" selected="0">
            <x v="200"/>
          </reference>
          <reference field="7" count="1">
            <x v="1417"/>
          </reference>
        </references>
      </pivotArea>
    </format>
    <format dxfId="1361">
      <pivotArea dataOnly="0" labelOnly="1" outline="0" fieldPosition="0">
        <references count="5">
          <reference field="0" count="1" selected="0">
            <x v="2"/>
          </reference>
          <reference field="3" count="1" selected="0">
            <x v="12"/>
          </reference>
          <reference field="4" count="1" selected="0">
            <x v="75"/>
          </reference>
          <reference field="5" count="1" selected="0">
            <x v="206"/>
          </reference>
          <reference field="7" count="1">
            <x v="1428"/>
          </reference>
        </references>
      </pivotArea>
    </format>
    <format dxfId="1360">
      <pivotArea dataOnly="0" labelOnly="1" outline="0" fieldPosition="0">
        <references count="5">
          <reference field="0" count="1" selected="0">
            <x v="2"/>
          </reference>
          <reference field="3" count="1" selected="0">
            <x v="12"/>
          </reference>
          <reference field="4" count="1" selected="0">
            <x v="75"/>
          </reference>
          <reference field="5" count="1" selected="0">
            <x v="259"/>
          </reference>
          <reference field="7" count="1">
            <x v="968"/>
          </reference>
        </references>
      </pivotArea>
    </format>
    <format dxfId="1359">
      <pivotArea dataOnly="0" labelOnly="1" outline="0" fieldPosition="0">
        <references count="5">
          <reference field="0" count="1" selected="0">
            <x v="2"/>
          </reference>
          <reference field="3" count="1" selected="0">
            <x v="12"/>
          </reference>
          <reference field="4" count="1" selected="0">
            <x v="75"/>
          </reference>
          <reference field="5" count="1" selected="0">
            <x v="302"/>
          </reference>
          <reference field="7" count="1">
            <x v="1070"/>
          </reference>
        </references>
      </pivotArea>
    </format>
    <format dxfId="1358">
      <pivotArea dataOnly="0" labelOnly="1" outline="0" fieldPosition="0">
        <references count="5">
          <reference field="0" count="1" selected="0">
            <x v="2"/>
          </reference>
          <reference field="3" count="1" selected="0">
            <x v="12"/>
          </reference>
          <reference field="4" count="1" selected="0">
            <x v="75"/>
          </reference>
          <reference field="5" count="1" selected="0">
            <x v="342"/>
          </reference>
          <reference field="7" count="1">
            <x v="1098"/>
          </reference>
        </references>
      </pivotArea>
    </format>
    <format dxfId="1357">
      <pivotArea dataOnly="0" labelOnly="1" outline="0" fieldPosition="0">
        <references count="5">
          <reference field="0" count="1" selected="0">
            <x v="2"/>
          </reference>
          <reference field="3" count="1" selected="0">
            <x v="12"/>
          </reference>
          <reference field="4" count="1" selected="0">
            <x v="75"/>
          </reference>
          <reference field="5" count="1" selected="0">
            <x v="363"/>
          </reference>
          <reference field="7" count="1">
            <x v="673"/>
          </reference>
        </references>
      </pivotArea>
    </format>
    <format dxfId="1356">
      <pivotArea dataOnly="0" labelOnly="1" outline="0" fieldPosition="0">
        <references count="5">
          <reference field="0" count="1" selected="0">
            <x v="2"/>
          </reference>
          <reference field="3" count="1" selected="0">
            <x v="12"/>
          </reference>
          <reference field="4" count="1" selected="0">
            <x v="75"/>
          </reference>
          <reference field="5" count="1" selected="0">
            <x v="784"/>
          </reference>
          <reference field="7" count="1">
            <x v="241"/>
          </reference>
        </references>
      </pivotArea>
    </format>
    <format dxfId="1355">
      <pivotArea dataOnly="0" labelOnly="1" outline="0" fieldPosition="0">
        <references count="5">
          <reference field="0" count="1" selected="0">
            <x v="2"/>
          </reference>
          <reference field="3" count="1" selected="0">
            <x v="12"/>
          </reference>
          <reference field="4" count="1" selected="0">
            <x v="75"/>
          </reference>
          <reference field="5" count="1" selected="0">
            <x v="785"/>
          </reference>
          <reference field="7" count="1">
            <x v="475"/>
          </reference>
        </references>
      </pivotArea>
    </format>
    <format dxfId="1354">
      <pivotArea dataOnly="0" labelOnly="1" outline="0" fieldPosition="0">
        <references count="5">
          <reference field="0" count="1" selected="0">
            <x v="2"/>
          </reference>
          <reference field="3" count="1" selected="0">
            <x v="12"/>
          </reference>
          <reference field="4" count="1" selected="0">
            <x v="75"/>
          </reference>
          <reference field="5" count="1" selected="0">
            <x v="791"/>
          </reference>
          <reference field="7" count="1">
            <x v="474"/>
          </reference>
        </references>
      </pivotArea>
    </format>
    <format dxfId="1353">
      <pivotArea dataOnly="0" labelOnly="1" outline="0" fieldPosition="0">
        <references count="5">
          <reference field="0" count="1" selected="0">
            <x v="2"/>
          </reference>
          <reference field="3" count="1" selected="0">
            <x v="12"/>
          </reference>
          <reference field="4" count="1" selected="0">
            <x v="75"/>
          </reference>
          <reference field="5" count="1" selected="0">
            <x v="792"/>
          </reference>
          <reference field="7" count="1">
            <x v="476"/>
          </reference>
        </references>
      </pivotArea>
    </format>
    <format dxfId="1352">
      <pivotArea dataOnly="0" labelOnly="1" outline="0" fieldPosition="0">
        <references count="5">
          <reference field="0" count="1" selected="0">
            <x v="2"/>
          </reference>
          <reference field="3" count="1" selected="0">
            <x v="12"/>
          </reference>
          <reference field="4" count="1" selected="0">
            <x v="75"/>
          </reference>
          <reference field="5" count="1" selected="0">
            <x v="793"/>
          </reference>
          <reference field="7" count="1">
            <x v="1036"/>
          </reference>
        </references>
      </pivotArea>
    </format>
    <format dxfId="1351">
      <pivotArea dataOnly="0" labelOnly="1" outline="0" fieldPosition="0">
        <references count="5">
          <reference field="0" count="1" selected="0">
            <x v="2"/>
          </reference>
          <reference field="3" count="1" selected="0">
            <x v="12"/>
          </reference>
          <reference field="4" count="1" selected="0">
            <x v="75"/>
          </reference>
          <reference field="5" count="1" selected="0">
            <x v="794"/>
          </reference>
          <reference field="7" count="1">
            <x v="469"/>
          </reference>
        </references>
      </pivotArea>
    </format>
    <format dxfId="1350">
      <pivotArea dataOnly="0" labelOnly="1" outline="0" fieldPosition="0">
        <references count="5">
          <reference field="0" count="1" selected="0">
            <x v="2"/>
          </reference>
          <reference field="3" count="1" selected="0">
            <x v="12"/>
          </reference>
          <reference field="4" count="1" selected="0">
            <x v="76"/>
          </reference>
          <reference field="5" count="1" selected="0">
            <x v="349"/>
          </reference>
          <reference field="7" count="1">
            <x v="117"/>
          </reference>
        </references>
      </pivotArea>
    </format>
    <format dxfId="1349">
      <pivotArea dataOnly="0" labelOnly="1" outline="0" fieldPosition="0">
        <references count="5">
          <reference field="0" count="1" selected="0">
            <x v="2"/>
          </reference>
          <reference field="3" count="1" selected="0">
            <x v="12"/>
          </reference>
          <reference field="4" count="1" selected="0">
            <x v="76"/>
          </reference>
          <reference field="5" count="1" selected="0">
            <x v="350"/>
          </reference>
          <reference field="7" count="1">
            <x v="1024"/>
          </reference>
        </references>
      </pivotArea>
    </format>
    <format dxfId="1348">
      <pivotArea dataOnly="0" labelOnly="1" outline="0" fieldPosition="0">
        <references count="5">
          <reference field="0" count="1" selected="0">
            <x v="2"/>
          </reference>
          <reference field="3" count="1" selected="0">
            <x v="12"/>
          </reference>
          <reference field="4" count="1" selected="0">
            <x v="76"/>
          </reference>
          <reference field="5" count="1" selected="0">
            <x v="387"/>
          </reference>
          <reference field="7" count="1">
            <x v="114"/>
          </reference>
        </references>
      </pivotArea>
    </format>
    <format dxfId="1347">
      <pivotArea dataOnly="0" labelOnly="1" outline="0" fieldPosition="0">
        <references count="5">
          <reference field="0" count="1" selected="0">
            <x v="2"/>
          </reference>
          <reference field="3" count="1" selected="0">
            <x v="12"/>
          </reference>
          <reference field="4" count="1" selected="0">
            <x v="77"/>
          </reference>
          <reference field="5" count="1" selected="0">
            <x v="1523"/>
          </reference>
          <reference field="7" count="1">
            <x v="301"/>
          </reference>
        </references>
      </pivotArea>
    </format>
    <format dxfId="1346">
      <pivotArea dataOnly="0" labelOnly="1" outline="0" fieldPosition="0">
        <references count="5">
          <reference field="0" count="1" selected="0">
            <x v="2"/>
          </reference>
          <reference field="3" count="1" selected="0">
            <x v="12"/>
          </reference>
          <reference field="4" count="1" selected="0">
            <x v="77"/>
          </reference>
          <reference field="5" count="1" selected="0">
            <x v="1524"/>
          </reference>
          <reference field="7" count="1">
            <x v="333"/>
          </reference>
        </references>
      </pivotArea>
    </format>
    <format dxfId="1345">
      <pivotArea dataOnly="0" labelOnly="1" outline="0" fieldPosition="0">
        <references count="5">
          <reference field="0" count="1" selected="0">
            <x v="2"/>
          </reference>
          <reference field="3" count="1" selected="0">
            <x v="12"/>
          </reference>
          <reference field="4" count="1" selected="0">
            <x v="77"/>
          </reference>
          <reference field="5" count="1" selected="0">
            <x v="1626"/>
          </reference>
          <reference field="7" count="1">
            <x v="1474"/>
          </reference>
        </references>
      </pivotArea>
    </format>
    <format dxfId="1344">
      <pivotArea dataOnly="0" labelOnly="1" outline="0" fieldPosition="0">
        <references count="5">
          <reference field="0" count="1" selected="0">
            <x v="2"/>
          </reference>
          <reference field="3" count="1" selected="0">
            <x v="12"/>
          </reference>
          <reference field="4" count="1" selected="0">
            <x v="78"/>
          </reference>
          <reference field="5" count="1" selected="0">
            <x v="1522"/>
          </reference>
          <reference field="7" count="1">
            <x v="334"/>
          </reference>
        </references>
      </pivotArea>
    </format>
    <format dxfId="1343">
      <pivotArea dataOnly="0" labelOnly="1" outline="0" fieldPosition="0">
        <references count="5">
          <reference field="0" count="1" selected="0">
            <x v="2"/>
          </reference>
          <reference field="3" count="1" selected="0">
            <x v="12"/>
          </reference>
          <reference field="4" count="1" selected="0">
            <x v="78"/>
          </reference>
          <reference field="5" count="1" selected="0">
            <x v="1527"/>
          </reference>
          <reference field="7" count="1">
            <x v="305"/>
          </reference>
        </references>
      </pivotArea>
    </format>
    <format dxfId="1342">
      <pivotArea dataOnly="0" labelOnly="1" outline="0" fieldPosition="0">
        <references count="5">
          <reference field="0" count="1" selected="0">
            <x v="2"/>
          </reference>
          <reference field="3" count="1" selected="0">
            <x v="12"/>
          </reference>
          <reference field="4" count="1" selected="0">
            <x v="78"/>
          </reference>
          <reference field="5" count="1" selected="0">
            <x v="1628"/>
          </reference>
          <reference field="7" count="1">
            <x v="1473"/>
          </reference>
        </references>
      </pivotArea>
    </format>
    <format dxfId="1341">
      <pivotArea dataOnly="0" labelOnly="1" outline="0" fieldPosition="0">
        <references count="5">
          <reference field="0" count="1" selected="0">
            <x v="2"/>
          </reference>
          <reference field="3" count="1" selected="0">
            <x v="12"/>
          </reference>
          <reference field="4" count="1" selected="0">
            <x v="79"/>
          </reference>
          <reference field="5" count="1" selected="0">
            <x v="700"/>
          </reference>
          <reference field="7" count="1">
            <x v="8"/>
          </reference>
        </references>
      </pivotArea>
    </format>
    <format dxfId="1340">
      <pivotArea dataOnly="0" labelOnly="1" outline="0" fieldPosition="0">
        <references count="5">
          <reference field="0" count="1" selected="0">
            <x v="2"/>
          </reference>
          <reference field="3" count="1" selected="0">
            <x v="12"/>
          </reference>
          <reference field="4" count="1" selected="0">
            <x v="79"/>
          </reference>
          <reference field="5" count="1" selected="0">
            <x v="703"/>
          </reference>
          <reference field="7" count="1">
            <x v="6"/>
          </reference>
        </references>
      </pivotArea>
    </format>
    <format dxfId="1339">
      <pivotArea dataOnly="0" labelOnly="1" outline="0" fieldPosition="0">
        <references count="5">
          <reference field="0" count="1" selected="0">
            <x v="2"/>
          </reference>
          <reference field="3" count="1" selected="0">
            <x v="12"/>
          </reference>
          <reference field="4" count="1" selected="0">
            <x v="79"/>
          </reference>
          <reference field="5" count="1" selected="0">
            <x v="704"/>
          </reference>
          <reference field="7" count="1">
            <x v="777"/>
          </reference>
        </references>
      </pivotArea>
    </format>
    <format dxfId="1338">
      <pivotArea dataOnly="0" labelOnly="1" outline="0" fieldPosition="0">
        <references count="5">
          <reference field="0" count="1" selected="0">
            <x v="2"/>
          </reference>
          <reference field="3" count="1" selected="0">
            <x v="12"/>
          </reference>
          <reference field="4" count="1" selected="0">
            <x v="79"/>
          </reference>
          <reference field="5" count="1" selected="0">
            <x v="786"/>
          </reference>
          <reference field="7" count="1">
            <x v="495"/>
          </reference>
        </references>
      </pivotArea>
    </format>
    <format dxfId="1337">
      <pivotArea dataOnly="0" labelOnly="1" outline="0" fieldPosition="0">
        <references count="5">
          <reference field="0" count="1" selected="0">
            <x v="2"/>
          </reference>
          <reference field="3" count="1" selected="0">
            <x v="12"/>
          </reference>
          <reference field="4" count="1" selected="0">
            <x v="79"/>
          </reference>
          <reference field="5" count="1" selected="0">
            <x v="788"/>
          </reference>
          <reference field="7" count="1">
            <x v="7"/>
          </reference>
        </references>
      </pivotArea>
    </format>
    <format dxfId="1336">
      <pivotArea dataOnly="0" labelOnly="1" outline="0" fieldPosition="0">
        <references count="5">
          <reference field="0" count="1" selected="0">
            <x v="2"/>
          </reference>
          <reference field="3" count="1" selected="0">
            <x v="12"/>
          </reference>
          <reference field="4" count="1" selected="0">
            <x v="79"/>
          </reference>
          <reference field="5" count="1" selected="0">
            <x v="789"/>
          </reference>
          <reference field="7" count="1">
            <x v="11"/>
          </reference>
        </references>
      </pivotArea>
    </format>
    <format dxfId="1335">
      <pivotArea dataOnly="0" labelOnly="1" outline="0" fieldPosition="0">
        <references count="5">
          <reference field="0" count="1" selected="0">
            <x v="2"/>
          </reference>
          <reference field="3" count="1" selected="0">
            <x v="12"/>
          </reference>
          <reference field="4" count="1" selected="0">
            <x v="79"/>
          </reference>
          <reference field="5" count="1" selected="0">
            <x v="790"/>
          </reference>
          <reference field="7" count="1">
            <x v="496"/>
          </reference>
        </references>
      </pivotArea>
    </format>
    <format dxfId="1334">
      <pivotArea dataOnly="0" labelOnly="1" outline="0" fieldPosition="0">
        <references count="5">
          <reference field="0" count="1" selected="0">
            <x v="2"/>
          </reference>
          <reference field="3" count="1" selected="0">
            <x v="12"/>
          </reference>
          <reference field="4" count="1" selected="0">
            <x v="79"/>
          </reference>
          <reference field="5" count="1" selected="0">
            <x v="794"/>
          </reference>
          <reference field="7" count="1">
            <x v="494"/>
          </reference>
        </references>
      </pivotArea>
    </format>
    <format dxfId="1333">
      <pivotArea dataOnly="0" labelOnly="1" outline="0" fieldPosition="0">
        <references count="5">
          <reference field="0" count="1" selected="0">
            <x v="2"/>
          </reference>
          <reference field="3" count="1" selected="0">
            <x v="12"/>
          </reference>
          <reference field="4" count="1" selected="0">
            <x v="80"/>
          </reference>
          <reference field="5" count="1" selected="0">
            <x v="253"/>
          </reference>
          <reference field="7" count="1">
            <x v="1319"/>
          </reference>
        </references>
      </pivotArea>
    </format>
    <format dxfId="1332">
      <pivotArea dataOnly="0" labelOnly="1" outline="0" fieldPosition="0">
        <references count="5">
          <reference field="0" count="1" selected="0">
            <x v="2"/>
          </reference>
          <reference field="3" count="1" selected="0">
            <x v="12"/>
          </reference>
          <reference field="4" count="1" selected="0">
            <x v="80"/>
          </reference>
          <reference field="5" count="1" selected="0">
            <x v="1545"/>
          </reference>
          <reference field="7" count="1">
            <x v="794"/>
          </reference>
        </references>
      </pivotArea>
    </format>
    <format dxfId="1331">
      <pivotArea dataOnly="0" labelOnly="1" outline="0" fieldPosition="0">
        <references count="5">
          <reference field="0" count="1" selected="0">
            <x v="2"/>
          </reference>
          <reference field="3" count="1" selected="0">
            <x v="12"/>
          </reference>
          <reference field="4" count="1" selected="0">
            <x v="80"/>
          </reference>
          <reference field="5" count="1" selected="0">
            <x v="1568"/>
          </reference>
          <reference field="7" count="1">
            <x v="197"/>
          </reference>
        </references>
      </pivotArea>
    </format>
    <format dxfId="1330">
      <pivotArea dataOnly="0" labelOnly="1" outline="0" fieldPosition="0">
        <references count="5">
          <reference field="0" count="1" selected="0">
            <x v="2"/>
          </reference>
          <reference field="3" count="1" selected="0">
            <x v="12"/>
          </reference>
          <reference field="4" count="1" selected="0">
            <x v="95"/>
          </reference>
          <reference field="5" count="1" selected="0">
            <x v="32"/>
          </reference>
          <reference field="7" count="1">
            <x v="1111"/>
          </reference>
        </references>
      </pivotArea>
    </format>
    <format dxfId="1329">
      <pivotArea dataOnly="0" labelOnly="1" outline="0" fieldPosition="0">
        <references count="5">
          <reference field="0" count="1" selected="0">
            <x v="2"/>
          </reference>
          <reference field="3" count="1" selected="0">
            <x v="12"/>
          </reference>
          <reference field="4" count="1" selected="0">
            <x v="95"/>
          </reference>
          <reference field="5" count="1" selected="0">
            <x v="45"/>
          </reference>
          <reference field="7" count="1">
            <x v="1465"/>
          </reference>
        </references>
      </pivotArea>
    </format>
    <format dxfId="1328">
      <pivotArea dataOnly="0" labelOnly="1" outline="0" fieldPosition="0">
        <references count="5">
          <reference field="0" count="1" selected="0">
            <x v="2"/>
          </reference>
          <reference field="3" count="1" selected="0">
            <x v="12"/>
          </reference>
          <reference field="4" count="1" selected="0">
            <x v="95"/>
          </reference>
          <reference field="5" count="1" selected="0">
            <x v="115"/>
          </reference>
          <reference field="7" count="1">
            <x v="1073"/>
          </reference>
        </references>
      </pivotArea>
    </format>
    <format dxfId="1327">
      <pivotArea dataOnly="0" labelOnly="1" outline="0" fieldPosition="0">
        <references count="5">
          <reference field="0" count="1" selected="0">
            <x v="2"/>
          </reference>
          <reference field="3" count="1" selected="0">
            <x v="12"/>
          </reference>
          <reference field="4" count="1" selected="0">
            <x v="95"/>
          </reference>
          <reference field="5" count="1" selected="0">
            <x v="178"/>
          </reference>
          <reference field="7" count="1">
            <x v="1336"/>
          </reference>
        </references>
      </pivotArea>
    </format>
    <format dxfId="1326">
      <pivotArea dataOnly="0" labelOnly="1" outline="0" fieldPosition="0">
        <references count="5">
          <reference field="0" count="1" selected="0">
            <x v="2"/>
          </reference>
          <reference field="3" count="1" selected="0">
            <x v="12"/>
          </reference>
          <reference field="4" count="1" selected="0">
            <x v="95"/>
          </reference>
          <reference field="5" count="1" selected="0">
            <x v="274"/>
          </reference>
          <reference field="7" count="1">
            <x v="1224"/>
          </reference>
        </references>
      </pivotArea>
    </format>
    <format dxfId="1325">
      <pivotArea dataOnly="0" labelOnly="1" outline="0" fieldPosition="0">
        <references count="5">
          <reference field="0" count="1" selected="0">
            <x v="2"/>
          </reference>
          <reference field="3" count="1" selected="0">
            <x v="12"/>
          </reference>
          <reference field="4" count="1" selected="0">
            <x v="95"/>
          </reference>
          <reference field="5" count="1" selected="0">
            <x v="279"/>
          </reference>
          <reference field="7" count="1">
            <x v="752"/>
          </reference>
        </references>
      </pivotArea>
    </format>
    <format dxfId="1324">
      <pivotArea dataOnly="0" labelOnly="1" outline="0" fieldPosition="0">
        <references count="5">
          <reference field="0" count="1" selected="0">
            <x v="2"/>
          </reference>
          <reference field="3" count="1" selected="0">
            <x v="12"/>
          </reference>
          <reference field="4" count="1" selected="0">
            <x v="95"/>
          </reference>
          <reference field="5" count="1" selected="0">
            <x v="282"/>
          </reference>
          <reference field="7" count="1">
            <x v="755"/>
          </reference>
        </references>
      </pivotArea>
    </format>
    <format dxfId="1323">
      <pivotArea dataOnly="0" labelOnly="1" outline="0" fieldPosition="0">
        <references count="5">
          <reference field="0" count="1" selected="0">
            <x v="2"/>
          </reference>
          <reference field="3" count="1" selected="0">
            <x v="12"/>
          </reference>
          <reference field="4" count="1" selected="0">
            <x v="95"/>
          </reference>
          <reference field="5" count="1" selected="0">
            <x v="405"/>
          </reference>
          <reference field="7" count="1">
            <x v="668"/>
          </reference>
        </references>
      </pivotArea>
    </format>
    <format dxfId="1322">
      <pivotArea dataOnly="0" labelOnly="1" outline="0" fieldPosition="0">
        <references count="5">
          <reference field="0" count="1" selected="0">
            <x v="2"/>
          </reference>
          <reference field="3" count="1" selected="0">
            <x v="12"/>
          </reference>
          <reference field="4" count="1" selected="0">
            <x v="95"/>
          </reference>
          <reference field="5" count="1" selected="0">
            <x v="766"/>
          </reference>
          <reference field="7" count="1">
            <x v="246"/>
          </reference>
        </references>
      </pivotArea>
    </format>
    <format dxfId="1321">
      <pivotArea dataOnly="0" labelOnly="1" outline="0" fieldPosition="0">
        <references count="5">
          <reference field="0" count="1" selected="0">
            <x v="2"/>
          </reference>
          <reference field="3" count="1" selected="0">
            <x v="12"/>
          </reference>
          <reference field="4" count="1" selected="0">
            <x v="95"/>
          </reference>
          <reference field="5" count="1" selected="0">
            <x v="767"/>
          </reference>
          <reference field="7" count="1">
            <x v="1260"/>
          </reference>
        </references>
      </pivotArea>
    </format>
    <format dxfId="1320">
      <pivotArea dataOnly="0" labelOnly="1" outline="0" fieldPosition="0">
        <references count="5">
          <reference field="0" count="1" selected="0">
            <x v="2"/>
          </reference>
          <reference field="3" count="1" selected="0">
            <x v="12"/>
          </reference>
          <reference field="4" count="1" selected="0">
            <x v="95"/>
          </reference>
          <reference field="5" count="1" selected="0">
            <x v="770"/>
          </reference>
          <reference field="7" count="1">
            <x v="1262"/>
          </reference>
        </references>
      </pivotArea>
    </format>
    <format dxfId="1319">
      <pivotArea dataOnly="0" labelOnly="1" outline="0" fieldPosition="0">
        <references count="5">
          <reference field="0" count="1" selected="0">
            <x v="2"/>
          </reference>
          <reference field="3" count="1" selected="0">
            <x v="12"/>
          </reference>
          <reference field="4" count="1" selected="0">
            <x v="95"/>
          </reference>
          <reference field="5" count="1" selected="0">
            <x v="771"/>
          </reference>
          <reference field="7" count="1">
            <x v="1261"/>
          </reference>
        </references>
      </pivotArea>
    </format>
    <format dxfId="1318">
      <pivotArea dataOnly="0" labelOnly="1" outline="0" fieldPosition="0">
        <references count="5">
          <reference field="0" count="1" selected="0">
            <x v="2"/>
          </reference>
          <reference field="3" count="1" selected="0">
            <x v="12"/>
          </reference>
          <reference field="4" count="1" selected="0">
            <x v="95"/>
          </reference>
          <reference field="5" count="1" selected="0">
            <x v="772"/>
          </reference>
          <reference field="7" count="1">
            <x v="1263"/>
          </reference>
        </references>
      </pivotArea>
    </format>
    <format dxfId="1317">
      <pivotArea dataOnly="0" labelOnly="1" outline="0" fieldPosition="0">
        <references count="5">
          <reference field="0" count="1" selected="0">
            <x v="2"/>
          </reference>
          <reference field="3" count="1" selected="0">
            <x v="12"/>
          </reference>
          <reference field="4" count="1" selected="0">
            <x v="95"/>
          </reference>
          <reference field="5" count="1" selected="0">
            <x v="783"/>
          </reference>
          <reference field="7" count="1">
            <x v="1052"/>
          </reference>
        </references>
      </pivotArea>
    </format>
    <format dxfId="1316">
      <pivotArea dataOnly="0" labelOnly="1" outline="0" fieldPosition="0">
        <references count="5">
          <reference field="0" count="1" selected="0">
            <x v="2"/>
          </reference>
          <reference field="3" count="1" selected="0">
            <x v="12"/>
          </reference>
          <reference field="4" count="1" selected="0">
            <x v="96"/>
          </reference>
          <reference field="5" count="1" selected="0">
            <x v="349"/>
          </reference>
          <reference field="7" count="1">
            <x v="117"/>
          </reference>
        </references>
      </pivotArea>
    </format>
    <format dxfId="1315">
      <pivotArea dataOnly="0" labelOnly="1" outline="0" fieldPosition="0">
        <references count="5">
          <reference field="0" count="1" selected="0">
            <x v="2"/>
          </reference>
          <reference field="3" count="1" selected="0">
            <x v="12"/>
          </reference>
          <reference field="4" count="1" selected="0">
            <x v="96"/>
          </reference>
          <reference field="5" count="1" selected="0">
            <x v="350"/>
          </reference>
          <reference field="7" count="1">
            <x v="1024"/>
          </reference>
        </references>
      </pivotArea>
    </format>
    <format dxfId="1314">
      <pivotArea dataOnly="0" labelOnly="1" outline="0" fieldPosition="0">
        <references count="5">
          <reference field="0" count="1" selected="0">
            <x v="2"/>
          </reference>
          <reference field="3" count="1" selected="0">
            <x v="12"/>
          </reference>
          <reference field="4" count="1" selected="0">
            <x v="96"/>
          </reference>
          <reference field="5" count="1" selected="0">
            <x v="387"/>
          </reference>
          <reference field="7" count="1">
            <x v="114"/>
          </reference>
        </references>
      </pivotArea>
    </format>
    <format dxfId="1313">
      <pivotArea dataOnly="0" labelOnly="1" outline="0" fieldPosition="0">
        <references count="5">
          <reference field="0" count="1" selected="0">
            <x v="2"/>
          </reference>
          <reference field="3" count="1" selected="0">
            <x v="12"/>
          </reference>
          <reference field="4" count="1" selected="0">
            <x v="97"/>
          </reference>
          <reference field="5" count="1" selected="0">
            <x v="248"/>
          </reference>
          <reference field="7" count="1">
            <x v="1316"/>
          </reference>
        </references>
      </pivotArea>
    </format>
    <format dxfId="1312">
      <pivotArea dataOnly="0" labelOnly="1" outline="0" fieldPosition="0">
        <references count="5">
          <reference field="0" count="1" selected="0">
            <x v="2"/>
          </reference>
          <reference field="3" count="1" selected="0">
            <x v="12"/>
          </reference>
          <reference field="4" count="1" selected="0">
            <x v="97"/>
          </reference>
          <reference field="5" count="1" selected="0">
            <x v="1531"/>
          </reference>
          <reference field="7" count="1">
            <x v="791"/>
          </reference>
        </references>
      </pivotArea>
    </format>
    <format dxfId="1311">
      <pivotArea dataOnly="0" labelOnly="1" outline="0" fieldPosition="0">
        <references count="5">
          <reference field="0" count="1" selected="0">
            <x v="2"/>
          </reference>
          <reference field="3" count="1" selected="0">
            <x v="12"/>
          </reference>
          <reference field="4" count="1" selected="0">
            <x v="97"/>
          </reference>
          <reference field="5" count="1" selected="0">
            <x v="1554"/>
          </reference>
          <reference field="7" count="1">
            <x v="193"/>
          </reference>
        </references>
      </pivotArea>
    </format>
    <format dxfId="1310">
      <pivotArea dataOnly="0" labelOnly="1" outline="0" fieldPosition="0">
        <references count="5">
          <reference field="0" count="1" selected="0">
            <x v="2"/>
          </reference>
          <reference field="3" count="1" selected="0">
            <x v="12"/>
          </reference>
          <reference field="4" count="1" selected="0">
            <x v="98"/>
          </reference>
          <reference field="5" count="1" selected="0">
            <x v="248"/>
          </reference>
          <reference field="7" count="1">
            <x v="1316"/>
          </reference>
        </references>
      </pivotArea>
    </format>
    <format dxfId="1309">
      <pivotArea dataOnly="0" labelOnly="1" outline="0" fieldPosition="0">
        <references count="5">
          <reference field="0" count="1" selected="0">
            <x v="2"/>
          </reference>
          <reference field="3" count="1" selected="0">
            <x v="12"/>
          </reference>
          <reference field="4" count="1" selected="0">
            <x v="98"/>
          </reference>
          <reference field="5" count="1" selected="0">
            <x v="1532"/>
          </reference>
          <reference field="7" count="1">
            <x v="791"/>
          </reference>
        </references>
      </pivotArea>
    </format>
    <format dxfId="1308">
      <pivotArea dataOnly="0" labelOnly="1" outline="0" fieldPosition="0">
        <references count="5">
          <reference field="0" count="1" selected="0">
            <x v="2"/>
          </reference>
          <reference field="3" count="1" selected="0">
            <x v="12"/>
          </reference>
          <reference field="4" count="1" selected="0">
            <x v="98"/>
          </reference>
          <reference field="5" count="1" selected="0">
            <x v="1555"/>
          </reference>
          <reference field="7" count="1">
            <x v="193"/>
          </reference>
        </references>
      </pivotArea>
    </format>
    <format dxfId="1307">
      <pivotArea dataOnly="0" labelOnly="1" outline="0" fieldPosition="0">
        <references count="5">
          <reference field="0" count="1" selected="0">
            <x v="2"/>
          </reference>
          <reference field="3" count="1" selected="0">
            <x v="12"/>
          </reference>
          <reference field="4" count="1" selected="0">
            <x v="99"/>
          </reference>
          <reference field="5" count="1" selected="0">
            <x v="700"/>
          </reference>
          <reference field="7" count="1">
            <x v="8"/>
          </reference>
        </references>
      </pivotArea>
    </format>
    <format dxfId="1306">
      <pivotArea dataOnly="0" labelOnly="1" outline="0" fieldPosition="0">
        <references count="5">
          <reference field="0" count="1" selected="0">
            <x v="2"/>
          </reference>
          <reference field="3" count="1" selected="0">
            <x v="12"/>
          </reference>
          <reference field="4" count="1" selected="0">
            <x v="99"/>
          </reference>
          <reference field="5" count="1" selected="0">
            <x v="703"/>
          </reference>
          <reference field="7" count="1">
            <x v="6"/>
          </reference>
        </references>
      </pivotArea>
    </format>
    <format dxfId="1305">
      <pivotArea dataOnly="0" labelOnly="1" outline="0" fieldPosition="0">
        <references count="5">
          <reference field="0" count="1" selected="0">
            <x v="2"/>
          </reference>
          <reference field="3" count="1" selected="0">
            <x v="12"/>
          </reference>
          <reference field="4" count="1" selected="0">
            <x v="99"/>
          </reference>
          <reference field="5" count="1" selected="0">
            <x v="704"/>
          </reference>
          <reference field="7" count="1">
            <x v="777"/>
          </reference>
        </references>
      </pivotArea>
    </format>
    <format dxfId="1304">
      <pivotArea dataOnly="0" labelOnly="1" outline="0" fieldPosition="0">
        <references count="5">
          <reference field="0" count="1" selected="0">
            <x v="2"/>
          </reference>
          <reference field="3" count="1" selected="0">
            <x v="12"/>
          </reference>
          <reference field="4" count="1" selected="0">
            <x v="99"/>
          </reference>
          <reference field="5" count="1" selected="0">
            <x v="780"/>
          </reference>
          <reference field="7" count="1">
            <x v="1251"/>
          </reference>
        </references>
      </pivotArea>
    </format>
    <format dxfId="1303">
      <pivotArea dataOnly="0" labelOnly="1" outline="0" fieldPosition="0">
        <references count="5">
          <reference field="0" count="1" selected="0">
            <x v="2"/>
          </reference>
          <reference field="3" count="1" selected="0">
            <x v="12"/>
          </reference>
          <reference field="4" count="1" selected="0">
            <x v="99"/>
          </reference>
          <reference field="5" count="1" selected="0">
            <x v="781"/>
          </reference>
          <reference field="7" count="1">
            <x v="1257"/>
          </reference>
        </references>
      </pivotArea>
    </format>
    <format dxfId="1302">
      <pivotArea dataOnly="0" labelOnly="1" outline="0" fieldPosition="0">
        <references count="5">
          <reference field="0" count="1" selected="0">
            <x v="2"/>
          </reference>
          <reference field="3" count="1" selected="0">
            <x v="12"/>
          </reference>
          <reference field="4" count="1" selected="0">
            <x v="99"/>
          </reference>
          <reference field="5" count="1" selected="0">
            <x v="782"/>
          </reference>
          <reference field="7" count="1">
            <x v="1258"/>
          </reference>
        </references>
      </pivotArea>
    </format>
    <format dxfId="1301">
      <pivotArea dataOnly="0" labelOnly="1" outline="0" fieldPosition="0">
        <references count="5">
          <reference field="0" count="1" selected="0">
            <x v="2"/>
          </reference>
          <reference field="3" count="1" selected="0">
            <x v="12"/>
          </reference>
          <reference field="4" count="1" selected="0">
            <x v="100"/>
          </reference>
          <reference field="5" count="1" selected="0">
            <x v="700"/>
          </reference>
          <reference field="7" count="1">
            <x v="8"/>
          </reference>
        </references>
      </pivotArea>
    </format>
    <format dxfId="1300">
      <pivotArea dataOnly="0" labelOnly="1" outline="0" fieldPosition="0">
        <references count="5">
          <reference field="0" count="1" selected="0">
            <x v="2"/>
          </reference>
          <reference field="3" count="1" selected="0">
            <x v="12"/>
          </reference>
          <reference field="4" count="1" selected="0">
            <x v="100"/>
          </reference>
          <reference field="5" count="1" selected="0">
            <x v="703"/>
          </reference>
          <reference field="7" count="1">
            <x v="6"/>
          </reference>
        </references>
      </pivotArea>
    </format>
    <format dxfId="1299">
      <pivotArea dataOnly="0" labelOnly="1" outline="0" fieldPosition="0">
        <references count="5">
          <reference field="0" count="1" selected="0">
            <x v="2"/>
          </reference>
          <reference field="3" count="1" selected="0">
            <x v="12"/>
          </reference>
          <reference field="4" count="1" selected="0">
            <x v="100"/>
          </reference>
          <reference field="5" count="1" selected="0">
            <x v="704"/>
          </reference>
          <reference field="7" count="1">
            <x v="777"/>
          </reference>
        </references>
      </pivotArea>
    </format>
    <format dxfId="1298">
      <pivotArea dataOnly="0" labelOnly="1" outline="0" fieldPosition="0">
        <references count="5">
          <reference field="0" count="1" selected="0">
            <x v="2"/>
          </reference>
          <reference field="3" count="1" selected="0">
            <x v="12"/>
          </reference>
          <reference field="4" count="1" selected="0">
            <x v="100"/>
          </reference>
          <reference field="5" count="1" selected="0">
            <x v="774"/>
          </reference>
          <reference field="7" count="1">
            <x v="1252"/>
          </reference>
        </references>
      </pivotArea>
    </format>
    <format dxfId="1297">
      <pivotArea dataOnly="0" labelOnly="1" outline="0" fieldPosition="0">
        <references count="5">
          <reference field="0" count="1" selected="0">
            <x v="2"/>
          </reference>
          <reference field="3" count="1" selected="0">
            <x v="12"/>
          </reference>
          <reference field="4" count="1" selected="0">
            <x v="100"/>
          </reference>
          <reference field="5" count="1" selected="0">
            <x v="775"/>
          </reference>
          <reference field="7" count="1">
            <x v="1256"/>
          </reference>
        </references>
      </pivotArea>
    </format>
    <format dxfId="1296">
      <pivotArea dataOnly="0" labelOnly="1" outline="0" fieldPosition="0">
        <references count="5">
          <reference field="0" count="1" selected="0">
            <x v="2"/>
          </reference>
          <reference field="3" count="1" selected="0">
            <x v="12"/>
          </reference>
          <reference field="4" count="1" selected="0">
            <x v="100"/>
          </reference>
          <reference field="5" count="1" selected="0">
            <x v="787"/>
          </reference>
          <reference field="7" count="1">
            <x v="9"/>
          </reference>
        </references>
      </pivotArea>
    </format>
    <format dxfId="1295">
      <pivotArea dataOnly="0" labelOnly="1" outline="0" fieldPosition="0">
        <references count="5">
          <reference field="0" count="1" selected="0">
            <x v="2"/>
          </reference>
          <reference field="3" count="1" selected="0">
            <x v="12"/>
          </reference>
          <reference field="4" count="1" selected="0">
            <x v="101"/>
          </reference>
          <reference field="5" count="1" selected="0">
            <x v="700"/>
          </reference>
          <reference field="7" count="1">
            <x v="8"/>
          </reference>
        </references>
      </pivotArea>
    </format>
    <format dxfId="1294">
      <pivotArea dataOnly="0" labelOnly="1" outline="0" fieldPosition="0">
        <references count="5">
          <reference field="0" count="1" selected="0">
            <x v="2"/>
          </reference>
          <reference field="3" count="1" selected="0">
            <x v="12"/>
          </reference>
          <reference field="4" count="1" selected="0">
            <x v="101"/>
          </reference>
          <reference field="5" count="1" selected="0">
            <x v="703"/>
          </reference>
          <reference field="7" count="1">
            <x v="6"/>
          </reference>
        </references>
      </pivotArea>
    </format>
    <format dxfId="1293">
      <pivotArea dataOnly="0" labelOnly="1" outline="0" fieldPosition="0">
        <references count="5">
          <reference field="0" count="1" selected="0">
            <x v="2"/>
          </reference>
          <reference field="3" count="1" selected="0">
            <x v="12"/>
          </reference>
          <reference field="4" count="1" selected="0">
            <x v="101"/>
          </reference>
          <reference field="5" count="1" selected="0">
            <x v="704"/>
          </reference>
          <reference field="7" count="1">
            <x v="777"/>
          </reference>
        </references>
      </pivotArea>
    </format>
    <format dxfId="1292">
      <pivotArea dataOnly="0" labelOnly="1" outline="0" fieldPosition="0">
        <references count="5">
          <reference field="0" count="1" selected="0">
            <x v="2"/>
          </reference>
          <reference field="3" count="1" selected="0">
            <x v="12"/>
          </reference>
          <reference field="4" count="1" selected="0">
            <x v="101"/>
          </reference>
          <reference field="5" count="1" selected="0">
            <x v="776"/>
          </reference>
          <reference field="7" count="1">
            <x v="1253"/>
          </reference>
        </references>
      </pivotArea>
    </format>
    <format dxfId="1291">
      <pivotArea dataOnly="0" labelOnly="1" outline="0" fieldPosition="0">
        <references count="5">
          <reference field="0" count="1" selected="0">
            <x v="2"/>
          </reference>
          <reference field="3" count="1" selected="0">
            <x v="12"/>
          </reference>
          <reference field="4" count="1" selected="0">
            <x v="101"/>
          </reference>
          <reference field="5" count="1" selected="0">
            <x v="777"/>
          </reference>
          <reference field="7" count="1">
            <x v="1248"/>
          </reference>
        </references>
      </pivotArea>
    </format>
    <format dxfId="1290">
      <pivotArea dataOnly="0" labelOnly="1" outline="0" fieldPosition="0">
        <references count="5">
          <reference field="0" count="1" selected="0">
            <x v="2"/>
          </reference>
          <reference field="3" count="1" selected="0">
            <x v="12"/>
          </reference>
          <reference field="4" count="1" selected="0">
            <x v="101"/>
          </reference>
          <reference field="5" count="1" selected="0">
            <x v="787"/>
          </reference>
          <reference field="7" count="1">
            <x v="9"/>
          </reference>
        </references>
      </pivotArea>
    </format>
    <format dxfId="1289">
      <pivotArea dataOnly="0" labelOnly="1" outline="0" fieldPosition="0">
        <references count="5">
          <reference field="0" count="1" selected="0">
            <x v="2"/>
          </reference>
          <reference field="3" count="1" selected="0">
            <x v="12"/>
          </reference>
          <reference field="4" count="1" selected="0">
            <x v="102"/>
          </reference>
          <reference field="5" count="1" selected="0">
            <x v="700"/>
          </reference>
          <reference field="7" count="1">
            <x v="8"/>
          </reference>
        </references>
      </pivotArea>
    </format>
    <format dxfId="1288">
      <pivotArea dataOnly="0" labelOnly="1" outline="0" fieldPosition="0">
        <references count="5">
          <reference field="0" count="1" selected="0">
            <x v="2"/>
          </reference>
          <reference field="3" count="1" selected="0">
            <x v="12"/>
          </reference>
          <reference field="4" count="1" selected="0">
            <x v="102"/>
          </reference>
          <reference field="5" count="1" selected="0">
            <x v="703"/>
          </reference>
          <reference field="7" count="1">
            <x v="6"/>
          </reference>
        </references>
      </pivotArea>
    </format>
    <format dxfId="1287">
      <pivotArea dataOnly="0" labelOnly="1" outline="0" fieldPosition="0">
        <references count="5">
          <reference field="0" count="1" selected="0">
            <x v="2"/>
          </reference>
          <reference field="3" count="1" selected="0">
            <x v="12"/>
          </reference>
          <reference field="4" count="1" selected="0">
            <x v="102"/>
          </reference>
          <reference field="5" count="1" selected="0">
            <x v="704"/>
          </reference>
          <reference field="7" count="1">
            <x v="777"/>
          </reference>
        </references>
      </pivotArea>
    </format>
    <format dxfId="1286">
      <pivotArea dataOnly="0" labelOnly="1" outline="0" fieldPosition="0">
        <references count="5">
          <reference field="0" count="1" selected="0">
            <x v="2"/>
          </reference>
          <reference field="3" count="1" selected="0">
            <x v="12"/>
          </reference>
          <reference field="4" count="1" selected="0">
            <x v="102"/>
          </reference>
          <reference field="5" count="1" selected="0">
            <x v="768"/>
          </reference>
          <reference field="7" count="1">
            <x v="1254"/>
          </reference>
        </references>
      </pivotArea>
    </format>
    <format dxfId="1285">
      <pivotArea dataOnly="0" labelOnly="1" outline="0" fieldPosition="0">
        <references count="5">
          <reference field="0" count="1" selected="0">
            <x v="2"/>
          </reference>
          <reference field="3" count="1" selected="0">
            <x v="12"/>
          </reference>
          <reference field="4" count="1" selected="0">
            <x v="102"/>
          </reference>
          <reference field="5" count="1" selected="0">
            <x v="769"/>
          </reference>
          <reference field="7" count="1">
            <x v="1249"/>
          </reference>
        </references>
      </pivotArea>
    </format>
    <format dxfId="1284">
      <pivotArea dataOnly="0" labelOnly="1" outline="0" fieldPosition="0">
        <references count="5">
          <reference field="0" count="1" selected="0">
            <x v="2"/>
          </reference>
          <reference field="3" count="1" selected="0">
            <x v="12"/>
          </reference>
          <reference field="4" count="1" selected="0">
            <x v="102"/>
          </reference>
          <reference field="5" count="1" selected="0">
            <x v="787"/>
          </reference>
          <reference field="7" count="1">
            <x v="9"/>
          </reference>
        </references>
      </pivotArea>
    </format>
    <format dxfId="1283">
      <pivotArea dataOnly="0" labelOnly="1" outline="0" fieldPosition="0">
        <references count="5">
          <reference field="0" count="1" selected="0">
            <x v="2"/>
          </reference>
          <reference field="3" count="1" selected="0">
            <x v="12"/>
          </reference>
          <reference field="4" count="1" selected="0">
            <x v="103"/>
          </reference>
          <reference field="5" count="1" selected="0">
            <x v="700"/>
          </reference>
          <reference field="7" count="1">
            <x v="8"/>
          </reference>
        </references>
      </pivotArea>
    </format>
    <format dxfId="1282">
      <pivotArea dataOnly="0" labelOnly="1" outline="0" fieldPosition="0">
        <references count="5">
          <reference field="0" count="1" selected="0">
            <x v="2"/>
          </reference>
          <reference field="3" count="1" selected="0">
            <x v="12"/>
          </reference>
          <reference field="4" count="1" selected="0">
            <x v="103"/>
          </reference>
          <reference field="5" count="1" selected="0">
            <x v="703"/>
          </reference>
          <reference field="7" count="1">
            <x v="6"/>
          </reference>
        </references>
      </pivotArea>
    </format>
    <format dxfId="1281">
      <pivotArea dataOnly="0" labelOnly="1" outline="0" fieldPosition="0">
        <references count="5">
          <reference field="0" count="1" selected="0">
            <x v="2"/>
          </reference>
          <reference field="3" count="1" selected="0">
            <x v="12"/>
          </reference>
          <reference field="4" count="1" selected="0">
            <x v="103"/>
          </reference>
          <reference field="5" count="1" selected="0">
            <x v="704"/>
          </reference>
          <reference field="7" count="1">
            <x v="777"/>
          </reference>
        </references>
      </pivotArea>
    </format>
    <format dxfId="1280">
      <pivotArea dataOnly="0" labelOnly="1" outline="0" fieldPosition="0">
        <references count="5">
          <reference field="0" count="1" selected="0">
            <x v="2"/>
          </reference>
          <reference field="3" count="1" selected="0">
            <x v="12"/>
          </reference>
          <reference field="4" count="1" selected="0">
            <x v="103"/>
          </reference>
          <reference field="5" count="1" selected="0">
            <x v="778"/>
          </reference>
          <reference field="7" count="1">
            <x v="1255"/>
          </reference>
        </references>
      </pivotArea>
    </format>
    <format dxfId="1279">
      <pivotArea dataOnly="0" labelOnly="1" outline="0" fieldPosition="0">
        <references count="5">
          <reference field="0" count="1" selected="0">
            <x v="2"/>
          </reference>
          <reference field="3" count="1" selected="0">
            <x v="12"/>
          </reference>
          <reference field="4" count="1" selected="0">
            <x v="103"/>
          </reference>
          <reference field="5" count="1" selected="0">
            <x v="779"/>
          </reference>
          <reference field="7" count="1">
            <x v="1250"/>
          </reference>
        </references>
      </pivotArea>
    </format>
    <format dxfId="1278">
      <pivotArea dataOnly="0" labelOnly="1" outline="0" fieldPosition="0">
        <references count="5">
          <reference field="0" count="1" selected="0">
            <x v="2"/>
          </reference>
          <reference field="3" count="1" selected="0">
            <x v="12"/>
          </reference>
          <reference field="4" count="1" selected="0">
            <x v="103"/>
          </reference>
          <reference field="5" count="1" selected="0">
            <x v="787"/>
          </reference>
          <reference field="7" count="1">
            <x v="9"/>
          </reference>
        </references>
      </pivotArea>
    </format>
    <format dxfId="1277">
      <pivotArea dataOnly="0" labelOnly="1" outline="0" fieldPosition="0">
        <references count="5">
          <reference field="0" count="1" selected="0">
            <x v="2"/>
          </reference>
          <reference field="3" count="1" selected="0">
            <x v="12"/>
          </reference>
          <reference field="4" count="1" selected="0">
            <x v="216"/>
          </reference>
          <reference field="5" count="1" selected="0">
            <x v="52"/>
          </reference>
          <reference field="7" count="1">
            <x v="350"/>
          </reference>
        </references>
      </pivotArea>
    </format>
    <format dxfId="1276">
      <pivotArea dataOnly="0" labelOnly="1" outline="0" fieldPosition="0">
        <references count="5">
          <reference field="0" count="1" selected="0">
            <x v="2"/>
          </reference>
          <reference field="3" count="1" selected="0">
            <x v="12"/>
          </reference>
          <reference field="4" count="1" selected="0">
            <x v="216"/>
          </reference>
          <reference field="5" count="1" selected="0">
            <x v="137"/>
          </reference>
          <reference field="7" count="1">
            <x v="581"/>
          </reference>
        </references>
      </pivotArea>
    </format>
    <format dxfId="1275">
      <pivotArea dataOnly="0" labelOnly="1" outline="0" fieldPosition="0">
        <references count="5">
          <reference field="0" count="1" selected="0">
            <x v="2"/>
          </reference>
          <reference field="3" count="1" selected="0">
            <x v="12"/>
          </reference>
          <reference field="4" count="1" selected="0">
            <x v="216"/>
          </reference>
          <reference field="5" count="1" selected="0">
            <x v="148"/>
          </reference>
          <reference field="7" count="1">
            <x v="977"/>
          </reference>
        </references>
      </pivotArea>
    </format>
    <format dxfId="1274">
      <pivotArea dataOnly="0" labelOnly="1" outline="0" fieldPosition="0">
        <references count="5">
          <reference field="0" count="1" selected="0">
            <x v="2"/>
          </reference>
          <reference field="3" count="1" selected="0">
            <x v="12"/>
          </reference>
          <reference field="4" count="1" selected="0">
            <x v="216"/>
          </reference>
          <reference field="5" count="1" selected="0">
            <x v="166"/>
          </reference>
          <reference field="7" count="1">
            <x v="1086"/>
          </reference>
        </references>
      </pivotArea>
    </format>
    <format dxfId="1273">
      <pivotArea dataOnly="0" labelOnly="1" outline="0" fieldPosition="0">
        <references count="5">
          <reference field="0" count="1" selected="0">
            <x v="2"/>
          </reference>
          <reference field="3" count="1" selected="0">
            <x v="12"/>
          </reference>
          <reference field="4" count="1" selected="0">
            <x v="216"/>
          </reference>
          <reference field="5" count="1" selected="0">
            <x v="167"/>
          </reference>
          <reference field="7" count="1">
            <x v="1088"/>
          </reference>
        </references>
      </pivotArea>
    </format>
    <format dxfId="1272">
      <pivotArea dataOnly="0" labelOnly="1" outline="0" fieldPosition="0">
        <references count="5">
          <reference field="0" count="1" selected="0">
            <x v="2"/>
          </reference>
          <reference field="3" count="1" selected="0">
            <x v="12"/>
          </reference>
          <reference field="4" count="1" selected="0">
            <x v="216"/>
          </reference>
          <reference field="5" count="1" selected="0">
            <x v="200"/>
          </reference>
          <reference field="7" count="1">
            <x v="1417"/>
          </reference>
        </references>
      </pivotArea>
    </format>
    <format dxfId="1271">
      <pivotArea dataOnly="0" labelOnly="1" outline="0" fieldPosition="0">
        <references count="5">
          <reference field="0" count="1" selected="0">
            <x v="2"/>
          </reference>
          <reference field="3" count="1" selected="0">
            <x v="12"/>
          </reference>
          <reference field="4" count="1" selected="0">
            <x v="216"/>
          </reference>
          <reference field="5" count="1" selected="0">
            <x v="215"/>
          </reference>
          <reference field="7" count="1">
            <x v="975"/>
          </reference>
        </references>
      </pivotArea>
    </format>
    <format dxfId="1270">
      <pivotArea dataOnly="0" labelOnly="1" outline="0" fieldPosition="0">
        <references count="5">
          <reference field="0" count="1" selected="0">
            <x v="2"/>
          </reference>
          <reference field="3" count="1" selected="0">
            <x v="12"/>
          </reference>
          <reference field="4" count="1" selected="0">
            <x v="216"/>
          </reference>
          <reference field="5" count="1" selected="0">
            <x v="238"/>
          </reference>
          <reference field="7" count="1">
            <x v="1588"/>
          </reference>
        </references>
      </pivotArea>
    </format>
    <format dxfId="1269">
      <pivotArea dataOnly="0" labelOnly="1" outline="0" fieldPosition="0">
        <references count="5">
          <reference field="0" count="1" selected="0">
            <x v="2"/>
          </reference>
          <reference field="3" count="1" selected="0">
            <x v="12"/>
          </reference>
          <reference field="4" count="1" selected="0">
            <x v="216"/>
          </reference>
          <reference field="5" count="1" selected="0">
            <x v="282"/>
          </reference>
          <reference field="7" count="1">
            <x v="755"/>
          </reference>
        </references>
      </pivotArea>
    </format>
    <format dxfId="1268">
      <pivotArea dataOnly="0" labelOnly="1" outline="0" fieldPosition="0">
        <references count="5">
          <reference field="0" count="1" selected="0">
            <x v="2"/>
          </reference>
          <reference field="3" count="1" selected="0">
            <x v="12"/>
          </reference>
          <reference field="4" count="1" selected="0">
            <x v="216"/>
          </reference>
          <reference field="5" count="1" selected="0">
            <x v="302"/>
          </reference>
          <reference field="7" count="1">
            <x v="1070"/>
          </reference>
        </references>
      </pivotArea>
    </format>
    <format dxfId="1267">
      <pivotArea dataOnly="0" labelOnly="1" outline="0" fieldPosition="0">
        <references count="5">
          <reference field="0" count="1" selected="0">
            <x v="2"/>
          </reference>
          <reference field="3" count="1" selected="0">
            <x v="12"/>
          </reference>
          <reference field="4" count="1" selected="0">
            <x v="216"/>
          </reference>
          <reference field="5" count="1" selected="0">
            <x v="310"/>
          </reference>
          <reference field="7" count="1">
            <x v="971"/>
          </reference>
        </references>
      </pivotArea>
    </format>
    <format dxfId="1266">
      <pivotArea dataOnly="0" labelOnly="1" outline="0" fieldPosition="0">
        <references count="5">
          <reference field="0" count="1" selected="0">
            <x v="2"/>
          </reference>
          <reference field="3" count="1" selected="0">
            <x v="12"/>
          </reference>
          <reference field="4" count="1" selected="0">
            <x v="216"/>
          </reference>
          <reference field="5" count="1" selected="0">
            <x v="430"/>
          </reference>
          <reference field="7" count="1">
            <x v="1500"/>
          </reference>
        </references>
      </pivotArea>
    </format>
    <format dxfId="1265">
      <pivotArea dataOnly="0" labelOnly="1" outline="0" fieldPosition="0">
        <references count="5">
          <reference field="0" count="1" selected="0">
            <x v="2"/>
          </reference>
          <reference field="3" count="1" selected="0">
            <x v="12"/>
          </reference>
          <reference field="4" count="1" selected="0">
            <x v="216"/>
          </reference>
          <reference field="5" count="1" selected="0">
            <x v="618"/>
          </reference>
          <reference field="7" count="1">
            <x v="903"/>
          </reference>
        </references>
      </pivotArea>
    </format>
    <format dxfId="1264">
      <pivotArea dataOnly="0" labelOnly="1" outline="0" fieldPosition="0">
        <references count="5">
          <reference field="0" count="1" selected="0">
            <x v="2"/>
          </reference>
          <reference field="3" count="1" selected="0">
            <x v="12"/>
          </reference>
          <reference field="4" count="1" selected="0">
            <x v="216"/>
          </reference>
          <reference field="5" count="1" selected="0">
            <x v="619"/>
          </reference>
          <reference field="7" count="1">
            <x v="1243"/>
          </reference>
        </references>
      </pivotArea>
    </format>
    <format dxfId="1263">
      <pivotArea dataOnly="0" labelOnly="1" outline="0" fieldPosition="0">
        <references count="5">
          <reference field="0" count="1" selected="0">
            <x v="2"/>
          </reference>
          <reference field="3" count="1" selected="0">
            <x v="12"/>
          </reference>
          <reference field="4" count="1" selected="0">
            <x v="216"/>
          </reference>
          <reference field="5" count="1" selected="0">
            <x v="620"/>
          </reference>
          <reference field="7" count="1">
            <x v="1244"/>
          </reference>
        </references>
      </pivotArea>
    </format>
    <format dxfId="1262">
      <pivotArea dataOnly="0" labelOnly="1" outline="0" fieldPosition="0">
        <references count="5">
          <reference field="0" count="1" selected="0">
            <x v="2"/>
          </reference>
          <reference field="3" count="1" selected="0">
            <x v="12"/>
          </reference>
          <reference field="4" count="1" selected="0">
            <x v="216"/>
          </reference>
          <reference field="5" count="1" selected="0">
            <x v="621"/>
          </reference>
          <reference field="7" count="1">
            <x v="414"/>
          </reference>
        </references>
      </pivotArea>
    </format>
    <format dxfId="1261">
      <pivotArea dataOnly="0" labelOnly="1" outline="0" fieldPosition="0">
        <references count="5">
          <reference field="0" count="1" selected="0">
            <x v="2"/>
          </reference>
          <reference field="3" count="1" selected="0">
            <x v="12"/>
          </reference>
          <reference field="4" count="1" selected="0">
            <x v="216"/>
          </reference>
          <reference field="5" count="1" selected="0">
            <x v="773"/>
          </reference>
          <reference field="7" count="1">
            <x v="1259"/>
          </reference>
        </references>
      </pivotArea>
    </format>
    <format dxfId="1260">
      <pivotArea dataOnly="0" labelOnly="1" outline="0" fieldPosition="0">
        <references count="5">
          <reference field="0" count="1" selected="0">
            <x v="2"/>
          </reference>
          <reference field="3" count="1" selected="0">
            <x v="13"/>
          </reference>
          <reference field="4" count="1" selected="0">
            <x v="216"/>
          </reference>
          <reference field="5" count="1" selected="0">
            <x v="111"/>
          </reference>
          <reference field="7" count="1">
            <x v="608"/>
          </reference>
        </references>
      </pivotArea>
    </format>
    <format dxfId="1259">
      <pivotArea dataOnly="0" labelOnly="1" outline="0" fieldPosition="0">
        <references count="5">
          <reference field="0" count="1" selected="0">
            <x v="2"/>
          </reference>
          <reference field="3" count="1" selected="0">
            <x v="13"/>
          </reference>
          <reference field="4" count="1" selected="0">
            <x v="216"/>
          </reference>
          <reference field="5" count="1" selected="0">
            <x v="112"/>
          </reference>
          <reference field="7" count="1">
            <x v="609"/>
          </reference>
        </references>
      </pivotArea>
    </format>
    <format dxfId="1258">
      <pivotArea dataOnly="0" labelOnly="1" outline="0" fieldPosition="0">
        <references count="5">
          <reference field="0" count="1" selected="0">
            <x v="2"/>
          </reference>
          <reference field="3" count="1" selected="0">
            <x v="13"/>
          </reference>
          <reference field="4" count="1" selected="0">
            <x v="216"/>
          </reference>
          <reference field="5" count="1" selected="0">
            <x v="121"/>
          </reference>
          <reference field="7" count="1">
            <x v="1096"/>
          </reference>
        </references>
      </pivotArea>
    </format>
    <format dxfId="1257">
      <pivotArea dataOnly="0" labelOnly="1" outline="0" fieldPosition="0">
        <references count="5">
          <reference field="0" count="1" selected="0">
            <x v="2"/>
          </reference>
          <reference field="3" count="1" selected="0">
            <x v="13"/>
          </reference>
          <reference field="4" count="1" selected="0">
            <x v="216"/>
          </reference>
          <reference field="5" count="1" selected="0">
            <x v="122"/>
          </reference>
          <reference field="7" count="1">
            <x v="1097"/>
          </reference>
        </references>
      </pivotArea>
    </format>
    <format dxfId="1256">
      <pivotArea dataOnly="0" labelOnly="1" outline="0" fieldPosition="0">
        <references count="5">
          <reference field="0" count="1" selected="0">
            <x v="2"/>
          </reference>
          <reference field="3" count="1" selected="0">
            <x v="13"/>
          </reference>
          <reference field="4" count="1" selected="0">
            <x v="216"/>
          </reference>
          <reference field="5" count="1" selected="0">
            <x v="138"/>
          </reference>
          <reference field="7" count="1">
            <x v="596"/>
          </reference>
        </references>
      </pivotArea>
    </format>
    <format dxfId="1255">
      <pivotArea dataOnly="0" labelOnly="1" outline="0" fieldPosition="0">
        <references count="5">
          <reference field="0" count="1" selected="0">
            <x v="2"/>
          </reference>
          <reference field="3" count="1" selected="0">
            <x v="13"/>
          </reference>
          <reference field="4" count="1" selected="0">
            <x v="216"/>
          </reference>
          <reference field="5" count="1" selected="0">
            <x v="140"/>
          </reference>
          <reference field="7" count="1">
            <x v="595"/>
          </reference>
        </references>
      </pivotArea>
    </format>
    <format dxfId="1254">
      <pivotArea dataOnly="0" labelOnly="1" outline="0" fieldPosition="0">
        <references count="5">
          <reference field="0" count="1" selected="0">
            <x v="2"/>
          </reference>
          <reference field="3" count="1" selected="0">
            <x v="13"/>
          </reference>
          <reference field="4" count="1" selected="0">
            <x v="216"/>
          </reference>
          <reference field="5" count="1" selected="0">
            <x v="141"/>
          </reference>
          <reference field="7" count="1">
            <x v="597"/>
          </reference>
        </references>
      </pivotArea>
    </format>
    <format dxfId="1253">
      <pivotArea dataOnly="0" labelOnly="1" outline="0" fieldPosition="0">
        <references count="5">
          <reference field="0" count="1" selected="0">
            <x v="2"/>
          </reference>
          <reference field="3" count="1" selected="0">
            <x v="13"/>
          </reference>
          <reference field="4" count="1" selected="0">
            <x v="216"/>
          </reference>
          <reference field="5" count="1" selected="0">
            <x v="215"/>
          </reference>
          <reference field="7" count="1">
            <x v="975"/>
          </reference>
        </references>
      </pivotArea>
    </format>
    <format dxfId="1252">
      <pivotArea dataOnly="0" labelOnly="1" outline="0" fieldPosition="0">
        <references count="5">
          <reference field="0" count="1" selected="0">
            <x v="2"/>
          </reference>
          <reference field="3" count="1" selected="0">
            <x v="13"/>
          </reference>
          <reference field="4" count="1" selected="0">
            <x v="216"/>
          </reference>
          <reference field="5" count="1" selected="0">
            <x v="224"/>
          </reference>
          <reference field="7" count="1">
            <x v="757"/>
          </reference>
        </references>
      </pivotArea>
    </format>
    <format dxfId="1251">
      <pivotArea dataOnly="0" labelOnly="1" outline="0" fieldPosition="0">
        <references count="5">
          <reference field="0" count="1" selected="0">
            <x v="2"/>
          </reference>
          <reference field="3" count="1" selected="0">
            <x v="13"/>
          </reference>
          <reference field="4" count="1" selected="0">
            <x v="216"/>
          </reference>
          <reference field="5" count="1" selected="0">
            <x v="283"/>
          </reference>
          <reference field="7" count="1">
            <x v="756"/>
          </reference>
        </references>
      </pivotArea>
    </format>
    <format dxfId="1250">
      <pivotArea dataOnly="0" labelOnly="1" outline="0" fieldPosition="0">
        <references count="5">
          <reference field="0" count="1" selected="0">
            <x v="2"/>
          </reference>
          <reference field="3" count="1" selected="0">
            <x v="13"/>
          </reference>
          <reference field="4" count="1" selected="0">
            <x v="216"/>
          </reference>
          <reference field="5" count="1" selected="0">
            <x v="336"/>
          </reference>
          <reference field="7" count="1">
            <x v="1593"/>
          </reference>
        </references>
      </pivotArea>
    </format>
    <format dxfId="1249">
      <pivotArea dataOnly="0" labelOnly="1" outline="0" fieldPosition="0">
        <references count="5">
          <reference field="0" count="1" selected="0">
            <x v="2"/>
          </reference>
          <reference field="3" count="1" selected="0">
            <x v="13"/>
          </reference>
          <reference field="4" count="1" selected="0">
            <x v="216"/>
          </reference>
          <reference field="5" count="1" selected="0">
            <x v="635"/>
          </reference>
          <reference field="7" count="1">
            <x v="230"/>
          </reference>
        </references>
      </pivotArea>
    </format>
    <format dxfId="1248">
      <pivotArea dataOnly="0" labelOnly="1" outline="0" fieldPosition="0">
        <references count="5">
          <reference field="0" count="1" selected="0">
            <x v="2"/>
          </reference>
          <reference field="3" count="1" selected="0">
            <x v="13"/>
          </reference>
          <reference field="4" count="1" selected="0">
            <x v="216"/>
          </reference>
          <reference field="5" count="1" selected="0">
            <x v="636"/>
          </reference>
          <reference field="7" count="1">
            <x v="1184"/>
          </reference>
        </references>
      </pivotArea>
    </format>
    <format dxfId="1247">
      <pivotArea dataOnly="0" labelOnly="1" outline="0" fieldPosition="0">
        <references count="5">
          <reference field="0" count="1" selected="0">
            <x v="2"/>
          </reference>
          <reference field="3" count="1" selected="0">
            <x v="13"/>
          </reference>
          <reference field="4" count="1" selected="0">
            <x v="216"/>
          </reference>
          <reference field="5" count="1" selected="0">
            <x v="637"/>
          </reference>
          <reference field="7" count="1">
            <x v="1183"/>
          </reference>
        </references>
      </pivotArea>
    </format>
    <format dxfId="1246">
      <pivotArea dataOnly="0" labelOnly="1" outline="0" fieldPosition="0">
        <references count="5">
          <reference field="0" count="1" selected="0">
            <x v="2"/>
          </reference>
          <reference field="3" count="1" selected="0">
            <x v="13"/>
          </reference>
          <reference field="4" count="1" selected="0">
            <x v="216"/>
          </reference>
          <reference field="5" count="1" selected="0">
            <x v="638"/>
          </reference>
          <reference field="7" count="1">
            <x v="1182"/>
          </reference>
        </references>
      </pivotArea>
    </format>
    <format dxfId="1245">
      <pivotArea dataOnly="0" labelOnly="1" outline="0" fieldPosition="0">
        <references count="5">
          <reference field="0" count="1" selected="0">
            <x v="2"/>
          </reference>
          <reference field="3" count="1" selected="0">
            <x v="13"/>
          </reference>
          <reference field="4" count="1" selected="0">
            <x v="216"/>
          </reference>
          <reference field="5" count="1" selected="0">
            <x v="639"/>
          </reference>
          <reference field="7" count="1">
            <x v="1181"/>
          </reference>
        </references>
      </pivotArea>
    </format>
    <format dxfId="1244">
      <pivotArea dataOnly="0" labelOnly="1" outline="0" fieldPosition="0">
        <references count="5">
          <reference field="0" count="1" selected="0">
            <x v="2"/>
          </reference>
          <reference field="3" count="1" selected="0">
            <x v="13"/>
          </reference>
          <reference field="4" count="1" selected="0">
            <x v="216"/>
          </reference>
          <reference field="5" count="1" selected="0">
            <x v="640"/>
          </reference>
          <reference field="7" count="1">
            <x v="1188"/>
          </reference>
        </references>
      </pivotArea>
    </format>
    <format dxfId="1243">
      <pivotArea dataOnly="0" labelOnly="1" outline="0" fieldPosition="0">
        <references count="5">
          <reference field="0" count="1" selected="0">
            <x v="2"/>
          </reference>
          <reference field="3" count="1" selected="0">
            <x v="13"/>
          </reference>
          <reference field="4" count="1" selected="0">
            <x v="216"/>
          </reference>
          <reference field="5" count="1" selected="0">
            <x v="641"/>
          </reference>
          <reference field="7" count="1">
            <x v="1187"/>
          </reference>
        </references>
      </pivotArea>
    </format>
    <format dxfId="1242">
      <pivotArea dataOnly="0" labelOnly="1" outline="0" fieldPosition="0">
        <references count="5">
          <reference field="0" count="1" selected="0">
            <x v="2"/>
          </reference>
          <reference field="3" count="1" selected="0">
            <x v="13"/>
          </reference>
          <reference field="4" count="1" selected="0">
            <x v="216"/>
          </reference>
          <reference field="5" count="1" selected="0">
            <x v="642"/>
          </reference>
          <reference field="7" count="1">
            <x v="1186"/>
          </reference>
        </references>
      </pivotArea>
    </format>
    <format dxfId="1241">
      <pivotArea dataOnly="0" labelOnly="1" outline="0" fieldPosition="0">
        <references count="5">
          <reference field="0" count="1" selected="0">
            <x v="2"/>
          </reference>
          <reference field="3" count="1" selected="0">
            <x v="13"/>
          </reference>
          <reference field="4" count="1" selected="0">
            <x v="216"/>
          </reference>
          <reference field="5" count="1" selected="0">
            <x v="643"/>
          </reference>
          <reference field="7" count="1">
            <x v="1185"/>
          </reference>
        </references>
      </pivotArea>
    </format>
    <format dxfId="1240">
      <pivotArea dataOnly="0" labelOnly="1" outline="0" fieldPosition="0">
        <references count="5">
          <reference field="0" count="1" selected="0">
            <x v="2"/>
          </reference>
          <reference field="3" count="1" selected="0">
            <x v="13"/>
          </reference>
          <reference field="4" count="1" selected="0">
            <x v="216"/>
          </reference>
          <reference field="5" count="1" selected="0">
            <x v="644"/>
          </reference>
          <reference field="7" count="1">
            <x v="853"/>
          </reference>
        </references>
      </pivotArea>
    </format>
    <format dxfId="1239">
      <pivotArea dataOnly="0" labelOnly="1" outline="0" fieldPosition="0">
        <references count="5">
          <reference field="0" count="1" selected="0">
            <x v="2"/>
          </reference>
          <reference field="3" count="1" selected="0">
            <x v="13"/>
          </reference>
          <reference field="4" count="1" selected="0">
            <x v="216"/>
          </reference>
          <reference field="5" count="1" selected="0">
            <x v="645"/>
          </reference>
          <reference field="7" count="1">
            <x v="1444"/>
          </reference>
        </references>
      </pivotArea>
    </format>
    <format dxfId="1238">
      <pivotArea dataOnly="0" labelOnly="1" outline="0" fieldPosition="0">
        <references count="5">
          <reference field="0" count="1" selected="0">
            <x v="2"/>
          </reference>
          <reference field="3" count="1" selected="0">
            <x v="13"/>
          </reference>
          <reference field="4" count="1" selected="0">
            <x v="216"/>
          </reference>
          <reference field="5" count="1" selected="0">
            <x v="646"/>
          </reference>
          <reference field="7" count="1">
            <x v="1443"/>
          </reference>
        </references>
      </pivotArea>
    </format>
    <format dxfId="1237">
      <pivotArea dataOnly="0" labelOnly="1" outline="0" fieldPosition="0">
        <references count="5">
          <reference field="0" count="1" selected="0">
            <x v="2"/>
          </reference>
          <reference field="3" count="1" selected="0">
            <x v="13"/>
          </reference>
          <reference field="4" count="1" selected="0">
            <x v="216"/>
          </reference>
          <reference field="5" count="1" selected="0">
            <x v="647"/>
          </reference>
          <reference field="7" count="1">
            <x v="1447"/>
          </reference>
        </references>
      </pivotArea>
    </format>
    <format dxfId="1236">
      <pivotArea dataOnly="0" labelOnly="1" outline="0" fieldPosition="0">
        <references count="5">
          <reference field="0" count="1" selected="0">
            <x v="2"/>
          </reference>
          <reference field="3" count="1" selected="0">
            <x v="13"/>
          </reference>
          <reference field="4" count="1" selected="0">
            <x v="216"/>
          </reference>
          <reference field="5" count="1" selected="0">
            <x v="648"/>
          </reference>
          <reference field="7" count="1">
            <x v="1446"/>
          </reference>
        </references>
      </pivotArea>
    </format>
    <format dxfId="1235">
      <pivotArea dataOnly="0" labelOnly="1" outline="0" fieldPosition="0">
        <references count="5">
          <reference field="0" count="1" selected="0">
            <x v="2"/>
          </reference>
          <reference field="3" count="1" selected="0">
            <x v="13"/>
          </reference>
          <reference field="4" count="1" selected="0">
            <x v="216"/>
          </reference>
          <reference field="5" count="1" selected="0">
            <x v="649"/>
          </reference>
          <reference field="7" count="1">
            <x v="1445"/>
          </reference>
        </references>
      </pivotArea>
    </format>
    <format dxfId="1234">
      <pivotArea dataOnly="0" labelOnly="1" outline="0" fieldPosition="0">
        <references count="5">
          <reference field="0" count="1" selected="0">
            <x v="2"/>
          </reference>
          <reference field="3" count="1" selected="0">
            <x v="13"/>
          </reference>
          <reference field="4" count="1" selected="0">
            <x v="216"/>
          </reference>
          <reference field="5" count="1" selected="0">
            <x v="650"/>
          </reference>
          <reference field="7" count="1">
            <x v="1189"/>
          </reference>
        </references>
      </pivotArea>
    </format>
    <format dxfId="1233">
      <pivotArea dataOnly="0" labelOnly="1" outline="0" fieldPosition="0">
        <references count="5">
          <reference field="0" count="1" selected="0">
            <x v="2"/>
          </reference>
          <reference field="3" count="1" selected="0">
            <x v="13"/>
          </reference>
          <reference field="4" count="1" selected="0">
            <x v="216"/>
          </reference>
          <reference field="5" count="1" selected="0">
            <x v="651"/>
          </reference>
          <reference field="7" count="1">
            <x v="1450"/>
          </reference>
        </references>
      </pivotArea>
    </format>
    <format dxfId="1232">
      <pivotArea dataOnly="0" labelOnly="1" outline="0" fieldPosition="0">
        <references count="5">
          <reference field="0" count="1" selected="0">
            <x v="2"/>
          </reference>
          <reference field="3" count="1" selected="0">
            <x v="13"/>
          </reference>
          <reference field="4" count="1" selected="0">
            <x v="216"/>
          </reference>
          <reference field="5" count="1" selected="0">
            <x v="652"/>
          </reference>
          <reference field="7" count="1">
            <x v="1449"/>
          </reference>
        </references>
      </pivotArea>
    </format>
    <format dxfId="1231">
      <pivotArea dataOnly="0" labelOnly="1" outline="0" fieldPosition="0">
        <references count="5">
          <reference field="0" count="1" selected="0">
            <x v="2"/>
          </reference>
          <reference field="3" count="1" selected="0">
            <x v="13"/>
          </reference>
          <reference field="4" count="1" selected="0">
            <x v="216"/>
          </reference>
          <reference field="5" count="1" selected="0">
            <x v="653"/>
          </reference>
          <reference field="7" count="1">
            <x v="1448"/>
          </reference>
        </references>
      </pivotArea>
    </format>
    <format dxfId="1230">
      <pivotArea dataOnly="0" labelOnly="1" outline="0" fieldPosition="0">
        <references count="5">
          <reference field="0" count="1" selected="0">
            <x v="2"/>
          </reference>
          <reference field="3" count="1" selected="0">
            <x v="13"/>
          </reference>
          <reference field="4" count="1" selected="0">
            <x v="216"/>
          </reference>
          <reference field="5" count="1" selected="0">
            <x v="654"/>
          </reference>
          <reference field="7" count="1">
            <x v="912"/>
          </reference>
        </references>
      </pivotArea>
    </format>
    <format dxfId="1229">
      <pivotArea dataOnly="0" labelOnly="1" outline="0" fieldPosition="0">
        <references count="5">
          <reference field="0" count="1" selected="0">
            <x v="2"/>
          </reference>
          <reference field="3" count="1" selected="0">
            <x v="13"/>
          </reference>
          <reference field="4" count="1" selected="0">
            <x v="216"/>
          </reference>
          <reference field="5" count="1" selected="0">
            <x v="655"/>
          </reference>
          <reference field="7" count="1">
            <x v="855"/>
          </reference>
        </references>
      </pivotArea>
    </format>
    <format dxfId="1228">
      <pivotArea dataOnly="0" labelOnly="1" outline="0" fieldPosition="0">
        <references count="5">
          <reference field="0" count="1" selected="0">
            <x v="2"/>
          </reference>
          <reference field="3" count="1" selected="0">
            <x v="13"/>
          </reference>
          <reference field="4" count="1" selected="0">
            <x v="216"/>
          </reference>
          <reference field="5" count="1" selected="0">
            <x v="656"/>
          </reference>
          <reference field="7" count="1">
            <x v="1191"/>
          </reference>
        </references>
      </pivotArea>
    </format>
    <format dxfId="1227">
      <pivotArea dataOnly="0" labelOnly="1" outline="0" fieldPosition="0">
        <references count="5">
          <reference field="0" count="1" selected="0">
            <x v="2"/>
          </reference>
          <reference field="3" count="1" selected="0">
            <x v="13"/>
          </reference>
          <reference field="4" count="1" selected="0">
            <x v="216"/>
          </reference>
          <reference field="5" count="1" selected="0">
            <x v="657"/>
          </reference>
          <reference field="7" count="1">
            <x v="401"/>
          </reference>
        </references>
      </pivotArea>
    </format>
    <format dxfId="1226">
      <pivotArea dataOnly="0" labelOnly="1" outline="0" fieldPosition="0">
        <references count="5">
          <reference field="0" count="1" selected="0">
            <x v="2"/>
          </reference>
          <reference field="3" count="1" selected="0">
            <x v="13"/>
          </reference>
          <reference field="4" count="1" selected="0">
            <x v="216"/>
          </reference>
          <reference field="5" count="1" selected="0">
            <x v="658"/>
          </reference>
          <reference field="7" count="1">
            <x v="904"/>
          </reference>
        </references>
      </pivotArea>
    </format>
    <format dxfId="1225">
      <pivotArea dataOnly="0" labelOnly="1" outline="0" fieldPosition="0">
        <references count="5">
          <reference field="0" count="1" selected="0">
            <x v="2"/>
          </reference>
          <reference field="3" count="1" selected="0">
            <x v="13"/>
          </reference>
          <reference field="4" count="1" selected="0">
            <x v="216"/>
          </reference>
          <reference field="5" count="1" selected="0">
            <x v="659"/>
          </reference>
          <reference field="7" count="1">
            <x v="400"/>
          </reference>
        </references>
      </pivotArea>
    </format>
    <format dxfId="1224">
      <pivotArea dataOnly="0" labelOnly="1" outline="0" fieldPosition="0">
        <references count="5">
          <reference field="0" count="1" selected="0">
            <x v="2"/>
          </reference>
          <reference field="3" count="1" selected="0">
            <x v="13"/>
          </reference>
          <reference field="4" count="1" selected="0">
            <x v="216"/>
          </reference>
          <reference field="5" count="1" selected="0">
            <x v="660"/>
          </reference>
          <reference field="7" count="1">
            <x v="868"/>
          </reference>
        </references>
      </pivotArea>
    </format>
    <format dxfId="1223">
      <pivotArea dataOnly="0" labelOnly="1" outline="0" fieldPosition="0">
        <references count="5">
          <reference field="0" count="1" selected="0">
            <x v="2"/>
          </reference>
          <reference field="3" count="1" selected="0">
            <x v="13"/>
          </reference>
          <reference field="4" count="1" selected="0">
            <x v="216"/>
          </reference>
          <reference field="5" count="1" selected="0">
            <x v="661"/>
          </reference>
          <reference field="7" count="1">
            <x v="1199"/>
          </reference>
        </references>
      </pivotArea>
    </format>
    <format dxfId="1222">
      <pivotArea dataOnly="0" labelOnly="1" outline="0" fieldPosition="0">
        <references count="5">
          <reference field="0" count="1" selected="0">
            <x v="2"/>
          </reference>
          <reference field="3" count="1" selected="0">
            <x v="13"/>
          </reference>
          <reference field="4" count="1" selected="0">
            <x v="216"/>
          </reference>
          <reference field="5" count="1" selected="0">
            <x v="662"/>
          </reference>
          <reference field="7" count="1">
            <x v="867"/>
          </reference>
        </references>
      </pivotArea>
    </format>
    <format dxfId="1221">
      <pivotArea dataOnly="0" labelOnly="1" outline="0" fieldPosition="0">
        <references count="5">
          <reference field="0" count="1" selected="0">
            <x v="2"/>
          </reference>
          <reference field="3" count="1" selected="0">
            <x v="13"/>
          </reference>
          <reference field="4" count="1" selected="0">
            <x v="216"/>
          </reference>
          <reference field="5" count="1" selected="0">
            <x v="663"/>
          </reference>
          <reference field="7" count="1">
            <x v="1198"/>
          </reference>
        </references>
      </pivotArea>
    </format>
    <format dxfId="1220">
      <pivotArea dataOnly="0" labelOnly="1" outline="0" fieldPosition="0">
        <references count="5">
          <reference field="0" count="1" selected="0">
            <x v="2"/>
          </reference>
          <reference field="3" count="1" selected="0">
            <x v="13"/>
          </reference>
          <reference field="4" count="1" selected="0">
            <x v="216"/>
          </reference>
          <reference field="5" count="1" selected="0">
            <x v="664"/>
          </reference>
          <reference field="7" count="1">
            <x v="1558"/>
          </reference>
        </references>
      </pivotArea>
    </format>
    <format dxfId="1219">
      <pivotArea dataOnly="0" labelOnly="1" outline="0" fieldPosition="0">
        <references count="5">
          <reference field="0" count="1" selected="0">
            <x v="2"/>
          </reference>
          <reference field="3" count="1" selected="0">
            <x v="13"/>
          </reference>
          <reference field="4" count="1" selected="0">
            <x v="216"/>
          </reference>
          <reference field="5" count="1" selected="0">
            <x v="665"/>
          </reference>
          <reference field="7" count="1">
            <x v="1008"/>
          </reference>
        </references>
      </pivotArea>
    </format>
    <format dxfId="1218">
      <pivotArea dataOnly="0" labelOnly="1" outline="0" fieldPosition="0">
        <references count="5">
          <reference field="0" count="1" selected="0">
            <x v="2"/>
          </reference>
          <reference field="3" count="1" selected="0">
            <x v="13"/>
          </reference>
          <reference field="4" count="1" selected="0">
            <x v="216"/>
          </reference>
          <reference field="5" count="1" selected="0">
            <x v="666"/>
          </reference>
          <reference field="7" count="1">
            <x v="1009"/>
          </reference>
        </references>
      </pivotArea>
    </format>
    <format dxfId="1217">
      <pivotArea dataOnly="0" labelOnly="1" outline="0" fieldPosition="0">
        <references count="5">
          <reference field="0" count="1" selected="0">
            <x v="2"/>
          </reference>
          <reference field="3" count="1" selected="0">
            <x v="13"/>
          </reference>
          <reference field="4" count="1" selected="0">
            <x v="216"/>
          </reference>
          <reference field="5" count="1" selected="0">
            <x v="667"/>
          </reference>
          <reference field="7" count="1">
            <x v="913"/>
          </reference>
        </references>
      </pivotArea>
    </format>
    <format dxfId="1216">
      <pivotArea dataOnly="0" labelOnly="1" outline="0" fieldPosition="0">
        <references count="5">
          <reference field="0" count="1" selected="0">
            <x v="2"/>
          </reference>
          <reference field="3" count="1" selected="0">
            <x v="13"/>
          </reference>
          <reference field="4" count="1" selected="0">
            <x v="216"/>
          </reference>
          <reference field="5" count="1" selected="0">
            <x v="668"/>
          </reference>
          <reference field="7" count="1">
            <x v="1559"/>
          </reference>
        </references>
      </pivotArea>
    </format>
    <format dxfId="1215">
      <pivotArea dataOnly="0" labelOnly="1" outline="0" fieldPosition="0">
        <references count="5">
          <reference field="0" count="1" selected="0">
            <x v="2"/>
          </reference>
          <reference field="3" count="1" selected="0">
            <x v="13"/>
          </reference>
          <reference field="4" count="1" selected="0">
            <x v="216"/>
          </reference>
          <reference field="5" count="1" selected="0">
            <x v="669"/>
          </reference>
          <reference field="7" count="1">
            <x v="917"/>
          </reference>
        </references>
      </pivotArea>
    </format>
    <format dxfId="1214">
      <pivotArea dataOnly="0" labelOnly="1" outline="0" fieldPosition="0">
        <references count="5">
          <reference field="0" count="1" selected="0">
            <x v="2"/>
          </reference>
          <reference field="3" count="1" selected="0">
            <x v="13"/>
          </reference>
          <reference field="4" count="1" selected="0">
            <x v="216"/>
          </reference>
          <reference field="5" count="1" selected="0">
            <x v="670"/>
          </reference>
          <reference field="7" count="1">
            <x v="1562"/>
          </reference>
        </references>
      </pivotArea>
    </format>
    <format dxfId="1213">
      <pivotArea dataOnly="0" labelOnly="1" outline="0" fieldPosition="0">
        <references count="5">
          <reference field="0" count="1" selected="0">
            <x v="2"/>
          </reference>
          <reference field="3" count="1" selected="0">
            <x v="13"/>
          </reference>
          <reference field="4" count="1" selected="0">
            <x v="216"/>
          </reference>
          <reference field="5" count="1" selected="0">
            <x v="671"/>
          </reference>
          <reference field="7" count="1">
            <x v="860"/>
          </reference>
        </references>
      </pivotArea>
    </format>
    <format dxfId="1212">
      <pivotArea dataOnly="0" labelOnly="1" outline="0" fieldPosition="0">
        <references count="5">
          <reference field="0" count="1" selected="0">
            <x v="2"/>
          </reference>
          <reference field="3" count="1" selected="0">
            <x v="13"/>
          </reference>
          <reference field="4" count="1" selected="0">
            <x v="216"/>
          </reference>
          <reference field="5" count="1" selected="0">
            <x v="672"/>
          </reference>
          <reference field="7" count="1">
            <x v="50"/>
          </reference>
        </references>
      </pivotArea>
    </format>
    <format dxfId="1211">
      <pivotArea dataOnly="0" labelOnly="1" outline="0" fieldPosition="0">
        <references count="5">
          <reference field="0" count="1" selected="0">
            <x v="2"/>
          </reference>
          <reference field="3" count="1" selected="0">
            <x v="13"/>
          </reference>
          <reference field="4" count="1" selected="0">
            <x v="216"/>
          </reference>
          <reference field="5" count="1" selected="0">
            <x v="673"/>
          </reference>
          <reference field="7" count="1">
            <x v="890"/>
          </reference>
        </references>
      </pivotArea>
    </format>
    <format dxfId="1210">
      <pivotArea dataOnly="0" labelOnly="1" outline="0" fieldPosition="0">
        <references count="5">
          <reference field="0" count="1" selected="0">
            <x v="2"/>
          </reference>
          <reference field="3" count="1" selected="0">
            <x v="13"/>
          </reference>
          <reference field="4" count="1" selected="0">
            <x v="216"/>
          </reference>
          <reference field="5" count="1" selected="0">
            <x v="674"/>
          </reference>
          <reference field="7" count="1">
            <x v="892"/>
          </reference>
        </references>
      </pivotArea>
    </format>
    <format dxfId="1209">
      <pivotArea dataOnly="0" labelOnly="1" outline="0" fieldPosition="0">
        <references count="5">
          <reference field="0" count="1" selected="0">
            <x v="2"/>
          </reference>
          <reference field="3" count="1" selected="0">
            <x v="13"/>
          </reference>
          <reference field="4" count="1" selected="0">
            <x v="216"/>
          </reference>
          <reference field="5" count="1" selected="0">
            <x v="675"/>
          </reference>
          <reference field="7" count="1">
            <x v="1195"/>
          </reference>
        </references>
      </pivotArea>
    </format>
    <format dxfId="1208">
      <pivotArea dataOnly="0" labelOnly="1" outline="0" fieldPosition="0">
        <references count="5">
          <reference field="0" count="1" selected="0">
            <x v="2"/>
          </reference>
          <reference field="3" count="1" selected="0">
            <x v="13"/>
          </reference>
          <reference field="4" count="1" selected="0">
            <x v="216"/>
          </reference>
          <reference field="5" count="1" selected="0">
            <x v="676"/>
          </reference>
          <reference field="7" count="1">
            <x v="54"/>
          </reference>
        </references>
      </pivotArea>
    </format>
    <format dxfId="1207">
      <pivotArea dataOnly="0" labelOnly="1" outline="0" fieldPosition="0">
        <references count="5">
          <reference field="0" count="1" selected="0">
            <x v="2"/>
          </reference>
          <reference field="3" count="1" selected="0">
            <x v="13"/>
          </reference>
          <reference field="4" count="1" selected="0">
            <x v="216"/>
          </reference>
          <reference field="5" count="1" selected="0">
            <x v="677"/>
          </reference>
          <reference field="7" count="1">
            <x v="891"/>
          </reference>
        </references>
      </pivotArea>
    </format>
    <format dxfId="1206">
      <pivotArea dataOnly="0" labelOnly="1" outline="0" fieldPosition="0">
        <references count="5">
          <reference field="0" count="1" selected="0">
            <x v="2"/>
          </reference>
          <reference field="3" count="1" selected="0">
            <x v="13"/>
          </reference>
          <reference field="4" count="1" selected="0">
            <x v="216"/>
          </reference>
          <reference field="5" count="1" selected="0">
            <x v="678"/>
          </reference>
          <reference field="7" count="1">
            <x v="893"/>
          </reference>
        </references>
      </pivotArea>
    </format>
    <format dxfId="1205">
      <pivotArea dataOnly="0" labelOnly="1" outline="0" fieldPosition="0">
        <references count="5">
          <reference field="0" count="1" selected="0">
            <x v="2"/>
          </reference>
          <reference field="3" count="1" selected="0">
            <x v="13"/>
          </reference>
          <reference field="4" count="1" selected="0">
            <x v="216"/>
          </reference>
          <reference field="5" count="1" selected="0">
            <x v="679"/>
          </reference>
          <reference field="7" count="1">
            <x v="887"/>
          </reference>
        </references>
      </pivotArea>
    </format>
    <format dxfId="1204">
      <pivotArea dataOnly="0" labelOnly="1" outline="0" fieldPosition="0">
        <references count="5">
          <reference field="0" count="1" selected="0">
            <x v="2"/>
          </reference>
          <reference field="3" count="1" selected="0">
            <x v="14"/>
          </reference>
          <reference field="4" count="1" selected="0">
            <x v="5"/>
          </reference>
          <reference field="5" count="1" selected="0">
            <x v="349"/>
          </reference>
          <reference field="7" count="1">
            <x v="117"/>
          </reference>
        </references>
      </pivotArea>
    </format>
    <format dxfId="1203">
      <pivotArea dataOnly="0" labelOnly="1" outline="0" fieldPosition="0">
        <references count="5">
          <reference field="0" count="1" selected="0">
            <x v="2"/>
          </reference>
          <reference field="3" count="1" selected="0">
            <x v="14"/>
          </reference>
          <reference field="4" count="1" selected="0">
            <x v="5"/>
          </reference>
          <reference field="5" count="1" selected="0">
            <x v="350"/>
          </reference>
          <reference field="7" count="1">
            <x v="1024"/>
          </reference>
        </references>
      </pivotArea>
    </format>
    <format dxfId="1202">
      <pivotArea dataOnly="0" labelOnly="1" outline="0" fieldPosition="0">
        <references count="5">
          <reference field="0" count="1" selected="0">
            <x v="2"/>
          </reference>
          <reference field="3" count="1" selected="0">
            <x v="14"/>
          </reference>
          <reference field="4" count="1" selected="0">
            <x v="5"/>
          </reference>
          <reference field="5" count="1" selected="0">
            <x v="387"/>
          </reference>
          <reference field="7" count="1">
            <x v="114"/>
          </reference>
        </references>
      </pivotArea>
    </format>
    <format dxfId="1201">
      <pivotArea dataOnly="0" labelOnly="1" outline="0" fieldPosition="0">
        <references count="5">
          <reference field="0" count="1" selected="0">
            <x v="2"/>
          </reference>
          <reference field="3" count="1" selected="0">
            <x v="14"/>
          </reference>
          <reference field="4" count="1" selected="0">
            <x v="7"/>
          </reference>
          <reference field="5" count="1" selected="0">
            <x v="7"/>
          </reference>
          <reference field="7" count="1">
            <x v="663"/>
          </reference>
        </references>
      </pivotArea>
    </format>
    <format dxfId="1200">
      <pivotArea dataOnly="0" labelOnly="1" outline="0" fieldPosition="0">
        <references count="5">
          <reference field="0" count="1" selected="0">
            <x v="2"/>
          </reference>
          <reference field="3" count="1" selected="0">
            <x v="14"/>
          </reference>
          <reference field="4" count="1" selected="0">
            <x v="7"/>
          </reference>
          <reference field="5" count="1" selected="0">
            <x v="387"/>
          </reference>
          <reference field="7" count="1">
            <x v="114"/>
          </reference>
        </references>
      </pivotArea>
    </format>
    <format dxfId="1199">
      <pivotArea dataOnly="0" labelOnly="1" outline="0" fieldPosition="0">
        <references count="5">
          <reference field="0" count="1" selected="0">
            <x v="2"/>
          </reference>
          <reference field="3" count="1" selected="0">
            <x v="14"/>
          </reference>
          <reference field="4" count="1" selected="0">
            <x v="50"/>
          </reference>
          <reference field="5" count="1" selected="0">
            <x v="682"/>
          </reference>
          <reference field="7" count="1">
            <x v="189"/>
          </reference>
        </references>
      </pivotArea>
    </format>
    <format dxfId="1198">
      <pivotArea dataOnly="0" labelOnly="1" outline="0" fieldPosition="0">
        <references count="5">
          <reference field="0" count="1" selected="0">
            <x v="2"/>
          </reference>
          <reference field="3" count="1" selected="0">
            <x v="14"/>
          </reference>
          <reference field="4" count="1" selected="0">
            <x v="50"/>
          </reference>
          <reference field="5" count="1" selected="0">
            <x v="683"/>
          </reference>
          <reference field="7" count="1">
            <x v="785"/>
          </reference>
        </references>
      </pivotArea>
    </format>
    <format dxfId="1197">
      <pivotArea dataOnly="0" labelOnly="1" outline="0" fieldPosition="0">
        <references count="5">
          <reference field="0" count="1" selected="0">
            <x v="2"/>
          </reference>
          <reference field="3" count="1" selected="0">
            <x v="14"/>
          </reference>
          <reference field="4" count="1" selected="0">
            <x v="50"/>
          </reference>
          <reference field="5" count="1" selected="0">
            <x v="684"/>
          </reference>
          <reference field="7" count="1">
            <x v="786"/>
          </reference>
        </references>
      </pivotArea>
    </format>
    <format dxfId="1196">
      <pivotArea dataOnly="0" labelOnly="1" outline="0" fieldPosition="0">
        <references count="5">
          <reference field="0" count="1" selected="0">
            <x v="2"/>
          </reference>
          <reference field="3" count="1" selected="0">
            <x v="14"/>
          </reference>
          <reference field="4" count="1" selected="0">
            <x v="50"/>
          </reference>
          <reference field="5" count="1" selected="0">
            <x v="685"/>
          </reference>
          <reference field="7" count="1">
            <x v="784"/>
          </reference>
        </references>
      </pivotArea>
    </format>
    <format dxfId="1195">
      <pivotArea dataOnly="0" labelOnly="1" outline="0" fieldPosition="0">
        <references count="5">
          <reference field="0" count="1" selected="0">
            <x v="2"/>
          </reference>
          <reference field="3" count="1" selected="0">
            <x v="14"/>
          </reference>
          <reference field="4" count="1" selected="0">
            <x v="50"/>
          </reference>
          <reference field="5" count="1" selected="0">
            <x v="686"/>
          </reference>
          <reference field="7" count="1">
            <x v="1047"/>
          </reference>
        </references>
      </pivotArea>
    </format>
    <format dxfId="1194">
      <pivotArea dataOnly="0" labelOnly="1" outline="0" fieldPosition="0">
        <references count="5">
          <reference field="0" count="1" selected="0">
            <x v="2"/>
          </reference>
          <reference field="3" count="1" selected="0">
            <x v="14"/>
          </reference>
          <reference field="4" count="1" selected="0">
            <x v="68"/>
          </reference>
          <reference field="5" count="1" selected="0">
            <x v="680"/>
          </reference>
          <reference field="7" count="1">
            <x v="221"/>
          </reference>
        </references>
      </pivotArea>
    </format>
    <format dxfId="1193">
      <pivotArea dataOnly="0" labelOnly="1" outline="0" fieldPosition="0">
        <references count="5">
          <reference field="0" count="1" selected="0">
            <x v="2"/>
          </reference>
          <reference field="3" count="1" selected="0">
            <x v="14"/>
          </reference>
          <reference field="4" count="1" selected="0">
            <x v="70"/>
          </reference>
          <reference field="5" count="1" selected="0">
            <x v="279"/>
          </reference>
          <reference field="7" count="1">
            <x v="752"/>
          </reference>
        </references>
      </pivotArea>
    </format>
    <format dxfId="1192">
      <pivotArea dataOnly="0" labelOnly="1" outline="0" fieldPosition="0">
        <references count="5">
          <reference field="0" count="1" selected="0">
            <x v="2"/>
          </reference>
          <reference field="3" count="1" selected="0">
            <x v="14"/>
          </reference>
          <reference field="4" count="1" selected="0">
            <x v="70"/>
          </reference>
          <reference field="5" count="1" selected="0">
            <x v="282"/>
          </reference>
          <reference field="7" count="1">
            <x v="755"/>
          </reference>
        </references>
      </pivotArea>
    </format>
    <format dxfId="1191">
      <pivotArea dataOnly="0" labelOnly="1" outline="0" fieldPosition="0">
        <references count="5">
          <reference field="0" count="1" selected="0">
            <x v="2"/>
          </reference>
          <reference field="3" count="1" selected="0">
            <x v="14"/>
          </reference>
          <reference field="4" count="1" selected="0">
            <x v="70"/>
          </reference>
          <reference field="5" count="1" selected="0">
            <x v="681"/>
          </reference>
          <reference field="7" count="1">
            <x v="864"/>
          </reference>
        </references>
      </pivotArea>
    </format>
    <format dxfId="1190">
      <pivotArea dataOnly="0" labelOnly="1" outline="0" fieldPosition="0">
        <references count="5">
          <reference field="0" count="1" selected="0">
            <x v="2"/>
          </reference>
          <reference field="3" count="1" selected="0">
            <x v="14"/>
          </reference>
          <reference field="4" count="1" selected="0">
            <x v="70"/>
          </reference>
          <reference field="5" count="1" selected="0">
            <x v="687"/>
          </reference>
          <reference field="7" count="1">
            <x v="1442"/>
          </reference>
        </references>
      </pivotArea>
    </format>
    <format dxfId="1189">
      <pivotArea dataOnly="0" labelOnly="1" outline="0" fieldPosition="0">
        <references count="5">
          <reference field="0" count="1" selected="0">
            <x v="2"/>
          </reference>
          <reference field="3" count="1" selected="0">
            <x v="14"/>
          </reference>
          <reference field="4" count="1" selected="0">
            <x v="81"/>
          </reference>
          <reference field="5" count="1" selected="0">
            <x v="155"/>
          </reference>
          <reference field="7" count="1">
            <x v="1066"/>
          </reference>
        </references>
      </pivotArea>
    </format>
    <format dxfId="1188">
      <pivotArea dataOnly="0" labelOnly="1" outline="0" fieldPosition="0">
        <references count="5">
          <reference field="0" count="1" selected="0">
            <x v="2"/>
          </reference>
          <reference field="3" count="1" selected="0">
            <x v="14"/>
          </reference>
          <reference field="4" count="1" selected="0">
            <x v="81"/>
          </reference>
          <reference field="5" count="1" selected="0">
            <x v="259"/>
          </reference>
          <reference field="7" count="1">
            <x v="968"/>
          </reference>
        </references>
      </pivotArea>
    </format>
    <format dxfId="1187">
      <pivotArea dataOnly="0" labelOnly="1" outline="0" fieldPosition="0">
        <references count="5">
          <reference field="0" count="1" selected="0">
            <x v="2"/>
          </reference>
          <reference field="3" count="1" selected="0">
            <x v="14"/>
          </reference>
          <reference field="4" count="1" selected="0">
            <x v="81"/>
          </reference>
          <reference field="5" count="1" selected="0">
            <x v="726"/>
          </reference>
          <reference field="7" count="1">
            <x v="243"/>
          </reference>
        </references>
      </pivotArea>
    </format>
    <format dxfId="1186">
      <pivotArea dataOnly="0" labelOnly="1" outline="0" fieldPosition="0">
        <references count="5">
          <reference field="0" count="1" selected="0">
            <x v="2"/>
          </reference>
          <reference field="3" count="1" selected="0">
            <x v="14"/>
          </reference>
          <reference field="4" count="1" selected="0">
            <x v="81"/>
          </reference>
          <reference field="5" count="1" selected="0">
            <x v="727"/>
          </reference>
          <reference field="7" count="1">
            <x v="722"/>
          </reference>
        </references>
      </pivotArea>
    </format>
    <format dxfId="1185">
      <pivotArea dataOnly="0" labelOnly="1" outline="0" fieldPosition="0">
        <references count="5">
          <reference field="0" count="1" selected="0">
            <x v="2"/>
          </reference>
          <reference field="3" count="1" selected="0">
            <x v="14"/>
          </reference>
          <reference field="4" count="1" selected="0">
            <x v="81"/>
          </reference>
          <reference field="5" count="1" selected="0">
            <x v="728"/>
          </reference>
          <reference field="7" count="1">
            <x v="731"/>
          </reference>
        </references>
      </pivotArea>
    </format>
    <format dxfId="1184">
      <pivotArea dataOnly="0" labelOnly="1" outline="0" fieldPosition="0">
        <references count="5">
          <reference field="0" count="1" selected="0">
            <x v="2"/>
          </reference>
          <reference field="3" count="1" selected="0">
            <x v="14"/>
          </reference>
          <reference field="4" count="1" selected="0">
            <x v="81"/>
          </reference>
          <reference field="5" count="1" selected="0">
            <x v="729"/>
          </reference>
          <reference field="7" count="1">
            <x v="730"/>
          </reference>
        </references>
      </pivotArea>
    </format>
    <format dxfId="1183">
      <pivotArea dataOnly="0" labelOnly="1" outline="0" fieldPosition="0">
        <references count="5">
          <reference field="0" count="1" selected="0">
            <x v="2"/>
          </reference>
          <reference field="3" count="1" selected="0">
            <x v="14"/>
          </reference>
          <reference field="4" count="1" selected="0">
            <x v="81"/>
          </reference>
          <reference field="5" count="1" selected="0">
            <x v="730"/>
          </reference>
          <reference field="7" count="1">
            <x v="723"/>
          </reference>
        </references>
      </pivotArea>
    </format>
    <format dxfId="1182">
      <pivotArea dataOnly="0" labelOnly="1" outline="0" fieldPosition="0">
        <references count="5">
          <reference field="0" count="1" selected="0">
            <x v="2"/>
          </reference>
          <reference field="3" count="1" selected="0">
            <x v="14"/>
          </reference>
          <reference field="4" count="1" selected="0">
            <x v="81"/>
          </reference>
          <reference field="5" count="1" selected="0">
            <x v="731"/>
          </reference>
          <reference field="7" count="1">
            <x v="727"/>
          </reference>
        </references>
      </pivotArea>
    </format>
    <format dxfId="1181">
      <pivotArea dataOnly="0" labelOnly="1" outline="0" fieldPosition="0">
        <references count="5">
          <reference field="0" count="1" selected="0">
            <x v="2"/>
          </reference>
          <reference field="3" count="1" selected="0">
            <x v="14"/>
          </reference>
          <reference field="4" count="1" selected="0">
            <x v="81"/>
          </reference>
          <reference field="5" count="1" selected="0">
            <x v="732"/>
          </reference>
          <reference field="7" count="1">
            <x v="724"/>
          </reference>
        </references>
      </pivotArea>
    </format>
    <format dxfId="1180">
      <pivotArea dataOnly="0" labelOnly="1" outline="0" fieldPosition="0">
        <references count="5">
          <reference field="0" count="1" selected="0">
            <x v="2"/>
          </reference>
          <reference field="3" count="1" selected="0">
            <x v="14"/>
          </reference>
          <reference field="4" count="1" selected="0">
            <x v="81"/>
          </reference>
          <reference field="5" count="1" selected="0">
            <x v="733"/>
          </reference>
          <reference field="7" count="1">
            <x v="1044"/>
          </reference>
        </references>
      </pivotArea>
    </format>
    <format dxfId="1179">
      <pivotArea dataOnly="0" labelOnly="1" outline="0" fieldPosition="0">
        <references count="5">
          <reference field="0" count="1" selected="0">
            <x v="2"/>
          </reference>
          <reference field="3" count="1" selected="0">
            <x v="14"/>
          </reference>
          <reference field="4" count="1" selected="0">
            <x v="81"/>
          </reference>
          <reference field="5" count="1" selected="0">
            <x v="734"/>
          </reference>
          <reference field="7" count="1">
            <x v="728"/>
          </reference>
        </references>
      </pivotArea>
    </format>
    <format dxfId="1178">
      <pivotArea dataOnly="0" labelOnly="1" outline="0" fieldPosition="0">
        <references count="5">
          <reference field="0" count="1" selected="0">
            <x v="2"/>
          </reference>
          <reference field="3" count="1" selected="0">
            <x v="14"/>
          </reference>
          <reference field="4" count="1" selected="0">
            <x v="81"/>
          </reference>
          <reference field="5" count="1" selected="0">
            <x v="735"/>
          </reference>
          <reference field="7" count="1">
            <x v="725"/>
          </reference>
        </references>
      </pivotArea>
    </format>
    <format dxfId="1177">
      <pivotArea dataOnly="0" labelOnly="1" outline="0" fieldPosition="0">
        <references count="5">
          <reference field="0" count="1" selected="0">
            <x v="2"/>
          </reference>
          <reference field="3" count="1" selected="0">
            <x v="14"/>
          </reference>
          <reference field="4" count="1" selected="0">
            <x v="81"/>
          </reference>
          <reference field="5" count="1" selected="0">
            <x v="736"/>
          </reference>
          <reference field="7" count="1">
            <x v="729"/>
          </reference>
        </references>
      </pivotArea>
    </format>
    <format dxfId="1176">
      <pivotArea dataOnly="0" labelOnly="1" outline="0" fieldPosition="0">
        <references count="5">
          <reference field="0" count="1" selected="0">
            <x v="2"/>
          </reference>
          <reference field="3" count="1" selected="0">
            <x v="14"/>
          </reference>
          <reference field="4" count="1" selected="0">
            <x v="81"/>
          </reference>
          <reference field="5" count="1" selected="0">
            <x v="737"/>
          </reference>
          <reference field="7" count="1">
            <x v="726"/>
          </reference>
        </references>
      </pivotArea>
    </format>
    <format dxfId="1175">
      <pivotArea dataOnly="0" labelOnly="1" outline="0" fieldPosition="0">
        <references count="5">
          <reference field="0" count="1" selected="0">
            <x v="2"/>
          </reference>
          <reference field="3" count="1" selected="0">
            <x v="14"/>
          </reference>
          <reference field="4" count="1" selected="0">
            <x v="82"/>
          </reference>
          <reference field="5" count="1" selected="0">
            <x v="302"/>
          </reference>
          <reference field="7" count="1">
            <x v="1070"/>
          </reference>
        </references>
      </pivotArea>
    </format>
    <format dxfId="1174">
      <pivotArea dataOnly="0" labelOnly="1" outline="0" fieldPosition="0">
        <references count="5">
          <reference field="0" count="1" selected="0">
            <x v="2"/>
          </reference>
          <reference field="3" count="1" selected="0">
            <x v="14"/>
          </reference>
          <reference field="4" count="1" selected="0">
            <x v="82"/>
          </reference>
          <reference field="5" count="1" selected="0">
            <x v="691"/>
          </reference>
          <reference field="7" count="1">
            <x v="244"/>
          </reference>
        </references>
      </pivotArea>
    </format>
    <format dxfId="1173">
      <pivotArea dataOnly="0" labelOnly="1" outline="0" fieldPosition="0">
        <references count="5">
          <reference field="0" count="1" selected="0">
            <x v="2"/>
          </reference>
          <reference field="3" count="1" selected="0">
            <x v="14"/>
          </reference>
          <reference field="4" count="1" selected="0">
            <x v="82"/>
          </reference>
          <reference field="5" count="1" selected="0">
            <x v="692"/>
          </reference>
          <reference field="7" count="1">
            <x v="765"/>
          </reference>
        </references>
      </pivotArea>
    </format>
    <format dxfId="1172">
      <pivotArea dataOnly="0" labelOnly="1" outline="0" fieldPosition="0">
        <references count="5">
          <reference field="0" count="1" selected="0">
            <x v="2"/>
          </reference>
          <reference field="3" count="1" selected="0">
            <x v="14"/>
          </reference>
          <reference field="4" count="1" selected="0">
            <x v="82"/>
          </reference>
          <reference field="5" count="1" selected="0">
            <x v="725"/>
          </reference>
          <reference field="7" count="1">
            <x v="1046"/>
          </reference>
        </references>
      </pivotArea>
    </format>
    <format dxfId="1171">
      <pivotArea dataOnly="0" labelOnly="1" outline="0" fieldPosition="0">
        <references count="5">
          <reference field="0" count="1" selected="0">
            <x v="2"/>
          </reference>
          <reference field="3" count="1" selected="0">
            <x v="14"/>
          </reference>
          <reference field="4" count="1" selected="0">
            <x v="83"/>
          </reference>
          <reference field="5" count="1" selected="0">
            <x v="709"/>
          </reference>
          <reference field="7" count="1">
            <x v="178"/>
          </reference>
        </references>
      </pivotArea>
    </format>
    <format dxfId="1170">
      <pivotArea dataOnly="0" labelOnly="1" outline="0" fieldPosition="0">
        <references count="5">
          <reference field="0" count="1" selected="0">
            <x v="2"/>
          </reference>
          <reference field="3" count="1" selected="0">
            <x v="14"/>
          </reference>
          <reference field="4" count="1" selected="0">
            <x v="83"/>
          </reference>
          <reference field="5" count="1" selected="0">
            <x v="715"/>
          </reference>
          <reference field="7" count="1">
            <x v="767"/>
          </reference>
        </references>
      </pivotArea>
    </format>
    <format dxfId="1169">
      <pivotArea dataOnly="0" labelOnly="1" outline="0" fieldPosition="0">
        <references count="5">
          <reference field="0" count="1" selected="0">
            <x v="2"/>
          </reference>
          <reference field="3" count="1" selected="0">
            <x v="14"/>
          </reference>
          <reference field="4" count="1" selected="0">
            <x v="83"/>
          </reference>
          <reference field="5" count="1" selected="0">
            <x v="717"/>
          </reference>
          <reference field="7" count="1">
            <x v="768"/>
          </reference>
        </references>
      </pivotArea>
    </format>
    <format dxfId="1168">
      <pivotArea dataOnly="0" labelOnly="1" outline="0" fieldPosition="0">
        <references count="5">
          <reference field="0" count="1" selected="0">
            <x v="2"/>
          </reference>
          <reference field="3" count="1" selected="0">
            <x v="14"/>
          </reference>
          <reference field="4" count="1" selected="0">
            <x v="83"/>
          </reference>
          <reference field="5" count="1" selected="0">
            <x v="718"/>
          </reference>
          <reference field="7" count="1">
            <x v="775"/>
          </reference>
        </references>
      </pivotArea>
    </format>
    <format dxfId="1167">
      <pivotArea dataOnly="0" labelOnly="1" outline="0" fieldPosition="0">
        <references count="5">
          <reference field="0" count="1" selected="0">
            <x v="2"/>
          </reference>
          <reference field="3" count="1" selected="0">
            <x v="14"/>
          </reference>
          <reference field="4" count="1" selected="0">
            <x v="83"/>
          </reference>
          <reference field="5" count="1" selected="0">
            <x v="719"/>
          </reference>
          <reference field="7" count="1">
            <x v="766"/>
          </reference>
        </references>
      </pivotArea>
    </format>
    <format dxfId="1166">
      <pivotArea dataOnly="0" labelOnly="1" outline="0" fieldPosition="0">
        <references count="5">
          <reference field="0" count="1" selected="0">
            <x v="2"/>
          </reference>
          <reference field="3" count="1" selected="0">
            <x v="14"/>
          </reference>
          <reference field="4" count="1" selected="0">
            <x v="83"/>
          </reference>
          <reference field="5" count="1" selected="0">
            <x v="724"/>
          </reference>
          <reference field="7" count="1">
            <x v="769"/>
          </reference>
        </references>
      </pivotArea>
    </format>
    <format dxfId="1165">
      <pivotArea dataOnly="0" labelOnly="1" outline="0" fieldPosition="0">
        <references count="5">
          <reference field="0" count="1" selected="0">
            <x v="2"/>
          </reference>
          <reference field="3" count="1" selected="0">
            <x v="14"/>
          </reference>
          <reference field="4" count="1" selected="0">
            <x v="84"/>
          </reference>
          <reference field="5" count="1" selected="0">
            <x v="710"/>
          </reference>
          <reference field="7" count="1">
            <x v="179"/>
          </reference>
        </references>
      </pivotArea>
    </format>
    <format dxfId="1164">
      <pivotArea dataOnly="0" labelOnly="1" outline="0" fieldPosition="0">
        <references count="5">
          <reference field="0" count="1" selected="0">
            <x v="2"/>
          </reference>
          <reference field="3" count="1" selected="0">
            <x v="14"/>
          </reference>
          <reference field="4" count="1" selected="0">
            <x v="84"/>
          </reference>
          <reference field="5" count="1" selected="0">
            <x v="715"/>
          </reference>
          <reference field="7" count="1">
            <x v="767"/>
          </reference>
        </references>
      </pivotArea>
    </format>
    <format dxfId="1163">
      <pivotArea dataOnly="0" labelOnly="1" outline="0" fieldPosition="0">
        <references count="5">
          <reference field="0" count="1" selected="0">
            <x v="2"/>
          </reference>
          <reference field="3" count="1" selected="0">
            <x v="14"/>
          </reference>
          <reference field="4" count="1" selected="0">
            <x v="84"/>
          </reference>
          <reference field="5" count="1" selected="0">
            <x v="717"/>
          </reference>
          <reference field="7" count="1">
            <x v="768"/>
          </reference>
        </references>
      </pivotArea>
    </format>
    <format dxfId="1162">
      <pivotArea dataOnly="0" labelOnly="1" outline="0" fieldPosition="0">
        <references count="5">
          <reference field="0" count="1" selected="0">
            <x v="2"/>
          </reference>
          <reference field="3" count="1" selected="0">
            <x v="14"/>
          </reference>
          <reference field="4" count="1" selected="0">
            <x v="84"/>
          </reference>
          <reference field="5" count="1" selected="0">
            <x v="718"/>
          </reference>
          <reference field="7" count="1">
            <x v="775"/>
          </reference>
        </references>
      </pivotArea>
    </format>
    <format dxfId="1161">
      <pivotArea dataOnly="0" labelOnly="1" outline="0" fieldPosition="0">
        <references count="5">
          <reference field="0" count="1" selected="0">
            <x v="2"/>
          </reference>
          <reference field="3" count="1" selected="0">
            <x v="14"/>
          </reference>
          <reference field="4" count="1" selected="0">
            <x v="84"/>
          </reference>
          <reference field="5" count="1" selected="0">
            <x v="719"/>
          </reference>
          <reference field="7" count="1">
            <x v="766"/>
          </reference>
        </references>
      </pivotArea>
    </format>
    <format dxfId="1160">
      <pivotArea dataOnly="0" labelOnly="1" outline="0" fieldPosition="0">
        <references count="5">
          <reference field="0" count="1" selected="0">
            <x v="2"/>
          </reference>
          <reference field="3" count="1" selected="0">
            <x v="14"/>
          </reference>
          <reference field="4" count="1" selected="0">
            <x v="84"/>
          </reference>
          <reference field="5" count="1" selected="0">
            <x v="723"/>
          </reference>
          <reference field="7" count="1">
            <x v="770"/>
          </reference>
        </references>
      </pivotArea>
    </format>
    <format dxfId="1159">
      <pivotArea dataOnly="0" labelOnly="1" outline="0" fieldPosition="0">
        <references count="5">
          <reference field="0" count="1" selected="0">
            <x v="2"/>
          </reference>
          <reference field="3" count="1" selected="0">
            <x v="14"/>
          </reference>
          <reference field="4" count="1" selected="0">
            <x v="85"/>
          </reference>
          <reference field="5" count="1" selected="0">
            <x v="711"/>
          </reference>
          <reference field="7" count="1">
            <x v="180"/>
          </reference>
        </references>
      </pivotArea>
    </format>
    <format dxfId="1158">
      <pivotArea dataOnly="0" labelOnly="1" outline="0" fieldPosition="0">
        <references count="5">
          <reference field="0" count="1" selected="0">
            <x v="2"/>
          </reference>
          <reference field="3" count="1" selected="0">
            <x v="14"/>
          </reference>
          <reference field="4" count="1" selected="0">
            <x v="85"/>
          </reference>
          <reference field="5" count="1" selected="0">
            <x v="715"/>
          </reference>
          <reference field="7" count="1">
            <x v="767"/>
          </reference>
        </references>
      </pivotArea>
    </format>
    <format dxfId="1157">
      <pivotArea dataOnly="0" labelOnly="1" outline="0" fieldPosition="0">
        <references count="5">
          <reference field="0" count="1" selected="0">
            <x v="2"/>
          </reference>
          <reference field="3" count="1" selected="0">
            <x v="14"/>
          </reference>
          <reference field="4" count="1" selected="0">
            <x v="85"/>
          </reference>
          <reference field="5" count="1" selected="0">
            <x v="717"/>
          </reference>
          <reference field="7" count="1">
            <x v="768"/>
          </reference>
        </references>
      </pivotArea>
    </format>
    <format dxfId="1156">
      <pivotArea dataOnly="0" labelOnly="1" outline="0" fieldPosition="0">
        <references count="5">
          <reference field="0" count="1" selected="0">
            <x v="2"/>
          </reference>
          <reference field="3" count="1" selected="0">
            <x v="14"/>
          </reference>
          <reference field="4" count="1" selected="0">
            <x v="85"/>
          </reference>
          <reference field="5" count="1" selected="0">
            <x v="718"/>
          </reference>
          <reference field="7" count="1">
            <x v="775"/>
          </reference>
        </references>
      </pivotArea>
    </format>
    <format dxfId="1155">
      <pivotArea dataOnly="0" labelOnly="1" outline="0" fieldPosition="0">
        <references count="5">
          <reference field="0" count="1" selected="0">
            <x v="2"/>
          </reference>
          <reference field="3" count="1" selected="0">
            <x v="14"/>
          </reference>
          <reference field="4" count="1" selected="0">
            <x v="85"/>
          </reference>
          <reference field="5" count="1" selected="0">
            <x v="719"/>
          </reference>
          <reference field="7" count="1">
            <x v="766"/>
          </reference>
        </references>
      </pivotArea>
    </format>
    <format dxfId="1154">
      <pivotArea dataOnly="0" labelOnly="1" outline="0" fieldPosition="0">
        <references count="5">
          <reference field="0" count="1" selected="0">
            <x v="2"/>
          </reference>
          <reference field="3" count="1" selected="0">
            <x v="14"/>
          </reference>
          <reference field="4" count="1" selected="0">
            <x v="85"/>
          </reference>
          <reference field="5" count="1" selected="0">
            <x v="722"/>
          </reference>
          <reference field="7" count="1">
            <x v="771"/>
          </reference>
        </references>
      </pivotArea>
    </format>
    <format dxfId="1153">
      <pivotArea dataOnly="0" labelOnly="1" outline="0" fieldPosition="0">
        <references count="5">
          <reference field="0" count="1" selected="0">
            <x v="2"/>
          </reference>
          <reference field="3" count="1" selected="0">
            <x v="14"/>
          </reference>
          <reference field="4" count="1" selected="0">
            <x v="86"/>
          </reference>
          <reference field="5" count="1" selected="0">
            <x v="712"/>
          </reference>
          <reference field="7" count="1">
            <x v="181"/>
          </reference>
        </references>
      </pivotArea>
    </format>
    <format dxfId="1152">
      <pivotArea dataOnly="0" labelOnly="1" outline="0" fieldPosition="0">
        <references count="5">
          <reference field="0" count="1" selected="0">
            <x v="2"/>
          </reference>
          <reference field="3" count="1" selected="0">
            <x v="14"/>
          </reference>
          <reference field="4" count="1" selected="0">
            <x v="86"/>
          </reference>
          <reference field="5" count="1" selected="0">
            <x v="715"/>
          </reference>
          <reference field="7" count="1">
            <x v="767"/>
          </reference>
        </references>
      </pivotArea>
    </format>
    <format dxfId="1151">
      <pivotArea dataOnly="0" labelOnly="1" outline="0" fieldPosition="0">
        <references count="5">
          <reference field="0" count="1" selected="0">
            <x v="2"/>
          </reference>
          <reference field="3" count="1" selected="0">
            <x v="14"/>
          </reference>
          <reference field="4" count="1" selected="0">
            <x v="86"/>
          </reference>
          <reference field="5" count="1" selected="0">
            <x v="717"/>
          </reference>
          <reference field="7" count="1">
            <x v="768"/>
          </reference>
        </references>
      </pivotArea>
    </format>
    <format dxfId="1150">
      <pivotArea dataOnly="0" labelOnly="1" outline="0" fieldPosition="0">
        <references count="5">
          <reference field="0" count="1" selected="0">
            <x v="2"/>
          </reference>
          <reference field="3" count="1" selected="0">
            <x v="14"/>
          </reference>
          <reference field="4" count="1" selected="0">
            <x v="86"/>
          </reference>
          <reference field="5" count="1" selected="0">
            <x v="718"/>
          </reference>
          <reference field="7" count="1">
            <x v="775"/>
          </reference>
        </references>
      </pivotArea>
    </format>
    <format dxfId="1149">
      <pivotArea dataOnly="0" labelOnly="1" outline="0" fieldPosition="0">
        <references count="5">
          <reference field="0" count="1" selected="0">
            <x v="2"/>
          </reference>
          <reference field="3" count="1" selected="0">
            <x v="14"/>
          </reference>
          <reference field="4" count="1" selected="0">
            <x v="86"/>
          </reference>
          <reference field="5" count="1" selected="0">
            <x v="719"/>
          </reference>
          <reference field="7" count="1">
            <x v="766"/>
          </reference>
        </references>
      </pivotArea>
    </format>
    <format dxfId="1148">
      <pivotArea dataOnly="0" labelOnly="1" outline="0" fieldPosition="0">
        <references count="5">
          <reference field="0" count="1" selected="0">
            <x v="2"/>
          </reference>
          <reference field="3" count="1" selected="0">
            <x v="14"/>
          </reference>
          <reference field="4" count="1" selected="0">
            <x v="86"/>
          </reference>
          <reference field="5" count="1" selected="0">
            <x v="720"/>
          </reference>
          <reference field="7" count="1">
            <x v="772"/>
          </reference>
        </references>
      </pivotArea>
    </format>
    <format dxfId="1147">
      <pivotArea dataOnly="0" labelOnly="1" outline="0" fieldPosition="0">
        <references count="5">
          <reference field="0" count="1" selected="0">
            <x v="2"/>
          </reference>
          <reference field="3" count="1" selected="0">
            <x v="14"/>
          </reference>
          <reference field="4" count="1" selected="0">
            <x v="87"/>
          </reference>
          <reference field="5" count="1" selected="0">
            <x v="713"/>
          </reference>
          <reference field="7" count="1">
            <x v="182"/>
          </reference>
        </references>
      </pivotArea>
    </format>
    <format dxfId="1146">
      <pivotArea dataOnly="0" labelOnly="1" outline="0" fieldPosition="0">
        <references count="5">
          <reference field="0" count="1" selected="0">
            <x v="2"/>
          </reference>
          <reference field="3" count="1" selected="0">
            <x v="14"/>
          </reference>
          <reference field="4" count="1" selected="0">
            <x v="87"/>
          </reference>
          <reference field="5" count="1" selected="0">
            <x v="715"/>
          </reference>
          <reference field="7" count="1">
            <x v="767"/>
          </reference>
        </references>
      </pivotArea>
    </format>
    <format dxfId="1145">
      <pivotArea dataOnly="0" labelOnly="1" outline="0" fieldPosition="0">
        <references count="5">
          <reference field="0" count="1" selected="0">
            <x v="2"/>
          </reference>
          <reference field="3" count="1" selected="0">
            <x v="14"/>
          </reference>
          <reference field="4" count="1" selected="0">
            <x v="87"/>
          </reference>
          <reference field="5" count="1" selected="0">
            <x v="716"/>
          </reference>
          <reference field="7" count="1">
            <x v="773"/>
          </reference>
        </references>
      </pivotArea>
    </format>
    <format dxfId="1144">
      <pivotArea dataOnly="0" labelOnly="1" outline="0" fieldPosition="0">
        <references count="5">
          <reference field="0" count="1" selected="0">
            <x v="2"/>
          </reference>
          <reference field="3" count="1" selected="0">
            <x v="14"/>
          </reference>
          <reference field="4" count="1" selected="0">
            <x v="87"/>
          </reference>
          <reference field="5" count="1" selected="0">
            <x v="717"/>
          </reference>
          <reference field="7" count="1">
            <x v="768"/>
          </reference>
        </references>
      </pivotArea>
    </format>
    <format dxfId="1143">
      <pivotArea dataOnly="0" labelOnly="1" outline="0" fieldPosition="0">
        <references count="5">
          <reference field="0" count="1" selected="0">
            <x v="2"/>
          </reference>
          <reference field="3" count="1" selected="0">
            <x v="14"/>
          </reference>
          <reference field="4" count="1" selected="0">
            <x v="87"/>
          </reference>
          <reference field="5" count="1" selected="0">
            <x v="718"/>
          </reference>
          <reference field="7" count="1">
            <x v="775"/>
          </reference>
        </references>
      </pivotArea>
    </format>
    <format dxfId="1142">
      <pivotArea dataOnly="0" labelOnly="1" outline="0" fieldPosition="0">
        <references count="5">
          <reference field="0" count="1" selected="0">
            <x v="2"/>
          </reference>
          <reference field="3" count="1" selected="0">
            <x v="14"/>
          </reference>
          <reference field="4" count="1" selected="0">
            <x v="87"/>
          </reference>
          <reference field="5" count="1" selected="0">
            <x v="719"/>
          </reference>
          <reference field="7" count="1">
            <x v="766"/>
          </reference>
        </references>
      </pivotArea>
    </format>
    <format dxfId="1141">
      <pivotArea dataOnly="0" labelOnly="1" outline="0" fieldPosition="0">
        <references count="5">
          <reference field="0" count="1" selected="0">
            <x v="2"/>
          </reference>
          <reference field="3" count="1" selected="0">
            <x v="14"/>
          </reference>
          <reference field="4" count="1" selected="0">
            <x v="88"/>
          </reference>
          <reference field="5" count="1" selected="0">
            <x v="714"/>
          </reference>
          <reference field="7" count="1">
            <x v="183"/>
          </reference>
        </references>
      </pivotArea>
    </format>
    <format dxfId="1140">
      <pivotArea dataOnly="0" labelOnly="1" outline="0" fieldPosition="0">
        <references count="5">
          <reference field="0" count="1" selected="0">
            <x v="2"/>
          </reference>
          <reference field="3" count="1" selected="0">
            <x v="14"/>
          </reference>
          <reference field="4" count="1" selected="0">
            <x v="88"/>
          </reference>
          <reference field="5" count="1" selected="0">
            <x v="715"/>
          </reference>
          <reference field="7" count="1">
            <x v="767"/>
          </reference>
        </references>
      </pivotArea>
    </format>
    <format dxfId="1139">
      <pivotArea dataOnly="0" labelOnly="1" outline="0" fieldPosition="0">
        <references count="5">
          <reference field="0" count="1" selected="0">
            <x v="2"/>
          </reference>
          <reference field="3" count="1" selected="0">
            <x v="14"/>
          </reference>
          <reference field="4" count="1" selected="0">
            <x v="88"/>
          </reference>
          <reference field="5" count="1" selected="0">
            <x v="717"/>
          </reference>
          <reference field="7" count="1">
            <x v="768"/>
          </reference>
        </references>
      </pivotArea>
    </format>
    <format dxfId="1138">
      <pivotArea dataOnly="0" labelOnly="1" outline="0" fieldPosition="0">
        <references count="5">
          <reference field="0" count="1" selected="0">
            <x v="2"/>
          </reference>
          <reference field="3" count="1" selected="0">
            <x v="14"/>
          </reference>
          <reference field="4" count="1" selected="0">
            <x v="88"/>
          </reference>
          <reference field="5" count="1" selected="0">
            <x v="718"/>
          </reference>
          <reference field="7" count="1">
            <x v="775"/>
          </reference>
        </references>
      </pivotArea>
    </format>
    <format dxfId="1137">
      <pivotArea dataOnly="0" labelOnly="1" outline="0" fieldPosition="0">
        <references count="5">
          <reference field="0" count="1" selected="0">
            <x v="2"/>
          </reference>
          <reference field="3" count="1" selected="0">
            <x v="14"/>
          </reference>
          <reference field="4" count="1" selected="0">
            <x v="88"/>
          </reference>
          <reference field="5" count="1" selected="0">
            <x v="719"/>
          </reference>
          <reference field="7" count="1">
            <x v="766"/>
          </reference>
        </references>
      </pivotArea>
    </format>
    <format dxfId="1136">
      <pivotArea dataOnly="0" labelOnly="1" outline="0" fieldPosition="0">
        <references count="5">
          <reference field="0" count="1" selected="0">
            <x v="2"/>
          </reference>
          <reference field="3" count="1" selected="0">
            <x v="14"/>
          </reference>
          <reference field="4" count="1" selected="0">
            <x v="88"/>
          </reference>
          <reference field="5" count="1" selected="0">
            <x v="721"/>
          </reference>
          <reference field="7" count="1">
            <x v="774"/>
          </reference>
        </references>
      </pivotArea>
    </format>
    <format dxfId="1135">
      <pivotArea dataOnly="0" labelOnly="1" outline="0" fieldPosition="0">
        <references count="5">
          <reference field="0" count="1" selected="0">
            <x v="2"/>
          </reference>
          <reference field="3" count="1" selected="0">
            <x v="14"/>
          </reference>
          <reference field="4" count="1" selected="0">
            <x v="89"/>
          </reference>
          <reference field="5" count="1" selected="0">
            <x v="279"/>
          </reference>
          <reference field="7" count="1">
            <x v="752"/>
          </reference>
        </references>
      </pivotArea>
    </format>
    <format dxfId="1134">
      <pivotArea dataOnly="0" labelOnly="1" outline="0" fieldPosition="0">
        <references count="5">
          <reference field="0" count="1" selected="0">
            <x v="2"/>
          </reference>
          <reference field="3" count="1" selected="0">
            <x v="14"/>
          </reference>
          <reference field="4" count="1" selected="0">
            <x v="89"/>
          </reference>
          <reference field="5" count="1" selected="0">
            <x v="698"/>
          </reference>
          <reference field="7" count="1">
            <x v="776"/>
          </reference>
        </references>
      </pivotArea>
    </format>
    <format dxfId="1133">
      <pivotArea dataOnly="0" labelOnly="1" outline="0" fieldPosition="0">
        <references count="5">
          <reference field="0" count="1" selected="0">
            <x v="2"/>
          </reference>
          <reference field="3" count="1" selected="0">
            <x v="14"/>
          </reference>
          <reference field="4" count="1" selected="0">
            <x v="89"/>
          </reference>
          <reference field="5" count="1" selected="0">
            <x v="699"/>
          </reference>
          <reference field="7" count="1">
            <x v="1441"/>
          </reference>
        </references>
      </pivotArea>
    </format>
    <format dxfId="1132">
      <pivotArea dataOnly="0" labelOnly="1" outline="0" fieldPosition="0">
        <references count="5">
          <reference field="0" count="1" selected="0">
            <x v="2"/>
          </reference>
          <reference field="3" count="1" selected="0">
            <x v="14"/>
          </reference>
          <reference field="4" count="1" selected="0">
            <x v="90"/>
          </reference>
          <reference field="5" count="1" selected="0">
            <x v="693"/>
          </reference>
          <reference field="7" count="1">
            <x v="184"/>
          </reference>
        </references>
      </pivotArea>
    </format>
    <format dxfId="1131">
      <pivotArea dataOnly="0" labelOnly="1" outline="0" fieldPosition="0">
        <references count="5">
          <reference field="0" count="1" selected="0">
            <x v="2"/>
          </reference>
          <reference field="3" count="1" selected="0">
            <x v="14"/>
          </reference>
          <reference field="4" count="1" selected="0">
            <x v="90"/>
          </reference>
          <reference field="5" count="1" selected="0">
            <x v="700"/>
          </reference>
          <reference field="7" count="1">
            <x v="8"/>
          </reference>
        </references>
      </pivotArea>
    </format>
    <format dxfId="1130">
      <pivotArea dataOnly="0" labelOnly="1" outline="0" fieldPosition="0">
        <references count="5">
          <reference field="0" count="1" selected="0">
            <x v="2"/>
          </reference>
          <reference field="3" count="1" selected="0">
            <x v="14"/>
          </reference>
          <reference field="4" count="1" selected="0">
            <x v="90"/>
          </reference>
          <reference field="5" count="1" selected="0">
            <x v="702"/>
          </reference>
          <reference field="7" count="1">
            <x v="783"/>
          </reference>
        </references>
      </pivotArea>
    </format>
    <format dxfId="1129">
      <pivotArea dataOnly="0" labelOnly="1" outline="0" fieldPosition="0">
        <references count="5">
          <reference field="0" count="1" selected="0">
            <x v="2"/>
          </reference>
          <reference field="3" count="1" selected="0">
            <x v="14"/>
          </reference>
          <reference field="4" count="1" selected="0">
            <x v="90"/>
          </reference>
          <reference field="5" count="1" selected="0">
            <x v="703"/>
          </reference>
          <reference field="7" count="1">
            <x v="6"/>
          </reference>
        </references>
      </pivotArea>
    </format>
    <format dxfId="1128">
      <pivotArea dataOnly="0" labelOnly="1" outline="0" fieldPosition="0">
        <references count="5">
          <reference field="0" count="1" selected="0">
            <x v="2"/>
          </reference>
          <reference field="3" count="1" selected="0">
            <x v="14"/>
          </reference>
          <reference field="4" count="1" selected="0">
            <x v="90"/>
          </reference>
          <reference field="5" count="1" selected="0">
            <x v="704"/>
          </reference>
          <reference field="7" count="1">
            <x v="777"/>
          </reference>
        </references>
      </pivotArea>
    </format>
    <format dxfId="1127">
      <pivotArea dataOnly="0" labelOnly="1" outline="0" fieldPosition="0">
        <references count="5">
          <reference field="0" count="1" selected="0">
            <x v="2"/>
          </reference>
          <reference field="3" count="1" selected="0">
            <x v="14"/>
          </reference>
          <reference field="4" count="1" selected="0">
            <x v="90"/>
          </reference>
          <reference field="5" count="1" selected="0">
            <x v="708"/>
          </reference>
          <reference field="7" count="1">
            <x v="778"/>
          </reference>
        </references>
      </pivotArea>
    </format>
    <format dxfId="1126">
      <pivotArea dataOnly="0" labelOnly="1" outline="0" fieldPosition="0">
        <references count="5">
          <reference field="0" count="1" selected="0">
            <x v="2"/>
          </reference>
          <reference field="3" count="1" selected="0">
            <x v="14"/>
          </reference>
          <reference field="4" count="1" selected="0">
            <x v="91"/>
          </reference>
          <reference field="5" count="1" selected="0">
            <x v="694"/>
          </reference>
          <reference field="7" count="1">
            <x v="185"/>
          </reference>
        </references>
      </pivotArea>
    </format>
    <format dxfId="1125">
      <pivotArea dataOnly="0" labelOnly="1" outline="0" fieldPosition="0">
        <references count="5">
          <reference field="0" count="1" selected="0">
            <x v="2"/>
          </reference>
          <reference field="3" count="1" selected="0">
            <x v="14"/>
          </reference>
          <reference field="4" count="1" selected="0">
            <x v="91"/>
          </reference>
          <reference field="5" count="1" selected="0">
            <x v="700"/>
          </reference>
          <reference field="7" count="1">
            <x v="8"/>
          </reference>
        </references>
      </pivotArea>
    </format>
    <format dxfId="1124">
      <pivotArea dataOnly="0" labelOnly="1" outline="0" fieldPosition="0">
        <references count="5">
          <reference field="0" count="1" selected="0">
            <x v="2"/>
          </reference>
          <reference field="3" count="1" selected="0">
            <x v="14"/>
          </reference>
          <reference field="4" count="1" selected="0">
            <x v="91"/>
          </reference>
          <reference field="5" count="1" selected="0">
            <x v="702"/>
          </reference>
          <reference field="7" count="1">
            <x v="783"/>
          </reference>
        </references>
      </pivotArea>
    </format>
    <format dxfId="1123">
      <pivotArea dataOnly="0" labelOnly="1" outline="0" fieldPosition="0">
        <references count="5">
          <reference field="0" count="1" selected="0">
            <x v="2"/>
          </reference>
          <reference field="3" count="1" selected="0">
            <x v="14"/>
          </reference>
          <reference field="4" count="1" selected="0">
            <x v="91"/>
          </reference>
          <reference field="5" count="1" selected="0">
            <x v="703"/>
          </reference>
          <reference field="7" count="1">
            <x v="6"/>
          </reference>
        </references>
      </pivotArea>
    </format>
    <format dxfId="1122">
      <pivotArea dataOnly="0" labelOnly="1" outline="0" fieldPosition="0">
        <references count="5">
          <reference field="0" count="1" selected="0">
            <x v="2"/>
          </reference>
          <reference field="3" count="1" selected="0">
            <x v="14"/>
          </reference>
          <reference field="4" count="1" selected="0">
            <x v="91"/>
          </reference>
          <reference field="5" count="1" selected="0">
            <x v="704"/>
          </reference>
          <reference field="7" count="1">
            <x v="777"/>
          </reference>
        </references>
      </pivotArea>
    </format>
    <format dxfId="1121">
      <pivotArea dataOnly="0" labelOnly="1" outline="0" fieldPosition="0">
        <references count="5">
          <reference field="0" count="1" selected="0">
            <x v="2"/>
          </reference>
          <reference field="3" count="1" selected="0">
            <x v="14"/>
          </reference>
          <reference field="4" count="1" selected="0">
            <x v="91"/>
          </reference>
          <reference field="5" count="1" selected="0">
            <x v="705"/>
          </reference>
          <reference field="7" count="1">
            <x v="779"/>
          </reference>
        </references>
      </pivotArea>
    </format>
    <format dxfId="1120">
      <pivotArea dataOnly="0" labelOnly="1" outline="0" fieldPosition="0">
        <references count="5">
          <reference field="0" count="1" selected="0">
            <x v="2"/>
          </reference>
          <reference field="3" count="1" selected="0">
            <x v="14"/>
          </reference>
          <reference field="4" count="1" selected="0">
            <x v="92"/>
          </reference>
          <reference field="5" count="1" selected="0">
            <x v="695"/>
          </reference>
          <reference field="7" count="1">
            <x v="186"/>
          </reference>
        </references>
      </pivotArea>
    </format>
    <format dxfId="1119">
      <pivotArea dataOnly="0" labelOnly="1" outline="0" fieldPosition="0">
        <references count="5">
          <reference field="0" count="1" selected="0">
            <x v="2"/>
          </reference>
          <reference field="3" count="1" selected="0">
            <x v="14"/>
          </reference>
          <reference field="4" count="1" selected="0">
            <x v="92"/>
          </reference>
          <reference field="5" count="1" selected="0">
            <x v="700"/>
          </reference>
          <reference field="7" count="1">
            <x v="8"/>
          </reference>
        </references>
      </pivotArea>
    </format>
    <format dxfId="1118">
      <pivotArea dataOnly="0" labelOnly="1" outline="0" fieldPosition="0">
        <references count="5">
          <reference field="0" count="1" selected="0">
            <x v="2"/>
          </reference>
          <reference field="3" count="1" selected="0">
            <x v="14"/>
          </reference>
          <reference field="4" count="1" selected="0">
            <x v="92"/>
          </reference>
          <reference field="5" count="1" selected="0">
            <x v="702"/>
          </reference>
          <reference field="7" count="1">
            <x v="783"/>
          </reference>
        </references>
      </pivotArea>
    </format>
    <format dxfId="1117">
      <pivotArea dataOnly="0" labelOnly="1" outline="0" fieldPosition="0">
        <references count="5">
          <reference field="0" count="1" selected="0">
            <x v="2"/>
          </reference>
          <reference field="3" count="1" selected="0">
            <x v="14"/>
          </reference>
          <reference field="4" count="1" selected="0">
            <x v="92"/>
          </reference>
          <reference field="5" count="1" selected="0">
            <x v="703"/>
          </reference>
          <reference field="7" count="1">
            <x v="6"/>
          </reference>
        </references>
      </pivotArea>
    </format>
    <format dxfId="1116">
      <pivotArea dataOnly="0" labelOnly="1" outline="0" fieldPosition="0">
        <references count="5">
          <reference field="0" count="1" selected="0">
            <x v="2"/>
          </reference>
          <reference field="3" count="1" selected="0">
            <x v="14"/>
          </reference>
          <reference field="4" count="1" selected="0">
            <x v="92"/>
          </reference>
          <reference field="5" count="1" selected="0">
            <x v="704"/>
          </reference>
          <reference field="7" count="1">
            <x v="777"/>
          </reference>
        </references>
      </pivotArea>
    </format>
    <format dxfId="1115">
      <pivotArea dataOnly="0" labelOnly="1" outline="0" fieldPosition="0">
        <references count="5">
          <reference field="0" count="1" selected="0">
            <x v="2"/>
          </reference>
          <reference field="3" count="1" selected="0">
            <x v="14"/>
          </reference>
          <reference field="4" count="1" selected="0">
            <x v="92"/>
          </reference>
          <reference field="5" count="1" selected="0">
            <x v="707"/>
          </reference>
          <reference field="7" count="1">
            <x v="780"/>
          </reference>
        </references>
      </pivotArea>
    </format>
    <format dxfId="1114">
      <pivotArea dataOnly="0" labelOnly="1" outline="0" fieldPosition="0">
        <references count="5">
          <reference field="0" count="1" selected="0">
            <x v="2"/>
          </reference>
          <reference field="3" count="1" selected="0">
            <x v="14"/>
          </reference>
          <reference field="4" count="1" selected="0">
            <x v="93"/>
          </reference>
          <reference field="5" count="1" selected="0">
            <x v="696"/>
          </reference>
          <reference field="7" count="1">
            <x v="187"/>
          </reference>
        </references>
      </pivotArea>
    </format>
    <format dxfId="1113">
      <pivotArea dataOnly="0" labelOnly="1" outline="0" fieldPosition="0">
        <references count="5">
          <reference field="0" count="1" selected="0">
            <x v="2"/>
          </reference>
          <reference field="3" count="1" selected="0">
            <x v="14"/>
          </reference>
          <reference field="4" count="1" selected="0">
            <x v="93"/>
          </reference>
          <reference field="5" count="1" selected="0">
            <x v="700"/>
          </reference>
          <reference field="7" count="1">
            <x v="8"/>
          </reference>
        </references>
      </pivotArea>
    </format>
    <format dxfId="1112">
      <pivotArea dataOnly="0" labelOnly="1" outline="0" fieldPosition="0">
        <references count="5">
          <reference field="0" count="1" selected="0">
            <x v="2"/>
          </reference>
          <reference field="3" count="1" selected="0">
            <x v="14"/>
          </reference>
          <reference field="4" count="1" selected="0">
            <x v="93"/>
          </reference>
          <reference field="5" count="1" selected="0">
            <x v="702"/>
          </reference>
          <reference field="7" count="1">
            <x v="783"/>
          </reference>
        </references>
      </pivotArea>
    </format>
    <format dxfId="1111">
      <pivotArea dataOnly="0" labelOnly="1" outline="0" fieldPosition="0">
        <references count="5">
          <reference field="0" count="1" selected="0">
            <x v="2"/>
          </reference>
          <reference field="3" count="1" selected="0">
            <x v="14"/>
          </reference>
          <reference field="4" count="1" selected="0">
            <x v="93"/>
          </reference>
          <reference field="5" count="1" selected="0">
            <x v="703"/>
          </reference>
          <reference field="7" count="1">
            <x v="6"/>
          </reference>
        </references>
      </pivotArea>
    </format>
    <format dxfId="1110">
      <pivotArea dataOnly="0" labelOnly="1" outline="0" fieldPosition="0">
        <references count="5">
          <reference field="0" count="1" selected="0">
            <x v="2"/>
          </reference>
          <reference field="3" count="1" selected="0">
            <x v="14"/>
          </reference>
          <reference field="4" count="1" selected="0">
            <x v="93"/>
          </reference>
          <reference field="5" count="1" selected="0">
            <x v="704"/>
          </reference>
          <reference field="7" count="1">
            <x v="777"/>
          </reference>
        </references>
      </pivotArea>
    </format>
    <format dxfId="1109">
      <pivotArea dataOnly="0" labelOnly="1" outline="0" fieldPosition="0">
        <references count="5">
          <reference field="0" count="1" selected="0">
            <x v="2"/>
          </reference>
          <reference field="3" count="1" selected="0">
            <x v="14"/>
          </reference>
          <reference field="4" count="1" selected="0">
            <x v="93"/>
          </reference>
          <reference field="5" count="1" selected="0">
            <x v="706"/>
          </reference>
          <reference field="7" count="1">
            <x v="781"/>
          </reference>
        </references>
      </pivotArea>
    </format>
    <format dxfId="1108">
      <pivotArea dataOnly="0" labelOnly="1" outline="0" fieldPosition="0">
        <references count="5">
          <reference field="0" count="1" selected="0">
            <x v="2"/>
          </reference>
          <reference field="3" count="1" selected="0">
            <x v="14"/>
          </reference>
          <reference field="4" count="1" selected="0">
            <x v="94"/>
          </reference>
          <reference field="5" count="1" selected="0">
            <x v="697"/>
          </reference>
          <reference field="7" count="1">
            <x v="188"/>
          </reference>
        </references>
      </pivotArea>
    </format>
    <format dxfId="1107">
      <pivotArea dataOnly="0" labelOnly="1" outline="0" fieldPosition="0">
        <references count="5">
          <reference field="0" count="1" selected="0">
            <x v="2"/>
          </reference>
          <reference field="3" count="1" selected="0">
            <x v="14"/>
          </reference>
          <reference field="4" count="1" selected="0">
            <x v="94"/>
          </reference>
          <reference field="5" count="1" selected="0">
            <x v="700"/>
          </reference>
          <reference field="7" count="1">
            <x v="8"/>
          </reference>
        </references>
      </pivotArea>
    </format>
    <format dxfId="1106">
      <pivotArea dataOnly="0" labelOnly="1" outline="0" fieldPosition="0">
        <references count="5">
          <reference field="0" count="1" selected="0">
            <x v="2"/>
          </reference>
          <reference field="3" count="1" selected="0">
            <x v="14"/>
          </reference>
          <reference field="4" count="1" selected="0">
            <x v="94"/>
          </reference>
          <reference field="5" count="1" selected="0">
            <x v="701"/>
          </reference>
          <reference field="7" count="1">
            <x v="782"/>
          </reference>
        </references>
      </pivotArea>
    </format>
    <format dxfId="1105">
      <pivotArea dataOnly="0" labelOnly="1" outline="0" fieldPosition="0">
        <references count="5">
          <reference field="0" count="1" selected="0">
            <x v="2"/>
          </reference>
          <reference field="3" count="1" selected="0">
            <x v="14"/>
          </reference>
          <reference field="4" count="1" selected="0">
            <x v="94"/>
          </reference>
          <reference field="5" count="1" selected="0">
            <x v="702"/>
          </reference>
          <reference field="7" count="1">
            <x v="783"/>
          </reference>
        </references>
      </pivotArea>
    </format>
    <format dxfId="1104">
      <pivotArea dataOnly="0" labelOnly="1" outline="0" fieldPosition="0">
        <references count="5">
          <reference field="0" count="1" selected="0">
            <x v="2"/>
          </reference>
          <reference field="3" count="1" selected="0">
            <x v="14"/>
          </reference>
          <reference field="4" count="1" selected="0">
            <x v="94"/>
          </reference>
          <reference field="5" count="1" selected="0">
            <x v="703"/>
          </reference>
          <reference field="7" count="1">
            <x v="6"/>
          </reference>
        </references>
      </pivotArea>
    </format>
    <format dxfId="1103">
      <pivotArea dataOnly="0" labelOnly="1" outline="0" fieldPosition="0">
        <references count="5">
          <reference field="0" count="1" selected="0">
            <x v="2"/>
          </reference>
          <reference field="3" count="1" selected="0">
            <x v="14"/>
          </reference>
          <reference field="4" count="1" selected="0">
            <x v="94"/>
          </reference>
          <reference field="5" count="1" selected="0">
            <x v="704"/>
          </reference>
          <reference field="7" count="1">
            <x v="777"/>
          </reference>
        </references>
      </pivotArea>
    </format>
    <format dxfId="1102">
      <pivotArea dataOnly="0" labelOnly="1" outline="0" fieldPosition="0">
        <references count="5">
          <reference field="0" count="1" selected="0">
            <x v="2"/>
          </reference>
          <reference field="3" count="1" selected="0">
            <x v="14"/>
          </reference>
          <reference field="4" count="1" selected="0">
            <x v="104"/>
          </reference>
          <reference field="5" count="1" selected="0">
            <x v="8"/>
          </reference>
          <reference field="7" count="1">
            <x v="1484"/>
          </reference>
        </references>
      </pivotArea>
    </format>
    <format dxfId="1101">
      <pivotArea dataOnly="0" labelOnly="1" outline="0" fieldPosition="0">
        <references count="5">
          <reference field="0" count="1" selected="0">
            <x v="2"/>
          </reference>
          <reference field="3" count="1" selected="0">
            <x v="14"/>
          </reference>
          <reference field="4" count="1" selected="0">
            <x v="104"/>
          </reference>
          <reference field="5" count="1" selected="0">
            <x v="11"/>
          </reference>
          <reference field="7" count="1">
            <x v="1482"/>
          </reference>
        </references>
      </pivotArea>
    </format>
    <format dxfId="1100">
      <pivotArea dataOnly="0" labelOnly="1" outline="0" fieldPosition="0">
        <references count="5">
          <reference field="0" count="1" selected="0">
            <x v="2"/>
          </reference>
          <reference field="3" count="1" selected="0">
            <x v="14"/>
          </reference>
          <reference field="4" count="1" selected="0">
            <x v="104"/>
          </reference>
          <reference field="5" count="1" selected="0">
            <x v="406"/>
          </reference>
          <reference field="7" count="1">
            <x v="895"/>
          </reference>
        </references>
      </pivotArea>
    </format>
    <format dxfId="1099">
      <pivotArea dataOnly="0" labelOnly="1" outline="0" fieldPosition="0">
        <references count="5">
          <reference field="0" count="1" selected="0">
            <x v="2"/>
          </reference>
          <reference field="3" count="1" selected="0">
            <x v="14"/>
          </reference>
          <reference field="4" count="1" selected="0">
            <x v="104"/>
          </reference>
          <reference field="5" count="1" selected="0">
            <x v="407"/>
          </reference>
          <reference field="7" count="1">
            <x v="0"/>
          </reference>
        </references>
      </pivotArea>
    </format>
    <format dxfId="1098">
      <pivotArea dataOnly="0" labelOnly="1" outline="0" fieldPosition="0">
        <references count="5">
          <reference field="0" count="1" selected="0">
            <x v="2"/>
          </reference>
          <reference field="3" count="1" selected="0">
            <x v="14"/>
          </reference>
          <reference field="4" count="1" selected="0">
            <x v="104"/>
          </reference>
          <reference field="5" count="1" selected="0">
            <x v="409"/>
          </reference>
          <reference field="7" count="1">
            <x v="672"/>
          </reference>
        </references>
      </pivotArea>
    </format>
    <format dxfId="1097">
      <pivotArea dataOnly="0" labelOnly="1" outline="0" fieldPosition="0">
        <references count="5">
          <reference field="0" count="1" selected="0">
            <x v="2"/>
          </reference>
          <reference field="3" count="1" selected="0">
            <x v="14"/>
          </reference>
          <reference field="4" count="1" selected="0">
            <x v="104"/>
          </reference>
          <reference field="5" count="1" selected="0">
            <x v="430"/>
          </reference>
          <reference field="7" count="1">
            <x v="966"/>
          </reference>
        </references>
      </pivotArea>
    </format>
    <format dxfId="1096">
      <pivotArea dataOnly="0" labelOnly="1" outline="0" fieldPosition="0">
        <references count="5">
          <reference field="0" count="1" selected="0">
            <x v="2"/>
          </reference>
          <reference field="3" count="1" selected="0">
            <x v="14"/>
          </reference>
          <reference field="4" count="1" selected="0">
            <x v="104"/>
          </reference>
          <reference field="5" count="1" selected="0">
            <x v="738"/>
          </reference>
          <reference field="7" count="1">
            <x v="248"/>
          </reference>
        </references>
      </pivotArea>
    </format>
    <format dxfId="1095">
      <pivotArea dataOnly="0" labelOnly="1" outline="0" fieldPosition="0">
        <references count="5">
          <reference field="0" count="1" selected="0">
            <x v="2"/>
          </reference>
          <reference field="3" count="1" selected="0">
            <x v="14"/>
          </reference>
          <reference field="4" count="1" selected="0">
            <x v="104"/>
          </reference>
          <reference field="5" count="1" selected="0">
            <x v="739"/>
          </reference>
          <reference field="7" count="1">
            <x v="714"/>
          </reference>
        </references>
      </pivotArea>
    </format>
    <format dxfId="1094">
      <pivotArea dataOnly="0" labelOnly="1" outline="0" fieldPosition="0">
        <references count="5">
          <reference field="0" count="1" selected="0">
            <x v="2"/>
          </reference>
          <reference field="3" count="1" selected="0">
            <x v="14"/>
          </reference>
          <reference field="4" count="1" selected="0">
            <x v="104"/>
          </reference>
          <reference field="5" count="1" selected="0">
            <x v="740"/>
          </reference>
          <reference field="7" count="1">
            <x v="716"/>
          </reference>
        </references>
      </pivotArea>
    </format>
    <format dxfId="1093">
      <pivotArea dataOnly="0" labelOnly="1" outline="0" fieldPosition="0">
        <references count="5">
          <reference field="0" count="1" selected="0">
            <x v="2"/>
          </reference>
          <reference field="3" count="1" selected="0">
            <x v="14"/>
          </reference>
          <reference field="4" count="1" selected="0">
            <x v="104"/>
          </reference>
          <reference field="5" count="1" selected="0">
            <x v="741"/>
          </reference>
          <reference field="7" count="1">
            <x v="715"/>
          </reference>
        </references>
      </pivotArea>
    </format>
    <format dxfId="1092">
      <pivotArea dataOnly="0" labelOnly="1" outline="0" fieldPosition="0">
        <references count="5">
          <reference field="0" count="1" selected="0">
            <x v="2"/>
          </reference>
          <reference field="3" count="1" selected="0">
            <x v="14"/>
          </reference>
          <reference field="4" count="1" selected="0">
            <x v="104"/>
          </reference>
          <reference field="5" count="1" selected="0">
            <x v="742"/>
          </reference>
          <reference field="7" count="1">
            <x v="1043"/>
          </reference>
        </references>
      </pivotArea>
    </format>
    <format dxfId="1091">
      <pivotArea dataOnly="0" labelOnly="1" outline="0" fieldPosition="0">
        <references count="5">
          <reference field="0" count="1" selected="0">
            <x v="2"/>
          </reference>
          <reference field="3" count="1" selected="0">
            <x v="14"/>
          </reference>
          <reference field="4" count="1" selected="0">
            <x v="104"/>
          </reference>
          <reference field="5" count="1" selected="0">
            <x v="743"/>
          </reference>
          <reference field="7" count="1">
            <x v="758"/>
          </reference>
        </references>
      </pivotArea>
    </format>
    <format dxfId="1090">
      <pivotArea dataOnly="0" labelOnly="1" outline="0" fieldPosition="0">
        <references count="5">
          <reference field="0" count="1" selected="0">
            <x v="2"/>
          </reference>
          <reference field="3" count="1" selected="0">
            <x v="14"/>
          </reference>
          <reference field="4" count="1" selected="0">
            <x v="104"/>
          </reference>
          <reference field="5" count="1" selected="0">
            <x v="1612"/>
          </reference>
          <reference field="7" count="1">
            <x v="1115"/>
          </reference>
        </references>
      </pivotArea>
    </format>
    <format dxfId="1089">
      <pivotArea dataOnly="0" labelOnly="1" outline="0" fieldPosition="0">
        <references count="5">
          <reference field="0" count="1" selected="0">
            <x v="2"/>
          </reference>
          <reference field="3" count="1" selected="0">
            <x v="14"/>
          </reference>
          <reference field="4" count="1" selected="0">
            <x v="105"/>
          </reference>
          <reference field="5" count="1" selected="0">
            <x v="248"/>
          </reference>
          <reference field="7" count="1">
            <x v="1316"/>
          </reference>
        </references>
      </pivotArea>
    </format>
    <format dxfId="1088">
      <pivotArea dataOnly="0" labelOnly="1" outline="0" fieldPosition="0">
        <references count="5">
          <reference field="0" count="1" selected="0">
            <x v="2"/>
          </reference>
          <reference field="3" count="1" selected="0">
            <x v="14"/>
          </reference>
          <reference field="4" count="1" selected="0">
            <x v="105"/>
          </reference>
          <reference field="5" count="1" selected="0">
            <x v="1530"/>
          </reference>
          <reference field="7" count="1">
            <x v="793"/>
          </reference>
        </references>
      </pivotArea>
    </format>
    <format dxfId="1087">
      <pivotArea dataOnly="0" labelOnly="1" outline="0" fieldPosition="0">
        <references count="5">
          <reference field="0" count="1" selected="0">
            <x v="2"/>
          </reference>
          <reference field="3" count="1" selected="0">
            <x v="14"/>
          </reference>
          <reference field="4" count="1" selected="0">
            <x v="105"/>
          </reference>
          <reference field="5" count="1" selected="0">
            <x v="1553"/>
          </reference>
          <reference field="7" count="1">
            <x v="196"/>
          </reference>
        </references>
      </pivotArea>
    </format>
    <format dxfId="1086">
      <pivotArea dataOnly="0" labelOnly="1" outline="0" fieldPosition="0">
        <references count="5">
          <reference field="0" count="1" selected="0">
            <x v="2"/>
          </reference>
          <reference field="3" count="1" selected="0">
            <x v="14"/>
          </reference>
          <reference field="4" count="1" selected="0">
            <x v="216"/>
          </reference>
          <reference field="5" count="1" selected="0">
            <x v="89"/>
          </reference>
          <reference field="7" count="1">
            <x v="1488"/>
          </reference>
        </references>
      </pivotArea>
    </format>
    <format dxfId="1085">
      <pivotArea dataOnly="0" labelOnly="1" outline="0" fieldPosition="0">
        <references count="5">
          <reference field="0" count="1" selected="0">
            <x v="2"/>
          </reference>
          <reference field="3" count="1" selected="0">
            <x v="14"/>
          </reference>
          <reference field="4" count="1" selected="0">
            <x v="216"/>
          </reference>
          <reference field="5" count="1" selected="0">
            <x v="114"/>
          </reference>
          <reference field="7" count="1">
            <x v="1072"/>
          </reference>
        </references>
      </pivotArea>
    </format>
    <format dxfId="1084">
      <pivotArea dataOnly="0" labelOnly="1" outline="0" fieldPosition="0">
        <references count="5">
          <reference field="0" count="1" selected="0">
            <x v="2"/>
          </reference>
          <reference field="3" count="1" selected="0">
            <x v="14"/>
          </reference>
          <reference field="4" count="1" selected="0">
            <x v="216"/>
          </reference>
          <reference field="5" count="1" selected="0">
            <x v="115"/>
          </reference>
          <reference field="7" count="1">
            <x v="1073"/>
          </reference>
        </references>
      </pivotArea>
    </format>
    <format dxfId="1083">
      <pivotArea dataOnly="0" labelOnly="1" outline="0" fieldPosition="0">
        <references count="5">
          <reference field="0" count="1" selected="0">
            <x v="2"/>
          </reference>
          <reference field="3" count="1" selected="0">
            <x v="14"/>
          </reference>
          <reference field="4" count="1" selected="0">
            <x v="216"/>
          </reference>
          <reference field="5" count="1" selected="0">
            <x v="131"/>
          </reference>
          <reference field="7" count="1">
            <x v="583"/>
          </reference>
        </references>
      </pivotArea>
    </format>
    <format dxfId="1082">
      <pivotArea dataOnly="0" labelOnly="1" outline="0" fieldPosition="0">
        <references count="5">
          <reference field="0" count="1" selected="0">
            <x v="2"/>
          </reference>
          <reference field="3" count="1" selected="0">
            <x v="14"/>
          </reference>
          <reference field="4" count="1" selected="0">
            <x v="216"/>
          </reference>
          <reference field="5" count="1" selected="0">
            <x v="136"/>
          </reference>
          <reference field="7" count="1">
            <x v="593"/>
          </reference>
        </references>
      </pivotArea>
    </format>
    <format dxfId="1081">
      <pivotArea dataOnly="0" labelOnly="1" outline="0" fieldPosition="0">
        <references count="5">
          <reference field="0" count="1" selected="0">
            <x v="2"/>
          </reference>
          <reference field="3" count="1" selected="0">
            <x v="14"/>
          </reference>
          <reference field="4" count="1" selected="0">
            <x v="216"/>
          </reference>
          <reference field="5" count="1" selected="0">
            <x v="165"/>
          </reference>
          <reference field="7" count="1">
            <x v="1085"/>
          </reference>
        </references>
      </pivotArea>
    </format>
    <format dxfId="1080">
      <pivotArea dataOnly="0" labelOnly="1" outline="0" fieldPosition="0">
        <references count="5">
          <reference field="0" count="1" selected="0">
            <x v="2"/>
          </reference>
          <reference field="3" count="1" selected="0">
            <x v="14"/>
          </reference>
          <reference field="4" count="1" selected="0">
            <x v="216"/>
          </reference>
          <reference field="5" count="1" selected="0">
            <x v="166"/>
          </reference>
          <reference field="7" count="1">
            <x v="1086"/>
          </reference>
        </references>
      </pivotArea>
    </format>
    <format dxfId="1079">
      <pivotArea dataOnly="0" labelOnly="1" outline="0" fieldPosition="0">
        <references count="5">
          <reference field="0" count="1" selected="0">
            <x v="2"/>
          </reference>
          <reference field="3" count="1" selected="0">
            <x v="14"/>
          </reference>
          <reference field="4" count="1" selected="0">
            <x v="216"/>
          </reference>
          <reference field="5" count="1" selected="0">
            <x v="169"/>
          </reference>
          <reference field="7" count="1">
            <x v="1090"/>
          </reference>
        </references>
      </pivotArea>
    </format>
    <format dxfId="1078">
      <pivotArea dataOnly="0" labelOnly="1" outline="0" fieldPosition="0">
        <references count="5">
          <reference field="0" count="1" selected="0">
            <x v="2"/>
          </reference>
          <reference field="3" count="1" selected="0">
            <x v="14"/>
          </reference>
          <reference field="4" count="1" selected="0">
            <x v="216"/>
          </reference>
          <reference field="5" count="1" selected="0">
            <x v="203"/>
          </reference>
          <reference field="7" count="1">
            <x v="1418"/>
          </reference>
        </references>
      </pivotArea>
    </format>
    <format dxfId="1077">
      <pivotArea dataOnly="0" labelOnly="1" outline="0" fieldPosition="0">
        <references count="5">
          <reference field="0" count="1" selected="0">
            <x v="2"/>
          </reference>
          <reference field="3" count="1" selected="0">
            <x v="14"/>
          </reference>
          <reference field="4" count="1" selected="0">
            <x v="216"/>
          </reference>
          <reference field="5" count="1" selected="0">
            <x v="206"/>
          </reference>
          <reference field="7" count="1">
            <x v="1428"/>
          </reference>
        </references>
      </pivotArea>
    </format>
    <format dxfId="1076">
      <pivotArea dataOnly="0" labelOnly="1" outline="0" fieldPosition="0">
        <references count="5">
          <reference field="0" count="1" selected="0">
            <x v="2"/>
          </reference>
          <reference field="3" count="1" selected="0">
            <x v="14"/>
          </reference>
          <reference field="4" count="1" selected="0">
            <x v="216"/>
          </reference>
          <reference field="5" count="1" selected="0">
            <x v="237"/>
          </reference>
          <reference field="7" count="1">
            <x v="1586"/>
          </reference>
        </references>
      </pivotArea>
    </format>
    <format dxfId="1075">
      <pivotArea dataOnly="0" labelOnly="1" outline="0" fieldPosition="0">
        <references count="5">
          <reference field="0" count="1" selected="0">
            <x v="2"/>
          </reference>
          <reference field="3" count="1" selected="0">
            <x v="14"/>
          </reference>
          <reference field="4" count="1" selected="0">
            <x v="216"/>
          </reference>
          <reference field="5" count="1" selected="0">
            <x v="302"/>
          </reference>
          <reference field="7" count="1">
            <x v="1070"/>
          </reference>
        </references>
      </pivotArea>
    </format>
    <format dxfId="1074">
      <pivotArea dataOnly="0" labelOnly="1" outline="0" fieldPosition="0">
        <references count="5">
          <reference field="0" count="1" selected="0">
            <x v="2"/>
          </reference>
          <reference field="3" count="1" selected="0">
            <x v="14"/>
          </reference>
          <reference field="4" count="1" selected="0">
            <x v="216"/>
          </reference>
          <reference field="5" count="1" selected="0">
            <x v="396"/>
          </reference>
          <reference field="7" count="1">
            <x v="1616"/>
          </reference>
        </references>
      </pivotArea>
    </format>
    <format dxfId="1073">
      <pivotArea dataOnly="0" labelOnly="1" outline="0" fieldPosition="0">
        <references count="5">
          <reference field="0" count="1" selected="0">
            <x v="2"/>
          </reference>
          <reference field="3" count="1" selected="0">
            <x v="14"/>
          </reference>
          <reference field="4" count="1" selected="0">
            <x v="216"/>
          </reference>
          <reference field="5" count="1" selected="0">
            <x v="398"/>
          </reference>
          <reference field="7" count="1">
            <x v="1042"/>
          </reference>
        </references>
      </pivotArea>
    </format>
    <format dxfId="1072">
      <pivotArea dataOnly="0" labelOnly="1" outline="0" fieldPosition="0">
        <references count="5">
          <reference field="0" count="1" selected="0">
            <x v="2"/>
          </reference>
          <reference field="3" count="1" selected="0">
            <x v="14"/>
          </reference>
          <reference field="4" count="1" selected="0">
            <x v="216"/>
          </reference>
          <reference field="5" count="1" selected="0">
            <x v="688"/>
          </reference>
          <reference field="7" count="1">
            <x v="859"/>
          </reference>
        </references>
      </pivotArea>
    </format>
    <format dxfId="1071">
      <pivotArea dataOnly="0" labelOnly="1" outline="0" fieldPosition="0">
        <references count="5">
          <reference field="0" count="1" selected="0">
            <x v="2"/>
          </reference>
          <reference field="3" count="1" selected="0">
            <x v="14"/>
          </reference>
          <reference field="4" count="1" selected="0">
            <x v="216"/>
          </reference>
          <reference field="5" count="1" selected="0">
            <x v="689"/>
          </reference>
          <reference field="7" count="1">
            <x v="862"/>
          </reference>
        </references>
      </pivotArea>
    </format>
    <format dxfId="1070">
      <pivotArea dataOnly="0" labelOnly="1" outline="0" fieldPosition="0">
        <references count="5">
          <reference field="0" count="1" selected="0">
            <x v="2"/>
          </reference>
          <reference field="3" count="1" selected="0">
            <x v="14"/>
          </reference>
          <reference field="4" count="1" selected="0">
            <x v="216"/>
          </reference>
          <reference field="5" count="1" selected="0">
            <x v="690"/>
          </reference>
          <reference field="7" count="1">
            <x v="861"/>
          </reference>
        </references>
      </pivotArea>
    </format>
    <format dxfId="1069">
      <pivotArea dataOnly="0" labelOnly="1" outline="0" fieldPosition="0">
        <references count="5">
          <reference field="0" count="1" selected="0">
            <x v="2"/>
          </reference>
          <reference field="3" count="1" selected="0">
            <x v="15"/>
          </reference>
          <reference field="4" count="1" selected="0">
            <x v="1"/>
          </reference>
          <reference field="5" count="1" selected="0">
            <x v="799"/>
          </reference>
          <reference field="7" count="1">
            <x v="57"/>
          </reference>
        </references>
      </pivotArea>
    </format>
    <format dxfId="1068">
      <pivotArea dataOnly="0" labelOnly="1" outline="0" fieldPosition="0">
        <references count="5">
          <reference field="0" count="1" selected="0">
            <x v="2"/>
          </reference>
          <reference field="3" count="1" selected="0">
            <x v="15"/>
          </reference>
          <reference field="4" count="1" selected="0">
            <x v="1"/>
          </reference>
          <reference field="5" count="1" selected="0">
            <x v="800"/>
          </reference>
          <reference field="7" count="1">
            <x v="58"/>
          </reference>
        </references>
      </pivotArea>
    </format>
    <format dxfId="1067">
      <pivotArea dataOnly="0" labelOnly="1" outline="0" fieldPosition="0">
        <references count="5">
          <reference field="0" count="1" selected="0">
            <x v="2"/>
          </reference>
          <reference field="3" count="1" selected="0">
            <x v="15"/>
          </reference>
          <reference field="4" count="1" selected="0">
            <x v="1"/>
          </reference>
          <reference field="5" count="1" selected="0">
            <x v="801"/>
          </reference>
          <reference field="7" count="1">
            <x v="59"/>
          </reference>
        </references>
      </pivotArea>
    </format>
    <format dxfId="1066">
      <pivotArea dataOnly="0" labelOnly="1" outline="0" fieldPosition="0">
        <references count="5">
          <reference field="0" count="1" selected="0">
            <x v="2"/>
          </reference>
          <reference field="3" count="1" selected="0">
            <x v="15"/>
          </reference>
          <reference field="4" count="1" selected="0">
            <x v="1"/>
          </reference>
          <reference field="5" count="1" selected="0">
            <x v="1584"/>
          </reference>
          <reference field="7" count="1">
            <x v="20"/>
          </reference>
        </references>
      </pivotArea>
    </format>
    <format dxfId="1065">
      <pivotArea dataOnly="0" labelOnly="1" outline="0" fieldPosition="0">
        <references count="5">
          <reference field="0" count="1" selected="0">
            <x v="2"/>
          </reference>
          <reference field="3" count="1" selected="0">
            <x v="15"/>
          </reference>
          <reference field="4" count="1" selected="0">
            <x v="1"/>
          </reference>
          <reference field="5" count="1" selected="0">
            <x v="1585"/>
          </reference>
          <reference field="7" count="1">
            <x v="21"/>
          </reference>
        </references>
      </pivotArea>
    </format>
    <format dxfId="1064">
      <pivotArea dataOnly="0" labelOnly="1" outline="0" fieldPosition="0">
        <references count="5">
          <reference field="0" count="1" selected="0">
            <x v="2"/>
          </reference>
          <reference field="3" count="1" selected="0">
            <x v="15"/>
          </reference>
          <reference field="4" count="1" selected="0">
            <x v="1"/>
          </reference>
          <reference field="5" count="1" selected="0">
            <x v="1586"/>
          </reference>
          <reference field="7" count="1">
            <x v="22"/>
          </reference>
        </references>
      </pivotArea>
    </format>
    <format dxfId="1063">
      <pivotArea dataOnly="0" labelOnly="1" outline="0" fieldPosition="0">
        <references count="5">
          <reference field="0" count="1" selected="0">
            <x v="2"/>
          </reference>
          <reference field="3" count="1" selected="0">
            <x v="15"/>
          </reference>
          <reference field="4" count="1" selected="0">
            <x v="2"/>
          </reference>
          <reference field="5" count="1" selected="0">
            <x v="1"/>
          </reference>
          <reference field="7" count="1">
            <x v="837"/>
          </reference>
        </references>
      </pivotArea>
    </format>
    <format dxfId="1062">
      <pivotArea dataOnly="0" labelOnly="1" outline="0" fieldPosition="0">
        <references count="5">
          <reference field="0" count="1" selected="0">
            <x v="2"/>
          </reference>
          <reference field="3" count="1" selected="0">
            <x v="15"/>
          </reference>
          <reference field="4" count="1" selected="0">
            <x v="2"/>
          </reference>
          <reference field="5" count="1" selected="0">
            <x v="114"/>
          </reference>
          <reference field="7" count="1">
            <x v="1072"/>
          </reference>
        </references>
      </pivotArea>
    </format>
    <format dxfId="1061">
      <pivotArea dataOnly="0" labelOnly="1" outline="0" fieldPosition="0">
        <references count="5">
          <reference field="0" count="1" selected="0">
            <x v="2"/>
          </reference>
          <reference field="3" count="1" selected="0">
            <x v="15"/>
          </reference>
          <reference field="4" count="1" selected="0">
            <x v="2"/>
          </reference>
          <reference field="5" count="1" selected="0">
            <x v="131"/>
          </reference>
          <reference field="7" count="1">
            <x v="583"/>
          </reference>
        </references>
      </pivotArea>
    </format>
    <format dxfId="1060">
      <pivotArea dataOnly="0" labelOnly="1" outline="0" fieldPosition="0">
        <references count="5">
          <reference field="0" count="1" selected="0">
            <x v="2"/>
          </reference>
          <reference field="3" count="1" selected="0">
            <x v="15"/>
          </reference>
          <reference field="4" count="1" selected="0">
            <x v="2"/>
          </reference>
          <reference field="5" count="1" selected="0">
            <x v="200"/>
          </reference>
          <reference field="7" count="1">
            <x v="1417"/>
          </reference>
        </references>
      </pivotArea>
    </format>
    <format dxfId="1059">
      <pivotArea dataOnly="0" labelOnly="1" outline="0" fieldPosition="0">
        <references count="5">
          <reference field="0" count="1" selected="0">
            <x v="2"/>
          </reference>
          <reference field="3" count="1" selected="0">
            <x v="15"/>
          </reference>
          <reference field="4" count="1" selected="0">
            <x v="2"/>
          </reference>
          <reference field="5" count="1" selected="0">
            <x v="343"/>
          </reference>
          <reference field="7" count="1">
            <x v="1100"/>
          </reference>
        </references>
      </pivotArea>
    </format>
    <format dxfId="1058">
      <pivotArea dataOnly="0" labelOnly="1" outline="0" fieldPosition="0">
        <references count="5">
          <reference field="0" count="1" selected="0">
            <x v="2"/>
          </reference>
          <reference field="3" count="1" selected="0">
            <x v="15"/>
          </reference>
          <reference field="4" count="1" selected="0">
            <x v="2"/>
          </reference>
          <reference field="5" count="1" selected="0">
            <x v="1580"/>
          </reference>
          <reference field="7" count="1">
            <x v="115"/>
          </reference>
        </references>
      </pivotArea>
    </format>
    <format dxfId="1057">
      <pivotArea dataOnly="0" labelOnly="1" outline="0" fieldPosition="0">
        <references count="5">
          <reference field="0" count="1" selected="0">
            <x v="2"/>
          </reference>
          <reference field="3" count="1" selected="0">
            <x v="15"/>
          </reference>
          <reference field="4" count="1" selected="0">
            <x v="2"/>
          </reference>
          <reference field="5" count="1" selected="0">
            <x v="1581"/>
          </reference>
          <reference field="7" count="1">
            <x v="1573"/>
          </reference>
        </references>
      </pivotArea>
    </format>
    <format dxfId="1056">
      <pivotArea dataOnly="0" labelOnly="1" outline="0" fieldPosition="0">
        <references count="5">
          <reference field="0" count="1" selected="0">
            <x v="2"/>
          </reference>
          <reference field="3" count="1" selected="0">
            <x v="15"/>
          </reference>
          <reference field="4" count="1" selected="0">
            <x v="2"/>
          </reference>
          <reference field="5" count="1" selected="0">
            <x v="1582"/>
          </reference>
          <reference field="7" count="1">
            <x v="23"/>
          </reference>
        </references>
      </pivotArea>
    </format>
    <format dxfId="1055">
      <pivotArea dataOnly="0" labelOnly="1" outline="0" fieldPosition="0">
        <references count="5">
          <reference field="0" count="1" selected="0">
            <x v="2"/>
          </reference>
          <reference field="3" count="1" selected="0">
            <x v="15"/>
          </reference>
          <reference field="4" count="1" selected="0">
            <x v="2"/>
          </reference>
          <reference field="5" count="1" selected="0">
            <x v="1583"/>
          </reference>
          <reference field="7" count="1">
            <x v="24"/>
          </reference>
        </references>
      </pivotArea>
    </format>
    <format dxfId="1054">
      <pivotArea dataOnly="0" labelOnly="1" outline="0" fieldPosition="0">
        <references count="5">
          <reference field="0" count="1" selected="0">
            <x v="2"/>
          </reference>
          <reference field="3" count="1" selected="0">
            <x v="15"/>
          </reference>
          <reference field="4" count="1" selected="0">
            <x v="2"/>
          </reference>
          <reference field="5" count="1" selected="0">
            <x v="1587"/>
          </reference>
          <reference field="7" count="1">
            <x v="19"/>
          </reference>
        </references>
      </pivotArea>
    </format>
    <format dxfId="1053">
      <pivotArea dataOnly="0" labelOnly="1" outline="0" fieldPosition="0">
        <references count="5">
          <reference field="0" count="1" selected="0">
            <x v="2"/>
          </reference>
          <reference field="3" count="1" selected="0">
            <x v="15"/>
          </reference>
          <reference field="4" count="1" selected="0">
            <x v="2"/>
          </reference>
          <reference field="5" count="1" selected="0">
            <x v="1638"/>
          </reference>
          <reference field="7" count="1">
            <x v="949"/>
          </reference>
        </references>
      </pivotArea>
    </format>
    <format dxfId="1052">
      <pivotArea dataOnly="0" labelOnly="1" outline="0" fieldPosition="0">
        <references count="5">
          <reference field="0" count="1" selected="0">
            <x v="2"/>
          </reference>
          <reference field="3" count="1" selected="0">
            <x v="15"/>
          </reference>
          <reference field="4" count="1" selected="0">
            <x v="3"/>
          </reference>
          <reference field="5" count="1" selected="0">
            <x v="1"/>
          </reference>
          <reference field="7" count="1">
            <x v="837"/>
          </reference>
        </references>
      </pivotArea>
    </format>
    <format dxfId="1051">
      <pivotArea dataOnly="0" labelOnly="1" outline="0" fieldPosition="0">
        <references count="5">
          <reference field="0" count="1" selected="0">
            <x v="2"/>
          </reference>
          <reference field="3" count="1" selected="0">
            <x v="15"/>
          </reference>
          <reference field="4" count="1" selected="0">
            <x v="3"/>
          </reference>
          <reference field="5" count="1" selected="0">
            <x v="114"/>
          </reference>
          <reference field="7" count="1">
            <x v="1072"/>
          </reference>
        </references>
      </pivotArea>
    </format>
    <format dxfId="1050">
      <pivotArea dataOnly="0" labelOnly="1" outline="0" fieldPosition="0">
        <references count="5">
          <reference field="0" count="1" selected="0">
            <x v="2"/>
          </reference>
          <reference field="3" count="1" selected="0">
            <x v="15"/>
          </reference>
          <reference field="4" count="1" selected="0">
            <x v="3"/>
          </reference>
          <reference field="5" count="1" selected="0">
            <x v="131"/>
          </reference>
          <reference field="7" count="1">
            <x v="583"/>
          </reference>
        </references>
      </pivotArea>
    </format>
    <format dxfId="1049">
      <pivotArea dataOnly="0" labelOnly="1" outline="0" fieldPosition="0">
        <references count="5">
          <reference field="0" count="1" selected="0">
            <x v="2"/>
          </reference>
          <reference field="3" count="1" selected="0">
            <x v="15"/>
          </reference>
          <reference field="4" count="1" selected="0">
            <x v="3"/>
          </reference>
          <reference field="5" count="1" selected="0">
            <x v="200"/>
          </reference>
          <reference field="7" count="1">
            <x v="1417"/>
          </reference>
        </references>
      </pivotArea>
    </format>
    <format dxfId="1048">
      <pivotArea dataOnly="0" labelOnly="1" outline="0" fieldPosition="0">
        <references count="5">
          <reference field="0" count="1" selected="0">
            <x v="2"/>
          </reference>
          <reference field="3" count="1" selected="0">
            <x v="15"/>
          </reference>
          <reference field="4" count="1" selected="0">
            <x v="3"/>
          </reference>
          <reference field="5" count="1" selected="0">
            <x v="343"/>
          </reference>
          <reference field="7" count="1">
            <x v="1100"/>
          </reference>
        </references>
      </pivotArea>
    </format>
    <format dxfId="1047">
      <pivotArea dataOnly="0" labelOnly="1" outline="0" fieldPosition="0">
        <references count="5">
          <reference field="0" count="1" selected="0">
            <x v="2"/>
          </reference>
          <reference field="3" count="1" selected="0">
            <x v="15"/>
          </reference>
          <reference field="4" count="1" selected="0">
            <x v="3"/>
          </reference>
          <reference field="5" count="1" selected="0">
            <x v="395"/>
          </reference>
          <reference field="7" count="1">
            <x v="996"/>
          </reference>
        </references>
      </pivotArea>
    </format>
    <format dxfId="1046">
      <pivotArea dataOnly="0" labelOnly="1" outline="0" fieldPosition="0">
        <references count="5">
          <reference field="0" count="1" selected="0">
            <x v="2"/>
          </reference>
          <reference field="3" count="1" selected="0">
            <x v="15"/>
          </reference>
          <reference field="4" count="1" selected="0">
            <x v="3"/>
          </reference>
          <reference field="5" count="1" selected="0">
            <x v="804"/>
          </reference>
          <reference field="7" count="1">
            <x v="67"/>
          </reference>
        </references>
      </pivotArea>
    </format>
    <format dxfId="1045">
      <pivotArea dataOnly="0" labelOnly="1" outline="0" fieldPosition="0">
        <references count="5">
          <reference field="0" count="1" selected="0">
            <x v="2"/>
          </reference>
          <reference field="3" count="1" selected="0">
            <x v="15"/>
          </reference>
          <reference field="4" count="1" selected="0">
            <x v="3"/>
          </reference>
          <reference field="5" count="1" selected="0">
            <x v="805"/>
          </reference>
          <reference field="7" count="1">
            <x v="68"/>
          </reference>
        </references>
      </pivotArea>
    </format>
    <format dxfId="1044">
      <pivotArea dataOnly="0" labelOnly="1" outline="0" fieldPosition="0">
        <references count="5">
          <reference field="0" count="1" selected="0">
            <x v="2"/>
          </reference>
          <reference field="3" count="1" selected="0">
            <x v="15"/>
          </reference>
          <reference field="4" count="1" selected="0">
            <x v="3"/>
          </reference>
          <reference field="5" count="1" selected="0">
            <x v="806"/>
          </reference>
          <reference field="7" count="1">
            <x v="69"/>
          </reference>
        </references>
      </pivotArea>
    </format>
    <format dxfId="1043">
      <pivotArea dataOnly="0" labelOnly="1" outline="0" fieldPosition="0">
        <references count="5">
          <reference field="0" count="1" selected="0">
            <x v="2"/>
          </reference>
          <reference field="3" count="1" selected="0">
            <x v="15"/>
          </reference>
          <reference field="4" count="1" selected="0">
            <x v="3"/>
          </reference>
          <reference field="5" count="1" selected="0">
            <x v="807"/>
          </reference>
          <reference field="7" count="1">
            <x v="61"/>
          </reference>
        </references>
      </pivotArea>
    </format>
    <format dxfId="1042">
      <pivotArea dataOnly="0" labelOnly="1" outline="0" fieldPosition="0">
        <references count="5">
          <reference field="0" count="1" selected="0">
            <x v="2"/>
          </reference>
          <reference field="3" count="1" selected="0">
            <x v="15"/>
          </reference>
          <reference field="4" count="1" selected="0">
            <x v="3"/>
          </reference>
          <reference field="5" count="1" selected="0">
            <x v="808"/>
          </reference>
          <reference field="7" count="1">
            <x v="62"/>
          </reference>
        </references>
      </pivotArea>
    </format>
    <format dxfId="1041">
      <pivotArea dataOnly="0" labelOnly="1" outline="0" fieldPosition="0">
        <references count="5">
          <reference field="0" count="1" selected="0">
            <x v="2"/>
          </reference>
          <reference field="3" count="1" selected="0">
            <x v="15"/>
          </reference>
          <reference field="4" count="1" selected="0">
            <x v="3"/>
          </reference>
          <reference field="5" count="1" selected="0">
            <x v="809"/>
          </reference>
          <reference field="7" count="1">
            <x v="63"/>
          </reference>
        </references>
      </pivotArea>
    </format>
    <format dxfId="1040">
      <pivotArea dataOnly="0" labelOnly="1" outline="0" fieldPosition="0">
        <references count="5">
          <reference field="0" count="1" selected="0">
            <x v="2"/>
          </reference>
          <reference field="3" count="1" selected="0">
            <x v="15"/>
          </reference>
          <reference field="4" count="1" selected="0">
            <x v="3"/>
          </reference>
          <reference field="5" count="1" selected="0">
            <x v="810"/>
          </reference>
          <reference field="7" count="1">
            <x v="66"/>
          </reference>
        </references>
      </pivotArea>
    </format>
    <format dxfId="1039">
      <pivotArea dataOnly="0" labelOnly="1" outline="0" fieldPosition="0">
        <references count="5">
          <reference field="0" count="1" selected="0">
            <x v="2"/>
          </reference>
          <reference field="3" count="1" selected="0">
            <x v="15"/>
          </reference>
          <reference field="4" count="1" selected="0">
            <x v="3"/>
          </reference>
          <reference field="5" count="1" selected="0">
            <x v="811"/>
          </reference>
          <reference field="7" count="1">
            <x v="64"/>
          </reference>
        </references>
      </pivotArea>
    </format>
    <format dxfId="1038">
      <pivotArea dataOnly="0" labelOnly="1" outline="0" fieldPosition="0">
        <references count="5">
          <reference field="0" count="1" selected="0">
            <x v="2"/>
          </reference>
          <reference field="3" count="1" selected="0">
            <x v="15"/>
          </reference>
          <reference field="4" count="1" selected="0">
            <x v="3"/>
          </reference>
          <reference field="5" count="1" selected="0">
            <x v="814"/>
          </reference>
          <reference field="7" count="1">
            <x v="1057"/>
          </reference>
        </references>
      </pivotArea>
    </format>
    <format dxfId="1037">
      <pivotArea dataOnly="0" labelOnly="1" outline="0" fieldPosition="0">
        <references count="5">
          <reference field="0" count="1" selected="0">
            <x v="2"/>
          </reference>
          <reference field="3" count="1" selected="0">
            <x v="15"/>
          </reference>
          <reference field="4" count="1" selected="0">
            <x v="3"/>
          </reference>
          <reference field="5" count="1" selected="0">
            <x v="1581"/>
          </reference>
          <reference field="7" count="1">
            <x v="1573"/>
          </reference>
        </references>
      </pivotArea>
    </format>
    <format dxfId="1036">
      <pivotArea dataOnly="0" labelOnly="1" outline="0" fieldPosition="0">
        <references count="5">
          <reference field="0" count="1" selected="0">
            <x v="2"/>
          </reference>
          <reference field="3" count="1" selected="0">
            <x v="15"/>
          </reference>
          <reference field="4" count="1" selected="0">
            <x v="3"/>
          </reference>
          <reference field="5" count="1" selected="0">
            <x v="1584"/>
          </reference>
          <reference field="7" count="1">
            <x v="20"/>
          </reference>
        </references>
      </pivotArea>
    </format>
    <format dxfId="1035">
      <pivotArea dataOnly="0" labelOnly="1" outline="0" fieldPosition="0">
        <references count="5">
          <reference field="0" count="1" selected="0">
            <x v="2"/>
          </reference>
          <reference field="3" count="1" selected="0">
            <x v="15"/>
          </reference>
          <reference field="4" count="1" selected="0">
            <x v="3"/>
          </reference>
          <reference field="5" count="1" selected="0">
            <x v="1585"/>
          </reference>
          <reference field="7" count="1">
            <x v="21"/>
          </reference>
        </references>
      </pivotArea>
    </format>
    <format dxfId="1034">
      <pivotArea dataOnly="0" labelOnly="1" outline="0" fieldPosition="0">
        <references count="5">
          <reference field="0" count="1" selected="0">
            <x v="2"/>
          </reference>
          <reference field="3" count="1" selected="0">
            <x v="15"/>
          </reference>
          <reference field="4" count="1" selected="0">
            <x v="3"/>
          </reference>
          <reference field="5" count="1" selected="0">
            <x v="1616"/>
          </reference>
          <reference field="7" count="1">
            <x v="677"/>
          </reference>
        </references>
      </pivotArea>
    </format>
    <format dxfId="1033">
      <pivotArea dataOnly="0" labelOnly="1" outline="0" fieldPosition="0">
        <references count="5">
          <reference field="0" count="1" selected="0">
            <x v="2"/>
          </reference>
          <reference field="3" count="1" selected="0">
            <x v="15"/>
          </reference>
          <reference field="4" count="1" selected="0">
            <x v="3"/>
          </reference>
          <reference field="5" count="1" selected="0">
            <x v="1620"/>
          </reference>
          <reference field="7" count="1">
            <x v="515"/>
          </reference>
        </references>
      </pivotArea>
    </format>
    <format dxfId="1032">
      <pivotArea dataOnly="0" labelOnly="1" outline="0" fieldPosition="0">
        <references count="5">
          <reference field="0" count="1" selected="0">
            <x v="2"/>
          </reference>
          <reference field="3" count="1" selected="0">
            <x v="15"/>
          </reference>
          <reference field="4" count="1" selected="0">
            <x v="3"/>
          </reference>
          <reference field="5" count="1" selected="0">
            <x v="1638"/>
          </reference>
          <reference field="7" count="1">
            <x v="949"/>
          </reference>
        </references>
      </pivotArea>
    </format>
    <format dxfId="1031">
      <pivotArea dataOnly="0" labelOnly="1" outline="0" fieldPosition="0">
        <references count="5">
          <reference field="0" count="1" selected="0">
            <x v="2"/>
          </reference>
          <reference field="3" count="1" selected="0">
            <x v="15"/>
          </reference>
          <reference field="4" count="1" selected="0">
            <x v="4"/>
          </reference>
          <reference field="5" count="1" selected="0">
            <x v="248"/>
          </reference>
          <reference field="7" count="1">
            <x v="1316"/>
          </reference>
        </references>
      </pivotArea>
    </format>
    <format dxfId="1030">
      <pivotArea dataOnly="0" labelOnly="1" outline="0" fieldPosition="0">
        <references count="5">
          <reference field="0" count="1" selected="0">
            <x v="2"/>
          </reference>
          <reference field="3" count="1" selected="0">
            <x v="15"/>
          </reference>
          <reference field="4" count="1" selected="0">
            <x v="4"/>
          </reference>
          <reference field="5" count="1" selected="0">
            <x v="812"/>
          </reference>
          <reference field="7" count="1">
            <x v="65"/>
          </reference>
        </references>
      </pivotArea>
    </format>
    <format dxfId="1029">
      <pivotArea dataOnly="0" labelOnly="1" outline="0" fieldPosition="0">
        <references count="5">
          <reference field="0" count="1" selected="0">
            <x v="2"/>
          </reference>
          <reference field="3" count="1" selected="0">
            <x v="15"/>
          </reference>
          <reference field="4" count="1" selected="0">
            <x v="4"/>
          </reference>
          <reference field="5" count="1" selected="0">
            <x v="813"/>
          </reference>
          <reference field="7" count="1">
            <x v="124"/>
          </reference>
        </references>
      </pivotArea>
    </format>
    <format dxfId="1028">
      <pivotArea dataOnly="0" labelOnly="1" outline="0" fieldPosition="0">
        <references count="5">
          <reference field="0" count="1" selected="0">
            <x v="2"/>
          </reference>
          <reference field="3" count="1" selected="0">
            <x v="15"/>
          </reference>
          <reference field="4" count="1" selected="0">
            <x v="14"/>
          </reference>
          <reference field="5" count="1" selected="0">
            <x v="279"/>
          </reference>
          <reference field="7" count="1">
            <x v="752"/>
          </reference>
        </references>
      </pivotArea>
    </format>
    <format dxfId="1027">
      <pivotArea dataOnly="0" labelOnly="1" outline="0" fieldPosition="0">
        <references count="5">
          <reference field="0" count="1" selected="0">
            <x v="2"/>
          </reference>
          <reference field="3" count="1" selected="0">
            <x v="15"/>
          </reference>
          <reference field="4" count="1" selected="0">
            <x v="14"/>
          </reference>
          <reference field="5" count="1" selected="0">
            <x v="282"/>
          </reference>
          <reference field="7" count="1">
            <x v="755"/>
          </reference>
        </references>
      </pivotArea>
    </format>
    <format dxfId="1026">
      <pivotArea dataOnly="0" labelOnly="1" outline="0" fieldPosition="0">
        <references count="5">
          <reference field="0" count="1" selected="0">
            <x v="2"/>
          </reference>
          <reference field="3" count="1" selected="0">
            <x v="15"/>
          </reference>
          <reference field="4" count="1" selected="0">
            <x v="14"/>
          </reference>
          <reference field="5" count="1" selected="0">
            <x v="798"/>
          </reference>
          <reference field="7" count="1">
            <x v="88"/>
          </reference>
        </references>
      </pivotArea>
    </format>
    <format dxfId="1025">
      <pivotArea dataOnly="0" labelOnly="1" outline="0" fieldPosition="0">
        <references count="5">
          <reference field="0" count="1" selected="0">
            <x v="2"/>
          </reference>
          <reference field="3" count="1" selected="0">
            <x v="15"/>
          </reference>
          <reference field="4" count="1" selected="0">
            <x v="14"/>
          </reference>
          <reference field="5" count="1" selected="0">
            <x v="802"/>
          </reference>
          <reference field="7" count="1">
            <x v="1440"/>
          </reference>
        </references>
      </pivotArea>
    </format>
    <format dxfId="1024">
      <pivotArea dataOnly="0" labelOnly="1" outline="0" fieldPosition="0">
        <references count="5">
          <reference field="0" count="1" selected="0">
            <x v="2"/>
          </reference>
          <reference field="3" count="1" selected="0">
            <x v="15"/>
          </reference>
          <reference field="4" count="1" selected="0">
            <x v="208"/>
          </reference>
          <reference field="5" count="1" selected="0">
            <x v="31"/>
          </reference>
          <reference field="7" count="1">
            <x v="1113"/>
          </reference>
        </references>
      </pivotArea>
    </format>
    <format dxfId="1023">
      <pivotArea dataOnly="0" labelOnly="1" outline="0" fieldPosition="0">
        <references count="5">
          <reference field="0" count="1" selected="0">
            <x v="2"/>
          </reference>
          <reference field="3" count="1" selected="0">
            <x v="15"/>
          </reference>
          <reference field="4" count="1" selected="0">
            <x v="208"/>
          </reference>
          <reference field="5" count="1" selected="0">
            <x v="114"/>
          </reference>
          <reference field="7" count="1">
            <x v="1072"/>
          </reference>
        </references>
      </pivotArea>
    </format>
    <format dxfId="1022">
      <pivotArea dataOnly="0" labelOnly="1" outline="0" fieldPosition="0">
        <references count="5">
          <reference field="0" count="1" selected="0">
            <x v="2"/>
          </reference>
          <reference field="3" count="1" selected="0">
            <x v="15"/>
          </reference>
          <reference field="4" count="1" selected="0">
            <x v="208"/>
          </reference>
          <reference field="5" count="1" selected="0">
            <x v="146"/>
          </reference>
          <reference field="7" count="1">
            <x v="1587"/>
          </reference>
        </references>
      </pivotArea>
    </format>
    <format dxfId="1021">
      <pivotArea dataOnly="0" labelOnly="1" outline="0" fieldPosition="0">
        <references count="5">
          <reference field="0" count="1" selected="0">
            <x v="2"/>
          </reference>
          <reference field="3" count="1" selected="0">
            <x v="15"/>
          </reference>
          <reference field="4" count="1" selected="0">
            <x v="208"/>
          </reference>
          <reference field="5" count="1" selected="0">
            <x v="161"/>
          </reference>
          <reference field="7" count="1">
            <x v="1079"/>
          </reference>
        </references>
      </pivotArea>
    </format>
    <format dxfId="1020">
      <pivotArea dataOnly="0" labelOnly="1" outline="0" fieldPosition="0">
        <references count="5">
          <reference field="0" count="1" selected="0">
            <x v="2"/>
          </reference>
          <reference field="3" count="1" selected="0">
            <x v="15"/>
          </reference>
          <reference field="4" count="1" selected="0">
            <x v="208"/>
          </reference>
          <reference field="5" count="1" selected="0">
            <x v="250"/>
          </reference>
          <reference field="7" count="1">
            <x v="1318"/>
          </reference>
        </references>
      </pivotArea>
    </format>
    <format dxfId="1019">
      <pivotArea dataOnly="0" labelOnly="1" outline="0" fieldPosition="0">
        <references count="5">
          <reference field="0" count="1" selected="0">
            <x v="2"/>
          </reference>
          <reference field="3" count="1" selected="0">
            <x v="15"/>
          </reference>
          <reference field="4" count="1" selected="0">
            <x v="208"/>
          </reference>
          <reference field="5" count="1" selected="0">
            <x v="279"/>
          </reference>
          <reference field="7" count="1">
            <x v="752"/>
          </reference>
        </references>
      </pivotArea>
    </format>
    <format dxfId="1018">
      <pivotArea dataOnly="0" labelOnly="1" outline="0" fieldPosition="0">
        <references count="5">
          <reference field="0" count="1" selected="0">
            <x v="2"/>
          </reference>
          <reference field="3" count="1" selected="0">
            <x v="15"/>
          </reference>
          <reference field="4" count="1" selected="0">
            <x v="208"/>
          </reference>
          <reference field="5" count="1" selected="0">
            <x v="281"/>
          </reference>
          <reference field="7" count="1">
            <x v="754"/>
          </reference>
        </references>
      </pivotArea>
    </format>
    <format dxfId="1017">
      <pivotArea dataOnly="0" labelOnly="1" outline="0" fieldPosition="0">
        <references count="5">
          <reference field="0" count="1" selected="0">
            <x v="2"/>
          </reference>
          <reference field="3" count="1" selected="0">
            <x v="15"/>
          </reference>
          <reference field="4" count="1" selected="0">
            <x v="208"/>
          </reference>
          <reference field="5" count="1" selected="0">
            <x v="302"/>
          </reference>
          <reference field="7" count="1">
            <x v="1070"/>
          </reference>
        </references>
      </pivotArea>
    </format>
    <format dxfId="1016">
      <pivotArea dataOnly="0" labelOnly="1" outline="0" fieldPosition="0">
        <references count="5">
          <reference field="0" count="1" selected="0">
            <x v="2"/>
          </reference>
          <reference field="3" count="1" selected="0">
            <x v="15"/>
          </reference>
          <reference field="4" count="1" selected="0">
            <x v="208"/>
          </reference>
          <reference field="5" count="1" selected="0">
            <x v="310"/>
          </reference>
          <reference field="7" count="1">
            <x v="971"/>
          </reference>
        </references>
      </pivotArea>
    </format>
    <format dxfId="1015">
      <pivotArea dataOnly="0" labelOnly="1" outline="0" fieldPosition="0">
        <references count="5">
          <reference field="0" count="1" selected="0">
            <x v="2"/>
          </reference>
          <reference field="3" count="1" selected="0">
            <x v="15"/>
          </reference>
          <reference field="4" count="1" selected="0">
            <x v="208"/>
          </reference>
          <reference field="5" count="1" selected="0">
            <x v="404"/>
          </reference>
          <reference field="7" count="1">
            <x v="819"/>
          </reference>
        </references>
      </pivotArea>
    </format>
    <format dxfId="1014">
      <pivotArea dataOnly="0" labelOnly="1" outline="0" fieldPosition="0">
        <references count="5">
          <reference field="0" count="1" selected="0">
            <x v="2"/>
          </reference>
          <reference field="3" count="1" selected="0">
            <x v="15"/>
          </reference>
          <reference field="4" count="1" selected="0">
            <x v="208"/>
          </reference>
          <reference field="5" count="1" selected="0">
            <x v="420"/>
          </reference>
          <reference field="7" count="1">
            <x v="1051"/>
          </reference>
        </references>
      </pivotArea>
    </format>
    <format dxfId="1013">
      <pivotArea dataOnly="0" labelOnly="1" outline="0" fieldPosition="0">
        <references count="5">
          <reference field="0" count="1" selected="0">
            <x v="2"/>
          </reference>
          <reference field="3" count="1" selected="0">
            <x v="15"/>
          </reference>
          <reference field="4" count="1" selected="0">
            <x v="208"/>
          </reference>
          <reference field="5" count="1" selected="0">
            <x v="818"/>
          </reference>
          <reference field="7" count="1">
            <x v="1246"/>
          </reference>
        </references>
      </pivotArea>
    </format>
    <format dxfId="1012">
      <pivotArea dataOnly="0" labelOnly="1" outline="0" fieldPosition="0">
        <references count="5">
          <reference field="0" count="1" selected="0">
            <x v="2"/>
          </reference>
          <reference field="3" count="1" selected="0">
            <x v="15"/>
          </reference>
          <reference field="4" count="1" selected="0">
            <x v="208"/>
          </reference>
          <reference field="5" count="1" selected="0">
            <x v="819"/>
          </reference>
          <reference field="7" count="1">
            <x v="1247"/>
          </reference>
        </references>
      </pivotArea>
    </format>
    <format dxfId="1011">
      <pivotArea dataOnly="0" labelOnly="1" outline="0" fieldPosition="0">
        <references count="5">
          <reference field="0" count="1" selected="0">
            <x v="2"/>
          </reference>
          <reference field="3" count="1" selected="0">
            <x v="15"/>
          </reference>
          <reference field="4" count="1" selected="0">
            <x v="208"/>
          </reference>
          <reference field="5" count="1" selected="0">
            <x v="820"/>
          </reference>
          <reference field="7" count="1">
            <x v="1264"/>
          </reference>
        </references>
      </pivotArea>
    </format>
    <format dxfId="1010">
      <pivotArea dataOnly="0" labelOnly="1" outline="0" fieldPosition="0">
        <references count="5">
          <reference field="0" count="1" selected="0">
            <x v="2"/>
          </reference>
          <reference field="3" count="1" selected="0">
            <x v="15"/>
          </reference>
          <reference field="4" count="1" selected="0">
            <x v="208"/>
          </reference>
          <reference field="5" count="1" selected="0">
            <x v="821"/>
          </reference>
          <reference field="7" count="1">
            <x v="1266"/>
          </reference>
        </references>
      </pivotArea>
    </format>
    <format dxfId="1009">
      <pivotArea dataOnly="0" labelOnly="1" outline="0" fieldPosition="0">
        <references count="5">
          <reference field="0" count="1" selected="0">
            <x v="2"/>
          </reference>
          <reference field="3" count="1" selected="0">
            <x v="15"/>
          </reference>
          <reference field="4" count="1" selected="0">
            <x v="208"/>
          </reference>
          <reference field="5" count="1" selected="0">
            <x v="822"/>
          </reference>
          <reference field="7" count="1">
            <x v="1267"/>
          </reference>
        </references>
      </pivotArea>
    </format>
    <format dxfId="1008">
      <pivotArea dataOnly="0" labelOnly="1" outline="0" fieldPosition="0">
        <references count="5">
          <reference field="0" count="1" selected="0">
            <x v="2"/>
          </reference>
          <reference field="3" count="1" selected="0">
            <x v="15"/>
          </reference>
          <reference field="4" count="1" selected="0">
            <x v="208"/>
          </reference>
          <reference field="5" count="1" selected="0">
            <x v="823"/>
          </reference>
          <reference field="7" count="1">
            <x v="1265"/>
          </reference>
        </references>
      </pivotArea>
    </format>
    <format dxfId="1007">
      <pivotArea dataOnly="0" labelOnly="1" outline="0" fieldPosition="0">
        <references count="5">
          <reference field="0" count="1" selected="0">
            <x v="2"/>
          </reference>
          <reference field="3" count="1" selected="0">
            <x v="15"/>
          </reference>
          <reference field="4" count="1" selected="0">
            <x v="210"/>
          </reference>
          <reference field="5" count="1" selected="0">
            <x v="114"/>
          </reference>
          <reference field="7" count="1">
            <x v="1072"/>
          </reference>
        </references>
      </pivotArea>
    </format>
    <format dxfId="1006">
      <pivotArea dataOnly="0" labelOnly="1" outline="0" fieldPosition="0">
        <references count="5">
          <reference field="0" count="1" selected="0">
            <x v="2"/>
          </reference>
          <reference field="3" count="1" selected="0">
            <x v="15"/>
          </reference>
          <reference field="4" count="1" selected="0">
            <x v="210"/>
          </reference>
          <reference field="5" count="1" selected="0">
            <x v="248"/>
          </reference>
          <reference field="7" count="1">
            <x v="1316"/>
          </reference>
        </references>
      </pivotArea>
    </format>
    <format dxfId="1005">
      <pivotArea dataOnly="0" labelOnly="1" outline="0" fieldPosition="0">
        <references count="5">
          <reference field="0" count="1" selected="0">
            <x v="2"/>
          </reference>
          <reference field="3" count="1" selected="0">
            <x v="15"/>
          </reference>
          <reference field="4" count="1" selected="0">
            <x v="210"/>
          </reference>
          <reference field="5" count="1" selected="0">
            <x v="279"/>
          </reference>
          <reference field="7" count="1">
            <x v="752"/>
          </reference>
        </references>
      </pivotArea>
    </format>
    <format dxfId="1004">
      <pivotArea dataOnly="0" labelOnly="1" outline="0" fieldPosition="0">
        <references count="5">
          <reference field="0" count="1" selected="0">
            <x v="2"/>
          </reference>
          <reference field="3" count="1" selected="0">
            <x v="15"/>
          </reference>
          <reference field="4" count="1" selected="0">
            <x v="210"/>
          </reference>
          <reference field="5" count="1" selected="0">
            <x v="302"/>
          </reference>
          <reference field="7" count="1">
            <x v="1070"/>
          </reference>
        </references>
      </pivotArea>
    </format>
    <format dxfId="1003">
      <pivotArea dataOnly="0" labelOnly="1" outline="0" fieldPosition="0">
        <references count="5">
          <reference field="0" count="1" selected="0">
            <x v="2"/>
          </reference>
          <reference field="3" count="1" selected="0">
            <x v="15"/>
          </reference>
          <reference field="4" count="1" selected="0">
            <x v="210"/>
          </reference>
          <reference field="5" count="1" selected="0">
            <x v="310"/>
          </reference>
          <reference field="7" count="1">
            <x v="971"/>
          </reference>
        </references>
      </pivotArea>
    </format>
    <format dxfId="1002">
      <pivotArea dataOnly="0" labelOnly="1" outline="0" fieldPosition="0">
        <references count="5">
          <reference field="0" count="1" selected="0">
            <x v="2"/>
          </reference>
          <reference field="3" count="1" selected="0">
            <x v="15"/>
          </reference>
          <reference field="4" count="1" selected="0">
            <x v="210"/>
          </reference>
          <reference field="5" count="1" selected="0">
            <x v="311"/>
          </reference>
          <reference field="7" count="1">
            <x v="1459"/>
          </reference>
        </references>
      </pivotArea>
    </format>
    <format dxfId="1001">
      <pivotArea dataOnly="0" labelOnly="1" outline="0" fieldPosition="0">
        <references count="5">
          <reference field="0" count="1" selected="0">
            <x v="2"/>
          </reference>
          <reference field="3" count="1" selected="0">
            <x v="15"/>
          </reference>
          <reference field="4" count="1" selected="0">
            <x v="210"/>
          </reference>
          <reference field="5" count="1" selected="0">
            <x v="404"/>
          </reference>
          <reference field="7" count="1">
            <x v="819"/>
          </reference>
        </references>
      </pivotArea>
    </format>
    <format dxfId="1000">
      <pivotArea dataOnly="0" labelOnly="1" outline="0" fieldPosition="0">
        <references count="5">
          <reference field="0" count="1" selected="0">
            <x v="2"/>
          </reference>
          <reference field="3" count="1" selected="0">
            <x v="15"/>
          </reference>
          <reference field="4" count="1" selected="0">
            <x v="210"/>
          </reference>
          <reference field="5" count="1" selected="0">
            <x v="420"/>
          </reference>
          <reference field="7" count="1">
            <x v="1051"/>
          </reference>
        </references>
      </pivotArea>
    </format>
    <format dxfId="999">
      <pivotArea dataOnly="0" labelOnly="1" outline="0" fieldPosition="0">
        <references count="5">
          <reference field="0" count="1" selected="0">
            <x v="2"/>
          </reference>
          <reference field="3" count="1" selected="0">
            <x v="15"/>
          </reference>
          <reference field="4" count="1" selected="0">
            <x v="210"/>
          </reference>
          <reference field="5" count="1" selected="0">
            <x v="824"/>
          </reference>
          <reference field="7" count="1">
            <x v="1268"/>
          </reference>
        </references>
      </pivotArea>
    </format>
    <format dxfId="998">
      <pivotArea dataOnly="0" labelOnly="1" outline="0" fieldPosition="0">
        <references count="5">
          <reference field="0" count="1" selected="0">
            <x v="2"/>
          </reference>
          <reference field="3" count="1" selected="0">
            <x v="15"/>
          </reference>
          <reference field="4" count="1" selected="0">
            <x v="210"/>
          </reference>
          <reference field="5" count="1" selected="0">
            <x v="825"/>
          </reference>
          <reference field="7" count="1">
            <x v="1269"/>
          </reference>
        </references>
      </pivotArea>
    </format>
    <format dxfId="997">
      <pivotArea dataOnly="0" labelOnly="1" outline="0" fieldPosition="0">
        <references count="5">
          <reference field="0" count="1" selected="0">
            <x v="2"/>
          </reference>
          <reference field="3" count="1" selected="0">
            <x v="15"/>
          </reference>
          <reference field="4" count="1" selected="0">
            <x v="210"/>
          </reference>
          <reference field="5" count="1" selected="0">
            <x v="826"/>
          </reference>
          <reference field="7" count="1">
            <x v="1270"/>
          </reference>
        </references>
      </pivotArea>
    </format>
    <format dxfId="996">
      <pivotArea dataOnly="0" labelOnly="1" outline="0" fieldPosition="0">
        <references count="5">
          <reference field="0" count="1" selected="0">
            <x v="2"/>
          </reference>
          <reference field="3" count="1" selected="0">
            <x v="15"/>
          </reference>
          <reference field="4" count="1" selected="0">
            <x v="210"/>
          </reference>
          <reference field="5" count="1" selected="0">
            <x v="827"/>
          </reference>
          <reference field="7" count="1">
            <x v="1271"/>
          </reference>
        </references>
      </pivotArea>
    </format>
    <format dxfId="995">
      <pivotArea dataOnly="0" labelOnly="1" outline="0" fieldPosition="0">
        <references count="5">
          <reference field="0" count="1" selected="0">
            <x v="2"/>
          </reference>
          <reference field="3" count="1" selected="0">
            <x v="15"/>
          </reference>
          <reference field="4" count="1" selected="0">
            <x v="210"/>
          </reference>
          <reference field="5" count="1" selected="0">
            <x v="828"/>
          </reference>
          <reference field="7" count="1">
            <x v="1273"/>
          </reference>
        </references>
      </pivotArea>
    </format>
    <format dxfId="994">
      <pivotArea dataOnly="0" labelOnly="1" outline="0" fieldPosition="0">
        <references count="5">
          <reference field="0" count="1" selected="0">
            <x v="2"/>
          </reference>
          <reference field="3" count="1" selected="0">
            <x v="15"/>
          </reference>
          <reference field="4" count="1" selected="0">
            <x v="210"/>
          </reference>
          <reference field="5" count="1" selected="0">
            <x v="829"/>
          </reference>
          <reference field="7" count="1">
            <x v="1272"/>
          </reference>
        </references>
      </pivotArea>
    </format>
    <format dxfId="993">
      <pivotArea dataOnly="0" labelOnly="1" outline="0" fieldPosition="0">
        <references count="5">
          <reference field="0" count="1" selected="0">
            <x v="2"/>
          </reference>
          <reference field="3" count="1" selected="0">
            <x v="15"/>
          </reference>
          <reference field="4" count="1" selected="0">
            <x v="210"/>
          </reference>
          <reference field="5" count="1" selected="0">
            <x v="1616"/>
          </reference>
          <reference field="7" count="1">
            <x v="677"/>
          </reference>
        </references>
      </pivotArea>
    </format>
    <format dxfId="992">
      <pivotArea dataOnly="0" labelOnly="1" outline="0" fieldPosition="0">
        <references count="5">
          <reference field="0" count="1" selected="0">
            <x v="2"/>
          </reference>
          <reference field="3" count="1" selected="0">
            <x v="15"/>
          </reference>
          <reference field="4" count="1" selected="0">
            <x v="210"/>
          </reference>
          <reference field="5" count="1" selected="0">
            <x v="1617"/>
          </reference>
          <reference field="7" count="1">
            <x v="1583"/>
          </reference>
        </references>
      </pivotArea>
    </format>
    <format dxfId="991">
      <pivotArea dataOnly="0" labelOnly="1" outline="0" fieldPosition="0">
        <references count="5">
          <reference field="0" count="1" selected="0">
            <x v="2"/>
          </reference>
          <reference field="3" count="1" selected="0">
            <x v="15"/>
          </reference>
          <reference field="4" count="1" selected="0">
            <x v="210"/>
          </reference>
          <reference field="5" count="1" selected="0">
            <x v="1619"/>
          </reference>
          <reference field="7" count="1">
            <x v="516"/>
          </reference>
        </references>
      </pivotArea>
    </format>
    <format dxfId="990">
      <pivotArea dataOnly="0" labelOnly="1" outline="0" fieldPosition="0">
        <references count="5">
          <reference field="0" count="1" selected="0">
            <x v="2"/>
          </reference>
          <reference field="3" count="1" selected="0">
            <x v="15"/>
          </reference>
          <reference field="4" count="1" selected="0">
            <x v="213"/>
          </reference>
          <reference field="5" count="1" selected="0">
            <x v="815"/>
          </reference>
          <reference field="7" count="1">
            <x v="1576"/>
          </reference>
        </references>
      </pivotArea>
    </format>
    <format dxfId="989">
      <pivotArea dataOnly="0" labelOnly="1" outline="0" fieldPosition="0">
        <references count="5">
          <reference field="0" count="1" selected="0">
            <x v="2"/>
          </reference>
          <reference field="3" count="1" selected="0">
            <x v="15"/>
          </reference>
          <reference field="4" count="1" selected="0">
            <x v="213"/>
          </reference>
          <reference field="5" count="1" selected="0">
            <x v="816"/>
          </reference>
          <reference field="7" count="1">
            <x v="1578"/>
          </reference>
        </references>
      </pivotArea>
    </format>
    <format dxfId="988">
      <pivotArea dataOnly="0" labelOnly="1" outline="0" fieldPosition="0">
        <references count="5">
          <reference field="0" count="1" selected="0">
            <x v="2"/>
          </reference>
          <reference field="3" count="1" selected="0">
            <x v="15"/>
          </reference>
          <reference field="4" count="1" selected="0">
            <x v="213"/>
          </reference>
          <reference field="5" count="1" selected="0">
            <x v="817"/>
          </reference>
          <reference field="7" count="1">
            <x v="1579"/>
          </reference>
        </references>
      </pivotArea>
    </format>
    <format dxfId="987">
      <pivotArea dataOnly="0" labelOnly="1" outline="0" fieldPosition="0">
        <references count="5">
          <reference field="0" count="1" selected="0">
            <x v="2"/>
          </reference>
          <reference field="3" count="1" selected="0">
            <x v="15"/>
          </reference>
          <reference field="4" count="1" selected="0">
            <x v="213"/>
          </reference>
          <reference field="5" count="1" selected="0">
            <x v="1584"/>
          </reference>
          <reference field="7" count="1">
            <x v="20"/>
          </reference>
        </references>
      </pivotArea>
    </format>
    <format dxfId="986">
      <pivotArea dataOnly="0" labelOnly="1" outline="0" fieldPosition="0">
        <references count="5">
          <reference field="0" count="1" selected="0">
            <x v="2"/>
          </reference>
          <reference field="3" count="1" selected="0">
            <x v="15"/>
          </reference>
          <reference field="4" count="1" selected="0">
            <x v="213"/>
          </reference>
          <reference field="5" count="1" selected="0">
            <x v="1585"/>
          </reference>
          <reference field="7" count="1">
            <x v="21"/>
          </reference>
        </references>
      </pivotArea>
    </format>
    <format dxfId="985">
      <pivotArea dataOnly="0" labelOnly="1" outline="0" fieldPosition="0">
        <references count="5">
          <reference field="0" count="1" selected="0">
            <x v="2"/>
          </reference>
          <reference field="3" count="1" selected="0">
            <x v="15"/>
          </reference>
          <reference field="4" count="1" selected="0">
            <x v="213"/>
          </reference>
          <reference field="5" count="1" selected="0">
            <x v="1586"/>
          </reference>
          <reference field="7" count="1">
            <x v="22"/>
          </reference>
        </references>
      </pivotArea>
    </format>
    <format dxfId="984">
      <pivotArea dataOnly="0" labelOnly="1" outline="0" fieldPosition="0">
        <references count="5">
          <reference field="0" count="1" selected="0">
            <x v="2"/>
          </reference>
          <reference field="3" count="1" selected="0">
            <x v="15"/>
          </reference>
          <reference field="4" count="1" selected="0">
            <x v="214"/>
          </reference>
          <reference field="5" count="1" selected="0">
            <x v="1"/>
          </reference>
          <reference field="7" count="1">
            <x v="837"/>
          </reference>
        </references>
      </pivotArea>
    </format>
    <format dxfId="983">
      <pivotArea dataOnly="0" labelOnly="1" outline="0" fieldPosition="0">
        <references count="5">
          <reference field="0" count="1" selected="0">
            <x v="2"/>
          </reference>
          <reference field="3" count="1" selected="0">
            <x v="15"/>
          </reference>
          <reference field="4" count="1" selected="0">
            <x v="214"/>
          </reference>
          <reference field="5" count="1" selected="0">
            <x v="114"/>
          </reference>
          <reference field="7" count="1">
            <x v="1072"/>
          </reference>
        </references>
      </pivotArea>
    </format>
    <format dxfId="982">
      <pivotArea dataOnly="0" labelOnly="1" outline="0" fieldPosition="0">
        <references count="5">
          <reference field="0" count="1" selected="0">
            <x v="2"/>
          </reference>
          <reference field="3" count="1" selected="0">
            <x v="15"/>
          </reference>
          <reference field="4" count="1" selected="0">
            <x v="214"/>
          </reference>
          <reference field="5" count="1" selected="0">
            <x v="131"/>
          </reference>
          <reference field="7" count="1">
            <x v="583"/>
          </reference>
        </references>
      </pivotArea>
    </format>
    <format dxfId="981">
      <pivotArea dataOnly="0" labelOnly="1" outline="0" fieldPosition="0">
        <references count="5">
          <reference field="0" count="1" selected="0">
            <x v="2"/>
          </reference>
          <reference field="3" count="1" selected="0">
            <x v="15"/>
          </reference>
          <reference field="4" count="1" selected="0">
            <x v="214"/>
          </reference>
          <reference field="5" count="1" selected="0">
            <x v="200"/>
          </reference>
          <reference field="7" count="1">
            <x v="1417"/>
          </reference>
        </references>
      </pivotArea>
    </format>
    <format dxfId="980">
      <pivotArea dataOnly="0" labelOnly="1" outline="0" fieldPosition="0">
        <references count="5">
          <reference field="0" count="1" selected="0">
            <x v="2"/>
          </reference>
          <reference field="3" count="1" selected="0">
            <x v="15"/>
          </reference>
          <reference field="4" count="1" selected="0">
            <x v="214"/>
          </reference>
          <reference field="5" count="1" selected="0">
            <x v="343"/>
          </reference>
          <reference field="7" count="1">
            <x v="1100"/>
          </reference>
        </references>
      </pivotArea>
    </format>
    <format dxfId="979">
      <pivotArea dataOnly="0" labelOnly="1" outline="0" fieldPosition="0">
        <references count="5">
          <reference field="0" count="1" selected="0">
            <x v="2"/>
          </reference>
          <reference field="3" count="1" selected="0">
            <x v="15"/>
          </reference>
          <reference field="4" count="1" selected="0">
            <x v="214"/>
          </reference>
          <reference field="5" count="1" selected="0">
            <x v="1580"/>
          </reference>
          <reference field="7" count="1">
            <x v="115"/>
          </reference>
        </references>
      </pivotArea>
    </format>
    <format dxfId="978">
      <pivotArea dataOnly="0" labelOnly="1" outline="0" fieldPosition="0">
        <references count="5">
          <reference field="0" count="1" selected="0">
            <x v="2"/>
          </reference>
          <reference field="3" count="1" selected="0">
            <x v="15"/>
          </reference>
          <reference field="4" count="1" selected="0">
            <x v="214"/>
          </reference>
          <reference field="5" count="1" selected="0">
            <x v="1581"/>
          </reference>
          <reference field="7" count="1">
            <x v="1573"/>
          </reference>
        </references>
      </pivotArea>
    </format>
    <format dxfId="977">
      <pivotArea dataOnly="0" labelOnly="1" outline="0" fieldPosition="0">
        <references count="5">
          <reference field="0" count="1" selected="0">
            <x v="2"/>
          </reference>
          <reference field="3" count="1" selected="0">
            <x v="15"/>
          </reference>
          <reference field="4" count="1" selected="0">
            <x v="214"/>
          </reference>
          <reference field="5" count="1" selected="0">
            <x v="1582"/>
          </reference>
          <reference field="7" count="1">
            <x v="23"/>
          </reference>
        </references>
      </pivotArea>
    </format>
    <format dxfId="976">
      <pivotArea dataOnly="0" labelOnly="1" outline="0" fieldPosition="0">
        <references count="5">
          <reference field="0" count="1" selected="0">
            <x v="2"/>
          </reference>
          <reference field="3" count="1" selected="0">
            <x v="15"/>
          </reference>
          <reference field="4" count="1" selected="0">
            <x v="214"/>
          </reference>
          <reference field="5" count="1" selected="0">
            <x v="1583"/>
          </reference>
          <reference field="7" count="1">
            <x v="24"/>
          </reference>
        </references>
      </pivotArea>
    </format>
    <format dxfId="975">
      <pivotArea dataOnly="0" labelOnly="1" outline="0" fieldPosition="0">
        <references count="5">
          <reference field="0" count="1" selected="0">
            <x v="2"/>
          </reference>
          <reference field="3" count="1" selected="0">
            <x v="15"/>
          </reference>
          <reference field="4" count="1" selected="0">
            <x v="214"/>
          </reference>
          <reference field="5" count="1" selected="0">
            <x v="1587"/>
          </reference>
          <reference field="7" count="1">
            <x v="19"/>
          </reference>
        </references>
      </pivotArea>
    </format>
    <format dxfId="974">
      <pivotArea dataOnly="0" labelOnly="1" outline="0" fieldPosition="0">
        <references count="5">
          <reference field="0" count="1" selected="0">
            <x v="2"/>
          </reference>
          <reference field="3" count="1" selected="0">
            <x v="15"/>
          </reference>
          <reference field="4" count="1" selected="0">
            <x v="214"/>
          </reference>
          <reference field="5" count="1" selected="0">
            <x v="1638"/>
          </reference>
          <reference field="7" count="1">
            <x v="949"/>
          </reference>
        </references>
      </pivotArea>
    </format>
    <format dxfId="973">
      <pivotArea dataOnly="0" labelOnly="1" outline="0" fieldPosition="0">
        <references count="5">
          <reference field="0" count="1" selected="0">
            <x v="2"/>
          </reference>
          <reference field="3" count="1" selected="0">
            <x v="15"/>
          </reference>
          <reference field="4" count="1" selected="0">
            <x v="216"/>
          </reference>
          <reference field="5" count="1" selected="0">
            <x v="114"/>
          </reference>
          <reference field="7" count="1">
            <x v="1072"/>
          </reference>
        </references>
      </pivotArea>
    </format>
    <format dxfId="972">
      <pivotArea dataOnly="0" labelOnly="1" outline="0" fieldPosition="0">
        <references count="5">
          <reference field="0" count="1" selected="0">
            <x v="2"/>
          </reference>
          <reference field="3" count="1" selected="0">
            <x v="15"/>
          </reference>
          <reference field="4" count="1" selected="0">
            <x v="216"/>
          </reference>
          <reference field="5" count="1" selected="0">
            <x v="167"/>
          </reference>
          <reference field="7" count="1">
            <x v="1088"/>
          </reference>
        </references>
      </pivotArea>
    </format>
    <format dxfId="971">
      <pivotArea dataOnly="0" labelOnly="1" outline="0" fieldPosition="0">
        <references count="5">
          <reference field="0" count="1" selected="0">
            <x v="2"/>
          </reference>
          <reference field="3" count="1" selected="0">
            <x v="15"/>
          </reference>
          <reference field="4" count="1" selected="0">
            <x v="216"/>
          </reference>
          <reference field="5" count="1" selected="0">
            <x v="292"/>
          </reference>
          <reference field="7" count="1">
            <x v="1421"/>
          </reference>
        </references>
      </pivotArea>
    </format>
    <format dxfId="970">
      <pivotArea dataOnly="0" labelOnly="1" outline="0" fieldPosition="0">
        <references count="5">
          <reference field="0" count="1" selected="0">
            <x v="2"/>
          </reference>
          <reference field="3" count="1" selected="0">
            <x v="15"/>
          </reference>
          <reference field="4" count="1" selected="0">
            <x v="216"/>
          </reference>
          <reference field="5" count="1" selected="0">
            <x v="345"/>
          </reference>
          <reference field="7" count="1">
            <x v="113"/>
          </reference>
        </references>
      </pivotArea>
    </format>
    <format dxfId="969">
      <pivotArea dataOnly="0" labelOnly="1" outline="0" fieldPosition="0">
        <references count="5">
          <reference field="0" count="1" selected="0">
            <x v="2"/>
          </reference>
          <reference field="3" count="1" selected="0">
            <x v="15"/>
          </reference>
          <reference field="4" count="1" selected="0">
            <x v="216"/>
          </reference>
          <reference field="5" count="1" selected="0">
            <x v="797"/>
          </reference>
          <reference field="7" count="1">
            <x v="292"/>
          </reference>
        </references>
      </pivotArea>
    </format>
    <format dxfId="968">
      <pivotArea dataOnly="0" labelOnly="1" outline="0" fieldPosition="0">
        <references count="5">
          <reference field="0" count="1" selected="0">
            <x v="2"/>
          </reference>
          <reference field="3" count="1" selected="0">
            <x v="15"/>
          </reference>
          <reference field="4" count="1" selected="0">
            <x v="216"/>
          </reference>
          <reference field="5" count="1" selected="0">
            <x v="803"/>
          </reference>
          <reference field="7" count="1">
            <x v="1414"/>
          </reference>
        </references>
      </pivotArea>
    </format>
    <format dxfId="967">
      <pivotArea dataOnly="0" labelOnly="1" outline="0" fieldPosition="0">
        <references count="5">
          <reference field="0" count="1" selected="0">
            <x v="2"/>
          </reference>
          <reference field="3" count="1" selected="0">
            <x v="16"/>
          </reference>
          <reference field="4" count="1" selected="0">
            <x v="72"/>
          </reference>
          <reference field="5" count="1" selected="0">
            <x v="0"/>
          </reference>
          <reference field="7" count="1">
            <x v="947"/>
          </reference>
        </references>
      </pivotArea>
    </format>
    <format dxfId="966">
      <pivotArea dataOnly="0" labelOnly="1" outline="0" fieldPosition="0">
        <references count="5">
          <reference field="0" count="1" selected="0">
            <x v="2"/>
          </reference>
          <reference field="3" count="1" selected="0">
            <x v="16"/>
          </reference>
          <reference field="4" count="1" selected="0">
            <x v="72"/>
          </reference>
          <reference field="5" count="1" selected="0">
            <x v="265"/>
          </reference>
          <reference field="7" count="1">
            <x v="1340"/>
          </reference>
        </references>
      </pivotArea>
    </format>
    <format dxfId="965">
      <pivotArea dataOnly="0" labelOnly="1" outline="0" fieldPosition="0">
        <references count="5">
          <reference field="0" count="1" selected="0">
            <x v="2"/>
          </reference>
          <reference field="3" count="1" selected="0">
            <x v="16"/>
          </reference>
          <reference field="4" count="1" selected="0">
            <x v="72"/>
          </reference>
          <reference field="5" count="1" selected="0">
            <x v="831"/>
          </reference>
          <reference field="7" count="1">
            <x v="884"/>
          </reference>
        </references>
      </pivotArea>
    </format>
    <format dxfId="964">
      <pivotArea dataOnly="0" labelOnly="1" outline="0" fieldPosition="0">
        <references count="5">
          <reference field="0" count="1" selected="0">
            <x v="2"/>
          </reference>
          <reference field="3" count="1" selected="0">
            <x v="16"/>
          </reference>
          <reference field="4" count="1" selected="0">
            <x v="72"/>
          </reference>
          <reference field="5" count="1" selected="0">
            <x v="832"/>
          </reference>
          <reference field="7" count="1">
            <x v="236"/>
          </reference>
        </references>
      </pivotArea>
    </format>
    <format dxfId="963">
      <pivotArea dataOnly="0" labelOnly="1" outline="0" fieldPosition="0">
        <references count="5">
          <reference field="0" count="1" selected="0">
            <x v="2"/>
          </reference>
          <reference field="3" count="1" selected="0">
            <x v="16"/>
          </reference>
          <reference field="4" count="1" selected="0">
            <x v="72"/>
          </reference>
          <reference field="5" count="1" selected="0">
            <x v="833"/>
          </reference>
          <reference field="7" count="1">
            <x v="1176"/>
          </reference>
        </references>
      </pivotArea>
    </format>
    <format dxfId="962">
      <pivotArea dataOnly="0" labelOnly="1" outline="0" fieldPosition="0">
        <references count="5">
          <reference field="0" count="1" selected="0">
            <x v="2"/>
          </reference>
          <reference field="3" count="1" selected="0">
            <x v="16"/>
          </reference>
          <reference field="4" count="1" selected="0">
            <x v="108"/>
          </reference>
          <reference field="5" count="1" selected="0">
            <x v="28"/>
          </reference>
          <reference field="7" count="1">
            <x v="1604"/>
          </reference>
        </references>
      </pivotArea>
    </format>
    <format dxfId="961">
      <pivotArea dataOnly="0" labelOnly="1" outline="0" fieldPosition="0">
        <references count="5">
          <reference field="0" count="1" selected="0">
            <x v="2"/>
          </reference>
          <reference field="3" count="1" selected="0">
            <x v="16"/>
          </reference>
          <reference field="4" count="1" selected="0">
            <x v="108"/>
          </reference>
          <reference field="5" count="1" selected="0">
            <x v="211"/>
          </reference>
          <reference field="7" count="1">
            <x v="986"/>
          </reference>
        </references>
      </pivotArea>
    </format>
    <format dxfId="960">
      <pivotArea dataOnly="0" labelOnly="1" outline="0" fieldPosition="0">
        <references count="5">
          <reference field="0" count="1" selected="0">
            <x v="2"/>
          </reference>
          <reference field="3" count="1" selected="0">
            <x v="16"/>
          </reference>
          <reference field="4" count="1" selected="0">
            <x v="108"/>
          </reference>
          <reference field="5" count="1" selected="0">
            <x v="240"/>
          </reference>
          <reference field="7" count="1">
            <x v="1585"/>
          </reference>
        </references>
      </pivotArea>
    </format>
    <format dxfId="959">
      <pivotArea dataOnly="0" labelOnly="1" outline="0" fieldPosition="0">
        <references count="5">
          <reference field="0" count="1" selected="0">
            <x v="2"/>
          </reference>
          <reference field="3" count="1" selected="0">
            <x v="16"/>
          </reference>
          <reference field="4" count="1" selected="0">
            <x v="108"/>
          </reference>
          <reference field="5" count="1" selected="0">
            <x v="245"/>
          </reference>
          <reference field="7" count="1">
            <x v="1325"/>
          </reference>
        </references>
      </pivotArea>
    </format>
    <format dxfId="958">
      <pivotArea dataOnly="0" labelOnly="1" outline="0" fieldPosition="0">
        <references count="5">
          <reference field="0" count="1" selected="0">
            <x v="2"/>
          </reference>
          <reference field="3" count="1" selected="0">
            <x v="16"/>
          </reference>
          <reference field="4" count="1" selected="0">
            <x v="108"/>
          </reference>
          <reference field="5" count="1" selected="0">
            <x v="834"/>
          </reference>
          <reference field="7" count="1">
            <x v="253"/>
          </reference>
        </references>
      </pivotArea>
    </format>
    <format dxfId="957">
      <pivotArea dataOnly="0" labelOnly="1" outline="0" fieldPosition="0">
        <references count="5">
          <reference field="0" count="1" selected="0">
            <x v="2"/>
          </reference>
          <reference field="3" count="1" selected="0">
            <x v="16"/>
          </reference>
          <reference field="4" count="1" selected="0">
            <x v="108"/>
          </reference>
          <reference field="5" count="1" selected="0">
            <x v="835"/>
          </reference>
          <reference field="7" count="1">
            <x v="253"/>
          </reference>
        </references>
      </pivotArea>
    </format>
    <format dxfId="956">
      <pivotArea dataOnly="0" labelOnly="1" outline="0" fieldPosition="0">
        <references count="5">
          <reference field="0" count="1" selected="0">
            <x v="2"/>
          </reference>
          <reference field="3" count="1" selected="0">
            <x v="16"/>
          </reference>
          <reference field="4" count="1" selected="0">
            <x v="108"/>
          </reference>
          <reference field="5" count="1" selected="0">
            <x v="836"/>
          </reference>
          <reference field="7" count="1">
            <x v="1064"/>
          </reference>
        </references>
      </pivotArea>
    </format>
    <format dxfId="955">
      <pivotArea dataOnly="0" labelOnly="1" outline="0" fieldPosition="0">
        <references count="5">
          <reference field="0" count="1" selected="0">
            <x v="2"/>
          </reference>
          <reference field="3" count="1" selected="0">
            <x v="16"/>
          </reference>
          <reference field="4" count="1" selected="0">
            <x v="216"/>
          </reference>
          <reference field="5" count="1" selected="0">
            <x v="105"/>
          </reference>
          <reference field="7" count="1">
            <x v="1596"/>
          </reference>
        </references>
      </pivotArea>
    </format>
    <format dxfId="954">
      <pivotArea dataOnly="0" labelOnly="1" outline="0" fieldPosition="0">
        <references count="5">
          <reference field="0" count="1" selected="0">
            <x v="2"/>
          </reference>
          <reference field="3" count="1" selected="0">
            <x v="16"/>
          </reference>
          <reference field="4" count="1" selected="0">
            <x v="216"/>
          </reference>
          <reference field="5" count="1" selected="0">
            <x v="154"/>
          </reference>
          <reference field="7" count="1">
            <x v="683"/>
          </reference>
        </references>
      </pivotArea>
    </format>
    <format dxfId="953">
      <pivotArea dataOnly="0" labelOnly="1" outline="0" fieldPosition="0">
        <references count="5">
          <reference field="0" count="1" selected="0">
            <x v="2"/>
          </reference>
          <reference field="3" count="1" selected="0">
            <x v="16"/>
          </reference>
          <reference field="4" count="1" selected="0">
            <x v="216"/>
          </reference>
          <reference field="5" count="1" selected="0">
            <x v="173"/>
          </reference>
          <reference field="7" count="1">
            <x v="1094"/>
          </reference>
        </references>
      </pivotArea>
    </format>
    <format dxfId="952">
      <pivotArea dataOnly="0" labelOnly="1" outline="0" fieldPosition="0">
        <references count="5">
          <reference field="0" count="1" selected="0">
            <x v="2"/>
          </reference>
          <reference field="3" count="1" selected="0">
            <x v="16"/>
          </reference>
          <reference field="4" count="1" selected="0">
            <x v="216"/>
          </reference>
          <reference field="5" count="1" selected="0">
            <x v="187"/>
          </reference>
          <reference field="7" count="1">
            <x v="682"/>
          </reference>
        </references>
      </pivotArea>
    </format>
    <format dxfId="951">
      <pivotArea dataOnly="0" labelOnly="1" outline="0" fieldPosition="0">
        <references count="5">
          <reference field="0" count="1" selected="0">
            <x v="2"/>
          </reference>
          <reference field="3" count="1" selected="0">
            <x v="16"/>
          </reference>
          <reference field="4" count="1" selected="0">
            <x v="216"/>
          </reference>
          <reference field="5" count="1" selected="0">
            <x v="314"/>
          </reference>
          <reference field="7" count="1">
            <x v="988"/>
          </reference>
        </references>
      </pivotArea>
    </format>
    <format dxfId="950">
      <pivotArea dataOnly="0" labelOnly="1" outline="0" fieldPosition="0">
        <references count="5">
          <reference field="0" count="1" selected="0">
            <x v="2"/>
          </reference>
          <reference field="3" count="1" selected="0">
            <x v="16"/>
          </reference>
          <reference field="4" count="1" selected="0">
            <x v="216"/>
          </reference>
          <reference field="5" count="1" selected="0">
            <x v="334"/>
          </reference>
          <reference field="7" count="1">
            <x v="1592"/>
          </reference>
        </references>
      </pivotArea>
    </format>
    <format dxfId="949">
      <pivotArea dataOnly="0" labelOnly="1" outline="0" fieldPosition="0">
        <references count="5">
          <reference field="0" count="1" selected="0">
            <x v="2"/>
          </reference>
          <reference field="3" count="1" selected="0">
            <x v="16"/>
          </reference>
          <reference field="4" count="1" selected="0">
            <x v="216"/>
          </reference>
          <reference field="5" count="1" selected="0">
            <x v="376"/>
          </reference>
          <reference field="7" count="1">
            <x v="963"/>
          </reference>
        </references>
      </pivotArea>
    </format>
    <format dxfId="948">
      <pivotArea dataOnly="0" labelOnly="1" outline="0" fieldPosition="0">
        <references count="5">
          <reference field="0" count="1" selected="0">
            <x v="2"/>
          </reference>
          <reference field="3" count="1" selected="0">
            <x v="16"/>
          </reference>
          <reference field="4" count="1" selected="0">
            <x v="216"/>
          </reference>
          <reference field="5" count="1" selected="0">
            <x v="377"/>
          </reference>
          <reference field="7" count="1">
            <x v="963"/>
          </reference>
        </references>
      </pivotArea>
    </format>
    <format dxfId="947">
      <pivotArea dataOnly="0" labelOnly="1" outline="0" fieldPosition="0">
        <references count="5">
          <reference field="0" count="1" selected="0">
            <x v="2"/>
          </reference>
          <reference field="3" count="1" selected="0">
            <x v="16"/>
          </reference>
          <reference field="4" count="1" selected="0">
            <x v="216"/>
          </reference>
          <reference field="5" count="1" selected="0">
            <x v="625"/>
          </reference>
          <reference field="7" count="1">
            <x v="1242"/>
          </reference>
        </references>
      </pivotArea>
    </format>
    <format dxfId="946">
      <pivotArea dataOnly="0" labelOnly="1" outline="0" fieldPosition="0">
        <references count="5">
          <reference field="0" count="1" selected="0">
            <x v="2"/>
          </reference>
          <reference field="3" count="1" selected="0">
            <x v="16"/>
          </reference>
          <reference field="4" count="1" selected="0">
            <x v="216"/>
          </reference>
          <reference field="5" count="1" selected="0">
            <x v="626"/>
          </reference>
          <reference field="7" count="1">
            <x v="1241"/>
          </reference>
        </references>
      </pivotArea>
    </format>
    <format dxfId="945">
      <pivotArea dataOnly="0" labelOnly="1" outline="0" fieldPosition="0">
        <references count="5">
          <reference field="0" count="1" selected="0">
            <x v="2"/>
          </reference>
          <reference field="3" count="1" selected="0">
            <x v="16"/>
          </reference>
          <reference field="4" count="1" selected="0">
            <x v="216"/>
          </reference>
          <reference field="5" count="1" selected="0">
            <x v="830"/>
          </reference>
          <reference field="7" count="1">
            <x v="273"/>
          </reference>
        </references>
      </pivotArea>
    </format>
    <format dxfId="944">
      <pivotArea dataOnly="0" labelOnly="1" outline="0" fieldPosition="0">
        <references count="5">
          <reference field="0" count="1" selected="0">
            <x v="2"/>
          </reference>
          <reference field="3" count="1" selected="0">
            <x v="16"/>
          </reference>
          <reference field="4" count="1" selected="0">
            <x v="216"/>
          </reference>
          <reference field="5" count="1" selected="0">
            <x v="1615"/>
          </reference>
          <reference field="7" count="1">
            <x v="1504"/>
          </reference>
        </references>
      </pivotArea>
    </format>
    <format dxfId="943">
      <pivotArea dataOnly="0" labelOnly="1" outline="0" fieldPosition="0">
        <references count="5">
          <reference field="0" count="1" selected="0">
            <x v="4"/>
          </reference>
          <reference field="3" count="1" selected="0">
            <x v="41"/>
          </reference>
          <reference field="4" count="1" selected="0">
            <x v="169"/>
          </reference>
          <reference field="5" count="1" selected="0">
            <x v="1521"/>
          </reference>
          <reference field="7" count="1">
            <x v="302"/>
          </reference>
        </references>
      </pivotArea>
    </format>
    <format dxfId="942">
      <pivotArea dataOnly="0" labelOnly="1" outline="0" fieldPosition="0">
        <references count="5">
          <reference field="0" count="1" selected="0">
            <x v="4"/>
          </reference>
          <reference field="3" count="1" selected="0">
            <x v="41"/>
          </reference>
          <reference field="4" count="1" selected="0">
            <x v="169"/>
          </reference>
          <reference field="5" count="1" selected="0">
            <x v="1522"/>
          </reference>
          <reference field="7" count="1">
            <x v="334"/>
          </reference>
        </references>
      </pivotArea>
    </format>
    <format dxfId="941">
      <pivotArea dataOnly="0" labelOnly="1" outline="0" fieldPosition="0">
        <references count="5">
          <reference field="0" count="1" selected="0">
            <x v="4"/>
          </reference>
          <reference field="3" count="1" selected="0">
            <x v="41"/>
          </reference>
          <reference field="4" count="1" selected="0">
            <x v="169"/>
          </reference>
          <reference field="5" count="1" selected="0">
            <x v="1626"/>
          </reference>
          <reference field="7" count="1">
            <x v="1474"/>
          </reference>
        </references>
      </pivotArea>
    </format>
    <format dxfId="940">
      <pivotArea dataOnly="0" labelOnly="1" outline="0" fieldPosition="0">
        <references count="5">
          <reference field="0" count="1" selected="0">
            <x v="4"/>
          </reference>
          <reference field="3" count="1" selected="0">
            <x v="41"/>
          </reference>
          <reference field="4" count="1" selected="0">
            <x v="216"/>
          </reference>
          <reference field="5" count="1" selected="0">
            <x v="148"/>
          </reference>
          <reference field="7" count="1">
            <x v="977"/>
          </reference>
        </references>
      </pivotArea>
    </format>
    <format dxfId="939">
      <pivotArea dataOnly="0" labelOnly="1" outline="0" fieldPosition="0">
        <references count="5">
          <reference field="0" count="1" selected="0">
            <x v="4"/>
          </reference>
          <reference field="3" count="1" selected="0">
            <x v="41"/>
          </reference>
          <reference field="4" count="1" selected="0">
            <x v="216"/>
          </reference>
          <reference field="5" count="1" selected="0">
            <x v="166"/>
          </reference>
          <reference field="7" count="1">
            <x v="1086"/>
          </reference>
        </references>
      </pivotArea>
    </format>
    <format dxfId="938">
      <pivotArea dataOnly="0" labelOnly="1" outline="0" fieldPosition="0">
        <references count="5">
          <reference field="0" count="1" selected="0">
            <x v="4"/>
          </reference>
          <reference field="3" count="1" selected="0">
            <x v="41"/>
          </reference>
          <reference field="4" count="1" selected="0">
            <x v="216"/>
          </reference>
          <reference field="5" count="1" selected="0">
            <x v="363"/>
          </reference>
          <reference field="7" count="1">
            <x v="673"/>
          </reference>
        </references>
      </pivotArea>
    </format>
    <format dxfId="937">
      <pivotArea dataOnly="0" labelOnly="1" outline="0" fieldPosition="0">
        <references count="5">
          <reference field="0" count="1" selected="0">
            <x v="4"/>
          </reference>
          <reference field="3" count="1" selected="0">
            <x v="41"/>
          </reference>
          <reference field="4" count="1" selected="0">
            <x v="216"/>
          </reference>
          <reference field="5" count="1" selected="0">
            <x v="366"/>
          </reference>
          <reference field="7" count="1">
            <x v="899"/>
          </reference>
        </references>
      </pivotArea>
    </format>
    <format dxfId="936">
      <pivotArea dataOnly="0" labelOnly="1" outline="0" fieldPosition="0">
        <references count="5">
          <reference field="0" count="1" selected="0">
            <x v="4"/>
          </reference>
          <reference field="3" count="1" selected="0">
            <x v="41"/>
          </reference>
          <reference field="4" count="1" selected="0">
            <x v="216"/>
          </reference>
          <reference field="5" count="1" selected="0">
            <x v="367"/>
          </reference>
          <reference field="7" count="1">
            <x v="896"/>
          </reference>
        </references>
      </pivotArea>
    </format>
    <format dxfId="935">
      <pivotArea dataOnly="0" labelOnly="1" outline="0" fieldPosition="0">
        <references count="5">
          <reference field="0" count="1" selected="0">
            <x v="4"/>
          </reference>
          <reference field="3" count="1" selected="0">
            <x v="41"/>
          </reference>
          <reference field="4" count="1" selected="0">
            <x v="216"/>
          </reference>
          <reference field="5" count="1" selected="0">
            <x v="369"/>
          </reference>
          <reference field="7" count="1">
            <x v="897"/>
          </reference>
        </references>
      </pivotArea>
    </format>
    <format dxfId="934">
      <pivotArea dataOnly="0" labelOnly="1" outline="0" fieldPosition="0">
        <references count="5">
          <reference field="0" count="1" selected="0">
            <x v="4"/>
          </reference>
          <reference field="3" count="1" selected="0">
            <x v="41"/>
          </reference>
          <reference field="4" count="1" selected="0">
            <x v="216"/>
          </reference>
          <reference field="5" count="1" selected="0">
            <x v="370"/>
          </reference>
          <reference field="7" count="1">
            <x v="675"/>
          </reference>
        </references>
      </pivotArea>
    </format>
    <format dxfId="933">
      <pivotArea dataOnly="0" labelOnly="1" outline="0" fieldPosition="0">
        <references count="5">
          <reference field="0" count="1" selected="0">
            <x v="4"/>
          </reference>
          <reference field="3" count="1" selected="0">
            <x v="41"/>
          </reference>
          <reference field="4" count="1" selected="0">
            <x v="216"/>
          </reference>
          <reference field="5" count="1" selected="0">
            <x v="373"/>
          </reference>
          <reference field="7" count="1">
            <x v="998"/>
          </reference>
        </references>
      </pivotArea>
    </format>
    <format dxfId="932">
      <pivotArea dataOnly="0" labelOnly="1" outline="0" fieldPosition="0">
        <references count="5">
          <reference field="0" count="1" selected="0">
            <x v="4"/>
          </reference>
          <reference field="3" count="1" selected="0">
            <x v="41"/>
          </reference>
          <reference field="4" count="1" selected="0">
            <x v="216"/>
          </reference>
          <reference field="5" count="1" selected="0">
            <x v="393"/>
          </reference>
          <reference field="7" count="1">
            <x v="1462"/>
          </reference>
        </references>
      </pivotArea>
    </format>
    <format dxfId="931">
      <pivotArea dataOnly="0" labelOnly="1" outline="0" fieldPosition="0">
        <references count="5">
          <reference field="0" count="1" selected="0">
            <x v="4"/>
          </reference>
          <reference field="3" count="1" selected="0">
            <x v="41"/>
          </reference>
          <reference field="4" count="1" selected="0">
            <x v="216"/>
          </reference>
          <reference field="5" count="1" selected="0">
            <x v="1327"/>
          </reference>
          <reference field="7" count="1">
            <x v="262"/>
          </reference>
        </references>
      </pivotArea>
    </format>
    <format dxfId="930">
      <pivotArea dataOnly="0" labelOnly="1" outline="0" fieldPosition="0">
        <references count="5">
          <reference field="0" count="1" selected="0">
            <x v="4"/>
          </reference>
          <reference field="3" count="1" selected="0">
            <x v="41"/>
          </reference>
          <reference field="4" count="1" selected="0">
            <x v="216"/>
          </reference>
          <reference field="5" count="1" selected="0">
            <x v="1328"/>
          </reference>
          <reference field="7" count="1">
            <x v="410"/>
          </reference>
        </references>
      </pivotArea>
    </format>
    <format dxfId="929">
      <pivotArea dataOnly="0" labelOnly="1" outline="0" fieldPosition="0">
        <references count="5">
          <reference field="0" count="1" selected="0">
            <x v="4"/>
          </reference>
          <reference field="3" count="1" selected="0">
            <x v="41"/>
          </reference>
          <reference field="4" count="1" selected="0">
            <x v="216"/>
          </reference>
          <reference field="5" count="1" selected="0">
            <x v="1329"/>
          </reference>
          <reference field="7" count="1">
            <x v="409"/>
          </reference>
        </references>
      </pivotArea>
    </format>
    <format dxfId="928">
      <pivotArea dataOnly="0" labelOnly="1" outline="0" fieldPosition="0">
        <references count="5">
          <reference field="0" count="1" selected="0">
            <x v="4"/>
          </reference>
          <reference field="3" count="1" selected="0">
            <x v="41"/>
          </reference>
          <reference field="4" count="1" selected="0">
            <x v="216"/>
          </reference>
          <reference field="5" count="1" selected="0">
            <x v="1330"/>
          </reference>
          <reference field="7" count="1">
            <x v="408"/>
          </reference>
        </references>
      </pivotArea>
    </format>
    <format dxfId="927">
      <pivotArea dataOnly="0" labelOnly="1" outline="0" fieldPosition="0">
        <references count="5">
          <reference field="0" count="1" selected="0">
            <x v="4"/>
          </reference>
          <reference field="3" count="1" selected="0">
            <x v="41"/>
          </reference>
          <reference field="4" count="1" selected="0">
            <x v="216"/>
          </reference>
          <reference field="5" count="1" selected="0">
            <x v="1338"/>
          </reference>
          <reference field="7" count="1">
            <x v="560"/>
          </reference>
        </references>
      </pivotArea>
    </format>
    <format dxfId="926">
      <pivotArea dataOnly="0" labelOnly="1" outline="0" fieldPosition="0">
        <references count="5">
          <reference field="0" count="1" selected="0">
            <x v="4"/>
          </reference>
          <reference field="3" count="1" selected="0">
            <x v="42"/>
          </reference>
          <reference field="4" count="1" selected="0">
            <x v="23"/>
          </reference>
          <reference field="5" count="1" selected="0">
            <x v="1331"/>
          </reference>
          <reference field="7" count="1">
            <x v="136"/>
          </reference>
        </references>
      </pivotArea>
    </format>
    <format dxfId="925">
      <pivotArea dataOnly="0" labelOnly="1" outline="0" fieldPosition="0">
        <references count="5">
          <reference field="0" count="1" selected="0">
            <x v="4"/>
          </reference>
          <reference field="3" count="1" selected="0">
            <x v="42"/>
          </reference>
          <reference field="4" count="1" selected="0">
            <x v="165"/>
          </reference>
          <reference field="5" count="1" selected="0">
            <x v="78"/>
          </reference>
          <reference field="7" count="1">
            <x v="1476"/>
          </reference>
        </references>
      </pivotArea>
    </format>
    <format dxfId="924">
      <pivotArea dataOnly="0" labelOnly="1" outline="0" fieldPosition="0">
        <references count="5">
          <reference field="0" count="1" selected="0">
            <x v="4"/>
          </reference>
          <reference field="3" count="1" selected="0">
            <x v="42"/>
          </reference>
          <reference field="4" count="1" selected="0">
            <x v="165"/>
          </reference>
          <reference field="5" count="1" selected="0">
            <x v="152"/>
          </reference>
          <reference field="7" count="1">
            <x v="1603"/>
          </reference>
        </references>
      </pivotArea>
    </format>
    <format dxfId="923">
      <pivotArea dataOnly="0" labelOnly="1" outline="0" fieldPosition="0">
        <references count="5">
          <reference field="0" count="1" selected="0">
            <x v="4"/>
          </reference>
          <reference field="3" count="1" selected="0">
            <x v="42"/>
          </reference>
          <reference field="4" count="1" selected="0">
            <x v="165"/>
          </reference>
          <reference field="5" count="1" selected="0">
            <x v="216"/>
          </reference>
          <reference field="7" count="1">
            <x v="1431"/>
          </reference>
        </references>
      </pivotArea>
    </format>
    <format dxfId="922">
      <pivotArea dataOnly="0" labelOnly="1" outline="0" fieldPosition="0">
        <references count="5">
          <reference field="0" count="1" selected="0">
            <x v="4"/>
          </reference>
          <reference field="3" count="1" selected="0">
            <x v="42"/>
          </reference>
          <reference field="4" count="1" selected="0">
            <x v="165"/>
          </reference>
          <reference field="5" count="1" selected="0">
            <x v="218"/>
          </reference>
          <reference field="7" count="1">
            <x v="363"/>
          </reference>
        </references>
      </pivotArea>
    </format>
    <format dxfId="921">
      <pivotArea dataOnly="0" labelOnly="1" outline="0" fieldPosition="0">
        <references count="5">
          <reference field="0" count="1" selected="0">
            <x v="4"/>
          </reference>
          <reference field="3" count="1" selected="0">
            <x v="42"/>
          </reference>
          <reference field="4" count="1" selected="0">
            <x v="165"/>
          </reference>
          <reference field="5" count="1" selected="0">
            <x v="1577"/>
          </reference>
          <reference field="7" count="1">
            <x v="373"/>
          </reference>
        </references>
      </pivotArea>
    </format>
    <format dxfId="920">
      <pivotArea dataOnly="0" labelOnly="1" outline="0" fieldPosition="0">
        <references count="5">
          <reference field="0" count="1" selected="0">
            <x v="4"/>
          </reference>
          <reference field="3" count="1" selected="0">
            <x v="42"/>
          </reference>
          <reference field="4" count="1" selected="0">
            <x v="165"/>
          </reference>
          <reference field="5" count="1" selected="0">
            <x v="1579"/>
          </reference>
          <reference field="7" count="1">
            <x v="299"/>
          </reference>
        </references>
      </pivotArea>
    </format>
    <format dxfId="919">
      <pivotArea dataOnly="0" labelOnly="1" outline="0" fieldPosition="0">
        <references count="5">
          <reference field="0" count="1" selected="0">
            <x v="4"/>
          </reference>
          <reference field="3" count="1" selected="0">
            <x v="42"/>
          </reference>
          <reference field="4" count="1" selected="0">
            <x v="165"/>
          </reference>
          <reference field="5" count="1" selected="0">
            <x v="1613"/>
          </reference>
          <reference field="7" count="1">
            <x v="510"/>
          </reference>
        </references>
      </pivotArea>
    </format>
    <format dxfId="918">
      <pivotArea dataOnly="0" labelOnly="1" outline="0" fieldPosition="0">
        <references count="5">
          <reference field="0" count="1" selected="0">
            <x v="4"/>
          </reference>
          <reference field="3" count="1" selected="0">
            <x v="42"/>
          </reference>
          <reference field="4" count="1" selected="0">
            <x v="216"/>
          </reference>
          <reference field="5" count="1" selected="0">
            <x v="191"/>
          </reference>
          <reference field="7" count="1">
            <x v="1283"/>
          </reference>
        </references>
      </pivotArea>
    </format>
    <format dxfId="917">
      <pivotArea dataOnly="0" labelOnly="1" outline="0" fieldPosition="0">
        <references count="5">
          <reference field="0" count="1" selected="0">
            <x v="4"/>
          </reference>
          <reference field="3" count="1" selected="0">
            <x v="42"/>
          </reference>
          <reference field="4" count="1" selected="0">
            <x v="216"/>
          </reference>
          <reference field="5" count="1" selected="0">
            <x v="409"/>
          </reference>
          <reference field="7" count="1">
            <x v="672"/>
          </reference>
        </references>
      </pivotArea>
    </format>
    <format dxfId="916">
      <pivotArea dataOnly="0" labelOnly="1" outline="0" fieldPosition="0">
        <references count="5">
          <reference field="0" count="1" selected="0">
            <x v="4"/>
          </reference>
          <reference field="3" count="1" selected="0">
            <x v="42"/>
          </reference>
          <reference field="4" count="1" selected="0">
            <x v="216"/>
          </reference>
          <reference field="5" count="1" selected="0">
            <x v="1332"/>
          </reference>
          <reference field="7" count="1">
            <x v="395"/>
          </reference>
        </references>
      </pivotArea>
    </format>
    <format dxfId="915">
      <pivotArea dataOnly="0" labelOnly="1" outline="0" fieldPosition="0">
        <references count="5">
          <reference field="0" count="1" selected="0">
            <x v="4"/>
          </reference>
          <reference field="3" count="1" selected="0">
            <x v="42"/>
          </reference>
          <reference field="4" count="1" selected="0">
            <x v="216"/>
          </reference>
          <reference field="5" count="1" selected="0">
            <x v="1337"/>
          </reference>
          <reference field="7" count="1">
            <x v="453"/>
          </reference>
        </references>
      </pivotArea>
    </format>
    <format dxfId="914">
      <pivotArea dataOnly="0" labelOnly="1" outline="0" fieldPosition="0">
        <references count="5">
          <reference field="0" count="1" selected="0">
            <x v="4"/>
          </reference>
          <reference field="3" count="1" selected="0">
            <x v="42"/>
          </reference>
          <reference field="4" count="1" selected="0">
            <x v="216"/>
          </reference>
          <reference field="5" count="1" selected="0">
            <x v="1624"/>
          </reference>
          <reference field="7" count="2">
            <x v="1147"/>
            <x v="1458"/>
          </reference>
        </references>
      </pivotArea>
    </format>
    <format dxfId="913">
      <pivotArea dataOnly="0" labelOnly="1" outline="0" fieldPosition="0">
        <references count="5">
          <reference field="0" count="1" selected="0">
            <x v="4"/>
          </reference>
          <reference field="3" count="1" selected="0">
            <x v="43"/>
          </reference>
          <reference field="4" count="1" selected="0">
            <x v="5"/>
          </reference>
          <reference field="5" count="1" selected="0">
            <x v="349"/>
          </reference>
          <reference field="7" count="1">
            <x v="117"/>
          </reference>
        </references>
      </pivotArea>
    </format>
    <format dxfId="912">
      <pivotArea dataOnly="0" labelOnly="1" outline="0" fieldPosition="0">
        <references count="5">
          <reference field="0" count="1" selected="0">
            <x v="4"/>
          </reference>
          <reference field="3" count="1" selected="0">
            <x v="43"/>
          </reference>
          <reference field="4" count="1" selected="0">
            <x v="5"/>
          </reference>
          <reference field="5" count="1" selected="0">
            <x v="350"/>
          </reference>
          <reference field="7" count="1">
            <x v="1024"/>
          </reference>
        </references>
      </pivotArea>
    </format>
    <format dxfId="911">
      <pivotArea dataOnly="0" labelOnly="1" outline="0" fieldPosition="0">
        <references count="5">
          <reference field="0" count="1" selected="0">
            <x v="4"/>
          </reference>
          <reference field="3" count="1" selected="0">
            <x v="43"/>
          </reference>
          <reference field="4" count="1" selected="0">
            <x v="5"/>
          </reference>
          <reference field="5" count="1" selected="0">
            <x v="387"/>
          </reference>
          <reference field="7" count="1">
            <x v="114"/>
          </reference>
        </references>
      </pivotArea>
    </format>
    <format dxfId="910">
      <pivotArea dataOnly="0" labelOnly="1" outline="0" fieldPosition="0">
        <references count="5">
          <reference field="0" count="1" selected="0">
            <x v="4"/>
          </reference>
          <reference field="3" count="1" selected="0">
            <x v="43"/>
          </reference>
          <reference field="4" count="1" selected="0">
            <x v="7"/>
          </reference>
          <reference field="5" count="1" selected="0">
            <x v="7"/>
          </reference>
          <reference field="7" count="1">
            <x v="663"/>
          </reference>
        </references>
      </pivotArea>
    </format>
    <format dxfId="909">
      <pivotArea dataOnly="0" labelOnly="1" outline="0" fieldPosition="0">
        <references count="5">
          <reference field="0" count="1" selected="0">
            <x v="4"/>
          </reference>
          <reference field="3" count="1" selected="0">
            <x v="43"/>
          </reference>
          <reference field="4" count="1" selected="0">
            <x v="7"/>
          </reference>
          <reference field="5" count="1" selected="0">
            <x v="387"/>
          </reference>
          <reference field="7" count="1">
            <x v="114"/>
          </reference>
        </references>
      </pivotArea>
    </format>
    <format dxfId="908">
      <pivotArea dataOnly="0" labelOnly="1" outline="0" fieldPosition="0">
        <references count="5">
          <reference field="0" count="1" selected="0">
            <x v="4"/>
          </reference>
          <reference field="3" count="1" selected="0">
            <x v="43"/>
          </reference>
          <reference field="4" count="1" selected="0">
            <x v="109"/>
          </reference>
          <reference field="5" count="1" selected="0">
            <x v="18"/>
          </reference>
          <reference field="7" count="1">
            <x v="388"/>
          </reference>
        </references>
      </pivotArea>
    </format>
    <format dxfId="907">
      <pivotArea dataOnly="0" labelOnly="1" outline="0" fieldPosition="0">
        <references count="5">
          <reference field="0" count="1" selected="0">
            <x v="4"/>
          </reference>
          <reference field="3" count="1" selected="0">
            <x v="43"/>
          </reference>
          <reference field="4" count="1" selected="0">
            <x v="109"/>
          </reference>
          <reference field="5" count="1" selected="0">
            <x v="37"/>
          </reference>
          <reference field="7" count="1">
            <x v="958"/>
          </reference>
        </references>
      </pivotArea>
    </format>
    <format dxfId="906">
      <pivotArea dataOnly="0" labelOnly="1" outline="0" fieldPosition="0">
        <references count="5">
          <reference field="0" count="1" selected="0">
            <x v="4"/>
          </reference>
          <reference field="3" count="1" selected="0">
            <x v="43"/>
          </reference>
          <reference field="4" count="1" selected="0">
            <x v="109"/>
          </reference>
          <reference field="5" count="1" selected="0">
            <x v="39"/>
          </reference>
          <reference field="7" count="1">
            <x v="960"/>
          </reference>
        </references>
      </pivotArea>
    </format>
    <format dxfId="905">
      <pivotArea dataOnly="0" labelOnly="1" outline="0" fieldPosition="0">
        <references count="5">
          <reference field="0" count="1" selected="0">
            <x v="4"/>
          </reference>
          <reference field="3" count="1" selected="0">
            <x v="43"/>
          </reference>
          <reference field="4" count="1" selected="0">
            <x v="109"/>
          </reference>
          <reference field="5" count="1" selected="0">
            <x v="40"/>
          </reference>
          <reference field="7" count="1">
            <x v="957"/>
          </reference>
        </references>
      </pivotArea>
    </format>
    <format dxfId="904">
      <pivotArea dataOnly="0" labelOnly="1" outline="0" fieldPosition="0">
        <references count="5">
          <reference field="0" count="1" selected="0">
            <x v="4"/>
          </reference>
          <reference field="3" count="1" selected="0">
            <x v="43"/>
          </reference>
          <reference field="4" count="1" selected="0">
            <x v="109"/>
          </reference>
          <reference field="5" count="1" selected="0">
            <x v="1592"/>
          </reference>
          <reference field="7" count="1">
            <x v="380"/>
          </reference>
        </references>
      </pivotArea>
    </format>
    <format dxfId="903">
      <pivotArea dataOnly="0" labelOnly="1" outline="0" fieldPosition="0">
        <references count="5">
          <reference field="0" count="1" selected="0">
            <x v="4"/>
          </reference>
          <reference field="3" count="1" selected="0">
            <x v="43"/>
          </reference>
          <reference field="4" count="1" selected="0">
            <x v="109"/>
          </reference>
          <reference field="5" count="1" selected="0">
            <x v="1593"/>
          </reference>
          <reference field="7" count="1">
            <x v="261"/>
          </reference>
        </references>
      </pivotArea>
    </format>
    <format dxfId="902">
      <pivotArea dataOnly="0" labelOnly="1" outline="0" fieldPosition="0">
        <references count="5">
          <reference field="0" count="1" selected="0">
            <x v="4"/>
          </reference>
          <reference field="3" count="1" selected="0">
            <x v="43"/>
          </reference>
          <reference field="4" count="1" selected="0">
            <x v="216"/>
          </reference>
          <reference field="5" count="1" selected="0">
            <x v="121"/>
          </reference>
          <reference field="7" count="1">
            <x v="1096"/>
          </reference>
        </references>
      </pivotArea>
    </format>
    <format dxfId="901">
      <pivotArea dataOnly="0" labelOnly="1" outline="0" fieldPosition="0">
        <references count="5">
          <reference field="0" count="1" selected="0">
            <x v="4"/>
          </reference>
          <reference field="3" count="1" selected="0">
            <x v="43"/>
          </reference>
          <reference field="4" count="1" selected="0">
            <x v="216"/>
          </reference>
          <reference field="5" count="1" selected="0">
            <x v="126"/>
          </reference>
          <reference field="7" count="1">
            <x v="607"/>
          </reference>
        </references>
      </pivotArea>
    </format>
    <format dxfId="900">
      <pivotArea dataOnly="0" labelOnly="1" outline="0" fieldPosition="0">
        <references count="5">
          <reference field="0" count="1" selected="0">
            <x v="4"/>
          </reference>
          <reference field="3" count="1" selected="0">
            <x v="43"/>
          </reference>
          <reference field="4" count="1" selected="0">
            <x v="216"/>
          </reference>
          <reference field="5" count="1" selected="0">
            <x v="136"/>
          </reference>
          <reference field="7" count="1">
            <x v="593"/>
          </reference>
        </references>
      </pivotArea>
    </format>
    <format dxfId="899">
      <pivotArea dataOnly="0" labelOnly="1" outline="0" fieldPosition="0">
        <references count="5">
          <reference field="0" count="1" selected="0">
            <x v="4"/>
          </reference>
          <reference field="3" count="1" selected="0">
            <x v="43"/>
          </reference>
          <reference field="4" count="1" selected="0">
            <x v="216"/>
          </reference>
          <reference field="5" count="1" selected="0">
            <x v="137"/>
          </reference>
          <reference field="7" count="1">
            <x v="581"/>
          </reference>
        </references>
      </pivotArea>
    </format>
    <format dxfId="898">
      <pivotArea dataOnly="0" labelOnly="1" outline="0" fieldPosition="0">
        <references count="5">
          <reference field="0" count="1" selected="0">
            <x v="4"/>
          </reference>
          <reference field="3" count="1" selected="0">
            <x v="43"/>
          </reference>
          <reference field="4" count="1" selected="0">
            <x v="216"/>
          </reference>
          <reference field="5" count="1" selected="0">
            <x v="160"/>
          </reference>
          <reference field="7" count="1">
            <x v="1077"/>
          </reference>
        </references>
      </pivotArea>
    </format>
    <format dxfId="897">
      <pivotArea dataOnly="0" labelOnly="1" outline="0" fieldPosition="0">
        <references count="5">
          <reference field="0" count="1" selected="0">
            <x v="4"/>
          </reference>
          <reference field="3" count="1" selected="0">
            <x v="43"/>
          </reference>
          <reference field="4" count="1" selected="0">
            <x v="216"/>
          </reference>
          <reference field="5" count="1" selected="0">
            <x v="166"/>
          </reference>
          <reference field="7" count="1">
            <x v="1086"/>
          </reference>
        </references>
      </pivotArea>
    </format>
    <format dxfId="896">
      <pivotArea dataOnly="0" labelOnly="1" outline="0" fieldPosition="0">
        <references count="5">
          <reference field="0" count="1" selected="0">
            <x v="4"/>
          </reference>
          <reference field="3" count="1" selected="0">
            <x v="43"/>
          </reference>
          <reference field="4" count="1" selected="0">
            <x v="216"/>
          </reference>
          <reference field="5" count="1" selected="0">
            <x v="167"/>
          </reference>
          <reference field="7" count="1">
            <x v="1088"/>
          </reference>
        </references>
      </pivotArea>
    </format>
    <format dxfId="895">
      <pivotArea dataOnly="0" labelOnly="1" outline="0" fieldPosition="0">
        <references count="5">
          <reference field="0" count="1" selected="0">
            <x v="4"/>
          </reference>
          <reference field="3" count="1" selected="0">
            <x v="43"/>
          </reference>
          <reference field="4" count="1" selected="0">
            <x v="216"/>
          </reference>
          <reference field="5" count="1" selected="0">
            <x v="172"/>
          </reference>
          <reference field="7" count="1">
            <x v="1093"/>
          </reference>
        </references>
      </pivotArea>
    </format>
    <format dxfId="894">
      <pivotArea dataOnly="0" labelOnly="1" outline="0" fieldPosition="0">
        <references count="5">
          <reference field="0" count="1" selected="0">
            <x v="4"/>
          </reference>
          <reference field="3" count="1" selected="0">
            <x v="43"/>
          </reference>
          <reference field="4" count="1" selected="0">
            <x v="216"/>
          </reference>
          <reference field="5" count="1" selected="0">
            <x v="215"/>
          </reference>
          <reference field="7" count="1">
            <x v="975"/>
          </reference>
        </references>
      </pivotArea>
    </format>
    <format dxfId="893">
      <pivotArea dataOnly="0" labelOnly="1" outline="0" fieldPosition="0">
        <references count="5">
          <reference field="0" count="1" selected="0">
            <x v="4"/>
          </reference>
          <reference field="3" count="1" selected="0">
            <x v="43"/>
          </reference>
          <reference field="4" count="1" selected="0">
            <x v="216"/>
          </reference>
          <reference field="5" count="1" selected="0">
            <x v="272"/>
          </reference>
          <reference field="7" count="1">
            <x v="598"/>
          </reference>
        </references>
      </pivotArea>
    </format>
    <format dxfId="892">
      <pivotArea dataOnly="0" labelOnly="1" outline="0" fieldPosition="0">
        <references count="5">
          <reference field="0" count="1" selected="0">
            <x v="4"/>
          </reference>
          <reference field="3" count="1" selected="0">
            <x v="43"/>
          </reference>
          <reference field="4" count="1" selected="0">
            <x v="216"/>
          </reference>
          <reference field="5" count="1" selected="0">
            <x v="291"/>
          </reference>
          <reference field="7" count="1">
            <x v="1419"/>
          </reference>
        </references>
      </pivotArea>
    </format>
    <format dxfId="891">
      <pivotArea dataOnly="0" labelOnly="1" outline="0" fieldPosition="0">
        <references count="5">
          <reference field="0" count="1" selected="0">
            <x v="4"/>
          </reference>
          <reference field="3" count="1" selected="0">
            <x v="43"/>
          </reference>
          <reference field="4" count="1" selected="0">
            <x v="216"/>
          </reference>
          <reference field="5" count="1" selected="0">
            <x v="302"/>
          </reference>
          <reference field="7" count="1">
            <x v="1070"/>
          </reference>
        </references>
      </pivotArea>
    </format>
    <format dxfId="890">
      <pivotArea dataOnly="0" labelOnly="1" outline="0" fieldPosition="0">
        <references count="5">
          <reference field="0" count="1" selected="0">
            <x v="4"/>
          </reference>
          <reference field="3" count="1" selected="0">
            <x v="43"/>
          </reference>
          <reference field="4" count="1" selected="0">
            <x v="216"/>
          </reference>
          <reference field="5" count="1" selected="0">
            <x v="309"/>
          </reference>
          <reference field="7" count="1">
            <x v="1373"/>
          </reference>
        </references>
      </pivotArea>
    </format>
    <format dxfId="889">
      <pivotArea dataOnly="0" labelOnly="1" outline="0" fieldPosition="0">
        <references count="5">
          <reference field="0" count="1" selected="0">
            <x v="4"/>
          </reference>
          <reference field="3" count="1" selected="0">
            <x v="43"/>
          </reference>
          <reference field="4" count="1" selected="0">
            <x v="216"/>
          </reference>
          <reference field="5" count="1" selected="0">
            <x v="310"/>
          </reference>
          <reference field="7" count="1">
            <x v="971"/>
          </reference>
        </references>
      </pivotArea>
    </format>
    <format dxfId="888">
      <pivotArea dataOnly="0" labelOnly="1" outline="0" fieldPosition="0">
        <references count="5">
          <reference field="0" count="1" selected="0">
            <x v="4"/>
          </reference>
          <reference field="3" count="1" selected="0">
            <x v="43"/>
          </reference>
          <reference field="4" count="1" selected="0">
            <x v="216"/>
          </reference>
          <reference field="5" count="1" selected="0">
            <x v="351"/>
          </reference>
          <reference field="7" count="1">
            <x v="1025"/>
          </reference>
        </references>
      </pivotArea>
    </format>
    <format dxfId="887">
      <pivotArea dataOnly="0" labelOnly="1" outline="0" fieldPosition="0">
        <references count="5">
          <reference field="0" count="1" selected="0">
            <x v="4"/>
          </reference>
          <reference field="3" count="1" selected="0">
            <x v="43"/>
          </reference>
          <reference field="4" count="1" selected="0">
            <x v="216"/>
          </reference>
          <reference field="5" count="1" selected="0">
            <x v="374"/>
          </reference>
          <reference field="7" count="1">
            <x v="704"/>
          </reference>
        </references>
      </pivotArea>
    </format>
    <format dxfId="886">
      <pivotArea dataOnly="0" labelOnly="1" outline="0" fieldPosition="0">
        <references count="5">
          <reference field="0" count="1" selected="0">
            <x v="4"/>
          </reference>
          <reference field="3" count="1" selected="0">
            <x v="43"/>
          </reference>
          <reference field="4" count="1" selected="0">
            <x v="216"/>
          </reference>
          <reference field="5" count="1" selected="0">
            <x v="1333"/>
          </reference>
          <reference field="7" count="1">
            <x v="263"/>
          </reference>
        </references>
      </pivotArea>
    </format>
    <format dxfId="885">
      <pivotArea dataOnly="0" labelOnly="1" outline="0" fieldPosition="0">
        <references count="5">
          <reference field="0" count="1" selected="0">
            <x v="4"/>
          </reference>
          <reference field="3" count="1" selected="0">
            <x v="43"/>
          </reference>
          <reference field="4" count="1" selected="0">
            <x v="216"/>
          </reference>
          <reference field="5" count="1" selected="0">
            <x v="1334"/>
          </reference>
          <reference field="7" count="1">
            <x v="527"/>
          </reference>
        </references>
      </pivotArea>
    </format>
    <format dxfId="884">
      <pivotArea dataOnly="0" labelOnly="1" outline="0" fieldPosition="0">
        <references count="5">
          <reference field="0" count="1" selected="0">
            <x v="4"/>
          </reference>
          <reference field="3" count="1" selected="0">
            <x v="43"/>
          </reference>
          <reference field="4" count="1" selected="0">
            <x v="216"/>
          </reference>
          <reference field="5" count="1" selected="0">
            <x v="1335"/>
          </reference>
          <reference field="7" count="1">
            <x v="467"/>
          </reference>
        </references>
      </pivotArea>
    </format>
    <format dxfId="883">
      <pivotArea dataOnly="0" labelOnly="1" outline="0" fieldPosition="0">
        <references count="5">
          <reference field="0" count="1" selected="0">
            <x v="4"/>
          </reference>
          <reference field="3" count="1" selected="0">
            <x v="43"/>
          </reference>
          <reference field="4" count="1" selected="0">
            <x v="216"/>
          </reference>
          <reference field="5" count="1" selected="0">
            <x v="1336"/>
          </reference>
          <reference field="7" count="1">
            <x v="43"/>
          </reference>
        </references>
      </pivotArea>
    </format>
    <format dxfId="882">
      <pivotArea dataOnly="0" labelOnly="1" outline="0" fieldPosition="0">
        <references count="5">
          <reference field="0" count="1" selected="0">
            <x v="4"/>
          </reference>
          <reference field="3" count="1" selected="0">
            <x v="43"/>
          </reference>
          <reference field="4" count="1" selected="0">
            <x v="216"/>
          </reference>
          <reference field="5" count="1" selected="0">
            <x v="1589"/>
          </reference>
          <reference field="7" count="1">
            <x v="556"/>
          </reference>
        </references>
      </pivotArea>
    </format>
    <format dxfId="881">
      <pivotArea dataOnly="0" labelOnly="1" outline="0" fieldPosition="0">
        <references count="5">
          <reference field="0" count="1" selected="0">
            <x v="4"/>
          </reference>
          <reference field="3" count="1" selected="0">
            <x v="43"/>
          </reference>
          <reference field="4" count="1" selected="0">
            <x v="216"/>
          </reference>
          <reference field="5" count="1" selected="0">
            <x v="1590"/>
          </reference>
          <reference field="7" count="1">
            <x v="557"/>
          </reference>
        </references>
      </pivotArea>
    </format>
    <format dxfId="880">
      <pivotArea dataOnly="0" labelOnly="1" outline="0" fieldPosition="0">
        <references count="5">
          <reference field="0" count="1" selected="0">
            <x v="4"/>
          </reference>
          <reference field="3" count="1" selected="0">
            <x v="43"/>
          </reference>
          <reference field="4" count="1" selected="0">
            <x v="216"/>
          </reference>
          <reference field="5" count="1" selected="0">
            <x v="1608"/>
          </reference>
          <reference field="7" count="1">
            <x v="1118"/>
          </reference>
        </references>
      </pivotArea>
    </format>
    <format dxfId="879">
      <pivotArea dataOnly="0" labelOnly="1" outline="0" fieldPosition="0">
        <references count="5">
          <reference field="0" count="1" selected="0">
            <x v="4"/>
          </reference>
          <reference field="3" count="1" selected="0">
            <x v="44"/>
          </reference>
          <reference field="4" count="1" selected="0">
            <x v="216"/>
          </reference>
          <reference field="5" count="1" selected="0">
            <x v="30"/>
          </reference>
          <reference field="7" count="1">
            <x v="1577"/>
          </reference>
        </references>
      </pivotArea>
    </format>
    <format dxfId="878">
      <pivotArea dataOnly="0" labelOnly="1" outline="0" fieldPosition="0">
        <references count="5">
          <reference field="0" count="1" selected="0">
            <x v="4"/>
          </reference>
          <reference field="3" count="1" selected="0">
            <x v="44"/>
          </reference>
          <reference field="4" count="1" selected="0">
            <x v="216"/>
          </reference>
          <reference field="5" count="1" selected="0">
            <x v="111"/>
          </reference>
          <reference field="7" count="1">
            <x v="608"/>
          </reference>
        </references>
      </pivotArea>
    </format>
    <format dxfId="877">
      <pivotArea dataOnly="0" labelOnly="1" outline="0" fieldPosition="0">
        <references count="5">
          <reference field="0" count="1" selected="0">
            <x v="4"/>
          </reference>
          <reference field="3" count="1" selected="0">
            <x v="44"/>
          </reference>
          <reference field="4" count="1" selected="0">
            <x v="216"/>
          </reference>
          <reference field="5" count="1" selected="0">
            <x v="120"/>
          </reference>
          <reference field="7" count="1">
            <x v="1095"/>
          </reference>
        </references>
      </pivotArea>
    </format>
    <format dxfId="876">
      <pivotArea dataOnly="0" labelOnly="1" outline="0" fieldPosition="0">
        <references count="5">
          <reference field="0" count="1" selected="0">
            <x v="4"/>
          </reference>
          <reference field="3" count="1" selected="0">
            <x v="44"/>
          </reference>
          <reference field="4" count="1" selected="0">
            <x v="216"/>
          </reference>
          <reference field="5" count="1" selected="0">
            <x v="122"/>
          </reference>
          <reference field="7" count="1">
            <x v="1097"/>
          </reference>
        </references>
      </pivotArea>
    </format>
    <format dxfId="875">
      <pivotArea dataOnly="0" labelOnly="1" outline="0" fieldPosition="0">
        <references count="5">
          <reference field="0" count="1" selected="0">
            <x v="4"/>
          </reference>
          <reference field="3" count="1" selected="0">
            <x v="44"/>
          </reference>
          <reference field="4" count="1" selected="0">
            <x v="216"/>
          </reference>
          <reference field="5" count="1" selected="0">
            <x v="140"/>
          </reference>
          <reference field="7" count="1">
            <x v="595"/>
          </reference>
        </references>
      </pivotArea>
    </format>
    <format dxfId="874">
      <pivotArea dataOnly="0" labelOnly="1" outline="0" fieldPosition="0">
        <references count="5">
          <reference field="0" count="1" selected="0">
            <x v="4"/>
          </reference>
          <reference field="3" count="1" selected="0">
            <x v="44"/>
          </reference>
          <reference field="4" count="1" selected="0">
            <x v="216"/>
          </reference>
          <reference field="5" count="1" selected="0">
            <x v="141"/>
          </reference>
          <reference field="7" count="1">
            <x v="597"/>
          </reference>
        </references>
      </pivotArea>
    </format>
    <format dxfId="873">
      <pivotArea dataOnly="0" labelOnly="1" outline="0" fieldPosition="0">
        <references count="5">
          <reference field="0" count="1" selected="0">
            <x v="4"/>
          </reference>
          <reference field="3" count="1" selected="0">
            <x v="44"/>
          </reference>
          <reference field="4" count="1" selected="0">
            <x v="216"/>
          </reference>
          <reference field="5" count="1" selected="0">
            <x v="167"/>
          </reference>
          <reference field="7" count="1">
            <x v="1088"/>
          </reference>
        </references>
      </pivotArea>
    </format>
    <format dxfId="872">
      <pivotArea dataOnly="0" labelOnly="1" outline="0" fieldPosition="0">
        <references count="5">
          <reference field="0" count="1" selected="0">
            <x v="4"/>
          </reference>
          <reference field="3" count="1" selected="0">
            <x v="44"/>
          </reference>
          <reference field="4" count="1" selected="0">
            <x v="216"/>
          </reference>
          <reference field="5" count="1" selected="0">
            <x v="172"/>
          </reference>
          <reference field="7" count="1">
            <x v="1093"/>
          </reference>
        </references>
      </pivotArea>
    </format>
    <format dxfId="871">
      <pivotArea dataOnly="0" labelOnly="1" outline="0" fieldPosition="0">
        <references count="5">
          <reference field="0" count="1" selected="0">
            <x v="4"/>
          </reference>
          <reference field="3" count="1" selected="0">
            <x v="44"/>
          </reference>
          <reference field="4" count="1" selected="0">
            <x v="216"/>
          </reference>
          <reference field="5" count="1" selected="0">
            <x v="215"/>
          </reference>
          <reference field="7" count="1">
            <x v="975"/>
          </reference>
        </references>
      </pivotArea>
    </format>
    <format dxfId="870">
      <pivotArea dataOnly="0" labelOnly="1" outline="0" fieldPosition="0">
        <references count="5">
          <reference field="0" count="1" selected="0">
            <x v="4"/>
          </reference>
          <reference field="3" count="1" selected="0">
            <x v="44"/>
          </reference>
          <reference field="4" count="1" selected="0">
            <x v="216"/>
          </reference>
          <reference field="5" count="1" selected="0">
            <x v="224"/>
          </reference>
          <reference field="7" count="1">
            <x v="757"/>
          </reference>
        </references>
      </pivotArea>
    </format>
    <format dxfId="869">
      <pivotArea dataOnly="0" labelOnly="1" outline="0" fieldPosition="0">
        <references count="5">
          <reference field="0" count="1" selected="0">
            <x v="4"/>
          </reference>
          <reference field="3" count="1" selected="0">
            <x v="44"/>
          </reference>
          <reference field="4" count="1" selected="0">
            <x v="216"/>
          </reference>
          <reference field="5" count="1" selected="0">
            <x v="279"/>
          </reference>
          <reference field="7" count="1">
            <x v="752"/>
          </reference>
        </references>
      </pivotArea>
    </format>
    <format dxfId="868">
      <pivotArea dataOnly="0" labelOnly="1" outline="0" fieldPosition="0">
        <references count="5">
          <reference field="0" count="1" selected="0">
            <x v="4"/>
          </reference>
          <reference field="3" count="1" selected="0">
            <x v="44"/>
          </reference>
          <reference field="4" count="1" selected="0">
            <x v="216"/>
          </reference>
          <reference field="5" count="1" selected="0">
            <x v="282"/>
          </reference>
          <reference field="7" count="1">
            <x v="755"/>
          </reference>
        </references>
      </pivotArea>
    </format>
    <format dxfId="867">
      <pivotArea dataOnly="0" labelOnly="1" outline="0" fieldPosition="0">
        <references count="5">
          <reference field="0" count="1" selected="0">
            <x v="4"/>
          </reference>
          <reference field="3" count="1" selected="0">
            <x v="44"/>
          </reference>
          <reference field="4" count="1" selected="0">
            <x v="216"/>
          </reference>
          <reference field="5" count="1" selected="0">
            <x v="283"/>
          </reference>
          <reference field="7" count="1">
            <x v="756"/>
          </reference>
        </references>
      </pivotArea>
    </format>
    <format dxfId="866">
      <pivotArea dataOnly="0" labelOnly="1" outline="0" fieldPosition="0">
        <references count="5">
          <reference field="0" count="1" selected="0">
            <x v="4"/>
          </reference>
          <reference field="3" count="1" selected="0">
            <x v="44"/>
          </reference>
          <reference field="4" count="1" selected="0">
            <x v="216"/>
          </reference>
          <reference field="5" count="1" selected="0">
            <x v="336"/>
          </reference>
          <reference field="7" count="1">
            <x v="1593"/>
          </reference>
        </references>
      </pivotArea>
    </format>
    <format dxfId="865">
      <pivotArea dataOnly="0" labelOnly="1" outline="0" fieldPosition="0">
        <references count="5">
          <reference field="0" count="1" selected="0">
            <x v="4"/>
          </reference>
          <reference field="3" count="1" selected="0">
            <x v="44"/>
          </reference>
          <reference field="4" count="1" selected="0">
            <x v="216"/>
          </reference>
          <reference field="5" count="1" selected="0">
            <x v="1339"/>
          </reference>
          <reference field="7" count="1">
            <x v="264"/>
          </reference>
        </references>
      </pivotArea>
    </format>
    <format dxfId="864">
      <pivotArea dataOnly="0" labelOnly="1" outline="0" fieldPosition="0">
        <references count="5">
          <reference field="0" count="1" selected="0">
            <x v="4"/>
          </reference>
          <reference field="3" count="1" selected="0">
            <x v="44"/>
          </reference>
          <reference field="4" count="1" selected="0">
            <x v="216"/>
          </reference>
          <reference field="5" count="1" selected="0">
            <x v="1340"/>
          </reference>
          <reference field="7" count="1">
            <x v="1138"/>
          </reference>
        </references>
      </pivotArea>
    </format>
    <format dxfId="863">
      <pivotArea dataOnly="0" labelOnly="1" outline="0" fieldPosition="0">
        <references count="5">
          <reference field="0" count="1" selected="0">
            <x v="4"/>
          </reference>
          <reference field="3" count="1" selected="0">
            <x v="44"/>
          </reference>
          <reference field="4" count="1" selected="0">
            <x v="216"/>
          </reference>
          <reference field="5" count="1" selected="0">
            <x v="1341"/>
          </reference>
          <reference field="7" count="1">
            <x v="1134"/>
          </reference>
        </references>
      </pivotArea>
    </format>
    <format dxfId="862">
      <pivotArea dataOnly="0" labelOnly="1" outline="0" fieldPosition="0">
        <references count="5">
          <reference field="0" count="1" selected="0">
            <x v="4"/>
          </reference>
          <reference field="3" count="1" selected="0">
            <x v="44"/>
          </reference>
          <reference field="4" count="1" selected="0">
            <x v="216"/>
          </reference>
          <reference field="5" count="1" selected="0">
            <x v="1342"/>
          </reference>
          <reference field="7" count="1">
            <x v="1135"/>
          </reference>
        </references>
      </pivotArea>
    </format>
    <format dxfId="861">
      <pivotArea dataOnly="0" labelOnly="1" outline="0" fieldPosition="0">
        <references count="5">
          <reference field="0" count="1" selected="0">
            <x v="4"/>
          </reference>
          <reference field="3" count="1" selected="0">
            <x v="44"/>
          </reference>
          <reference field="4" count="1" selected="0">
            <x v="216"/>
          </reference>
          <reference field="5" count="1" selected="0">
            <x v="1343"/>
          </reference>
          <reference field="7" count="1">
            <x v="1136"/>
          </reference>
        </references>
      </pivotArea>
    </format>
    <format dxfId="860">
      <pivotArea dataOnly="0" labelOnly="1" outline="0" fieldPosition="0">
        <references count="5">
          <reference field="0" count="1" selected="0">
            <x v="4"/>
          </reference>
          <reference field="3" count="1" selected="0">
            <x v="44"/>
          </reference>
          <reference field="4" count="1" selected="0">
            <x v="216"/>
          </reference>
          <reference field="5" count="1" selected="0">
            <x v="1344"/>
          </reference>
          <reference field="7" count="1">
            <x v="1137"/>
          </reference>
        </references>
      </pivotArea>
    </format>
    <format dxfId="859">
      <pivotArea dataOnly="0" labelOnly="1" outline="0" fieldPosition="0">
        <references count="5">
          <reference field="0" count="1" selected="0">
            <x v="4"/>
          </reference>
          <reference field="3" count="1" selected="0">
            <x v="44"/>
          </reference>
          <reference field="4" count="1" selected="0">
            <x v="216"/>
          </reference>
          <reference field="5" count="1" selected="0">
            <x v="1345"/>
          </reference>
          <reference field="7" count="1">
            <x v="321"/>
          </reference>
        </references>
      </pivotArea>
    </format>
    <format dxfId="858">
      <pivotArea dataOnly="0" labelOnly="1" outline="0" fieldPosition="0">
        <references count="5">
          <reference field="0" count="1" selected="0">
            <x v="4"/>
          </reference>
          <reference field="3" count="1" selected="0">
            <x v="44"/>
          </reference>
          <reference field="4" count="1" selected="0">
            <x v="216"/>
          </reference>
          <reference field="5" count="1" selected="0">
            <x v="1346"/>
          </reference>
          <reference field="7" count="1">
            <x v="646"/>
          </reference>
        </references>
      </pivotArea>
    </format>
    <format dxfId="857">
      <pivotArea dataOnly="0" labelOnly="1" outline="0" fieldPosition="0">
        <references count="5">
          <reference field="0" count="1" selected="0">
            <x v="4"/>
          </reference>
          <reference field="3" count="1" selected="0">
            <x v="44"/>
          </reference>
          <reference field="4" count="1" selected="0">
            <x v="216"/>
          </reference>
          <reference field="5" count="1" selected="0">
            <x v="1347"/>
          </reference>
          <reference field="7" count="1">
            <x v="690"/>
          </reference>
        </references>
      </pivotArea>
    </format>
    <format dxfId="856">
      <pivotArea dataOnly="0" labelOnly="1" outline="0" fieldPosition="0">
        <references count="5">
          <reference field="0" count="1" selected="0">
            <x v="4"/>
          </reference>
          <reference field="3" count="1" selected="0">
            <x v="44"/>
          </reference>
          <reference field="4" count="1" selected="0">
            <x v="216"/>
          </reference>
          <reference field="5" count="1" selected="0">
            <x v="1348"/>
          </reference>
          <reference field="7" count="1">
            <x v="732"/>
          </reference>
        </references>
      </pivotArea>
    </format>
    <format dxfId="855">
      <pivotArea dataOnly="0" labelOnly="1" outline="0" fieldPosition="0">
        <references count="5">
          <reference field="0" count="1" selected="0">
            <x v="4"/>
          </reference>
          <reference field="3" count="1" selected="0">
            <x v="44"/>
          </reference>
          <reference field="4" count="1" selected="0">
            <x v="216"/>
          </reference>
          <reference field="5" count="1" selected="0">
            <x v="1349"/>
          </reference>
          <reference field="7" count="1">
            <x v="763"/>
          </reference>
        </references>
      </pivotArea>
    </format>
    <format dxfId="854">
      <pivotArea dataOnly="0" labelOnly="1" outline="0" fieldPosition="0">
        <references count="5">
          <reference field="0" count="1" selected="0">
            <x v="4"/>
          </reference>
          <reference field="3" count="1" selected="0">
            <x v="44"/>
          </reference>
          <reference field="4" count="1" selected="0">
            <x v="216"/>
          </reference>
          <reference field="5" count="1" selected="0">
            <x v="1350"/>
          </reference>
          <reference field="7" count="1">
            <x v="567"/>
          </reference>
        </references>
      </pivotArea>
    </format>
    <format dxfId="853">
      <pivotArea dataOnly="0" labelOnly="1" outline="0" fieldPosition="0">
        <references count="5">
          <reference field="0" count="1" selected="0">
            <x v="4"/>
          </reference>
          <reference field="3" count="1" selected="0">
            <x v="44"/>
          </reference>
          <reference field="4" count="1" selected="0">
            <x v="216"/>
          </reference>
          <reference field="5" count="1" selected="0">
            <x v="1351"/>
          </reference>
          <reference field="7" count="1">
            <x v="647"/>
          </reference>
        </references>
      </pivotArea>
    </format>
    <format dxfId="852">
      <pivotArea dataOnly="0" labelOnly="1" outline="0" fieldPosition="0">
        <references count="5">
          <reference field="0" count="1" selected="0">
            <x v="4"/>
          </reference>
          <reference field="3" count="1" selected="0">
            <x v="44"/>
          </reference>
          <reference field="4" count="1" selected="0">
            <x v="216"/>
          </reference>
          <reference field="5" count="1" selected="0">
            <x v="1352"/>
          </reference>
          <reference field="7" count="1">
            <x v="691"/>
          </reference>
        </references>
      </pivotArea>
    </format>
    <format dxfId="851">
      <pivotArea dataOnly="0" labelOnly="1" outline="0" fieldPosition="0">
        <references count="5">
          <reference field="0" count="1" selected="0">
            <x v="4"/>
          </reference>
          <reference field="3" count="1" selected="0">
            <x v="44"/>
          </reference>
          <reference field="4" count="1" selected="0">
            <x v="216"/>
          </reference>
          <reference field="5" count="1" selected="0">
            <x v="1353"/>
          </reference>
          <reference field="7" count="1">
            <x v="733"/>
          </reference>
        </references>
      </pivotArea>
    </format>
    <format dxfId="850">
      <pivotArea dataOnly="0" labelOnly="1" outline="0" fieldPosition="0">
        <references count="5">
          <reference field="0" count="1" selected="0">
            <x v="4"/>
          </reference>
          <reference field="3" count="1" selected="0">
            <x v="44"/>
          </reference>
          <reference field="4" count="1" selected="0">
            <x v="216"/>
          </reference>
          <reference field="5" count="1" selected="0">
            <x v="1354"/>
          </reference>
          <reference field="7" count="1">
            <x v="764"/>
          </reference>
        </references>
      </pivotArea>
    </format>
    <format dxfId="849">
      <pivotArea dataOnly="0" labelOnly="1" outline="0" fieldPosition="0">
        <references count="5">
          <reference field="0" count="1" selected="0">
            <x v="4"/>
          </reference>
          <reference field="3" count="1" selected="0">
            <x v="44"/>
          </reference>
          <reference field="4" count="1" selected="0">
            <x v="216"/>
          </reference>
          <reference field="5" count="1" selected="0">
            <x v="1355"/>
          </reference>
          <reference field="7" count="1">
            <x v="630"/>
          </reference>
        </references>
      </pivotArea>
    </format>
    <format dxfId="848">
      <pivotArea dataOnly="0" labelOnly="1" outline="0" fieldPosition="0">
        <references count="5">
          <reference field="0" count="1" selected="0">
            <x v="4"/>
          </reference>
          <reference field="3" count="1" selected="0">
            <x v="44"/>
          </reference>
          <reference field="4" count="1" selected="0">
            <x v="216"/>
          </reference>
          <reference field="5" count="1" selected="0">
            <x v="1356"/>
          </reference>
          <reference field="7" count="1">
            <x v="394"/>
          </reference>
        </references>
      </pivotArea>
    </format>
    <format dxfId="847">
      <pivotArea dataOnly="0" labelOnly="1" outline="0" fieldPosition="0">
        <references count="5">
          <reference field="0" count="1" selected="0">
            <x v="4"/>
          </reference>
          <reference field="3" count="1" selected="0">
            <x v="44"/>
          </reference>
          <reference field="4" count="1" selected="0">
            <x v="216"/>
          </reference>
          <reference field="5" count="1" selected="0">
            <x v="1357"/>
          </reference>
          <reference field="7" count="1">
            <x v="46"/>
          </reference>
        </references>
      </pivotArea>
    </format>
    <format dxfId="846">
      <pivotArea dataOnly="0" labelOnly="1" outline="0" fieldPosition="0">
        <references count="5">
          <reference field="0" count="1" selected="0">
            <x v="4"/>
          </reference>
          <reference field="3" count="1" selected="0">
            <x v="44"/>
          </reference>
          <reference field="4" count="1" selected="0">
            <x v="216"/>
          </reference>
          <reference field="5" count="1" selected="0">
            <x v="1358"/>
          </reference>
          <reference field="7" count="1">
            <x v="393"/>
          </reference>
        </references>
      </pivotArea>
    </format>
    <format dxfId="845">
      <pivotArea dataOnly="0" labelOnly="1" outline="0" fieldPosition="0">
        <references count="5">
          <reference field="0" count="1" selected="0">
            <x v="4"/>
          </reference>
          <reference field="3" count="1" selected="0">
            <x v="44"/>
          </reference>
          <reference field="4" count="1" selected="0">
            <x v="216"/>
          </reference>
          <reference field="5" count="1" selected="0">
            <x v="1359"/>
          </reference>
          <reference field="7" count="1">
            <x v="432"/>
          </reference>
        </references>
      </pivotArea>
    </format>
    <format dxfId="844">
      <pivotArea dataOnly="0" labelOnly="1" outline="0" fieldPosition="0">
        <references count="5">
          <reference field="0" count="1" selected="0">
            <x v="4"/>
          </reference>
          <reference field="3" count="1" selected="0">
            <x v="44"/>
          </reference>
          <reference field="4" count="1" selected="0">
            <x v="216"/>
          </reference>
          <reference field="5" count="1" selected="0">
            <x v="1360"/>
          </reference>
          <reference field="7" count="1">
            <x v="434"/>
          </reference>
        </references>
      </pivotArea>
    </format>
    <format dxfId="843">
      <pivotArea dataOnly="0" labelOnly="1" outline="0" fieldPosition="0">
        <references count="5">
          <reference field="0" count="1" selected="0">
            <x v="4"/>
          </reference>
          <reference field="3" count="1" selected="0">
            <x v="44"/>
          </reference>
          <reference field="4" count="1" selected="0">
            <x v="216"/>
          </reference>
          <reference field="5" count="1" selected="0">
            <x v="1361"/>
          </reference>
          <reference field="7" count="1">
            <x v="55"/>
          </reference>
        </references>
      </pivotArea>
    </format>
    <format dxfId="842">
      <pivotArea dataOnly="0" labelOnly="1" outline="0" fieldPosition="0">
        <references count="5">
          <reference field="0" count="1" selected="0">
            <x v="4"/>
          </reference>
          <reference field="3" count="1" selected="0">
            <x v="44"/>
          </reference>
          <reference field="4" count="1" selected="0">
            <x v="216"/>
          </reference>
          <reference field="5" count="1" selected="0">
            <x v="1362"/>
          </reference>
          <reference field="7" count="1">
            <x v="734"/>
          </reference>
        </references>
      </pivotArea>
    </format>
    <format dxfId="841">
      <pivotArea dataOnly="0" labelOnly="1" outline="0" fieldPosition="0">
        <references count="5">
          <reference field="0" count="1" selected="0">
            <x v="4"/>
          </reference>
          <reference field="3" count="1" selected="0">
            <x v="44"/>
          </reference>
          <reference field="4" count="1" selected="0">
            <x v="216"/>
          </reference>
          <reference field="5" count="1" selected="0">
            <x v="1363"/>
          </reference>
          <reference field="7" count="1">
            <x v="429"/>
          </reference>
        </references>
      </pivotArea>
    </format>
    <format dxfId="840">
      <pivotArea dataOnly="0" labelOnly="1" outline="0" fieldPosition="0">
        <references count="5">
          <reference field="0" count="1" selected="0">
            <x v="4"/>
          </reference>
          <reference field="3" count="1" selected="0">
            <x v="44"/>
          </reference>
          <reference field="4" count="1" selected="0">
            <x v="216"/>
          </reference>
          <reference field="5" count="1" selected="0">
            <x v="1364"/>
          </reference>
          <reference field="7" count="1">
            <x v="47"/>
          </reference>
        </references>
      </pivotArea>
    </format>
    <format dxfId="839">
      <pivotArea dataOnly="0" labelOnly="1" outline="0" fieldPosition="0">
        <references count="5">
          <reference field="0" count="1" selected="0">
            <x v="4"/>
          </reference>
          <reference field="3" count="1" selected="0">
            <x v="44"/>
          </reference>
          <reference field="4" count="1" selected="0">
            <x v="216"/>
          </reference>
          <reference field="5" count="1" selected="0">
            <x v="1365"/>
          </reference>
          <reference field="7" count="1">
            <x v="44"/>
          </reference>
        </references>
      </pivotArea>
    </format>
    <format dxfId="838">
      <pivotArea dataOnly="0" labelOnly="1" outline="0" fieldPosition="0">
        <references count="5">
          <reference field="0" count="1" selected="0">
            <x v="4"/>
          </reference>
          <reference field="3" count="1" selected="0">
            <x v="44"/>
          </reference>
          <reference field="4" count="1" selected="0">
            <x v="216"/>
          </reference>
          <reference field="5" count="1" selected="0">
            <x v="1366"/>
          </reference>
          <reference field="7" count="1">
            <x v="430"/>
          </reference>
        </references>
      </pivotArea>
    </format>
    <format dxfId="837">
      <pivotArea dataOnly="0" labelOnly="1" outline="0" fieldPosition="0">
        <references count="5">
          <reference field="0" count="1" selected="0">
            <x v="4"/>
          </reference>
          <reference field="3" count="1" selected="0">
            <x v="44"/>
          </reference>
          <reference field="4" count="1" selected="0">
            <x v="216"/>
          </reference>
          <reference field="5" count="1" selected="0">
            <x v="1367"/>
          </reference>
          <reference field="7" count="1">
            <x v="40"/>
          </reference>
        </references>
      </pivotArea>
    </format>
    <format dxfId="836">
      <pivotArea dataOnly="0" labelOnly="1" outline="0" fieldPosition="0">
        <references count="5">
          <reference field="0" count="1" selected="0">
            <x v="4"/>
          </reference>
          <reference field="3" count="1" selected="0">
            <x v="44"/>
          </reference>
          <reference field="4" count="1" selected="0">
            <x v="216"/>
          </reference>
          <reference field="5" count="1" selected="0">
            <x v="1368"/>
          </reference>
          <reference field="7" count="1">
            <x v="348"/>
          </reference>
        </references>
      </pivotArea>
    </format>
    <format dxfId="835">
      <pivotArea dataOnly="0" labelOnly="1" outline="0" fieldPosition="0">
        <references count="5">
          <reference field="0" count="1" selected="0">
            <x v="4"/>
          </reference>
          <reference field="3" count="1" selected="0">
            <x v="44"/>
          </reference>
          <reference field="4" count="1" selected="0">
            <x v="216"/>
          </reference>
          <reference field="5" count="1" selected="0">
            <x v="1369"/>
          </reference>
          <reference field="7" count="1">
            <x v="399"/>
          </reference>
        </references>
      </pivotArea>
    </format>
    <format dxfId="834">
      <pivotArea dataOnly="0" labelOnly="1" outline="0" fieldPosition="0">
        <references count="5">
          <reference field="0" count="1" selected="0">
            <x v="4"/>
          </reference>
          <reference field="3" count="1" selected="0">
            <x v="44"/>
          </reference>
          <reference field="4" count="1" selected="0">
            <x v="216"/>
          </reference>
          <reference field="5" count="1" selected="0">
            <x v="1370"/>
          </reference>
          <reference field="7" count="1">
            <x v="502"/>
          </reference>
        </references>
      </pivotArea>
    </format>
    <format dxfId="833">
      <pivotArea dataOnly="0" labelOnly="1" outline="0" fieldPosition="0">
        <references count="5">
          <reference field="0" count="1" selected="0">
            <x v="4"/>
          </reference>
          <reference field="3" count="1" selected="0">
            <x v="44"/>
          </reference>
          <reference field="4" count="1" selected="0">
            <x v="216"/>
          </reference>
          <reference field="5" count="1" selected="0">
            <x v="1371"/>
          </reference>
          <reference field="7" count="1">
            <x v="45"/>
          </reference>
        </references>
      </pivotArea>
    </format>
    <format dxfId="832">
      <pivotArea dataOnly="0" labelOnly="1" outline="0" fieldPosition="0">
        <references count="5">
          <reference field="0" count="1" selected="0">
            <x v="4"/>
          </reference>
          <reference field="3" count="1" selected="0">
            <x v="44"/>
          </reference>
          <reference field="4" count="1" selected="0">
            <x v="216"/>
          </reference>
          <reference field="5" count="1" selected="0">
            <x v="1372"/>
          </reference>
          <reference field="7" count="1">
            <x v="736"/>
          </reference>
        </references>
      </pivotArea>
    </format>
    <format dxfId="831">
      <pivotArea dataOnly="0" labelOnly="1" outline="0" fieldPosition="0">
        <references count="5">
          <reference field="0" count="1" selected="0">
            <x v="4"/>
          </reference>
          <reference field="3" count="1" selected="0">
            <x v="44"/>
          </reference>
          <reference field="4" count="1" selected="0">
            <x v="216"/>
          </reference>
          <reference field="5" count="1" selected="0">
            <x v="1373"/>
          </reference>
          <reference field="7" count="1">
            <x v="320"/>
          </reference>
        </references>
      </pivotArea>
    </format>
    <format dxfId="830">
      <pivotArea dataOnly="0" labelOnly="1" outline="0" fieldPosition="0">
        <references count="5">
          <reference field="0" count="1" selected="0">
            <x v="4"/>
          </reference>
          <reference field="3" count="1" selected="0">
            <x v="44"/>
          </reference>
          <reference field="4" count="1" selected="0">
            <x v="216"/>
          </reference>
          <reference field="5" count="1" selected="0">
            <x v="1374"/>
          </reference>
          <reference field="7" count="1">
            <x v="325"/>
          </reference>
        </references>
      </pivotArea>
    </format>
    <format dxfId="829">
      <pivotArea dataOnly="0" labelOnly="1" outline="0" fieldPosition="0">
        <references count="5">
          <reference field="0" count="1" selected="0">
            <x v="4"/>
          </reference>
          <reference field="3" count="1" selected="0">
            <x v="44"/>
          </reference>
          <reference field="4" count="1" selected="0">
            <x v="216"/>
          </reference>
          <reference field="5" count="1" selected="0">
            <x v="1375"/>
          </reference>
          <reference field="7" count="1">
            <x v="322"/>
          </reference>
        </references>
      </pivotArea>
    </format>
    <format dxfId="828">
      <pivotArea dataOnly="0" labelOnly="1" outline="0" fieldPosition="0">
        <references count="5">
          <reference field="0" count="1" selected="0">
            <x v="4"/>
          </reference>
          <reference field="3" count="1" selected="0">
            <x v="44"/>
          </reference>
          <reference field="4" count="1" selected="0">
            <x v="216"/>
          </reference>
          <reference field="5" count="1" selected="0">
            <x v="1376"/>
          </reference>
          <reference field="7" count="1">
            <x v="324"/>
          </reference>
        </references>
      </pivotArea>
    </format>
    <format dxfId="827">
      <pivotArea dataOnly="0" labelOnly="1" outline="0" fieldPosition="0">
        <references count="5">
          <reference field="0" count="1" selected="0">
            <x v="4"/>
          </reference>
          <reference field="3" count="1" selected="0">
            <x v="44"/>
          </reference>
          <reference field="4" count="1" selected="0">
            <x v="216"/>
          </reference>
          <reference field="5" count="1" selected="0">
            <x v="1377"/>
          </reference>
          <reference field="7" count="1">
            <x v="323"/>
          </reference>
        </references>
      </pivotArea>
    </format>
    <format dxfId="826">
      <pivotArea dataOnly="0" labelOnly="1" outline="0" fieldPosition="0">
        <references count="5">
          <reference field="0" count="1" selected="0">
            <x v="4"/>
          </reference>
          <reference field="3" count="1" selected="0">
            <x v="44"/>
          </reference>
          <reference field="4" count="1" selected="0">
            <x v="216"/>
          </reference>
          <reference field="5" count="1" selected="0">
            <x v="1378"/>
          </reference>
          <reference field="7" count="1">
            <x v="326"/>
          </reference>
        </references>
      </pivotArea>
    </format>
    <format dxfId="825">
      <pivotArea dataOnly="0" labelOnly="1" outline="0" fieldPosition="0">
        <references count="5">
          <reference field="0" count="1" selected="0">
            <x v="4"/>
          </reference>
          <reference field="3" count="1" selected="0">
            <x v="45"/>
          </reference>
          <reference field="4" count="1" selected="0">
            <x v="32"/>
          </reference>
          <reference field="5" count="1" selected="0">
            <x v="98"/>
          </reference>
          <reference field="7" count="1">
            <x v="1399"/>
          </reference>
        </references>
      </pivotArea>
    </format>
    <format dxfId="824">
      <pivotArea dataOnly="0" labelOnly="1" outline="0" fieldPosition="0">
        <references count="5">
          <reference field="0" count="1" selected="0">
            <x v="4"/>
          </reference>
          <reference field="3" count="1" selected="0">
            <x v="45"/>
          </reference>
          <reference field="4" count="1" selected="0">
            <x v="32"/>
          </reference>
          <reference field="5" count="1" selected="0">
            <x v="132"/>
          </reference>
          <reference field="7" count="1">
            <x v="584"/>
          </reference>
        </references>
      </pivotArea>
    </format>
    <format dxfId="823">
      <pivotArea dataOnly="0" labelOnly="1" outline="0" fieldPosition="0">
        <references count="5">
          <reference field="0" count="1" selected="0">
            <x v="4"/>
          </reference>
          <reference field="3" count="1" selected="0">
            <x v="45"/>
          </reference>
          <reference field="4" count="1" selected="0">
            <x v="32"/>
          </reference>
          <reference field="5" count="1" selected="0">
            <x v="171"/>
          </reference>
          <reference field="7" count="1">
            <x v="1092"/>
          </reference>
        </references>
      </pivotArea>
    </format>
    <format dxfId="822">
      <pivotArea dataOnly="0" labelOnly="1" outline="0" fieldPosition="0">
        <references count="5">
          <reference field="0" count="1" selected="0">
            <x v="4"/>
          </reference>
          <reference field="3" count="1" selected="0">
            <x v="45"/>
          </reference>
          <reference field="4" count="1" selected="0">
            <x v="32"/>
          </reference>
          <reference field="5" count="1" selected="0">
            <x v="378"/>
          </reference>
          <reference field="7" count="1">
            <x v="694"/>
          </reference>
        </references>
      </pivotArea>
    </format>
    <format dxfId="821">
      <pivotArea dataOnly="0" labelOnly="1" outline="0" fieldPosition="0">
        <references count="5">
          <reference field="0" count="1" selected="0">
            <x v="4"/>
          </reference>
          <reference field="3" count="1" selected="0">
            <x v="45"/>
          </reference>
          <reference field="4" count="1" selected="0">
            <x v="32"/>
          </reference>
          <reference field="5" count="1" selected="0">
            <x v="386"/>
          </reference>
          <reference field="7" count="1">
            <x v="693"/>
          </reference>
        </references>
      </pivotArea>
    </format>
    <format dxfId="820">
      <pivotArea dataOnly="0" labelOnly="1" outline="0" fieldPosition="0">
        <references count="5">
          <reference field="0" count="1" selected="0">
            <x v="4"/>
          </reference>
          <reference field="3" count="1" selected="0">
            <x v="45"/>
          </reference>
          <reference field="4" count="1" selected="0">
            <x v="32"/>
          </reference>
          <reference field="5" count="1" selected="0">
            <x v="421"/>
          </reference>
          <reference field="7" count="1">
            <x v="839"/>
          </reference>
        </references>
      </pivotArea>
    </format>
    <format dxfId="819">
      <pivotArea dataOnly="0" labelOnly="1" outline="0" fieldPosition="0">
        <references count="5">
          <reference field="0" count="1" selected="0">
            <x v="4"/>
          </reference>
          <reference field="3" count="1" selected="0">
            <x v="45"/>
          </reference>
          <reference field="4" count="1" selected="0">
            <x v="32"/>
          </reference>
          <reference field="5" count="1" selected="0">
            <x v="1382"/>
          </reference>
          <reference field="7" count="1">
            <x v="699"/>
          </reference>
        </references>
      </pivotArea>
    </format>
    <format dxfId="818">
      <pivotArea dataOnly="0" labelOnly="1" outline="0" fieldPosition="0">
        <references count="5">
          <reference field="0" count="1" selected="0">
            <x v="4"/>
          </reference>
          <reference field="3" count="1" selected="0">
            <x v="45"/>
          </reference>
          <reference field="4" count="1" selected="0">
            <x v="32"/>
          </reference>
          <reference field="5" count="1" selected="0">
            <x v="1388"/>
          </reference>
          <reference field="7" count="1">
            <x v="165"/>
          </reference>
        </references>
      </pivotArea>
    </format>
    <format dxfId="817">
      <pivotArea dataOnly="0" labelOnly="1" outline="0" fieldPosition="0">
        <references count="5">
          <reference field="0" count="1" selected="0">
            <x v="4"/>
          </reference>
          <reference field="3" count="1" selected="0">
            <x v="45"/>
          </reference>
          <reference field="4" count="1" selected="0">
            <x v="32"/>
          </reference>
          <reference field="5" count="1" selected="0">
            <x v="1389"/>
          </reference>
          <reference field="7" count="1">
            <x v="697"/>
          </reference>
        </references>
      </pivotArea>
    </format>
    <format dxfId="816">
      <pivotArea dataOnly="0" labelOnly="1" outline="0" fieldPosition="0">
        <references count="5">
          <reference field="0" count="1" selected="0">
            <x v="4"/>
          </reference>
          <reference field="3" count="1" selected="0">
            <x v="45"/>
          </reference>
          <reference field="4" count="1" selected="0">
            <x v="32"/>
          </reference>
          <reference field="5" count="1" selected="0">
            <x v="1390"/>
          </reference>
          <reference field="7" count="1">
            <x v="698"/>
          </reference>
        </references>
      </pivotArea>
    </format>
    <format dxfId="815">
      <pivotArea dataOnly="0" labelOnly="1" outline="0" fieldPosition="0">
        <references count="5">
          <reference field="0" count="1" selected="0">
            <x v="4"/>
          </reference>
          <reference field="3" count="1" selected="0">
            <x v="45"/>
          </reference>
          <reference field="4" count="1" selected="0">
            <x v="32"/>
          </reference>
          <reference field="5" count="1" selected="0">
            <x v="1391"/>
          </reference>
          <reference field="7" count="1">
            <x v="700"/>
          </reference>
        </references>
      </pivotArea>
    </format>
    <format dxfId="814">
      <pivotArea dataOnly="0" labelOnly="1" outline="0" fieldPosition="0">
        <references count="5">
          <reference field="0" count="1" selected="0">
            <x v="4"/>
          </reference>
          <reference field="3" count="1" selected="0">
            <x v="45"/>
          </reference>
          <reference field="4" count="1" selected="0">
            <x v="32"/>
          </reference>
          <reference field="5" count="1" selected="0">
            <x v="1392"/>
          </reference>
          <reference field="7" count="1">
            <x v="696"/>
          </reference>
        </references>
      </pivotArea>
    </format>
    <format dxfId="813">
      <pivotArea dataOnly="0" labelOnly="1" outline="0" fieldPosition="0">
        <references count="5">
          <reference field="0" count="1" selected="0">
            <x v="4"/>
          </reference>
          <reference field="3" count="1" selected="0">
            <x v="45"/>
          </reference>
          <reference field="4" count="1" selected="0">
            <x v="32"/>
          </reference>
          <reference field="5" count="1" selected="0">
            <x v="1625"/>
          </reference>
          <reference field="7" count="1">
            <x v="695"/>
          </reference>
        </references>
      </pivotArea>
    </format>
    <format dxfId="812">
      <pivotArea dataOnly="0" labelOnly="1" outline="0" fieldPosition="0">
        <references count="5">
          <reference field="0" count="1" selected="0">
            <x v="4"/>
          </reference>
          <reference field="3" count="1" selected="0">
            <x v="45"/>
          </reference>
          <reference field="4" count="1" selected="0">
            <x v="33"/>
          </reference>
          <reference field="5" count="1" selected="0">
            <x v="146"/>
          </reference>
          <reference field="7" count="1">
            <x v="1587"/>
          </reference>
        </references>
      </pivotArea>
    </format>
    <format dxfId="811">
      <pivotArea dataOnly="0" labelOnly="1" outline="0" fieldPosition="0">
        <references count="5">
          <reference field="0" count="1" selected="0">
            <x v="4"/>
          </reference>
          <reference field="3" count="1" selected="0">
            <x v="45"/>
          </reference>
          <reference field="4" count="1" selected="0">
            <x v="33"/>
          </reference>
          <reference field="5" count="1" selected="0">
            <x v="164"/>
          </reference>
          <reference field="7" count="1">
            <x v="1084"/>
          </reference>
        </references>
      </pivotArea>
    </format>
    <format dxfId="810">
      <pivotArea dataOnly="0" labelOnly="1" outline="0" fieldPosition="0">
        <references count="5">
          <reference field="0" count="1" selected="0">
            <x v="4"/>
          </reference>
          <reference field="3" count="1" selected="0">
            <x v="45"/>
          </reference>
          <reference field="4" count="1" selected="0">
            <x v="33"/>
          </reference>
          <reference field="5" count="1" selected="0">
            <x v="174"/>
          </reference>
          <reference field="7" count="1">
            <x v="1328"/>
          </reference>
        </references>
      </pivotArea>
    </format>
    <format dxfId="809">
      <pivotArea dataOnly="0" labelOnly="1" outline="0" fieldPosition="0">
        <references count="5">
          <reference field="0" count="1" selected="0">
            <x v="4"/>
          </reference>
          <reference field="3" count="1" selected="0">
            <x v="45"/>
          </reference>
          <reference field="4" count="1" selected="0">
            <x v="33"/>
          </reference>
          <reference field="5" count="1" selected="0">
            <x v="1380"/>
          </reference>
          <reference field="7" count="1">
            <x v="166"/>
          </reference>
        </references>
      </pivotArea>
    </format>
    <format dxfId="808">
      <pivotArea dataOnly="0" labelOnly="1" outline="0" fieldPosition="0">
        <references count="5">
          <reference field="0" count="1" selected="0">
            <x v="4"/>
          </reference>
          <reference field="3" count="1" selected="0">
            <x v="45"/>
          </reference>
          <reference field="4" count="1" selected="0">
            <x v="33"/>
          </reference>
          <reference field="5" count="1" selected="0">
            <x v="1382"/>
          </reference>
          <reference field="7" count="1">
            <x v="701"/>
          </reference>
        </references>
      </pivotArea>
    </format>
    <format dxfId="807">
      <pivotArea dataOnly="0" labelOnly="1" outline="0" fieldPosition="0">
        <references count="5">
          <reference field="0" count="1" selected="0">
            <x v="4"/>
          </reference>
          <reference field="3" count="1" selected="0">
            <x v="45"/>
          </reference>
          <reference field="4" count="1" selected="0">
            <x v="34"/>
          </reference>
          <reference field="5" count="1" selected="0">
            <x v="70"/>
          </reference>
          <reference field="7" count="1">
            <x v="1358"/>
          </reference>
        </references>
      </pivotArea>
    </format>
    <format dxfId="806">
      <pivotArea dataOnly="0" labelOnly="1" outline="0" fieldPosition="0">
        <references count="5">
          <reference field="0" count="1" selected="0">
            <x v="4"/>
          </reference>
          <reference field="3" count="1" selected="0">
            <x v="45"/>
          </reference>
          <reference field="4" count="1" selected="0">
            <x v="34"/>
          </reference>
          <reference field="5" count="1" selected="0">
            <x v="281"/>
          </reference>
          <reference field="7" count="1">
            <x v="754"/>
          </reference>
        </references>
      </pivotArea>
    </format>
    <format dxfId="805">
      <pivotArea dataOnly="0" labelOnly="1" outline="0" fieldPosition="0">
        <references count="5">
          <reference field="0" count="1" selected="0">
            <x v="4"/>
          </reference>
          <reference field="3" count="1" selected="0">
            <x v="45"/>
          </reference>
          <reference field="4" count="1" selected="0">
            <x v="34"/>
          </reference>
          <reference field="5" count="1" selected="0">
            <x v="282"/>
          </reference>
          <reference field="7" count="1">
            <x v="755"/>
          </reference>
        </references>
      </pivotArea>
    </format>
    <format dxfId="804">
      <pivotArea dataOnly="0" labelOnly="1" outline="0" fieldPosition="0">
        <references count="5">
          <reference field="0" count="1" selected="0">
            <x v="4"/>
          </reference>
          <reference field="3" count="1" selected="0">
            <x v="45"/>
          </reference>
          <reference field="4" count="1" selected="0">
            <x v="34"/>
          </reference>
          <reference field="5" count="1" selected="0">
            <x v="1381"/>
          </reference>
          <reference field="7" count="1">
            <x v="702"/>
          </reference>
        </references>
      </pivotArea>
    </format>
    <format dxfId="803">
      <pivotArea dataOnly="0" labelOnly="1" outline="0" fieldPosition="0">
        <references count="5">
          <reference field="0" count="1" selected="0">
            <x v="4"/>
          </reference>
          <reference field="3" count="1" selected="0">
            <x v="45"/>
          </reference>
          <reference field="4" count="1" selected="0">
            <x v="35"/>
          </reference>
          <reference field="5" count="1" selected="0">
            <x v="93"/>
          </reference>
          <reference field="7" count="1">
            <x v="1453"/>
          </reference>
        </references>
      </pivotArea>
    </format>
    <format dxfId="802">
      <pivotArea dataOnly="0" labelOnly="1" outline="0" fieldPosition="0">
        <references count="5">
          <reference field="0" count="1" selected="0">
            <x v="4"/>
          </reference>
          <reference field="3" count="1" selected="0">
            <x v="45"/>
          </reference>
          <reference field="4" count="1" selected="0">
            <x v="35"/>
          </reference>
          <reference field="5" count="1" selected="0">
            <x v="162"/>
          </reference>
          <reference field="7" count="1">
            <x v="1081"/>
          </reference>
        </references>
      </pivotArea>
    </format>
    <format dxfId="801">
      <pivotArea dataOnly="0" labelOnly="1" outline="0" fieldPosition="0">
        <references count="5">
          <reference field="0" count="1" selected="0">
            <x v="4"/>
          </reference>
          <reference field="3" count="1" selected="0">
            <x v="45"/>
          </reference>
          <reference field="4" count="1" selected="0">
            <x v="35"/>
          </reference>
          <reference field="5" count="1" selected="0">
            <x v="214"/>
          </reference>
          <reference field="7" count="1">
            <x v="974"/>
          </reference>
        </references>
      </pivotArea>
    </format>
    <format dxfId="800">
      <pivotArea dataOnly="0" labelOnly="1" outline="0" fieldPosition="0">
        <references count="5">
          <reference field="0" count="1" selected="0">
            <x v="4"/>
          </reference>
          <reference field="3" count="1" selected="0">
            <x v="45"/>
          </reference>
          <reference field="4" count="1" selected="0">
            <x v="35"/>
          </reference>
          <reference field="5" count="1" selected="0">
            <x v="241"/>
          </reference>
          <reference field="7" count="1">
            <x v="1599"/>
          </reference>
        </references>
      </pivotArea>
    </format>
    <format dxfId="799">
      <pivotArea dataOnly="0" labelOnly="1" outline="0" fieldPosition="0">
        <references count="5">
          <reference field="0" count="1" selected="0">
            <x v="4"/>
          </reference>
          <reference field="3" count="1" selected="0">
            <x v="45"/>
          </reference>
          <reference field="4" count="1" selected="0">
            <x v="35"/>
          </reference>
          <reference field="5" count="1" selected="0">
            <x v="279"/>
          </reference>
          <reference field="7" count="1">
            <x v="752"/>
          </reference>
        </references>
      </pivotArea>
    </format>
    <format dxfId="798">
      <pivotArea dataOnly="0" labelOnly="1" outline="0" fieldPosition="0">
        <references count="5">
          <reference field="0" count="1" selected="0">
            <x v="4"/>
          </reference>
          <reference field="3" count="1" selected="0">
            <x v="45"/>
          </reference>
          <reference field="4" count="1" selected="0">
            <x v="35"/>
          </reference>
          <reference field="5" count="1" selected="0">
            <x v="281"/>
          </reference>
          <reference field="7" count="1">
            <x v="754"/>
          </reference>
        </references>
      </pivotArea>
    </format>
    <format dxfId="797">
      <pivotArea dataOnly="0" labelOnly="1" outline="0" fieldPosition="0">
        <references count="5">
          <reference field="0" count="1" selected="0">
            <x v="4"/>
          </reference>
          <reference field="3" count="1" selected="0">
            <x v="45"/>
          </reference>
          <reference field="4" count="1" selected="0">
            <x v="35"/>
          </reference>
          <reference field="5" count="1" selected="0">
            <x v="1383"/>
          </reference>
          <reference field="7" count="1">
            <x v="168"/>
          </reference>
        </references>
      </pivotArea>
    </format>
    <format dxfId="796">
      <pivotArea dataOnly="0" labelOnly="1" outline="0" fieldPosition="0">
        <references count="5">
          <reference field="0" count="1" selected="0">
            <x v="4"/>
          </reference>
          <reference field="3" count="1" selected="0">
            <x v="45"/>
          </reference>
          <reference field="4" count="1" selected="0">
            <x v="35"/>
          </reference>
          <reference field="5" count="1" selected="0">
            <x v="1386"/>
          </reference>
          <reference field="7" count="1">
            <x v="854"/>
          </reference>
        </references>
      </pivotArea>
    </format>
    <format dxfId="795">
      <pivotArea dataOnly="0" labelOnly="1" outline="0" fieldPosition="0">
        <references count="5">
          <reference field="0" count="1" selected="0">
            <x v="4"/>
          </reference>
          <reference field="3" count="1" selected="0">
            <x v="45"/>
          </reference>
          <reference field="4" count="1" selected="0">
            <x v="36"/>
          </reference>
          <reference field="5" count="1" selected="0">
            <x v="210"/>
          </reference>
          <reference field="7" count="1">
            <x v="987"/>
          </reference>
        </references>
      </pivotArea>
    </format>
    <format dxfId="794">
      <pivotArea dataOnly="0" labelOnly="1" outline="0" fieldPosition="0">
        <references count="5">
          <reference field="0" count="1" selected="0">
            <x v="4"/>
          </reference>
          <reference field="3" count="1" selected="0">
            <x v="45"/>
          </reference>
          <reference field="4" count="1" selected="0">
            <x v="36"/>
          </reference>
          <reference field="5" count="1" selected="0">
            <x v="214"/>
          </reference>
          <reference field="7" count="1">
            <x v="974"/>
          </reference>
        </references>
      </pivotArea>
    </format>
    <format dxfId="793">
      <pivotArea dataOnly="0" labelOnly="1" outline="0" fieldPosition="0">
        <references count="5">
          <reference field="0" count="1" selected="0">
            <x v="4"/>
          </reference>
          <reference field="3" count="1" selected="0">
            <x v="45"/>
          </reference>
          <reference field="4" count="1" selected="0">
            <x v="36"/>
          </reference>
          <reference field="5" count="1" selected="0">
            <x v="241"/>
          </reference>
          <reference field="7" count="1">
            <x v="1599"/>
          </reference>
        </references>
      </pivotArea>
    </format>
    <format dxfId="792">
      <pivotArea dataOnly="0" labelOnly="1" outline="0" fieldPosition="0">
        <references count="5">
          <reference field="0" count="1" selected="0">
            <x v="4"/>
          </reference>
          <reference field="3" count="1" selected="0">
            <x v="45"/>
          </reference>
          <reference field="4" count="1" selected="0">
            <x v="36"/>
          </reference>
          <reference field="5" count="1" selected="0">
            <x v="279"/>
          </reference>
          <reference field="7" count="1">
            <x v="752"/>
          </reference>
        </references>
      </pivotArea>
    </format>
    <format dxfId="791">
      <pivotArea dataOnly="0" labelOnly="1" outline="0" fieldPosition="0">
        <references count="5">
          <reference field="0" count="1" selected="0">
            <x v="4"/>
          </reference>
          <reference field="3" count="1" selected="0">
            <x v="45"/>
          </reference>
          <reference field="4" count="1" selected="0">
            <x v="36"/>
          </reference>
          <reference field="5" count="1" selected="0">
            <x v="1384"/>
          </reference>
          <reference field="7" count="1">
            <x v="169"/>
          </reference>
        </references>
      </pivotArea>
    </format>
    <format dxfId="790">
      <pivotArea dataOnly="0" labelOnly="1" outline="0" fieldPosition="0">
        <references count="5">
          <reference field="0" count="1" selected="0">
            <x v="4"/>
          </reference>
          <reference field="3" count="1" selected="0">
            <x v="45"/>
          </reference>
          <reference field="4" count="1" selected="0">
            <x v="36"/>
          </reference>
          <reference field="5" count="1" selected="0">
            <x v="1385"/>
          </reference>
          <reference field="7" count="1">
            <x v="1190"/>
          </reference>
        </references>
      </pivotArea>
    </format>
    <format dxfId="789">
      <pivotArea dataOnly="0" labelOnly="1" outline="0" fieldPosition="0">
        <references count="5">
          <reference field="0" count="1" selected="0">
            <x v="4"/>
          </reference>
          <reference field="3" count="1" selected="0">
            <x v="45"/>
          </reference>
          <reference field="4" count="1" selected="0">
            <x v="216"/>
          </reference>
          <reference field="5" count="1" selected="0">
            <x v="1379"/>
          </reference>
          <reference field="7" count="1">
            <x v="167"/>
          </reference>
        </references>
      </pivotArea>
    </format>
    <format dxfId="788">
      <pivotArea dataOnly="0" labelOnly="1" outline="0" fieldPosition="0">
        <references count="5">
          <reference field="0" count="1" selected="0">
            <x v="4"/>
          </reference>
          <reference field="3" count="1" selected="0">
            <x v="45"/>
          </reference>
          <reference field="4" count="1" selected="0">
            <x v="216"/>
          </reference>
          <reference field="5" count="1" selected="0">
            <x v="1387"/>
          </reference>
          <reference field="7" count="1">
            <x v="703"/>
          </reference>
        </references>
      </pivotArea>
    </format>
    <format dxfId="787">
      <pivotArea dataOnly="0" labelOnly="1" outline="0" fieldPosition="0">
        <references count="5">
          <reference field="0" count="1" selected="0">
            <x v="4"/>
          </reference>
          <reference field="3" count="1" selected="0">
            <x v="46"/>
          </reference>
          <reference field="4" count="1" selected="0">
            <x v="215"/>
          </reference>
          <reference field="5" count="1" selected="0">
            <x v="70"/>
          </reference>
          <reference field="7" count="1">
            <x v="1358"/>
          </reference>
        </references>
      </pivotArea>
    </format>
    <format dxfId="786">
      <pivotArea dataOnly="0" labelOnly="1" outline="0" fieldPosition="0">
        <references count="5">
          <reference field="0" count="1" selected="0">
            <x v="4"/>
          </reference>
          <reference field="3" count="1" selected="0">
            <x v="46"/>
          </reference>
          <reference field="4" count="1" selected="0">
            <x v="215"/>
          </reference>
          <reference field="5" count="1" selected="0">
            <x v="280"/>
          </reference>
          <reference field="7" count="1">
            <x v="753"/>
          </reference>
        </references>
      </pivotArea>
    </format>
    <format dxfId="785">
      <pivotArea dataOnly="0" labelOnly="1" outline="0" fieldPosition="0">
        <references count="5">
          <reference field="0" count="1" selected="0">
            <x v="4"/>
          </reference>
          <reference field="3" count="1" selected="0">
            <x v="46"/>
          </reference>
          <reference field="4" count="1" selected="0">
            <x v="215"/>
          </reference>
          <reference field="5" count="1" selected="0">
            <x v="1399"/>
          </reference>
          <reference field="7" count="1">
            <x v="1607"/>
          </reference>
        </references>
      </pivotArea>
    </format>
    <format dxfId="784">
      <pivotArea dataOnly="0" labelOnly="1" outline="0" fieldPosition="0">
        <references count="5">
          <reference field="0" count="1" selected="0">
            <x v="4"/>
          </reference>
          <reference field="3" count="1" selected="0">
            <x v="46"/>
          </reference>
          <reference field="4" count="1" selected="0">
            <x v="216"/>
          </reference>
          <reference field="5" count="1" selected="0">
            <x v="70"/>
          </reference>
          <reference field="7" count="1">
            <x v="1358"/>
          </reference>
        </references>
      </pivotArea>
    </format>
    <format dxfId="783">
      <pivotArea dataOnly="0" labelOnly="1" outline="0" fieldPosition="0">
        <references count="5">
          <reference field="0" count="1" selected="0">
            <x v="4"/>
          </reference>
          <reference field="3" count="1" selected="0">
            <x v="46"/>
          </reference>
          <reference field="4" count="1" selected="0">
            <x v="216"/>
          </reference>
          <reference field="5" count="1" selected="0">
            <x v="90"/>
          </reference>
          <reference field="7" count="1">
            <x v="1455"/>
          </reference>
        </references>
      </pivotArea>
    </format>
    <format dxfId="782">
      <pivotArea dataOnly="0" labelOnly="1" outline="0" fieldPosition="0">
        <references count="5">
          <reference field="0" count="1" selected="0">
            <x v="4"/>
          </reference>
          <reference field="3" count="1" selected="0">
            <x v="46"/>
          </reference>
          <reference field="4" count="1" selected="0">
            <x v="216"/>
          </reference>
          <reference field="5" count="1" selected="0">
            <x v="91"/>
          </reference>
          <reference field="7" count="1">
            <x v="1456"/>
          </reference>
        </references>
      </pivotArea>
    </format>
    <format dxfId="781">
      <pivotArea dataOnly="0" labelOnly="1" outline="0" fieldPosition="0">
        <references count="5">
          <reference field="0" count="1" selected="0">
            <x v="4"/>
          </reference>
          <reference field="3" count="1" selected="0">
            <x v="46"/>
          </reference>
          <reference field="4" count="1" selected="0">
            <x v="216"/>
          </reference>
          <reference field="5" count="1" selected="0">
            <x v="100"/>
          </reference>
          <reference field="7" count="1">
            <x v="1396"/>
          </reference>
        </references>
      </pivotArea>
    </format>
    <format dxfId="780">
      <pivotArea dataOnly="0" labelOnly="1" outline="0" fieldPosition="0">
        <references count="5">
          <reference field="0" count="1" selected="0">
            <x v="4"/>
          </reference>
          <reference field="3" count="1" selected="0">
            <x v="46"/>
          </reference>
          <reference field="4" count="1" selected="0">
            <x v="216"/>
          </reference>
          <reference field="5" count="1" selected="0">
            <x v="101"/>
          </reference>
          <reference field="7" count="1">
            <x v="1395"/>
          </reference>
        </references>
      </pivotArea>
    </format>
    <format dxfId="779">
      <pivotArea dataOnly="0" labelOnly="1" outline="0" fieldPosition="0">
        <references count="5">
          <reference field="0" count="1" selected="0">
            <x v="4"/>
          </reference>
          <reference field="3" count="1" selected="0">
            <x v="46"/>
          </reference>
          <reference field="4" count="1" selected="0">
            <x v="216"/>
          </reference>
          <reference field="5" count="1" selected="0">
            <x v="156"/>
          </reference>
          <reference field="7" count="1">
            <x v="1071"/>
          </reference>
        </references>
      </pivotArea>
    </format>
    <format dxfId="778">
      <pivotArea dataOnly="0" labelOnly="1" outline="0" fieldPosition="0">
        <references count="5">
          <reference field="0" count="1" selected="0">
            <x v="4"/>
          </reference>
          <reference field="3" count="1" selected="0">
            <x v="46"/>
          </reference>
          <reference field="4" count="1" selected="0">
            <x v="216"/>
          </reference>
          <reference field="5" count="1" selected="0">
            <x v="158"/>
          </reference>
          <reference field="7" count="1">
            <x v="1075"/>
          </reference>
        </references>
      </pivotArea>
    </format>
    <format dxfId="777">
      <pivotArea dataOnly="0" labelOnly="1" outline="0" fieldPosition="0">
        <references count="5">
          <reference field="0" count="1" selected="0">
            <x v="4"/>
          </reference>
          <reference field="3" count="1" selected="0">
            <x v="46"/>
          </reference>
          <reference field="4" count="1" selected="0">
            <x v="216"/>
          </reference>
          <reference field="5" count="1" selected="0">
            <x v="160"/>
          </reference>
          <reference field="7" count="1">
            <x v="1077"/>
          </reference>
        </references>
      </pivotArea>
    </format>
    <format dxfId="776">
      <pivotArea dataOnly="0" labelOnly="1" outline="0" fieldPosition="0">
        <references count="5">
          <reference field="0" count="1" selected="0">
            <x v="4"/>
          </reference>
          <reference field="3" count="1" selected="0">
            <x v="46"/>
          </reference>
          <reference field="4" count="1" selected="0">
            <x v="216"/>
          </reference>
          <reference field="5" count="1" selected="0">
            <x v="161"/>
          </reference>
          <reference field="7" count="1">
            <x v="1079"/>
          </reference>
        </references>
      </pivotArea>
    </format>
    <format dxfId="775">
      <pivotArea dataOnly="0" labelOnly="1" outline="0" fieldPosition="0">
        <references count="5">
          <reference field="0" count="1" selected="0">
            <x v="4"/>
          </reference>
          <reference field="3" count="1" selected="0">
            <x v="46"/>
          </reference>
          <reference field="4" count="1" selected="0">
            <x v="216"/>
          </reference>
          <reference field="5" count="1" selected="0">
            <x v="176"/>
          </reference>
          <reference field="7" count="1">
            <x v="1331"/>
          </reference>
        </references>
      </pivotArea>
    </format>
    <format dxfId="774">
      <pivotArea dataOnly="0" labelOnly="1" outline="0" fieldPosition="0">
        <references count="5">
          <reference field="0" count="1" selected="0">
            <x v="4"/>
          </reference>
          <reference field="3" count="1" selected="0">
            <x v="46"/>
          </reference>
          <reference field="4" count="1" selected="0">
            <x v="216"/>
          </reference>
          <reference field="5" count="1" selected="0">
            <x v="212"/>
          </reference>
          <reference field="7" count="1">
            <x v="970"/>
          </reference>
        </references>
      </pivotArea>
    </format>
    <format dxfId="773">
      <pivotArea dataOnly="0" labelOnly="1" outline="0" fieldPosition="0">
        <references count="5">
          <reference field="0" count="1" selected="0">
            <x v="4"/>
          </reference>
          <reference field="3" count="1" selected="0">
            <x v="46"/>
          </reference>
          <reference field="4" count="1" selected="0">
            <x v="216"/>
          </reference>
          <reference field="5" count="1" selected="0">
            <x v="213"/>
          </reference>
          <reference field="7" count="1">
            <x v="973"/>
          </reference>
        </references>
      </pivotArea>
    </format>
    <format dxfId="772">
      <pivotArea dataOnly="0" labelOnly="1" outline="0" fieldPosition="0">
        <references count="5">
          <reference field="0" count="1" selected="0">
            <x v="4"/>
          </reference>
          <reference field="3" count="1" selected="0">
            <x v="46"/>
          </reference>
          <reference field="4" count="1" selected="0">
            <x v="216"/>
          </reference>
          <reference field="5" count="1" selected="0">
            <x v="242"/>
          </reference>
          <reference field="7" count="1">
            <x v="1600"/>
          </reference>
        </references>
      </pivotArea>
    </format>
    <format dxfId="771">
      <pivotArea dataOnly="0" labelOnly="1" outline="0" fieldPosition="0">
        <references count="5">
          <reference field="0" count="1" selected="0">
            <x v="4"/>
          </reference>
          <reference field="3" count="1" selected="0">
            <x v="46"/>
          </reference>
          <reference field="4" count="1" selected="0">
            <x v="216"/>
          </reference>
          <reference field="5" count="1" selected="0">
            <x v="250"/>
          </reference>
          <reference field="7" count="1">
            <x v="1318"/>
          </reference>
        </references>
      </pivotArea>
    </format>
    <format dxfId="770">
      <pivotArea dataOnly="0" labelOnly="1" outline="0" fieldPosition="0">
        <references count="5">
          <reference field="0" count="1" selected="0">
            <x v="4"/>
          </reference>
          <reference field="3" count="1" selected="0">
            <x v="46"/>
          </reference>
          <reference field="4" count="1" selected="0">
            <x v="216"/>
          </reference>
          <reference field="5" count="1" selected="0">
            <x v="255"/>
          </reference>
          <reference field="7" count="1">
            <x v="1315"/>
          </reference>
        </references>
      </pivotArea>
    </format>
    <format dxfId="769">
      <pivotArea dataOnly="0" labelOnly="1" outline="0" fieldPosition="0">
        <references count="5">
          <reference field="0" count="1" selected="0">
            <x v="4"/>
          </reference>
          <reference field="3" count="1" selected="0">
            <x v="46"/>
          </reference>
          <reference field="4" count="1" selected="0">
            <x v="216"/>
          </reference>
          <reference field="5" count="1" selected="0">
            <x v="280"/>
          </reference>
          <reference field="7" count="1">
            <x v="753"/>
          </reference>
        </references>
      </pivotArea>
    </format>
    <format dxfId="768">
      <pivotArea dataOnly="0" labelOnly="1" outline="0" fieldPosition="0">
        <references count="5">
          <reference field="0" count="1" selected="0">
            <x v="4"/>
          </reference>
          <reference field="3" count="1" selected="0">
            <x v="46"/>
          </reference>
          <reference field="4" count="1" selected="0">
            <x v="216"/>
          </reference>
          <reference field="5" count="1" selected="0">
            <x v="304"/>
          </reference>
          <reference field="7" count="1">
            <x v="418"/>
          </reference>
        </references>
      </pivotArea>
    </format>
    <format dxfId="767">
      <pivotArea dataOnly="0" labelOnly="1" outline="0" fieldPosition="0">
        <references count="5">
          <reference field="0" count="1" selected="0">
            <x v="4"/>
          </reference>
          <reference field="3" count="1" selected="0">
            <x v="46"/>
          </reference>
          <reference field="4" count="1" selected="0">
            <x v="216"/>
          </reference>
          <reference field="5" count="1" selected="0">
            <x v="324"/>
          </reference>
          <reference field="7" count="1">
            <x v="600"/>
          </reference>
        </references>
      </pivotArea>
    </format>
    <format dxfId="766">
      <pivotArea dataOnly="0" labelOnly="1" outline="0" fieldPosition="0">
        <references count="5">
          <reference field="0" count="1" selected="0">
            <x v="4"/>
          </reference>
          <reference field="3" count="1" selected="0">
            <x v="46"/>
          </reference>
          <reference field="4" count="1" selected="0">
            <x v="216"/>
          </reference>
          <reference field="5" count="1" selected="0">
            <x v="325"/>
          </reference>
          <reference field="7" count="1">
            <x v="601"/>
          </reference>
        </references>
      </pivotArea>
    </format>
    <format dxfId="765">
      <pivotArea dataOnly="0" labelOnly="1" outline="0" fieldPosition="0">
        <references count="5">
          <reference field="0" count="1" selected="0">
            <x v="4"/>
          </reference>
          <reference field="3" count="1" selected="0">
            <x v="46"/>
          </reference>
          <reference field="4" count="1" selected="0">
            <x v="216"/>
          </reference>
          <reference field="5" count="1" selected="0">
            <x v="1393"/>
          </reference>
          <reference field="7" count="1">
            <x v="319"/>
          </reference>
        </references>
      </pivotArea>
    </format>
    <format dxfId="764">
      <pivotArea dataOnly="0" labelOnly="1" outline="0" fieldPosition="0">
        <references count="5">
          <reference field="0" count="1" selected="0">
            <x v="4"/>
          </reference>
          <reference field="3" count="1" selected="0">
            <x v="46"/>
          </reference>
          <reference field="4" count="1" selected="0">
            <x v="216"/>
          </reference>
          <reference field="5" count="1" selected="0">
            <x v="1394"/>
          </reference>
          <reference field="7" count="1">
            <x v="1609"/>
          </reference>
        </references>
      </pivotArea>
    </format>
    <format dxfId="763">
      <pivotArea dataOnly="0" labelOnly="1" outline="0" fieldPosition="0">
        <references count="5">
          <reference field="0" count="1" selected="0">
            <x v="4"/>
          </reference>
          <reference field="3" count="1" selected="0">
            <x v="46"/>
          </reference>
          <reference field="4" count="1" selected="0">
            <x v="216"/>
          </reference>
          <reference field="5" count="1" selected="0">
            <x v="1395"/>
          </reference>
          <reference field="7" count="1">
            <x v="1608"/>
          </reference>
        </references>
      </pivotArea>
    </format>
    <format dxfId="762">
      <pivotArea dataOnly="0" labelOnly="1" outline="0" fieldPosition="0">
        <references count="5">
          <reference field="0" count="1" selected="0">
            <x v="4"/>
          </reference>
          <reference field="3" count="1" selected="0">
            <x v="46"/>
          </reference>
          <reference field="4" count="1" selected="0">
            <x v="216"/>
          </reference>
          <reference field="5" count="1" selected="0">
            <x v="1396"/>
          </reference>
          <reference field="7" count="1">
            <x v="1610"/>
          </reference>
        </references>
      </pivotArea>
    </format>
    <format dxfId="761">
      <pivotArea dataOnly="0" labelOnly="1" outline="0" fieldPosition="0">
        <references count="5">
          <reference field="0" count="1" selected="0">
            <x v="4"/>
          </reference>
          <reference field="3" count="1" selected="0">
            <x v="46"/>
          </reference>
          <reference field="4" count="1" selected="0">
            <x v="216"/>
          </reference>
          <reference field="5" count="1" selected="0">
            <x v="1397"/>
          </reference>
          <reference field="7" count="1">
            <x v="1605"/>
          </reference>
        </references>
      </pivotArea>
    </format>
    <format dxfId="760">
      <pivotArea dataOnly="0" labelOnly="1" outline="0" fieldPosition="0">
        <references count="5">
          <reference field="0" count="1" selected="0">
            <x v="4"/>
          </reference>
          <reference field="3" count="1" selected="0">
            <x v="46"/>
          </reference>
          <reference field="4" count="1" selected="0">
            <x v="216"/>
          </reference>
          <reference field="5" count="1" selected="0">
            <x v="1398"/>
          </reference>
          <reference field="7" count="1">
            <x v="1611"/>
          </reference>
        </references>
      </pivotArea>
    </format>
    <format dxfId="759">
      <pivotArea dataOnly="0" labelOnly="1" outline="0" fieldPosition="0">
        <references count="5">
          <reference field="0" count="1" selected="0">
            <x v="4"/>
          </reference>
          <reference field="3" count="1" selected="0">
            <x v="46"/>
          </reference>
          <reference field="4" count="1" selected="0">
            <x v="216"/>
          </reference>
          <reference field="5" count="1" selected="0">
            <x v="1400"/>
          </reference>
          <reference field="7" count="1">
            <x v="1612"/>
          </reference>
        </references>
      </pivotArea>
    </format>
    <format dxfId="758">
      <pivotArea dataOnly="0" labelOnly="1" outline="0" fieldPosition="0">
        <references count="5">
          <reference field="0" count="1" selected="0">
            <x v="4"/>
          </reference>
          <reference field="3" count="1" selected="0">
            <x v="46"/>
          </reference>
          <reference field="4" count="1" selected="0">
            <x v="216"/>
          </reference>
          <reference field="5" count="1" selected="0">
            <x v="1401"/>
          </reference>
          <reference field="7" count="1">
            <x v="1606"/>
          </reference>
        </references>
      </pivotArea>
    </format>
    <format dxfId="757">
      <pivotArea dataOnly="0" labelOnly="1" outline="0" fieldPosition="0">
        <references count="5">
          <reference field="0" count="1" selected="0">
            <x v="4"/>
          </reference>
          <reference field="3" count="1" selected="0">
            <x v="46"/>
          </reference>
          <reference field="4" count="1" selected="0">
            <x v="216"/>
          </reference>
          <reference field="5" count="1" selected="0">
            <x v="1402"/>
          </reference>
          <reference field="7" count="1">
            <x v="1614"/>
          </reference>
        </references>
      </pivotArea>
    </format>
    <format dxfId="756">
      <pivotArea dataOnly="0" labelOnly="1" outline="0" fieldPosition="0">
        <references count="5">
          <reference field="0" count="1" selected="0">
            <x v="4"/>
          </reference>
          <reference field="3" count="1" selected="0">
            <x v="47"/>
          </reference>
          <reference field="4" count="1" selected="0">
            <x v="169"/>
          </reference>
          <reference field="5" count="1" selected="0">
            <x v="1521"/>
          </reference>
          <reference field="7" count="1">
            <x v="302"/>
          </reference>
        </references>
      </pivotArea>
    </format>
    <format dxfId="755">
      <pivotArea dataOnly="0" labelOnly="1" outline="0" fieldPosition="0">
        <references count="5">
          <reference field="0" count="1" selected="0">
            <x v="4"/>
          </reference>
          <reference field="3" count="1" selected="0">
            <x v="47"/>
          </reference>
          <reference field="4" count="1" selected="0">
            <x v="169"/>
          </reference>
          <reference field="5" count="1" selected="0">
            <x v="1522"/>
          </reference>
          <reference field="7" count="1">
            <x v="334"/>
          </reference>
        </references>
      </pivotArea>
    </format>
    <format dxfId="754">
      <pivotArea dataOnly="0" labelOnly="1" outline="0" fieldPosition="0">
        <references count="5">
          <reference field="0" count="1" selected="0">
            <x v="4"/>
          </reference>
          <reference field="3" count="1" selected="0">
            <x v="47"/>
          </reference>
          <reference field="4" count="1" selected="0">
            <x v="169"/>
          </reference>
          <reference field="5" count="1" selected="0">
            <x v="1626"/>
          </reference>
          <reference field="7" count="1">
            <x v="1474"/>
          </reference>
        </references>
      </pivotArea>
    </format>
    <format dxfId="753">
      <pivotArea dataOnly="0" labelOnly="1" outline="0" fieldPosition="0">
        <references count="5">
          <reference field="0" count="1" selected="0">
            <x v="4"/>
          </reference>
          <reference field="3" count="1" selected="0">
            <x v="47"/>
          </reference>
          <reference field="4" count="1" selected="0">
            <x v="216"/>
          </reference>
          <reference field="5" count="1" selected="0">
            <x v="167"/>
          </reference>
          <reference field="7" count="1">
            <x v="1088"/>
          </reference>
        </references>
      </pivotArea>
    </format>
    <format dxfId="752">
      <pivotArea dataOnly="0" labelOnly="1" outline="0" fieldPosition="0">
        <references count="5">
          <reference field="0" count="1" selected="0">
            <x v="4"/>
          </reference>
          <reference field="3" count="1" selected="0">
            <x v="47"/>
          </reference>
          <reference field="4" count="1" selected="0">
            <x v="216"/>
          </reference>
          <reference field="5" count="1" selected="0">
            <x v="363"/>
          </reference>
          <reference field="7" count="1">
            <x v="673"/>
          </reference>
        </references>
      </pivotArea>
    </format>
    <format dxfId="751">
      <pivotArea dataOnly="0" labelOnly="1" outline="0" fieldPosition="0">
        <references count="5">
          <reference field="0" count="1" selected="0">
            <x v="4"/>
          </reference>
          <reference field="3" count="1" selected="0">
            <x v="47"/>
          </reference>
          <reference field="4" count="1" selected="0">
            <x v="216"/>
          </reference>
          <reference field="5" count="1" selected="0">
            <x v="367"/>
          </reference>
          <reference field="7" count="1">
            <x v="896"/>
          </reference>
        </references>
      </pivotArea>
    </format>
    <format dxfId="750">
      <pivotArea dataOnly="0" labelOnly="1" outline="0" fieldPosition="0">
        <references count="5">
          <reference field="0" count="1" selected="0">
            <x v="4"/>
          </reference>
          <reference field="3" count="1" selected="0">
            <x v="47"/>
          </reference>
          <reference field="4" count="1" selected="0">
            <x v="216"/>
          </reference>
          <reference field="5" count="1" selected="0">
            <x v="373"/>
          </reference>
          <reference field="7" count="1">
            <x v="998"/>
          </reference>
        </references>
      </pivotArea>
    </format>
    <format dxfId="749">
      <pivotArea dataOnly="0" labelOnly="1" outline="0" fieldPosition="0">
        <references count="5">
          <reference field="0" count="1" selected="0">
            <x v="4"/>
          </reference>
          <reference field="3" count="1" selected="0">
            <x v="47"/>
          </reference>
          <reference field="4" count="1" selected="0">
            <x v="216"/>
          </reference>
          <reference field="5" count="1" selected="0">
            <x v="1403"/>
          </reference>
          <reference field="7" count="1">
            <x v="327"/>
          </reference>
        </references>
      </pivotArea>
    </format>
    <format dxfId="748">
      <pivotArea dataOnly="0" labelOnly="1" outline="0" fieldPosition="0">
        <references count="5">
          <reference field="0" count="1" selected="0">
            <x v="4"/>
          </reference>
          <reference field="3" count="1" selected="0">
            <x v="47"/>
          </reference>
          <reference field="4" count="1" selected="0">
            <x v="216"/>
          </reference>
          <reference field="5" count="1" selected="0">
            <x v="1404"/>
          </reference>
          <reference field="7" count="1">
            <x v="130"/>
          </reference>
        </references>
      </pivotArea>
    </format>
    <format dxfId="747">
      <pivotArea dataOnly="0" labelOnly="1" outline="0" fieldPosition="0">
        <references count="5">
          <reference field="0" count="1" selected="0">
            <x v="4"/>
          </reference>
          <reference field="3" count="1" selected="0">
            <x v="47"/>
          </reference>
          <reference field="4" count="1" selected="0">
            <x v="216"/>
          </reference>
          <reference field="5" count="1" selected="0">
            <x v="1405"/>
          </reference>
          <reference field="7" count="1">
            <x v="329"/>
          </reference>
        </references>
      </pivotArea>
    </format>
    <format dxfId="746">
      <pivotArea dataOnly="0" labelOnly="1" outline="0" fieldPosition="0">
        <references count="5">
          <reference field="0" count="1" selected="0">
            <x v="4"/>
          </reference>
          <reference field="3" count="1" selected="0">
            <x v="47"/>
          </reference>
          <reference field="4" count="1" selected="0">
            <x v="216"/>
          </reference>
          <reference field="5" count="1" selected="0">
            <x v="1406"/>
          </reference>
          <reference field="7" count="1">
            <x v="328"/>
          </reference>
        </references>
      </pivotArea>
    </format>
    <format dxfId="745">
      <pivotArea dataOnly="0" labelOnly="1" outline="0" fieldPosition="0">
        <references count="5">
          <reference field="0" count="1" selected="0">
            <x v="4"/>
          </reference>
          <reference field="3" count="1" selected="0">
            <x v="47"/>
          </reference>
          <reference field="4" count="1" selected="0">
            <x v="216"/>
          </reference>
          <reference field="5" count="1" selected="0">
            <x v="1407"/>
          </reference>
          <reference field="7" count="1">
            <x v="1031"/>
          </reference>
        </references>
      </pivotArea>
    </format>
    <format dxfId="744">
      <pivotArea dataOnly="0" labelOnly="1" outline="0" fieldPosition="0">
        <references count="5">
          <reference field="0" count="1" selected="0">
            <x v="4"/>
          </reference>
          <reference field="3" count="1" selected="0">
            <x v="48"/>
          </reference>
          <reference field="4" count="1" selected="0">
            <x v="182"/>
          </reference>
          <reference field="5" count="1" selected="0">
            <x v="387"/>
          </reference>
          <reference field="7" count="1">
            <x v="114"/>
          </reference>
        </references>
      </pivotArea>
    </format>
    <format dxfId="743">
      <pivotArea dataOnly="0" labelOnly="1" outline="0" fieldPosition="0">
        <references count="5">
          <reference field="0" count="1" selected="0">
            <x v="4"/>
          </reference>
          <reference field="3" count="1" selected="0">
            <x v="48"/>
          </reference>
          <reference field="4" count="1" selected="0">
            <x v="182"/>
          </reference>
          <reference field="5" count="1" selected="0">
            <x v="1422"/>
          </reference>
          <reference field="7" count="1">
            <x v="1050"/>
          </reference>
        </references>
      </pivotArea>
    </format>
    <format dxfId="742">
      <pivotArea dataOnly="0" labelOnly="1" outline="0" fieldPosition="0">
        <references count="5">
          <reference field="0" count="1" selected="0">
            <x v="4"/>
          </reference>
          <reference field="3" count="1" selected="0">
            <x v="48"/>
          </reference>
          <reference field="4" count="1" selected="0">
            <x v="216"/>
          </reference>
          <reference field="5" count="1" selected="0">
            <x v="1"/>
          </reference>
          <reference field="7" count="1">
            <x v="837"/>
          </reference>
        </references>
      </pivotArea>
    </format>
    <format dxfId="741">
      <pivotArea dataOnly="0" labelOnly="1" outline="0" fieldPosition="0">
        <references count="5">
          <reference field="0" count="1" selected="0">
            <x v="4"/>
          </reference>
          <reference field="3" count="1" selected="0">
            <x v="48"/>
          </reference>
          <reference field="4" count="1" selected="0">
            <x v="216"/>
          </reference>
          <reference field="5" count="1" selected="0">
            <x v="3"/>
          </reference>
          <reference field="7" count="1">
            <x v="1313"/>
          </reference>
        </references>
      </pivotArea>
    </format>
    <format dxfId="740">
      <pivotArea dataOnly="0" labelOnly="1" outline="0" fieldPosition="0">
        <references count="5">
          <reference field="0" count="1" selected="0">
            <x v="4"/>
          </reference>
          <reference field="3" count="1" selected="0">
            <x v="48"/>
          </reference>
          <reference field="4" count="1" selected="0">
            <x v="216"/>
          </reference>
          <reference field="5" count="1" selected="0">
            <x v="21"/>
          </reference>
          <reference field="7" count="1">
            <x v="1511"/>
          </reference>
        </references>
      </pivotArea>
    </format>
    <format dxfId="739">
      <pivotArea dataOnly="0" labelOnly="1" outline="0" fieldPosition="0">
        <references count="5">
          <reference field="0" count="1" selected="0">
            <x v="4"/>
          </reference>
          <reference field="3" count="1" selected="0">
            <x v="48"/>
          </reference>
          <reference field="4" count="1" selected="0">
            <x v="216"/>
          </reference>
          <reference field="5" count="1" selected="0">
            <x v="34"/>
          </reference>
          <reference field="7" count="1">
            <x v="1114"/>
          </reference>
        </references>
      </pivotArea>
    </format>
    <format dxfId="738">
      <pivotArea dataOnly="0" labelOnly="1" outline="0" fieldPosition="0">
        <references count="5">
          <reference field="0" count="1" selected="0">
            <x v="4"/>
          </reference>
          <reference field="3" count="1" selected="0">
            <x v="48"/>
          </reference>
          <reference field="4" count="1" selected="0">
            <x v="216"/>
          </reference>
          <reference field="5" count="1" selected="0">
            <x v="92"/>
          </reference>
          <reference field="7" count="1">
            <x v="1457"/>
          </reference>
        </references>
      </pivotArea>
    </format>
    <format dxfId="737">
      <pivotArea dataOnly="0" labelOnly="1" outline="0" fieldPosition="0">
        <references count="5">
          <reference field="0" count="1" selected="0">
            <x v="4"/>
          </reference>
          <reference field="3" count="1" selected="0">
            <x v="48"/>
          </reference>
          <reference field="4" count="1" selected="0">
            <x v="216"/>
          </reference>
          <reference field="5" count="1" selected="0">
            <x v="114"/>
          </reference>
          <reference field="7" count="1">
            <x v="1072"/>
          </reference>
        </references>
      </pivotArea>
    </format>
    <format dxfId="736">
      <pivotArea dataOnly="0" labelOnly="1" outline="0" fieldPosition="0">
        <references count="5">
          <reference field="0" count="1" selected="0">
            <x v="4"/>
          </reference>
          <reference field="3" count="1" selected="0">
            <x v="48"/>
          </reference>
          <reference field="4" count="1" selected="0">
            <x v="216"/>
          </reference>
          <reference field="5" count="1" selected="0">
            <x v="115"/>
          </reference>
          <reference field="7" count="1">
            <x v="1073"/>
          </reference>
        </references>
      </pivotArea>
    </format>
    <format dxfId="735">
      <pivotArea dataOnly="0" labelOnly="1" outline="0" fieldPosition="0">
        <references count="5">
          <reference field="0" count="1" selected="0">
            <x v="4"/>
          </reference>
          <reference field="3" count="1" selected="0">
            <x v="48"/>
          </reference>
          <reference field="4" count="1" selected="0">
            <x v="216"/>
          </reference>
          <reference field="5" count="1" selected="0">
            <x v="130"/>
          </reference>
          <reference field="7" count="1">
            <x v="1099"/>
          </reference>
        </references>
      </pivotArea>
    </format>
    <format dxfId="734">
      <pivotArea dataOnly="0" labelOnly="1" outline="0" fieldPosition="0">
        <references count="5">
          <reference field="0" count="1" selected="0">
            <x v="4"/>
          </reference>
          <reference field="3" count="1" selected="0">
            <x v="48"/>
          </reference>
          <reference field="4" count="1" selected="0">
            <x v="216"/>
          </reference>
          <reference field="5" count="1" selected="0">
            <x v="147"/>
          </reference>
          <reference field="7" count="1">
            <x v="978"/>
          </reference>
        </references>
      </pivotArea>
    </format>
    <format dxfId="733">
      <pivotArea dataOnly="0" labelOnly="1" outline="0" fieldPosition="0">
        <references count="5">
          <reference field="0" count="1" selected="0">
            <x v="4"/>
          </reference>
          <reference field="3" count="1" selected="0">
            <x v="48"/>
          </reference>
          <reference field="4" count="1" selected="0">
            <x v="216"/>
          </reference>
          <reference field="5" count="1" selected="0">
            <x v="198"/>
          </reference>
          <reference field="7" count="1">
            <x v="1067"/>
          </reference>
        </references>
      </pivotArea>
    </format>
    <format dxfId="732">
      <pivotArea dataOnly="0" labelOnly="1" outline="0" fieldPosition="0">
        <references count="5">
          <reference field="0" count="1" selected="0">
            <x v="4"/>
          </reference>
          <reference field="3" count="1" selected="0">
            <x v="48"/>
          </reference>
          <reference field="4" count="1" selected="0">
            <x v="216"/>
          </reference>
          <reference field="5" count="1" selected="0">
            <x v="248"/>
          </reference>
          <reference field="7" count="1">
            <x v="1316"/>
          </reference>
        </references>
      </pivotArea>
    </format>
    <format dxfId="731">
      <pivotArea dataOnly="0" labelOnly="1" outline="0" fieldPosition="0">
        <references count="5">
          <reference field="0" count="1" selected="0">
            <x v="4"/>
          </reference>
          <reference field="3" count="1" selected="0">
            <x v="48"/>
          </reference>
          <reference field="4" count="1" selected="0">
            <x v="216"/>
          </reference>
          <reference field="5" count="1" selected="0">
            <x v="252"/>
          </reference>
          <reference field="7" count="1">
            <x v="1319"/>
          </reference>
        </references>
      </pivotArea>
    </format>
    <format dxfId="730">
      <pivotArea dataOnly="0" labelOnly="1" outline="0" fieldPosition="0">
        <references count="5">
          <reference field="0" count="1" selected="0">
            <x v="4"/>
          </reference>
          <reference field="3" count="1" selected="0">
            <x v="48"/>
          </reference>
          <reference field="4" count="1" selected="0">
            <x v="216"/>
          </reference>
          <reference field="5" count="1" selected="0">
            <x v="279"/>
          </reference>
          <reference field="7" count="1">
            <x v="752"/>
          </reference>
        </references>
      </pivotArea>
    </format>
    <format dxfId="729">
      <pivotArea dataOnly="0" labelOnly="1" outline="0" fieldPosition="0">
        <references count="5">
          <reference field="0" count="1" selected="0">
            <x v="4"/>
          </reference>
          <reference field="3" count="1" selected="0">
            <x v="48"/>
          </reference>
          <reference field="4" count="1" selected="0">
            <x v="216"/>
          </reference>
          <reference field="5" count="1" selected="0">
            <x v="410"/>
          </reference>
          <reference field="7" count="1">
            <x v="1312"/>
          </reference>
        </references>
      </pivotArea>
    </format>
    <format dxfId="728">
      <pivotArea dataOnly="0" labelOnly="1" outline="0" fieldPosition="0">
        <references count="5">
          <reference field="0" count="1" selected="0">
            <x v="4"/>
          </reference>
          <reference field="3" count="1" selected="0">
            <x v="48"/>
          </reference>
          <reference field="4" count="1" selected="0">
            <x v="216"/>
          </reference>
          <reference field="5" count="1" selected="0">
            <x v="421"/>
          </reference>
          <reference field="7" count="1">
            <x v="839"/>
          </reference>
        </references>
      </pivotArea>
    </format>
    <format dxfId="727">
      <pivotArea dataOnly="0" labelOnly="1" outline="0" fieldPosition="0">
        <references count="5">
          <reference field="0" count="1" selected="0">
            <x v="4"/>
          </reference>
          <reference field="3" count="1" selected="0">
            <x v="48"/>
          </reference>
          <reference field="4" count="1" selected="0">
            <x v="216"/>
          </reference>
          <reference field="5" count="1" selected="0">
            <x v="1408"/>
          </reference>
          <reference field="7" count="1">
            <x v="260"/>
          </reference>
        </references>
      </pivotArea>
    </format>
    <format dxfId="726">
      <pivotArea dataOnly="0" labelOnly="1" outline="0" fieldPosition="0">
        <references count="5">
          <reference field="0" count="1" selected="0">
            <x v="4"/>
          </reference>
          <reference field="3" count="1" selected="0">
            <x v="48"/>
          </reference>
          <reference field="4" count="1" selected="0">
            <x v="216"/>
          </reference>
          <reference field="5" count="1" selected="0">
            <x v="1409"/>
          </reference>
          <reference field="7" count="1">
            <x v="1149"/>
          </reference>
        </references>
      </pivotArea>
    </format>
    <format dxfId="725">
      <pivotArea dataOnly="0" labelOnly="1" outline="0" fieldPosition="0">
        <references count="5">
          <reference field="0" count="1" selected="0">
            <x v="4"/>
          </reference>
          <reference field="3" count="1" selected="0">
            <x v="48"/>
          </reference>
          <reference field="4" count="1" selected="0">
            <x v="216"/>
          </reference>
          <reference field="5" count="1" selected="0">
            <x v="1410"/>
          </reference>
          <reference field="7" count="1">
            <x v="1152"/>
          </reference>
        </references>
      </pivotArea>
    </format>
    <format dxfId="724">
      <pivotArea dataOnly="0" labelOnly="1" outline="0" fieldPosition="0">
        <references count="5">
          <reference field="0" count="1" selected="0">
            <x v="4"/>
          </reference>
          <reference field="3" count="1" selected="0">
            <x v="48"/>
          </reference>
          <reference field="4" count="1" selected="0">
            <x v="216"/>
          </reference>
          <reference field="5" count="1" selected="0">
            <x v="1411"/>
          </reference>
          <reference field="7" count="1">
            <x v="1157"/>
          </reference>
        </references>
      </pivotArea>
    </format>
    <format dxfId="723">
      <pivotArea dataOnly="0" labelOnly="1" outline="0" fieldPosition="0">
        <references count="5">
          <reference field="0" count="1" selected="0">
            <x v="4"/>
          </reference>
          <reference field="3" count="1" selected="0">
            <x v="48"/>
          </reference>
          <reference field="4" count="1" selected="0">
            <x v="216"/>
          </reference>
          <reference field="5" count="1" selected="0">
            <x v="1412"/>
          </reference>
          <reference field="7" count="1">
            <x v="1151"/>
          </reference>
        </references>
      </pivotArea>
    </format>
    <format dxfId="722">
      <pivotArea dataOnly="0" labelOnly="1" outline="0" fieldPosition="0">
        <references count="5">
          <reference field="0" count="1" selected="0">
            <x v="4"/>
          </reference>
          <reference field="3" count="1" selected="0">
            <x v="48"/>
          </reference>
          <reference field="4" count="1" selected="0">
            <x v="216"/>
          </reference>
          <reference field="5" count="1" selected="0">
            <x v="1413"/>
          </reference>
          <reference field="7" count="1">
            <x v="1160"/>
          </reference>
        </references>
      </pivotArea>
    </format>
    <format dxfId="721">
      <pivotArea dataOnly="0" labelOnly="1" outline="0" fieldPosition="0">
        <references count="5">
          <reference field="0" count="1" selected="0">
            <x v="4"/>
          </reference>
          <reference field="3" count="1" selected="0">
            <x v="48"/>
          </reference>
          <reference field="4" count="1" selected="0">
            <x v="216"/>
          </reference>
          <reference field="5" count="1" selected="0">
            <x v="1414"/>
          </reference>
          <reference field="7" count="1">
            <x v="1161"/>
          </reference>
        </references>
      </pivotArea>
    </format>
    <format dxfId="720">
      <pivotArea dataOnly="0" labelOnly="1" outline="0" fieldPosition="0">
        <references count="5">
          <reference field="0" count="1" selected="0">
            <x v="4"/>
          </reference>
          <reference field="3" count="1" selected="0">
            <x v="48"/>
          </reference>
          <reference field="4" count="1" selected="0">
            <x v="216"/>
          </reference>
          <reference field="5" count="1" selected="0">
            <x v="1415"/>
          </reference>
          <reference field="7" count="1">
            <x v="1150"/>
          </reference>
        </references>
      </pivotArea>
    </format>
    <format dxfId="719">
      <pivotArea dataOnly="0" labelOnly="1" outline="0" fieldPosition="0">
        <references count="5">
          <reference field="0" count="1" selected="0">
            <x v="4"/>
          </reference>
          <reference field="3" count="1" selected="0">
            <x v="48"/>
          </reference>
          <reference field="4" count="1" selected="0">
            <x v="216"/>
          </reference>
          <reference field="5" count="1" selected="0">
            <x v="1416"/>
          </reference>
          <reference field="7" count="1">
            <x v="1156"/>
          </reference>
        </references>
      </pivotArea>
    </format>
    <format dxfId="718">
      <pivotArea dataOnly="0" labelOnly="1" outline="0" fieldPosition="0">
        <references count="5">
          <reference field="0" count="1" selected="0">
            <x v="4"/>
          </reference>
          <reference field="3" count="1" selected="0">
            <x v="48"/>
          </reference>
          <reference field="4" count="1" selected="0">
            <x v="216"/>
          </reference>
          <reference field="5" count="1" selected="0">
            <x v="1417"/>
          </reference>
          <reference field="7" count="1">
            <x v="1154"/>
          </reference>
        </references>
      </pivotArea>
    </format>
    <format dxfId="717">
      <pivotArea dataOnly="0" labelOnly="1" outline="0" fieldPosition="0">
        <references count="5">
          <reference field="0" count="1" selected="0">
            <x v="4"/>
          </reference>
          <reference field="3" count="1" selected="0">
            <x v="48"/>
          </reference>
          <reference field="4" count="1" selected="0">
            <x v="216"/>
          </reference>
          <reference field="5" count="1" selected="0">
            <x v="1418"/>
          </reference>
          <reference field="7" count="1">
            <x v="1153"/>
          </reference>
        </references>
      </pivotArea>
    </format>
    <format dxfId="716">
      <pivotArea dataOnly="0" labelOnly="1" outline="0" fieldPosition="0">
        <references count="5">
          <reference field="0" count="1" selected="0">
            <x v="4"/>
          </reference>
          <reference field="3" count="1" selected="0">
            <x v="48"/>
          </reference>
          <reference field="4" count="1" selected="0">
            <x v="216"/>
          </reference>
          <reference field="5" count="1" selected="0">
            <x v="1419"/>
          </reference>
          <reference field="7" count="1">
            <x v="1155"/>
          </reference>
        </references>
      </pivotArea>
    </format>
    <format dxfId="715">
      <pivotArea dataOnly="0" labelOnly="1" outline="0" fieldPosition="0">
        <references count="5">
          <reference field="0" count="1" selected="0">
            <x v="4"/>
          </reference>
          <reference field="3" count="1" selected="0">
            <x v="48"/>
          </reference>
          <reference field="4" count="1" selected="0">
            <x v="216"/>
          </reference>
          <reference field="5" count="1" selected="0">
            <x v="1420"/>
          </reference>
          <reference field="7" count="1">
            <x v="1159"/>
          </reference>
        </references>
      </pivotArea>
    </format>
    <format dxfId="714">
      <pivotArea dataOnly="0" labelOnly="1" outline="0" fieldPosition="0">
        <references count="5">
          <reference field="0" count="1" selected="0">
            <x v="4"/>
          </reference>
          <reference field="3" count="1" selected="0">
            <x v="48"/>
          </reference>
          <reference field="4" count="1" selected="0">
            <x v="216"/>
          </reference>
          <reference field="5" count="1" selected="0">
            <x v="1421"/>
          </reference>
          <reference field="7" count="1">
            <x v="1158"/>
          </reference>
        </references>
      </pivotArea>
    </format>
    <format dxfId="713">
      <pivotArea dataOnly="0" labelOnly="1" outline="0" fieldPosition="0">
        <references count="5">
          <reference field="0" count="1" selected="0">
            <x v="4"/>
          </reference>
          <reference field="3" count="1" selected="0">
            <x v="48"/>
          </reference>
          <reference field="4" count="1" selected="0">
            <x v="216"/>
          </reference>
          <reference field="5" count="1" selected="0">
            <x v="1423"/>
          </reference>
          <reference field="7" count="1">
            <x v="639"/>
          </reference>
        </references>
      </pivotArea>
    </format>
    <format dxfId="712">
      <pivotArea dataOnly="0" labelOnly="1" outline="0" fieldPosition="0">
        <references count="5">
          <reference field="0" count="1" selected="0">
            <x v="4"/>
          </reference>
          <reference field="3" count="1" selected="0">
            <x v="48"/>
          </reference>
          <reference field="4" count="1" selected="0">
            <x v="216"/>
          </reference>
          <reference field="5" count="1" selected="0">
            <x v="1587"/>
          </reference>
          <reference field="7" count="1">
            <x v="19"/>
          </reference>
        </references>
      </pivotArea>
    </format>
    <format dxfId="711">
      <pivotArea dataOnly="0" labelOnly="1" outline="0" fieldPosition="0">
        <references count="5">
          <reference field="0" count="1" selected="0">
            <x v="4"/>
          </reference>
          <reference field="3" count="1" selected="0">
            <x v="48"/>
          </reference>
          <reference field="4" count="1" selected="0">
            <x v="216"/>
          </reference>
          <reference field="5" count="1" selected="0">
            <x v="1629"/>
          </reference>
          <reference field="7" count="1">
            <x v="879"/>
          </reference>
        </references>
      </pivotArea>
    </format>
    <format dxfId="710">
      <pivotArea dataOnly="0" labelOnly="1" outline="0" fieldPosition="0">
        <references count="5">
          <reference field="0" count="1" selected="0">
            <x v="4"/>
          </reference>
          <reference field="3" count="1" selected="0">
            <x v="48"/>
          </reference>
          <reference field="4" count="1" selected="0">
            <x v="216"/>
          </reference>
          <reference field="5" count="1" selected="0">
            <x v="1630"/>
          </reference>
          <reference field="7" count="1">
            <x v="880"/>
          </reference>
        </references>
      </pivotArea>
    </format>
    <format dxfId="709">
      <pivotArea dataOnly="0" labelOnly="1" outline="0" fieldPosition="0">
        <references count="5">
          <reference field="0" count="1" selected="0">
            <x v="4"/>
          </reference>
          <reference field="3" count="1" selected="0">
            <x v="48"/>
          </reference>
          <reference field="4" count="1" selected="0">
            <x v="216"/>
          </reference>
          <reference field="5" count="1" selected="0">
            <x v="1638"/>
          </reference>
          <reference field="7" count="1">
            <x v="948"/>
          </reference>
        </references>
      </pivotArea>
    </format>
    <format dxfId="708">
      <pivotArea dataOnly="0" labelOnly="1" outline="0" fieldPosition="0">
        <references count="5">
          <reference field="0" count="1" selected="0">
            <x v="4"/>
          </reference>
          <reference field="3" count="1" selected="0">
            <x v="49"/>
          </reference>
          <reference field="4" count="1" selected="0">
            <x v="216"/>
          </reference>
          <reference field="5" count="1" selected="0">
            <x v="119"/>
          </reference>
          <reference field="7" count="1">
            <x v="1091"/>
          </reference>
        </references>
      </pivotArea>
    </format>
    <format dxfId="707">
      <pivotArea dataOnly="0" labelOnly="1" outline="0" fieldPosition="0">
        <references count="5">
          <reference field="0" count="1" selected="0">
            <x v="4"/>
          </reference>
          <reference field="3" count="1" selected="0">
            <x v="49"/>
          </reference>
          <reference field="4" count="1" selected="0">
            <x v="216"/>
          </reference>
          <reference field="5" count="1" selected="0">
            <x v="282"/>
          </reference>
          <reference field="7" count="1">
            <x v="755"/>
          </reference>
        </references>
      </pivotArea>
    </format>
    <format dxfId="706">
      <pivotArea dataOnly="0" labelOnly="1" outline="0" fieldPosition="0">
        <references count="5">
          <reference field="0" count="1" selected="0">
            <x v="4"/>
          </reference>
          <reference field="3" count="1" selected="0">
            <x v="49"/>
          </reference>
          <reference field="4" count="1" selected="0">
            <x v="216"/>
          </reference>
          <reference field="5" count="1" selected="0">
            <x v="359"/>
          </reference>
          <reference field="7" count="1">
            <x v="146"/>
          </reference>
        </references>
      </pivotArea>
    </format>
    <format dxfId="705">
      <pivotArea dataOnly="0" labelOnly="1" outline="0" fieldPosition="0">
        <references count="5">
          <reference field="0" count="1" selected="0">
            <x v="4"/>
          </reference>
          <reference field="3" count="1" selected="0">
            <x v="49"/>
          </reference>
          <reference field="4" count="1" selected="0">
            <x v="216"/>
          </reference>
          <reference field="5" count="1" selected="0">
            <x v="1424"/>
          </reference>
          <reference field="7" count="1">
            <x v="173"/>
          </reference>
        </references>
      </pivotArea>
    </format>
    <format dxfId="704">
      <pivotArea dataOnly="0" labelOnly="1" outline="0" fieldPosition="0">
        <references count="5">
          <reference field="0" count="1" selected="0">
            <x v="4"/>
          </reference>
          <reference field="3" count="1" selected="0">
            <x v="49"/>
          </reference>
          <reference field="4" count="1" selected="0">
            <x v="216"/>
          </reference>
          <reference field="5" count="1" selected="0">
            <x v="1425"/>
          </reference>
          <reference field="7" count="1">
            <x v="718"/>
          </reference>
        </references>
      </pivotArea>
    </format>
    <format dxfId="703">
      <pivotArea dataOnly="0" labelOnly="1" outline="0" fieldPosition="0">
        <references count="5">
          <reference field="0" count="1" selected="0">
            <x v="4"/>
          </reference>
          <reference field="3" count="1" selected="0">
            <x v="49"/>
          </reference>
          <reference field="4" count="1" selected="0">
            <x v="216"/>
          </reference>
          <reference field="5" count="1" selected="0">
            <x v="1426"/>
          </reference>
          <reference field="7" count="1">
            <x v="719"/>
          </reference>
        </references>
      </pivotArea>
    </format>
    <format dxfId="702">
      <pivotArea dataOnly="0" labelOnly="1" outline="0" fieldPosition="0">
        <references count="5">
          <reference field="0" count="1" selected="0">
            <x v="4"/>
          </reference>
          <reference field="3" count="1" selected="0">
            <x v="49"/>
          </reference>
          <reference field="4" count="1" selected="0">
            <x v="216"/>
          </reference>
          <reference field="5" count="1" selected="0">
            <x v="1427"/>
          </reference>
          <reference field="7" count="1">
            <x v="720"/>
          </reference>
        </references>
      </pivotArea>
    </format>
    <format dxfId="701">
      <pivotArea dataOnly="0" labelOnly="1" outline="0" fieldPosition="0">
        <references count="5">
          <reference field="0" count="1" selected="0">
            <x v="4"/>
          </reference>
          <reference field="3" count="1" selected="0">
            <x v="49"/>
          </reference>
          <reference field="4" count="1" selected="0">
            <x v="216"/>
          </reference>
          <reference field="5" count="1" selected="0">
            <x v="1454"/>
          </reference>
          <reference field="7" count="1">
            <x v="338"/>
          </reference>
        </references>
      </pivotArea>
    </format>
    <format dxfId="700">
      <pivotArea dataOnly="0" labelOnly="1" outline="0" fieldPosition="0">
        <references count="5">
          <reference field="0" count="1" selected="0">
            <x v="4"/>
          </reference>
          <reference field="3" count="1" selected="0">
            <x v="49"/>
          </reference>
          <reference field="4" count="1" selected="0">
            <x v="216"/>
          </reference>
          <reference field="5" count="1" selected="0">
            <x v="1455"/>
          </reference>
          <reference field="7" count="1">
            <x v="339"/>
          </reference>
        </references>
      </pivotArea>
    </format>
    <format dxfId="699">
      <pivotArea dataOnly="0" labelOnly="1" outline="0" fieldPosition="0">
        <references count="5">
          <reference field="0" count="1" selected="0">
            <x v="4"/>
          </reference>
          <reference field="3" count="1" selected="0">
            <x v="49"/>
          </reference>
          <reference field="4" count="1" selected="0">
            <x v="216"/>
          </reference>
          <reference field="5" count="1" selected="0">
            <x v="1456"/>
          </reference>
          <reference field="7" count="1">
            <x v="345"/>
          </reference>
        </references>
      </pivotArea>
    </format>
    <format dxfId="698">
      <pivotArea dataOnly="0" labelOnly="1" outline="0" fieldPosition="0">
        <references count="5">
          <reference field="0" count="1" selected="0">
            <x v="4"/>
          </reference>
          <reference field="3" count="1" selected="0">
            <x v="49"/>
          </reference>
          <reference field="4" count="1" selected="0">
            <x v="216"/>
          </reference>
          <reference field="5" count="1" selected="0">
            <x v="1460"/>
          </reference>
          <reference field="7" count="1">
            <x v="344"/>
          </reference>
        </references>
      </pivotArea>
    </format>
    <format dxfId="697">
      <pivotArea dataOnly="0" labelOnly="1" outline="0" fieldPosition="0">
        <references count="5">
          <reference field="0" count="1" selected="0">
            <x v="4"/>
          </reference>
          <reference field="3" count="1" selected="0">
            <x v="49"/>
          </reference>
          <reference field="4" count="1" selected="0">
            <x v="216"/>
          </reference>
          <reference field="5" count="1" selected="0">
            <x v="1461"/>
          </reference>
          <reference field="7" count="1">
            <x v="343"/>
          </reference>
        </references>
      </pivotArea>
    </format>
    <format dxfId="696">
      <pivotArea dataOnly="0" labelOnly="1" outline="0" fieldPosition="0">
        <references count="5">
          <reference field="0" count="1" selected="0">
            <x v="4"/>
          </reference>
          <reference field="3" count="1" selected="0">
            <x v="49"/>
          </reference>
          <reference field="4" count="1" selected="0">
            <x v="216"/>
          </reference>
          <reference field="5" count="1" selected="0">
            <x v="1462"/>
          </reference>
          <reference field="7" count="1">
            <x v="340"/>
          </reference>
        </references>
      </pivotArea>
    </format>
    <format dxfId="695">
      <pivotArea dataOnly="0" labelOnly="1" outline="0" fieldPosition="0">
        <references count="5">
          <reference field="0" count="1" selected="0">
            <x v="4"/>
          </reference>
          <reference field="3" count="1" selected="0">
            <x v="49"/>
          </reference>
          <reference field="4" count="1" selected="0">
            <x v="216"/>
          </reference>
          <reference field="5" count="1" selected="0">
            <x v="1639"/>
          </reference>
          <reference field="7" count="1">
            <x v="950"/>
          </reference>
        </references>
      </pivotArea>
    </format>
    <format dxfId="694">
      <pivotArea dataOnly="0" labelOnly="1" outline="0" fieldPosition="0">
        <references count="5">
          <reference field="0" count="1" selected="0">
            <x v="4"/>
          </reference>
          <reference field="3" count="1" selected="0">
            <x v="50"/>
          </reference>
          <reference field="4" count="1" selected="0">
            <x v="216"/>
          </reference>
          <reference field="5" count="1" selected="0">
            <x v="166"/>
          </reference>
          <reference field="7" count="1">
            <x v="1086"/>
          </reference>
        </references>
      </pivotArea>
    </format>
    <format dxfId="693">
      <pivotArea dataOnly="0" labelOnly="1" outline="0" fieldPosition="0">
        <references count="5">
          <reference field="0" count="1" selected="0">
            <x v="4"/>
          </reference>
          <reference field="3" count="1" selected="0">
            <x v="50"/>
          </reference>
          <reference field="4" count="1" selected="0">
            <x v="216"/>
          </reference>
          <reference field="5" count="1" selected="0">
            <x v="1428"/>
          </reference>
          <reference field="7" count="1">
            <x v="134"/>
          </reference>
        </references>
      </pivotArea>
    </format>
    <format dxfId="692">
      <pivotArea dataOnly="0" labelOnly="1" outline="0" fieldPosition="0">
        <references count="5">
          <reference field="0" count="1" selected="0">
            <x v="4"/>
          </reference>
          <reference field="3" count="1" selected="0">
            <x v="50"/>
          </reference>
          <reference field="4" count="1" selected="0">
            <x v="216"/>
          </reference>
          <reference field="5" count="1" selected="0">
            <x v="1429"/>
          </reference>
          <reference field="7" count="1">
            <x v="382"/>
          </reference>
        </references>
      </pivotArea>
    </format>
    <format dxfId="691">
      <pivotArea dataOnly="0" labelOnly="1" outline="0" fieldPosition="0">
        <references count="5">
          <reference field="0" count="1" selected="0">
            <x v="4"/>
          </reference>
          <reference field="3" count="1" selected="0">
            <x v="50"/>
          </reference>
          <reference field="4" count="1" selected="0">
            <x v="216"/>
          </reference>
          <reference field="5" count="1" selected="0">
            <x v="1430"/>
          </reference>
          <reference field="7" count="1">
            <x v="381"/>
          </reference>
        </references>
      </pivotArea>
    </format>
    <format dxfId="690">
      <pivotArea dataOnly="0" labelOnly="1" outline="0" fieldPosition="0">
        <references count="5">
          <reference field="0" count="1" selected="0">
            <x v="4"/>
          </reference>
          <reference field="3" count="1" selected="0">
            <x v="51"/>
          </reference>
          <reference field="4" count="1" selected="0">
            <x v="216"/>
          </reference>
          <reference field="5" count="1" selected="0">
            <x v="148"/>
          </reference>
          <reference field="7" count="1">
            <x v="977"/>
          </reference>
        </references>
      </pivotArea>
    </format>
    <format dxfId="689">
      <pivotArea dataOnly="0" labelOnly="1" outline="0" fieldPosition="0">
        <references count="5">
          <reference field="0" count="1" selected="0">
            <x v="4"/>
          </reference>
          <reference field="3" count="1" selected="0">
            <x v="51"/>
          </reference>
          <reference field="4" count="1" selected="0">
            <x v="216"/>
          </reference>
          <reference field="5" count="1" selected="0">
            <x v="169"/>
          </reference>
          <reference field="7" count="1">
            <x v="1090"/>
          </reference>
        </references>
      </pivotArea>
    </format>
    <format dxfId="688">
      <pivotArea dataOnly="0" labelOnly="1" outline="0" fieldPosition="0">
        <references count="5">
          <reference field="0" count="1" selected="0">
            <x v="4"/>
          </reference>
          <reference field="3" count="1" selected="0">
            <x v="51"/>
          </reference>
          <reference field="4" count="1" selected="0">
            <x v="216"/>
          </reference>
          <reference field="5" count="1" selected="0">
            <x v="1431"/>
          </reference>
          <reference field="7" count="1">
            <x v="820"/>
          </reference>
        </references>
      </pivotArea>
    </format>
    <format dxfId="687">
      <pivotArea dataOnly="0" labelOnly="1" outline="0" fieldPosition="0">
        <references count="5">
          <reference field="0" count="1" selected="0">
            <x v="4"/>
          </reference>
          <reference field="3" count="1" selected="0">
            <x v="51"/>
          </reference>
          <reference field="4" count="1" selected="0">
            <x v="216"/>
          </reference>
          <reference field="5" count="1" selected="0">
            <x v="1432"/>
          </reference>
          <reference field="7" count="1">
            <x v="207"/>
          </reference>
        </references>
      </pivotArea>
    </format>
    <format dxfId="686">
      <pivotArea dataOnly="0" labelOnly="1" outline="0" fieldPosition="0">
        <references count="5">
          <reference field="0" count="1" selected="0">
            <x v="4"/>
          </reference>
          <reference field="3" count="1" selected="0">
            <x v="51"/>
          </reference>
          <reference field="4" count="1" selected="0">
            <x v="216"/>
          </reference>
          <reference field="5" count="1" selected="0">
            <x v="1433"/>
          </reference>
          <reference field="7" count="1">
            <x v="822"/>
          </reference>
        </references>
      </pivotArea>
    </format>
    <format dxfId="685">
      <pivotArea dataOnly="0" labelOnly="1" outline="0" fieldPosition="0">
        <references count="5">
          <reference field="0" count="1" selected="0">
            <x v="4"/>
          </reference>
          <reference field="3" count="1" selected="0">
            <x v="51"/>
          </reference>
          <reference field="4" count="1" selected="0">
            <x v="216"/>
          </reference>
          <reference field="5" count="1" selected="0">
            <x v="1434"/>
          </reference>
          <reference field="7" count="1">
            <x v="821"/>
          </reference>
        </references>
      </pivotArea>
    </format>
    <format dxfId="684">
      <pivotArea dataOnly="0" labelOnly="1" outline="0" fieldPosition="0">
        <references count="5">
          <reference field="0" count="1" selected="0">
            <x v="4"/>
          </reference>
          <reference field="3" count="1" selected="0">
            <x v="51"/>
          </reference>
          <reference field="4" count="1" selected="0">
            <x v="216"/>
          </reference>
          <reference field="5" count="1" selected="0">
            <x v="1435"/>
          </reference>
          <reference field="7" count="1">
            <x v="1049"/>
          </reference>
        </references>
      </pivotArea>
    </format>
    <format dxfId="683">
      <pivotArea dataOnly="0" labelOnly="1" outline="0" fieldPosition="0">
        <references count="5">
          <reference field="0" count="1" selected="0">
            <x v="4"/>
          </reference>
          <reference field="3" count="1" selected="0">
            <x v="52"/>
          </reference>
          <reference field="4" count="1" selected="0">
            <x v="216"/>
          </reference>
          <reference field="5" count="1" selected="0">
            <x v="127"/>
          </reference>
          <reference field="7" count="1">
            <x v="1180"/>
          </reference>
        </references>
      </pivotArea>
    </format>
    <format dxfId="682">
      <pivotArea dataOnly="0" labelOnly="1" outline="0" fieldPosition="0">
        <references count="5">
          <reference field="0" count="1" selected="0">
            <x v="4"/>
          </reference>
          <reference field="3" count="1" selected="0">
            <x v="52"/>
          </reference>
          <reference field="4" count="1" selected="0">
            <x v="216"/>
          </reference>
          <reference field="5" count="1" selected="0">
            <x v="279"/>
          </reference>
          <reference field="7" count="1">
            <x v="752"/>
          </reference>
        </references>
      </pivotArea>
    </format>
    <format dxfId="681">
      <pivotArea dataOnly="0" labelOnly="1" outline="0" fieldPosition="0">
        <references count="5">
          <reference field="0" count="1" selected="0">
            <x v="4"/>
          </reference>
          <reference field="3" count="1" selected="0">
            <x v="52"/>
          </reference>
          <reference field="4" count="1" selected="0">
            <x v="216"/>
          </reference>
          <reference field="5" count="1" selected="0">
            <x v="302"/>
          </reference>
          <reference field="7" count="1">
            <x v="1070"/>
          </reference>
        </references>
      </pivotArea>
    </format>
    <format dxfId="680">
      <pivotArea dataOnly="0" labelOnly="1" outline="0" fieldPosition="0">
        <references count="5">
          <reference field="0" count="1" selected="0">
            <x v="4"/>
          </reference>
          <reference field="3" count="1" selected="0">
            <x v="52"/>
          </reference>
          <reference field="4" count="1" selected="0">
            <x v="216"/>
          </reference>
          <reference field="5" count="1" selected="0">
            <x v="1436"/>
          </reference>
          <reference field="7" count="1">
            <x v="137"/>
          </reference>
        </references>
      </pivotArea>
    </format>
    <format dxfId="679">
      <pivotArea dataOnly="0" labelOnly="1" outline="0" fieldPosition="0">
        <references count="5">
          <reference field="0" count="1" selected="0">
            <x v="4"/>
          </reference>
          <reference field="3" count="1" selected="0">
            <x v="52"/>
          </reference>
          <reference field="4" count="1" selected="0">
            <x v="216"/>
          </reference>
          <reference field="5" count="1" selected="0">
            <x v="1437"/>
          </reference>
          <reference field="7" count="1">
            <x v="415"/>
          </reference>
        </references>
      </pivotArea>
    </format>
    <format dxfId="678">
      <pivotArea dataOnly="0" labelOnly="1" outline="0" fieldPosition="0">
        <references count="5">
          <reference field="0" count="1" selected="0">
            <x v="4"/>
          </reference>
          <reference field="3" count="1" selected="0">
            <x v="52"/>
          </reference>
          <reference field="4" count="1" selected="0">
            <x v="216"/>
          </reference>
          <reference field="5" count="1" selected="0">
            <x v="1438"/>
          </reference>
          <reference field="7" count="1">
            <x v="1032"/>
          </reference>
        </references>
      </pivotArea>
    </format>
    <format dxfId="677">
      <pivotArea dataOnly="0" labelOnly="1" outline="0" fieldPosition="0">
        <references count="5">
          <reference field="0" count="1" selected="0">
            <x v="4"/>
          </reference>
          <reference field="3" count="1" selected="0">
            <x v="52"/>
          </reference>
          <reference field="4" count="1" selected="0">
            <x v="216"/>
          </reference>
          <reference field="5" count="1" selected="0">
            <x v="1439"/>
          </reference>
          <reference field="7" count="1">
            <x v="416"/>
          </reference>
        </references>
      </pivotArea>
    </format>
    <format dxfId="676">
      <pivotArea dataOnly="0" labelOnly="1" outline="0" fieldPosition="0">
        <references count="5">
          <reference field="0" count="1" selected="0">
            <x v="4"/>
          </reference>
          <reference field="3" count="1" selected="0">
            <x v="52"/>
          </reference>
          <reference field="4" count="1" selected="0">
            <x v="216"/>
          </reference>
          <reference field="5" count="1" selected="0">
            <x v="1440"/>
          </reference>
          <reference field="7" count="1">
            <x v="413"/>
          </reference>
        </references>
      </pivotArea>
    </format>
    <format dxfId="675">
      <pivotArea dataOnly="0" labelOnly="1" outline="0" fieldPosition="0">
        <references count="5">
          <reference field="0" count="1" selected="0">
            <x v="4"/>
          </reference>
          <reference field="3" count="1" selected="0">
            <x v="52"/>
          </reference>
          <reference field="4" count="1" selected="0">
            <x v="216"/>
          </reference>
          <reference field="5" count="1" selected="0">
            <x v="1441"/>
          </reference>
          <reference field="7" count="1">
            <x v="562"/>
          </reference>
        </references>
      </pivotArea>
    </format>
    <format dxfId="674">
      <pivotArea dataOnly="0" labelOnly="1" outline="0" fieldPosition="0">
        <references count="5">
          <reference field="0" count="1" selected="0">
            <x v="4"/>
          </reference>
          <reference field="3" count="1" selected="0">
            <x v="52"/>
          </reference>
          <reference field="4" count="1" selected="0">
            <x v="216"/>
          </reference>
          <reference field="5" count="1" selected="0">
            <x v="1442"/>
          </reference>
          <reference field="7" count="1">
            <x v="625"/>
          </reference>
        </references>
      </pivotArea>
    </format>
    <format dxfId="673">
      <pivotArea dataOnly="0" labelOnly="1" outline="0" fieldPosition="0">
        <references count="5">
          <reference field="0" count="1" selected="0">
            <x v="4"/>
          </reference>
          <reference field="3" count="1" selected="0">
            <x v="52"/>
          </reference>
          <reference field="4" count="1" selected="0">
            <x v="216"/>
          </reference>
          <reference field="5" count="1" selected="0">
            <x v="1443"/>
          </reference>
          <reference field="7" count="1">
            <x v="809"/>
          </reference>
        </references>
      </pivotArea>
    </format>
    <format dxfId="672">
      <pivotArea dataOnly="0" labelOnly="1" outline="0" fieldPosition="0">
        <references count="5">
          <reference field="0" count="1" selected="0">
            <x v="4"/>
          </reference>
          <reference field="3" count="1" selected="0">
            <x v="52"/>
          </reference>
          <reference field="4" count="1" selected="0">
            <x v="216"/>
          </reference>
          <reference field="5" count="1" selected="0">
            <x v="1444"/>
          </reference>
          <reference field="7" count="1">
            <x v="108"/>
          </reference>
        </references>
      </pivotArea>
    </format>
    <format dxfId="671">
      <pivotArea dataOnly="0" labelOnly="1" outline="0" fieldPosition="0">
        <references count="5">
          <reference field="0" count="1" selected="0">
            <x v="4"/>
          </reference>
          <reference field="3" count="1" selected="0">
            <x v="52"/>
          </reference>
          <reference field="4" count="1" selected="0">
            <x v="216"/>
          </reference>
          <reference field="5" count="1" selected="0">
            <x v="1445"/>
          </reference>
          <reference field="7" count="1">
            <x v="643"/>
          </reference>
        </references>
      </pivotArea>
    </format>
    <format dxfId="670">
      <pivotArea dataOnly="0" labelOnly="1" outline="0" fieldPosition="0">
        <references count="5">
          <reference field="0" count="1" selected="0">
            <x v="4"/>
          </reference>
          <reference field="3" count="1" selected="0">
            <x v="52"/>
          </reference>
          <reference field="4" count="1" selected="0">
            <x v="216"/>
          </reference>
          <reference field="5" count="1" selected="0">
            <x v="1446"/>
          </reference>
          <reference field="7" count="1">
            <x v="558"/>
          </reference>
        </references>
      </pivotArea>
    </format>
    <format dxfId="669">
      <pivotArea dataOnly="0" labelOnly="1" outline="0" fieldPosition="0">
        <references count="5">
          <reference field="0" count="1" selected="0">
            <x v="4"/>
          </reference>
          <reference field="3" count="1" selected="0">
            <x v="52"/>
          </reference>
          <reference field="4" count="1" selected="0">
            <x v="216"/>
          </reference>
          <reference field="5" count="1" selected="0">
            <x v="1447"/>
          </reference>
          <reference field="7" count="1">
            <x v="1148"/>
          </reference>
        </references>
      </pivotArea>
    </format>
    <format dxfId="668">
      <pivotArea dataOnly="0" labelOnly="1" outline="0" fieldPosition="0">
        <references count="5">
          <reference field="0" count="1" selected="0">
            <x v="4"/>
          </reference>
          <reference field="3" count="1" selected="0">
            <x v="52"/>
          </reference>
          <reference field="4" count="1" selected="0">
            <x v="216"/>
          </reference>
          <reference field="5" count="1" selected="0">
            <x v="1448"/>
          </reference>
          <reference field="7" count="1">
            <x v="336"/>
          </reference>
        </references>
      </pivotArea>
    </format>
    <format dxfId="667">
      <pivotArea dataOnly="0" labelOnly="1" outline="0" fieldPosition="0">
        <references count="5">
          <reference field="0" count="1" selected="0">
            <x v="4"/>
          </reference>
          <reference field="3" count="1" selected="0">
            <x v="52"/>
          </reference>
          <reference field="4" count="1" selected="0">
            <x v="216"/>
          </reference>
          <reference field="5" count="1" selected="0">
            <x v="1449"/>
          </reference>
          <reference field="7" count="1">
            <x v="367"/>
          </reference>
        </references>
      </pivotArea>
    </format>
    <format dxfId="666">
      <pivotArea dataOnly="0" labelOnly="1" outline="0" fieldPosition="0">
        <references count="5">
          <reference field="0" count="1" selected="0">
            <x v="4"/>
          </reference>
          <reference field="3" count="1" selected="0">
            <x v="52"/>
          </reference>
          <reference field="4" count="1" selected="0">
            <x v="216"/>
          </reference>
          <reference field="5" count="1" selected="0">
            <x v="1450"/>
          </reference>
          <reference field="7" count="1">
            <x v="417"/>
          </reference>
        </references>
      </pivotArea>
    </format>
    <format dxfId="665">
      <pivotArea dataOnly="0" labelOnly="1" outline="0" fieldPosition="0">
        <references count="5">
          <reference field="0" count="1" selected="0">
            <x v="4"/>
          </reference>
          <reference field="3" count="1" selected="0">
            <x v="53"/>
          </reference>
          <reference field="4" count="1" selected="0">
            <x v="25"/>
          </reference>
          <reference field="5" count="1" selected="0">
            <x v="203"/>
          </reference>
          <reference field="7" count="1">
            <x v="1418"/>
          </reference>
        </references>
      </pivotArea>
    </format>
    <format dxfId="664">
      <pivotArea dataOnly="0" labelOnly="1" outline="0" fieldPosition="0">
        <references count="5">
          <reference field="0" count="1" selected="0">
            <x v="4"/>
          </reference>
          <reference field="3" count="1" selected="0">
            <x v="53"/>
          </reference>
          <reference field="4" count="1" selected="0">
            <x v="25"/>
          </reference>
          <reference field="5" count="1" selected="0">
            <x v="302"/>
          </reference>
          <reference field="7" count="1">
            <x v="1070"/>
          </reference>
        </references>
      </pivotArea>
    </format>
    <format dxfId="663">
      <pivotArea dataOnly="0" labelOnly="1" outline="0" fieldPosition="0">
        <references count="5">
          <reference field="0" count="1" selected="0">
            <x v="4"/>
          </reference>
          <reference field="3" count="1" selected="0">
            <x v="53"/>
          </reference>
          <reference field="4" count="1" selected="0">
            <x v="25"/>
          </reference>
          <reference field="5" count="1" selected="0">
            <x v="1466"/>
          </reference>
          <reference field="7" count="1">
            <x v="151"/>
          </reference>
        </references>
      </pivotArea>
    </format>
    <format dxfId="662">
      <pivotArea dataOnly="0" labelOnly="1" outline="0" fieldPosition="0">
        <references count="5">
          <reference field="0" count="1" selected="0">
            <x v="4"/>
          </reference>
          <reference field="3" count="1" selected="0">
            <x v="53"/>
          </reference>
          <reference field="4" count="1" selected="0">
            <x v="25"/>
          </reference>
          <reference field="5" count="1" selected="0">
            <x v="1467"/>
          </reference>
          <reference field="7" count="1">
            <x v="509"/>
          </reference>
        </references>
      </pivotArea>
    </format>
    <format dxfId="661">
      <pivotArea dataOnly="0" labelOnly="1" outline="0" fieldPosition="0">
        <references count="5">
          <reference field="0" count="1" selected="0">
            <x v="4"/>
          </reference>
          <reference field="3" count="1" selected="0">
            <x v="53"/>
          </reference>
          <reference field="4" count="1" selected="0">
            <x v="26"/>
          </reference>
          <reference field="5" count="1" selected="0">
            <x v="349"/>
          </reference>
          <reference field="7" count="1">
            <x v="117"/>
          </reference>
        </references>
      </pivotArea>
    </format>
    <format dxfId="660">
      <pivotArea dataOnly="0" labelOnly="1" outline="0" fieldPosition="0">
        <references count="5">
          <reference field="0" count="1" selected="0">
            <x v="4"/>
          </reference>
          <reference field="3" count="1" selected="0">
            <x v="53"/>
          </reference>
          <reference field="4" count="1" selected="0">
            <x v="26"/>
          </reference>
          <reference field="5" count="1" selected="0">
            <x v="350"/>
          </reference>
          <reference field="7" count="1">
            <x v="1024"/>
          </reference>
        </references>
      </pivotArea>
    </format>
    <format dxfId="659">
      <pivotArea dataOnly="0" labelOnly="1" outline="0" fieldPosition="0">
        <references count="5">
          <reference field="0" count="1" selected="0">
            <x v="4"/>
          </reference>
          <reference field="3" count="1" selected="0">
            <x v="53"/>
          </reference>
          <reference field="4" count="1" selected="0">
            <x v="26"/>
          </reference>
          <reference field="5" count="1" selected="0">
            <x v="387"/>
          </reference>
          <reference field="7" count="1">
            <x v="114"/>
          </reference>
        </references>
      </pivotArea>
    </format>
    <format dxfId="658">
      <pivotArea dataOnly="0" labelOnly="1" outline="0" fieldPosition="0">
        <references count="5">
          <reference field="0" count="1" selected="0">
            <x v="4"/>
          </reference>
          <reference field="3" count="1" selected="0">
            <x v="53"/>
          </reference>
          <reference field="4" count="1" selected="0">
            <x v="168"/>
          </reference>
          <reference field="5" count="1" selected="0">
            <x v="1523"/>
          </reference>
          <reference field="7" count="1">
            <x v="301"/>
          </reference>
        </references>
      </pivotArea>
    </format>
    <format dxfId="657">
      <pivotArea dataOnly="0" labelOnly="1" outline="0" fieldPosition="0">
        <references count="5">
          <reference field="0" count="1" selected="0">
            <x v="4"/>
          </reference>
          <reference field="3" count="1" selected="0">
            <x v="53"/>
          </reference>
          <reference field="4" count="1" selected="0">
            <x v="168"/>
          </reference>
          <reference field="5" count="1" selected="0">
            <x v="1524"/>
          </reference>
          <reference field="7" count="1">
            <x v="333"/>
          </reference>
        </references>
      </pivotArea>
    </format>
    <format dxfId="656">
      <pivotArea dataOnly="0" labelOnly="1" outline="0" fieldPosition="0">
        <references count="5">
          <reference field="0" count="1" selected="0">
            <x v="4"/>
          </reference>
          <reference field="3" count="1" selected="0">
            <x v="53"/>
          </reference>
          <reference field="4" count="1" selected="0">
            <x v="168"/>
          </reference>
          <reference field="5" count="1" selected="0">
            <x v="1626"/>
          </reference>
          <reference field="7" count="1">
            <x v="1474"/>
          </reference>
        </references>
      </pivotArea>
    </format>
    <format dxfId="655">
      <pivotArea dataOnly="0" labelOnly="1" outline="0" fieldPosition="0">
        <references count="5">
          <reference field="0" count="1" selected="0">
            <x v="4"/>
          </reference>
          <reference field="3" count="1" selected="0">
            <x v="53"/>
          </reference>
          <reference field="4" count="1" selected="0">
            <x v="172"/>
          </reference>
          <reference field="5" count="1" selected="0">
            <x v="1522"/>
          </reference>
          <reference field="7" count="1">
            <x v="334"/>
          </reference>
        </references>
      </pivotArea>
    </format>
    <format dxfId="654">
      <pivotArea dataOnly="0" labelOnly="1" outline="0" fieldPosition="0">
        <references count="5">
          <reference field="0" count="1" selected="0">
            <x v="4"/>
          </reference>
          <reference field="3" count="1" selected="0">
            <x v="53"/>
          </reference>
          <reference field="4" count="1" selected="0">
            <x v="172"/>
          </reference>
          <reference field="5" count="1" selected="0">
            <x v="1527"/>
          </reference>
          <reference field="7" count="1">
            <x v="305"/>
          </reference>
        </references>
      </pivotArea>
    </format>
    <format dxfId="653">
      <pivotArea dataOnly="0" labelOnly="1" outline="0" fieldPosition="0">
        <references count="5">
          <reference field="0" count="1" selected="0">
            <x v="4"/>
          </reference>
          <reference field="3" count="1" selected="0">
            <x v="53"/>
          </reference>
          <reference field="4" count="1" selected="0">
            <x v="172"/>
          </reference>
          <reference field="5" count="1" selected="0">
            <x v="1628"/>
          </reference>
          <reference field="7" count="1">
            <x v="1473"/>
          </reference>
        </references>
      </pivotArea>
    </format>
    <format dxfId="652">
      <pivotArea dataOnly="0" labelOnly="1" outline="0" fieldPosition="0">
        <references count="5">
          <reference field="0" count="1" selected="0">
            <x v="4"/>
          </reference>
          <reference field="3" count="1" selected="0">
            <x v="53"/>
          </reference>
          <reference field="4" count="1" selected="0">
            <x v="176"/>
          </reference>
          <reference field="5" count="1" selected="0">
            <x v="119"/>
          </reference>
          <reference field="7" count="1">
            <x v="1091"/>
          </reference>
        </references>
      </pivotArea>
    </format>
    <format dxfId="651">
      <pivotArea dataOnly="0" labelOnly="1" outline="0" fieldPosition="0">
        <references count="5">
          <reference field="0" count="1" selected="0">
            <x v="4"/>
          </reference>
          <reference field="3" count="1" selected="0">
            <x v="53"/>
          </reference>
          <reference field="4" count="1" selected="0">
            <x v="176"/>
          </reference>
          <reference field="5" count="1" selected="0">
            <x v="282"/>
          </reference>
          <reference field="7" count="1">
            <x v="755"/>
          </reference>
        </references>
      </pivotArea>
    </format>
    <format dxfId="650">
      <pivotArea dataOnly="0" labelOnly="1" outline="0" fieldPosition="0">
        <references count="5">
          <reference field="0" count="1" selected="0">
            <x v="4"/>
          </reference>
          <reference field="3" count="1" selected="0">
            <x v="53"/>
          </reference>
          <reference field="4" count="1" selected="0">
            <x v="176"/>
          </reference>
          <reference field="5" count="1" selected="0">
            <x v="359"/>
          </reference>
          <reference field="7" count="1">
            <x v="146"/>
          </reference>
        </references>
      </pivotArea>
    </format>
    <format dxfId="649">
      <pivotArea dataOnly="0" labelOnly="1" outline="0" fieldPosition="0">
        <references count="5">
          <reference field="0" count="1" selected="0">
            <x v="4"/>
          </reference>
          <reference field="3" count="1" selected="0">
            <x v="53"/>
          </reference>
          <reference field="4" count="1" selected="0">
            <x v="176"/>
          </reference>
          <reference field="5" count="1" selected="0">
            <x v="1453"/>
          </reference>
          <reference field="7" count="1">
            <x v="346"/>
          </reference>
        </references>
      </pivotArea>
    </format>
    <format dxfId="648">
      <pivotArea dataOnly="0" labelOnly="1" outline="0" fieldPosition="0">
        <references count="5">
          <reference field="0" count="1" selected="0">
            <x v="4"/>
          </reference>
          <reference field="3" count="1" selected="0">
            <x v="53"/>
          </reference>
          <reference field="4" count="1" selected="0">
            <x v="176"/>
          </reference>
          <reference field="5" count="1" selected="0">
            <x v="1454"/>
          </reference>
          <reference field="7" count="1">
            <x v="338"/>
          </reference>
        </references>
      </pivotArea>
    </format>
    <format dxfId="647">
      <pivotArea dataOnly="0" labelOnly="1" outline="0" fieldPosition="0">
        <references count="5">
          <reference field="0" count="1" selected="0">
            <x v="4"/>
          </reference>
          <reference field="3" count="1" selected="0">
            <x v="53"/>
          </reference>
          <reference field="4" count="1" selected="0">
            <x v="176"/>
          </reference>
          <reference field="5" count="1" selected="0">
            <x v="1455"/>
          </reference>
          <reference field="7" count="1">
            <x v="339"/>
          </reference>
        </references>
      </pivotArea>
    </format>
    <format dxfId="646">
      <pivotArea dataOnly="0" labelOnly="1" outline="0" fieldPosition="0">
        <references count="5">
          <reference field="0" count="1" selected="0">
            <x v="4"/>
          </reference>
          <reference field="3" count="1" selected="0">
            <x v="53"/>
          </reference>
          <reference field="4" count="1" selected="0">
            <x v="176"/>
          </reference>
          <reference field="5" count="1" selected="0">
            <x v="1456"/>
          </reference>
          <reference field="7" count="1">
            <x v="345"/>
          </reference>
        </references>
      </pivotArea>
    </format>
    <format dxfId="645">
      <pivotArea dataOnly="0" labelOnly="1" outline="0" fieldPosition="0">
        <references count="5">
          <reference field="0" count="1" selected="0">
            <x v="4"/>
          </reference>
          <reference field="3" count="1" selected="0">
            <x v="53"/>
          </reference>
          <reference field="4" count="1" selected="0">
            <x v="176"/>
          </reference>
          <reference field="5" count="1" selected="0">
            <x v="1457"/>
          </reference>
          <reference field="7" count="1">
            <x v="337"/>
          </reference>
        </references>
      </pivotArea>
    </format>
    <format dxfId="644">
      <pivotArea dataOnly="0" labelOnly="1" outline="0" fieldPosition="0">
        <references count="5">
          <reference field="0" count="1" selected="0">
            <x v="4"/>
          </reference>
          <reference field="3" count="1" selected="0">
            <x v="53"/>
          </reference>
          <reference field="4" count="1" selected="0">
            <x v="176"/>
          </reference>
          <reference field="5" count="1" selected="0">
            <x v="1458"/>
          </reference>
          <reference field="7" count="1">
            <x v="341"/>
          </reference>
        </references>
      </pivotArea>
    </format>
    <format dxfId="643">
      <pivotArea dataOnly="0" labelOnly="1" outline="0" fieldPosition="0">
        <references count="5">
          <reference field="0" count="1" selected="0">
            <x v="4"/>
          </reference>
          <reference field="3" count="1" selected="0">
            <x v="53"/>
          </reference>
          <reference field="4" count="1" selected="0">
            <x v="176"/>
          </reference>
          <reference field="5" count="1" selected="0">
            <x v="1459"/>
          </reference>
          <reference field="7" count="1">
            <x v="342"/>
          </reference>
        </references>
      </pivotArea>
    </format>
    <format dxfId="642">
      <pivotArea dataOnly="0" labelOnly="1" outline="0" fieldPosition="0">
        <references count="5">
          <reference field="0" count="1" selected="0">
            <x v="4"/>
          </reference>
          <reference field="3" count="1" selected="0">
            <x v="53"/>
          </reference>
          <reference field="4" count="1" selected="0">
            <x v="176"/>
          </reference>
          <reference field="5" count="1" selected="0">
            <x v="1460"/>
          </reference>
          <reference field="7" count="1">
            <x v="344"/>
          </reference>
        </references>
      </pivotArea>
    </format>
    <format dxfId="641">
      <pivotArea dataOnly="0" labelOnly="1" outline="0" fieldPosition="0">
        <references count="5">
          <reference field="0" count="1" selected="0">
            <x v="4"/>
          </reference>
          <reference field="3" count="1" selected="0">
            <x v="53"/>
          </reference>
          <reference field="4" count="1" selected="0">
            <x v="176"/>
          </reference>
          <reference field="5" count="1" selected="0">
            <x v="1461"/>
          </reference>
          <reference field="7" count="1">
            <x v="343"/>
          </reference>
        </references>
      </pivotArea>
    </format>
    <format dxfId="640">
      <pivotArea dataOnly="0" labelOnly="1" outline="0" fieldPosition="0">
        <references count="5">
          <reference field="0" count="1" selected="0">
            <x v="4"/>
          </reference>
          <reference field="3" count="1" selected="0">
            <x v="53"/>
          </reference>
          <reference field="4" count="1" selected="0">
            <x v="176"/>
          </reference>
          <reference field="5" count="1" selected="0">
            <x v="1462"/>
          </reference>
          <reference field="7" count="1">
            <x v="340"/>
          </reference>
        </references>
      </pivotArea>
    </format>
    <format dxfId="639">
      <pivotArea dataOnly="0" labelOnly="1" outline="0" fieldPosition="0">
        <references count="5">
          <reference field="0" count="1" selected="0">
            <x v="4"/>
          </reference>
          <reference field="3" count="1" selected="0">
            <x v="53"/>
          </reference>
          <reference field="4" count="1" selected="0">
            <x v="176"/>
          </reference>
          <reference field="5" count="1" selected="0">
            <x v="1639"/>
          </reference>
          <reference field="7" count="1">
            <x v="950"/>
          </reference>
        </references>
      </pivotArea>
    </format>
    <format dxfId="638">
      <pivotArea dataOnly="0" labelOnly="1" outline="0" fieldPosition="0">
        <references count="5">
          <reference field="0" count="1" selected="0">
            <x v="4"/>
          </reference>
          <reference field="3" count="1" selected="0">
            <x v="53"/>
          </reference>
          <reference field="4" count="1" selected="0">
            <x v="216"/>
          </reference>
          <reference field="5" count="1" selected="0">
            <x v="119"/>
          </reference>
          <reference field="7" count="1">
            <x v="1091"/>
          </reference>
        </references>
      </pivotArea>
    </format>
    <format dxfId="637">
      <pivotArea dataOnly="0" labelOnly="1" outline="0" fieldPosition="0">
        <references count="5">
          <reference field="0" count="1" selected="0">
            <x v="4"/>
          </reference>
          <reference field="3" count="1" selected="0">
            <x v="53"/>
          </reference>
          <reference field="4" count="1" selected="0">
            <x v="216"/>
          </reference>
          <reference field="5" count="1" selected="0">
            <x v="137"/>
          </reference>
          <reference field="7" count="1">
            <x v="581"/>
          </reference>
        </references>
      </pivotArea>
    </format>
    <format dxfId="636">
      <pivotArea dataOnly="0" labelOnly="1" outline="0" fieldPosition="0">
        <references count="5">
          <reference field="0" count="1" selected="0">
            <x v="4"/>
          </reference>
          <reference field="3" count="1" selected="0">
            <x v="53"/>
          </reference>
          <reference field="4" count="1" selected="0">
            <x v="216"/>
          </reference>
          <reference field="5" count="1" selected="0">
            <x v="148"/>
          </reference>
          <reference field="7" count="1">
            <x v="977"/>
          </reference>
        </references>
      </pivotArea>
    </format>
    <format dxfId="635">
      <pivotArea dataOnly="0" labelOnly="1" outline="0" fieldPosition="0">
        <references count="5">
          <reference field="0" count="1" selected="0">
            <x v="4"/>
          </reference>
          <reference field="3" count="1" selected="0">
            <x v="53"/>
          </reference>
          <reference field="4" count="1" selected="0">
            <x v="216"/>
          </reference>
          <reference field="5" count="1" selected="0">
            <x v="167"/>
          </reference>
          <reference field="7" count="1">
            <x v="1088"/>
          </reference>
        </references>
      </pivotArea>
    </format>
    <format dxfId="634">
      <pivotArea dataOnly="0" labelOnly="1" outline="0" fieldPosition="0">
        <references count="5">
          <reference field="0" count="1" selected="0">
            <x v="4"/>
          </reference>
          <reference field="3" count="1" selected="0">
            <x v="53"/>
          </reference>
          <reference field="4" count="1" selected="0">
            <x v="216"/>
          </reference>
          <reference field="5" count="1" selected="0">
            <x v="206"/>
          </reference>
          <reference field="7" count="1">
            <x v="1428"/>
          </reference>
        </references>
      </pivotArea>
    </format>
    <format dxfId="633">
      <pivotArea dataOnly="0" labelOnly="1" outline="0" fieldPosition="0">
        <references count="5">
          <reference field="0" count="1" selected="0">
            <x v="4"/>
          </reference>
          <reference field="3" count="1" selected="0">
            <x v="53"/>
          </reference>
          <reference field="4" count="1" selected="0">
            <x v="216"/>
          </reference>
          <reference field="5" count="1" selected="0">
            <x v="238"/>
          </reference>
          <reference field="7" count="1">
            <x v="1588"/>
          </reference>
        </references>
      </pivotArea>
    </format>
    <format dxfId="632">
      <pivotArea dataOnly="0" labelOnly="1" outline="0" fieldPosition="0">
        <references count="5">
          <reference field="0" count="1" selected="0">
            <x v="4"/>
          </reference>
          <reference field="3" count="1" selected="0">
            <x v="53"/>
          </reference>
          <reference field="4" count="1" selected="0">
            <x v="216"/>
          </reference>
          <reference field="5" count="1" selected="0">
            <x v="293"/>
          </reference>
          <reference field="7" count="1">
            <x v="1430"/>
          </reference>
        </references>
      </pivotArea>
    </format>
    <format dxfId="631">
      <pivotArea dataOnly="0" labelOnly="1" outline="0" fieldPosition="0">
        <references count="5">
          <reference field="0" count="1" selected="0">
            <x v="4"/>
          </reference>
          <reference field="3" count="1" selected="0">
            <x v="53"/>
          </reference>
          <reference field="4" count="1" selected="0">
            <x v="216"/>
          </reference>
          <reference field="5" count="1" selected="0">
            <x v="363"/>
          </reference>
          <reference field="7" count="1">
            <x v="673"/>
          </reference>
        </references>
      </pivotArea>
    </format>
    <format dxfId="630">
      <pivotArea dataOnly="0" labelOnly="1" outline="0" fieldPosition="0">
        <references count="5">
          <reference field="0" count="1" selected="0">
            <x v="4"/>
          </reference>
          <reference field="3" count="1" selected="0">
            <x v="53"/>
          </reference>
          <reference field="4" count="1" selected="0">
            <x v="216"/>
          </reference>
          <reference field="5" count="1" selected="0">
            <x v="367"/>
          </reference>
          <reference field="7" count="1">
            <x v="896"/>
          </reference>
        </references>
      </pivotArea>
    </format>
    <format dxfId="629">
      <pivotArea dataOnly="0" labelOnly="1" outline="0" fieldPosition="0">
        <references count="5">
          <reference field="0" count="1" selected="0">
            <x v="4"/>
          </reference>
          <reference field="3" count="1" selected="0">
            <x v="53"/>
          </reference>
          <reference field="4" count="1" selected="0">
            <x v="216"/>
          </reference>
          <reference field="5" count="1" selected="0">
            <x v="373"/>
          </reference>
          <reference field="7" count="1">
            <x v="998"/>
          </reference>
        </references>
      </pivotArea>
    </format>
    <format dxfId="628">
      <pivotArea dataOnly="0" labelOnly="1" outline="0" fieldPosition="0">
        <references count="5">
          <reference field="0" count="1" selected="0">
            <x v="4"/>
          </reference>
          <reference field="3" count="1" selected="0">
            <x v="53"/>
          </reference>
          <reference field="4" count="1" selected="0">
            <x v="216"/>
          </reference>
          <reference field="5" count="1" selected="0">
            <x v="1451"/>
          </reference>
          <reference field="7" count="1">
            <x v="150"/>
          </reference>
        </references>
      </pivotArea>
    </format>
    <format dxfId="627">
      <pivotArea dataOnly="0" labelOnly="1" outline="0" fieldPosition="0">
        <references count="5">
          <reference field="0" count="1" selected="0">
            <x v="4"/>
          </reference>
          <reference field="3" count="1" selected="0">
            <x v="53"/>
          </reference>
          <reference field="4" count="1" selected="0">
            <x v="216"/>
          </reference>
          <reference field="5" count="1" selected="0">
            <x v="1452"/>
          </reference>
          <reference field="7" count="1">
            <x v="506"/>
          </reference>
        </references>
      </pivotArea>
    </format>
    <format dxfId="626">
      <pivotArea dataOnly="0" labelOnly="1" outline="0" fieldPosition="0">
        <references count="5">
          <reference field="0" count="1" selected="0">
            <x v="4"/>
          </reference>
          <reference field="3" count="1" selected="0">
            <x v="53"/>
          </reference>
          <reference field="4" count="1" selected="0">
            <x v="216"/>
          </reference>
          <reference field="5" count="1" selected="0">
            <x v="1463"/>
          </reference>
          <reference field="7" count="1">
            <x v="508"/>
          </reference>
        </references>
      </pivotArea>
    </format>
    <format dxfId="625">
      <pivotArea dataOnly="0" labelOnly="1" outline="0" fieldPosition="0">
        <references count="5">
          <reference field="0" count="1" selected="0">
            <x v="4"/>
          </reference>
          <reference field="3" count="1" selected="0">
            <x v="53"/>
          </reference>
          <reference field="4" count="1" selected="0">
            <x v="216"/>
          </reference>
          <reference field="5" count="1" selected="0">
            <x v="1464"/>
          </reference>
          <reference field="7" count="1">
            <x v="507"/>
          </reference>
        </references>
      </pivotArea>
    </format>
    <format dxfId="624">
      <pivotArea dataOnly="0" labelOnly="1" outline="0" fieldPosition="0">
        <references count="5">
          <reference field="0" count="1" selected="0">
            <x v="4"/>
          </reference>
          <reference field="3" count="1" selected="0">
            <x v="53"/>
          </reference>
          <reference field="4" count="1" selected="0">
            <x v="216"/>
          </reference>
          <reference field="5" count="1" selected="0">
            <x v="1465"/>
          </reference>
          <reference field="7" count="1">
            <x v="1038"/>
          </reference>
        </references>
      </pivotArea>
    </format>
    <format dxfId="623">
      <pivotArea dataOnly="0" labelOnly="1" outline="0" fieldPosition="0">
        <references count="5">
          <reference field="0" count="1" selected="0">
            <x v="4"/>
          </reference>
          <reference field="3" count="1" selected="0">
            <x v="54"/>
          </reference>
          <reference field="4" count="1" selected="0">
            <x v="5"/>
          </reference>
          <reference field="5" count="1" selected="0">
            <x v="349"/>
          </reference>
          <reference field="7" count="1">
            <x v="117"/>
          </reference>
        </references>
      </pivotArea>
    </format>
    <format dxfId="622">
      <pivotArea dataOnly="0" labelOnly="1" outline="0" fieldPosition="0">
        <references count="5">
          <reference field="0" count="1" selected="0">
            <x v="4"/>
          </reference>
          <reference field="3" count="1" selected="0">
            <x v="54"/>
          </reference>
          <reference field="4" count="1" selected="0">
            <x v="5"/>
          </reference>
          <reference field="5" count="1" selected="0">
            <x v="350"/>
          </reference>
          <reference field="7" count="1">
            <x v="1024"/>
          </reference>
        </references>
      </pivotArea>
    </format>
    <format dxfId="621">
      <pivotArea dataOnly="0" labelOnly="1" outline="0" fieldPosition="0">
        <references count="5">
          <reference field="0" count="1" selected="0">
            <x v="4"/>
          </reference>
          <reference field="3" count="1" selected="0">
            <x v="54"/>
          </reference>
          <reference field="4" count="1" selected="0">
            <x v="5"/>
          </reference>
          <reference field="5" count="1" selected="0">
            <x v="387"/>
          </reference>
          <reference field="7" count="1">
            <x v="114"/>
          </reference>
        </references>
      </pivotArea>
    </format>
    <format dxfId="620">
      <pivotArea dataOnly="0" labelOnly="1" outline="0" fieldPosition="0">
        <references count="5">
          <reference field="0" count="1" selected="0">
            <x v="4"/>
          </reference>
          <reference field="3" count="1" selected="0">
            <x v="54"/>
          </reference>
          <reference field="4" count="1" selected="0">
            <x v="10"/>
          </reference>
          <reference field="5" count="1" selected="0">
            <x v="279"/>
          </reference>
          <reference field="7" count="1">
            <x v="752"/>
          </reference>
        </references>
      </pivotArea>
    </format>
    <format dxfId="619">
      <pivotArea dataOnly="0" labelOnly="1" outline="0" fieldPosition="0">
        <references count="5">
          <reference field="0" count="1" selected="0">
            <x v="4"/>
          </reference>
          <reference field="3" count="1" selected="0">
            <x v="54"/>
          </reference>
          <reference field="4" count="1" selected="0">
            <x v="10"/>
          </reference>
          <reference field="5" count="1" selected="0">
            <x v="1484"/>
          </reference>
          <reference field="7" count="1">
            <x v="123"/>
          </reference>
        </references>
      </pivotArea>
    </format>
    <format dxfId="618">
      <pivotArea dataOnly="0" labelOnly="1" outline="0" fieldPosition="0">
        <references count="5">
          <reference field="0" count="1" selected="0">
            <x v="4"/>
          </reference>
          <reference field="3" count="1" selected="0">
            <x v="54"/>
          </reference>
          <reference field="4" count="1" selected="0">
            <x v="10"/>
          </reference>
          <reference field="5" count="1" selected="0">
            <x v="1485"/>
          </reference>
          <reference field="7" count="1">
            <x v="490"/>
          </reference>
        </references>
      </pivotArea>
    </format>
    <format dxfId="617">
      <pivotArea dataOnly="0" labelOnly="1" outline="0" fieldPosition="0">
        <references count="5">
          <reference field="0" count="1" selected="0">
            <x v="4"/>
          </reference>
          <reference field="3" count="1" selected="0">
            <x v="54"/>
          </reference>
          <reference field="4" count="1" selected="0">
            <x v="10"/>
          </reference>
          <reference field="5" count="1" selected="0">
            <x v="1486"/>
          </reference>
          <reference field="7" count="1">
            <x v="1010"/>
          </reference>
        </references>
      </pivotArea>
    </format>
    <format dxfId="616">
      <pivotArea dataOnly="0" labelOnly="1" outline="0" fieldPosition="0">
        <references count="5">
          <reference field="0" count="1" selected="0">
            <x v="4"/>
          </reference>
          <reference field="3" count="1" selected="0">
            <x v="54"/>
          </reference>
          <reference field="4" count="1" selected="0">
            <x v="10"/>
          </reference>
          <reference field="5" count="1" selected="0">
            <x v="1487"/>
          </reference>
          <reference field="7" count="1">
            <x v="747"/>
          </reference>
        </references>
      </pivotArea>
    </format>
    <format dxfId="615">
      <pivotArea dataOnly="0" labelOnly="1" outline="0" fieldPosition="0">
        <references count="5">
          <reference field="0" count="1" selected="0">
            <x v="4"/>
          </reference>
          <reference field="3" count="1" selected="0">
            <x v="54"/>
          </reference>
          <reference field="4" count="1" selected="0">
            <x v="10"/>
          </reference>
          <reference field="5" count="1" selected="0">
            <x v="1606"/>
          </reference>
          <reference field="7" count="1">
            <x v="1116"/>
          </reference>
        </references>
      </pivotArea>
    </format>
    <format dxfId="614">
      <pivotArea dataOnly="0" labelOnly="1" outline="0" fieldPosition="0">
        <references count="5">
          <reference field="0" count="1" selected="0">
            <x v="4"/>
          </reference>
          <reference field="3" count="1" selected="0">
            <x v="54"/>
          </reference>
          <reference field="4" count="1" selected="0">
            <x v="10"/>
          </reference>
          <reference field="5" count="1" selected="0">
            <x v="1607"/>
          </reference>
          <reference field="7" count="1">
            <x v="967"/>
          </reference>
        </references>
      </pivotArea>
    </format>
    <format dxfId="613">
      <pivotArea dataOnly="0" labelOnly="1" outline="0" fieldPosition="0">
        <references count="5">
          <reference field="0" count="1" selected="0">
            <x v="4"/>
          </reference>
          <reference field="3" count="1" selected="0">
            <x v="54"/>
          </reference>
          <reference field="4" count="1" selected="0">
            <x v="15"/>
          </reference>
          <reference field="5" count="1" selected="0">
            <x v="2"/>
          </reference>
          <reference field="7" count="1">
            <x v="641"/>
          </reference>
        </references>
      </pivotArea>
    </format>
    <format dxfId="612">
      <pivotArea dataOnly="0" labelOnly="1" outline="0" fieldPosition="0">
        <references count="5">
          <reference field="0" count="1" selected="0">
            <x v="4"/>
          </reference>
          <reference field="3" count="1" selected="0">
            <x v="54"/>
          </reference>
          <reference field="4" count="1" selected="0">
            <x v="15"/>
          </reference>
          <reference field="5" count="1" selected="0">
            <x v="97"/>
          </reference>
          <reference field="7" count="1">
            <x v="1397"/>
          </reference>
        </references>
      </pivotArea>
    </format>
    <format dxfId="611">
      <pivotArea dataOnly="0" labelOnly="1" outline="0" fieldPosition="0">
        <references count="5">
          <reference field="0" count="1" selected="0">
            <x v="4"/>
          </reference>
          <reference field="3" count="1" selected="0">
            <x v="54"/>
          </reference>
          <reference field="4" count="1" selected="0">
            <x v="15"/>
          </reference>
          <reference field="5" count="1" selected="0">
            <x v="132"/>
          </reference>
          <reference field="7" count="1">
            <x v="584"/>
          </reference>
        </references>
      </pivotArea>
    </format>
    <format dxfId="610">
      <pivotArea dataOnly="0" labelOnly="1" outline="0" fieldPosition="0">
        <references count="5">
          <reference field="0" count="1" selected="0">
            <x v="4"/>
          </reference>
          <reference field="3" count="1" selected="0">
            <x v="54"/>
          </reference>
          <reference field="4" count="1" selected="0">
            <x v="15"/>
          </reference>
          <reference field="5" count="1" selected="0">
            <x v="135"/>
          </reference>
          <reference field="7" count="1">
            <x v="592"/>
          </reference>
        </references>
      </pivotArea>
    </format>
    <format dxfId="609">
      <pivotArea dataOnly="0" labelOnly="1" outline="0" fieldPosition="0">
        <references count="5">
          <reference field="0" count="1" selected="0">
            <x v="4"/>
          </reference>
          <reference field="3" count="1" selected="0">
            <x v="54"/>
          </reference>
          <reference field="4" count="1" selected="0">
            <x v="15"/>
          </reference>
          <reference field="5" count="1" selected="0">
            <x v="136"/>
          </reference>
          <reference field="7" count="1">
            <x v="593"/>
          </reference>
        </references>
      </pivotArea>
    </format>
    <format dxfId="608">
      <pivotArea dataOnly="0" labelOnly="1" outline="0" fieldPosition="0">
        <references count="5">
          <reference field="0" count="1" selected="0">
            <x v="4"/>
          </reference>
          <reference field="3" count="1" selected="0">
            <x v="54"/>
          </reference>
          <reference field="4" count="1" selected="0">
            <x v="15"/>
          </reference>
          <reference field="5" count="1" selected="0">
            <x v="139"/>
          </reference>
          <reference field="7" count="1">
            <x v="589"/>
          </reference>
        </references>
      </pivotArea>
    </format>
    <format dxfId="607">
      <pivotArea dataOnly="0" labelOnly="1" outline="0" fieldPosition="0">
        <references count="5">
          <reference field="0" count="1" selected="0">
            <x v="4"/>
          </reference>
          <reference field="3" count="1" selected="0">
            <x v="54"/>
          </reference>
          <reference field="4" count="1" selected="0">
            <x v="15"/>
          </reference>
          <reference field="5" count="1" selected="0">
            <x v="143"/>
          </reference>
          <reference field="7" count="1">
            <x v="972"/>
          </reference>
        </references>
      </pivotArea>
    </format>
    <format dxfId="606">
      <pivotArea dataOnly="0" labelOnly="1" outline="0" fieldPosition="0">
        <references count="5">
          <reference field="0" count="1" selected="0">
            <x v="4"/>
          </reference>
          <reference field="3" count="1" selected="0">
            <x v="54"/>
          </reference>
          <reference field="4" count="1" selected="0">
            <x v="15"/>
          </reference>
          <reference field="5" count="1" selected="0">
            <x v="156"/>
          </reference>
          <reference field="7" count="1">
            <x v="1071"/>
          </reference>
        </references>
      </pivotArea>
    </format>
    <format dxfId="605">
      <pivotArea dataOnly="0" labelOnly="1" outline="0" fieldPosition="0">
        <references count="5">
          <reference field="0" count="1" selected="0">
            <x v="4"/>
          </reference>
          <reference field="3" count="1" selected="0">
            <x v="54"/>
          </reference>
          <reference field="4" count="1" selected="0">
            <x v="15"/>
          </reference>
          <reference field="5" count="1" selected="0">
            <x v="160"/>
          </reference>
          <reference field="7" count="1">
            <x v="1077"/>
          </reference>
        </references>
      </pivotArea>
    </format>
    <format dxfId="604">
      <pivotArea dataOnly="0" labelOnly="1" outline="0" fieldPosition="0">
        <references count="5">
          <reference field="0" count="1" selected="0">
            <x v="4"/>
          </reference>
          <reference field="3" count="1" selected="0">
            <x v="54"/>
          </reference>
          <reference field="4" count="1" selected="0">
            <x v="15"/>
          </reference>
          <reference field="5" count="1" selected="0">
            <x v="214"/>
          </reference>
          <reference field="7" count="1">
            <x v="974"/>
          </reference>
        </references>
      </pivotArea>
    </format>
    <format dxfId="603">
      <pivotArea dataOnly="0" labelOnly="1" outline="0" fieldPosition="0">
        <references count="5">
          <reference field="0" count="1" selected="0">
            <x v="4"/>
          </reference>
          <reference field="3" count="1" selected="0">
            <x v="54"/>
          </reference>
          <reference field="4" count="1" selected="0">
            <x v="15"/>
          </reference>
          <reference field="5" count="1" selected="0">
            <x v="237"/>
          </reference>
          <reference field="7" count="1">
            <x v="1586"/>
          </reference>
        </references>
      </pivotArea>
    </format>
    <format dxfId="602">
      <pivotArea dataOnly="0" labelOnly="1" outline="0" fieldPosition="0">
        <references count="5">
          <reference field="0" count="1" selected="0">
            <x v="4"/>
          </reference>
          <reference field="3" count="1" selected="0">
            <x v="54"/>
          </reference>
          <reference field="4" count="1" selected="0">
            <x v="15"/>
          </reference>
          <reference field="5" count="1" selected="0">
            <x v="258"/>
          </reference>
          <reference field="7" count="1">
            <x v="1590"/>
          </reference>
        </references>
      </pivotArea>
    </format>
    <format dxfId="601">
      <pivotArea dataOnly="0" labelOnly="1" outline="0" fieldPosition="0">
        <references count="5">
          <reference field="0" count="1" selected="0">
            <x v="4"/>
          </reference>
          <reference field="3" count="1" selected="0">
            <x v="54"/>
          </reference>
          <reference field="4" count="1" selected="0">
            <x v="15"/>
          </reference>
          <reference field="5" count="1" selected="0">
            <x v="268"/>
          </reference>
          <reference field="7" count="1">
            <x v="1215"/>
          </reference>
        </references>
      </pivotArea>
    </format>
    <format dxfId="600">
      <pivotArea dataOnly="0" labelOnly="1" outline="0" fieldPosition="0">
        <references count="5">
          <reference field="0" count="1" selected="0">
            <x v="4"/>
          </reference>
          <reference field="3" count="1" selected="0">
            <x v="54"/>
          </reference>
          <reference field="4" count="1" selected="0">
            <x v="15"/>
          </reference>
          <reference field="5" count="1" selected="0">
            <x v="318"/>
          </reference>
          <reference field="7" count="1">
            <x v="1404"/>
          </reference>
        </references>
      </pivotArea>
    </format>
    <format dxfId="599">
      <pivotArea dataOnly="0" labelOnly="1" outline="0" fieldPosition="0">
        <references count="5">
          <reference field="0" count="1" selected="0">
            <x v="4"/>
          </reference>
          <reference field="3" count="1" selected="0">
            <x v="54"/>
          </reference>
          <reference field="4" count="1" selected="0">
            <x v="15"/>
          </reference>
          <reference field="5" count="1" selected="0">
            <x v="330"/>
          </reference>
          <reference field="7" count="1">
            <x v="1589"/>
          </reference>
        </references>
      </pivotArea>
    </format>
    <format dxfId="598">
      <pivotArea dataOnly="0" labelOnly="1" outline="0" fieldPosition="0">
        <references count="5">
          <reference field="0" count="1" selected="0">
            <x v="4"/>
          </reference>
          <reference field="3" count="1" selected="0">
            <x v="54"/>
          </reference>
          <reference field="4" count="1" selected="0">
            <x v="15"/>
          </reference>
          <reference field="5" count="1" selected="0">
            <x v="347"/>
          </reference>
          <reference field="7" count="1">
            <x v="1471"/>
          </reference>
        </references>
      </pivotArea>
    </format>
    <format dxfId="597">
      <pivotArea dataOnly="0" labelOnly="1" outline="0" fieldPosition="0">
        <references count="5">
          <reference field="0" count="1" selected="0">
            <x v="4"/>
          </reference>
          <reference field="3" count="1" selected="0">
            <x v="54"/>
          </reference>
          <reference field="4" count="1" selected="0">
            <x v="15"/>
          </reference>
          <reference field="5" count="1" selected="0">
            <x v="388"/>
          </reference>
          <reference field="7" count="1">
            <x v="1371"/>
          </reference>
        </references>
      </pivotArea>
    </format>
    <format dxfId="596">
      <pivotArea dataOnly="0" labelOnly="1" outline="0" fieldPosition="0">
        <references count="5">
          <reference field="0" count="1" selected="0">
            <x v="4"/>
          </reference>
          <reference field="3" count="1" selected="0">
            <x v="54"/>
          </reference>
          <reference field="4" count="1" selected="0">
            <x v="15"/>
          </reference>
          <reference field="5" count="1" selected="0">
            <x v="400"/>
          </reference>
          <reference field="7" count="1">
            <x v="1452"/>
          </reference>
        </references>
      </pivotArea>
    </format>
    <format dxfId="595">
      <pivotArea dataOnly="0" labelOnly="1" outline="0" fieldPosition="0">
        <references count="5">
          <reference field="0" count="1" selected="0">
            <x v="4"/>
          </reference>
          <reference field="3" count="1" selected="0">
            <x v="54"/>
          </reference>
          <reference field="4" count="1" selected="0">
            <x v="15"/>
          </reference>
          <reference field="5" count="1" selected="0">
            <x v="1474"/>
          </reference>
          <reference field="7" count="1">
            <x v="131"/>
          </reference>
        </references>
      </pivotArea>
    </format>
    <format dxfId="594">
      <pivotArea dataOnly="0" labelOnly="1" outline="0" fieldPosition="0">
        <references count="5">
          <reference field="0" count="1" selected="0">
            <x v="4"/>
          </reference>
          <reference field="3" count="1" selected="0">
            <x v="54"/>
          </reference>
          <reference field="4" count="1" selected="0">
            <x v="15"/>
          </reference>
          <reference field="5" count="1" selected="0">
            <x v="1483"/>
          </reference>
          <reference field="7" count="1">
            <x v="1234"/>
          </reference>
        </references>
      </pivotArea>
    </format>
    <format dxfId="593">
      <pivotArea dataOnly="0" labelOnly="1" outline="0" fieldPosition="0">
        <references count="5">
          <reference field="0" count="1" selected="0">
            <x v="4"/>
          </reference>
          <reference field="3" count="1" selected="0">
            <x v="54"/>
          </reference>
          <reference field="4" count="1" selected="0">
            <x v="16"/>
          </reference>
          <reference field="5" count="1" selected="0">
            <x v="73"/>
          </reference>
          <reference field="7" count="1">
            <x v="357"/>
          </reference>
        </references>
      </pivotArea>
    </format>
    <format dxfId="592">
      <pivotArea dataOnly="0" labelOnly="1" outline="0" fieldPosition="0">
        <references count="5">
          <reference field="0" count="1" selected="0">
            <x v="4"/>
          </reference>
          <reference field="3" count="1" selected="0">
            <x v="54"/>
          </reference>
          <reference field="4" count="1" selected="0">
            <x v="16"/>
          </reference>
          <reference field="5" count="1" selected="0">
            <x v="279"/>
          </reference>
          <reference field="7" count="1">
            <x v="752"/>
          </reference>
        </references>
      </pivotArea>
    </format>
    <format dxfId="591">
      <pivotArea dataOnly="0" labelOnly="1" outline="0" fieldPosition="0">
        <references count="5">
          <reference field="0" count="1" selected="0">
            <x v="4"/>
          </reference>
          <reference field="3" count="1" selected="0">
            <x v="54"/>
          </reference>
          <reference field="4" count="1" selected="0">
            <x v="16"/>
          </reference>
          <reference field="5" count="1" selected="0">
            <x v="1477"/>
          </reference>
          <reference field="7" count="1">
            <x v="227"/>
          </reference>
        </references>
      </pivotArea>
    </format>
    <format dxfId="590">
      <pivotArea dataOnly="0" labelOnly="1" outline="0" fieldPosition="0">
        <references count="5">
          <reference field="0" count="1" selected="0">
            <x v="4"/>
          </reference>
          <reference field="3" count="1" selected="0">
            <x v="54"/>
          </reference>
          <reference field="4" count="1" selected="0">
            <x v="16"/>
          </reference>
          <reference field="5" count="1" selected="0">
            <x v="1478"/>
          </reference>
          <reference field="7" count="1">
            <x v="902"/>
          </reference>
        </references>
      </pivotArea>
    </format>
    <format dxfId="589">
      <pivotArea dataOnly="0" labelOnly="1" outline="0" fieldPosition="0">
        <references count="5">
          <reference field="0" count="1" selected="0">
            <x v="4"/>
          </reference>
          <reference field="3" count="1" selected="0">
            <x v="54"/>
          </reference>
          <reference field="4" count="1" selected="0">
            <x v="17"/>
          </reference>
          <reference field="5" count="1" selected="0">
            <x v="282"/>
          </reference>
          <reference field="7" count="1">
            <x v="755"/>
          </reference>
        </references>
      </pivotArea>
    </format>
    <format dxfId="588">
      <pivotArea dataOnly="0" labelOnly="1" outline="0" fieldPosition="0">
        <references count="5">
          <reference field="0" count="1" selected="0">
            <x v="4"/>
          </reference>
          <reference field="3" count="1" selected="0">
            <x v="54"/>
          </reference>
          <reference field="4" count="1" selected="0">
            <x v="17"/>
          </reference>
          <reference field="5" count="1" selected="0">
            <x v="1481"/>
          </reference>
          <reference field="7" count="1">
            <x v="257"/>
          </reference>
        </references>
      </pivotArea>
    </format>
    <format dxfId="587">
      <pivotArea dataOnly="0" labelOnly="1" outline="0" fieldPosition="0">
        <references count="5">
          <reference field="0" count="1" selected="0">
            <x v="4"/>
          </reference>
          <reference field="3" count="1" selected="0">
            <x v="54"/>
          </reference>
          <reference field="4" count="1" selected="0">
            <x v="17"/>
          </reference>
          <reference field="5" count="1" selected="0">
            <x v="1482"/>
          </reference>
          <reference field="7" count="1">
            <x v="1142"/>
          </reference>
        </references>
      </pivotArea>
    </format>
    <format dxfId="586">
      <pivotArea dataOnly="0" labelOnly="1" outline="0" fieldPosition="0">
        <references count="5">
          <reference field="0" count="1" selected="0">
            <x v="4"/>
          </reference>
          <reference field="3" count="1" selected="0">
            <x v="54"/>
          </reference>
          <reference field="4" count="1" selected="0">
            <x v="18"/>
          </reference>
          <reference field="5" count="1" selected="0">
            <x v="279"/>
          </reference>
          <reference field="7" count="1">
            <x v="752"/>
          </reference>
        </references>
      </pivotArea>
    </format>
    <format dxfId="585">
      <pivotArea dataOnly="0" labelOnly="1" outline="0" fieldPosition="0">
        <references count="5">
          <reference field="0" count="1" selected="0">
            <x v="4"/>
          </reference>
          <reference field="3" count="1" selected="0">
            <x v="54"/>
          </reference>
          <reference field="4" count="1" selected="0">
            <x v="18"/>
          </reference>
          <reference field="5" count="1" selected="0">
            <x v="282"/>
          </reference>
          <reference field="7" count="1">
            <x v="755"/>
          </reference>
        </references>
      </pivotArea>
    </format>
    <format dxfId="584">
      <pivotArea dataOnly="0" labelOnly="1" outline="0" fieldPosition="0">
        <references count="5">
          <reference field="0" count="1" selected="0">
            <x v="4"/>
          </reference>
          <reference field="3" count="1" selected="0">
            <x v="54"/>
          </reference>
          <reference field="4" count="1" selected="0">
            <x v="18"/>
          </reference>
          <reference field="5" count="1" selected="0">
            <x v="1479"/>
          </reference>
          <reference field="7" count="1">
            <x v="288"/>
          </reference>
        </references>
      </pivotArea>
    </format>
    <format dxfId="583">
      <pivotArea dataOnly="0" labelOnly="1" outline="0" fieldPosition="0">
        <references count="5">
          <reference field="0" count="1" selected="0">
            <x v="4"/>
          </reference>
          <reference field="3" count="1" selected="0">
            <x v="54"/>
          </reference>
          <reference field="4" count="1" selected="0">
            <x v="18"/>
          </reference>
          <reference field="5" count="1" selected="0">
            <x v="1480"/>
          </reference>
          <reference field="7" count="1">
            <x v="1365"/>
          </reference>
        </references>
      </pivotArea>
    </format>
    <format dxfId="582">
      <pivotArea dataOnly="0" labelOnly="1" outline="0" fieldPosition="0">
        <references count="5">
          <reference field="0" count="1" selected="0">
            <x v="4"/>
          </reference>
          <reference field="3" count="1" selected="0">
            <x v="54"/>
          </reference>
          <reference field="4" count="1" selected="0">
            <x v="19"/>
          </reference>
          <reference field="5" count="1" selected="0">
            <x v="73"/>
          </reference>
          <reference field="7" count="1">
            <x v="357"/>
          </reference>
        </references>
      </pivotArea>
    </format>
    <format dxfId="581">
      <pivotArea dataOnly="0" labelOnly="1" outline="0" fieldPosition="0">
        <references count="5">
          <reference field="0" count="1" selected="0">
            <x v="4"/>
          </reference>
          <reference field="3" count="1" selected="0">
            <x v="54"/>
          </reference>
          <reference field="4" count="1" selected="0">
            <x v="19"/>
          </reference>
          <reference field="5" count="1" selected="0">
            <x v="281"/>
          </reference>
          <reference field="7" count="1">
            <x v="754"/>
          </reference>
        </references>
      </pivotArea>
    </format>
    <format dxfId="580">
      <pivotArea dataOnly="0" labelOnly="1" outline="0" fieldPosition="0">
        <references count="5">
          <reference field="0" count="1" selected="0">
            <x v="4"/>
          </reference>
          <reference field="3" count="1" selected="0">
            <x v="54"/>
          </reference>
          <reference field="4" count="1" selected="0">
            <x v="19"/>
          </reference>
          <reference field="5" count="1" selected="0">
            <x v="282"/>
          </reference>
          <reference field="7" count="1">
            <x v="755"/>
          </reference>
        </references>
      </pivotArea>
    </format>
    <format dxfId="579">
      <pivotArea dataOnly="0" labelOnly="1" outline="0" fieldPosition="0">
        <references count="5">
          <reference field="0" count="1" selected="0">
            <x v="4"/>
          </reference>
          <reference field="3" count="1" selected="0">
            <x v="54"/>
          </reference>
          <reference field="4" count="1" selected="0">
            <x v="19"/>
          </reference>
          <reference field="5" count="1" selected="0">
            <x v="1475"/>
          </reference>
          <reference field="7" count="1">
            <x v="316"/>
          </reference>
        </references>
      </pivotArea>
    </format>
    <format dxfId="578">
      <pivotArea dataOnly="0" labelOnly="1" outline="0" fieldPosition="0">
        <references count="5">
          <reference field="0" count="1" selected="0">
            <x v="4"/>
          </reference>
          <reference field="3" count="1" selected="0">
            <x v="54"/>
          </reference>
          <reference field="4" count="1" selected="0">
            <x v="19"/>
          </reference>
          <reference field="5" count="1" selected="0">
            <x v="1476"/>
          </reference>
          <reference field="7" count="1">
            <x v="1551"/>
          </reference>
        </references>
      </pivotArea>
    </format>
    <format dxfId="577">
      <pivotArea dataOnly="0" labelOnly="1" outline="0" fieldPosition="0">
        <references count="5">
          <reference field="0" count="1" selected="0">
            <x v="4"/>
          </reference>
          <reference field="3" count="1" selected="0">
            <x v="54"/>
          </reference>
          <reference field="4" count="1" selected="0">
            <x v="167"/>
          </reference>
          <reference field="5" count="1" selected="0">
            <x v="77"/>
          </reference>
          <reference field="7" count="1">
            <x v="1477"/>
          </reference>
        </references>
      </pivotArea>
    </format>
    <format dxfId="576">
      <pivotArea dataOnly="0" labelOnly="1" outline="0" fieldPosition="0">
        <references count="5">
          <reference field="0" count="1" selected="0">
            <x v="4"/>
          </reference>
          <reference field="3" count="1" selected="0">
            <x v="54"/>
          </reference>
          <reference field="4" count="1" selected="0">
            <x v="167"/>
          </reference>
          <reference field="5" count="1" selected="0">
            <x v="152"/>
          </reference>
          <reference field="7" count="1">
            <x v="1603"/>
          </reference>
        </references>
      </pivotArea>
    </format>
    <format dxfId="575">
      <pivotArea dataOnly="0" labelOnly="1" outline="0" fieldPosition="0">
        <references count="5">
          <reference field="0" count="1" selected="0">
            <x v="4"/>
          </reference>
          <reference field="3" count="1" selected="0">
            <x v="54"/>
          </reference>
          <reference field="4" count="1" selected="0">
            <x v="167"/>
          </reference>
          <reference field="5" count="1" selected="0">
            <x v="216"/>
          </reference>
          <reference field="7" count="1">
            <x v="1431"/>
          </reference>
        </references>
      </pivotArea>
    </format>
    <format dxfId="574">
      <pivotArea dataOnly="0" labelOnly="1" outline="0" fieldPosition="0">
        <references count="5">
          <reference field="0" count="1" selected="0">
            <x v="4"/>
          </reference>
          <reference field="3" count="1" selected="0">
            <x v="54"/>
          </reference>
          <reference field="4" count="1" selected="0">
            <x v="167"/>
          </reference>
          <reference field="5" count="1" selected="0">
            <x v="218"/>
          </reference>
          <reference field="7" count="1">
            <x v="363"/>
          </reference>
        </references>
      </pivotArea>
    </format>
    <format dxfId="573">
      <pivotArea dataOnly="0" labelOnly="1" outline="0" fieldPosition="0">
        <references count="5">
          <reference field="0" count="1" selected="0">
            <x v="4"/>
          </reference>
          <reference field="3" count="1" selected="0">
            <x v="54"/>
          </reference>
          <reference field="4" count="1" selected="0">
            <x v="167"/>
          </reference>
          <reference field="5" count="1" selected="0">
            <x v="1576"/>
          </reference>
          <reference field="7" count="1">
            <x v="300"/>
          </reference>
        </references>
      </pivotArea>
    </format>
    <format dxfId="572">
      <pivotArea dataOnly="0" labelOnly="1" outline="0" fieldPosition="0">
        <references count="5">
          <reference field="0" count="1" selected="0">
            <x v="4"/>
          </reference>
          <reference field="3" count="1" selected="0">
            <x v="54"/>
          </reference>
          <reference field="4" count="1" selected="0">
            <x v="167"/>
          </reference>
          <reference field="5" count="1" selected="0">
            <x v="1577"/>
          </reference>
          <reference field="7" count="1">
            <x v="373"/>
          </reference>
        </references>
      </pivotArea>
    </format>
    <format dxfId="571">
      <pivotArea dataOnly="0" labelOnly="1" outline="0" fieldPosition="0">
        <references count="5">
          <reference field="0" count="1" selected="0">
            <x v="4"/>
          </reference>
          <reference field="3" count="1" selected="0">
            <x v="54"/>
          </reference>
          <reference field="4" count="1" selected="0">
            <x v="167"/>
          </reference>
          <reference field="5" count="1" selected="0">
            <x v="1613"/>
          </reference>
          <reference field="7" count="1">
            <x v="510"/>
          </reference>
        </references>
      </pivotArea>
    </format>
    <format dxfId="570">
      <pivotArea dataOnly="0" labelOnly="1" outline="0" fieldPosition="0">
        <references count="5">
          <reference field="0" count="1" selected="0">
            <x v="4"/>
          </reference>
          <reference field="3" count="1" selected="0">
            <x v="54"/>
          </reference>
          <reference field="4" count="1" selected="0">
            <x v="172"/>
          </reference>
          <reference field="5" count="1" selected="0">
            <x v="1522"/>
          </reference>
          <reference field="7" count="1">
            <x v="334"/>
          </reference>
        </references>
      </pivotArea>
    </format>
    <format dxfId="569">
      <pivotArea dataOnly="0" labelOnly="1" outline="0" fieldPosition="0">
        <references count="5">
          <reference field="0" count="1" selected="0">
            <x v="4"/>
          </reference>
          <reference field="3" count="1" selected="0">
            <x v="54"/>
          </reference>
          <reference field="4" count="1" selected="0">
            <x v="172"/>
          </reference>
          <reference field="5" count="1" selected="0">
            <x v="1527"/>
          </reference>
          <reference field="7" count="1">
            <x v="305"/>
          </reference>
        </references>
      </pivotArea>
    </format>
    <format dxfId="568">
      <pivotArea dataOnly="0" labelOnly="1" outline="0" fieldPosition="0">
        <references count="5">
          <reference field="0" count="1" selected="0">
            <x v="4"/>
          </reference>
          <reference field="3" count="1" selected="0">
            <x v="54"/>
          </reference>
          <reference field="4" count="1" selected="0">
            <x v="172"/>
          </reference>
          <reference field="5" count="1" selected="0">
            <x v="1628"/>
          </reference>
          <reference field="7" count="1">
            <x v="1473"/>
          </reference>
        </references>
      </pivotArea>
    </format>
    <format dxfId="567">
      <pivotArea dataOnly="0" labelOnly="1" outline="0" fieldPosition="0">
        <references count="5">
          <reference field="0" count="1" selected="0">
            <x v="4"/>
          </reference>
          <reference field="3" count="1" selected="0">
            <x v="54"/>
          </reference>
          <reference field="4" count="1" selected="0">
            <x v="185"/>
          </reference>
          <reference field="5" count="1" selected="0">
            <x v="250"/>
          </reference>
          <reference field="7" count="1">
            <x v="1318"/>
          </reference>
        </references>
      </pivotArea>
    </format>
    <format dxfId="566">
      <pivotArea dataOnly="0" labelOnly="1" outline="0" fieldPosition="0">
        <references count="5">
          <reference field="0" count="1" selected="0">
            <x v="4"/>
          </reference>
          <reference field="3" count="1" selected="0">
            <x v="54"/>
          </reference>
          <reference field="4" count="1" selected="0">
            <x v="185"/>
          </reference>
          <reference field="5" count="1" selected="0">
            <x v="1535"/>
          </reference>
          <reference field="7" count="1">
            <x v="792"/>
          </reference>
        </references>
      </pivotArea>
    </format>
    <format dxfId="565">
      <pivotArea dataOnly="0" labelOnly="1" outline="0" fieldPosition="0">
        <references count="5">
          <reference field="0" count="1" selected="0">
            <x v="4"/>
          </reference>
          <reference field="3" count="1" selected="0">
            <x v="54"/>
          </reference>
          <reference field="4" count="1" selected="0">
            <x v="185"/>
          </reference>
          <reference field="5" count="1" selected="0">
            <x v="1558"/>
          </reference>
          <reference field="7" count="1">
            <x v="195"/>
          </reference>
        </references>
      </pivotArea>
    </format>
    <format dxfId="564">
      <pivotArea dataOnly="0" labelOnly="1" outline="0" fieldPosition="0">
        <references count="5">
          <reference field="0" count="1" selected="0">
            <x v="4"/>
          </reference>
          <reference field="3" count="1" selected="0">
            <x v="54"/>
          </reference>
          <reference field="4" count="1" selected="0">
            <x v="188"/>
          </reference>
          <reference field="5" count="1" selected="0">
            <x v="250"/>
          </reference>
          <reference field="7" count="1">
            <x v="1318"/>
          </reference>
        </references>
      </pivotArea>
    </format>
    <format dxfId="563">
      <pivotArea dataOnly="0" labelOnly="1" outline="0" fieldPosition="0">
        <references count="5">
          <reference field="0" count="1" selected="0">
            <x v="4"/>
          </reference>
          <reference field="3" count="1" selected="0">
            <x v="54"/>
          </reference>
          <reference field="4" count="1" selected="0">
            <x v="188"/>
          </reference>
          <reference field="5" count="1" selected="0">
            <x v="282"/>
          </reference>
          <reference field="7" count="1">
            <x v="755"/>
          </reference>
        </references>
      </pivotArea>
    </format>
    <format dxfId="562">
      <pivotArea dataOnly="0" labelOnly="1" outline="0" fieldPosition="0">
        <references count="5">
          <reference field="0" count="1" selected="0">
            <x v="4"/>
          </reference>
          <reference field="3" count="1" selected="0">
            <x v="54"/>
          </reference>
          <reference field="4" count="1" selected="0">
            <x v="188"/>
          </reference>
          <reference field="5" count="1" selected="0">
            <x v="1538"/>
          </reference>
          <reference field="7" count="1">
            <x v="797"/>
          </reference>
        </references>
      </pivotArea>
    </format>
    <format dxfId="561">
      <pivotArea dataOnly="0" labelOnly="1" outline="0" fieldPosition="0">
        <references count="5">
          <reference field="0" count="1" selected="0">
            <x v="4"/>
          </reference>
          <reference field="3" count="1" selected="0">
            <x v="54"/>
          </reference>
          <reference field="4" count="1" selected="0">
            <x v="188"/>
          </reference>
          <reference field="5" count="1" selected="0">
            <x v="1561"/>
          </reference>
          <reference field="7" count="1">
            <x v="200"/>
          </reference>
        </references>
      </pivotArea>
    </format>
    <format dxfId="560">
      <pivotArea dataOnly="0" labelOnly="1" outline="0" fieldPosition="0">
        <references count="5">
          <reference field="0" count="1" selected="0">
            <x v="4"/>
          </reference>
          <reference field="3" count="1" selected="0">
            <x v="54"/>
          </reference>
          <reference field="4" count="1" selected="0">
            <x v="198"/>
          </reference>
          <reference field="5" count="1" selected="0">
            <x v="254"/>
          </reference>
          <reference field="7" count="1">
            <x v="1320"/>
          </reference>
        </references>
      </pivotArea>
    </format>
    <format dxfId="559">
      <pivotArea dataOnly="0" labelOnly="1" outline="0" fieldPosition="0">
        <references count="5">
          <reference field="0" count="1" selected="0">
            <x v="4"/>
          </reference>
          <reference field="3" count="1" selected="0">
            <x v="54"/>
          </reference>
          <reference field="4" count="1" selected="0">
            <x v="198"/>
          </reference>
          <reference field="5" count="1" selected="0">
            <x v="1551"/>
          </reference>
          <reference field="7" count="1">
            <x v="795"/>
          </reference>
        </references>
      </pivotArea>
    </format>
    <format dxfId="558">
      <pivotArea dataOnly="0" labelOnly="1" outline="0" fieldPosition="0">
        <references count="5">
          <reference field="0" count="1" selected="0">
            <x v="4"/>
          </reference>
          <reference field="3" count="1" selected="0">
            <x v="54"/>
          </reference>
          <reference field="4" count="1" selected="0">
            <x v="198"/>
          </reference>
          <reference field="5" count="1" selected="0">
            <x v="1575"/>
          </reference>
          <reference field="7" count="1">
            <x v="198"/>
          </reference>
        </references>
      </pivotArea>
    </format>
    <format dxfId="557">
      <pivotArea dataOnly="0" labelOnly="1" outline="0" fieldPosition="0">
        <references count="5">
          <reference field="0" count="1" selected="0">
            <x v="4"/>
          </reference>
          <reference field="3" count="1" selected="0">
            <x v="54"/>
          </reference>
          <reference field="4" count="1" selected="0">
            <x v="216"/>
          </reference>
          <reference field="5" count="1" selected="0">
            <x v="74"/>
          </reference>
          <reference field="7" count="1">
            <x v="1481"/>
          </reference>
        </references>
      </pivotArea>
    </format>
    <format dxfId="556">
      <pivotArea dataOnly="0" labelOnly="1" outline="0" fieldPosition="0">
        <references count="5">
          <reference field="0" count="1" selected="0">
            <x v="4"/>
          </reference>
          <reference field="3" count="1" selected="0">
            <x v="54"/>
          </reference>
          <reference field="4" count="1" selected="0">
            <x v="216"/>
          </reference>
          <reference field="5" count="1" selected="0">
            <x v="119"/>
          </reference>
          <reference field="7" count="1">
            <x v="1091"/>
          </reference>
        </references>
      </pivotArea>
    </format>
    <format dxfId="555">
      <pivotArea dataOnly="0" labelOnly="1" outline="0" fieldPosition="0">
        <references count="5">
          <reference field="0" count="1" selected="0">
            <x v="4"/>
          </reference>
          <reference field="3" count="1" selected="0">
            <x v="54"/>
          </reference>
          <reference field="4" count="1" selected="0">
            <x v="216"/>
          </reference>
          <reference field="5" count="1" selected="0">
            <x v="136"/>
          </reference>
          <reference field="7" count="1">
            <x v="593"/>
          </reference>
        </references>
      </pivotArea>
    </format>
    <format dxfId="554">
      <pivotArea dataOnly="0" labelOnly="1" outline="0" fieldPosition="0">
        <references count="5">
          <reference field="0" count="1" selected="0">
            <x v="4"/>
          </reference>
          <reference field="3" count="1" selected="0">
            <x v="54"/>
          </reference>
          <reference field="4" count="1" selected="0">
            <x v="216"/>
          </reference>
          <reference field="5" count="1" selected="0">
            <x v="148"/>
          </reference>
          <reference field="7" count="1">
            <x v="977"/>
          </reference>
        </references>
      </pivotArea>
    </format>
    <format dxfId="553">
      <pivotArea dataOnly="0" labelOnly="1" outline="0" fieldPosition="0">
        <references count="5">
          <reference field="0" count="1" selected="0">
            <x v="4"/>
          </reference>
          <reference field="3" count="1" selected="0">
            <x v="54"/>
          </reference>
          <reference field="4" count="1" selected="0">
            <x v="216"/>
          </reference>
          <reference field="5" count="1" selected="0">
            <x v="167"/>
          </reference>
          <reference field="7" count="1">
            <x v="1088"/>
          </reference>
        </references>
      </pivotArea>
    </format>
    <format dxfId="552">
      <pivotArea dataOnly="0" labelOnly="1" outline="0" fieldPosition="0">
        <references count="5">
          <reference field="0" count="1" selected="0">
            <x v="4"/>
          </reference>
          <reference field="3" count="1" selected="0">
            <x v="54"/>
          </reference>
          <reference field="4" count="1" selected="0">
            <x v="216"/>
          </reference>
          <reference field="5" count="1" selected="0">
            <x v="201"/>
          </reference>
          <reference field="7" count="1">
            <x v="1422"/>
          </reference>
        </references>
      </pivotArea>
    </format>
    <format dxfId="551">
      <pivotArea dataOnly="0" labelOnly="1" outline="0" fieldPosition="0">
        <references count="5">
          <reference field="0" count="1" selected="0">
            <x v="4"/>
          </reference>
          <reference field="3" count="1" selected="0">
            <x v="54"/>
          </reference>
          <reference field="4" count="1" selected="0">
            <x v="216"/>
          </reference>
          <reference field="5" count="1" selected="0">
            <x v="203"/>
          </reference>
          <reference field="7" count="1">
            <x v="1418"/>
          </reference>
        </references>
      </pivotArea>
    </format>
    <format dxfId="550">
      <pivotArea dataOnly="0" labelOnly="1" outline="0" fieldPosition="0">
        <references count="5">
          <reference field="0" count="1" selected="0">
            <x v="4"/>
          </reference>
          <reference field="3" count="1" selected="0">
            <x v="54"/>
          </reference>
          <reference field="4" count="1" selected="0">
            <x v="216"/>
          </reference>
          <reference field="5" count="1" selected="0">
            <x v="206"/>
          </reference>
          <reference field="7" count="1">
            <x v="1428"/>
          </reference>
        </references>
      </pivotArea>
    </format>
    <format dxfId="549">
      <pivotArea dataOnly="0" labelOnly="1" outline="0" fieldPosition="0">
        <references count="5">
          <reference field="0" count="1" selected="0">
            <x v="4"/>
          </reference>
          <reference field="3" count="1" selected="0">
            <x v="54"/>
          </reference>
          <reference field="4" count="1" selected="0">
            <x v="216"/>
          </reference>
          <reference field="5" count="1" selected="0">
            <x v="291"/>
          </reference>
          <reference field="7" count="1">
            <x v="1419"/>
          </reference>
        </references>
      </pivotArea>
    </format>
    <format dxfId="548">
      <pivotArea dataOnly="0" labelOnly="1" outline="0" fieldPosition="0">
        <references count="5">
          <reference field="0" count="1" selected="0">
            <x v="4"/>
          </reference>
          <reference field="3" count="1" selected="0">
            <x v="54"/>
          </reference>
          <reference field="4" count="1" selected="0">
            <x v="216"/>
          </reference>
          <reference field="5" count="1" selected="0">
            <x v="292"/>
          </reference>
          <reference field="7" count="1">
            <x v="1421"/>
          </reference>
        </references>
      </pivotArea>
    </format>
    <format dxfId="547">
      <pivotArea dataOnly="0" labelOnly="1" outline="0" fieldPosition="0">
        <references count="5">
          <reference field="0" count="1" selected="0">
            <x v="4"/>
          </reference>
          <reference field="3" count="1" selected="0">
            <x v="54"/>
          </reference>
          <reference field="4" count="1" selected="0">
            <x v="216"/>
          </reference>
          <reference field="5" count="1" selected="0">
            <x v="294"/>
          </reference>
          <reference field="7" count="1">
            <x v="1427"/>
          </reference>
        </references>
      </pivotArea>
    </format>
    <format dxfId="546">
      <pivotArea dataOnly="0" labelOnly="1" outline="0" fieldPosition="0">
        <references count="5">
          <reference field="0" count="1" selected="0">
            <x v="4"/>
          </reference>
          <reference field="3" count="1" selected="0">
            <x v="54"/>
          </reference>
          <reference field="4" count="1" selected="0">
            <x v="216"/>
          </reference>
          <reference field="5" count="1" selected="0">
            <x v="302"/>
          </reference>
          <reference field="7" count="1">
            <x v="1070"/>
          </reference>
        </references>
      </pivotArea>
    </format>
    <format dxfId="545">
      <pivotArea dataOnly="0" labelOnly="1" outline="0" fieldPosition="0">
        <references count="5">
          <reference field="0" count="1" selected="0">
            <x v="4"/>
          </reference>
          <reference field="3" count="1" selected="0">
            <x v="54"/>
          </reference>
          <reference field="4" count="1" selected="0">
            <x v="216"/>
          </reference>
          <reference field="5" count="1" selected="0">
            <x v="326"/>
          </reference>
          <reference field="7" count="1">
            <x v="582"/>
          </reference>
        </references>
      </pivotArea>
    </format>
    <format dxfId="544">
      <pivotArea dataOnly="0" labelOnly="1" outline="0" fieldPosition="0">
        <references count="5">
          <reference field="0" count="1" selected="0">
            <x v="4"/>
          </reference>
          <reference field="3" count="1" selected="0">
            <x v="54"/>
          </reference>
          <reference field="4" count="1" selected="0">
            <x v="216"/>
          </reference>
          <reference field="5" count="1" selected="0">
            <x v="327"/>
          </reference>
          <reference field="7" count="1">
            <x v="585"/>
          </reference>
        </references>
      </pivotArea>
    </format>
    <format dxfId="543">
      <pivotArea dataOnly="0" labelOnly="1" outline="0" fieldPosition="0">
        <references count="5">
          <reference field="0" count="1" selected="0">
            <x v="4"/>
          </reference>
          <reference field="3" count="1" selected="0">
            <x v="54"/>
          </reference>
          <reference field="4" count="1" selected="0">
            <x v="216"/>
          </reference>
          <reference field="5" count="1" selected="0">
            <x v="351"/>
          </reference>
          <reference field="7" count="1">
            <x v="1025"/>
          </reference>
        </references>
      </pivotArea>
    </format>
    <format dxfId="542">
      <pivotArea dataOnly="0" labelOnly="1" outline="0" fieldPosition="0">
        <references count="5">
          <reference field="0" count="1" selected="0">
            <x v="4"/>
          </reference>
          <reference field="3" count="1" selected="0">
            <x v="54"/>
          </reference>
          <reference field="4" count="1" selected="0">
            <x v="216"/>
          </reference>
          <reference field="5" count="1" selected="0">
            <x v="363"/>
          </reference>
          <reference field="7" count="1">
            <x v="673"/>
          </reference>
        </references>
      </pivotArea>
    </format>
    <format dxfId="541">
      <pivotArea dataOnly="0" labelOnly="1" outline="0" fieldPosition="0">
        <references count="5">
          <reference field="0" count="1" selected="0">
            <x v="4"/>
          </reference>
          <reference field="3" count="1" selected="0">
            <x v="54"/>
          </reference>
          <reference field="4" count="1" selected="0">
            <x v="216"/>
          </reference>
          <reference field="5" count="1" selected="0">
            <x v="367"/>
          </reference>
          <reference field="7" count="1">
            <x v="896"/>
          </reference>
        </references>
      </pivotArea>
    </format>
    <format dxfId="540">
      <pivotArea dataOnly="0" labelOnly="1" outline="0" fieldPosition="0">
        <references count="5">
          <reference field="0" count="1" selected="0">
            <x v="4"/>
          </reference>
          <reference field="3" count="1" selected="0">
            <x v="54"/>
          </reference>
          <reference field="4" count="1" selected="0">
            <x v="216"/>
          </reference>
          <reference field="5" count="1" selected="0">
            <x v="371"/>
          </reference>
          <reference field="7" count="1">
            <x v="674"/>
          </reference>
        </references>
      </pivotArea>
    </format>
    <format dxfId="539">
      <pivotArea dataOnly="0" labelOnly="1" outline="0" fieldPosition="0">
        <references count="5">
          <reference field="0" count="1" selected="0">
            <x v="4"/>
          </reference>
          <reference field="3" count="1" selected="0">
            <x v="54"/>
          </reference>
          <reference field="4" count="1" selected="0">
            <x v="216"/>
          </reference>
          <reference field="5" count="1" selected="0">
            <x v="373"/>
          </reference>
          <reference field="7" count="1">
            <x v="998"/>
          </reference>
        </references>
      </pivotArea>
    </format>
    <format dxfId="538">
      <pivotArea dataOnly="0" labelOnly="1" outline="0" fieldPosition="0">
        <references count="5">
          <reference field="0" count="1" selected="0">
            <x v="4"/>
          </reference>
          <reference field="3" count="1" selected="0">
            <x v="54"/>
          </reference>
          <reference field="4" count="1" selected="0">
            <x v="216"/>
          </reference>
          <reference field="5" count="1" selected="0">
            <x v="409"/>
          </reference>
          <reference field="7" count="1">
            <x v="672"/>
          </reference>
        </references>
      </pivotArea>
    </format>
    <format dxfId="537">
      <pivotArea dataOnly="0" labelOnly="1" outline="0" fieldPosition="0">
        <references count="5">
          <reference field="0" count="1" selected="0">
            <x v="4"/>
          </reference>
          <reference field="3" count="1" selected="0">
            <x v="54"/>
          </reference>
          <reference field="4" count="1" selected="0">
            <x v="216"/>
          </reference>
          <reference field="5" count="1" selected="0">
            <x v="1468"/>
          </reference>
          <reference field="7" count="1">
            <x v="147"/>
          </reference>
        </references>
      </pivotArea>
    </format>
    <format dxfId="536">
      <pivotArea dataOnly="0" labelOnly="1" outline="0" fieldPosition="0">
        <references count="5">
          <reference field="0" count="1" selected="0">
            <x v="4"/>
          </reference>
          <reference field="3" count="1" selected="0">
            <x v="54"/>
          </reference>
          <reference field="4" count="1" selected="0">
            <x v="216"/>
          </reference>
          <reference field="5" count="1" selected="0">
            <x v="1469"/>
          </reference>
          <reference field="7" count="1">
            <x v="499"/>
          </reference>
        </references>
      </pivotArea>
    </format>
    <format dxfId="535">
      <pivotArea dataOnly="0" labelOnly="1" outline="0" fieldPosition="0">
        <references count="5">
          <reference field="0" count="1" selected="0">
            <x v="4"/>
          </reference>
          <reference field="3" count="1" selected="0">
            <x v="54"/>
          </reference>
          <reference field="4" count="1" selected="0">
            <x v="216"/>
          </reference>
          <reference field="5" count="1" selected="0">
            <x v="1470"/>
          </reference>
          <reference field="7" count="1">
            <x v="497"/>
          </reference>
        </references>
      </pivotArea>
    </format>
    <format dxfId="534">
      <pivotArea dataOnly="0" labelOnly="1" outline="0" fieldPosition="0">
        <references count="5">
          <reference field="0" count="1" selected="0">
            <x v="4"/>
          </reference>
          <reference field="3" count="1" selected="0">
            <x v="54"/>
          </reference>
          <reference field="4" count="1" selected="0">
            <x v="216"/>
          </reference>
          <reference field="5" count="1" selected="0">
            <x v="1471"/>
          </reference>
          <reference field="7" count="1">
            <x v="498"/>
          </reference>
        </references>
      </pivotArea>
    </format>
    <format dxfId="533">
      <pivotArea dataOnly="0" labelOnly="1" outline="0" fieldPosition="0">
        <references count="5">
          <reference field="0" count="1" selected="0">
            <x v="4"/>
          </reference>
          <reference field="3" count="1" selected="0">
            <x v="54"/>
          </reference>
          <reference field="4" count="1" selected="0">
            <x v="216"/>
          </reference>
          <reference field="5" count="1" selected="0">
            <x v="1472"/>
          </reference>
          <reference field="7" count="1">
            <x v="1037"/>
          </reference>
        </references>
      </pivotArea>
    </format>
    <format dxfId="532">
      <pivotArea dataOnly="0" labelOnly="1" outline="0" fieldPosition="0">
        <references count="5">
          <reference field="0" count="1" selected="0">
            <x v="4"/>
          </reference>
          <reference field="3" count="1" selected="0">
            <x v="54"/>
          </reference>
          <reference field="4" count="1" selected="0">
            <x v="216"/>
          </reference>
          <reference field="5" count="1" selected="0">
            <x v="1473"/>
          </reference>
          <reference field="7" count="1">
            <x v="500"/>
          </reference>
        </references>
      </pivotArea>
    </format>
    <format dxfId="531">
      <pivotArea dataOnly="0" labelOnly="1" outline="0" fieldPosition="0">
        <references count="5">
          <reference field="0" count="1" selected="0">
            <x v="4"/>
          </reference>
          <reference field="3" count="1" selected="0">
            <x v="55"/>
          </reference>
          <reference field="4" count="1" selected="0">
            <x v="171"/>
          </reference>
          <reference field="5" count="1" selected="0">
            <x v="1524"/>
          </reference>
          <reference field="7" count="1">
            <x v="333"/>
          </reference>
        </references>
      </pivotArea>
    </format>
    <format dxfId="530">
      <pivotArea dataOnly="0" labelOnly="1" outline="0" fieldPosition="0">
        <references count="5">
          <reference field="0" count="1" selected="0">
            <x v="4"/>
          </reference>
          <reference field="3" count="1" selected="0">
            <x v="55"/>
          </reference>
          <reference field="4" count="1" selected="0">
            <x v="171"/>
          </reference>
          <reference field="5" count="1" selected="0">
            <x v="1528"/>
          </reference>
          <reference field="7" count="1">
            <x v="304"/>
          </reference>
        </references>
      </pivotArea>
    </format>
    <format dxfId="529">
      <pivotArea dataOnly="0" labelOnly="1" outline="0" fieldPosition="0">
        <references count="5">
          <reference field="0" count="1" selected="0">
            <x v="4"/>
          </reference>
          <reference field="3" count="1" selected="0">
            <x v="55"/>
          </reference>
          <reference field="4" count="1" selected="0">
            <x v="171"/>
          </reference>
          <reference field="5" count="1" selected="0">
            <x v="1628"/>
          </reference>
          <reference field="7" count="1">
            <x v="1473"/>
          </reference>
        </references>
      </pivotArea>
    </format>
    <format dxfId="528">
      <pivotArea dataOnly="0" labelOnly="1" outline="0" fieldPosition="0">
        <references count="5">
          <reference field="0" count="1" selected="0">
            <x v="4"/>
          </reference>
          <reference field="3" count="1" selected="0">
            <x v="55"/>
          </reference>
          <reference field="4" count="1" selected="0">
            <x v="216"/>
          </reference>
          <reference field="5" count="1" selected="0">
            <x v="166"/>
          </reference>
          <reference field="7" count="1">
            <x v="1086"/>
          </reference>
        </references>
      </pivotArea>
    </format>
    <format dxfId="527">
      <pivotArea dataOnly="0" labelOnly="1" outline="0" fieldPosition="0">
        <references count="5">
          <reference field="0" count="1" selected="0">
            <x v="4"/>
          </reference>
          <reference field="3" count="1" selected="0">
            <x v="55"/>
          </reference>
          <reference field="4" count="1" selected="0">
            <x v="216"/>
          </reference>
          <reference field="5" count="1" selected="0">
            <x v="363"/>
          </reference>
          <reference field="7" count="1">
            <x v="673"/>
          </reference>
        </references>
      </pivotArea>
    </format>
    <format dxfId="526">
      <pivotArea dataOnly="0" labelOnly="1" outline="0" fieldPosition="0">
        <references count="5">
          <reference field="0" count="1" selected="0">
            <x v="4"/>
          </reference>
          <reference field="3" count="1" selected="0">
            <x v="55"/>
          </reference>
          <reference field="4" count="1" selected="0">
            <x v="216"/>
          </reference>
          <reference field="5" count="1" selected="0">
            <x v="367"/>
          </reference>
          <reference field="7" count="1">
            <x v="896"/>
          </reference>
        </references>
      </pivotArea>
    </format>
    <format dxfId="525">
      <pivotArea dataOnly="0" labelOnly="1" outline="0" fieldPosition="0">
        <references count="5">
          <reference field="0" count="1" selected="0">
            <x v="4"/>
          </reference>
          <reference field="3" count="1" selected="0">
            <x v="55"/>
          </reference>
          <reference field="4" count="1" selected="0">
            <x v="216"/>
          </reference>
          <reference field="5" count="1" selected="0">
            <x v="373"/>
          </reference>
          <reference field="7" count="1">
            <x v="998"/>
          </reference>
        </references>
      </pivotArea>
    </format>
    <format dxfId="524">
      <pivotArea dataOnly="0" labelOnly="1" outline="0" fieldPosition="0">
        <references count="5">
          <reference field="0" count="1" selected="0">
            <x v="4"/>
          </reference>
          <reference field="3" count="1" selected="0">
            <x v="55"/>
          </reference>
          <reference field="4" count="1" selected="0">
            <x v="216"/>
          </reference>
          <reference field="5" count="1" selected="0">
            <x v="1488"/>
          </reference>
          <reference field="7" count="1">
            <x v="143"/>
          </reference>
        </references>
      </pivotArea>
    </format>
    <format dxfId="523">
      <pivotArea dataOnly="0" labelOnly="1" outline="0" fieldPosition="0">
        <references count="5">
          <reference field="0" count="1" selected="0">
            <x v="4"/>
          </reference>
          <reference field="3" count="1" selected="0">
            <x v="55"/>
          </reference>
          <reference field="4" count="1" selected="0">
            <x v="216"/>
          </reference>
          <reference field="5" count="1" selected="0">
            <x v="1489"/>
          </reference>
          <reference field="7" count="1">
            <x v="465"/>
          </reference>
        </references>
      </pivotArea>
    </format>
    <format dxfId="522">
      <pivotArea dataOnly="0" labelOnly="1" outline="0" fieldPosition="0">
        <references count="5">
          <reference field="0" count="1" selected="0">
            <x v="4"/>
          </reference>
          <reference field="3" count="1" selected="0">
            <x v="55"/>
          </reference>
          <reference field="4" count="1" selected="0">
            <x v="216"/>
          </reference>
          <reference field="5" count="1" selected="0">
            <x v="1490"/>
          </reference>
          <reference field="7" count="1">
            <x v="468"/>
          </reference>
        </references>
      </pivotArea>
    </format>
    <format dxfId="521">
      <pivotArea dataOnly="0" labelOnly="1" outline="0" fieldPosition="0">
        <references count="5">
          <reference field="0" count="1" selected="0">
            <x v="4"/>
          </reference>
          <reference field="3" count="1" selected="0">
            <x v="55"/>
          </reference>
          <reference field="4" count="1" selected="0">
            <x v="216"/>
          </reference>
          <reference field="5" count="1" selected="0">
            <x v="1491"/>
          </reference>
          <reference field="7" count="1">
            <x v="466"/>
          </reference>
        </references>
      </pivotArea>
    </format>
    <format dxfId="520">
      <pivotArea dataOnly="0" labelOnly="1" outline="0" fieldPosition="0">
        <references count="5">
          <reference field="0" count="1" selected="0">
            <x v="4"/>
          </reference>
          <reference field="3" count="1" selected="0">
            <x v="55"/>
          </reference>
          <reference field="4" count="1" selected="0">
            <x v="216"/>
          </reference>
          <reference field="5" count="1" selected="0">
            <x v="1492"/>
          </reference>
          <reference field="7" count="1">
            <x v="1035"/>
          </reference>
        </references>
      </pivotArea>
    </format>
    <format dxfId="519">
      <pivotArea dataOnly="0" labelOnly="1" outline="0" fieldPosition="0">
        <references count="5">
          <reference field="0" count="1" selected="0">
            <x v="4"/>
          </reference>
          <reference field="3" count="1" selected="0">
            <x v="56"/>
          </reference>
          <reference field="4" count="1" selected="0">
            <x v="48"/>
          </reference>
          <reference field="5" count="1" selected="0">
            <x v="203"/>
          </reference>
          <reference field="7" count="1">
            <x v="1418"/>
          </reference>
        </references>
      </pivotArea>
    </format>
    <format dxfId="518">
      <pivotArea dataOnly="0" labelOnly="1" outline="0" fieldPosition="0">
        <references count="5">
          <reference field="0" count="1" selected="0">
            <x v="4"/>
          </reference>
          <reference field="3" count="1" selected="0">
            <x v="56"/>
          </reference>
          <reference field="4" count="1" selected="0">
            <x v="48"/>
          </reference>
          <reference field="5" count="1" selected="0">
            <x v="302"/>
          </reference>
          <reference field="7" count="1">
            <x v="1070"/>
          </reference>
        </references>
      </pivotArea>
    </format>
    <format dxfId="517">
      <pivotArea dataOnly="0" labelOnly="1" outline="0" fieldPosition="0">
        <references count="5">
          <reference field="0" count="1" selected="0">
            <x v="4"/>
          </reference>
          <reference field="3" count="1" selected="0">
            <x v="56"/>
          </reference>
          <reference field="4" count="1" selected="0">
            <x v="48"/>
          </reference>
          <reference field="5" count="1" selected="0">
            <x v="1495"/>
          </reference>
          <reference field="7" count="1">
            <x v="176"/>
          </reference>
        </references>
      </pivotArea>
    </format>
    <format dxfId="516">
      <pivotArea dataOnly="0" labelOnly="1" outline="0" fieldPosition="0">
        <references count="5">
          <reference field="0" count="1" selected="0">
            <x v="4"/>
          </reference>
          <reference field="3" count="1" selected="0">
            <x v="56"/>
          </reference>
          <reference field="4" count="1" selected="0">
            <x v="48"/>
          </reference>
          <reference field="5" count="1" selected="0">
            <x v="1499"/>
          </reference>
          <reference field="7" count="1">
            <x v="759"/>
          </reference>
        </references>
      </pivotArea>
    </format>
    <format dxfId="515">
      <pivotArea dataOnly="0" labelOnly="1" outline="0" fieldPosition="0">
        <references count="5">
          <reference field="0" count="1" selected="0">
            <x v="4"/>
          </reference>
          <reference field="3" count="1" selected="0">
            <x v="56"/>
          </reference>
          <reference field="4" count="1" selected="0">
            <x v="49"/>
          </reference>
          <reference field="5" count="1" selected="0">
            <x v="349"/>
          </reference>
          <reference field="7" count="1">
            <x v="117"/>
          </reference>
        </references>
      </pivotArea>
    </format>
    <format dxfId="514">
      <pivotArea dataOnly="0" labelOnly="1" outline="0" fieldPosition="0">
        <references count="5">
          <reference field="0" count="1" selected="0">
            <x v="4"/>
          </reference>
          <reference field="3" count="1" selected="0">
            <x v="56"/>
          </reference>
          <reference field="4" count="1" selected="0">
            <x v="49"/>
          </reference>
          <reference field="5" count="1" selected="0">
            <x v="350"/>
          </reference>
          <reference field="7" count="1">
            <x v="1024"/>
          </reference>
        </references>
      </pivotArea>
    </format>
    <format dxfId="513">
      <pivotArea dataOnly="0" labelOnly="1" outline="0" fieldPosition="0">
        <references count="5">
          <reference field="0" count="1" selected="0">
            <x v="4"/>
          </reference>
          <reference field="3" count="1" selected="0">
            <x v="56"/>
          </reference>
          <reference field="4" count="1" selected="0">
            <x v="49"/>
          </reference>
          <reference field="5" count="1" selected="0">
            <x v="387"/>
          </reference>
          <reference field="7" count="1">
            <x v="114"/>
          </reference>
        </references>
      </pivotArea>
    </format>
    <format dxfId="512">
      <pivotArea dataOnly="0" labelOnly="1" outline="0" fieldPosition="0">
        <references count="5">
          <reference field="0" count="1" selected="0">
            <x v="4"/>
          </reference>
          <reference field="3" count="1" selected="0">
            <x v="56"/>
          </reference>
          <reference field="4" count="1" selected="0">
            <x v="173"/>
          </reference>
          <reference field="5" count="1" selected="0">
            <x v="1526"/>
          </reference>
          <reference field="7" count="1">
            <x v="335"/>
          </reference>
        </references>
      </pivotArea>
    </format>
    <format dxfId="511">
      <pivotArea dataOnly="0" labelOnly="1" outline="0" fieldPosition="0">
        <references count="5">
          <reference field="0" count="1" selected="0">
            <x v="4"/>
          </reference>
          <reference field="3" count="1" selected="0">
            <x v="56"/>
          </reference>
          <reference field="4" count="1" selected="0">
            <x v="173"/>
          </reference>
          <reference field="5" count="1" selected="0">
            <x v="1529"/>
          </reference>
          <reference field="7" count="1">
            <x v="306"/>
          </reference>
        </references>
      </pivotArea>
    </format>
    <format dxfId="510">
      <pivotArea dataOnly="0" labelOnly="1" outline="0" fieldPosition="0">
        <references count="5">
          <reference field="0" count="1" selected="0">
            <x v="4"/>
          </reference>
          <reference field="3" count="1" selected="0">
            <x v="56"/>
          </reference>
          <reference field="4" count="1" selected="0">
            <x v="173"/>
          </reference>
          <reference field="5" count="1" selected="0">
            <x v="1628"/>
          </reference>
          <reference field="7" count="1">
            <x v="1473"/>
          </reference>
        </references>
      </pivotArea>
    </format>
    <format dxfId="509">
      <pivotArea dataOnly="0" labelOnly="1" outline="0" fieldPosition="0">
        <references count="5">
          <reference field="0" count="1" selected="0">
            <x v="4"/>
          </reference>
          <reference field="3" count="1" selected="0">
            <x v="56"/>
          </reference>
          <reference field="4" count="1" selected="0">
            <x v="192"/>
          </reference>
          <reference field="5" count="1" selected="0">
            <x v="253"/>
          </reference>
          <reference field="7" count="1">
            <x v="1319"/>
          </reference>
        </references>
      </pivotArea>
    </format>
    <format dxfId="508">
      <pivotArea dataOnly="0" labelOnly="1" outline="0" fieldPosition="0">
        <references count="5">
          <reference field="0" count="1" selected="0">
            <x v="4"/>
          </reference>
          <reference field="3" count="1" selected="0">
            <x v="56"/>
          </reference>
          <reference field="4" count="1" selected="0">
            <x v="192"/>
          </reference>
          <reference field="5" count="1" selected="0">
            <x v="1543"/>
          </reference>
          <reference field="7" count="1">
            <x v="793"/>
          </reference>
        </references>
      </pivotArea>
    </format>
    <format dxfId="507">
      <pivotArea dataOnly="0" labelOnly="1" outline="0" fieldPosition="0">
        <references count="5">
          <reference field="0" count="1" selected="0">
            <x v="4"/>
          </reference>
          <reference field="3" count="1" selected="0">
            <x v="56"/>
          </reference>
          <reference field="4" count="1" selected="0">
            <x v="192"/>
          </reference>
          <reference field="5" count="1" selected="0">
            <x v="1566"/>
          </reference>
          <reference field="7" count="1">
            <x v="196"/>
          </reference>
        </references>
      </pivotArea>
    </format>
    <format dxfId="506">
      <pivotArea dataOnly="0" labelOnly="1" outline="0" fieldPosition="0">
        <references count="5">
          <reference field="0" count="1" selected="0">
            <x v="4"/>
          </reference>
          <reference field="3" count="1" selected="0">
            <x v="56"/>
          </reference>
          <reference field="4" count="1" selected="0">
            <x v="193"/>
          </reference>
          <reference field="5" count="1" selected="0">
            <x v="252"/>
          </reference>
          <reference field="7" count="1">
            <x v="1319"/>
          </reference>
        </references>
      </pivotArea>
    </format>
    <format dxfId="505">
      <pivotArea dataOnly="0" labelOnly="1" outline="0" fieldPosition="0">
        <references count="5">
          <reference field="0" count="1" selected="0">
            <x v="4"/>
          </reference>
          <reference field="3" count="1" selected="0">
            <x v="56"/>
          </reference>
          <reference field="4" count="1" selected="0">
            <x v="193"/>
          </reference>
          <reference field="5" count="1" selected="0">
            <x v="253"/>
          </reference>
          <reference field="7" count="1">
            <x v="1319"/>
          </reference>
        </references>
      </pivotArea>
    </format>
    <format dxfId="504">
      <pivotArea dataOnly="0" labelOnly="1" outline="0" fieldPosition="0">
        <references count="5">
          <reference field="0" count="1" selected="0">
            <x v="4"/>
          </reference>
          <reference field="3" count="1" selected="0">
            <x v="56"/>
          </reference>
          <reference field="4" count="1" selected="0">
            <x v="193"/>
          </reference>
          <reference field="5" count="1" selected="0">
            <x v="1544"/>
          </reference>
          <reference field="7" count="1">
            <x v="793"/>
          </reference>
        </references>
      </pivotArea>
    </format>
    <format dxfId="503">
      <pivotArea dataOnly="0" labelOnly="1" outline="0" fieldPosition="0">
        <references count="5">
          <reference field="0" count="1" selected="0">
            <x v="4"/>
          </reference>
          <reference field="3" count="1" selected="0">
            <x v="56"/>
          </reference>
          <reference field="4" count="1" selected="0">
            <x v="193"/>
          </reference>
          <reference field="5" count="1" selected="0">
            <x v="1567"/>
          </reference>
          <reference field="7" count="1">
            <x v="196"/>
          </reference>
        </references>
      </pivotArea>
    </format>
    <format dxfId="502">
      <pivotArea dataOnly="0" labelOnly="1" outline="0" fieldPosition="0">
        <references count="5">
          <reference field="0" count="1" selected="0">
            <x v="4"/>
          </reference>
          <reference field="3" count="1" selected="0">
            <x v="56"/>
          </reference>
          <reference field="4" count="1" selected="0">
            <x v="194"/>
          </reference>
          <reference field="5" count="1" selected="0">
            <x v="253"/>
          </reference>
          <reference field="7" count="1">
            <x v="1319"/>
          </reference>
        </references>
      </pivotArea>
    </format>
    <format dxfId="501">
      <pivotArea dataOnly="0" labelOnly="1" outline="0" fieldPosition="0">
        <references count="5">
          <reference field="0" count="1" selected="0">
            <x v="4"/>
          </reference>
          <reference field="3" count="1" selected="0">
            <x v="56"/>
          </reference>
          <reference field="4" count="1" selected="0">
            <x v="194"/>
          </reference>
          <reference field="5" count="1" selected="0">
            <x v="1546"/>
          </reference>
          <reference field="7" count="1">
            <x v="793"/>
          </reference>
        </references>
      </pivotArea>
    </format>
    <format dxfId="500">
      <pivotArea dataOnly="0" labelOnly="1" outline="0" fieldPosition="0">
        <references count="5">
          <reference field="0" count="1" selected="0">
            <x v="4"/>
          </reference>
          <reference field="3" count="1" selected="0">
            <x v="56"/>
          </reference>
          <reference field="4" count="1" selected="0">
            <x v="194"/>
          </reference>
          <reference field="5" count="1" selected="0">
            <x v="1569"/>
          </reference>
          <reference field="7" count="1">
            <x v="196"/>
          </reference>
        </references>
      </pivotArea>
    </format>
    <format dxfId="499">
      <pivotArea dataOnly="0" labelOnly="1" outline="0" fieldPosition="0">
        <references count="5">
          <reference field="0" count="1" selected="0">
            <x v="4"/>
          </reference>
          <reference field="3" count="1" selected="0">
            <x v="56"/>
          </reference>
          <reference field="4" count="1" selected="0">
            <x v="216"/>
          </reference>
          <reference field="5" count="1" selected="0">
            <x v="72"/>
          </reference>
          <reference field="7" count="1">
            <x v="1480"/>
          </reference>
        </references>
      </pivotArea>
    </format>
    <format dxfId="498">
      <pivotArea dataOnly="0" labelOnly="1" outline="0" fieldPosition="0">
        <references count="5">
          <reference field="0" count="1" selected="0">
            <x v="4"/>
          </reference>
          <reference field="3" count="1" selected="0">
            <x v="56"/>
          </reference>
          <reference field="4" count="1" selected="0">
            <x v="216"/>
          </reference>
          <reference field="5" count="1" selected="0">
            <x v="148"/>
          </reference>
          <reference field="7" count="1">
            <x v="977"/>
          </reference>
        </references>
      </pivotArea>
    </format>
    <format dxfId="497">
      <pivotArea dataOnly="0" labelOnly="1" outline="0" fieldPosition="0">
        <references count="5">
          <reference field="0" count="1" selected="0">
            <x v="4"/>
          </reference>
          <reference field="3" count="1" selected="0">
            <x v="56"/>
          </reference>
          <reference field="4" count="1" selected="0">
            <x v="216"/>
          </reference>
          <reference field="5" count="1" selected="0">
            <x v="164"/>
          </reference>
          <reference field="7" count="1">
            <x v="1084"/>
          </reference>
        </references>
      </pivotArea>
    </format>
    <format dxfId="496">
      <pivotArea dataOnly="0" labelOnly="1" outline="0" fieldPosition="0">
        <references count="5">
          <reference field="0" count="1" selected="0">
            <x v="4"/>
          </reference>
          <reference field="3" count="1" selected="0">
            <x v="56"/>
          </reference>
          <reference field="4" count="1" selected="0">
            <x v="216"/>
          </reference>
          <reference field="5" count="1" selected="0">
            <x v="167"/>
          </reference>
          <reference field="7" count="1">
            <x v="1088"/>
          </reference>
        </references>
      </pivotArea>
    </format>
    <format dxfId="495">
      <pivotArea dataOnly="0" labelOnly="1" outline="0" fieldPosition="0">
        <references count="5">
          <reference field="0" count="1" selected="0">
            <x v="4"/>
          </reference>
          <reference field="3" count="1" selected="0">
            <x v="56"/>
          </reference>
          <reference field="4" count="1" selected="0">
            <x v="216"/>
          </reference>
          <reference field="5" count="1" selected="0">
            <x v="206"/>
          </reference>
          <reference field="7" count="1">
            <x v="1428"/>
          </reference>
        </references>
      </pivotArea>
    </format>
    <format dxfId="494">
      <pivotArea dataOnly="0" labelOnly="1" outline="0" fieldPosition="0">
        <references count="5">
          <reference field="0" count="1" selected="0">
            <x v="4"/>
          </reference>
          <reference field="3" count="1" selected="0">
            <x v="56"/>
          </reference>
          <reference field="4" count="1" selected="0">
            <x v="216"/>
          </reference>
          <reference field="5" count="1" selected="0">
            <x v="363"/>
          </reference>
          <reference field="7" count="1">
            <x v="673"/>
          </reference>
        </references>
      </pivotArea>
    </format>
    <format dxfId="493">
      <pivotArea dataOnly="0" labelOnly="1" outline="0" fieldPosition="0">
        <references count="5">
          <reference field="0" count="1" selected="0">
            <x v="4"/>
          </reference>
          <reference field="3" count="1" selected="0">
            <x v="56"/>
          </reference>
          <reference field="4" count="1" selected="0">
            <x v="216"/>
          </reference>
          <reference field="5" count="1" selected="0">
            <x v="367"/>
          </reference>
          <reference field="7" count="1">
            <x v="896"/>
          </reference>
        </references>
      </pivotArea>
    </format>
    <format dxfId="492">
      <pivotArea dataOnly="0" labelOnly="1" outline="0" fieldPosition="0">
        <references count="5">
          <reference field="0" count="1" selected="0">
            <x v="4"/>
          </reference>
          <reference field="3" count="1" selected="0">
            <x v="56"/>
          </reference>
          <reference field="4" count="1" selected="0">
            <x v="216"/>
          </reference>
          <reference field="5" count="1" selected="0">
            <x v="371"/>
          </reference>
          <reference field="7" count="1">
            <x v="674"/>
          </reference>
        </references>
      </pivotArea>
    </format>
    <format dxfId="491">
      <pivotArea dataOnly="0" labelOnly="1" outline="0" fieldPosition="0">
        <references count="5">
          <reference field="0" count="1" selected="0">
            <x v="4"/>
          </reference>
          <reference field="3" count="1" selected="0">
            <x v="56"/>
          </reference>
          <reference field="4" count="1" selected="0">
            <x v="216"/>
          </reference>
          <reference field="5" count="1" selected="0">
            <x v="373"/>
          </reference>
          <reference field="7" count="1">
            <x v="998"/>
          </reference>
        </references>
      </pivotArea>
    </format>
    <format dxfId="490">
      <pivotArea dataOnly="0" labelOnly="1" outline="0" fieldPosition="0">
        <references count="5">
          <reference field="0" count="1" selected="0">
            <x v="4"/>
          </reference>
          <reference field="3" count="1" selected="0">
            <x v="56"/>
          </reference>
          <reference field="4" count="1" selected="0">
            <x v="216"/>
          </reference>
          <reference field="5" count="1" selected="0">
            <x v="1493"/>
          </reference>
          <reference field="7" count="1">
            <x v="177"/>
          </reference>
        </references>
      </pivotArea>
    </format>
    <format dxfId="489">
      <pivotArea dataOnly="0" labelOnly="1" outline="0" fieldPosition="0">
        <references count="5">
          <reference field="0" count="1" selected="0">
            <x v="4"/>
          </reference>
          <reference field="3" count="1" selected="0">
            <x v="56"/>
          </reference>
          <reference field="4" count="1" selected="0">
            <x v="216"/>
          </reference>
          <reference field="5" count="1" selected="0">
            <x v="1494"/>
          </reference>
          <reference field="7" count="1">
            <x v="760"/>
          </reference>
        </references>
      </pivotArea>
    </format>
    <format dxfId="488">
      <pivotArea dataOnly="0" labelOnly="1" outline="0" fieldPosition="0">
        <references count="5">
          <reference field="0" count="1" selected="0">
            <x v="4"/>
          </reference>
          <reference field="3" count="1" selected="0">
            <x v="56"/>
          </reference>
          <reference field="4" count="1" selected="0">
            <x v="216"/>
          </reference>
          <reference field="5" count="1" selected="0">
            <x v="1496"/>
          </reference>
          <reference field="7" count="1">
            <x v="762"/>
          </reference>
        </references>
      </pivotArea>
    </format>
    <format dxfId="487">
      <pivotArea dataOnly="0" labelOnly="1" outline="0" fieldPosition="0">
        <references count="5">
          <reference field="0" count="1" selected="0">
            <x v="4"/>
          </reference>
          <reference field="3" count="1" selected="0">
            <x v="56"/>
          </reference>
          <reference field="4" count="1" selected="0">
            <x v="216"/>
          </reference>
          <reference field="5" count="1" selected="0">
            <x v="1497"/>
          </reference>
          <reference field="7" count="1">
            <x v="761"/>
          </reference>
        </references>
      </pivotArea>
    </format>
    <format dxfId="486">
      <pivotArea dataOnly="0" labelOnly="1" outline="0" fieldPosition="0">
        <references count="5">
          <reference field="0" count="1" selected="0">
            <x v="4"/>
          </reference>
          <reference field="3" count="1" selected="0">
            <x v="56"/>
          </reference>
          <reference field="4" count="1" selected="0">
            <x v="216"/>
          </reference>
          <reference field="5" count="1" selected="0">
            <x v="1498"/>
          </reference>
          <reference field="7" count="1">
            <x v="1045"/>
          </reference>
        </references>
      </pivotArea>
    </format>
    <format dxfId="485">
      <pivotArea dataOnly="0" labelOnly="1" outline="0" fieldPosition="0">
        <references count="5">
          <reference field="0" count="1" selected="0">
            <x v="4"/>
          </reference>
          <reference field="3" count="1" selected="0">
            <x v="56"/>
          </reference>
          <reference field="4" count="1" selected="0">
            <x v="216"/>
          </reference>
          <reference field="5" count="1" selected="0">
            <x v="1608"/>
          </reference>
          <reference field="7" count="1">
            <x v="1118"/>
          </reference>
        </references>
      </pivotArea>
    </format>
    <format dxfId="484">
      <pivotArea dataOnly="0" labelOnly="1" outline="0" fieldPosition="0">
        <references count="5">
          <reference field="0" count="1" selected="0">
            <x v="4"/>
          </reference>
          <reference field="3" count="1" selected="0">
            <x v="56"/>
          </reference>
          <reference field="4" count="1" selected="0">
            <x v="216"/>
          </reference>
          <reference field="5" count="1" selected="0">
            <x v="1609"/>
          </reference>
          <reference field="7" count="1">
            <x v="669"/>
          </reference>
        </references>
      </pivotArea>
    </format>
    <format dxfId="483">
      <pivotArea dataOnly="0" labelOnly="1" outline="0" fieldPosition="0">
        <references count="5">
          <reference field="0" count="1" selected="0">
            <x v="4"/>
          </reference>
          <reference field="3" count="1" selected="0">
            <x v="57"/>
          </reference>
          <reference field="4" count="1" selected="0">
            <x v="5"/>
          </reference>
          <reference field="5" count="1" selected="0">
            <x v="349"/>
          </reference>
          <reference field="7" count="1">
            <x v="117"/>
          </reference>
        </references>
      </pivotArea>
    </format>
    <format dxfId="482">
      <pivotArea dataOnly="0" labelOnly="1" outline="0" fieldPosition="0">
        <references count="5">
          <reference field="0" count="1" selected="0">
            <x v="4"/>
          </reference>
          <reference field="3" count="1" selected="0">
            <x v="57"/>
          </reference>
          <reference field="4" count="1" selected="0">
            <x v="5"/>
          </reference>
          <reference field="5" count="1" selected="0">
            <x v="350"/>
          </reference>
          <reference field="7" count="1">
            <x v="1024"/>
          </reference>
        </references>
      </pivotArea>
    </format>
    <format dxfId="481">
      <pivotArea dataOnly="0" labelOnly="1" outline="0" fieldPosition="0">
        <references count="5">
          <reference field="0" count="1" selected="0">
            <x v="4"/>
          </reference>
          <reference field="3" count="1" selected="0">
            <x v="57"/>
          </reference>
          <reference field="4" count="1" selected="0">
            <x v="5"/>
          </reference>
          <reference field="5" count="1" selected="0">
            <x v="387"/>
          </reference>
          <reference field="7" count="1">
            <x v="114"/>
          </reference>
        </references>
      </pivotArea>
    </format>
    <format dxfId="480">
      <pivotArea dataOnly="0" labelOnly="1" outline="0" fieldPosition="0">
        <references count="5">
          <reference field="0" count="1" selected="0">
            <x v="4"/>
          </reference>
          <reference field="3" count="1" selected="0">
            <x v="57"/>
          </reference>
          <reference field="4" count="1" selected="0">
            <x v="167"/>
          </reference>
          <reference field="5" count="1" selected="0">
            <x v="77"/>
          </reference>
          <reference field="7" count="1">
            <x v="1477"/>
          </reference>
        </references>
      </pivotArea>
    </format>
    <format dxfId="479">
      <pivotArea dataOnly="0" labelOnly="1" outline="0" fieldPosition="0">
        <references count="5">
          <reference field="0" count="1" selected="0">
            <x v="4"/>
          </reference>
          <reference field="3" count="1" selected="0">
            <x v="57"/>
          </reference>
          <reference field="4" count="1" selected="0">
            <x v="167"/>
          </reference>
          <reference field="5" count="1" selected="0">
            <x v="152"/>
          </reference>
          <reference field="7" count="1">
            <x v="1603"/>
          </reference>
        </references>
      </pivotArea>
    </format>
    <format dxfId="478">
      <pivotArea dataOnly="0" labelOnly="1" outline="0" fieldPosition="0">
        <references count="5">
          <reference field="0" count="1" selected="0">
            <x v="4"/>
          </reference>
          <reference field="3" count="1" selected="0">
            <x v="57"/>
          </reference>
          <reference field="4" count="1" selected="0">
            <x v="167"/>
          </reference>
          <reference field="5" count="1" selected="0">
            <x v="216"/>
          </reference>
          <reference field="7" count="1">
            <x v="1431"/>
          </reference>
        </references>
      </pivotArea>
    </format>
    <format dxfId="477">
      <pivotArea dataOnly="0" labelOnly="1" outline="0" fieldPosition="0">
        <references count="5">
          <reference field="0" count="1" selected="0">
            <x v="4"/>
          </reference>
          <reference field="3" count="1" selected="0">
            <x v="57"/>
          </reference>
          <reference field="4" count="1" selected="0">
            <x v="167"/>
          </reference>
          <reference field="5" count="1" selected="0">
            <x v="218"/>
          </reference>
          <reference field="7" count="1">
            <x v="363"/>
          </reference>
        </references>
      </pivotArea>
    </format>
    <format dxfId="476">
      <pivotArea dataOnly="0" labelOnly="1" outline="0" fieldPosition="0">
        <references count="5">
          <reference field="0" count="1" selected="0">
            <x v="4"/>
          </reference>
          <reference field="3" count="1" selected="0">
            <x v="57"/>
          </reference>
          <reference field="4" count="1" selected="0">
            <x v="167"/>
          </reference>
          <reference field="5" count="1" selected="0">
            <x v="1576"/>
          </reference>
          <reference field="7" count="1">
            <x v="300"/>
          </reference>
        </references>
      </pivotArea>
    </format>
    <format dxfId="475">
      <pivotArea dataOnly="0" labelOnly="1" outline="0" fieldPosition="0">
        <references count="5">
          <reference field="0" count="1" selected="0">
            <x v="4"/>
          </reference>
          <reference field="3" count="1" selected="0">
            <x v="57"/>
          </reference>
          <reference field="4" count="1" selected="0">
            <x v="167"/>
          </reference>
          <reference field="5" count="1" selected="0">
            <x v="1577"/>
          </reference>
          <reference field="7" count="1">
            <x v="373"/>
          </reference>
        </references>
      </pivotArea>
    </format>
    <format dxfId="474">
      <pivotArea dataOnly="0" labelOnly="1" outline="0" fieldPosition="0">
        <references count="5">
          <reference field="0" count="1" selected="0">
            <x v="4"/>
          </reference>
          <reference field="3" count="1" selected="0">
            <x v="57"/>
          </reference>
          <reference field="4" count="1" selected="0">
            <x v="167"/>
          </reference>
          <reference field="5" count="1" selected="0">
            <x v="1613"/>
          </reference>
          <reference field="7" count="1">
            <x v="510"/>
          </reference>
        </references>
      </pivotArea>
    </format>
    <format dxfId="473">
      <pivotArea dataOnly="0" labelOnly="1" outline="0" fieldPosition="0">
        <references count="5">
          <reference field="0" count="1" selected="0">
            <x v="4"/>
          </reference>
          <reference field="3" count="1" selected="0">
            <x v="57"/>
          </reference>
          <reference field="4" count="1" selected="0">
            <x v="197"/>
          </reference>
          <reference field="5" count="1" selected="0">
            <x v="253"/>
          </reference>
          <reference field="7" count="1">
            <x v="1319"/>
          </reference>
        </references>
      </pivotArea>
    </format>
    <format dxfId="472">
      <pivotArea dataOnly="0" labelOnly="1" outline="0" fieldPosition="0">
        <references count="5">
          <reference field="0" count="1" selected="0">
            <x v="4"/>
          </reference>
          <reference field="3" count="1" selected="0">
            <x v="57"/>
          </reference>
          <reference field="4" count="1" selected="0">
            <x v="197"/>
          </reference>
          <reference field="5" count="1" selected="0">
            <x v="1550"/>
          </reference>
          <reference field="7" count="1">
            <x v="798"/>
          </reference>
        </references>
      </pivotArea>
    </format>
    <format dxfId="471">
      <pivotArea dataOnly="0" labelOnly="1" outline="0" fieldPosition="0">
        <references count="5">
          <reference field="0" count="1" selected="0">
            <x v="4"/>
          </reference>
          <reference field="3" count="1" selected="0">
            <x v="57"/>
          </reference>
          <reference field="4" count="1" selected="0">
            <x v="197"/>
          </reference>
          <reference field="5" count="1" selected="0">
            <x v="1572"/>
          </reference>
          <reference field="7" count="1">
            <x v="201"/>
          </reference>
        </references>
      </pivotArea>
    </format>
    <format dxfId="470">
      <pivotArea dataOnly="0" labelOnly="1" outline="0" fieldPosition="0">
        <references count="5">
          <reference field="0" count="1" selected="0">
            <x v="4"/>
          </reference>
          <reference field="3" count="1" selected="0">
            <x v="57"/>
          </reference>
          <reference field="4" count="1" selected="0">
            <x v="216"/>
          </reference>
          <reference field="5" count="1" selected="0">
            <x v="8"/>
          </reference>
          <reference field="7" count="1">
            <x v="1484"/>
          </reference>
        </references>
      </pivotArea>
    </format>
    <format dxfId="469">
      <pivotArea dataOnly="0" labelOnly="1" outline="0" fieldPosition="0">
        <references count="5">
          <reference field="0" count="1" selected="0">
            <x v="4"/>
          </reference>
          <reference field="3" count="1" selected="0">
            <x v="57"/>
          </reference>
          <reference field="4" count="1" selected="0">
            <x v="216"/>
          </reference>
          <reference field="5" count="1" selected="0">
            <x v="11"/>
          </reference>
          <reference field="7" count="1">
            <x v="1482"/>
          </reference>
        </references>
      </pivotArea>
    </format>
    <format dxfId="468">
      <pivotArea dataOnly="0" labelOnly="1" outline="0" fieldPosition="0">
        <references count="5">
          <reference field="0" count="1" selected="0">
            <x v="4"/>
          </reference>
          <reference field="3" count="1" selected="0">
            <x v="57"/>
          </reference>
          <reference field="4" count="1" selected="0">
            <x v="216"/>
          </reference>
          <reference field="5" count="1" selected="0">
            <x v="119"/>
          </reference>
          <reference field="7" count="1">
            <x v="1091"/>
          </reference>
        </references>
      </pivotArea>
    </format>
    <format dxfId="467">
      <pivotArea dataOnly="0" labelOnly="1" outline="0" fieldPosition="0">
        <references count="5">
          <reference field="0" count="1" selected="0">
            <x v="4"/>
          </reference>
          <reference field="3" count="1" selected="0">
            <x v="57"/>
          </reference>
          <reference field="4" count="1" selected="0">
            <x v="216"/>
          </reference>
          <reference field="5" count="1" selected="0">
            <x v="148"/>
          </reference>
          <reference field="7" count="1">
            <x v="977"/>
          </reference>
        </references>
      </pivotArea>
    </format>
    <format dxfId="466">
      <pivotArea dataOnly="0" labelOnly="1" outline="0" fieldPosition="0">
        <references count="5">
          <reference field="0" count="1" selected="0">
            <x v="4"/>
          </reference>
          <reference field="3" count="1" selected="0">
            <x v="57"/>
          </reference>
          <reference field="4" count="1" selected="0">
            <x v="216"/>
          </reference>
          <reference field="5" count="1" selected="0">
            <x v="167"/>
          </reference>
          <reference field="7" count="1">
            <x v="1088"/>
          </reference>
        </references>
      </pivotArea>
    </format>
    <format dxfId="465">
      <pivotArea dataOnly="0" labelOnly="1" outline="0" fieldPosition="0">
        <references count="5">
          <reference field="0" count="1" selected="0">
            <x v="4"/>
          </reference>
          <reference field="3" count="1" selected="0">
            <x v="57"/>
          </reference>
          <reference field="4" count="1" selected="0">
            <x v="216"/>
          </reference>
          <reference field="5" count="1" selected="0">
            <x v="200"/>
          </reference>
          <reference field="7" count="1">
            <x v="1417"/>
          </reference>
        </references>
      </pivotArea>
    </format>
    <format dxfId="464">
      <pivotArea dataOnly="0" labelOnly="1" outline="0" fieldPosition="0">
        <references count="5">
          <reference field="0" count="1" selected="0">
            <x v="4"/>
          </reference>
          <reference field="3" count="1" selected="0">
            <x v="57"/>
          </reference>
          <reference field="4" count="1" selected="0">
            <x v="216"/>
          </reference>
          <reference field="5" count="1" selected="0">
            <x v="201"/>
          </reference>
          <reference field="7" count="1">
            <x v="1422"/>
          </reference>
        </references>
      </pivotArea>
    </format>
    <format dxfId="463">
      <pivotArea dataOnly="0" labelOnly="1" outline="0" fieldPosition="0">
        <references count="5">
          <reference field="0" count="1" selected="0">
            <x v="4"/>
          </reference>
          <reference field="3" count="1" selected="0">
            <x v="57"/>
          </reference>
          <reference field="4" count="1" selected="0">
            <x v="216"/>
          </reference>
          <reference field="5" count="1" selected="0">
            <x v="206"/>
          </reference>
          <reference field="7" count="1">
            <x v="1428"/>
          </reference>
        </references>
      </pivotArea>
    </format>
    <format dxfId="462">
      <pivotArea dataOnly="0" labelOnly="1" outline="0" fieldPosition="0">
        <references count="5">
          <reference field="0" count="1" selected="0">
            <x v="4"/>
          </reference>
          <reference field="3" count="1" selected="0">
            <x v="57"/>
          </reference>
          <reference field="4" count="1" selected="0">
            <x v="216"/>
          </reference>
          <reference field="5" count="1" selected="0">
            <x v="291"/>
          </reference>
          <reference field="7" count="1">
            <x v="1419"/>
          </reference>
        </references>
      </pivotArea>
    </format>
    <format dxfId="461">
      <pivotArea dataOnly="0" labelOnly="1" outline="0" fieldPosition="0">
        <references count="5">
          <reference field="0" count="1" selected="0">
            <x v="4"/>
          </reference>
          <reference field="3" count="1" selected="0">
            <x v="57"/>
          </reference>
          <reference field="4" count="1" selected="0">
            <x v="216"/>
          </reference>
          <reference field="5" count="1" selected="0">
            <x v="302"/>
          </reference>
          <reference field="7" count="1">
            <x v="1070"/>
          </reference>
        </references>
      </pivotArea>
    </format>
    <format dxfId="460">
      <pivotArea dataOnly="0" labelOnly="1" outline="0" fieldPosition="0">
        <references count="5">
          <reference field="0" count="1" selected="0">
            <x v="4"/>
          </reference>
          <reference field="3" count="1" selected="0">
            <x v="57"/>
          </reference>
          <reference field="4" count="1" selected="0">
            <x v="216"/>
          </reference>
          <reference field="5" count="1" selected="0">
            <x v="327"/>
          </reference>
          <reference field="7" count="1">
            <x v="585"/>
          </reference>
        </references>
      </pivotArea>
    </format>
    <format dxfId="459">
      <pivotArea dataOnly="0" labelOnly="1" outline="0" fieldPosition="0">
        <references count="5">
          <reference field="0" count="1" selected="0">
            <x v="4"/>
          </reference>
          <reference field="3" count="1" selected="0">
            <x v="57"/>
          </reference>
          <reference field="4" count="1" selected="0">
            <x v="216"/>
          </reference>
          <reference field="5" count="1" selected="0">
            <x v="348"/>
          </reference>
          <reference field="7" count="1">
            <x v="1468"/>
          </reference>
        </references>
      </pivotArea>
    </format>
    <format dxfId="458">
      <pivotArea dataOnly="0" labelOnly="1" outline="0" fieldPosition="0">
        <references count="5">
          <reference field="0" count="1" selected="0">
            <x v="4"/>
          </reference>
          <reference field="3" count="1" selected="0">
            <x v="57"/>
          </reference>
          <reference field="4" count="1" selected="0">
            <x v="216"/>
          </reference>
          <reference field="5" count="1" selected="0">
            <x v="351"/>
          </reference>
          <reference field="7" count="1">
            <x v="1025"/>
          </reference>
        </references>
      </pivotArea>
    </format>
    <format dxfId="457">
      <pivotArea dataOnly="0" labelOnly="1" outline="0" fieldPosition="0">
        <references count="5">
          <reference field="0" count="1" selected="0">
            <x v="4"/>
          </reference>
          <reference field="3" count="1" selected="0">
            <x v="57"/>
          </reference>
          <reference field="4" count="1" selected="0">
            <x v="216"/>
          </reference>
          <reference field="5" count="1" selected="0">
            <x v="380"/>
          </reference>
          <reference field="7" count="1">
            <x v="666"/>
          </reference>
        </references>
      </pivotArea>
    </format>
    <format dxfId="456">
      <pivotArea dataOnly="0" labelOnly="1" outline="0" fieldPosition="0">
        <references count="5">
          <reference field="0" count="1" selected="0">
            <x v="4"/>
          </reference>
          <reference field="3" count="1" selected="0">
            <x v="57"/>
          </reference>
          <reference field="4" count="1" selected="0">
            <x v="216"/>
          </reference>
          <reference field="5" count="1" selected="0">
            <x v="406"/>
          </reference>
          <reference field="7" count="1">
            <x v="895"/>
          </reference>
        </references>
      </pivotArea>
    </format>
    <format dxfId="455">
      <pivotArea dataOnly="0" labelOnly="1" outline="0" fieldPosition="0">
        <references count="5">
          <reference field="0" count="1" selected="0">
            <x v="4"/>
          </reference>
          <reference field="3" count="1" selected="0">
            <x v="57"/>
          </reference>
          <reference field="4" count="1" selected="0">
            <x v="216"/>
          </reference>
          <reference field="5" count="1" selected="0">
            <x v="407"/>
          </reference>
          <reference field="7" count="1">
            <x v="0"/>
          </reference>
        </references>
      </pivotArea>
    </format>
    <format dxfId="454">
      <pivotArea dataOnly="0" labelOnly="1" outline="0" fieldPosition="0">
        <references count="5">
          <reference field="0" count="1" selected="0">
            <x v="4"/>
          </reference>
          <reference field="3" count="1" selected="0">
            <x v="57"/>
          </reference>
          <reference field="4" count="1" selected="0">
            <x v="216"/>
          </reference>
          <reference field="5" count="1" selected="0">
            <x v="409"/>
          </reference>
          <reference field="7" count="1">
            <x v="672"/>
          </reference>
        </references>
      </pivotArea>
    </format>
    <format dxfId="453">
      <pivotArea dataOnly="0" labelOnly="1" outline="0" fieldPosition="0">
        <references count="5">
          <reference field="0" count="1" selected="0">
            <x v="4"/>
          </reference>
          <reference field="3" count="1" selected="0">
            <x v="57"/>
          </reference>
          <reference field="4" count="1" selected="0">
            <x v="216"/>
          </reference>
          <reference field="5" count="1" selected="0">
            <x v="1500"/>
          </reference>
          <reference field="7" count="1">
            <x v="287"/>
          </reference>
        </references>
      </pivotArea>
    </format>
    <format dxfId="452">
      <pivotArea dataOnly="0" labelOnly="1" outline="0" fieldPosition="0">
        <references count="5">
          <reference field="0" count="1" selected="0">
            <x v="4"/>
          </reference>
          <reference field="3" count="1" selected="0">
            <x v="57"/>
          </reference>
          <reference field="4" count="1" selected="0">
            <x v="216"/>
          </reference>
          <reference field="5" count="1" selected="0">
            <x v="1501"/>
          </reference>
          <reference field="7" count="1">
            <x v="1360"/>
          </reference>
        </references>
      </pivotArea>
    </format>
    <format dxfId="451">
      <pivotArea dataOnly="0" labelOnly="1" outline="0" fieldPosition="0">
        <references count="5">
          <reference field="0" count="1" selected="0">
            <x v="4"/>
          </reference>
          <reference field="3" count="1" selected="0">
            <x v="57"/>
          </reference>
          <reference field="4" count="1" selected="0">
            <x v="216"/>
          </reference>
          <reference field="5" count="1" selected="0">
            <x v="1502"/>
          </reference>
          <reference field="7" count="1">
            <x v="1362"/>
          </reference>
        </references>
      </pivotArea>
    </format>
    <format dxfId="450">
      <pivotArea dataOnly="0" labelOnly="1" outline="0" fieldPosition="0">
        <references count="5">
          <reference field="0" count="1" selected="0">
            <x v="4"/>
          </reference>
          <reference field="3" count="1" selected="0">
            <x v="57"/>
          </reference>
          <reference field="4" count="1" selected="0">
            <x v="216"/>
          </reference>
          <reference field="5" count="1" selected="0">
            <x v="1503"/>
          </reference>
          <reference field="7" count="1">
            <x v="1361"/>
          </reference>
        </references>
      </pivotArea>
    </format>
    <format dxfId="449">
      <pivotArea dataOnly="0" labelOnly="1" outline="0" fieldPosition="0">
        <references count="5">
          <reference field="0" count="1" selected="0">
            <x v="4"/>
          </reference>
          <reference field="3" count="1" selected="0">
            <x v="57"/>
          </reference>
          <reference field="4" count="1" selected="0">
            <x v="216"/>
          </reference>
          <reference field="5" count="1" selected="0">
            <x v="1504"/>
          </reference>
          <reference field="7" count="1">
            <x v="1055"/>
          </reference>
        </references>
      </pivotArea>
    </format>
    <format dxfId="448">
      <pivotArea dataOnly="0" labelOnly="1" outline="0" fieldPosition="0">
        <references count="5">
          <reference field="0" count="1" selected="0">
            <x v="4"/>
          </reference>
          <reference field="3" count="1" selected="0">
            <x v="57"/>
          </reference>
          <reference field="4" count="1" selected="0">
            <x v="216"/>
          </reference>
          <reference field="5" count="1" selected="0">
            <x v="1505"/>
          </reference>
          <reference field="7" count="1">
            <x v="1363"/>
          </reference>
        </references>
      </pivotArea>
    </format>
    <format dxfId="447">
      <pivotArea dataOnly="0" labelOnly="1" outline="0" fieldPosition="0">
        <references count="5">
          <reference field="0" count="1" selected="0">
            <x v="4"/>
          </reference>
          <reference field="3" count="1" selected="0">
            <x v="57"/>
          </reference>
          <reference field="4" count="1" selected="0">
            <x v="216"/>
          </reference>
          <reference field="5" count="1" selected="0">
            <x v="1522"/>
          </reference>
          <reference field="7" count="1">
            <x v="334"/>
          </reference>
        </references>
      </pivotArea>
    </format>
    <format dxfId="446">
      <pivotArea dataOnly="0" labelOnly="1" outline="0" fieldPosition="0">
        <references count="5">
          <reference field="0" count="1" selected="0">
            <x v="4"/>
          </reference>
          <reference field="3" count="1" selected="0">
            <x v="58"/>
          </reference>
          <reference field="4" count="1" selected="0">
            <x v="5"/>
          </reference>
          <reference field="5" count="1" selected="0">
            <x v="349"/>
          </reference>
          <reference field="7" count="1">
            <x v="117"/>
          </reference>
        </references>
      </pivotArea>
    </format>
    <format dxfId="445">
      <pivotArea dataOnly="0" labelOnly="1" outline="0" fieldPosition="0">
        <references count="5">
          <reference field="0" count="1" selected="0">
            <x v="4"/>
          </reference>
          <reference field="3" count="1" selected="0">
            <x v="58"/>
          </reference>
          <reference field="4" count="1" selected="0">
            <x v="5"/>
          </reference>
          <reference field="5" count="1" selected="0">
            <x v="350"/>
          </reference>
          <reference field="7" count="1">
            <x v="1024"/>
          </reference>
        </references>
      </pivotArea>
    </format>
    <format dxfId="444">
      <pivotArea dataOnly="0" labelOnly="1" outline="0" fieldPosition="0">
        <references count="5">
          <reference field="0" count="1" selected="0">
            <x v="4"/>
          </reference>
          <reference field="3" count="1" selected="0">
            <x v="58"/>
          </reference>
          <reference field="4" count="1" selected="0">
            <x v="5"/>
          </reference>
          <reference field="5" count="1" selected="0">
            <x v="387"/>
          </reference>
          <reference field="7" count="1">
            <x v="114"/>
          </reference>
        </references>
      </pivotArea>
    </format>
    <format dxfId="443">
      <pivotArea dataOnly="0" labelOnly="1" outline="0" fieldPosition="0">
        <references count="5">
          <reference field="0" count="1" selected="0">
            <x v="4"/>
          </reference>
          <reference field="3" count="1" selected="0">
            <x v="58"/>
          </reference>
          <reference field="4" count="1" selected="0">
            <x v="197"/>
          </reference>
          <reference field="5" count="1" selected="0">
            <x v="253"/>
          </reference>
          <reference field="7" count="1">
            <x v="1319"/>
          </reference>
        </references>
      </pivotArea>
    </format>
    <format dxfId="442">
      <pivotArea dataOnly="0" labelOnly="1" outline="0" fieldPosition="0">
        <references count="5">
          <reference field="0" count="1" selected="0">
            <x v="4"/>
          </reference>
          <reference field="3" count="1" selected="0">
            <x v="58"/>
          </reference>
          <reference field="4" count="1" selected="0">
            <x v="197"/>
          </reference>
          <reference field="5" count="1" selected="0">
            <x v="1550"/>
          </reference>
          <reference field="7" count="1">
            <x v="798"/>
          </reference>
        </references>
      </pivotArea>
    </format>
    <format dxfId="441">
      <pivotArea dataOnly="0" labelOnly="1" outline="0" fieldPosition="0">
        <references count="5">
          <reference field="0" count="1" selected="0">
            <x v="4"/>
          </reference>
          <reference field="3" count="1" selected="0">
            <x v="58"/>
          </reference>
          <reference field="4" count="1" selected="0">
            <x v="197"/>
          </reference>
          <reference field="5" count="1" selected="0">
            <x v="1572"/>
          </reference>
          <reference field="7" count="1">
            <x v="201"/>
          </reference>
        </references>
      </pivotArea>
    </format>
    <format dxfId="440">
      <pivotArea dataOnly="0" labelOnly="1" outline="0" fieldPosition="0">
        <references count="5">
          <reference field="0" count="1" selected="0">
            <x v="4"/>
          </reference>
          <reference field="3" count="1" selected="0">
            <x v="58"/>
          </reference>
          <reference field="4" count="1" selected="0">
            <x v="216"/>
          </reference>
          <reference field="5" count="1" selected="0">
            <x v="12"/>
          </reference>
          <reference field="7" count="1">
            <x v="1472"/>
          </reference>
        </references>
      </pivotArea>
    </format>
    <format dxfId="439">
      <pivotArea dataOnly="0" labelOnly="1" outline="0" fieldPosition="0">
        <references count="5">
          <reference field="0" count="1" selected="0">
            <x v="4"/>
          </reference>
          <reference field="3" count="1" selected="0">
            <x v="58"/>
          </reference>
          <reference field="4" count="1" selected="0">
            <x v="216"/>
          </reference>
          <reference field="5" count="1" selected="0">
            <x v="148"/>
          </reference>
          <reference field="7" count="1">
            <x v="977"/>
          </reference>
        </references>
      </pivotArea>
    </format>
    <format dxfId="438">
      <pivotArea dataOnly="0" labelOnly="1" outline="0" fieldPosition="0">
        <references count="5">
          <reference field="0" count="1" selected="0">
            <x v="4"/>
          </reference>
          <reference field="3" count="1" selected="0">
            <x v="58"/>
          </reference>
          <reference field="4" count="1" selected="0">
            <x v="216"/>
          </reference>
          <reference field="5" count="1" selected="0">
            <x v="167"/>
          </reference>
          <reference field="7" count="1">
            <x v="1088"/>
          </reference>
        </references>
      </pivotArea>
    </format>
    <format dxfId="437">
      <pivotArea dataOnly="0" labelOnly="1" outline="0" fieldPosition="0">
        <references count="5">
          <reference field="0" count="1" selected="0">
            <x v="4"/>
          </reference>
          <reference field="3" count="1" selected="0">
            <x v="58"/>
          </reference>
          <reference field="4" count="1" selected="0">
            <x v="216"/>
          </reference>
          <reference field="5" count="1" selected="0">
            <x v="201"/>
          </reference>
          <reference field="7" count="1">
            <x v="1422"/>
          </reference>
        </references>
      </pivotArea>
    </format>
    <format dxfId="436">
      <pivotArea dataOnly="0" labelOnly="1" outline="0" fieldPosition="0">
        <references count="5">
          <reference field="0" count="1" selected="0">
            <x v="4"/>
          </reference>
          <reference field="3" count="1" selected="0">
            <x v="58"/>
          </reference>
          <reference field="4" count="1" selected="0">
            <x v="216"/>
          </reference>
          <reference field="5" count="1" selected="0">
            <x v="203"/>
          </reference>
          <reference field="7" count="1">
            <x v="1418"/>
          </reference>
        </references>
      </pivotArea>
    </format>
    <format dxfId="435">
      <pivotArea dataOnly="0" labelOnly="1" outline="0" fieldPosition="0">
        <references count="5">
          <reference field="0" count="1" selected="0">
            <x v="4"/>
          </reference>
          <reference field="3" count="1" selected="0">
            <x v="58"/>
          </reference>
          <reference field="4" count="1" selected="0">
            <x v="216"/>
          </reference>
          <reference field="5" count="1" selected="0">
            <x v="302"/>
          </reference>
          <reference field="7" count="1">
            <x v="1070"/>
          </reference>
        </references>
      </pivotArea>
    </format>
    <format dxfId="434">
      <pivotArea dataOnly="0" labelOnly="1" outline="0" fieldPosition="0">
        <references count="5">
          <reference field="0" count="1" selected="0">
            <x v="4"/>
          </reference>
          <reference field="3" count="1" selected="0">
            <x v="58"/>
          </reference>
          <reference field="4" count="1" selected="0">
            <x v="216"/>
          </reference>
          <reference field="5" count="1" selected="0">
            <x v="326"/>
          </reference>
          <reference field="7" count="1">
            <x v="582"/>
          </reference>
        </references>
      </pivotArea>
    </format>
    <format dxfId="433">
      <pivotArea dataOnly="0" labelOnly="1" outline="0" fieldPosition="0">
        <references count="5">
          <reference field="0" count="1" selected="0">
            <x v="4"/>
          </reference>
          <reference field="3" count="1" selected="0">
            <x v="58"/>
          </reference>
          <reference field="4" count="1" selected="0">
            <x v="216"/>
          </reference>
          <reference field="5" count="1" selected="0">
            <x v="348"/>
          </reference>
          <reference field="7" count="1">
            <x v="1468"/>
          </reference>
        </references>
      </pivotArea>
    </format>
    <format dxfId="432">
      <pivotArea dataOnly="0" labelOnly="1" outline="0" fieldPosition="0">
        <references count="5">
          <reference field="0" count="1" selected="0">
            <x v="4"/>
          </reference>
          <reference field="3" count="1" selected="0">
            <x v="58"/>
          </reference>
          <reference field="4" count="1" selected="0">
            <x v="216"/>
          </reference>
          <reference field="5" count="1" selected="0">
            <x v="380"/>
          </reference>
          <reference field="7" count="1">
            <x v="666"/>
          </reference>
        </references>
      </pivotArea>
    </format>
    <format dxfId="431">
      <pivotArea dataOnly="0" labelOnly="1" outline="0" fieldPosition="0">
        <references count="5">
          <reference field="0" count="1" selected="0">
            <x v="4"/>
          </reference>
          <reference field="3" count="1" selected="0">
            <x v="58"/>
          </reference>
          <reference field="4" count="1" selected="0">
            <x v="216"/>
          </reference>
          <reference field="5" count="1" selected="0">
            <x v="406"/>
          </reference>
          <reference field="7" count="1">
            <x v="895"/>
          </reference>
        </references>
      </pivotArea>
    </format>
    <format dxfId="430">
      <pivotArea dataOnly="0" labelOnly="1" outline="0" fieldPosition="0">
        <references count="5">
          <reference field="0" count="1" selected="0">
            <x v="4"/>
          </reference>
          <reference field="3" count="1" selected="0">
            <x v="58"/>
          </reference>
          <reference field="4" count="1" selected="0">
            <x v="216"/>
          </reference>
          <reference field="5" count="1" selected="0">
            <x v="407"/>
          </reference>
          <reference field="7" count="1">
            <x v="0"/>
          </reference>
        </references>
      </pivotArea>
    </format>
    <format dxfId="429">
      <pivotArea dataOnly="0" labelOnly="1" outline="0" fieldPosition="0">
        <references count="5">
          <reference field="0" count="1" selected="0">
            <x v="4"/>
          </reference>
          <reference field="3" count="1" selected="0">
            <x v="58"/>
          </reference>
          <reference field="4" count="1" selected="0">
            <x v="216"/>
          </reference>
          <reference field="5" count="1" selected="0">
            <x v="409"/>
          </reference>
          <reference field="7" count="1">
            <x v="672"/>
          </reference>
        </references>
      </pivotArea>
    </format>
    <format dxfId="428">
      <pivotArea dataOnly="0" labelOnly="1" outline="0" fieldPosition="0">
        <references count="5">
          <reference field="0" count="1" selected="0">
            <x v="4"/>
          </reference>
          <reference field="3" count="1" selected="0">
            <x v="58"/>
          </reference>
          <reference field="4" count="1" selected="0">
            <x v="216"/>
          </reference>
          <reference field="5" count="1" selected="0">
            <x v="1506"/>
          </reference>
          <reference field="7" count="1">
            <x v="285"/>
          </reference>
        </references>
      </pivotArea>
    </format>
    <format dxfId="427">
      <pivotArea dataOnly="0" labelOnly="1" outline="0" fieldPosition="0">
        <references count="5">
          <reference field="0" count="1" selected="0">
            <x v="4"/>
          </reference>
          <reference field="3" count="1" selected="0">
            <x v="58"/>
          </reference>
          <reference field="4" count="1" selected="0">
            <x v="216"/>
          </reference>
          <reference field="5" count="1" selected="0">
            <x v="1507"/>
          </reference>
          <reference field="7" count="1">
            <x v="1346"/>
          </reference>
        </references>
      </pivotArea>
    </format>
    <format dxfId="426">
      <pivotArea dataOnly="0" labelOnly="1" outline="0" fieldPosition="0">
        <references count="5">
          <reference field="0" count="1" selected="0">
            <x v="4"/>
          </reference>
          <reference field="3" count="1" selected="0">
            <x v="58"/>
          </reference>
          <reference field="4" count="1" selected="0">
            <x v="216"/>
          </reference>
          <reference field="5" count="1" selected="0">
            <x v="1508"/>
          </reference>
          <reference field="7" count="1">
            <x v="1348"/>
          </reference>
        </references>
      </pivotArea>
    </format>
    <format dxfId="425">
      <pivotArea dataOnly="0" labelOnly="1" outline="0" fieldPosition="0">
        <references count="5">
          <reference field="0" count="1" selected="0">
            <x v="4"/>
          </reference>
          <reference field="3" count="1" selected="0">
            <x v="58"/>
          </reference>
          <reference field="4" count="1" selected="0">
            <x v="216"/>
          </reference>
          <reference field="5" count="1" selected="0">
            <x v="1509"/>
          </reference>
          <reference field="7" count="1">
            <x v="1347"/>
          </reference>
        </references>
      </pivotArea>
    </format>
    <format dxfId="424">
      <pivotArea dataOnly="0" labelOnly="1" outline="0" fieldPosition="0">
        <references count="5">
          <reference field="0" count="1" selected="0">
            <x v="4"/>
          </reference>
          <reference field="3" count="1" selected="0">
            <x v="58"/>
          </reference>
          <reference field="4" count="1" selected="0">
            <x v="216"/>
          </reference>
          <reference field="5" count="1" selected="0">
            <x v="1510"/>
          </reference>
          <reference field="7" count="1">
            <x v="1054"/>
          </reference>
        </references>
      </pivotArea>
    </format>
    <format dxfId="423">
      <pivotArea dataOnly="0" labelOnly="1" outline="0" fieldPosition="0">
        <references count="5">
          <reference field="0" count="1" selected="0">
            <x v="4"/>
          </reference>
          <reference field="3" count="1" selected="0">
            <x v="58"/>
          </reference>
          <reference field="4" count="1" selected="0">
            <x v="216"/>
          </reference>
          <reference field="5" count="1" selected="0">
            <x v="1511"/>
          </reference>
          <reference field="7" count="1">
            <x v="1349"/>
          </reference>
        </references>
      </pivotArea>
    </format>
    <format dxfId="422">
      <pivotArea dataOnly="0" labelOnly="1" outline="0" fieldPosition="0">
        <references count="5">
          <reference field="0" count="1" selected="0">
            <x v="4"/>
          </reference>
          <reference field="3" count="1" selected="0">
            <x v="59"/>
          </reference>
          <reference field="4" count="1" selected="0">
            <x v="51"/>
          </reference>
          <reference field="5" count="1" selected="0">
            <x v="203"/>
          </reference>
          <reference field="7" count="1">
            <x v="1418"/>
          </reference>
        </references>
      </pivotArea>
    </format>
    <format dxfId="421">
      <pivotArea dataOnly="0" labelOnly="1" outline="0" fieldPosition="0">
        <references count="5">
          <reference field="0" count="1" selected="0">
            <x v="4"/>
          </reference>
          <reference field="3" count="1" selected="0">
            <x v="59"/>
          </reference>
          <reference field="4" count="1" selected="0">
            <x v="51"/>
          </reference>
          <reference field="5" count="1" selected="0">
            <x v="302"/>
          </reference>
          <reference field="7" count="1">
            <x v="1070"/>
          </reference>
        </references>
      </pivotArea>
    </format>
    <format dxfId="420">
      <pivotArea dataOnly="0" labelOnly="1" outline="0" fieldPosition="0">
        <references count="5">
          <reference field="0" count="1" selected="0">
            <x v="4"/>
          </reference>
          <reference field="3" count="1" selected="0">
            <x v="59"/>
          </reference>
          <reference field="4" count="1" selected="0">
            <x v="51"/>
          </reference>
          <reference field="5" count="1" selected="0">
            <x v="1514"/>
          </reference>
          <reference field="7" count="1">
            <x v="203"/>
          </reference>
        </references>
      </pivotArea>
    </format>
    <format dxfId="419">
      <pivotArea dataOnly="0" labelOnly="1" outline="0" fieldPosition="0">
        <references count="5">
          <reference field="0" count="1" selected="0">
            <x v="4"/>
          </reference>
          <reference field="3" count="1" selected="0">
            <x v="59"/>
          </reference>
          <reference field="4" count="1" selected="0">
            <x v="51"/>
          </reference>
          <reference field="5" count="1" selected="0">
            <x v="1520"/>
          </reference>
          <reference field="7" count="1">
            <x v="808"/>
          </reference>
        </references>
      </pivotArea>
    </format>
    <format dxfId="418">
      <pivotArea dataOnly="0" labelOnly="1" outline="0" fieldPosition="0">
        <references count="5">
          <reference field="0" count="1" selected="0">
            <x v="4"/>
          </reference>
          <reference field="3" count="1" selected="0">
            <x v="59"/>
          </reference>
          <reference field="4" count="1" selected="0">
            <x v="52"/>
          </reference>
          <reference field="5" count="1" selected="0">
            <x v="349"/>
          </reference>
          <reference field="7" count="1">
            <x v="117"/>
          </reference>
        </references>
      </pivotArea>
    </format>
    <format dxfId="417">
      <pivotArea dataOnly="0" labelOnly="1" outline="0" fieldPosition="0">
        <references count="5">
          <reference field="0" count="1" selected="0">
            <x v="4"/>
          </reference>
          <reference field="3" count="1" selected="0">
            <x v="59"/>
          </reference>
          <reference field="4" count="1" selected="0">
            <x v="52"/>
          </reference>
          <reference field="5" count="1" selected="0">
            <x v="350"/>
          </reference>
          <reference field="7" count="1">
            <x v="1024"/>
          </reference>
        </references>
      </pivotArea>
    </format>
    <format dxfId="416">
      <pivotArea dataOnly="0" labelOnly="1" outline="0" fieldPosition="0">
        <references count="5">
          <reference field="0" count="1" selected="0">
            <x v="4"/>
          </reference>
          <reference field="3" count="1" selected="0">
            <x v="59"/>
          </reference>
          <reference field="4" count="1" selected="0">
            <x v="52"/>
          </reference>
          <reference field="5" count="1" selected="0">
            <x v="387"/>
          </reference>
          <reference field="7" count="1">
            <x v="114"/>
          </reference>
        </references>
      </pivotArea>
    </format>
    <format dxfId="415">
      <pivotArea dataOnly="0" labelOnly="1" outline="0" fieldPosition="0">
        <references count="5">
          <reference field="0" count="1" selected="0">
            <x v="4"/>
          </reference>
          <reference field="3" count="1" selected="0">
            <x v="59"/>
          </reference>
          <reference field="4" count="1" selected="0">
            <x v="180"/>
          </reference>
          <reference field="5" count="1" selected="0">
            <x v="360"/>
          </reference>
          <reference field="7" count="1">
            <x v="29"/>
          </reference>
        </references>
      </pivotArea>
    </format>
    <format dxfId="414">
      <pivotArea dataOnly="0" labelOnly="1" outline="0" fieldPosition="0">
        <references count="5">
          <reference field="0" count="1" selected="0">
            <x v="4"/>
          </reference>
          <reference field="3" count="1" selected="0">
            <x v="59"/>
          </reference>
          <reference field="4" count="1" selected="0">
            <x v="180"/>
          </reference>
          <reference field="5" count="1" selected="0">
            <x v="362"/>
          </reference>
          <reference field="7" count="1">
            <x v="997"/>
          </reference>
        </references>
      </pivotArea>
    </format>
    <format dxfId="413">
      <pivotArea dataOnly="0" labelOnly="1" outline="0" fieldPosition="0">
        <references count="5">
          <reference field="0" count="1" selected="0">
            <x v="4"/>
          </reference>
          <reference field="3" count="1" selected="0">
            <x v="59"/>
          </reference>
          <reference field="4" count="1" selected="0">
            <x v="180"/>
          </reference>
          <reference field="5" count="1" selected="0">
            <x v="423"/>
          </reference>
          <reference field="7" count="1">
            <x v="28"/>
          </reference>
        </references>
      </pivotArea>
    </format>
    <format dxfId="412">
      <pivotArea dataOnly="0" labelOnly="1" outline="0" fieldPosition="0">
        <references count="5">
          <reference field="0" count="1" selected="0">
            <x v="4"/>
          </reference>
          <reference field="3" count="1" selected="0">
            <x v="59"/>
          </reference>
          <reference field="4" count="1" selected="0">
            <x v="190"/>
          </reference>
          <reference field="5" count="1" selected="0">
            <x v="253"/>
          </reference>
          <reference field="7" count="1">
            <x v="1319"/>
          </reference>
        </references>
      </pivotArea>
    </format>
    <format dxfId="411">
      <pivotArea dataOnly="0" labelOnly="1" outline="0" fieldPosition="0">
        <references count="5">
          <reference field="0" count="1" selected="0">
            <x v="4"/>
          </reference>
          <reference field="3" count="1" selected="0">
            <x v="59"/>
          </reference>
          <reference field="4" count="1" selected="0">
            <x v="190"/>
          </reference>
          <reference field="5" count="1" selected="0">
            <x v="1540"/>
          </reference>
          <reference field="7" count="1">
            <x v="789"/>
          </reference>
        </references>
      </pivotArea>
    </format>
    <format dxfId="410">
      <pivotArea dataOnly="0" labelOnly="1" outline="0" fieldPosition="0">
        <references count="5">
          <reference field="0" count="1" selected="0">
            <x v="4"/>
          </reference>
          <reference field="3" count="1" selected="0">
            <x v="59"/>
          </reference>
          <reference field="4" count="1" selected="0">
            <x v="190"/>
          </reference>
          <reference field="5" count="1" selected="0">
            <x v="1563"/>
          </reference>
          <reference field="7" count="1">
            <x v="191"/>
          </reference>
        </references>
      </pivotArea>
    </format>
    <format dxfId="409">
      <pivotArea dataOnly="0" labelOnly="1" outline="0" fieldPosition="0">
        <references count="5">
          <reference field="0" count="1" selected="0">
            <x v="4"/>
          </reference>
          <reference field="3" count="1" selected="0">
            <x v="59"/>
          </reference>
          <reference field="4" count="1" selected="0">
            <x v="191"/>
          </reference>
          <reference field="5" count="1" selected="0">
            <x v="250"/>
          </reference>
          <reference field="7" count="1">
            <x v="1318"/>
          </reference>
        </references>
      </pivotArea>
    </format>
    <format dxfId="408">
      <pivotArea dataOnly="0" labelOnly="1" outline="0" fieldPosition="0">
        <references count="5">
          <reference field="0" count="1" selected="0">
            <x v="4"/>
          </reference>
          <reference field="3" count="1" selected="0">
            <x v="59"/>
          </reference>
          <reference field="4" count="1" selected="0">
            <x v="191"/>
          </reference>
          <reference field="5" count="1" selected="0">
            <x v="1542"/>
          </reference>
          <reference field="7" count="1">
            <x v="788"/>
          </reference>
        </references>
      </pivotArea>
    </format>
    <format dxfId="407">
      <pivotArea dataOnly="0" labelOnly="1" outline="0" fieldPosition="0">
        <references count="5">
          <reference field="0" count="1" selected="0">
            <x v="4"/>
          </reference>
          <reference field="3" count="1" selected="0">
            <x v="59"/>
          </reference>
          <reference field="4" count="1" selected="0">
            <x v="191"/>
          </reference>
          <reference field="5" count="1" selected="0">
            <x v="1565"/>
          </reference>
          <reference field="7" count="1">
            <x v="190"/>
          </reference>
        </references>
      </pivotArea>
    </format>
    <format dxfId="406">
      <pivotArea dataOnly="0" labelOnly="1" outline="0" fieldPosition="0">
        <references count="5">
          <reference field="0" count="1" selected="0">
            <x v="4"/>
          </reference>
          <reference field="3" count="1" selected="0">
            <x v="59"/>
          </reference>
          <reference field="4" count="1" selected="0">
            <x v="196"/>
          </reference>
          <reference field="5" count="1" selected="0">
            <x v="253"/>
          </reference>
          <reference field="7" count="1">
            <x v="1319"/>
          </reference>
        </references>
      </pivotArea>
    </format>
    <format dxfId="405">
      <pivotArea dataOnly="0" labelOnly="1" outline="0" fieldPosition="0">
        <references count="5">
          <reference field="0" count="1" selected="0">
            <x v="4"/>
          </reference>
          <reference field="3" count="1" selected="0">
            <x v="59"/>
          </reference>
          <reference field="4" count="1" selected="0">
            <x v="196"/>
          </reference>
          <reference field="5" count="1" selected="0">
            <x v="1549"/>
          </reference>
          <reference field="7" count="1">
            <x v="790"/>
          </reference>
        </references>
      </pivotArea>
    </format>
    <format dxfId="404">
      <pivotArea dataOnly="0" labelOnly="1" outline="0" fieldPosition="0">
        <references count="5">
          <reference field="0" count="1" selected="0">
            <x v="4"/>
          </reference>
          <reference field="3" count="1" selected="0">
            <x v="59"/>
          </reference>
          <reference field="4" count="1" selected="0">
            <x v="196"/>
          </reference>
          <reference field="5" count="1" selected="0">
            <x v="1571"/>
          </reference>
          <reference field="7" count="1">
            <x v="192"/>
          </reference>
        </references>
      </pivotArea>
    </format>
    <format dxfId="403">
      <pivotArea dataOnly="0" labelOnly="1" outline="0" fieldPosition="0">
        <references count="5">
          <reference field="0" count="1" selected="0">
            <x v="4"/>
          </reference>
          <reference field="3" count="1" selected="0">
            <x v="59"/>
          </reference>
          <reference field="4" count="1" selected="0">
            <x v="216"/>
          </reference>
          <reference field="5" count="1" selected="0">
            <x v="6"/>
          </reference>
          <reference field="7" count="1">
            <x v="901"/>
          </reference>
        </references>
      </pivotArea>
    </format>
    <format dxfId="402">
      <pivotArea dataOnly="0" labelOnly="1" outline="0" fieldPosition="0">
        <references count="5">
          <reference field="0" count="1" selected="0">
            <x v="4"/>
          </reference>
          <reference field="3" count="1" selected="0">
            <x v="59"/>
          </reference>
          <reference field="4" count="1" selected="0">
            <x v="216"/>
          </reference>
          <reference field="5" count="1" selected="0">
            <x v="49"/>
          </reference>
          <reference field="7" count="1">
            <x v="1464"/>
          </reference>
        </references>
      </pivotArea>
    </format>
    <format dxfId="401">
      <pivotArea dataOnly="0" labelOnly="1" outline="0" fieldPosition="0">
        <references count="5">
          <reference field="0" count="1" selected="0">
            <x v="4"/>
          </reference>
          <reference field="3" count="1" selected="0">
            <x v="59"/>
          </reference>
          <reference field="4" count="1" selected="0">
            <x v="216"/>
          </reference>
          <reference field="5" count="1" selected="0">
            <x v="148"/>
          </reference>
          <reference field="7" count="1">
            <x v="977"/>
          </reference>
        </references>
      </pivotArea>
    </format>
    <format dxfId="400">
      <pivotArea dataOnly="0" labelOnly="1" outline="0" fieldPosition="0">
        <references count="5">
          <reference field="0" count="1" selected="0">
            <x v="4"/>
          </reference>
          <reference field="3" count="1" selected="0">
            <x v="59"/>
          </reference>
          <reference field="4" count="1" selected="0">
            <x v="216"/>
          </reference>
          <reference field="5" count="1" selected="0">
            <x v="162"/>
          </reference>
          <reference field="7" count="1">
            <x v="1081"/>
          </reference>
        </references>
      </pivotArea>
    </format>
    <format dxfId="399">
      <pivotArea dataOnly="0" labelOnly="1" outline="0" fieldPosition="0">
        <references count="5">
          <reference field="0" count="1" selected="0">
            <x v="4"/>
          </reference>
          <reference field="3" count="1" selected="0">
            <x v="59"/>
          </reference>
          <reference field="4" count="1" selected="0">
            <x v="216"/>
          </reference>
          <reference field="5" count="1" selected="0">
            <x v="167"/>
          </reference>
          <reference field="7" count="1">
            <x v="1088"/>
          </reference>
        </references>
      </pivotArea>
    </format>
    <format dxfId="398">
      <pivotArea dataOnly="0" labelOnly="1" outline="0" fieldPosition="0">
        <references count="5">
          <reference field="0" count="1" selected="0">
            <x v="4"/>
          </reference>
          <reference field="3" count="1" selected="0">
            <x v="59"/>
          </reference>
          <reference field="4" count="1" selected="0">
            <x v="216"/>
          </reference>
          <reference field="5" count="1" selected="0">
            <x v="201"/>
          </reference>
          <reference field="7" count="1">
            <x v="1422"/>
          </reference>
        </references>
      </pivotArea>
    </format>
    <format dxfId="397">
      <pivotArea dataOnly="0" labelOnly="1" outline="0" fieldPosition="0">
        <references count="5">
          <reference field="0" count="1" selected="0">
            <x v="4"/>
          </reference>
          <reference field="3" count="1" selected="0">
            <x v="59"/>
          </reference>
          <reference field="4" count="1" selected="0">
            <x v="216"/>
          </reference>
          <reference field="5" count="1" selected="0">
            <x v="213"/>
          </reference>
          <reference field="7" count="1">
            <x v="973"/>
          </reference>
        </references>
      </pivotArea>
    </format>
    <format dxfId="396">
      <pivotArea dataOnly="0" labelOnly="1" outline="0" fieldPosition="0">
        <references count="5">
          <reference field="0" count="1" selected="0">
            <x v="4"/>
          </reference>
          <reference field="3" count="1" selected="0">
            <x v="59"/>
          </reference>
          <reference field="4" count="1" selected="0">
            <x v="216"/>
          </reference>
          <reference field="5" count="1" selected="0">
            <x v="302"/>
          </reference>
          <reference field="7" count="1">
            <x v="1070"/>
          </reference>
        </references>
      </pivotArea>
    </format>
    <format dxfId="395">
      <pivotArea dataOnly="0" labelOnly="1" outline="0" fieldPosition="0">
        <references count="5">
          <reference field="0" count="1" selected="0">
            <x v="4"/>
          </reference>
          <reference field="3" count="1" selected="0">
            <x v="59"/>
          </reference>
          <reference field="4" count="1" selected="0">
            <x v="216"/>
          </reference>
          <reference field="5" count="1" selected="0">
            <x v="326"/>
          </reference>
          <reference field="7" count="1">
            <x v="582"/>
          </reference>
        </references>
      </pivotArea>
    </format>
    <format dxfId="394">
      <pivotArea dataOnly="0" labelOnly="1" outline="0" fieldPosition="0">
        <references count="5">
          <reference field="0" count="1" selected="0">
            <x v="4"/>
          </reference>
          <reference field="3" count="1" selected="0">
            <x v="59"/>
          </reference>
          <reference field="4" count="1" selected="0">
            <x v="216"/>
          </reference>
          <reference field="5" count="1" selected="0">
            <x v="348"/>
          </reference>
          <reference field="7" count="1">
            <x v="1468"/>
          </reference>
        </references>
      </pivotArea>
    </format>
    <format dxfId="393">
      <pivotArea dataOnly="0" labelOnly="1" outline="0" fieldPosition="0">
        <references count="5">
          <reference field="0" count="1" selected="0">
            <x v="4"/>
          </reference>
          <reference field="3" count="1" selected="0">
            <x v="59"/>
          </reference>
          <reference field="4" count="1" selected="0">
            <x v="216"/>
          </reference>
          <reference field="5" count="1" selected="0">
            <x v="361"/>
          </reference>
          <reference field="7" count="1">
            <x v="1170"/>
          </reference>
        </references>
      </pivotArea>
    </format>
    <format dxfId="392">
      <pivotArea dataOnly="0" labelOnly="1" outline="0" fieldPosition="0">
        <references count="5">
          <reference field="0" count="1" selected="0">
            <x v="4"/>
          </reference>
          <reference field="3" count="1" selected="0">
            <x v="59"/>
          </reference>
          <reference field="4" count="1" selected="0">
            <x v="216"/>
          </reference>
          <reference field="5" count="1" selected="0">
            <x v="370"/>
          </reference>
          <reference field="7" count="1">
            <x v="676"/>
          </reference>
        </references>
      </pivotArea>
    </format>
    <format dxfId="391">
      <pivotArea dataOnly="0" labelOnly="1" outline="0" fieldPosition="0">
        <references count="5">
          <reference field="0" count="1" selected="0">
            <x v="4"/>
          </reference>
          <reference field="3" count="1" selected="0">
            <x v="59"/>
          </reference>
          <reference field="4" count="1" selected="0">
            <x v="216"/>
          </reference>
          <reference field="5" count="1" selected="0">
            <x v="380"/>
          </reference>
          <reference field="7" count="1">
            <x v="666"/>
          </reference>
        </references>
      </pivotArea>
    </format>
    <format dxfId="390">
      <pivotArea dataOnly="0" labelOnly="1" outline="0" fieldPosition="0">
        <references count="5">
          <reference field="0" count="1" selected="0">
            <x v="4"/>
          </reference>
          <reference field="3" count="1" selected="0">
            <x v="59"/>
          </reference>
          <reference field="4" count="1" selected="0">
            <x v="216"/>
          </reference>
          <reference field="5" count="1" selected="0">
            <x v="1512"/>
          </reference>
          <reference field="7" count="1">
            <x v="204"/>
          </reference>
        </references>
      </pivotArea>
    </format>
    <format dxfId="389">
      <pivotArea dataOnly="0" labelOnly="1" outline="0" fieldPosition="0">
        <references count="5">
          <reference field="0" count="1" selected="0">
            <x v="4"/>
          </reference>
          <reference field="3" count="1" selected="0">
            <x v="59"/>
          </reference>
          <reference field="4" count="1" selected="0">
            <x v="216"/>
          </reference>
          <reference field="5" count="1" selected="0">
            <x v="1513"/>
          </reference>
          <reference field="7" count="1">
            <x v="804"/>
          </reference>
        </references>
      </pivotArea>
    </format>
    <format dxfId="388">
      <pivotArea dataOnly="0" labelOnly="1" outline="0" fieldPosition="0">
        <references count="5">
          <reference field="0" count="1" selected="0">
            <x v="4"/>
          </reference>
          <reference field="3" count="1" selected="0">
            <x v="59"/>
          </reference>
          <reference field="4" count="1" selected="0">
            <x v="216"/>
          </reference>
          <reference field="5" count="1" selected="0">
            <x v="1515"/>
          </reference>
          <reference field="7" count="1">
            <x v="806"/>
          </reference>
        </references>
      </pivotArea>
    </format>
    <format dxfId="387">
      <pivotArea dataOnly="0" labelOnly="1" outline="0" fieldPosition="0">
        <references count="5">
          <reference field="0" count="1" selected="0">
            <x v="4"/>
          </reference>
          <reference field="3" count="1" selected="0">
            <x v="59"/>
          </reference>
          <reference field="4" count="1" selected="0">
            <x v="216"/>
          </reference>
          <reference field="5" count="1" selected="0">
            <x v="1516"/>
          </reference>
          <reference field="7" count="1">
            <x v="805"/>
          </reference>
        </references>
      </pivotArea>
    </format>
    <format dxfId="386">
      <pivotArea dataOnly="0" labelOnly="1" outline="0" fieldPosition="0">
        <references count="5">
          <reference field="0" count="1" selected="0">
            <x v="4"/>
          </reference>
          <reference field="3" count="1" selected="0">
            <x v="59"/>
          </reference>
          <reference field="4" count="1" selected="0">
            <x v="216"/>
          </reference>
          <reference field="5" count="1" selected="0">
            <x v="1517"/>
          </reference>
          <reference field="7" count="1">
            <x v="803"/>
          </reference>
        </references>
      </pivotArea>
    </format>
    <format dxfId="385">
      <pivotArea dataOnly="0" labelOnly="1" outline="0" fieldPosition="0">
        <references count="5">
          <reference field="0" count="1" selected="0">
            <x v="4"/>
          </reference>
          <reference field="3" count="1" selected="0">
            <x v="59"/>
          </reference>
          <reference field="4" count="1" selected="0">
            <x v="216"/>
          </reference>
          <reference field="5" count="1" selected="0">
            <x v="1518"/>
          </reference>
          <reference field="7" count="1">
            <x v="802"/>
          </reference>
        </references>
      </pivotArea>
    </format>
    <format dxfId="384">
      <pivotArea dataOnly="0" labelOnly="1" outline="0" fieldPosition="0">
        <references count="5">
          <reference field="0" count="1" selected="0">
            <x v="4"/>
          </reference>
          <reference field="3" count="1" selected="0">
            <x v="59"/>
          </reference>
          <reference field="4" count="1" selected="0">
            <x v="216"/>
          </reference>
          <reference field="5" count="1" selected="0">
            <x v="1519"/>
          </reference>
          <reference field="7" count="1">
            <x v="807"/>
          </reference>
        </references>
      </pivotArea>
    </format>
    <format dxfId="383">
      <pivotArea dataOnly="0" labelOnly="1" outline="0" fieldPosition="0">
        <references count="5">
          <reference field="0" count="1" selected="0">
            <x v="4"/>
          </reference>
          <reference field="3" count="1" selected="0">
            <x v="59"/>
          </reference>
          <reference field="4" count="1" selected="0">
            <x v="216"/>
          </reference>
          <reference field="5" count="1" selected="0">
            <x v="1520"/>
          </reference>
          <reference field="7" count="1">
            <x v="1048"/>
          </reference>
        </references>
      </pivotArea>
    </format>
    <format dxfId="382">
      <pivotArea dataOnly="0" labelOnly="1" outline="0" fieldPosition="0">
        <references count="5">
          <reference field="0" count="1" selected="0">
            <x v="4"/>
          </reference>
          <reference field="3" count="1" selected="0">
            <x v="59"/>
          </reference>
          <reference field="4" count="1" selected="0">
            <x v="216"/>
          </reference>
          <reference field="5" count="1" selected="0">
            <x v="1608"/>
          </reference>
          <reference field="7" count="1">
            <x v="1118"/>
          </reference>
        </references>
      </pivotArea>
    </format>
    <format dxfId="381">
      <pivotArea dataOnly="0" labelOnly="1" outline="0" fieldPosition="0">
        <references count="5">
          <reference field="0" count="1" selected="0">
            <x v="4"/>
          </reference>
          <reference field="3" count="1" selected="0">
            <x v="59"/>
          </reference>
          <reference field="4" count="1" selected="0">
            <x v="216"/>
          </reference>
          <reference field="5" count="1" selected="0">
            <x v="1609"/>
          </reference>
          <reference field="7" count="1">
            <x v="669"/>
          </reference>
        </references>
      </pivotArea>
    </format>
    <format dxfId="380">
      <pivotArea dataOnly="0" labelOnly="1" outline="0" fieldPosition="0">
        <references count="5">
          <reference field="0" count="1" selected="0">
            <x v="5"/>
          </reference>
          <reference field="3" count="1" selected="0">
            <x v="2"/>
          </reference>
          <reference field="4" count="1" selected="0">
            <x v="5"/>
          </reference>
          <reference field="5" count="1" selected="0">
            <x v="349"/>
          </reference>
          <reference field="7" count="1">
            <x v="117"/>
          </reference>
        </references>
      </pivotArea>
    </format>
    <format dxfId="379">
      <pivotArea dataOnly="0" labelOnly="1" outline="0" fieldPosition="0">
        <references count="5">
          <reference field="0" count="1" selected="0">
            <x v="5"/>
          </reference>
          <reference field="3" count="1" selected="0">
            <x v="2"/>
          </reference>
          <reference field="4" count="1" selected="0">
            <x v="5"/>
          </reference>
          <reference field="5" count="1" selected="0">
            <x v="350"/>
          </reference>
          <reference field="7" count="1">
            <x v="1024"/>
          </reference>
        </references>
      </pivotArea>
    </format>
    <format dxfId="378">
      <pivotArea dataOnly="0" labelOnly="1" outline="0" fieldPosition="0">
        <references count="5">
          <reference field="0" count="1" selected="0">
            <x v="5"/>
          </reference>
          <reference field="3" count="1" selected="0">
            <x v="2"/>
          </reference>
          <reference field="4" count="1" selected="0">
            <x v="5"/>
          </reference>
          <reference field="5" count="1" selected="0">
            <x v="387"/>
          </reference>
          <reference field="7" count="1">
            <x v="114"/>
          </reference>
        </references>
      </pivotArea>
    </format>
    <format dxfId="377">
      <pivotArea dataOnly="0" labelOnly="1" outline="0" fieldPosition="0">
        <references count="5">
          <reference field="0" count="1" selected="0">
            <x v="5"/>
          </reference>
          <reference field="3" count="1" selected="0">
            <x v="2"/>
          </reference>
          <reference field="4" count="1" selected="0">
            <x v="7"/>
          </reference>
          <reference field="5" count="1" selected="0">
            <x v="7"/>
          </reference>
          <reference field="7" count="1">
            <x v="663"/>
          </reference>
        </references>
      </pivotArea>
    </format>
    <format dxfId="376">
      <pivotArea dataOnly="0" labelOnly="1" outline="0" fieldPosition="0">
        <references count="5">
          <reference field="0" count="1" selected="0">
            <x v="5"/>
          </reference>
          <reference field="3" count="1" selected="0">
            <x v="2"/>
          </reference>
          <reference field="4" count="1" selected="0">
            <x v="7"/>
          </reference>
          <reference field="5" count="1" selected="0">
            <x v="387"/>
          </reference>
          <reference field="7" count="1">
            <x v="114"/>
          </reference>
        </references>
      </pivotArea>
    </format>
    <format dxfId="375">
      <pivotArea dataOnly="0" labelOnly="1" outline="0" fieldPosition="0">
        <references count="5">
          <reference field="0" count="1" selected="0">
            <x v="5"/>
          </reference>
          <reference field="3" count="1" selected="0">
            <x v="2"/>
          </reference>
          <reference field="4" count="1" selected="0">
            <x v="24"/>
          </reference>
          <reference field="5" count="1" selected="0">
            <x v="387"/>
          </reference>
          <reference field="7" count="1">
            <x v="114"/>
          </reference>
        </references>
      </pivotArea>
    </format>
    <format dxfId="374">
      <pivotArea dataOnly="0" labelOnly="1" outline="0" fieldPosition="0">
        <references count="5">
          <reference field="0" count="1" selected="0">
            <x v="5"/>
          </reference>
          <reference field="3" count="1" selected="0">
            <x v="2"/>
          </reference>
          <reference field="4" count="1" selected="0">
            <x v="24"/>
          </reference>
          <reference field="5" count="1" selected="0">
            <x v="1602"/>
          </reference>
          <reference field="7" count="1">
            <x v="141"/>
          </reference>
        </references>
      </pivotArea>
    </format>
    <format dxfId="373">
      <pivotArea dataOnly="0" labelOnly="1" outline="0" fieldPosition="0">
        <references count="5">
          <reference field="0" count="1" selected="0">
            <x v="5"/>
          </reference>
          <reference field="3" count="1" selected="0">
            <x v="2"/>
          </reference>
          <reference field="4" count="1" selected="0">
            <x v="24"/>
          </reference>
          <reference field="5" count="1" selected="0">
            <x v="1603"/>
          </reference>
          <reference field="7" count="1">
            <x v="449"/>
          </reference>
        </references>
      </pivotArea>
    </format>
    <format dxfId="372">
      <pivotArea dataOnly="0" labelOnly="1" outline="0" fieldPosition="0">
        <references count="5">
          <reference field="0" count="1" selected="0">
            <x v="5"/>
          </reference>
          <reference field="3" count="1" selected="0">
            <x v="2"/>
          </reference>
          <reference field="4" count="1" selected="0">
            <x v="178"/>
          </reference>
          <reference field="5" count="1" selected="0">
            <x v="284"/>
          </reference>
          <reference field="7" count="1">
            <x v="749"/>
          </reference>
        </references>
      </pivotArea>
    </format>
    <format dxfId="371">
      <pivotArea dataOnly="0" labelOnly="1" outline="0" fieldPosition="0">
        <references count="5">
          <reference field="0" count="1" selected="0">
            <x v="5"/>
          </reference>
          <reference field="3" count="1" selected="0">
            <x v="2"/>
          </reference>
          <reference field="4" count="1" selected="0">
            <x v="178"/>
          </reference>
          <reference field="5" count="1" selected="0">
            <x v="441"/>
          </reference>
          <reference field="7" count="1">
            <x v="648"/>
          </reference>
        </references>
      </pivotArea>
    </format>
    <format dxfId="370">
      <pivotArea dataOnly="0" labelOnly="1" outline="0" fieldPosition="0">
        <references count="5">
          <reference field="0" count="1" selected="0">
            <x v="5"/>
          </reference>
          <reference field="3" count="1" selected="0">
            <x v="2"/>
          </reference>
          <reference field="4" count="1" selected="0">
            <x v="178"/>
          </reference>
          <reference field="5" count="1" selected="0">
            <x v="442"/>
          </reference>
          <reference field="7" count="1">
            <x v="650"/>
          </reference>
        </references>
      </pivotArea>
    </format>
    <format dxfId="369">
      <pivotArea dataOnly="0" labelOnly="1" outline="0" fieldPosition="0">
        <references count="5">
          <reference field="0" count="1" selected="0">
            <x v="5"/>
          </reference>
          <reference field="3" count="1" selected="0">
            <x v="2"/>
          </reference>
          <reference field="4" count="1" selected="0">
            <x v="179"/>
          </reference>
          <reference field="5" count="1" selected="0">
            <x v="284"/>
          </reference>
          <reference field="7" count="1">
            <x v="749"/>
          </reference>
        </references>
      </pivotArea>
    </format>
    <format dxfId="368">
      <pivotArea dataOnly="0" labelOnly="1" outline="0" fieldPosition="0">
        <references count="5">
          <reference field="0" count="1" selected="0">
            <x v="5"/>
          </reference>
          <reference field="3" count="1" selected="0">
            <x v="2"/>
          </reference>
          <reference field="4" count="1" selected="0">
            <x v="179"/>
          </reference>
          <reference field="5" count="1" selected="0">
            <x v="453"/>
          </reference>
          <reference field="7" count="1">
            <x v="649"/>
          </reference>
        </references>
      </pivotArea>
    </format>
    <format dxfId="367">
      <pivotArea dataOnly="0" labelOnly="1" outline="0" fieldPosition="0">
        <references count="5">
          <reference field="0" count="1" selected="0">
            <x v="5"/>
          </reference>
          <reference field="3" count="1" selected="0">
            <x v="2"/>
          </reference>
          <reference field="4" count="1" selected="0">
            <x v="179"/>
          </reference>
          <reference field="5" count="1" selected="0">
            <x v="454"/>
          </reference>
          <reference field="7" count="1">
            <x v="651"/>
          </reference>
        </references>
      </pivotArea>
    </format>
    <format dxfId="366">
      <pivotArea dataOnly="0" labelOnly="1" outline="0" fieldPosition="0">
        <references count="5">
          <reference field="0" count="1" selected="0">
            <x v="5"/>
          </reference>
          <reference field="3" count="1" selected="0">
            <x v="2"/>
          </reference>
          <reference field="4" count="1" selected="0">
            <x v="216"/>
          </reference>
          <reference field="5" count="1" selected="0">
            <x v="35"/>
          </reference>
          <reference field="7" count="1">
            <x v="12"/>
          </reference>
        </references>
      </pivotArea>
    </format>
    <format dxfId="365">
      <pivotArea dataOnly="0" labelOnly="1" outline="0" fieldPosition="0">
        <references count="5">
          <reference field="0" count="1" selected="0">
            <x v="5"/>
          </reference>
          <reference field="3" count="1" selected="0">
            <x v="2"/>
          </reference>
          <reference field="4" count="1" selected="0">
            <x v="216"/>
          </reference>
          <reference field="5" count="1" selected="0">
            <x v="89"/>
          </reference>
          <reference field="7" count="2">
            <x v="1488"/>
            <x v="1489"/>
          </reference>
        </references>
      </pivotArea>
    </format>
    <format dxfId="364">
      <pivotArea dataOnly="0" labelOnly="1" outline="0" fieldPosition="0">
        <references count="5">
          <reference field="0" count="1" selected="0">
            <x v="5"/>
          </reference>
          <reference field="3" count="1" selected="0">
            <x v="2"/>
          </reference>
          <reference field="4" count="1" selected="0">
            <x v="216"/>
          </reference>
          <reference field="5" count="1" selected="0">
            <x v="102"/>
          </reference>
          <reference field="7" count="2">
            <x v="4"/>
            <x v="5"/>
          </reference>
        </references>
      </pivotArea>
    </format>
    <format dxfId="363">
      <pivotArea dataOnly="0" labelOnly="1" outline="0" fieldPosition="0">
        <references count="5">
          <reference field="0" count="1" selected="0">
            <x v="5"/>
          </reference>
          <reference field="3" count="1" selected="0">
            <x v="2"/>
          </reference>
          <reference field="4" count="1" selected="0">
            <x v="216"/>
          </reference>
          <reference field="5" count="1" selected="0">
            <x v="103"/>
          </reference>
          <reference field="7" count="1">
            <x v="5"/>
          </reference>
        </references>
      </pivotArea>
    </format>
    <format dxfId="362">
      <pivotArea dataOnly="0" labelOnly="1" outline="0" fieldPosition="0">
        <references count="5">
          <reference field="0" count="1" selected="0">
            <x v="5"/>
          </reference>
          <reference field="3" count="1" selected="0">
            <x v="2"/>
          </reference>
          <reference field="4" count="1" selected="0">
            <x v="216"/>
          </reference>
          <reference field="5" count="1" selected="0">
            <x v="105"/>
          </reference>
          <reference field="7" count="1">
            <x v="1596"/>
          </reference>
        </references>
      </pivotArea>
    </format>
    <format dxfId="361">
      <pivotArea dataOnly="0" labelOnly="1" outline="0" fieldPosition="0">
        <references count="5">
          <reference field="0" count="1" selected="0">
            <x v="5"/>
          </reference>
          <reference field="3" count="1" selected="0">
            <x v="2"/>
          </reference>
          <reference field="4" count="1" selected="0">
            <x v="216"/>
          </reference>
          <reference field="5" count="1" selected="0">
            <x v="112"/>
          </reference>
          <reference field="7" count="1">
            <x v="609"/>
          </reference>
        </references>
      </pivotArea>
    </format>
    <format dxfId="360">
      <pivotArea dataOnly="0" labelOnly="1" outline="0" fieldPosition="0">
        <references count="5">
          <reference field="0" count="1" selected="0">
            <x v="5"/>
          </reference>
          <reference field="3" count="1" selected="0">
            <x v="2"/>
          </reference>
          <reference field="4" count="1" selected="0">
            <x v="216"/>
          </reference>
          <reference field="5" count="1" selected="0">
            <x v="121"/>
          </reference>
          <reference field="7" count="1">
            <x v="1096"/>
          </reference>
        </references>
      </pivotArea>
    </format>
    <format dxfId="359">
      <pivotArea dataOnly="0" labelOnly="1" outline="0" fieldPosition="0">
        <references count="5">
          <reference field="0" count="1" selected="0">
            <x v="5"/>
          </reference>
          <reference field="3" count="1" selected="0">
            <x v="2"/>
          </reference>
          <reference field="4" count="1" selected="0">
            <x v="216"/>
          </reference>
          <reference field="5" count="1" selected="0">
            <x v="122"/>
          </reference>
          <reference field="7" count="1">
            <x v="1097"/>
          </reference>
        </references>
      </pivotArea>
    </format>
    <format dxfId="358">
      <pivotArea dataOnly="0" labelOnly="1" outline="0" fieldPosition="0">
        <references count="5">
          <reference field="0" count="1" selected="0">
            <x v="5"/>
          </reference>
          <reference field="3" count="1" selected="0">
            <x v="2"/>
          </reference>
          <reference field="4" count="1" selected="0">
            <x v="216"/>
          </reference>
          <reference field="5" count="1" selected="0">
            <x v="124"/>
          </reference>
          <reference field="7" count="1">
            <x v="605"/>
          </reference>
        </references>
      </pivotArea>
    </format>
    <format dxfId="357">
      <pivotArea dataOnly="0" labelOnly="1" outline="0" fieldPosition="0">
        <references count="5">
          <reference field="0" count="1" selected="0">
            <x v="5"/>
          </reference>
          <reference field="3" count="1" selected="0">
            <x v="2"/>
          </reference>
          <reference field="4" count="1" selected="0">
            <x v="216"/>
          </reference>
          <reference field="5" count="1" selected="0">
            <x v="132"/>
          </reference>
          <reference field="7" count="1">
            <x v="584"/>
          </reference>
        </references>
      </pivotArea>
    </format>
    <format dxfId="356">
      <pivotArea dataOnly="0" labelOnly="1" outline="0" fieldPosition="0">
        <references count="5">
          <reference field="0" count="1" selected="0">
            <x v="5"/>
          </reference>
          <reference field="3" count="1" selected="0">
            <x v="2"/>
          </reference>
          <reference field="4" count="1" selected="0">
            <x v="216"/>
          </reference>
          <reference field="5" count="1" selected="0">
            <x v="136"/>
          </reference>
          <reference field="7" count="1">
            <x v="593"/>
          </reference>
        </references>
      </pivotArea>
    </format>
    <format dxfId="355">
      <pivotArea dataOnly="0" labelOnly="1" outline="0" fieldPosition="0">
        <references count="5">
          <reference field="0" count="1" selected="0">
            <x v="5"/>
          </reference>
          <reference field="3" count="1" selected="0">
            <x v="2"/>
          </reference>
          <reference field="4" count="1" selected="0">
            <x v="216"/>
          </reference>
          <reference field="5" count="1" selected="0">
            <x v="139"/>
          </reference>
          <reference field="7" count="1">
            <x v="589"/>
          </reference>
        </references>
      </pivotArea>
    </format>
    <format dxfId="354">
      <pivotArea dataOnly="0" labelOnly="1" outline="0" fieldPosition="0">
        <references count="5">
          <reference field="0" count="1" selected="0">
            <x v="5"/>
          </reference>
          <reference field="3" count="1" selected="0">
            <x v="2"/>
          </reference>
          <reference field="4" count="1" selected="0">
            <x v="216"/>
          </reference>
          <reference field="5" count="1" selected="0">
            <x v="140"/>
          </reference>
          <reference field="7" count="1">
            <x v="595"/>
          </reference>
        </references>
      </pivotArea>
    </format>
    <format dxfId="353">
      <pivotArea dataOnly="0" labelOnly="1" outline="0" fieldPosition="0">
        <references count="5">
          <reference field="0" count="1" selected="0">
            <x v="5"/>
          </reference>
          <reference field="3" count="1" selected="0">
            <x v="2"/>
          </reference>
          <reference field="4" count="1" selected="0">
            <x v="216"/>
          </reference>
          <reference field="5" count="1" selected="0">
            <x v="142"/>
          </reference>
          <reference field="7" count="1">
            <x v="579"/>
          </reference>
        </references>
      </pivotArea>
    </format>
    <format dxfId="352">
      <pivotArea dataOnly="0" labelOnly="1" outline="0" fieldPosition="0">
        <references count="5">
          <reference field="0" count="1" selected="0">
            <x v="5"/>
          </reference>
          <reference field="3" count="1" selected="0">
            <x v="2"/>
          </reference>
          <reference field="4" count="1" selected="0">
            <x v="216"/>
          </reference>
          <reference field="5" count="1" selected="0">
            <x v="148"/>
          </reference>
          <reference field="7" count="1">
            <x v="977"/>
          </reference>
        </references>
      </pivotArea>
    </format>
    <format dxfId="351">
      <pivotArea dataOnly="0" labelOnly="1" outline="0" fieldPosition="0">
        <references count="5">
          <reference field="0" count="1" selected="0">
            <x v="5"/>
          </reference>
          <reference field="3" count="1" selected="0">
            <x v="2"/>
          </reference>
          <reference field="4" count="1" selected="0">
            <x v="216"/>
          </reference>
          <reference field="5" count="1" selected="0">
            <x v="151"/>
          </reference>
          <reference field="7" count="1">
            <x v="980"/>
          </reference>
        </references>
      </pivotArea>
    </format>
    <format dxfId="350">
      <pivotArea dataOnly="0" labelOnly="1" outline="0" fieldPosition="0">
        <references count="5">
          <reference field="0" count="1" selected="0">
            <x v="5"/>
          </reference>
          <reference field="3" count="1" selected="0">
            <x v="2"/>
          </reference>
          <reference field="4" count="1" selected="0">
            <x v="216"/>
          </reference>
          <reference field="5" count="1" selected="0">
            <x v="158"/>
          </reference>
          <reference field="7" count="1">
            <x v="1075"/>
          </reference>
        </references>
      </pivotArea>
    </format>
    <format dxfId="349">
      <pivotArea dataOnly="0" labelOnly="1" outline="0" fieldPosition="0">
        <references count="5">
          <reference field="0" count="1" selected="0">
            <x v="5"/>
          </reference>
          <reference field="3" count="1" selected="0">
            <x v="2"/>
          </reference>
          <reference field="4" count="1" selected="0">
            <x v="216"/>
          </reference>
          <reference field="5" count="1" selected="0">
            <x v="169"/>
          </reference>
          <reference field="7" count="1">
            <x v="1090"/>
          </reference>
        </references>
      </pivotArea>
    </format>
    <format dxfId="348">
      <pivotArea dataOnly="0" labelOnly="1" outline="0" fieldPosition="0">
        <references count="5">
          <reference field="0" count="1" selected="0">
            <x v="5"/>
          </reference>
          <reference field="3" count="1" selected="0">
            <x v="2"/>
          </reference>
          <reference field="4" count="1" selected="0">
            <x v="216"/>
          </reference>
          <reference field="5" count="1" selected="0">
            <x v="173"/>
          </reference>
          <reference field="7" count="1">
            <x v="1094"/>
          </reference>
        </references>
      </pivotArea>
    </format>
    <format dxfId="347">
      <pivotArea dataOnly="0" labelOnly="1" outline="0" fieldPosition="0">
        <references count="5">
          <reference field="0" count="1" selected="0">
            <x v="5"/>
          </reference>
          <reference field="3" count="1" selected="0">
            <x v="2"/>
          </reference>
          <reference field="4" count="1" selected="0">
            <x v="216"/>
          </reference>
          <reference field="5" count="1" selected="0">
            <x v="187"/>
          </reference>
          <reference field="7" count="1">
            <x v="682"/>
          </reference>
        </references>
      </pivotArea>
    </format>
    <format dxfId="346">
      <pivotArea dataOnly="0" labelOnly="1" outline="0" fieldPosition="0">
        <references count="5">
          <reference field="0" count="1" selected="0">
            <x v="5"/>
          </reference>
          <reference field="3" count="1" selected="0">
            <x v="2"/>
          </reference>
          <reference field="4" count="1" selected="0">
            <x v="216"/>
          </reference>
          <reference field="5" count="1" selected="0">
            <x v="203"/>
          </reference>
          <reference field="7" count="1">
            <x v="1418"/>
          </reference>
        </references>
      </pivotArea>
    </format>
    <format dxfId="345">
      <pivotArea dataOnly="0" labelOnly="1" outline="0" fieldPosition="0">
        <references count="5">
          <reference field="0" count="1" selected="0">
            <x v="5"/>
          </reference>
          <reference field="3" count="1" selected="0">
            <x v="2"/>
          </reference>
          <reference field="4" count="1" selected="0">
            <x v="216"/>
          </reference>
          <reference field="5" count="1" selected="0">
            <x v="204"/>
          </reference>
          <reference field="7" count="1">
            <x v="1420"/>
          </reference>
        </references>
      </pivotArea>
    </format>
    <format dxfId="344">
      <pivotArea dataOnly="0" labelOnly="1" outline="0" fieldPosition="0">
        <references count="5">
          <reference field="0" count="1" selected="0">
            <x v="5"/>
          </reference>
          <reference field="3" count="1" selected="0">
            <x v="2"/>
          </reference>
          <reference field="4" count="1" selected="0">
            <x v="216"/>
          </reference>
          <reference field="5" count="1" selected="0">
            <x v="215"/>
          </reference>
          <reference field="7" count="1">
            <x v="975"/>
          </reference>
        </references>
      </pivotArea>
    </format>
    <format dxfId="343">
      <pivotArea dataOnly="0" labelOnly="1" outline="0" fieldPosition="0">
        <references count="5">
          <reference field="0" count="1" selected="0">
            <x v="5"/>
          </reference>
          <reference field="3" count="1" selected="0">
            <x v="2"/>
          </reference>
          <reference field="4" count="1" selected="0">
            <x v="216"/>
          </reference>
          <reference field="5" count="1" selected="0">
            <x v="224"/>
          </reference>
          <reference field="7" count="1">
            <x v="757"/>
          </reference>
        </references>
      </pivotArea>
    </format>
    <format dxfId="342">
      <pivotArea dataOnly="0" labelOnly="1" outline="0" fieldPosition="0">
        <references count="5">
          <reference field="0" count="1" selected="0">
            <x v="5"/>
          </reference>
          <reference field="3" count="1" selected="0">
            <x v="2"/>
          </reference>
          <reference field="4" count="1" selected="0">
            <x v="216"/>
          </reference>
          <reference field="5" count="1" selected="0">
            <x v="237"/>
          </reference>
          <reference field="7" count="1">
            <x v="1586"/>
          </reference>
        </references>
      </pivotArea>
    </format>
    <format dxfId="341">
      <pivotArea dataOnly="0" labelOnly="1" outline="0" fieldPosition="0">
        <references count="5">
          <reference field="0" count="1" selected="0">
            <x v="5"/>
          </reference>
          <reference field="3" count="1" selected="0">
            <x v="2"/>
          </reference>
          <reference field="4" count="1" selected="0">
            <x v="216"/>
          </reference>
          <reference field="5" count="1" selected="0">
            <x v="256"/>
          </reference>
          <reference field="7" count="1">
            <x v="681"/>
          </reference>
        </references>
      </pivotArea>
    </format>
    <format dxfId="340">
      <pivotArea dataOnly="0" labelOnly="1" outline="0" fieldPosition="0">
        <references count="5">
          <reference field="0" count="1" selected="0">
            <x v="5"/>
          </reference>
          <reference field="3" count="1" selected="0">
            <x v="2"/>
          </reference>
          <reference field="4" count="1" selected="0">
            <x v="216"/>
          </reference>
          <reference field="5" count="1" selected="0">
            <x v="282"/>
          </reference>
          <reference field="7" count="1">
            <x v="755"/>
          </reference>
        </references>
      </pivotArea>
    </format>
    <format dxfId="339">
      <pivotArea dataOnly="0" labelOnly="1" outline="0" fieldPosition="0">
        <references count="5">
          <reference field="0" count="1" selected="0">
            <x v="5"/>
          </reference>
          <reference field="3" count="1" selected="0">
            <x v="2"/>
          </reference>
          <reference field="4" count="1" selected="0">
            <x v="216"/>
          </reference>
          <reference field="5" count="1" selected="0">
            <x v="283"/>
          </reference>
          <reference field="7" count="1">
            <x v="756"/>
          </reference>
        </references>
      </pivotArea>
    </format>
    <format dxfId="338">
      <pivotArea dataOnly="0" labelOnly="1" outline="0" fieldPosition="0">
        <references count="5">
          <reference field="0" count="1" selected="0">
            <x v="5"/>
          </reference>
          <reference field="3" count="1" selected="0">
            <x v="2"/>
          </reference>
          <reference field="4" count="1" selected="0">
            <x v="216"/>
          </reference>
          <reference field="5" count="1" selected="0">
            <x v="302"/>
          </reference>
          <reference field="7" count="1">
            <x v="1070"/>
          </reference>
        </references>
      </pivotArea>
    </format>
    <format dxfId="337">
      <pivotArea dataOnly="0" labelOnly="1" outline="0" fieldPosition="0">
        <references count="5">
          <reference field="0" count="1" selected="0">
            <x v="5"/>
          </reference>
          <reference field="3" count="1" selected="0">
            <x v="2"/>
          </reference>
          <reference field="4" count="1" selected="0">
            <x v="216"/>
          </reference>
          <reference field="5" count="1" selected="0">
            <x v="334"/>
          </reference>
          <reference field="7" count="1">
            <x v="1592"/>
          </reference>
        </references>
      </pivotArea>
    </format>
    <format dxfId="336">
      <pivotArea dataOnly="0" labelOnly="1" outline="0" fieldPosition="0">
        <references count="5">
          <reference field="0" count="1" selected="0">
            <x v="5"/>
          </reference>
          <reference field="3" count="1" selected="0">
            <x v="2"/>
          </reference>
          <reference field="4" count="1" selected="0">
            <x v="216"/>
          </reference>
          <reference field="5" count="1" selected="0">
            <x v="336"/>
          </reference>
          <reference field="7" count="1">
            <x v="1593"/>
          </reference>
        </references>
      </pivotArea>
    </format>
    <format dxfId="335">
      <pivotArea dataOnly="0" labelOnly="1" outline="0" fieldPosition="0">
        <references count="5">
          <reference field="0" count="1" selected="0">
            <x v="5"/>
          </reference>
          <reference field="3" count="1" selected="0">
            <x v="2"/>
          </reference>
          <reference field="4" count="1" selected="0">
            <x v="216"/>
          </reference>
          <reference field="5" count="1" selected="0">
            <x v="374"/>
          </reference>
          <reference field="7" count="1">
            <x v="704"/>
          </reference>
        </references>
      </pivotArea>
    </format>
    <format dxfId="334">
      <pivotArea dataOnly="0" labelOnly="1" outline="0" fieldPosition="0">
        <references count="5">
          <reference field="0" count="1" selected="0">
            <x v="5"/>
          </reference>
          <reference field="3" count="1" selected="0">
            <x v="2"/>
          </reference>
          <reference field="4" count="1" selected="0">
            <x v="216"/>
          </reference>
          <reference field="5" count="1" selected="0">
            <x v="398"/>
          </reference>
          <reference field="7" count="1">
            <x v="1042"/>
          </reference>
        </references>
      </pivotArea>
    </format>
    <format dxfId="333">
      <pivotArea dataOnly="0" labelOnly="1" outline="0" fieldPosition="0">
        <references count="5">
          <reference field="0" count="1" selected="0">
            <x v="5"/>
          </reference>
          <reference field="3" count="1" selected="0">
            <x v="2"/>
          </reference>
          <reference field="4" count="1" selected="0">
            <x v="216"/>
          </reference>
          <reference field="5" count="1" selected="0">
            <x v="399"/>
          </reference>
          <reference field="7" count="1">
            <x v="16"/>
          </reference>
        </references>
      </pivotArea>
    </format>
    <format dxfId="332">
      <pivotArea dataOnly="0" labelOnly="1" outline="0" fieldPosition="0">
        <references count="5">
          <reference field="0" count="1" selected="0">
            <x v="5"/>
          </reference>
          <reference field="3" count="1" selected="0">
            <x v="2"/>
          </reference>
          <reference field="4" count="1" selected="0">
            <x v="216"/>
          </reference>
          <reference field="5" count="1" selected="0">
            <x v="439"/>
          </reference>
          <reference field="7" count="1">
            <x v="318"/>
          </reference>
        </references>
      </pivotArea>
    </format>
    <format dxfId="331">
      <pivotArea dataOnly="0" labelOnly="1" outline="0" fieldPosition="0">
        <references count="5">
          <reference field="0" count="1" selected="0">
            <x v="5"/>
          </reference>
          <reference field="3" count="1" selected="0">
            <x v="2"/>
          </reference>
          <reference field="4" count="1" selected="0">
            <x v="216"/>
          </reference>
          <reference field="5" count="1" selected="0">
            <x v="440"/>
          </reference>
          <reference field="7" count="1">
            <x v="1544"/>
          </reference>
        </references>
      </pivotArea>
    </format>
    <format dxfId="330">
      <pivotArea dataOnly="0" labelOnly="1" outline="0" fieldPosition="0">
        <references count="5">
          <reference field="0" count="1" selected="0">
            <x v="5"/>
          </reference>
          <reference field="3" count="1" selected="0">
            <x v="2"/>
          </reference>
          <reference field="4" count="1" selected="0">
            <x v="216"/>
          </reference>
          <reference field="5" count="1" selected="0">
            <x v="443"/>
          </reference>
          <reference field="7" count="1">
            <x v="1549"/>
          </reference>
        </references>
      </pivotArea>
    </format>
    <format dxfId="329">
      <pivotArea dataOnly="0" labelOnly="1" outline="0" fieldPosition="0">
        <references count="5">
          <reference field="0" count="1" selected="0">
            <x v="5"/>
          </reference>
          <reference field="3" count="1" selected="0">
            <x v="2"/>
          </reference>
          <reference field="4" count="1" selected="0">
            <x v="216"/>
          </reference>
          <reference field="5" count="1" selected="0">
            <x v="444"/>
          </reference>
          <reference field="7" count="1">
            <x v="1557"/>
          </reference>
        </references>
      </pivotArea>
    </format>
    <format dxfId="328">
      <pivotArea dataOnly="0" labelOnly="1" outline="0" fieldPosition="0">
        <references count="5">
          <reference field="0" count="1" selected="0">
            <x v="5"/>
          </reference>
          <reference field="3" count="1" selected="0">
            <x v="2"/>
          </reference>
          <reference field="4" count="1" selected="0">
            <x v="216"/>
          </reference>
          <reference field="5" count="1" selected="0">
            <x v="445"/>
          </reference>
          <reference field="7" count="1">
            <x v="1546"/>
          </reference>
        </references>
      </pivotArea>
    </format>
    <format dxfId="327">
      <pivotArea dataOnly="0" labelOnly="1" outline="0" fieldPosition="0">
        <references count="5">
          <reference field="0" count="1" selected="0">
            <x v="5"/>
          </reference>
          <reference field="3" count="1" selected="0">
            <x v="2"/>
          </reference>
          <reference field="4" count="1" selected="0">
            <x v="216"/>
          </reference>
          <reference field="5" count="1" selected="0">
            <x v="446"/>
          </reference>
          <reference field="7" count="1">
            <x v="1545"/>
          </reference>
        </references>
      </pivotArea>
    </format>
    <format dxfId="326">
      <pivotArea dataOnly="0" labelOnly="1" outline="0" fieldPosition="0">
        <references count="5">
          <reference field="0" count="1" selected="0">
            <x v="5"/>
          </reference>
          <reference field="3" count="1" selected="0">
            <x v="2"/>
          </reference>
          <reference field="4" count="1" selected="0">
            <x v="216"/>
          </reference>
          <reference field="5" count="1" selected="0">
            <x v="447"/>
          </reference>
          <reference field="7" count="1">
            <x v="1542"/>
          </reference>
        </references>
      </pivotArea>
    </format>
    <format dxfId="325">
      <pivotArea dataOnly="0" labelOnly="1" outline="0" fieldPosition="0">
        <references count="5">
          <reference field="0" count="1" selected="0">
            <x v="5"/>
          </reference>
          <reference field="3" count="1" selected="0">
            <x v="2"/>
          </reference>
          <reference field="4" count="1" selected="0">
            <x v="216"/>
          </reference>
          <reference field="5" count="1" selected="0">
            <x v="448"/>
          </reference>
          <reference field="7" count="1">
            <x v="1556"/>
          </reference>
        </references>
      </pivotArea>
    </format>
    <format dxfId="324">
      <pivotArea dataOnly="0" labelOnly="1" outline="0" fieldPosition="0">
        <references count="5">
          <reference field="0" count="1" selected="0">
            <x v="5"/>
          </reference>
          <reference field="3" count="1" selected="0">
            <x v="2"/>
          </reference>
          <reference field="4" count="1" selected="0">
            <x v="216"/>
          </reference>
          <reference field="5" count="1" selected="0">
            <x v="449"/>
          </reference>
          <reference field="7" count="1">
            <x v="1543"/>
          </reference>
        </references>
      </pivotArea>
    </format>
    <format dxfId="323">
      <pivotArea dataOnly="0" labelOnly="1" outline="0" fieldPosition="0">
        <references count="5">
          <reference field="0" count="1" selected="0">
            <x v="5"/>
          </reference>
          <reference field="3" count="1" selected="0">
            <x v="2"/>
          </reference>
          <reference field="4" count="1" selected="0">
            <x v="216"/>
          </reference>
          <reference field="5" count="1" selected="0">
            <x v="450"/>
          </reference>
          <reference field="7" count="1">
            <x v="1567"/>
          </reference>
        </references>
      </pivotArea>
    </format>
    <format dxfId="322">
      <pivotArea dataOnly="0" labelOnly="1" outline="0" fieldPosition="0">
        <references count="5">
          <reference field="0" count="1" selected="0">
            <x v="5"/>
          </reference>
          <reference field="3" count="1" selected="0">
            <x v="2"/>
          </reference>
          <reference field="4" count="1" selected="0">
            <x v="216"/>
          </reference>
          <reference field="5" count="1" selected="0">
            <x v="451"/>
          </reference>
          <reference field="7" count="1">
            <x v="944"/>
          </reference>
        </references>
      </pivotArea>
    </format>
    <format dxfId="321">
      <pivotArea dataOnly="0" labelOnly="1" outline="0" fieldPosition="0">
        <references count="5">
          <reference field="0" count="1" selected="0">
            <x v="5"/>
          </reference>
          <reference field="3" count="1" selected="0">
            <x v="2"/>
          </reference>
          <reference field="4" count="1" selected="0">
            <x v="216"/>
          </reference>
          <reference field="5" count="1" selected="0">
            <x v="452"/>
          </reference>
          <reference field="7" count="1">
            <x v="945"/>
          </reference>
        </references>
      </pivotArea>
    </format>
    <format dxfId="320">
      <pivotArea dataOnly="0" labelOnly="1" outline="0" fieldPosition="0">
        <references count="5">
          <reference field="0" count="1" selected="0">
            <x v="5"/>
          </reference>
          <reference field="3" count="1" selected="0">
            <x v="2"/>
          </reference>
          <reference field="4" count="1" selected="0">
            <x v="216"/>
          </reference>
          <reference field="5" count="1" selected="0">
            <x v="455"/>
          </reference>
          <reference field="7" count="1">
            <x v="946"/>
          </reference>
        </references>
      </pivotArea>
    </format>
    <format dxfId="319">
      <pivotArea dataOnly="0" labelOnly="1" outline="0" fieldPosition="0">
        <references count="5">
          <reference field="0" count="1" selected="0">
            <x v="5"/>
          </reference>
          <reference field="3" count="1" selected="0">
            <x v="2"/>
          </reference>
          <reference field="4" count="1" selected="0">
            <x v="216"/>
          </reference>
          <reference field="5" count="1" selected="0">
            <x v="456"/>
          </reference>
          <reference field="7" count="1">
            <x v="1541"/>
          </reference>
        </references>
      </pivotArea>
    </format>
    <format dxfId="318">
      <pivotArea dataOnly="0" labelOnly="1" outline="0" fieldPosition="0">
        <references count="5">
          <reference field="0" count="1" selected="0">
            <x v="5"/>
          </reference>
          <reference field="3" count="1" selected="0">
            <x v="2"/>
          </reference>
          <reference field="4" count="1" selected="0">
            <x v="216"/>
          </reference>
          <reference field="5" count="1" selected="0">
            <x v="457"/>
          </reference>
          <reference field="7" count="1">
            <x v="708"/>
          </reference>
        </references>
      </pivotArea>
    </format>
    <format dxfId="317">
      <pivotArea dataOnly="0" labelOnly="1" outline="0" fieldPosition="0">
        <references count="5">
          <reference field="0" count="1" selected="0">
            <x v="5"/>
          </reference>
          <reference field="3" count="1" selected="0">
            <x v="2"/>
          </reference>
          <reference field="4" count="1" selected="0">
            <x v="216"/>
          </reference>
          <reference field="5" count="1" selected="0">
            <x v="458"/>
          </reference>
          <reference field="7" count="1">
            <x v="710"/>
          </reference>
        </references>
      </pivotArea>
    </format>
    <format dxfId="316">
      <pivotArea dataOnly="0" labelOnly="1" outline="0" fieldPosition="0">
        <references count="5">
          <reference field="0" count="1" selected="0">
            <x v="5"/>
          </reference>
          <reference field="3" count="1" selected="0">
            <x v="2"/>
          </reference>
          <reference field="4" count="1" selected="0">
            <x v="216"/>
          </reference>
          <reference field="5" count="1" selected="0">
            <x v="459"/>
          </reference>
          <reference field="7" count="1">
            <x v="1540"/>
          </reference>
        </references>
      </pivotArea>
    </format>
    <format dxfId="315">
      <pivotArea dataOnly="0" labelOnly="1" outline="0" fieldPosition="0">
        <references count="5">
          <reference field="0" count="1" selected="0">
            <x v="5"/>
          </reference>
          <reference field="3" count="1" selected="0">
            <x v="2"/>
          </reference>
          <reference field="4" count="1" selected="0">
            <x v="216"/>
          </reference>
          <reference field="5" count="1" selected="0">
            <x v="460"/>
          </reference>
          <reference field="7" count="1">
            <x v="954"/>
          </reference>
        </references>
      </pivotArea>
    </format>
    <format dxfId="314">
      <pivotArea dataOnly="0" labelOnly="1" outline="0" fieldPosition="0">
        <references count="5">
          <reference field="0" count="1" selected="0">
            <x v="5"/>
          </reference>
          <reference field="3" count="1" selected="0">
            <x v="2"/>
          </reference>
          <reference field="4" count="1" selected="0">
            <x v="216"/>
          </reference>
          <reference field="5" count="1" selected="0">
            <x v="461"/>
          </reference>
          <reference field="7" count="1">
            <x v="1548"/>
          </reference>
        </references>
      </pivotArea>
    </format>
    <format dxfId="313">
      <pivotArea dataOnly="0" labelOnly="1" outline="0" fieldPosition="0">
        <references count="5">
          <reference field="0" count="1" selected="0">
            <x v="5"/>
          </reference>
          <reference field="3" count="1" selected="0">
            <x v="2"/>
          </reference>
          <reference field="4" count="1" selected="0">
            <x v="216"/>
          </reference>
          <reference field="5" count="1" selected="0">
            <x v="462"/>
          </reference>
          <reference field="7" count="1">
            <x v="1568"/>
          </reference>
        </references>
      </pivotArea>
    </format>
    <format dxfId="312">
      <pivotArea dataOnly="0" labelOnly="1" outline="0" fieldPosition="0">
        <references count="5">
          <reference field="0" count="1" selected="0">
            <x v="5"/>
          </reference>
          <reference field="3" count="1" selected="0">
            <x v="2"/>
          </reference>
          <reference field="4" count="1" selected="0">
            <x v="216"/>
          </reference>
          <reference field="5" count="1" selected="0">
            <x v="463"/>
          </reference>
          <reference field="7" count="1">
            <x v="1547"/>
          </reference>
        </references>
      </pivotArea>
    </format>
    <format dxfId="311">
      <pivotArea dataOnly="0" labelOnly="1" outline="0" fieldPosition="0">
        <references count="5">
          <reference field="0" count="1" selected="0">
            <x v="5"/>
          </reference>
          <reference field="3" count="1" selected="0">
            <x v="3"/>
          </reference>
          <reference field="4" count="1" selected="0">
            <x v="5"/>
          </reference>
          <reference field="5" count="1" selected="0">
            <x v="349"/>
          </reference>
          <reference field="7" count="1">
            <x v="117"/>
          </reference>
        </references>
      </pivotArea>
    </format>
    <format dxfId="310">
      <pivotArea dataOnly="0" labelOnly="1" outline="0" fieldPosition="0">
        <references count="5">
          <reference field="0" count="1" selected="0">
            <x v="5"/>
          </reference>
          <reference field="3" count="1" selected="0">
            <x v="3"/>
          </reference>
          <reference field="4" count="1" selected="0">
            <x v="5"/>
          </reference>
          <reference field="5" count="1" selected="0">
            <x v="350"/>
          </reference>
          <reference field="7" count="1">
            <x v="1024"/>
          </reference>
        </references>
      </pivotArea>
    </format>
    <format dxfId="309">
      <pivotArea dataOnly="0" labelOnly="1" outline="0" fieldPosition="0">
        <references count="5">
          <reference field="0" count="1" selected="0">
            <x v="5"/>
          </reference>
          <reference field="3" count="1" selected="0">
            <x v="3"/>
          </reference>
          <reference field="4" count="1" selected="0">
            <x v="5"/>
          </reference>
          <reference field="5" count="1" selected="0">
            <x v="387"/>
          </reference>
          <reference field="7" count="1">
            <x v="114"/>
          </reference>
        </references>
      </pivotArea>
    </format>
    <format dxfId="308">
      <pivotArea dataOnly="0" labelOnly="1" outline="0" fieldPosition="0">
        <references count="5">
          <reference field="0" count="1" selected="0">
            <x v="5"/>
          </reference>
          <reference field="3" count="1" selected="0">
            <x v="3"/>
          </reference>
          <reference field="4" count="1" selected="0">
            <x v="168"/>
          </reference>
          <reference field="5" count="1" selected="0">
            <x v="1523"/>
          </reference>
          <reference field="7" count="1">
            <x v="301"/>
          </reference>
        </references>
      </pivotArea>
    </format>
    <format dxfId="307">
      <pivotArea dataOnly="0" labelOnly="1" outline="0" fieldPosition="0">
        <references count="5">
          <reference field="0" count="1" selected="0">
            <x v="5"/>
          </reference>
          <reference field="3" count="1" selected="0">
            <x v="3"/>
          </reference>
          <reference field="4" count="1" selected="0">
            <x v="168"/>
          </reference>
          <reference field="5" count="1" selected="0">
            <x v="1524"/>
          </reference>
          <reference field="7" count="1">
            <x v="333"/>
          </reference>
        </references>
      </pivotArea>
    </format>
    <format dxfId="306">
      <pivotArea dataOnly="0" labelOnly="1" outline="0" fieldPosition="0">
        <references count="5">
          <reference field="0" count="1" selected="0">
            <x v="5"/>
          </reference>
          <reference field="3" count="1" selected="0">
            <x v="3"/>
          </reference>
          <reference field="4" count="1" selected="0">
            <x v="168"/>
          </reference>
          <reference field="5" count="1" selected="0">
            <x v="1626"/>
          </reference>
          <reference field="7" count="1">
            <x v="1474"/>
          </reference>
        </references>
      </pivotArea>
    </format>
    <format dxfId="305">
      <pivotArea dataOnly="0" labelOnly="1" outline="0" fieldPosition="0">
        <references count="5">
          <reference field="0" count="1" selected="0">
            <x v="5"/>
          </reference>
          <reference field="3" count="1" selected="0">
            <x v="3"/>
          </reference>
          <reference field="4" count="1" selected="0">
            <x v="181"/>
          </reference>
          <reference field="5" count="1" selected="0">
            <x v="342"/>
          </reference>
          <reference field="7" count="1">
            <x v="1098"/>
          </reference>
        </references>
      </pivotArea>
    </format>
    <format dxfId="304">
      <pivotArea dataOnly="0" labelOnly="1" outline="0" fieldPosition="0">
        <references count="5">
          <reference field="0" count="1" selected="0">
            <x v="5"/>
          </reference>
          <reference field="3" count="1" selected="0">
            <x v="3"/>
          </reference>
          <reference field="4" count="1" selected="0">
            <x v="181"/>
          </reference>
          <reference field="5" count="1" selected="0">
            <x v="466"/>
          </reference>
          <reference field="7" count="1">
            <x v="931"/>
          </reference>
        </references>
      </pivotArea>
    </format>
    <format dxfId="303">
      <pivotArea dataOnly="0" labelOnly="1" outline="0" fieldPosition="0">
        <references count="5">
          <reference field="0" count="1" selected="0">
            <x v="5"/>
          </reference>
          <reference field="3" count="1" selected="0">
            <x v="3"/>
          </reference>
          <reference field="4" count="1" selected="0">
            <x v="181"/>
          </reference>
          <reference field="5" count="1" selected="0">
            <x v="467"/>
          </reference>
          <reference field="7" count="1">
            <x v="933"/>
          </reference>
        </references>
      </pivotArea>
    </format>
    <format dxfId="302">
      <pivotArea dataOnly="0" labelOnly="1" outline="0" fieldPosition="0">
        <references count="5">
          <reference field="0" count="1" selected="0">
            <x v="5"/>
          </reference>
          <reference field="3" count="1" selected="0">
            <x v="3"/>
          </reference>
          <reference field="4" count="1" selected="0">
            <x v="181"/>
          </reference>
          <reference field="5" count="1" selected="0">
            <x v="468"/>
          </reference>
          <reference field="7" count="1">
            <x v="934"/>
          </reference>
        </references>
      </pivotArea>
    </format>
    <format dxfId="301">
      <pivotArea dataOnly="0" labelOnly="1" outline="0" fieldPosition="0">
        <references count="5">
          <reference field="0" count="1" selected="0">
            <x v="5"/>
          </reference>
          <reference field="3" count="1" selected="0">
            <x v="3"/>
          </reference>
          <reference field="4" count="1" selected="0">
            <x v="181"/>
          </reference>
          <reference field="5" count="1" selected="0">
            <x v="469"/>
          </reference>
          <reference field="7" count="1">
            <x v="936"/>
          </reference>
        </references>
      </pivotArea>
    </format>
    <format dxfId="300">
      <pivotArea dataOnly="0" labelOnly="1" outline="0" fieldPosition="0">
        <references count="5">
          <reference field="0" count="1" selected="0">
            <x v="5"/>
          </reference>
          <reference field="3" count="1" selected="0">
            <x v="3"/>
          </reference>
          <reference field="4" count="1" selected="0">
            <x v="181"/>
          </reference>
          <reference field="5" count="1" selected="0">
            <x v="470"/>
          </reference>
          <reference field="7" count="1">
            <x v="937"/>
          </reference>
        </references>
      </pivotArea>
    </format>
    <format dxfId="299">
      <pivotArea dataOnly="0" labelOnly="1" outline="0" fieldPosition="0">
        <references count="5">
          <reference field="0" count="1" selected="0">
            <x v="5"/>
          </reference>
          <reference field="3" count="1" selected="0">
            <x v="3"/>
          </reference>
          <reference field="4" count="1" selected="0">
            <x v="181"/>
          </reference>
          <reference field="5" count="1" selected="0">
            <x v="471"/>
          </reference>
          <reference field="7" count="1">
            <x v="938"/>
          </reference>
        </references>
      </pivotArea>
    </format>
    <format dxfId="298">
      <pivotArea dataOnly="0" labelOnly="1" outline="0" fieldPosition="0">
        <references count="5">
          <reference field="0" count="1" selected="0">
            <x v="5"/>
          </reference>
          <reference field="3" count="1" selected="0">
            <x v="3"/>
          </reference>
          <reference field="4" count="1" selected="0">
            <x v="181"/>
          </reference>
          <reference field="5" count="1" selected="0">
            <x v="472"/>
          </reference>
          <reference field="7" count="1">
            <x v="932"/>
          </reference>
        </references>
      </pivotArea>
    </format>
    <format dxfId="297">
      <pivotArea dataOnly="0" labelOnly="1" outline="0" fieldPosition="0">
        <references count="5">
          <reference field="0" count="1" selected="0">
            <x v="5"/>
          </reference>
          <reference field="3" count="1" selected="0">
            <x v="3"/>
          </reference>
          <reference field="4" count="1" selected="0">
            <x v="181"/>
          </reference>
          <reference field="5" count="1" selected="0">
            <x v="473"/>
          </reference>
          <reference field="7" count="1">
            <x v="935"/>
          </reference>
        </references>
      </pivotArea>
    </format>
    <format dxfId="296">
      <pivotArea dataOnly="0" labelOnly="1" outline="0" fieldPosition="0">
        <references count="5">
          <reference field="0" count="1" selected="0">
            <x v="5"/>
          </reference>
          <reference field="3" count="1" selected="0">
            <x v="3"/>
          </reference>
          <reference field="4" count="1" selected="0">
            <x v="203"/>
          </reference>
          <reference field="5" count="1" selected="0">
            <x v="342"/>
          </reference>
          <reference field="7" count="1">
            <x v="1098"/>
          </reference>
        </references>
      </pivotArea>
    </format>
    <format dxfId="295">
      <pivotArea dataOnly="0" labelOnly="1" outline="0" fieldPosition="0">
        <references count="5">
          <reference field="0" count="1" selected="0">
            <x v="5"/>
          </reference>
          <reference field="3" count="1" selected="0">
            <x v="3"/>
          </reference>
          <reference field="4" count="1" selected="0">
            <x v="203"/>
          </reference>
          <reference field="5" count="1" selected="0">
            <x v="481"/>
          </reference>
          <reference field="7" count="1">
            <x v="1162"/>
          </reference>
        </references>
      </pivotArea>
    </format>
    <format dxfId="294">
      <pivotArea dataOnly="0" labelOnly="1" outline="0" fieldPosition="0">
        <references count="5">
          <reference field="0" count="1" selected="0">
            <x v="5"/>
          </reference>
          <reference field="3" count="1" selected="0">
            <x v="3"/>
          </reference>
          <reference field="4" count="1" selected="0">
            <x v="203"/>
          </reference>
          <reference field="5" count="1" selected="0">
            <x v="482"/>
          </reference>
          <reference field="7" count="1">
            <x v="8"/>
          </reference>
        </references>
      </pivotArea>
    </format>
    <format dxfId="293">
      <pivotArea dataOnly="0" labelOnly="1" outline="0" fieldPosition="0">
        <references count="5">
          <reference field="0" count="1" selected="0">
            <x v="5"/>
          </reference>
          <reference field="3" count="1" selected="0">
            <x v="3"/>
          </reference>
          <reference field="4" count="1" selected="0">
            <x v="203"/>
          </reference>
          <reference field="5" count="1" selected="0">
            <x v="483"/>
          </reference>
          <reference field="7" count="1">
            <x v="1164"/>
          </reference>
        </references>
      </pivotArea>
    </format>
    <format dxfId="292">
      <pivotArea dataOnly="0" labelOnly="1" outline="0" fieldPosition="0">
        <references count="5">
          <reference field="0" count="1" selected="0">
            <x v="5"/>
          </reference>
          <reference field="3" count="1" selected="0">
            <x v="3"/>
          </reference>
          <reference field="4" count="1" selected="0">
            <x v="203"/>
          </reference>
          <reference field="5" count="1" selected="0">
            <x v="484"/>
          </reference>
          <reference field="7" count="1">
            <x v="1163"/>
          </reference>
        </references>
      </pivotArea>
    </format>
    <format dxfId="291">
      <pivotArea dataOnly="0" labelOnly="1" outline="0" fieldPosition="0">
        <references count="5">
          <reference field="0" count="1" selected="0">
            <x v="5"/>
          </reference>
          <reference field="3" count="1" selected="0">
            <x v="3"/>
          </reference>
          <reference field="4" count="1" selected="0">
            <x v="203"/>
          </reference>
          <reference field="5" count="1" selected="0">
            <x v="485"/>
          </reference>
          <reference field="7" count="1">
            <x v="6"/>
          </reference>
        </references>
      </pivotArea>
    </format>
    <format dxfId="290">
      <pivotArea dataOnly="0" labelOnly="1" outline="0" fieldPosition="0">
        <references count="5">
          <reference field="0" count="1" selected="0">
            <x v="5"/>
          </reference>
          <reference field="3" count="1" selected="0">
            <x v="3"/>
          </reference>
          <reference field="4" count="1" selected="0">
            <x v="203"/>
          </reference>
          <reference field="5" count="1" selected="0">
            <x v="486"/>
          </reference>
          <reference field="7" count="1">
            <x v="10"/>
          </reference>
        </references>
      </pivotArea>
    </format>
    <format dxfId="289">
      <pivotArea dataOnly="0" labelOnly="1" outline="0" fieldPosition="0">
        <references count="5">
          <reference field="0" count="1" selected="0">
            <x v="5"/>
          </reference>
          <reference field="3" count="1" selected="0">
            <x v="3"/>
          </reference>
          <reference field="4" count="1" selected="0">
            <x v="203"/>
          </reference>
          <reference field="5" count="1" selected="0">
            <x v="487"/>
          </reference>
          <reference field="7" count="1">
            <x v="7"/>
          </reference>
        </references>
      </pivotArea>
    </format>
    <format dxfId="288">
      <pivotArea dataOnly="0" labelOnly="1" outline="0" fieldPosition="0">
        <references count="5">
          <reference field="0" count="1" selected="0">
            <x v="5"/>
          </reference>
          <reference field="3" count="1" selected="0">
            <x v="3"/>
          </reference>
          <reference field="4" count="1" selected="0">
            <x v="216"/>
          </reference>
          <reference field="5" count="1" selected="0">
            <x v="20"/>
          </reference>
          <reference field="7" count="1">
            <x v="1406"/>
          </reference>
        </references>
      </pivotArea>
    </format>
    <format dxfId="287">
      <pivotArea dataOnly="0" labelOnly="1" outline="0" fieldPosition="0">
        <references count="5">
          <reference field="0" count="1" selected="0">
            <x v="5"/>
          </reference>
          <reference field="3" count="1" selected="0">
            <x v="3"/>
          </reference>
          <reference field="4" count="1" selected="0">
            <x v="216"/>
          </reference>
          <reference field="5" count="1" selected="0">
            <x v="136"/>
          </reference>
          <reference field="7" count="1">
            <x v="593"/>
          </reference>
        </references>
      </pivotArea>
    </format>
    <format dxfId="286">
      <pivotArea dataOnly="0" labelOnly="1" outline="0" fieldPosition="0">
        <references count="5">
          <reference field="0" count="1" selected="0">
            <x v="5"/>
          </reference>
          <reference field="3" count="1" selected="0">
            <x v="3"/>
          </reference>
          <reference field="4" count="1" selected="0">
            <x v="216"/>
          </reference>
          <reference field="5" count="1" selected="0">
            <x v="148"/>
          </reference>
          <reference field="7" count="1">
            <x v="977"/>
          </reference>
        </references>
      </pivotArea>
    </format>
    <format dxfId="285">
      <pivotArea dataOnly="0" labelOnly="1" outline="0" fieldPosition="0">
        <references count="5">
          <reference field="0" count="1" selected="0">
            <x v="5"/>
          </reference>
          <reference field="3" count="1" selected="0">
            <x v="3"/>
          </reference>
          <reference field="4" count="1" selected="0">
            <x v="216"/>
          </reference>
          <reference field="5" count="1" selected="0">
            <x v="166"/>
          </reference>
          <reference field="7" count="1">
            <x v="1086"/>
          </reference>
        </references>
      </pivotArea>
    </format>
    <format dxfId="284">
      <pivotArea dataOnly="0" labelOnly="1" outline="0" fieldPosition="0">
        <references count="5">
          <reference field="0" count="1" selected="0">
            <x v="5"/>
          </reference>
          <reference field="3" count="1" selected="0">
            <x v="3"/>
          </reference>
          <reference field="4" count="1" selected="0">
            <x v="216"/>
          </reference>
          <reference field="5" count="1" selected="0">
            <x v="169"/>
          </reference>
          <reference field="7" count="1">
            <x v="1090"/>
          </reference>
        </references>
      </pivotArea>
    </format>
    <format dxfId="283">
      <pivotArea dataOnly="0" labelOnly="1" outline="0" fieldPosition="0">
        <references count="5">
          <reference field="0" count="1" selected="0">
            <x v="5"/>
          </reference>
          <reference field="3" count="1" selected="0">
            <x v="3"/>
          </reference>
          <reference field="4" count="1" selected="0">
            <x v="216"/>
          </reference>
          <reference field="5" count="1" selected="0">
            <x v="238"/>
          </reference>
          <reference field="7" count="1">
            <x v="1588"/>
          </reference>
        </references>
      </pivotArea>
    </format>
    <format dxfId="282">
      <pivotArea dataOnly="0" labelOnly="1" outline="0" fieldPosition="0">
        <references count="5">
          <reference field="0" count="1" selected="0">
            <x v="5"/>
          </reference>
          <reference field="3" count="1" selected="0">
            <x v="3"/>
          </reference>
          <reference field="4" count="1" selected="0">
            <x v="216"/>
          </reference>
          <reference field="5" count="1" selected="0">
            <x v="279"/>
          </reference>
          <reference field="7" count="1">
            <x v="752"/>
          </reference>
        </references>
      </pivotArea>
    </format>
    <format dxfId="281">
      <pivotArea dataOnly="0" labelOnly="1" outline="0" fieldPosition="0">
        <references count="5">
          <reference field="0" count="1" selected="0">
            <x v="5"/>
          </reference>
          <reference field="3" count="1" selected="0">
            <x v="3"/>
          </reference>
          <reference field="4" count="1" selected="0">
            <x v="216"/>
          </reference>
          <reference field="5" count="1" selected="0">
            <x v="282"/>
          </reference>
          <reference field="7" count="1">
            <x v="755"/>
          </reference>
        </references>
      </pivotArea>
    </format>
    <format dxfId="280">
      <pivotArea dataOnly="0" labelOnly="1" outline="0" fieldPosition="0">
        <references count="5">
          <reference field="0" count="1" selected="0">
            <x v="5"/>
          </reference>
          <reference field="3" count="1" selected="0">
            <x v="3"/>
          </reference>
          <reference field="4" count="1" selected="0">
            <x v="216"/>
          </reference>
          <reference field="5" count="1" selected="0">
            <x v="284"/>
          </reference>
          <reference field="7" count="1">
            <x v="749"/>
          </reference>
        </references>
      </pivotArea>
    </format>
    <format dxfId="279">
      <pivotArea dataOnly="0" labelOnly="1" outline="0" fieldPosition="0">
        <references count="5">
          <reference field="0" count="1" selected="0">
            <x v="5"/>
          </reference>
          <reference field="3" count="1" selected="0">
            <x v="3"/>
          </reference>
          <reference field="4" count="1" selected="0">
            <x v="216"/>
          </reference>
          <reference field="5" count="1" selected="0">
            <x v="302"/>
          </reference>
          <reference field="7" count="1">
            <x v="1070"/>
          </reference>
        </references>
      </pivotArea>
    </format>
    <format dxfId="278">
      <pivotArea dataOnly="0" labelOnly="1" outline="0" fieldPosition="0">
        <references count="5">
          <reference field="0" count="1" selected="0">
            <x v="5"/>
          </reference>
          <reference field="3" count="1" selected="0">
            <x v="3"/>
          </reference>
          <reference field="4" count="1" selected="0">
            <x v="216"/>
          </reference>
          <reference field="5" count="1" selected="0">
            <x v="341"/>
          </reference>
          <reference field="7" count="1">
            <x v="1207"/>
          </reference>
        </references>
      </pivotArea>
    </format>
    <format dxfId="277">
      <pivotArea dataOnly="0" labelOnly="1" outline="0" fieldPosition="0">
        <references count="5">
          <reference field="0" count="1" selected="0">
            <x v="5"/>
          </reference>
          <reference field="3" count="1" selected="0">
            <x v="3"/>
          </reference>
          <reference field="4" count="1" selected="0">
            <x v="216"/>
          </reference>
          <reference field="5" count="1" selected="0">
            <x v="363"/>
          </reference>
          <reference field="7" count="1">
            <x v="673"/>
          </reference>
        </references>
      </pivotArea>
    </format>
    <format dxfId="276">
      <pivotArea dataOnly="0" labelOnly="1" outline="0" fieldPosition="0">
        <references count="5">
          <reference field="0" count="1" selected="0">
            <x v="5"/>
          </reference>
          <reference field="3" count="1" selected="0">
            <x v="3"/>
          </reference>
          <reference field="4" count="1" selected="0">
            <x v="216"/>
          </reference>
          <reference field="5" count="1" selected="0">
            <x v="367"/>
          </reference>
          <reference field="7" count="1">
            <x v="896"/>
          </reference>
        </references>
      </pivotArea>
    </format>
    <format dxfId="275">
      <pivotArea dataOnly="0" labelOnly="1" outline="0" fieldPosition="0">
        <references count="5">
          <reference field="0" count="1" selected="0">
            <x v="5"/>
          </reference>
          <reference field="3" count="1" selected="0">
            <x v="3"/>
          </reference>
          <reference field="4" count="1" selected="0">
            <x v="216"/>
          </reference>
          <reference field="5" count="1" selected="0">
            <x v="414"/>
          </reference>
          <reference field="7" count="1">
            <x v="1146"/>
          </reference>
        </references>
      </pivotArea>
    </format>
    <format dxfId="274">
      <pivotArea dataOnly="0" labelOnly="1" outline="0" fieldPosition="0">
        <references count="5">
          <reference field="0" count="1" selected="0">
            <x v="5"/>
          </reference>
          <reference field="3" count="1" selected="0">
            <x v="3"/>
          </reference>
          <reference field="4" count="1" selected="0">
            <x v="216"/>
          </reference>
          <reference field="5" count="1" selected="0">
            <x v="464"/>
          </reference>
          <reference field="7" count="1">
            <x v="245"/>
          </reference>
        </references>
      </pivotArea>
    </format>
    <format dxfId="273">
      <pivotArea dataOnly="0" labelOnly="1" outline="0" fieldPosition="0">
        <references count="5">
          <reference field="0" count="1" selected="0">
            <x v="5"/>
          </reference>
          <reference field="3" count="1" selected="0">
            <x v="3"/>
          </reference>
          <reference field="4" count="1" selected="0">
            <x v="216"/>
          </reference>
          <reference field="5" count="1" selected="0">
            <x v="465"/>
          </reference>
          <reference field="7" count="1">
            <x v="927"/>
          </reference>
        </references>
      </pivotArea>
    </format>
    <format dxfId="272">
      <pivotArea dataOnly="0" labelOnly="1" outline="0" fieldPosition="0">
        <references count="5">
          <reference field="0" count="1" selected="0">
            <x v="5"/>
          </reference>
          <reference field="3" count="1" selected="0">
            <x v="3"/>
          </reference>
          <reference field="4" count="1" selected="0">
            <x v="216"/>
          </reference>
          <reference field="5" count="1" selected="0">
            <x v="474"/>
          </reference>
          <reference field="7" count="1">
            <x v="939"/>
          </reference>
        </references>
      </pivotArea>
    </format>
    <format dxfId="271">
      <pivotArea dataOnly="0" labelOnly="1" outline="0" fieldPosition="0">
        <references count="5">
          <reference field="0" count="1" selected="0">
            <x v="5"/>
          </reference>
          <reference field="3" count="1" selected="0">
            <x v="3"/>
          </reference>
          <reference field="4" count="1" selected="0">
            <x v="216"/>
          </reference>
          <reference field="5" count="1" selected="0">
            <x v="475"/>
          </reference>
          <reference field="7" count="1">
            <x v="929"/>
          </reference>
        </references>
      </pivotArea>
    </format>
    <format dxfId="270">
      <pivotArea dataOnly="0" labelOnly="1" outline="0" fieldPosition="0">
        <references count="5">
          <reference field="0" count="1" selected="0">
            <x v="5"/>
          </reference>
          <reference field="3" count="1" selected="0">
            <x v="3"/>
          </reference>
          <reference field="4" count="1" selected="0">
            <x v="216"/>
          </reference>
          <reference field="5" count="1" selected="0">
            <x v="476"/>
          </reference>
          <reference field="7" count="1">
            <x v="928"/>
          </reference>
        </references>
      </pivotArea>
    </format>
    <format dxfId="269">
      <pivotArea dataOnly="0" labelOnly="1" outline="0" fieldPosition="0">
        <references count="5">
          <reference field="0" count="1" selected="0">
            <x v="5"/>
          </reference>
          <reference field="3" count="1" selected="0">
            <x v="3"/>
          </reference>
          <reference field="4" count="1" selected="0">
            <x v="216"/>
          </reference>
          <reference field="5" count="1" selected="0">
            <x v="477"/>
          </reference>
          <reference field="7" count="1">
            <x v="930"/>
          </reference>
        </references>
      </pivotArea>
    </format>
    <format dxfId="268">
      <pivotArea dataOnly="0" labelOnly="1" outline="0" fieldPosition="0">
        <references count="5">
          <reference field="0" count="1" selected="0">
            <x v="5"/>
          </reference>
          <reference field="3" count="1" selected="0">
            <x v="3"/>
          </reference>
          <reference field="4" count="1" selected="0">
            <x v="216"/>
          </reference>
          <reference field="5" count="1" selected="0">
            <x v="478"/>
          </reference>
          <reference field="7" count="1">
            <x v="511"/>
          </reference>
        </references>
      </pivotArea>
    </format>
    <format dxfId="267">
      <pivotArea dataOnly="0" labelOnly="1" outline="0" fieldPosition="0">
        <references count="5">
          <reference field="0" count="1" selected="0">
            <x v="5"/>
          </reference>
          <reference field="3" count="1" selected="0">
            <x v="3"/>
          </reference>
          <reference field="4" count="1" selected="0">
            <x v="216"/>
          </reference>
          <reference field="5" count="1" selected="0">
            <x v="479"/>
          </reference>
          <reference field="7" count="1">
            <x v="513"/>
          </reference>
        </references>
      </pivotArea>
    </format>
    <format dxfId="266">
      <pivotArea dataOnly="0" labelOnly="1" outline="0" fieldPosition="0">
        <references count="5">
          <reference field="0" count="1" selected="0">
            <x v="5"/>
          </reference>
          <reference field="3" count="1" selected="0">
            <x v="3"/>
          </reference>
          <reference field="4" count="1" selected="0">
            <x v="216"/>
          </reference>
          <reference field="5" count="1" selected="0">
            <x v="480"/>
          </reference>
          <reference field="7" count="1">
            <x v="512"/>
          </reference>
        </references>
      </pivotArea>
    </format>
    <format dxfId="265">
      <pivotArea dataOnly="0" labelOnly="1" outline="0" fieldPosition="0">
        <references count="5">
          <reference field="0" count="1" selected="0">
            <x v="5"/>
          </reference>
          <reference field="3" count="1" selected="0">
            <x v="4"/>
          </reference>
          <reference field="4" count="1" selected="0">
            <x v="183"/>
          </reference>
          <reference field="5" count="1" selected="0">
            <x v="249"/>
          </reference>
          <reference field="7" count="1">
            <x v="1317"/>
          </reference>
        </references>
      </pivotArea>
    </format>
    <format dxfId="264">
      <pivotArea dataOnly="0" labelOnly="1" outline="0" fieldPosition="0">
        <references count="5">
          <reference field="0" count="1" selected="0">
            <x v="5"/>
          </reference>
          <reference field="3" count="1" selected="0">
            <x v="4"/>
          </reference>
          <reference field="4" count="1" selected="0">
            <x v="183"/>
          </reference>
          <reference field="5" count="1" selected="0">
            <x v="1533"/>
          </reference>
          <reference field="7" count="1">
            <x v="792"/>
          </reference>
        </references>
      </pivotArea>
    </format>
    <format dxfId="263">
      <pivotArea dataOnly="0" labelOnly="1" outline="0" fieldPosition="0">
        <references count="5">
          <reference field="0" count="1" selected="0">
            <x v="5"/>
          </reference>
          <reference field="3" count="1" selected="0">
            <x v="4"/>
          </reference>
          <reference field="4" count="1" selected="0">
            <x v="183"/>
          </reference>
          <reference field="5" count="1" selected="0">
            <x v="1556"/>
          </reference>
          <reference field="7" count="1">
            <x v="195"/>
          </reference>
        </references>
      </pivotArea>
    </format>
    <format dxfId="262">
      <pivotArea dataOnly="0" labelOnly="1" outline="0" fieldPosition="0">
        <references count="5">
          <reference field="0" count="1" selected="0">
            <x v="5"/>
          </reference>
          <reference field="3" count="1" selected="0">
            <x v="4"/>
          </reference>
          <reference field="4" count="1" selected="0">
            <x v="184"/>
          </reference>
          <reference field="5" count="1" selected="0">
            <x v="249"/>
          </reference>
          <reference field="7" count="1">
            <x v="1317"/>
          </reference>
        </references>
      </pivotArea>
    </format>
    <format dxfId="261">
      <pivotArea dataOnly="0" labelOnly="1" outline="0" fieldPosition="0">
        <references count="5">
          <reference field="0" count="1" selected="0">
            <x v="5"/>
          </reference>
          <reference field="3" count="1" selected="0">
            <x v="4"/>
          </reference>
          <reference field="4" count="1" selected="0">
            <x v="184"/>
          </reference>
          <reference field="5" count="1" selected="0">
            <x v="1534"/>
          </reference>
          <reference field="7" count="1">
            <x v="796"/>
          </reference>
        </references>
      </pivotArea>
    </format>
    <format dxfId="260">
      <pivotArea dataOnly="0" labelOnly="1" outline="0" fieldPosition="0">
        <references count="5">
          <reference field="0" count="1" selected="0">
            <x v="5"/>
          </reference>
          <reference field="3" count="1" selected="0">
            <x v="4"/>
          </reference>
          <reference field="4" count="1" selected="0">
            <x v="184"/>
          </reference>
          <reference field="5" count="1" selected="0">
            <x v="1557"/>
          </reference>
          <reference field="7" count="1">
            <x v="199"/>
          </reference>
        </references>
      </pivotArea>
    </format>
    <format dxfId="259">
      <pivotArea dataOnly="0" labelOnly="1" outline="0" fieldPosition="0">
        <references count="5">
          <reference field="0" count="1" selected="0">
            <x v="5"/>
          </reference>
          <reference field="3" count="1" selected="0">
            <x v="4"/>
          </reference>
          <reference field="4" count="1" selected="0">
            <x v="216"/>
          </reference>
          <reference field="5" count="1" selected="0">
            <x v="243"/>
          </reference>
          <reference field="7" count="1">
            <x v="1327"/>
          </reference>
        </references>
      </pivotArea>
    </format>
    <format dxfId="258">
      <pivotArea dataOnly="0" labelOnly="1" outline="0" fieldPosition="0">
        <references count="5">
          <reference field="0" count="1" selected="0">
            <x v="5"/>
          </reference>
          <reference field="3" count="1" selected="0">
            <x v="4"/>
          </reference>
          <reference field="4" count="1" selected="0">
            <x v="216"/>
          </reference>
          <reference field="5" count="1" selected="0">
            <x v="279"/>
          </reference>
          <reference field="7" count="1">
            <x v="752"/>
          </reference>
        </references>
      </pivotArea>
    </format>
    <format dxfId="257">
      <pivotArea dataOnly="0" labelOnly="1" outline="0" fieldPosition="0">
        <references count="5">
          <reference field="0" count="1" selected="0">
            <x v="5"/>
          </reference>
          <reference field="3" count="1" selected="0">
            <x v="4"/>
          </reference>
          <reference field="4" count="1" selected="0">
            <x v="216"/>
          </reference>
          <reference field="5" count="1" selected="0">
            <x v="281"/>
          </reference>
          <reference field="7" count="1">
            <x v="754"/>
          </reference>
        </references>
      </pivotArea>
    </format>
    <format dxfId="256">
      <pivotArea dataOnly="0" labelOnly="1" outline="0" fieldPosition="0">
        <references count="5">
          <reference field="0" count="1" selected="0">
            <x v="5"/>
          </reference>
          <reference field="3" count="1" selected="0">
            <x v="4"/>
          </reference>
          <reference field="4" count="1" selected="0">
            <x v="216"/>
          </reference>
          <reference field="5" count="1" selected="0">
            <x v="366"/>
          </reference>
          <reference field="7" count="1">
            <x v="898"/>
          </reference>
        </references>
      </pivotArea>
    </format>
    <format dxfId="255">
      <pivotArea dataOnly="0" labelOnly="1" outline="0" fieldPosition="0">
        <references count="5">
          <reference field="0" count="1" selected="0">
            <x v="5"/>
          </reference>
          <reference field="3" count="1" selected="0">
            <x v="4"/>
          </reference>
          <reference field="4" count="1" selected="0">
            <x v="216"/>
          </reference>
          <reference field="5" count="1" selected="0">
            <x v="369"/>
          </reference>
          <reference field="7" count="1">
            <x v="897"/>
          </reference>
        </references>
      </pivotArea>
    </format>
    <format dxfId="254">
      <pivotArea dataOnly="0" labelOnly="1" outline="0" fieldPosition="0">
        <references count="5">
          <reference field="0" count="1" selected="0">
            <x v="5"/>
          </reference>
          <reference field="3" count="1" selected="0">
            <x v="4"/>
          </reference>
          <reference field="4" count="1" selected="0">
            <x v="216"/>
          </reference>
          <reference field="5" count="1" selected="0">
            <x v="370"/>
          </reference>
          <reference field="7" count="1">
            <x v="675"/>
          </reference>
        </references>
      </pivotArea>
    </format>
    <format dxfId="253">
      <pivotArea dataOnly="0" labelOnly="1" outline="0" fieldPosition="0">
        <references count="5">
          <reference field="0" count="1" selected="0">
            <x v="5"/>
          </reference>
          <reference field="3" count="1" selected="0">
            <x v="4"/>
          </reference>
          <reference field="4" count="1" selected="0">
            <x v="216"/>
          </reference>
          <reference field="5" count="1" selected="0">
            <x v="427"/>
          </reference>
          <reference field="7" count="1">
            <x v="1466"/>
          </reference>
        </references>
      </pivotArea>
    </format>
    <format dxfId="252">
      <pivotArea dataOnly="0" labelOnly="1" outline="0" fieldPosition="0">
        <references count="5">
          <reference field="0" count="1" selected="0">
            <x v="5"/>
          </reference>
          <reference field="3" count="1" selected="0">
            <x v="4"/>
          </reference>
          <reference field="4" count="1" selected="0">
            <x v="216"/>
          </reference>
          <reference field="5" count="1" selected="0">
            <x v="488"/>
          </reference>
          <reference field="7" count="1">
            <x v="142"/>
          </reference>
        </references>
      </pivotArea>
    </format>
    <format dxfId="251">
      <pivotArea dataOnly="0" labelOnly="1" outline="0" fieldPosition="0">
        <references count="5">
          <reference field="0" count="1" selected="0">
            <x v="5"/>
          </reference>
          <reference field="3" count="1" selected="0">
            <x v="4"/>
          </reference>
          <reference field="4" count="1" selected="0">
            <x v="216"/>
          </reference>
          <reference field="5" count="1" selected="0">
            <x v="489"/>
          </reference>
          <reference field="7" count="1">
            <x v="439"/>
          </reference>
        </references>
      </pivotArea>
    </format>
    <format dxfId="250">
      <pivotArea dataOnly="0" labelOnly="1" outline="0" fieldPosition="0">
        <references count="5">
          <reference field="0" count="1" selected="0">
            <x v="5"/>
          </reference>
          <reference field="3" count="1" selected="0">
            <x v="4"/>
          </reference>
          <reference field="4" count="1" selected="0">
            <x v="216"/>
          </reference>
          <reference field="5" count="1" selected="0">
            <x v="490"/>
          </reference>
          <reference field="7" count="1">
            <x v="440"/>
          </reference>
        </references>
      </pivotArea>
    </format>
    <format dxfId="249">
      <pivotArea dataOnly="0" labelOnly="1" outline="0" fieldPosition="0">
        <references count="5">
          <reference field="0" count="1" selected="0">
            <x v="5"/>
          </reference>
          <reference field="3" count="1" selected="0">
            <x v="4"/>
          </reference>
          <reference field="4" count="1" selected="0">
            <x v="216"/>
          </reference>
          <reference field="5" count="1" selected="0">
            <x v="491"/>
          </reference>
          <reference field="7" count="1">
            <x v="441"/>
          </reference>
        </references>
      </pivotArea>
    </format>
    <format dxfId="248">
      <pivotArea dataOnly="0" labelOnly="1" outline="0" fieldPosition="0">
        <references count="5">
          <reference field="0" count="1" selected="0">
            <x v="5"/>
          </reference>
          <reference field="3" count="1" selected="0">
            <x v="4"/>
          </reference>
          <reference field="4" count="1" selected="0">
            <x v="216"/>
          </reference>
          <reference field="5" count="1" selected="0">
            <x v="492"/>
          </reference>
          <reference field="7" count="1">
            <x v="1034"/>
          </reference>
        </references>
      </pivotArea>
    </format>
    <format dxfId="247">
      <pivotArea dataOnly="0" labelOnly="1" outline="0" fieldPosition="0">
        <references count="5">
          <reference field="0" count="1" selected="0">
            <x v="5"/>
          </reference>
          <reference field="3" count="1" selected="0">
            <x v="4"/>
          </reference>
          <reference field="4" count="1" selected="0">
            <x v="216"/>
          </reference>
          <reference field="5" count="1" selected="0">
            <x v="493"/>
          </reference>
          <reference field="7" count="1">
            <x v="445"/>
          </reference>
        </references>
      </pivotArea>
    </format>
    <format dxfId="246">
      <pivotArea dataOnly="0" labelOnly="1" outline="0" fieldPosition="0">
        <references count="5">
          <reference field="0" count="1" selected="0">
            <x v="5"/>
          </reference>
          <reference field="3" count="1" selected="0">
            <x v="4"/>
          </reference>
          <reference field="4" count="1" selected="0">
            <x v="216"/>
          </reference>
          <reference field="5" count="1" selected="0">
            <x v="494"/>
          </reference>
          <reference field="7" count="1">
            <x v="446"/>
          </reference>
        </references>
      </pivotArea>
    </format>
    <format dxfId="245">
      <pivotArea dataOnly="0" labelOnly="1" outline="0" fieldPosition="0">
        <references count="5">
          <reference field="0" count="1" selected="0">
            <x v="5"/>
          </reference>
          <reference field="3" count="1" selected="0">
            <x v="4"/>
          </reference>
          <reference field="4" count="1" selected="0">
            <x v="216"/>
          </reference>
          <reference field="5" count="1" selected="0">
            <x v="495"/>
          </reference>
          <reference field="7" count="1">
            <x v="447"/>
          </reference>
        </references>
      </pivotArea>
    </format>
    <format dxfId="244">
      <pivotArea dataOnly="0" labelOnly="1" outline="0" fieldPosition="0">
        <references count="5">
          <reference field="0" count="1" selected="0">
            <x v="5"/>
          </reference>
          <reference field="3" count="1" selected="0">
            <x v="4"/>
          </reference>
          <reference field="4" count="1" selected="0">
            <x v="216"/>
          </reference>
          <reference field="5" count="1" selected="0">
            <x v="496"/>
          </reference>
          <reference field="7" count="1">
            <x v="442"/>
          </reference>
        </references>
      </pivotArea>
    </format>
    <format dxfId="243">
      <pivotArea dataOnly="0" labelOnly="1" outline="0" fieldPosition="0">
        <references count="5">
          <reference field="0" count="1" selected="0">
            <x v="5"/>
          </reference>
          <reference field="3" count="1" selected="0">
            <x v="4"/>
          </reference>
          <reference field="4" count="1" selected="0">
            <x v="216"/>
          </reference>
          <reference field="5" count="1" selected="0">
            <x v="497"/>
          </reference>
          <reference field="7" count="1">
            <x v="448"/>
          </reference>
        </references>
      </pivotArea>
    </format>
    <format dxfId="242">
      <pivotArea dataOnly="0" labelOnly="1" outline="0" fieldPosition="0">
        <references count="5">
          <reference field="0" count="1" selected="0">
            <x v="5"/>
          </reference>
          <reference field="3" count="1" selected="0">
            <x v="4"/>
          </reference>
          <reference field="4" count="1" selected="0">
            <x v="216"/>
          </reference>
          <reference field="5" count="1" selected="0">
            <x v="498"/>
          </reference>
          <reference field="7" count="1">
            <x v="443"/>
          </reference>
        </references>
      </pivotArea>
    </format>
    <format dxfId="241">
      <pivotArea dataOnly="0" labelOnly="1" outline="0" fieldPosition="0">
        <references count="5">
          <reference field="0" count="1" selected="0">
            <x v="5"/>
          </reference>
          <reference field="3" count="1" selected="0">
            <x v="4"/>
          </reference>
          <reference field="4" count="1" selected="0">
            <x v="216"/>
          </reference>
          <reference field="5" count="1" selected="0">
            <x v="499"/>
          </reference>
          <reference field="7" count="1">
            <x v="444"/>
          </reference>
        </references>
      </pivotArea>
    </format>
    <format dxfId="240">
      <pivotArea dataOnly="0" labelOnly="1" outline="0" fieldPosition="0">
        <references count="5">
          <reference field="0" count="1" selected="0">
            <x v="5"/>
          </reference>
          <reference field="3" count="1" selected="0">
            <x v="4"/>
          </reference>
          <reference field="4" count="1" selected="0">
            <x v="216"/>
          </reference>
          <reference field="5" count="1" selected="0">
            <x v="1618"/>
          </reference>
          <reference field="7" count="1">
            <x v="514"/>
          </reference>
        </references>
      </pivotArea>
    </format>
    <format dxfId="239">
      <pivotArea dataOnly="0" labelOnly="1" outline="0" fieldPosition="0">
        <references count="5">
          <reference field="0" count="1" selected="0">
            <x v="5"/>
          </reference>
          <reference field="3" count="1" selected="0">
            <x v="5"/>
          </reference>
          <reference field="4" count="1" selected="0">
            <x v="216"/>
          </reference>
          <reference field="5" count="1" selected="0">
            <x v="16"/>
          </reference>
          <reference field="7" count="1">
            <x v="658"/>
          </reference>
        </references>
      </pivotArea>
    </format>
    <format dxfId="238">
      <pivotArea dataOnly="0" labelOnly="1" outline="0" fieldPosition="0">
        <references count="5">
          <reference field="0" count="1" selected="0">
            <x v="5"/>
          </reference>
          <reference field="3" count="1" selected="0">
            <x v="5"/>
          </reference>
          <reference field="4" count="1" selected="0">
            <x v="216"/>
          </reference>
          <reference field="5" count="1" selected="0">
            <x v="127"/>
          </reference>
          <reference field="7" count="1">
            <x v="1180"/>
          </reference>
        </references>
      </pivotArea>
    </format>
    <format dxfId="237">
      <pivotArea dataOnly="0" labelOnly="1" outline="0" fieldPosition="0">
        <references count="5">
          <reference field="0" count="1" selected="0">
            <x v="5"/>
          </reference>
          <reference field="3" count="1" selected="0">
            <x v="5"/>
          </reference>
          <reference field="4" count="1" selected="0">
            <x v="216"/>
          </reference>
          <reference field="5" count="1" selected="0">
            <x v="139"/>
          </reference>
          <reference field="7" count="1">
            <x v="589"/>
          </reference>
        </references>
      </pivotArea>
    </format>
    <format dxfId="236">
      <pivotArea dataOnly="0" labelOnly="1" outline="0" fieldPosition="0">
        <references count="5">
          <reference field="0" count="1" selected="0">
            <x v="5"/>
          </reference>
          <reference field="3" count="1" selected="0">
            <x v="5"/>
          </reference>
          <reference field="4" count="1" selected="0">
            <x v="216"/>
          </reference>
          <reference field="5" count="1" selected="0">
            <x v="269"/>
          </reference>
          <reference field="7" count="1">
            <x v="590"/>
          </reference>
        </references>
      </pivotArea>
    </format>
    <format dxfId="235">
      <pivotArea dataOnly="0" labelOnly="1" outline="0" fieldPosition="0">
        <references count="5">
          <reference field="0" count="1" selected="0">
            <x v="5"/>
          </reference>
          <reference field="3" count="1" selected="0">
            <x v="5"/>
          </reference>
          <reference field="4" count="1" selected="0">
            <x v="216"/>
          </reference>
          <reference field="5" count="1" selected="0">
            <x v="279"/>
          </reference>
          <reference field="7" count="1">
            <x v="752"/>
          </reference>
        </references>
      </pivotArea>
    </format>
    <format dxfId="234">
      <pivotArea dataOnly="0" labelOnly="1" outline="0" fieldPosition="0">
        <references count="5">
          <reference field="0" count="1" selected="0">
            <x v="5"/>
          </reference>
          <reference field="3" count="1" selected="0">
            <x v="5"/>
          </reference>
          <reference field="4" count="1" selected="0">
            <x v="216"/>
          </reference>
          <reference field="5" count="1" selected="0">
            <x v="281"/>
          </reference>
          <reference field="7" count="1">
            <x v="754"/>
          </reference>
        </references>
      </pivotArea>
    </format>
    <format dxfId="233">
      <pivotArea dataOnly="0" labelOnly="1" outline="0" fieldPosition="0">
        <references count="5">
          <reference field="0" count="1" selected="0">
            <x v="5"/>
          </reference>
          <reference field="3" count="1" selected="0">
            <x v="5"/>
          </reference>
          <reference field="4" count="1" selected="0">
            <x v="216"/>
          </reference>
          <reference field="5" count="1" selected="0">
            <x v="282"/>
          </reference>
          <reference field="7" count="1">
            <x v="755"/>
          </reference>
        </references>
      </pivotArea>
    </format>
    <format dxfId="232">
      <pivotArea dataOnly="0" labelOnly="1" outline="0" fieldPosition="0">
        <references count="5">
          <reference field="0" count="1" selected="0">
            <x v="5"/>
          </reference>
          <reference field="3" count="1" selected="0">
            <x v="5"/>
          </reference>
          <reference field="4" count="1" selected="0">
            <x v="216"/>
          </reference>
          <reference field="5" count="1" selected="0">
            <x v="302"/>
          </reference>
          <reference field="7" count="1">
            <x v="1070"/>
          </reference>
        </references>
      </pivotArea>
    </format>
    <format dxfId="231">
      <pivotArea dataOnly="0" labelOnly="1" outline="0" fieldPosition="0">
        <references count="5">
          <reference field="0" count="1" selected="0">
            <x v="5"/>
          </reference>
          <reference field="3" count="1" selected="0">
            <x v="5"/>
          </reference>
          <reference field="4" count="1" selected="0">
            <x v="216"/>
          </reference>
          <reference field="5" count="1" selected="0">
            <x v="500"/>
          </reference>
          <reference field="7" count="1">
            <x v="153"/>
          </reference>
        </references>
      </pivotArea>
    </format>
    <format dxfId="230">
      <pivotArea dataOnly="0" labelOnly="1" outline="0" fieldPosition="0">
        <references count="5">
          <reference field="0" count="1" selected="0">
            <x v="5"/>
          </reference>
          <reference field="3" count="1" selected="0">
            <x v="5"/>
          </reference>
          <reference field="4" count="1" selected="0">
            <x v="216"/>
          </reference>
          <reference field="5" count="1" selected="0">
            <x v="501"/>
          </reference>
          <reference field="7" count="1">
            <x v="553"/>
          </reference>
        </references>
      </pivotArea>
    </format>
    <format dxfId="229">
      <pivotArea dataOnly="0" labelOnly="1" outline="0" fieldPosition="0">
        <references count="5">
          <reference field="0" count="1" selected="0">
            <x v="5"/>
          </reference>
          <reference field="3" count="1" selected="0">
            <x v="5"/>
          </reference>
          <reference field="4" count="1" selected="0">
            <x v="216"/>
          </reference>
          <reference field="5" count="1" selected="0">
            <x v="502"/>
          </reference>
          <reference field="7" count="1">
            <x v="548"/>
          </reference>
        </references>
      </pivotArea>
    </format>
    <format dxfId="228">
      <pivotArea dataOnly="0" labelOnly="1" outline="0" fieldPosition="0">
        <references count="5">
          <reference field="0" count="1" selected="0">
            <x v="5"/>
          </reference>
          <reference field="3" count="1" selected="0">
            <x v="5"/>
          </reference>
          <reference field="4" count="1" selected="0">
            <x v="216"/>
          </reference>
          <reference field="5" count="1" selected="0">
            <x v="503"/>
          </reference>
          <reference field="7" count="1">
            <x v="554"/>
          </reference>
        </references>
      </pivotArea>
    </format>
    <format dxfId="227">
      <pivotArea dataOnly="0" labelOnly="1" outline="0" fieldPosition="0">
        <references count="5">
          <reference field="0" count="1" selected="0">
            <x v="5"/>
          </reference>
          <reference field="3" count="1" selected="0">
            <x v="5"/>
          </reference>
          <reference field="4" count="1" selected="0">
            <x v="216"/>
          </reference>
          <reference field="5" count="1" selected="0">
            <x v="504"/>
          </reference>
          <reference field="7" count="1">
            <x v="550"/>
          </reference>
        </references>
      </pivotArea>
    </format>
    <format dxfId="226">
      <pivotArea dataOnly="0" labelOnly="1" outline="0" fieldPosition="0">
        <references count="5">
          <reference field="0" count="1" selected="0">
            <x v="5"/>
          </reference>
          <reference field="3" count="1" selected="0">
            <x v="5"/>
          </reference>
          <reference field="4" count="1" selected="0">
            <x v="216"/>
          </reference>
          <reference field="5" count="1" selected="0">
            <x v="505"/>
          </reference>
          <reference field="7" count="1">
            <x v="543"/>
          </reference>
        </references>
      </pivotArea>
    </format>
    <format dxfId="225">
      <pivotArea dataOnly="0" labelOnly="1" outline="0" fieldPosition="0">
        <references count="5">
          <reference field="0" count="1" selected="0">
            <x v="5"/>
          </reference>
          <reference field="3" count="1" selected="0">
            <x v="5"/>
          </reference>
          <reference field="4" count="1" selected="0">
            <x v="216"/>
          </reference>
          <reference field="5" count="1" selected="0">
            <x v="506"/>
          </reference>
          <reference field="7" count="1">
            <x v="540"/>
          </reference>
        </references>
      </pivotArea>
    </format>
    <format dxfId="224">
      <pivotArea dataOnly="0" labelOnly="1" outline="0" fieldPosition="0">
        <references count="5">
          <reference field="0" count="1" selected="0">
            <x v="5"/>
          </reference>
          <reference field="3" count="1" selected="0">
            <x v="5"/>
          </reference>
          <reference field="4" count="1" selected="0">
            <x v="216"/>
          </reference>
          <reference field="5" count="1" selected="0">
            <x v="507"/>
          </reference>
          <reference field="7" count="1">
            <x v="552"/>
          </reference>
        </references>
      </pivotArea>
    </format>
    <format dxfId="223">
      <pivotArea dataOnly="0" labelOnly="1" outline="0" fieldPosition="0">
        <references count="5">
          <reference field="0" count="1" selected="0">
            <x v="5"/>
          </reference>
          <reference field="3" count="1" selected="0">
            <x v="5"/>
          </reference>
          <reference field="4" count="1" selected="0">
            <x v="216"/>
          </reference>
          <reference field="5" count="1" selected="0">
            <x v="508"/>
          </reference>
          <reference field="7" count="1">
            <x v="547"/>
          </reference>
        </references>
      </pivotArea>
    </format>
    <format dxfId="222">
      <pivotArea dataOnly="0" labelOnly="1" outline="0" fieldPosition="0">
        <references count="5">
          <reference field="0" count="1" selected="0">
            <x v="5"/>
          </reference>
          <reference field="3" count="1" selected="0">
            <x v="5"/>
          </reference>
          <reference field="4" count="1" selected="0">
            <x v="216"/>
          </reference>
          <reference field="5" count="1" selected="0">
            <x v="509"/>
          </reference>
          <reference field="7" count="1">
            <x v="545"/>
          </reference>
        </references>
      </pivotArea>
    </format>
    <format dxfId="221">
      <pivotArea dataOnly="0" labelOnly="1" outline="0" fieldPosition="0">
        <references count="5">
          <reference field="0" count="1" selected="0">
            <x v="5"/>
          </reference>
          <reference field="3" count="1" selected="0">
            <x v="5"/>
          </reference>
          <reference field="4" count="1" selected="0">
            <x v="216"/>
          </reference>
          <reference field="5" count="1" selected="0">
            <x v="510"/>
          </reference>
          <reference field="7" count="1">
            <x v="544"/>
          </reference>
        </references>
      </pivotArea>
    </format>
    <format dxfId="220">
      <pivotArea dataOnly="0" labelOnly="1" outline="0" fieldPosition="0">
        <references count="5">
          <reference field="0" count="1" selected="0">
            <x v="5"/>
          </reference>
          <reference field="3" count="1" selected="0">
            <x v="5"/>
          </reference>
          <reference field="4" count="1" selected="0">
            <x v="216"/>
          </reference>
          <reference field="5" count="1" selected="0">
            <x v="511"/>
          </reference>
          <reference field="7" count="1">
            <x v="536"/>
          </reference>
        </references>
      </pivotArea>
    </format>
    <format dxfId="219">
      <pivotArea dataOnly="0" labelOnly="1" outline="0" fieldPosition="0">
        <references count="5">
          <reference field="0" count="1" selected="0">
            <x v="5"/>
          </reference>
          <reference field="3" count="1" selected="0">
            <x v="5"/>
          </reference>
          <reference field="4" count="1" selected="0">
            <x v="216"/>
          </reference>
          <reference field="5" count="1" selected="0">
            <x v="512"/>
          </reference>
          <reference field="7" count="1">
            <x v="537"/>
          </reference>
        </references>
      </pivotArea>
    </format>
    <format dxfId="218">
      <pivotArea dataOnly="0" labelOnly="1" outline="0" fieldPosition="0">
        <references count="5">
          <reference field="0" count="1" selected="0">
            <x v="5"/>
          </reference>
          <reference field="3" count="1" selected="0">
            <x v="5"/>
          </reference>
          <reference field="4" count="1" selected="0">
            <x v="216"/>
          </reference>
          <reference field="5" count="1" selected="0">
            <x v="513"/>
          </reference>
          <reference field="7" count="1">
            <x v="533"/>
          </reference>
        </references>
      </pivotArea>
    </format>
    <format dxfId="217">
      <pivotArea dataOnly="0" labelOnly="1" outline="0" fieldPosition="0">
        <references count="5">
          <reference field="0" count="1" selected="0">
            <x v="5"/>
          </reference>
          <reference field="3" count="1" selected="0">
            <x v="5"/>
          </reference>
          <reference field="4" count="1" selected="0">
            <x v="216"/>
          </reference>
          <reference field="5" count="1" selected="0">
            <x v="514"/>
          </reference>
          <reference field="7" count="1">
            <x v="530"/>
          </reference>
        </references>
      </pivotArea>
    </format>
    <format dxfId="216">
      <pivotArea dataOnly="0" labelOnly="1" outline="0" fieldPosition="0">
        <references count="5">
          <reference field="0" count="1" selected="0">
            <x v="5"/>
          </reference>
          <reference field="3" count="1" selected="0">
            <x v="5"/>
          </reference>
          <reference field="4" count="1" selected="0">
            <x v="216"/>
          </reference>
          <reference field="5" count="1" selected="0">
            <x v="515"/>
          </reference>
          <reference field="7" count="1">
            <x v="952"/>
          </reference>
        </references>
      </pivotArea>
    </format>
    <format dxfId="215">
      <pivotArea dataOnly="0" labelOnly="1" outline="0" fieldPosition="0">
        <references count="5">
          <reference field="0" count="1" selected="0">
            <x v="5"/>
          </reference>
          <reference field="3" count="1" selected="0">
            <x v="5"/>
          </reference>
          <reference field="4" count="1" selected="0">
            <x v="216"/>
          </reference>
          <reference field="5" count="1" selected="0">
            <x v="516"/>
          </reference>
          <reference field="7" count="1">
            <x v="953"/>
          </reference>
        </references>
      </pivotArea>
    </format>
    <format dxfId="214">
      <pivotArea dataOnly="0" labelOnly="1" outline="0" fieldPosition="0">
        <references count="5">
          <reference field="0" count="1" selected="0">
            <x v="5"/>
          </reference>
          <reference field="3" count="1" selected="0">
            <x v="5"/>
          </reference>
          <reference field="4" count="1" selected="0">
            <x v="216"/>
          </reference>
          <reference field="5" count="1" selected="0">
            <x v="517"/>
          </reference>
          <reference field="7" count="1">
            <x v="1039"/>
          </reference>
        </references>
      </pivotArea>
    </format>
    <format dxfId="213">
      <pivotArea dataOnly="0" labelOnly="1" outline="0" fieldPosition="0">
        <references count="5">
          <reference field="0" count="1" selected="0">
            <x v="5"/>
          </reference>
          <reference field="3" count="1" selected="0">
            <x v="5"/>
          </reference>
          <reference field="4" count="1" selected="0">
            <x v="216"/>
          </reference>
          <reference field="5" count="1" selected="0">
            <x v="521"/>
          </reference>
          <reference field="7" count="1">
            <x v="521"/>
          </reference>
        </references>
      </pivotArea>
    </format>
    <format dxfId="212">
      <pivotArea dataOnly="0" labelOnly="1" outline="0" fieldPosition="0">
        <references count="5">
          <reference field="0" count="1" selected="0">
            <x v="5"/>
          </reference>
          <reference field="3" count="1" selected="0">
            <x v="5"/>
          </reference>
          <reference field="4" count="1" selected="0">
            <x v="216"/>
          </reference>
          <reference field="5" count="1" selected="0">
            <x v="522"/>
          </reference>
          <reference field="7" count="1">
            <x v="518"/>
          </reference>
        </references>
      </pivotArea>
    </format>
    <format dxfId="211">
      <pivotArea dataOnly="0" labelOnly="1" outline="0" fieldPosition="0">
        <references count="5">
          <reference field="0" count="1" selected="0">
            <x v="5"/>
          </reference>
          <reference field="3" count="1" selected="0">
            <x v="5"/>
          </reference>
          <reference field="4" count="1" selected="0">
            <x v="216"/>
          </reference>
          <reference field="5" count="1" selected="0">
            <x v="523"/>
          </reference>
          <reference field="7" count="1">
            <x v="519"/>
          </reference>
        </references>
      </pivotArea>
    </format>
    <format dxfId="210">
      <pivotArea dataOnly="0" labelOnly="1" outline="0" fieldPosition="0">
        <references count="5">
          <reference field="0" count="1" selected="0">
            <x v="5"/>
          </reference>
          <reference field="3" count="1" selected="0">
            <x v="5"/>
          </reference>
          <reference field="4" count="1" selected="0">
            <x v="216"/>
          </reference>
          <reference field="5" count="1" selected="0">
            <x v="525"/>
          </reference>
          <reference field="7" count="1">
            <x v="534"/>
          </reference>
        </references>
      </pivotArea>
    </format>
    <format dxfId="209">
      <pivotArea dataOnly="0" labelOnly="1" outline="0" fieldPosition="0">
        <references count="5">
          <reference field="0" count="1" selected="0">
            <x v="5"/>
          </reference>
          <reference field="3" count="1" selected="0">
            <x v="5"/>
          </reference>
          <reference field="4" count="1" selected="0">
            <x v="216"/>
          </reference>
          <reference field="5" count="1" selected="0">
            <x v="527"/>
          </reference>
          <reference field="7" count="1">
            <x v="535"/>
          </reference>
        </references>
      </pivotArea>
    </format>
    <format dxfId="208">
      <pivotArea dataOnly="0" labelOnly="1" outline="0" fieldPosition="0">
        <references count="5">
          <reference field="0" count="1" selected="0">
            <x v="5"/>
          </reference>
          <reference field="3" count="1" selected="0">
            <x v="5"/>
          </reference>
          <reference field="4" count="1" selected="0">
            <x v="216"/>
          </reference>
          <reference field="5" count="1" selected="0">
            <x v="528"/>
          </reference>
          <reference field="7" count="1">
            <x v="528"/>
          </reference>
        </references>
      </pivotArea>
    </format>
    <format dxfId="207">
      <pivotArea dataOnly="0" labelOnly="1" outline="0" fieldPosition="0">
        <references count="5">
          <reference field="0" count="1" selected="0">
            <x v="5"/>
          </reference>
          <reference field="3" count="1" selected="0">
            <x v="5"/>
          </reference>
          <reference field="4" count="1" selected="0">
            <x v="216"/>
          </reference>
          <reference field="5" count="1" selected="0">
            <x v="529"/>
          </reference>
          <reference field="7" count="1">
            <x v="532"/>
          </reference>
        </references>
      </pivotArea>
    </format>
    <format dxfId="206">
      <pivotArea dataOnly="0" labelOnly="1" outline="0" fieldPosition="0">
        <references count="5">
          <reference field="0" count="1" selected="0">
            <x v="5"/>
          </reference>
          <reference field="3" count="1" selected="0">
            <x v="5"/>
          </reference>
          <reference field="4" count="1" selected="0">
            <x v="216"/>
          </reference>
          <reference field="5" count="1" selected="0">
            <x v="530"/>
          </reference>
          <reference field="7" count="1">
            <x v="529"/>
          </reference>
        </references>
      </pivotArea>
    </format>
    <format dxfId="205">
      <pivotArea dataOnly="0" labelOnly="1" outline="0" fieldPosition="0">
        <references count="5">
          <reference field="0" count="1" selected="0">
            <x v="5"/>
          </reference>
          <reference field="3" count="1" selected="0">
            <x v="5"/>
          </reference>
          <reference field="4" count="1" selected="0">
            <x v="216"/>
          </reference>
          <reference field="5" count="1" selected="0">
            <x v="531"/>
          </reference>
          <reference field="7" count="1">
            <x v="1144"/>
          </reference>
        </references>
      </pivotArea>
    </format>
    <format dxfId="204">
      <pivotArea dataOnly="0" labelOnly="1" outline="0" fieldPosition="0">
        <references count="5">
          <reference field="0" count="1" selected="0">
            <x v="5"/>
          </reference>
          <reference field="3" count="1" selected="0">
            <x v="6"/>
          </reference>
          <reference field="4" count="1" selected="0">
            <x v="216"/>
          </reference>
          <reference field="5" count="1" selected="0">
            <x v="16"/>
          </reference>
          <reference field="7" count="1">
            <x v="658"/>
          </reference>
        </references>
      </pivotArea>
    </format>
    <format dxfId="203">
      <pivotArea dataOnly="0" labelOnly="1" outline="0" fieldPosition="0">
        <references count="5">
          <reference field="0" count="1" selected="0">
            <x v="5"/>
          </reference>
          <reference field="3" count="1" selected="0">
            <x v="6"/>
          </reference>
          <reference field="4" count="1" selected="0">
            <x v="216"/>
          </reference>
          <reference field="5" count="1" selected="0">
            <x v="127"/>
          </reference>
          <reference field="7" count="1">
            <x v="1180"/>
          </reference>
        </references>
      </pivotArea>
    </format>
    <format dxfId="202">
      <pivotArea dataOnly="0" labelOnly="1" outline="0" fieldPosition="0">
        <references count="5">
          <reference field="0" count="1" selected="0">
            <x v="5"/>
          </reference>
          <reference field="3" count="1" selected="0">
            <x v="6"/>
          </reference>
          <reference field="4" count="1" selected="0">
            <x v="216"/>
          </reference>
          <reference field="5" count="1" selected="0">
            <x v="139"/>
          </reference>
          <reference field="7" count="1">
            <x v="589"/>
          </reference>
        </references>
      </pivotArea>
    </format>
    <format dxfId="201">
      <pivotArea dataOnly="0" labelOnly="1" outline="0" fieldPosition="0">
        <references count="5">
          <reference field="0" count="1" selected="0">
            <x v="5"/>
          </reference>
          <reference field="3" count="1" selected="0">
            <x v="6"/>
          </reference>
          <reference field="4" count="1" selected="0">
            <x v="216"/>
          </reference>
          <reference field="5" count="1" selected="0">
            <x v="269"/>
          </reference>
          <reference field="7" count="1">
            <x v="590"/>
          </reference>
        </references>
      </pivotArea>
    </format>
    <format dxfId="200">
      <pivotArea dataOnly="0" labelOnly="1" outline="0" fieldPosition="0">
        <references count="5">
          <reference field="0" count="1" selected="0">
            <x v="5"/>
          </reference>
          <reference field="3" count="1" selected="0">
            <x v="6"/>
          </reference>
          <reference field="4" count="1" selected="0">
            <x v="216"/>
          </reference>
          <reference field="5" count="1" selected="0">
            <x v="279"/>
          </reference>
          <reference field="7" count="1">
            <x v="752"/>
          </reference>
        </references>
      </pivotArea>
    </format>
    <format dxfId="199">
      <pivotArea dataOnly="0" labelOnly="1" outline="0" fieldPosition="0">
        <references count="5">
          <reference field="0" count="1" selected="0">
            <x v="5"/>
          </reference>
          <reference field="3" count="1" selected="0">
            <x v="6"/>
          </reference>
          <reference field="4" count="1" selected="0">
            <x v="216"/>
          </reference>
          <reference field="5" count="1" selected="0">
            <x v="281"/>
          </reference>
          <reference field="7" count="1">
            <x v="754"/>
          </reference>
        </references>
      </pivotArea>
    </format>
    <format dxfId="198">
      <pivotArea dataOnly="0" labelOnly="1" outline="0" fieldPosition="0">
        <references count="5">
          <reference field="0" count="1" selected="0">
            <x v="5"/>
          </reference>
          <reference field="3" count="1" selected="0">
            <x v="6"/>
          </reference>
          <reference field="4" count="1" selected="0">
            <x v="216"/>
          </reference>
          <reference field="5" count="1" selected="0">
            <x v="282"/>
          </reference>
          <reference field="7" count="1">
            <x v="755"/>
          </reference>
        </references>
      </pivotArea>
    </format>
    <format dxfId="197">
      <pivotArea dataOnly="0" labelOnly="1" outline="0" fieldPosition="0">
        <references count="5">
          <reference field="0" count="1" selected="0">
            <x v="5"/>
          </reference>
          <reference field="3" count="1" selected="0">
            <x v="6"/>
          </reference>
          <reference field="4" count="1" selected="0">
            <x v="216"/>
          </reference>
          <reference field="5" count="1" selected="0">
            <x v="302"/>
          </reference>
          <reference field="7" count="1">
            <x v="1070"/>
          </reference>
        </references>
      </pivotArea>
    </format>
    <format dxfId="196">
      <pivotArea dataOnly="0" labelOnly="1" outline="0" fieldPosition="0">
        <references count="5">
          <reference field="0" count="1" selected="0">
            <x v="5"/>
          </reference>
          <reference field="3" count="1" selected="0">
            <x v="6"/>
          </reference>
          <reference field="4" count="1" selected="0">
            <x v="216"/>
          </reference>
          <reference field="5" count="1" selected="0">
            <x v="518"/>
          </reference>
          <reference field="7" count="1">
            <x v="154"/>
          </reference>
        </references>
      </pivotArea>
    </format>
    <format dxfId="195">
      <pivotArea dataOnly="0" labelOnly="1" outline="0" fieldPosition="0">
        <references count="5">
          <reference field="0" count="1" selected="0">
            <x v="5"/>
          </reference>
          <reference field="3" count="1" selected="0">
            <x v="6"/>
          </reference>
          <reference field="4" count="1" selected="0">
            <x v="216"/>
          </reference>
          <reference field="5" count="1" selected="0">
            <x v="519"/>
          </reference>
          <reference field="7" count="1">
            <x v="520"/>
          </reference>
        </references>
      </pivotArea>
    </format>
    <format dxfId="194">
      <pivotArea dataOnly="0" labelOnly="1" outline="0" fieldPosition="0">
        <references count="5">
          <reference field="0" count="1" selected="0">
            <x v="5"/>
          </reference>
          <reference field="3" count="1" selected="0">
            <x v="6"/>
          </reference>
          <reference field="4" count="1" selected="0">
            <x v="216"/>
          </reference>
          <reference field="5" count="1" selected="0">
            <x v="520"/>
          </reference>
          <reference field="7" count="1">
            <x v="517"/>
          </reference>
        </references>
      </pivotArea>
    </format>
    <format dxfId="193">
      <pivotArea dataOnly="0" labelOnly="1" outline="0" fieldPosition="0">
        <references count="5">
          <reference field="0" count="1" selected="0">
            <x v="5"/>
          </reference>
          <reference field="3" count="1" selected="0">
            <x v="6"/>
          </reference>
          <reference field="4" count="1" selected="0">
            <x v="216"/>
          </reference>
          <reference field="5" count="1" selected="0">
            <x v="521"/>
          </reference>
          <reference field="7" count="1">
            <x v="521"/>
          </reference>
        </references>
      </pivotArea>
    </format>
    <format dxfId="192">
      <pivotArea dataOnly="0" labelOnly="1" outline="0" fieldPosition="0">
        <references count="5">
          <reference field="0" count="1" selected="0">
            <x v="5"/>
          </reference>
          <reference field="3" count="1" selected="0">
            <x v="6"/>
          </reference>
          <reference field="4" count="1" selected="0">
            <x v="216"/>
          </reference>
          <reference field="5" count="1" selected="0">
            <x v="522"/>
          </reference>
          <reference field="7" count="1">
            <x v="518"/>
          </reference>
        </references>
      </pivotArea>
    </format>
    <format dxfId="191">
      <pivotArea dataOnly="0" labelOnly="1" outline="0" fieldPosition="0">
        <references count="5">
          <reference field="0" count="1" selected="0">
            <x v="5"/>
          </reference>
          <reference field="3" count="1" selected="0">
            <x v="6"/>
          </reference>
          <reference field="4" count="1" selected="0">
            <x v="216"/>
          </reference>
          <reference field="5" count="1" selected="0">
            <x v="523"/>
          </reference>
          <reference field="7" count="1">
            <x v="519"/>
          </reference>
        </references>
      </pivotArea>
    </format>
    <format dxfId="190">
      <pivotArea dataOnly="0" labelOnly="1" outline="0" fieldPosition="0">
        <references count="5">
          <reference field="0" count="1" selected="0">
            <x v="5"/>
          </reference>
          <reference field="3" count="1" selected="0">
            <x v="6"/>
          </reference>
          <reference field="4" count="1" selected="0">
            <x v="216"/>
          </reference>
          <reference field="5" count="1" selected="0">
            <x v="524"/>
          </reference>
          <reference field="7" count="1">
            <x v="1040"/>
          </reference>
        </references>
      </pivotArea>
    </format>
    <format dxfId="189">
      <pivotArea dataOnly="0" labelOnly="1" outline="0" fieldPosition="0">
        <references count="5">
          <reference field="0" count="1" selected="0">
            <x v="5"/>
          </reference>
          <reference field="3" count="1" selected="0">
            <x v="6"/>
          </reference>
          <reference field="4" count="1" selected="0">
            <x v="216"/>
          </reference>
          <reference field="5" count="1" selected="0">
            <x v="525"/>
          </reference>
          <reference field="7" count="1">
            <x v="534"/>
          </reference>
        </references>
      </pivotArea>
    </format>
    <format dxfId="188">
      <pivotArea dataOnly="0" labelOnly="1" outline="0" fieldPosition="0">
        <references count="5">
          <reference field="0" count="1" selected="0">
            <x v="5"/>
          </reference>
          <reference field="3" count="1" selected="0">
            <x v="6"/>
          </reference>
          <reference field="4" count="1" selected="0">
            <x v="216"/>
          </reference>
          <reference field="5" count="1" selected="0">
            <x v="526"/>
          </reference>
          <reference field="7" count="1">
            <x v="549"/>
          </reference>
        </references>
      </pivotArea>
    </format>
    <format dxfId="187">
      <pivotArea dataOnly="0" labelOnly="1" outline="0" fieldPosition="0">
        <references count="5">
          <reference field="0" count="1" selected="0">
            <x v="5"/>
          </reference>
          <reference field="3" count="1" selected="0">
            <x v="6"/>
          </reference>
          <reference field="4" count="1" selected="0">
            <x v="216"/>
          </reference>
          <reference field="5" count="1" selected="0">
            <x v="527"/>
          </reference>
          <reference field="7" count="1">
            <x v="535"/>
          </reference>
        </references>
      </pivotArea>
    </format>
    <format dxfId="186">
      <pivotArea dataOnly="0" labelOnly="1" outline="0" fieldPosition="0">
        <references count="5">
          <reference field="0" count="1" selected="0">
            <x v="5"/>
          </reference>
          <reference field="3" count="1" selected="0">
            <x v="6"/>
          </reference>
          <reference field="4" count="1" selected="0">
            <x v="216"/>
          </reference>
          <reference field="5" count="1" selected="0">
            <x v="528"/>
          </reference>
          <reference field="7" count="1">
            <x v="528"/>
          </reference>
        </references>
      </pivotArea>
    </format>
    <format dxfId="185">
      <pivotArea dataOnly="0" labelOnly="1" outline="0" fieldPosition="0">
        <references count="5">
          <reference field="0" count="1" selected="0">
            <x v="5"/>
          </reference>
          <reference field="3" count="1" selected="0">
            <x v="6"/>
          </reference>
          <reference field="4" count="1" selected="0">
            <x v="216"/>
          </reference>
          <reference field="5" count="1" selected="0">
            <x v="529"/>
          </reference>
          <reference field="7" count="1">
            <x v="532"/>
          </reference>
        </references>
      </pivotArea>
    </format>
    <format dxfId="184">
      <pivotArea dataOnly="0" labelOnly="1" outline="0" fieldPosition="0">
        <references count="5">
          <reference field="0" count="1" selected="0">
            <x v="5"/>
          </reference>
          <reference field="3" count="1" selected="0">
            <x v="6"/>
          </reference>
          <reference field="4" count="1" selected="0">
            <x v="216"/>
          </reference>
          <reference field="5" count="1" selected="0">
            <x v="530"/>
          </reference>
          <reference field="7" count="1">
            <x v="529"/>
          </reference>
        </references>
      </pivotArea>
    </format>
    <format dxfId="183">
      <pivotArea dataOnly="0" labelOnly="1" outline="0" fieldPosition="0">
        <references count="5">
          <reference field="0" count="1" selected="0">
            <x v="5"/>
          </reference>
          <reference field="3" count="1" selected="0">
            <x v="6"/>
          </reference>
          <reference field="4" count="1" selected="0">
            <x v="216"/>
          </reference>
          <reference field="5" count="1" selected="0">
            <x v="531"/>
          </reference>
          <reference field="7" count="1">
            <x v="1144"/>
          </reference>
        </references>
      </pivotArea>
    </format>
    <format dxfId="182">
      <pivotArea dataOnly="0" labelOnly="1" outline="0" fieldPosition="0">
        <references count="5">
          <reference field="0" count="1" selected="0">
            <x v="5"/>
          </reference>
          <reference field="3" count="1" selected="0">
            <x v="6"/>
          </reference>
          <reference field="4" count="1" selected="0">
            <x v="216"/>
          </reference>
          <reference field="5" count="1" selected="0">
            <x v="532"/>
          </reference>
          <reference field="7" count="1">
            <x v="531"/>
          </reference>
        </references>
      </pivotArea>
    </format>
    <format dxfId="181">
      <pivotArea dataOnly="0" labelOnly="1" outline="0" fieldPosition="0">
        <references count="5">
          <reference field="0" count="1" selected="0">
            <x v="5"/>
          </reference>
          <reference field="3" count="1" selected="0">
            <x v="6"/>
          </reference>
          <reference field="4" count="1" selected="0">
            <x v="216"/>
          </reference>
          <reference field="5" count="1" selected="0">
            <x v="533"/>
          </reference>
          <reference field="7" count="1">
            <x v="546"/>
          </reference>
        </references>
      </pivotArea>
    </format>
    <format dxfId="180">
      <pivotArea dataOnly="0" labelOnly="1" outline="0" fieldPosition="0">
        <references count="5">
          <reference field="0" count="1" selected="0">
            <x v="5"/>
          </reference>
          <reference field="3" count="1" selected="0">
            <x v="6"/>
          </reference>
          <reference field="4" count="1" selected="0">
            <x v="216"/>
          </reference>
          <reference field="5" count="1" selected="0">
            <x v="534"/>
          </reference>
          <reference field="7" count="1">
            <x v="539"/>
          </reference>
        </references>
      </pivotArea>
    </format>
    <format dxfId="179">
      <pivotArea dataOnly="0" labelOnly="1" outline="0" fieldPosition="0">
        <references count="5">
          <reference field="0" count="1" selected="0">
            <x v="5"/>
          </reference>
          <reference field="3" count="1" selected="0">
            <x v="6"/>
          </reference>
          <reference field="4" count="1" selected="0">
            <x v="216"/>
          </reference>
          <reference field="5" count="1" selected="0">
            <x v="535"/>
          </reference>
          <reference field="7" count="1">
            <x v="541"/>
          </reference>
        </references>
      </pivotArea>
    </format>
    <format dxfId="178">
      <pivotArea dataOnly="0" labelOnly="1" outline="0" fieldPosition="0">
        <references count="5">
          <reference field="0" count="1" selected="0">
            <x v="5"/>
          </reference>
          <reference field="3" count="1" selected="0">
            <x v="6"/>
          </reference>
          <reference field="4" count="1" selected="0">
            <x v="216"/>
          </reference>
          <reference field="5" count="1" selected="0">
            <x v="536"/>
          </reference>
          <reference field="7" count="1">
            <x v="542"/>
          </reference>
        </references>
      </pivotArea>
    </format>
    <format dxfId="177">
      <pivotArea dataOnly="0" labelOnly="1" outline="0" fieldPosition="0">
        <references count="5">
          <reference field="0" count="1" selected="0">
            <x v="5"/>
          </reference>
          <reference field="3" count="1" selected="0">
            <x v="6"/>
          </reference>
          <reference field="4" count="1" selected="0">
            <x v="216"/>
          </reference>
          <reference field="5" count="1" selected="0">
            <x v="537"/>
          </reference>
          <reference field="7" count="1">
            <x v="551"/>
          </reference>
        </references>
      </pivotArea>
    </format>
    <format dxfId="176">
      <pivotArea dataOnly="0" labelOnly="1" outline="0" fieldPosition="0">
        <references count="5">
          <reference field="0" count="1" selected="0">
            <x v="5"/>
          </reference>
          <reference field="3" count="1" selected="0">
            <x v="6"/>
          </reference>
          <reference field="4" count="1" selected="0">
            <x v="216"/>
          </reference>
          <reference field="5" count="1" selected="0">
            <x v="538"/>
          </reference>
          <reference field="7" count="1">
            <x v="538"/>
          </reference>
        </references>
      </pivotArea>
    </format>
    <format dxfId="175">
      <pivotArea dataOnly="0" labelOnly="1" outline="0" fieldPosition="0">
        <references count="5">
          <reference field="0" count="1" selected="0">
            <x v="5"/>
          </reference>
          <reference field="3" count="1" selected="0">
            <x v="7"/>
          </reference>
          <reference field="4" count="1" selected="0">
            <x v="5"/>
          </reference>
          <reference field="5" count="1" selected="0">
            <x v="349"/>
          </reference>
          <reference field="7" count="1">
            <x v="117"/>
          </reference>
        </references>
      </pivotArea>
    </format>
    <format dxfId="174">
      <pivotArea dataOnly="0" labelOnly="1" outline="0" fieldPosition="0">
        <references count="5">
          <reference field="0" count="1" selected="0">
            <x v="5"/>
          </reference>
          <reference field="3" count="1" selected="0">
            <x v="7"/>
          </reference>
          <reference field="4" count="1" selected="0">
            <x v="5"/>
          </reference>
          <reference field="5" count="1" selected="0">
            <x v="350"/>
          </reference>
          <reference field="7" count="1">
            <x v="1024"/>
          </reference>
        </references>
      </pivotArea>
    </format>
    <format dxfId="173">
      <pivotArea dataOnly="0" labelOnly="1" outline="0" fieldPosition="0">
        <references count="5">
          <reference field="0" count="1" selected="0">
            <x v="5"/>
          </reference>
          <reference field="3" count="1" selected="0">
            <x v="7"/>
          </reference>
          <reference field="4" count="1" selected="0">
            <x v="5"/>
          </reference>
          <reference field="5" count="1" selected="0">
            <x v="387"/>
          </reference>
          <reference field="7" count="1">
            <x v="114"/>
          </reference>
        </references>
      </pivotArea>
    </format>
    <format dxfId="172">
      <pivotArea dataOnly="0" labelOnly="1" outline="0" fieldPosition="0">
        <references count="5">
          <reference field="0" count="1" selected="0">
            <x v="5"/>
          </reference>
          <reference field="3" count="1" selected="0">
            <x v="7"/>
          </reference>
          <reference field="4" count="1" selected="0">
            <x v="186"/>
          </reference>
          <reference field="5" count="1" selected="0">
            <x v="252"/>
          </reference>
          <reference field="7" count="1">
            <x v="1319"/>
          </reference>
        </references>
      </pivotArea>
    </format>
    <format dxfId="171">
      <pivotArea dataOnly="0" labelOnly="1" outline="0" fieldPosition="0">
        <references count="5">
          <reference field="0" count="1" selected="0">
            <x v="5"/>
          </reference>
          <reference field="3" count="1" selected="0">
            <x v="7"/>
          </reference>
          <reference field="4" count="1" selected="0">
            <x v="186"/>
          </reference>
          <reference field="5" count="1" selected="0">
            <x v="1536"/>
          </reference>
          <reference field="7" count="1">
            <x v="793"/>
          </reference>
        </references>
      </pivotArea>
    </format>
    <format dxfId="170">
      <pivotArea dataOnly="0" labelOnly="1" outline="0" fieldPosition="0">
        <references count="5">
          <reference field="0" count="1" selected="0">
            <x v="5"/>
          </reference>
          <reference field="3" count="1" selected="0">
            <x v="7"/>
          </reference>
          <reference field="4" count="1" selected="0">
            <x v="186"/>
          </reference>
          <reference field="5" count="1" selected="0">
            <x v="1559"/>
          </reference>
          <reference field="7" count="1">
            <x v="196"/>
          </reference>
        </references>
      </pivotArea>
    </format>
    <format dxfId="169">
      <pivotArea dataOnly="0" labelOnly="1" outline="0" fieldPosition="0">
        <references count="5">
          <reference field="0" count="1" selected="0">
            <x v="5"/>
          </reference>
          <reference field="3" count="1" selected="0">
            <x v="7"/>
          </reference>
          <reference field="4" count="1" selected="0">
            <x v="211"/>
          </reference>
          <reference field="5" count="1" selected="0">
            <x v="541"/>
          </reference>
          <reference field="7" count="1">
            <x v="1384"/>
          </reference>
        </references>
      </pivotArea>
    </format>
    <format dxfId="168">
      <pivotArea dataOnly="0" labelOnly="1" outline="0" fieldPosition="0">
        <references count="5">
          <reference field="0" count="1" selected="0">
            <x v="5"/>
          </reference>
          <reference field="3" count="1" selected="0">
            <x v="7"/>
          </reference>
          <reference field="4" count="1" selected="0">
            <x v="211"/>
          </reference>
          <reference field="5" count="1" selected="0">
            <x v="542"/>
          </reference>
          <reference field="7" count="1">
            <x v="1385"/>
          </reference>
        </references>
      </pivotArea>
    </format>
    <format dxfId="167">
      <pivotArea dataOnly="0" labelOnly="1" outline="0" fieldPosition="0">
        <references count="5">
          <reference field="0" count="1" selected="0">
            <x v="5"/>
          </reference>
          <reference field="3" count="1" selected="0">
            <x v="7"/>
          </reference>
          <reference field="4" count="1" selected="0">
            <x v="211"/>
          </reference>
          <reference field="5" count="1" selected="0">
            <x v="543"/>
          </reference>
          <reference field="7" count="1">
            <x v="1386"/>
          </reference>
        </references>
      </pivotArea>
    </format>
    <format dxfId="166">
      <pivotArea dataOnly="0" labelOnly="1" outline="0" fieldPosition="0">
        <references count="5">
          <reference field="0" count="1" selected="0">
            <x v="5"/>
          </reference>
          <reference field="3" count="1" selected="0">
            <x v="7"/>
          </reference>
          <reference field="4" count="1" selected="0">
            <x v="211"/>
          </reference>
          <reference field="5" count="1" selected="0">
            <x v="544"/>
          </reference>
          <reference field="7" count="1">
            <x v="1388"/>
          </reference>
        </references>
      </pivotArea>
    </format>
    <format dxfId="165">
      <pivotArea dataOnly="0" labelOnly="1" outline="0" fieldPosition="0">
        <references count="5">
          <reference field="0" count="1" selected="0">
            <x v="5"/>
          </reference>
          <reference field="3" count="1" selected="0">
            <x v="7"/>
          </reference>
          <reference field="4" count="1" selected="0">
            <x v="211"/>
          </reference>
          <reference field="5" count="1" selected="0">
            <x v="545"/>
          </reference>
          <reference field="7" count="1">
            <x v="1387"/>
          </reference>
        </references>
      </pivotArea>
    </format>
    <format dxfId="164">
      <pivotArea dataOnly="0" labelOnly="1" outline="0" fieldPosition="0">
        <references count="5">
          <reference field="0" count="1" selected="0">
            <x v="5"/>
          </reference>
          <reference field="3" count="1" selected="0">
            <x v="7"/>
          </reference>
          <reference field="4" count="1" selected="0">
            <x v="216"/>
          </reference>
          <reference field="5" count="1" selected="0">
            <x v="8"/>
          </reference>
          <reference field="7" count="1">
            <x v="1484"/>
          </reference>
        </references>
      </pivotArea>
    </format>
    <format dxfId="163">
      <pivotArea dataOnly="0" labelOnly="1" outline="0" fieldPosition="0">
        <references count="5">
          <reference field="0" count="1" selected="0">
            <x v="5"/>
          </reference>
          <reference field="3" count="1" selected="0">
            <x v="7"/>
          </reference>
          <reference field="4" count="1" selected="0">
            <x v="216"/>
          </reference>
          <reference field="5" count="1" selected="0">
            <x v="11"/>
          </reference>
          <reference field="7" count="1">
            <x v="1482"/>
          </reference>
        </references>
      </pivotArea>
    </format>
    <format dxfId="162">
      <pivotArea dataOnly="0" labelOnly="1" outline="0" fieldPosition="0">
        <references count="5">
          <reference field="0" count="1" selected="0">
            <x v="5"/>
          </reference>
          <reference field="3" count="1" selected="0">
            <x v="7"/>
          </reference>
          <reference field="4" count="1" selected="0">
            <x v="216"/>
          </reference>
          <reference field="5" count="1" selected="0">
            <x v="148"/>
          </reference>
          <reference field="7" count="1">
            <x v="977"/>
          </reference>
        </references>
      </pivotArea>
    </format>
    <format dxfId="161">
      <pivotArea dataOnly="0" labelOnly="1" outline="0" fieldPosition="0">
        <references count="5">
          <reference field="0" count="1" selected="0">
            <x v="5"/>
          </reference>
          <reference field="3" count="1" selected="0">
            <x v="7"/>
          </reference>
          <reference field="4" count="1" selected="0">
            <x v="216"/>
          </reference>
          <reference field="5" count="1" selected="0">
            <x v="166"/>
          </reference>
          <reference field="7" count="1">
            <x v="1086"/>
          </reference>
        </references>
      </pivotArea>
    </format>
    <format dxfId="160">
      <pivotArea dataOnly="0" labelOnly="1" outline="0" fieldPosition="0">
        <references count="5">
          <reference field="0" count="1" selected="0">
            <x v="5"/>
          </reference>
          <reference field="3" count="1" selected="0">
            <x v="7"/>
          </reference>
          <reference field="4" count="1" selected="0">
            <x v="216"/>
          </reference>
          <reference field="5" count="1" selected="0">
            <x v="169"/>
          </reference>
          <reference field="7" count="1">
            <x v="1090"/>
          </reference>
        </references>
      </pivotArea>
    </format>
    <format dxfId="159">
      <pivotArea dataOnly="0" labelOnly="1" outline="0" fieldPosition="0">
        <references count="5">
          <reference field="0" count="1" selected="0">
            <x v="5"/>
          </reference>
          <reference field="3" count="1" selected="0">
            <x v="7"/>
          </reference>
          <reference field="4" count="1" selected="0">
            <x v="216"/>
          </reference>
          <reference field="5" count="1" selected="0">
            <x v="199"/>
          </reference>
          <reference field="7" count="1">
            <x v="1087"/>
          </reference>
        </references>
      </pivotArea>
    </format>
    <format dxfId="158">
      <pivotArea dataOnly="0" labelOnly="1" outline="0" fieldPosition="0">
        <references count="5">
          <reference field="0" count="1" selected="0">
            <x v="5"/>
          </reference>
          <reference field="3" count="1" selected="0">
            <x v="7"/>
          </reference>
          <reference field="4" count="1" selected="0">
            <x v="216"/>
          </reference>
          <reference field="5" count="1" selected="0">
            <x v="279"/>
          </reference>
          <reference field="7" count="1">
            <x v="752"/>
          </reference>
        </references>
      </pivotArea>
    </format>
    <format dxfId="157">
      <pivotArea dataOnly="0" labelOnly="1" outline="0" fieldPosition="0">
        <references count="5">
          <reference field="0" count="1" selected="0">
            <x v="5"/>
          </reference>
          <reference field="3" count="1" selected="0">
            <x v="7"/>
          </reference>
          <reference field="4" count="1" selected="0">
            <x v="216"/>
          </reference>
          <reference field="5" count="1" selected="0">
            <x v="282"/>
          </reference>
          <reference field="7" count="1">
            <x v="755"/>
          </reference>
        </references>
      </pivotArea>
    </format>
    <format dxfId="156">
      <pivotArea dataOnly="0" labelOnly="1" outline="0" fieldPosition="0">
        <references count="5">
          <reference field="0" count="1" selected="0">
            <x v="5"/>
          </reference>
          <reference field="3" count="1" selected="0">
            <x v="7"/>
          </reference>
          <reference field="4" count="1" selected="0">
            <x v="216"/>
          </reference>
          <reference field="5" count="1" selected="0">
            <x v="284"/>
          </reference>
          <reference field="7" count="1">
            <x v="749"/>
          </reference>
        </references>
      </pivotArea>
    </format>
    <format dxfId="155">
      <pivotArea dataOnly="0" labelOnly="1" outline="0" fieldPosition="0">
        <references count="5">
          <reference field="0" count="1" selected="0">
            <x v="5"/>
          </reference>
          <reference field="3" count="1" selected="0">
            <x v="7"/>
          </reference>
          <reference field="4" count="1" selected="0">
            <x v="216"/>
          </reference>
          <reference field="5" count="1" selected="0">
            <x v="302"/>
          </reference>
          <reference field="7" count="1">
            <x v="1070"/>
          </reference>
        </references>
      </pivotArea>
    </format>
    <format dxfId="154">
      <pivotArea dataOnly="0" labelOnly="1" outline="0" fieldPosition="0">
        <references count="5">
          <reference field="0" count="1" selected="0">
            <x v="5"/>
          </reference>
          <reference field="3" count="1" selected="0">
            <x v="7"/>
          </reference>
          <reference field="4" count="1" selected="0">
            <x v="216"/>
          </reference>
          <reference field="5" count="1" selected="0">
            <x v="406"/>
          </reference>
          <reference field="7" count="1">
            <x v="895"/>
          </reference>
        </references>
      </pivotArea>
    </format>
    <format dxfId="153">
      <pivotArea dataOnly="0" labelOnly="1" outline="0" fieldPosition="0">
        <references count="5">
          <reference field="0" count="1" selected="0">
            <x v="5"/>
          </reference>
          <reference field="3" count="1" selected="0">
            <x v="7"/>
          </reference>
          <reference field="4" count="1" selected="0">
            <x v="216"/>
          </reference>
          <reference field="5" count="1" selected="0">
            <x v="407"/>
          </reference>
          <reference field="7" count="1">
            <x v="0"/>
          </reference>
        </references>
      </pivotArea>
    </format>
    <format dxfId="152">
      <pivotArea dataOnly="0" labelOnly="1" outline="0" fieldPosition="0">
        <references count="5">
          <reference field="0" count="1" selected="0">
            <x v="5"/>
          </reference>
          <reference field="3" count="1" selected="0">
            <x v="7"/>
          </reference>
          <reference field="4" count="1" selected="0">
            <x v="216"/>
          </reference>
          <reference field="5" count="1" selected="0">
            <x v="409"/>
          </reference>
          <reference field="7" count="1">
            <x v="672"/>
          </reference>
        </references>
      </pivotArea>
    </format>
    <format dxfId="151">
      <pivotArea dataOnly="0" labelOnly="1" outline="0" fieldPosition="0">
        <references count="5">
          <reference field="0" count="1" selected="0">
            <x v="5"/>
          </reference>
          <reference field="3" count="1" selected="0">
            <x v="7"/>
          </reference>
          <reference field="4" count="1" selected="0">
            <x v="216"/>
          </reference>
          <reference field="5" count="1" selected="0">
            <x v="429"/>
          </reference>
          <reference field="7" count="1">
            <x v="654"/>
          </reference>
        </references>
      </pivotArea>
    </format>
    <format dxfId="150">
      <pivotArea dataOnly="0" labelOnly="1" outline="0" fieldPosition="0">
        <references count="5">
          <reference field="0" count="1" selected="0">
            <x v="5"/>
          </reference>
          <reference field="3" count="1" selected="0">
            <x v="7"/>
          </reference>
          <reference field="4" count="1" selected="0">
            <x v="216"/>
          </reference>
          <reference field="5" count="1" selected="0">
            <x v="430"/>
          </reference>
          <reference field="7" count="1">
            <x v="966"/>
          </reference>
        </references>
      </pivotArea>
    </format>
    <format dxfId="149">
      <pivotArea dataOnly="0" labelOnly="1" outline="0" fieldPosition="0">
        <references count="5">
          <reference field="0" count="1" selected="0">
            <x v="5"/>
          </reference>
          <reference field="3" count="1" selected="0">
            <x v="7"/>
          </reference>
          <reference field="4" count="1" selected="0">
            <x v="216"/>
          </reference>
          <reference field="5" count="1" selected="0">
            <x v="539"/>
          </reference>
          <reference field="7" count="1">
            <x v="247"/>
          </reference>
        </references>
      </pivotArea>
    </format>
    <format dxfId="148">
      <pivotArea dataOnly="0" labelOnly="1" outline="0" fieldPosition="0">
        <references count="5">
          <reference field="0" count="1" selected="0">
            <x v="5"/>
          </reference>
          <reference field="3" count="1" selected="0">
            <x v="7"/>
          </reference>
          <reference field="4" count="1" selected="0">
            <x v="216"/>
          </reference>
          <reference field="5" count="1" selected="0">
            <x v="540"/>
          </reference>
          <reference field="7" count="1">
            <x v="1379"/>
          </reference>
        </references>
      </pivotArea>
    </format>
    <format dxfId="147">
      <pivotArea dataOnly="0" labelOnly="1" outline="0" fieldPosition="0">
        <references count="5">
          <reference field="0" count="1" selected="0">
            <x v="5"/>
          </reference>
          <reference field="3" count="1" selected="0">
            <x v="7"/>
          </reference>
          <reference field="4" count="1" selected="0">
            <x v="216"/>
          </reference>
          <reference field="5" count="1" selected="0">
            <x v="546"/>
          </reference>
          <reference field="7" count="1">
            <x v="1381"/>
          </reference>
        </references>
      </pivotArea>
    </format>
    <format dxfId="146">
      <pivotArea dataOnly="0" labelOnly="1" outline="0" fieldPosition="0">
        <references count="5">
          <reference field="0" count="1" selected="0">
            <x v="5"/>
          </reference>
          <reference field="3" count="1" selected="0">
            <x v="7"/>
          </reference>
          <reference field="4" count="1" selected="0">
            <x v="216"/>
          </reference>
          <reference field="5" count="1" selected="0">
            <x v="547"/>
          </reference>
          <reference field="7" count="1">
            <x v="1380"/>
          </reference>
        </references>
      </pivotArea>
    </format>
    <format dxfId="145">
      <pivotArea dataOnly="0" labelOnly="1" outline="0" fieldPosition="0">
        <references count="5">
          <reference field="0" count="1" selected="0">
            <x v="5"/>
          </reference>
          <reference field="3" count="1" selected="0">
            <x v="7"/>
          </reference>
          <reference field="4" count="1" selected="0">
            <x v="216"/>
          </reference>
          <reference field="5" count="1" selected="0">
            <x v="548"/>
          </reference>
          <reference field="7" count="1">
            <x v="1056"/>
          </reference>
        </references>
      </pivotArea>
    </format>
    <format dxfId="144">
      <pivotArea dataOnly="0" labelOnly="1" outline="0" fieldPosition="0">
        <references count="5">
          <reference field="0" count="1" selected="0">
            <x v="5"/>
          </reference>
          <reference field="3" count="1" selected="0">
            <x v="7"/>
          </reference>
          <reference field="4" count="1" selected="0">
            <x v="216"/>
          </reference>
          <reference field="5" count="1" selected="0">
            <x v="549"/>
          </reference>
          <reference field="7" count="1">
            <x v="1382"/>
          </reference>
        </references>
      </pivotArea>
    </format>
    <format dxfId="143">
      <pivotArea dataOnly="0" labelOnly="1" outline="0" fieldPosition="0">
        <references count="5">
          <reference field="0" count="1" selected="0">
            <x v="5"/>
          </reference>
          <reference field="3" count="1" selected="0">
            <x v="7"/>
          </reference>
          <reference field="4" count="1" selected="0">
            <x v="216"/>
          </reference>
          <reference field="5" count="1" selected="0">
            <x v="550"/>
          </reference>
          <reference field="7" count="1">
            <x v="758"/>
          </reference>
        </references>
      </pivotArea>
    </format>
    <format dxfId="142">
      <pivotArea dataOnly="0" labelOnly="1" outline="0" fieldPosition="0">
        <references count="5">
          <reference field="0" count="1" selected="0">
            <x v="5"/>
          </reference>
          <reference field="3" count="1" selected="0">
            <x v="7"/>
          </reference>
          <reference field="4" count="1" selected="0">
            <x v="216"/>
          </reference>
          <reference field="5" count="1" selected="0">
            <x v="1612"/>
          </reference>
          <reference field="7" count="1">
            <x v="1115"/>
          </reference>
        </references>
      </pivotArea>
    </format>
    <format dxfId="141">
      <pivotArea dataOnly="0" labelOnly="1" outline="0" fieldPosition="0">
        <references count="5">
          <reference field="0" count="1" selected="0">
            <x v="5"/>
          </reference>
          <reference field="3" count="1" selected="0">
            <x v="8"/>
          </reference>
          <reference field="4" count="1" selected="0">
            <x v="38"/>
          </reference>
          <reference field="5" count="1" selected="0">
            <x v="8"/>
          </reference>
          <reference field="7" count="1">
            <x v="1484"/>
          </reference>
        </references>
      </pivotArea>
    </format>
    <format dxfId="140">
      <pivotArea dataOnly="0" labelOnly="1" outline="0" fieldPosition="0">
        <references count="5">
          <reference field="0" count="1" selected="0">
            <x v="5"/>
          </reference>
          <reference field="3" count="1" selected="0">
            <x v="8"/>
          </reference>
          <reference field="4" count="1" selected="0">
            <x v="38"/>
          </reference>
          <reference field="5" count="1" selected="0">
            <x v="11"/>
          </reference>
          <reference field="7" count="1">
            <x v="1482"/>
          </reference>
        </references>
      </pivotArea>
    </format>
    <format dxfId="139">
      <pivotArea dataOnly="0" labelOnly="1" outline="0" fieldPosition="0">
        <references count="5">
          <reference field="0" count="1" selected="0">
            <x v="5"/>
          </reference>
          <reference field="3" count="1" selected="0">
            <x v="8"/>
          </reference>
          <reference field="4" count="1" selected="0">
            <x v="38"/>
          </reference>
          <reference field="5" count="1" selected="0">
            <x v="148"/>
          </reference>
          <reference field="7" count="1">
            <x v="977"/>
          </reference>
        </references>
      </pivotArea>
    </format>
    <format dxfId="138">
      <pivotArea dataOnly="0" labelOnly="1" outline="0" fieldPosition="0">
        <references count="5">
          <reference field="0" count="1" selected="0">
            <x v="5"/>
          </reference>
          <reference field="3" count="1" selected="0">
            <x v="8"/>
          </reference>
          <reference field="4" count="1" selected="0">
            <x v="38"/>
          </reference>
          <reference field="5" count="1" selected="0">
            <x v="167"/>
          </reference>
          <reference field="7" count="1">
            <x v="1088"/>
          </reference>
        </references>
      </pivotArea>
    </format>
    <format dxfId="137">
      <pivotArea dataOnly="0" labelOnly="1" outline="0" fieldPosition="0">
        <references count="5">
          <reference field="0" count="1" selected="0">
            <x v="5"/>
          </reference>
          <reference field="3" count="1" selected="0">
            <x v="8"/>
          </reference>
          <reference field="4" count="1" selected="0">
            <x v="38"/>
          </reference>
          <reference field="5" count="1" selected="0">
            <x v="330"/>
          </reference>
          <reference field="7" count="1">
            <x v="1589"/>
          </reference>
        </references>
      </pivotArea>
    </format>
    <format dxfId="136">
      <pivotArea dataOnly="0" labelOnly="1" outline="0" fieldPosition="0">
        <references count="5">
          <reference field="0" count="1" selected="0">
            <x v="5"/>
          </reference>
          <reference field="3" count="1" selected="0">
            <x v="8"/>
          </reference>
          <reference field="4" count="1" selected="0">
            <x v="38"/>
          </reference>
          <reference field="5" count="1" selected="0">
            <x v="406"/>
          </reference>
          <reference field="7" count="1">
            <x v="895"/>
          </reference>
        </references>
      </pivotArea>
    </format>
    <format dxfId="135">
      <pivotArea dataOnly="0" labelOnly="1" outline="0" fieldPosition="0">
        <references count="5">
          <reference field="0" count="1" selected="0">
            <x v="5"/>
          </reference>
          <reference field="3" count="1" selected="0">
            <x v="8"/>
          </reference>
          <reference field="4" count="1" selected="0">
            <x v="38"/>
          </reference>
          <reference field="5" count="1" selected="0">
            <x v="407"/>
          </reference>
          <reference field="7" count="1">
            <x v="0"/>
          </reference>
        </references>
      </pivotArea>
    </format>
    <format dxfId="134">
      <pivotArea dataOnly="0" labelOnly="1" outline="0" fieldPosition="0">
        <references count="5">
          <reference field="0" count="1" selected="0">
            <x v="5"/>
          </reference>
          <reference field="3" count="1" selected="0">
            <x v="8"/>
          </reference>
          <reference field="4" count="1" selected="0">
            <x v="38"/>
          </reference>
          <reference field="5" count="1" selected="0">
            <x v="409"/>
          </reference>
          <reference field="7" count="1">
            <x v="672"/>
          </reference>
        </references>
      </pivotArea>
    </format>
    <format dxfId="133">
      <pivotArea dataOnly="0" labelOnly="1" outline="0" fieldPosition="0">
        <references count="5">
          <reference field="0" count="1" selected="0">
            <x v="5"/>
          </reference>
          <reference field="3" count="1" selected="0">
            <x v="8"/>
          </reference>
          <reference field="4" count="1" selected="0">
            <x v="38"/>
          </reference>
          <reference field="5" count="1" selected="0">
            <x v="552"/>
          </reference>
          <reference field="7" count="1">
            <x v="171"/>
          </reference>
        </references>
      </pivotArea>
    </format>
    <format dxfId="132">
      <pivotArea dataOnly="0" labelOnly="1" outline="0" fieldPosition="0">
        <references count="5">
          <reference field="0" count="1" selected="0">
            <x v="5"/>
          </reference>
          <reference field="3" count="1" selected="0">
            <x v="8"/>
          </reference>
          <reference field="4" count="1" selected="0">
            <x v="38"/>
          </reference>
          <reference field="5" count="1" selected="0">
            <x v="553"/>
          </reference>
          <reference field="7" count="1">
            <x v="709"/>
          </reference>
        </references>
      </pivotArea>
    </format>
    <format dxfId="131">
      <pivotArea dataOnly="0" labelOnly="1" outline="0" fieldPosition="0">
        <references count="5">
          <reference field="0" count="1" selected="0">
            <x v="5"/>
          </reference>
          <reference field="3" count="1" selected="0">
            <x v="8"/>
          </reference>
          <reference field="4" count="1" selected="0">
            <x v="38"/>
          </reference>
          <reference field="5" count="1" selected="0">
            <x v="554"/>
          </reference>
          <reference field="7" count="1">
            <x v="713"/>
          </reference>
        </references>
      </pivotArea>
    </format>
    <format dxfId="130">
      <pivotArea dataOnly="0" labelOnly="1" outline="0" fieldPosition="0">
        <references count="5">
          <reference field="0" count="1" selected="0">
            <x v="5"/>
          </reference>
          <reference field="3" count="1" selected="0">
            <x v="8"/>
          </reference>
          <reference field="4" count="1" selected="0">
            <x v="38"/>
          </reference>
          <reference field="5" count="1" selected="0">
            <x v="555"/>
          </reference>
          <reference field="7" count="1">
            <x v="712"/>
          </reference>
        </references>
      </pivotArea>
    </format>
    <format dxfId="129">
      <pivotArea dataOnly="0" labelOnly="1" outline="0" fieldPosition="0">
        <references count="5">
          <reference field="0" count="1" selected="0">
            <x v="5"/>
          </reference>
          <reference field="3" count="1" selected="0">
            <x v="8"/>
          </reference>
          <reference field="4" count="1" selected="0">
            <x v="38"/>
          </reference>
          <reference field="5" count="1" selected="0">
            <x v="1608"/>
          </reference>
          <reference field="7" count="1">
            <x v="1118"/>
          </reference>
        </references>
      </pivotArea>
    </format>
    <format dxfId="128">
      <pivotArea dataOnly="0" labelOnly="1" outline="0" fieldPosition="0">
        <references count="5">
          <reference field="0" count="1" selected="0">
            <x v="5"/>
          </reference>
          <reference field="3" count="1" selected="0">
            <x v="8"/>
          </reference>
          <reference field="4" count="1" selected="0">
            <x v="38"/>
          </reference>
          <reference field="5" count="1" selected="0">
            <x v="1609"/>
          </reference>
          <reference field="7" count="1">
            <x v="669"/>
          </reference>
        </references>
      </pivotArea>
    </format>
    <format dxfId="127">
      <pivotArea dataOnly="0" labelOnly="1" outline="0" fieldPosition="0">
        <references count="5">
          <reference field="0" count="1" selected="0">
            <x v="5"/>
          </reference>
          <reference field="3" count="1" selected="0">
            <x v="8"/>
          </reference>
          <reference field="4" count="1" selected="0">
            <x v="39"/>
          </reference>
          <reference field="5" count="1" selected="0">
            <x v="248"/>
          </reference>
          <reference field="7" count="1">
            <x v="1316"/>
          </reference>
        </references>
      </pivotArea>
    </format>
    <format dxfId="126">
      <pivotArea dataOnly="0" labelOnly="1" outline="0" fieldPosition="0">
        <references count="5">
          <reference field="0" count="1" selected="0">
            <x v="5"/>
          </reference>
          <reference field="3" count="1" selected="0">
            <x v="8"/>
          </reference>
          <reference field="4" count="1" selected="0">
            <x v="39"/>
          </reference>
          <reference field="5" count="1" selected="0">
            <x v="1539"/>
          </reference>
          <reference field="7" count="1">
            <x v="793"/>
          </reference>
        </references>
      </pivotArea>
    </format>
    <format dxfId="125">
      <pivotArea dataOnly="0" labelOnly="1" outline="0" fieldPosition="0">
        <references count="5">
          <reference field="0" count="1" selected="0">
            <x v="5"/>
          </reference>
          <reference field="3" count="1" selected="0">
            <x v="8"/>
          </reference>
          <reference field="4" count="1" selected="0">
            <x v="39"/>
          </reference>
          <reference field="5" count="1" selected="0">
            <x v="1562"/>
          </reference>
          <reference field="7" count="1">
            <x v="196"/>
          </reference>
        </references>
      </pivotArea>
    </format>
    <format dxfId="124">
      <pivotArea dataOnly="0" labelOnly="1" outline="0" fieldPosition="0">
        <references count="5">
          <reference field="0" count="1" selected="0">
            <x v="5"/>
          </reference>
          <reference field="3" count="1" selected="0">
            <x v="8"/>
          </reference>
          <reference field="4" count="1" selected="0">
            <x v="40"/>
          </reference>
          <reference field="5" count="1" selected="0">
            <x v="253"/>
          </reference>
          <reference field="7" count="1">
            <x v="1319"/>
          </reference>
        </references>
      </pivotArea>
    </format>
    <format dxfId="123">
      <pivotArea dataOnly="0" labelOnly="1" outline="0" fieldPosition="0">
        <references count="5">
          <reference field="0" count="1" selected="0">
            <x v="5"/>
          </reference>
          <reference field="3" count="1" selected="0">
            <x v="8"/>
          </reference>
          <reference field="4" count="1" selected="0">
            <x v="40"/>
          </reference>
          <reference field="5" count="1" selected="0">
            <x v="1541"/>
          </reference>
          <reference field="7" count="1">
            <x v="196"/>
          </reference>
        </references>
      </pivotArea>
    </format>
    <format dxfId="122">
      <pivotArea dataOnly="0" labelOnly="1" outline="0" fieldPosition="0">
        <references count="5">
          <reference field="0" count="1" selected="0">
            <x v="5"/>
          </reference>
          <reference field="3" count="1" selected="0">
            <x v="8"/>
          </reference>
          <reference field="4" count="1" selected="0">
            <x v="40"/>
          </reference>
          <reference field="5" count="1" selected="0">
            <x v="1564"/>
          </reference>
          <reference field="7" count="1">
            <x v="196"/>
          </reference>
        </references>
      </pivotArea>
    </format>
    <format dxfId="121">
      <pivotArea dataOnly="0" labelOnly="1" outline="0" fieldPosition="0">
        <references count="5">
          <reference field="0" count="1" selected="0">
            <x v="5"/>
          </reference>
          <reference field="3" count="1" selected="0">
            <x v="8"/>
          </reference>
          <reference field="4" count="1" selected="0">
            <x v="41"/>
          </reference>
          <reference field="5" count="1" selected="0">
            <x v="282"/>
          </reference>
          <reference field="7" count="1">
            <x v="755"/>
          </reference>
        </references>
      </pivotArea>
    </format>
    <format dxfId="120">
      <pivotArea dataOnly="0" labelOnly="1" outline="0" fieldPosition="0">
        <references count="5">
          <reference field="0" count="1" selected="0">
            <x v="5"/>
          </reference>
          <reference field="3" count="1" selected="0">
            <x v="8"/>
          </reference>
          <reference field="4" count="1" selected="0">
            <x v="41"/>
          </reference>
          <reference field="5" count="1" selected="0">
            <x v="556"/>
          </reference>
          <reference field="7" count="1">
            <x v="172"/>
          </reference>
        </references>
      </pivotArea>
    </format>
    <format dxfId="119">
      <pivotArea dataOnly="0" labelOnly="1" outline="0" fieldPosition="0">
        <references count="5">
          <reference field="0" count="1" selected="0">
            <x v="5"/>
          </reference>
          <reference field="3" count="1" selected="0">
            <x v="8"/>
          </reference>
          <reference field="4" count="1" selected="0">
            <x v="41"/>
          </reference>
          <reference field="5" count="1" selected="0">
            <x v="557"/>
          </reference>
          <reference field="7" count="1">
            <x v="711"/>
          </reference>
        </references>
      </pivotArea>
    </format>
    <format dxfId="118">
      <pivotArea dataOnly="0" labelOnly="1" outline="0" fieldPosition="0">
        <references count="5">
          <reference field="0" count="1" selected="0">
            <x v="5"/>
          </reference>
          <reference field="3" count="1" selected="0">
            <x v="8"/>
          </reference>
          <reference field="4" count="1" selected="0">
            <x v="216"/>
          </reference>
          <reference field="5" count="1" selected="0">
            <x v="167"/>
          </reference>
          <reference field="7" count="1">
            <x v="1088"/>
          </reference>
        </references>
      </pivotArea>
    </format>
    <format dxfId="117">
      <pivotArea dataOnly="0" labelOnly="1" outline="0" fieldPosition="0">
        <references count="5">
          <reference field="0" count="1" selected="0">
            <x v="5"/>
          </reference>
          <reference field="3" count="1" selected="0">
            <x v="8"/>
          </reference>
          <reference field="4" count="1" selected="0">
            <x v="216"/>
          </reference>
          <reference field="5" count="1" selected="0">
            <x v="551"/>
          </reference>
          <reference field="7" count="1">
            <x v="242"/>
          </reference>
        </references>
      </pivotArea>
    </format>
    <format dxfId="116">
      <pivotArea dataOnly="0" labelOnly="1" outline="0" fieldPosition="0">
        <references count="5">
          <reference field="0" count="1" selected="0">
            <x v="5"/>
          </reference>
          <reference field="3" count="1" selected="0">
            <x v="9"/>
          </reference>
          <reference field="4" count="1" selected="0">
            <x v="27"/>
          </reference>
          <reference field="5" count="1" selected="0">
            <x v="166"/>
          </reference>
          <reference field="7" count="1">
            <x v="1086"/>
          </reference>
        </references>
      </pivotArea>
    </format>
    <format dxfId="115">
      <pivotArea dataOnly="0" labelOnly="1" outline="0" fieldPosition="0">
        <references count="5">
          <reference field="0" count="1" selected="0">
            <x v="5"/>
          </reference>
          <reference field="3" count="1" selected="0">
            <x v="9"/>
          </reference>
          <reference field="4" count="1" selected="0">
            <x v="27"/>
          </reference>
          <reference field="5" count="1" selected="0">
            <x v="179"/>
          </reference>
          <reference field="7" count="1">
            <x v="1334"/>
          </reference>
        </references>
      </pivotArea>
    </format>
    <format dxfId="114">
      <pivotArea dataOnly="0" labelOnly="1" outline="0" fieldPosition="0">
        <references count="5">
          <reference field="0" count="1" selected="0">
            <x v="5"/>
          </reference>
          <reference field="3" count="1" selected="0">
            <x v="9"/>
          </reference>
          <reference field="4" count="1" selected="0">
            <x v="27"/>
          </reference>
          <reference field="5" count="1" selected="0">
            <x v="248"/>
          </reference>
          <reference field="7" count="1">
            <x v="1316"/>
          </reference>
        </references>
      </pivotArea>
    </format>
    <format dxfId="113">
      <pivotArea dataOnly="0" labelOnly="1" outline="0" fieldPosition="0">
        <references count="5">
          <reference field="0" count="1" selected="0">
            <x v="5"/>
          </reference>
          <reference field="3" count="1" selected="0">
            <x v="9"/>
          </reference>
          <reference field="4" count="1" selected="0">
            <x v="27"/>
          </reference>
          <reference field="5" count="1" selected="0">
            <x v="282"/>
          </reference>
          <reference field="7" count="1">
            <x v="755"/>
          </reference>
        </references>
      </pivotArea>
    </format>
    <format dxfId="112">
      <pivotArea dataOnly="0" labelOnly="1" outline="0" fieldPosition="0">
        <references count="5">
          <reference field="0" count="1" selected="0">
            <x v="5"/>
          </reference>
          <reference field="3" count="1" selected="0">
            <x v="9"/>
          </reference>
          <reference field="4" count="1" selected="0">
            <x v="27"/>
          </reference>
          <reference field="5" count="1" selected="0">
            <x v="284"/>
          </reference>
          <reference field="7" count="1">
            <x v="749"/>
          </reference>
        </references>
      </pivotArea>
    </format>
    <format dxfId="111">
      <pivotArea dataOnly="0" labelOnly="1" outline="0" fieldPosition="0">
        <references count="5">
          <reference field="0" count="1" selected="0">
            <x v="5"/>
          </reference>
          <reference field="3" count="1" selected="0">
            <x v="9"/>
          </reference>
          <reference field="4" count="1" selected="0">
            <x v="27"/>
          </reference>
          <reference field="5" count="1" selected="0">
            <x v="560"/>
          </reference>
          <reference field="7" count="1">
            <x v="162"/>
          </reference>
        </references>
      </pivotArea>
    </format>
    <format dxfId="110">
      <pivotArea dataOnly="0" labelOnly="1" outline="0" fieldPosition="0">
        <references count="5">
          <reference field="0" count="1" selected="0">
            <x v="5"/>
          </reference>
          <reference field="3" count="1" selected="0">
            <x v="9"/>
          </reference>
          <reference field="4" count="1" selected="0">
            <x v="27"/>
          </reference>
          <reference field="5" count="1" selected="0">
            <x v="561"/>
          </reference>
          <reference field="7" count="1">
            <x v="1521"/>
          </reference>
        </references>
      </pivotArea>
    </format>
    <format dxfId="109">
      <pivotArea dataOnly="0" labelOnly="1" outline="0" fieldPosition="0">
        <references count="5">
          <reference field="0" count="1" selected="0">
            <x v="5"/>
          </reference>
          <reference field="3" count="1" selected="0">
            <x v="9"/>
          </reference>
          <reference field="4" count="1" selected="0">
            <x v="27"/>
          </reference>
          <reference field="5" count="1" selected="0">
            <x v="570"/>
          </reference>
          <reference field="7" count="1">
            <x v="637"/>
          </reference>
        </references>
      </pivotArea>
    </format>
    <format dxfId="108">
      <pivotArea dataOnly="0" labelOnly="1" outline="0" fieldPosition="0">
        <references count="5">
          <reference field="0" count="1" selected="0">
            <x v="5"/>
          </reference>
          <reference field="3" count="1" selected="0">
            <x v="9"/>
          </reference>
          <reference field="4" count="1" selected="0">
            <x v="27"/>
          </reference>
          <reference field="5" count="1" selected="0">
            <x v="581"/>
          </reference>
          <reference field="7" count="1">
            <x v="1515"/>
          </reference>
        </references>
      </pivotArea>
    </format>
    <format dxfId="107">
      <pivotArea dataOnly="0" labelOnly="1" outline="0" fieldPosition="0">
        <references count="5">
          <reference field="0" count="1" selected="0">
            <x v="5"/>
          </reference>
          <reference field="3" count="1" selected="0">
            <x v="9"/>
          </reference>
          <reference field="4" count="1" selected="0">
            <x v="27"/>
          </reference>
          <reference field="5" count="1" selected="0">
            <x v="1616"/>
          </reference>
          <reference field="7" count="1">
            <x v="677"/>
          </reference>
        </references>
      </pivotArea>
    </format>
    <format dxfId="106">
      <pivotArea dataOnly="0" labelOnly="1" outline="0" fieldPosition="0">
        <references count="5">
          <reference field="0" count="1" selected="0">
            <x v="5"/>
          </reference>
          <reference field="3" count="1" selected="0">
            <x v="9"/>
          </reference>
          <reference field="4" count="1" selected="0">
            <x v="27"/>
          </reference>
          <reference field="5" count="1" selected="0">
            <x v="1617"/>
          </reference>
          <reference field="7" count="1">
            <x v="1583"/>
          </reference>
        </references>
      </pivotArea>
    </format>
    <format dxfId="105">
      <pivotArea dataOnly="0" labelOnly="1" outline="0" fieldPosition="0">
        <references count="5">
          <reference field="0" count="1" selected="0">
            <x v="5"/>
          </reference>
          <reference field="3" count="1" selected="0">
            <x v="9"/>
          </reference>
          <reference field="4" count="1" selected="0">
            <x v="27"/>
          </reference>
          <reference field="5" count="1" selected="0">
            <x v="1619"/>
          </reference>
          <reference field="7" count="1">
            <x v="516"/>
          </reference>
        </references>
      </pivotArea>
    </format>
    <format dxfId="104">
      <pivotArea dataOnly="0" labelOnly="1" outline="0" fieldPosition="0">
        <references count="5">
          <reference field="0" count="1" selected="0">
            <x v="5"/>
          </reference>
          <reference field="3" count="1" selected="0">
            <x v="9"/>
          </reference>
          <reference field="4" count="1" selected="0">
            <x v="28"/>
          </reference>
          <reference field="5" count="1" selected="0">
            <x v="114"/>
          </reference>
          <reference field="7" count="1">
            <x v="1072"/>
          </reference>
        </references>
      </pivotArea>
    </format>
    <format dxfId="103">
      <pivotArea dataOnly="0" labelOnly="1" outline="0" fieldPosition="0">
        <references count="5">
          <reference field="0" count="1" selected="0">
            <x v="5"/>
          </reference>
          <reference field="3" count="1" selected="0">
            <x v="9"/>
          </reference>
          <reference field="4" count="1" selected="0">
            <x v="28"/>
          </reference>
          <reference field="5" count="1" selected="0">
            <x v="310"/>
          </reference>
          <reference field="7" count="1">
            <x v="971"/>
          </reference>
        </references>
      </pivotArea>
    </format>
    <format dxfId="102">
      <pivotArea dataOnly="0" labelOnly="1" outline="0" fieldPosition="0">
        <references count="5">
          <reference field="0" count="1" selected="0">
            <x v="5"/>
          </reference>
          <reference field="3" count="1" selected="0">
            <x v="9"/>
          </reference>
          <reference field="4" count="1" selected="0">
            <x v="28"/>
          </reference>
          <reference field="5" count="1" selected="0">
            <x v="597"/>
          </reference>
          <reference field="7" count="1">
            <x v="128"/>
          </reference>
        </references>
      </pivotArea>
    </format>
    <format dxfId="101">
      <pivotArea dataOnly="0" labelOnly="1" outline="0" fieldPosition="0">
        <references count="5">
          <reference field="0" count="1" selected="0">
            <x v="5"/>
          </reference>
          <reference field="3" count="1" selected="0">
            <x v="9"/>
          </reference>
          <reference field="4" count="1" selected="0">
            <x v="28"/>
          </reference>
          <reference field="5" count="1" selected="0">
            <x v="598"/>
          </reference>
          <reference field="7" count="1">
            <x v="97"/>
          </reference>
        </references>
      </pivotArea>
    </format>
    <format dxfId="100">
      <pivotArea dataOnly="0" labelOnly="1" outline="0" fieldPosition="0">
        <references count="5">
          <reference field="0" count="1" selected="0">
            <x v="5"/>
          </reference>
          <reference field="3" count="1" selected="0">
            <x v="9"/>
          </reference>
          <reference field="4" count="1" selected="0">
            <x v="28"/>
          </reference>
          <reference field="5" count="1" selected="0">
            <x v="599"/>
          </reference>
          <reference field="7" count="1">
            <x v="98"/>
          </reference>
        </references>
      </pivotArea>
    </format>
    <format dxfId="99">
      <pivotArea dataOnly="0" labelOnly="1" outline="0" fieldPosition="0">
        <references count="5">
          <reference field="0" count="1" selected="0">
            <x v="5"/>
          </reference>
          <reference field="3" count="1" selected="0">
            <x v="9"/>
          </reference>
          <reference field="4" count="1" selected="0">
            <x v="28"/>
          </reference>
          <reference field="5" count="1" selected="0">
            <x v="600"/>
          </reference>
          <reference field="7" count="1">
            <x v="100"/>
          </reference>
        </references>
      </pivotArea>
    </format>
    <format dxfId="98">
      <pivotArea dataOnly="0" labelOnly="1" outline="0" fieldPosition="0">
        <references count="5">
          <reference field="0" count="1" selected="0">
            <x v="5"/>
          </reference>
          <reference field="3" count="1" selected="0">
            <x v="9"/>
          </reference>
          <reference field="4" count="1" selected="0">
            <x v="28"/>
          </reference>
          <reference field="5" count="1" selected="0">
            <x v="601"/>
          </reference>
          <reference field="7" count="1">
            <x v="1059"/>
          </reference>
        </references>
      </pivotArea>
    </format>
    <format dxfId="97">
      <pivotArea dataOnly="0" labelOnly="1" outline="0" fieldPosition="0">
        <references count="5">
          <reference field="0" count="1" selected="0">
            <x v="5"/>
          </reference>
          <reference field="3" count="1" selected="0">
            <x v="9"/>
          </reference>
          <reference field="4" count="1" selected="0">
            <x v="28"/>
          </reference>
          <reference field="5" count="1" selected="0">
            <x v="602"/>
          </reference>
          <reference field="7" count="1">
            <x v="103"/>
          </reference>
        </references>
      </pivotArea>
    </format>
    <format dxfId="96">
      <pivotArea dataOnly="0" labelOnly="1" outline="0" fieldPosition="0">
        <references count="5">
          <reference field="0" count="1" selected="0">
            <x v="5"/>
          </reference>
          <reference field="3" count="1" selected="0">
            <x v="9"/>
          </reference>
          <reference field="4" count="1" selected="0">
            <x v="28"/>
          </reference>
          <reference field="5" count="1" selected="0">
            <x v="603"/>
          </reference>
          <reference field="7" count="1">
            <x v="106"/>
          </reference>
        </references>
      </pivotArea>
    </format>
    <format dxfId="95">
      <pivotArea dataOnly="0" labelOnly="1" outline="0" fieldPosition="0">
        <references count="5">
          <reference field="0" count="1" selected="0">
            <x v="5"/>
          </reference>
          <reference field="3" count="1" selected="0">
            <x v="9"/>
          </reference>
          <reference field="4" count="1" selected="0">
            <x v="28"/>
          </reference>
          <reference field="5" count="1" selected="0">
            <x v="604"/>
          </reference>
          <reference field="7" count="1">
            <x v="104"/>
          </reference>
        </references>
      </pivotArea>
    </format>
    <format dxfId="94">
      <pivotArea dataOnly="0" labelOnly="1" outline="0" fieldPosition="0">
        <references count="5">
          <reference field="0" count="1" selected="0">
            <x v="5"/>
          </reference>
          <reference field="3" count="1" selected="0">
            <x v="9"/>
          </reference>
          <reference field="4" count="1" selected="0">
            <x v="28"/>
          </reference>
          <reference field="5" count="1" selected="0">
            <x v="605"/>
          </reference>
          <reference field="7" count="1">
            <x v="102"/>
          </reference>
        </references>
      </pivotArea>
    </format>
    <format dxfId="93">
      <pivotArea dataOnly="0" labelOnly="1" outline="0" fieldPosition="0">
        <references count="5">
          <reference field="0" count="1" selected="0">
            <x v="5"/>
          </reference>
          <reference field="3" count="1" selected="0">
            <x v="9"/>
          </reference>
          <reference field="4" count="1" selected="0">
            <x v="28"/>
          </reference>
          <reference field="5" count="1" selected="0">
            <x v="606"/>
          </reference>
          <reference field="7" count="1">
            <x v="101"/>
          </reference>
        </references>
      </pivotArea>
    </format>
    <format dxfId="92">
      <pivotArea dataOnly="0" labelOnly="1" outline="0" fieldPosition="0">
        <references count="5">
          <reference field="0" count="1" selected="0">
            <x v="5"/>
          </reference>
          <reference field="3" count="1" selected="0">
            <x v="9"/>
          </reference>
          <reference field="4" count="1" selected="0">
            <x v="28"/>
          </reference>
          <reference field="5" count="1" selected="0">
            <x v="607"/>
          </reference>
          <reference field="7" count="1">
            <x v="105"/>
          </reference>
        </references>
      </pivotArea>
    </format>
    <format dxfId="91">
      <pivotArea dataOnly="0" labelOnly="1" outline="0" fieldPosition="0">
        <references count="5">
          <reference field="0" count="1" selected="0">
            <x v="5"/>
          </reference>
          <reference field="3" count="1" selected="0">
            <x v="9"/>
          </reference>
          <reference field="4" count="1" selected="0">
            <x v="28"/>
          </reference>
          <reference field="5" count="1" selected="0">
            <x v="608"/>
          </reference>
          <reference field="7" count="1">
            <x v="99"/>
          </reference>
        </references>
      </pivotArea>
    </format>
    <format dxfId="90">
      <pivotArea dataOnly="0" labelOnly="1" outline="0" fieldPosition="0">
        <references count="5">
          <reference field="0" count="1" selected="0">
            <x v="5"/>
          </reference>
          <reference field="3" count="1" selected="0">
            <x v="9"/>
          </reference>
          <reference field="4" count="1" selected="0">
            <x v="29"/>
          </reference>
          <reference field="5" count="1" selected="0">
            <x v="316"/>
          </reference>
          <reference field="7" count="1">
            <x v="1326"/>
          </reference>
        </references>
      </pivotArea>
    </format>
    <format dxfId="89">
      <pivotArea dataOnly="0" labelOnly="1" outline="0" fieldPosition="0">
        <references count="5">
          <reference field="0" count="1" selected="0">
            <x v="5"/>
          </reference>
          <reference field="3" count="1" selected="0">
            <x v="9"/>
          </reference>
          <reference field="4" count="1" selected="0">
            <x v="29"/>
          </reference>
          <reference field="5" count="1" selected="0">
            <x v="562"/>
          </reference>
          <reference field="7" count="1">
            <x v="1522"/>
          </reference>
        </references>
      </pivotArea>
    </format>
    <format dxfId="88">
      <pivotArea dataOnly="0" labelOnly="1" outline="0" fieldPosition="0">
        <references count="5">
          <reference field="0" count="1" selected="0">
            <x v="5"/>
          </reference>
          <reference field="3" count="1" selected="0">
            <x v="9"/>
          </reference>
          <reference field="4" count="1" selected="0">
            <x v="29"/>
          </reference>
          <reference field="5" count="1" selected="0">
            <x v="563"/>
          </reference>
          <reference field="7" count="1">
            <x v="1513"/>
          </reference>
        </references>
      </pivotArea>
    </format>
    <format dxfId="87">
      <pivotArea dataOnly="0" labelOnly="1" outline="0" fieldPosition="0">
        <references count="5">
          <reference field="0" count="1" selected="0">
            <x v="5"/>
          </reference>
          <reference field="3" count="1" selected="0">
            <x v="9"/>
          </reference>
          <reference field="4" count="1" selected="0">
            <x v="29"/>
          </reference>
          <reference field="5" count="1" selected="0">
            <x v="564"/>
          </reference>
          <reference field="7" count="1">
            <x v="1514"/>
          </reference>
        </references>
      </pivotArea>
    </format>
    <format dxfId="86">
      <pivotArea dataOnly="0" labelOnly="1" outline="0" fieldPosition="0">
        <references count="5">
          <reference field="0" count="1" selected="0">
            <x v="5"/>
          </reference>
          <reference field="3" count="1" selected="0">
            <x v="9"/>
          </reference>
          <reference field="4" count="1" selected="0">
            <x v="29"/>
          </reference>
          <reference field="5" count="1" selected="0">
            <x v="565"/>
          </reference>
          <reference field="7" count="1">
            <x v="1519"/>
          </reference>
        </references>
      </pivotArea>
    </format>
    <format dxfId="85">
      <pivotArea dataOnly="0" labelOnly="1" outline="0" fieldPosition="0">
        <references count="5">
          <reference field="0" count="1" selected="0">
            <x v="5"/>
          </reference>
          <reference field="3" count="1" selected="0">
            <x v="9"/>
          </reference>
          <reference field="4" count="1" selected="0">
            <x v="29"/>
          </reference>
          <reference field="5" count="1" selected="0">
            <x v="566"/>
          </reference>
          <reference field="7" count="1">
            <x v="1520"/>
          </reference>
        </references>
      </pivotArea>
    </format>
    <format dxfId="84">
      <pivotArea dataOnly="0" labelOnly="1" outline="0" fieldPosition="0">
        <references count="5">
          <reference field="0" count="1" selected="0">
            <x v="5"/>
          </reference>
          <reference field="3" count="1" selected="0">
            <x v="9"/>
          </reference>
          <reference field="4" count="1" selected="0">
            <x v="29"/>
          </reference>
          <reference field="5" count="1" selected="0">
            <x v="567"/>
          </reference>
          <reference field="7" count="1">
            <x v="1525"/>
          </reference>
        </references>
      </pivotArea>
    </format>
    <format dxfId="83">
      <pivotArea dataOnly="0" labelOnly="1" outline="0" fieldPosition="0">
        <references count="5">
          <reference field="0" count="1" selected="0">
            <x v="5"/>
          </reference>
          <reference field="3" count="1" selected="0">
            <x v="9"/>
          </reference>
          <reference field="4" count="1" selected="0">
            <x v="29"/>
          </reference>
          <reference field="5" count="1" selected="0">
            <x v="568"/>
          </reference>
          <reference field="7" count="1">
            <x v="1526"/>
          </reference>
        </references>
      </pivotArea>
    </format>
    <format dxfId="82">
      <pivotArea dataOnly="0" labelOnly="1" outline="0" fieldPosition="0">
        <references count="5">
          <reference field="0" count="1" selected="0">
            <x v="5"/>
          </reference>
          <reference field="3" count="1" selected="0">
            <x v="9"/>
          </reference>
          <reference field="4" count="1" selected="0">
            <x v="29"/>
          </reference>
          <reference field="5" count="1" selected="0">
            <x v="569"/>
          </reference>
          <reference field="7" count="1">
            <x v="1528"/>
          </reference>
        </references>
      </pivotArea>
    </format>
    <format dxfId="81">
      <pivotArea dataOnly="0" labelOnly="1" outline="0" fieldPosition="0">
        <references count="5">
          <reference field="0" count="1" selected="0">
            <x v="5"/>
          </reference>
          <reference field="3" count="1" selected="0">
            <x v="9"/>
          </reference>
          <reference field="4" count="1" selected="0">
            <x v="29"/>
          </reference>
          <reference field="5" count="1" selected="0">
            <x v="571"/>
          </reference>
          <reference field="7" count="1">
            <x v="1538"/>
          </reference>
        </references>
      </pivotArea>
    </format>
    <format dxfId="80">
      <pivotArea dataOnly="0" labelOnly="1" outline="0" fieldPosition="0">
        <references count="5">
          <reference field="0" count="1" selected="0">
            <x v="5"/>
          </reference>
          <reference field="3" count="1" selected="0">
            <x v="9"/>
          </reference>
          <reference field="4" count="1" selected="0">
            <x v="29"/>
          </reference>
          <reference field="5" count="1" selected="0">
            <x v="572"/>
          </reference>
          <reference field="7" count="1">
            <x v="1411"/>
          </reference>
        </references>
      </pivotArea>
    </format>
    <format dxfId="79">
      <pivotArea dataOnly="0" labelOnly="1" outline="0" fieldPosition="0">
        <references count="5">
          <reference field="0" count="1" selected="0">
            <x v="5"/>
          </reference>
          <reference field="3" count="1" selected="0">
            <x v="9"/>
          </reference>
          <reference field="4" count="1" selected="0">
            <x v="29"/>
          </reference>
          <reference field="5" count="1" selected="0">
            <x v="573"/>
          </reference>
          <reference field="7" count="1">
            <x v="1523"/>
          </reference>
        </references>
      </pivotArea>
    </format>
    <format dxfId="78">
      <pivotArea dataOnly="0" labelOnly="1" outline="0" fieldPosition="0">
        <references count="5">
          <reference field="0" count="1" selected="0">
            <x v="5"/>
          </reference>
          <reference field="3" count="1" selected="0">
            <x v="9"/>
          </reference>
          <reference field="4" count="1" selected="0">
            <x v="29"/>
          </reference>
          <reference field="5" count="1" selected="0">
            <x v="574"/>
          </reference>
          <reference field="7" count="1">
            <x v="1524"/>
          </reference>
        </references>
      </pivotArea>
    </format>
    <format dxfId="77">
      <pivotArea dataOnly="0" labelOnly="1" outline="0" fieldPosition="0">
        <references count="5">
          <reference field="0" count="1" selected="0">
            <x v="5"/>
          </reference>
          <reference field="3" count="1" selected="0">
            <x v="9"/>
          </reference>
          <reference field="4" count="1" selected="0">
            <x v="29"/>
          </reference>
          <reference field="5" count="1" selected="0">
            <x v="575"/>
          </reference>
          <reference field="7" count="1">
            <x v="1518"/>
          </reference>
        </references>
      </pivotArea>
    </format>
    <format dxfId="76">
      <pivotArea dataOnly="0" labelOnly="1" outline="0" fieldPosition="0">
        <references count="5">
          <reference field="0" count="1" selected="0">
            <x v="5"/>
          </reference>
          <reference field="3" count="1" selected="0">
            <x v="9"/>
          </reference>
          <reference field="4" count="1" selected="0">
            <x v="29"/>
          </reference>
          <reference field="5" count="1" selected="0">
            <x v="576"/>
          </reference>
          <reference field="7" count="1">
            <x v="1517"/>
          </reference>
        </references>
      </pivotArea>
    </format>
    <format dxfId="75">
      <pivotArea dataOnly="0" labelOnly="1" outline="0" fieldPosition="0">
        <references count="5">
          <reference field="0" count="1" selected="0">
            <x v="5"/>
          </reference>
          <reference field="3" count="1" selected="0">
            <x v="9"/>
          </reference>
          <reference field="4" count="1" selected="0">
            <x v="29"/>
          </reference>
          <reference field="5" count="1" selected="0">
            <x v="577"/>
          </reference>
          <reference field="7" count="1">
            <x v="1516"/>
          </reference>
        </references>
      </pivotArea>
    </format>
    <format dxfId="74">
      <pivotArea dataOnly="0" labelOnly="1" outline="0" fieldPosition="0">
        <references count="5">
          <reference field="0" count="1" selected="0">
            <x v="5"/>
          </reference>
          <reference field="3" count="1" selected="0">
            <x v="9"/>
          </reference>
          <reference field="4" count="1" selected="0">
            <x v="29"/>
          </reference>
          <reference field="5" count="1" selected="0">
            <x v="578"/>
          </reference>
          <reference field="7" count="1">
            <x v="1512"/>
          </reference>
        </references>
      </pivotArea>
    </format>
    <format dxfId="73">
      <pivotArea dataOnly="0" labelOnly="1" outline="0" fieldPosition="0">
        <references count="5">
          <reference field="0" count="1" selected="0">
            <x v="5"/>
          </reference>
          <reference field="3" count="1" selected="0">
            <x v="9"/>
          </reference>
          <reference field="4" count="1" selected="0">
            <x v="29"/>
          </reference>
          <reference field="5" count="1" selected="0">
            <x v="579"/>
          </reference>
          <reference field="7" count="1">
            <x v="1531"/>
          </reference>
        </references>
      </pivotArea>
    </format>
    <format dxfId="72">
      <pivotArea dataOnly="0" labelOnly="1" outline="0" fieldPosition="0">
        <references count="5">
          <reference field="0" count="1" selected="0">
            <x v="5"/>
          </reference>
          <reference field="3" count="1" selected="0">
            <x v="9"/>
          </reference>
          <reference field="4" count="1" selected="0">
            <x v="29"/>
          </reference>
          <reference field="5" count="1" selected="0">
            <x v="580"/>
          </reference>
          <reference field="7" count="1">
            <x v="1534"/>
          </reference>
        </references>
      </pivotArea>
    </format>
    <format dxfId="71">
      <pivotArea dataOnly="0" labelOnly="1" outline="0" fieldPosition="0">
        <references count="5">
          <reference field="0" count="1" selected="0">
            <x v="5"/>
          </reference>
          <reference field="3" count="1" selected="0">
            <x v="9"/>
          </reference>
          <reference field="4" count="1" selected="0">
            <x v="29"/>
          </reference>
          <reference field="5" count="1" selected="0">
            <x v="582"/>
          </reference>
          <reference field="7" count="1">
            <x v="1537"/>
          </reference>
        </references>
      </pivotArea>
    </format>
    <format dxfId="70">
      <pivotArea dataOnly="0" labelOnly="1" outline="0" fieldPosition="0">
        <references count="5">
          <reference field="0" count="1" selected="0">
            <x v="5"/>
          </reference>
          <reference field="3" count="1" selected="0">
            <x v="9"/>
          </reference>
          <reference field="4" count="1" selected="0">
            <x v="29"/>
          </reference>
          <reference field="5" count="1" selected="0">
            <x v="583"/>
          </reference>
          <reference field="7" count="1">
            <x v="1529"/>
          </reference>
        </references>
      </pivotArea>
    </format>
    <format dxfId="69">
      <pivotArea dataOnly="0" labelOnly="1" outline="0" fieldPosition="0">
        <references count="5">
          <reference field="0" count="1" selected="0">
            <x v="5"/>
          </reference>
          <reference field="3" count="1" selected="0">
            <x v="9"/>
          </reference>
          <reference field="4" count="1" selected="0">
            <x v="29"/>
          </reference>
          <reference field="5" count="1" selected="0">
            <x v="584"/>
          </reference>
          <reference field="7" count="1">
            <x v="1532"/>
          </reference>
        </references>
      </pivotArea>
    </format>
    <format dxfId="68">
      <pivotArea dataOnly="0" labelOnly="1" outline="0" fieldPosition="0">
        <references count="5">
          <reference field="0" count="1" selected="0">
            <x v="5"/>
          </reference>
          <reference field="3" count="1" selected="0">
            <x v="9"/>
          </reference>
          <reference field="4" count="1" selected="0">
            <x v="29"/>
          </reference>
          <reference field="5" count="1" selected="0">
            <x v="585"/>
          </reference>
          <reference field="7" count="1">
            <x v="1535"/>
          </reference>
        </references>
      </pivotArea>
    </format>
    <format dxfId="67">
      <pivotArea dataOnly="0" labelOnly="1" outline="0" fieldPosition="0">
        <references count="5">
          <reference field="0" count="1" selected="0">
            <x v="5"/>
          </reference>
          <reference field="3" count="1" selected="0">
            <x v="9"/>
          </reference>
          <reference field="4" count="1" selected="0">
            <x v="29"/>
          </reference>
          <reference field="5" count="1" selected="0">
            <x v="586"/>
          </reference>
          <reference field="7" count="1">
            <x v="1527"/>
          </reference>
        </references>
      </pivotArea>
    </format>
    <format dxfId="66">
      <pivotArea dataOnly="0" labelOnly="1" outline="0" fieldPosition="0">
        <references count="5">
          <reference field="0" count="1" selected="0">
            <x v="5"/>
          </reference>
          <reference field="3" count="1" selected="0">
            <x v="9"/>
          </reference>
          <reference field="4" count="1" selected="0">
            <x v="29"/>
          </reference>
          <reference field="5" count="1" selected="0">
            <x v="587"/>
          </reference>
          <reference field="7" count="1">
            <x v="1530"/>
          </reference>
        </references>
      </pivotArea>
    </format>
    <format dxfId="65">
      <pivotArea dataOnly="0" labelOnly="1" outline="0" fieldPosition="0">
        <references count="5">
          <reference field="0" count="1" selected="0">
            <x v="5"/>
          </reference>
          <reference field="3" count="1" selected="0">
            <x v="9"/>
          </reference>
          <reference field="4" count="1" selected="0">
            <x v="29"/>
          </reference>
          <reference field="5" count="1" selected="0">
            <x v="588"/>
          </reference>
          <reference field="7" count="1">
            <x v="1533"/>
          </reference>
        </references>
      </pivotArea>
    </format>
    <format dxfId="64">
      <pivotArea dataOnly="0" labelOnly="1" outline="0" fieldPosition="0">
        <references count="5">
          <reference field="0" count="1" selected="0">
            <x v="5"/>
          </reference>
          <reference field="3" count="1" selected="0">
            <x v="9"/>
          </reference>
          <reference field="4" count="1" selected="0">
            <x v="29"/>
          </reference>
          <reference field="5" count="1" selected="0">
            <x v="589"/>
          </reference>
          <reference field="7" count="1">
            <x v="1536"/>
          </reference>
        </references>
      </pivotArea>
    </format>
    <format dxfId="63">
      <pivotArea dataOnly="0" labelOnly="1" outline="0" fieldPosition="0">
        <references count="5">
          <reference field="0" count="1" selected="0">
            <x v="5"/>
          </reference>
          <reference field="3" count="1" selected="0">
            <x v="9"/>
          </reference>
          <reference field="4" count="1" selected="0">
            <x v="29"/>
          </reference>
          <reference field="5" count="1" selected="0">
            <x v="590"/>
          </reference>
          <reference field="7" count="1">
            <x v="1539"/>
          </reference>
        </references>
      </pivotArea>
    </format>
    <format dxfId="62">
      <pivotArea dataOnly="0" labelOnly="1" outline="0" fieldPosition="0">
        <references count="5">
          <reference field="0" count="1" selected="0">
            <x v="5"/>
          </reference>
          <reference field="3" count="1" selected="0">
            <x v="9"/>
          </reference>
          <reference field="4" count="1" selected="0">
            <x v="30"/>
          </reference>
          <reference field="5" count="1" selected="0">
            <x v="10"/>
          </reference>
          <reference field="7" count="1">
            <x v="1499"/>
          </reference>
        </references>
      </pivotArea>
    </format>
    <format dxfId="61">
      <pivotArea dataOnly="0" labelOnly="1" outline="0" fieldPosition="0">
        <references count="5">
          <reference field="0" count="1" selected="0">
            <x v="5"/>
          </reference>
          <reference field="3" count="1" selected="0">
            <x v="9"/>
          </reference>
          <reference field="4" count="1" selected="0">
            <x v="30"/>
          </reference>
          <reference field="5" count="1" selected="0">
            <x v="408"/>
          </reference>
          <reference field="7" count="1">
            <x v="670"/>
          </reference>
        </references>
      </pivotArea>
    </format>
    <format dxfId="60">
      <pivotArea dataOnly="0" labelOnly="1" outline="0" fieldPosition="0">
        <references count="5">
          <reference field="0" count="1" selected="0">
            <x v="5"/>
          </reference>
          <reference field="3" count="1" selected="0">
            <x v="9"/>
          </reference>
          <reference field="4" count="1" selected="0">
            <x v="30"/>
          </reference>
          <reference field="5" count="1" selected="0">
            <x v="592"/>
          </reference>
          <reference field="7" count="1">
            <x v="252"/>
          </reference>
        </references>
      </pivotArea>
    </format>
    <format dxfId="59">
      <pivotArea dataOnly="0" labelOnly="1" outline="0" fieldPosition="0">
        <references count="5">
          <reference field="0" count="1" selected="0">
            <x v="5"/>
          </reference>
          <reference field="3" count="1" selected="0">
            <x v="9"/>
          </reference>
          <reference field="4" count="1" selected="0">
            <x v="30"/>
          </reference>
          <reference field="5" count="1" selected="0">
            <x v="593"/>
          </reference>
          <reference field="7" count="1">
            <x v="1060"/>
          </reference>
        </references>
      </pivotArea>
    </format>
    <format dxfId="58">
      <pivotArea dataOnly="0" labelOnly="1" outline="0" fieldPosition="0">
        <references count="5">
          <reference field="0" count="1" selected="0">
            <x v="5"/>
          </reference>
          <reference field="3" count="1" selected="0">
            <x v="9"/>
          </reference>
          <reference field="4" count="1" selected="0">
            <x v="30"/>
          </reference>
          <reference field="5" count="1" selected="0">
            <x v="594"/>
          </reference>
          <reference field="7" count="1">
            <x v="1438"/>
          </reference>
        </references>
      </pivotArea>
    </format>
    <format dxfId="57">
      <pivotArea dataOnly="0" labelOnly="1" outline="0" fieldPosition="0">
        <references count="5">
          <reference field="0" count="1" selected="0">
            <x v="5"/>
          </reference>
          <reference field="3" count="1" selected="0">
            <x v="9"/>
          </reference>
          <reference field="4" count="1" selected="0">
            <x v="30"/>
          </reference>
          <reference field="5" count="1" selected="0">
            <x v="595"/>
          </reference>
          <reference field="7" count="1">
            <x v="1438"/>
          </reference>
        </references>
      </pivotArea>
    </format>
    <format dxfId="56">
      <pivotArea dataOnly="0" labelOnly="1" outline="0" fieldPosition="0">
        <references count="5">
          <reference field="0" count="1" selected="0">
            <x v="5"/>
          </reference>
          <reference field="3" count="1" selected="0">
            <x v="9"/>
          </reference>
          <reference field="4" count="1" selected="0">
            <x v="30"/>
          </reference>
          <reference field="5" count="1" selected="0">
            <x v="596"/>
          </reference>
          <reference field="7" count="1">
            <x v="1437"/>
          </reference>
        </references>
      </pivotArea>
    </format>
    <format dxfId="55">
      <pivotArea dataOnly="0" labelOnly="1" outline="0" fieldPosition="0">
        <references count="5">
          <reference field="0" count="1" selected="0">
            <x v="5"/>
          </reference>
          <reference field="3" count="1" selected="0">
            <x v="9"/>
          </reference>
          <reference field="4" count="1" selected="0">
            <x v="30"/>
          </reference>
          <reference field="5" count="1" selected="0">
            <x v="1608"/>
          </reference>
          <reference field="7" count="1">
            <x v="1118"/>
          </reference>
        </references>
      </pivotArea>
    </format>
    <format dxfId="54">
      <pivotArea dataOnly="0" labelOnly="1" outline="0" fieldPosition="0">
        <references count="5">
          <reference field="0" count="1" selected="0">
            <x v="5"/>
          </reference>
          <reference field="3" count="1" selected="0">
            <x v="9"/>
          </reference>
          <reference field="4" count="1" selected="0">
            <x v="30"/>
          </reference>
          <reference field="5" count="1" selected="0">
            <x v="1609"/>
          </reference>
          <reference field="7" count="1">
            <x v="669"/>
          </reference>
        </references>
      </pivotArea>
    </format>
    <format dxfId="53">
      <pivotArea dataOnly="0" labelOnly="1" outline="0" fieldPosition="0">
        <references count="5">
          <reference field="0" count="1" selected="0">
            <x v="5"/>
          </reference>
          <reference field="3" count="1" selected="0">
            <x v="9"/>
          </reference>
          <reference field="4" count="1" selected="0">
            <x v="30"/>
          </reference>
          <reference field="5" count="1" selected="0">
            <x v="1610"/>
          </reference>
          <reference field="7" count="1">
            <x v="1582"/>
          </reference>
        </references>
      </pivotArea>
    </format>
    <format dxfId="52">
      <pivotArea dataOnly="0" labelOnly="1" outline="0" fieldPosition="0">
        <references count="5">
          <reference field="0" count="1" selected="0">
            <x v="5"/>
          </reference>
          <reference field="3" count="1" selected="0">
            <x v="9"/>
          </reference>
          <reference field="4" count="1" selected="0">
            <x v="30"/>
          </reference>
          <reference field="5" count="1" selected="0">
            <x v="1627"/>
          </reference>
          <reference field="7" count="1">
            <x v="943"/>
          </reference>
        </references>
      </pivotArea>
    </format>
    <format dxfId="51">
      <pivotArea dataOnly="0" labelOnly="1" outline="0" fieldPosition="0">
        <references count="5">
          <reference field="0" count="1" selected="0">
            <x v="5"/>
          </reference>
          <reference field="3" count="1" selected="0">
            <x v="9"/>
          </reference>
          <reference field="4" count="1" selected="0">
            <x v="30"/>
          </reference>
          <reference field="5" count="1" selected="0">
            <x v="1632"/>
          </reference>
          <reference field="7" count="1">
            <x v="479"/>
          </reference>
        </references>
      </pivotArea>
    </format>
    <format dxfId="50">
      <pivotArea dataOnly="0" labelOnly="1" outline="0" fieldPosition="0">
        <references count="5">
          <reference field="0" count="1" selected="0">
            <x v="5"/>
          </reference>
          <reference field="3" count="1" selected="0">
            <x v="9"/>
          </reference>
          <reference field="4" count="1" selected="0">
            <x v="30"/>
          </reference>
          <reference field="5" count="1" selected="0">
            <x v="1633"/>
          </reference>
          <reference field="7" count="1">
            <x v="330"/>
          </reference>
        </references>
      </pivotArea>
    </format>
    <format dxfId="49">
      <pivotArea dataOnly="0" labelOnly="1" outline="0" fieldPosition="0">
        <references count="5">
          <reference field="0" count="1" selected="0">
            <x v="5"/>
          </reference>
          <reference field="3" count="1" selected="0">
            <x v="9"/>
          </reference>
          <reference field="4" count="1" selected="0">
            <x v="30"/>
          </reference>
          <reference field="5" count="1" selected="0">
            <x v="1634"/>
          </reference>
          <reference field="7" count="1">
            <x v="478"/>
          </reference>
        </references>
      </pivotArea>
    </format>
    <format dxfId="48">
      <pivotArea dataOnly="0" labelOnly="1" outline="0" fieldPosition="0">
        <references count="5">
          <reference field="0" count="1" selected="0">
            <x v="5"/>
          </reference>
          <reference field="3" count="1" selected="0">
            <x v="9"/>
          </reference>
          <reference field="4" count="1" selected="0">
            <x v="30"/>
          </reference>
          <reference field="5" count="1" selected="0">
            <x v="1635"/>
          </reference>
          <reference field="7" count="1">
            <x v="477"/>
          </reference>
        </references>
      </pivotArea>
    </format>
    <format dxfId="47">
      <pivotArea dataOnly="0" labelOnly="1" outline="0" fieldPosition="0">
        <references count="5">
          <reference field="0" count="1" selected="0">
            <x v="5"/>
          </reference>
          <reference field="3" count="1" selected="0">
            <x v="9"/>
          </reference>
          <reference field="4" count="1" selected="0">
            <x v="30"/>
          </reference>
          <reference field="5" count="1" selected="0">
            <x v="1637"/>
          </reference>
          <reference field="7" count="1">
            <x v="1364"/>
          </reference>
        </references>
      </pivotArea>
    </format>
    <format dxfId="46">
      <pivotArea dataOnly="0" labelOnly="1" outline="0" fieldPosition="0">
        <references count="5">
          <reference field="0" count="1" selected="0">
            <x v="5"/>
          </reference>
          <reference field="3" count="1" selected="0">
            <x v="9"/>
          </reference>
          <reference field="4" count="1" selected="0">
            <x v="31"/>
          </reference>
          <reference field="5" count="1" selected="0">
            <x v="248"/>
          </reference>
          <reference field="7" count="1">
            <x v="1316"/>
          </reference>
        </references>
      </pivotArea>
    </format>
    <format dxfId="45">
      <pivotArea dataOnly="0" labelOnly="1" outline="0" fieldPosition="0">
        <references count="5">
          <reference field="0" count="1" selected="0">
            <x v="5"/>
          </reference>
          <reference field="3" count="1" selected="0">
            <x v="9"/>
          </reference>
          <reference field="4" count="1" selected="0">
            <x v="31"/>
          </reference>
          <reference field="5" count="1" selected="0">
            <x v="1530"/>
          </reference>
          <reference field="7" count="1">
            <x v="793"/>
          </reference>
        </references>
      </pivotArea>
    </format>
    <format dxfId="44">
      <pivotArea dataOnly="0" labelOnly="1" outline="0" fieldPosition="0">
        <references count="5">
          <reference field="0" count="1" selected="0">
            <x v="5"/>
          </reference>
          <reference field="3" count="1" selected="0">
            <x v="9"/>
          </reference>
          <reference field="4" count="1" selected="0">
            <x v="31"/>
          </reference>
          <reference field="5" count="1" selected="0">
            <x v="1553"/>
          </reference>
          <reference field="7" count="1">
            <x v="196"/>
          </reference>
        </references>
      </pivotArea>
    </format>
    <format dxfId="43">
      <pivotArea dataOnly="0" labelOnly="1" outline="0" fieldPosition="0">
        <references count="5">
          <reference field="0" count="1" selected="0">
            <x v="5"/>
          </reference>
          <reference field="3" count="1" selected="0">
            <x v="9"/>
          </reference>
          <reference field="4" count="1" selected="0">
            <x v="37"/>
          </reference>
          <reference field="5" count="1" selected="0">
            <x v="29"/>
          </reference>
          <reference field="7" count="1">
            <x v="1451"/>
          </reference>
        </references>
      </pivotArea>
    </format>
    <format dxfId="42">
      <pivotArea dataOnly="0" labelOnly="1" outline="0" fieldPosition="0">
        <references count="5">
          <reference field="0" count="1" selected="0">
            <x v="5"/>
          </reference>
          <reference field="3" count="1" selected="0">
            <x v="9"/>
          </reference>
          <reference field="4" count="1" selected="0">
            <x v="37"/>
          </reference>
          <reference field="5" count="1" selected="0">
            <x v="33"/>
          </reference>
          <reference field="7" count="1">
            <x v="836"/>
          </reference>
        </references>
      </pivotArea>
    </format>
    <format dxfId="41">
      <pivotArea dataOnly="0" labelOnly="1" outline="0" fieldPosition="0">
        <references count="5">
          <reference field="0" count="1" selected="0">
            <x v="5"/>
          </reference>
          <reference field="3" count="1" selected="0">
            <x v="9"/>
          </reference>
          <reference field="4" count="1" selected="0">
            <x v="37"/>
          </reference>
          <reference field="5" count="1" selected="0">
            <x v="281"/>
          </reference>
          <reference field="7" count="1">
            <x v="754"/>
          </reference>
        </references>
      </pivotArea>
    </format>
    <format dxfId="40">
      <pivotArea dataOnly="0" labelOnly="1" outline="0" fieldPosition="0">
        <references count="5">
          <reference field="0" count="1" selected="0">
            <x v="5"/>
          </reference>
          <reference field="3" count="1" selected="0">
            <x v="9"/>
          </reference>
          <reference field="4" count="1" selected="0">
            <x v="37"/>
          </reference>
          <reference field="5" count="1" selected="0">
            <x v="282"/>
          </reference>
          <reference field="7" count="1">
            <x v="755"/>
          </reference>
        </references>
      </pivotArea>
    </format>
    <format dxfId="39">
      <pivotArea dataOnly="0" labelOnly="1" outline="0" fieldPosition="0">
        <references count="5">
          <reference field="0" count="1" selected="0">
            <x v="5"/>
          </reference>
          <reference field="3" count="1" selected="0">
            <x v="9"/>
          </reference>
          <reference field="4" count="1" selected="0">
            <x v="37"/>
          </reference>
          <reference field="5" count="1" selected="0">
            <x v="310"/>
          </reference>
          <reference field="7" count="1">
            <x v="971"/>
          </reference>
        </references>
      </pivotArea>
    </format>
    <format dxfId="38">
      <pivotArea dataOnly="0" labelOnly="1" outline="0" fieldPosition="0">
        <references count="5">
          <reference field="0" count="1" selected="0">
            <x v="5"/>
          </reference>
          <reference field="3" count="1" selected="0">
            <x v="9"/>
          </reference>
          <reference field="4" count="1" selected="0">
            <x v="37"/>
          </reference>
          <reference field="5" count="1" selected="0">
            <x v="326"/>
          </reference>
          <reference field="7" count="1">
            <x v="582"/>
          </reference>
        </references>
      </pivotArea>
    </format>
    <format dxfId="37">
      <pivotArea dataOnly="0" labelOnly="1" outline="0" fieldPosition="0">
        <references count="5">
          <reference field="0" count="1" selected="0">
            <x v="5"/>
          </reference>
          <reference field="3" count="1" selected="0">
            <x v="9"/>
          </reference>
          <reference field="4" count="1" selected="0">
            <x v="37"/>
          </reference>
          <reference field="5" count="1" selected="0">
            <x v="328"/>
          </reference>
          <reference field="7" count="1">
            <x v="587"/>
          </reference>
        </references>
      </pivotArea>
    </format>
    <format dxfId="36">
      <pivotArea dataOnly="0" labelOnly="1" outline="0" fieldPosition="0">
        <references count="5">
          <reference field="0" count="1" selected="0">
            <x v="5"/>
          </reference>
          <reference field="3" count="1" selected="0">
            <x v="9"/>
          </reference>
          <reference field="4" count="1" selected="0">
            <x v="37"/>
          </reference>
          <reference field="5" count="1" selected="0">
            <x v="335"/>
          </reference>
          <reference field="7" count="1">
            <x v="361"/>
          </reference>
        </references>
      </pivotArea>
    </format>
    <format dxfId="35">
      <pivotArea dataOnly="0" labelOnly="1" outline="0" fieldPosition="0">
        <references count="5">
          <reference field="0" count="1" selected="0">
            <x v="5"/>
          </reference>
          <reference field="3" count="1" selected="0">
            <x v="9"/>
          </reference>
          <reference field="4" count="1" selected="0">
            <x v="37"/>
          </reference>
          <reference field="5" count="1" selected="0">
            <x v="383"/>
          </reference>
          <reference field="7" count="1">
            <x v="876"/>
          </reference>
        </references>
      </pivotArea>
    </format>
    <format dxfId="34">
      <pivotArea dataOnly="0" labelOnly="1" outline="0" fieldPosition="0">
        <references count="5">
          <reference field="0" count="1" selected="0">
            <x v="5"/>
          </reference>
          <reference field="3" count="1" selected="0">
            <x v="9"/>
          </reference>
          <reference field="4" count="1" selected="0">
            <x v="37"/>
          </reference>
          <reference field="5" count="1" selected="0">
            <x v="384"/>
          </reference>
          <reference field="7" count="1">
            <x v="877"/>
          </reference>
        </references>
      </pivotArea>
    </format>
    <format dxfId="33">
      <pivotArea dataOnly="0" labelOnly="1" outline="0" fieldPosition="0">
        <references count="5">
          <reference field="0" count="1" selected="0">
            <x v="5"/>
          </reference>
          <reference field="3" count="1" selected="0">
            <x v="9"/>
          </reference>
          <reference field="4" count="1" selected="0">
            <x v="37"/>
          </reference>
          <reference field="5" count="1" selected="0">
            <x v="431"/>
          </reference>
          <reference field="7" count="1">
            <x v="491"/>
          </reference>
        </references>
      </pivotArea>
    </format>
    <format dxfId="32">
      <pivotArea dataOnly="0" labelOnly="1" outline="0" fieldPosition="0">
        <references count="5">
          <reference field="0" count="1" selected="0">
            <x v="5"/>
          </reference>
          <reference field="3" count="1" selected="0">
            <x v="9"/>
          </reference>
          <reference field="4" count="1" selected="0">
            <x v="37"/>
          </reference>
          <reference field="5" count="1" selected="0">
            <x v="609"/>
          </reference>
          <reference field="7" count="1">
            <x v="170"/>
          </reference>
        </references>
      </pivotArea>
    </format>
    <format dxfId="31">
      <pivotArea dataOnly="0" labelOnly="1" outline="0" fieldPosition="0">
        <references count="5">
          <reference field="0" count="1" selected="0">
            <x v="5"/>
          </reference>
          <reference field="3" count="1" selected="0">
            <x v="9"/>
          </reference>
          <reference field="4" count="1" selected="0">
            <x v="37"/>
          </reference>
          <reference field="5" count="1" selected="0">
            <x v="610"/>
          </reference>
          <reference field="7" count="1">
            <x v="705"/>
          </reference>
        </references>
      </pivotArea>
    </format>
    <format dxfId="30">
      <pivotArea dataOnly="0" labelOnly="1" outline="0" fieldPosition="0">
        <references count="5">
          <reference field="0" count="1" selected="0">
            <x v="5"/>
          </reference>
          <reference field="3" count="1" selected="0">
            <x v="9"/>
          </reference>
          <reference field="4" count="1" selected="0">
            <x v="37"/>
          </reference>
          <reference field="5" count="1" selected="0">
            <x v="611"/>
          </reference>
          <reference field="7" count="1">
            <x v="706"/>
          </reference>
        </references>
      </pivotArea>
    </format>
    <format dxfId="29">
      <pivotArea dataOnly="0" labelOnly="1" outline="0" fieldPosition="0">
        <references count="5">
          <reference field="0" count="1" selected="0">
            <x v="5"/>
          </reference>
          <reference field="3" count="1" selected="0">
            <x v="9"/>
          </reference>
          <reference field="4" count="1" selected="0">
            <x v="37"/>
          </reference>
          <reference field="5" count="1" selected="0">
            <x v="612"/>
          </reference>
          <reference field="7" count="1">
            <x v="707"/>
          </reference>
        </references>
      </pivotArea>
    </format>
    <format dxfId="28">
      <pivotArea dataOnly="0" labelOnly="1" outline="0" fieldPosition="0">
        <references count="5">
          <reference field="0" count="1" selected="0">
            <x v="5"/>
          </reference>
          <reference field="3" count="1" selected="0">
            <x v="9"/>
          </reference>
          <reference field="4" count="1" selected="0">
            <x v="216"/>
          </reference>
          <reference field="5" count="1" selected="0">
            <x v="136"/>
          </reference>
          <reference field="7" count="1">
            <x v="593"/>
          </reference>
        </references>
      </pivotArea>
    </format>
    <format dxfId="27">
      <pivotArea dataOnly="0" labelOnly="1" outline="0" fieldPosition="0">
        <references count="5">
          <reference field="0" count="1" selected="0">
            <x v="5"/>
          </reference>
          <reference field="3" count="1" selected="0">
            <x v="9"/>
          </reference>
          <reference field="4" count="1" selected="0">
            <x v="216"/>
          </reference>
          <reference field="5" count="1" selected="0">
            <x v="148"/>
          </reference>
          <reference field="7" count="1">
            <x v="977"/>
          </reference>
        </references>
      </pivotArea>
    </format>
    <format dxfId="26">
      <pivotArea dataOnly="0" labelOnly="1" outline="0" fieldPosition="0">
        <references count="5">
          <reference field="0" count="1" selected="0">
            <x v="5"/>
          </reference>
          <reference field="3" count="1" selected="0">
            <x v="9"/>
          </reference>
          <reference field="4" count="1" selected="0">
            <x v="216"/>
          </reference>
          <reference field="5" count="1" selected="0">
            <x v="180"/>
          </reference>
          <reference field="7" count="1">
            <x v="1335"/>
          </reference>
        </references>
      </pivotArea>
    </format>
    <format dxfId="25">
      <pivotArea dataOnly="0" labelOnly="1" outline="0" fieldPosition="0">
        <references count="5">
          <reference field="0" count="1" selected="0">
            <x v="5"/>
          </reference>
          <reference field="3" count="1" selected="0">
            <x v="9"/>
          </reference>
          <reference field="4" count="1" selected="0">
            <x v="216"/>
          </reference>
          <reference field="5" count="1" selected="0">
            <x v="238"/>
          </reference>
          <reference field="7" count="1">
            <x v="1588"/>
          </reference>
        </references>
      </pivotArea>
    </format>
    <format dxfId="24">
      <pivotArea dataOnly="0" labelOnly="1" outline="0" fieldPosition="0">
        <references count="5">
          <reference field="0" count="1" selected="0">
            <x v="5"/>
          </reference>
          <reference field="3" count="1" selected="0">
            <x v="9"/>
          </reference>
          <reference field="4" count="1" selected="0">
            <x v="216"/>
          </reference>
          <reference field="5" count="1" selected="0">
            <x v="284"/>
          </reference>
          <reference field="7" count="1">
            <x v="749"/>
          </reference>
        </references>
      </pivotArea>
    </format>
    <format dxfId="23">
      <pivotArea dataOnly="0" labelOnly="1" outline="0" fieldPosition="0">
        <references count="5">
          <reference field="0" count="1" selected="0">
            <x v="5"/>
          </reference>
          <reference field="3" count="1" selected="0">
            <x v="9"/>
          </reference>
          <reference field="4" count="1" selected="0">
            <x v="216"/>
          </reference>
          <reference field="5" count="1" selected="0">
            <x v="558"/>
          </reference>
          <reference field="7" count="1">
            <x v="315"/>
          </reference>
        </references>
      </pivotArea>
    </format>
    <format dxfId="22">
      <pivotArea dataOnly="0" labelOnly="1" outline="0" fieldPosition="0">
        <references count="5">
          <reference field="0" count="1" selected="0">
            <x v="5"/>
          </reference>
          <reference field="3" count="1" selected="0">
            <x v="9"/>
          </reference>
          <reference field="4" count="1" selected="0">
            <x v="216"/>
          </reference>
          <reference field="5" count="1" selected="0">
            <x v="559"/>
          </reference>
          <reference field="7" count="1">
            <x v="464"/>
          </reference>
        </references>
      </pivotArea>
    </format>
    <format dxfId="21">
      <pivotArea dataOnly="0" labelOnly="1" outline="0" fieldPosition="0">
        <references count="5">
          <reference field="0" count="1" selected="0">
            <x v="5"/>
          </reference>
          <reference field="3" count="1" selected="0">
            <x v="9"/>
          </reference>
          <reference field="4" count="1" selected="0">
            <x v="216"/>
          </reference>
          <reference field="5" count="1" selected="0">
            <x v="591"/>
          </reference>
          <reference field="7" count="1">
            <x v="631"/>
          </reference>
        </references>
      </pivotArea>
    </format>
    <format dxfId="20">
      <pivotArea dataOnly="0" labelOnly="1" outline="0" fieldPosition="0">
        <references count="5">
          <reference field="0" count="1" selected="0">
            <x v="6"/>
          </reference>
          <reference field="3" count="1" selected="0">
            <x v="0"/>
          </reference>
          <reference field="4" count="1" selected="0">
            <x v="216"/>
          </reference>
          <reference field="5" count="1" selected="0">
            <x v="246"/>
          </reference>
          <reference field="7" count="1">
            <x v="686"/>
          </reference>
        </references>
      </pivotArea>
    </format>
    <format dxfId="19">
      <pivotArea dataOnly="0" labelOnly="1" outline="0" fieldPosition="0">
        <references count="5">
          <reference field="0" count="1" selected="0">
            <x v="6"/>
          </reference>
          <reference field="3" count="1" selected="0">
            <x v="0"/>
          </reference>
          <reference field="4" count="1" selected="0">
            <x v="216"/>
          </reference>
          <reference field="5" count="1" selected="0">
            <x v="260"/>
          </reference>
          <reference field="7" count="1">
            <x v="976"/>
          </reference>
        </references>
      </pivotArea>
    </format>
    <format dxfId="18">
      <pivotArea dataOnly="0" labelOnly="1" outline="0" fieldPosition="0">
        <references count="5">
          <reference field="0" count="1" selected="0">
            <x v="6"/>
          </reference>
          <reference field="3" count="1" selected="0">
            <x v="0"/>
          </reference>
          <reference field="4" count="1" selected="0">
            <x v="216"/>
          </reference>
          <reference field="5" count="1" selected="0">
            <x v="332"/>
          </reference>
          <reference field="7" count="1">
            <x v="1597"/>
          </reference>
        </references>
      </pivotArea>
    </format>
    <format dxfId="17">
      <pivotArea dataOnly="0" labelOnly="1" outline="0" fieldPosition="0">
        <references count="5">
          <reference field="0" count="1" selected="0">
            <x v="6"/>
          </reference>
          <reference field="3" count="1" selected="0">
            <x v="0"/>
          </reference>
          <reference field="4" count="1" selected="0">
            <x v="216"/>
          </reference>
          <reference field="5" count="1" selected="0">
            <x v="433"/>
          </reference>
          <reference field="7" count="1">
            <x v="226"/>
          </reference>
        </references>
      </pivotArea>
    </format>
    <format dxfId="16">
      <pivotArea outline="0" collapsedLevelsAreSubtotals="1" fieldPosition="0"/>
    </format>
    <format dxfId="15">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DDDA0-9F15-4C7F-BF9A-87E6F63F808A}"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F1327" firstHeaderRow="2" firstDataRow="2" firstDataCol="5" rowPageCount="3" colPageCount="1"/>
  <pivotFields count="12">
    <pivotField axis="axisRow" compact="0" outline="0" showAll="0">
      <items count="8">
        <item x="3"/>
        <item x="4"/>
        <item x="1"/>
        <item m="1" x="6"/>
        <item x="5"/>
        <item x="2"/>
        <item x="0"/>
        <item t="default"/>
      </items>
    </pivotField>
    <pivotField axis="axisPage" compact="0" outline="0" showAll="0">
      <items count="2850">
        <item x="0"/>
        <item x="1"/>
        <item x="584"/>
        <item x="950"/>
        <item x="951"/>
        <item x="952"/>
        <item x="953"/>
        <item x="954"/>
        <item x="977"/>
        <item x="1228"/>
        <item x="1229"/>
        <item x="1230"/>
        <item x="1469"/>
        <item x="1470"/>
        <item x="1772"/>
        <item x="1812"/>
        <item x="1839"/>
        <item x="1872"/>
        <item x="1936"/>
        <item x="1947"/>
        <item x="1958"/>
        <item x="1970"/>
        <item x="1999"/>
        <item x="1471"/>
        <item x="2108"/>
        <item x="2127"/>
        <item x="2140"/>
        <item x="2141"/>
        <item x="2142"/>
        <item x="2143"/>
        <item x="2144"/>
        <item x="2145"/>
        <item x="2147"/>
        <item x="1482"/>
        <item x="2148"/>
        <item x="2149"/>
        <item x="2150"/>
        <item x="2151"/>
        <item x="2237"/>
        <item x="2240"/>
        <item x="2241"/>
        <item x="2242"/>
        <item x="2243"/>
        <item x="1483"/>
        <item x="2244"/>
        <item x="2247"/>
        <item x="2256"/>
        <item x="2260"/>
        <item x="2261"/>
        <item x="2262"/>
        <item x="2263"/>
        <item x="2264"/>
        <item x="2271"/>
        <item x="1538"/>
        <item x="2272"/>
        <item x="2280"/>
        <item x="2281"/>
        <item x="2282"/>
        <item x="2283"/>
        <item x="2284"/>
        <item x="2285"/>
        <item x="1553"/>
        <item x="1562"/>
        <item x="1572"/>
        <item x="1725"/>
        <item x="2286"/>
        <item x="2287"/>
        <item x="2495"/>
        <item x="2509"/>
        <item x="2513"/>
        <item x="2520"/>
        <item x="2538"/>
        <item x="2569"/>
        <item x="2581"/>
        <item x="2598"/>
        <item x="2612"/>
        <item x="2288"/>
        <item x="2689"/>
        <item x="2781"/>
        <item x="2782"/>
        <item x="2783"/>
        <item x="2784"/>
        <item x="2785"/>
        <item x="2786"/>
        <item x="2787"/>
        <item x="2788"/>
        <item x="2289"/>
        <item x="2789"/>
        <item x="2790"/>
        <item x="2829"/>
        <item x="2832"/>
        <item x="2835"/>
        <item x="2841"/>
        <item x="2845"/>
        <item x="2846"/>
        <item x="2847"/>
        <item x="2290"/>
        <item x="2848"/>
        <item x="2332"/>
        <item x="2386"/>
        <item x="2423"/>
        <item x="2435"/>
        <item x="2459"/>
        <item x="2"/>
        <item x="304"/>
        <item x="305"/>
        <item x="306"/>
        <item x="307"/>
        <item x="308"/>
        <item x="309"/>
        <item x="310"/>
        <item x="311"/>
        <item x="312"/>
        <item x="313"/>
        <item x="3"/>
        <item x="314"/>
        <item x="315"/>
        <item x="316"/>
        <item x="317"/>
        <item x="318"/>
        <item x="319"/>
        <item x="320"/>
        <item x="321"/>
        <item x="322"/>
        <item x="323"/>
        <item x="4"/>
        <item x="324"/>
        <item x="325"/>
        <item x="343"/>
        <item x="344"/>
        <item x="345"/>
        <item x="346"/>
        <item x="347"/>
        <item x="348"/>
        <item x="349"/>
        <item x="350"/>
        <item x="351"/>
        <item x="352"/>
        <item x="326"/>
        <item x="327"/>
        <item x="328"/>
        <item x="329"/>
        <item x="330"/>
        <item x="331"/>
        <item x="332"/>
        <item x="333"/>
        <item x="334"/>
        <item x="335"/>
        <item x="336"/>
        <item x="337"/>
        <item x="338"/>
        <item x="339"/>
        <item x="340"/>
        <item x="341"/>
        <item x="342"/>
        <item x="353"/>
        <item x="354"/>
        <item x="355"/>
        <item x="356"/>
        <item x="357"/>
        <item x="358"/>
        <item x="359"/>
        <item x="360"/>
        <item x="361"/>
        <item x="362"/>
        <item x="363"/>
        <item x="364"/>
        <item x="365"/>
        <item x="366"/>
        <item x="367"/>
        <item x="368"/>
        <item x="369"/>
        <item x="370"/>
        <item x="371"/>
        <item x="372"/>
        <item x="373"/>
        <item x="374"/>
        <item x="375"/>
        <item x="376"/>
        <item x="5"/>
        <item x="377"/>
        <item x="378"/>
        <item x="379"/>
        <item x="380"/>
        <item x="381"/>
        <item x="382"/>
        <item x="383"/>
        <item x="384"/>
        <item x="385"/>
        <item x="386"/>
        <item x="387"/>
        <item x="388"/>
        <item x="389"/>
        <item x="390"/>
        <item x="391"/>
        <item x="392"/>
        <item x="393"/>
        <item x="394"/>
        <item x="395"/>
        <item x="396"/>
        <item x="397"/>
        <item x="398"/>
        <item x="399"/>
        <item x="6"/>
        <item x="400"/>
        <item x="401"/>
        <item x="402"/>
        <item x="403"/>
        <item x="404"/>
        <item x="405"/>
        <item x="406"/>
        <item x="407"/>
        <item x="408"/>
        <item x="409"/>
        <item x="410"/>
        <item x="419"/>
        <item x="420"/>
        <item x="421"/>
        <item x="422"/>
        <item x="423"/>
        <item x="424"/>
        <item x="425"/>
        <item x="426"/>
        <item x="427"/>
        <item x="428"/>
        <item x="411"/>
        <item x="429"/>
        <item x="430"/>
        <item x="431"/>
        <item x="432"/>
        <item x="433"/>
        <item x="434"/>
        <item x="435"/>
        <item x="436"/>
        <item x="437"/>
        <item x="412"/>
        <item x="438"/>
        <item x="439"/>
        <item x="440"/>
        <item x="441"/>
        <item x="442"/>
        <item x="443"/>
        <item x="444"/>
        <item x="445"/>
        <item x="446"/>
        <item x="447"/>
        <item x="413"/>
        <item x="448"/>
        <item x="449"/>
        <item x="450"/>
        <item x="451"/>
        <item x="452"/>
        <item x="453"/>
        <item x="414"/>
        <item x="415"/>
        <item x="416"/>
        <item x="417"/>
        <item x="418"/>
        <item x="454"/>
        <item x="455"/>
        <item x="456"/>
        <item x="457"/>
        <item x="458"/>
        <item x="459"/>
        <item x="460"/>
        <item x="577"/>
        <item x="578"/>
        <item x="579"/>
        <item x="580"/>
        <item x="581"/>
        <item x="582"/>
        <item x="461"/>
        <item x="462"/>
        <item x="463"/>
        <item x="464"/>
        <item x="465"/>
        <item x="499"/>
        <item x="500"/>
        <item x="501"/>
        <item x="502"/>
        <item x="503"/>
        <item x="504"/>
        <item x="505"/>
        <item x="506"/>
        <item x="507"/>
        <item x="508"/>
        <item x="509"/>
        <item x="510"/>
        <item x="466"/>
        <item x="511"/>
        <item x="512"/>
        <item x="513"/>
        <item x="514"/>
        <item x="515"/>
        <item x="516"/>
        <item x="517"/>
        <item x="518"/>
        <item x="519"/>
        <item x="520"/>
        <item x="521"/>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522"/>
        <item x="523"/>
        <item x="543"/>
        <item x="544"/>
        <item x="545"/>
        <item x="546"/>
        <item x="547"/>
        <item x="548"/>
        <item x="549"/>
        <item x="550"/>
        <item x="551"/>
        <item x="552"/>
        <item x="553"/>
        <item x="554"/>
        <item x="524"/>
        <item x="555"/>
        <item x="556"/>
        <item x="557"/>
        <item x="558"/>
        <item x="559"/>
        <item x="525"/>
        <item x="526"/>
        <item x="527"/>
        <item x="528"/>
        <item x="529"/>
        <item x="530"/>
        <item x="531"/>
        <item x="532"/>
        <item x="533"/>
        <item x="534"/>
        <item x="535"/>
        <item x="536"/>
        <item x="537"/>
        <item x="538"/>
        <item x="539"/>
        <item x="540"/>
        <item x="541"/>
        <item x="542"/>
        <item x="560"/>
        <item x="561"/>
        <item x="562"/>
        <item x="563"/>
        <item x="564"/>
        <item x="565"/>
        <item x="566"/>
        <item x="567"/>
        <item x="568"/>
        <item x="569"/>
        <item x="570"/>
        <item x="571"/>
        <item x="572"/>
        <item x="573"/>
        <item x="574"/>
        <item x="575"/>
        <item x="576"/>
        <item x="583"/>
        <item x="7"/>
        <item x="8"/>
        <item x="17"/>
        <item x="18"/>
        <item x="19"/>
        <item x="20"/>
        <item x="21"/>
        <item x="22"/>
        <item x="23"/>
        <item x="24"/>
        <item x="25"/>
        <item x="26"/>
        <item x="9"/>
        <item x="27"/>
        <item x="28"/>
        <item x="29"/>
        <item x="30"/>
        <item x="31"/>
        <item x="32"/>
        <item x="33"/>
        <item x="34"/>
        <item x="35"/>
        <item x="36"/>
        <item x="10"/>
        <item x="37"/>
        <item x="38"/>
        <item x="39"/>
        <item x="40"/>
        <item x="41"/>
        <item x="42"/>
        <item x="43"/>
        <item x="44"/>
        <item x="45"/>
        <item x="46"/>
        <item x="11"/>
        <item x="47"/>
        <item x="48"/>
        <item x="49"/>
        <item x="50"/>
        <item x="51"/>
        <item x="52"/>
        <item x="53"/>
        <item x="54"/>
        <item x="55"/>
        <item x="56"/>
        <item x="12"/>
        <item x="57"/>
        <item x="58"/>
        <item x="59"/>
        <item x="60"/>
        <item x="61"/>
        <item x="62"/>
        <item x="13"/>
        <item x="14"/>
        <item x="15"/>
        <item x="16"/>
        <item x="63"/>
        <item x="64"/>
        <item x="164"/>
        <item x="165"/>
        <item x="65"/>
        <item x="66"/>
        <item x="67"/>
        <item x="68"/>
        <item x="69"/>
        <item x="70"/>
        <item x="71"/>
        <item x="72"/>
        <item x="73"/>
        <item x="82"/>
        <item x="74"/>
        <item x="75"/>
        <item x="76"/>
        <item x="77"/>
        <item x="78"/>
        <item x="79"/>
        <item x="80"/>
        <item x="81"/>
        <item x="83"/>
        <item x="84"/>
        <item x="85"/>
        <item x="86"/>
        <item x="87"/>
        <item x="98"/>
        <item x="99"/>
        <item x="100"/>
        <item x="101"/>
        <item x="102"/>
        <item x="103"/>
        <item x="104"/>
        <item x="105"/>
        <item x="106"/>
        <item x="107"/>
        <item x="88"/>
        <item x="108"/>
        <item x="109"/>
        <item x="89"/>
        <item x="90"/>
        <item x="91"/>
        <item x="92"/>
        <item x="93"/>
        <item x="94"/>
        <item x="95"/>
        <item x="96"/>
        <item x="97"/>
        <item x="110"/>
        <item x="111"/>
        <item x="112"/>
        <item x="113"/>
        <item x="114"/>
        <item x="115"/>
        <item x="116"/>
        <item x="125"/>
        <item x="117"/>
        <item x="118"/>
        <item x="119"/>
        <item x="120"/>
        <item x="121"/>
        <item x="122"/>
        <item x="123"/>
        <item x="124"/>
        <item x="126"/>
        <item x="127"/>
        <item x="128"/>
        <item x="129"/>
        <item x="138"/>
        <item x="139"/>
        <item x="140"/>
        <item x="141"/>
        <item x="142"/>
        <item x="143"/>
        <item x="144"/>
        <item x="130"/>
        <item x="131"/>
        <item x="132"/>
        <item x="133"/>
        <item x="134"/>
        <item x="135"/>
        <item x="136"/>
        <item x="137"/>
        <item x="145"/>
        <item x="146"/>
        <item x="155"/>
        <item x="156"/>
        <item x="157"/>
        <item x="158"/>
        <item x="159"/>
        <item x="160"/>
        <item x="161"/>
        <item x="147"/>
        <item x="148"/>
        <item x="149"/>
        <item x="150"/>
        <item x="151"/>
        <item x="152"/>
        <item x="153"/>
        <item x="154"/>
        <item x="162"/>
        <item x="163"/>
        <item x="166"/>
        <item x="167"/>
        <item x="168"/>
        <item x="169"/>
        <item x="170"/>
        <item x="171"/>
        <item x="183"/>
        <item x="184"/>
        <item x="185"/>
        <item x="186"/>
        <item x="187"/>
        <item x="188"/>
        <item x="189"/>
        <item x="190"/>
        <item x="191"/>
        <item x="192"/>
        <item x="193"/>
        <item x="194"/>
        <item x="195"/>
        <item x="172"/>
        <item x="196"/>
        <item x="197"/>
        <item x="198"/>
        <item x="199"/>
        <item x="200"/>
        <item x="201"/>
        <item x="210"/>
        <item x="211"/>
        <item x="212"/>
        <item x="213"/>
        <item x="202"/>
        <item x="203"/>
        <item x="204"/>
        <item x="205"/>
        <item x="206"/>
        <item x="207"/>
        <item x="208"/>
        <item x="209"/>
        <item x="214"/>
        <item x="215"/>
        <item x="224"/>
        <item x="225"/>
        <item x="226"/>
        <item x="227"/>
        <item x="228"/>
        <item x="229"/>
        <item x="216"/>
        <item x="217"/>
        <item x="218"/>
        <item x="219"/>
        <item x="220"/>
        <item x="221"/>
        <item x="222"/>
        <item x="223"/>
        <item x="230"/>
        <item x="231"/>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173"/>
        <item x="174"/>
        <item x="175"/>
        <item x="176"/>
        <item x="177"/>
        <item x="178"/>
        <item x="179"/>
        <item x="180"/>
        <item x="181"/>
        <item x="182"/>
        <item x="303"/>
        <item x="585"/>
        <item x="598"/>
        <item x="599"/>
        <item x="600"/>
        <item x="601"/>
        <item x="602"/>
        <item x="603"/>
        <item x="604"/>
        <item x="605"/>
        <item x="606"/>
        <item x="607"/>
        <item x="586"/>
        <item x="608"/>
        <item x="609"/>
        <item x="610"/>
        <item x="611"/>
        <item x="612"/>
        <item x="613"/>
        <item x="614"/>
        <item x="615"/>
        <item x="616"/>
        <item x="617"/>
        <item x="587"/>
        <item x="618"/>
        <item x="619"/>
        <item x="628"/>
        <item x="629"/>
        <item x="630"/>
        <item x="631"/>
        <item x="632"/>
        <item x="633"/>
        <item x="634"/>
        <item x="635"/>
        <item x="636"/>
        <item x="637"/>
        <item x="638"/>
        <item x="639"/>
        <item x="640"/>
        <item x="641"/>
        <item x="620"/>
        <item x="642"/>
        <item x="643"/>
        <item x="621"/>
        <item x="622"/>
        <item x="623"/>
        <item x="624"/>
        <item x="625"/>
        <item x="626"/>
        <item x="627"/>
        <item x="644"/>
        <item x="645"/>
        <item x="654"/>
        <item x="655"/>
        <item x="656"/>
        <item x="657"/>
        <item x="658"/>
        <item x="659"/>
        <item x="660"/>
        <item x="661"/>
        <item x="662"/>
        <item x="663"/>
        <item x="646"/>
        <item x="664"/>
        <item x="665"/>
        <item x="666"/>
        <item x="667"/>
        <item x="668"/>
        <item x="669"/>
        <item x="670"/>
        <item x="671"/>
        <item x="672"/>
        <item x="673"/>
        <item x="647"/>
        <item x="674"/>
        <item x="675"/>
        <item x="676"/>
        <item x="677"/>
        <item x="678"/>
        <item x="648"/>
        <item x="649"/>
        <item x="650"/>
        <item x="651"/>
        <item x="652"/>
        <item x="653"/>
        <item x="679"/>
        <item x="680"/>
        <item x="689"/>
        <item x="690"/>
        <item x="691"/>
        <item x="692"/>
        <item x="693"/>
        <item x="694"/>
        <item x="695"/>
        <item x="696"/>
        <item x="697"/>
        <item x="698"/>
        <item x="681"/>
        <item x="699"/>
        <item x="700"/>
        <item x="701"/>
        <item x="702"/>
        <item x="703"/>
        <item x="704"/>
        <item x="705"/>
        <item x="706"/>
        <item x="707"/>
        <item x="682"/>
        <item x="683"/>
        <item x="684"/>
        <item x="685"/>
        <item x="686"/>
        <item x="687"/>
        <item x="688"/>
        <item x="708"/>
        <item x="709"/>
        <item x="733"/>
        <item x="734"/>
        <item x="735"/>
        <item x="736"/>
        <item x="737"/>
        <item x="738"/>
        <item x="739"/>
        <item x="740"/>
        <item x="741"/>
        <item x="742"/>
        <item x="743"/>
        <item x="744"/>
        <item x="710"/>
        <item x="745"/>
        <item x="746"/>
        <item x="747"/>
        <item x="748"/>
        <item x="749"/>
        <item x="750"/>
        <item x="751"/>
        <item x="752"/>
        <item x="753"/>
        <item x="711"/>
        <item x="712"/>
        <item x="713"/>
        <item x="714"/>
        <item x="715"/>
        <item x="716"/>
        <item x="717"/>
        <item x="718"/>
        <item x="719"/>
        <item x="720"/>
        <item x="721"/>
        <item x="722"/>
        <item x="723"/>
        <item x="724"/>
        <item x="725"/>
        <item x="726"/>
        <item x="727"/>
        <item x="728"/>
        <item x="729"/>
        <item x="730"/>
        <item x="731"/>
        <item x="732"/>
        <item x="754"/>
        <item x="755"/>
        <item x="768"/>
        <item x="769"/>
        <item x="770"/>
        <item x="771"/>
        <item x="772"/>
        <item x="773"/>
        <item x="774"/>
        <item x="775"/>
        <item x="776"/>
        <item x="777"/>
        <item x="756"/>
        <item x="778"/>
        <item x="779"/>
        <item x="780"/>
        <item x="781"/>
        <item x="782"/>
        <item x="783"/>
        <item x="784"/>
        <item x="785"/>
        <item x="786"/>
        <item x="787"/>
        <item x="757"/>
        <item x="758"/>
        <item x="759"/>
        <item x="760"/>
        <item x="761"/>
        <item x="762"/>
        <item x="763"/>
        <item x="764"/>
        <item x="765"/>
        <item x="766"/>
        <item x="767"/>
        <item x="788"/>
        <item x="789"/>
        <item x="790"/>
        <item x="799"/>
        <item x="800"/>
        <item x="801"/>
        <item x="802"/>
        <item x="803"/>
        <item x="804"/>
        <item x="805"/>
        <item x="806"/>
        <item x="807"/>
        <item x="808"/>
        <item x="791"/>
        <item x="792"/>
        <item x="793"/>
        <item x="794"/>
        <item x="795"/>
        <item x="796"/>
        <item x="797"/>
        <item x="798"/>
        <item x="809"/>
        <item x="810"/>
        <item x="811"/>
        <item x="812"/>
        <item x="813"/>
        <item x="814"/>
        <item x="815"/>
        <item x="816"/>
        <item x="817"/>
        <item x="818"/>
        <item x="819"/>
        <item x="820"/>
        <item x="821"/>
        <item x="830"/>
        <item x="831"/>
        <item x="840"/>
        <item x="841"/>
        <item x="842"/>
        <item x="843"/>
        <item x="844"/>
        <item x="845"/>
        <item x="846"/>
        <item x="847"/>
        <item x="848"/>
        <item x="849"/>
        <item x="832"/>
        <item x="850"/>
        <item x="851"/>
        <item x="852"/>
        <item x="853"/>
        <item x="854"/>
        <item x="855"/>
        <item x="856"/>
        <item x="857"/>
        <item x="858"/>
        <item x="859"/>
        <item x="860"/>
        <item x="861"/>
        <item x="870"/>
        <item x="871"/>
        <item x="872"/>
        <item x="873"/>
        <item x="874"/>
        <item x="875"/>
        <item x="862"/>
        <item x="863"/>
        <item x="864"/>
        <item x="865"/>
        <item x="866"/>
        <item x="867"/>
        <item x="868"/>
        <item x="869"/>
        <item x="876"/>
        <item x="833"/>
        <item x="834"/>
        <item x="835"/>
        <item x="836"/>
        <item x="837"/>
        <item x="838"/>
        <item x="839"/>
        <item x="877"/>
        <item x="878"/>
        <item x="887"/>
        <item x="888"/>
        <item x="889"/>
        <item x="890"/>
        <item x="879"/>
        <item x="880"/>
        <item x="881"/>
        <item x="882"/>
        <item x="883"/>
        <item x="884"/>
        <item x="885"/>
        <item x="886"/>
        <item x="891"/>
        <item x="892"/>
        <item x="822"/>
        <item x="823"/>
        <item x="824"/>
        <item x="825"/>
        <item x="826"/>
        <item x="827"/>
        <item x="828"/>
        <item x="829"/>
        <item x="893"/>
        <item x="894"/>
        <item x="903"/>
        <item x="904"/>
        <item x="905"/>
        <item x="906"/>
        <item x="907"/>
        <item x="908"/>
        <item x="895"/>
        <item x="896"/>
        <item x="897"/>
        <item x="898"/>
        <item x="899"/>
        <item x="900"/>
        <item x="901"/>
        <item x="902"/>
        <item x="909"/>
        <item x="910"/>
        <item x="911"/>
        <item x="912"/>
        <item x="913"/>
        <item x="914"/>
        <item x="588"/>
        <item x="915"/>
        <item x="916"/>
        <item x="917"/>
        <item x="918"/>
        <item x="919"/>
        <item x="920"/>
        <item x="921"/>
        <item x="922"/>
        <item x="923"/>
        <item x="924"/>
        <item x="589"/>
        <item x="590"/>
        <item x="591"/>
        <item x="925"/>
        <item x="926"/>
        <item x="927"/>
        <item x="928"/>
        <item x="929"/>
        <item x="930"/>
        <item x="931"/>
        <item x="932"/>
        <item x="933"/>
        <item x="934"/>
        <item x="592"/>
        <item x="593"/>
        <item x="594"/>
        <item x="935"/>
        <item x="936"/>
        <item x="937"/>
        <item x="938"/>
        <item x="939"/>
        <item x="940"/>
        <item x="941"/>
        <item x="942"/>
        <item x="943"/>
        <item x="944"/>
        <item x="945"/>
        <item x="946"/>
        <item x="947"/>
        <item x="948"/>
        <item x="949"/>
        <item x="595"/>
        <item x="596"/>
        <item x="597"/>
        <item x="955"/>
        <item x="964"/>
        <item x="965"/>
        <item x="966"/>
        <item x="967"/>
        <item x="968"/>
        <item x="969"/>
        <item x="970"/>
        <item x="971"/>
        <item x="972"/>
        <item x="973"/>
        <item x="956"/>
        <item x="974"/>
        <item x="975"/>
        <item x="976"/>
        <item x="957"/>
        <item x="958"/>
        <item x="959"/>
        <item x="960"/>
        <item x="961"/>
        <item x="962"/>
        <item x="963"/>
        <item x="978"/>
        <item x="979"/>
        <item x="980"/>
        <item x="981"/>
        <item x="982"/>
        <item x="983"/>
        <item x="1158"/>
        <item x="1159"/>
        <item x="1160"/>
        <item x="1161"/>
        <item x="1162"/>
        <item x="1163"/>
        <item x="1164"/>
        <item x="1165"/>
        <item x="1166"/>
        <item x="1167"/>
        <item x="984"/>
        <item x="1168"/>
        <item x="1169"/>
        <item x="1170"/>
        <item x="1171"/>
        <item x="1172"/>
        <item x="1173"/>
        <item x="1174"/>
        <item x="1175"/>
        <item x="1176"/>
        <item x="1177"/>
        <item x="985"/>
        <item x="986"/>
        <item x="987"/>
        <item x="988"/>
        <item x="1178"/>
        <item x="1179"/>
        <item x="1188"/>
        <item x="1189"/>
        <item x="1190"/>
        <item x="1191"/>
        <item x="1192"/>
        <item x="1193"/>
        <item x="1194"/>
        <item x="1195"/>
        <item x="1196"/>
        <item x="1197"/>
        <item x="1180"/>
        <item x="1198"/>
        <item x="1199"/>
        <item x="1200"/>
        <item x="1201"/>
        <item x="1202"/>
        <item x="1203"/>
        <item x="1204"/>
        <item x="1205"/>
        <item x="1206"/>
        <item x="1207"/>
        <item x="1181"/>
        <item x="1208"/>
        <item x="1209"/>
        <item x="1210"/>
        <item x="1211"/>
        <item x="1212"/>
        <item x="1213"/>
        <item x="1214"/>
        <item x="1215"/>
        <item x="1216"/>
        <item x="1217"/>
        <item x="1182"/>
        <item x="1218"/>
        <item x="1219"/>
        <item x="1220"/>
        <item x="1221"/>
        <item x="1222"/>
        <item x="1183"/>
        <item x="1184"/>
        <item x="1185"/>
        <item x="1186"/>
        <item x="1187"/>
        <item x="1223"/>
        <item x="1224"/>
        <item x="1225"/>
        <item x="1226"/>
        <item x="1227"/>
        <item x="989"/>
        <item x="990"/>
        <item x="991"/>
        <item x="992"/>
        <item x="993"/>
        <item x="994"/>
        <item x="995"/>
        <item x="1004"/>
        <item x="1005"/>
        <item x="1006"/>
        <item x="1007"/>
        <item x="1008"/>
        <item x="1009"/>
        <item x="1010"/>
        <item x="1011"/>
        <item x="1012"/>
        <item x="1013"/>
        <item x="996"/>
        <item x="1014"/>
        <item x="1015"/>
        <item x="1016"/>
        <item x="1017"/>
        <item x="1018"/>
        <item x="1019"/>
        <item x="1020"/>
        <item x="1021"/>
        <item x="1022"/>
        <item x="1023"/>
        <item x="997"/>
        <item x="1024"/>
        <item x="1025"/>
        <item x="1026"/>
        <item x="1027"/>
        <item x="1028"/>
        <item x="1029"/>
        <item x="1030"/>
        <item x="998"/>
        <item x="999"/>
        <item x="1000"/>
        <item x="1001"/>
        <item x="1002"/>
        <item x="1003"/>
        <item x="1031"/>
        <item x="1032"/>
        <item x="1041"/>
        <item x="1042"/>
        <item x="1043"/>
        <item x="1044"/>
        <item x="1045"/>
        <item x="1046"/>
        <item x="1047"/>
        <item x="1048"/>
        <item x="1049"/>
        <item x="1033"/>
        <item x="1034"/>
        <item x="1035"/>
        <item x="1036"/>
        <item x="1037"/>
        <item x="1038"/>
        <item x="1039"/>
        <item x="1040"/>
        <item x="1050"/>
        <item x="1051"/>
        <item x="1060"/>
        <item x="1061"/>
        <item x="1062"/>
        <item x="1063"/>
        <item x="1064"/>
        <item x="1065"/>
        <item x="1066"/>
        <item x="1067"/>
        <item x="1068"/>
        <item x="1069"/>
        <item x="1052"/>
        <item x="1070"/>
        <item x="1071"/>
        <item x="1053"/>
        <item x="1054"/>
        <item x="1055"/>
        <item x="1056"/>
        <item x="1057"/>
        <item x="1058"/>
        <item x="1059"/>
        <item x="1072"/>
        <item x="1073"/>
        <item x="1082"/>
        <item x="1083"/>
        <item x="1084"/>
        <item x="1085"/>
        <item x="1086"/>
        <item x="1087"/>
        <item x="1088"/>
        <item x="1089"/>
        <item x="1090"/>
        <item x="1091"/>
        <item x="1074"/>
        <item x="1092"/>
        <item x="1093"/>
        <item x="1094"/>
        <item x="1095"/>
        <item x="1096"/>
        <item x="1097"/>
        <item x="1098"/>
        <item x="1099"/>
        <item x="1100"/>
        <item x="1101"/>
        <item x="1075"/>
        <item x="1102"/>
        <item x="1103"/>
        <item x="1104"/>
        <item x="1105"/>
        <item x="1106"/>
        <item x="1107"/>
        <item x="1108"/>
        <item x="1109"/>
        <item x="1110"/>
        <item x="1111"/>
        <item x="1076"/>
        <item x="1112"/>
        <item x="1113"/>
        <item x="1114"/>
        <item x="1115"/>
        <item x="1077"/>
        <item x="1078"/>
        <item x="1079"/>
        <item x="1080"/>
        <item x="1081"/>
        <item x="1116"/>
        <item x="1117"/>
        <item x="1118"/>
        <item x="1119"/>
        <item x="1128"/>
        <item x="1129"/>
        <item x="1130"/>
        <item x="1131"/>
        <item x="1132"/>
        <item x="1133"/>
        <item x="1134"/>
        <item x="1135"/>
        <item x="1136"/>
        <item x="1137"/>
        <item x="1120"/>
        <item x="1138"/>
        <item x="1139"/>
        <item x="1140"/>
        <item x="1141"/>
        <item x="1142"/>
        <item x="1143"/>
        <item x="1144"/>
        <item x="1145"/>
        <item x="1146"/>
        <item x="1147"/>
        <item x="1121"/>
        <item x="1148"/>
        <item x="1149"/>
        <item x="1150"/>
        <item x="1151"/>
        <item x="1152"/>
        <item x="1153"/>
        <item x="1154"/>
        <item x="1155"/>
        <item x="1122"/>
        <item x="1123"/>
        <item x="1124"/>
        <item x="1125"/>
        <item x="1126"/>
        <item x="1127"/>
        <item x="1156"/>
        <item x="1157"/>
        <item x="1231"/>
        <item x="1232"/>
        <item x="1233"/>
        <item x="1234"/>
        <item x="1235"/>
        <item x="1236"/>
        <item x="1237"/>
        <item x="1238"/>
        <item x="1239"/>
        <item x="1240"/>
        <item x="1241"/>
        <item x="1242"/>
        <item x="1243"/>
        <item x="1244"/>
        <item x="1245"/>
        <item x="1246"/>
        <item x="1297"/>
        <item x="1298"/>
        <item x="1299"/>
        <item x="1300"/>
        <item x="1301"/>
        <item x="1302"/>
        <item x="1303"/>
        <item x="1304"/>
        <item x="1305"/>
        <item x="1306"/>
        <item x="1307"/>
        <item x="1308"/>
        <item x="1309"/>
        <item x="1310"/>
        <item x="1247"/>
        <item x="1248"/>
        <item x="1249"/>
        <item x="1250"/>
        <item x="1251"/>
        <item x="1252"/>
        <item x="1253"/>
        <item x="1254"/>
        <item x="1255"/>
        <item x="1256"/>
        <item x="1257"/>
        <item x="1258"/>
        <item x="1259"/>
        <item x="1260"/>
        <item x="1261"/>
        <item x="1262"/>
        <item x="1311"/>
        <item x="1312"/>
        <item x="1313"/>
        <item x="1314"/>
        <item x="1315"/>
        <item x="1316"/>
        <item x="1317"/>
        <item x="1318"/>
        <item x="1319"/>
        <item x="1320"/>
        <item x="1321"/>
        <item x="1322"/>
        <item x="1323"/>
        <item x="1324"/>
        <item x="1325"/>
        <item x="1326"/>
        <item x="1327"/>
        <item x="1328"/>
        <item x="1329"/>
        <item x="1330"/>
        <item x="1331"/>
        <item x="1332"/>
        <item x="1333"/>
        <item x="1334"/>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35"/>
        <item x="1336"/>
        <item x="1337"/>
        <item x="1338"/>
        <item x="1339"/>
        <item x="1387"/>
        <item x="1388"/>
        <item x="1389"/>
        <item x="1390"/>
        <item x="1391"/>
        <item x="1392"/>
        <item x="1393"/>
        <item x="1394"/>
        <item x="1395"/>
        <item x="1396"/>
        <item x="1397"/>
        <item x="1398"/>
        <item x="1340"/>
        <item x="1341"/>
        <item x="1342"/>
        <item x="1343"/>
        <item x="1344"/>
        <item x="1399"/>
        <item x="1400"/>
        <item x="1345"/>
        <item x="1346"/>
        <item x="1347"/>
        <item x="1348"/>
        <item x="1349"/>
        <item x="1350"/>
        <item x="1351"/>
        <item x="1352"/>
        <item x="1353"/>
        <item x="1354"/>
        <item x="1355"/>
        <item x="1356"/>
        <item x="1467"/>
        <item x="1468"/>
        <item x="1401"/>
        <item x="1402"/>
        <item x="1403"/>
        <item x="1404"/>
        <item x="1405"/>
        <item x="1406"/>
        <item x="1407"/>
        <item x="1408"/>
        <item x="1409"/>
        <item x="1410"/>
        <item x="1411"/>
        <item x="1412"/>
        <item x="1413"/>
        <item x="1414"/>
        <item x="1415"/>
        <item x="1416"/>
        <item x="1417"/>
        <item x="1431"/>
        <item x="1432"/>
        <item x="1433"/>
        <item x="1418"/>
        <item x="1419"/>
        <item x="1420"/>
        <item x="1421"/>
        <item x="1422"/>
        <item x="1423"/>
        <item x="1424"/>
        <item x="1425"/>
        <item x="1426"/>
        <item x="1427"/>
        <item x="1428"/>
        <item x="1429"/>
        <item x="1430"/>
        <item x="1434"/>
        <item x="1435"/>
        <item x="1436"/>
        <item x="1437"/>
        <item x="1438"/>
        <item x="1439"/>
        <item x="1440"/>
        <item x="1441"/>
        <item x="1442"/>
        <item x="1443"/>
        <item x="1444"/>
        <item x="1445"/>
        <item x="1446"/>
        <item x="1447"/>
        <item x="1448"/>
        <item x="1449"/>
        <item x="1450"/>
        <item x="1451"/>
        <item x="1460"/>
        <item x="1461"/>
        <item x="1462"/>
        <item x="1463"/>
        <item x="1464"/>
        <item x="1452"/>
        <item x="1453"/>
        <item x="1454"/>
        <item x="1455"/>
        <item x="1456"/>
        <item x="1457"/>
        <item x="1458"/>
        <item x="1459"/>
        <item x="1465"/>
        <item x="1466"/>
        <item x="1736"/>
        <item x="1747"/>
        <item x="1748"/>
        <item x="1749"/>
        <item x="1750"/>
        <item x="1751"/>
        <item x="1752"/>
        <item x="1753"/>
        <item x="1754"/>
        <item x="1755"/>
        <item x="1756"/>
        <item x="1757"/>
        <item x="1758"/>
        <item x="1759"/>
        <item x="1760"/>
        <item x="1761"/>
        <item x="1762"/>
        <item x="1763"/>
        <item x="1764"/>
        <item x="1737"/>
        <item x="1765"/>
        <item x="1766"/>
        <item x="1767"/>
        <item x="1768"/>
        <item x="1769"/>
        <item x="1770"/>
        <item x="1771"/>
        <item x="1738"/>
        <item x="1739"/>
        <item x="1740"/>
        <item x="1741"/>
        <item x="1742"/>
        <item x="1743"/>
        <item x="1744"/>
        <item x="1745"/>
        <item x="1746"/>
        <item x="1773"/>
        <item x="1786"/>
        <item x="1787"/>
        <item x="1788"/>
        <item x="1789"/>
        <item x="1790"/>
        <item x="1791"/>
        <item x="1792"/>
        <item x="1793"/>
        <item x="1794"/>
        <item x="1795"/>
        <item x="1796"/>
        <item x="1797"/>
        <item x="1798"/>
        <item x="1799"/>
        <item x="1774"/>
        <item x="1800"/>
        <item x="1801"/>
        <item x="1802"/>
        <item x="1803"/>
        <item x="1804"/>
        <item x="1805"/>
        <item x="1806"/>
        <item x="1807"/>
        <item x="1808"/>
        <item x="1809"/>
        <item x="1810"/>
        <item x="1811"/>
        <item x="1775"/>
        <item x="1776"/>
        <item x="1777"/>
        <item x="1778"/>
        <item x="1779"/>
        <item x="1780"/>
        <item x="1781"/>
        <item x="1782"/>
        <item x="1783"/>
        <item x="1784"/>
        <item x="1785"/>
        <item x="1813"/>
        <item x="1826"/>
        <item x="1827"/>
        <item x="1828"/>
        <item x="1829"/>
        <item x="1830"/>
        <item x="1831"/>
        <item x="1832"/>
        <item x="1833"/>
        <item x="1834"/>
        <item x="1835"/>
        <item x="1836"/>
        <item x="1837"/>
        <item x="1838"/>
        <item x="1814"/>
        <item x="1815"/>
        <item x="1816"/>
        <item x="1817"/>
        <item x="1818"/>
        <item x="1819"/>
        <item x="1820"/>
        <item x="1821"/>
        <item x="1822"/>
        <item x="1823"/>
        <item x="1824"/>
        <item x="1825"/>
        <item x="1840"/>
        <item x="1851"/>
        <item x="1852"/>
        <item x="1853"/>
        <item x="1854"/>
        <item x="1855"/>
        <item x="1856"/>
        <item x="1857"/>
        <item x="1858"/>
        <item x="1859"/>
        <item x="1860"/>
        <item x="1861"/>
        <item x="1862"/>
        <item x="1863"/>
        <item x="1841"/>
        <item x="1864"/>
        <item x="1865"/>
        <item x="1866"/>
        <item x="1867"/>
        <item x="1868"/>
        <item x="1869"/>
        <item x="1870"/>
        <item x="1871"/>
        <item x="1842"/>
        <item x="1843"/>
        <item x="1844"/>
        <item x="1845"/>
        <item x="1846"/>
        <item x="1847"/>
        <item x="1848"/>
        <item x="1849"/>
        <item x="1850"/>
        <item x="1873"/>
        <item x="1882"/>
        <item x="1883"/>
        <item x="1884"/>
        <item x="1885"/>
        <item x="1886"/>
        <item x="1887"/>
        <item x="1888"/>
        <item x="1889"/>
        <item x="1890"/>
        <item x="1891"/>
        <item x="1892"/>
        <item x="1893"/>
        <item x="1874"/>
        <item x="1894"/>
        <item x="1895"/>
        <item x="1896"/>
        <item x="1897"/>
        <item x="1898"/>
        <item x="1899"/>
        <item x="1900"/>
        <item x="1901"/>
        <item x="1915"/>
        <item x="1916"/>
        <item x="1917"/>
        <item x="1918"/>
        <item x="1919"/>
        <item x="1920"/>
        <item x="1921"/>
        <item x="1922"/>
        <item x="1923"/>
        <item x="1924"/>
        <item x="1902"/>
        <item x="1903"/>
        <item x="1904"/>
        <item x="1905"/>
        <item x="1925"/>
        <item x="1906"/>
        <item x="1907"/>
        <item x="1908"/>
        <item x="1909"/>
        <item x="1910"/>
        <item x="1911"/>
        <item x="1912"/>
        <item x="1913"/>
        <item x="1914"/>
        <item x="1926"/>
        <item x="1927"/>
        <item x="1928"/>
        <item x="1929"/>
        <item x="1930"/>
        <item x="1931"/>
        <item x="1932"/>
        <item x="1933"/>
        <item x="1875"/>
        <item x="1934"/>
        <item x="1935"/>
        <item x="1876"/>
        <item x="1877"/>
        <item x="1878"/>
        <item x="1879"/>
        <item x="1880"/>
        <item x="1881"/>
        <item x="1946"/>
        <item x="1938"/>
        <item x="1939"/>
        <item x="1940"/>
        <item x="1941"/>
        <item x="1942"/>
        <item x="1943"/>
        <item x="1944"/>
        <item x="1945"/>
        <item x="1948"/>
        <item x="1957"/>
        <item x="1949"/>
        <item x="1950"/>
        <item x="1951"/>
        <item x="1952"/>
        <item x="1953"/>
        <item x="1954"/>
        <item x="1955"/>
        <item x="1956"/>
        <item x="1959"/>
        <item x="1968"/>
        <item x="1969"/>
        <item x="1960"/>
        <item x="1961"/>
        <item x="1962"/>
        <item x="1963"/>
        <item x="1964"/>
        <item x="1965"/>
        <item x="1966"/>
        <item x="1967"/>
        <item x="1971"/>
        <item x="1982"/>
        <item x="1983"/>
        <item x="1984"/>
        <item x="1985"/>
        <item x="1986"/>
        <item x="1987"/>
        <item x="1988"/>
        <item x="1989"/>
        <item x="1990"/>
        <item x="1991"/>
        <item x="1992"/>
        <item x="1993"/>
        <item x="1972"/>
        <item x="1994"/>
        <item x="1995"/>
        <item x="1996"/>
        <item x="1997"/>
        <item x="1998"/>
        <item x="1973"/>
        <item x="1974"/>
        <item x="1975"/>
        <item x="1976"/>
        <item x="1977"/>
        <item x="1978"/>
        <item x="1979"/>
        <item x="1980"/>
        <item x="1981"/>
        <item x="2000"/>
        <item x="2009"/>
        <item x="2010"/>
        <item x="2011"/>
        <item x="2012"/>
        <item x="2013"/>
        <item x="2014"/>
        <item x="2015"/>
        <item x="2016"/>
        <item x="2017"/>
        <item x="2018"/>
        <item x="2019"/>
        <item x="2020"/>
        <item x="2021"/>
        <item x="2022"/>
        <item x="2023"/>
        <item x="2024"/>
        <item x="2001"/>
        <item x="2002"/>
        <item x="2003"/>
        <item x="2004"/>
        <item x="2005"/>
        <item x="2006"/>
        <item x="2007"/>
        <item x="2008"/>
        <item x="1472"/>
        <item x="1481"/>
        <item x="1473"/>
        <item x="1474"/>
        <item x="1475"/>
        <item x="1476"/>
        <item x="1477"/>
        <item x="1478"/>
        <item x="1479"/>
        <item x="1480"/>
        <item x="2025"/>
        <item x="2034"/>
        <item x="2035"/>
        <item x="2036"/>
        <item x="2037"/>
        <item x="2038"/>
        <item x="2039"/>
        <item x="2040"/>
        <item x="2041"/>
        <item x="2042"/>
        <item x="2043"/>
        <item x="2044"/>
        <item x="2045"/>
        <item x="2026"/>
        <item x="2046"/>
        <item x="2047"/>
        <item x="2048"/>
        <item x="2049"/>
        <item x="2050"/>
        <item x="2051"/>
        <item x="2052"/>
        <item x="2053"/>
        <item x="2054"/>
        <item x="2055"/>
        <item x="2056"/>
        <item x="2057"/>
        <item x="2069"/>
        <item x="2070"/>
        <item x="2071"/>
        <item x="2072"/>
        <item x="2073"/>
        <item x="2074"/>
        <item x="2075"/>
        <item x="2076"/>
        <item x="2077"/>
        <item x="2078"/>
        <item x="2079"/>
        <item x="2080"/>
        <item x="2058"/>
        <item x="2059"/>
        <item x="2060"/>
        <item x="2061"/>
        <item x="2081"/>
        <item x="2082"/>
        <item x="2062"/>
        <item x="2063"/>
        <item x="2064"/>
        <item x="2065"/>
        <item x="2066"/>
        <item x="2067"/>
        <item x="2068"/>
        <item x="2083"/>
        <item x="2084"/>
        <item x="2085"/>
        <item x="2086"/>
        <item x="2087"/>
        <item x="2088"/>
        <item x="2089"/>
        <item x="2090"/>
        <item x="2091"/>
        <item x="2092"/>
        <item x="2093"/>
        <item x="2094"/>
        <item x="2095"/>
        <item x="2096"/>
        <item x="2097"/>
        <item x="2098"/>
        <item x="2027"/>
        <item x="2099"/>
        <item x="2100"/>
        <item x="2101"/>
        <item x="2102"/>
        <item x="2103"/>
        <item x="2104"/>
        <item x="2105"/>
        <item x="2106"/>
        <item x="2107"/>
        <item x="2028"/>
        <item x="2029"/>
        <item x="2030"/>
        <item x="2031"/>
        <item x="2032"/>
        <item x="2033"/>
        <item x="2109"/>
        <item x="2118"/>
        <item x="2119"/>
        <item x="2120"/>
        <item x="2121"/>
        <item x="2122"/>
        <item x="2123"/>
        <item x="2124"/>
        <item x="2125"/>
        <item x="2126"/>
        <item x="2110"/>
        <item x="2111"/>
        <item x="2112"/>
        <item x="2113"/>
        <item x="2114"/>
        <item x="2115"/>
        <item x="2116"/>
        <item x="2117"/>
        <item x="2128"/>
        <item x="2137"/>
        <item x="2138"/>
        <item x="2139"/>
        <item x="2129"/>
        <item x="2130"/>
        <item x="2131"/>
        <item x="2132"/>
        <item x="2133"/>
        <item x="2134"/>
        <item x="2135"/>
        <item x="2136"/>
        <item x="2152"/>
        <item x="2161"/>
        <item x="2162"/>
        <item x="2163"/>
        <item x="2164"/>
        <item x="2165"/>
        <item x="2166"/>
        <item x="2167"/>
        <item x="2168"/>
        <item x="2169"/>
        <item x="2170"/>
        <item x="2171"/>
        <item x="2186"/>
        <item x="2187"/>
        <item x="2188"/>
        <item x="2189"/>
        <item x="2190"/>
        <item x="2191"/>
        <item x="2172"/>
        <item x="2173"/>
        <item x="2174"/>
        <item x="2175"/>
        <item x="2176"/>
        <item x="2177"/>
        <item x="2178"/>
        <item x="2179"/>
        <item x="2180"/>
        <item x="2181"/>
        <item x="2182"/>
        <item x="2183"/>
        <item x="2184"/>
        <item x="2185"/>
        <item x="2214"/>
        <item x="2215"/>
        <item x="2216"/>
        <item x="2217"/>
        <item x="2218"/>
        <item x="2219"/>
        <item x="2220"/>
        <item x="2221"/>
        <item x="2222"/>
        <item x="2192"/>
        <item x="2193"/>
        <item x="2194"/>
        <item x="2195"/>
        <item x="2196"/>
        <item x="2197"/>
        <item x="2198"/>
        <item x="2199"/>
        <item x="2200"/>
        <item x="2201"/>
        <item x="2202"/>
        <item x="2203"/>
        <item x="2204"/>
        <item x="2205"/>
        <item x="2206"/>
        <item x="2207"/>
        <item x="2208"/>
        <item x="2209"/>
        <item x="2210"/>
        <item x="2211"/>
        <item x="2212"/>
        <item x="2213"/>
        <item x="2223"/>
        <item x="2224"/>
        <item x="2225"/>
        <item x="2226"/>
        <item x="2227"/>
        <item x="2153"/>
        <item x="2228"/>
        <item x="2229"/>
        <item x="2230"/>
        <item x="2231"/>
        <item x="2232"/>
        <item x="2233"/>
        <item x="2234"/>
        <item x="2235"/>
        <item x="2236"/>
        <item x="2154"/>
        <item x="2155"/>
        <item x="2156"/>
        <item x="2157"/>
        <item x="2158"/>
        <item x="2159"/>
        <item x="2160"/>
        <item x="2238"/>
        <item x="2239"/>
        <item x="1484"/>
        <item x="1493"/>
        <item x="1494"/>
        <item x="1495"/>
        <item x="1496"/>
        <item x="1497"/>
        <item x="1498"/>
        <item x="1499"/>
        <item x="1500"/>
        <item x="1501"/>
        <item x="1502"/>
        <item x="1485"/>
        <item x="1503"/>
        <item x="1504"/>
        <item x="1505"/>
        <item x="1506"/>
        <item x="1507"/>
        <item x="1508"/>
        <item x="1509"/>
        <item x="1510"/>
        <item x="1511"/>
        <item x="1512"/>
        <item x="1486"/>
        <item x="1513"/>
        <item x="1514"/>
        <item x="1515"/>
        <item x="1516"/>
        <item x="1517"/>
        <item x="1518"/>
        <item x="1519"/>
        <item x="1520"/>
        <item x="1521"/>
        <item x="1522"/>
        <item x="1487"/>
        <item x="1523"/>
        <item x="1524"/>
        <item x="1525"/>
        <item x="1526"/>
        <item x="1527"/>
        <item x="1528"/>
        <item x="1529"/>
        <item x="1530"/>
        <item x="1531"/>
        <item x="1532"/>
        <item x="1488"/>
        <item x="1533"/>
        <item x="1534"/>
        <item x="1535"/>
        <item x="1536"/>
        <item x="1537"/>
        <item x="1489"/>
        <item x="1490"/>
        <item x="1491"/>
        <item x="1492"/>
        <item x="2245"/>
        <item x="2246"/>
        <item x="2248"/>
        <item x="2249"/>
        <item x="2250"/>
        <item x="2251"/>
        <item x="2252"/>
        <item x="2253"/>
        <item x="2254"/>
        <item x="2255"/>
        <item x="2257"/>
        <item x="2258"/>
        <item x="2259"/>
        <item x="2265"/>
        <item x="2266"/>
        <item x="2267"/>
        <item x="2268"/>
        <item x="2269"/>
        <item x="2270"/>
        <item x="1539"/>
        <item x="1549"/>
        <item x="1550"/>
        <item x="1551"/>
        <item x="1552"/>
        <item x="1540"/>
        <item x="1541"/>
        <item x="1542"/>
        <item x="1543"/>
        <item x="1544"/>
        <item x="1545"/>
        <item x="1546"/>
        <item x="1547"/>
        <item x="1548"/>
        <item x="2273"/>
        <item x="2274"/>
        <item x="2275"/>
        <item x="2276"/>
        <item x="2277"/>
        <item x="2278"/>
        <item x="2279"/>
        <item x="1554"/>
        <item x="1555"/>
        <item x="1556"/>
        <item x="1557"/>
        <item x="1558"/>
        <item x="1559"/>
        <item x="1560"/>
        <item x="1561"/>
        <item x="1563"/>
        <item x="1564"/>
        <item x="1565"/>
        <item x="1566"/>
        <item x="1567"/>
        <item x="1568"/>
        <item x="1569"/>
        <item x="1570"/>
        <item x="1571"/>
        <item x="1573"/>
        <item x="1675"/>
        <item x="1676"/>
        <item x="1677"/>
        <item x="1678"/>
        <item x="1679"/>
        <item x="1680"/>
        <item x="1681"/>
        <item x="1682"/>
        <item x="1683"/>
        <item x="1684"/>
        <item x="1574"/>
        <item x="1685"/>
        <item x="1686"/>
        <item x="1687"/>
        <item x="1688"/>
        <item x="1689"/>
        <item x="1690"/>
        <item x="1691"/>
        <item x="1692"/>
        <item x="1693"/>
        <item x="1694"/>
        <item x="1695"/>
        <item x="1696"/>
        <item x="1575"/>
        <item x="1697"/>
        <item x="1698"/>
        <item x="1699"/>
        <item x="1700"/>
        <item x="1701"/>
        <item x="1702"/>
        <item x="1703"/>
        <item x="1704"/>
        <item x="1705"/>
        <item x="1706"/>
        <item x="1576"/>
        <item x="1707"/>
        <item x="1708"/>
        <item x="1709"/>
        <item x="1710"/>
        <item x="1711"/>
        <item x="1712"/>
        <item x="1713"/>
        <item x="1714"/>
        <item x="1715"/>
        <item x="1716"/>
        <item x="1577"/>
        <item x="1717"/>
        <item x="1718"/>
        <item x="1719"/>
        <item x="1720"/>
        <item x="1721"/>
        <item x="1722"/>
        <item x="1723"/>
        <item x="1724"/>
        <item x="1578"/>
        <item x="1579"/>
        <item x="1580"/>
        <item x="1608"/>
        <item x="1609"/>
        <item x="1610"/>
        <item x="1611"/>
        <item x="1612"/>
        <item x="1613"/>
        <item x="1614"/>
        <item x="1615"/>
        <item x="1616"/>
        <item x="1617"/>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26"/>
        <item x="1627"/>
        <item x="1628"/>
        <item x="1629"/>
        <item x="1630"/>
        <item x="1631"/>
        <item x="1632"/>
        <item x="1633"/>
        <item x="1634"/>
        <item x="1635"/>
        <item x="1618"/>
        <item x="1636"/>
        <item x="1619"/>
        <item x="1620"/>
        <item x="1621"/>
        <item x="1622"/>
        <item x="1623"/>
        <item x="1624"/>
        <item x="1625"/>
        <item x="1637"/>
        <item x="1638"/>
        <item x="1661"/>
        <item x="1662"/>
        <item x="1663"/>
        <item x="1664"/>
        <item x="1665"/>
        <item x="1666"/>
        <item x="1667"/>
        <item x="1668"/>
        <item x="1669"/>
        <item x="1670"/>
        <item x="1639"/>
        <item x="1671"/>
        <item x="1672"/>
        <item x="1640"/>
        <item x="1641"/>
        <item x="1642"/>
        <item x="1643"/>
        <item x="1652"/>
        <item x="1653"/>
        <item x="1654"/>
        <item x="1655"/>
        <item x="1656"/>
        <item x="1644"/>
        <item x="1645"/>
        <item x="1646"/>
        <item x="1647"/>
        <item x="1648"/>
        <item x="1649"/>
        <item x="1650"/>
        <item x="1651"/>
        <item x="1657"/>
        <item x="1658"/>
        <item x="1659"/>
        <item x="1660"/>
        <item x="1673"/>
        <item x="1674"/>
        <item x="1726"/>
        <item x="1735"/>
        <item x="1727"/>
        <item x="1728"/>
        <item x="1729"/>
        <item x="1730"/>
        <item x="1731"/>
        <item x="1732"/>
        <item x="1733"/>
        <item x="1734"/>
        <item x="2460"/>
        <item x="2469"/>
        <item x="2470"/>
        <item x="2471"/>
        <item x="2472"/>
        <item x="2473"/>
        <item x="2474"/>
        <item x="2475"/>
        <item x="2476"/>
        <item x="2477"/>
        <item x="2478"/>
        <item x="2479"/>
        <item x="2461"/>
        <item x="2480"/>
        <item x="2481"/>
        <item x="2482"/>
        <item x="2483"/>
        <item x="2484"/>
        <item x="2485"/>
        <item x="2486"/>
        <item x="2487"/>
        <item x="2488"/>
        <item x="2489"/>
        <item x="2462"/>
        <item x="2490"/>
        <item x="2491"/>
        <item x="2492"/>
        <item x="2493"/>
        <item x="2494"/>
        <item x="2463"/>
        <item x="2464"/>
        <item x="2465"/>
        <item x="2466"/>
        <item x="2467"/>
        <item x="2468"/>
        <item x="2496"/>
        <item x="2505"/>
        <item x="2506"/>
        <item x="2507"/>
        <item x="2508"/>
        <item x="2497"/>
        <item x="2498"/>
        <item x="2499"/>
        <item x="2500"/>
        <item x="2501"/>
        <item x="2502"/>
        <item x="2503"/>
        <item x="2504"/>
        <item x="2510"/>
        <item x="2511"/>
        <item x="2512"/>
        <item x="2514"/>
        <item x="2515"/>
        <item x="2516"/>
        <item x="2517"/>
        <item x="2518"/>
        <item x="2519"/>
        <item x="2521"/>
        <item x="2530"/>
        <item x="2531"/>
        <item x="2532"/>
        <item x="2533"/>
        <item x="2534"/>
        <item x="2535"/>
        <item x="2536"/>
        <item x="2537"/>
        <item x="2522"/>
        <item x="2523"/>
        <item x="2524"/>
        <item x="2525"/>
        <item x="2526"/>
        <item x="2527"/>
        <item x="2528"/>
        <item x="2529"/>
        <item x="2539"/>
        <item x="2550"/>
        <item x="2551"/>
        <item x="2552"/>
        <item x="2553"/>
        <item x="2554"/>
        <item x="2555"/>
        <item x="2556"/>
        <item x="2557"/>
        <item x="2558"/>
        <item x="2559"/>
        <item x="2540"/>
        <item x="2560"/>
        <item x="2561"/>
        <item x="2562"/>
        <item x="2563"/>
        <item x="2564"/>
        <item x="2565"/>
        <item x="2566"/>
        <item x="2567"/>
        <item x="2568"/>
        <item x="2541"/>
        <item x="2542"/>
        <item x="2543"/>
        <item x="2544"/>
        <item x="2545"/>
        <item x="2546"/>
        <item x="2547"/>
        <item x="2548"/>
        <item x="2549"/>
        <item x="2570"/>
        <item x="2571"/>
        <item x="2572"/>
        <item x="2573"/>
        <item x="2574"/>
        <item x="2575"/>
        <item x="2576"/>
        <item x="2577"/>
        <item x="2578"/>
        <item x="2579"/>
        <item x="2580"/>
        <item x="2582"/>
        <item x="2591"/>
        <item x="2592"/>
        <item x="2593"/>
        <item x="2594"/>
        <item x="2595"/>
        <item x="2596"/>
        <item x="2597"/>
        <item x="2583"/>
        <item x="2584"/>
        <item x="2585"/>
        <item x="2586"/>
        <item x="2587"/>
        <item x="2588"/>
        <item x="2589"/>
        <item x="2590"/>
        <item x="2599"/>
        <item x="2600"/>
        <item x="2601"/>
        <item x="2602"/>
        <item x="2603"/>
        <item x="2604"/>
        <item x="2605"/>
        <item x="2606"/>
        <item x="2607"/>
        <item x="2608"/>
        <item x="2609"/>
        <item x="2610"/>
        <item x="2611"/>
        <item x="2613"/>
        <item x="2624"/>
        <item x="2625"/>
        <item x="2626"/>
        <item x="2627"/>
        <item x="2628"/>
        <item x="2629"/>
        <item x="2630"/>
        <item x="2631"/>
        <item x="2632"/>
        <item x="2633"/>
        <item x="2634"/>
        <item x="2635"/>
        <item x="2636"/>
        <item x="2637"/>
        <item x="2638"/>
        <item x="2639"/>
        <item x="2614"/>
        <item x="2640"/>
        <item x="2641"/>
        <item x="2642"/>
        <item x="2643"/>
        <item x="2644"/>
        <item x="2645"/>
        <item x="2646"/>
        <item x="2647"/>
        <item x="2648"/>
        <item x="2649"/>
        <item x="2650"/>
        <item x="2651"/>
        <item x="2652"/>
        <item x="2653"/>
        <item x="2615"/>
        <item x="2616"/>
        <item x="2617"/>
        <item x="2618"/>
        <item x="2619"/>
        <item x="2620"/>
        <item x="2621"/>
        <item x="2622"/>
        <item x="2623"/>
        <item x="2654"/>
        <item x="2665"/>
        <item x="2666"/>
        <item x="2667"/>
        <item x="2668"/>
        <item x="2669"/>
        <item x="2670"/>
        <item x="2671"/>
        <item x="2672"/>
        <item x="2673"/>
        <item x="2674"/>
        <item x="2675"/>
        <item x="2676"/>
        <item x="2677"/>
        <item x="2678"/>
        <item x="2679"/>
        <item x="2680"/>
        <item x="2681"/>
        <item x="2682"/>
        <item x="2683"/>
        <item x="2684"/>
        <item x="2685"/>
        <item x="2686"/>
        <item x="2687"/>
        <item x="2655"/>
        <item x="2688"/>
        <item x="2656"/>
        <item x="2657"/>
        <item x="2658"/>
        <item x="2659"/>
        <item x="2660"/>
        <item x="2661"/>
        <item x="2662"/>
        <item x="2663"/>
        <item x="2664"/>
        <item x="2690"/>
        <item x="2699"/>
        <item x="2700"/>
        <item x="2701"/>
        <item x="2702"/>
        <item x="2703"/>
        <item x="2704"/>
        <item x="2705"/>
        <item x="2706"/>
        <item x="2707"/>
        <item x="2708"/>
        <item x="2709"/>
        <item x="2710"/>
        <item x="2711"/>
        <item x="2712"/>
        <item x="2713"/>
        <item x="2714"/>
        <item x="2691"/>
        <item x="2715"/>
        <item x="2716"/>
        <item x="2717"/>
        <item x="2718"/>
        <item x="2719"/>
        <item x="2720"/>
        <item x="2721"/>
        <item x="2722"/>
        <item x="2723"/>
        <item x="2724"/>
        <item x="2725"/>
        <item x="2726"/>
        <item x="2727"/>
        <item x="2728"/>
        <item x="2729"/>
        <item x="2730"/>
        <item x="2731"/>
        <item x="2732"/>
        <item x="2733"/>
        <item x="2734"/>
        <item x="2735"/>
        <item x="2752"/>
        <item x="2753"/>
        <item x="2754"/>
        <item x="2755"/>
        <item x="2756"/>
        <item x="2757"/>
        <item x="2758"/>
        <item x="2759"/>
        <item x="2760"/>
        <item x="2761"/>
        <item x="2736"/>
        <item x="2737"/>
        <item x="2738"/>
        <item x="2739"/>
        <item x="2762"/>
        <item x="2763"/>
        <item x="2764"/>
        <item x="2765"/>
        <item x="2740"/>
        <item x="2741"/>
        <item x="2742"/>
        <item x="2743"/>
        <item x="2744"/>
        <item x="2745"/>
        <item x="2746"/>
        <item x="2747"/>
        <item x="2748"/>
        <item x="2749"/>
        <item x="2750"/>
        <item x="2751"/>
        <item x="2766"/>
        <item x="2767"/>
        <item x="2768"/>
        <item x="2769"/>
        <item x="2770"/>
        <item x="2692"/>
        <item x="2771"/>
        <item x="2772"/>
        <item x="2773"/>
        <item x="2774"/>
        <item x="2775"/>
        <item x="2776"/>
        <item x="2777"/>
        <item x="2778"/>
        <item x="2779"/>
        <item x="2780"/>
        <item x="2693"/>
        <item x="2694"/>
        <item x="2695"/>
        <item x="2696"/>
        <item x="2697"/>
        <item x="2698"/>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30"/>
        <item x="2831"/>
        <item x="2833"/>
        <item x="2834"/>
        <item x="2836"/>
        <item x="2837"/>
        <item x="2838"/>
        <item x="2839"/>
        <item x="2840"/>
        <item x="2842"/>
        <item x="2843"/>
        <item x="2844"/>
        <item x="2291"/>
        <item x="2315"/>
        <item x="2316"/>
        <item x="2317"/>
        <item x="2318"/>
        <item x="2319"/>
        <item x="2320"/>
        <item x="2321"/>
        <item x="2322"/>
        <item x="2323"/>
        <item x="2324"/>
        <item x="2325"/>
        <item x="2326"/>
        <item x="2327"/>
        <item x="2328"/>
        <item x="2329"/>
        <item x="2330"/>
        <item x="2331"/>
        <item x="2292"/>
        <item x="2293"/>
        <item x="2294"/>
        <item x="2295"/>
        <item x="2296"/>
        <item x="2305"/>
        <item x="2306"/>
        <item x="2307"/>
        <item x="2308"/>
        <item x="2297"/>
        <item x="2298"/>
        <item x="2299"/>
        <item x="2300"/>
        <item x="2301"/>
        <item x="2302"/>
        <item x="2303"/>
        <item x="2304"/>
        <item x="2309"/>
        <item x="2310"/>
        <item x="2311"/>
        <item x="2312"/>
        <item x="2313"/>
        <item x="2314"/>
        <item x="2333"/>
        <item x="2342"/>
        <item x="2343"/>
        <item x="2344"/>
        <item x="2345"/>
        <item x="2346"/>
        <item x="2347"/>
        <item x="2348"/>
        <item x="2349"/>
        <item x="2350"/>
        <item x="2351"/>
        <item x="2334"/>
        <item x="2352"/>
        <item x="2353"/>
        <item x="2354"/>
        <item x="2355"/>
        <item x="2356"/>
        <item x="2357"/>
        <item x="2358"/>
        <item x="2359"/>
        <item x="2360"/>
        <item x="2361"/>
        <item x="2335"/>
        <item x="2362"/>
        <item x="2363"/>
        <item x="2364"/>
        <item x="2365"/>
        <item x="2366"/>
        <item x="2367"/>
        <item x="2368"/>
        <item x="2369"/>
        <item x="2370"/>
        <item x="2371"/>
        <item x="2336"/>
        <item x="2372"/>
        <item x="2373"/>
        <item x="2374"/>
        <item x="2375"/>
        <item x="2376"/>
        <item x="2377"/>
        <item x="2378"/>
        <item x="2379"/>
        <item x="2380"/>
        <item x="2381"/>
        <item x="2337"/>
        <item x="2382"/>
        <item x="2383"/>
        <item x="2384"/>
        <item x="2385"/>
        <item x="2338"/>
        <item x="2339"/>
        <item x="2340"/>
        <item x="2341"/>
        <item x="2387"/>
        <item x="2398"/>
        <item x="2399"/>
        <item x="2400"/>
        <item x="2401"/>
        <item x="2402"/>
        <item x="2403"/>
        <item x="2404"/>
        <item x="2405"/>
        <item x="2406"/>
        <item x="2407"/>
        <item x="2388"/>
        <item x="2408"/>
        <item x="2409"/>
        <item x="2410"/>
        <item x="2411"/>
        <item x="2412"/>
        <item x="2413"/>
        <item x="2414"/>
        <item x="2415"/>
        <item x="2416"/>
        <item x="2417"/>
        <item x="2418"/>
        <item x="2419"/>
        <item x="2420"/>
        <item x="2421"/>
        <item x="2422"/>
        <item x="2389"/>
        <item x="2390"/>
        <item x="2391"/>
        <item x="2392"/>
        <item x="2393"/>
        <item x="2394"/>
        <item x="2395"/>
        <item x="2396"/>
        <item x="2397"/>
        <item x="2424"/>
        <item x="2425"/>
        <item x="2426"/>
        <item x="2427"/>
        <item x="2428"/>
        <item x="2429"/>
        <item x="2430"/>
        <item x="2431"/>
        <item x="2432"/>
        <item x="2433"/>
        <item x="2434"/>
        <item x="2436"/>
        <item x="2447"/>
        <item x="2448"/>
        <item x="2449"/>
        <item x="2450"/>
        <item x="2451"/>
        <item x="2452"/>
        <item x="2453"/>
        <item x="2454"/>
        <item x="2455"/>
        <item x="2456"/>
        <item x="2457"/>
        <item x="2458"/>
        <item x="2437"/>
        <item x="2438"/>
        <item x="2439"/>
        <item x="2440"/>
        <item x="2441"/>
        <item x="2442"/>
        <item x="2443"/>
        <item x="2444"/>
        <item x="2445"/>
        <item x="2446"/>
        <item x="1937"/>
        <item x="2146"/>
        <item t="default"/>
      </items>
    </pivotField>
    <pivotField dataField="1" compact="0" outline="0" showAll="0"/>
    <pivotField axis="axisRow" compact="0" outline="0" showAll="0" defaultSubtotal="0">
      <items count="60">
        <item x="0"/>
        <item x="29"/>
        <item x="8"/>
        <item x="12"/>
        <item x="9"/>
        <item x="10"/>
        <item x="11"/>
        <item x="13"/>
        <item x="14"/>
        <item x="15"/>
        <item x="1"/>
        <item x="6"/>
        <item x="7"/>
        <item x="2"/>
        <item x="4"/>
        <item x="3"/>
        <item x="5"/>
        <item x="16"/>
        <item x="17"/>
        <item x="18"/>
        <item x="19"/>
        <item x="20"/>
        <item x="21"/>
        <item x="40"/>
        <item x="37"/>
        <item x="38"/>
        <item x="39"/>
        <item x="26"/>
        <item x="30"/>
        <item x="32"/>
        <item x="27"/>
        <item x="36"/>
        <item x="31"/>
        <item x="28"/>
        <item x="35"/>
        <item x="34"/>
        <item x="33"/>
        <item x="24"/>
        <item x="22"/>
        <item x="23"/>
        <item x="25"/>
        <item x="54"/>
        <item x="55"/>
        <item x="41"/>
        <item x="43"/>
        <item x="59"/>
        <item x="52"/>
        <item x="53"/>
        <item x="47"/>
        <item x="48"/>
        <item x="49"/>
        <item x="50"/>
        <item x="51"/>
        <item x="42"/>
        <item x="58"/>
        <item x="45"/>
        <item x="57"/>
        <item x="44"/>
        <item x="46"/>
        <item x="56"/>
      </items>
    </pivotField>
    <pivotField axis="axisRow" compact="0" outline="0" multipleItemSelectionAllowed="1" showAll="0" defaultSubtotal="0">
      <items count="218">
        <item m="1" x="217"/>
        <item x="2"/>
        <item x="3"/>
        <item x="4"/>
        <item x="5"/>
        <item x="15"/>
        <item x="36"/>
        <item x="14"/>
        <item x="147"/>
        <item x="39"/>
        <item x="210"/>
        <item x="41"/>
        <item x="42"/>
        <item x="43"/>
        <item x="1"/>
        <item x="205"/>
        <item x="207"/>
        <item x="209"/>
        <item x="208"/>
        <item x="206"/>
        <item x="92"/>
        <item x="60"/>
        <item x="61"/>
        <item x="190"/>
        <item x="81"/>
        <item x="185"/>
        <item x="186"/>
        <item x="75"/>
        <item x="79"/>
        <item x="76"/>
        <item x="78"/>
        <item x="77"/>
        <item x="214"/>
        <item x="211"/>
        <item x="212"/>
        <item x="213"/>
        <item x="215"/>
        <item x="80"/>
        <item x="71"/>
        <item x="72"/>
        <item x="73"/>
        <item x="74"/>
        <item x="132"/>
        <item x="133"/>
        <item x="134"/>
        <item x="136"/>
        <item x="137"/>
        <item x="135"/>
        <item x="198"/>
        <item x="199"/>
        <item x="11"/>
        <item x="196"/>
        <item x="197"/>
        <item x="181"/>
        <item x="178"/>
        <item x="167"/>
        <item x="176"/>
        <item x="174"/>
        <item x="173"/>
        <item x="168"/>
        <item x="172"/>
        <item x="169"/>
        <item x="171"/>
        <item x="170"/>
        <item x="175"/>
        <item x="177"/>
        <item x="180"/>
        <item x="34"/>
        <item x="10"/>
        <item x="37"/>
        <item x="12"/>
        <item x="44"/>
        <item x="32"/>
        <item x="138"/>
        <item x="139"/>
        <item x="54"/>
        <item x="59"/>
        <item x="57"/>
        <item x="56"/>
        <item x="55"/>
        <item x="58"/>
        <item x="16"/>
        <item x="19"/>
        <item x="31"/>
        <item x="30"/>
        <item x="29"/>
        <item x="27"/>
        <item x="26"/>
        <item x="28"/>
        <item x="20"/>
        <item x="25"/>
        <item x="22"/>
        <item x="23"/>
        <item x="24"/>
        <item x="21"/>
        <item x="45"/>
        <item x="51"/>
        <item x="53"/>
        <item x="52"/>
        <item x="50"/>
        <item x="47"/>
        <item x="48"/>
        <item x="46"/>
        <item x="49"/>
        <item x="17"/>
        <item x="18"/>
        <item x="90"/>
        <item x="140"/>
        <item x="33"/>
        <item x="216"/>
        <item x="35"/>
        <item x="38"/>
        <item x="91"/>
        <item x="84"/>
        <item x="88"/>
        <item x="89"/>
        <item x="87"/>
        <item x="86"/>
        <item x="85"/>
        <item x="166"/>
        <item x="163"/>
        <item x="164"/>
        <item x="165"/>
        <item x="159"/>
        <item x="161"/>
        <item x="162"/>
        <item x="160"/>
        <item x="40"/>
        <item x="122"/>
        <item x="124"/>
        <item x="125"/>
        <item x="126"/>
        <item x="127"/>
        <item x="128"/>
        <item x="123"/>
        <item x="121"/>
        <item x="129"/>
        <item x="93"/>
        <item x="114"/>
        <item x="112"/>
        <item x="115"/>
        <item x="113"/>
        <item x="120"/>
        <item x="94"/>
        <item x="105"/>
        <item x="106"/>
        <item x="102"/>
        <item x="103"/>
        <item x="104"/>
        <item x="95"/>
        <item x="96"/>
        <item x="97"/>
        <item x="98"/>
        <item x="99"/>
        <item x="100"/>
        <item x="101"/>
        <item x="107"/>
        <item x="108"/>
        <item x="109"/>
        <item x="110"/>
        <item x="111"/>
        <item x="116"/>
        <item x="117"/>
        <item x="118"/>
        <item x="119"/>
        <item x="191"/>
        <item x="158"/>
        <item x="143"/>
        <item x="68"/>
        <item x="131"/>
        <item x="150"/>
        <item x="144"/>
        <item x="141"/>
        <item x="142"/>
        <item x="182"/>
        <item x="183"/>
        <item x="184"/>
        <item x="82"/>
        <item x="62"/>
        <item x="63"/>
        <item x="192"/>
        <item x="66"/>
        <item x="188"/>
        <item x="64"/>
        <item x="65"/>
        <item x="203"/>
        <item x="70"/>
        <item x="148"/>
        <item x="204"/>
        <item x="145"/>
        <item x="194"/>
        <item x="195"/>
        <item x="201"/>
        <item x="151"/>
        <item x="200"/>
        <item x="146"/>
        <item x="193"/>
        <item x="187"/>
        <item x="202"/>
        <item x="157"/>
        <item x="152"/>
        <item x="179"/>
        <item x="83"/>
        <item x="67"/>
        <item x="153"/>
        <item x="155"/>
        <item x="156"/>
        <item x="154"/>
        <item x="8"/>
        <item x="149"/>
        <item x="9"/>
        <item x="69"/>
        <item x="130"/>
        <item x="6"/>
        <item x="7"/>
        <item x="189"/>
        <item x="0"/>
        <item x="13"/>
      </items>
    </pivotField>
    <pivotField axis="axisRow" compact="0" outline="0" showAll="0" defaultSubtotal="0">
      <items count="1645">
        <item x="245"/>
        <item x="75"/>
        <item x="1610"/>
        <item x="1497"/>
        <item x="964"/>
        <item x="1376"/>
        <item x="1177"/>
        <item x="152"/>
        <item x="182"/>
        <item x="1255"/>
        <item x="589"/>
        <item x="178"/>
        <item x="326"/>
        <item x="1272"/>
        <item x="1089"/>
        <item x="686"/>
        <item x="473"/>
        <item x="1388"/>
        <item x="1383"/>
        <item x="288"/>
        <item x="515"/>
        <item x="1496"/>
        <item x="268"/>
        <item x="278"/>
        <item x="270"/>
        <item x="1074"/>
        <item x="1078"/>
        <item x="1227"/>
        <item x="252"/>
        <item x="619"/>
        <item x="646"/>
        <item x="108"/>
        <item x="356"/>
        <item x="615"/>
        <item x="1498"/>
        <item x="323"/>
        <item x="282"/>
        <item x="265"/>
        <item x="1389"/>
        <item x="264"/>
        <item x="263"/>
        <item x="712"/>
        <item x="325"/>
        <item x="737"/>
        <item x="1332"/>
        <item x="355"/>
        <item x="1294"/>
        <item x="1293"/>
        <item x="1274"/>
        <item x="1574"/>
        <item x="960"/>
        <item x="704"/>
        <item x="393"/>
        <item x="954"/>
        <item x="945"/>
        <item x="826"/>
        <item x="769"/>
        <item x="856"/>
        <item x="699"/>
        <item x="1323"/>
        <item x="949"/>
        <item x="1144"/>
        <item x="1123"/>
        <item x="687"/>
        <item x="688"/>
        <item x="765"/>
        <item x="682"/>
        <item x="850"/>
        <item x="681"/>
        <item x="1348"/>
        <item x="1034"/>
        <item x="1219"/>
        <item x="1580"/>
        <item x="1216"/>
        <item x="1594"/>
        <item x="1284"/>
        <item x="1141"/>
        <item x="1164"/>
        <item x="1276"/>
        <item x="684"/>
        <item x="680"/>
        <item x="867"/>
        <item x="844"/>
        <item x="883"/>
        <item x="937"/>
        <item x="383"/>
        <item x="233"/>
        <item x="1124"/>
        <item x="1122"/>
        <item x="137"/>
        <item x="1321"/>
        <item x="1365"/>
        <item x="228"/>
        <item x="1137"/>
        <item x="1032"/>
        <item x="702"/>
        <item x="980"/>
        <item x="1619"/>
        <item x="1363"/>
        <item x="679"/>
        <item x="1539"/>
        <item x="1538"/>
        <item x="397"/>
        <item x="398"/>
        <item x="705"/>
        <item x="260"/>
        <item x="1037"/>
        <item x="955"/>
        <item x="230"/>
        <item x="1091"/>
        <item x="1092"/>
        <item x="60"/>
        <item x="51"/>
        <item x="647"/>
        <item x="78"/>
        <item x="149"/>
        <item x="1080"/>
        <item x="1134"/>
        <item x="1136"/>
        <item x="385"/>
        <item x="1026"/>
        <item x="59"/>
        <item x="58"/>
        <item x="671"/>
        <item x="293"/>
        <item x="235"/>
        <item x="766"/>
        <item x="474"/>
        <item x="691"/>
        <item x="738"/>
        <item x="1500"/>
        <item x="77"/>
        <item x="627"/>
        <item x="1285"/>
        <item x="267"/>
        <item x="966"/>
        <item x="147"/>
        <item x="297"/>
        <item x="62"/>
        <item x="475"/>
        <item x="54"/>
        <item x="53"/>
        <item x="624"/>
        <item x="1616"/>
        <item x="685"/>
        <item x="1138"/>
        <item x="111"/>
        <item x="1131"/>
        <item x="234"/>
        <item x="1139"/>
        <item x="678"/>
        <item x="332"/>
        <item x="1161"/>
        <item x="832"/>
        <item x="259"/>
        <item x="171"/>
        <item x="1369"/>
        <item x="1366"/>
        <item x="296"/>
        <item x="1352"/>
        <item x="1385"/>
        <item x="112"/>
        <item x="1033"/>
        <item x="1090"/>
        <item x="1583"/>
        <item x="143"/>
        <item x="141"/>
        <item x="130"/>
        <item x="291"/>
        <item x="142"/>
        <item x="226"/>
        <item x="1641"/>
        <item x="1025"/>
        <item x="227"/>
        <item x="1322"/>
        <item x="328"/>
        <item x="1300"/>
        <item x="327"/>
        <item x="357"/>
        <item x="555"/>
        <item x="550"/>
        <item x="923"/>
        <item x="869"/>
        <item x="831"/>
        <item x="917"/>
        <item x="912"/>
        <item x="871"/>
        <item x="256"/>
        <item x="1143"/>
        <item x="764"/>
        <item x="1129"/>
        <item x="669"/>
        <item x="1375"/>
        <item x="232"/>
        <item x="673"/>
        <item x="229"/>
        <item x="389"/>
        <item x="670"/>
        <item x="675"/>
        <item x="529"/>
        <item x="76"/>
        <item x="739"/>
        <item x="1265"/>
        <item x="148"/>
        <item x="626"/>
        <item x="1135"/>
        <item x="146"/>
        <item x="910"/>
        <item x="948"/>
        <item x="1231"/>
        <item x="225"/>
        <item x="255"/>
        <item x="1320"/>
        <item x="231"/>
        <item x="1393"/>
        <item x="56"/>
        <item x="1163"/>
        <item x="827"/>
        <item x="1160"/>
        <item x="853"/>
        <item x="881"/>
        <item x="892"/>
        <item x="902"/>
        <item x="861"/>
        <item x="52"/>
        <item x="645"/>
        <item x="843"/>
        <item x="939"/>
        <item x="952"/>
        <item x="849"/>
        <item x="865"/>
        <item x="840"/>
        <item x="828"/>
        <item x="922"/>
        <item x="921"/>
        <item x="920"/>
        <item x="876"/>
        <item x="156"/>
        <item x="224"/>
        <item x="672"/>
        <item x="254"/>
        <item x="1632"/>
        <item x="1319"/>
        <item x="435"/>
        <item x="1355"/>
        <item x="253"/>
        <item x="628"/>
        <item x="236"/>
        <item x="94"/>
        <item x="440"/>
        <item x="107"/>
        <item x="1232"/>
        <item x="532"/>
        <item x="388"/>
        <item x="1597"/>
        <item x="1305"/>
        <item x="623"/>
        <item x="1130"/>
        <item x="1618"/>
        <item x="172"/>
        <item x="630"/>
        <item x="1062"/>
        <item x="1063"/>
        <item x="676"/>
        <item x="677"/>
        <item x="248"/>
        <item x="287"/>
        <item x="875"/>
        <item x="1615"/>
        <item x="476"/>
        <item x="1105"/>
        <item x="1364"/>
        <item x="767"/>
        <item x="860"/>
        <item x="360"/>
        <item x="1132"/>
        <item x="690"/>
        <item x="689"/>
        <item x="674"/>
        <item x="68"/>
        <item x="1316"/>
        <item x="110"/>
        <item x="67"/>
        <item x="55"/>
        <item x="402"/>
        <item x="863"/>
        <item x="891"/>
        <item x="868"/>
        <item x="864"/>
        <item x="904"/>
        <item x="1299"/>
        <item x="1166"/>
        <item x="128"/>
        <item x="1140"/>
        <item x="1180"/>
        <item x="1390"/>
        <item x="951"/>
        <item x="823"/>
        <item x="893"/>
        <item x="870"/>
        <item x="896"/>
        <item x="950"/>
        <item x="116"/>
        <item x="1228"/>
        <item x="1035"/>
        <item x="837"/>
        <item x="938"/>
        <item x="838"/>
        <item x="1133"/>
        <item x="1384"/>
        <item x="117"/>
        <item x="123"/>
        <item x="911"/>
        <item x="710"/>
        <item x="257"/>
        <item x="1362"/>
        <item x="582"/>
        <item x="890"/>
        <item x="1230"/>
        <item x="1093"/>
        <item x="1036"/>
        <item x="683"/>
        <item x="711"/>
        <item x="953"/>
        <item x="1318"/>
        <item x="1317"/>
        <item x="620"/>
        <item x="1225"/>
        <item x="621"/>
        <item x="1088"/>
        <item x="538"/>
        <item x="237"/>
        <item x="629"/>
        <item x="1125"/>
        <item x="249"/>
        <item x="614"/>
        <item x="57"/>
        <item x="768"/>
        <item x="1142"/>
        <item x="1082"/>
        <item x="811"/>
        <item x="516"/>
        <item x="384"/>
        <item x="79"/>
        <item x="812"/>
        <item x="129"/>
        <item x="1262"/>
        <item x="1612"/>
        <item x="1465"/>
        <item x="157"/>
        <item x="158"/>
        <item x="1165"/>
        <item x="1181"/>
        <item x="1182"/>
        <item x="858"/>
        <item x="272"/>
        <item x="273"/>
        <item x="283"/>
        <item x="284"/>
        <item x="1410"/>
        <item x="1564"/>
        <item x="1566"/>
        <item x="1565"/>
        <item x="382"/>
        <item x="1237"/>
        <item x="1103"/>
        <item x="437"/>
        <item x="513"/>
        <item x="1238"/>
        <item x="443"/>
        <item x="444"/>
        <item x="1104"/>
        <item x="1239"/>
        <item x="1042"/>
        <item x="274"/>
        <item x="816"/>
        <item x="240"/>
        <item x="241"/>
        <item x="1639"/>
        <item x="1175"/>
        <item x="1176"/>
        <item x="1174"/>
        <item x="1339"/>
        <item x="616"/>
        <item x="617"/>
        <item x="275"/>
        <item x="1638"/>
        <item x="153"/>
        <item x="1611"/>
        <item x="1361"/>
        <item x="1127"/>
        <item x="1128"/>
        <item x="1126"/>
        <item x="1047"/>
        <item x="1189"/>
        <item x="97"/>
        <item x="144"/>
        <item x="321"/>
        <item x="145"/>
        <item x="625"/>
        <item x="1617"/>
        <item x="852"/>
        <item x="851"/>
        <item x="1234"/>
        <item x="109"/>
        <item x="358"/>
        <item x="180"/>
        <item x="179"/>
        <item x="590"/>
        <item x="181"/>
        <item x="1499"/>
        <item x="968"/>
        <item x="967"/>
        <item x="648"/>
        <item x="514"/>
        <item x="907"/>
        <item x="900"/>
        <item x="901"/>
        <item x="1273"/>
        <item x="936"/>
        <item x="113"/>
        <item x="1494"/>
        <item x="1102"/>
        <item x="1563"/>
        <item x="1236"/>
        <item x="969"/>
        <item x="1340"/>
        <item x="445"/>
        <item x="1209"/>
        <item x="528"/>
        <item x="186"/>
        <item x="618"/>
        <item x="266"/>
        <item x="0"/>
        <item x="1184"/>
        <item x="1185"/>
        <item x="1186"/>
        <item x="1187"/>
        <item x="1188"/>
        <item x="395"/>
        <item x="396"/>
        <item x="400"/>
        <item x="401"/>
        <item x="399"/>
        <item x="405"/>
        <item x="406"/>
        <item x="407"/>
        <item x="408"/>
        <item x="409"/>
        <item x="410"/>
        <item x="411"/>
        <item x="412"/>
        <item x="413"/>
        <item x="403"/>
        <item x="404"/>
        <item x="414"/>
        <item x="415"/>
        <item x="416"/>
        <item x="417"/>
        <item x="418"/>
        <item x="419"/>
        <item x="420"/>
        <item x="422"/>
        <item x="421"/>
        <item x="489"/>
        <item x="490"/>
        <item x="496"/>
        <item x="497"/>
        <item x="498"/>
        <item x="499"/>
        <item x="500"/>
        <item x="501"/>
        <item x="502"/>
        <item x="503"/>
        <item x="491"/>
        <item x="492"/>
        <item x="493"/>
        <item x="494"/>
        <item x="495"/>
        <item x="511"/>
        <item x="512"/>
        <item x="504"/>
        <item x="505"/>
        <item x="506"/>
        <item x="507"/>
        <item x="508"/>
        <item x="509"/>
        <item x="510"/>
        <item x="423"/>
        <item x="424"/>
        <item x="425"/>
        <item x="426"/>
        <item x="427"/>
        <item x="428"/>
        <item x="429"/>
        <item x="430"/>
        <item x="431"/>
        <item x="432"/>
        <item x="433"/>
        <item x="434"/>
        <item x="446"/>
        <item x="450"/>
        <item x="451"/>
        <item x="452"/>
        <item x="453"/>
        <item x="454"/>
        <item x="455"/>
        <item x="456"/>
        <item x="457"/>
        <item x="458"/>
        <item x="459"/>
        <item x="461"/>
        <item x="462"/>
        <item x="463"/>
        <item x="466"/>
        <item x="469"/>
        <item x="470"/>
        <item x="471"/>
        <item x="477"/>
        <item x="478"/>
        <item x="479"/>
        <item x="472"/>
        <item x="447"/>
        <item x="448"/>
        <item x="480"/>
        <item x="449"/>
        <item x="481"/>
        <item x="460"/>
        <item x="464"/>
        <item x="468"/>
        <item x="467"/>
        <item x="465"/>
        <item x="482"/>
        <item x="483"/>
        <item x="484"/>
        <item x="485"/>
        <item x="486"/>
        <item x="487"/>
        <item x="488"/>
        <item x="517"/>
        <item x="518"/>
        <item x="521"/>
        <item x="522"/>
        <item x="523"/>
        <item x="524"/>
        <item x="525"/>
        <item x="519"/>
        <item x="520"/>
        <item x="526"/>
        <item x="527"/>
        <item x="533"/>
        <item x="534"/>
        <item x="535"/>
        <item x="545"/>
        <item x="536"/>
        <item x="537"/>
        <item x="546"/>
        <item x="547"/>
        <item x="548"/>
        <item x="622"/>
        <item x="551"/>
        <item x="552"/>
        <item x="556"/>
        <item x="557"/>
        <item x="558"/>
        <item x="559"/>
        <item x="560"/>
        <item x="561"/>
        <item x="562"/>
        <item x="563"/>
        <item x="553"/>
        <item x="564"/>
        <item x="597"/>
        <item x="565"/>
        <item x="566"/>
        <item x="567"/>
        <item x="568"/>
        <item x="569"/>
        <item x="570"/>
        <item x="571"/>
        <item x="572"/>
        <item x="554"/>
        <item x="573"/>
        <item x="574"/>
        <item x="575"/>
        <item x="576"/>
        <item x="577"/>
        <item x="578"/>
        <item x="579"/>
        <item x="580"/>
        <item x="581"/>
        <item x="549"/>
        <item x="583"/>
        <item x="584"/>
        <item x="594"/>
        <item x="595"/>
        <item x="596"/>
        <item x="598"/>
        <item x="599"/>
        <item x="600"/>
        <item x="602"/>
        <item x="601"/>
        <item x="603"/>
        <item x="604"/>
        <item x="605"/>
        <item x="606"/>
        <item x="607"/>
        <item x="608"/>
        <item x="609"/>
        <item x="610"/>
        <item x="611"/>
        <item x="612"/>
        <item x="613"/>
        <item x="1"/>
        <item x="2"/>
        <item x="298"/>
        <item x="3"/>
        <item x="4"/>
        <item x="334"/>
        <item x="335"/>
        <item x="336"/>
        <item x="337"/>
        <item x="299"/>
        <item x="300"/>
        <item x="333"/>
        <item x="242"/>
        <item x="243"/>
        <item x="5"/>
        <item x="6"/>
        <item x="289"/>
        <item x="290"/>
        <item x="394"/>
        <item x="294"/>
        <item x="292"/>
        <item x="295"/>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61"/>
        <item x="131"/>
        <item x="140"/>
        <item x="132"/>
        <item x="133"/>
        <item x="134"/>
        <item x="135"/>
        <item x="136"/>
        <item x="139"/>
        <item x="138"/>
        <item x="154"/>
        <item x="155"/>
        <item x="188"/>
        <item x="189"/>
        <item x="205"/>
        <item x="199"/>
        <item x="201"/>
        <item x="203"/>
        <item x="193"/>
        <item x="191"/>
        <item x="190"/>
        <item x="194"/>
        <item x="195"/>
        <item x="196"/>
        <item x="197"/>
        <item x="198"/>
        <item x="200"/>
        <item x="204"/>
        <item x="202"/>
        <item x="206"/>
        <item x="221"/>
        <item x="219"/>
        <item x="217"/>
        <item x="213"/>
        <item x="207"/>
        <item x="215"/>
        <item x="208"/>
        <item x="209"/>
        <item x="210"/>
        <item x="211"/>
        <item x="212"/>
        <item x="214"/>
        <item x="216"/>
        <item x="218"/>
        <item x="220"/>
        <item x="222"/>
        <item x="192"/>
        <item x="159"/>
        <item x="160"/>
        <item x="161"/>
        <item x="162"/>
        <item x="163"/>
        <item x="164"/>
        <item x="165"/>
        <item x="166"/>
        <item x="167"/>
        <item x="168"/>
        <item x="169"/>
        <item x="170"/>
        <item x="173"/>
        <item x="174"/>
        <item x="175"/>
        <item x="176"/>
        <item x="177"/>
        <item x="187"/>
        <item x="301"/>
        <item x="302"/>
        <item x="303"/>
        <item x="304"/>
        <item x="305"/>
        <item x="306"/>
        <item x="307"/>
        <item x="308"/>
        <item x="309"/>
        <item x="310"/>
        <item x="311"/>
        <item x="312"/>
        <item x="313"/>
        <item x="314"/>
        <item x="315"/>
        <item x="316"/>
        <item x="317"/>
        <item x="318"/>
        <item x="319"/>
        <item x="320"/>
        <item x="322"/>
        <item x="324"/>
        <item x="338"/>
        <item x="339"/>
        <item x="342"/>
        <item x="344"/>
        <item x="340"/>
        <item x="341"/>
        <item x="359"/>
        <item x="361"/>
        <item x="345"/>
        <item x="346"/>
        <item x="347"/>
        <item x="348"/>
        <item x="349"/>
        <item x="350"/>
        <item x="351"/>
        <item x="352"/>
        <item x="353"/>
        <item x="354"/>
        <item x="366"/>
        <item x="367"/>
        <item x="370"/>
        <item x="343"/>
        <item x="372"/>
        <item x="373"/>
        <item x="374"/>
        <item x="368"/>
        <item x="369"/>
        <item x="375"/>
        <item x="371"/>
        <item x="390"/>
        <item x="391"/>
        <item x="63"/>
        <item x="66"/>
        <item x="69"/>
        <item x="70"/>
        <item x="71"/>
        <item x="65"/>
        <item x="64"/>
        <item x="91"/>
        <item x="99"/>
        <item x="100"/>
        <item x="86"/>
        <item x="87"/>
        <item x="88"/>
        <item x="89"/>
        <item x="90"/>
        <item x="93"/>
        <item x="92"/>
        <item x="98"/>
        <item x="101"/>
        <item x="102"/>
        <item x="103"/>
        <item x="104"/>
        <item x="105"/>
        <item x="106"/>
        <item x="114"/>
        <item x="115"/>
        <item x="118"/>
        <item x="119"/>
        <item x="120"/>
        <item x="121"/>
        <item x="127"/>
        <item x="126"/>
        <item x="125"/>
        <item x="238"/>
        <item x="246"/>
        <item x="244"/>
        <item x="247"/>
        <item x="250"/>
        <item x="258"/>
        <item x="251"/>
        <item x="631"/>
        <item x="633"/>
        <item x="634"/>
        <item x="635"/>
        <item x="636"/>
        <item x="640"/>
        <item x="637"/>
        <item x="638"/>
        <item x="639"/>
        <item x="641"/>
        <item x="642"/>
        <item x="643"/>
        <item x="644"/>
        <item x="632"/>
        <item x="649"/>
        <item x="782"/>
        <item x="650"/>
        <item x="651"/>
        <item x="652"/>
        <item x="653"/>
        <item x="654"/>
        <item x="655"/>
        <item x="783"/>
        <item x="784"/>
        <item x="785"/>
        <item x="786"/>
        <item x="787"/>
        <item x="788"/>
        <item x="789"/>
        <item x="790"/>
        <item x="791"/>
        <item x="814"/>
        <item x="657"/>
        <item x="658"/>
        <item x="659"/>
        <item x="660"/>
        <item x="792"/>
        <item x="793"/>
        <item x="815"/>
        <item x="794"/>
        <item x="795"/>
        <item x="796"/>
        <item x="656"/>
        <item x="797"/>
        <item x="798"/>
        <item x="799"/>
        <item x="781"/>
        <item x="800"/>
        <item x="801"/>
        <item x="740"/>
        <item x="741"/>
        <item x="802"/>
        <item x="803"/>
        <item x="804"/>
        <item x="805"/>
        <item x="806"/>
        <item x="807"/>
        <item x="813"/>
        <item x="808"/>
        <item x="809"/>
        <item x="810"/>
        <item x="661"/>
        <item x="713"/>
        <item x="716"/>
        <item x="717"/>
        <item x="718"/>
        <item x="719"/>
        <item x="720"/>
        <item x="721"/>
        <item x="722"/>
        <item x="723"/>
        <item x="724"/>
        <item x="662"/>
        <item x="725"/>
        <item x="726"/>
        <item x="727"/>
        <item x="728"/>
        <item x="730"/>
        <item x="731"/>
        <item x="692"/>
        <item x="732"/>
        <item x="733"/>
        <item x="735"/>
        <item x="734"/>
        <item x="668"/>
        <item x="698"/>
        <item x="693"/>
        <item x="694"/>
        <item x="695"/>
        <item x="696"/>
        <item x="700"/>
        <item x="697"/>
        <item x="665"/>
        <item x="667"/>
        <item x="664"/>
        <item x="663"/>
        <item x="666"/>
        <item x="729"/>
        <item x="714"/>
        <item x="715"/>
        <item x="701"/>
        <item x="706"/>
        <item x="707"/>
        <item x="708"/>
        <item x="709"/>
        <item x="736"/>
        <item x="742"/>
        <item x="746"/>
        <item x="747"/>
        <item x="748"/>
        <item x="749"/>
        <item x="750"/>
        <item x="751"/>
        <item x="752"/>
        <item x="753"/>
        <item x="754"/>
        <item x="755"/>
        <item x="756"/>
        <item x="757"/>
        <item x="758"/>
        <item x="759"/>
        <item x="760"/>
        <item x="761"/>
        <item x="762"/>
        <item x="763"/>
        <item x="743"/>
        <item x="744"/>
        <item x="745"/>
        <item x="771"/>
        <item x="770"/>
        <item x="773"/>
        <item x="772"/>
        <item x="775"/>
        <item x="776"/>
        <item x="774"/>
        <item x="777"/>
        <item x="778"/>
        <item x="779"/>
        <item x="780"/>
        <item x="817"/>
        <item x="818"/>
        <item x="819"/>
        <item x="820"/>
        <item x="821"/>
        <item x="822"/>
        <item x="824"/>
        <item x="825"/>
        <item x="829"/>
        <item x="830"/>
        <item x="833"/>
        <item x="834"/>
        <item x="894"/>
        <item x="835"/>
        <item x="836"/>
        <item x="841"/>
        <item x="842"/>
        <item x="839"/>
        <item x="872"/>
        <item x="873"/>
        <item x="874"/>
        <item x="845"/>
        <item x="846"/>
        <item x="897"/>
        <item x="848"/>
        <item x="847"/>
        <item x="862"/>
        <item x="857"/>
        <item x="866"/>
        <item x="877"/>
        <item x="884"/>
        <item x="885"/>
        <item x="886"/>
        <item x="887"/>
        <item x="905"/>
        <item x="888"/>
        <item x="882"/>
        <item x="878"/>
        <item x="879"/>
        <item x="880"/>
        <item x="889"/>
        <item x="895"/>
        <item x="898"/>
        <item x="909"/>
        <item x="914"/>
        <item x="906"/>
        <item x="916"/>
        <item x="919"/>
        <item x="924"/>
        <item x="927"/>
        <item x="908"/>
        <item x="859"/>
        <item x="854"/>
        <item x="855"/>
        <item x="913"/>
        <item x="915"/>
        <item x="918"/>
        <item x="899"/>
        <item x="903"/>
        <item x="932"/>
        <item x="934"/>
        <item x="935"/>
        <item x="942"/>
        <item x="941"/>
        <item x="943"/>
        <item x="944"/>
        <item x="946"/>
        <item x="947"/>
        <item x="957"/>
        <item x="933"/>
        <item x="959"/>
        <item x="940"/>
        <item x="956"/>
        <item x="958"/>
        <item x="928"/>
        <item x="929"/>
        <item x="930"/>
        <item x="931"/>
        <item x="961"/>
        <item x="963"/>
        <item x="962"/>
        <item x="965"/>
        <item x="970"/>
        <item x="971"/>
        <item x="972"/>
        <item x="925"/>
        <item x="926"/>
        <item x="1391"/>
        <item x="1392"/>
        <item x="973"/>
        <item x="974"/>
        <item x="983"/>
        <item x="1381"/>
        <item x="1386"/>
        <item x="1387"/>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333"/>
        <item x="1334"/>
        <item x="1372"/>
        <item x="1373"/>
        <item x="1374"/>
        <item x="1335"/>
        <item x="1336"/>
        <item x="1337"/>
        <item x="1338"/>
        <item x="1370"/>
        <item x="1341"/>
        <item x="1371"/>
        <item x="1378"/>
        <item x="1342"/>
        <item x="1343"/>
        <item x="1344"/>
        <item x="1345"/>
        <item x="1346"/>
        <item x="1347"/>
        <item x="1349"/>
        <item x="1350"/>
        <item x="1351"/>
        <item x="1353"/>
        <item x="1354"/>
        <item x="1356"/>
        <item x="1357"/>
        <item x="1358"/>
        <item x="1359"/>
        <item x="1360"/>
        <item x="1367"/>
        <item x="1368"/>
        <item x="1277"/>
        <item x="1308"/>
        <item x="1286"/>
        <item x="1288"/>
        <item x="1287"/>
        <item x="1290"/>
        <item x="1289"/>
        <item x="1297"/>
        <item x="1296"/>
        <item x="1291"/>
        <item x="1292"/>
        <item x="1295"/>
        <item x="1298"/>
        <item x="1278"/>
        <item x="1279"/>
        <item x="1280"/>
        <item x="1281"/>
        <item x="1282"/>
        <item x="1283"/>
        <item x="1304"/>
        <item x="1303"/>
        <item x="1307"/>
        <item x="1306"/>
        <item x="1302"/>
        <item x="1301"/>
        <item x="1309"/>
        <item x="1310"/>
        <item x="1311"/>
        <item x="1312"/>
        <item x="1313"/>
        <item x="1314"/>
        <item x="1315"/>
        <item x="1324"/>
        <item x="1325"/>
        <item x="1326"/>
        <item x="1327"/>
        <item x="1328"/>
        <item x="1329"/>
        <item x="1330"/>
        <item x="1331"/>
        <item x="1145"/>
        <item x="1146"/>
        <item x="1147"/>
        <item x="1148"/>
        <item x="1149"/>
        <item x="1193"/>
        <item x="1194"/>
        <item x="1195"/>
        <item x="1196"/>
        <item x="1197"/>
        <item x="1201"/>
        <item x="1240"/>
        <item x="1242"/>
        <item x="1243"/>
        <item x="1244"/>
        <item x="1150"/>
        <item x="1151"/>
        <item x="1152"/>
        <item x="1153"/>
        <item x="1154"/>
        <item x="1155"/>
        <item x="1167"/>
        <item x="1267"/>
        <item x="1268"/>
        <item x="1269"/>
        <item x="1270"/>
        <item x="1271"/>
        <item x="1202"/>
        <item x="1203"/>
        <item x="1213"/>
        <item x="1214"/>
        <item x="1215"/>
        <item x="1217"/>
        <item x="1218"/>
        <item x="1220"/>
        <item x="1221"/>
        <item x="1222"/>
        <item x="1223"/>
        <item x="1224"/>
        <item x="1204"/>
        <item x="1229"/>
        <item x="1233"/>
        <item x="1205"/>
        <item x="1206"/>
        <item x="1207"/>
        <item x="1212"/>
        <item x="1235"/>
        <item x="1168"/>
        <item x="1169"/>
        <item x="1170"/>
        <item x="1171"/>
        <item x="1172"/>
        <item x="1183"/>
        <item x="1256"/>
        <item x="1257"/>
        <item x="1258"/>
        <item x="1259"/>
        <item x="1260"/>
        <item x="1261"/>
        <item x="1266"/>
        <item x="1250"/>
        <item x="1254"/>
        <item x="1251"/>
        <item x="1252"/>
        <item x="1253"/>
        <item x="1245"/>
        <item x="1246"/>
        <item x="1247"/>
        <item x="1248"/>
        <item x="1249"/>
        <item x="1043"/>
        <item x="1044"/>
        <item x="1045"/>
        <item x="1046"/>
        <item x="1027"/>
        <item x="1028"/>
        <item x="1029"/>
        <item x="1030"/>
        <item x="1031"/>
        <item x="1038"/>
        <item x="1039"/>
        <item x="1040"/>
        <item x="1048"/>
        <item x="1049"/>
        <item x="1054"/>
        <item x="1083"/>
        <item x="1084"/>
        <item x="1085"/>
        <item x="1086"/>
        <item x="1087"/>
        <item x="1055"/>
        <item x="1056"/>
        <item x="1057"/>
        <item x="1058"/>
        <item x="1050"/>
        <item x="1059"/>
        <item x="1060"/>
        <item x="1061"/>
        <item x="1067"/>
        <item x="1068"/>
        <item x="1071"/>
        <item x="1073"/>
        <item x="1075"/>
        <item x="1077"/>
        <item x="1051"/>
        <item x="1069"/>
        <item x="1070"/>
        <item x="1072"/>
        <item x="1076"/>
        <item x="1079"/>
        <item x="1066"/>
        <item x="1052"/>
        <item x="1053"/>
        <item x="1107"/>
        <item x="1108"/>
        <item x="1109"/>
        <item x="1110"/>
        <item x="1111"/>
        <item x="1112"/>
        <item x="1094"/>
        <item x="1095"/>
        <item x="1096"/>
        <item x="1097"/>
        <item x="1098"/>
        <item x="1099"/>
        <item x="1100"/>
        <item x="1101"/>
        <item x="1106"/>
        <item x="1113"/>
        <item x="1114"/>
        <item x="1115"/>
        <item x="1116"/>
        <item x="1117"/>
        <item x="1118"/>
        <item x="1119"/>
        <item x="1120"/>
        <item x="1121"/>
        <item x="975"/>
        <item x="976"/>
        <item x="977"/>
        <item x="978"/>
        <item x="979"/>
        <item x="981"/>
        <item x="982"/>
        <item x="1545"/>
        <item x="1546"/>
        <item x="1547"/>
        <item x="1549"/>
        <item x="1550"/>
        <item x="1551"/>
        <item x="1394"/>
        <item x="1395"/>
        <item x="1396"/>
        <item x="1397"/>
        <item x="1552"/>
        <item x="1548"/>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625"/>
        <item x="1627"/>
        <item x="1628"/>
        <item x="1629"/>
        <item x="1630"/>
        <item x="1642"/>
        <item x="1643"/>
        <item x="1631"/>
        <item x="1626"/>
        <item x="1633"/>
        <item x="1634"/>
        <item x="1635"/>
        <item x="1636"/>
        <item x="1637"/>
        <item x="1528"/>
        <item x="1536"/>
        <item x="1537"/>
        <item x="1529"/>
        <item x="1531"/>
        <item x="1535"/>
        <item x="1532"/>
        <item x="1534"/>
        <item x="1533"/>
        <item x="1530"/>
        <item x="1544"/>
        <item x="1540"/>
        <item x="1541"/>
        <item x="1542"/>
        <item x="1543"/>
        <item x="1477"/>
        <item x="1478"/>
        <item x="1479"/>
        <item x="1480"/>
        <item x="1481"/>
        <item x="1482"/>
        <item x="1483"/>
        <item x="1484"/>
        <item x="1485"/>
        <item x="1486"/>
        <item x="1487"/>
        <item x="1488"/>
        <item x="1489"/>
        <item x="1490"/>
        <item x="1491"/>
        <item x="1495"/>
        <item x="1501"/>
        <item x="1502"/>
        <item x="1503"/>
        <item x="1504"/>
        <item x="1505"/>
        <item x="1506"/>
        <item x="1507"/>
        <item x="1512"/>
        <item x="1508"/>
        <item x="1509"/>
        <item x="1510"/>
        <item x="1511"/>
        <item x="1513"/>
        <item x="1514"/>
        <item x="1515"/>
        <item x="1516"/>
        <item x="1517"/>
        <item x="1518"/>
        <item x="1519"/>
        <item x="1520"/>
        <item x="1521"/>
        <item x="1522"/>
        <item x="1523"/>
        <item x="1524"/>
        <item x="1525"/>
        <item x="1526"/>
        <item x="1527"/>
        <item x="1398"/>
        <item x="1400"/>
        <item x="1403"/>
        <item x="1404"/>
        <item x="1405"/>
        <item x="1406"/>
        <item x="1407"/>
        <item x="1408"/>
        <item x="1409"/>
        <item x="1411"/>
        <item x="1412"/>
        <item x="1413"/>
        <item x="1401"/>
        <item x="1402"/>
        <item x="1399"/>
        <item x="1415"/>
        <item x="1416"/>
        <item x="1588"/>
        <item x="1590"/>
        <item x="1592"/>
        <item x="1591"/>
        <item x="1589"/>
        <item x="1593"/>
        <item x="1602"/>
        <item x="1603"/>
        <item x="1604"/>
        <item x="1605"/>
        <item x="1606"/>
        <item x="1607"/>
        <item x="1608"/>
        <item x="1613"/>
        <item x="1614"/>
        <item x="1609"/>
        <item x="1620"/>
        <item x="1622"/>
        <item x="1623"/>
        <item x="1624"/>
        <item x="1466"/>
        <item x="1468"/>
        <item x="1469"/>
        <item x="1470"/>
        <item x="1467"/>
        <item x="1575"/>
        <item x="1577"/>
        <item x="1581"/>
        <item x="1578"/>
        <item x="1579"/>
        <item x="1576"/>
        <item x="1582"/>
        <item x="1457"/>
        <item x="1459"/>
        <item x="1460"/>
        <item x="1461"/>
        <item x="1458"/>
        <item x="1462"/>
        <item x="1471"/>
        <item x="1473"/>
        <item x="1474"/>
        <item x="1475"/>
        <item x="1472"/>
        <item x="1476"/>
        <item x="1555"/>
        <item x="1557"/>
        <item x="1573"/>
        <item x="1558"/>
        <item x="1559"/>
        <item x="1560"/>
        <item x="1561"/>
        <item x="1562"/>
        <item x="1556"/>
        <item x="1041"/>
        <item x="378"/>
        <item x="379"/>
        <item x="381"/>
        <item x="1198"/>
        <item x="1157"/>
        <item x="376"/>
        <item x="1173"/>
        <item x="1156"/>
        <item x="185"/>
        <item x="365"/>
        <item x="363"/>
        <item x="439"/>
        <item x="442"/>
        <item x="1599"/>
        <item x="531"/>
        <item x="1191"/>
        <item x="1601"/>
        <item x="541"/>
        <item x="1570"/>
        <item x="543"/>
        <item x="1572"/>
        <item x="1587"/>
        <item x="1200"/>
        <item x="387"/>
        <item x="1585"/>
        <item x="331"/>
        <item x="1179"/>
        <item x="1568"/>
        <item x="1464"/>
        <item x="1596"/>
        <item x="1211"/>
        <item x="184"/>
        <item x="364"/>
        <item x="362"/>
        <item x="438"/>
        <item x="441"/>
        <item x="1598"/>
        <item x="530"/>
        <item x="1190"/>
        <item x="1600"/>
        <item x="540"/>
        <item x="1569"/>
        <item x="542"/>
        <item x="1571"/>
        <item x="1586"/>
        <item x="1199"/>
        <item x="386"/>
        <item x="1584"/>
        <item x="1178"/>
        <item x="1567"/>
        <item x="1463"/>
        <item x="1263"/>
        <item x="1210"/>
        <item x="1595"/>
        <item x="1158"/>
        <item x="1162"/>
        <item x="1275"/>
        <item x="1553"/>
        <item x="72"/>
        <item x="81"/>
        <item x="73"/>
        <item x="74"/>
        <item x="83"/>
        <item x="84"/>
        <item x="85"/>
        <item x="82"/>
        <item x="392"/>
        <item x="1379"/>
        <item x="1380"/>
        <item x="1382"/>
        <item x="262"/>
        <item x="1644"/>
        <item x="277"/>
        <item x="261"/>
        <item x="280"/>
        <item x="269"/>
        <item x="286"/>
        <item x="276"/>
        <item x="279"/>
        <item x="285"/>
        <item x="329"/>
        <item x="330"/>
        <item x="1264"/>
        <item x="1064"/>
        <item x="1621"/>
        <item x="1065"/>
        <item x="539"/>
        <item x="544"/>
        <item x="591"/>
        <item x="281"/>
        <item x="183"/>
        <item x="1159"/>
        <item x="1081"/>
        <item x="239"/>
        <item x="96"/>
        <item x="124"/>
        <item x="436"/>
        <item x="122"/>
        <item x="95"/>
        <item x="1208"/>
        <item x="1226"/>
        <item x="703"/>
        <item x="1554"/>
        <item x="1640"/>
        <item x="380"/>
        <item x="593"/>
        <item x="377"/>
        <item x="1493"/>
        <item x="1492"/>
        <item x="1192"/>
        <item x="587"/>
        <item x="585"/>
        <item x="588"/>
        <item x="586"/>
        <item x="271"/>
        <item x="592"/>
        <item x="80"/>
        <item x="1414"/>
        <item x="223"/>
        <item x="1241"/>
        <item x="150"/>
        <item x="151"/>
        <item x="1377"/>
      </items>
    </pivotField>
    <pivotField compact="0" outline="0" showAll="0" defaultSubtotal="0"/>
    <pivotField axis="axisRow" compact="0" outline="0" showAll="0" defaultSubtotal="0">
      <items count="1624">
        <item x="179"/>
        <item x="630"/>
        <item x="632"/>
        <item x="971"/>
        <item x="397"/>
        <item x="398"/>
        <item x="197"/>
        <item x="370"/>
        <item x="194"/>
        <item x="342"/>
        <item x="508"/>
        <item x="371"/>
        <item x="419"/>
        <item x="322"/>
        <item x="1309"/>
        <item x="1310"/>
        <item x="614"/>
        <item x="817"/>
        <item x="899"/>
        <item x="82"/>
        <item x="83"/>
        <item x="84"/>
        <item x="85"/>
        <item x="73"/>
        <item x="74"/>
        <item x="944"/>
        <item x="1363"/>
        <item x="1316"/>
        <item x="1542"/>
        <item x="1543"/>
        <item x="945"/>
        <item x="835"/>
        <item x="858"/>
        <item x="875"/>
        <item x="929"/>
        <item x="936"/>
        <item x="951"/>
        <item x="841"/>
        <item x="855"/>
        <item x="985"/>
        <item x="1004"/>
        <item x="720"/>
        <item x="269"/>
        <item x="1383"/>
        <item x="1427"/>
        <item x="1008"/>
        <item x="1420"/>
        <item x="1426"/>
        <item x="993"/>
        <item x="997"/>
        <item x="44"/>
        <item x="972"/>
        <item x="741"/>
        <item x="806"/>
        <item x="48"/>
        <item x="1423"/>
        <item x="1103"/>
        <item x="69"/>
        <item x="70"/>
        <item x="71"/>
        <item x="1280"/>
        <item x="86"/>
        <item x="87"/>
        <item x="88"/>
        <item x="90"/>
        <item x="93"/>
        <item x="89"/>
        <item x="91"/>
        <item x="99"/>
        <item x="100"/>
        <item x="301"/>
        <item x="305"/>
        <item x="309"/>
        <item x="310"/>
        <item x="306"/>
        <item x="307"/>
        <item x="308"/>
        <item x="323"/>
        <item x="318"/>
        <item x="319"/>
        <item x="313"/>
        <item x="316"/>
        <item x="314"/>
        <item x="315"/>
        <item x="317"/>
        <item x="311"/>
        <item x="312"/>
        <item x="321"/>
        <item x="66"/>
        <item x="1062"/>
        <item x="1051"/>
        <item x="1053"/>
        <item x="1052"/>
        <item x="1234"/>
        <item x="1236"/>
        <item x="1235"/>
        <item x="1233"/>
        <item x="588"/>
        <item x="589"/>
        <item x="598"/>
        <item x="591"/>
        <item x="596"/>
        <item x="595"/>
        <item x="592"/>
        <item x="594"/>
        <item x="597"/>
        <item x="593"/>
        <item x="1367"/>
        <item x="1500"/>
        <item x="1255"/>
        <item x="1257"/>
        <item x="1256"/>
        <item x="1254"/>
        <item x="129"/>
        <item x="153"/>
        <item x="72"/>
        <item x="391"/>
        <item x="157"/>
        <item x="270"/>
        <item m="1" x="1620"/>
        <item x="1171"/>
        <item x="282"/>
        <item x="853"/>
        <item x="1595"/>
        <item x="92"/>
        <item x="300"/>
        <item x="1050"/>
        <item x="1232"/>
        <item x="587"/>
        <item x="1253"/>
        <item x="1518"/>
        <item x="1577"/>
        <item x="1308"/>
        <item x="804"/>
        <item x="1484"/>
        <item x="389"/>
        <item x="1528"/>
        <item x="1492"/>
        <item x="702"/>
        <item x="620"/>
        <item x="1160"/>
        <item x="328"/>
        <item x="424"/>
        <item x="1445"/>
        <item x="1018"/>
        <item x="1063"/>
        <item x="1396"/>
        <item x="1565"/>
        <item x="689"/>
        <item x="638"/>
        <item x="1384"/>
        <item x="1401"/>
        <item x="1182"/>
        <item x="447"/>
        <item x="478"/>
        <item x="1189"/>
        <item x="1137"/>
        <item x="931"/>
        <item x="808"/>
        <item x="1142"/>
        <item x="837"/>
        <item x="836"/>
        <item x="541"/>
        <item x="1227"/>
        <item x="934"/>
        <item x="1608"/>
        <item x="1602"/>
        <item x="1600"/>
        <item x="1605"/>
        <item x="1617"/>
        <item x="599"/>
        <item x="529"/>
        <item x="536"/>
        <item x="1480"/>
        <item x="1046"/>
        <item x="1047"/>
        <item x="1562"/>
        <item x="1556"/>
        <item x="221"/>
        <item x="219"/>
        <item x="217"/>
        <item x="213"/>
        <item x="207"/>
        <item x="215"/>
        <item x="205"/>
        <item x="199"/>
        <item x="201"/>
        <item x="203"/>
        <item x="193"/>
        <item x="132"/>
        <item x="1550"/>
        <item x="1548"/>
        <item x="1546"/>
        <item x="361"/>
        <item x="330"/>
        <item x="439"/>
        <item x="184"/>
        <item x="385"/>
        <item x="1572"/>
        <item x="442"/>
        <item x="1575"/>
        <item x="1442"/>
        <item x="1197"/>
        <item x="1552"/>
        <item x="1534"/>
        <item x="1317"/>
        <item x="1372"/>
        <item x="1487"/>
        <item x="1353"/>
        <item x="1342"/>
        <item x="1340"/>
        <item x="1326"/>
        <item x="1337"/>
        <item x="1325"/>
        <item x="1356"/>
        <item x="1344"/>
        <item x="1368"/>
        <item x="1034"/>
        <item x="964"/>
        <item x="975"/>
        <item x="259"/>
        <item x="131"/>
        <item x="275"/>
        <item x="891"/>
        <item x="886"/>
        <item x="681"/>
        <item x="0"/>
        <item x="1580"/>
        <item x="332"/>
        <item x="1"/>
        <item x="7"/>
        <item x="811"/>
        <item x="812"/>
        <item x="815"/>
        <item x="621"/>
        <item x="1237"/>
        <item x="243"/>
        <item x="1029"/>
        <item x="1243"/>
        <item x="1086"/>
        <item x="1091"/>
        <item x="364"/>
        <item x="528"/>
        <item x="159"/>
        <item x="188"/>
        <item x="490"/>
        <item x="337"/>
        <item x="515"/>
        <item x="173"/>
        <item x="733"/>
        <item x="1293"/>
        <item x="1112"/>
        <item x="573"/>
        <item x="249"/>
        <item x="826"/>
        <item x="832"/>
        <item x="824"/>
        <item x="1588"/>
        <item x="947"/>
        <item x="949"/>
        <item x="1456"/>
        <item x="1619"/>
        <item x="1523"/>
        <item x="1380"/>
        <item x="1403"/>
        <item x="267"/>
        <item x="278"/>
        <item x="895"/>
        <item x="889"/>
        <item x="651"/>
        <item x="863"/>
        <item x="865"/>
        <item x="848"/>
        <item x="238"/>
        <item x="870"/>
        <item x="876"/>
        <item x="869"/>
        <item x="772"/>
        <item x="650"/>
        <item x="1290"/>
        <item x="1285"/>
        <item x="1287"/>
        <item x="1263"/>
        <item x="1272"/>
        <item x="284"/>
        <item x="1450"/>
        <item x="1174"/>
        <item x="1436"/>
        <item x="1582"/>
        <item x="1069"/>
        <item x="925"/>
        <item x="924"/>
        <item x="63"/>
        <item x="920"/>
        <item x="917"/>
        <item x="952"/>
        <item x="809"/>
        <item x="810"/>
        <item x="1261"/>
        <item x="1531"/>
        <item x="1150"/>
        <item x="378"/>
        <item x="1032"/>
        <item x="1187"/>
        <item x="1165"/>
        <item x="375"/>
        <item x="1148"/>
        <item x="1058"/>
        <item x="937"/>
        <item x="1040"/>
        <item x="1377"/>
        <item x="900"/>
        <item x="905"/>
        <item x="907"/>
        <item x="910"/>
        <item x="538"/>
        <item x="1578"/>
        <item x="297"/>
        <item x="395"/>
        <item x="1507"/>
        <item x="1430"/>
        <item x="1409"/>
        <item x="1432"/>
        <item x="1434"/>
        <item x="1433"/>
        <item x="1431"/>
        <item x="1435"/>
        <item x="1522"/>
        <item x="1520"/>
        <item x="1519"/>
        <item x="575"/>
        <item x="897"/>
        <item x="921"/>
        <item x="380"/>
        <item x="377"/>
        <item x="1149"/>
        <item x="1504"/>
        <item x="1393"/>
        <item x="1390"/>
        <item x="1391"/>
        <item x="1399"/>
        <item x="1394"/>
        <item x="1395"/>
        <item x="1398"/>
        <item x="1397"/>
        <item x="1392"/>
        <item x="1389"/>
        <item x="987"/>
        <item x="1005"/>
        <item x="838"/>
        <item x="393"/>
        <item x="1136"/>
        <item x="1115"/>
        <item x="670"/>
        <item x="669"/>
        <item x="1206"/>
        <item x="1332"/>
        <item x="1203"/>
        <item x="1114"/>
        <item x="1116"/>
        <item x="884"/>
        <item x="603"/>
        <item x="852"/>
        <item x="1152"/>
        <item x="873"/>
        <item x="844"/>
        <item x="894"/>
        <item x="1505"/>
        <item x="887"/>
        <item x="890"/>
        <item x="759"/>
        <item x="1226"/>
        <item x="675"/>
        <item x="1154"/>
        <item x="728"/>
        <item x="1314"/>
        <item x="1313"/>
        <item x="1315"/>
        <item x="1311"/>
        <item x="1312"/>
        <item x="260"/>
        <item x="1486"/>
        <item x="1485"/>
        <item x="777"/>
        <item x="1195"/>
        <item x="390"/>
        <item x="286"/>
        <item x="1374"/>
        <item x="1369"/>
        <item x="287"/>
        <item x="266"/>
        <item x="277"/>
        <item x="268"/>
        <item x="994"/>
        <item x="992"/>
        <item x="1529"/>
        <item x="1323"/>
        <item x="803"/>
        <item x="988"/>
        <item x="1006"/>
        <item x="31"/>
        <item x="29"/>
        <item x="624"/>
        <item x="622"/>
        <item x="626"/>
        <item x="623"/>
        <item x="625"/>
        <item x="629"/>
        <item x="1527"/>
        <item x="1525"/>
        <item x="1524"/>
        <item x="1037"/>
        <item x="1036"/>
        <item x="1496"/>
        <item x="336"/>
        <item x="1493"/>
        <item x="1495"/>
        <item x="1506"/>
        <item x="1026"/>
        <item x="1067"/>
        <item x="1173"/>
        <item x="1162"/>
        <item x="1164"/>
        <item x="1163"/>
        <item x="1161"/>
        <item x="960"/>
        <item x="264"/>
        <item x="959"/>
        <item x="958"/>
        <item x="1425"/>
        <item x="1428"/>
        <item x="995"/>
        <item x="1421"/>
        <item x="996"/>
        <item x="1422"/>
        <item x="280"/>
        <item x="655"/>
        <item x="893"/>
        <item x="981"/>
        <item x="425"/>
        <item x="426"/>
        <item x="427"/>
        <item x="432"/>
        <item x="434"/>
        <item x="435"/>
        <item x="429"/>
        <item x="430"/>
        <item x="431"/>
        <item x="433"/>
        <item x="329"/>
        <item x="989"/>
        <item x="762"/>
        <item x="761"/>
        <item x="1530"/>
        <item x="764"/>
        <item x="763"/>
        <item x="771"/>
        <item x="963"/>
        <item x="766"/>
        <item x="767"/>
        <item x="769"/>
        <item x="765"/>
        <item x="768"/>
        <item x="770"/>
        <item x="611"/>
        <item x="1447"/>
        <item x="1449"/>
        <item x="1382"/>
        <item x="1448"/>
        <item x="374"/>
        <item x="1019"/>
        <item x="1020"/>
        <item x="1022"/>
        <item x="1021"/>
        <item x="366"/>
        <item x="365"/>
        <item x="367"/>
        <item x="576"/>
        <item x="578"/>
        <item x="577"/>
        <item x="1121"/>
        <item x="637"/>
        <item x="805"/>
        <item x="644"/>
        <item x="639"/>
        <item x="642"/>
        <item x="641"/>
        <item x="643"/>
        <item x="640"/>
        <item x="787"/>
        <item x="1597"/>
        <item x="607"/>
        <item x="983"/>
        <item x="990"/>
        <item x="369"/>
        <item x="368"/>
        <item x="372"/>
        <item x="1569"/>
        <item x="1568"/>
        <item x="1567"/>
        <item x="1570"/>
        <item x="982"/>
        <item x="1007"/>
        <item x="695"/>
        <item x="690"/>
        <item x="696"/>
        <item x="1386"/>
        <item x="1388"/>
        <item x="1387"/>
        <item x="1402"/>
        <item x="1151"/>
        <item x="496"/>
        <item x="510"/>
        <item x="509"/>
        <item x="437"/>
        <item x="95"/>
        <item x="122"/>
        <item x="480"/>
        <item x="448"/>
        <item x="449"/>
        <item x="479"/>
        <item x="473"/>
        <item x="1188"/>
        <item x="1184"/>
        <item x="1186"/>
        <item x="1185"/>
        <item x="1183"/>
        <item x="1381"/>
        <item x="465"/>
        <item x="468"/>
        <item x="467"/>
        <item x="483"/>
        <item x="469"/>
        <item x="464"/>
        <item x="450"/>
        <item x="461"/>
        <item x="462"/>
        <item x="463"/>
        <item x="489"/>
        <item x="485"/>
        <item x="456"/>
        <item x="486"/>
        <item x="487"/>
        <item x="455"/>
        <item x="460"/>
        <item x="459"/>
        <item x="484"/>
        <item x="458"/>
        <item x="452"/>
        <item x="482"/>
        <item x="454"/>
        <item x="488"/>
        <item x="457"/>
        <item x="451"/>
        <item x="453"/>
        <item x="955"/>
        <item x="1365"/>
        <item x="1366"/>
        <item x="1502"/>
        <item x="1199"/>
        <item x="1526"/>
        <item x="1222"/>
        <item x="1497"/>
        <item x="1191"/>
        <item x="1193"/>
        <item x="1192"/>
        <item x="1190"/>
        <item x="1414"/>
        <item x="856"/>
        <item x="834"/>
        <item x="930"/>
        <item x="943"/>
        <item x="831"/>
        <item x="819"/>
        <item x="868"/>
        <item x="840"/>
        <item x="914"/>
        <item x="913"/>
        <item x="912"/>
        <item x="613"/>
        <item x="1080"/>
        <item x="296"/>
        <item x="609"/>
        <item x="77"/>
        <item x="616"/>
        <item x="1212"/>
        <item x="1271"/>
        <item x="610"/>
        <item x="265"/>
        <item x="476"/>
        <item x="477"/>
        <item x="1350"/>
        <item x="957"/>
        <item x="147"/>
        <item x="1097"/>
        <item x="54"/>
        <item x="62"/>
        <item x="53"/>
        <item x="758"/>
        <item x="1361"/>
        <item x="1302"/>
        <item x="1301"/>
        <item x="662"/>
        <item x="229"/>
        <item x="232"/>
        <item x="292"/>
        <item x="235"/>
        <item x="757"/>
        <item x="60"/>
        <item x="51"/>
        <item x="636"/>
        <item x="1139"/>
        <item x="1141"/>
        <item x="1140"/>
        <item x="1138"/>
        <item x="933"/>
        <item x="932"/>
        <item x="1269"/>
        <item x="896"/>
        <item x="854"/>
        <item x="883"/>
        <item x="859"/>
        <item x="1109"/>
        <item x="1108"/>
        <item x="1159"/>
        <item x="1498"/>
        <item x="1144"/>
        <item x="1146"/>
        <item x="1145"/>
        <item x="1143"/>
        <item x="1419"/>
        <item x="539"/>
        <item x="991"/>
        <item x="973"/>
        <item x="738"/>
        <item x="773"/>
        <item x="718"/>
        <item x="543"/>
        <item x="712"/>
        <item x="1474"/>
        <item x="1214"/>
        <item x="1585"/>
        <item x="1229"/>
        <item x="1501"/>
        <item x="1231"/>
        <item x="1230"/>
        <item x="1410"/>
        <item x="1415"/>
        <item x="400"/>
        <item x="403"/>
        <item x="401"/>
        <item x="404"/>
        <item x="665"/>
        <item x="666"/>
        <item x="526"/>
        <item x="1196"/>
        <item x="1105"/>
        <item x="1106"/>
        <item x="474"/>
        <item x="1068"/>
        <item x="302"/>
        <item x="304"/>
        <item x="303"/>
        <item x="152"/>
        <item x="828"/>
        <item x="691"/>
        <item x="1168"/>
        <item x="1119"/>
        <item x="357"/>
        <item x="534"/>
        <item x="580"/>
        <item x="1279"/>
        <item x="181"/>
        <item x="381"/>
        <item x="1096"/>
        <item x="445"/>
        <item x="1555"/>
        <item x="96"/>
        <item x="851"/>
        <item x="902"/>
        <item x="939"/>
        <item x="612"/>
        <item x="255"/>
        <item x="257"/>
        <item x="1135"/>
        <item x="755"/>
        <item x="617"/>
        <item x="860"/>
        <item x="822"/>
        <item x="915"/>
        <item x="1411"/>
        <item x="1416"/>
        <item x="1260"/>
        <item x="1614"/>
        <item x="1615"/>
        <item x="1616"/>
        <item x="1612"/>
        <item x="1609"/>
        <item x="1610"/>
        <item x="1613"/>
        <item x="1611"/>
        <item x="1604"/>
        <item x="1603"/>
        <item x="1601"/>
        <item x="272"/>
        <item x="600"/>
        <item x="601"/>
        <item x="602"/>
        <item x="416"/>
        <item x="535"/>
        <item x="417"/>
        <item x="537"/>
        <item x="531"/>
        <item x="530"/>
        <item x="174"/>
        <item x="176"/>
        <item x="175"/>
        <item x="1241"/>
        <item x="1481"/>
        <item x="1482"/>
        <item x="1483"/>
        <item x="1099"/>
        <item x="160"/>
        <item x="163"/>
        <item x="165"/>
        <item x="168"/>
        <item x="170"/>
        <item x="164"/>
        <item x="167"/>
        <item x="169"/>
        <item x="162"/>
        <item x="161"/>
        <item x="1412"/>
        <item x="1417"/>
        <item x="1424"/>
        <item x="1078"/>
        <item x="1429"/>
        <item x="1009"/>
        <item x="998"/>
        <item x="779"/>
        <item x="1076"/>
        <item x="1077"/>
        <item x="1075"/>
        <item x="1079"/>
        <item x="967"/>
        <item x="970"/>
        <item x="1003"/>
        <item x="1599"/>
        <item x="684"/>
        <item x="402"/>
        <item x="634"/>
        <item x="663"/>
        <item x="68"/>
        <item x="1300"/>
        <item x="110"/>
        <item x="67"/>
        <item x="55"/>
        <item x="52"/>
        <item x="187"/>
        <item x="1563"/>
        <item x="1558"/>
        <item x="1560"/>
        <item x="1559"/>
        <item x="1413"/>
        <item x="1418"/>
        <item x="189"/>
        <item x="212"/>
        <item x="208"/>
        <item x="210"/>
        <item x="222"/>
        <item x="220"/>
        <item x="218"/>
        <item x="214"/>
        <item x="209"/>
        <item x="216"/>
        <item x="211"/>
        <item x="191"/>
        <item x="198"/>
        <item x="206"/>
        <item x="200"/>
        <item x="202"/>
        <item x="204"/>
        <item x="195"/>
        <item x="196"/>
        <item x="135"/>
        <item x="133"/>
        <item x="134"/>
        <item x="704"/>
        <item x="1551"/>
        <item x="1549"/>
        <item x="1547"/>
        <item x="362"/>
        <item x="440"/>
        <item x="185"/>
        <item x="386"/>
        <item x="1573"/>
        <item x="443"/>
        <item x="1576"/>
        <item x="1443"/>
        <item x="1250"/>
        <item x="1198"/>
        <item x="760"/>
        <item x="1540"/>
        <item x="1539"/>
        <item x="1536"/>
        <item x="1538"/>
        <item x="1537"/>
        <item x="1541"/>
        <item x="1553"/>
        <item x="1499"/>
        <item x="1221"/>
        <item x="1364"/>
        <item x="1319"/>
        <item x="1321"/>
        <item x="1320"/>
        <item x="1318"/>
        <item x="1268"/>
        <item x="1267"/>
        <item x="1373"/>
        <item x="109"/>
        <item x="1491"/>
        <item x="1489"/>
        <item x="1488"/>
        <item x="1354"/>
        <item x="1359"/>
        <item x="1360"/>
        <item x="1343"/>
        <item x="1341"/>
        <item x="1333"/>
        <item x="1338"/>
        <item x="1327"/>
        <item x="1329"/>
        <item x="1335"/>
        <item x="1331"/>
        <item x="1357"/>
        <item x="1346"/>
        <item x="604"/>
        <item x="75"/>
        <item x="1259"/>
        <item x="1473"/>
        <item x="1001"/>
        <item x="1000"/>
        <item x="1011"/>
        <item x="1013"/>
        <item x="1015"/>
        <item x="1014"/>
        <item x="1012"/>
        <item x="1010"/>
        <item x="1035"/>
        <item x="984"/>
        <item x="965"/>
        <item x="999"/>
        <item x="1002"/>
        <item x="16"/>
        <item x="1606"/>
        <item x="27"/>
        <item x="1049"/>
        <item x="713"/>
        <item x="727"/>
        <item x="138"/>
        <item x="43"/>
        <item x="155"/>
        <item x="154"/>
        <item x="276"/>
        <item x="140"/>
        <item x="4"/>
        <item x="3"/>
        <item x="34"/>
        <item x="32"/>
        <item x="1093"/>
        <item x="715"/>
        <item x="726"/>
        <item x="687"/>
        <item x="740"/>
        <item x="986"/>
        <item x="714"/>
        <item x="605"/>
        <item x="606"/>
        <item x="1258"/>
        <item x="1472"/>
        <item x="1471"/>
        <item x="743"/>
        <item x="793"/>
        <item x="745"/>
        <item x="245"/>
        <item x="1041"/>
        <item x="928"/>
        <item x="61"/>
        <item x="6"/>
        <item x="5"/>
        <item x="45"/>
        <item x="49"/>
        <item x="46"/>
        <item x="50"/>
        <item x="1225"/>
        <item x="180"/>
        <item x="511"/>
        <item x="444"/>
        <item x="438"/>
        <item x="1039"/>
        <item x="1167"/>
        <item x="1169"/>
        <item x="1581"/>
        <item x="333"/>
        <item x="30"/>
        <item x="697"/>
        <item x="797"/>
        <item x="798"/>
        <item x="795"/>
        <item x="796"/>
        <item x="801"/>
        <item x="783"/>
        <item x="26"/>
        <item x="39"/>
        <item x="737"/>
        <item x="752"/>
        <item x="788"/>
        <item x="41"/>
        <item x="1060"/>
        <item x="940"/>
        <item x="847"/>
        <item x="813"/>
        <item x="816"/>
        <item x="839"/>
        <item x="654"/>
        <item x="652"/>
        <item x="653"/>
        <item x="491"/>
        <item x="494"/>
        <item x="493"/>
        <item x="495"/>
        <item x="497"/>
        <item x="503"/>
        <item x="498"/>
        <item x="499"/>
        <item x="504"/>
        <item x="500"/>
        <item x="501"/>
        <item x="502"/>
        <item x="492"/>
        <item x="1238"/>
        <item x="1240"/>
        <item x="1239"/>
        <item x="583"/>
        <item x="412"/>
        <item x="413"/>
        <item x="414"/>
        <item x="244"/>
        <item x="392"/>
        <item x="80"/>
        <item x="1400"/>
        <item x="825"/>
        <item x="470"/>
        <item x="471"/>
        <item x="420"/>
        <item x="1362"/>
        <item x="281"/>
        <item x="261"/>
        <item x="263"/>
        <item x="1375"/>
        <item x="262"/>
        <item x="223"/>
        <item x="892"/>
        <item x="240"/>
        <item x="1031"/>
        <item x="1030"/>
        <item x="186"/>
        <item x="1057"/>
        <item x="172"/>
        <item x="674"/>
        <item x="1304"/>
        <item x="117"/>
        <item x="1591"/>
        <item x="231"/>
        <item x="1379"/>
        <item x="56"/>
        <item x="619"/>
        <item x="234"/>
        <item x="1123"/>
        <item x="1218"/>
        <item x="331"/>
        <item x="942"/>
        <item x="814"/>
        <item x="885"/>
        <item x="861"/>
        <item x="888"/>
        <item x="254"/>
        <item x="225"/>
        <item x="256"/>
        <item x="1245"/>
        <item x="1247"/>
        <item x="1246"/>
        <item x="1252"/>
        <item x="1244"/>
        <item x="1248"/>
        <item x="1358"/>
        <item x="97"/>
        <item x="1544"/>
        <item x="1033"/>
        <item x="1090"/>
        <item x="778"/>
        <item x="1089"/>
        <item x="1088"/>
        <item x="1098"/>
        <item x="1087"/>
        <item x="1111"/>
        <item x="969"/>
        <item x="968"/>
        <item x="37"/>
        <item x="38"/>
        <item x="1598"/>
        <item x="683"/>
        <item x="751"/>
        <item x="823"/>
        <item x="953"/>
        <item x="956"/>
        <item x="646"/>
        <item x="647"/>
        <item x="648"/>
        <item x="649"/>
        <item x="1298"/>
        <item x="1294"/>
        <item x="1297"/>
        <item x="1299"/>
        <item x="158"/>
        <item x="1157"/>
        <item m="1" x="1621"/>
        <item x="1172"/>
        <item x="283"/>
        <item x="271"/>
        <item x="274"/>
        <item x="1521"/>
        <item x="1494"/>
        <item x="1113"/>
        <item x="428"/>
        <item x="1446"/>
        <item x="373"/>
        <item x="1566"/>
        <item x="1385"/>
        <item x="472"/>
        <item x="481"/>
        <item x="849"/>
        <item x="145"/>
        <item x="177"/>
        <item x="166"/>
        <item x="1557"/>
        <item x="192"/>
        <item x="136"/>
        <item x="1535"/>
        <item x="1490"/>
        <item x="1470"/>
        <item x="113"/>
        <item x="353"/>
        <item x="1292"/>
        <item x="1451"/>
        <item x="1437"/>
        <item x="524"/>
        <item x="98"/>
        <item x="918"/>
        <item x="590"/>
        <item x="574"/>
        <item x="734"/>
        <item x="736"/>
        <item x="735"/>
        <item x="250"/>
        <item x="388"/>
        <item x="171"/>
        <item x="664"/>
        <item x="659"/>
        <item x="660"/>
        <item x="116"/>
        <item x="1355"/>
        <item x="78"/>
        <item x="149"/>
        <item x="1352"/>
        <item x="295"/>
        <item x="1336"/>
        <item x="1371"/>
        <item x="1072"/>
        <item x="112"/>
        <item x="1126"/>
        <item x="1024"/>
        <item x="1128"/>
        <item x="1082"/>
        <item x="1564"/>
        <item x="143"/>
        <item x="141"/>
        <item x="527"/>
        <item x="130"/>
        <item x="290"/>
        <item x="142"/>
        <item x="384"/>
        <item x="226"/>
        <item x="1016"/>
        <item x="227"/>
        <item x="1017"/>
        <item x="59"/>
        <item x="58"/>
        <item x="383"/>
        <item x="1479"/>
        <item x="79"/>
        <item m="1" x="1622"/>
        <item x="1074"/>
        <item x="1134"/>
        <item x="1122"/>
        <item x="898"/>
        <item x="916"/>
        <item x="827"/>
        <item x="833"/>
        <item x="830"/>
        <item m="1" x="1623"/>
        <item x="355"/>
        <item x="324"/>
        <item x="108"/>
        <item x="1477"/>
        <item x="183"/>
        <item x="1596"/>
        <item x="1213"/>
        <item x="533"/>
        <item x="1056"/>
        <item x="1328"/>
        <item x="1334"/>
        <item x="1330"/>
        <item x="1204"/>
        <item x="1208"/>
        <item x="1201"/>
        <item x="1275"/>
        <item x="1281"/>
        <item x="1273"/>
        <item x="977"/>
        <item x="978"/>
        <item x="979"/>
        <item x="980"/>
        <item x="976"/>
        <item x="1405"/>
        <item x="1406"/>
        <item x="1407"/>
        <item x="1408"/>
        <item x="1404"/>
        <item x="293"/>
        <item x="294"/>
        <item x="291"/>
        <item x="1589"/>
        <item x="1211"/>
        <item x="466"/>
        <item x="1073"/>
        <item x="512"/>
        <item x="1533"/>
        <item x="1503"/>
        <item x="1457"/>
        <item x="1463"/>
        <item x="1460"/>
        <item x="1458"/>
        <item x="1466"/>
        <item x="1465"/>
        <item x="1467"/>
        <item x="1464"/>
        <item x="1459"/>
        <item x="1469"/>
        <item x="1468"/>
        <item x="1461"/>
        <item x="1462"/>
        <item x="505"/>
        <item x="507"/>
        <item x="506"/>
        <item x="628"/>
        <item x="627"/>
        <item x="717"/>
        <item x="961"/>
        <item x="1147"/>
        <item x="1545"/>
        <item x="744"/>
        <item x="794"/>
        <item x="792"/>
        <item x="789"/>
        <item x="746"/>
        <item x="246"/>
        <item x="1042"/>
        <item x="790"/>
        <item x="791"/>
        <item x="475"/>
        <item x="11"/>
        <item x="10"/>
        <item x="9"/>
        <item x="8"/>
        <item x="15"/>
        <item x="14"/>
        <item x="13"/>
        <item x="12"/>
        <item x="22"/>
        <item x="1618"/>
        <item x="28"/>
        <item x="1048"/>
        <item x="710"/>
        <item x="703"/>
        <item x="47"/>
        <item x="279"/>
        <item x="754"/>
        <item x="35"/>
        <item x="33"/>
        <item x="1092"/>
        <item x="707"/>
        <item x="753"/>
        <item x="724"/>
        <item x="657"/>
        <item x="742"/>
        <item x="711"/>
        <item x="514"/>
        <item x="962"/>
        <item x="922"/>
        <item x="273"/>
        <item x="756"/>
        <item x="671"/>
        <item x="677"/>
        <item x="676"/>
        <item x="1590"/>
        <item x="699"/>
        <item x="948"/>
        <item x="935"/>
        <item x="673"/>
        <item x="950"/>
        <item x="938"/>
        <item x="820"/>
        <item x="680"/>
        <item x="359"/>
        <item x="845"/>
        <item x="846"/>
        <item x="864"/>
        <item x="866"/>
        <item x="850"/>
        <item x="694"/>
        <item x="843"/>
        <item x="842"/>
        <item x="1179"/>
        <item x="1584"/>
        <item x="1277"/>
        <item x="1210"/>
        <item x="1205"/>
        <item x="1209"/>
        <item x="1207"/>
        <item x="1202"/>
        <item x="242"/>
        <item x="241"/>
        <item x="334"/>
        <item x="335"/>
        <item x="1200"/>
        <item x="104"/>
        <item x="105"/>
        <item x="347"/>
        <item x="343"/>
        <item x="349"/>
        <item x="350"/>
        <item x="344"/>
        <item x="346"/>
        <item x="341"/>
        <item x="348"/>
        <item x="345"/>
        <item x="351"/>
        <item x="352"/>
        <item x="360"/>
        <item x="338"/>
        <item x="340"/>
        <item x="339"/>
        <item x="358"/>
        <item x="106"/>
        <item x="118"/>
        <item x="114"/>
        <item x="115"/>
        <item x="119"/>
        <item x="120"/>
        <item x="121"/>
        <item x="127"/>
        <item x="125"/>
        <item x="126"/>
        <item x="872"/>
        <item x="871"/>
        <item x="880"/>
        <item x="879"/>
        <item x="878"/>
        <item x="877"/>
        <item x="874"/>
        <item x="881"/>
        <item x="857"/>
        <item x="658"/>
        <item x="667"/>
        <item x="829"/>
        <item x="656"/>
        <item x="721"/>
        <item x="732"/>
        <item x="722"/>
        <item x="723"/>
        <item x="725"/>
        <item x="705"/>
        <item x="774"/>
        <item x="776"/>
        <item x="785"/>
        <item x="775"/>
        <item x="799"/>
        <item x="682"/>
        <item x="731"/>
        <item x="719"/>
        <item x="786"/>
        <item x="800"/>
        <item x="1286"/>
        <item x="1264"/>
        <item x="1291"/>
        <item x="1288"/>
        <item x="1266"/>
        <item x="1265"/>
        <item x="1276"/>
        <item x="1282"/>
        <item x="1274"/>
        <item x="1478"/>
        <item x="1476"/>
        <item x="1219"/>
        <item x="1289"/>
        <item x="94"/>
        <item x="441"/>
        <item x="107"/>
        <item x="387"/>
        <item x="1574"/>
        <item x="818"/>
        <item x="1215"/>
        <item x="1133"/>
        <item x="1220"/>
        <item x="252"/>
        <item x="572"/>
        <item x="436"/>
        <item x="1306"/>
        <item x="327"/>
        <item x="1339"/>
        <item x="1284"/>
        <item x="326"/>
        <item x="236"/>
        <item x="545"/>
        <item x="540"/>
        <item x="356"/>
        <item x="862"/>
        <item x="909"/>
        <item x="904"/>
        <item x="247"/>
        <item x="285"/>
        <item x="685"/>
        <item x="686"/>
        <item x="867"/>
        <item x="1131"/>
        <item x="1452"/>
        <item x="1454"/>
        <item x="1453"/>
        <item x="1455"/>
        <item x="1176"/>
        <item x="1178"/>
        <item x="1177"/>
        <item x="1175"/>
        <item x="747"/>
        <item x="750"/>
        <item x="749"/>
        <item x="748"/>
        <item x="1025"/>
        <item x="692"/>
        <item x="1438"/>
        <item x="1440"/>
        <item x="1439"/>
        <item x="1441"/>
        <item x="582"/>
        <item x="1583"/>
        <item x="1345"/>
        <item x="1100"/>
        <item x="1101"/>
        <item x="1102"/>
        <item x="1347"/>
        <item x="1586"/>
        <item x="1118"/>
        <item x="1370"/>
        <item x="230"/>
        <item x="1083"/>
        <item x="1084"/>
        <item x="1064"/>
        <item x="1065"/>
        <item x="516"/>
        <item x="518"/>
        <item x="517"/>
        <item x="525"/>
        <item x="1045"/>
        <item x="519"/>
        <item x="520"/>
        <item x="521"/>
        <item x="523"/>
        <item x="522"/>
        <item x="1216"/>
        <item x="926"/>
        <item x="927"/>
        <item x="1081"/>
        <item x="1307"/>
        <item x="688"/>
        <item x="1516"/>
        <item x="1517"/>
        <item x="1594"/>
        <item x="668"/>
        <item x="1349"/>
        <item x="672"/>
        <item x="1085"/>
        <item x="1027"/>
        <item x="700"/>
        <item x="1217"/>
        <item x="1125"/>
        <item x="513"/>
        <item x="233"/>
        <item x="1055"/>
        <item x="1054"/>
        <item x="1117"/>
        <item x="586"/>
        <item x="1181"/>
        <item x="2"/>
        <item x="64"/>
        <item x="679"/>
        <item x="678"/>
        <item x="76"/>
        <item x="148"/>
        <item x="1158"/>
        <item x="615"/>
        <item x="128"/>
        <item x="730"/>
        <item x="1124"/>
        <item x="1283"/>
        <item x="1251"/>
        <item x="1127"/>
        <item x="1170"/>
        <item x="146"/>
        <item x="1376"/>
        <item x="1132"/>
        <item x="1155"/>
        <item x="919"/>
        <item x="954"/>
        <item x="701"/>
        <item x="631"/>
        <item x="633"/>
        <item x="585"/>
        <item x="584"/>
        <item x="821"/>
        <item x="65"/>
        <item x="190"/>
        <item x="139"/>
        <item x="18"/>
        <item x="17"/>
        <item x="21"/>
        <item x="20"/>
        <item x="19"/>
        <item x="25"/>
        <item x="24"/>
        <item x="23"/>
        <item x="608"/>
        <item x="1592"/>
        <item x="1129"/>
        <item x="1023"/>
        <item x="1305"/>
        <item x="1351"/>
        <item x="228"/>
        <item x="1532"/>
        <item x="123"/>
        <item x="1324"/>
        <item x="1223"/>
        <item x="1038"/>
        <item x="1166"/>
        <item x="1554"/>
        <item x="354"/>
        <item x="446"/>
        <item x="1278"/>
        <item x="1444"/>
        <item x="382"/>
        <item x="1249"/>
        <item x="1587"/>
        <item x="325"/>
        <item x="376"/>
        <item x="379"/>
        <item x="1180"/>
        <item x="1262"/>
        <item x="1156"/>
        <item x="1094"/>
        <item x="1242"/>
        <item x="1561"/>
        <item x="1571"/>
        <item x="178"/>
        <item x="1270"/>
        <item x="182"/>
        <item x="1066"/>
        <item x="1070"/>
        <item x="1194"/>
        <item x="137"/>
        <item x="320"/>
        <item x="1059"/>
        <item x="1061"/>
        <item x="1104"/>
        <item x="1044"/>
        <item x="1110"/>
        <item x="1107"/>
        <item x="966"/>
        <item x="1043"/>
        <item x="1071"/>
        <item x="579"/>
        <item x="363"/>
        <item x="1224"/>
        <item x="739"/>
        <item x="923"/>
        <item x="239"/>
        <item x="1378"/>
        <item x="901"/>
        <item x="906"/>
        <item x="908"/>
        <item x="911"/>
        <item x="693"/>
        <item x="1475"/>
        <item x="560"/>
        <item x="547"/>
        <item x="548"/>
        <item x="544"/>
        <item x="559"/>
        <item x="558"/>
        <item x="557"/>
        <item x="549"/>
        <item x="550"/>
        <item x="542"/>
        <item x="546"/>
        <item x="555"/>
        <item x="556"/>
        <item x="551"/>
        <item x="552"/>
        <item x="567"/>
        <item x="553"/>
        <item x="564"/>
        <item x="568"/>
        <item x="561"/>
        <item x="565"/>
        <item x="569"/>
        <item x="562"/>
        <item x="566"/>
        <item x="570"/>
        <item x="563"/>
        <item x="554"/>
        <item x="571"/>
        <item x="418"/>
        <item x="415"/>
        <item x="408"/>
        <item x="410"/>
        <item x="396"/>
        <item x="407"/>
        <item x="406"/>
        <item x="422"/>
        <item x="421"/>
        <item x="399"/>
        <item x="903"/>
        <item x="1579"/>
        <item x="299"/>
        <item x="298"/>
        <item x="698"/>
        <item x="782"/>
        <item x="409"/>
        <item x="405"/>
        <item x="36"/>
        <item x="40"/>
        <item x="645"/>
        <item x="784"/>
        <item x="42"/>
        <item x="706"/>
        <item x="708"/>
        <item x="709"/>
        <item x="716"/>
        <item x="411"/>
        <item x="423"/>
        <item x="288"/>
        <item x="289"/>
        <item x="974"/>
        <item x="394"/>
        <item x="81"/>
        <item x="780"/>
        <item x="781"/>
        <item x="101"/>
        <item x="635"/>
        <item x="102"/>
        <item x="103"/>
        <item x="1322"/>
        <item x="1120"/>
        <item x="581"/>
        <item x="124"/>
        <item x="661"/>
        <item x="253"/>
        <item x="156"/>
        <item x="111"/>
        <item x="224"/>
        <item x="532"/>
        <item x="1593"/>
        <item x="237"/>
        <item x="248"/>
        <item x="57"/>
        <item x="1130"/>
        <item x="1348"/>
        <item x="258"/>
        <item x="618"/>
        <item x="729"/>
        <item x="1607"/>
        <item x="1303"/>
        <item x="1028"/>
        <item x="946"/>
        <item x="1153"/>
        <item x="251"/>
        <item x="1510"/>
        <item x="1512"/>
        <item x="1511"/>
        <item x="1515"/>
        <item x="1296"/>
        <item x="1508"/>
        <item x="1514"/>
        <item x="1513"/>
        <item x="1295"/>
        <item x="1509"/>
        <item x="807"/>
        <item x="144"/>
        <item x="882"/>
        <item x="941"/>
        <item x="1095"/>
        <item x="1228"/>
        <item x="150"/>
        <item x="151"/>
        <item x="802"/>
      </items>
    </pivotField>
    <pivotField axis="axisPage" compact="0" outline="0" showAll="0">
      <items count="24">
        <item x="2"/>
        <item x="15"/>
        <item x="10"/>
        <item x="11"/>
        <item x="20"/>
        <item x="6"/>
        <item x="3"/>
        <item x="8"/>
        <item x="14"/>
        <item x="19"/>
        <item x="1"/>
        <item x="18"/>
        <item x="16"/>
        <item x="12"/>
        <item x="9"/>
        <item x="21"/>
        <item x="7"/>
        <item x="13"/>
        <item x="4"/>
        <item x="22"/>
        <item x="17"/>
        <item x="5"/>
        <item x="0"/>
        <item t="default"/>
      </items>
    </pivotField>
    <pivotField axis="axisPage" compact="0" outline="0" multipleItemSelectionAllowed="1" showAll="0">
      <items count="7">
        <item h="1" x="5"/>
        <item h="1" x="4"/>
        <item h="1" x="2"/>
        <item x="0"/>
        <item x="3"/>
        <item x="1"/>
        <item t="default"/>
      </items>
    </pivotField>
    <pivotField compact="0" outline="0" showAll="0"/>
    <pivotField compact="0" outline="0" showAll="0"/>
  </pivotFields>
  <rowFields count="5">
    <field x="0"/>
    <field x="3"/>
    <field x="4"/>
    <field x="5"/>
    <field x="7"/>
  </rowFields>
  <rowItems count="1321">
    <i>
      <x/>
      <x v="17"/>
      <x v="216"/>
      <x v="837"/>
      <x v="139"/>
    </i>
    <i r="1">
      <x v="18"/>
      <x v="216"/>
      <x v="838"/>
      <x v="403"/>
    </i>
    <i r="3">
      <x v="839"/>
      <x v="405"/>
    </i>
    <i r="3">
      <x v="840"/>
      <x v="402"/>
    </i>
    <i r="3">
      <x v="841"/>
      <x v="406"/>
    </i>
    <i r="3">
      <x v="842"/>
      <x v="407"/>
    </i>
    <i r="3">
      <x v="843"/>
      <x v="404"/>
    </i>
    <i r="3">
      <x v="844"/>
      <x v="1166"/>
    </i>
    <i r="3">
      <x v="845"/>
      <x v="1165"/>
    </i>
    <i r="3">
      <x v="846"/>
      <x v="1"/>
    </i>
    <i r="3">
      <x v="848"/>
      <x v="2"/>
    </i>
    <i r="3">
      <x v="850"/>
      <x v="234"/>
    </i>
    <i r="1">
      <x v="19"/>
      <x v="20"/>
      <x v="868"/>
      <x v="482"/>
    </i>
    <i r="3">
      <x v="875"/>
      <x v="53"/>
    </i>
    <i r="3">
      <x v="894"/>
      <x v="133"/>
    </i>
    <i r="2">
      <x v="106"/>
      <x v="943"/>
      <x v="249"/>
    </i>
    <i r="3">
      <x v="944"/>
      <x v="914"/>
    </i>
    <i r="3">
      <x v="945"/>
      <x v="634"/>
    </i>
    <i r="3">
      <x v="946"/>
      <x v="1502"/>
    </i>
    <i r="3">
      <x v="947"/>
      <x v="873"/>
    </i>
    <i r="3">
      <x v="948"/>
      <x v="52"/>
    </i>
    <i r="3">
      <x v="949"/>
      <x v="1205"/>
    </i>
    <i r="3">
      <x v="950"/>
      <x v="881"/>
    </i>
    <i r="3">
      <x v="951"/>
      <x v="1171"/>
    </i>
    <i r="3">
      <x v="952"/>
      <x v="883"/>
    </i>
    <i r="3">
      <x v="953"/>
      <x v="1175"/>
    </i>
    <i r="3">
      <x v="954"/>
      <x v="1354"/>
    </i>
    <i r="3">
      <x v="955"/>
      <x v="1357"/>
    </i>
    <i r="3">
      <x v="956"/>
      <x v="1356"/>
    </i>
    <i r="3">
      <x v="957"/>
      <x v="1355"/>
    </i>
    <i r="3">
      <x v="958"/>
      <x v="1012"/>
    </i>
    <i r="3">
      <x v="959"/>
      <x v="915"/>
    </i>
    <i r="3">
      <x v="960"/>
      <x v="1202"/>
    </i>
    <i r="3">
      <x v="961"/>
      <x v="1197"/>
    </i>
    <i r="3">
      <x v="962"/>
      <x v="1061"/>
    </i>
    <i r="3">
      <x v="963"/>
      <x v="1063"/>
    </i>
    <i r="3">
      <x v="964"/>
      <x v="1062"/>
    </i>
    <i r="2">
      <x v="112"/>
      <x v="852"/>
      <x v="635"/>
    </i>
    <i r="3">
      <x v="859"/>
      <x v="1293"/>
    </i>
    <i r="3">
      <x v="860"/>
      <x v="1296"/>
    </i>
    <i r="3">
      <x v="861"/>
      <x v="1294"/>
    </i>
    <i r="3">
      <x v="862"/>
      <x v="383"/>
    </i>
    <i r="3">
      <x v="863"/>
      <x v="1000"/>
    </i>
    <i r="3">
      <x v="864"/>
      <x v="739"/>
    </i>
    <i r="3">
      <x v="865"/>
      <x v="1574"/>
    </i>
    <i r="3">
      <x v="866"/>
      <x v="1575"/>
    </i>
    <i r="3">
      <x v="867"/>
      <x v="1555"/>
    </i>
    <i r="3">
      <x v="873"/>
      <x v="911"/>
    </i>
    <i r="3">
      <x v="874"/>
      <x v="1561"/>
    </i>
    <i r="3">
      <x v="876"/>
      <x v="1295"/>
    </i>
    <i r="3">
      <x v="877"/>
      <x v="1301"/>
    </i>
    <i r="3">
      <x v="878"/>
      <x v="489"/>
    </i>
    <i r="3">
      <x v="880"/>
      <x v="916"/>
    </i>
    <i r="3">
      <x v="881"/>
      <x v="1174"/>
    </i>
    <i r="3">
      <x v="882"/>
      <x v="1178"/>
    </i>
    <i r="3">
      <x v="883"/>
      <x v="277"/>
    </i>
    <i r="3">
      <x v="884"/>
      <x v="1179"/>
    </i>
    <i r="3">
      <x v="885"/>
      <x v="1173"/>
    </i>
    <i r="3">
      <x v="888"/>
      <x v="882"/>
    </i>
    <i r="3">
      <x v="889"/>
      <x v="1172"/>
    </i>
    <i r="3">
      <x v="890"/>
      <x v="908"/>
    </i>
    <i r="3">
      <x v="891"/>
      <x v="909"/>
    </i>
    <i r="3">
      <x v="892"/>
      <x v="906"/>
    </i>
    <i r="3">
      <x v="893"/>
      <x v="907"/>
    </i>
    <i r="3">
      <x v="895"/>
      <x v="1297"/>
    </i>
    <i r="3">
      <x v="896"/>
      <x v="1302"/>
    </i>
    <i r="3">
      <x v="897"/>
      <x v="910"/>
    </i>
    <i r="2">
      <x v="113"/>
      <x v="898"/>
      <x v="278"/>
    </i>
    <i r="2">
      <x v="114"/>
      <x v="899"/>
      <x v="138"/>
    </i>
    <i r="3">
      <x v="900"/>
      <x v="1292"/>
    </i>
    <i r="3">
      <x v="901"/>
      <x v="1563"/>
    </i>
    <i r="3">
      <x v="902"/>
      <x v="1201"/>
    </i>
    <i r="3">
      <x v="903"/>
      <x v="1564"/>
    </i>
    <i r="3">
      <x v="904"/>
      <x v="1565"/>
    </i>
    <i r="3">
      <x v="905"/>
      <x v="857"/>
    </i>
    <i r="4">
      <x v="1193"/>
    </i>
    <i r="3">
      <x v="906"/>
      <x v="875"/>
    </i>
    <i r="4">
      <x v="1206"/>
    </i>
    <i r="3">
      <x v="907"/>
      <x v="638"/>
    </i>
    <i r="3">
      <x v="908"/>
      <x v="870"/>
    </i>
    <i r="3">
      <x v="910"/>
      <x v="1566"/>
    </i>
    <i r="3">
      <x v="911"/>
      <x v="1167"/>
    </i>
    <i r="3">
      <x v="912"/>
      <x v="636"/>
    </i>
    <i r="3">
      <x v="913"/>
      <x v="1300"/>
    </i>
    <i r="3">
      <x v="914"/>
      <x v="1287"/>
    </i>
    <i r="3">
      <x v="915"/>
      <x v="1289"/>
    </i>
    <i r="3">
      <x v="917"/>
      <x v="1290"/>
    </i>
    <i r="3">
      <x v="918"/>
      <x v="1203"/>
    </i>
    <i r="3">
      <x v="919"/>
      <x v="871"/>
    </i>
    <i r="3">
      <x v="920"/>
      <x v="1291"/>
    </i>
    <i r="3">
      <x v="934"/>
      <x v="41"/>
    </i>
    <i r="3">
      <x v="935"/>
      <x v="1194"/>
    </i>
    <i r="3">
      <x v="936"/>
      <x v="787"/>
    </i>
    <i r="3">
      <x v="942"/>
      <x v="858"/>
    </i>
    <i r="2">
      <x v="116"/>
      <x v="927"/>
      <x v="148"/>
    </i>
    <i r="3">
      <x v="937"/>
      <x v="504"/>
    </i>
    <i r="3">
      <x v="938"/>
      <x v="503"/>
    </i>
    <i r="3">
      <x v="939"/>
      <x v="505"/>
    </i>
    <i r="3">
      <x v="940"/>
      <x v="905"/>
    </i>
    <i r="3">
      <x v="941"/>
      <x v="1554"/>
    </i>
    <i r="2">
      <x v="117"/>
      <x v="916"/>
      <x v="225"/>
    </i>
    <i r="3">
      <x v="922"/>
      <x v="872"/>
    </i>
    <i r="3">
      <x v="923"/>
      <x v="1298"/>
    </i>
    <i r="3">
      <x v="924"/>
      <x v="1011"/>
    </i>
    <i r="3">
      <x v="925"/>
      <x v="748"/>
    </i>
    <i r="3">
      <x v="926"/>
      <x v="1342"/>
    </i>
    <i r="3">
      <x v="928"/>
      <x v="1343"/>
    </i>
    <i r="2">
      <x v="118"/>
      <x v="909"/>
      <x v="269"/>
    </i>
    <i r="3">
      <x v="921"/>
      <x v="1204"/>
    </i>
    <i r="3">
      <x v="929"/>
      <x v="924"/>
    </i>
    <i r="3">
      <x v="930"/>
      <x v="1286"/>
    </i>
    <i r="3">
      <x v="931"/>
      <x v="926"/>
    </i>
    <i r="3">
      <x v="932"/>
      <x v="925"/>
    </i>
    <i r="3">
      <x v="933"/>
      <x v="436"/>
    </i>
    <i r="2">
      <x v="177"/>
      <x v="853"/>
      <x v="484"/>
    </i>
    <i r="3">
      <x v="854"/>
      <x v="488"/>
    </i>
    <i r="3">
      <x v="855"/>
      <x v="486"/>
    </i>
    <i r="3">
      <x v="856"/>
      <x v="485"/>
    </i>
    <i r="3">
      <x v="857"/>
      <x v="487"/>
    </i>
    <i r="2">
      <x v="202"/>
      <x v="869"/>
      <x v="1016"/>
    </i>
    <i r="3">
      <x v="870"/>
      <x v="1017"/>
    </i>
    <i r="3">
      <x v="871"/>
      <x v="1018"/>
    </i>
    <i r="3">
      <x v="872"/>
      <x v="1019"/>
    </i>
    <i r="2">
      <x v="216"/>
      <x v="851"/>
      <x v="149"/>
    </i>
    <i r="3">
      <x v="879"/>
      <x v="1560"/>
    </i>
    <i r="3">
      <x v="886"/>
      <x v="1299"/>
    </i>
    <i r="3">
      <x v="887"/>
      <x v="1288"/>
    </i>
    <i r="3">
      <x v="965"/>
      <x v="451"/>
    </i>
    <i r="3">
      <x v="966"/>
      <x v="452"/>
    </i>
    <i r="3">
      <x v="967"/>
      <x v="454"/>
    </i>
    <i r="3">
      <x v="968"/>
      <x v="455"/>
    </i>
    <i r="3">
      <x v="969"/>
      <x v="458"/>
    </i>
    <i r="3">
      <x v="970"/>
      <x v="459"/>
    </i>
    <i r="3">
      <x v="971"/>
      <x v="461"/>
    </i>
    <i r="3">
      <x v="972"/>
      <x v="462"/>
    </i>
    <i r="3">
      <x v="973"/>
      <x v="460"/>
    </i>
    <i r="3">
      <x v="974"/>
      <x v="463"/>
    </i>
    <i r="3">
      <x v="975"/>
      <x v="456"/>
    </i>
    <i r="1">
      <x v="20"/>
      <x v="128"/>
      <x v="1035"/>
      <x v="291"/>
    </i>
    <i r="2">
      <x v="129"/>
      <x v="1038"/>
      <x v="615"/>
    </i>
    <i r="3">
      <x v="1039"/>
      <x v="616"/>
    </i>
    <i r="3">
      <x v="1047"/>
      <x v="157"/>
    </i>
    <i r="2">
      <x v="130"/>
      <x v="1040"/>
      <x v="164"/>
    </i>
    <i r="3">
      <x v="1041"/>
      <x v="1218"/>
    </i>
    <i r="2">
      <x v="131"/>
      <x v="1042"/>
      <x v="308"/>
    </i>
    <i r="3">
      <x v="1043"/>
      <x v="1221"/>
    </i>
    <i r="2">
      <x v="132"/>
      <x v="1044"/>
      <x v="1217"/>
    </i>
    <i r="3">
      <x v="1048"/>
      <x v="258"/>
    </i>
    <i r="2">
      <x v="133"/>
      <x v="1046"/>
      <x v="1220"/>
    </i>
    <i r="3">
      <x v="1049"/>
      <x v="259"/>
    </i>
    <i r="2">
      <x v="134"/>
      <x v="1036"/>
      <x v="1390"/>
    </i>
    <i r="3">
      <x v="1037"/>
      <x v="1391"/>
    </i>
    <i r="3">
      <x v="1045"/>
      <x v="290"/>
    </i>
    <i r="2">
      <x v="135"/>
      <x v="1050"/>
      <x v="293"/>
    </i>
    <i r="3">
      <x v="1051"/>
      <x v="332"/>
    </i>
    <i r="3">
      <x v="1052"/>
      <x v="1209"/>
    </i>
    <i r="3">
      <x v="1053"/>
      <x v="1503"/>
    </i>
    <i r="2">
      <x v="136"/>
      <x v="1054"/>
      <x v="295"/>
    </i>
    <i r="3">
      <x v="1055"/>
      <x v="1433"/>
    </i>
    <i r="3">
      <x v="1056"/>
      <x v="1014"/>
    </i>
    <i r="3">
      <x v="1057"/>
      <x v="1015"/>
    </i>
    <i r="3">
      <x v="1058"/>
      <x v="1168"/>
    </i>
    <i r="3">
      <x v="1059"/>
      <x v="1208"/>
    </i>
    <i r="2">
      <x v="137"/>
      <x v="977"/>
      <x v="296"/>
    </i>
    <i r="3">
      <x v="1010"/>
      <x v="331"/>
    </i>
    <i r="3">
      <x v="1021"/>
      <x v="1105"/>
    </i>
    <i r="3">
      <x v="1024"/>
      <x v="1106"/>
    </i>
    <i r="3">
      <x v="1025"/>
      <x v="1432"/>
    </i>
    <i r="2">
      <x v="138"/>
      <x v="1033"/>
      <x v="223"/>
    </i>
    <i r="2">
      <x v="139"/>
      <x v="988"/>
      <x v="224"/>
    </i>
    <i r="3">
      <x v="1017"/>
      <x v="368"/>
    </i>
    <i r="2">
      <x v="140"/>
      <x v="1034"/>
      <x v="267"/>
    </i>
    <i r="2">
      <x v="141"/>
      <x v="999"/>
      <x v="268"/>
    </i>
    <i r="3">
      <x v="1018"/>
      <x v="369"/>
    </i>
    <i r="2">
      <x v="142"/>
      <x v="1061"/>
      <x v="294"/>
    </i>
    <i r="3">
      <x v="1062"/>
      <x v="1058"/>
    </i>
    <i r="2">
      <x v="143"/>
      <x v="978"/>
      <x v="297"/>
    </i>
    <i r="3">
      <x v="1004"/>
      <x v="1282"/>
    </i>
    <i r="2">
      <x v="144"/>
      <x v="1002"/>
      <x v="122"/>
    </i>
    <i r="2">
      <x v="145"/>
      <x v="998"/>
      <x v="160"/>
    </i>
    <i r="3">
      <x v="1000"/>
      <x v="923"/>
    </i>
    <i r="3">
      <x v="1001"/>
      <x v="349"/>
    </i>
    <i r="2">
      <x v="146"/>
      <x v="997"/>
      <x v="161"/>
    </i>
    <i r="3">
      <x v="1028"/>
      <x v="1225"/>
    </i>
    <i r="3">
      <x v="1029"/>
      <x v="1226"/>
    </i>
    <i r="2">
      <x v="147"/>
      <x v="998"/>
      <x v="160"/>
    </i>
    <i r="3">
      <x v="1000"/>
      <x v="923"/>
    </i>
    <i r="3">
      <x v="1001"/>
      <x v="349"/>
    </i>
    <i r="2">
      <x v="148"/>
      <x v="1003"/>
      <x v="272"/>
    </i>
    <i r="3">
      <x v="1027"/>
      <x v="1229"/>
    </i>
    <i r="2">
      <x v="149"/>
      <x v="979"/>
      <x v="231"/>
    </i>
    <i r="3">
      <x v="984"/>
      <x v="1222"/>
    </i>
    <i r="2">
      <x v="150"/>
      <x v="980"/>
      <x v="232"/>
    </i>
    <i r="3">
      <x v="981"/>
      <x v="921"/>
    </i>
    <i r="2">
      <x v="151"/>
      <x v="982"/>
      <x v="233"/>
    </i>
    <i r="3">
      <x v="983"/>
      <x v="922"/>
    </i>
    <i r="2">
      <x v="152"/>
      <x v="985"/>
      <x v="1439"/>
    </i>
    <i r="2">
      <x v="153"/>
      <x v="986"/>
      <x v="256"/>
    </i>
    <i r="3">
      <x v="987"/>
      <x v="951"/>
    </i>
    <i r="3">
      <x v="993"/>
      <x v="1109"/>
    </i>
    <i r="2">
      <x v="154"/>
      <x v="989"/>
      <x v="254"/>
    </i>
    <i r="3">
      <x v="990"/>
      <x v="1107"/>
    </i>
    <i r="2">
      <x v="155"/>
      <x v="991"/>
      <x v="255"/>
    </i>
    <i r="3">
      <x v="992"/>
      <x v="1108"/>
    </i>
    <i r="2">
      <x v="156"/>
      <x v="994"/>
      <x v="270"/>
    </i>
    <i r="3">
      <x v="995"/>
      <x v="1227"/>
    </i>
    <i r="2">
      <x v="157"/>
      <x v="996"/>
      <x v="271"/>
    </i>
    <i r="3">
      <x v="997"/>
      <x v="1228"/>
    </i>
    <i r="2">
      <x v="158"/>
      <x v="1005"/>
      <x v="276"/>
    </i>
    <i r="3">
      <x v="1016"/>
      <x v="1281"/>
    </i>
    <i r="2">
      <x v="159"/>
      <x v="1012"/>
      <x v="1280"/>
    </i>
    <i r="3">
      <x v="1013"/>
      <x v="274"/>
    </i>
    <i r="3">
      <x v="1014"/>
      <x v="1275"/>
    </i>
    <i r="3">
      <x v="1015"/>
      <x v="1274"/>
    </i>
    <i r="2">
      <x v="160"/>
      <x v="1006"/>
      <x v="275"/>
    </i>
    <i r="3">
      <x v="1007"/>
      <x v="1279"/>
    </i>
    <i r="3">
      <x v="1008"/>
      <x v="1278"/>
    </i>
    <i r="3">
      <x v="1009"/>
      <x v="1277"/>
    </i>
    <i r="3">
      <x v="1011"/>
      <x v="1276"/>
    </i>
    <i r="3">
      <x v="1012"/>
      <x v="1280"/>
    </i>
    <i r="2">
      <x v="161"/>
      <x v="1019"/>
      <x v="1506"/>
    </i>
    <i r="3">
      <x v="1026"/>
      <x v="311"/>
    </i>
    <i r="2">
      <x v="162"/>
      <x v="1020"/>
      <x v="1507"/>
    </i>
    <i r="3">
      <x v="1030"/>
      <x v="312"/>
    </i>
    <i r="2">
      <x v="163"/>
      <x v="1022"/>
      <x v="1508"/>
    </i>
    <i r="3">
      <x v="1031"/>
      <x v="313"/>
    </i>
    <i r="2">
      <x v="164"/>
      <x v="1023"/>
      <x v="1509"/>
    </i>
    <i r="3">
      <x v="1032"/>
      <x v="314"/>
    </i>
    <i r="2">
      <x v="216"/>
      <x v="976"/>
      <x v="158"/>
    </i>
    <i r="3">
      <x v="1060"/>
      <x v="457"/>
    </i>
    <i t="default">
      <x/>
    </i>
    <i>
      <x v="1"/>
      <x v="1"/>
      <x v="169"/>
      <x v="1521"/>
      <x v="302"/>
    </i>
    <i r="3">
      <x v="1522"/>
      <x v="334"/>
    </i>
    <i r="2">
      <x v="171"/>
      <x v="1524"/>
      <x v="333"/>
    </i>
    <i r="3">
      <x v="1528"/>
      <x v="304"/>
    </i>
    <i r="2">
      <x v="173"/>
      <x v="1526"/>
      <x v="335"/>
    </i>
    <i r="3">
      <x v="1529"/>
      <x v="306"/>
    </i>
    <i r="2">
      <x v="187"/>
      <x v="1537"/>
      <x v="793"/>
    </i>
    <i r="3">
      <x v="1560"/>
      <x v="196"/>
    </i>
    <i r="2">
      <x v="216"/>
      <x v="434"/>
      <x v="286"/>
    </i>
    <i r="3">
      <x v="435"/>
      <x v="1353"/>
    </i>
    <i r="3">
      <x v="436"/>
      <x v="1350"/>
    </i>
    <i r="3">
      <x v="437"/>
      <x v="1352"/>
    </i>
    <i r="3">
      <x v="438"/>
      <x v="1351"/>
    </i>
    <i r="1">
      <x v="21"/>
      <x v="53"/>
      <x v="1069"/>
      <x v="206"/>
    </i>
    <i r="3">
      <x v="1070"/>
      <x v="818"/>
    </i>
    <i r="2">
      <x v="66"/>
      <x v="1591"/>
      <x v="216"/>
    </i>
    <i r="3">
      <x v="1592"/>
      <x v="380"/>
    </i>
    <i r="2">
      <x v="174"/>
      <x v="1063"/>
      <x v="310"/>
    </i>
    <i r="3">
      <x v="1064"/>
      <x v="1505"/>
    </i>
    <i r="2">
      <x v="175"/>
      <x v="1537"/>
      <x v="793"/>
    </i>
    <i r="3">
      <x v="1560"/>
      <x v="196"/>
    </i>
    <i r="2">
      <x v="201"/>
      <x v="1589"/>
      <x v="556"/>
    </i>
    <i r="3">
      <x v="1590"/>
      <x v="557"/>
    </i>
    <i r="2">
      <x v="212"/>
      <x v="1067"/>
      <x v="1571"/>
    </i>
    <i r="3">
      <x v="1320"/>
      <x v="1496"/>
    </i>
    <i r="3">
      <x v="1321"/>
      <x v="744"/>
    </i>
    <i r="3">
      <x v="1322"/>
      <x v="1007"/>
    </i>
    <i r="3">
      <x v="1323"/>
      <x v="1006"/>
    </i>
    <i r="3">
      <x v="1324"/>
      <x v="745"/>
    </i>
    <i r="3">
      <x v="1325"/>
      <x v="51"/>
    </i>
    <i r="3">
      <x v="1326"/>
      <x v="633"/>
    </i>
    <i r="2">
      <x v="216"/>
      <x v="1065"/>
      <x v="218"/>
    </i>
    <i r="3">
      <x v="1066"/>
      <x v="850"/>
    </i>
    <i r="3">
      <x v="1068"/>
      <x v="107"/>
    </i>
    <i r="1">
      <x v="22"/>
      <x v="216"/>
      <x v="1071"/>
      <x v="219"/>
    </i>
    <i r="3">
      <x v="1072"/>
      <x v="1133"/>
    </i>
    <i r="3">
      <x v="1073"/>
      <x v="1129"/>
    </i>
    <i r="3">
      <x v="1074"/>
      <x v="1130"/>
    </i>
    <i r="3">
      <x v="1075"/>
      <x v="1131"/>
    </i>
    <i r="3">
      <x v="1076"/>
      <x v="1132"/>
    </i>
    <i r="3">
      <x v="1077"/>
      <x v="438"/>
    </i>
    <i r="3">
      <x v="1078"/>
      <x v="501"/>
    </i>
    <i r="3">
      <x v="1079"/>
      <x v="492"/>
    </i>
    <i r="3">
      <x v="1080"/>
      <x v="849"/>
    </i>
    <i r="3">
      <x v="1081"/>
      <x v="39"/>
    </i>
    <i r="3">
      <x v="1082"/>
      <x v="874"/>
    </i>
    <i r="3">
      <x v="1083"/>
      <x v="347"/>
    </i>
    <i r="3">
      <x v="1084"/>
      <x v="398"/>
    </i>
    <i r="3">
      <x v="1085"/>
      <x v="450"/>
    </i>
    <i r="3">
      <x v="1086"/>
      <x v="493"/>
    </i>
    <i r="3">
      <x v="1087"/>
      <x v="632"/>
    </i>
    <i r="3">
      <x v="1088"/>
      <x v="394"/>
    </i>
    <i r="3">
      <x v="1089"/>
      <x v="48"/>
    </i>
    <i r="3">
      <x v="1090"/>
      <x v="393"/>
    </i>
    <i r="3">
      <x v="1091"/>
      <x v="431"/>
    </i>
    <i r="3">
      <x v="1092"/>
      <x v="433"/>
    </i>
    <i r="3">
      <x v="1093"/>
      <x v="49"/>
    </i>
    <i r="3">
      <x v="1094"/>
      <x v="738"/>
    </i>
    <i r="3">
      <x v="1095"/>
      <x v="851"/>
    </i>
    <i r="3">
      <x v="1096"/>
      <x v="841"/>
    </i>
    <i r="3">
      <x v="1097"/>
      <x v="840"/>
    </i>
    <i r="3">
      <x v="1098"/>
      <x v="852"/>
    </i>
    <i r="3">
      <x v="1099"/>
      <x v="746"/>
    </i>
    <i r="3">
      <x v="1100"/>
      <x v="40"/>
    </i>
    <i r="3">
      <x v="1101"/>
      <x v="348"/>
    </i>
    <i r="3">
      <x v="1102"/>
      <x v="399"/>
    </i>
    <i r="3">
      <x v="1103"/>
      <x v="502"/>
    </i>
    <i r="3">
      <x v="1104"/>
      <x v="45"/>
    </i>
    <i r="3">
      <x v="1105"/>
      <x v="737"/>
    </i>
    <i r="3">
      <x v="1106"/>
      <x v="847"/>
    </i>
    <i r="3">
      <x v="1107"/>
      <x v="842"/>
    </i>
    <i r="3">
      <x v="1108"/>
      <x v="846"/>
    </i>
    <i r="3">
      <x v="1109"/>
      <x v="843"/>
    </i>
    <i r="3">
      <x v="1110"/>
      <x v="845"/>
    </i>
    <i r="3">
      <x v="1111"/>
      <x v="844"/>
    </i>
    <i r="1">
      <x v="23"/>
      <x v="54"/>
      <x v="1114"/>
      <x v="995"/>
    </i>
    <i r="3">
      <x v="1115"/>
      <x v="824"/>
    </i>
    <i r="3">
      <x v="1116"/>
      <x v="825"/>
    </i>
    <i r="2">
      <x v="55"/>
      <x v="1122"/>
      <x v="213"/>
    </i>
    <i r="2">
      <x v="56"/>
      <x v="1141"/>
      <x v="208"/>
    </i>
    <i r="3">
      <x v="1142"/>
      <x v="823"/>
    </i>
    <i r="2">
      <x v="57"/>
      <x v="1136"/>
      <x v="209"/>
    </i>
    <i r="3">
      <x v="1137"/>
      <x v="826"/>
    </i>
    <i r="2">
      <x v="58"/>
      <x v="1134"/>
      <x v="210"/>
    </i>
    <i r="3">
      <x v="1135"/>
      <x v="827"/>
    </i>
    <i r="2">
      <x v="59"/>
      <x v="1125"/>
      <x v="211"/>
    </i>
    <i r="3">
      <x v="1126"/>
      <x v="830"/>
    </i>
    <i r="3">
      <x v="1131"/>
      <x v="828"/>
    </i>
    <i r="2">
      <x v="60"/>
      <x v="1134"/>
      <x v="212"/>
    </i>
    <i r="3">
      <x v="1135"/>
      <x v="829"/>
    </i>
    <i r="2">
      <x v="61"/>
      <x v="1127"/>
      <x v="1120"/>
    </i>
    <i r="3">
      <x v="1128"/>
      <x v="831"/>
    </i>
    <i r="2">
      <x v="62"/>
      <x v="1132"/>
      <x v="1121"/>
    </i>
    <i r="3">
      <x v="1133"/>
      <x v="832"/>
    </i>
    <i r="2">
      <x v="63"/>
      <x v="1129"/>
      <x v="1122"/>
    </i>
    <i r="3">
      <x v="1130"/>
      <x v="833"/>
    </i>
    <i r="2">
      <x v="64"/>
      <x v="1138"/>
      <x v="215"/>
    </i>
    <i r="3">
      <x v="1139"/>
      <x v="1366"/>
    </i>
    <i r="3">
      <x v="1140"/>
      <x v="835"/>
    </i>
    <i r="2">
      <x v="65"/>
      <x v="1121"/>
      <x v="214"/>
    </i>
    <i r="3">
      <x v="1123"/>
      <x v="834"/>
    </i>
    <i r="2">
      <x v="216"/>
      <x v="1112"/>
      <x v="205"/>
    </i>
    <i r="3">
      <x v="1113"/>
      <x v="815"/>
    </i>
    <i r="3">
      <x v="1117"/>
      <x v="812"/>
    </i>
    <i r="3">
      <x v="1118"/>
      <x v="814"/>
    </i>
    <i r="3">
      <x v="1119"/>
      <x v="813"/>
    </i>
    <i r="3">
      <x v="1120"/>
      <x v="1580"/>
    </i>
    <i r="3">
      <x v="1124"/>
      <x v="811"/>
    </i>
    <i r="1">
      <x v="24"/>
      <x v="119"/>
      <x v="1164"/>
      <x v="1305"/>
    </i>
    <i r="3">
      <x v="1165"/>
      <x v="279"/>
    </i>
    <i r="2">
      <x v="120"/>
      <x v="1166"/>
      <x v="1303"/>
    </i>
    <i r="3">
      <x v="1167"/>
      <x v="280"/>
    </i>
    <i r="2">
      <x v="122"/>
      <x v="1162"/>
      <x v="1306"/>
    </i>
    <i r="3">
      <x v="1163"/>
      <x v="281"/>
    </i>
    <i r="2">
      <x v="123"/>
      <x v="1145"/>
      <x v="283"/>
    </i>
    <i r="3">
      <x v="1152"/>
      <x v="1235"/>
    </i>
    <i r="3">
      <x v="1153"/>
      <x v="1143"/>
    </i>
    <i r="3">
      <x v="1154"/>
      <x v="60"/>
    </i>
    <i r="3">
      <x v="1155"/>
      <x v="1389"/>
    </i>
    <i r="2">
      <x v="124"/>
      <x v="1148"/>
      <x v="1309"/>
    </i>
    <i r="3">
      <x v="1149"/>
      <x v="1126"/>
    </i>
    <i r="2">
      <x v="125"/>
      <x v="1150"/>
      <x v="1310"/>
    </i>
    <i r="3">
      <x v="1151"/>
      <x v="1127"/>
    </i>
    <i r="2">
      <x v="126"/>
      <x v="1146"/>
      <x v="1311"/>
    </i>
    <i r="3">
      <x v="1147"/>
      <x v="1128"/>
    </i>
    <i r="2">
      <x v="167"/>
      <x v="1576"/>
      <x v="300"/>
    </i>
    <i r="3">
      <x v="1577"/>
      <x v="373"/>
    </i>
    <i r="2">
      <x v="169"/>
      <x v="1521"/>
      <x v="302"/>
    </i>
    <i r="3">
      <x v="1522"/>
      <x v="334"/>
    </i>
    <i r="2">
      <x v="216"/>
      <x v="1143"/>
      <x v="282"/>
    </i>
    <i r="3">
      <x v="1144"/>
      <x v="1053"/>
    </i>
    <i r="3">
      <x v="1156"/>
      <x v="1304"/>
    </i>
    <i r="3">
      <x v="1157"/>
      <x v="1308"/>
    </i>
    <i r="3">
      <x v="1158"/>
      <x v="1307"/>
    </i>
    <i r="3">
      <x v="1159"/>
      <x v="817"/>
    </i>
    <i r="3">
      <x v="1160"/>
      <x v="816"/>
    </i>
    <i r="3">
      <x v="1161"/>
      <x v="617"/>
    </i>
    <i r="1">
      <x v="25"/>
      <x v="216"/>
      <x v="1168"/>
      <x v="250"/>
    </i>
    <i r="3">
      <x v="1169"/>
      <x v="1021"/>
    </i>
    <i r="3">
      <x v="1170"/>
      <x v="1613"/>
    </i>
    <i r="3">
      <x v="1172"/>
      <x v="1022"/>
    </i>
    <i r="3">
      <x v="1173"/>
      <x v="1020"/>
    </i>
    <i r="3">
      <x v="1174"/>
      <x v="1023"/>
    </i>
    <i r="1">
      <x v="26"/>
      <x v="216"/>
      <x v="1175"/>
      <x v="132"/>
    </i>
    <i r="3">
      <x v="1176"/>
      <x v="14"/>
    </i>
    <i r="3">
      <x v="1177"/>
      <x v="15"/>
    </i>
    <i r="3">
      <x v="1178"/>
      <x v="378"/>
    </i>
    <i r="3">
      <x v="1179"/>
      <x v="379"/>
    </i>
    <i r="3">
      <x v="1180"/>
      <x v="376"/>
    </i>
    <i r="3">
      <x v="1181"/>
      <x v="375"/>
    </i>
    <i r="3">
      <x v="1182"/>
      <x v="377"/>
    </i>
    <i r="1">
      <x v="27"/>
      <x v="216"/>
      <x v="1183"/>
      <x v="156"/>
    </i>
    <i r="3">
      <x v="1184"/>
      <x v="614"/>
    </i>
    <i r="3">
      <x v="1185"/>
      <x v="611"/>
    </i>
    <i r="3">
      <x v="1186"/>
      <x v="613"/>
    </i>
    <i r="3">
      <x v="1187"/>
      <x v="612"/>
    </i>
    <i r="1">
      <x v="28"/>
      <x v="170"/>
      <x v="1525"/>
      <x v="303"/>
    </i>
    <i r="3">
      <x v="1526"/>
      <x v="335"/>
    </i>
    <i r="2">
      <x v="193"/>
      <x v="1544"/>
      <x v="793"/>
    </i>
    <i r="3">
      <x v="1567"/>
      <x v="196"/>
    </i>
    <i r="2">
      <x v="216"/>
      <x v="1188"/>
      <x v="152"/>
    </i>
    <i r="3">
      <x v="1189"/>
      <x v="526"/>
    </i>
    <i r="3">
      <x v="1190"/>
      <x v="523"/>
    </i>
    <i r="3">
      <x v="1191"/>
      <x v="525"/>
    </i>
    <i r="3">
      <x v="1192"/>
      <x v="524"/>
    </i>
    <i r="3">
      <x v="1193"/>
      <x v="522"/>
    </i>
    <i r="1">
      <x v="29"/>
      <x v="216"/>
      <x v="1194"/>
      <x v="163"/>
    </i>
    <i r="3">
      <x v="1195"/>
      <x v="642"/>
    </i>
    <i r="3">
      <x v="1196"/>
      <x v="645"/>
    </i>
    <i r="3">
      <x v="1197"/>
      <x v="644"/>
    </i>
    <i r="3">
      <x v="1641"/>
      <x v="1620"/>
    </i>
    <i r="1">
      <x v="30"/>
      <x v="167"/>
      <x v="1576"/>
      <x v="300"/>
    </i>
    <i r="3">
      <x v="1577"/>
      <x v="373"/>
    </i>
    <i r="2">
      <x v="172"/>
      <x v="1522"/>
      <x v="334"/>
    </i>
    <i r="3">
      <x v="1527"/>
      <x v="305"/>
    </i>
    <i r="2">
      <x v="173"/>
      <x v="1526"/>
      <x v="335"/>
    </i>
    <i r="3">
      <x v="1529"/>
      <x v="306"/>
    </i>
    <i r="2">
      <x v="216"/>
      <x v="1198"/>
      <x v="159"/>
    </i>
    <i r="3">
      <x v="1199"/>
      <x v="629"/>
    </i>
    <i r="3">
      <x v="1200"/>
      <x v="626"/>
    </i>
    <i r="3">
      <x v="1201"/>
      <x v="628"/>
    </i>
    <i r="3">
      <x v="1202"/>
      <x v="627"/>
    </i>
    <i r="3">
      <x v="1203"/>
      <x v="1169"/>
    </i>
    <i r="3">
      <x v="1204"/>
      <x v="624"/>
    </i>
    <i r="3">
      <x v="1522"/>
      <x v="334"/>
    </i>
    <i r="1">
      <x v="31"/>
      <x v="166"/>
      <x v="1577"/>
      <x v="373"/>
    </i>
    <i r="3">
      <x v="1578"/>
      <x v="298"/>
    </i>
    <i r="2">
      <x v="167"/>
      <x v="1576"/>
      <x v="300"/>
    </i>
    <i r="3">
      <x v="1577"/>
      <x v="373"/>
    </i>
    <i r="2">
      <x v="216"/>
      <x v="1205"/>
      <x v="129"/>
    </i>
    <i r="3">
      <x v="1206"/>
      <x v="112"/>
    </i>
    <i r="3">
      <x v="1207"/>
      <x v="109"/>
    </i>
    <i r="3">
      <x v="1208"/>
      <x v="111"/>
    </i>
    <i r="3">
      <x v="1209"/>
      <x v="110"/>
    </i>
    <i r="3">
      <x v="1522"/>
      <x v="334"/>
    </i>
    <i r="1">
      <x v="32"/>
      <x v="200"/>
      <x v="1552"/>
      <x v="800"/>
    </i>
    <i r="3">
      <x v="1574"/>
      <x v="202"/>
    </i>
    <i r="2">
      <x v="204"/>
      <x v="1212"/>
      <x v="1245"/>
    </i>
    <i r="3">
      <x v="1217"/>
      <x v="1239"/>
    </i>
    <i r="3">
      <x v="1220"/>
      <x v="1236"/>
    </i>
    <i r="3">
      <x v="1221"/>
      <x v="1143"/>
    </i>
    <i r="3">
      <x v="1223"/>
      <x v="1389"/>
    </i>
    <i r="3">
      <x v="1224"/>
      <x v="1324"/>
    </i>
    <i r="2">
      <x v="205"/>
      <x v="1215"/>
      <x v="1123"/>
    </i>
    <i r="3">
      <x v="1216"/>
      <x v="1237"/>
    </i>
    <i r="2">
      <x v="206"/>
      <x v="1218"/>
      <x v="1124"/>
    </i>
    <i r="3">
      <x v="1219"/>
      <x v="1238"/>
    </i>
    <i r="2">
      <x v="207"/>
      <x v="1213"/>
      <x v="1125"/>
    </i>
    <i r="3">
      <x v="1214"/>
      <x v="1240"/>
    </i>
    <i r="2">
      <x v="216"/>
      <x v="1210"/>
      <x v="155"/>
    </i>
    <i r="3">
      <x v="1211"/>
      <x v="566"/>
    </i>
    <i r="3">
      <x v="1222"/>
      <x v="563"/>
    </i>
    <i r="3">
      <x v="1225"/>
      <x v="565"/>
    </i>
    <i r="3">
      <x v="1226"/>
      <x v="564"/>
    </i>
    <i r="3">
      <x v="1227"/>
      <x v="1487"/>
    </i>
    <i r="3">
      <x v="1228"/>
      <x v="559"/>
    </i>
    <i r="3">
      <x v="1229"/>
      <x v="561"/>
    </i>
    <i r="1">
      <x v="33"/>
      <x v="168"/>
      <x v="1523"/>
      <x v="301"/>
    </i>
    <i r="3">
      <x v="1524"/>
      <x v="333"/>
    </i>
    <i r="2">
      <x v="171"/>
      <x v="1524"/>
      <x v="333"/>
    </i>
    <i r="3">
      <x v="1528"/>
      <x v="304"/>
    </i>
    <i r="2">
      <x v="186"/>
      <x v="1536"/>
      <x v="793"/>
    </i>
    <i r="3">
      <x v="1559"/>
      <x v="196"/>
    </i>
    <i r="2">
      <x v="189"/>
      <x v="1539"/>
      <x v="793"/>
    </i>
    <i r="3">
      <x v="1562"/>
      <x v="196"/>
    </i>
    <i r="2">
      <x v="195"/>
      <x v="1548"/>
      <x v="793"/>
    </i>
    <i r="3">
      <x v="1570"/>
      <x v="196"/>
    </i>
    <i r="2">
      <x v="216"/>
      <x v="1230"/>
      <x v="140"/>
    </i>
    <i r="3">
      <x v="1231"/>
      <x v="424"/>
    </i>
    <i r="3">
      <x v="1232"/>
      <x v="421"/>
    </i>
    <i r="3">
      <x v="1233"/>
      <x v="423"/>
    </i>
    <i r="3">
      <x v="1234"/>
      <x v="422"/>
    </i>
    <i r="3">
      <x v="1235"/>
      <x v="420"/>
    </i>
    <i r="1">
      <x v="34"/>
      <x v="169"/>
      <x v="1521"/>
      <x v="302"/>
    </i>
    <i r="3">
      <x v="1522"/>
      <x v="334"/>
    </i>
    <i r="2">
      <x v="199"/>
      <x v="1573"/>
      <x v="799"/>
    </i>
    <i r="3">
      <x v="1604"/>
      <x v="799"/>
    </i>
    <i r="2">
      <x v="216"/>
      <x v="1236"/>
      <x v="238"/>
    </i>
    <i r="3">
      <x v="1237"/>
      <x v="993"/>
    </i>
    <i r="3">
      <x v="1238"/>
      <x v="989"/>
    </i>
    <i r="3">
      <x v="1239"/>
      <x v="991"/>
    </i>
    <i r="3">
      <x v="1240"/>
      <x v="990"/>
    </i>
    <i r="3">
      <x v="1241"/>
      <x v="994"/>
    </i>
    <i r="3">
      <x v="1242"/>
      <x v="992"/>
    </i>
    <i r="1">
      <x v="35"/>
      <x v="216"/>
      <x v="1243"/>
      <x v="235"/>
    </i>
    <i r="3">
      <x v="1244"/>
      <x v="717"/>
    </i>
    <i r="3">
      <x v="1245"/>
      <x v="940"/>
    </i>
    <i r="3">
      <x v="1246"/>
      <x v="942"/>
    </i>
    <i r="3">
      <x v="1247"/>
      <x v="941"/>
    </i>
    <i r="1">
      <x v="36"/>
      <x v="216"/>
      <x v="1248"/>
      <x v="127"/>
    </i>
    <i r="3">
      <x v="1249"/>
      <x v="96"/>
    </i>
    <i r="3">
      <x v="1250"/>
      <x v="93"/>
    </i>
    <i r="3">
      <x v="1251"/>
      <x v="95"/>
    </i>
    <i r="3">
      <x v="1252"/>
      <x v="94"/>
    </i>
    <i r="1">
      <x v="37"/>
      <x v="216"/>
      <x v="1253"/>
      <x v="217"/>
    </i>
    <i r="3">
      <x v="1254"/>
      <x v="848"/>
    </i>
    <i r="3">
      <x v="1255"/>
      <x v="412"/>
    </i>
    <i r="3">
      <x v="1256"/>
      <x v="411"/>
    </i>
    <i r="1">
      <x v="38"/>
      <x v="216"/>
      <x v="1257"/>
      <x v="144"/>
    </i>
    <i r="3">
      <x v="1258"/>
      <x v="470"/>
    </i>
    <i r="3">
      <x v="1259"/>
      <x v="471"/>
    </i>
    <i r="3">
      <x v="1260"/>
      <x v="473"/>
    </i>
    <i r="3">
      <x v="1261"/>
      <x v="472"/>
    </i>
    <i r="1">
      <x v="39"/>
      <x v="169"/>
      <x v="1521"/>
      <x v="302"/>
    </i>
    <i r="3">
      <x v="1522"/>
      <x v="334"/>
    </i>
    <i r="2">
      <x v="216"/>
      <x v="1262"/>
      <x v="237"/>
    </i>
    <i r="3">
      <x v="1263"/>
      <x v="965"/>
    </i>
    <i r="3">
      <x v="1264"/>
      <x v="964"/>
    </i>
    <i r="1">
      <x v="40"/>
      <x v="42"/>
      <x v="1267"/>
      <x v="174"/>
    </i>
    <i r="3">
      <x v="1268"/>
      <x v="742"/>
    </i>
    <i r="3">
      <x v="1269"/>
      <x v="740"/>
    </i>
    <i r="3">
      <x v="1270"/>
      <x v="741"/>
    </i>
    <i r="3">
      <x v="1271"/>
      <x v="735"/>
    </i>
    <i r="3">
      <x v="1272"/>
      <x v="743"/>
    </i>
    <i r="2">
      <x v="43"/>
      <x v="1273"/>
      <x v="175"/>
    </i>
    <i r="3">
      <x v="1274"/>
      <x v="1192"/>
    </i>
    <i r="3">
      <x v="1275"/>
      <x v="856"/>
    </i>
    <i r="3">
      <x v="1285"/>
      <x v="419"/>
    </i>
    <i r="3">
      <x v="1291"/>
      <x v="659"/>
    </i>
    <i r="3">
      <x v="1292"/>
      <x v="1498"/>
    </i>
    <i r="2">
      <x v="44"/>
      <x v="1276"/>
      <x v="126"/>
    </i>
    <i r="3">
      <x v="1278"/>
      <x v="90"/>
    </i>
    <i r="3">
      <x v="1279"/>
      <x v="92"/>
    </i>
    <i r="3">
      <x v="1280"/>
      <x v="91"/>
    </i>
    <i r="2">
      <x v="45"/>
      <x v="1283"/>
      <x v="145"/>
    </i>
    <i r="3">
      <x v="1284"/>
      <x v="1378"/>
    </i>
    <i r="3">
      <x v="1290"/>
      <x v="1377"/>
    </i>
    <i r="2">
      <x v="46"/>
      <x v="1284"/>
      <x v="1378"/>
    </i>
    <i r="3">
      <x v="1286"/>
      <x v="289"/>
    </i>
    <i r="3">
      <x v="1290"/>
      <x v="1377"/>
    </i>
    <i r="2">
      <x v="47"/>
      <x v="1281"/>
      <x v="1490"/>
    </i>
    <i r="3">
      <x v="1282"/>
      <x v="918"/>
    </i>
    <i r="3">
      <x v="1288"/>
      <x v="1491"/>
    </i>
    <i r="3">
      <x v="1289"/>
      <x v="89"/>
    </i>
    <i r="3">
      <x v="1293"/>
      <x v="307"/>
    </i>
    <i r="2">
      <x v="73"/>
      <x v="1302"/>
      <x v="239"/>
    </i>
    <i r="3">
      <x v="1303"/>
      <x v="1004"/>
    </i>
    <i r="3">
      <x v="1304"/>
      <x v="1002"/>
    </i>
    <i r="3">
      <x v="1305"/>
      <x v="1001"/>
    </i>
    <i r="3">
      <x v="1306"/>
      <x v="999"/>
    </i>
    <i r="3">
      <x v="1310"/>
      <x v="1003"/>
    </i>
    <i r="2">
      <x v="74"/>
      <x v="1307"/>
      <x v="240"/>
    </i>
    <i r="3">
      <x v="1308"/>
      <x v="1200"/>
    </i>
    <i r="3">
      <x v="1309"/>
      <x v="869"/>
    </i>
    <i r="2">
      <x v="107"/>
      <x v="1318"/>
      <x v="251"/>
    </i>
    <i r="3">
      <x v="1319"/>
      <x v="1033"/>
    </i>
    <i r="2">
      <x v="216"/>
      <x v="1265"/>
      <x v="309"/>
    </i>
    <i r="3">
      <x v="1266"/>
      <x v="885"/>
    </i>
    <i r="3">
      <x v="1277"/>
      <x v="1177"/>
    </i>
    <i r="3">
      <x v="1287"/>
      <x v="1497"/>
    </i>
    <i r="3">
      <x v="1294"/>
      <x v="1493"/>
    </i>
    <i r="3">
      <x v="1296"/>
      <x v="721"/>
    </i>
    <i r="3">
      <x v="1297"/>
      <x v="1367"/>
    </i>
    <i r="3">
      <x v="1298"/>
      <x v="1368"/>
    </i>
    <i r="3">
      <x v="1299"/>
      <x v="1369"/>
    </i>
    <i r="3">
      <x v="1300"/>
      <x v="56"/>
    </i>
    <i r="3">
      <x v="1301"/>
      <x v="1492"/>
    </i>
    <i r="3">
      <x v="1311"/>
      <x v="656"/>
    </i>
    <i r="3">
      <x v="1312"/>
      <x v="657"/>
    </i>
    <i r="3">
      <x v="1313"/>
      <x v="1495"/>
    </i>
    <i r="3">
      <x v="1314"/>
      <x v="623"/>
    </i>
    <i r="3">
      <x v="1315"/>
      <x v="622"/>
    </i>
    <i r="3">
      <x v="1316"/>
      <x v="1494"/>
    </i>
    <i r="3">
      <x v="1317"/>
      <x v="1005"/>
    </i>
    <i t="default">
      <x v="1"/>
    </i>
    <i>
      <x v="2"/>
      <x v="10"/>
      <x v="67"/>
      <x v="1592"/>
      <x v="380"/>
    </i>
    <i r="3">
      <x v="1595"/>
      <x v="220"/>
    </i>
    <i r="2">
      <x v="69"/>
      <x v="1594"/>
      <x v="863"/>
    </i>
    <i r="3">
      <x v="1599"/>
      <x v="222"/>
    </i>
    <i r="2">
      <x v="110"/>
      <x v="1592"/>
      <x v="380"/>
    </i>
    <i r="3">
      <x v="1597"/>
      <x v="265"/>
    </i>
    <i r="2">
      <x v="111"/>
      <x v="1596"/>
      <x v="1196"/>
    </i>
    <i r="3">
      <x v="1600"/>
      <x v="266"/>
    </i>
    <i r="2">
      <x v="127"/>
      <x v="1598"/>
      <x v="1341"/>
    </i>
    <i r="3">
      <x v="1601"/>
      <x v="284"/>
    </i>
    <i r="2">
      <x v="216"/>
      <x v="613"/>
      <x v="229"/>
    </i>
    <i r="3">
      <x v="614"/>
      <x v="1413"/>
    </i>
    <i r="3">
      <x v="616"/>
      <x v="866"/>
    </i>
    <i r="3">
      <x v="617"/>
      <x v="865"/>
    </i>
    <i r="3">
      <x v="627"/>
      <x v="889"/>
    </i>
    <i r="3">
      <x v="628"/>
      <x v="888"/>
    </i>
    <i r="3">
      <x v="629"/>
      <x v="1569"/>
    </i>
    <i r="3">
      <x v="630"/>
      <x v="1570"/>
    </i>
    <i r="3">
      <x v="631"/>
      <x v="1572"/>
    </i>
    <i r="3">
      <x v="632"/>
      <x v="1139"/>
    </i>
    <i r="3">
      <x v="633"/>
      <x v="1141"/>
    </i>
    <i r="3">
      <x v="634"/>
      <x v="1140"/>
    </i>
    <i r="1">
      <x v="11"/>
      <x v="11"/>
      <x v="744"/>
      <x v="125"/>
    </i>
    <i r="3">
      <x v="745"/>
      <x v="70"/>
    </i>
    <i r="3">
      <x v="746"/>
      <x v="660"/>
    </i>
    <i r="3">
      <x v="747"/>
      <x v="662"/>
    </i>
    <i r="3">
      <x v="748"/>
      <x v="661"/>
    </i>
    <i r="3">
      <x v="749"/>
      <x v="71"/>
    </i>
    <i r="3">
      <x v="750"/>
      <x v="74"/>
    </i>
    <i r="3">
      <x v="751"/>
      <x v="75"/>
    </i>
    <i r="3">
      <x v="752"/>
      <x v="76"/>
    </i>
    <i r="3">
      <x v="753"/>
      <x v="72"/>
    </i>
    <i r="3">
      <x v="754"/>
      <x v="73"/>
    </i>
    <i r="3">
      <x v="755"/>
      <x v="85"/>
    </i>
    <i r="3">
      <x v="756"/>
      <x v="86"/>
    </i>
    <i r="3">
      <x v="757"/>
      <x v="80"/>
    </i>
    <i r="3">
      <x v="758"/>
      <x v="82"/>
    </i>
    <i r="3">
      <x v="759"/>
      <x v="83"/>
    </i>
    <i r="3">
      <x v="760"/>
      <x v="81"/>
    </i>
    <i r="3">
      <x v="761"/>
      <x v="84"/>
    </i>
    <i r="3">
      <x v="762"/>
      <x v="78"/>
    </i>
    <i r="3">
      <x v="763"/>
      <x v="79"/>
    </i>
    <i r="3">
      <x v="764"/>
      <x v="87"/>
    </i>
    <i r="3">
      <x v="765"/>
      <x v="77"/>
    </i>
    <i r="2">
      <x v="12"/>
      <x v="1602"/>
      <x v="141"/>
    </i>
    <i r="3">
      <x v="1603"/>
      <x v="449"/>
    </i>
    <i r="2">
      <x v="13"/>
      <x v="1547"/>
      <x v="194"/>
    </i>
    <i r="2">
      <x v="216"/>
      <x v="615"/>
      <x v="317"/>
    </i>
    <i r="3">
      <x v="622"/>
      <x v="1553"/>
    </i>
    <i r="3">
      <x v="623"/>
      <x v="1552"/>
    </i>
    <i r="1">
      <x v="12"/>
      <x v="21"/>
      <x v="795"/>
      <x v="135"/>
    </i>
    <i r="3">
      <x v="796"/>
      <x v="385"/>
    </i>
    <i r="3">
      <x v="800"/>
      <x v="58"/>
    </i>
    <i r="3">
      <x v="1584"/>
      <x v="20"/>
    </i>
    <i r="3">
      <x v="1585"/>
      <x v="21"/>
    </i>
    <i r="3">
      <x v="1586"/>
      <x v="22"/>
    </i>
    <i r="2">
      <x v="22"/>
      <x v="1582"/>
      <x v="23"/>
    </i>
    <i r="3">
      <x v="1587"/>
      <x v="19"/>
    </i>
    <i r="3">
      <x v="1588"/>
      <x v="116"/>
    </i>
    <i r="2">
      <x v="71"/>
      <x v="624"/>
      <x v="228"/>
    </i>
    <i r="2">
      <x v="75"/>
      <x v="784"/>
      <x v="241"/>
    </i>
    <i r="3">
      <x v="785"/>
      <x v="475"/>
    </i>
    <i r="3">
      <x v="791"/>
      <x v="474"/>
    </i>
    <i r="3">
      <x v="792"/>
      <x v="476"/>
    </i>
    <i r="3">
      <x v="793"/>
      <x v="1036"/>
    </i>
    <i r="3">
      <x v="794"/>
      <x v="469"/>
    </i>
    <i r="2">
      <x v="77"/>
      <x v="1523"/>
      <x v="301"/>
    </i>
    <i r="3">
      <x v="1524"/>
      <x v="333"/>
    </i>
    <i r="2">
      <x v="78"/>
      <x v="1522"/>
      <x v="334"/>
    </i>
    <i r="3">
      <x v="1527"/>
      <x v="305"/>
    </i>
    <i r="2">
      <x v="79"/>
      <x v="700"/>
      <x v="8"/>
    </i>
    <i r="3">
      <x v="703"/>
      <x v="6"/>
    </i>
    <i r="3">
      <x v="704"/>
      <x v="777"/>
    </i>
    <i r="3">
      <x v="786"/>
      <x v="495"/>
    </i>
    <i r="3">
      <x v="788"/>
      <x v="7"/>
    </i>
    <i r="3">
      <x v="789"/>
      <x v="11"/>
    </i>
    <i r="3">
      <x v="790"/>
      <x v="496"/>
    </i>
    <i r="3">
      <x v="794"/>
      <x v="494"/>
    </i>
    <i r="2">
      <x v="80"/>
      <x v="1545"/>
      <x v="794"/>
    </i>
    <i r="3">
      <x v="1568"/>
      <x v="197"/>
    </i>
    <i r="2">
      <x v="95"/>
      <x v="766"/>
      <x v="246"/>
    </i>
    <i r="3">
      <x v="767"/>
      <x v="1260"/>
    </i>
    <i r="3">
      <x v="770"/>
      <x v="1262"/>
    </i>
    <i r="3">
      <x v="771"/>
      <x v="1261"/>
    </i>
    <i r="3">
      <x v="772"/>
      <x v="1263"/>
    </i>
    <i r="3">
      <x v="783"/>
      <x v="1052"/>
    </i>
    <i r="2">
      <x v="97"/>
      <x v="1531"/>
      <x v="791"/>
    </i>
    <i r="3">
      <x v="1554"/>
      <x v="193"/>
    </i>
    <i r="2">
      <x v="98"/>
      <x v="1532"/>
      <x v="791"/>
    </i>
    <i r="3">
      <x v="1555"/>
      <x v="193"/>
    </i>
    <i r="2">
      <x v="99"/>
      <x v="700"/>
      <x v="8"/>
    </i>
    <i r="3">
      <x v="703"/>
      <x v="6"/>
    </i>
    <i r="3">
      <x v="704"/>
      <x v="777"/>
    </i>
    <i r="3">
      <x v="780"/>
      <x v="1251"/>
    </i>
    <i r="3">
      <x v="781"/>
      <x v="1257"/>
    </i>
    <i r="3">
      <x v="782"/>
      <x v="1258"/>
    </i>
    <i r="2">
      <x v="100"/>
      <x v="700"/>
      <x v="8"/>
    </i>
    <i r="3">
      <x v="703"/>
      <x v="6"/>
    </i>
    <i r="3">
      <x v="704"/>
      <x v="777"/>
    </i>
    <i r="3">
      <x v="774"/>
      <x v="1252"/>
    </i>
    <i r="3">
      <x v="775"/>
      <x v="1256"/>
    </i>
    <i r="3">
      <x v="787"/>
      <x v="9"/>
    </i>
    <i r="2">
      <x v="101"/>
      <x v="700"/>
      <x v="8"/>
    </i>
    <i r="3">
      <x v="703"/>
      <x v="6"/>
    </i>
    <i r="3">
      <x v="704"/>
      <x v="777"/>
    </i>
    <i r="3">
      <x v="776"/>
      <x v="1253"/>
    </i>
    <i r="3">
      <x v="777"/>
      <x v="1248"/>
    </i>
    <i r="3">
      <x v="787"/>
      <x v="9"/>
    </i>
    <i r="2">
      <x v="102"/>
      <x v="700"/>
      <x v="8"/>
    </i>
    <i r="3">
      <x v="703"/>
      <x v="6"/>
    </i>
    <i r="3">
      <x v="704"/>
      <x v="777"/>
    </i>
    <i r="3">
      <x v="768"/>
      <x v="1254"/>
    </i>
    <i r="3">
      <x v="769"/>
      <x v="1249"/>
    </i>
    <i r="3">
      <x v="787"/>
      <x v="9"/>
    </i>
    <i r="2">
      <x v="103"/>
      <x v="700"/>
      <x v="8"/>
    </i>
    <i r="3">
      <x v="703"/>
      <x v="6"/>
    </i>
    <i r="3">
      <x v="704"/>
      <x v="777"/>
    </i>
    <i r="3">
      <x v="778"/>
      <x v="1255"/>
    </i>
    <i r="3">
      <x v="779"/>
      <x v="1250"/>
    </i>
    <i r="3">
      <x v="787"/>
      <x v="9"/>
    </i>
    <i r="2">
      <x v="216"/>
      <x v="618"/>
      <x v="903"/>
    </i>
    <i r="3">
      <x v="619"/>
      <x v="1243"/>
    </i>
    <i r="3">
      <x v="620"/>
      <x v="1244"/>
    </i>
    <i r="3">
      <x v="621"/>
      <x v="414"/>
    </i>
    <i r="3">
      <x v="773"/>
      <x v="1259"/>
    </i>
    <i r="1">
      <x v="13"/>
      <x v="216"/>
      <x v="635"/>
      <x v="230"/>
    </i>
    <i r="3">
      <x v="636"/>
      <x v="1184"/>
    </i>
    <i r="3">
      <x v="637"/>
      <x v="1183"/>
    </i>
    <i r="3">
      <x v="638"/>
      <x v="1182"/>
    </i>
    <i r="3">
      <x v="639"/>
      <x v="1181"/>
    </i>
    <i r="3">
      <x v="640"/>
      <x v="1188"/>
    </i>
    <i r="3">
      <x v="641"/>
      <x v="1187"/>
    </i>
    <i r="3">
      <x v="642"/>
      <x v="1186"/>
    </i>
    <i r="3">
      <x v="643"/>
      <x v="1185"/>
    </i>
    <i r="3">
      <x v="644"/>
      <x v="853"/>
    </i>
    <i r="3">
      <x v="645"/>
      <x v="1444"/>
    </i>
    <i r="3">
      <x v="646"/>
      <x v="1443"/>
    </i>
    <i r="3">
      <x v="647"/>
      <x v="1447"/>
    </i>
    <i r="3">
      <x v="648"/>
      <x v="1446"/>
    </i>
    <i r="3">
      <x v="649"/>
      <x v="1445"/>
    </i>
    <i r="3">
      <x v="650"/>
      <x v="1189"/>
    </i>
    <i r="3">
      <x v="651"/>
      <x v="1450"/>
    </i>
    <i r="3">
      <x v="652"/>
      <x v="1449"/>
    </i>
    <i r="3">
      <x v="653"/>
      <x v="1448"/>
    </i>
    <i r="3">
      <x v="654"/>
      <x v="912"/>
    </i>
    <i r="3">
      <x v="655"/>
      <x v="855"/>
    </i>
    <i r="3">
      <x v="656"/>
      <x v="1191"/>
    </i>
    <i r="3">
      <x v="657"/>
      <x v="401"/>
    </i>
    <i r="3">
      <x v="658"/>
      <x v="904"/>
    </i>
    <i r="3">
      <x v="659"/>
      <x v="400"/>
    </i>
    <i r="3">
      <x v="660"/>
      <x v="868"/>
    </i>
    <i r="3">
      <x v="661"/>
      <x v="1199"/>
    </i>
    <i r="3">
      <x v="662"/>
      <x v="867"/>
    </i>
    <i r="3">
      <x v="663"/>
      <x v="1198"/>
    </i>
    <i r="3">
      <x v="664"/>
      <x v="1558"/>
    </i>
    <i r="3">
      <x v="665"/>
      <x v="1008"/>
    </i>
    <i r="3">
      <x v="666"/>
      <x v="1009"/>
    </i>
    <i r="3">
      <x v="667"/>
      <x v="913"/>
    </i>
    <i r="3">
      <x v="668"/>
      <x v="1559"/>
    </i>
    <i r="3">
      <x v="669"/>
      <x v="917"/>
    </i>
    <i r="3">
      <x v="670"/>
      <x v="1562"/>
    </i>
    <i r="3">
      <x v="671"/>
      <x v="860"/>
    </i>
    <i r="3">
      <x v="672"/>
      <x v="50"/>
    </i>
    <i r="3">
      <x v="673"/>
      <x v="890"/>
    </i>
    <i r="3">
      <x v="674"/>
      <x v="892"/>
    </i>
    <i r="3">
      <x v="675"/>
      <x v="1195"/>
    </i>
    <i r="3">
      <x v="676"/>
      <x v="54"/>
    </i>
    <i r="3">
      <x v="677"/>
      <x v="891"/>
    </i>
    <i r="3">
      <x v="678"/>
      <x v="893"/>
    </i>
    <i r="3">
      <x v="679"/>
      <x v="887"/>
    </i>
    <i r="1">
      <x v="14"/>
      <x v="50"/>
      <x v="682"/>
      <x v="189"/>
    </i>
    <i r="3">
      <x v="683"/>
      <x v="785"/>
    </i>
    <i r="3">
      <x v="684"/>
      <x v="786"/>
    </i>
    <i r="3">
      <x v="685"/>
      <x v="784"/>
    </i>
    <i r="3">
      <x v="686"/>
      <x v="1047"/>
    </i>
    <i r="2">
      <x v="68"/>
      <x v="680"/>
      <x v="221"/>
    </i>
    <i r="2">
      <x v="70"/>
      <x v="681"/>
      <x v="864"/>
    </i>
    <i r="3">
      <x v="687"/>
      <x v="1442"/>
    </i>
    <i r="2">
      <x v="81"/>
      <x v="726"/>
      <x v="243"/>
    </i>
    <i r="3">
      <x v="727"/>
      <x v="722"/>
    </i>
    <i r="3">
      <x v="728"/>
      <x v="731"/>
    </i>
    <i r="3">
      <x v="729"/>
      <x v="730"/>
    </i>
    <i r="3">
      <x v="730"/>
      <x v="723"/>
    </i>
    <i r="3">
      <x v="731"/>
      <x v="727"/>
    </i>
    <i r="3">
      <x v="732"/>
      <x v="724"/>
    </i>
    <i r="3">
      <x v="733"/>
      <x v="1044"/>
    </i>
    <i r="3">
      <x v="734"/>
      <x v="728"/>
    </i>
    <i r="3">
      <x v="735"/>
      <x v="725"/>
    </i>
    <i r="3">
      <x v="736"/>
      <x v="729"/>
    </i>
    <i r="3">
      <x v="737"/>
      <x v="726"/>
    </i>
    <i r="2">
      <x v="82"/>
      <x v="691"/>
      <x v="244"/>
    </i>
    <i r="3">
      <x v="692"/>
      <x v="765"/>
    </i>
    <i r="3">
      <x v="725"/>
      <x v="1046"/>
    </i>
    <i r="2">
      <x v="83"/>
      <x v="709"/>
      <x v="178"/>
    </i>
    <i r="3">
      <x v="715"/>
      <x v="767"/>
    </i>
    <i r="3">
      <x v="717"/>
      <x v="768"/>
    </i>
    <i r="3">
      <x v="718"/>
      <x v="775"/>
    </i>
    <i r="3">
      <x v="719"/>
      <x v="766"/>
    </i>
    <i r="3">
      <x v="724"/>
      <x v="769"/>
    </i>
    <i r="2">
      <x v="84"/>
      <x v="710"/>
      <x v="179"/>
    </i>
    <i r="3">
      <x v="715"/>
      <x v="767"/>
    </i>
    <i r="3">
      <x v="717"/>
      <x v="768"/>
    </i>
    <i r="3">
      <x v="718"/>
      <x v="775"/>
    </i>
    <i r="3">
      <x v="719"/>
      <x v="766"/>
    </i>
    <i r="3">
      <x v="723"/>
      <x v="770"/>
    </i>
    <i r="2">
      <x v="85"/>
      <x v="711"/>
      <x v="180"/>
    </i>
    <i r="3">
      <x v="715"/>
      <x v="767"/>
    </i>
    <i r="3">
      <x v="717"/>
      <x v="768"/>
    </i>
    <i r="3">
      <x v="718"/>
      <x v="775"/>
    </i>
    <i r="3">
      <x v="719"/>
      <x v="766"/>
    </i>
    <i r="3">
      <x v="722"/>
      <x v="771"/>
    </i>
    <i r="2">
      <x v="86"/>
      <x v="712"/>
      <x v="181"/>
    </i>
    <i r="3">
      <x v="715"/>
      <x v="767"/>
    </i>
    <i r="3">
      <x v="717"/>
      <x v="768"/>
    </i>
    <i r="3">
      <x v="718"/>
      <x v="775"/>
    </i>
    <i r="3">
      <x v="719"/>
      <x v="766"/>
    </i>
    <i r="3">
      <x v="720"/>
      <x v="772"/>
    </i>
    <i r="2">
      <x v="87"/>
      <x v="713"/>
      <x v="182"/>
    </i>
    <i r="3">
      <x v="715"/>
      <x v="767"/>
    </i>
    <i r="3">
      <x v="716"/>
      <x v="773"/>
    </i>
    <i r="3">
      <x v="717"/>
      <x v="768"/>
    </i>
    <i r="3">
      <x v="718"/>
      <x v="775"/>
    </i>
    <i r="3">
      <x v="719"/>
      <x v="766"/>
    </i>
    <i r="2">
      <x v="88"/>
      <x v="714"/>
      <x v="183"/>
    </i>
    <i r="3">
      <x v="715"/>
      <x v="767"/>
    </i>
    <i r="3">
      <x v="717"/>
      <x v="768"/>
    </i>
    <i r="3">
      <x v="718"/>
      <x v="775"/>
    </i>
    <i r="3">
      <x v="719"/>
      <x v="766"/>
    </i>
    <i r="3">
      <x v="721"/>
      <x v="774"/>
    </i>
    <i r="2">
      <x v="89"/>
      <x v="698"/>
      <x v="776"/>
    </i>
    <i r="3">
      <x v="699"/>
      <x v="1441"/>
    </i>
    <i r="2">
      <x v="90"/>
      <x v="700"/>
      <x v="8"/>
    </i>
    <i r="3">
      <x v="702"/>
      <x v="783"/>
    </i>
    <i r="3">
      <x v="703"/>
      <x v="6"/>
    </i>
    <i r="3">
      <x v="704"/>
      <x v="777"/>
    </i>
    <i r="3">
      <x v="708"/>
      <x v="778"/>
    </i>
    <i r="2">
      <x v="91"/>
      <x v="700"/>
      <x v="8"/>
    </i>
    <i r="3">
      <x v="702"/>
      <x v="783"/>
    </i>
    <i r="3">
      <x v="703"/>
      <x v="6"/>
    </i>
    <i r="3">
      <x v="704"/>
      <x v="777"/>
    </i>
    <i r="3">
      <x v="705"/>
      <x v="779"/>
    </i>
    <i r="2">
      <x v="92"/>
      <x v="700"/>
      <x v="8"/>
    </i>
    <i r="3">
      <x v="702"/>
      <x v="783"/>
    </i>
    <i r="3">
      <x v="703"/>
      <x v="6"/>
    </i>
    <i r="3">
      <x v="704"/>
      <x v="777"/>
    </i>
    <i r="3">
      <x v="707"/>
      <x v="780"/>
    </i>
    <i r="2">
      <x v="93"/>
      <x v="700"/>
      <x v="8"/>
    </i>
    <i r="3">
      <x v="702"/>
      <x v="783"/>
    </i>
    <i r="3">
      <x v="703"/>
      <x v="6"/>
    </i>
    <i r="3">
      <x v="704"/>
      <x v="777"/>
    </i>
    <i r="3">
      <x v="706"/>
      <x v="781"/>
    </i>
    <i r="2">
      <x v="94"/>
      <x v="700"/>
      <x v="8"/>
    </i>
    <i r="3">
      <x v="701"/>
      <x v="782"/>
    </i>
    <i r="3">
      <x v="702"/>
      <x v="783"/>
    </i>
    <i r="3">
      <x v="703"/>
      <x v="6"/>
    </i>
    <i r="3">
      <x v="704"/>
      <x v="777"/>
    </i>
    <i r="2">
      <x v="104"/>
      <x v="738"/>
      <x v="248"/>
    </i>
    <i r="3">
      <x v="739"/>
      <x v="714"/>
    </i>
    <i r="3">
      <x v="740"/>
      <x v="716"/>
    </i>
    <i r="3">
      <x v="741"/>
      <x v="715"/>
    </i>
    <i r="3">
      <x v="742"/>
      <x v="1043"/>
    </i>
    <i r="3">
      <x v="743"/>
      <x v="758"/>
    </i>
    <i r="2">
      <x v="105"/>
      <x v="1530"/>
      <x v="793"/>
    </i>
    <i r="3">
      <x v="1553"/>
      <x v="196"/>
    </i>
    <i r="2">
      <x v="216"/>
      <x v="688"/>
      <x v="859"/>
    </i>
    <i r="3">
      <x v="689"/>
      <x v="862"/>
    </i>
    <i r="3">
      <x v="690"/>
      <x v="861"/>
    </i>
    <i r="1">
      <x v="15"/>
      <x v="1"/>
      <x v="799"/>
      <x v="57"/>
    </i>
    <i r="3">
      <x v="800"/>
      <x v="58"/>
    </i>
    <i r="3">
      <x v="801"/>
      <x v="59"/>
    </i>
    <i r="3">
      <x v="1584"/>
      <x v="20"/>
    </i>
    <i r="3">
      <x v="1585"/>
      <x v="21"/>
    </i>
    <i r="3">
      <x v="1586"/>
      <x v="22"/>
    </i>
    <i r="2">
      <x v="2"/>
      <x v="1580"/>
      <x v="115"/>
    </i>
    <i r="3">
      <x v="1581"/>
      <x v="1573"/>
    </i>
    <i r="3">
      <x v="1582"/>
      <x v="23"/>
    </i>
    <i r="3">
      <x v="1583"/>
      <x v="24"/>
    </i>
    <i r="3">
      <x v="1587"/>
      <x v="19"/>
    </i>
    <i r="2">
      <x v="3"/>
      <x v="804"/>
      <x v="67"/>
    </i>
    <i r="3">
      <x v="805"/>
      <x v="68"/>
    </i>
    <i r="3">
      <x v="806"/>
      <x v="69"/>
    </i>
    <i r="3">
      <x v="807"/>
      <x v="61"/>
    </i>
    <i r="3">
      <x v="808"/>
      <x v="62"/>
    </i>
    <i r="3">
      <x v="809"/>
      <x v="63"/>
    </i>
    <i r="3">
      <x v="810"/>
      <x v="66"/>
    </i>
    <i r="3">
      <x v="811"/>
      <x v="64"/>
    </i>
    <i r="3">
      <x v="814"/>
      <x v="1057"/>
    </i>
    <i r="3">
      <x v="1581"/>
      <x v="1573"/>
    </i>
    <i r="3">
      <x v="1584"/>
      <x v="20"/>
    </i>
    <i r="3">
      <x v="1585"/>
      <x v="21"/>
    </i>
    <i r="2">
      <x v="4"/>
      <x v="812"/>
      <x v="65"/>
    </i>
    <i r="3">
      <x v="813"/>
      <x v="124"/>
    </i>
    <i r="2">
      <x v="14"/>
      <x v="798"/>
      <x v="88"/>
    </i>
    <i r="3">
      <x v="802"/>
      <x v="1440"/>
    </i>
    <i r="2">
      <x v="208"/>
      <x v="818"/>
      <x v="1246"/>
    </i>
    <i r="3">
      <x v="819"/>
      <x v="1247"/>
    </i>
    <i r="3">
      <x v="820"/>
      <x v="1264"/>
    </i>
    <i r="3">
      <x v="821"/>
      <x v="1266"/>
    </i>
    <i r="3">
      <x v="822"/>
      <x v="1267"/>
    </i>
    <i r="3">
      <x v="823"/>
      <x v="1265"/>
    </i>
    <i r="2">
      <x v="210"/>
      <x v="824"/>
      <x v="1268"/>
    </i>
    <i r="3">
      <x v="825"/>
      <x v="1269"/>
    </i>
    <i r="3">
      <x v="826"/>
      <x v="1270"/>
    </i>
    <i r="3">
      <x v="827"/>
      <x v="1271"/>
    </i>
    <i r="3">
      <x v="828"/>
      <x v="1273"/>
    </i>
    <i r="3">
      <x v="829"/>
      <x v="1272"/>
    </i>
    <i r="2">
      <x v="213"/>
      <x v="815"/>
      <x v="1576"/>
    </i>
    <i r="3">
      <x v="816"/>
      <x v="1578"/>
    </i>
    <i r="3">
      <x v="817"/>
      <x v="1579"/>
    </i>
    <i r="3">
      <x v="1584"/>
      <x v="20"/>
    </i>
    <i r="3">
      <x v="1585"/>
      <x v="21"/>
    </i>
    <i r="3">
      <x v="1586"/>
      <x v="22"/>
    </i>
    <i r="2">
      <x v="214"/>
      <x v="1580"/>
      <x v="115"/>
    </i>
    <i r="3">
      <x v="1581"/>
      <x v="1573"/>
    </i>
    <i r="3">
      <x v="1582"/>
      <x v="23"/>
    </i>
    <i r="3">
      <x v="1583"/>
      <x v="24"/>
    </i>
    <i r="3">
      <x v="1587"/>
      <x v="19"/>
    </i>
    <i r="2">
      <x v="216"/>
      <x v="797"/>
      <x v="292"/>
    </i>
    <i r="3">
      <x v="803"/>
      <x v="1414"/>
    </i>
    <i r="1">
      <x v="16"/>
      <x v="72"/>
      <x v="831"/>
      <x v="884"/>
    </i>
    <i r="3">
      <x v="832"/>
      <x v="236"/>
    </i>
    <i r="3">
      <x v="833"/>
      <x v="1176"/>
    </i>
    <i r="2">
      <x v="108"/>
      <x v="834"/>
      <x v="253"/>
    </i>
    <i r="3">
      <x v="835"/>
      <x v="253"/>
    </i>
    <i r="3">
      <x v="836"/>
      <x v="1064"/>
    </i>
    <i r="2">
      <x v="216"/>
      <x v="625"/>
      <x v="1242"/>
    </i>
    <i r="3">
      <x v="626"/>
      <x v="1241"/>
    </i>
    <i r="3">
      <x v="830"/>
      <x v="273"/>
    </i>
    <i t="default">
      <x v="2"/>
    </i>
    <i>
      <x v="4"/>
      <x v="41"/>
      <x v="169"/>
      <x v="1521"/>
      <x v="302"/>
    </i>
    <i r="3">
      <x v="1522"/>
      <x v="334"/>
    </i>
    <i r="2">
      <x v="216"/>
      <x v="1327"/>
      <x v="262"/>
    </i>
    <i r="3">
      <x v="1328"/>
      <x v="410"/>
    </i>
    <i r="3">
      <x v="1329"/>
      <x v="409"/>
    </i>
    <i r="3">
      <x v="1330"/>
      <x v="408"/>
    </i>
    <i r="3">
      <x v="1338"/>
      <x v="560"/>
    </i>
    <i r="1">
      <x v="42"/>
      <x v="23"/>
      <x v="1331"/>
      <x v="136"/>
    </i>
    <i r="2">
      <x v="165"/>
      <x v="1577"/>
      <x v="373"/>
    </i>
    <i r="3">
      <x v="1579"/>
      <x v="299"/>
    </i>
    <i r="2">
      <x v="216"/>
      <x v="1332"/>
      <x v="395"/>
    </i>
    <i r="3">
      <x v="1337"/>
      <x v="453"/>
    </i>
    <i r="1">
      <x v="43"/>
      <x v="109"/>
      <x v="1592"/>
      <x v="380"/>
    </i>
    <i r="3">
      <x v="1593"/>
      <x v="261"/>
    </i>
    <i r="2">
      <x v="216"/>
      <x v="1333"/>
      <x v="263"/>
    </i>
    <i r="3">
      <x v="1334"/>
      <x v="527"/>
    </i>
    <i r="3">
      <x v="1335"/>
      <x v="467"/>
    </i>
    <i r="3">
      <x v="1336"/>
      <x v="43"/>
    </i>
    <i r="3">
      <x v="1589"/>
      <x v="556"/>
    </i>
    <i r="3">
      <x v="1590"/>
      <x v="557"/>
    </i>
    <i r="1">
      <x v="44"/>
      <x v="216"/>
      <x v="1339"/>
      <x v="264"/>
    </i>
    <i r="3">
      <x v="1340"/>
      <x v="1138"/>
    </i>
    <i r="3">
      <x v="1341"/>
      <x v="1134"/>
    </i>
    <i r="3">
      <x v="1342"/>
      <x v="1135"/>
    </i>
    <i r="3">
      <x v="1343"/>
      <x v="1136"/>
    </i>
    <i r="3">
      <x v="1344"/>
      <x v="1137"/>
    </i>
    <i r="3">
      <x v="1345"/>
      <x v="321"/>
    </i>
    <i r="3">
      <x v="1346"/>
      <x v="646"/>
    </i>
    <i r="3">
      <x v="1347"/>
      <x v="690"/>
    </i>
    <i r="3">
      <x v="1348"/>
      <x v="732"/>
    </i>
    <i r="3">
      <x v="1349"/>
      <x v="763"/>
    </i>
    <i r="3">
      <x v="1350"/>
      <x v="567"/>
    </i>
    <i r="3">
      <x v="1351"/>
      <x v="647"/>
    </i>
    <i r="3">
      <x v="1352"/>
      <x v="691"/>
    </i>
    <i r="3">
      <x v="1353"/>
      <x v="733"/>
    </i>
    <i r="3">
      <x v="1354"/>
      <x v="764"/>
    </i>
    <i r="3">
      <x v="1355"/>
      <x v="630"/>
    </i>
    <i r="3">
      <x v="1356"/>
      <x v="394"/>
    </i>
    <i r="3">
      <x v="1357"/>
      <x v="46"/>
    </i>
    <i r="3">
      <x v="1358"/>
      <x v="393"/>
    </i>
    <i r="3">
      <x v="1359"/>
      <x v="432"/>
    </i>
    <i r="3">
      <x v="1360"/>
      <x v="434"/>
    </i>
    <i r="3">
      <x v="1361"/>
      <x v="55"/>
    </i>
    <i r="3">
      <x v="1362"/>
      <x v="734"/>
    </i>
    <i r="3">
      <x v="1363"/>
      <x v="429"/>
    </i>
    <i r="3">
      <x v="1364"/>
      <x v="47"/>
    </i>
    <i r="3">
      <x v="1365"/>
      <x v="44"/>
    </i>
    <i r="3">
      <x v="1366"/>
      <x v="430"/>
    </i>
    <i r="3">
      <x v="1367"/>
      <x v="40"/>
    </i>
    <i r="3">
      <x v="1368"/>
      <x v="348"/>
    </i>
    <i r="3">
      <x v="1369"/>
      <x v="399"/>
    </i>
    <i r="3">
      <x v="1370"/>
      <x v="502"/>
    </i>
    <i r="3">
      <x v="1371"/>
      <x v="45"/>
    </i>
    <i r="3">
      <x v="1372"/>
      <x v="736"/>
    </i>
    <i r="3">
      <x v="1373"/>
      <x v="320"/>
    </i>
    <i r="3">
      <x v="1374"/>
      <x v="325"/>
    </i>
    <i r="3">
      <x v="1375"/>
      <x v="322"/>
    </i>
    <i r="3">
      <x v="1376"/>
      <x v="324"/>
    </i>
    <i r="3">
      <x v="1377"/>
      <x v="323"/>
    </i>
    <i r="3">
      <x v="1378"/>
      <x v="326"/>
    </i>
    <i r="1">
      <x v="45"/>
      <x v="32"/>
      <x v="1382"/>
      <x v="699"/>
    </i>
    <i r="3">
      <x v="1388"/>
      <x v="165"/>
    </i>
    <i r="3">
      <x v="1389"/>
      <x v="697"/>
    </i>
    <i r="3">
      <x v="1390"/>
      <x v="698"/>
    </i>
    <i r="3">
      <x v="1391"/>
      <x v="700"/>
    </i>
    <i r="3">
      <x v="1392"/>
      <x v="696"/>
    </i>
    <i r="2">
      <x v="33"/>
      <x v="1380"/>
      <x v="166"/>
    </i>
    <i r="3">
      <x v="1382"/>
      <x v="701"/>
    </i>
    <i r="2">
      <x v="34"/>
      <x v="1381"/>
      <x v="702"/>
    </i>
    <i r="2">
      <x v="35"/>
      <x v="1383"/>
      <x v="168"/>
    </i>
    <i r="3">
      <x v="1386"/>
      <x v="854"/>
    </i>
    <i r="2">
      <x v="36"/>
      <x v="1384"/>
      <x v="169"/>
    </i>
    <i r="3">
      <x v="1385"/>
      <x v="1190"/>
    </i>
    <i r="2">
      <x v="216"/>
      <x v="1379"/>
      <x v="167"/>
    </i>
    <i r="3">
      <x v="1387"/>
      <x v="703"/>
    </i>
    <i r="1">
      <x v="46"/>
      <x v="215"/>
      <x v="1399"/>
      <x v="1607"/>
    </i>
    <i r="2">
      <x v="216"/>
      <x v="1393"/>
      <x v="319"/>
    </i>
    <i r="3">
      <x v="1395"/>
      <x v="1608"/>
    </i>
    <i r="3">
      <x v="1396"/>
      <x v="1610"/>
    </i>
    <i r="3">
      <x v="1397"/>
      <x v="1605"/>
    </i>
    <i r="3">
      <x v="1398"/>
      <x v="1611"/>
    </i>
    <i r="3">
      <x v="1400"/>
      <x v="1612"/>
    </i>
    <i r="3">
      <x v="1401"/>
      <x v="1606"/>
    </i>
    <i r="3">
      <x v="1402"/>
      <x v="1614"/>
    </i>
    <i r="1">
      <x v="47"/>
      <x v="169"/>
      <x v="1521"/>
      <x v="302"/>
    </i>
    <i r="3">
      <x v="1522"/>
      <x v="334"/>
    </i>
    <i r="2">
      <x v="216"/>
      <x v="1403"/>
      <x v="327"/>
    </i>
    <i r="3">
      <x v="1404"/>
      <x v="130"/>
    </i>
    <i r="3">
      <x v="1405"/>
      <x v="329"/>
    </i>
    <i r="3">
      <x v="1406"/>
      <x v="328"/>
    </i>
    <i r="3">
      <x v="1407"/>
      <x v="1031"/>
    </i>
    <i r="1">
      <x v="48"/>
      <x v="182"/>
      <x v="1422"/>
      <x v="1050"/>
    </i>
    <i r="2">
      <x v="216"/>
      <x v="1408"/>
      <x v="260"/>
    </i>
    <i r="3">
      <x v="1409"/>
      <x v="1149"/>
    </i>
    <i r="3">
      <x v="1410"/>
      <x v="1152"/>
    </i>
    <i r="3">
      <x v="1411"/>
      <x v="1157"/>
    </i>
    <i r="3">
      <x v="1412"/>
      <x v="1151"/>
    </i>
    <i r="3">
      <x v="1413"/>
      <x v="1160"/>
    </i>
    <i r="3">
      <x v="1414"/>
      <x v="1161"/>
    </i>
    <i r="3">
      <x v="1415"/>
      <x v="1150"/>
    </i>
    <i r="3">
      <x v="1416"/>
      <x v="1156"/>
    </i>
    <i r="3">
      <x v="1417"/>
      <x v="1154"/>
    </i>
    <i r="3">
      <x v="1418"/>
      <x v="1153"/>
    </i>
    <i r="3">
      <x v="1419"/>
      <x v="1155"/>
    </i>
    <i r="3">
      <x v="1421"/>
      <x v="1158"/>
    </i>
    <i r="3">
      <x v="1423"/>
      <x v="639"/>
    </i>
    <i r="3">
      <x v="1587"/>
      <x v="19"/>
    </i>
    <i r="1">
      <x v="49"/>
      <x v="216"/>
      <x v="359"/>
      <x v="146"/>
    </i>
    <i r="3">
      <x v="1424"/>
      <x v="173"/>
    </i>
    <i r="3">
      <x v="1425"/>
      <x v="718"/>
    </i>
    <i r="3">
      <x v="1426"/>
      <x v="719"/>
    </i>
    <i r="3">
      <x v="1427"/>
      <x v="720"/>
    </i>
    <i r="3">
      <x v="1454"/>
      <x v="338"/>
    </i>
    <i r="3">
      <x v="1455"/>
      <x v="339"/>
    </i>
    <i r="3">
      <x v="1456"/>
      <x v="345"/>
    </i>
    <i r="3">
      <x v="1460"/>
      <x v="344"/>
    </i>
    <i r="3">
      <x v="1461"/>
      <x v="343"/>
    </i>
    <i r="3">
      <x v="1462"/>
      <x v="340"/>
    </i>
    <i r="1">
      <x v="50"/>
      <x v="216"/>
      <x v="1428"/>
      <x v="134"/>
    </i>
    <i r="3">
      <x v="1429"/>
      <x v="382"/>
    </i>
    <i r="3">
      <x v="1430"/>
      <x v="381"/>
    </i>
    <i r="1">
      <x v="51"/>
      <x v="216"/>
      <x v="1431"/>
      <x v="820"/>
    </i>
    <i r="3">
      <x v="1432"/>
      <x v="207"/>
    </i>
    <i r="3">
      <x v="1433"/>
      <x v="822"/>
    </i>
    <i r="3">
      <x v="1434"/>
      <x v="821"/>
    </i>
    <i r="3">
      <x v="1435"/>
      <x v="1049"/>
    </i>
    <i r="1">
      <x v="52"/>
      <x v="216"/>
      <x v="1436"/>
      <x v="137"/>
    </i>
    <i r="3">
      <x v="1437"/>
      <x v="415"/>
    </i>
    <i r="3">
      <x v="1438"/>
      <x v="1032"/>
    </i>
    <i r="3">
      <x v="1439"/>
      <x v="416"/>
    </i>
    <i r="3">
      <x v="1440"/>
      <x v="413"/>
    </i>
    <i r="3">
      <x v="1441"/>
      <x v="562"/>
    </i>
    <i r="3">
      <x v="1442"/>
      <x v="625"/>
    </i>
    <i r="3">
      <x v="1443"/>
      <x v="809"/>
    </i>
    <i r="3">
      <x v="1444"/>
      <x v="108"/>
    </i>
    <i r="3">
      <x v="1445"/>
      <x v="643"/>
    </i>
    <i r="3">
      <x v="1446"/>
      <x v="558"/>
    </i>
    <i r="3">
      <x v="1447"/>
      <x v="1148"/>
    </i>
    <i r="3">
      <x v="1448"/>
      <x v="336"/>
    </i>
    <i r="3">
      <x v="1449"/>
      <x v="367"/>
    </i>
    <i r="3">
      <x v="1450"/>
      <x v="417"/>
    </i>
    <i r="1">
      <x v="53"/>
      <x v="25"/>
      <x v="1466"/>
      <x v="151"/>
    </i>
    <i r="3">
      <x v="1467"/>
      <x v="509"/>
    </i>
    <i r="2">
      <x v="168"/>
      <x v="1523"/>
      <x v="301"/>
    </i>
    <i r="3">
      <x v="1524"/>
      <x v="333"/>
    </i>
    <i r="2">
      <x v="172"/>
      <x v="1522"/>
      <x v="334"/>
    </i>
    <i r="3">
      <x v="1527"/>
      <x v="305"/>
    </i>
    <i r="2">
      <x v="176"/>
      <x v="359"/>
      <x v="146"/>
    </i>
    <i r="3">
      <x v="1453"/>
      <x v="346"/>
    </i>
    <i r="3">
      <x v="1454"/>
      <x v="338"/>
    </i>
    <i r="3">
      <x v="1455"/>
      <x v="339"/>
    </i>
    <i r="3">
      <x v="1456"/>
      <x v="345"/>
    </i>
    <i r="3">
      <x v="1457"/>
      <x v="337"/>
    </i>
    <i r="3">
      <x v="1458"/>
      <x v="341"/>
    </i>
    <i r="3">
      <x v="1459"/>
      <x v="342"/>
    </i>
    <i r="3">
      <x v="1460"/>
      <x v="344"/>
    </i>
    <i r="3">
      <x v="1461"/>
      <x v="343"/>
    </i>
    <i r="3">
      <x v="1462"/>
      <x v="340"/>
    </i>
    <i r="2">
      <x v="216"/>
      <x v="1451"/>
      <x v="150"/>
    </i>
    <i r="3">
      <x v="1452"/>
      <x v="506"/>
    </i>
    <i r="3">
      <x v="1463"/>
      <x v="508"/>
    </i>
    <i r="3">
      <x v="1464"/>
      <x v="507"/>
    </i>
    <i r="3">
      <x v="1465"/>
      <x v="1038"/>
    </i>
    <i r="1">
      <x v="54"/>
      <x v="10"/>
      <x v="1484"/>
      <x v="123"/>
    </i>
    <i r="3">
      <x v="1486"/>
      <x v="1010"/>
    </i>
    <i r="3">
      <x v="1487"/>
      <x v="747"/>
    </i>
    <i r="2">
      <x v="15"/>
      <x v="1474"/>
      <x v="131"/>
    </i>
    <i r="3">
      <x v="1483"/>
      <x v="1234"/>
    </i>
    <i r="2">
      <x v="16"/>
      <x v="1477"/>
      <x v="227"/>
    </i>
    <i r="3">
      <x v="1478"/>
      <x v="902"/>
    </i>
    <i r="2">
      <x v="17"/>
      <x v="1481"/>
      <x v="257"/>
    </i>
    <i r="3">
      <x v="1482"/>
      <x v="1142"/>
    </i>
    <i r="2">
      <x v="18"/>
      <x v="1479"/>
      <x v="288"/>
    </i>
    <i r="3">
      <x v="1480"/>
      <x v="1365"/>
    </i>
    <i r="2">
      <x v="19"/>
      <x v="1475"/>
      <x v="316"/>
    </i>
    <i r="3">
      <x v="1476"/>
      <x v="1551"/>
    </i>
    <i r="2">
      <x v="167"/>
      <x v="1576"/>
      <x v="300"/>
    </i>
    <i r="3">
      <x v="1577"/>
      <x v="373"/>
    </i>
    <i r="2">
      <x v="172"/>
      <x v="1522"/>
      <x v="334"/>
    </i>
    <i r="3">
      <x v="1527"/>
      <x v="305"/>
    </i>
    <i r="2">
      <x v="185"/>
      <x v="1535"/>
      <x v="792"/>
    </i>
    <i r="3">
      <x v="1558"/>
      <x v="195"/>
    </i>
    <i r="2">
      <x v="188"/>
      <x v="1538"/>
      <x v="797"/>
    </i>
    <i r="3">
      <x v="1561"/>
      <x v="200"/>
    </i>
    <i r="2">
      <x v="198"/>
      <x v="1551"/>
      <x v="795"/>
    </i>
    <i r="3">
      <x v="1575"/>
      <x v="198"/>
    </i>
    <i r="2">
      <x v="216"/>
      <x v="1468"/>
      <x v="147"/>
    </i>
    <i r="3">
      <x v="1469"/>
      <x v="499"/>
    </i>
    <i r="3">
      <x v="1470"/>
      <x v="497"/>
    </i>
    <i r="3">
      <x v="1471"/>
      <x v="498"/>
    </i>
    <i r="3">
      <x v="1472"/>
      <x v="1037"/>
    </i>
    <i r="3">
      <x v="1473"/>
      <x v="500"/>
    </i>
    <i r="1">
      <x v="55"/>
      <x v="171"/>
      <x v="1524"/>
      <x v="333"/>
    </i>
    <i r="3">
      <x v="1528"/>
      <x v="304"/>
    </i>
    <i r="2">
      <x v="216"/>
      <x v="1488"/>
      <x v="143"/>
    </i>
    <i r="3">
      <x v="1489"/>
      <x v="465"/>
    </i>
    <i r="3">
      <x v="1490"/>
      <x v="468"/>
    </i>
    <i r="3">
      <x v="1491"/>
      <x v="466"/>
    </i>
    <i r="3">
      <x v="1492"/>
      <x v="1035"/>
    </i>
    <i r="1">
      <x v="56"/>
      <x v="48"/>
      <x v="1499"/>
      <x v="759"/>
    </i>
    <i r="2">
      <x v="173"/>
      <x v="1526"/>
      <x v="335"/>
    </i>
    <i r="3">
      <x v="1529"/>
      <x v="306"/>
    </i>
    <i r="2">
      <x v="192"/>
      <x v="1543"/>
      <x v="793"/>
    </i>
    <i r="3">
      <x v="1566"/>
      <x v="196"/>
    </i>
    <i r="2">
      <x v="193"/>
      <x v="1544"/>
      <x v="793"/>
    </i>
    <i r="3">
      <x v="1567"/>
      <x v="196"/>
    </i>
    <i r="2">
      <x v="194"/>
      <x v="1546"/>
      <x v="793"/>
    </i>
    <i r="3">
      <x v="1569"/>
      <x v="196"/>
    </i>
    <i r="2">
      <x v="216"/>
      <x v="1493"/>
      <x v="177"/>
    </i>
    <i r="3">
      <x v="1494"/>
      <x v="760"/>
    </i>
    <i r="3">
      <x v="1496"/>
      <x v="762"/>
    </i>
    <i r="3">
      <x v="1497"/>
      <x v="761"/>
    </i>
    <i r="3">
      <x v="1498"/>
      <x v="1045"/>
    </i>
    <i r="1">
      <x v="57"/>
      <x v="167"/>
      <x v="1576"/>
      <x v="300"/>
    </i>
    <i r="3">
      <x v="1577"/>
      <x v="373"/>
    </i>
    <i r="2">
      <x v="197"/>
      <x v="1550"/>
      <x v="798"/>
    </i>
    <i r="3">
      <x v="1572"/>
      <x v="201"/>
    </i>
    <i r="2">
      <x v="216"/>
      <x v="1500"/>
      <x v="287"/>
    </i>
    <i r="3">
      <x v="1501"/>
      <x v="1360"/>
    </i>
    <i r="3">
      <x v="1502"/>
      <x v="1362"/>
    </i>
    <i r="3">
      <x v="1503"/>
      <x v="1361"/>
    </i>
    <i r="3">
      <x v="1504"/>
      <x v="1055"/>
    </i>
    <i r="3">
      <x v="1505"/>
      <x v="1363"/>
    </i>
    <i r="3">
      <x v="1522"/>
      <x v="334"/>
    </i>
    <i r="1">
      <x v="58"/>
      <x v="195"/>
      <x v="1548"/>
      <x v="793"/>
    </i>
    <i r="3">
      <x v="1570"/>
      <x v="196"/>
    </i>
    <i r="2">
      <x v="216"/>
      <x v="1506"/>
      <x v="285"/>
    </i>
    <i r="3">
      <x v="1507"/>
      <x v="1346"/>
    </i>
    <i r="3">
      <x v="1508"/>
      <x v="1348"/>
    </i>
    <i r="3">
      <x v="1509"/>
      <x v="1347"/>
    </i>
    <i r="3">
      <x v="1510"/>
      <x v="1054"/>
    </i>
    <i r="3">
      <x v="1511"/>
      <x v="1349"/>
    </i>
    <i r="1">
      <x v="59"/>
      <x v="51"/>
      <x v="1520"/>
      <x v="808"/>
    </i>
    <i r="2">
      <x v="190"/>
      <x v="1540"/>
      <x v="789"/>
    </i>
    <i r="3">
      <x v="1563"/>
      <x v="191"/>
    </i>
    <i r="2">
      <x v="191"/>
      <x v="1542"/>
      <x v="788"/>
    </i>
    <i r="3">
      <x v="1565"/>
      <x v="190"/>
    </i>
    <i r="2">
      <x v="196"/>
      <x v="1549"/>
      <x v="790"/>
    </i>
    <i r="3">
      <x v="1571"/>
      <x v="192"/>
    </i>
    <i r="2">
      <x v="216"/>
      <x v="1512"/>
      <x v="204"/>
    </i>
    <i r="3">
      <x v="1513"/>
      <x v="804"/>
    </i>
    <i r="3">
      <x v="1515"/>
      <x v="806"/>
    </i>
    <i r="3">
      <x v="1516"/>
      <x v="805"/>
    </i>
    <i r="3">
      <x v="1517"/>
      <x v="803"/>
    </i>
    <i r="3">
      <x v="1518"/>
      <x v="802"/>
    </i>
    <i r="3">
      <x v="1519"/>
      <x v="807"/>
    </i>
    <i r="3">
      <x v="1520"/>
      <x v="1048"/>
    </i>
    <i t="default">
      <x v="4"/>
    </i>
    <i>
      <x v="5"/>
      <x v="2"/>
      <x v="24"/>
      <x v="1602"/>
      <x v="141"/>
    </i>
    <i r="3">
      <x v="1603"/>
      <x v="449"/>
    </i>
    <i r="2">
      <x v="178"/>
      <x v="441"/>
      <x v="648"/>
    </i>
    <i r="3">
      <x v="442"/>
      <x v="650"/>
    </i>
    <i r="2">
      <x v="179"/>
      <x v="453"/>
      <x v="649"/>
    </i>
    <i r="3">
      <x v="454"/>
      <x v="651"/>
    </i>
    <i r="2">
      <x v="216"/>
      <x v="439"/>
      <x v="318"/>
    </i>
    <i r="3">
      <x v="440"/>
      <x v="1544"/>
    </i>
    <i r="3">
      <x v="443"/>
      <x v="1549"/>
    </i>
    <i r="3">
      <x v="444"/>
      <x v="1557"/>
    </i>
    <i r="3">
      <x v="445"/>
      <x v="1546"/>
    </i>
    <i r="3">
      <x v="446"/>
      <x v="1545"/>
    </i>
    <i r="3">
      <x v="447"/>
      <x v="1542"/>
    </i>
    <i r="3">
      <x v="448"/>
      <x v="1556"/>
    </i>
    <i r="3">
      <x v="449"/>
      <x v="1543"/>
    </i>
    <i r="3">
      <x v="450"/>
      <x v="1567"/>
    </i>
    <i r="3">
      <x v="451"/>
      <x v="944"/>
    </i>
    <i r="3">
      <x v="452"/>
      <x v="945"/>
    </i>
    <i r="3">
      <x v="455"/>
      <x v="946"/>
    </i>
    <i r="3">
      <x v="456"/>
      <x v="1541"/>
    </i>
    <i r="3">
      <x v="457"/>
      <x v="708"/>
    </i>
    <i r="3">
      <x v="458"/>
      <x v="710"/>
    </i>
    <i r="3">
      <x v="459"/>
      <x v="1540"/>
    </i>
    <i r="3">
      <x v="460"/>
      <x v="954"/>
    </i>
    <i r="3">
      <x v="461"/>
      <x v="1548"/>
    </i>
    <i r="3">
      <x v="462"/>
      <x v="1568"/>
    </i>
    <i r="3">
      <x v="463"/>
      <x v="1547"/>
    </i>
    <i r="1">
      <x v="3"/>
      <x v="168"/>
      <x v="1523"/>
      <x v="301"/>
    </i>
    <i r="3">
      <x v="1524"/>
      <x v="333"/>
    </i>
    <i r="2">
      <x v="203"/>
      <x v="481"/>
      <x v="1162"/>
    </i>
    <i r="3">
      <x v="482"/>
      <x v="8"/>
    </i>
    <i r="3">
      <x v="483"/>
      <x v="1164"/>
    </i>
    <i r="3">
      <x v="484"/>
      <x v="1163"/>
    </i>
    <i r="3">
      <x v="485"/>
      <x v="6"/>
    </i>
    <i r="3">
      <x v="486"/>
      <x v="10"/>
    </i>
    <i r="3">
      <x v="487"/>
      <x v="7"/>
    </i>
    <i r="2">
      <x v="216"/>
      <x v="464"/>
      <x v="245"/>
    </i>
    <i r="3">
      <x v="465"/>
      <x v="927"/>
    </i>
    <i r="3">
      <x v="475"/>
      <x v="929"/>
    </i>
    <i r="3">
      <x v="476"/>
      <x v="928"/>
    </i>
    <i r="3">
      <x v="477"/>
      <x v="930"/>
    </i>
    <i r="3">
      <x v="478"/>
      <x v="511"/>
    </i>
    <i r="3">
      <x v="479"/>
      <x v="513"/>
    </i>
    <i r="3">
      <x v="480"/>
      <x v="512"/>
    </i>
    <i r="1">
      <x v="4"/>
      <x v="183"/>
      <x v="1533"/>
      <x v="792"/>
    </i>
    <i r="3">
      <x v="1556"/>
      <x v="195"/>
    </i>
    <i r="2">
      <x v="184"/>
      <x v="1534"/>
      <x v="796"/>
    </i>
    <i r="3">
      <x v="1557"/>
      <x v="199"/>
    </i>
    <i r="2">
      <x v="216"/>
      <x v="488"/>
      <x v="142"/>
    </i>
    <i r="3">
      <x v="489"/>
      <x v="439"/>
    </i>
    <i r="3">
      <x v="490"/>
      <x v="440"/>
    </i>
    <i r="3">
      <x v="491"/>
      <x v="441"/>
    </i>
    <i r="3">
      <x v="492"/>
      <x v="1034"/>
    </i>
    <i r="3">
      <x v="493"/>
      <x v="445"/>
    </i>
    <i r="3">
      <x v="494"/>
      <x v="446"/>
    </i>
    <i r="3">
      <x v="495"/>
      <x v="447"/>
    </i>
    <i r="3">
      <x v="496"/>
      <x v="442"/>
    </i>
    <i r="3">
      <x v="497"/>
      <x v="448"/>
    </i>
    <i r="3">
      <x v="498"/>
      <x v="443"/>
    </i>
    <i r="3">
      <x v="499"/>
      <x v="444"/>
    </i>
    <i r="1">
      <x v="5"/>
      <x v="216"/>
      <x v="500"/>
      <x v="153"/>
    </i>
    <i r="3">
      <x v="501"/>
      <x v="553"/>
    </i>
    <i r="3">
      <x v="502"/>
      <x v="548"/>
    </i>
    <i r="3">
      <x v="503"/>
      <x v="554"/>
    </i>
    <i r="3">
      <x v="504"/>
      <x v="550"/>
    </i>
    <i r="3">
      <x v="505"/>
      <x v="543"/>
    </i>
    <i r="3">
      <x v="506"/>
      <x v="540"/>
    </i>
    <i r="3">
      <x v="507"/>
      <x v="552"/>
    </i>
    <i r="3">
      <x v="508"/>
      <x v="547"/>
    </i>
    <i r="3">
      <x v="509"/>
      <x v="545"/>
    </i>
    <i r="3">
      <x v="510"/>
      <x v="544"/>
    </i>
    <i r="3">
      <x v="511"/>
      <x v="536"/>
    </i>
    <i r="3">
      <x v="512"/>
      <x v="537"/>
    </i>
    <i r="3">
      <x v="513"/>
      <x v="533"/>
    </i>
    <i r="3">
      <x v="514"/>
      <x v="530"/>
    </i>
    <i r="3">
      <x v="515"/>
      <x v="952"/>
    </i>
    <i r="3">
      <x v="516"/>
      <x v="953"/>
    </i>
    <i r="3">
      <x v="517"/>
      <x v="1039"/>
    </i>
    <i r="3">
      <x v="521"/>
      <x v="521"/>
    </i>
    <i r="3">
      <x v="522"/>
      <x v="518"/>
    </i>
    <i r="3">
      <x v="523"/>
      <x v="519"/>
    </i>
    <i r="3">
      <x v="525"/>
      <x v="534"/>
    </i>
    <i r="3">
      <x v="527"/>
      <x v="535"/>
    </i>
    <i r="3">
      <x v="528"/>
      <x v="528"/>
    </i>
    <i r="3">
      <x v="529"/>
      <x v="532"/>
    </i>
    <i r="3">
      <x v="530"/>
      <x v="529"/>
    </i>
    <i r="1">
      <x v="6"/>
      <x v="216"/>
      <x v="519"/>
      <x v="520"/>
    </i>
    <i r="3">
      <x v="520"/>
      <x v="517"/>
    </i>
    <i r="3">
      <x v="521"/>
      <x v="521"/>
    </i>
    <i r="3">
      <x v="522"/>
      <x v="518"/>
    </i>
    <i r="3">
      <x v="523"/>
      <x v="519"/>
    </i>
    <i r="3">
      <x v="524"/>
      <x v="1040"/>
    </i>
    <i r="3">
      <x v="525"/>
      <x v="534"/>
    </i>
    <i r="3">
      <x v="526"/>
      <x v="549"/>
    </i>
    <i r="3">
      <x v="527"/>
      <x v="535"/>
    </i>
    <i r="3">
      <x v="528"/>
      <x v="528"/>
    </i>
    <i r="3">
      <x v="529"/>
      <x v="532"/>
    </i>
    <i r="3">
      <x v="530"/>
      <x v="529"/>
    </i>
    <i r="3">
      <x v="532"/>
      <x v="531"/>
    </i>
    <i r="3">
      <x v="533"/>
      <x v="546"/>
    </i>
    <i r="3">
      <x v="534"/>
      <x v="539"/>
    </i>
    <i r="3">
      <x v="535"/>
      <x v="541"/>
    </i>
    <i r="3">
      <x v="536"/>
      <x v="542"/>
    </i>
    <i r="3">
      <x v="537"/>
      <x v="551"/>
    </i>
    <i r="3">
      <x v="538"/>
      <x v="538"/>
    </i>
    <i r="1">
      <x v="7"/>
      <x v="186"/>
      <x v="1536"/>
      <x v="793"/>
    </i>
    <i r="3">
      <x v="1559"/>
      <x v="196"/>
    </i>
    <i r="2">
      <x v="211"/>
      <x v="541"/>
      <x v="1384"/>
    </i>
    <i r="3">
      <x v="542"/>
      <x v="1385"/>
    </i>
    <i r="3">
      <x v="543"/>
      <x v="1386"/>
    </i>
    <i r="3">
      <x v="544"/>
      <x v="1388"/>
    </i>
    <i r="3">
      <x v="545"/>
      <x v="1387"/>
    </i>
    <i r="2">
      <x v="216"/>
      <x v="539"/>
      <x v="247"/>
    </i>
    <i r="3">
      <x v="540"/>
      <x v="1379"/>
    </i>
    <i r="3">
      <x v="546"/>
      <x v="1381"/>
    </i>
    <i r="3">
      <x v="547"/>
      <x v="1380"/>
    </i>
    <i r="3">
      <x v="548"/>
      <x v="1056"/>
    </i>
    <i r="3">
      <x v="549"/>
      <x v="1382"/>
    </i>
    <i r="3">
      <x v="550"/>
      <x v="758"/>
    </i>
    <i r="1">
      <x v="8"/>
      <x v="38"/>
      <x v="552"/>
      <x v="171"/>
    </i>
    <i r="3">
      <x v="553"/>
      <x v="709"/>
    </i>
    <i r="3">
      <x v="554"/>
      <x v="713"/>
    </i>
    <i r="3">
      <x v="555"/>
      <x v="712"/>
    </i>
    <i r="2">
      <x v="39"/>
      <x v="1539"/>
      <x v="793"/>
    </i>
    <i r="3">
      <x v="1562"/>
      <x v="196"/>
    </i>
    <i r="2">
      <x v="40"/>
      <x v="1541"/>
      <x v="196"/>
    </i>
    <i r="3">
      <x v="1564"/>
      <x v="196"/>
    </i>
    <i r="2">
      <x v="41"/>
      <x v="556"/>
      <x v="172"/>
    </i>
    <i r="3">
      <x v="557"/>
      <x v="711"/>
    </i>
    <i r="2">
      <x v="216"/>
      <x v="551"/>
      <x v="242"/>
    </i>
    <i r="1">
      <x v="9"/>
      <x v="27"/>
      <x v="560"/>
      <x v="162"/>
    </i>
    <i r="3">
      <x v="561"/>
      <x v="1521"/>
    </i>
    <i r="3">
      <x v="570"/>
      <x v="637"/>
    </i>
    <i r="3">
      <x v="581"/>
      <x v="1515"/>
    </i>
    <i r="2">
      <x v="28"/>
      <x v="597"/>
      <x v="128"/>
    </i>
    <i r="3">
      <x v="598"/>
      <x v="97"/>
    </i>
    <i r="3">
      <x v="599"/>
      <x v="98"/>
    </i>
    <i r="3">
      <x v="600"/>
      <x v="100"/>
    </i>
    <i r="3">
      <x v="601"/>
      <x v="1059"/>
    </i>
    <i r="3">
      <x v="602"/>
      <x v="103"/>
    </i>
    <i r="3">
      <x v="603"/>
      <x v="106"/>
    </i>
    <i r="3">
      <x v="604"/>
      <x v="104"/>
    </i>
    <i r="3">
      <x v="605"/>
      <x v="102"/>
    </i>
    <i r="3">
      <x v="606"/>
      <x v="101"/>
    </i>
    <i r="3">
      <x v="607"/>
      <x v="105"/>
    </i>
    <i r="3">
      <x v="608"/>
      <x v="99"/>
    </i>
    <i r="2">
      <x v="29"/>
      <x v="562"/>
      <x v="1522"/>
    </i>
    <i r="3">
      <x v="563"/>
      <x v="1513"/>
    </i>
    <i r="3">
      <x v="564"/>
      <x v="1514"/>
    </i>
    <i r="3">
      <x v="565"/>
      <x v="1519"/>
    </i>
    <i r="3">
      <x v="566"/>
      <x v="1520"/>
    </i>
    <i r="3">
      <x v="567"/>
      <x v="1525"/>
    </i>
    <i r="3">
      <x v="568"/>
      <x v="1526"/>
    </i>
    <i r="3">
      <x v="569"/>
      <x v="1528"/>
    </i>
    <i r="3">
      <x v="571"/>
      <x v="1538"/>
    </i>
    <i r="3">
      <x v="572"/>
      <x v="1411"/>
    </i>
    <i r="3">
      <x v="573"/>
      <x v="1523"/>
    </i>
    <i r="3">
      <x v="574"/>
      <x v="1524"/>
    </i>
    <i r="3">
      <x v="575"/>
      <x v="1518"/>
    </i>
    <i r="3">
      <x v="576"/>
      <x v="1517"/>
    </i>
    <i r="3">
      <x v="577"/>
      <x v="1516"/>
    </i>
    <i r="3">
      <x v="578"/>
      <x v="1512"/>
    </i>
    <i r="3">
      <x v="579"/>
      <x v="1531"/>
    </i>
    <i r="3">
      <x v="580"/>
      <x v="1534"/>
    </i>
    <i r="3">
      <x v="582"/>
      <x v="1537"/>
    </i>
    <i r="3">
      <x v="583"/>
      <x v="1529"/>
    </i>
    <i r="3">
      <x v="584"/>
      <x v="1532"/>
    </i>
    <i r="3">
      <x v="585"/>
      <x v="1535"/>
    </i>
    <i r="3">
      <x v="586"/>
      <x v="1527"/>
    </i>
    <i r="3">
      <x v="587"/>
      <x v="1530"/>
    </i>
    <i r="3">
      <x v="588"/>
      <x v="1533"/>
    </i>
    <i r="3">
      <x v="589"/>
      <x v="1536"/>
    </i>
    <i r="3">
      <x v="590"/>
      <x v="1539"/>
    </i>
    <i r="2">
      <x v="30"/>
      <x v="592"/>
      <x v="252"/>
    </i>
    <i r="3">
      <x v="593"/>
      <x v="1060"/>
    </i>
    <i r="2">
      <x v="31"/>
      <x v="1530"/>
      <x v="793"/>
    </i>
    <i r="3">
      <x v="1553"/>
      <x v="196"/>
    </i>
    <i r="2">
      <x v="37"/>
      <x v="609"/>
      <x v="170"/>
    </i>
    <i r="3">
      <x v="610"/>
      <x v="705"/>
    </i>
    <i r="3">
      <x v="611"/>
      <x v="706"/>
    </i>
    <i r="3">
      <x v="612"/>
      <x v="707"/>
    </i>
    <i r="2">
      <x v="216"/>
      <x v="558"/>
      <x v="315"/>
    </i>
    <i r="3">
      <x v="559"/>
      <x v="464"/>
    </i>
    <i r="3">
      <x v="591"/>
      <x v="631"/>
    </i>
    <i t="default">
      <x v="5"/>
    </i>
    <i>
      <x v="6"/>
      <x/>
      <x v="216"/>
      <x v="433"/>
      <x v="226"/>
    </i>
    <i t="default">
      <x v="6"/>
    </i>
    <i t="grand">
      <x/>
    </i>
  </rowItems>
  <colItems count="1">
    <i/>
  </colItems>
  <pageFields count="3">
    <pageField fld="1" hier="-1"/>
    <pageField fld="9" hier="-1"/>
    <pageField fld="8"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EFDE0-3979-4995-930B-3A7D1D95A5A4}" name="PivotTable1" cacheId="28"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7:C61" firstHeaderRow="2" firstDataRow="2" firstDataCol="2" rowPageCount="5" colPageCount="1"/>
  <pivotFields count="12">
    <pivotField axis="axisPage" compact="0" outline="0" showAll="0">
      <items count="8">
        <item x="3"/>
        <item x="4"/>
        <item x="1"/>
        <item m="1" x="6"/>
        <item x="5"/>
        <item x="2"/>
        <item x="0"/>
        <item t="default"/>
      </items>
    </pivotField>
    <pivotField compact="0" outline="0" showAll="0"/>
    <pivotField dataField="1" compact="0" outline="0" showAll="0"/>
    <pivotField axis="axisPage" compact="0" outline="0" showAll="0" defaultSubtotal="0">
      <items count="60">
        <item x="0"/>
        <item x="29"/>
        <item x="8"/>
        <item x="12"/>
        <item x="9"/>
        <item x="10"/>
        <item x="11"/>
        <item x="13"/>
        <item x="14"/>
        <item x="15"/>
        <item x="1"/>
        <item x="6"/>
        <item x="7"/>
        <item x="2"/>
        <item x="4"/>
        <item x="3"/>
        <item x="5"/>
        <item x="16"/>
        <item x="17"/>
        <item x="18"/>
        <item x="19"/>
        <item x="20"/>
        <item x="21"/>
        <item x="40"/>
        <item x="37"/>
        <item x="38"/>
        <item x="39"/>
        <item x="26"/>
        <item x="30"/>
        <item x="32"/>
        <item x="27"/>
        <item x="36"/>
        <item x="31"/>
        <item x="28"/>
        <item x="35"/>
        <item x="34"/>
        <item x="33"/>
        <item x="24"/>
        <item x="22"/>
        <item x="23"/>
        <item x="25"/>
        <item x="54"/>
        <item x="55"/>
        <item x="41"/>
        <item x="43"/>
        <item x="59"/>
        <item x="52"/>
        <item x="53"/>
        <item x="47"/>
        <item x="48"/>
        <item x="49"/>
        <item x="50"/>
        <item x="51"/>
        <item x="42"/>
        <item x="58"/>
        <item x="45"/>
        <item x="57"/>
        <item x="44"/>
        <item x="46"/>
        <item x="56"/>
      </items>
    </pivotField>
    <pivotField axis="axisPage" compact="0" outline="0" multipleItemSelectionAllowed="1" showAll="0" defaultSubtotal="0">
      <items count="218">
        <item m="1" x="217"/>
        <item x="2"/>
        <item x="3"/>
        <item x="4"/>
        <item x="5"/>
        <item x="15"/>
        <item x="36"/>
        <item x="14"/>
        <item x="147"/>
        <item x="39"/>
        <item x="210"/>
        <item x="41"/>
        <item x="42"/>
        <item x="43"/>
        <item x="1"/>
        <item x="205"/>
        <item x="207"/>
        <item x="209"/>
        <item x="208"/>
        <item x="206"/>
        <item x="92"/>
        <item x="60"/>
        <item x="61"/>
        <item x="190"/>
        <item x="81"/>
        <item x="185"/>
        <item x="186"/>
        <item x="75"/>
        <item x="79"/>
        <item x="76"/>
        <item x="78"/>
        <item x="77"/>
        <item x="214"/>
        <item x="211"/>
        <item x="212"/>
        <item x="213"/>
        <item x="215"/>
        <item x="80"/>
        <item x="71"/>
        <item x="72"/>
        <item x="73"/>
        <item x="74"/>
        <item x="132"/>
        <item x="133"/>
        <item x="134"/>
        <item x="136"/>
        <item x="137"/>
        <item x="135"/>
        <item x="198"/>
        <item x="199"/>
        <item x="11"/>
        <item x="196"/>
        <item x="197"/>
        <item x="181"/>
        <item x="178"/>
        <item x="167"/>
        <item x="176"/>
        <item x="174"/>
        <item x="173"/>
        <item x="168"/>
        <item x="172"/>
        <item x="169"/>
        <item x="171"/>
        <item x="170"/>
        <item x="175"/>
        <item x="177"/>
        <item x="180"/>
        <item x="34"/>
        <item x="10"/>
        <item x="37"/>
        <item x="12"/>
        <item x="44"/>
        <item x="32"/>
        <item x="138"/>
        <item x="139"/>
        <item x="54"/>
        <item x="59"/>
        <item x="57"/>
        <item x="56"/>
        <item x="55"/>
        <item x="58"/>
        <item x="16"/>
        <item x="19"/>
        <item x="31"/>
        <item x="30"/>
        <item x="29"/>
        <item x="27"/>
        <item x="26"/>
        <item x="28"/>
        <item x="20"/>
        <item x="25"/>
        <item x="22"/>
        <item x="23"/>
        <item x="24"/>
        <item x="21"/>
        <item x="45"/>
        <item x="51"/>
        <item x="53"/>
        <item x="52"/>
        <item x="50"/>
        <item x="47"/>
        <item x="48"/>
        <item x="46"/>
        <item x="49"/>
        <item x="17"/>
        <item x="18"/>
        <item x="90"/>
        <item x="140"/>
        <item x="33"/>
        <item x="216"/>
        <item x="35"/>
        <item x="38"/>
        <item x="91"/>
        <item x="84"/>
        <item x="88"/>
        <item x="89"/>
        <item x="87"/>
        <item x="86"/>
        <item x="85"/>
        <item x="166"/>
        <item x="163"/>
        <item x="164"/>
        <item x="165"/>
        <item x="159"/>
        <item x="161"/>
        <item x="162"/>
        <item x="160"/>
        <item x="40"/>
        <item x="122"/>
        <item x="124"/>
        <item x="125"/>
        <item x="126"/>
        <item x="127"/>
        <item x="128"/>
        <item x="123"/>
        <item x="121"/>
        <item x="129"/>
        <item x="93"/>
        <item x="114"/>
        <item x="112"/>
        <item x="115"/>
        <item x="113"/>
        <item x="120"/>
        <item x="94"/>
        <item x="105"/>
        <item x="106"/>
        <item x="102"/>
        <item x="103"/>
        <item x="104"/>
        <item x="95"/>
        <item x="96"/>
        <item x="97"/>
        <item x="98"/>
        <item x="99"/>
        <item x="100"/>
        <item x="101"/>
        <item x="107"/>
        <item x="108"/>
        <item x="109"/>
        <item x="110"/>
        <item x="111"/>
        <item x="116"/>
        <item x="117"/>
        <item x="118"/>
        <item x="119"/>
        <item x="191"/>
        <item x="158"/>
        <item x="143"/>
        <item x="68"/>
        <item x="131"/>
        <item x="150"/>
        <item x="144"/>
        <item x="141"/>
        <item x="142"/>
        <item x="182"/>
        <item x="183"/>
        <item x="184"/>
        <item x="82"/>
        <item x="62"/>
        <item x="63"/>
        <item x="192"/>
        <item x="66"/>
        <item x="188"/>
        <item x="64"/>
        <item x="65"/>
        <item x="203"/>
        <item x="70"/>
        <item x="148"/>
        <item x="204"/>
        <item x="145"/>
        <item x="194"/>
        <item x="195"/>
        <item x="201"/>
        <item x="151"/>
        <item x="200"/>
        <item x="146"/>
        <item x="193"/>
        <item x="187"/>
        <item x="202"/>
        <item x="157"/>
        <item x="152"/>
        <item x="179"/>
        <item x="83"/>
        <item x="67"/>
        <item x="153"/>
        <item x="155"/>
        <item x="156"/>
        <item x="154"/>
        <item x="8"/>
        <item x="149"/>
        <item x="9"/>
        <item x="69"/>
        <item x="130"/>
        <item x="6"/>
        <item x="7"/>
        <item x="189"/>
        <item x="0"/>
        <item x="13"/>
      </items>
    </pivotField>
    <pivotField axis="axisRow" compact="0" outline="0" showAll="0" defaultSubtotal="0">
      <items count="1645">
        <item x="245"/>
        <item x="75"/>
        <item x="1610"/>
        <item x="1497"/>
        <item x="964"/>
        <item x="1376"/>
        <item x="1177"/>
        <item x="152"/>
        <item x="182"/>
        <item x="1255"/>
        <item x="589"/>
        <item x="178"/>
        <item x="326"/>
        <item x="1272"/>
        <item x="1089"/>
        <item x="686"/>
        <item x="473"/>
        <item x="1388"/>
        <item x="1383"/>
        <item x="288"/>
        <item x="515"/>
        <item x="1496"/>
        <item x="268"/>
        <item x="278"/>
        <item x="270"/>
        <item x="1074"/>
        <item x="1078"/>
        <item x="1227"/>
        <item x="252"/>
        <item x="619"/>
        <item x="646"/>
        <item x="108"/>
        <item x="356"/>
        <item x="615"/>
        <item x="1498"/>
        <item x="323"/>
        <item x="282"/>
        <item x="265"/>
        <item x="1389"/>
        <item x="264"/>
        <item x="263"/>
        <item x="712"/>
        <item x="325"/>
        <item x="737"/>
        <item x="1332"/>
        <item x="355"/>
        <item x="1294"/>
        <item x="1293"/>
        <item x="1274"/>
        <item x="1574"/>
        <item x="960"/>
        <item x="704"/>
        <item x="393"/>
        <item x="954"/>
        <item x="945"/>
        <item x="826"/>
        <item x="769"/>
        <item x="856"/>
        <item x="699"/>
        <item x="1323"/>
        <item x="949"/>
        <item x="1144"/>
        <item x="1123"/>
        <item x="687"/>
        <item x="688"/>
        <item x="765"/>
        <item x="682"/>
        <item x="850"/>
        <item x="681"/>
        <item x="1348"/>
        <item x="1034"/>
        <item x="1219"/>
        <item x="1580"/>
        <item x="1216"/>
        <item x="1594"/>
        <item x="1284"/>
        <item x="1141"/>
        <item x="1164"/>
        <item x="1276"/>
        <item x="684"/>
        <item x="680"/>
        <item x="867"/>
        <item x="844"/>
        <item x="883"/>
        <item x="937"/>
        <item x="383"/>
        <item x="233"/>
        <item x="1124"/>
        <item x="1122"/>
        <item x="137"/>
        <item x="1321"/>
        <item x="1365"/>
        <item x="228"/>
        <item x="1137"/>
        <item x="1032"/>
        <item x="702"/>
        <item x="980"/>
        <item x="1619"/>
        <item x="1363"/>
        <item x="679"/>
        <item x="1539"/>
        <item x="1538"/>
        <item x="397"/>
        <item x="398"/>
        <item x="705"/>
        <item x="260"/>
        <item x="1037"/>
        <item x="955"/>
        <item x="230"/>
        <item x="1091"/>
        <item x="1092"/>
        <item x="60"/>
        <item x="51"/>
        <item x="647"/>
        <item x="78"/>
        <item x="149"/>
        <item x="1080"/>
        <item x="1134"/>
        <item x="1136"/>
        <item x="385"/>
        <item x="1026"/>
        <item x="59"/>
        <item x="58"/>
        <item x="671"/>
        <item x="293"/>
        <item x="235"/>
        <item x="766"/>
        <item x="474"/>
        <item x="691"/>
        <item x="738"/>
        <item x="1500"/>
        <item x="77"/>
        <item x="627"/>
        <item x="1285"/>
        <item x="267"/>
        <item x="966"/>
        <item x="147"/>
        <item x="297"/>
        <item x="62"/>
        <item x="475"/>
        <item x="54"/>
        <item x="53"/>
        <item x="624"/>
        <item x="1616"/>
        <item x="685"/>
        <item x="1138"/>
        <item x="111"/>
        <item x="1131"/>
        <item x="234"/>
        <item x="1139"/>
        <item x="678"/>
        <item x="332"/>
        <item x="1161"/>
        <item x="832"/>
        <item x="259"/>
        <item x="171"/>
        <item x="1369"/>
        <item x="1366"/>
        <item x="296"/>
        <item x="1352"/>
        <item x="1385"/>
        <item x="112"/>
        <item x="1033"/>
        <item x="1090"/>
        <item x="1583"/>
        <item x="143"/>
        <item x="141"/>
        <item x="130"/>
        <item x="291"/>
        <item x="142"/>
        <item x="226"/>
        <item x="1641"/>
        <item x="1025"/>
        <item x="227"/>
        <item x="1322"/>
        <item x="328"/>
        <item x="1300"/>
        <item x="327"/>
        <item x="357"/>
        <item x="555"/>
        <item x="550"/>
        <item x="923"/>
        <item x="869"/>
        <item x="831"/>
        <item x="917"/>
        <item x="912"/>
        <item x="871"/>
        <item x="256"/>
        <item x="1143"/>
        <item x="764"/>
        <item x="1129"/>
        <item x="669"/>
        <item x="1375"/>
        <item x="232"/>
        <item x="673"/>
        <item x="229"/>
        <item x="389"/>
        <item x="670"/>
        <item x="675"/>
        <item x="529"/>
        <item x="76"/>
        <item x="739"/>
        <item x="1265"/>
        <item x="148"/>
        <item x="626"/>
        <item x="1135"/>
        <item x="146"/>
        <item x="910"/>
        <item x="948"/>
        <item x="1231"/>
        <item x="225"/>
        <item x="255"/>
        <item x="1320"/>
        <item x="231"/>
        <item x="1393"/>
        <item x="56"/>
        <item x="1163"/>
        <item x="827"/>
        <item x="1160"/>
        <item x="853"/>
        <item x="881"/>
        <item x="892"/>
        <item x="902"/>
        <item x="861"/>
        <item x="52"/>
        <item x="645"/>
        <item x="843"/>
        <item x="939"/>
        <item x="952"/>
        <item x="849"/>
        <item x="865"/>
        <item x="840"/>
        <item x="828"/>
        <item x="922"/>
        <item x="921"/>
        <item x="920"/>
        <item x="876"/>
        <item x="156"/>
        <item x="224"/>
        <item x="672"/>
        <item x="254"/>
        <item x="1632"/>
        <item x="1319"/>
        <item x="435"/>
        <item x="1355"/>
        <item x="253"/>
        <item x="628"/>
        <item x="236"/>
        <item x="94"/>
        <item x="440"/>
        <item x="107"/>
        <item x="1232"/>
        <item x="532"/>
        <item x="388"/>
        <item x="1597"/>
        <item x="1305"/>
        <item x="623"/>
        <item x="1130"/>
        <item x="1618"/>
        <item x="172"/>
        <item x="630"/>
        <item x="1062"/>
        <item x="1063"/>
        <item x="676"/>
        <item x="677"/>
        <item x="248"/>
        <item x="287"/>
        <item x="875"/>
        <item x="1615"/>
        <item x="476"/>
        <item x="1105"/>
        <item x="1364"/>
        <item x="767"/>
        <item x="860"/>
        <item x="360"/>
        <item x="1132"/>
        <item x="690"/>
        <item x="689"/>
        <item x="674"/>
        <item x="68"/>
        <item x="1316"/>
        <item x="110"/>
        <item x="67"/>
        <item x="55"/>
        <item x="402"/>
        <item x="863"/>
        <item x="891"/>
        <item x="868"/>
        <item x="864"/>
        <item x="904"/>
        <item x="1299"/>
        <item x="1166"/>
        <item x="128"/>
        <item x="1140"/>
        <item x="1180"/>
        <item x="1390"/>
        <item x="951"/>
        <item x="823"/>
        <item x="893"/>
        <item x="870"/>
        <item x="896"/>
        <item x="950"/>
        <item x="116"/>
        <item x="1228"/>
        <item x="1035"/>
        <item x="837"/>
        <item x="938"/>
        <item x="838"/>
        <item x="1133"/>
        <item x="1384"/>
        <item x="117"/>
        <item x="123"/>
        <item x="911"/>
        <item x="710"/>
        <item x="257"/>
        <item x="1362"/>
        <item x="582"/>
        <item x="890"/>
        <item x="1230"/>
        <item x="1093"/>
        <item x="1036"/>
        <item x="683"/>
        <item x="711"/>
        <item x="953"/>
        <item x="1318"/>
        <item x="1317"/>
        <item x="620"/>
        <item x="1225"/>
        <item x="621"/>
        <item x="1088"/>
        <item x="538"/>
        <item x="237"/>
        <item x="629"/>
        <item x="1125"/>
        <item x="249"/>
        <item x="614"/>
        <item x="57"/>
        <item x="768"/>
        <item x="1142"/>
        <item x="1082"/>
        <item x="811"/>
        <item x="516"/>
        <item x="384"/>
        <item x="79"/>
        <item x="812"/>
        <item x="129"/>
        <item x="1262"/>
        <item x="1612"/>
        <item x="1465"/>
        <item x="157"/>
        <item x="158"/>
        <item x="1165"/>
        <item x="1181"/>
        <item x="1182"/>
        <item x="858"/>
        <item x="272"/>
        <item x="273"/>
        <item x="283"/>
        <item x="284"/>
        <item x="1410"/>
        <item x="1564"/>
        <item x="1566"/>
        <item x="1565"/>
        <item x="382"/>
        <item x="1237"/>
        <item x="1103"/>
        <item x="437"/>
        <item x="513"/>
        <item x="1238"/>
        <item x="443"/>
        <item x="444"/>
        <item x="1104"/>
        <item x="1239"/>
        <item x="1042"/>
        <item x="274"/>
        <item x="816"/>
        <item x="240"/>
        <item x="241"/>
        <item x="1639"/>
        <item x="1175"/>
        <item x="1176"/>
        <item x="1174"/>
        <item x="1339"/>
        <item x="616"/>
        <item x="617"/>
        <item x="275"/>
        <item x="1638"/>
        <item x="153"/>
        <item x="1611"/>
        <item x="1361"/>
        <item x="1127"/>
        <item x="1128"/>
        <item x="1126"/>
        <item x="1047"/>
        <item x="1189"/>
        <item x="97"/>
        <item x="144"/>
        <item x="321"/>
        <item x="145"/>
        <item x="625"/>
        <item x="1617"/>
        <item x="852"/>
        <item x="851"/>
        <item x="1234"/>
        <item x="109"/>
        <item x="358"/>
        <item x="180"/>
        <item x="179"/>
        <item x="590"/>
        <item x="181"/>
        <item x="1499"/>
        <item x="968"/>
        <item x="967"/>
        <item x="648"/>
        <item x="514"/>
        <item x="907"/>
        <item x="900"/>
        <item x="901"/>
        <item x="1273"/>
        <item x="936"/>
        <item x="113"/>
        <item x="1494"/>
        <item x="1102"/>
        <item x="1563"/>
        <item x="1236"/>
        <item x="969"/>
        <item x="1340"/>
        <item x="445"/>
        <item x="1209"/>
        <item x="528"/>
        <item x="186"/>
        <item x="618"/>
        <item x="266"/>
        <item x="0"/>
        <item x="1184"/>
        <item x="1185"/>
        <item x="1186"/>
        <item x="1187"/>
        <item x="1188"/>
        <item x="395"/>
        <item x="396"/>
        <item x="400"/>
        <item x="401"/>
        <item x="399"/>
        <item x="405"/>
        <item x="406"/>
        <item x="407"/>
        <item x="408"/>
        <item x="409"/>
        <item x="410"/>
        <item x="411"/>
        <item x="412"/>
        <item x="413"/>
        <item x="403"/>
        <item x="404"/>
        <item x="414"/>
        <item x="415"/>
        <item x="416"/>
        <item x="417"/>
        <item x="418"/>
        <item x="419"/>
        <item x="420"/>
        <item x="422"/>
        <item x="421"/>
        <item x="489"/>
        <item x="490"/>
        <item x="496"/>
        <item x="497"/>
        <item x="498"/>
        <item x="499"/>
        <item x="500"/>
        <item x="501"/>
        <item x="502"/>
        <item x="503"/>
        <item x="491"/>
        <item x="492"/>
        <item x="493"/>
        <item x="494"/>
        <item x="495"/>
        <item x="511"/>
        <item x="512"/>
        <item x="504"/>
        <item x="505"/>
        <item x="506"/>
        <item x="507"/>
        <item x="508"/>
        <item x="509"/>
        <item x="510"/>
        <item x="423"/>
        <item x="424"/>
        <item x="425"/>
        <item x="426"/>
        <item x="427"/>
        <item x="428"/>
        <item x="429"/>
        <item x="430"/>
        <item x="431"/>
        <item x="432"/>
        <item x="433"/>
        <item x="434"/>
        <item x="446"/>
        <item x="450"/>
        <item x="451"/>
        <item x="452"/>
        <item x="453"/>
        <item x="454"/>
        <item x="455"/>
        <item x="456"/>
        <item x="457"/>
        <item x="458"/>
        <item x="459"/>
        <item x="461"/>
        <item x="462"/>
        <item x="463"/>
        <item x="466"/>
        <item x="469"/>
        <item x="470"/>
        <item x="471"/>
        <item x="477"/>
        <item x="478"/>
        <item x="479"/>
        <item x="472"/>
        <item x="447"/>
        <item x="448"/>
        <item x="480"/>
        <item x="449"/>
        <item x="481"/>
        <item x="460"/>
        <item x="464"/>
        <item x="468"/>
        <item x="467"/>
        <item x="465"/>
        <item x="482"/>
        <item x="483"/>
        <item x="484"/>
        <item x="485"/>
        <item x="486"/>
        <item x="487"/>
        <item x="488"/>
        <item x="517"/>
        <item x="518"/>
        <item x="521"/>
        <item x="522"/>
        <item x="523"/>
        <item x="524"/>
        <item x="525"/>
        <item x="519"/>
        <item x="520"/>
        <item x="526"/>
        <item x="527"/>
        <item x="533"/>
        <item x="534"/>
        <item x="535"/>
        <item x="545"/>
        <item x="536"/>
        <item x="537"/>
        <item x="546"/>
        <item x="547"/>
        <item x="548"/>
        <item x="622"/>
        <item x="551"/>
        <item x="552"/>
        <item x="556"/>
        <item x="557"/>
        <item x="558"/>
        <item x="559"/>
        <item x="560"/>
        <item x="561"/>
        <item x="562"/>
        <item x="563"/>
        <item x="553"/>
        <item x="564"/>
        <item x="597"/>
        <item x="565"/>
        <item x="566"/>
        <item x="567"/>
        <item x="568"/>
        <item x="569"/>
        <item x="570"/>
        <item x="571"/>
        <item x="572"/>
        <item x="554"/>
        <item x="573"/>
        <item x="574"/>
        <item x="575"/>
        <item x="576"/>
        <item x="577"/>
        <item x="578"/>
        <item x="579"/>
        <item x="580"/>
        <item x="581"/>
        <item x="549"/>
        <item x="583"/>
        <item x="584"/>
        <item x="594"/>
        <item x="595"/>
        <item x="596"/>
        <item x="598"/>
        <item x="599"/>
        <item x="600"/>
        <item x="602"/>
        <item x="601"/>
        <item x="603"/>
        <item x="604"/>
        <item x="605"/>
        <item x="606"/>
        <item x="607"/>
        <item x="608"/>
        <item x="609"/>
        <item x="610"/>
        <item x="611"/>
        <item x="612"/>
        <item x="613"/>
        <item x="1"/>
        <item x="2"/>
        <item x="298"/>
        <item x="3"/>
        <item x="4"/>
        <item x="334"/>
        <item x="335"/>
        <item x="336"/>
        <item x="337"/>
        <item x="299"/>
        <item x="300"/>
        <item x="333"/>
        <item x="242"/>
        <item x="243"/>
        <item x="5"/>
        <item x="6"/>
        <item x="289"/>
        <item x="290"/>
        <item x="394"/>
        <item x="294"/>
        <item x="292"/>
        <item x="295"/>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61"/>
        <item x="131"/>
        <item x="140"/>
        <item x="132"/>
        <item x="133"/>
        <item x="134"/>
        <item x="135"/>
        <item x="136"/>
        <item x="139"/>
        <item x="138"/>
        <item x="154"/>
        <item x="155"/>
        <item x="188"/>
        <item x="189"/>
        <item x="205"/>
        <item x="199"/>
        <item x="201"/>
        <item x="203"/>
        <item x="193"/>
        <item x="191"/>
        <item x="190"/>
        <item x="194"/>
        <item x="195"/>
        <item x="196"/>
        <item x="197"/>
        <item x="198"/>
        <item x="200"/>
        <item x="204"/>
        <item x="202"/>
        <item x="206"/>
        <item x="221"/>
        <item x="219"/>
        <item x="217"/>
        <item x="213"/>
        <item x="207"/>
        <item x="215"/>
        <item x="208"/>
        <item x="209"/>
        <item x="210"/>
        <item x="211"/>
        <item x="212"/>
        <item x="214"/>
        <item x="216"/>
        <item x="218"/>
        <item x="220"/>
        <item x="222"/>
        <item x="192"/>
        <item x="159"/>
        <item x="160"/>
        <item x="161"/>
        <item x="162"/>
        <item x="163"/>
        <item x="164"/>
        <item x="165"/>
        <item x="166"/>
        <item x="167"/>
        <item x="168"/>
        <item x="169"/>
        <item x="170"/>
        <item x="173"/>
        <item x="174"/>
        <item x="175"/>
        <item x="176"/>
        <item x="177"/>
        <item x="187"/>
        <item x="301"/>
        <item x="302"/>
        <item x="303"/>
        <item x="304"/>
        <item x="305"/>
        <item x="306"/>
        <item x="307"/>
        <item x="308"/>
        <item x="309"/>
        <item x="310"/>
        <item x="311"/>
        <item x="312"/>
        <item x="313"/>
        <item x="314"/>
        <item x="315"/>
        <item x="316"/>
        <item x="317"/>
        <item x="318"/>
        <item x="319"/>
        <item x="320"/>
        <item x="322"/>
        <item x="324"/>
        <item x="338"/>
        <item x="339"/>
        <item x="342"/>
        <item x="344"/>
        <item x="340"/>
        <item x="341"/>
        <item x="359"/>
        <item x="361"/>
        <item x="345"/>
        <item x="346"/>
        <item x="347"/>
        <item x="348"/>
        <item x="349"/>
        <item x="350"/>
        <item x="351"/>
        <item x="352"/>
        <item x="353"/>
        <item x="354"/>
        <item x="366"/>
        <item x="367"/>
        <item x="370"/>
        <item x="343"/>
        <item x="372"/>
        <item x="373"/>
        <item x="374"/>
        <item x="368"/>
        <item x="369"/>
        <item x="375"/>
        <item x="371"/>
        <item x="390"/>
        <item x="391"/>
        <item x="63"/>
        <item x="66"/>
        <item x="69"/>
        <item x="70"/>
        <item x="71"/>
        <item x="65"/>
        <item x="64"/>
        <item x="91"/>
        <item x="99"/>
        <item x="100"/>
        <item x="86"/>
        <item x="87"/>
        <item x="88"/>
        <item x="89"/>
        <item x="90"/>
        <item x="93"/>
        <item x="92"/>
        <item x="98"/>
        <item x="101"/>
        <item x="102"/>
        <item x="103"/>
        <item x="104"/>
        <item x="105"/>
        <item x="106"/>
        <item x="114"/>
        <item x="115"/>
        <item x="118"/>
        <item x="119"/>
        <item x="120"/>
        <item x="121"/>
        <item x="127"/>
        <item x="126"/>
        <item x="125"/>
        <item x="238"/>
        <item x="246"/>
        <item x="244"/>
        <item x="247"/>
        <item x="250"/>
        <item x="258"/>
        <item x="251"/>
        <item x="631"/>
        <item x="633"/>
        <item x="634"/>
        <item x="635"/>
        <item x="636"/>
        <item x="640"/>
        <item x="637"/>
        <item x="638"/>
        <item x="639"/>
        <item x="641"/>
        <item x="642"/>
        <item x="643"/>
        <item x="644"/>
        <item x="632"/>
        <item x="649"/>
        <item x="782"/>
        <item x="650"/>
        <item x="651"/>
        <item x="652"/>
        <item x="653"/>
        <item x="654"/>
        <item x="655"/>
        <item x="783"/>
        <item x="784"/>
        <item x="785"/>
        <item x="786"/>
        <item x="787"/>
        <item x="788"/>
        <item x="789"/>
        <item x="790"/>
        <item x="791"/>
        <item x="814"/>
        <item x="657"/>
        <item x="658"/>
        <item x="659"/>
        <item x="660"/>
        <item x="792"/>
        <item x="793"/>
        <item x="815"/>
        <item x="794"/>
        <item x="795"/>
        <item x="796"/>
        <item x="656"/>
        <item x="797"/>
        <item x="798"/>
        <item x="799"/>
        <item x="781"/>
        <item x="800"/>
        <item x="801"/>
        <item x="740"/>
        <item x="741"/>
        <item x="802"/>
        <item x="803"/>
        <item x="804"/>
        <item x="805"/>
        <item x="806"/>
        <item x="807"/>
        <item x="813"/>
        <item x="808"/>
        <item x="809"/>
        <item x="810"/>
        <item x="661"/>
        <item x="713"/>
        <item x="716"/>
        <item x="717"/>
        <item x="718"/>
        <item x="719"/>
        <item x="720"/>
        <item x="721"/>
        <item x="722"/>
        <item x="723"/>
        <item x="724"/>
        <item x="662"/>
        <item x="725"/>
        <item x="726"/>
        <item x="727"/>
        <item x="728"/>
        <item x="730"/>
        <item x="731"/>
        <item x="692"/>
        <item x="732"/>
        <item x="733"/>
        <item x="735"/>
        <item x="734"/>
        <item x="668"/>
        <item x="698"/>
        <item x="693"/>
        <item x="694"/>
        <item x="695"/>
        <item x="696"/>
        <item x="700"/>
        <item x="697"/>
        <item x="665"/>
        <item x="667"/>
        <item x="664"/>
        <item x="663"/>
        <item x="666"/>
        <item x="729"/>
        <item x="714"/>
        <item x="715"/>
        <item x="701"/>
        <item x="706"/>
        <item x="707"/>
        <item x="708"/>
        <item x="709"/>
        <item x="736"/>
        <item x="742"/>
        <item x="746"/>
        <item x="747"/>
        <item x="748"/>
        <item x="749"/>
        <item x="750"/>
        <item x="751"/>
        <item x="752"/>
        <item x="753"/>
        <item x="754"/>
        <item x="755"/>
        <item x="756"/>
        <item x="757"/>
        <item x="758"/>
        <item x="759"/>
        <item x="760"/>
        <item x="761"/>
        <item x="762"/>
        <item x="763"/>
        <item x="743"/>
        <item x="744"/>
        <item x="745"/>
        <item x="771"/>
        <item x="770"/>
        <item x="773"/>
        <item x="772"/>
        <item x="775"/>
        <item x="776"/>
        <item x="774"/>
        <item x="777"/>
        <item x="778"/>
        <item x="779"/>
        <item x="780"/>
        <item x="817"/>
        <item x="818"/>
        <item x="819"/>
        <item x="820"/>
        <item x="821"/>
        <item x="822"/>
        <item x="824"/>
        <item x="825"/>
        <item x="829"/>
        <item x="830"/>
        <item x="833"/>
        <item x="834"/>
        <item x="894"/>
        <item x="835"/>
        <item x="836"/>
        <item x="841"/>
        <item x="842"/>
        <item x="839"/>
        <item x="872"/>
        <item x="873"/>
        <item x="874"/>
        <item x="845"/>
        <item x="846"/>
        <item x="897"/>
        <item x="848"/>
        <item x="847"/>
        <item x="862"/>
        <item x="857"/>
        <item x="866"/>
        <item x="877"/>
        <item x="884"/>
        <item x="885"/>
        <item x="886"/>
        <item x="887"/>
        <item x="905"/>
        <item x="888"/>
        <item x="882"/>
        <item x="878"/>
        <item x="879"/>
        <item x="880"/>
        <item x="889"/>
        <item x="895"/>
        <item x="898"/>
        <item x="909"/>
        <item x="914"/>
        <item x="906"/>
        <item x="916"/>
        <item x="919"/>
        <item x="924"/>
        <item x="927"/>
        <item x="908"/>
        <item x="859"/>
        <item x="854"/>
        <item x="855"/>
        <item x="913"/>
        <item x="915"/>
        <item x="918"/>
        <item x="899"/>
        <item x="903"/>
        <item x="932"/>
        <item x="934"/>
        <item x="935"/>
        <item x="942"/>
        <item x="941"/>
        <item x="943"/>
        <item x="944"/>
        <item x="946"/>
        <item x="947"/>
        <item x="957"/>
        <item x="933"/>
        <item x="959"/>
        <item x="940"/>
        <item x="956"/>
        <item x="958"/>
        <item x="928"/>
        <item x="929"/>
        <item x="930"/>
        <item x="931"/>
        <item x="961"/>
        <item x="963"/>
        <item x="962"/>
        <item x="965"/>
        <item x="970"/>
        <item x="971"/>
        <item x="972"/>
        <item x="925"/>
        <item x="926"/>
        <item x="1391"/>
        <item x="1392"/>
        <item x="973"/>
        <item x="974"/>
        <item x="983"/>
        <item x="1381"/>
        <item x="1386"/>
        <item x="1387"/>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333"/>
        <item x="1334"/>
        <item x="1372"/>
        <item x="1373"/>
        <item x="1374"/>
        <item x="1335"/>
        <item x="1336"/>
        <item x="1337"/>
        <item x="1338"/>
        <item x="1370"/>
        <item x="1341"/>
        <item x="1371"/>
        <item x="1378"/>
        <item x="1342"/>
        <item x="1343"/>
        <item x="1344"/>
        <item x="1345"/>
        <item x="1346"/>
        <item x="1347"/>
        <item x="1349"/>
        <item x="1350"/>
        <item x="1351"/>
        <item x="1353"/>
        <item x="1354"/>
        <item x="1356"/>
        <item x="1357"/>
        <item x="1358"/>
        <item x="1359"/>
        <item x="1360"/>
        <item x="1367"/>
        <item x="1368"/>
        <item x="1277"/>
        <item x="1308"/>
        <item x="1286"/>
        <item x="1288"/>
        <item x="1287"/>
        <item x="1290"/>
        <item x="1289"/>
        <item x="1297"/>
        <item x="1296"/>
        <item x="1291"/>
        <item x="1292"/>
        <item x="1295"/>
        <item x="1298"/>
        <item x="1278"/>
        <item x="1279"/>
        <item x="1280"/>
        <item x="1281"/>
        <item x="1282"/>
        <item x="1283"/>
        <item x="1304"/>
        <item x="1303"/>
        <item x="1307"/>
        <item x="1306"/>
        <item x="1302"/>
        <item x="1301"/>
        <item x="1309"/>
        <item x="1310"/>
        <item x="1311"/>
        <item x="1312"/>
        <item x="1313"/>
        <item x="1314"/>
        <item x="1315"/>
        <item x="1324"/>
        <item x="1325"/>
        <item x="1326"/>
        <item x="1327"/>
        <item x="1328"/>
        <item x="1329"/>
        <item x="1330"/>
        <item x="1331"/>
        <item x="1145"/>
        <item x="1146"/>
        <item x="1147"/>
        <item x="1148"/>
        <item x="1149"/>
        <item x="1193"/>
        <item x="1194"/>
        <item x="1195"/>
        <item x="1196"/>
        <item x="1197"/>
        <item x="1201"/>
        <item x="1240"/>
        <item x="1242"/>
        <item x="1243"/>
        <item x="1244"/>
        <item x="1150"/>
        <item x="1151"/>
        <item x="1152"/>
        <item x="1153"/>
        <item x="1154"/>
        <item x="1155"/>
        <item x="1167"/>
        <item x="1267"/>
        <item x="1268"/>
        <item x="1269"/>
        <item x="1270"/>
        <item x="1271"/>
        <item x="1202"/>
        <item x="1203"/>
        <item x="1213"/>
        <item x="1214"/>
        <item x="1215"/>
        <item x="1217"/>
        <item x="1218"/>
        <item x="1220"/>
        <item x="1221"/>
        <item x="1222"/>
        <item x="1223"/>
        <item x="1224"/>
        <item x="1204"/>
        <item x="1229"/>
        <item x="1233"/>
        <item x="1205"/>
        <item x="1206"/>
        <item x="1207"/>
        <item x="1212"/>
        <item x="1235"/>
        <item x="1168"/>
        <item x="1169"/>
        <item x="1170"/>
        <item x="1171"/>
        <item x="1172"/>
        <item x="1183"/>
        <item x="1256"/>
        <item x="1257"/>
        <item x="1258"/>
        <item x="1259"/>
        <item x="1260"/>
        <item x="1261"/>
        <item x="1266"/>
        <item x="1250"/>
        <item x="1254"/>
        <item x="1251"/>
        <item x="1252"/>
        <item x="1253"/>
        <item x="1245"/>
        <item x="1246"/>
        <item x="1247"/>
        <item x="1248"/>
        <item x="1249"/>
        <item x="1043"/>
        <item x="1044"/>
        <item x="1045"/>
        <item x="1046"/>
        <item x="1027"/>
        <item x="1028"/>
        <item x="1029"/>
        <item x="1030"/>
        <item x="1031"/>
        <item x="1038"/>
        <item x="1039"/>
        <item x="1040"/>
        <item x="1048"/>
        <item x="1049"/>
        <item x="1054"/>
        <item x="1083"/>
        <item x="1084"/>
        <item x="1085"/>
        <item x="1086"/>
        <item x="1087"/>
        <item x="1055"/>
        <item x="1056"/>
        <item x="1057"/>
        <item x="1058"/>
        <item x="1050"/>
        <item x="1059"/>
        <item x="1060"/>
        <item x="1061"/>
        <item x="1067"/>
        <item x="1068"/>
        <item x="1071"/>
        <item x="1073"/>
        <item x="1075"/>
        <item x="1077"/>
        <item x="1051"/>
        <item x="1069"/>
        <item x="1070"/>
        <item x="1072"/>
        <item x="1076"/>
        <item x="1079"/>
        <item x="1066"/>
        <item x="1052"/>
        <item x="1053"/>
        <item x="1107"/>
        <item x="1108"/>
        <item x="1109"/>
        <item x="1110"/>
        <item x="1111"/>
        <item x="1112"/>
        <item x="1094"/>
        <item x="1095"/>
        <item x="1096"/>
        <item x="1097"/>
        <item x="1098"/>
        <item x="1099"/>
        <item x="1100"/>
        <item x="1101"/>
        <item x="1106"/>
        <item x="1113"/>
        <item x="1114"/>
        <item x="1115"/>
        <item x="1116"/>
        <item x="1117"/>
        <item x="1118"/>
        <item x="1119"/>
        <item x="1120"/>
        <item x="1121"/>
        <item x="975"/>
        <item x="976"/>
        <item x="977"/>
        <item x="978"/>
        <item x="979"/>
        <item x="981"/>
        <item x="982"/>
        <item x="1545"/>
        <item x="1546"/>
        <item x="1547"/>
        <item x="1549"/>
        <item x="1550"/>
        <item x="1551"/>
        <item x="1394"/>
        <item x="1395"/>
        <item x="1396"/>
        <item x="1397"/>
        <item x="1552"/>
        <item x="1548"/>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625"/>
        <item x="1627"/>
        <item x="1628"/>
        <item x="1629"/>
        <item x="1630"/>
        <item x="1642"/>
        <item x="1643"/>
        <item x="1631"/>
        <item x="1626"/>
        <item x="1633"/>
        <item x="1634"/>
        <item x="1635"/>
        <item x="1636"/>
        <item x="1637"/>
        <item x="1528"/>
        <item x="1536"/>
        <item x="1537"/>
        <item x="1529"/>
        <item x="1531"/>
        <item x="1535"/>
        <item x="1532"/>
        <item x="1534"/>
        <item x="1533"/>
        <item x="1530"/>
        <item x="1544"/>
        <item x="1540"/>
        <item x="1541"/>
        <item x="1542"/>
        <item x="1543"/>
        <item x="1477"/>
        <item x="1478"/>
        <item x="1479"/>
        <item x="1480"/>
        <item x="1481"/>
        <item x="1482"/>
        <item x="1483"/>
        <item x="1484"/>
        <item x="1485"/>
        <item x="1486"/>
        <item x="1487"/>
        <item x="1488"/>
        <item x="1489"/>
        <item x="1490"/>
        <item x="1491"/>
        <item x="1495"/>
        <item x="1501"/>
        <item x="1502"/>
        <item x="1503"/>
        <item x="1504"/>
        <item x="1505"/>
        <item x="1506"/>
        <item x="1507"/>
        <item x="1512"/>
        <item x="1508"/>
        <item x="1509"/>
        <item x="1510"/>
        <item x="1511"/>
        <item x="1513"/>
        <item x="1514"/>
        <item x="1515"/>
        <item x="1516"/>
        <item x="1517"/>
        <item x="1518"/>
        <item x="1519"/>
        <item x="1520"/>
        <item x="1521"/>
        <item x="1522"/>
        <item x="1523"/>
        <item x="1524"/>
        <item x="1525"/>
        <item x="1526"/>
        <item x="1527"/>
        <item x="1398"/>
        <item x="1400"/>
        <item x="1403"/>
        <item x="1404"/>
        <item x="1405"/>
        <item x="1406"/>
        <item x="1407"/>
        <item x="1408"/>
        <item x="1409"/>
        <item x="1411"/>
        <item x="1412"/>
        <item x="1413"/>
        <item x="1401"/>
        <item x="1402"/>
        <item x="1399"/>
        <item x="1415"/>
        <item x="1416"/>
        <item x="1588"/>
        <item x="1590"/>
        <item x="1592"/>
        <item x="1591"/>
        <item x="1589"/>
        <item x="1593"/>
        <item x="1602"/>
        <item x="1603"/>
        <item x="1604"/>
        <item x="1605"/>
        <item x="1606"/>
        <item x="1607"/>
        <item x="1608"/>
        <item x="1613"/>
        <item x="1614"/>
        <item x="1609"/>
        <item x="1620"/>
        <item x="1622"/>
        <item x="1623"/>
        <item x="1624"/>
        <item x="1466"/>
        <item x="1468"/>
        <item x="1469"/>
        <item x="1470"/>
        <item x="1467"/>
        <item x="1575"/>
        <item x="1577"/>
        <item x="1581"/>
        <item x="1578"/>
        <item x="1579"/>
        <item x="1576"/>
        <item x="1582"/>
        <item x="1457"/>
        <item x="1459"/>
        <item x="1460"/>
        <item x="1461"/>
        <item x="1458"/>
        <item x="1462"/>
        <item x="1471"/>
        <item x="1473"/>
        <item x="1474"/>
        <item x="1475"/>
        <item x="1472"/>
        <item x="1476"/>
        <item x="1555"/>
        <item x="1557"/>
        <item x="1573"/>
        <item x="1558"/>
        <item x="1559"/>
        <item x="1560"/>
        <item x="1561"/>
        <item x="1562"/>
        <item x="1556"/>
        <item x="1041"/>
        <item x="378"/>
        <item x="379"/>
        <item x="381"/>
        <item x="1198"/>
        <item x="1157"/>
        <item x="376"/>
        <item x="1173"/>
        <item x="1156"/>
        <item x="185"/>
        <item x="365"/>
        <item x="363"/>
        <item x="439"/>
        <item x="442"/>
        <item x="1599"/>
        <item x="531"/>
        <item x="1191"/>
        <item x="1601"/>
        <item x="541"/>
        <item x="1570"/>
        <item x="543"/>
        <item x="1572"/>
        <item x="1587"/>
        <item x="1200"/>
        <item x="387"/>
        <item x="1585"/>
        <item x="331"/>
        <item x="1179"/>
        <item x="1568"/>
        <item x="1464"/>
        <item x="1596"/>
        <item x="1211"/>
        <item x="184"/>
        <item x="364"/>
        <item x="362"/>
        <item x="438"/>
        <item x="441"/>
        <item x="1598"/>
        <item x="530"/>
        <item x="1190"/>
        <item x="1600"/>
        <item x="540"/>
        <item x="1569"/>
        <item x="542"/>
        <item x="1571"/>
        <item x="1586"/>
        <item x="1199"/>
        <item x="386"/>
        <item x="1584"/>
        <item x="1178"/>
        <item x="1567"/>
        <item x="1463"/>
        <item x="1263"/>
        <item x="1210"/>
        <item x="1595"/>
        <item x="1158"/>
        <item x="1162"/>
        <item x="1275"/>
        <item x="1553"/>
        <item x="72"/>
        <item x="81"/>
        <item x="73"/>
        <item x="74"/>
        <item x="83"/>
        <item x="84"/>
        <item x="85"/>
        <item x="82"/>
        <item x="392"/>
        <item x="1379"/>
        <item x="1380"/>
        <item x="1382"/>
        <item x="262"/>
        <item x="1644"/>
        <item x="277"/>
        <item x="261"/>
        <item x="280"/>
        <item x="269"/>
        <item x="286"/>
        <item x="276"/>
        <item x="279"/>
        <item x="285"/>
        <item x="329"/>
        <item x="330"/>
        <item x="1264"/>
        <item x="1064"/>
        <item x="1621"/>
        <item x="1065"/>
        <item x="539"/>
        <item x="544"/>
        <item x="591"/>
        <item x="281"/>
        <item x="183"/>
        <item x="1159"/>
        <item x="1081"/>
        <item x="239"/>
        <item x="96"/>
        <item x="124"/>
        <item x="436"/>
        <item x="122"/>
        <item x="95"/>
        <item x="1208"/>
        <item x="1226"/>
        <item x="703"/>
        <item x="1554"/>
        <item x="1640"/>
        <item x="380"/>
        <item x="593"/>
        <item x="377"/>
        <item x="1493"/>
        <item x="1492"/>
        <item x="1192"/>
        <item x="587"/>
        <item x="585"/>
        <item x="588"/>
        <item x="586"/>
        <item x="271"/>
        <item x="592"/>
        <item x="80"/>
        <item x="1414"/>
        <item x="223"/>
        <item x="1241"/>
        <item x="150"/>
        <item x="151"/>
        <item x="1377"/>
      </items>
    </pivotField>
    <pivotField axis="axisPage" compact="0" outline="0" showAll="0">
      <items count="1675">
        <item x="153"/>
        <item x="246"/>
        <item x="183"/>
        <item x="1272"/>
        <item x="599"/>
        <item x="179"/>
        <item x="330"/>
        <item x="1289"/>
        <item x="1104"/>
        <item x="697"/>
        <item x="483"/>
        <item x="1407"/>
        <item x="1402"/>
        <item x="291"/>
        <item x="525"/>
        <item x="1515"/>
        <item x="270"/>
        <item x="281"/>
        <item x="272"/>
        <item x="75"/>
        <item x="1089"/>
        <item x="1093"/>
        <item x="1244"/>
        <item x="253"/>
        <item x="978"/>
        <item x="629"/>
        <item x="657"/>
        <item x="109"/>
        <item x="360"/>
        <item x="625"/>
        <item x="1517"/>
        <item x="426"/>
        <item x="327"/>
        <item x="285"/>
        <item x="267"/>
        <item x="1408"/>
        <item x="266"/>
        <item x="265"/>
        <item x="723"/>
        <item x="329"/>
        <item x="750"/>
        <item x="1395"/>
        <item x="1349"/>
        <item x="359"/>
        <item x="1311"/>
        <item x="1310"/>
        <item x="1291"/>
        <item x="1595"/>
        <item x="974"/>
        <item x="715"/>
        <item x="400"/>
        <item x="968"/>
        <item x="959"/>
        <item x="839"/>
        <item x="782"/>
        <item x="869"/>
        <item x="710"/>
        <item x="1340"/>
        <item x="963"/>
        <item x="1159"/>
        <item x="1138"/>
        <item x="698"/>
        <item x="699"/>
        <item x="778"/>
        <item x="693"/>
        <item x="863"/>
        <item x="1632"/>
        <item x="692"/>
        <item x="1365"/>
        <item x="1048"/>
        <item x="1236"/>
        <item x="1516"/>
        <item x="1602"/>
        <item x="1233"/>
        <item x="1616"/>
        <item x="1301"/>
        <item x="1156"/>
        <item x="1180"/>
        <item x="1293"/>
        <item x="695"/>
        <item x="691"/>
        <item x="880"/>
        <item x="857"/>
        <item x="897"/>
        <item x="951"/>
        <item x="389"/>
        <item x="234"/>
        <item x="1139"/>
        <item x="1137"/>
        <item x="138"/>
        <item x="324"/>
        <item x="1338"/>
        <item x="1384"/>
        <item x="229"/>
        <item x="1152"/>
        <item x="1046"/>
        <item x="713"/>
        <item x="994"/>
        <item x="1641"/>
        <item x="1382"/>
        <item x="690"/>
        <item x="1558"/>
        <item x="1557"/>
        <item x="430"/>
        <item x="404"/>
        <item x="405"/>
        <item x="431"/>
        <item x="716"/>
        <item x="262"/>
        <item x="1051"/>
        <item x="969"/>
        <item x="231"/>
        <item x="1106"/>
        <item x="1107"/>
        <item x="60"/>
        <item x="51"/>
        <item x="658"/>
        <item x="78"/>
        <item x="150"/>
        <item x="1095"/>
        <item x="1149"/>
        <item x="1151"/>
        <item x="391"/>
        <item x="1040"/>
        <item x="59"/>
        <item x="58"/>
        <item x="682"/>
        <item x="296"/>
        <item x="236"/>
        <item x="779"/>
        <item x="484"/>
        <item x="702"/>
        <item x="751"/>
        <item x="1519"/>
        <item x="77"/>
        <item x="638"/>
        <item x="1302"/>
        <item x="269"/>
        <item x="980"/>
        <item x="148"/>
        <item x="300"/>
        <item x="62"/>
        <item x="485"/>
        <item x="54"/>
        <item x="53"/>
        <item x="635"/>
        <item x="1638"/>
        <item x="696"/>
        <item x="910"/>
        <item x="1153"/>
        <item x="112"/>
        <item x="1146"/>
        <item x="235"/>
        <item x="1154"/>
        <item x="689"/>
        <item x="336"/>
        <item x="1177"/>
        <item x="845"/>
        <item x="261"/>
        <item x="172"/>
        <item x="1388"/>
        <item x="1385"/>
        <item x="299"/>
        <item x="1369"/>
        <item x="1404"/>
        <item x="113"/>
        <item x="1047"/>
        <item x="1105"/>
        <item x="1605"/>
        <item x="144"/>
        <item x="142"/>
        <item x="131"/>
        <item x="294"/>
        <item x="143"/>
        <item x="227"/>
        <item x="1665"/>
        <item x="1039"/>
        <item x="228"/>
        <item x="1339"/>
        <item x="332"/>
        <item x="1317"/>
        <item x="331"/>
        <item x="361"/>
        <item x="565"/>
        <item x="560"/>
        <item x="937"/>
        <item x="882"/>
        <item x="844"/>
        <item x="931"/>
        <item x="926"/>
        <item x="884"/>
        <item x="257"/>
        <item x="1158"/>
        <item x="777"/>
        <item x="1144"/>
        <item x="680"/>
        <item x="1394"/>
        <item x="233"/>
        <item x="684"/>
        <item x="230"/>
        <item x="395"/>
        <item x="681"/>
        <item x="686"/>
        <item x="539"/>
        <item x="76"/>
        <item x="752"/>
        <item x="1282"/>
        <item x="149"/>
        <item x="637"/>
        <item x="1150"/>
        <item x="147"/>
        <item x="924"/>
        <item x="962"/>
        <item x="1248"/>
        <item x="226"/>
        <item x="256"/>
        <item x="1337"/>
        <item x="232"/>
        <item x="1412"/>
        <item x="56"/>
        <item x="1179"/>
        <item x="840"/>
        <item x="1176"/>
        <item x="866"/>
        <item x="895"/>
        <item x="906"/>
        <item x="916"/>
        <item x="874"/>
        <item x="52"/>
        <item x="656"/>
        <item x="856"/>
        <item x="953"/>
        <item x="966"/>
        <item x="862"/>
        <item x="878"/>
        <item x="853"/>
        <item x="841"/>
        <item x="936"/>
        <item x="935"/>
        <item x="934"/>
        <item x="890"/>
        <item x="157"/>
        <item x="225"/>
        <item x="683"/>
        <item x="255"/>
        <item x="1655"/>
        <item x="1336"/>
        <item x="445"/>
        <item x="1372"/>
        <item x="254"/>
        <item x="639"/>
        <item x="237"/>
        <item x="94"/>
        <item x="450"/>
        <item x="108"/>
        <item x="1249"/>
        <item x="542"/>
        <item x="394"/>
        <item x="1619"/>
        <item x="1322"/>
        <item x="634"/>
        <item x="1145"/>
        <item x="1640"/>
        <item x="173"/>
        <item x="641"/>
        <item x="1077"/>
        <item x="1078"/>
        <item x="687"/>
        <item x="688"/>
        <item x="249"/>
        <item x="290"/>
        <item x="889"/>
        <item x="1637"/>
        <item x="486"/>
        <item x="1120"/>
        <item x="1383"/>
        <item x="780"/>
        <item x="873"/>
        <item x="364"/>
        <item x="1147"/>
        <item x="701"/>
        <item x="700"/>
        <item x="685"/>
        <item x="68"/>
        <item x="1333"/>
        <item x="111"/>
        <item x="67"/>
        <item x="55"/>
        <item x="409"/>
        <item x="876"/>
        <item x="905"/>
        <item x="881"/>
        <item x="877"/>
        <item x="918"/>
        <item x="1316"/>
        <item x="1182"/>
        <item x="129"/>
        <item x="1155"/>
        <item x="1196"/>
        <item x="1409"/>
        <item x="965"/>
        <item x="836"/>
        <item x="907"/>
        <item x="883"/>
        <item x="117"/>
        <item x="1245"/>
        <item x="1049"/>
        <item x="850"/>
        <item x="952"/>
        <item x="851"/>
        <item x="1148"/>
        <item x="1403"/>
        <item x="118"/>
        <item x="124"/>
        <item x="925"/>
        <item x="721"/>
        <item x="258"/>
        <item x="1381"/>
        <item x="592"/>
        <item x="1247"/>
        <item x="1108"/>
        <item x="1050"/>
        <item x="694"/>
        <item x="722"/>
        <item x="967"/>
        <item x="1335"/>
        <item x="1334"/>
        <item x="631"/>
        <item x="1242"/>
        <item x="632"/>
        <item x="1103"/>
        <item x="548"/>
        <item x="238"/>
        <item x="640"/>
        <item x="1140"/>
        <item x="250"/>
        <item x="624"/>
        <item x="630"/>
        <item x="57"/>
        <item x="781"/>
        <item x="1157"/>
        <item x="1097"/>
        <item m="1" x="1671"/>
        <item x="526"/>
        <item x="390"/>
        <item x="79"/>
        <item x="825"/>
        <item x="130"/>
        <item x="1279"/>
        <item x="1634"/>
        <item x="1484"/>
        <item x="158"/>
        <item x="159"/>
        <item x="1181"/>
        <item x="1197"/>
        <item x="1198"/>
        <item m="1" x="1669"/>
        <item m="1" x="1670"/>
        <item x="871"/>
        <item x="274"/>
        <item x="275"/>
        <item x="278"/>
        <item x="286"/>
        <item x="287"/>
        <item x="1429"/>
        <item x="1584"/>
        <item x="1586"/>
        <item x="1585"/>
        <item x="388"/>
        <item x="1254"/>
        <item x="447"/>
        <item x="1062"/>
        <item x="1255"/>
        <item x="523"/>
        <item x="453"/>
        <item x="454"/>
        <item x="1596"/>
        <item x="1256"/>
        <item x="1056"/>
        <item x="276"/>
        <item x="829"/>
        <item x="241"/>
        <item x="242"/>
        <item x="1663"/>
        <item x="1191"/>
        <item x="1192"/>
        <item x="1190"/>
        <item x="1356"/>
        <item x="626"/>
        <item x="627"/>
        <item x="277"/>
        <item x="1662"/>
        <item x="154"/>
        <item x="1633"/>
        <item x="1380"/>
        <item x="1142"/>
        <item x="1143"/>
        <item x="1061"/>
        <item x="1205"/>
        <item x="97"/>
        <item x="636"/>
        <item x="146"/>
        <item x="325"/>
        <item x="1639"/>
        <item x="1251"/>
        <item x="110"/>
        <item x="1193"/>
        <item x="362"/>
        <item x="181"/>
        <item x="180"/>
        <item x="600"/>
        <item x="182"/>
        <item x="1518"/>
        <item x="982"/>
        <item x="981"/>
        <item x="659"/>
        <item x="524"/>
        <item x="921"/>
        <item x="914"/>
        <item x="915"/>
        <item m="1" x="1673"/>
        <item x="114"/>
        <item x="1513"/>
        <item x="1117"/>
        <item x="1583"/>
        <item x="1253"/>
        <item x="983"/>
        <item x="1290"/>
        <item x="1357"/>
        <item x="455"/>
        <item x="1226"/>
        <item x="538"/>
        <item x="187"/>
        <item x="370"/>
        <item x="628"/>
        <item x="268"/>
        <item x="0"/>
        <item x="1200"/>
        <item x="1201"/>
        <item x="1202"/>
        <item x="1203"/>
        <item x="1204"/>
        <item x="402"/>
        <item x="403"/>
        <item x="407"/>
        <item x="408"/>
        <item x="406"/>
        <item x="412"/>
        <item x="413"/>
        <item x="414"/>
        <item x="415"/>
        <item x="416"/>
        <item x="417"/>
        <item x="418"/>
        <item x="419"/>
        <item x="420"/>
        <item x="410"/>
        <item x="411"/>
        <item x="421"/>
        <item x="422"/>
        <item x="423"/>
        <item x="424"/>
        <item x="425"/>
        <item x="427"/>
        <item x="428"/>
        <item x="432"/>
        <item x="429"/>
        <item x="499"/>
        <item x="500"/>
        <item x="506"/>
        <item x="507"/>
        <item x="508"/>
        <item x="509"/>
        <item x="510"/>
        <item x="511"/>
        <item x="512"/>
        <item x="513"/>
        <item x="501"/>
        <item x="502"/>
        <item x="503"/>
        <item x="504"/>
        <item x="505"/>
        <item x="521"/>
        <item x="522"/>
        <item x="514"/>
        <item x="515"/>
        <item x="516"/>
        <item x="517"/>
        <item x="518"/>
        <item x="519"/>
        <item x="520"/>
        <item x="433"/>
        <item x="434"/>
        <item x="435"/>
        <item x="436"/>
        <item x="437"/>
        <item x="438"/>
        <item x="439"/>
        <item x="440"/>
        <item x="441"/>
        <item x="442"/>
        <item x="443"/>
        <item x="444"/>
        <item x="456"/>
        <item x="460"/>
        <item x="461"/>
        <item x="462"/>
        <item x="463"/>
        <item x="464"/>
        <item x="465"/>
        <item x="466"/>
        <item x="467"/>
        <item x="468"/>
        <item x="469"/>
        <item x="471"/>
        <item x="472"/>
        <item x="473"/>
        <item x="476"/>
        <item x="479"/>
        <item x="480"/>
        <item x="481"/>
        <item x="488"/>
        <item x="489"/>
        <item x="482"/>
        <item x="457"/>
        <item x="458"/>
        <item x="490"/>
        <item x="459"/>
        <item x="491"/>
        <item x="470"/>
        <item x="474"/>
        <item x="478"/>
        <item x="477"/>
        <item x="475"/>
        <item x="492"/>
        <item x="493"/>
        <item x="494"/>
        <item x="495"/>
        <item x="496"/>
        <item x="497"/>
        <item x="498"/>
        <item x="527"/>
        <item x="528"/>
        <item x="531"/>
        <item x="532"/>
        <item x="533"/>
        <item x="534"/>
        <item x="535"/>
        <item x="529"/>
        <item x="530"/>
        <item x="536"/>
        <item x="537"/>
        <item x="543"/>
        <item x="544"/>
        <item x="545"/>
        <item x="555"/>
        <item x="546"/>
        <item x="547"/>
        <item x="556"/>
        <item x="557"/>
        <item x="558"/>
        <item x="633"/>
        <item x="561"/>
        <item x="562"/>
        <item x="566"/>
        <item x="567"/>
        <item x="568"/>
        <item x="569"/>
        <item x="570"/>
        <item x="571"/>
        <item x="572"/>
        <item x="573"/>
        <item x="563"/>
        <item x="574"/>
        <item x="607"/>
        <item x="575"/>
        <item x="576"/>
        <item x="577"/>
        <item x="578"/>
        <item x="579"/>
        <item x="580"/>
        <item x="581"/>
        <item x="582"/>
        <item x="564"/>
        <item x="583"/>
        <item x="584"/>
        <item x="585"/>
        <item x="586"/>
        <item x="587"/>
        <item x="588"/>
        <item x="589"/>
        <item x="590"/>
        <item x="591"/>
        <item x="559"/>
        <item x="593"/>
        <item x="594"/>
        <item x="604"/>
        <item x="605"/>
        <item x="606"/>
        <item x="608"/>
        <item x="609"/>
        <item x="610"/>
        <item x="612"/>
        <item x="611"/>
        <item x="613"/>
        <item x="614"/>
        <item x="615"/>
        <item x="616"/>
        <item x="617"/>
        <item x="618"/>
        <item x="619"/>
        <item x="620"/>
        <item x="621"/>
        <item x="622"/>
        <item x="623"/>
        <item x="1"/>
        <item x="2"/>
        <item x="301"/>
        <item x="3"/>
        <item x="4"/>
        <item x="338"/>
        <item x="339"/>
        <item x="340"/>
        <item x="341"/>
        <item x="302"/>
        <item x="303"/>
        <item x="337"/>
        <item x="5"/>
        <item x="6"/>
        <item x="292"/>
        <item x="293"/>
        <item x="401"/>
        <item x="297"/>
        <item x="295"/>
        <item x="298"/>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61"/>
        <item x="132"/>
        <item x="141"/>
        <item x="133"/>
        <item x="134"/>
        <item x="135"/>
        <item x="136"/>
        <item x="137"/>
        <item x="140"/>
        <item x="139"/>
        <item x="155"/>
        <item x="156"/>
        <item x="189"/>
        <item x="190"/>
        <item x="206"/>
        <item x="200"/>
        <item x="202"/>
        <item x="204"/>
        <item x="194"/>
        <item x="192"/>
        <item x="191"/>
        <item x="195"/>
        <item x="196"/>
        <item x="197"/>
        <item x="198"/>
        <item x="199"/>
        <item x="201"/>
        <item x="205"/>
        <item x="203"/>
        <item x="207"/>
        <item x="222"/>
        <item x="220"/>
        <item x="218"/>
        <item x="214"/>
        <item x="208"/>
        <item x="216"/>
        <item x="209"/>
        <item x="210"/>
        <item x="211"/>
        <item x="212"/>
        <item x="213"/>
        <item x="215"/>
        <item x="217"/>
        <item x="219"/>
        <item x="221"/>
        <item x="223"/>
        <item x="193"/>
        <item x="160"/>
        <item x="161"/>
        <item x="162"/>
        <item x="163"/>
        <item x="164"/>
        <item x="165"/>
        <item x="166"/>
        <item x="167"/>
        <item x="168"/>
        <item x="169"/>
        <item x="170"/>
        <item x="171"/>
        <item x="174"/>
        <item x="175"/>
        <item x="176"/>
        <item x="177"/>
        <item x="178"/>
        <item x="188"/>
        <item x="304"/>
        <item x="305"/>
        <item x="306"/>
        <item x="307"/>
        <item x="308"/>
        <item x="309"/>
        <item x="310"/>
        <item x="311"/>
        <item x="312"/>
        <item x="313"/>
        <item x="314"/>
        <item x="315"/>
        <item x="316"/>
        <item x="317"/>
        <item x="318"/>
        <item x="319"/>
        <item x="320"/>
        <item x="321"/>
        <item x="322"/>
        <item x="323"/>
        <item x="326"/>
        <item x="328"/>
        <item x="342"/>
        <item x="343"/>
        <item x="346"/>
        <item x="348"/>
        <item x="344"/>
        <item x="345"/>
        <item x="363"/>
        <item x="365"/>
        <item x="349"/>
        <item x="350"/>
        <item x="351"/>
        <item x="352"/>
        <item x="353"/>
        <item x="354"/>
        <item x="355"/>
        <item x="356"/>
        <item x="357"/>
        <item x="358"/>
        <item x="371"/>
        <item x="372"/>
        <item x="375"/>
        <item x="347"/>
        <item x="377"/>
        <item x="378"/>
        <item x="379"/>
        <item x="373"/>
        <item x="374"/>
        <item x="380"/>
        <item x="381"/>
        <item x="376"/>
        <item x="396"/>
        <item x="397"/>
        <item x="63"/>
        <item x="66"/>
        <item x="69"/>
        <item x="70"/>
        <item x="71"/>
        <item x="65"/>
        <item x="64"/>
        <item x="91"/>
        <item x="99"/>
        <item x="100"/>
        <item x="86"/>
        <item x="87"/>
        <item x="88"/>
        <item x="89"/>
        <item x="90"/>
        <item x="93"/>
        <item x="92"/>
        <item x="98"/>
        <item x="101"/>
        <item x="102"/>
        <item x="104"/>
        <item x="103"/>
        <item x="105"/>
        <item x="106"/>
        <item x="107"/>
        <item x="115"/>
        <item x="116"/>
        <item x="119"/>
        <item x="120"/>
        <item x="121"/>
        <item x="122"/>
        <item x="128"/>
        <item x="127"/>
        <item x="126"/>
        <item x="239"/>
        <item x="247"/>
        <item x="245"/>
        <item x="248"/>
        <item x="244"/>
        <item x="251"/>
        <item x="259"/>
        <item x="252"/>
        <item x="260"/>
        <item x="243"/>
        <item x="642"/>
        <item x="644"/>
        <item x="645"/>
        <item x="646"/>
        <item x="647"/>
        <item x="651"/>
        <item x="648"/>
        <item x="649"/>
        <item x="650"/>
        <item x="652"/>
        <item x="653"/>
        <item x="654"/>
        <item x="655"/>
        <item x="643"/>
        <item x="660"/>
        <item x="795"/>
        <item x="661"/>
        <item x="662"/>
        <item x="663"/>
        <item x="664"/>
        <item x="665"/>
        <item x="666"/>
        <item x="796"/>
        <item x="797"/>
        <item x="798"/>
        <item x="799"/>
        <item x="800"/>
        <item x="801"/>
        <item x="802"/>
        <item x="803"/>
        <item x="804"/>
        <item x="827"/>
        <item x="668"/>
        <item x="669"/>
        <item x="670"/>
        <item x="671"/>
        <item x="805"/>
        <item x="806"/>
        <item x="828"/>
        <item x="807"/>
        <item x="808"/>
        <item x="809"/>
        <item x="667"/>
        <item x="810"/>
        <item x="811"/>
        <item x="812"/>
        <item x="794"/>
        <item x="813"/>
        <item x="814"/>
        <item x="753"/>
        <item x="754"/>
        <item x="815"/>
        <item x="816"/>
        <item x="817"/>
        <item x="818"/>
        <item x="819"/>
        <item x="820"/>
        <item x="826"/>
        <item x="821"/>
        <item x="822"/>
        <item x="823"/>
        <item x="672"/>
        <item x="724"/>
        <item x="727"/>
        <item x="728"/>
        <item x="729"/>
        <item x="730"/>
        <item x="731"/>
        <item x="735"/>
        <item x="732"/>
        <item x="736"/>
        <item x="733"/>
        <item x="734"/>
        <item x="737"/>
        <item x="673"/>
        <item x="738"/>
        <item x="739"/>
        <item x="740"/>
        <item x="741"/>
        <item x="743"/>
        <item x="744"/>
        <item x="703"/>
        <item x="745"/>
        <item x="746"/>
        <item x="748"/>
        <item x="747"/>
        <item x="679"/>
        <item x="709"/>
        <item x="704"/>
        <item x="705"/>
        <item x="706"/>
        <item x="707"/>
        <item x="711"/>
        <item x="708"/>
        <item x="676"/>
        <item x="678"/>
        <item x="675"/>
        <item x="674"/>
        <item x="677"/>
        <item x="742"/>
        <item x="725"/>
        <item x="726"/>
        <item x="712"/>
        <item x="717"/>
        <item x="718"/>
        <item x="719"/>
        <item x="720"/>
        <item x="749"/>
        <item x="755"/>
        <item x="759"/>
        <item x="760"/>
        <item x="761"/>
        <item x="762"/>
        <item x="763"/>
        <item x="764"/>
        <item x="765"/>
        <item x="766"/>
        <item x="767"/>
        <item x="768"/>
        <item x="769"/>
        <item x="770"/>
        <item x="771"/>
        <item x="772"/>
        <item x="773"/>
        <item x="774"/>
        <item x="775"/>
        <item x="776"/>
        <item x="756"/>
        <item x="757"/>
        <item x="758"/>
        <item x="784"/>
        <item x="783"/>
        <item x="786"/>
        <item x="785"/>
        <item x="788"/>
        <item x="789"/>
        <item x="787"/>
        <item x="790"/>
        <item x="791"/>
        <item x="792"/>
        <item x="793"/>
        <item x="830"/>
        <item x="831"/>
        <item x="832"/>
        <item x="833"/>
        <item x="834"/>
        <item x="835"/>
        <item x="837"/>
        <item x="838"/>
        <item x="842"/>
        <item x="843"/>
        <item x="846"/>
        <item x="847"/>
        <item x="908"/>
        <item x="848"/>
        <item x="849"/>
        <item x="854"/>
        <item x="855"/>
        <item x="852"/>
        <item x="885"/>
        <item x="886"/>
        <item x="887"/>
        <item x="858"/>
        <item x="888"/>
        <item x="859"/>
        <item x="911"/>
        <item x="861"/>
        <item x="860"/>
        <item x="875"/>
        <item x="870"/>
        <item x="879"/>
        <item x="891"/>
        <item x="898"/>
        <item x="899"/>
        <item x="900"/>
        <item x="901"/>
        <item x="919"/>
        <item x="902"/>
        <item x="896"/>
        <item x="892"/>
        <item x="893"/>
        <item x="894"/>
        <item x="903"/>
        <item x="909"/>
        <item x="912"/>
        <item x="923"/>
        <item x="928"/>
        <item x="920"/>
        <item x="930"/>
        <item x="933"/>
        <item x="938"/>
        <item x="941"/>
        <item x="922"/>
        <item x="872"/>
        <item x="867"/>
        <item x="868"/>
        <item x="927"/>
        <item x="929"/>
        <item x="932"/>
        <item x="913"/>
        <item x="917"/>
        <item x="946"/>
        <item x="948"/>
        <item x="949"/>
        <item x="956"/>
        <item x="955"/>
        <item x="957"/>
        <item x="958"/>
        <item x="960"/>
        <item x="961"/>
        <item x="971"/>
        <item x="947"/>
        <item x="973"/>
        <item x="954"/>
        <item x="970"/>
        <item x="972"/>
        <item x="942"/>
        <item x="943"/>
        <item x="944"/>
        <item x="945"/>
        <item x="975"/>
        <item x="977"/>
        <item x="976"/>
        <item x="979"/>
        <item x="984"/>
        <item x="985"/>
        <item x="986"/>
        <item x="939"/>
        <item x="940"/>
        <item x="1410"/>
        <item x="1411"/>
        <item x="987"/>
        <item x="988"/>
        <item x="997"/>
        <item x="1400"/>
        <item x="1405"/>
        <item x="140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350"/>
        <item x="1351"/>
        <item x="1391"/>
        <item x="1392"/>
        <item x="1393"/>
        <item x="1352"/>
        <item x="1353"/>
        <item x="1354"/>
        <item x="1355"/>
        <item x="1389"/>
        <item x="1358"/>
        <item x="1390"/>
        <item x="1397"/>
        <item x="1359"/>
        <item x="1360"/>
        <item x="1361"/>
        <item x="1362"/>
        <item x="1363"/>
        <item x="1364"/>
        <item x="1366"/>
        <item x="1367"/>
        <item x="1368"/>
        <item x="1373"/>
        <item x="1370"/>
        <item x="1374"/>
        <item x="1371"/>
        <item x="1375"/>
        <item x="1376"/>
        <item x="1377"/>
        <item x="1378"/>
        <item x="1379"/>
        <item x="1386"/>
        <item x="1387"/>
        <item x="1294"/>
        <item x="1325"/>
        <item x="1303"/>
        <item x="1305"/>
        <item x="1304"/>
        <item x="1307"/>
        <item x="1306"/>
        <item x="1314"/>
        <item x="1313"/>
        <item x="1308"/>
        <item x="1309"/>
        <item x="1312"/>
        <item x="1315"/>
        <item x="1295"/>
        <item x="1296"/>
        <item x="1297"/>
        <item x="1298"/>
        <item x="1299"/>
        <item x="1300"/>
        <item x="1321"/>
        <item x="1320"/>
        <item x="1324"/>
        <item x="1323"/>
        <item x="1319"/>
        <item x="1318"/>
        <item x="1326"/>
        <item x="1327"/>
        <item x="1328"/>
        <item x="1329"/>
        <item x="1330"/>
        <item x="1331"/>
        <item x="1332"/>
        <item x="1341"/>
        <item x="1342"/>
        <item x="1343"/>
        <item x="1344"/>
        <item x="1345"/>
        <item x="1346"/>
        <item x="1347"/>
        <item x="1348"/>
        <item x="1160"/>
        <item x="1161"/>
        <item x="1162"/>
        <item x="1163"/>
        <item x="1164"/>
        <item x="1210"/>
        <item x="1211"/>
        <item x="1212"/>
        <item x="1213"/>
        <item x="1214"/>
        <item x="1218"/>
        <item x="1257"/>
        <item x="1259"/>
        <item x="1260"/>
        <item x="1261"/>
        <item x="1166"/>
        <item x="1167"/>
        <item x="1168"/>
        <item x="1169"/>
        <item x="1170"/>
        <item x="1171"/>
        <item x="1183"/>
        <item x="1284"/>
        <item x="1285"/>
        <item x="1286"/>
        <item x="1287"/>
        <item x="1288"/>
        <item x="1219"/>
        <item x="1220"/>
        <item x="1230"/>
        <item x="1231"/>
        <item x="1232"/>
        <item x="1234"/>
        <item x="1235"/>
        <item x="1237"/>
        <item x="1238"/>
        <item x="1239"/>
        <item x="1240"/>
        <item x="1241"/>
        <item x="1221"/>
        <item x="1246"/>
        <item x="1250"/>
        <item x="1222"/>
        <item x="1223"/>
        <item x="1224"/>
        <item x="1229"/>
        <item x="1252"/>
        <item x="1184"/>
        <item x="1185"/>
        <item x="1186"/>
        <item x="1187"/>
        <item x="1188"/>
        <item x="1199"/>
        <item x="1273"/>
        <item x="1274"/>
        <item x="1275"/>
        <item x="1276"/>
        <item x="1277"/>
        <item x="1278"/>
        <item x="1283"/>
        <item x="1267"/>
        <item x="1271"/>
        <item x="1268"/>
        <item x="1269"/>
        <item x="1270"/>
        <item x="1262"/>
        <item x="1263"/>
        <item x="1264"/>
        <item x="1265"/>
        <item x="1266"/>
        <item x="1057"/>
        <item x="1058"/>
        <item x="1059"/>
        <item x="1060"/>
        <item x="1041"/>
        <item x="1042"/>
        <item x="1043"/>
        <item x="1044"/>
        <item x="1045"/>
        <item x="1052"/>
        <item x="1053"/>
        <item x="1054"/>
        <item x="1063"/>
        <item x="1064"/>
        <item x="1069"/>
        <item x="1098"/>
        <item x="1099"/>
        <item x="1100"/>
        <item x="1101"/>
        <item x="1102"/>
        <item x="1070"/>
        <item x="1071"/>
        <item x="1072"/>
        <item x="1073"/>
        <item x="1065"/>
        <item x="1074"/>
        <item x="1075"/>
        <item x="1076"/>
        <item x="1082"/>
        <item x="1083"/>
        <item x="1086"/>
        <item x="1088"/>
        <item x="1090"/>
        <item x="1092"/>
        <item x="1066"/>
        <item x="1084"/>
        <item x="1085"/>
        <item x="1087"/>
        <item x="1091"/>
        <item x="1094"/>
        <item x="1081"/>
        <item x="1067"/>
        <item x="1068"/>
        <item x="1122"/>
        <item x="1123"/>
        <item x="1124"/>
        <item x="1125"/>
        <item x="1126"/>
        <item x="1127"/>
        <item x="1109"/>
        <item x="1110"/>
        <item x="1111"/>
        <item x="1112"/>
        <item x="1113"/>
        <item x="1114"/>
        <item x="1115"/>
        <item x="1116"/>
        <item x="1121"/>
        <item x="1128"/>
        <item x="1129"/>
        <item x="1130"/>
        <item x="1131"/>
        <item x="1132"/>
        <item x="1133"/>
        <item x="1134"/>
        <item x="1135"/>
        <item x="1136"/>
        <item x="989"/>
        <item x="990"/>
        <item x="991"/>
        <item x="992"/>
        <item x="993"/>
        <item x="995"/>
        <item x="996"/>
        <item x="1564"/>
        <item x="1565"/>
        <item x="1566"/>
        <item x="1568"/>
        <item x="1569"/>
        <item x="1570"/>
        <item x="1413"/>
        <item x="1414"/>
        <item x="1415"/>
        <item x="1416"/>
        <item x="1571"/>
        <item x="1567"/>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647"/>
        <item x="1649"/>
        <item x="1651"/>
        <item x="1650"/>
        <item x="1661"/>
        <item x="1652"/>
        <item x="1653"/>
        <item x="1666"/>
        <item x="1667"/>
        <item x="1654"/>
        <item x="1648"/>
        <item x="1656"/>
        <item x="1657"/>
        <item x="1658"/>
        <item x="1659"/>
        <item x="1660"/>
        <item x="1547"/>
        <item x="1555"/>
        <item x="1556"/>
        <item x="1548"/>
        <item x="1550"/>
        <item x="1554"/>
        <item x="1551"/>
        <item x="1553"/>
        <item x="1552"/>
        <item x="1549"/>
        <item x="1563"/>
        <item x="1559"/>
        <item x="1560"/>
        <item x="1561"/>
        <item x="1562"/>
        <item x="1496"/>
        <item x="1497"/>
        <item x="1498"/>
        <item x="1499"/>
        <item x="1500"/>
        <item x="1501"/>
        <item x="1502"/>
        <item x="1503"/>
        <item x="1504"/>
        <item x="1505"/>
        <item x="1506"/>
        <item x="1507"/>
        <item x="1508"/>
        <item x="1509"/>
        <item x="1510"/>
        <item x="1514"/>
        <item x="1520"/>
        <item x="1521"/>
        <item x="1522"/>
        <item x="1523"/>
        <item x="1524"/>
        <item x="1525"/>
        <item x="1526"/>
        <item x="1531"/>
        <item x="1527"/>
        <item x="1528"/>
        <item x="1529"/>
        <item x="1530"/>
        <item x="1532"/>
        <item x="1533"/>
        <item x="1534"/>
        <item x="1535"/>
        <item x="1536"/>
        <item x="1537"/>
        <item x="1538"/>
        <item x="1539"/>
        <item x="1540"/>
        <item x="1541"/>
        <item x="1542"/>
        <item x="1543"/>
        <item x="1544"/>
        <item x="1545"/>
        <item x="1546"/>
        <item x="1417"/>
        <item x="1419"/>
        <item x="1422"/>
        <item x="1423"/>
        <item x="1424"/>
        <item x="1425"/>
        <item x="1426"/>
        <item x="1427"/>
        <item x="1428"/>
        <item x="1430"/>
        <item x="1431"/>
        <item x="1432"/>
        <item x="1420"/>
        <item x="1421"/>
        <item x="1418"/>
        <item x="1434"/>
        <item x="1435"/>
        <item x="1610"/>
        <item x="1612"/>
        <item x="1614"/>
        <item x="1613"/>
        <item x="1611"/>
        <item x="1615"/>
        <item x="1624"/>
        <item x="1625"/>
        <item x="1626"/>
        <item x="1627"/>
        <item x="1628"/>
        <item x="1629"/>
        <item x="1630"/>
        <item x="1635"/>
        <item x="1636"/>
        <item x="1631"/>
        <item x="1642"/>
        <item x="1644"/>
        <item x="1645"/>
        <item x="1646"/>
        <item x="1485"/>
        <item x="1487"/>
        <item x="1488"/>
        <item x="1489"/>
        <item x="1486"/>
        <item x="1597"/>
        <item x="1599"/>
        <item x="1603"/>
        <item x="1600"/>
        <item x="1601"/>
        <item x="1598"/>
        <item x="1604"/>
        <item x="1476"/>
        <item x="1478"/>
        <item x="1479"/>
        <item x="1480"/>
        <item x="1477"/>
        <item x="1481"/>
        <item x="1490"/>
        <item x="1492"/>
        <item x="1493"/>
        <item x="1494"/>
        <item x="1491"/>
        <item x="1495"/>
        <item x="1575"/>
        <item x="1577"/>
        <item x="1593"/>
        <item x="1578"/>
        <item x="1579"/>
        <item x="1580"/>
        <item x="1581"/>
        <item x="1582"/>
        <item x="1594"/>
        <item x="1576"/>
        <item x="1055"/>
        <item x="384"/>
        <item x="385"/>
        <item x="387"/>
        <item x="1215"/>
        <item x="1173"/>
        <item x="382"/>
        <item x="1189"/>
        <item x="1172"/>
        <item x="186"/>
        <item x="369"/>
        <item x="367"/>
        <item x="449"/>
        <item x="452"/>
        <item x="1621"/>
        <item x="541"/>
        <item x="1207"/>
        <item x="1623"/>
        <item x="551"/>
        <item x="1590"/>
        <item x="553"/>
        <item x="1592"/>
        <item x="1609"/>
        <item x="1217"/>
        <item x="393"/>
        <item x="1607"/>
        <item x="335"/>
        <item x="1195"/>
        <item x="1588"/>
        <item x="1483"/>
        <item x="1618"/>
        <item x="185"/>
        <item x="368"/>
        <item x="366"/>
        <item x="448"/>
        <item x="451"/>
        <item x="1620"/>
        <item x="540"/>
        <item x="1206"/>
        <item x="1622"/>
        <item x="550"/>
        <item x="1589"/>
        <item x="552"/>
        <item x="1591"/>
        <item x="1608"/>
        <item x="1216"/>
        <item x="392"/>
        <item x="1606"/>
        <item x="1194"/>
        <item x="1587"/>
        <item x="1482"/>
        <item x="1617"/>
        <item x="1280"/>
        <item x="1227"/>
        <item x="1174"/>
        <item x="1178"/>
        <item x="1292"/>
        <item x="1572"/>
        <item x="72"/>
        <item x="81"/>
        <item x="73"/>
        <item x="74"/>
        <item x="83"/>
        <item x="84"/>
        <item x="85"/>
        <item x="82"/>
        <item x="398"/>
        <item x="1398"/>
        <item x="1399"/>
        <item x="1401"/>
        <item x="264"/>
        <item x="1668"/>
        <item x="280"/>
        <item x="263"/>
        <item x="283"/>
        <item x="271"/>
        <item x="289"/>
        <item x="279"/>
        <item x="282"/>
        <item x="288"/>
        <item x="333"/>
        <item x="334"/>
        <item x="1281"/>
        <item x="1228"/>
        <item x="1079"/>
        <item x="1643"/>
        <item x="1080"/>
        <item x="549"/>
        <item x="554"/>
        <item x="601"/>
        <item x="284"/>
        <item x="184"/>
        <item x="1175"/>
        <item x="1096"/>
        <item x="240"/>
        <item x="96"/>
        <item x="125"/>
        <item x="446"/>
        <item x="123"/>
        <item x="95"/>
        <item x="1225"/>
        <item x="1243"/>
        <item x="714"/>
        <item x="1574"/>
        <item x="1573"/>
        <item x="1664"/>
        <item x="386"/>
        <item x="1208"/>
        <item x="603"/>
        <item x="383"/>
        <item x="1512"/>
        <item x="1511"/>
        <item x="602"/>
        <item x="1209"/>
        <item m="1" x="1672"/>
        <item x="597"/>
        <item x="595"/>
        <item x="596"/>
        <item x="598"/>
        <item x="273"/>
        <item x="399"/>
        <item x="80"/>
        <item x="1433"/>
        <item x="224"/>
        <item x="487"/>
        <item x="145"/>
        <item x="864"/>
        <item x="865"/>
        <item x="904"/>
        <item x="950"/>
        <item x="964"/>
        <item x="1118"/>
        <item x="1119"/>
        <item x="1141"/>
        <item x="1258"/>
        <item x="151"/>
        <item x="152"/>
        <item x="824"/>
        <item x="1165"/>
        <item x="1396"/>
        <item t="default"/>
      </items>
    </pivotField>
    <pivotField axis="axisRow" compact="0" outline="0" showAll="0" defaultSubtotal="0">
      <items count="1624">
        <item h="1" x="179"/>
        <item h="1" x="630"/>
        <item h="1" x="632"/>
        <item h="1" x="971"/>
        <item h="1" x="397"/>
        <item h="1" x="398"/>
        <item h="1" x="197"/>
        <item h="1" x="370"/>
        <item h="1" x="194"/>
        <item h="1" x="342"/>
        <item h="1" x="508"/>
        <item h="1" x="371"/>
        <item h="1" x="419"/>
        <item h="1" x="322"/>
        <item h="1" x="1309"/>
        <item h="1" x="1310"/>
        <item h="1" x="614"/>
        <item h="1" x="817"/>
        <item h="1" x="899"/>
        <item x="82"/>
        <item h="1" x="83"/>
        <item h="1" x="84"/>
        <item h="1" x="85"/>
        <item h="1" x="73"/>
        <item h="1" x="74"/>
        <item h="1" x="944"/>
        <item h="1" x="1363"/>
        <item h="1" x="1316"/>
        <item h="1" x="1542"/>
        <item h="1" x="1543"/>
        <item h="1" x="945"/>
        <item h="1" x="835"/>
        <item h="1" x="858"/>
        <item h="1" x="875"/>
        <item h="1" x="929"/>
        <item h="1" x="936"/>
        <item h="1" x="951"/>
        <item h="1" x="841"/>
        <item h="1" x="855"/>
        <item h="1" x="985"/>
        <item h="1" x="1004"/>
        <item h="1" x="720"/>
        <item h="1" x="269"/>
        <item h="1" x="1383"/>
        <item h="1" x="1427"/>
        <item h="1" x="1008"/>
        <item h="1" x="1420"/>
        <item h="1" x="1426"/>
        <item h="1" x="993"/>
        <item h="1" x="997"/>
        <item h="1" x="44"/>
        <item h="1" x="972"/>
        <item h="1" x="741"/>
        <item h="1" x="806"/>
        <item h="1" x="48"/>
        <item h="1" x="1423"/>
        <item h="1" x="1103"/>
        <item h="1" x="69"/>
        <item h="1" x="70"/>
        <item h="1" x="71"/>
        <item h="1" x="1280"/>
        <item h="1" x="86"/>
        <item h="1" x="87"/>
        <item h="1" x="88"/>
        <item h="1" x="90"/>
        <item h="1" x="93"/>
        <item h="1" x="89"/>
        <item h="1" x="91"/>
        <item h="1" x="99"/>
        <item h="1" x="100"/>
        <item h="1" x="301"/>
        <item h="1" x="305"/>
        <item h="1" x="309"/>
        <item h="1" x="310"/>
        <item h="1" x="306"/>
        <item h="1" x="307"/>
        <item h="1" x="308"/>
        <item h="1" x="323"/>
        <item h="1" x="318"/>
        <item h="1" x="319"/>
        <item h="1" x="313"/>
        <item h="1" x="316"/>
        <item h="1" x="314"/>
        <item h="1" x="315"/>
        <item h="1" x="317"/>
        <item h="1" x="311"/>
        <item h="1" x="312"/>
        <item h="1" x="321"/>
        <item h="1" x="66"/>
        <item x="1062"/>
        <item h="1" x="1051"/>
        <item h="1" x="1053"/>
        <item h="1" x="1052"/>
        <item h="1" x="1234"/>
        <item h="1" x="1236"/>
        <item h="1" x="1235"/>
        <item x="1233"/>
        <item h="1" x="588"/>
        <item h="1" x="589"/>
        <item h="1" x="598"/>
        <item h="1" x="591"/>
        <item h="1" x="596"/>
        <item h="1" x="595"/>
        <item h="1" x="592"/>
        <item h="1" x="594"/>
        <item h="1" x="597"/>
        <item h="1" x="593"/>
        <item h="1" x="1367"/>
        <item h="1" x="1500"/>
        <item h="1" x="1255"/>
        <item h="1" x="1257"/>
        <item h="1" x="1256"/>
        <item x="1254"/>
        <item h="1" x="129"/>
        <item h="1" x="153"/>
        <item h="1" x="72"/>
        <item h="1" x="391"/>
        <item h="1" x="157"/>
        <item h="1" x="270"/>
        <item h="1" m="1" x="1620"/>
        <item h="1" x="1171"/>
        <item h="1" x="282"/>
        <item h="1" x="853"/>
        <item h="1" x="1595"/>
        <item h="1" x="92"/>
        <item h="1" x="300"/>
        <item h="1" x="1050"/>
        <item h="1" x="1232"/>
        <item h="1" x="587"/>
        <item h="1" x="1253"/>
        <item h="1" x="1518"/>
        <item h="1" x="1577"/>
        <item h="1" x="1308"/>
        <item h="1" x="804"/>
        <item h="1" x="1484"/>
        <item h="1" x="389"/>
        <item h="1" x="1528"/>
        <item h="1" x="1492"/>
        <item h="1" x="702"/>
        <item h="1" x="620"/>
        <item h="1" x="1160"/>
        <item h="1" x="328"/>
        <item h="1" x="424"/>
        <item h="1" x="1445"/>
        <item h="1" x="1018"/>
        <item h="1" x="1063"/>
        <item h="1" x="1396"/>
        <item h="1" x="1565"/>
        <item h="1" x="689"/>
        <item h="1" x="638"/>
        <item h="1" x="1384"/>
        <item h="1" x="1401"/>
        <item h="1" x="1182"/>
        <item h="1" x="447"/>
        <item h="1" x="478"/>
        <item h="1" x="1189"/>
        <item h="1" x="1137"/>
        <item h="1" x="931"/>
        <item h="1" x="808"/>
        <item h="1" x="1142"/>
        <item h="1" x="837"/>
        <item h="1" x="836"/>
        <item h="1" x="541"/>
        <item h="1" x="1227"/>
        <item h="1" x="934"/>
        <item h="1" x="1608"/>
        <item h="1" x="1602"/>
        <item h="1" x="1600"/>
        <item h="1" x="1605"/>
        <item h="1" x="1617"/>
        <item h="1" x="599"/>
        <item h="1" x="529"/>
        <item h="1" x="536"/>
        <item h="1" x="1480"/>
        <item h="1" x="1046"/>
        <item h="1" x="1047"/>
        <item h="1" x="1562"/>
        <item h="1" x="1556"/>
        <item h="1" x="221"/>
        <item h="1" x="219"/>
        <item h="1" x="217"/>
        <item h="1" x="213"/>
        <item h="1" x="207"/>
        <item h="1" x="215"/>
        <item h="1" x="205"/>
        <item h="1" x="199"/>
        <item h="1" x="201"/>
        <item h="1" x="203"/>
        <item h="1" x="193"/>
        <item h="1" x="132"/>
        <item h="1" x="1550"/>
        <item h="1" x="1548"/>
        <item h="1" x="1546"/>
        <item h="1" x="361"/>
        <item h="1" x="330"/>
        <item h="1" x="439"/>
        <item h="1" x="184"/>
        <item h="1" x="385"/>
        <item h="1" x="1572"/>
        <item h="1" x="442"/>
        <item h="1" x="1575"/>
        <item h="1" x="1442"/>
        <item h="1" x="1197"/>
        <item h="1" x="1552"/>
        <item h="1" x="1534"/>
        <item h="1" x="1317"/>
        <item h="1" x="1372"/>
        <item h="1" x="1487"/>
        <item h="1" x="1353"/>
        <item h="1" x="1342"/>
        <item h="1" x="1340"/>
        <item h="1" x="1326"/>
        <item h="1" x="1337"/>
        <item h="1" x="1325"/>
        <item h="1" x="1356"/>
        <item h="1" x="1344"/>
        <item h="1" x="1368"/>
        <item h="1" x="1034"/>
        <item h="1" x="964"/>
        <item h="1" x="975"/>
        <item h="1" x="259"/>
        <item h="1" x="131"/>
        <item h="1" x="275"/>
        <item h="1" x="891"/>
        <item h="1" x="886"/>
        <item h="1" x="681"/>
        <item h="1" x="0"/>
        <item h="1" x="1580"/>
        <item h="1" x="332"/>
        <item h="1" x="1"/>
        <item h="1" x="7"/>
        <item h="1" x="811"/>
        <item h="1" x="812"/>
        <item h="1" x="815"/>
        <item h="1" x="621"/>
        <item h="1" x="1237"/>
        <item h="1" x="243"/>
        <item h="1" x="1029"/>
        <item h="1" x="1243"/>
        <item h="1" x="1086"/>
        <item h="1" x="1091"/>
        <item h="1" x="364"/>
        <item h="1" x="528"/>
        <item h="1" x="159"/>
        <item h="1" x="188"/>
        <item h="1" x="490"/>
        <item h="1" x="337"/>
        <item h="1" x="515"/>
        <item h="1" x="173"/>
        <item h="1" x="733"/>
        <item h="1" x="1293"/>
        <item x="1112"/>
        <item x="573"/>
        <item h="1" x="249"/>
        <item h="1" x="826"/>
        <item h="1" x="832"/>
        <item h="1" x="824"/>
        <item h="1" x="1588"/>
        <item h="1" x="947"/>
        <item h="1" x="949"/>
        <item h="1" x="1456"/>
        <item h="1" x="1619"/>
        <item h="1" x="1523"/>
        <item h="1" x="1380"/>
        <item h="1" x="1403"/>
        <item h="1" x="267"/>
        <item h="1" x="278"/>
        <item h="1" x="895"/>
        <item h="1" x="889"/>
        <item h="1" x="651"/>
        <item h="1" x="863"/>
        <item h="1" x="865"/>
        <item h="1" x="848"/>
        <item h="1" x="238"/>
        <item h="1" x="870"/>
        <item h="1" x="876"/>
        <item h="1" x="869"/>
        <item h="1" x="772"/>
        <item h="1" x="650"/>
        <item h="1" x="1290"/>
        <item h="1" x="1285"/>
        <item h="1" x="1287"/>
        <item h="1" x="1263"/>
        <item h="1" x="1272"/>
        <item h="1" x="284"/>
        <item h="1" x="1450"/>
        <item h="1" x="1174"/>
        <item h="1" x="1436"/>
        <item h="1" x="1582"/>
        <item h="1" x="1069"/>
        <item h="1" x="925"/>
        <item h="1" x="924"/>
        <item h="1" x="63"/>
        <item h="1" x="920"/>
        <item x="917"/>
        <item h="1" x="952"/>
        <item h="1" x="809"/>
        <item h="1" x="810"/>
        <item h="1" x="1261"/>
        <item h="1" x="1531"/>
        <item h="1" x="1150"/>
        <item h="1" x="378"/>
        <item h="1" x="1032"/>
        <item h="1" x="1187"/>
        <item h="1" x="1165"/>
        <item h="1" x="375"/>
        <item h="1" x="1148"/>
        <item h="1" x="1058"/>
        <item h="1" x="937"/>
        <item h="1" x="1040"/>
        <item h="1" x="1377"/>
        <item h="1" x="900"/>
        <item h="1" x="905"/>
        <item h="1" x="907"/>
        <item h="1" x="910"/>
        <item h="1" x="538"/>
        <item h="1" x="1578"/>
        <item h="1" x="297"/>
        <item h="1" x="395"/>
        <item h="1" x="1507"/>
        <item h="1" x="1430"/>
        <item h="1" x="1409"/>
        <item h="1" x="1432"/>
        <item h="1" x="1434"/>
        <item h="1" x="1433"/>
        <item h="1" x="1431"/>
        <item h="1" x="1435"/>
        <item h="1" x="1522"/>
        <item h="1" x="1520"/>
        <item h="1" x="1519"/>
        <item h="1" x="575"/>
        <item h="1" x="897"/>
        <item h="1" x="921"/>
        <item h="1" x="380"/>
        <item h="1" x="377"/>
        <item h="1" x="1149"/>
        <item h="1" x="1504"/>
        <item h="1" x="1393"/>
        <item h="1" x="1390"/>
        <item h="1" x="1391"/>
        <item h="1" x="1399"/>
        <item h="1" x="1394"/>
        <item h="1" x="1395"/>
        <item h="1" x="1398"/>
        <item h="1" x="1397"/>
        <item h="1" x="1392"/>
        <item h="1" x="1389"/>
        <item h="1" x="987"/>
        <item h="1" x="1005"/>
        <item h="1" x="838"/>
        <item h="1" x="393"/>
        <item h="1" x="1136"/>
        <item h="1" x="1115"/>
        <item h="1" x="670"/>
        <item h="1" x="669"/>
        <item h="1" x="1206"/>
        <item h="1" x="1332"/>
        <item h="1" x="1203"/>
        <item h="1" x="1114"/>
        <item h="1" x="1116"/>
        <item h="1" x="884"/>
        <item h="1" x="603"/>
        <item h="1" x="852"/>
        <item h="1" x="1152"/>
        <item h="1" x="873"/>
        <item h="1" x="844"/>
        <item h="1" x="894"/>
        <item h="1" x="1505"/>
        <item h="1" x="887"/>
        <item h="1" x="890"/>
        <item h="1" x="759"/>
        <item h="1" x="1226"/>
        <item h="1" x="675"/>
        <item h="1" x="1154"/>
        <item h="1" x="728"/>
        <item h="1" x="1314"/>
        <item h="1" x="1313"/>
        <item h="1" x="1315"/>
        <item h="1" x="1311"/>
        <item h="1" x="1312"/>
        <item h="1" x="260"/>
        <item h="1" x="1486"/>
        <item h="1" x="1485"/>
        <item h="1" x="777"/>
        <item h="1" x="1195"/>
        <item h="1" x="390"/>
        <item h="1" x="286"/>
        <item h="1" x="1374"/>
        <item h="1" x="1369"/>
        <item h="1" x="287"/>
        <item h="1" x="266"/>
        <item h="1" x="277"/>
        <item h="1" x="268"/>
        <item h="1" x="994"/>
        <item h="1" x="992"/>
        <item h="1" x="1529"/>
        <item h="1" x="1323"/>
        <item h="1" x="803"/>
        <item h="1" x="988"/>
        <item h="1" x="1006"/>
        <item h="1" x="31"/>
        <item h="1" x="29"/>
        <item h="1" x="624"/>
        <item h="1" x="622"/>
        <item h="1" x="626"/>
        <item h="1" x="623"/>
        <item h="1" x="625"/>
        <item h="1" x="629"/>
        <item h="1" x="1527"/>
        <item h="1" x="1525"/>
        <item h="1" x="1524"/>
        <item h="1" x="1037"/>
        <item h="1" x="1036"/>
        <item h="1" x="1496"/>
        <item h="1" x="336"/>
        <item h="1" x="1493"/>
        <item h="1" x="1495"/>
        <item h="1" x="1506"/>
        <item h="1" x="1026"/>
        <item h="1" x="1067"/>
        <item h="1" x="1173"/>
        <item h="1" x="1162"/>
        <item h="1" x="1164"/>
        <item h="1" x="1163"/>
        <item x="1161"/>
        <item h="1" x="960"/>
        <item h="1" x="264"/>
        <item h="1" x="959"/>
        <item h="1" x="958"/>
        <item h="1" x="1425"/>
        <item h="1" x="1428"/>
        <item h="1" x="995"/>
        <item h="1" x="1421"/>
        <item h="1" x="996"/>
        <item h="1" x="1422"/>
        <item h="1" x="280"/>
        <item h="1" x="655"/>
        <item h="1" x="893"/>
        <item h="1" x="981"/>
        <item h="1" x="425"/>
        <item h="1" x="426"/>
        <item h="1" x="427"/>
        <item h="1" x="432"/>
        <item h="1" x="434"/>
        <item h="1" x="435"/>
        <item h="1" x="429"/>
        <item h="1" x="430"/>
        <item h="1" x="431"/>
        <item h="1" x="433"/>
        <item h="1" x="329"/>
        <item h="1" x="989"/>
        <item h="1" x="762"/>
        <item h="1" x="761"/>
        <item h="1" x="1530"/>
        <item h="1" x="764"/>
        <item h="1" x="763"/>
        <item h="1" x="771"/>
        <item h="1" x="963"/>
        <item h="1" x="766"/>
        <item h="1" x="767"/>
        <item h="1" x="769"/>
        <item h="1" x="765"/>
        <item h="1" x="768"/>
        <item h="1" x="770"/>
        <item h="1" x="611"/>
        <item h="1" x="1447"/>
        <item h="1" x="1449"/>
        <item h="1" x="1382"/>
        <item h="1" x="1448"/>
        <item h="1" x="374"/>
        <item h="1" x="1019"/>
        <item h="1" x="1020"/>
        <item h="1" x="1022"/>
        <item h="1" x="1021"/>
        <item h="1" x="366"/>
        <item h="1" x="365"/>
        <item h="1" x="367"/>
        <item h="1" x="576"/>
        <item h="1" x="578"/>
        <item h="1" x="577"/>
        <item h="1" x="1121"/>
        <item h="1" x="637"/>
        <item h="1" x="805"/>
        <item h="1" x="644"/>
        <item h="1" x="639"/>
        <item h="1" x="642"/>
        <item h="1" x="641"/>
        <item h="1" x="643"/>
        <item h="1" x="640"/>
        <item h="1" x="787"/>
        <item h="1" x="1597"/>
        <item h="1" x="607"/>
        <item h="1" x="983"/>
        <item h="1" x="990"/>
        <item h="1" x="369"/>
        <item h="1" x="368"/>
        <item h="1" x="372"/>
        <item h="1" x="1569"/>
        <item h="1" x="1568"/>
        <item h="1" x="1567"/>
        <item h="1" x="1570"/>
        <item h="1" x="982"/>
        <item h="1" x="1007"/>
        <item h="1" x="695"/>
        <item h="1" x="690"/>
        <item h="1" x="696"/>
        <item h="1" x="1386"/>
        <item h="1" x="1388"/>
        <item h="1" x="1387"/>
        <item h="1" x="1402"/>
        <item h="1" x="1151"/>
        <item h="1" x="496"/>
        <item h="1" x="510"/>
        <item h="1" x="509"/>
        <item h="1" x="437"/>
        <item h="1" x="95"/>
        <item h="1" x="122"/>
        <item h="1" x="480"/>
        <item h="1" x="448"/>
        <item h="1" x="449"/>
        <item h="1" x="479"/>
        <item h="1" x="473"/>
        <item h="1" x="1188"/>
        <item h="1" x="1184"/>
        <item h="1" x="1186"/>
        <item h="1" x="1185"/>
        <item x="1183"/>
        <item h="1" x="1381"/>
        <item h="1" x="465"/>
        <item h="1" x="468"/>
        <item h="1" x="467"/>
        <item h="1" x="483"/>
        <item h="1" x="469"/>
        <item h="1" x="464"/>
        <item h="1" x="450"/>
        <item h="1" x="461"/>
        <item h="1" x="462"/>
        <item h="1" x="463"/>
        <item h="1" x="489"/>
        <item h="1" x="485"/>
        <item h="1" x="456"/>
        <item h="1" x="486"/>
        <item h="1" x="487"/>
        <item h="1" x="455"/>
        <item h="1" x="460"/>
        <item h="1" x="459"/>
        <item h="1" x="484"/>
        <item h="1" x="458"/>
        <item h="1" x="452"/>
        <item h="1" x="482"/>
        <item h="1" x="454"/>
        <item h="1" x="488"/>
        <item h="1" x="457"/>
        <item h="1" x="451"/>
        <item h="1" x="453"/>
        <item h="1" x="955"/>
        <item h="1" x="1365"/>
        <item h="1" x="1366"/>
        <item h="1" x="1502"/>
        <item h="1" x="1199"/>
        <item h="1" x="1526"/>
        <item h="1" x="1222"/>
        <item h="1" x="1497"/>
        <item h="1" x="1191"/>
        <item h="1" x="1193"/>
        <item h="1" x="1192"/>
        <item x="1190"/>
        <item h="1" x="1414"/>
        <item h="1" x="856"/>
        <item h="1" x="834"/>
        <item h="1" x="930"/>
        <item h="1" x="943"/>
        <item h="1" x="831"/>
        <item h="1" x="819"/>
        <item h="1" x="868"/>
        <item h="1" x="840"/>
        <item h="1" x="914"/>
        <item h="1" x="913"/>
        <item h="1" x="912"/>
        <item h="1" x="613"/>
        <item h="1" x="1080"/>
        <item h="1" x="296"/>
        <item h="1" x="609"/>
        <item h="1" x="77"/>
        <item h="1" x="616"/>
        <item h="1" x="1212"/>
        <item h="1" x="1271"/>
        <item h="1" x="610"/>
        <item h="1" x="265"/>
        <item h="1" x="476"/>
        <item h="1" x="477"/>
        <item h="1" x="1350"/>
        <item h="1" x="957"/>
        <item h="1" x="147"/>
        <item h="1" x="1097"/>
        <item h="1" x="54"/>
        <item h="1" x="62"/>
        <item h="1" x="53"/>
        <item h="1" x="758"/>
        <item h="1" x="1361"/>
        <item h="1" x="1302"/>
        <item h="1" x="1301"/>
        <item h="1" x="662"/>
        <item h="1" x="229"/>
        <item h="1" x="232"/>
        <item h="1" x="292"/>
        <item h="1" x="235"/>
        <item h="1" x="757"/>
        <item h="1" x="60"/>
        <item h="1" x="51"/>
        <item h="1" x="636"/>
        <item h="1" x="1139"/>
        <item h="1" x="1141"/>
        <item h="1" x="1140"/>
        <item x="1138"/>
        <item h="1" x="933"/>
        <item h="1" x="932"/>
        <item h="1" x="1269"/>
        <item h="1" x="896"/>
        <item h="1" x="854"/>
        <item h="1" x="883"/>
        <item h="1" x="859"/>
        <item h="1" x="1109"/>
        <item h="1" x="1108"/>
        <item h="1" x="1159"/>
        <item h="1" x="1498"/>
        <item h="1" x="1144"/>
        <item h="1" x="1146"/>
        <item h="1" x="1145"/>
        <item x="1143"/>
        <item h="1" x="1419"/>
        <item h="1" x="539"/>
        <item h="1" x="991"/>
        <item h="1" x="973"/>
        <item h="1" x="738"/>
        <item h="1" x="773"/>
        <item h="1" x="718"/>
        <item h="1" x="543"/>
        <item h="1" x="712"/>
        <item h="1" x="1474"/>
        <item h="1" x="1214"/>
        <item h="1" x="1585"/>
        <item h="1" x="1229"/>
        <item h="1" x="1501"/>
        <item h="1" x="1231"/>
        <item h="1" x="1230"/>
        <item h="1" x="1410"/>
        <item h="1" x="1415"/>
        <item h="1" x="400"/>
        <item h="1" x="403"/>
        <item h="1" x="401"/>
        <item h="1" x="404"/>
        <item h="1" x="665"/>
        <item h="1" x="666"/>
        <item h="1" x="526"/>
        <item h="1" x="1196"/>
        <item h="1" x="1105"/>
        <item h="1" x="1106"/>
        <item h="1" x="474"/>
        <item x="1068"/>
        <item h="1" x="302"/>
        <item h="1" x="304"/>
        <item h="1" x="303"/>
        <item h="1" x="152"/>
        <item h="1" x="828"/>
        <item h="1" x="691"/>
        <item h="1" x="1168"/>
        <item h="1" x="1119"/>
        <item h="1" x="357"/>
        <item h="1" x="534"/>
        <item h="1" x="580"/>
        <item h="1" x="1279"/>
        <item h="1" x="181"/>
        <item h="1" x="381"/>
        <item h="1" x="1096"/>
        <item h="1" x="445"/>
        <item h="1" x="1555"/>
        <item h="1" x="96"/>
        <item h="1" x="851"/>
        <item h="1" x="902"/>
        <item h="1" x="939"/>
        <item h="1" x="612"/>
        <item h="1" x="255"/>
        <item h="1" x="257"/>
        <item h="1" x="1135"/>
        <item h="1" x="755"/>
        <item h="1" x="617"/>
        <item h="1" x="860"/>
        <item h="1" x="822"/>
        <item h="1" x="915"/>
        <item h="1" x="1411"/>
        <item h="1" x="1416"/>
        <item h="1" x="1260"/>
        <item h="1" x="1614"/>
        <item h="1" x="1615"/>
        <item h="1" x="1616"/>
        <item h="1" x="1612"/>
        <item h="1" x="1609"/>
        <item h="1" x="1610"/>
        <item h="1" x="1613"/>
        <item h="1" x="1611"/>
        <item h="1" x="1604"/>
        <item h="1" x="1603"/>
        <item h="1" x="1601"/>
        <item h="1" x="272"/>
        <item h="1" x="600"/>
        <item h="1" x="601"/>
        <item h="1" x="602"/>
        <item h="1" x="416"/>
        <item h="1" x="535"/>
        <item h="1" x="417"/>
        <item h="1" x="537"/>
        <item h="1" x="531"/>
        <item h="1" x="530"/>
        <item h="1" x="174"/>
        <item h="1" x="176"/>
        <item h="1" x="175"/>
        <item x="1241"/>
        <item h="1" x="1481"/>
        <item h="1" x="1482"/>
        <item h="1" x="1483"/>
        <item h="1" x="1099"/>
        <item h="1" x="160"/>
        <item h="1" x="163"/>
        <item h="1" x="165"/>
        <item h="1" x="168"/>
        <item h="1" x="170"/>
        <item h="1" x="164"/>
        <item h="1" x="167"/>
        <item h="1" x="169"/>
        <item h="1" x="162"/>
        <item h="1" x="161"/>
        <item h="1" x="1412"/>
        <item h="1" x="1417"/>
        <item h="1" x="1424"/>
        <item h="1" x="1078"/>
        <item h="1" x="1429"/>
        <item h="1" x="1009"/>
        <item h="1" x="998"/>
        <item h="1" x="779"/>
        <item h="1" x="1076"/>
        <item h="1" x="1077"/>
        <item h="1" x="1075"/>
        <item h="1" x="1079"/>
        <item h="1" x="967"/>
        <item h="1" x="970"/>
        <item h="1" x="1003"/>
        <item h="1" x="1599"/>
        <item h="1" x="684"/>
        <item h="1" x="402"/>
        <item h="1" x="634"/>
        <item h="1" x="663"/>
        <item h="1" x="68"/>
        <item h="1" x="1300"/>
        <item h="1" x="110"/>
        <item h="1" x="67"/>
        <item h="1" x="55"/>
        <item h="1" x="52"/>
        <item h="1" x="187"/>
        <item h="1" x="1563"/>
        <item h="1" x="1558"/>
        <item h="1" x="1560"/>
        <item h="1" x="1559"/>
        <item h="1" x="1413"/>
        <item h="1" x="1418"/>
        <item h="1" x="189"/>
        <item h="1" x="212"/>
        <item h="1" x="208"/>
        <item h="1" x="210"/>
        <item h="1" x="222"/>
        <item h="1" x="220"/>
        <item h="1" x="218"/>
        <item h="1" x="214"/>
        <item h="1" x="209"/>
        <item h="1" x="216"/>
        <item h="1" x="211"/>
        <item h="1" x="191"/>
        <item h="1" x="198"/>
        <item h="1" x="206"/>
        <item h="1" x="200"/>
        <item h="1" x="202"/>
        <item h="1" x="204"/>
        <item h="1" x="195"/>
        <item h="1" x="196"/>
        <item h="1" x="135"/>
        <item h="1" x="133"/>
        <item h="1" x="134"/>
        <item h="1" x="704"/>
        <item h="1" x="1551"/>
        <item h="1" x="1549"/>
        <item h="1" x="1547"/>
        <item h="1" x="362"/>
        <item h="1" x="440"/>
        <item h="1" x="185"/>
        <item h="1" x="386"/>
        <item h="1" x="1573"/>
        <item h="1" x="443"/>
        <item h="1" x="1576"/>
        <item h="1" x="1443"/>
        <item h="1" x="1250"/>
        <item h="1" x="1198"/>
        <item h="1" x="760"/>
        <item h="1" x="1540"/>
        <item h="1" x="1539"/>
        <item h="1" x="1536"/>
        <item h="1" x="1538"/>
        <item h="1" x="1537"/>
        <item h="1" x="1541"/>
        <item h="1" x="1553"/>
        <item h="1" x="1499"/>
        <item h="1" x="1221"/>
        <item h="1" x="1364"/>
        <item h="1" x="1319"/>
        <item h="1" x="1321"/>
        <item h="1" x="1320"/>
        <item x="1318"/>
        <item h="1" x="1268"/>
        <item h="1" x="1267"/>
        <item h="1" x="1373"/>
        <item h="1" x="109"/>
        <item h="1" x="1491"/>
        <item h="1" x="1489"/>
        <item h="1" x="1488"/>
        <item h="1" x="1354"/>
        <item h="1" x="1359"/>
        <item h="1" x="1360"/>
        <item h="1" x="1343"/>
        <item h="1" x="1341"/>
        <item h="1" x="1333"/>
        <item h="1" x="1338"/>
        <item h="1" x="1327"/>
        <item h="1" x="1329"/>
        <item h="1" x="1335"/>
        <item h="1" x="1331"/>
        <item h="1" x="1357"/>
        <item h="1" x="1346"/>
        <item h="1" x="604"/>
        <item h="1" x="75"/>
        <item h="1" x="1259"/>
        <item h="1" x="1473"/>
        <item h="1" x="1001"/>
        <item h="1" x="1000"/>
        <item h="1" x="1011"/>
        <item h="1" x="1013"/>
        <item h="1" x="1015"/>
        <item h="1" x="1014"/>
        <item h="1" x="1012"/>
        <item h="1" x="1010"/>
        <item h="1" x="1035"/>
        <item h="1" x="984"/>
        <item h="1" x="965"/>
        <item h="1" x="999"/>
        <item h="1" x="1002"/>
        <item h="1" x="16"/>
        <item h="1" x="1606"/>
        <item h="1" x="27"/>
        <item h="1" x="1049"/>
        <item h="1" x="713"/>
        <item h="1" x="727"/>
        <item h="1" x="138"/>
        <item h="1" x="43"/>
        <item h="1" x="155"/>
        <item h="1" x="154"/>
        <item h="1" x="276"/>
        <item h="1" x="140"/>
        <item h="1" x="4"/>
        <item h="1" x="3"/>
        <item h="1" x="34"/>
        <item h="1" x="32"/>
        <item h="1" x="1093"/>
        <item h="1" x="715"/>
        <item h="1" x="726"/>
        <item h="1" x="687"/>
        <item h="1" x="740"/>
        <item h="1" x="986"/>
        <item h="1" x="714"/>
        <item h="1" x="605"/>
        <item h="1" x="606"/>
        <item h="1" x="1258"/>
        <item h="1" x="1472"/>
        <item h="1" x="1471"/>
        <item h="1" x="743"/>
        <item h="1" x="793"/>
        <item h="1" x="745"/>
        <item h="1" x="245"/>
        <item h="1" x="1041"/>
        <item h="1" x="928"/>
        <item h="1" x="61"/>
        <item h="1" x="6"/>
        <item h="1" x="5"/>
        <item h="1" x="45"/>
        <item h="1" x="49"/>
        <item h="1" x="46"/>
        <item h="1" x="50"/>
        <item h="1" x="1225"/>
        <item h="1" x="180"/>
        <item h="1" x="511"/>
        <item h="1" x="444"/>
        <item h="1" x="438"/>
        <item h="1" x="1039"/>
        <item h="1" x="1167"/>
        <item h="1" x="1169"/>
        <item h="1" x="1581"/>
        <item h="1" x="333"/>
        <item h="1" x="30"/>
        <item h="1" x="697"/>
        <item h="1" x="797"/>
        <item h="1" x="798"/>
        <item h="1" x="795"/>
        <item h="1" x="796"/>
        <item h="1" x="801"/>
        <item h="1" x="783"/>
        <item h="1" x="26"/>
        <item h="1" x="39"/>
        <item h="1" x="737"/>
        <item h="1" x="752"/>
        <item h="1" x="788"/>
        <item h="1" x="41"/>
        <item h="1" x="1060"/>
        <item h="1" x="940"/>
        <item h="1" x="847"/>
        <item h="1" x="813"/>
        <item h="1" x="816"/>
        <item h="1" x="839"/>
        <item h="1" x="654"/>
        <item h="1" x="652"/>
        <item h="1" x="653"/>
        <item h="1" x="491"/>
        <item h="1" x="494"/>
        <item h="1" x="493"/>
        <item h="1" x="495"/>
        <item h="1" x="497"/>
        <item h="1" x="503"/>
        <item h="1" x="498"/>
        <item h="1" x="499"/>
        <item h="1" x="504"/>
        <item h="1" x="500"/>
        <item h="1" x="501"/>
        <item h="1" x="502"/>
        <item h="1" x="492"/>
        <item h="1" x="1238"/>
        <item h="1" x="1240"/>
        <item h="1" x="1239"/>
        <item h="1" x="583"/>
        <item h="1" x="412"/>
        <item h="1" x="413"/>
        <item h="1" x="414"/>
        <item h="1" x="244"/>
        <item h="1" x="392"/>
        <item h="1" x="80"/>
        <item h="1" x="1400"/>
        <item h="1" x="825"/>
        <item h="1" x="470"/>
        <item h="1" x="471"/>
        <item h="1" x="420"/>
        <item h="1" x="1362"/>
        <item h="1" x="281"/>
        <item h="1" x="261"/>
        <item h="1" x="263"/>
        <item h="1" x="1375"/>
        <item h="1" x="262"/>
        <item h="1" x="223"/>
        <item h="1" x="892"/>
        <item h="1" x="240"/>
        <item h="1" x="1031"/>
        <item h="1" x="1030"/>
        <item h="1" x="186"/>
        <item h="1" x="1057"/>
        <item h="1" x="172"/>
        <item h="1" x="674"/>
        <item h="1" x="1304"/>
        <item h="1" x="117"/>
        <item h="1" x="1591"/>
        <item h="1" x="231"/>
        <item h="1" x="1379"/>
        <item h="1" x="56"/>
        <item h="1" x="619"/>
        <item h="1" x="234"/>
        <item h="1" x="1123"/>
        <item h="1" x="1218"/>
        <item h="1" x="331"/>
        <item h="1" x="942"/>
        <item h="1" x="814"/>
        <item h="1" x="885"/>
        <item h="1" x="861"/>
        <item h="1" x="888"/>
        <item h="1" x="254"/>
        <item h="1" x="225"/>
        <item h="1" x="256"/>
        <item h="1" x="1245"/>
        <item h="1" x="1247"/>
        <item h="1" x="1246"/>
        <item h="1" x="1252"/>
        <item x="1244"/>
        <item h="1" x="1248"/>
        <item h="1" x="1358"/>
        <item h="1" x="97"/>
        <item h="1" x="1544"/>
        <item h="1" x="1033"/>
        <item h="1" x="1090"/>
        <item h="1" x="778"/>
        <item h="1" x="1089"/>
        <item h="1" x="1088"/>
        <item h="1" x="1098"/>
        <item h="1" x="1087"/>
        <item h="1" x="1111"/>
        <item h="1" x="969"/>
        <item h="1" x="968"/>
        <item h="1" x="37"/>
        <item h="1" x="38"/>
        <item h="1" x="1598"/>
        <item h="1" x="683"/>
        <item h="1" x="751"/>
        <item h="1" x="823"/>
        <item h="1" x="953"/>
        <item h="1" x="956"/>
        <item h="1" x="646"/>
        <item h="1" x="647"/>
        <item h="1" x="648"/>
        <item h="1" x="649"/>
        <item h="1" x="1298"/>
        <item h="1" x="1294"/>
        <item h="1" x="1297"/>
        <item h="1" x="1299"/>
        <item x="158"/>
        <item x="1157"/>
        <item m="1" x="1621"/>
        <item x="1172"/>
        <item x="283"/>
        <item x="271"/>
        <item x="274"/>
        <item x="1521"/>
        <item x="1494"/>
        <item x="1113"/>
        <item x="428"/>
        <item x="1446"/>
        <item x="373"/>
        <item x="1566"/>
        <item x="1385"/>
        <item x="472"/>
        <item x="481"/>
        <item x="849"/>
        <item x="145"/>
        <item x="177"/>
        <item x="166"/>
        <item x="1557"/>
        <item x="192"/>
        <item x="136"/>
        <item x="1535"/>
        <item x="1490"/>
        <item x="1470"/>
        <item x="113"/>
        <item x="353"/>
        <item x="1292"/>
        <item x="1451"/>
        <item x="1437"/>
        <item x="524"/>
        <item x="98"/>
        <item x="918"/>
        <item x="590"/>
        <item x="574"/>
        <item h="1" x="734"/>
        <item h="1" x="736"/>
        <item h="1" x="735"/>
        <item h="1" x="250"/>
        <item h="1" x="388"/>
        <item h="1" x="171"/>
        <item h="1" x="664"/>
        <item h="1" x="659"/>
        <item h="1" x="660"/>
        <item h="1" x="116"/>
        <item h="1" x="1355"/>
        <item h="1" x="78"/>
        <item h="1" x="149"/>
        <item h="1" x="1352"/>
        <item h="1" x="295"/>
        <item h="1" x="1336"/>
        <item h="1" x="1371"/>
        <item h="1" x="1072"/>
        <item h="1" x="112"/>
        <item h="1" x="1126"/>
        <item h="1" x="1024"/>
        <item h="1" x="1128"/>
        <item h="1" x="1082"/>
        <item h="1" x="1564"/>
        <item h="1" x="143"/>
        <item h="1" x="141"/>
        <item h="1" x="527"/>
        <item h="1" x="130"/>
        <item h="1" x="290"/>
        <item h="1" x="142"/>
        <item h="1" x="384"/>
        <item h="1" x="226"/>
        <item h="1" x="1016"/>
        <item h="1" x="227"/>
        <item h="1" x="1017"/>
        <item h="1" x="59"/>
        <item h="1" x="58"/>
        <item h="1" x="383"/>
        <item h="1" x="1479"/>
        <item h="1" x="79"/>
        <item h="1" m="1" x="1622"/>
        <item h="1" x="1074"/>
        <item h="1" x="1134"/>
        <item h="1" x="1122"/>
        <item h="1" x="898"/>
        <item h="1" x="916"/>
        <item h="1" x="827"/>
        <item h="1" x="833"/>
        <item h="1" x="830"/>
        <item h="1" m="1" x="1623"/>
        <item h="1" x="355"/>
        <item h="1" x="324"/>
        <item h="1" x="108"/>
        <item h="1" x="1477"/>
        <item h="1" x="183"/>
        <item h="1" x="1596"/>
        <item h="1" x="1213"/>
        <item h="1" x="533"/>
        <item h="1" x="1056"/>
        <item h="1" x="1328"/>
        <item h="1" x="1334"/>
        <item h="1" x="1330"/>
        <item h="1" x="1204"/>
        <item h="1" x="1208"/>
        <item h="1" x="1201"/>
        <item h="1" x="1275"/>
        <item h="1" x="1281"/>
        <item h="1" x="1273"/>
        <item h="1" x="977"/>
        <item h="1" x="978"/>
        <item h="1" x="979"/>
        <item h="1" x="980"/>
        <item h="1" x="976"/>
        <item h="1" x="1405"/>
        <item h="1" x="1406"/>
        <item h="1" x="1407"/>
        <item h="1" x="1408"/>
        <item h="1" x="1404"/>
        <item h="1" x="293"/>
        <item h="1" x="294"/>
        <item h="1" x="291"/>
        <item h="1" x="1589"/>
        <item h="1" x="1211"/>
        <item h="1" x="466"/>
        <item h="1" x="1073"/>
        <item h="1" x="512"/>
        <item h="1" x="1533"/>
        <item h="1" x="1503"/>
        <item h="1" x="1457"/>
        <item h="1" x="1463"/>
        <item h="1" x="1460"/>
        <item h="1" x="1458"/>
        <item h="1" x="1466"/>
        <item h="1" x="1465"/>
        <item h="1" x="1467"/>
        <item h="1" x="1464"/>
        <item h="1" x="1459"/>
        <item h="1" x="1469"/>
        <item h="1" x="1468"/>
        <item h="1" x="1461"/>
        <item h="1" x="1462"/>
        <item h="1" x="505"/>
        <item h="1" x="507"/>
        <item h="1" x="506"/>
        <item h="1" x="628"/>
        <item h="1" x="627"/>
        <item h="1" x="717"/>
        <item h="1" x="961"/>
        <item h="1" x="1147"/>
        <item h="1" x="1545"/>
        <item h="1" x="744"/>
        <item h="1" x="794"/>
        <item h="1" x="792"/>
        <item h="1" x="789"/>
        <item h="1" x="746"/>
        <item h="1" x="246"/>
        <item h="1" x="1042"/>
        <item h="1" x="790"/>
        <item h="1" x="791"/>
        <item h="1" x="475"/>
        <item h="1" x="11"/>
        <item h="1" x="10"/>
        <item h="1" x="9"/>
        <item h="1" x="8"/>
        <item h="1" x="15"/>
        <item h="1" x="14"/>
        <item h="1" x="13"/>
        <item h="1" x="12"/>
        <item h="1" x="22"/>
        <item h="1" x="1618"/>
        <item h="1" x="28"/>
        <item h="1" x="1048"/>
        <item h="1" x="710"/>
        <item h="1" x="703"/>
        <item h="1" x="47"/>
        <item h="1" x="279"/>
        <item h="1" x="754"/>
        <item h="1" x="35"/>
        <item h="1" x="33"/>
        <item h="1" x="1092"/>
        <item h="1" x="707"/>
        <item h="1" x="753"/>
        <item h="1" x="724"/>
        <item h="1" x="657"/>
        <item h="1" x="742"/>
        <item h="1" x="711"/>
        <item h="1" x="514"/>
        <item h="1" x="962"/>
        <item h="1" x="922"/>
        <item h="1" x="273"/>
        <item h="1" x="756"/>
        <item h="1" x="671"/>
        <item h="1" x="677"/>
        <item h="1" x="676"/>
        <item h="1" x="1590"/>
        <item h="1" x="699"/>
        <item h="1" x="948"/>
        <item h="1" x="935"/>
        <item h="1" x="673"/>
        <item h="1" x="950"/>
        <item h="1" x="938"/>
        <item h="1" x="820"/>
        <item h="1" x="680"/>
        <item h="1" x="359"/>
        <item h="1" x="845"/>
        <item h="1" x="846"/>
        <item h="1" x="864"/>
        <item h="1" x="866"/>
        <item h="1" x="850"/>
        <item h="1" x="694"/>
        <item h="1" x="843"/>
        <item h="1" x="842"/>
        <item h="1" x="1179"/>
        <item h="1" x="1584"/>
        <item h="1" x="1277"/>
        <item h="1" x="1210"/>
        <item h="1" x="1205"/>
        <item h="1" x="1209"/>
        <item h="1" x="1207"/>
        <item h="1" x="1202"/>
        <item h="1" x="242"/>
        <item h="1" x="241"/>
        <item h="1" x="334"/>
        <item h="1" x="335"/>
        <item h="1" x="1200"/>
        <item h="1" x="104"/>
        <item h="1" x="105"/>
        <item h="1" x="347"/>
        <item h="1" x="343"/>
        <item h="1" x="349"/>
        <item h="1" x="350"/>
        <item h="1" x="344"/>
        <item h="1" x="346"/>
        <item h="1" x="341"/>
        <item h="1" x="348"/>
        <item h="1" x="345"/>
        <item h="1" x="351"/>
        <item h="1" x="352"/>
        <item h="1" x="360"/>
        <item h="1" x="338"/>
        <item h="1" x="340"/>
        <item h="1" x="339"/>
        <item x="358"/>
        <item h="1" x="106"/>
        <item h="1" x="118"/>
        <item x="114"/>
        <item h="1" x="115"/>
        <item h="1" x="119"/>
        <item h="1" x="120"/>
        <item h="1" x="121"/>
        <item h="1" x="127"/>
        <item x="125"/>
        <item h="1" x="126"/>
        <item h="1" x="872"/>
        <item h="1" x="871"/>
        <item h="1" x="880"/>
        <item h="1" x="879"/>
        <item h="1" x="878"/>
        <item h="1" x="877"/>
        <item h="1" x="874"/>
        <item h="1" x="881"/>
        <item h="1" x="857"/>
        <item h="1" x="658"/>
        <item h="1" x="667"/>
        <item h="1" x="829"/>
        <item h="1" x="656"/>
        <item h="1" x="721"/>
        <item h="1" x="732"/>
        <item h="1" x="722"/>
        <item h="1" x="723"/>
        <item h="1" x="725"/>
        <item h="1" x="705"/>
        <item h="1" x="774"/>
        <item h="1" x="776"/>
        <item h="1" x="785"/>
        <item h="1" x="775"/>
        <item h="1" x="799"/>
        <item h="1" x="682"/>
        <item h="1" x="731"/>
        <item h="1" x="719"/>
        <item h="1" x="786"/>
        <item h="1" x="800"/>
        <item h="1" x="1286"/>
        <item h="1" x="1264"/>
        <item h="1" x="1291"/>
        <item h="1" x="1288"/>
        <item h="1" x="1266"/>
        <item h="1" x="1265"/>
        <item h="1" x="1276"/>
        <item h="1" x="1282"/>
        <item h="1" x="1274"/>
        <item h="1" x="1478"/>
        <item h="1" x="1476"/>
        <item h="1" x="1219"/>
        <item h="1" x="1289"/>
        <item h="1" x="94"/>
        <item h="1" x="441"/>
        <item h="1" x="107"/>
        <item h="1" x="387"/>
        <item h="1" x="1574"/>
        <item h="1" x="818"/>
        <item h="1" x="1215"/>
        <item h="1" x="1133"/>
        <item h="1" x="1220"/>
        <item h="1" x="252"/>
        <item h="1" x="572"/>
        <item h="1" x="436"/>
        <item h="1" x="1306"/>
        <item h="1" x="327"/>
        <item h="1" x="1339"/>
        <item h="1" x="1284"/>
        <item h="1" x="326"/>
        <item h="1" x="236"/>
        <item h="1" x="545"/>
        <item h="1" x="540"/>
        <item h="1" x="356"/>
        <item h="1" x="862"/>
        <item h="1" x="909"/>
        <item h="1" x="904"/>
        <item h="1" x="247"/>
        <item h="1" x="285"/>
        <item h="1" x="685"/>
        <item h="1" x="686"/>
        <item h="1" x="867"/>
        <item h="1" x="1131"/>
        <item h="1" x="1452"/>
        <item h="1" x="1454"/>
        <item h="1" x="1453"/>
        <item h="1" x="1455"/>
        <item h="1" x="1176"/>
        <item h="1" x="1178"/>
        <item h="1" x="1177"/>
        <item x="1175"/>
        <item h="1" x="747"/>
        <item h="1" x="750"/>
        <item h="1" x="749"/>
        <item h="1" x="748"/>
        <item h="1" x="1025"/>
        <item h="1" x="692"/>
        <item h="1" x="1438"/>
        <item h="1" x="1440"/>
        <item h="1" x="1439"/>
        <item h="1" x="1441"/>
        <item h="1" x="582"/>
        <item h="1" x="1583"/>
        <item h="1" x="1345"/>
        <item h="1" x="1100"/>
        <item h="1" x="1101"/>
        <item h="1" x="1102"/>
        <item h="1" x="1347"/>
        <item h="1" x="1586"/>
        <item h="1" x="1118"/>
        <item h="1" x="1370"/>
        <item h="1" x="230"/>
        <item h="1" x="1083"/>
        <item h="1" x="1084"/>
        <item h="1" x="1064"/>
        <item h="1" x="1065"/>
        <item h="1" x="516"/>
        <item h="1" x="518"/>
        <item h="1" x="517"/>
        <item h="1" x="525"/>
        <item h="1" x="1045"/>
        <item h="1" x="519"/>
        <item h="1" x="520"/>
        <item h="1" x="521"/>
        <item h="1" x="523"/>
        <item h="1" x="522"/>
        <item h="1" x="1216"/>
        <item h="1" x="926"/>
        <item h="1" x="927"/>
        <item h="1" x="1081"/>
        <item h="1" x="1307"/>
        <item h="1" x="688"/>
        <item h="1" x="1516"/>
        <item h="1" x="1517"/>
        <item h="1" x="1594"/>
        <item h="1" x="668"/>
        <item h="1" x="1349"/>
        <item h="1" x="672"/>
        <item h="1" x="1085"/>
        <item h="1" x="1027"/>
        <item h="1" x="700"/>
        <item h="1" x="1217"/>
        <item h="1" x="1125"/>
        <item h="1" x="513"/>
        <item h="1" x="233"/>
        <item h="1" x="1055"/>
        <item h="1" x="1054"/>
        <item h="1" x="1117"/>
        <item h="1" x="586"/>
        <item h="1" x="1181"/>
        <item h="1" x="2"/>
        <item h="1" x="64"/>
        <item h="1" x="679"/>
        <item h="1" x="678"/>
        <item h="1" x="76"/>
        <item h="1" x="148"/>
        <item h="1" x="1158"/>
        <item h="1" x="615"/>
        <item h="1" x="128"/>
        <item h="1" x="730"/>
        <item h="1" x="1124"/>
        <item h="1" x="1283"/>
        <item h="1" x="1251"/>
        <item h="1" x="1127"/>
        <item h="1" x="1170"/>
        <item h="1" x="146"/>
        <item h="1" x="1376"/>
        <item h="1" x="1132"/>
        <item h="1" x="1155"/>
        <item h="1" x="919"/>
        <item h="1" x="954"/>
        <item h="1" x="701"/>
        <item h="1" x="631"/>
        <item h="1" x="633"/>
        <item h="1" x="585"/>
        <item h="1" x="584"/>
        <item h="1" x="821"/>
        <item h="1" x="65"/>
        <item h="1" x="190"/>
        <item h="1" x="139"/>
        <item h="1" x="18"/>
        <item h="1" x="17"/>
        <item h="1" x="21"/>
        <item h="1" x="20"/>
        <item h="1" x="19"/>
        <item h="1" x="25"/>
        <item h="1" x="24"/>
        <item h="1" x="23"/>
        <item h="1" x="608"/>
        <item h="1" x="1592"/>
        <item h="1" x="1129"/>
        <item h="1" x="1023"/>
        <item h="1" x="1305"/>
        <item h="1" x="1351"/>
        <item h="1" x="228"/>
        <item h="1" x="1532"/>
        <item h="1" x="123"/>
        <item h="1" x="1324"/>
        <item h="1" x="1223"/>
        <item h="1" x="1038"/>
        <item h="1" x="1166"/>
        <item h="1" x="1554"/>
        <item h="1" x="354"/>
        <item h="1" x="446"/>
        <item h="1" x="1278"/>
        <item h="1" x="1444"/>
        <item h="1" x="382"/>
        <item h="1" x="1249"/>
        <item h="1" x="1587"/>
        <item h="1" x="325"/>
        <item h="1" x="376"/>
        <item h="1" x="379"/>
        <item h="1" x="1180"/>
        <item h="1" x="1262"/>
        <item h="1" x="1156"/>
        <item h="1" x="1094"/>
        <item h="1" x="1242"/>
        <item h="1" x="1561"/>
        <item h="1" x="1571"/>
        <item h="1" x="178"/>
        <item h="1" x="1270"/>
        <item h="1" x="182"/>
        <item h="1" x="1066"/>
        <item h="1" x="1070"/>
        <item h="1" x="1194"/>
        <item h="1" x="137"/>
        <item h="1" x="320"/>
        <item h="1" x="1059"/>
        <item h="1" x="1061"/>
        <item h="1" x="1104"/>
        <item h="1" x="1044"/>
        <item h="1" x="1110"/>
        <item h="1" x="1107"/>
        <item h="1" x="966"/>
        <item h="1" x="1043"/>
        <item x="1071"/>
        <item h="1" x="579"/>
        <item h="1" x="363"/>
        <item h="1" x="1224"/>
        <item h="1" x="739"/>
        <item h="1" x="923"/>
        <item h="1" x="239"/>
        <item h="1" x="1378"/>
        <item h="1" x="901"/>
        <item h="1" x="906"/>
        <item h="1" x="908"/>
        <item h="1" x="911"/>
        <item h="1" x="693"/>
        <item h="1" x="1475"/>
        <item h="1" x="560"/>
        <item h="1" x="547"/>
        <item h="1" x="548"/>
        <item h="1" x="544"/>
        <item h="1" x="559"/>
        <item h="1" x="558"/>
        <item h="1" x="557"/>
        <item h="1" x="549"/>
        <item h="1" x="550"/>
        <item h="1" x="542"/>
        <item h="1" x="546"/>
        <item h="1" x="555"/>
        <item h="1" x="556"/>
        <item h="1" x="551"/>
        <item h="1" x="552"/>
        <item h="1" x="567"/>
        <item h="1" x="553"/>
        <item h="1" x="564"/>
        <item h="1" x="568"/>
        <item h="1" x="561"/>
        <item h="1" x="565"/>
        <item h="1" x="569"/>
        <item h="1" x="562"/>
        <item h="1" x="566"/>
        <item h="1" x="570"/>
        <item h="1" x="563"/>
        <item h="1" x="554"/>
        <item h="1" x="571"/>
        <item h="1" x="418"/>
        <item h="1" x="415"/>
        <item h="1" x="408"/>
        <item h="1" x="410"/>
        <item h="1" x="396"/>
        <item h="1" x="407"/>
        <item h="1" x="406"/>
        <item h="1" x="422"/>
        <item h="1" x="421"/>
        <item h="1" x="399"/>
        <item h="1" x="903"/>
        <item h="1" x="1579"/>
        <item h="1" x="299"/>
        <item h="1" x="298"/>
        <item h="1" x="698"/>
        <item h="1" x="782"/>
        <item h="1" x="409"/>
        <item h="1" x="405"/>
        <item h="1" x="36"/>
        <item h="1" x="40"/>
        <item h="1" x="645"/>
        <item h="1" x="784"/>
        <item h="1" x="42"/>
        <item h="1" x="706"/>
        <item h="1" x="708"/>
        <item h="1" x="709"/>
        <item h="1" x="716"/>
        <item h="1" x="411"/>
        <item h="1" x="423"/>
        <item h="1" x="288"/>
        <item h="1" x="289"/>
        <item h="1" x="974"/>
        <item h="1" x="394"/>
        <item h="1" x="81"/>
        <item h="1" x="780"/>
        <item h="1" x="781"/>
        <item h="1" x="101"/>
        <item h="1" x="635"/>
        <item h="1" x="102"/>
        <item h="1" x="103"/>
        <item h="1" x="1322"/>
        <item h="1" x="1120"/>
        <item h="1" x="581"/>
        <item h="1" x="124"/>
        <item h="1" x="661"/>
        <item h="1" x="253"/>
        <item h="1" x="156"/>
        <item h="1" x="111"/>
        <item h="1" x="224"/>
        <item h="1" x="532"/>
        <item h="1" x="1593"/>
        <item h="1" x="237"/>
        <item h="1" x="248"/>
        <item h="1" x="57"/>
        <item h="1" x="1130"/>
        <item h="1" x="1348"/>
        <item h="1" x="258"/>
        <item h="1" x="618"/>
        <item h="1" x="729"/>
        <item h="1" x="1607"/>
        <item h="1" x="1303"/>
        <item h="1" x="1028"/>
        <item h="1" x="946"/>
        <item h="1" x="1153"/>
        <item h="1" x="251"/>
        <item h="1" x="1510"/>
        <item h="1" x="1512"/>
        <item h="1" x="1511"/>
        <item h="1" x="1515"/>
        <item h="1" x="1296"/>
        <item h="1" x="1508"/>
        <item h="1" x="1514"/>
        <item h="1" x="1513"/>
        <item h="1" x="1295"/>
        <item h="1" x="1509"/>
        <item h="1" x="807"/>
        <item h="1" x="144"/>
        <item h="1" x="882"/>
        <item h="1" x="941"/>
        <item h="1" x="1095"/>
        <item x="1228"/>
        <item h="1" x="150"/>
        <item h="1" x="151"/>
        <item h="1" x="802"/>
      </items>
    </pivotField>
    <pivotField compact="0" outline="0" showAll="0"/>
    <pivotField axis="axisPage" compact="0" outline="0" multipleItemSelectionAllowed="1" showAll="0">
      <items count="7">
        <item x="5"/>
        <item h="1" x="4"/>
        <item h="1" x="2"/>
        <item h="1" x="0"/>
        <item h="1" x="3"/>
        <item x="1"/>
        <item t="default"/>
      </items>
    </pivotField>
    <pivotField compact="0" outline="0" showAll="0"/>
    <pivotField compact="0" outline="0" showAll="0"/>
  </pivotFields>
  <rowFields count="2">
    <field x="5"/>
    <field x="7"/>
  </rowFields>
  <rowItems count="53">
    <i>
      <x v="350"/>
      <x v="1024"/>
    </i>
    <i>
      <x v="351"/>
      <x v="1025"/>
    </i>
    <i>
      <x v="353"/>
      <x v="1027"/>
    </i>
    <i>
      <x v="354"/>
      <x v="1041"/>
    </i>
    <i>
      <x v="355"/>
      <x v="1030"/>
    </i>
    <i>
      <x v="356"/>
      <x v="1029"/>
    </i>
    <i>
      <x v="358"/>
      <x v="1028"/>
    </i>
    <i>
      <x v="435"/>
      <x v="1353"/>
    </i>
    <i>
      <x v="492"/>
      <x v="1034"/>
    </i>
    <i>
      <x v="517"/>
      <x v="1039"/>
    </i>
    <i>
      <x v="524"/>
      <x v="1040"/>
    </i>
    <i>
      <x v="548"/>
      <x v="1056"/>
    </i>
    <i>
      <x v="593"/>
      <x v="1060"/>
    </i>
    <i>
      <x v="601"/>
      <x v="1059"/>
    </i>
    <i>
      <x v="686"/>
      <x v="1047"/>
    </i>
    <i>
      <x v="725"/>
      <x v="1046"/>
    </i>
    <i>
      <x v="733"/>
      <x v="1044"/>
    </i>
    <i>
      <x v="742"/>
      <x v="1043"/>
    </i>
    <i>
      <x v="772"/>
      <x v="1263"/>
    </i>
    <i>
      <x v="783"/>
      <x v="1052"/>
    </i>
    <i>
      <x v="793"/>
      <x v="1036"/>
    </i>
    <i>
      <x v="814"/>
      <x v="1057"/>
    </i>
    <i>
      <x v="821"/>
      <x v="1266"/>
    </i>
    <i>
      <x v="829"/>
      <x v="1272"/>
    </i>
    <i>
      <x v="1062"/>
      <x v="1058"/>
    </i>
    <i>
      <x v="1113"/>
      <x v="815"/>
    </i>
    <i>
      <x v="1144"/>
      <x v="1053"/>
    </i>
    <i>
      <x v="1184"/>
      <x v="614"/>
    </i>
    <i>
      <x v="1189"/>
      <x v="526"/>
    </i>
    <i>
      <x v="1199"/>
      <x v="629"/>
    </i>
    <i>
      <x v="1206"/>
      <x v="112"/>
    </i>
    <i>
      <x v="1211"/>
      <x v="566"/>
    </i>
    <i>
      <x v="1231"/>
      <x v="424"/>
    </i>
    <i>
      <x v="1237"/>
      <x v="993"/>
    </i>
    <i>
      <x v="1244"/>
      <x v="717"/>
    </i>
    <i>
      <x v="1249"/>
      <x v="96"/>
    </i>
    <i>
      <x v="1289"/>
      <x v="89"/>
    </i>
    <i>
      <x v="1291"/>
      <x v="659"/>
    </i>
    <i>
      <x v="1292"/>
      <x v="1498"/>
    </i>
    <i>
      <x v="1319"/>
      <x v="1033"/>
    </i>
    <i>
      <x v="1407"/>
      <x v="1031"/>
    </i>
    <i>
      <x v="1422"/>
      <x v="1050"/>
    </i>
    <i>
      <x v="1435"/>
      <x v="1049"/>
    </i>
    <i>
      <x v="1438"/>
      <x v="1032"/>
    </i>
    <i>
      <x v="1465"/>
      <x v="1038"/>
    </i>
    <i>
      <x v="1472"/>
      <x v="1037"/>
    </i>
    <i>
      <x v="1492"/>
      <x v="1035"/>
    </i>
    <i>
      <x v="1498"/>
      <x v="1045"/>
    </i>
    <i>
      <x v="1504"/>
      <x v="1055"/>
    </i>
    <i>
      <x v="1510"/>
      <x v="1054"/>
    </i>
    <i>
      <x v="1520"/>
      <x v="1048"/>
    </i>
    <i>
      <x v="1641"/>
      <x v="1620"/>
    </i>
    <i t="grand">
      <x/>
    </i>
  </rowItems>
  <colItems count="1">
    <i/>
  </colItems>
  <pageFields count="5">
    <pageField fld="0" hier="-1"/>
    <pageField fld="6" hier="-1"/>
    <pageField fld="9" hier="-1"/>
    <pageField fld="3" hier="-1"/>
    <pageField fld="4"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C1207-7B27-4564-88D8-16221F53F424}"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1477" firstHeaderRow="2" firstDataRow="2" firstDataCol="5" rowPageCount="2" colPageCount="1"/>
  <pivotFields count="12">
    <pivotField axis="axisRow" compact="0" outline="0" showAll="0">
      <items count="8">
        <item x="3"/>
        <item x="4"/>
        <item x="1"/>
        <item m="1" x="6"/>
        <item x="5"/>
        <item x="2"/>
        <item x="0"/>
        <item t="default"/>
      </items>
    </pivotField>
    <pivotField compact="0" outline="0" showAll="0"/>
    <pivotField dataField="1" compact="0" outline="0" showAll="0"/>
    <pivotField axis="axisRow" compact="0" outline="0" showAll="0" defaultSubtotal="0">
      <items count="60">
        <item x="0"/>
        <item x="29"/>
        <item x="8"/>
        <item x="12"/>
        <item x="9"/>
        <item x="10"/>
        <item x="11"/>
        <item x="13"/>
        <item x="14"/>
        <item x="15"/>
        <item x="1"/>
        <item x="6"/>
        <item x="7"/>
        <item x="2"/>
        <item x="4"/>
        <item x="3"/>
        <item x="5"/>
        <item x="16"/>
        <item x="17"/>
        <item x="18"/>
        <item x="19"/>
        <item x="20"/>
        <item x="21"/>
        <item x="40"/>
        <item x="37"/>
        <item x="38"/>
        <item x="39"/>
        <item x="26"/>
        <item x="30"/>
        <item x="32"/>
        <item x="27"/>
        <item x="36"/>
        <item x="31"/>
        <item x="28"/>
        <item x="35"/>
        <item x="34"/>
        <item x="33"/>
        <item x="24"/>
        <item x="22"/>
        <item x="23"/>
        <item x="25"/>
        <item x="54"/>
        <item x="55"/>
        <item x="41"/>
        <item x="43"/>
        <item x="59"/>
        <item x="52"/>
        <item x="53"/>
        <item x="47"/>
        <item x="48"/>
        <item x="49"/>
        <item x="50"/>
        <item x="51"/>
        <item x="42"/>
        <item x="58"/>
        <item x="45"/>
        <item x="57"/>
        <item x="44"/>
        <item x="46"/>
        <item x="56"/>
      </items>
    </pivotField>
    <pivotField axis="axisRow" compact="0" outline="0" showAll="0" defaultSubtotal="0">
      <items count="218">
        <item m="1" x="217"/>
        <item x="2"/>
        <item x="3"/>
        <item x="4"/>
        <item x="5"/>
        <item x="15"/>
        <item x="36"/>
        <item x="14"/>
        <item x="147"/>
        <item x="39"/>
        <item x="210"/>
        <item x="41"/>
        <item x="42"/>
        <item x="43"/>
        <item x="1"/>
        <item x="205"/>
        <item x="207"/>
        <item x="209"/>
        <item x="208"/>
        <item x="206"/>
        <item x="92"/>
        <item x="60"/>
        <item x="61"/>
        <item x="190"/>
        <item x="81"/>
        <item x="185"/>
        <item x="186"/>
        <item x="75"/>
        <item x="79"/>
        <item x="76"/>
        <item x="78"/>
        <item x="77"/>
        <item x="214"/>
        <item x="211"/>
        <item x="212"/>
        <item x="213"/>
        <item x="215"/>
        <item x="80"/>
        <item x="71"/>
        <item x="72"/>
        <item x="73"/>
        <item x="74"/>
        <item x="132"/>
        <item x="133"/>
        <item x="134"/>
        <item x="136"/>
        <item x="137"/>
        <item x="135"/>
        <item x="198"/>
        <item x="199"/>
        <item x="11"/>
        <item x="196"/>
        <item x="197"/>
        <item x="181"/>
        <item x="178"/>
        <item x="167"/>
        <item x="176"/>
        <item x="174"/>
        <item x="173"/>
        <item x="168"/>
        <item x="172"/>
        <item x="169"/>
        <item x="171"/>
        <item x="170"/>
        <item x="175"/>
        <item x="177"/>
        <item x="180"/>
        <item x="34"/>
        <item x="10"/>
        <item x="37"/>
        <item x="12"/>
        <item x="44"/>
        <item x="32"/>
        <item x="138"/>
        <item x="139"/>
        <item x="54"/>
        <item x="59"/>
        <item x="57"/>
        <item x="56"/>
        <item x="55"/>
        <item x="58"/>
        <item x="16"/>
        <item x="19"/>
        <item x="31"/>
        <item x="30"/>
        <item x="29"/>
        <item x="27"/>
        <item x="26"/>
        <item x="28"/>
        <item x="20"/>
        <item x="25"/>
        <item x="22"/>
        <item x="23"/>
        <item x="24"/>
        <item x="21"/>
        <item x="45"/>
        <item x="51"/>
        <item x="53"/>
        <item x="52"/>
        <item x="50"/>
        <item x="47"/>
        <item x="48"/>
        <item x="46"/>
        <item x="49"/>
        <item x="17"/>
        <item x="18"/>
        <item x="90"/>
        <item x="140"/>
        <item x="33"/>
        <item x="216"/>
        <item x="35"/>
        <item x="38"/>
        <item x="91"/>
        <item x="84"/>
        <item x="88"/>
        <item x="89"/>
        <item x="87"/>
        <item x="86"/>
        <item x="85"/>
        <item x="166"/>
        <item x="163"/>
        <item x="164"/>
        <item x="165"/>
        <item x="159"/>
        <item x="161"/>
        <item x="162"/>
        <item x="160"/>
        <item x="40"/>
        <item x="122"/>
        <item x="124"/>
        <item x="125"/>
        <item x="126"/>
        <item x="127"/>
        <item x="128"/>
        <item x="123"/>
        <item x="121"/>
        <item x="129"/>
        <item x="93"/>
        <item x="114"/>
        <item x="112"/>
        <item x="115"/>
        <item x="113"/>
        <item x="120"/>
        <item x="94"/>
        <item x="105"/>
        <item x="106"/>
        <item x="102"/>
        <item x="103"/>
        <item x="104"/>
        <item x="95"/>
        <item x="96"/>
        <item x="97"/>
        <item x="98"/>
        <item x="99"/>
        <item x="100"/>
        <item x="101"/>
        <item x="107"/>
        <item x="108"/>
        <item x="109"/>
        <item x="110"/>
        <item x="111"/>
        <item x="116"/>
        <item x="117"/>
        <item x="118"/>
        <item x="119"/>
        <item x="191"/>
        <item x="158"/>
        <item x="143"/>
        <item x="68"/>
        <item x="131"/>
        <item x="150"/>
        <item x="144"/>
        <item x="141"/>
        <item x="142"/>
        <item x="182"/>
        <item x="183"/>
        <item x="184"/>
        <item x="82"/>
        <item x="62"/>
        <item x="63"/>
        <item x="192"/>
        <item x="66"/>
        <item x="188"/>
        <item x="64"/>
        <item x="65"/>
        <item x="203"/>
        <item x="70"/>
        <item x="148"/>
        <item x="204"/>
        <item x="145"/>
        <item x="194"/>
        <item x="195"/>
        <item x="201"/>
        <item x="151"/>
        <item x="200"/>
        <item x="146"/>
        <item x="193"/>
        <item x="187"/>
        <item x="202"/>
        <item x="157"/>
        <item x="152"/>
        <item x="179"/>
        <item x="83"/>
        <item x="67"/>
        <item x="153"/>
        <item x="155"/>
        <item x="156"/>
        <item x="154"/>
        <item x="8"/>
        <item x="149"/>
        <item x="9"/>
        <item x="69"/>
        <item x="130"/>
        <item x="6"/>
        <item x="7"/>
        <item x="189"/>
        <item x="0"/>
        <item x="13"/>
      </items>
    </pivotField>
    <pivotField axis="axisRow" compact="0" outline="0" showAll="0" defaultSubtotal="0">
      <items count="1645">
        <item x="245"/>
        <item x="75"/>
        <item x="1610"/>
        <item x="1497"/>
        <item x="964"/>
        <item x="1376"/>
        <item x="1177"/>
        <item x="152"/>
        <item x="182"/>
        <item x="1255"/>
        <item x="589"/>
        <item x="178"/>
        <item x="326"/>
        <item x="1272"/>
        <item x="1089"/>
        <item x="686"/>
        <item x="473"/>
        <item x="1388"/>
        <item x="1383"/>
        <item x="288"/>
        <item x="515"/>
        <item x="1496"/>
        <item x="268"/>
        <item x="278"/>
        <item x="270"/>
        <item x="1074"/>
        <item x="1078"/>
        <item x="1227"/>
        <item x="252"/>
        <item x="619"/>
        <item x="646"/>
        <item x="108"/>
        <item x="356"/>
        <item x="615"/>
        <item x="1498"/>
        <item x="323"/>
        <item x="282"/>
        <item x="265"/>
        <item x="1389"/>
        <item x="264"/>
        <item x="263"/>
        <item x="712"/>
        <item x="325"/>
        <item x="737"/>
        <item x="1332"/>
        <item x="355"/>
        <item x="1294"/>
        <item x="1293"/>
        <item x="1274"/>
        <item x="1574"/>
        <item x="960"/>
        <item x="704"/>
        <item x="393"/>
        <item x="954"/>
        <item x="945"/>
        <item x="826"/>
        <item x="769"/>
        <item x="856"/>
        <item x="699"/>
        <item x="1323"/>
        <item x="949"/>
        <item x="1144"/>
        <item x="1123"/>
        <item x="687"/>
        <item x="688"/>
        <item x="765"/>
        <item x="682"/>
        <item x="850"/>
        <item x="681"/>
        <item x="1348"/>
        <item x="1034"/>
        <item x="1219"/>
        <item x="1580"/>
        <item x="1216"/>
        <item x="1594"/>
        <item x="1284"/>
        <item x="1141"/>
        <item x="1164"/>
        <item x="1276"/>
        <item x="684"/>
        <item x="680"/>
        <item x="867"/>
        <item x="844"/>
        <item x="883"/>
        <item x="937"/>
        <item x="383"/>
        <item x="233"/>
        <item x="1124"/>
        <item x="1122"/>
        <item x="137"/>
        <item x="1321"/>
        <item x="1365"/>
        <item x="228"/>
        <item x="1137"/>
        <item x="1032"/>
        <item x="702"/>
        <item x="980"/>
        <item x="1619"/>
        <item x="1363"/>
        <item x="679"/>
        <item x="1539"/>
        <item x="1538"/>
        <item x="397"/>
        <item x="398"/>
        <item x="705"/>
        <item x="260"/>
        <item x="1037"/>
        <item x="955"/>
        <item x="230"/>
        <item x="1091"/>
        <item x="1092"/>
        <item x="60"/>
        <item x="51"/>
        <item x="647"/>
        <item x="78"/>
        <item x="149"/>
        <item x="1080"/>
        <item x="1134"/>
        <item x="1136"/>
        <item x="385"/>
        <item x="1026"/>
        <item x="59"/>
        <item x="58"/>
        <item x="671"/>
        <item x="293"/>
        <item x="235"/>
        <item x="766"/>
        <item x="474"/>
        <item x="691"/>
        <item x="738"/>
        <item x="1500"/>
        <item x="77"/>
        <item x="627"/>
        <item x="1285"/>
        <item x="267"/>
        <item x="966"/>
        <item x="147"/>
        <item x="297"/>
        <item x="62"/>
        <item x="475"/>
        <item x="54"/>
        <item x="53"/>
        <item x="624"/>
        <item x="1616"/>
        <item x="685"/>
        <item x="1138"/>
        <item x="111"/>
        <item x="1131"/>
        <item x="234"/>
        <item x="1139"/>
        <item x="678"/>
        <item x="332"/>
        <item x="1161"/>
        <item x="832"/>
        <item x="259"/>
        <item x="171"/>
        <item x="1369"/>
        <item x="1366"/>
        <item x="296"/>
        <item x="1352"/>
        <item x="1385"/>
        <item x="112"/>
        <item x="1033"/>
        <item x="1090"/>
        <item x="1583"/>
        <item x="143"/>
        <item x="141"/>
        <item x="130"/>
        <item x="291"/>
        <item x="142"/>
        <item x="226"/>
        <item x="1641"/>
        <item x="1025"/>
        <item x="227"/>
        <item x="1322"/>
        <item x="328"/>
        <item x="1300"/>
        <item x="327"/>
        <item x="357"/>
        <item x="555"/>
        <item x="550"/>
        <item x="923"/>
        <item x="869"/>
        <item x="831"/>
        <item x="917"/>
        <item x="912"/>
        <item x="871"/>
        <item x="256"/>
        <item x="1143"/>
        <item x="764"/>
        <item x="1129"/>
        <item x="669"/>
        <item x="1375"/>
        <item x="232"/>
        <item x="673"/>
        <item x="229"/>
        <item x="389"/>
        <item x="670"/>
        <item x="675"/>
        <item x="529"/>
        <item x="76"/>
        <item x="739"/>
        <item x="1265"/>
        <item x="148"/>
        <item x="626"/>
        <item x="1135"/>
        <item x="146"/>
        <item x="910"/>
        <item x="948"/>
        <item x="1231"/>
        <item x="225"/>
        <item x="255"/>
        <item x="1320"/>
        <item x="231"/>
        <item x="1393"/>
        <item x="56"/>
        <item x="1163"/>
        <item x="827"/>
        <item x="1160"/>
        <item x="853"/>
        <item x="881"/>
        <item x="892"/>
        <item x="902"/>
        <item x="861"/>
        <item x="52"/>
        <item x="645"/>
        <item x="843"/>
        <item x="939"/>
        <item x="952"/>
        <item x="849"/>
        <item x="865"/>
        <item x="840"/>
        <item x="828"/>
        <item x="922"/>
        <item x="921"/>
        <item x="920"/>
        <item x="876"/>
        <item x="156"/>
        <item x="224"/>
        <item x="672"/>
        <item x="254"/>
        <item x="1632"/>
        <item x="1319"/>
        <item x="435"/>
        <item x="1355"/>
        <item x="253"/>
        <item x="628"/>
        <item x="236"/>
        <item x="94"/>
        <item x="440"/>
        <item x="107"/>
        <item x="1232"/>
        <item x="532"/>
        <item x="388"/>
        <item x="1597"/>
        <item x="1305"/>
        <item x="623"/>
        <item x="1130"/>
        <item x="1618"/>
        <item x="172"/>
        <item x="630"/>
        <item x="1062"/>
        <item x="1063"/>
        <item x="676"/>
        <item x="677"/>
        <item x="248"/>
        <item x="287"/>
        <item x="875"/>
        <item x="1615"/>
        <item x="476"/>
        <item x="1105"/>
        <item x="1364"/>
        <item x="767"/>
        <item x="860"/>
        <item x="360"/>
        <item x="1132"/>
        <item x="690"/>
        <item x="689"/>
        <item x="674"/>
        <item x="68"/>
        <item x="1316"/>
        <item x="110"/>
        <item x="67"/>
        <item x="55"/>
        <item x="402"/>
        <item x="863"/>
        <item x="891"/>
        <item x="868"/>
        <item x="864"/>
        <item x="904"/>
        <item x="1299"/>
        <item x="1166"/>
        <item x="128"/>
        <item x="1140"/>
        <item x="1180"/>
        <item x="1390"/>
        <item x="951"/>
        <item x="823"/>
        <item x="893"/>
        <item x="870"/>
        <item x="896"/>
        <item x="950"/>
        <item x="116"/>
        <item x="1228"/>
        <item x="1035"/>
        <item x="837"/>
        <item x="938"/>
        <item x="838"/>
        <item x="1133"/>
        <item x="1384"/>
        <item x="117"/>
        <item x="123"/>
        <item x="911"/>
        <item x="710"/>
        <item x="257"/>
        <item x="1362"/>
        <item x="582"/>
        <item x="890"/>
        <item x="1230"/>
        <item x="1093"/>
        <item x="1036"/>
        <item x="683"/>
        <item x="711"/>
        <item x="953"/>
        <item x="1318"/>
        <item x="1317"/>
        <item x="620"/>
        <item x="1225"/>
        <item x="621"/>
        <item x="1088"/>
        <item x="538"/>
        <item x="237"/>
        <item x="629"/>
        <item x="1125"/>
        <item x="249"/>
        <item x="614"/>
        <item x="57"/>
        <item x="768"/>
        <item x="1142"/>
        <item x="1082"/>
        <item x="811"/>
        <item x="516"/>
        <item x="384"/>
        <item x="79"/>
        <item x="812"/>
        <item x="129"/>
        <item x="1262"/>
        <item x="1612"/>
        <item x="1465"/>
        <item x="157"/>
        <item x="158"/>
        <item x="1165"/>
        <item x="1181"/>
        <item x="1182"/>
        <item x="858"/>
        <item x="272"/>
        <item x="273"/>
        <item x="283"/>
        <item x="284"/>
        <item x="1410"/>
        <item x="1564"/>
        <item x="1566"/>
        <item x="1565"/>
        <item x="382"/>
        <item x="1237"/>
        <item x="1103"/>
        <item x="437"/>
        <item x="513"/>
        <item x="1238"/>
        <item x="443"/>
        <item x="444"/>
        <item x="1104"/>
        <item x="1239"/>
        <item x="1042"/>
        <item x="274"/>
        <item x="816"/>
        <item x="240"/>
        <item x="241"/>
        <item x="1639"/>
        <item x="1175"/>
        <item x="1176"/>
        <item x="1174"/>
        <item x="1339"/>
        <item x="616"/>
        <item x="617"/>
        <item x="275"/>
        <item x="1638"/>
        <item x="153"/>
        <item x="1611"/>
        <item x="1361"/>
        <item x="1127"/>
        <item x="1128"/>
        <item x="1126"/>
        <item x="1047"/>
        <item x="1189"/>
        <item x="97"/>
        <item x="144"/>
        <item x="321"/>
        <item x="145"/>
        <item x="625"/>
        <item x="1617"/>
        <item x="852"/>
        <item x="851"/>
        <item x="1234"/>
        <item x="109"/>
        <item x="358"/>
        <item x="180"/>
        <item x="179"/>
        <item x="590"/>
        <item x="181"/>
        <item x="1499"/>
        <item x="968"/>
        <item x="967"/>
        <item x="648"/>
        <item x="514"/>
        <item x="907"/>
        <item x="900"/>
        <item x="901"/>
        <item x="1273"/>
        <item x="936"/>
        <item x="113"/>
        <item x="1494"/>
        <item x="1102"/>
        <item x="1563"/>
        <item x="1236"/>
        <item x="969"/>
        <item x="1340"/>
        <item x="445"/>
        <item x="1209"/>
        <item x="528"/>
        <item x="186"/>
        <item x="618"/>
        <item x="266"/>
        <item x="0"/>
        <item x="1184"/>
        <item x="1185"/>
        <item x="1186"/>
        <item x="1187"/>
        <item x="1188"/>
        <item x="395"/>
        <item x="396"/>
        <item x="400"/>
        <item x="401"/>
        <item x="399"/>
        <item x="405"/>
        <item x="406"/>
        <item x="407"/>
        <item x="408"/>
        <item x="409"/>
        <item x="410"/>
        <item x="411"/>
        <item x="412"/>
        <item x="413"/>
        <item x="403"/>
        <item x="404"/>
        <item x="414"/>
        <item x="415"/>
        <item x="416"/>
        <item x="417"/>
        <item x="418"/>
        <item x="419"/>
        <item x="420"/>
        <item x="422"/>
        <item x="421"/>
        <item x="489"/>
        <item x="490"/>
        <item x="496"/>
        <item x="497"/>
        <item x="498"/>
        <item x="499"/>
        <item x="500"/>
        <item x="501"/>
        <item x="502"/>
        <item x="503"/>
        <item x="491"/>
        <item x="492"/>
        <item x="493"/>
        <item x="494"/>
        <item x="495"/>
        <item x="511"/>
        <item x="512"/>
        <item x="504"/>
        <item x="505"/>
        <item x="506"/>
        <item x="507"/>
        <item x="508"/>
        <item x="509"/>
        <item x="510"/>
        <item x="423"/>
        <item x="424"/>
        <item x="425"/>
        <item x="426"/>
        <item x="427"/>
        <item x="428"/>
        <item x="429"/>
        <item x="430"/>
        <item x="431"/>
        <item x="432"/>
        <item x="433"/>
        <item x="434"/>
        <item x="446"/>
        <item x="450"/>
        <item x="451"/>
        <item x="452"/>
        <item x="453"/>
        <item x="454"/>
        <item x="455"/>
        <item x="456"/>
        <item x="457"/>
        <item x="458"/>
        <item x="459"/>
        <item x="461"/>
        <item x="462"/>
        <item x="463"/>
        <item x="466"/>
        <item x="469"/>
        <item x="470"/>
        <item x="471"/>
        <item x="477"/>
        <item x="478"/>
        <item x="479"/>
        <item x="472"/>
        <item x="447"/>
        <item x="448"/>
        <item x="480"/>
        <item x="449"/>
        <item x="481"/>
        <item x="460"/>
        <item x="464"/>
        <item x="468"/>
        <item x="467"/>
        <item x="465"/>
        <item x="482"/>
        <item x="483"/>
        <item x="484"/>
        <item x="485"/>
        <item x="486"/>
        <item x="487"/>
        <item x="488"/>
        <item x="517"/>
        <item x="518"/>
        <item x="521"/>
        <item x="522"/>
        <item x="523"/>
        <item x="524"/>
        <item x="525"/>
        <item x="519"/>
        <item x="520"/>
        <item x="526"/>
        <item x="527"/>
        <item x="533"/>
        <item x="534"/>
        <item x="535"/>
        <item x="545"/>
        <item x="536"/>
        <item x="537"/>
        <item x="546"/>
        <item x="547"/>
        <item x="548"/>
        <item x="622"/>
        <item x="551"/>
        <item x="552"/>
        <item x="556"/>
        <item x="557"/>
        <item x="558"/>
        <item x="559"/>
        <item x="560"/>
        <item x="561"/>
        <item x="562"/>
        <item x="563"/>
        <item x="553"/>
        <item x="564"/>
        <item x="597"/>
        <item x="565"/>
        <item x="566"/>
        <item x="567"/>
        <item x="568"/>
        <item x="569"/>
        <item x="570"/>
        <item x="571"/>
        <item x="572"/>
        <item x="554"/>
        <item x="573"/>
        <item x="574"/>
        <item x="575"/>
        <item x="576"/>
        <item x="577"/>
        <item x="578"/>
        <item x="579"/>
        <item x="580"/>
        <item x="581"/>
        <item x="549"/>
        <item x="583"/>
        <item x="584"/>
        <item x="594"/>
        <item x="595"/>
        <item x="596"/>
        <item x="598"/>
        <item x="599"/>
        <item x="600"/>
        <item x="602"/>
        <item x="601"/>
        <item x="603"/>
        <item x="604"/>
        <item x="605"/>
        <item x="606"/>
        <item x="607"/>
        <item x="608"/>
        <item x="609"/>
        <item x="610"/>
        <item x="611"/>
        <item x="612"/>
        <item x="613"/>
        <item x="1"/>
        <item x="2"/>
        <item x="298"/>
        <item x="3"/>
        <item x="4"/>
        <item x="334"/>
        <item x="335"/>
        <item x="336"/>
        <item x="337"/>
        <item x="299"/>
        <item x="300"/>
        <item x="333"/>
        <item x="242"/>
        <item x="243"/>
        <item x="5"/>
        <item x="6"/>
        <item x="289"/>
        <item x="290"/>
        <item x="394"/>
        <item x="294"/>
        <item x="292"/>
        <item x="295"/>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61"/>
        <item x="131"/>
        <item x="140"/>
        <item x="132"/>
        <item x="133"/>
        <item x="134"/>
        <item x="135"/>
        <item x="136"/>
        <item x="139"/>
        <item x="138"/>
        <item x="154"/>
        <item x="155"/>
        <item x="188"/>
        <item x="189"/>
        <item x="205"/>
        <item x="199"/>
        <item x="201"/>
        <item x="203"/>
        <item x="193"/>
        <item x="191"/>
        <item x="190"/>
        <item x="194"/>
        <item x="195"/>
        <item x="196"/>
        <item x="197"/>
        <item x="198"/>
        <item x="200"/>
        <item x="204"/>
        <item x="202"/>
        <item x="206"/>
        <item x="221"/>
        <item x="219"/>
        <item x="217"/>
        <item x="213"/>
        <item x="207"/>
        <item x="215"/>
        <item x="208"/>
        <item x="209"/>
        <item x="210"/>
        <item x="211"/>
        <item x="212"/>
        <item x="214"/>
        <item x="216"/>
        <item x="218"/>
        <item x="220"/>
        <item x="222"/>
        <item x="192"/>
        <item x="159"/>
        <item x="160"/>
        <item x="161"/>
        <item x="162"/>
        <item x="163"/>
        <item x="164"/>
        <item x="165"/>
        <item x="166"/>
        <item x="167"/>
        <item x="168"/>
        <item x="169"/>
        <item x="170"/>
        <item x="173"/>
        <item x="174"/>
        <item x="175"/>
        <item x="176"/>
        <item x="177"/>
        <item x="187"/>
        <item x="301"/>
        <item x="302"/>
        <item x="303"/>
        <item x="304"/>
        <item x="305"/>
        <item x="306"/>
        <item x="307"/>
        <item x="308"/>
        <item x="309"/>
        <item x="310"/>
        <item x="311"/>
        <item x="312"/>
        <item x="313"/>
        <item x="314"/>
        <item x="315"/>
        <item x="316"/>
        <item x="317"/>
        <item x="318"/>
        <item x="319"/>
        <item x="320"/>
        <item x="322"/>
        <item x="324"/>
        <item x="338"/>
        <item x="339"/>
        <item x="342"/>
        <item x="344"/>
        <item x="340"/>
        <item x="341"/>
        <item x="359"/>
        <item x="361"/>
        <item x="345"/>
        <item x="346"/>
        <item x="347"/>
        <item x="348"/>
        <item x="349"/>
        <item x="350"/>
        <item x="351"/>
        <item x="352"/>
        <item x="353"/>
        <item x="354"/>
        <item x="366"/>
        <item x="367"/>
        <item x="370"/>
        <item x="343"/>
        <item x="372"/>
        <item x="373"/>
        <item x="374"/>
        <item x="368"/>
        <item x="369"/>
        <item x="375"/>
        <item x="371"/>
        <item x="390"/>
        <item x="391"/>
        <item x="63"/>
        <item x="66"/>
        <item x="69"/>
        <item x="70"/>
        <item x="71"/>
        <item x="65"/>
        <item x="64"/>
        <item x="91"/>
        <item x="99"/>
        <item x="100"/>
        <item x="86"/>
        <item x="87"/>
        <item x="88"/>
        <item x="89"/>
        <item x="90"/>
        <item x="93"/>
        <item x="92"/>
        <item x="98"/>
        <item x="101"/>
        <item x="102"/>
        <item x="103"/>
        <item x="104"/>
        <item x="105"/>
        <item x="106"/>
        <item x="114"/>
        <item x="115"/>
        <item x="118"/>
        <item x="119"/>
        <item x="120"/>
        <item x="121"/>
        <item x="127"/>
        <item x="126"/>
        <item x="125"/>
        <item x="238"/>
        <item x="246"/>
        <item x="244"/>
        <item x="247"/>
        <item x="250"/>
        <item x="258"/>
        <item x="251"/>
        <item x="631"/>
        <item x="633"/>
        <item x="634"/>
        <item x="635"/>
        <item x="636"/>
        <item x="640"/>
        <item x="637"/>
        <item x="638"/>
        <item x="639"/>
        <item x="641"/>
        <item x="642"/>
        <item x="643"/>
        <item x="644"/>
        <item x="632"/>
        <item x="649"/>
        <item x="782"/>
        <item x="650"/>
        <item x="651"/>
        <item x="652"/>
        <item x="653"/>
        <item x="654"/>
        <item x="655"/>
        <item x="783"/>
        <item x="784"/>
        <item x="785"/>
        <item x="786"/>
        <item x="787"/>
        <item x="788"/>
        <item x="789"/>
        <item x="790"/>
        <item x="791"/>
        <item x="814"/>
        <item x="657"/>
        <item x="658"/>
        <item x="659"/>
        <item x="660"/>
        <item x="792"/>
        <item x="793"/>
        <item x="815"/>
        <item x="794"/>
        <item x="795"/>
        <item x="796"/>
        <item x="656"/>
        <item x="797"/>
        <item x="798"/>
        <item x="799"/>
        <item x="781"/>
        <item x="800"/>
        <item x="801"/>
        <item x="740"/>
        <item x="741"/>
        <item x="802"/>
        <item x="803"/>
        <item x="804"/>
        <item x="805"/>
        <item x="806"/>
        <item x="807"/>
        <item x="813"/>
        <item x="808"/>
        <item x="809"/>
        <item x="810"/>
        <item x="661"/>
        <item x="713"/>
        <item x="716"/>
        <item x="717"/>
        <item x="718"/>
        <item x="719"/>
        <item x="720"/>
        <item x="721"/>
        <item x="722"/>
        <item x="723"/>
        <item x="724"/>
        <item x="662"/>
        <item x="725"/>
        <item x="726"/>
        <item x="727"/>
        <item x="728"/>
        <item x="730"/>
        <item x="731"/>
        <item x="692"/>
        <item x="732"/>
        <item x="733"/>
        <item x="735"/>
        <item x="734"/>
        <item x="668"/>
        <item x="698"/>
        <item x="693"/>
        <item x="694"/>
        <item x="695"/>
        <item x="696"/>
        <item x="700"/>
        <item x="697"/>
        <item x="665"/>
        <item x="667"/>
        <item x="664"/>
        <item x="663"/>
        <item x="666"/>
        <item x="729"/>
        <item x="714"/>
        <item x="715"/>
        <item x="701"/>
        <item x="706"/>
        <item x="707"/>
        <item x="708"/>
        <item x="709"/>
        <item x="736"/>
        <item x="742"/>
        <item x="746"/>
        <item x="747"/>
        <item x="748"/>
        <item x="749"/>
        <item x="750"/>
        <item x="751"/>
        <item x="752"/>
        <item x="753"/>
        <item x="754"/>
        <item x="755"/>
        <item x="756"/>
        <item x="757"/>
        <item x="758"/>
        <item x="759"/>
        <item x="760"/>
        <item x="761"/>
        <item x="762"/>
        <item x="763"/>
        <item x="743"/>
        <item x="744"/>
        <item x="745"/>
        <item x="771"/>
        <item x="770"/>
        <item x="773"/>
        <item x="772"/>
        <item x="775"/>
        <item x="776"/>
        <item x="774"/>
        <item x="777"/>
        <item x="778"/>
        <item x="779"/>
        <item x="780"/>
        <item x="817"/>
        <item x="818"/>
        <item x="819"/>
        <item x="820"/>
        <item x="821"/>
        <item x="822"/>
        <item x="824"/>
        <item x="825"/>
        <item x="829"/>
        <item x="830"/>
        <item x="833"/>
        <item x="834"/>
        <item x="894"/>
        <item x="835"/>
        <item x="836"/>
        <item x="841"/>
        <item x="842"/>
        <item x="839"/>
        <item x="872"/>
        <item x="873"/>
        <item x="874"/>
        <item x="845"/>
        <item x="846"/>
        <item x="897"/>
        <item x="848"/>
        <item x="847"/>
        <item x="862"/>
        <item x="857"/>
        <item x="866"/>
        <item x="877"/>
        <item x="884"/>
        <item x="885"/>
        <item x="886"/>
        <item x="887"/>
        <item x="905"/>
        <item x="888"/>
        <item x="882"/>
        <item x="878"/>
        <item x="879"/>
        <item x="880"/>
        <item x="889"/>
        <item x="895"/>
        <item x="898"/>
        <item x="909"/>
        <item x="914"/>
        <item x="906"/>
        <item x="916"/>
        <item x="919"/>
        <item x="924"/>
        <item x="927"/>
        <item x="908"/>
        <item x="859"/>
        <item x="854"/>
        <item x="855"/>
        <item x="913"/>
        <item x="915"/>
        <item x="918"/>
        <item x="899"/>
        <item x="903"/>
        <item x="932"/>
        <item x="934"/>
        <item x="935"/>
        <item x="942"/>
        <item x="941"/>
        <item x="943"/>
        <item x="944"/>
        <item x="946"/>
        <item x="947"/>
        <item x="957"/>
        <item x="933"/>
        <item x="959"/>
        <item x="940"/>
        <item x="956"/>
        <item x="958"/>
        <item x="928"/>
        <item x="929"/>
        <item x="930"/>
        <item x="931"/>
        <item x="961"/>
        <item x="963"/>
        <item x="962"/>
        <item x="965"/>
        <item x="970"/>
        <item x="971"/>
        <item x="972"/>
        <item x="925"/>
        <item x="926"/>
        <item x="1391"/>
        <item x="1392"/>
        <item x="973"/>
        <item x="974"/>
        <item x="983"/>
        <item x="1381"/>
        <item x="1386"/>
        <item x="1387"/>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333"/>
        <item x="1334"/>
        <item x="1372"/>
        <item x="1373"/>
        <item x="1374"/>
        <item x="1335"/>
        <item x="1336"/>
        <item x="1337"/>
        <item x="1338"/>
        <item x="1370"/>
        <item x="1341"/>
        <item x="1371"/>
        <item x="1378"/>
        <item x="1342"/>
        <item x="1343"/>
        <item x="1344"/>
        <item x="1345"/>
        <item x="1346"/>
        <item x="1347"/>
        <item x="1349"/>
        <item x="1350"/>
        <item x="1351"/>
        <item x="1353"/>
        <item x="1354"/>
        <item x="1356"/>
        <item x="1357"/>
        <item x="1358"/>
        <item x="1359"/>
        <item x="1360"/>
        <item x="1367"/>
        <item x="1368"/>
        <item x="1277"/>
        <item x="1308"/>
        <item x="1286"/>
        <item x="1288"/>
        <item x="1287"/>
        <item x="1290"/>
        <item x="1289"/>
        <item x="1297"/>
        <item x="1296"/>
        <item x="1291"/>
        <item x="1292"/>
        <item x="1295"/>
        <item x="1298"/>
        <item x="1278"/>
        <item x="1279"/>
        <item x="1280"/>
        <item x="1281"/>
        <item x="1282"/>
        <item x="1283"/>
        <item x="1304"/>
        <item x="1303"/>
        <item x="1307"/>
        <item x="1306"/>
        <item x="1302"/>
        <item x="1301"/>
        <item x="1309"/>
        <item x="1310"/>
        <item x="1311"/>
        <item x="1312"/>
        <item x="1313"/>
        <item x="1314"/>
        <item x="1315"/>
        <item x="1324"/>
        <item x="1325"/>
        <item x="1326"/>
        <item x="1327"/>
        <item x="1328"/>
        <item x="1329"/>
        <item x="1330"/>
        <item x="1331"/>
        <item x="1145"/>
        <item x="1146"/>
        <item x="1147"/>
        <item x="1148"/>
        <item x="1149"/>
        <item x="1193"/>
        <item x="1194"/>
        <item x="1195"/>
        <item x="1196"/>
        <item x="1197"/>
        <item x="1201"/>
        <item x="1240"/>
        <item x="1242"/>
        <item x="1243"/>
        <item x="1244"/>
        <item x="1150"/>
        <item x="1151"/>
        <item x="1152"/>
        <item x="1153"/>
        <item x="1154"/>
        <item x="1155"/>
        <item x="1167"/>
        <item x="1267"/>
        <item x="1268"/>
        <item x="1269"/>
        <item x="1270"/>
        <item x="1271"/>
        <item x="1202"/>
        <item x="1203"/>
        <item x="1213"/>
        <item x="1214"/>
        <item x="1215"/>
        <item x="1217"/>
        <item x="1218"/>
        <item x="1220"/>
        <item x="1221"/>
        <item x="1222"/>
        <item x="1223"/>
        <item x="1224"/>
        <item x="1204"/>
        <item x="1229"/>
        <item x="1233"/>
        <item x="1205"/>
        <item x="1206"/>
        <item x="1207"/>
        <item x="1212"/>
        <item x="1235"/>
        <item x="1168"/>
        <item x="1169"/>
        <item x="1170"/>
        <item x="1171"/>
        <item x="1172"/>
        <item x="1183"/>
        <item x="1256"/>
        <item x="1257"/>
        <item x="1258"/>
        <item x="1259"/>
        <item x="1260"/>
        <item x="1261"/>
        <item x="1266"/>
        <item x="1250"/>
        <item x="1254"/>
        <item x="1251"/>
        <item x="1252"/>
        <item x="1253"/>
        <item x="1245"/>
        <item x="1246"/>
        <item x="1247"/>
        <item x="1248"/>
        <item x="1249"/>
        <item x="1043"/>
        <item x="1044"/>
        <item x="1045"/>
        <item x="1046"/>
        <item x="1027"/>
        <item x="1028"/>
        <item x="1029"/>
        <item x="1030"/>
        <item x="1031"/>
        <item x="1038"/>
        <item x="1039"/>
        <item x="1040"/>
        <item x="1048"/>
        <item x="1049"/>
        <item x="1054"/>
        <item x="1083"/>
        <item x="1084"/>
        <item x="1085"/>
        <item x="1086"/>
        <item x="1087"/>
        <item x="1055"/>
        <item x="1056"/>
        <item x="1057"/>
        <item x="1058"/>
        <item x="1050"/>
        <item x="1059"/>
        <item x="1060"/>
        <item x="1061"/>
        <item x="1067"/>
        <item x="1068"/>
        <item x="1071"/>
        <item x="1073"/>
        <item x="1075"/>
        <item x="1077"/>
        <item x="1051"/>
        <item x="1069"/>
        <item x="1070"/>
        <item x="1072"/>
        <item x="1076"/>
        <item x="1079"/>
        <item x="1066"/>
        <item x="1052"/>
        <item x="1053"/>
        <item x="1107"/>
        <item x="1108"/>
        <item x="1109"/>
        <item x="1110"/>
        <item x="1111"/>
        <item x="1112"/>
        <item x="1094"/>
        <item x="1095"/>
        <item x="1096"/>
        <item x="1097"/>
        <item x="1098"/>
        <item x="1099"/>
        <item x="1100"/>
        <item x="1101"/>
        <item x="1106"/>
        <item x="1113"/>
        <item x="1114"/>
        <item x="1115"/>
        <item x="1116"/>
        <item x="1117"/>
        <item x="1118"/>
        <item x="1119"/>
        <item x="1120"/>
        <item x="1121"/>
        <item x="975"/>
        <item x="976"/>
        <item x="977"/>
        <item x="978"/>
        <item x="979"/>
        <item x="981"/>
        <item x="982"/>
        <item x="1545"/>
        <item x="1546"/>
        <item x="1547"/>
        <item x="1549"/>
        <item x="1550"/>
        <item x="1551"/>
        <item x="1394"/>
        <item x="1395"/>
        <item x="1396"/>
        <item x="1397"/>
        <item x="1552"/>
        <item x="1548"/>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625"/>
        <item x="1627"/>
        <item x="1628"/>
        <item x="1629"/>
        <item x="1630"/>
        <item x="1642"/>
        <item x="1643"/>
        <item x="1631"/>
        <item x="1626"/>
        <item x="1633"/>
        <item x="1634"/>
        <item x="1635"/>
        <item x="1636"/>
        <item x="1637"/>
        <item x="1528"/>
        <item x="1536"/>
        <item x="1537"/>
        <item x="1529"/>
        <item x="1531"/>
        <item x="1535"/>
        <item x="1532"/>
        <item x="1534"/>
        <item x="1533"/>
        <item x="1530"/>
        <item x="1544"/>
        <item x="1540"/>
        <item x="1541"/>
        <item x="1542"/>
        <item x="1543"/>
        <item x="1477"/>
        <item x="1478"/>
        <item x="1479"/>
        <item x="1480"/>
        <item x="1481"/>
        <item x="1482"/>
        <item x="1483"/>
        <item x="1484"/>
        <item x="1485"/>
        <item x="1486"/>
        <item x="1487"/>
        <item x="1488"/>
        <item x="1489"/>
        <item x="1490"/>
        <item x="1491"/>
        <item x="1495"/>
        <item x="1501"/>
        <item x="1502"/>
        <item x="1503"/>
        <item x="1504"/>
        <item x="1505"/>
        <item x="1506"/>
        <item x="1507"/>
        <item x="1512"/>
        <item x="1508"/>
        <item x="1509"/>
        <item x="1510"/>
        <item x="1511"/>
        <item x="1513"/>
        <item x="1514"/>
        <item x="1515"/>
        <item x="1516"/>
        <item x="1517"/>
        <item x="1518"/>
        <item x="1519"/>
        <item x="1520"/>
        <item x="1521"/>
        <item x="1522"/>
        <item x="1523"/>
        <item x="1524"/>
        <item x="1525"/>
        <item x="1526"/>
        <item x="1527"/>
        <item x="1398"/>
        <item x="1400"/>
        <item x="1403"/>
        <item x="1404"/>
        <item x="1405"/>
        <item x="1406"/>
        <item x="1407"/>
        <item x="1408"/>
        <item x="1409"/>
        <item x="1411"/>
        <item x="1412"/>
        <item x="1413"/>
        <item x="1401"/>
        <item x="1402"/>
        <item x="1399"/>
        <item x="1415"/>
        <item x="1416"/>
        <item x="1588"/>
        <item x="1590"/>
        <item x="1592"/>
        <item x="1591"/>
        <item x="1589"/>
        <item x="1593"/>
        <item x="1602"/>
        <item x="1603"/>
        <item x="1604"/>
        <item x="1605"/>
        <item x="1606"/>
        <item x="1607"/>
        <item x="1608"/>
        <item x="1613"/>
        <item x="1614"/>
        <item x="1609"/>
        <item x="1620"/>
        <item x="1622"/>
        <item x="1623"/>
        <item x="1624"/>
        <item x="1466"/>
        <item x="1468"/>
        <item x="1469"/>
        <item x="1470"/>
        <item x="1467"/>
        <item x="1575"/>
        <item x="1577"/>
        <item x="1581"/>
        <item x="1578"/>
        <item x="1579"/>
        <item x="1576"/>
        <item x="1582"/>
        <item x="1457"/>
        <item x="1459"/>
        <item x="1460"/>
        <item x="1461"/>
        <item x="1458"/>
        <item x="1462"/>
        <item x="1471"/>
        <item x="1473"/>
        <item x="1474"/>
        <item x="1475"/>
        <item x="1472"/>
        <item x="1476"/>
        <item x="1555"/>
        <item x="1557"/>
        <item x="1573"/>
        <item x="1558"/>
        <item x="1559"/>
        <item x="1560"/>
        <item x="1561"/>
        <item x="1562"/>
        <item x="1556"/>
        <item x="1041"/>
        <item x="378"/>
        <item x="379"/>
        <item x="381"/>
        <item x="1198"/>
        <item x="1157"/>
        <item x="376"/>
        <item x="1173"/>
        <item x="1156"/>
        <item x="185"/>
        <item x="365"/>
        <item x="363"/>
        <item x="439"/>
        <item x="442"/>
        <item x="1599"/>
        <item x="531"/>
        <item x="1191"/>
        <item x="1601"/>
        <item x="541"/>
        <item x="1570"/>
        <item x="543"/>
        <item x="1572"/>
        <item x="1587"/>
        <item x="1200"/>
        <item x="387"/>
        <item x="1585"/>
        <item x="331"/>
        <item x="1179"/>
        <item x="1568"/>
        <item x="1464"/>
        <item x="1596"/>
        <item x="1211"/>
        <item x="184"/>
        <item x="364"/>
        <item x="362"/>
        <item x="438"/>
        <item x="441"/>
        <item x="1598"/>
        <item x="530"/>
        <item x="1190"/>
        <item x="1600"/>
        <item x="540"/>
        <item x="1569"/>
        <item x="542"/>
        <item x="1571"/>
        <item x="1586"/>
        <item x="1199"/>
        <item x="386"/>
        <item x="1584"/>
        <item x="1178"/>
        <item x="1567"/>
        <item x="1463"/>
        <item x="1263"/>
        <item x="1210"/>
        <item x="1595"/>
        <item x="1158"/>
        <item x="1162"/>
        <item x="1275"/>
        <item x="1553"/>
        <item x="72"/>
        <item x="81"/>
        <item x="73"/>
        <item x="74"/>
        <item x="83"/>
        <item x="84"/>
        <item x="85"/>
        <item x="82"/>
        <item x="392"/>
        <item x="1379"/>
        <item x="1380"/>
        <item x="1382"/>
        <item x="262"/>
        <item x="1644"/>
        <item x="277"/>
        <item x="261"/>
        <item x="280"/>
        <item x="269"/>
        <item x="286"/>
        <item x="276"/>
        <item x="279"/>
        <item x="285"/>
        <item x="329"/>
        <item x="330"/>
        <item x="1264"/>
        <item x="1064"/>
        <item x="1621"/>
        <item x="1065"/>
        <item x="539"/>
        <item x="544"/>
        <item x="591"/>
        <item x="281"/>
        <item x="183"/>
        <item x="1159"/>
        <item x="1081"/>
        <item x="239"/>
        <item x="96"/>
        <item x="124"/>
        <item x="436"/>
        <item x="122"/>
        <item x="95"/>
        <item x="1208"/>
        <item x="1226"/>
        <item x="703"/>
        <item x="1554"/>
        <item x="1640"/>
        <item x="380"/>
        <item x="593"/>
        <item x="377"/>
        <item x="1493"/>
        <item x="1492"/>
        <item x="1192"/>
        <item x="587"/>
        <item x="585"/>
        <item x="588"/>
        <item x="586"/>
        <item x="271"/>
        <item x="592"/>
        <item x="80"/>
        <item x="1414"/>
        <item x="223"/>
        <item x="1241"/>
        <item x="150"/>
        <item x="151"/>
        <item x="1377"/>
      </items>
    </pivotField>
    <pivotField axis="axisPage" compact="0" outline="0" showAll="0" defaultSubtotal="0">
      <items count="1674">
        <item x="153"/>
        <item x="246"/>
        <item x="183"/>
        <item x="1272"/>
        <item x="599"/>
        <item x="179"/>
        <item x="330"/>
        <item x="1289"/>
        <item x="1104"/>
        <item x="697"/>
        <item x="483"/>
        <item x="1407"/>
        <item x="1402"/>
        <item x="291"/>
        <item x="525"/>
        <item x="1515"/>
        <item x="270"/>
        <item x="281"/>
        <item x="272"/>
        <item x="75"/>
        <item x="1089"/>
        <item x="1093"/>
        <item x="1244"/>
        <item x="253"/>
        <item x="978"/>
        <item x="629"/>
        <item x="657"/>
        <item x="109"/>
        <item x="360"/>
        <item x="625"/>
        <item x="1517"/>
        <item x="426"/>
        <item x="327"/>
        <item x="285"/>
        <item x="267"/>
        <item x="1408"/>
        <item x="266"/>
        <item x="265"/>
        <item x="723"/>
        <item x="329"/>
        <item x="750"/>
        <item x="1395"/>
        <item x="1349"/>
        <item x="359"/>
        <item x="1311"/>
        <item x="1310"/>
        <item x="1291"/>
        <item x="1595"/>
        <item x="974"/>
        <item x="715"/>
        <item x="400"/>
        <item x="968"/>
        <item x="959"/>
        <item x="839"/>
        <item x="782"/>
        <item x="869"/>
        <item x="710"/>
        <item x="1340"/>
        <item x="963"/>
        <item x="1159"/>
        <item x="1138"/>
        <item x="698"/>
        <item x="699"/>
        <item x="778"/>
        <item x="693"/>
        <item x="863"/>
        <item x="1632"/>
        <item x="692"/>
        <item x="1365"/>
        <item x="1048"/>
        <item x="1236"/>
        <item x="1516"/>
        <item x="1602"/>
        <item x="1233"/>
        <item x="1616"/>
        <item x="1301"/>
        <item x="1156"/>
        <item x="1180"/>
        <item x="1293"/>
        <item x="695"/>
        <item x="691"/>
        <item x="880"/>
        <item x="857"/>
        <item x="897"/>
        <item x="951"/>
        <item x="389"/>
        <item x="234"/>
        <item x="1139"/>
        <item x="1137"/>
        <item x="138"/>
        <item x="324"/>
        <item x="1338"/>
        <item x="1384"/>
        <item x="229"/>
        <item x="1152"/>
        <item x="1046"/>
        <item x="713"/>
        <item x="994"/>
        <item x="1641"/>
        <item x="1382"/>
        <item x="690"/>
        <item x="1558"/>
        <item x="1557"/>
        <item x="430"/>
        <item x="404"/>
        <item x="405"/>
        <item x="431"/>
        <item x="716"/>
        <item x="262"/>
        <item x="1051"/>
        <item x="969"/>
        <item x="231"/>
        <item x="1106"/>
        <item x="1107"/>
        <item x="60"/>
        <item x="51"/>
        <item x="658"/>
        <item x="78"/>
        <item x="150"/>
        <item x="1095"/>
        <item x="1149"/>
        <item x="1151"/>
        <item x="391"/>
        <item x="1040"/>
        <item x="59"/>
        <item x="58"/>
        <item x="682"/>
        <item x="296"/>
        <item x="236"/>
        <item x="779"/>
        <item x="484"/>
        <item x="702"/>
        <item x="751"/>
        <item x="1519"/>
        <item x="77"/>
        <item x="638"/>
        <item x="1302"/>
        <item x="269"/>
        <item x="980"/>
        <item x="148"/>
        <item x="300"/>
        <item x="62"/>
        <item x="485"/>
        <item x="54"/>
        <item x="53"/>
        <item x="635"/>
        <item x="1638"/>
        <item x="696"/>
        <item x="910"/>
        <item x="1153"/>
        <item x="112"/>
        <item x="1146"/>
        <item x="235"/>
        <item x="1154"/>
        <item x="689"/>
        <item x="336"/>
        <item x="1177"/>
        <item x="845"/>
        <item x="261"/>
        <item x="172"/>
        <item x="1388"/>
        <item x="1385"/>
        <item x="299"/>
        <item x="1369"/>
        <item x="1404"/>
        <item x="113"/>
        <item x="1047"/>
        <item x="1105"/>
        <item x="1605"/>
        <item x="144"/>
        <item x="142"/>
        <item x="131"/>
        <item x="294"/>
        <item x="143"/>
        <item x="227"/>
        <item x="1665"/>
        <item x="1039"/>
        <item x="228"/>
        <item x="1339"/>
        <item x="332"/>
        <item x="1317"/>
        <item x="331"/>
        <item x="361"/>
        <item x="565"/>
        <item x="560"/>
        <item x="937"/>
        <item x="882"/>
        <item x="844"/>
        <item x="931"/>
        <item x="926"/>
        <item x="884"/>
        <item x="257"/>
        <item x="1158"/>
        <item x="777"/>
        <item x="1144"/>
        <item x="680"/>
        <item x="1394"/>
        <item x="233"/>
        <item x="684"/>
        <item x="230"/>
        <item x="395"/>
        <item x="681"/>
        <item x="686"/>
        <item x="539"/>
        <item x="76"/>
        <item x="752"/>
        <item x="1282"/>
        <item x="149"/>
        <item x="637"/>
        <item x="1150"/>
        <item x="147"/>
        <item x="924"/>
        <item x="962"/>
        <item x="1248"/>
        <item x="226"/>
        <item x="256"/>
        <item x="1337"/>
        <item x="232"/>
        <item x="1412"/>
        <item x="56"/>
        <item x="1179"/>
        <item x="840"/>
        <item x="1176"/>
        <item x="866"/>
        <item x="895"/>
        <item x="906"/>
        <item x="916"/>
        <item x="874"/>
        <item x="52"/>
        <item x="656"/>
        <item x="856"/>
        <item x="953"/>
        <item x="966"/>
        <item x="862"/>
        <item x="878"/>
        <item x="853"/>
        <item x="841"/>
        <item x="936"/>
        <item x="935"/>
        <item x="934"/>
        <item x="890"/>
        <item x="157"/>
        <item x="225"/>
        <item x="683"/>
        <item x="255"/>
        <item x="1655"/>
        <item x="1336"/>
        <item x="445"/>
        <item x="1372"/>
        <item x="254"/>
        <item x="639"/>
        <item x="237"/>
        <item x="94"/>
        <item x="450"/>
        <item x="108"/>
        <item x="1249"/>
        <item x="542"/>
        <item x="394"/>
        <item x="1619"/>
        <item x="1322"/>
        <item x="634"/>
        <item x="1145"/>
        <item x="1640"/>
        <item x="173"/>
        <item x="641"/>
        <item x="1077"/>
        <item x="1078"/>
        <item x="687"/>
        <item x="688"/>
        <item x="249"/>
        <item x="290"/>
        <item x="889"/>
        <item x="1637"/>
        <item x="486"/>
        <item x="1120"/>
        <item x="1383"/>
        <item x="780"/>
        <item x="873"/>
        <item x="364"/>
        <item x="1147"/>
        <item x="701"/>
        <item x="700"/>
        <item x="685"/>
        <item x="68"/>
        <item x="1333"/>
        <item x="111"/>
        <item x="67"/>
        <item x="55"/>
        <item x="409"/>
        <item x="876"/>
        <item x="905"/>
        <item x="881"/>
        <item x="877"/>
        <item x="918"/>
        <item x="1316"/>
        <item x="1182"/>
        <item x="129"/>
        <item x="1155"/>
        <item x="1196"/>
        <item x="1409"/>
        <item x="965"/>
        <item x="836"/>
        <item x="907"/>
        <item x="883"/>
        <item x="117"/>
        <item x="1245"/>
        <item x="1049"/>
        <item x="850"/>
        <item x="952"/>
        <item x="851"/>
        <item x="1148"/>
        <item x="1403"/>
        <item x="118"/>
        <item x="124"/>
        <item x="925"/>
        <item x="721"/>
        <item x="258"/>
        <item x="1381"/>
        <item x="592"/>
        <item x="1247"/>
        <item x="1108"/>
        <item x="1050"/>
        <item x="694"/>
        <item x="722"/>
        <item x="967"/>
        <item x="1335"/>
        <item x="1334"/>
        <item x="631"/>
        <item x="1242"/>
        <item x="632"/>
        <item x="1103"/>
        <item x="548"/>
        <item x="238"/>
        <item x="640"/>
        <item x="1140"/>
        <item x="250"/>
        <item x="624"/>
        <item x="630"/>
        <item x="57"/>
        <item x="781"/>
        <item x="1157"/>
        <item x="1097"/>
        <item m="1" x="1671"/>
        <item x="526"/>
        <item x="390"/>
        <item x="79"/>
        <item x="825"/>
        <item x="130"/>
        <item x="1279"/>
        <item x="1634"/>
        <item x="1484"/>
        <item x="158"/>
        <item x="159"/>
        <item x="1181"/>
        <item x="1197"/>
        <item x="1198"/>
        <item m="1" x="1669"/>
        <item m="1" x="1670"/>
        <item x="871"/>
        <item x="274"/>
        <item x="275"/>
        <item x="278"/>
        <item x="286"/>
        <item x="287"/>
        <item x="1429"/>
        <item x="1584"/>
        <item x="1586"/>
        <item x="1585"/>
        <item x="388"/>
        <item x="1254"/>
        <item x="447"/>
        <item x="1062"/>
        <item x="1255"/>
        <item x="523"/>
        <item x="453"/>
        <item x="454"/>
        <item x="1596"/>
        <item x="1256"/>
        <item x="1056"/>
        <item x="276"/>
        <item x="829"/>
        <item x="241"/>
        <item x="242"/>
        <item x="1663"/>
        <item x="1191"/>
        <item x="1192"/>
        <item x="1190"/>
        <item x="1356"/>
        <item x="626"/>
        <item x="627"/>
        <item x="277"/>
        <item x="1662"/>
        <item x="154"/>
        <item x="1633"/>
        <item x="1380"/>
        <item x="1142"/>
        <item x="1143"/>
        <item x="1061"/>
        <item x="1205"/>
        <item x="97"/>
        <item x="636"/>
        <item x="146"/>
        <item x="325"/>
        <item x="1639"/>
        <item x="1251"/>
        <item x="110"/>
        <item x="1193"/>
        <item x="362"/>
        <item x="181"/>
        <item x="180"/>
        <item x="600"/>
        <item x="182"/>
        <item x="1518"/>
        <item x="982"/>
        <item x="981"/>
        <item x="659"/>
        <item x="524"/>
        <item x="921"/>
        <item x="914"/>
        <item x="915"/>
        <item m="1" x="1673"/>
        <item x="114"/>
        <item x="1513"/>
        <item x="1117"/>
        <item x="1583"/>
        <item x="1253"/>
        <item x="983"/>
        <item x="1290"/>
        <item x="1357"/>
        <item x="455"/>
        <item x="1226"/>
        <item x="538"/>
        <item x="187"/>
        <item x="370"/>
        <item x="628"/>
        <item x="268"/>
        <item x="0"/>
        <item x="1200"/>
        <item x="1201"/>
        <item x="1202"/>
        <item x="1203"/>
        <item x="1204"/>
        <item x="402"/>
        <item x="403"/>
        <item x="407"/>
        <item x="408"/>
        <item x="406"/>
        <item x="412"/>
        <item x="413"/>
        <item x="414"/>
        <item x="415"/>
        <item x="416"/>
        <item x="417"/>
        <item x="418"/>
        <item x="419"/>
        <item x="420"/>
        <item x="410"/>
        <item x="411"/>
        <item x="421"/>
        <item x="422"/>
        <item x="423"/>
        <item x="424"/>
        <item x="425"/>
        <item x="427"/>
        <item x="428"/>
        <item x="432"/>
        <item x="429"/>
        <item x="499"/>
        <item x="500"/>
        <item x="506"/>
        <item x="507"/>
        <item x="508"/>
        <item x="509"/>
        <item x="510"/>
        <item x="511"/>
        <item x="512"/>
        <item x="513"/>
        <item x="501"/>
        <item x="502"/>
        <item x="503"/>
        <item x="504"/>
        <item x="505"/>
        <item x="521"/>
        <item x="522"/>
        <item x="514"/>
        <item x="515"/>
        <item x="516"/>
        <item x="517"/>
        <item x="518"/>
        <item x="519"/>
        <item x="520"/>
        <item x="433"/>
        <item x="434"/>
        <item x="435"/>
        <item x="436"/>
        <item x="437"/>
        <item x="438"/>
        <item x="439"/>
        <item x="440"/>
        <item x="441"/>
        <item x="442"/>
        <item x="443"/>
        <item x="444"/>
        <item x="456"/>
        <item x="460"/>
        <item x="461"/>
        <item x="462"/>
        <item x="463"/>
        <item x="464"/>
        <item x="465"/>
        <item x="466"/>
        <item x="467"/>
        <item x="468"/>
        <item x="469"/>
        <item x="471"/>
        <item x="472"/>
        <item x="473"/>
        <item x="476"/>
        <item x="479"/>
        <item x="480"/>
        <item x="481"/>
        <item x="488"/>
        <item x="489"/>
        <item x="482"/>
        <item x="457"/>
        <item x="458"/>
        <item x="490"/>
        <item x="459"/>
        <item x="491"/>
        <item x="470"/>
        <item x="474"/>
        <item x="478"/>
        <item x="477"/>
        <item x="475"/>
        <item x="492"/>
        <item x="493"/>
        <item x="494"/>
        <item x="495"/>
        <item x="496"/>
        <item x="497"/>
        <item x="498"/>
        <item x="527"/>
        <item x="528"/>
        <item x="531"/>
        <item x="532"/>
        <item x="533"/>
        <item x="534"/>
        <item x="535"/>
        <item x="529"/>
        <item x="530"/>
        <item x="536"/>
        <item x="537"/>
        <item x="543"/>
        <item x="544"/>
        <item x="545"/>
        <item x="555"/>
        <item x="546"/>
        <item x="547"/>
        <item x="556"/>
        <item x="557"/>
        <item x="558"/>
        <item x="633"/>
        <item x="561"/>
        <item x="562"/>
        <item x="566"/>
        <item x="567"/>
        <item x="568"/>
        <item x="569"/>
        <item x="570"/>
        <item x="571"/>
        <item x="572"/>
        <item x="573"/>
        <item x="563"/>
        <item x="574"/>
        <item x="607"/>
        <item x="575"/>
        <item x="576"/>
        <item x="577"/>
        <item x="578"/>
        <item x="579"/>
        <item x="580"/>
        <item x="581"/>
        <item x="582"/>
        <item x="564"/>
        <item x="583"/>
        <item x="584"/>
        <item x="585"/>
        <item x="586"/>
        <item x="587"/>
        <item x="588"/>
        <item x="589"/>
        <item x="590"/>
        <item x="591"/>
        <item x="559"/>
        <item x="593"/>
        <item x="594"/>
        <item x="604"/>
        <item x="605"/>
        <item x="606"/>
        <item x="608"/>
        <item x="609"/>
        <item x="610"/>
        <item x="612"/>
        <item x="611"/>
        <item x="613"/>
        <item x="614"/>
        <item x="615"/>
        <item x="616"/>
        <item x="617"/>
        <item x="618"/>
        <item x="619"/>
        <item x="620"/>
        <item x="621"/>
        <item x="622"/>
        <item x="623"/>
        <item x="1"/>
        <item x="2"/>
        <item x="301"/>
        <item x="3"/>
        <item x="4"/>
        <item x="338"/>
        <item x="339"/>
        <item x="340"/>
        <item x="341"/>
        <item x="302"/>
        <item x="303"/>
        <item x="337"/>
        <item x="5"/>
        <item x="6"/>
        <item x="292"/>
        <item x="293"/>
        <item x="401"/>
        <item x="297"/>
        <item x="295"/>
        <item x="298"/>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61"/>
        <item x="132"/>
        <item x="141"/>
        <item x="133"/>
        <item x="134"/>
        <item x="135"/>
        <item x="136"/>
        <item x="137"/>
        <item x="140"/>
        <item x="139"/>
        <item x="155"/>
        <item x="156"/>
        <item x="189"/>
        <item x="190"/>
        <item x="206"/>
        <item x="200"/>
        <item x="202"/>
        <item x="204"/>
        <item x="194"/>
        <item x="192"/>
        <item x="191"/>
        <item x="195"/>
        <item x="196"/>
        <item x="197"/>
        <item x="198"/>
        <item x="199"/>
        <item x="201"/>
        <item x="205"/>
        <item x="203"/>
        <item x="207"/>
        <item x="222"/>
        <item x="220"/>
        <item x="218"/>
        <item x="214"/>
        <item x="208"/>
        <item x="216"/>
        <item x="209"/>
        <item x="210"/>
        <item x="211"/>
        <item x="212"/>
        <item x="213"/>
        <item x="215"/>
        <item x="217"/>
        <item x="219"/>
        <item x="221"/>
        <item x="223"/>
        <item x="193"/>
        <item x="160"/>
        <item x="161"/>
        <item x="162"/>
        <item x="163"/>
        <item x="164"/>
        <item x="165"/>
        <item x="166"/>
        <item x="167"/>
        <item x="168"/>
        <item x="169"/>
        <item x="170"/>
        <item x="171"/>
        <item x="174"/>
        <item x="175"/>
        <item x="176"/>
        <item x="177"/>
        <item x="178"/>
        <item x="188"/>
        <item x="304"/>
        <item x="305"/>
        <item x="306"/>
        <item x="307"/>
        <item x="308"/>
        <item x="309"/>
        <item x="310"/>
        <item x="311"/>
        <item x="312"/>
        <item x="313"/>
        <item x="314"/>
        <item x="315"/>
        <item x="316"/>
        <item x="317"/>
        <item x="318"/>
        <item x="319"/>
        <item x="320"/>
        <item x="321"/>
        <item x="322"/>
        <item x="323"/>
        <item x="326"/>
        <item x="328"/>
        <item x="342"/>
        <item x="343"/>
        <item x="346"/>
        <item x="348"/>
        <item x="344"/>
        <item x="345"/>
        <item x="363"/>
        <item x="365"/>
        <item x="349"/>
        <item x="350"/>
        <item x="351"/>
        <item x="352"/>
        <item x="353"/>
        <item x="354"/>
        <item x="355"/>
        <item x="356"/>
        <item x="357"/>
        <item x="358"/>
        <item x="371"/>
        <item x="372"/>
        <item x="375"/>
        <item x="347"/>
        <item x="377"/>
        <item x="378"/>
        <item x="379"/>
        <item x="373"/>
        <item x="374"/>
        <item x="380"/>
        <item x="381"/>
        <item x="376"/>
        <item x="396"/>
        <item x="397"/>
        <item x="63"/>
        <item x="66"/>
        <item x="69"/>
        <item x="70"/>
        <item x="71"/>
        <item x="65"/>
        <item x="64"/>
        <item x="91"/>
        <item x="99"/>
        <item x="100"/>
        <item x="86"/>
        <item x="87"/>
        <item x="88"/>
        <item x="89"/>
        <item x="90"/>
        <item x="93"/>
        <item x="92"/>
        <item x="98"/>
        <item x="101"/>
        <item x="102"/>
        <item x="104"/>
        <item x="103"/>
        <item x="105"/>
        <item x="106"/>
        <item x="107"/>
        <item x="115"/>
        <item x="116"/>
        <item x="119"/>
        <item x="120"/>
        <item x="121"/>
        <item x="122"/>
        <item x="128"/>
        <item x="127"/>
        <item x="126"/>
        <item x="239"/>
        <item x="247"/>
        <item x="245"/>
        <item x="248"/>
        <item x="244"/>
        <item x="251"/>
        <item x="259"/>
        <item x="252"/>
        <item x="260"/>
        <item x="243"/>
        <item x="642"/>
        <item x="644"/>
        <item x="645"/>
        <item x="646"/>
        <item x="647"/>
        <item x="651"/>
        <item x="648"/>
        <item x="649"/>
        <item x="650"/>
        <item x="652"/>
        <item x="653"/>
        <item x="654"/>
        <item x="655"/>
        <item x="643"/>
        <item x="660"/>
        <item x="795"/>
        <item x="661"/>
        <item x="662"/>
        <item x="663"/>
        <item x="664"/>
        <item x="665"/>
        <item x="666"/>
        <item x="796"/>
        <item x="797"/>
        <item x="798"/>
        <item x="799"/>
        <item x="800"/>
        <item x="801"/>
        <item x="802"/>
        <item x="803"/>
        <item x="804"/>
        <item x="827"/>
        <item x="668"/>
        <item x="669"/>
        <item x="670"/>
        <item x="671"/>
        <item x="805"/>
        <item x="806"/>
        <item x="828"/>
        <item x="807"/>
        <item x="808"/>
        <item x="809"/>
        <item x="667"/>
        <item x="810"/>
        <item x="811"/>
        <item x="812"/>
        <item x="794"/>
        <item x="813"/>
        <item x="814"/>
        <item x="753"/>
        <item x="754"/>
        <item x="815"/>
        <item x="816"/>
        <item x="817"/>
        <item x="818"/>
        <item x="819"/>
        <item x="820"/>
        <item x="826"/>
        <item x="821"/>
        <item x="822"/>
        <item x="823"/>
        <item x="672"/>
        <item x="724"/>
        <item x="727"/>
        <item x="728"/>
        <item x="729"/>
        <item x="730"/>
        <item x="731"/>
        <item x="735"/>
        <item x="732"/>
        <item x="736"/>
        <item x="733"/>
        <item x="734"/>
        <item x="737"/>
        <item x="673"/>
        <item x="738"/>
        <item x="739"/>
        <item x="740"/>
        <item x="741"/>
        <item x="743"/>
        <item x="744"/>
        <item x="703"/>
        <item x="745"/>
        <item x="746"/>
        <item x="748"/>
        <item x="747"/>
        <item x="679"/>
        <item x="709"/>
        <item x="704"/>
        <item x="705"/>
        <item x="706"/>
        <item x="707"/>
        <item x="711"/>
        <item x="708"/>
        <item x="676"/>
        <item x="678"/>
        <item x="675"/>
        <item x="674"/>
        <item x="677"/>
        <item x="742"/>
        <item x="725"/>
        <item x="726"/>
        <item x="712"/>
        <item x="717"/>
        <item x="718"/>
        <item x="719"/>
        <item x="720"/>
        <item x="749"/>
        <item x="755"/>
        <item x="759"/>
        <item x="760"/>
        <item x="761"/>
        <item x="762"/>
        <item x="763"/>
        <item x="764"/>
        <item x="765"/>
        <item x="766"/>
        <item x="767"/>
        <item x="768"/>
        <item x="769"/>
        <item x="770"/>
        <item x="771"/>
        <item x="772"/>
        <item x="773"/>
        <item x="774"/>
        <item x="775"/>
        <item x="776"/>
        <item x="756"/>
        <item x="757"/>
        <item x="758"/>
        <item x="784"/>
        <item x="783"/>
        <item x="786"/>
        <item x="785"/>
        <item x="788"/>
        <item x="789"/>
        <item x="787"/>
        <item x="790"/>
        <item x="791"/>
        <item x="792"/>
        <item x="793"/>
        <item x="830"/>
        <item x="831"/>
        <item x="832"/>
        <item x="833"/>
        <item x="834"/>
        <item x="835"/>
        <item x="837"/>
        <item x="838"/>
        <item x="842"/>
        <item x="843"/>
        <item x="846"/>
        <item x="847"/>
        <item x="908"/>
        <item x="848"/>
        <item x="849"/>
        <item x="854"/>
        <item x="855"/>
        <item x="852"/>
        <item x="885"/>
        <item x="886"/>
        <item x="887"/>
        <item x="858"/>
        <item x="888"/>
        <item x="859"/>
        <item x="911"/>
        <item x="861"/>
        <item x="860"/>
        <item x="875"/>
        <item x="870"/>
        <item x="879"/>
        <item x="891"/>
        <item x="898"/>
        <item x="899"/>
        <item x="900"/>
        <item x="901"/>
        <item x="919"/>
        <item x="902"/>
        <item x="896"/>
        <item x="892"/>
        <item x="893"/>
        <item x="894"/>
        <item x="903"/>
        <item x="909"/>
        <item x="912"/>
        <item x="923"/>
        <item x="928"/>
        <item x="920"/>
        <item x="930"/>
        <item x="933"/>
        <item x="938"/>
        <item x="941"/>
        <item x="922"/>
        <item x="872"/>
        <item x="867"/>
        <item x="868"/>
        <item x="927"/>
        <item x="929"/>
        <item x="932"/>
        <item x="913"/>
        <item x="917"/>
        <item x="946"/>
        <item x="948"/>
        <item x="949"/>
        <item x="956"/>
        <item x="955"/>
        <item x="957"/>
        <item x="958"/>
        <item x="960"/>
        <item x="961"/>
        <item x="971"/>
        <item x="947"/>
        <item x="973"/>
        <item x="954"/>
        <item x="970"/>
        <item x="972"/>
        <item x="942"/>
        <item x="943"/>
        <item x="944"/>
        <item x="945"/>
        <item x="975"/>
        <item x="977"/>
        <item x="976"/>
        <item x="979"/>
        <item x="984"/>
        <item x="985"/>
        <item x="986"/>
        <item x="939"/>
        <item x="940"/>
        <item x="1410"/>
        <item x="1411"/>
        <item x="987"/>
        <item x="988"/>
        <item x="997"/>
        <item x="1400"/>
        <item x="1405"/>
        <item x="140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350"/>
        <item x="1351"/>
        <item x="1391"/>
        <item x="1392"/>
        <item x="1393"/>
        <item x="1352"/>
        <item x="1353"/>
        <item x="1354"/>
        <item x="1355"/>
        <item x="1389"/>
        <item x="1358"/>
        <item x="1390"/>
        <item x="1397"/>
        <item x="1359"/>
        <item x="1360"/>
        <item x="1361"/>
        <item x="1362"/>
        <item x="1363"/>
        <item x="1364"/>
        <item x="1366"/>
        <item x="1367"/>
        <item x="1368"/>
        <item x="1373"/>
        <item x="1370"/>
        <item x="1374"/>
        <item x="1371"/>
        <item x="1375"/>
        <item x="1376"/>
        <item x="1377"/>
        <item x="1378"/>
        <item x="1379"/>
        <item x="1386"/>
        <item x="1387"/>
        <item x="1294"/>
        <item x="1325"/>
        <item x="1303"/>
        <item x="1305"/>
        <item x="1304"/>
        <item x="1307"/>
        <item x="1306"/>
        <item x="1314"/>
        <item x="1313"/>
        <item x="1308"/>
        <item x="1309"/>
        <item x="1312"/>
        <item x="1315"/>
        <item x="1295"/>
        <item x="1296"/>
        <item x="1297"/>
        <item x="1298"/>
        <item x="1299"/>
        <item x="1300"/>
        <item x="1321"/>
        <item x="1320"/>
        <item x="1324"/>
        <item x="1323"/>
        <item x="1319"/>
        <item x="1318"/>
        <item x="1326"/>
        <item x="1327"/>
        <item x="1328"/>
        <item x="1329"/>
        <item x="1330"/>
        <item x="1331"/>
        <item x="1332"/>
        <item x="1341"/>
        <item x="1342"/>
        <item x="1343"/>
        <item x="1344"/>
        <item x="1345"/>
        <item x="1346"/>
        <item x="1347"/>
        <item x="1348"/>
        <item x="1160"/>
        <item x="1161"/>
        <item x="1162"/>
        <item x="1163"/>
        <item x="1164"/>
        <item x="1210"/>
        <item x="1211"/>
        <item x="1212"/>
        <item x="1213"/>
        <item x="1214"/>
        <item x="1218"/>
        <item x="1257"/>
        <item x="1259"/>
        <item x="1260"/>
        <item x="1261"/>
        <item x="1166"/>
        <item x="1167"/>
        <item x="1168"/>
        <item x="1169"/>
        <item x="1170"/>
        <item x="1171"/>
        <item x="1183"/>
        <item x="1284"/>
        <item x="1285"/>
        <item x="1286"/>
        <item x="1287"/>
        <item x="1288"/>
        <item x="1219"/>
        <item x="1220"/>
        <item x="1230"/>
        <item x="1231"/>
        <item x="1232"/>
        <item x="1234"/>
        <item x="1235"/>
        <item x="1237"/>
        <item x="1238"/>
        <item x="1239"/>
        <item x="1240"/>
        <item x="1241"/>
        <item x="1221"/>
        <item x="1246"/>
        <item x="1250"/>
        <item x="1222"/>
        <item x="1223"/>
        <item x="1224"/>
        <item x="1229"/>
        <item x="1252"/>
        <item x="1184"/>
        <item x="1185"/>
        <item x="1186"/>
        <item x="1187"/>
        <item x="1188"/>
        <item x="1199"/>
        <item x="1273"/>
        <item x="1274"/>
        <item x="1275"/>
        <item x="1276"/>
        <item x="1277"/>
        <item x="1278"/>
        <item x="1283"/>
        <item x="1267"/>
        <item x="1271"/>
        <item x="1268"/>
        <item x="1269"/>
        <item x="1270"/>
        <item x="1262"/>
        <item x="1263"/>
        <item x="1264"/>
        <item x="1265"/>
        <item x="1266"/>
        <item x="1057"/>
        <item x="1058"/>
        <item x="1059"/>
        <item x="1060"/>
        <item x="1041"/>
        <item x="1042"/>
        <item x="1043"/>
        <item x="1044"/>
        <item x="1045"/>
        <item x="1052"/>
        <item x="1053"/>
        <item x="1054"/>
        <item x="1063"/>
        <item x="1064"/>
        <item x="1069"/>
        <item x="1098"/>
        <item x="1099"/>
        <item x="1100"/>
        <item x="1101"/>
        <item x="1102"/>
        <item x="1070"/>
        <item x="1071"/>
        <item x="1072"/>
        <item x="1073"/>
        <item x="1065"/>
        <item x="1074"/>
        <item x="1075"/>
        <item x="1076"/>
        <item x="1082"/>
        <item x="1083"/>
        <item x="1086"/>
        <item x="1088"/>
        <item x="1090"/>
        <item x="1092"/>
        <item x="1066"/>
        <item x="1084"/>
        <item x="1085"/>
        <item x="1087"/>
        <item x="1091"/>
        <item x="1094"/>
        <item x="1081"/>
        <item x="1067"/>
        <item x="1068"/>
        <item x="1122"/>
        <item x="1123"/>
        <item x="1124"/>
        <item x="1125"/>
        <item x="1126"/>
        <item x="1127"/>
        <item x="1109"/>
        <item x="1110"/>
        <item x="1111"/>
        <item x="1112"/>
        <item x="1113"/>
        <item x="1114"/>
        <item x="1115"/>
        <item x="1116"/>
        <item x="1121"/>
        <item x="1128"/>
        <item x="1129"/>
        <item x="1130"/>
        <item x="1131"/>
        <item x="1132"/>
        <item x="1133"/>
        <item x="1134"/>
        <item x="1135"/>
        <item x="1136"/>
        <item x="989"/>
        <item x="990"/>
        <item x="991"/>
        <item x="992"/>
        <item x="993"/>
        <item x="995"/>
        <item x="996"/>
        <item x="1564"/>
        <item x="1565"/>
        <item x="1566"/>
        <item x="1568"/>
        <item x="1569"/>
        <item x="1570"/>
        <item x="1413"/>
        <item x="1414"/>
        <item x="1415"/>
        <item x="1416"/>
        <item x="1571"/>
        <item x="1567"/>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647"/>
        <item x="1649"/>
        <item x="1651"/>
        <item x="1650"/>
        <item x="1661"/>
        <item x="1652"/>
        <item x="1653"/>
        <item x="1666"/>
        <item x="1667"/>
        <item x="1654"/>
        <item x="1648"/>
        <item x="1656"/>
        <item x="1657"/>
        <item x="1658"/>
        <item x="1659"/>
        <item x="1660"/>
        <item x="1547"/>
        <item x="1555"/>
        <item x="1556"/>
        <item x="1548"/>
        <item x="1550"/>
        <item x="1554"/>
        <item x="1551"/>
        <item x="1553"/>
        <item x="1552"/>
        <item x="1549"/>
        <item x="1563"/>
        <item x="1559"/>
        <item x="1560"/>
        <item x="1561"/>
        <item x="1562"/>
        <item x="1496"/>
        <item x="1497"/>
        <item x="1498"/>
        <item x="1499"/>
        <item x="1500"/>
        <item x="1501"/>
        <item x="1502"/>
        <item x="1503"/>
        <item x="1504"/>
        <item x="1505"/>
        <item x="1506"/>
        <item x="1507"/>
        <item x="1508"/>
        <item x="1509"/>
        <item x="1510"/>
        <item x="1514"/>
        <item x="1520"/>
        <item x="1521"/>
        <item x="1522"/>
        <item x="1523"/>
        <item x="1524"/>
        <item x="1525"/>
        <item x="1526"/>
        <item x="1531"/>
        <item x="1527"/>
        <item x="1528"/>
        <item x="1529"/>
        <item x="1530"/>
        <item x="1532"/>
        <item x="1533"/>
        <item x="1534"/>
        <item x="1535"/>
        <item x="1536"/>
        <item x="1537"/>
        <item x="1538"/>
        <item x="1539"/>
        <item x="1540"/>
        <item x="1541"/>
        <item x="1542"/>
        <item x="1543"/>
        <item x="1544"/>
        <item x="1545"/>
        <item x="1546"/>
        <item x="1417"/>
        <item x="1419"/>
        <item x="1422"/>
        <item x="1423"/>
        <item x="1424"/>
        <item x="1425"/>
        <item x="1426"/>
        <item x="1427"/>
        <item x="1428"/>
        <item x="1430"/>
        <item x="1431"/>
        <item x="1432"/>
        <item x="1420"/>
        <item x="1421"/>
        <item x="1418"/>
        <item x="1434"/>
        <item x="1435"/>
        <item x="1610"/>
        <item x="1612"/>
        <item x="1614"/>
        <item x="1613"/>
        <item x="1611"/>
        <item x="1615"/>
        <item x="1624"/>
        <item x="1625"/>
        <item x="1626"/>
        <item x="1627"/>
        <item x="1628"/>
        <item x="1629"/>
        <item x="1630"/>
        <item x="1635"/>
        <item x="1636"/>
        <item x="1631"/>
        <item x="1642"/>
        <item x="1644"/>
        <item x="1645"/>
        <item x="1646"/>
        <item x="1485"/>
        <item x="1487"/>
        <item x="1488"/>
        <item x="1489"/>
        <item x="1486"/>
        <item x="1597"/>
        <item x="1599"/>
        <item x="1603"/>
        <item x="1600"/>
        <item x="1601"/>
        <item x="1598"/>
        <item x="1604"/>
        <item x="1476"/>
        <item x="1478"/>
        <item x="1479"/>
        <item x="1480"/>
        <item x="1477"/>
        <item x="1481"/>
        <item x="1490"/>
        <item x="1492"/>
        <item x="1493"/>
        <item x="1494"/>
        <item x="1491"/>
        <item x="1495"/>
        <item x="1575"/>
        <item x="1577"/>
        <item x="1593"/>
        <item x="1578"/>
        <item x="1579"/>
        <item x="1580"/>
        <item x="1581"/>
        <item x="1582"/>
        <item x="1594"/>
        <item x="1576"/>
        <item x="1055"/>
        <item x="384"/>
        <item x="385"/>
        <item x="387"/>
        <item x="1215"/>
        <item x="1173"/>
        <item x="382"/>
        <item x="1189"/>
        <item x="1172"/>
        <item x="186"/>
        <item x="369"/>
        <item x="367"/>
        <item x="449"/>
        <item x="452"/>
        <item x="1621"/>
        <item x="541"/>
        <item x="1207"/>
        <item x="1623"/>
        <item x="551"/>
        <item x="1590"/>
        <item x="553"/>
        <item x="1592"/>
        <item x="1609"/>
        <item x="1217"/>
        <item x="393"/>
        <item x="1607"/>
        <item x="335"/>
        <item x="1195"/>
        <item x="1588"/>
        <item x="1483"/>
        <item x="1618"/>
        <item x="185"/>
        <item x="368"/>
        <item x="366"/>
        <item x="448"/>
        <item x="451"/>
        <item x="1620"/>
        <item x="540"/>
        <item x="1206"/>
        <item x="1622"/>
        <item x="550"/>
        <item x="1589"/>
        <item x="552"/>
        <item x="1591"/>
        <item x="1608"/>
        <item x="1216"/>
        <item x="392"/>
        <item x="1606"/>
        <item x="1194"/>
        <item x="1587"/>
        <item x="1482"/>
        <item x="1617"/>
        <item x="1280"/>
        <item x="1227"/>
        <item x="1174"/>
        <item x="1178"/>
        <item x="1292"/>
        <item x="1572"/>
        <item x="72"/>
        <item x="81"/>
        <item x="73"/>
        <item x="74"/>
        <item x="83"/>
        <item x="84"/>
        <item x="85"/>
        <item x="82"/>
        <item x="398"/>
        <item x="1398"/>
        <item x="1399"/>
        <item x="1401"/>
        <item x="264"/>
        <item x="1668"/>
        <item x="280"/>
        <item x="263"/>
        <item x="283"/>
        <item x="271"/>
        <item x="289"/>
        <item x="279"/>
        <item x="282"/>
        <item x="288"/>
        <item x="333"/>
        <item x="334"/>
        <item x="1281"/>
        <item x="1228"/>
        <item x="1079"/>
        <item x="1643"/>
        <item x="1080"/>
        <item x="549"/>
        <item x="554"/>
        <item x="601"/>
        <item x="284"/>
        <item x="184"/>
        <item x="1175"/>
        <item x="1096"/>
        <item x="240"/>
        <item x="96"/>
        <item x="125"/>
        <item x="446"/>
        <item x="123"/>
        <item x="95"/>
        <item x="1225"/>
        <item x="1243"/>
        <item x="714"/>
        <item x="1574"/>
        <item x="1573"/>
        <item x="1664"/>
        <item x="386"/>
        <item x="1208"/>
        <item x="603"/>
        <item x="383"/>
        <item x="1512"/>
        <item x="1511"/>
        <item x="602"/>
        <item x="1209"/>
        <item m="1" x="1672"/>
        <item x="597"/>
        <item x="595"/>
        <item x="596"/>
        <item x="598"/>
        <item x="273"/>
        <item x="399"/>
        <item x="80"/>
        <item x="1433"/>
        <item x="224"/>
        <item x="487"/>
        <item x="145"/>
        <item x="864"/>
        <item x="865"/>
        <item x="904"/>
        <item x="950"/>
        <item x="964"/>
        <item x="1118"/>
        <item x="1119"/>
        <item x="1141"/>
        <item x="1258"/>
        <item x="151"/>
        <item x="152"/>
        <item x="824"/>
        <item x="1165"/>
        <item x="1396"/>
      </items>
    </pivotField>
    <pivotField axis="axisRow" compact="0" outline="0" showAll="0">
      <items count="1625">
        <item x="179"/>
        <item x="630"/>
        <item x="632"/>
        <item x="971"/>
        <item x="397"/>
        <item x="398"/>
        <item x="197"/>
        <item x="370"/>
        <item x="194"/>
        <item x="342"/>
        <item x="508"/>
        <item x="371"/>
        <item x="419"/>
        <item x="322"/>
        <item x="1309"/>
        <item x="1310"/>
        <item x="614"/>
        <item x="817"/>
        <item x="899"/>
        <item x="82"/>
        <item x="83"/>
        <item x="84"/>
        <item x="85"/>
        <item x="73"/>
        <item x="74"/>
        <item x="944"/>
        <item x="1363"/>
        <item x="1316"/>
        <item x="1542"/>
        <item x="1543"/>
        <item x="945"/>
        <item x="835"/>
        <item x="858"/>
        <item x="875"/>
        <item x="929"/>
        <item x="936"/>
        <item x="951"/>
        <item x="841"/>
        <item x="855"/>
        <item x="985"/>
        <item x="1004"/>
        <item x="720"/>
        <item x="269"/>
        <item x="1383"/>
        <item x="1427"/>
        <item x="1008"/>
        <item x="1420"/>
        <item x="1426"/>
        <item x="993"/>
        <item x="997"/>
        <item x="44"/>
        <item x="972"/>
        <item x="741"/>
        <item x="806"/>
        <item x="48"/>
        <item x="1423"/>
        <item x="1103"/>
        <item x="69"/>
        <item x="70"/>
        <item x="71"/>
        <item x="1280"/>
        <item x="86"/>
        <item x="87"/>
        <item x="88"/>
        <item x="90"/>
        <item x="93"/>
        <item x="89"/>
        <item x="91"/>
        <item x="99"/>
        <item x="100"/>
        <item x="301"/>
        <item x="305"/>
        <item x="309"/>
        <item x="310"/>
        <item x="306"/>
        <item x="307"/>
        <item x="308"/>
        <item x="323"/>
        <item x="318"/>
        <item x="319"/>
        <item x="313"/>
        <item x="316"/>
        <item x="314"/>
        <item x="315"/>
        <item x="317"/>
        <item x="311"/>
        <item x="312"/>
        <item x="321"/>
        <item x="66"/>
        <item x="1062"/>
        <item x="1051"/>
        <item x="1053"/>
        <item x="1052"/>
        <item x="1234"/>
        <item x="1236"/>
        <item x="1235"/>
        <item x="1233"/>
        <item x="588"/>
        <item x="589"/>
        <item x="598"/>
        <item x="591"/>
        <item x="596"/>
        <item x="595"/>
        <item x="592"/>
        <item x="594"/>
        <item x="597"/>
        <item x="593"/>
        <item x="1367"/>
        <item x="1500"/>
        <item x="1255"/>
        <item x="1257"/>
        <item x="1256"/>
        <item x="1254"/>
        <item x="129"/>
        <item x="153"/>
        <item x="72"/>
        <item x="391"/>
        <item x="157"/>
        <item x="270"/>
        <item m="1" x="1620"/>
        <item x="1171"/>
        <item x="282"/>
        <item x="853"/>
        <item x="1595"/>
        <item x="92"/>
        <item x="300"/>
        <item x="1050"/>
        <item x="1232"/>
        <item x="587"/>
        <item x="1253"/>
        <item x="1518"/>
        <item x="1577"/>
        <item x="1308"/>
        <item x="804"/>
        <item x="1484"/>
        <item x="389"/>
        <item x="1528"/>
        <item x="1492"/>
        <item x="702"/>
        <item x="620"/>
        <item x="1160"/>
        <item x="328"/>
        <item x="424"/>
        <item x="1445"/>
        <item x="1018"/>
        <item x="1063"/>
        <item x="1396"/>
        <item x="1565"/>
        <item x="689"/>
        <item x="638"/>
        <item x="1384"/>
        <item x="1401"/>
        <item x="1182"/>
        <item x="447"/>
        <item x="478"/>
        <item x="1189"/>
        <item x="1137"/>
        <item x="931"/>
        <item x="808"/>
        <item x="1142"/>
        <item x="837"/>
        <item x="836"/>
        <item x="541"/>
        <item x="1227"/>
        <item x="934"/>
        <item x="1608"/>
        <item x="1602"/>
        <item x="1600"/>
        <item x="1605"/>
        <item x="1617"/>
        <item x="599"/>
        <item x="529"/>
        <item x="536"/>
        <item x="1480"/>
        <item x="1046"/>
        <item x="1047"/>
        <item x="1562"/>
        <item x="1556"/>
        <item x="221"/>
        <item x="219"/>
        <item x="217"/>
        <item x="213"/>
        <item x="207"/>
        <item x="215"/>
        <item x="205"/>
        <item x="199"/>
        <item x="201"/>
        <item x="203"/>
        <item x="193"/>
        <item x="132"/>
        <item x="1550"/>
        <item x="1548"/>
        <item x="1546"/>
        <item x="361"/>
        <item x="330"/>
        <item x="439"/>
        <item x="184"/>
        <item x="385"/>
        <item x="1572"/>
        <item x="442"/>
        <item x="1575"/>
        <item x="1442"/>
        <item x="1197"/>
        <item x="1552"/>
        <item x="1534"/>
        <item x="1317"/>
        <item x="1372"/>
        <item x="1487"/>
        <item x="1353"/>
        <item x="1342"/>
        <item x="1340"/>
        <item x="1326"/>
        <item x="1337"/>
        <item x="1325"/>
        <item x="1356"/>
        <item x="1344"/>
        <item x="1368"/>
        <item x="1034"/>
        <item x="964"/>
        <item x="975"/>
        <item x="259"/>
        <item x="131"/>
        <item x="275"/>
        <item x="891"/>
        <item x="886"/>
        <item x="681"/>
        <item x="0"/>
        <item x="1580"/>
        <item x="332"/>
        <item x="1"/>
        <item x="7"/>
        <item x="811"/>
        <item x="812"/>
        <item x="815"/>
        <item x="621"/>
        <item x="1237"/>
        <item x="243"/>
        <item x="1029"/>
        <item x="1243"/>
        <item x="1086"/>
        <item x="1091"/>
        <item x="364"/>
        <item x="528"/>
        <item x="159"/>
        <item x="188"/>
        <item x="490"/>
        <item x="337"/>
        <item x="515"/>
        <item x="173"/>
        <item x="733"/>
        <item x="1293"/>
        <item x="1112"/>
        <item x="573"/>
        <item x="249"/>
        <item x="826"/>
        <item x="832"/>
        <item x="824"/>
        <item x="1588"/>
        <item x="947"/>
        <item x="949"/>
        <item x="1456"/>
        <item x="1619"/>
        <item x="1523"/>
        <item x="1380"/>
        <item x="1403"/>
        <item x="267"/>
        <item x="278"/>
        <item x="895"/>
        <item x="889"/>
        <item x="651"/>
        <item x="863"/>
        <item x="865"/>
        <item x="848"/>
        <item x="238"/>
        <item x="870"/>
        <item x="876"/>
        <item x="869"/>
        <item x="772"/>
        <item x="650"/>
        <item x="1290"/>
        <item x="1285"/>
        <item x="1287"/>
        <item x="1263"/>
        <item x="1272"/>
        <item x="284"/>
        <item x="1450"/>
        <item x="1174"/>
        <item x="1436"/>
        <item x="1582"/>
        <item x="1069"/>
        <item x="925"/>
        <item x="924"/>
        <item x="63"/>
        <item x="920"/>
        <item x="917"/>
        <item x="952"/>
        <item x="809"/>
        <item x="810"/>
        <item x="1261"/>
        <item x="1531"/>
        <item x="1150"/>
        <item x="378"/>
        <item x="1032"/>
        <item x="1187"/>
        <item x="1165"/>
        <item x="375"/>
        <item x="1148"/>
        <item x="1058"/>
        <item x="937"/>
        <item x="1040"/>
        <item x="1377"/>
        <item x="900"/>
        <item x="905"/>
        <item x="907"/>
        <item x="910"/>
        <item x="538"/>
        <item x="1578"/>
        <item x="297"/>
        <item x="395"/>
        <item x="1507"/>
        <item x="1430"/>
        <item x="1409"/>
        <item x="1432"/>
        <item x="1434"/>
        <item x="1433"/>
        <item x="1431"/>
        <item x="1435"/>
        <item x="1522"/>
        <item x="1520"/>
        <item x="1519"/>
        <item x="575"/>
        <item x="897"/>
        <item x="921"/>
        <item x="380"/>
        <item x="377"/>
        <item x="1149"/>
        <item x="1504"/>
        <item x="1393"/>
        <item x="1390"/>
        <item x="1391"/>
        <item x="1399"/>
        <item x="1394"/>
        <item x="1395"/>
        <item x="1398"/>
        <item x="1397"/>
        <item x="1392"/>
        <item x="1389"/>
        <item x="987"/>
        <item x="1005"/>
        <item x="838"/>
        <item x="393"/>
        <item x="1136"/>
        <item x="1115"/>
        <item x="670"/>
        <item x="669"/>
        <item x="1206"/>
        <item x="1332"/>
        <item x="1203"/>
        <item x="1114"/>
        <item x="1116"/>
        <item x="884"/>
        <item x="603"/>
        <item x="852"/>
        <item x="1152"/>
        <item x="873"/>
        <item x="844"/>
        <item x="894"/>
        <item x="1505"/>
        <item x="887"/>
        <item x="890"/>
        <item x="759"/>
        <item x="1226"/>
        <item x="675"/>
        <item x="1154"/>
        <item x="728"/>
        <item x="1314"/>
        <item x="1313"/>
        <item x="1315"/>
        <item x="1311"/>
        <item x="1312"/>
        <item x="260"/>
        <item x="1486"/>
        <item x="1485"/>
        <item x="777"/>
        <item x="1195"/>
        <item x="390"/>
        <item x="286"/>
        <item x="1374"/>
        <item x="1369"/>
        <item x="287"/>
        <item x="266"/>
        <item x="277"/>
        <item x="268"/>
        <item x="994"/>
        <item x="992"/>
        <item x="1529"/>
        <item x="1323"/>
        <item x="803"/>
        <item x="988"/>
        <item x="1006"/>
        <item x="31"/>
        <item x="29"/>
        <item x="624"/>
        <item x="622"/>
        <item x="626"/>
        <item x="623"/>
        <item x="625"/>
        <item x="629"/>
        <item x="1527"/>
        <item x="1525"/>
        <item x="1524"/>
        <item x="1037"/>
        <item x="1036"/>
        <item x="1496"/>
        <item x="336"/>
        <item x="1493"/>
        <item x="1495"/>
        <item x="1506"/>
        <item x="1026"/>
        <item x="1067"/>
        <item x="1173"/>
        <item x="1162"/>
        <item x="1164"/>
        <item x="1163"/>
        <item x="1161"/>
        <item x="960"/>
        <item x="264"/>
        <item x="959"/>
        <item x="958"/>
        <item x="1425"/>
        <item x="1428"/>
        <item x="995"/>
        <item x="1421"/>
        <item x="996"/>
        <item x="1422"/>
        <item x="280"/>
        <item x="655"/>
        <item x="893"/>
        <item x="981"/>
        <item x="425"/>
        <item x="426"/>
        <item x="427"/>
        <item x="432"/>
        <item x="434"/>
        <item x="435"/>
        <item x="429"/>
        <item x="430"/>
        <item x="431"/>
        <item x="433"/>
        <item x="329"/>
        <item x="989"/>
        <item x="762"/>
        <item x="761"/>
        <item x="1530"/>
        <item x="764"/>
        <item x="763"/>
        <item x="771"/>
        <item x="963"/>
        <item x="766"/>
        <item x="767"/>
        <item x="769"/>
        <item x="765"/>
        <item x="768"/>
        <item x="770"/>
        <item x="611"/>
        <item x="1447"/>
        <item x="1449"/>
        <item x="1382"/>
        <item x="1448"/>
        <item x="374"/>
        <item x="1019"/>
        <item x="1020"/>
        <item x="1022"/>
        <item x="1021"/>
        <item x="366"/>
        <item x="365"/>
        <item x="367"/>
        <item x="576"/>
        <item x="578"/>
        <item x="577"/>
        <item x="1121"/>
        <item x="637"/>
        <item x="805"/>
        <item x="644"/>
        <item x="639"/>
        <item x="642"/>
        <item x="641"/>
        <item x="643"/>
        <item x="640"/>
        <item x="787"/>
        <item x="1597"/>
        <item x="607"/>
        <item x="983"/>
        <item x="990"/>
        <item x="369"/>
        <item x="368"/>
        <item x="372"/>
        <item x="1569"/>
        <item x="1568"/>
        <item x="1567"/>
        <item x="1570"/>
        <item x="982"/>
        <item x="1007"/>
        <item x="695"/>
        <item x="690"/>
        <item x="696"/>
        <item x="1386"/>
        <item x="1388"/>
        <item x="1387"/>
        <item x="1402"/>
        <item x="1151"/>
        <item x="496"/>
        <item x="510"/>
        <item x="509"/>
        <item x="437"/>
        <item x="95"/>
        <item x="122"/>
        <item x="480"/>
        <item x="448"/>
        <item x="449"/>
        <item x="479"/>
        <item x="473"/>
        <item x="1188"/>
        <item x="1184"/>
        <item x="1186"/>
        <item x="1185"/>
        <item x="1183"/>
        <item x="1381"/>
        <item x="465"/>
        <item x="468"/>
        <item x="467"/>
        <item x="483"/>
        <item x="469"/>
        <item x="464"/>
        <item x="450"/>
        <item x="461"/>
        <item x="462"/>
        <item x="463"/>
        <item x="489"/>
        <item x="485"/>
        <item x="456"/>
        <item x="486"/>
        <item x="487"/>
        <item x="455"/>
        <item x="460"/>
        <item x="459"/>
        <item x="484"/>
        <item x="458"/>
        <item x="452"/>
        <item x="482"/>
        <item x="454"/>
        <item x="488"/>
        <item x="457"/>
        <item x="451"/>
        <item x="453"/>
        <item x="955"/>
        <item x="1365"/>
        <item x="1366"/>
        <item x="1502"/>
        <item x="1199"/>
        <item x="1526"/>
        <item x="1222"/>
        <item x="1497"/>
        <item x="1191"/>
        <item x="1193"/>
        <item x="1192"/>
        <item x="1190"/>
        <item x="1414"/>
        <item x="856"/>
        <item x="834"/>
        <item x="930"/>
        <item x="943"/>
        <item x="831"/>
        <item x="819"/>
        <item x="868"/>
        <item x="840"/>
        <item x="914"/>
        <item x="913"/>
        <item x="912"/>
        <item x="613"/>
        <item x="1080"/>
        <item x="296"/>
        <item x="609"/>
        <item x="77"/>
        <item x="616"/>
        <item x="1212"/>
        <item x="1271"/>
        <item x="610"/>
        <item x="265"/>
        <item x="476"/>
        <item x="477"/>
        <item x="1350"/>
        <item x="957"/>
        <item x="147"/>
        <item x="1097"/>
        <item x="54"/>
        <item x="62"/>
        <item x="53"/>
        <item x="758"/>
        <item x="1361"/>
        <item x="1302"/>
        <item x="1301"/>
        <item x="662"/>
        <item x="229"/>
        <item x="232"/>
        <item x="292"/>
        <item x="235"/>
        <item x="757"/>
        <item x="60"/>
        <item x="51"/>
        <item x="636"/>
        <item x="1139"/>
        <item x="1141"/>
        <item x="1140"/>
        <item x="1138"/>
        <item x="933"/>
        <item x="932"/>
        <item x="1269"/>
        <item x="896"/>
        <item x="854"/>
        <item x="883"/>
        <item x="859"/>
        <item x="1109"/>
        <item x="1108"/>
        <item x="1159"/>
        <item x="1498"/>
        <item x="1144"/>
        <item x="1146"/>
        <item x="1145"/>
        <item x="1143"/>
        <item x="1419"/>
        <item x="539"/>
        <item x="991"/>
        <item x="973"/>
        <item x="738"/>
        <item x="773"/>
        <item x="718"/>
        <item x="543"/>
        <item x="712"/>
        <item x="1474"/>
        <item x="1214"/>
        <item x="1585"/>
        <item x="1229"/>
        <item x="1501"/>
        <item x="1231"/>
        <item x="1230"/>
        <item x="1410"/>
        <item x="1415"/>
        <item x="400"/>
        <item x="403"/>
        <item x="401"/>
        <item x="404"/>
        <item x="665"/>
        <item x="666"/>
        <item x="526"/>
        <item x="1196"/>
        <item x="1105"/>
        <item x="1106"/>
        <item x="474"/>
        <item x="1068"/>
        <item x="302"/>
        <item x="304"/>
        <item x="303"/>
        <item x="152"/>
        <item x="828"/>
        <item x="691"/>
        <item x="1168"/>
        <item x="1119"/>
        <item x="357"/>
        <item x="534"/>
        <item x="580"/>
        <item x="1279"/>
        <item x="181"/>
        <item x="381"/>
        <item x="1096"/>
        <item x="445"/>
        <item x="1555"/>
        <item x="96"/>
        <item x="851"/>
        <item x="902"/>
        <item x="939"/>
        <item x="612"/>
        <item x="255"/>
        <item x="257"/>
        <item x="1135"/>
        <item x="755"/>
        <item x="617"/>
        <item x="860"/>
        <item x="822"/>
        <item x="915"/>
        <item x="1411"/>
        <item x="1416"/>
        <item x="1260"/>
        <item x="1614"/>
        <item x="1615"/>
        <item x="1616"/>
        <item x="1612"/>
        <item x="1609"/>
        <item x="1610"/>
        <item x="1613"/>
        <item x="1611"/>
        <item x="1604"/>
        <item x="1603"/>
        <item x="1601"/>
        <item x="272"/>
        <item x="600"/>
        <item x="601"/>
        <item x="602"/>
        <item x="416"/>
        <item x="535"/>
        <item x="417"/>
        <item x="537"/>
        <item x="531"/>
        <item x="530"/>
        <item x="174"/>
        <item x="176"/>
        <item x="175"/>
        <item x="1241"/>
        <item x="1481"/>
        <item x="1482"/>
        <item x="1483"/>
        <item x="1099"/>
        <item x="160"/>
        <item x="163"/>
        <item x="165"/>
        <item x="168"/>
        <item x="170"/>
        <item x="164"/>
        <item x="167"/>
        <item x="169"/>
        <item x="162"/>
        <item x="161"/>
        <item x="1412"/>
        <item x="1417"/>
        <item x="1424"/>
        <item x="1078"/>
        <item x="1429"/>
        <item x="1009"/>
        <item x="998"/>
        <item x="779"/>
        <item x="1076"/>
        <item x="1077"/>
        <item x="1075"/>
        <item x="1079"/>
        <item x="967"/>
        <item x="970"/>
        <item x="1003"/>
        <item x="1599"/>
        <item x="684"/>
        <item x="402"/>
        <item x="634"/>
        <item x="663"/>
        <item x="68"/>
        <item x="1300"/>
        <item x="110"/>
        <item x="67"/>
        <item x="55"/>
        <item x="52"/>
        <item x="187"/>
        <item x="1563"/>
        <item x="1558"/>
        <item x="1560"/>
        <item x="1559"/>
        <item x="1413"/>
        <item x="1418"/>
        <item x="189"/>
        <item x="212"/>
        <item x="208"/>
        <item x="210"/>
        <item x="222"/>
        <item x="220"/>
        <item x="218"/>
        <item x="214"/>
        <item x="209"/>
        <item x="216"/>
        <item x="211"/>
        <item x="191"/>
        <item x="198"/>
        <item x="206"/>
        <item x="200"/>
        <item x="202"/>
        <item x="204"/>
        <item x="195"/>
        <item x="196"/>
        <item x="135"/>
        <item x="133"/>
        <item x="134"/>
        <item x="704"/>
        <item x="1551"/>
        <item x="1549"/>
        <item x="1547"/>
        <item x="362"/>
        <item x="440"/>
        <item x="185"/>
        <item x="386"/>
        <item x="1573"/>
        <item x="443"/>
        <item x="1576"/>
        <item x="1443"/>
        <item x="1250"/>
        <item x="1198"/>
        <item x="760"/>
        <item x="1540"/>
        <item x="1539"/>
        <item x="1536"/>
        <item x="1538"/>
        <item x="1537"/>
        <item x="1541"/>
        <item x="1553"/>
        <item x="1499"/>
        <item x="1221"/>
        <item x="1364"/>
        <item x="1319"/>
        <item x="1321"/>
        <item x="1320"/>
        <item x="1318"/>
        <item x="1268"/>
        <item x="1267"/>
        <item x="1373"/>
        <item x="109"/>
        <item x="1491"/>
        <item x="1489"/>
        <item x="1488"/>
        <item x="1354"/>
        <item x="1359"/>
        <item x="1360"/>
        <item x="1343"/>
        <item x="1341"/>
        <item x="1333"/>
        <item x="1338"/>
        <item x="1327"/>
        <item x="1329"/>
        <item x="1335"/>
        <item x="1331"/>
        <item x="1357"/>
        <item x="1346"/>
        <item x="604"/>
        <item x="75"/>
        <item x="1259"/>
        <item x="1473"/>
        <item x="1001"/>
        <item x="1000"/>
        <item x="1011"/>
        <item x="1013"/>
        <item x="1015"/>
        <item x="1014"/>
        <item x="1012"/>
        <item x="1010"/>
        <item x="1035"/>
        <item x="984"/>
        <item x="965"/>
        <item x="999"/>
        <item x="1002"/>
        <item x="16"/>
        <item x="1606"/>
        <item x="27"/>
        <item x="1049"/>
        <item x="713"/>
        <item x="727"/>
        <item x="138"/>
        <item x="43"/>
        <item x="155"/>
        <item x="154"/>
        <item x="276"/>
        <item x="140"/>
        <item x="4"/>
        <item x="3"/>
        <item x="34"/>
        <item x="32"/>
        <item x="1093"/>
        <item x="715"/>
        <item x="726"/>
        <item x="687"/>
        <item x="740"/>
        <item x="986"/>
        <item x="714"/>
        <item x="605"/>
        <item x="606"/>
        <item x="1258"/>
        <item x="1472"/>
        <item x="1471"/>
        <item x="743"/>
        <item x="793"/>
        <item x="745"/>
        <item x="245"/>
        <item x="1041"/>
        <item x="928"/>
        <item x="61"/>
        <item x="6"/>
        <item x="5"/>
        <item x="45"/>
        <item x="49"/>
        <item x="46"/>
        <item x="50"/>
        <item x="1225"/>
        <item x="180"/>
        <item x="511"/>
        <item x="444"/>
        <item x="438"/>
        <item x="1039"/>
        <item x="1167"/>
        <item x="1169"/>
        <item x="1581"/>
        <item x="333"/>
        <item x="30"/>
        <item x="697"/>
        <item x="797"/>
        <item x="798"/>
        <item x="795"/>
        <item x="796"/>
        <item x="801"/>
        <item x="783"/>
        <item x="26"/>
        <item x="39"/>
        <item x="737"/>
        <item x="752"/>
        <item x="788"/>
        <item x="41"/>
        <item x="1060"/>
        <item x="940"/>
        <item x="847"/>
        <item x="813"/>
        <item x="816"/>
        <item x="839"/>
        <item x="654"/>
        <item x="652"/>
        <item x="653"/>
        <item x="491"/>
        <item x="494"/>
        <item x="493"/>
        <item x="495"/>
        <item x="497"/>
        <item x="503"/>
        <item x="498"/>
        <item x="499"/>
        <item x="504"/>
        <item x="500"/>
        <item x="501"/>
        <item x="502"/>
        <item x="492"/>
        <item x="1238"/>
        <item x="1240"/>
        <item x="1239"/>
        <item x="583"/>
        <item x="412"/>
        <item x="413"/>
        <item x="414"/>
        <item x="244"/>
        <item x="392"/>
        <item x="80"/>
        <item x="1400"/>
        <item x="825"/>
        <item x="470"/>
        <item x="471"/>
        <item x="420"/>
        <item x="1362"/>
        <item x="281"/>
        <item x="261"/>
        <item x="263"/>
        <item x="1375"/>
        <item x="262"/>
        <item x="223"/>
        <item x="892"/>
        <item x="240"/>
        <item x="1031"/>
        <item x="1030"/>
        <item x="186"/>
        <item x="1057"/>
        <item x="172"/>
        <item x="674"/>
        <item x="1304"/>
        <item x="117"/>
        <item x="1591"/>
        <item x="231"/>
        <item x="1379"/>
        <item x="56"/>
        <item x="619"/>
        <item x="234"/>
        <item x="1123"/>
        <item x="1218"/>
        <item x="331"/>
        <item x="942"/>
        <item x="814"/>
        <item x="885"/>
        <item x="861"/>
        <item x="888"/>
        <item x="254"/>
        <item x="225"/>
        <item x="256"/>
        <item x="1245"/>
        <item x="1247"/>
        <item x="1246"/>
        <item x="1252"/>
        <item x="1244"/>
        <item x="1248"/>
        <item x="1358"/>
        <item x="97"/>
        <item x="1544"/>
        <item x="1033"/>
        <item x="1090"/>
        <item x="778"/>
        <item x="1089"/>
        <item x="1088"/>
        <item x="1098"/>
        <item x="1087"/>
        <item x="1111"/>
        <item x="969"/>
        <item x="968"/>
        <item x="37"/>
        <item x="38"/>
        <item x="1598"/>
        <item x="683"/>
        <item x="751"/>
        <item x="823"/>
        <item x="953"/>
        <item x="956"/>
        <item x="646"/>
        <item x="647"/>
        <item x="648"/>
        <item x="649"/>
        <item x="1298"/>
        <item x="1294"/>
        <item x="1297"/>
        <item x="1299"/>
        <item x="158"/>
        <item x="1157"/>
        <item m="1" x="1621"/>
        <item x="1172"/>
        <item x="283"/>
        <item x="271"/>
        <item x="274"/>
        <item x="1521"/>
        <item x="1494"/>
        <item x="1113"/>
        <item x="428"/>
        <item x="1446"/>
        <item x="373"/>
        <item x="1566"/>
        <item x="1385"/>
        <item x="472"/>
        <item x="481"/>
        <item x="849"/>
        <item x="145"/>
        <item x="177"/>
        <item x="166"/>
        <item x="1557"/>
        <item x="192"/>
        <item x="136"/>
        <item x="1535"/>
        <item x="1490"/>
        <item x="1470"/>
        <item x="113"/>
        <item x="353"/>
        <item x="1292"/>
        <item x="1451"/>
        <item x="1437"/>
        <item x="524"/>
        <item x="98"/>
        <item x="918"/>
        <item x="590"/>
        <item x="574"/>
        <item x="734"/>
        <item x="736"/>
        <item x="735"/>
        <item x="250"/>
        <item x="388"/>
        <item x="171"/>
        <item x="664"/>
        <item x="659"/>
        <item x="660"/>
        <item x="116"/>
        <item x="1355"/>
        <item x="78"/>
        <item x="149"/>
        <item x="1352"/>
        <item x="295"/>
        <item x="1336"/>
        <item x="1371"/>
        <item x="1072"/>
        <item x="112"/>
        <item x="1126"/>
        <item x="1024"/>
        <item x="1128"/>
        <item x="1082"/>
        <item x="1564"/>
        <item x="143"/>
        <item x="141"/>
        <item x="527"/>
        <item x="130"/>
        <item x="290"/>
        <item x="142"/>
        <item x="384"/>
        <item x="226"/>
        <item x="1016"/>
        <item x="227"/>
        <item x="1017"/>
        <item x="59"/>
        <item x="58"/>
        <item x="383"/>
        <item x="1479"/>
        <item x="79"/>
        <item m="1" x="1622"/>
        <item x="1074"/>
        <item x="1134"/>
        <item x="1122"/>
        <item x="898"/>
        <item x="916"/>
        <item x="827"/>
        <item x="833"/>
        <item x="830"/>
        <item m="1" x="1623"/>
        <item x="355"/>
        <item x="324"/>
        <item x="108"/>
        <item x="1477"/>
        <item x="183"/>
        <item x="1596"/>
        <item x="1213"/>
        <item x="533"/>
        <item x="1056"/>
        <item x="1328"/>
        <item x="1334"/>
        <item x="1330"/>
        <item x="1204"/>
        <item x="1208"/>
        <item x="1201"/>
        <item x="1275"/>
        <item x="1281"/>
        <item x="1273"/>
        <item x="977"/>
        <item x="978"/>
        <item x="979"/>
        <item x="980"/>
        <item x="976"/>
        <item x="1405"/>
        <item x="1406"/>
        <item x="1407"/>
        <item x="1408"/>
        <item x="1404"/>
        <item x="293"/>
        <item x="294"/>
        <item x="291"/>
        <item x="1589"/>
        <item x="1211"/>
        <item x="466"/>
        <item x="1073"/>
        <item x="512"/>
        <item x="1533"/>
        <item x="1503"/>
        <item x="1457"/>
        <item x="1463"/>
        <item x="1460"/>
        <item x="1458"/>
        <item x="1466"/>
        <item x="1465"/>
        <item x="1467"/>
        <item x="1464"/>
        <item x="1459"/>
        <item x="1469"/>
        <item x="1468"/>
        <item x="1461"/>
        <item x="1462"/>
        <item x="505"/>
        <item x="507"/>
        <item x="506"/>
        <item x="628"/>
        <item x="627"/>
        <item x="717"/>
        <item x="961"/>
        <item x="1147"/>
        <item x="1545"/>
        <item x="744"/>
        <item x="794"/>
        <item x="792"/>
        <item x="789"/>
        <item x="746"/>
        <item x="246"/>
        <item x="1042"/>
        <item x="790"/>
        <item x="791"/>
        <item x="475"/>
        <item x="11"/>
        <item x="10"/>
        <item x="9"/>
        <item x="8"/>
        <item x="15"/>
        <item x="14"/>
        <item x="13"/>
        <item x="12"/>
        <item x="22"/>
        <item x="1618"/>
        <item x="28"/>
        <item x="1048"/>
        <item x="710"/>
        <item x="703"/>
        <item x="47"/>
        <item x="279"/>
        <item x="754"/>
        <item x="35"/>
        <item x="33"/>
        <item x="1092"/>
        <item x="707"/>
        <item x="753"/>
        <item x="724"/>
        <item x="657"/>
        <item x="742"/>
        <item x="711"/>
        <item x="514"/>
        <item x="962"/>
        <item x="922"/>
        <item x="273"/>
        <item x="756"/>
        <item x="671"/>
        <item x="677"/>
        <item x="676"/>
        <item x="1590"/>
        <item x="699"/>
        <item x="948"/>
        <item x="935"/>
        <item x="673"/>
        <item x="950"/>
        <item x="938"/>
        <item x="820"/>
        <item x="680"/>
        <item x="359"/>
        <item x="845"/>
        <item x="846"/>
        <item x="864"/>
        <item x="866"/>
        <item x="850"/>
        <item x="694"/>
        <item x="843"/>
        <item x="842"/>
        <item x="1179"/>
        <item x="1584"/>
        <item x="1277"/>
        <item x="1210"/>
        <item x="1205"/>
        <item x="1209"/>
        <item x="1207"/>
        <item x="1202"/>
        <item x="242"/>
        <item x="241"/>
        <item x="334"/>
        <item x="335"/>
        <item x="1200"/>
        <item x="104"/>
        <item x="105"/>
        <item x="347"/>
        <item x="343"/>
        <item x="349"/>
        <item x="350"/>
        <item x="344"/>
        <item x="346"/>
        <item x="341"/>
        <item x="348"/>
        <item x="345"/>
        <item x="351"/>
        <item x="352"/>
        <item x="360"/>
        <item x="338"/>
        <item x="340"/>
        <item x="339"/>
        <item x="358"/>
        <item x="106"/>
        <item x="118"/>
        <item x="114"/>
        <item x="115"/>
        <item x="119"/>
        <item x="120"/>
        <item x="121"/>
        <item x="127"/>
        <item x="125"/>
        <item x="126"/>
        <item x="872"/>
        <item x="871"/>
        <item x="880"/>
        <item x="879"/>
        <item x="878"/>
        <item x="877"/>
        <item x="874"/>
        <item x="881"/>
        <item x="857"/>
        <item x="658"/>
        <item x="667"/>
        <item x="829"/>
        <item x="656"/>
        <item x="721"/>
        <item x="732"/>
        <item x="722"/>
        <item x="723"/>
        <item x="725"/>
        <item x="705"/>
        <item x="774"/>
        <item x="776"/>
        <item x="785"/>
        <item x="775"/>
        <item x="799"/>
        <item x="682"/>
        <item x="731"/>
        <item x="719"/>
        <item x="786"/>
        <item x="800"/>
        <item x="1286"/>
        <item x="1264"/>
        <item x="1291"/>
        <item x="1288"/>
        <item x="1266"/>
        <item x="1265"/>
        <item x="1276"/>
        <item x="1282"/>
        <item x="1274"/>
        <item x="1478"/>
        <item x="1476"/>
        <item x="1219"/>
        <item x="1289"/>
        <item x="94"/>
        <item x="441"/>
        <item x="107"/>
        <item x="387"/>
        <item x="1574"/>
        <item x="818"/>
        <item x="1215"/>
        <item x="1133"/>
        <item x="1220"/>
        <item x="252"/>
        <item x="572"/>
        <item x="436"/>
        <item x="1306"/>
        <item x="327"/>
        <item x="1339"/>
        <item x="1284"/>
        <item x="326"/>
        <item x="236"/>
        <item x="545"/>
        <item x="540"/>
        <item x="356"/>
        <item x="862"/>
        <item x="909"/>
        <item x="904"/>
        <item x="247"/>
        <item x="285"/>
        <item x="685"/>
        <item x="686"/>
        <item x="867"/>
        <item x="1131"/>
        <item x="1452"/>
        <item x="1454"/>
        <item x="1453"/>
        <item x="1455"/>
        <item x="1176"/>
        <item x="1178"/>
        <item x="1177"/>
        <item x="1175"/>
        <item x="747"/>
        <item x="750"/>
        <item x="749"/>
        <item x="748"/>
        <item x="1025"/>
        <item x="692"/>
        <item x="1438"/>
        <item x="1440"/>
        <item x="1439"/>
        <item x="1441"/>
        <item x="582"/>
        <item x="1583"/>
        <item x="1345"/>
        <item x="1100"/>
        <item x="1101"/>
        <item x="1102"/>
        <item x="1347"/>
        <item x="1586"/>
        <item x="1118"/>
        <item x="1370"/>
        <item x="230"/>
        <item x="1083"/>
        <item x="1084"/>
        <item x="1064"/>
        <item x="1065"/>
        <item x="516"/>
        <item x="518"/>
        <item x="517"/>
        <item x="525"/>
        <item x="1045"/>
        <item x="519"/>
        <item x="520"/>
        <item x="521"/>
        <item x="523"/>
        <item x="522"/>
        <item x="1216"/>
        <item x="926"/>
        <item x="927"/>
        <item x="1081"/>
        <item x="1307"/>
        <item x="688"/>
        <item x="1516"/>
        <item x="1517"/>
        <item x="1594"/>
        <item x="668"/>
        <item x="1349"/>
        <item x="672"/>
        <item x="1085"/>
        <item x="1027"/>
        <item x="700"/>
        <item x="1217"/>
        <item x="1125"/>
        <item x="513"/>
        <item x="233"/>
        <item x="1055"/>
        <item x="1054"/>
        <item x="1117"/>
        <item x="586"/>
        <item x="1181"/>
        <item x="2"/>
        <item x="64"/>
        <item x="679"/>
        <item x="678"/>
        <item x="76"/>
        <item x="148"/>
        <item x="1158"/>
        <item x="615"/>
        <item x="128"/>
        <item x="730"/>
        <item x="1124"/>
        <item x="1283"/>
        <item x="1251"/>
        <item x="1127"/>
        <item x="1170"/>
        <item x="146"/>
        <item x="1376"/>
        <item x="1132"/>
        <item x="1155"/>
        <item x="919"/>
        <item x="954"/>
        <item x="701"/>
        <item x="631"/>
        <item x="633"/>
        <item x="585"/>
        <item x="584"/>
        <item x="821"/>
        <item x="65"/>
        <item x="190"/>
        <item x="139"/>
        <item x="18"/>
        <item x="17"/>
        <item x="21"/>
        <item x="20"/>
        <item x="19"/>
        <item x="25"/>
        <item x="24"/>
        <item x="23"/>
        <item x="608"/>
        <item x="1592"/>
        <item x="1129"/>
        <item x="1023"/>
        <item x="1305"/>
        <item x="1351"/>
        <item x="228"/>
        <item x="1532"/>
        <item x="123"/>
        <item x="1324"/>
        <item x="1223"/>
        <item x="1038"/>
        <item x="1166"/>
        <item x="1554"/>
        <item x="354"/>
        <item x="446"/>
        <item x="1278"/>
        <item x="1444"/>
        <item x="382"/>
        <item x="1249"/>
        <item x="1587"/>
        <item x="325"/>
        <item x="376"/>
        <item x="379"/>
        <item x="1180"/>
        <item x="1262"/>
        <item x="1156"/>
        <item x="1094"/>
        <item x="1242"/>
        <item x="1561"/>
        <item x="1571"/>
        <item x="178"/>
        <item x="1270"/>
        <item x="182"/>
        <item x="1066"/>
        <item x="1070"/>
        <item x="1194"/>
        <item x="137"/>
        <item x="320"/>
        <item x="1059"/>
        <item x="1061"/>
        <item x="1104"/>
        <item x="1044"/>
        <item x="1110"/>
        <item x="1107"/>
        <item x="966"/>
        <item x="1043"/>
        <item x="1071"/>
        <item x="579"/>
        <item x="363"/>
        <item x="1224"/>
        <item x="739"/>
        <item x="923"/>
        <item x="239"/>
        <item x="1378"/>
        <item x="901"/>
        <item x="906"/>
        <item x="908"/>
        <item x="911"/>
        <item x="693"/>
        <item x="1475"/>
        <item x="560"/>
        <item x="547"/>
        <item x="548"/>
        <item x="544"/>
        <item x="559"/>
        <item x="558"/>
        <item x="557"/>
        <item x="549"/>
        <item x="550"/>
        <item x="542"/>
        <item x="546"/>
        <item x="555"/>
        <item x="556"/>
        <item x="551"/>
        <item x="552"/>
        <item x="567"/>
        <item x="553"/>
        <item x="564"/>
        <item x="568"/>
        <item x="561"/>
        <item x="565"/>
        <item x="569"/>
        <item x="562"/>
        <item x="566"/>
        <item x="570"/>
        <item x="563"/>
        <item x="554"/>
        <item x="571"/>
        <item x="418"/>
        <item x="415"/>
        <item x="408"/>
        <item x="410"/>
        <item x="396"/>
        <item x="407"/>
        <item x="406"/>
        <item x="422"/>
        <item x="421"/>
        <item x="399"/>
        <item x="903"/>
        <item x="1579"/>
        <item x="299"/>
        <item x="298"/>
        <item x="698"/>
        <item x="782"/>
        <item x="409"/>
        <item x="405"/>
        <item x="36"/>
        <item x="40"/>
        <item x="645"/>
        <item x="784"/>
        <item x="42"/>
        <item x="706"/>
        <item x="708"/>
        <item x="709"/>
        <item x="716"/>
        <item x="411"/>
        <item x="423"/>
        <item x="288"/>
        <item x="289"/>
        <item x="974"/>
        <item x="394"/>
        <item x="81"/>
        <item x="780"/>
        <item x="781"/>
        <item x="101"/>
        <item x="635"/>
        <item x="102"/>
        <item x="103"/>
        <item x="1322"/>
        <item x="1120"/>
        <item x="581"/>
        <item x="124"/>
        <item x="661"/>
        <item x="253"/>
        <item x="156"/>
        <item x="111"/>
        <item x="224"/>
        <item x="532"/>
        <item x="1593"/>
        <item x="237"/>
        <item x="248"/>
        <item x="57"/>
        <item x="1130"/>
        <item x="1348"/>
        <item x="258"/>
        <item x="618"/>
        <item x="729"/>
        <item x="1607"/>
        <item x="1303"/>
        <item x="1028"/>
        <item x="946"/>
        <item x="1153"/>
        <item x="251"/>
        <item x="1510"/>
        <item x="1512"/>
        <item x="1511"/>
        <item x="1515"/>
        <item x="1296"/>
        <item x="1508"/>
        <item x="1514"/>
        <item x="1513"/>
        <item x="1295"/>
        <item x="1509"/>
        <item x="807"/>
        <item x="144"/>
        <item x="882"/>
        <item x="941"/>
        <item x="1095"/>
        <item x="1228"/>
        <item x="150"/>
        <item x="151"/>
        <item x="802"/>
        <item t="default"/>
      </items>
    </pivotField>
    <pivotField compact="0" outline="0" showAll="0"/>
    <pivotField axis="axisPage" compact="0" outline="0" showAll="0">
      <items count="7">
        <item x="5"/>
        <item x="4"/>
        <item x="2"/>
        <item x="0"/>
        <item x="3"/>
        <item x="1"/>
        <item t="default"/>
      </items>
    </pivotField>
    <pivotField compact="0" outline="0" showAll="0"/>
    <pivotField compact="0" outline="0" showAll="0"/>
  </pivotFields>
  <rowFields count="5">
    <field x="0"/>
    <field x="4"/>
    <field x="3"/>
    <field x="5"/>
    <field x="7"/>
  </rowFields>
  <rowItems count="1472">
    <i>
      <x/>
      <x v="20"/>
      <x v="19"/>
      <x v="112"/>
      <x v="609"/>
    </i>
    <i r="1">
      <x v="106"/>
      <x v="19"/>
      <x v="43"/>
      <x v="374"/>
    </i>
    <i r="3">
      <x v="65"/>
      <x v="1211"/>
    </i>
    <i r="3">
      <x v="111"/>
      <x v="608"/>
    </i>
    <i r="3">
      <x v="112"/>
      <x v="609"/>
    </i>
    <i r="3">
      <x v="121"/>
      <x v="1096"/>
    </i>
    <i r="3">
      <x v="126"/>
      <x v="607"/>
    </i>
    <i r="3">
      <x v="140"/>
      <x v="595"/>
    </i>
    <i r="3">
      <x v="173"/>
      <x v="1094"/>
    </i>
    <i r="3">
      <x v="189"/>
      <x v="685"/>
    </i>
    <i r="3">
      <x v="191"/>
      <x v="1283"/>
    </i>
    <i r="3">
      <x v="215"/>
      <x v="975"/>
    </i>
    <i r="3">
      <x v="224"/>
      <x v="757"/>
    </i>
    <i r="3">
      <x v="260"/>
      <x v="976"/>
    </i>
    <i r="3">
      <x v="283"/>
      <x v="756"/>
    </i>
    <i r="3">
      <x v="332"/>
      <x v="1597"/>
    </i>
    <i r="3">
      <x v="336"/>
      <x v="1593"/>
    </i>
    <i r="1">
      <x v="112"/>
      <x v="19"/>
      <x v="111"/>
      <x v="608"/>
    </i>
    <i r="3">
      <x v="112"/>
      <x v="609"/>
    </i>
    <i r="3">
      <x v="113"/>
      <x v="610"/>
    </i>
    <i r="3">
      <x v="121"/>
      <x v="1096"/>
    </i>
    <i r="3">
      <x v="122"/>
      <x v="1097"/>
    </i>
    <i r="3">
      <x v="140"/>
      <x v="595"/>
    </i>
    <i r="3">
      <x v="173"/>
      <x v="1094"/>
    </i>
    <i r="3">
      <x v="215"/>
      <x v="975"/>
    </i>
    <i r="3">
      <x v="224"/>
      <x v="757"/>
    </i>
    <i r="3">
      <x v="225"/>
      <x v="750"/>
    </i>
    <i r="3">
      <x v="283"/>
      <x v="756"/>
    </i>
    <i r="3">
      <x v="331"/>
      <x v="1591"/>
    </i>
    <i r="3">
      <x v="336"/>
      <x v="1593"/>
    </i>
    <i r="3">
      <x v="340"/>
      <x v="1623"/>
    </i>
    <i r="3">
      <x v="344"/>
      <x v="397"/>
    </i>
    <i r="1">
      <x v="113"/>
      <x v="19"/>
      <x v="166"/>
      <x v="1086"/>
    </i>
    <i r="3">
      <x v="173"/>
      <x v="1094"/>
    </i>
    <i r="3">
      <x v="330"/>
      <x v="1589"/>
    </i>
    <i r="3">
      <x v="331"/>
      <x v="1591"/>
    </i>
    <i r="1">
      <x v="114"/>
      <x v="19"/>
      <x v="43"/>
      <x v="374"/>
    </i>
    <i r="3">
      <x v="112"/>
      <x v="609"/>
    </i>
    <i r="3">
      <x v="113"/>
      <x v="610"/>
    </i>
    <i r="3">
      <x v="129"/>
      <x v="1598"/>
    </i>
    <i r="3">
      <x v="158"/>
      <x v="1075"/>
    </i>
    <i r="3">
      <x v="173"/>
      <x v="1094"/>
    </i>
    <i r="3">
      <x v="201"/>
      <x v="1422"/>
    </i>
    <i r="3">
      <x v="224"/>
      <x v="757"/>
    </i>
    <i r="3">
      <x v="246"/>
      <x v="686"/>
    </i>
    <i r="3">
      <x v="260"/>
      <x v="976"/>
    </i>
    <i r="3">
      <x v="282"/>
      <x v="755"/>
    </i>
    <i r="3">
      <x v="283"/>
      <x v="756"/>
    </i>
    <i r="3">
      <x v="302"/>
      <x v="1070"/>
    </i>
    <i r="3">
      <x v="332"/>
      <x v="1597"/>
    </i>
    <i r="3">
      <x v="336"/>
      <x v="1593"/>
    </i>
    <i r="1">
      <x v="115"/>
      <x v="19"/>
      <x v="387"/>
      <x v="114"/>
    </i>
    <i r="1">
      <x v="116"/>
      <x v="19"/>
      <x v="41"/>
      <x v="1434"/>
    </i>
    <i r="3">
      <x v="51"/>
      <x v="1510"/>
    </i>
    <i r="3">
      <x v="92"/>
      <x v="1457"/>
    </i>
    <i r="3">
      <x v="95"/>
      <x v="665"/>
    </i>
    <i r="3">
      <x v="104"/>
      <x v="1230"/>
    </i>
    <i r="3">
      <x v="105"/>
      <x v="1596"/>
    </i>
    <i r="3">
      <x v="115"/>
      <x v="1073"/>
    </i>
    <i r="3">
      <x v="122"/>
      <x v="1097"/>
    </i>
    <i r="3">
      <x v="151"/>
      <x v="980"/>
    </i>
    <i r="3">
      <x v="279"/>
      <x v="752"/>
    </i>
    <i r="3">
      <x v="283"/>
      <x v="756"/>
    </i>
    <i r="3">
      <x v="284"/>
      <x v="749"/>
    </i>
    <i r="3">
      <x v="313"/>
      <x v="1216"/>
    </i>
    <i r="3">
      <x v="322"/>
      <x v="1403"/>
    </i>
    <i r="3">
      <x v="336"/>
      <x v="1593"/>
    </i>
    <i r="3">
      <x v="1623"/>
      <x v="1359"/>
    </i>
    <i r="1">
      <x v="117"/>
      <x v="19"/>
      <x v="12"/>
      <x v="1472"/>
    </i>
    <i r="3">
      <x v="58"/>
      <x v="1394"/>
    </i>
    <i r="3">
      <x v="92"/>
      <x v="1457"/>
    </i>
    <i r="3">
      <x v="141"/>
      <x v="597"/>
    </i>
    <i r="3">
      <x v="191"/>
      <x v="1283"/>
    </i>
    <i r="3">
      <x v="198"/>
      <x v="1067"/>
    </i>
    <i r="3">
      <x v="215"/>
      <x v="975"/>
    </i>
    <i r="3">
      <x v="278"/>
      <x v="751"/>
    </i>
    <i r="3">
      <x v="283"/>
      <x v="756"/>
    </i>
    <i r="3">
      <x v="406"/>
      <x v="895"/>
    </i>
    <i r="3">
      <x v="407"/>
      <x/>
    </i>
    <i r="3">
      <x v="409"/>
      <x v="672"/>
    </i>
    <i r="1">
      <x v="118"/>
      <x v="19"/>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9"/>
      <x v="1584"/>
    </i>
    <i r="3">
      <x v="259"/>
      <x v="968"/>
    </i>
    <i r="3">
      <x v="260"/>
      <x v="976"/>
    </i>
    <i r="3">
      <x v="263"/>
      <x v="652"/>
    </i>
    <i r="3">
      <x v="264"/>
      <x v="653"/>
    </i>
    <i r="3">
      <x v="276"/>
      <x v="1415"/>
    </i>
    <i r="3">
      <x v="277"/>
      <x v="1416"/>
    </i>
    <i r="3">
      <x v="278"/>
      <x v="751"/>
    </i>
    <i r="3">
      <x v="279"/>
      <x v="752"/>
    </i>
    <i r="3">
      <x v="281"/>
      <x v="754"/>
    </i>
    <i r="3">
      <x v="321"/>
      <x v="1400"/>
    </i>
    <i r="1">
      <x v="128"/>
      <x v="20"/>
      <x v="53"/>
      <x v="30"/>
    </i>
    <i r="3">
      <x v="107"/>
      <x v="1602"/>
    </i>
    <i r="3">
      <x v="323"/>
      <x v="25"/>
    </i>
    <i r="1">
      <x v="129"/>
      <x v="20"/>
      <x v="60"/>
      <x v="919"/>
    </i>
    <i r="3">
      <x v="153"/>
      <x v="1013"/>
    </i>
    <i r="3">
      <x v="208"/>
      <x v="680"/>
    </i>
    <i r="3">
      <x v="228"/>
      <x v="571"/>
    </i>
    <i r="3">
      <x v="288"/>
      <x v="38"/>
    </i>
    <i r="3">
      <x v="296"/>
      <x v="981"/>
    </i>
    <i r="3">
      <x v="300"/>
      <x v="985"/>
    </i>
    <i r="3">
      <x v="301"/>
      <x v="1618"/>
    </i>
    <i r="1">
      <x v="130"/>
      <x v="20"/>
      <x v="54"/>
      <x v="35"/>
    </i>
    <i r="1">
      <x v="131"/>
      <x v="20"/>
      <x v="153"/>
      <x v="1013"/>
    </i>
    <i r="3">
      <x v="208"/>
      <x v="680"/>
    </i>
    <i r="1">
      <x v="132"/>
      <x v="20"/>
      <x v="53"/>
      <x v="30"/>
    </i>
    <i r="3">
      <x v="107"/>
      <x v="1602"/>
    </i>
    <i r="1">
      <x v="133"/>
      <x v="20"/>
      <x v="50"/>
      <x v="36"/>
    </i>
    <i r="3">
      <x v="60"/>
      <x v="919"/>
    </i>
    <i r="3">
      <x v="208"/>
      <x v="680"/>
    </i>
    <i r="3">
      <x v="288"/>
      <x v="38"/>
    </i>
    <i r="1">
      <x v="134"/>
      <x v="20"/>
      <x v="84"/>
      <x v="34"/>
    </i>
    <i r="3">
      <x v="227"/>
      <x v="570"/>
    </i>
    <i r="3">
      <x v="306"/>
      <x v="664"/>
    </i>
    <i r="3">
      <x v="419"/>
      <x v="886"/>
    </i>
    <i r="1">
      <x v="135"/>
      <x v="20"/>
      <x v="233"/>
      <x v="576"/>
    </i>
    <i r="3">
      <x v="286"/>
      <x v="620"/>
    </i>
    <i r="3">
      <x v="298"/>
      <x v="983"/>
    </i>
    <i r="1">
      <x v="136"/>
      <x v="20"/>
      <x v="4"/>
      <x v="555"/>
    </i>
    <i r="3">
      <x v="135"/>
      <x v="592"/>
    </i>
    <i r="3">
      <x v="219"/>
      <x v="365"/>
    </i>
    <i r="3">
      <x v="282"/>
      <x v="755"/>
    </i>
    <i r="3">
      <x v="285"/>
      <x v="619"/>
    </i>
    <i r="3">
      <x v="297"/>
      <x v="982"/>
    </i>
    <i r="3">
      <x v="411"/>
      <x v="427"/>
    </i>
    <i r="3">
      <x v="412"/>
      <x v="428"/>
    </i>
    <i r="3">
      <x v="425"/>
      <x v="425"/>
    </i>
    <i r="1">
      <x v="137"/>
      <x v="20"/>
      <x v="57"/>
      <x v="920"/>
    </i>
    <i r="3">
      <x v="181"/>
      <x v="689"/>
    </i>
    <i r="3">
      <x v="223"/>
      <x v="362"/>
    </i>
    <i r="3">
      <x v="233"/>
      <x v="576"/>
    </i>
    <i r="3">
      <x v="234"/>
      <x v="577"/>
    </i>
    <i r="3">
      <x v="235"/>
      <x v="578"/>
    </i>
    <i r="3">
      <x v="273"/>
      <x v="678"/>
    </i>
    <i r="3">
      <x v="286"/>
      <x v="620"/>
    </i>
    <i r="3">
      <x v="287"/>
      <x v="621"/>
    </i>
    <i r="3">
      <x v="289"/>
      <x v="618"/>
    </i>
    <i r="3">
      <x v="298"/>
      <x v="983"/>
    </i>
    <i r="3">
      <x v="299"/>
      <x v="984"/>
    </i>
    <i r="3">
      <x v="300"/>
      <x v="985"/>
    </i>
    <i r="3">
      <x v="310"/>
      <x v="971"/>
    </i>
    <i r="3">
      <x v="415"/>
      <x v="18"/>
    </i>
    <i r="1">
      <x v="138"/>
      <x v="20"/>
      <x v="222"/>
      <x v="366"/>
    </i>
    <i r="3">
      <x v="288"/>
      <x v="38"/>
    </i>
    <i r="3">
      <x v="416"/>
      <x v="962"/>
    </i>
    <i r="3">
      <x v="417"/>
      <x v="437"/>
    </i>
    <i r="1">
      <x v="139"/>
      <x v="20"/>
      <x v="288"/>
      <x v="38"/>
    </i>
    <i r="3">
      <x v="298"/>
      <x v="983"/>
    </i>
    <i r="3">
      <x v="300"/>
      <x v="985"/>
    </i>
    <i r="1">
      <x v="140"/>
      <x v="20"/>
      <x v="222"/>
      <x v="366"/>
    </i>
    <i r="3">
      <x v="416"/>
      <x v="962"/>
    </i>
    <i r="3">
      <x v="417"/>
      <x v="437"/>
    </i>
    <i r="1">
      <x v="141"/>
      <x v="20"/>
      <x v="288"/>
      <x v="38"/>
    </i>
    <i r="3">
      <x v="298"/>
      <x v="983"/>
    </i>
    <i r="3">
      <x v="300"/>
      <x v="985"/>
    </i>
    <i r="1">
      <x v="142"/>
      <x v="20"/>
      <x v="387"/>
      <x v="114"/>
    </i>
    <i r="1">
      <x v="143"/>
      <x v="20"/>
      <x v="81"/>
      <x v="32"/>
    </i>
    <i r="3">
      <x v="182"/>
      <x v="687"/>
    </i>
    <i r="3">
      <x v="186"/>
      <x v="1337"/>
    </i>
    <i r="3">
      <x v="226"/>
      <x v="569"/>
    </i>
    <i r="3">
      <x v="230"/>
      <x v="568"/>
    </i>
    <i r="3">
      <x v="236"/>
      <x v="574"/>
    </i>
    <i r="3">
      <x v="267"/>
      <x v="1344"/>
    </i>
    <i r="3">
      <x v="285"/>
      <x v="619"/>
    </i>
    <i r="3">
      <x v="287"/>
      <x v="621"/>
    </i>
    <i r="3">
      <x v="288"/>
      <x v="38"/>
    </i>
    <i r="3">
      <x v="297"/>
      <x v="982"/>
    </i>
    <i r="3">
      <x v="299"/>
      <x v="984"/>
    </i>
    <i r="1">
      <x v="144"/>
      <x v="20"/>
      <x v="219"/>
      <x v="365"/>
    </i>
    <i r="3">
      <x v="285"/>
      <x v="619"/>
    </i>
    <i r="3">
      <x v="297"/>
      <x v="982"/>
    </i>
    <i r="3">
      <x v="401"/>
      <x v="1231"/>
    </i>
    <i r="3">
      <x v="402"/>
      <x v="1232"/>
    </i>
    <i r="1">
      <x v="145"/>
      <x v="20"/>
      <x v="67"/>
      <x v="37"/>
    </i>
    <i r="3">
      <x v="229"/>
      <x v="575"/>
    </i>
    <i r="1">
      <x v="146"/>
      <x v="20"/>
      <x v="57"/>
      <x v="920"/>
    </i>
    <i r="3">
      <x v="219"/>
      <x v="365"/>
    </i>
    <i r="3">
      <x v="401"/>
      <x v="1231"/>
    </i>
    <i r="3">
      <x v="402"/>
      <x v="1232"/>
    </i>
    <i r="1">
      <x v="147"/>
      <x v="20"/>
      <x v="67"/>
      <x v="37"/>
    </i>
    <i r="3">
      <x v="229"/>
      <x v="575"/>
    </i>
    <i r="1">
      <x v="148"/>
      <x v="20"/>
      <x v="223"/>
      <x v="362"/>
    </i>
    <i r="3">
      <x v="273"/>
      <x v="678"/>
    </i>
    <i r="3">
      <x v="307"/>
      <x v="1285"/>
    </i>
    <i r="1">
      <x v="149"/>
      <x v="20"/>
      <x v="55"/>
      <x v="17"/>
    </i>
    <i r="3">
      <x v="217"/>
      <x v="1321"/>
    </i>
    <i r="3">
      <x v="232"/>
      <x v="573"/>
    </i>
    <i r="1">
      <x v="150"/>
      <x v="20"/>
      <x v="297"/>
      <x v="982"/>
    </i>
    <i r="1">
      <x v="151"/>
      <x v="20"/>
      <x v="297"/>
      <x v="982"/>
    </i>
    <i r="1">
      <x v="152"/>
      <x v="20"/>
      <x v="153"/>
      <x v="1013"/>
    </i>
    <i r="3">
      <x v="183"/>
      <x v="688"/>
    </i>
    <i r="1">
      <x v="153"/>
      <x v="20"/>
      <x v="82"/>
      <x v="31"/>
    </i>
    <i r="3">
      <x v="226"/>
      <x v="569"/>
    </i>
    <i r="3">
      <x v="231"/>
      <x v="572"/>
    </i>
    <i r="1">
      <x v="154"/>
      <x v="20"/>
      <x v="297"/>
      <x v="982"/>
    </i>
    <i r="3">
      <x v="305"/>
      <x v="664"/>
    </i>
    <i r="3">
      <x v="307"/>
      <x v="1285"/>
    </i>
    <i r="1">
      <x v="155"/>
      <x v="20"/>
      <x v="297"/>
      <x v="982"/>
    </i>
    <i r="3">
      <x v="305"/>
      <x v="664"/>
    </i>
    <i r="3">
      <x v="307"/>
      <x v="1285"/>
    </i>
    <i r="1">
      <x v="156"/>
      <x v="20"/>
      <x v="305"/>
      <x v="664"/>
    </i>
    <i r="1">
      <x v="157"/>
      <x v="20"/>
      <x v="305"/>
      <x v="664"/>
    </i>
    <i r="1">
      <x v="158"/>
      <x v="20"/>
      <x v="221"/>
      <x v="360"/>
    </i>
    <i r="3">
      <x v="286"/>
      <x v="620"/>
    </i>
    <i r="3">
      <x v="298"/>
      <x v="983"/>
    </i>
    <i r="3">
      <x v="317"/>
      <x v="1617"/>
    </i>
    <i r="1">
      <x v="159"/>
      <x v="20"/>
      <x v="83"/>
      <x v="33"/>
    </i>
    <i r="3">
      <x v="220"/>
      <x v="364"/>
    </i>
    <i r="3">
      <x v="285"/>
      <x v="619"/>
    </i>
    <i r="3">
      <x v="297"/>
      <x v="982"/>
    </i>
    <i r="1">
      <x v="160"/>
      <x v="20"/>
      <x v="83"/>
      <x v="33"/>
    </i>
    <i r="3">
      <x v="220"/>
      <x v="364"/>
    </i>
    <i r="3">
      <x v="285"/>
      <x v="619"/>
    </i>
    <i r="3">
      <x v="297"/>
      <x v="982"/>
    </i>
    <i r="1">
      <x v="161"/>
      <x v="20"/>
      <x v="185"/>
      <x v="1339"/>
    </i>
    <i r="3">
      <x v="207"/>
      <x v="679"/>
    </i>
    <i r="3">
      <x v="298"/>
      <x v="983"/>
    </i>
    <i r="3">
      <x v="312"/>
      <x v="1550"/>
    </i>
    <i r="1">
      <x v="162"/>
      <x v="20"/>
      <x v="185"/>
      <x v="1339"/>
    </i>
    <i r="3">
      <x v="207"/>
      <x v="679"/>
    </i>
    <i r="3">
      <x v="298"/>
      <x v="983"/>
    </i>
    <i r="3">
      <x v="312"/>
      <x v="1550"/>
    </i>
    <i r="1">
      <x v="163"/>
      <x v="20"/>
      <x v="184"/>
      <x v="1338"/>
    </i>
    <i r="3">
      <x v="207"/>
      <x v="679"/>
    </i>
    <i r="3">
      <x v="298"/>
      <x v="983"/>
    </i>
    <i r="3">
      <x v="312"/>
      <x v="1550"/>
    </i>
    <i r="1">
      <x v="164"/>
      <x v="20"/>
      <x v="184"/>
      <x v="1338"/>
    </i>
    <i r="3">
      <x v="207"/>
      <x v="679"/>
    </i>
    <i r="3">
      <x v="298"/>
      <x v="983"/>
    </i>
    <i r="3">
      <x v="312"/>
      <x v="1550"/>
    </i>
    <i r="1">
      <x v="177"/>
      <x v="19"/>
      <x v="858"/>
      <x v="483"/>
    </i>
    <i r="1">
      <x v="216"/>
      <x v="17"/>
      <x v="105"/>
      <x v="1596"/>
    </i>
    <i r="3">
      <x v="187"/>
      <x v="682"/>
    </i>
    <i r="2">
      <x v="18"/>
      <x v="30"/>
      <x v="1577"/>
    </i>
    <i r="3">
      <x v="112"/>
      <x v="609"/>
    </i>
    <i r="3">
      <x v="113"/>
      <x v="610"/>
    </i>
    <i r="3">
      <x v="140"/>
      <x v="595"/>
    </i>
    <i r="3">
      <x v="141"/>
      <x v="597"/>
    </i>
    <i r="3">
      <x v="173"/>
      <x v="1094"/>
    </i>
    <i r="3">
      <x v="224"/>
      <x v="757"/>
    </i>
    <i r="3">
      <x v="225"/>
      <x v="750"/>
    </i>
    <i r="3">
      <x v="336"/>
      <x v="1593"/>
    </i>
    <i r="3">
      <x v="413"/>
      <x v="481"/>
    </i>
    <i r="3">
      <x v="847"/>
      <x v="1435"/>
    </i>
    <i r="3">
      <x v="849"/>
      <x v="1436"/>
    </i>
    <i r="2">
      <x v="19"/>
      <x v="56"/>
      <x v="801"/>
    </i>
    <i r="3">
      <x v="105"/>
      <x v="1596"/>
    </i>
    <i r="3">
      <x v="129"/>
      <x v="1598"/>
    </i>
    <i r="3">
      <x v="187"/>
      <x v="682"/>
    </i>
    <i r="3">
      <x v="215"/>
      <x v="975"/>
    </i>
    <i r="3">
      <x v="246"/>
      <x v="686"/>
    </i>
    <i r="3">
      <x v="260"/>
      <x v="976"/>
    </i>
    <i r="3">
      <x v="272"/>
      <x v="598"/>
    </i>
    <i r="3">
      <x v="331"/>
      <x v="1591"/>
    </i>
    <i r="3">
      <x v="332"/>
      <x v="1597"/>
    </i>
    <i r="3">
      <x v="337"/>
      <x v="370"/>
    </i>
    <i r="3">
      <x v="375"/>
      <x v="1615"/>
    </i>
    <i r="2">
      <x v="20"/>
      <x v="183"/>
      <x v="688"/>
    </i>
    <i r="3">
      <x v="220"/>
      <x v="364"/>
    </i>
    <i r="3">
      <x v="285"/>
      <x v="619"/>
    </i>
    <i r="3">
      <x v="288"/>
      <x v="38"/>
    </i>
    <i r="3">
      <x v="297"/>
      <x v="982"/>
    </i>
    <i r="3">
      <x v="300"/>
      <x v="985"/>
    </i>
    <i t="default">
      <x/>
    </i>
    <i>
      <x v="1"/>
      <x v="5"/>
      <x v="21"/>
      <x v="387"/>
      <x v="114"/>
    </i>
    <i r="2">
      <x v="23"/>
      <x v="387"/>
      <x v="114"/>
    </i>
    <i r="2">
      <x v="28"/>
      <x v="387"/>
      <x v="114"/>
    </i>
    <i r="2">
      <x v="30"/>
      <x v="387"/>
      <x v="114"/>
    </i>
    <i r="2">
      <x v="32"/>
      <x v="387"/>
      <x v="114"/>
    </i>
    <i r="2">
      <x v="34"/>
      <x v="387"/>
      <x v="114"/>
    </i>
    <i r="1">
      <x v="7"/>
      <x v="21"/>
      <x v="7"/>
      <x v="663"/>
    </i>
    <i r="3">
      <x v="387"/>
      <x v="114"/>
    </i>
    <i r="1">
      <x v="8"/>
      <x v="33"/>
      <x v="345"/>
      <x v="113"/>
    </i>
    <i r="1">
      <x v="42"/>
      <x v="40"/>
      <x v="14"/>
      <x v="1392"/>
    </i>
    <i r="3">
      <x v="109"/>
      <x v="1375"/>
    </i>
    <i r="3">
      <x v="110"/>
      <x v="1376"/>
    </i>
    <i r="3">
      <x v="140"/>
      <x v="595"/>
    </i>
    <i r="3">
      <x v="161"/>
      <x v="1079"/>
    </i>
    <i r="3">
      <x v="163"/>
      <x v="1083"/>
    </i>
    <i r="3">
      <x v="179"/>
      <x v="1334"/>
    </i>
    <i r="3">
      <x v="213"/>
      <x v="973"/>
    </i>
    <i r="3">
      <x v="281"/>
      <x v="754"/>
    </i>
    <i r="3">
      <x v="282"/>
      <x v="755"/>
    </i>
    <i r="3">
      <x v="284"/>
      <x v="749"/>
    </i>
    <i r="3">
      <x v="319"/>
      <x v="1401"/>
    </i>
    <i r="3">
      <x v="329"/>
      <x v="580"/>
    </i>
    <i r="3">
      <x v="330"/>
      <x v="1589"/>
    </i>
    <i r="1">
      <x v="43"/>
      <x v="40"/>
      <x v="116"/>
      <x v="1078"/>
    </i>
    <i r="3">
      <x v="139"/>
      <x v="589"/>
    </i>
    <i r="3">
      <x v="146"/>
      <x v="1587"/>
    </i>
    <i r="3">
      <x v="173"/>
      <x v="1094"/>
    </i>
    <i r="3">
      <x v="279"/>
      <x v="752"/>
    </i>
    <i r="3">
      <x v="281"/>
      <x v="754"/>
    </i>
    <i r="3">
      <x v="283"/>
      <x v="756"/>
    </i>
    <i r="3">
      <x v="302"/>
      <x v="1070"/>
    </i>
    <i r="3">
      <x v="339"/>
      <x v="1102"/>
    </i>
    <i r="3">
      <x v="1614"/>
      <x v="1145"/>
    </i>
    <i r="1">
      <x v="44"/>
      <x v="40"/>
      <x v="139"/>
      <x v="589"/>
    </i>
    <i r="3">
      <x v="261"/>
      <x v="1409"/>
    </i>
    <i r="3">
      <x v="262"/>
      <x v="1408"/>
    </i>
    <i r="3">
      <x v="281"/>
      <x v="754"/>
    </i>
    <i r="3">
      <x v="1605"/>
      <x v="1119"/>
    </i>
    <i r="3">
      <x v="1607"/>
      <x v="967"/>
    </i>
    <i r="1">
      <x v="45"/>
      <x v="40"/>
      <x v="25"/>
      <x v="1485"/>
    </i>
    <i r="1">
      <x v="46"/>
      <x v="40"/>
      <x v="26"/>
      <x v="1486"/>
    </i>
    <i r="1">
      <x v="53"/>
      <x v="21"/>
      <x v="17"/>
      <x v="387"/>
    </i>
    <i r="3">
      <x v="38"/>
      <x v="959"/>
    </i>
    <i r="3">
      <x v="134"/>
      <x v="588"/>
    </i>
    <i r="3">
      <x v="213"/>
      <x v="973"/>
    </i>
    <i r="3">
      <x v="432"/>
      <x v="426"/>
    </i>
    <i r="1">
      <x v="54"/>
      <x v="23"/>
      <x v="259"/>
      <x v="968"/>
    </i>
    <i r="1">
      <x v="55"/>
      <x v="23"/>
      <x v="91"/>
      <x v="1456"/>
    </i>
    <i r="3">
      <x v="98"/>
      <x v="1399"/>
    </i>
    <i r="3">
      <x v="115"/>
      <x v="1073"/>
    </i>
    <i r="3">
      <x v="146"/>
      <x v="1587"/>
    </i>
    <i r="3">
      <x v="157"/>
      <x v="1074"/>
    </i>
    <i r="3">
      <x v="162"/>
      <x v="1081"/>
    </i>
    <i r="3">
      <x v="237"/>
      <x v="1586"/>
    </i>
    <i r="3">
      <x v="271"/>
      <x v="591"/>
    </i>
    <i r="3">
      <x v="315"/>
      <x v="1595"/>
    </i>
    <i r="3">
      <x v="389"/>
      <x v="1370"/>
    </i>
    <i r="1">
      <x v="56"/>
      <x v="23"/>
      <x v="156"/>
      <x v="1071"/>
    </i>
    <i r="3">
      <x v="279"/>
      <x v="752"/>
    </i>
    <i r="1">
      <x v="57"/>
      <x v="23"/>
      <x v="70"/>
      <x v="1358"/>
    </i>
    <i r="3">
      <x v="279"/>
      <x v="752"/>
    </i>
    <i r="3">
      <x v="281"/>
      <x v="754"/>
    </i>
    <i r="3">
      <x v="282"/>
      <x v="755"/>
    </i>
    <i r="1">
      <x v="58"/>
      <x v="23"/>
      <x v="70"/>
      <x v="1358"/>
    </i>
    <i r="3">
      <x v="209"/>
      <x v="979"/>
    </i>
    <i r="3">
      <x v="279"/>
      <x v="752"/>
    </i>
    <i r="3">
      <x v="281"/>
      <x v="754"/>
    </i>
    <i r="1">
      <x v="59"/>
      <x v="23"/>
      <x v="69"/>
      <x v="356"/>
    </i>
    <i r="3">
      <x v="90"/>
      <x v="1455"/>
    </i>
    <i r="3">
      <x v="99"/>
      <x v="1398"/>
    </i>
    <i r="3">
      <x v="159"/>
      <x v="1076"/>
    </i>
    <i r="3">
      <x v="212"/>
      <x v="970"/>
    </i>
    <i r="3">
      <x v="237"/>
      <x v="1586"/>
    </i>
    <i r="3">
      <x v="269"/>
      <x v="590"/>
    </i>
    <i r="1">
      <x v="60"/>
      <x v="23"/>
      <x v="244"/>
      <x v="1330"/>
    </i>
    <i r="1">
      <x v="61"/>
      <x v="23"/>
      <x v="281"/>
      <x v="754"/>
    </i>
    <i r="1">
      <x v="62"/>
      <x v="23"/>
      <x v="279"/>
      <x v="752"/>
    </i>
    <i r="1">
      <x v="63"/>
      <x v="23"/>
      <x v="69"/>
      <x v="356"/>
    </i>
    <i r="1">
      <x v="64"/>
      <x v="23"/>
      <x v="177"/>
      <x v="1332"/>
    </i>
    <i r="3">
      <x v="209"/>
      <x v="979"/>
    </i>
    <i r="1">
      <x v="65"/>
      <x v="23"/>
      <x v="282"/>
      <x v="755"/>
    </i>
    <i r="1">
      <x v="66"/>
      <x v="21"/>
      <x v="18"/>
      <x v="388"/>
    </i>
    <i r="3">
      <x v="37"/>
      <x v="958"/>
    </i>
    <i r="3">
      <x v="39"/>
      <x v="960"/>
    </i>
    <i r="3">
      <x v="40"/>
      <x v="957"/>
    </i>
    <i r="3">
      <x v="134"/>
      <x v="588"/>
    </i>
    <i r="3">
      <x v="213"/>
      <x v="973"/>
    </i>
    <i r="3">
      <x v="432"/>
      <x v="426"/>
    </i>
    <i r="1">
      <x v="73"/>
      <x v="40"/>
      <x v="14"/>
      <x v="1392"/>
    </i>
    <i r="3">
      <x v="109"/>
      <x v="1375"/>
    </i>
    <i r="3">
      <x v="110"/>
      <x v="1376"/>
    </i>
    <i r="3">
      <x v="140"/>
      <x v="595"/>
    </i>
    <i r="3">
      <x v="161"/>
      <x v="1079"/>
    </i>
    <i r="3">
      <x v="163"/>
      <x v="1083"/>
    </i>
    <i r="3">
      <x v="179"/>
      <x v="1334"/>
    </i>
    <i r="3">
      <x v="213"/>
      <x v="973"/>
    </i>
    <i r="3">
      <x v="270"/>
      <x v="594"/>
    </i>
    <i r="3">
      <x v="281"/>
      <x v="754"/>
    </i>
    <i r="3">
      <x v="282"/>
      <x v="755"/>
    </i>
    <i r="3">
      <x v="284"/>
      <x v="749"/>
    </i>
    <i r="3">
      <x v="319"/>
      <x v="1401"/>
    </i>
    <i r="3">
      <x v="329"/>
      <x v="580"/>
    </i>
    <i r="3">
      <x v="330"/>
      <x v="1589"/>
    </i>
    <i r="1">
      <x v="74"/>
      <x v="40"/>
      <x v="116"/>
      <x v="1078"/>
    </i>
    <i r="3">
      <x v="173"/>
      <x v="1094"/>
    </i>
    <i r="3">
      <x v="281"/>
      <x v="754"/>
    </i>
    <i r="3">
      <x v="283"/>
      <x v="756"/>
    </i>
    <i r="3">
      <x v="330"/>
      <x v="1589"/>
    </i>
    <i r="3">
      <x v="339"/>
      <x v="1102"/>
    </i>
    <i r="3">
      <x v="363"/>
      <x v="673"/>
    </i>
    <i r="3">
      <x v="365"/>
      <x v="1619"/>
    </i>
    <i r="3">
      <x v="367"/>
      <x v="896"/>
    </i>
    <i r="3">
      <x v="371"/>
      <x v="674"/>
    </i>
    <i r="3">
      <x v="422"/>
      <x v="1478"/>
    </i>
    <i r="3">
      <x v="1614"/>
      <x v="1145"/>
    </i>
    <i r="1">
      <x v="107"/>
      <x v="40"/>
      <x v="1627"/>
      <x v="943"/>
    </i>
    <i r="1">
      <x v="119"/>
      <x v="24"/>
      <x v="251"/>
      <x v="1314"/>
    </i>
    <i r="3">
      <x v="303"/>
      <x v="1322"/>
    </i>
    <i r="1">
      <x v="120"/>
      <x v="24"/>
      <x v="203"/>
      <x v="1418"/>
    </i>
    <i r="3">
      <x v="291"/>
      <x v="1419"/>
    </i>
    <i r="3">
      <x v="302"/>
      <x v="1070"/>
    </i>
    <i r="1">
      <x v="121"/>
      <x v="24"/>
      <x v="387"/>
      <x v="114"/>
    </i>
    <i r="1">
      <x v="122"/>
      <x v="24"/>
      <x v="255"/>
      <x v="1315"/>
    </i>
    <i r="3">
      <x v="304"/>
      <x v="418"/>
    </i>
    <i r="1">
      <x v="123"/>
      <x v="24"/>
      <x v="27"/>
      <x v="640"/>
    </i>
    <i r="3">
      <x v="46"/>
      <x v="671"/>
    </i>
    <i r="3">
      <x v="47"/>
      <x v="1467"/>
    </i>
    <i r="3">
      <x v="94"/>
      <x v="1454"/>
    </i>
    <i r="3">
      <x v="135"/>
      <x v="592"/>
    </i>
    <i r="3">
      <x v="136"/>
      <x v="593"/>
    </i>
    <i r="3">
      <x v="146"/>
      <x v="1587"/>
    </i>
    <i r="3">
      <x v="163"/>
      <x v="1083"/>
    </i>
    <i r="3">
      <x v="209"/>
      <x v="979"/>
    </i>
    <i r="3">
      <x v="239"/>
      <x v="1584"/>
    </i>
    <i r="3">
      <x v="251"/>
      <x v="1314"/>
    </i>
    <i r="3">
      <x v="303"/>
      <x v="1322"/>
    </i>
    <i r="3">
      <x v="318"/>
      <x v="1404"/>
    </i>
    <i r="3">
      <x v="327"/>
      <x v="585"/>
    </i>
    <i r="1">
      <x v="124"/>
      <x v="24"/>
      <x v="71"/>
      <x v="355"/>
    </i>
    <i r="3">
      <x v="73"/>
      <x v="357"/>
    </i>
    <i r="1">
      <x v="125"/>
      <x v="24"/>
      <x v="279"/>
      <x v="752"/>
    </i>
    <i r="1">
      <x v="126"/>
      <x v="24"/>
      <x v="73"/>
      <x v="357"/>
    </i>
    <i r="3">
      <x v="282"/>
      <x v="755"/>
    </i>
    <i r="1">
      <x v="166"/>
      <x v="31"/>
      <x v="78"/>
      <x v="1476"/>
    </i>
    <i r="3">
      <x v="152"/>
      <x v="1603"/>
    </i>
    <i r="3">
      <x v="216"/>
      <x v="1431"/>
    </i>
    <i r="3">
      <x v="218"/>
      <x v="363"/>
    </i>
    <i r="3">
      <x v="1613"/>
      <x v="510"/>
    </i>
    <i r="1">
      <x v="167"/>
      <x v="24"/>
      <x v="77"/>
      <x v="1477"/>
    </i>
    <i r="3">
      <x v="152"/>
      <x v="1603"/>
    </i>
    <i r="3">
      <x v="216"/>
      <x v="1431"/>
    </i>
    <i r="3">
      <x v="218"/>
      <x v="363"/>
    </i>
    <i r="3">
      <x v="1613"/>
      <x v="510"/>
    </i>
    <i r="2">
      <x v="30"/>
      <x v="77"/>
      <x v="1477"/>
    </i>
    <i r="3">
      <x v="152"/>
      <x v="1603"/>
    </i>
    <i r="3">
      <x v="216"/>
      <x v="1431"/>
    </i>
    <i r="3">
      <x v="218"/>
      <x v="363"/>
    </i>
    <i r="3">
      <x v="1613"/>
      <x v="510"/>
    </i>
    <i r="2">
      <x v="31"/>
      <x v="77"/>
      <x v="1477"/>
    </i>
    <i r="3">
      <x v="152"/>
      <x v="1603"/>
    </i>
    <i r="3">
      <x v="216"/>
      <x v="1431"/>
    </i>
    <i r="3">
      <x v="218"/>
      <x v="363"/>
    </i>
    <i r="3">
      <x v="1613"/>
      <x v="510"/>
    </i>
    <i r="1">
      <x v="168"/>
      <x v="33"/>
      <x v="1626"/>
      <x v="1474"/>
    </i>
    <i r="1">
      <x v="169"/>
      <x v="1"/>
      <x v="1626"/>
      <x v="1474"/>
    </i>
    <i r="2">
      <x v="24"/>
      <x v="1626"/>
      <x v="1474"/>
    </i>
    <i r="2">
      <x v="34"/>
      <x v="1626"/>
      <x v="1474"/>
    </i>
    <i r="2">
      <x v="39"/>
      <x v="1626"/>
      <x v="1474"/>
    </i>
    <i r="1">
      <x v="170"/>
      <x v="28"/>
      <x v="1626"/>
      <x v="1474"/>
    </i>
    <i r="1">
      <x v="171"/>
      <x v="1"/>
      <x v="1628"/>
      <x v="1473"/>
    </i>
    <i r="2">
      <x v="33"/>
      <x v="1628"/>
      <x v="1473"/>
    </i>
    <i r="1">
      <x v="172"/>
      <x v="30"/>
      <x v="1628"/>
      <x v="1473"/>
    </i>
    <i r="1">
      <x v="173"/>
      <x v="1"/>
      <x v="1628"/>
      <x v="1473"/>
    </i>
    <i r="2">
      <x v="30"/>
      <x v="1628"/>
      <x v="1473"/>
    </i>
    <i r="1">
      <x v="174"/>
      <x v="21"/>
      <x v="1608"/>
      <x v="1118"/>
    </i>
    <i r="3">
      <x v="1609"/>
      <x v="669"/>
    </i>
    <i r="3">
      <x v="1610"/>
      <x v="1582"/>
    </i>
    <i r="1">
      <x v="175"/>
      <x v="21"/>
      <x v="252"/>
      <x v="1319"/>
    </i>
    <i r="1">
      <x v="186"/>
      <x v="33"/>
      <x v="252"/>
      <x v="1319"/>
    </i>
    <i r="1">
      <x v="187"/>
      <x v="1"/>
      <x v="252"/>
      <x v="1319"/>
    </i>
    <i r="1">
      <x v="189"/>
      <x v="33"/>
      <x v="248"/>
      <x v="1316"/>
    </i>
    <i r="1">
      <x v="193"/>
      <x v="28"/>
      <x v="252"/>
      <x v="1319"/>
    </i>
    <i r="3">
      <x v="253"/>
      <x v="1319"/>
    </i>
    <i r="1">
      <x v="195"/>
      <x v="33"/>
      <x v="252"/>
      <x v="1319"/>
    </i>
    <i r="1">
      <x v="199"/>
      <x v="34"/>
      <x v="253"/>
      <x v="1319"/>
    </i>
    <i r="1">
      <x v="200"/>
      <x v="32"/>
      <x v="253"/>
      <x v="1319"/>
    </i>
    <i r="1">
      <x v="201"/>
      <x v="21"/>
      <x v="126"/>
      <x v="607"/>
    </i>
    <i r="1">
      <x v="204"/>
      <x v="32"/>
      <x v="27"/>
      <x v="640"/>
    </i>
    <i r="3">
      <x v="94"/>
      <x v="1454"/>
    </i>
    <i r="3">
      <x v="136"/>
      <x v="593"/>
    </i>
    <i r="3">
      <x v="146"/>
      <x v="1587"/>
    </i>
    <i r="3">
      <x v="163"/>
      <x v="1083"/>
    </i>
    <i r="3">
      <x v="209"/>
      <x v="979"/>
    </i>
    <i r="3">
      <x v="239"/>
      <x v="1584"/>
    </i>
    <i r="3">
      <x v="251"/>
      <x v="1314"/>
    </i>
    <i r="3">
      <x v="303"/>
      <x v="1322"/>
    </i>
    <i r="3">
      <x v="318"/>
      <x v="1404"/>
    </i>
    <i r="3">
      <x v="327"/>
      <x v="585"/>
    </i>
    <i r="3">
      <x v="1622"/>
      <x v="1117"/>
    </i>
    <i r="1">
      <x v="205"/>
      <x v="32"/>
      <x v="71"/>
      <x v="355"/>
    </i>
    <i r="3">
      <x v="73"/>
      <x v="357"/>
    </i>
    <i r="1">
      <x v="206"/>
      <x v="32"/>
      <x v="279"/>
      <x v="752"/>
    </i>
    <i r="1">
      <x v="207"/>
      <x v="32"/>
      <x v="73"/>
      <x v="357"/>
    </i>
    <i r="3">
      <x v="282"/>
      <x v="755"/>
    </i>
    <i r="1">
      <x v="209"/>
      <x v="1"/>
      <x v="1626"/>
      <x v="1474"/>
    </i>
    <i r="4">
      <x v="1475"/>
    </i>
    <i r="3">
      <x v="1631"/>
      <x v="1412"/>
    </i>
    <i r="1">
      <x v="212"/>
      <x v="21"/>
      <x v="96"/>
      <x v="3"/>
    </i>
    <i r="3">
      <x v="146"/>
      <x v="1587"/>
    </i>
    <i r="3">
      <x v="161"/>
      <x v="1079"/>
    </i>
    <i r="3">
      <x v="281"/>
      <x v="754"/>
    </i>
    <i r="1">
      <x v="216"/>
      <x v="1"/>
      <x v="148"/>
      <x v="977"/>
    </i>
    <i r="3">
      <x v="167"/>
      <x v="1088"/>
    </i>
    <i r="3">
      <x v="363"/>
      <x v="673"/>
    </i>
    <i r="3">
      <x v="367"/>
      <x v="896"/>
    </i>
    <i r="3">
      <x v="373"/>
      <x v="998"/>
    </i>
    <i r="3">
      <x v="394"/>
      <x v="1233"/>
    </i>
    <i r="3">
      <x v="1616"/>
      <x v="677"/>
    </i>
    <i r="2">
      <x v="21"/>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3"/>
      <x v="973"/>
    </i>
    <i r="3">
      <x v="214"/>
      <x v="974"/>
    </i>
    <i r="3">
      <x v="215"/>
      <x v="975"/>
    </i>
    <i r="3">
      <x v="224"/>
      <x v="757"/>
    </i>
    <i r="3">
      <x v="295"/>
      <x v="1429"/>
    </i>
    <i r="3">
      <x v="302"/>
      <x v="1070"/>
    </i>
    <i r="3">
      <x v="309"/>
      <x v="1373"/>
    </i>
    <i r="3">
      <x v="310"/>
      <x v="971"/>
    </i>
    <i r="3">
      <x v="336"/>
      <x v="1593"/>
    </i>
    <i r="3">
      <x v="374"/>
      <x v="704"/>
    </i>
    <i r="2">
      <x v="22"/>
      <x v="30"/>
      <x v="1577"/>
    </i>
    <i r="3">
      <x v="112"/>
      <x v="609"/>
    </i>
    <i r="3">
      <x v="120"/>
      <x v="1095"/>
    </i>
    <i r="3">
      <x v="122"/>
      <x v="1097"/>
    </i>
    <i r="3">
      <x v="140"/>
      <x v="595"/>
    </i>
    <i r="3">
      <x v="141"/>
      <x v="597"/>
    </i>
    <i r="3">
      <x v="167"/>
      <x v="1088"/>
    </i>
    <i r="3">
      <x v="172"/>
      <x v="1093"/>
    </i>
    <i r="3">
      <x v="215"/>
      <x v="975"/>
    </i>
    <i r="3">
      <x v="224"/>
      <x v="757"/>
    </i>
    <i r="3">
      <x v="281"/>
      <x v="754"/>
    </i>
    <i r="3">
      <x v="282"/>
      <x v="755"/>
    </i>
    <i r="3">
      <x v="283"/>
      <x v="756"/>
    </i>
    <i r="3">
      <x v="336"/>
      <x v="1593"/>
    </i>
    <i r="2">
      <x v="23"/>
      <x v="5"/>
      <x v="955"/>
    </i>
    <i r="3">
      <x v="115"/>
      <x v="1073"/>
    </i>
    <i r="3">
      <x v="134"/>
      <x v="588"/>
    </i>
    <i r="3">
      <x v="167"/>
      <x v="1088"/>
    </i>
    <i r="3">
      <x v="192"/>
      <x v="599"/>
    </i>
    <i r="3">
      <x v="291"/>
      <x v="1419"/>
    </i>
    <i r="3">
      <x v="292"/>
      <x v="1421"/>
    </i>
    <i r="3">
      <x v="302"/>
      <x v="1070"/>
    </i>
    <i r="3">
      <x v="326"/>
      <x v="582"/>
    </i>
    <i r="3">
      <x v="370"/>
      <x v="675"/>
    </i>
    <i r="3">
      <x v="382"/>
      <x v="396"/>
    </i>
    <i r="3">
      <x v="414"/>
      <x v="1146"/>
    </i>
    <i r="3">
      <x v="426"/>
      <x v="1460"/>
    </i>
    <i r="3">
      <x v="1644"/>
      <x v="26"/>
    </i>
    <i r="2">
      <x v="24"/>
      <x v="8"/>
      <x v="1484"/>
    </i>
    <i r="3">
      <x v="75"/>
      <x v="1483"/>
    </i>
    <i r="3">
      <x v="116"/>
      <x v="1078"/>
    </i>
    <i r="3">
      <x v="119"/>
      <x v="1091"/>
    </i>
    <i r="3">
      <x v="133"/>
      <x v="586"/>
    </i>
    <i r="3">
      <x v="136"/>
      <x v="593"/>
    </i>
    <i r="3">
      <x v="148"/>
      <x v="977"/>
    </i>
    <i r="3">
      <x v="167"/>
      <x v="1088"/>
    </i>
    <i r="3">
      <x v="176"/>
      <x v="1331"/>
    </i>
    <i r="3">
      <x v="202"/>
      <x v="1425"/>
    </i>
    <i r="3">
      <x v="206"/>
      <x v="1428"/>
    </i>
    <i r="3">
      <x v="290"/>
      <x v="1424"/>
    </i>
    <i r="3">
      <x v="294"/>
      <x v="1427"/>
    </i>
    <i r="3">
      <x v="363"/>
      <x v="673"/>
    </i>
    <i r="3">
      <x v="367"/>
      <x v="896"/>
    </i>
    <i r="3">
      <x v="373"/>
      <x v="998"/>
    </i>
    <i r="3">
      <x v="406"/>
      <x v="895"/>
    </i>
    <i r="3">
      <x v="407"/>
      <x/>
    </i>
    <i r="3">
      <x v="409"/>
      <x v="672"/>
    </i>
    <i r="2">
      <x v="25"/>
      <x v="59"/>
      <x v="1393"/>
    </i>
    <i r="3">
      <x v="70"/>
      <x v="1358"/>
    </i>
    <i r="3">
      <x v="90"/>
      <x v="1455"/>
    </i>
    <i r="3">
      <x v="108"/>
      <x v="1374"/>
    </i>
    <i r="3">
      <x v="158"/>
      <x v="1075"/>
    </i>
    <i r="3">
      <x v="174"/>
      <x v="1328"/>
    </i>
    <i r="3">
      <x v="212"/>
      <x v="970"/>
    </i>
    <i r="3">
      <x v="242"/>
      <x v="1600"/>
    </i>
    <i r="3">
      <x v="280"/>
      <x v="753"/>
    </i>
    <i r="3">
      <x v="284"/>
      <x v="749"/>
    </i>
    <i r="3">
      <x v="324"/>
      <x v="600"/>
    </i>
    <i r="3">
      <x v="325"/>
      <x v="601"/>
    </i>
    <i r="3">
      <x v="1171"/>
      <x v="1609"/>
    </i>
    <i r="2">
      <x v="26"/>
      <x v="1"/>
      <x v="837"/>
    </i>
    <i r="3">
      <x v="198"/>
      <x v="1067"/>
    </i>
    <i r="3">
      <x v="278"/>
      <x v="751"/>
    </i>
    <i r="3">
      <x v="282"/>
      <x v="755"/>
    </i>
    <i r="3">
      <x v="1638"/>
      <x v="948"/>
    </i>
    <i r="2">
      <x v="27"/>
      <x v="12"/>
      <x v="1472"/>
    </i>
    <i r="3">
      <x v="148"/>
      <x v="977"/>
    </i>
    <i r="3">
      <x v="167"/>
      <x v="1088"/>
    </i>
    <i r="3">
      <x v="406"/>
      <x v="895"/>
    </i>
    <i r="3">
      <x v="407"/>
      <x/>
    </i>
    <i r="3">
      <x v="409"/>
      <x v="672"/>
    </i>
    <i r="2">
      <x v="28"/>
      <x v="6"/>
      <x v="901"/>
    </i>
    <i r="3">
      <x v="11"/>
      <x v="1482"/>
    </i>
    <i r="3">
      <x v="119"/>
      <x v="1091"/>
    </i>
    <i r="3">
      <x v="135"/>
      <x v="592"/>
    </i>
    <i r="3">
      <x v="148"/>
      <x v="977"/>
    </i>
    <i r="3">
      <x v="167"/>
      <x v="1088"/>
    </i>
    <i r="3">
      <x v="200"/>
      <x v="1417"/>
    </i>
    <i r="3">
      <x v="206"/>
      <x v="1428"/>
    </i>
    <i r="3">
      <x v="302"/>
      <x v="1070"/>
    </i>
    <i r="3">
      <x v="363"/>
      <x v="673"/>
    </i>
    <i r="3">
      <x v="367"/>
      <x v="896"/>
    </i>
    <i r="3">
      <x v="373"/>
      <x v="998"/>
    </i>
    <i r="3">
      <x v="405"/>
      <x v="668"/>
    </i>
    <i r="3">
      <x v="406"/>
      <x v="895"/>
    </i>
    <i r="3">
      <x v="407"/>
      <x/>
    </i>
    <i r="3">
      <x v="409"/>
      <x v="672"/>
    </i>
    <i r="3">
      <x v="1608"/>
      <x v="1118"/>
    </i>
    <i r="2">
      <x v="29"/>
      <x v="8"/>
      <x v="1484"/>
    </i>
    <i r="3">
      <x v="167"/>
      <x v="1088"/>
    </i>
    <i r="3">
      <x v="406"/>
      <x v="895"/>
    </i>
    <i r="3">
      <x v="407"/>
      <x/>
    </i>
    <i r="3">
      <x v="409"/>
      <x v="672"/>
    </i>
    <i r="3">
      <x v="428"/>
      <x v="655"/>
    </i>
    <i r="2">
      <x v="30"/>
      <x v="119"/>
      <x v="1091"/>
    </i>
    <i r="3">
      <x v="161"/>
      <x v="1079"/>
    </i>
    <i r="3">
      <x v="167"/>
      <x v="1088"/>
    </i>
    <i r="3">
      <x v="203"/>
      <x v="1418"/>
    </i>
    <i r="3">
      <x v="206"/>
      <x v="1428"/>
    </i>
    <i r="3">
      <x v="213"/>
      <x v="973"/>
    </i>
    <i r="3">
      <x v="291"/>
      <x v="1419"/>
    </i>
    <i r="3">
      <x v="302"/>
      <x v="1070"/>
    </i>
    <i r="3">
      <x v="363"/>
      <x v="673"/>
    </i>
    <i r="3">
      <x v="367"/>
      <x v="896"/>
    </i>
    <i r="3">
      <x v="373"/>
      <x v="998"/>
    </i>
    <i r="3">
      <x v="409"/>
      <x v="672"/>
    </i>
    <i r="2">
      <x v="31"/>
      <x v="13"/>
      <x v="878"/>
    </i>
    <i r="3">
      <x v="48"/>
      <x v="692"/>
    </i>
    <i r="3">
      <x v="148"/>
      <x v="977"/>
    </i>
    <i r="3">
      <x v="167"/>
      <x v="1088"/>
    </i>
    <i r="3">
      <x v="409"/>
      <x v="672"/>
    </i>
    <i r="3">
      <x v="418"/>
      <x v="838"/>
    </i>
    <i r="2">
      <x v="32"/>
      <x v="8"/>
      <x v="1484"/>
    </i>
    <i r="3">
      <x v="115"/>
      <x v="1073"/>
    </i>
    <i r="3">
      <x v="119"/>
      <x v="1091"/>
    </i>
    <i r="3">
      <x v="136"/>
      <x v="593"/>
    </i>
    <i r="3">
      <x v="148"/>
      <x v="977"/>
    </i>
    <i r="3">
      <x v="167"/>
      <x v="1088"/>
    </i>
    <i r="3">
      <x v="203"/>
      <x v="1418"/>
    </i>
    <i r="3">
      <x v="206"/>
      <x v="1428"/>
    </i>
    <i r="3">
      <x v="294"/>
      <x v="1427"/>
    </i>
    <i r="3">
      <x v="302"/>
      <x v="1070"/>
    </i>
    <i r="3">
      <x v="310"/>
      <x v="971"/>
    </i>
    <i r="3">
      <x v="364"/>
      <x v="1501"/>
    </i>
    <i r="3">
      <x v="368"/>
      <x v="894"/>
    </i>
    <i r="3">
      <x v="372"/>
      <x v="371"/>
    </i>
    <i r="3">
      <x v="403"/>
      <x v="810"/>
    </i>
    <i r="3">
      <x v="406"/>
      <x v="895"/>
    </i>
    <i r="3">
      <x v="407"/>
      <x/>
    </i>
    <i r="3">
      <x v="409"/>
      <x v="672"/>
    </i>
    <i r="3">
      <x v="424"/>
      <x v="1461"/>
    </i>
    <i r="3">
      <x v="428"/>
      <x v="655"/>
    </i>
    <i r="3">
      <x v="1621"/>
      <x v="384"/>
    </i>
    <i r="2">
      <x v="33"/>
      <x v="6"/>
      <x v="901"/>
    </i>
    <i r="3">
      <x v="119"/>
      <x v="1091"/>
    </i>
    <i r="3">
      <x v="148"/>
      <x v="977"/>
    </i>
    <i r="3">
      <x v="167"/>
      <x v="1088"/>
    </i>
    <i r="3">
      <x v="200"/>
      <x v="1417"/>
    </i>
    <i r="3">
      <x v="206"/>
      <x v="1428"/>
    </i>
    <i r="3">
      <x v="294"/>
      <x v="1427"/>
    </i>
    <i r="3">
      <x v="302"/>
      <x v="1070"/>
    </i>
    <i r="3">
      <x v="363"/>
      <x v="673"/>
    </i>
    <i r="3">
      <x v="367"/>
      <x v="896"/>
    </i>
    <i r="3">
      <x v="373"/>
      <x v="998"/>
    </i>
    <i r="3">
      <x v="379"/>
      <x v="900"/>
    </i>
    <i r="3">
      <x v="380"/>
      <x v="666"/>
    </i>
    <i r="3">
      <x v="381"/>
      <x v="1463"/>
    </i>
    <i r="3">
      <x v="405"/>
      <x v="668"/>
    </i>
    <i r="3">
      <x v="1608"/>
      <x v="1118"/>
    </i>
    <i r="2">
      <x v="34"/>
      <x v="116"/>
      <x v="1078"/>
    </i>
    <i r="3">
      <x v="148"/>
      <x v="977"/>
    </i>
    <i r="3">
      <x v="167"/>
      <x v="1088"/>
    </i>
    <i r="3">
      <x v="177"/>
      <x v="1332"/>
    </i>
    <i r="3">
      <x v="202"/>
      <x v="1425"/>
    </i>
    <i r="3">
      <x v="203"/>
      <x v="1418"/>
    </i>
    <i r="3">
      <x v="213"/>
      <x v="973"/>
    </i>
    <i r="3">
      <x v="302"/>
      <x v="1070"/>
    </i>
    <i r="3">
      <x v="346"/>
      <x v="1470"/>
    </i>
    <i r="3">
      <x v="363"/>
      <x v="673"/>
    </i>
    <i r="3">
      <x v="367"/>
      <x v="896"/>
    </i>
    <i r="3">
      <x v="373"/>
      <x v="998"/>
    </i>
    <i r="3">
      <x v="380"/>
      <x v="666"/>
    </i>
    <i r="2">
      <x v="35"/>
      <x v="9"/>
      <x v="1479"/>
    </i>
    <i r="3">
      <x v="11"/>
      <x v="1482"/>
    </i>
    <i r="3">
      <x v="148"/>
      <x v="977"/>
    </i>
    <i r="3">
      <x v="167"/>
      <x v="1088"/>
    </i>
    <i r="3">
      <x v="406"/>
      <x v="895"/>
    </i>
    <i r="3">
      <x v="407"/>
      <x/>
    </i>
    <i r="3">
      <x v="409"/>
      <x v="672"/>
    </i>
    <i r="2">
      <x v="36"/>
      <x v="11"/>
      <x v="1482"/>
    </i>
    <i r="3">
      <x v="148"/>
      <x v="977"/>
    </i>
    <i r="3">
      <x v="167"/>
      <x v="1088"/>
    </i>
    <i r="3">
      <x v="406"/>
      <x v="895"/>
    </i>
    <i r="3">
      <x v="407"/>
      <x/>
    </i>
    <i r="3">
      <x v="409"/>
      <x v="672"/>
    </i>
    <i r="2">
      <x v="37"/>
      <x v="172"/>
      <x v="1093"/>
    </i>
    <i r="3">
      <x v="283"/>
      <x v="756"/>
    </i>
    <i r="3">
      <x v="366"/>
      <x v="899"/>
    </i>
    <i r="3">
      <x v="369"/>
      <x v="897"/>
    </i>
    <i r="3">
      <x v="370"/>
      <x v="675"/>
    </i>
    <i r="3">
      <x v="393"/>
      <x v="1462"/>
    </i>
    <i r="2">
      <x v="38"/>
      <x v="70"/>
      <x v="1358"/>
    </i>
    <i r="3">
      <x v="94"/>
      <x v="1454"/>
    </i>
    <i r="3">
      <x v="106"/>
      <x v="1601"/>
    </i>
    <i r="3">
      <x v="162"/>
      <x v="1081"/>
    </i>
    <i r="3">
      <x v="215"/>
      <x v="975"/>
    </i>
    <i r="3">
      <x v="253"/>
      <x v="1319"/>
    </i>
    <i r="3">
      <x v="281"/>
      <x v="754"/>
    </i>
    <i r="3">
      <x v="283"/>
      <x v="756"/>
    </i>
    <i r="3">
      <x v="304"/>
      <x v="418"/>
    </i>
    <i r="3">
      <x v="320"/>
      <x v="1402"/>
    </i>
    <i r="2">
      <x v="39"/>
      <x v="363"/>
      <x v="673"/>
    </i>
    <i r="3">
      <x v="367"/>
      <x v="896"/>
    </i>
    <i r="3">
      <x v="373"/>
      <x v="998"/>
    </i>
    <i r="2">
      <x v="40"/>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5"/>
      <x v="1426"/>
    </i>
    <i r="3">
      <x v="238"/>
      <x v="1588"/>
    </i>
    <i r="3">
      <x v="257"/>
      <x v="1104"/>
    </i>
    <i r="3">
      <x v="275"/>
      <x v="1423"/>
    </i>
    <i r="3">
      <x v="279"/>
      <x v="752"/>
    </i>
    <i r="3">
      <x v="292"/>
      <x v="1421"/>
    </i>
    <i r="3">
      <x v="293"/>
      <x v="1430"/>
    </i>
    <i r="3">
      <x v="302"/>
      <x v="1070"/>
    </i>
    <i r="3">
      <x v="308"/>
      <x v="1405"/>
    </i>
    <i r="3">
      <x v="314"/>
      <x v="988"/>
    </i>
    <i r="3">
      <x v="333"/>
      <x v="1410"/>
    </i>
    <i r="3">
      <x v="338"/>
      <x v="1103"/>
    </i>
    <i r="3">
      <x v="343"/>
      <x v="1100"/>
    </i>
    <i r="3">
      <x v="390"/>
      <x v="667"/>
    </i>
    <i r="3">
      <x v="391"/>
      <x v="1581"/>
    </i>
    <i r="3">
      <x v="392"/>
      <x v="1372"/>
    </i>
    <i r="3">
      <x v="1295"/>
      <x v="1383"/>
    </i>
    <i t="default">
      <x v="1"/>
    </i>
    <i>
      <x v="2"/>
      <x v="2"/>
      <x v="15"/>
      <x v="1"/>
      <x v="837"/>
    </i>
    <i r="3">
      <x v="114"/>
      <x v="1072"/>
    </i>
    <i r="3">
      <x v="131"/>
      <x v="583"/>
    </i>
    <i r="3">
      <x v="200"/>
      <x v="1417"/>
    </i>
    <i r="3">
      <x v="343"/>
      <x v="1100"/>
    </i>
    <i r="3">
      <x v="1638"/>
      <x v="949"/>
    </i>
    <i r="1">
      <x v="3"/>
      <x v="15"/>
      <x v="1"/>
      <x v="837"/>
    </i>
    <i r="3">
      <x v="114"/>
      <x v="1072"/>
    </i>
    <i r="3">
      <x v="131"/>
      <x v="583"/>
    </i>
    <i r="3">
      <x v="200"/>
      <x v="1417"/>
    </i>
    <i r="3">
      <x v="343"/>
      <x v="1100"/>
    </i>
    <i r="3">
      <x v="395"/>
      <x v="996"/>
    </i>
    <i r="3">
      <x v="1616"/>
      <x v="677"/>
    </i>
    <i r="3">
      <x v="1620"/>
      <x v="515"/>
    </i>
    <i r="3">
      <x v="1638"/>
      <x v="949"/>
    </i>
    <i r="1">
      <x v="4"/>
      <x v="15"/>
      <x v="248"/>
      <x v="1316"/>
    </i>
    <i r="1">
      <x v="5"/>
      <x v="14"/>
      <x v="387"/>
      <x v="114"/>
    </i>
    <i r="1">
      <x v="6"/>
      <x v="10"/>
      <x v="345"/>
      <x v="113"/>
    </i>
    <i r="1">
      <x v="7"/>
      <x v="14"/>
      <x v="7"/>
      <x v="663"/>
    </i>
    <i r="3">
      <x v="387"/>
      <x v="114"/>
    </i>
    <i r="1">
      <x v="9"/>
      <x v="10"/>
      <x v="387"/>
      <x v="114"/>
    </i>
    <i r="1">
      <x v="11"/>
      <x v="11"/>
      <x v="12"/>
      <x v="1472"/>
    </i>
    <i r="3">
      <x v="35"/>
      <x v="13"/>
    </i>
    <i r="3">
      <x v="42"/>
      <x v="1112"/>
    </i>
    <i r="3">
      <x v="89"/>
      <x v="1488"/>
    </i>
    <i r="4">
      <x v="1489"/>
    </i>
    <i r="3">
      <x v="136"/>
      <x v="593"/>
    </i>
    <i r="3">
      <x v="166"/>
      <x v="1086"/>
    </i>
    <i r="3">
      <x v="169"/>
      <x v="1090"/>
    </i>
    <i r="3">
      <x v="175"/>
      <x v="1329"/>
    </i>
    <i r="3">
      <x v="177"/>
      <x v="1332"/>
    </i>
    <i r="3">
      <x v="281"/>
      <x v="754"/>
    </i>
    <i r="3">
      <x v="282"/>
      <x v="755"/>
    </i>
    <i r="3">
      <x v="283"/>
      <x v="756"/>
    </i>
    <i r="3">
      <x v="397"/>
      <x v="1042"/>
    </i>
    <i r="3">
      <x v="406"/>
      <x v="895"/>
    </i>
    <i r="3">
      <x v="407"/>
      <x/>
    </i>
    <i r="3">
      <x v="409"/>
      <x v="672"/>
    </i>
    <i r="1">
      <x v="12"/>
      <x v="11"/>
      <x v="387"/>
      <x v="114"/>
    </i>
    <i r="1">
      <x v="13"/>
      <x v="11"/>
      <x v="248"/>
      <x v="1316"/>
    </i>
    <i r="1">
      <x v="14"/>
      <x v="15"/>
      <x v="279"/>
      <x v="752"/>
    </i>
    <i r="3">
      <x v="282"/>
      <x v="755"/>
    </i>
    <i r="1">
      <x v="22"/>
      <x v="12"/>
      <x v="1"/>
      <x v="837"/>
    </i>
    <i r="3">
      <x v="114"/>
      <x v="1072"/>
    </i>
    <i r="3">
      <x v="131"/>
      <x v="583"/>
    </i>
    <i r="3">
      <x v="200"/>
      <x v="1417"/>
    </i>
    <i r="3">
      <x v="343"/>
      <x v="1100"/>
    </i>
    <i r="3">
      <x v="1638"/>
      <x v="948"/>
    </i>
    <i r="1">
      <x v="67"/>
      <x v="10"/>
      <x v="22"/>
      <x v="390"/>
    </i>
    <i r="3">
      <x v="37"/>
      <x v="958"/>
    </i>
    <i r="3">
      <x v="39"/>
      <x v="960"/>
    </i>
    <i r="3">
      <x v="40"/>
      <x v="957"/>
    </i>
    <i r="3">
      <x v="134"/>
      <x v="588"/>
    </i>
    <i r="3">
      <x v="213"/>
      <x v="973"/>
    </i>
    <i r="3">
      <x v="432"/>
      <x v="426"/>
    </i>
    <i r="1">
      <x v="69"/>
      <x v="10"/>
      <x v="23"/>
      <x v="391"/>
    </i>
    <i r="3">
      <x v="37"/>
      <x v="958"/>
    </i>
    <i r="3">
      <x v="39"/>
      <x v="960"/>
    </i>
    <i r="1">
      <x v="70"/>
      <x v="14"/>
      <x v="279"/>
      <x v="752"/>
    </i>
    <i r="3">
      <x v="282"/>
      <x v="755"/>
    </i>
    <i r="1">
      <x v="72"/>
      <x v="16"/>
      <x/>
      <x v="947"/>
    </i>
    <i r="3">
      <x v="265"/>
      <x v="1340"/>
    </i>
    <i r="1">
      <x v="75"/>
      <x v="12"/>
      <x v="85"/>
      <x v="1469"/>
    </i>
    <i r="3">
      <x v="119"/>
      <x v="1091"/>
    </i>
    <i r="3">
      <x v="136"/>
      <x v="593"/>
    </i>
    <i r="3">
      <x v="148"/>
      <x v="977"/>
    </i>
    <i r="3">
      <x v="167"/>
      <x v="1088"/>
    </i>
    <i r="3">
      <x v="196"/>
      <x v="1065"/>
    </i>
    <i r="3">
      <x v="200"/>
      <x v="1417"/>
    </i>
    <i r="3">
      <x v="206"/>
      <x v="1428"/>
    </i>
    <i r="3">
      <x v="259"/>
      <x v="968"/>
    </i>
    <i r="3">
      <x v="302"/>
      <x v="1070"/>
    </i>
    <i r="3">
      <x v="342"/>
      <x v="1098"/>
    </i>
    <i r="3">
      <x v="363"/>
      <x v="673"/>
    </i>
    <i r="1">
      <x v="76"/>
      <x v="12"/>
      <x v="387"/>
      <x v="114"/>
    </i>
    <i r="1">
      <x v="77"/>
      <x v="12"/>
      <x v="1626"/>
      <x v="1474"/>
    </i>
    <i r="1">
      <x v="78"/>
      <x v="12"/>
      <x v="1628"/>
      <x v="1473"/>
    </i>
    <i r="1">
      <x v="80"/>
      <x v="12"/>
      <x v="253"/>
      <x v="1319"/>
    </i>
    <i r="1">
      <x v="81"/>
      <x v="14"/>
      <x v="155"/>
      <x v="1066"/>
    </i>
    <i r="3">
      <x v="259"/>
      <x v="968"/>
    </i>
    <i r="1">
      <x v="82"/>
      <x v="14"/>
      <x v="302"/>
      <x v="1070"/>
    </i>
    <i r="1">
      <x v="89"/>
      <x v="14"/>
      <x v="279"/>
      <x v="752"/>
    </i>
    <i r="1">
      <x v="90"/>
      <x v="14"/>
      <x v="693"/>
      <x v="184"/>
    </i>
    <i r="1">
      <x v="91"/>
      <x v="14"/>
      <x v="694"/>
      <x v="185"/>
    </i>
    <i r="1">
      <x v="92"/>
      <x v="14"/>
      <x v="695"/>
      <x v="186"/>
    </i>
    <i r="1">
      <x v="93"/>
      <x v="14"/>
      <x v="696"/>
      <x v="187"/>
    </i>
    <i r="1">
      <x v="94"/>
      <x v="14"/>
      <x v="697"/>
      <x v="188"/>
    </i>
    <i r="1">
      <x v="95"/>
      <x v="12"/>
      <x v="32"/>
      <x v="1111"/>
    </i>
    <i r="3">
      <x v="45"/>
      <x v="1465"/>
    </i>
    <i r="3">
      <x v="115"/>
      <x v="1073"/>
    </i>
    <i r="3">
      <x v="178"/>
      <x v="1336"/>
    </i>
    <i r="3">
      <x v="274"/>
      <x v="1224"/>
    </i>
    <i r="3">
      <x v="279"/>
      <x v="752"/>
    </i>
    <i r="3">
      <x v="282"/>
      <x v="755"/>
    </i>
    <i r="3">
      <x v="405"/>
      <x v="668"/>
    </i>
    <i r="1">
      <x v="96"/>
      <x v="12"/>
      <x v="387"/>
      <x v="114"/>
    </i>
    <i r="1">
      <x v="97"/>
      <x v="12"/>
      <x v="248"/>
      <x v="1316"/>
    </i>
    <i r="1">
      <x v="98"/>
      <x v="12"/>
      <x v="248"/>
      <x v="1316"/>
    </i>
    <i r="1">
      <x v="104"/>
      <x v="14"/>
      <x v="8"/>
      <x v="1484"/>
    </i>
    <i r="3">
      <x v="11"/>
      <x v="1482"/>
    </i>
    <i r="3">
      <x v="406"/>
      <x v="895"/>
    </i>
    <i r="3">
      <x v="407"/>
      <x/>
    </i>
    <i r="3">
      <x v="409"/>
      <x v="672"/>
    </i>
    <i r="3">
      <x v="430"/>
      <x v="966"/>
    </i>
    <i r="3">
      <x v="1612"/>
      <x v="1115"/>
    </i>
    <i r="1">
      <x v="105"/>
      <x v="14"/>
      <x v="248"/>
      <x v="1316"/>
    </i>
    <i r="1">
      <x v="108"/>
      <x v="16"/>
      <x v="28"/>
      <x v="1604"/>
    </i>
    <i r="3">
      <x v="211"/>
      <x v="986"/>
    </i>
    <i r="3">
      <x v="240"/>
      <x v="1585"/>
    </i>
    <i r="3">
      <x v="245"/>
      <x v="1325"/>
    </i>
    <i r="1">
      <x v="110"/>
      <x v="10"/>
      <x v="24"/>
      <x v="392"/>
    </i>
    <i r="3">
      <x v="37"/>
      <x v="958"/>
    </i>
    <i r="3">
      <x v="39"/>
      <x v="960"/>
    </i>
    <i r="3">
      <x v="40"/>
      <x v="957"/>
    </i>
    <i r="1">
      <x v="111"/>
      <x v="10"/>
      <x v="36"/>
      <x v="956"/>
    </i>
    <i r="3">
      <x v="1611"/>
      <x v="435"/>
    </i>
    <i r="1">
      <x v="127"/>
      <x v="10"/>
      <x v="19"/>
      <x v="389"/>
    </i>
    <i r="3">
      <x v="39"/>
      <x v="960"/>
    </i>
    <i r="3">
      <x v="266"/>
      <x v="386"/>
    </i>
    <i r="1">
      <x v="208"/>
      <x v="15"/>
      <x v="31"/>
      <x v="1113"/>
    </i>
    <i r="3">
      <x v="114"/>
      <x v="1072"/>
    </i>
    <i r="3">
      <x v="146"/>
      <x v="1587"/>
    </i>
    <i r="3">
      <x v="161"/>
      <x v="1079"/>
    </i>
    <i r="3">
      <x v="250"/>
      <x v="1318"/>
    </i>
    <i r="3">
      <x v="279"/>
      <x v="752"/>
    </i>
    <i r="3">
      <x v="281"/>
      <x v="754"/>
    </i>
    <i r="3">
      <x v="302"/>
      <x v="1070"/>
    </i>
    <i r="3">
      <x v="310"/>
      <x v="971"/>
    </i>
    <i r="3">
      <x v="404"/>
      <x v="819"/>
    </i>
    <i r="3">
      <x v="420"/>
      <x v="1051"/>
    </i>
    <i r="1">
      <x v="210"/>
      <x v="15"/>
      <x v="114"/>
      <x v="1072"/>
    </i>
    <i r="3">
      <x v="248"/>
      <x v="1316"/>
    </i>
    <i r="3">
      <x v="279"/>
      <x v="752"/>
    </i>
    <i r="3">
      <x v="302"/>
      <x v="1070"/>
    </i>
    <i r="3">
      <x v="310"/>
      <x v="971"/>
    </i>
    <i r="3">
      <x v="311"/>
      <x v="1459"/>
    </i>
    <i r="3">
      <x v="404"/>
      <x v="819"/>
    </i>
    <i r="3">
      <x v="420"/>
      <x v="1051"/>
    </i>
    <i r="3">
      <x v="1616"/>
      <x v="677"/>
    </i>
    <i r="3">
      <x v="1617"/>
      <x v="1583"/>
    </i>
    <i r="3">
      <x v="1619"/>
      <x v="516"/>
    </i>
    <i r="1">
      <x v="214"/>
      <x v="15"/>
      <x v="1"/>
      <x v="837"/>
    </i>
    <i r="3">
      <x v="114"/>
      <x v="1072"/>
    </i>
    <i r="3">
      <x v="131"/>
      <x v="583"/>
    </i>
    <i r="3">
      <x v="200"/>
      <x v="1417"/>
    </i>
    <i r="3">
      <x v="343"/>
      <x v="1100"/>
    </i>
    <i r="3">
      <x v="1638"/>
      <x v="949"/>
    </i>
    <i r="1">
      <x v="216"/>
      <x v="10"/>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10"/>
      <x v="987"/>
    </i>
    <i r="3">
      <x v="213"/>
      <x v="973"/>
    </i>
    <i r="3">
      <x v="215"/>
      <x v="975"/>
    </i>
    <i r="3">
      <x v="238"/>
      <x v="1588"/>
    </i>
    <i r="3">
      <x v="247"/>
      <x v="1333"/>
    </i>
    <i r="3">
      <x v="302"/>
      <x v="1070"/>
    </i>
    <i r="3">
      <x v="310"/>
      <x v="971"/>
    </i>
    <i r="3">
      <x v="331"/>
      <x v="1591"/>
    </i>
    <i r="3">
      <x v="336"/>
      <x v="1593"/>
    </i>
    <i r="3">
      <x v="374"/>
      <x v="704"/>
    </i>
    <i r="3">
      <x v="385"/>
      <x v="1210"/>
    </i>
    <i r="3">
      <x v="1636"/>
      <x v="42"/>
    </i>
    <i r="3">
      <x v="1640"/>
      <x v="961"/>
    </i>
    <i r="2">
      <x v="11"/>
      <x v="105"/>
      <x v="1596"/>
    </i>
    <i r="3">
      <x v="140"/>
      <x v="595"/>
    </i>
    <i r="3">
      <x v="151"/>
      <x v="980"/>
    </i>
    <i r="3">
      <x v="187"/>
      <x v="682"/>
    </i>
    <i r="3">
      <x v="215"/>
      <x v="975"/>
    </i>
    <i r="2">
      <x v="12"/>
      <x v="52"/>
      <x v="350"/>
    </i>
    <i r="3">
      <x v="137"/>
      <x v="581"/>
    </i>
    <i r="3">
      <x v="148"/>
      <x v="977"/>
    </i>
    <i r="3">
      <x v="166"/>
      <x v="1086"/>
    </i>
    <i r="3">
      <x v="167"/>
      <x v="1088"/>
    </i>
    <i r="3">
      <x v="200"/>
      <x v="1417"/>
    </i>
    <i r="3">
      <x v="215"/>
      <x v="975"/>
    </i>
    <i r="3">
      <x v="238"/>
      <x v="1588"/>
    </i>
    <i r="3">
      <x v="282"/>
      <x v="755"/>
    </i>
    <i r="3">
      <x v="302"/>
      <x v="1070"/>
    </i>
    <i r="3">
      <x v="310"/>
      <x v="971"/>
    </i>
    <i r="3">
      <x v="430"/>
      <x v="1500"/>
    </i>
    <i r="2">
      <x v="13"/>
      <x v="111"/>
      <x v="608"/>
    </i>
    <i r="3">
      <x v="112"/>
      <x v="609"/>
    </i>
    <i r="3">
      <x v="121"/>
      <x v="1096"/>
    </i>
    <i r="3">
      <x v="122"/>
      <x v="1097"/>
    </i>
    <i r="3">
      <x v="138"/>
      <x v="596"/>
    </i>
    <i r="3">
      <x v="140"/>
      <x v="595"/>
    </i>
    <i r="3">
      <x v="141"/>
      <x v="597"/>
    </i>
    <i r="3">
      <x v="215"/>
      <x v="975"/>
    </i>
    <i r="3">
      <x v="224"/>
      <x v="757"/>
    </i>
    <i r="3">
      <x v="283"/>
      <x v="756"/>
    </i>
    <i r="3">
      <x v="336"/>
      <x v="1593"/>
    </i>
    <i r="2">
      <x v="14"/>
      <x v="89"/>
      <x v="1488"/>
    </i>
    <i r="3">
      <x v="114"/>
      <x v="1072"/>
    </i>
    <i r="3">
      <x v="115"/>
      <x v="1073"/>
    </i>
    <i r="3">
      <x v="131"/>
      <x v="583"/>
    </i>
    <i r="3">
      <x v="136"/>
      <x v="593"/>
    </i>
    <i r="3">
      <x v="165"/>
      <x v="1085"/>
    </i>
    <i r="3">
      <x v="166"/>
      <x v="1086"/>
    </i>
    <i r="3">
      <x v="169"/>
      <x v="1090"/>
    </i>
    <i r="3">
      <x v="203"/>
      <x v="1418"/>
    </i>
    <i r="3">
      <x v="206"/>
      <x v="1428"/>
    </i>
    <i r="3">
      <x v="237"/>
      <x v="1586"/>
    </i>
    <i r="3">
      <x v="302"/>
      <x v="1070"/>
    </i>
    <i r="3">
      <x v="396"/>
      <x v="1616"/>
    </i>
    <i r="3">
      <x v="398"/>
      <x v="1042"/>
    </i>
    <i r="2">
      <x v="15"/>
      <x v="114"/>
      <x v="1072"/>
    </i>
    <i r="3">
      <x v="167"/>
      <x v="1088"/>
    </i>
    <i r="3">
      <x v="292"/>
      <x v="1421"/>
    </i>
    <i r="3">
      <x v="345"/>
      <x v="113"/>
    </i>
    <i r="2">
      <x v="16"/>
      <x v="105"/>
      <x v="1596"/>
    </i>
    <i r="3">
      <x v="154"/>
      <x v="683"/>
    </i>
    <i r="3">
      <x v="173"/>
      <x v="1094"/>
    </i>
    <i r="3">
      <x v="187"/>
      <x v="682"/>
    </i>
    <i r="3">
      <x v="314"/>
      <x v="988"/>
    </i>
    <i r="3">
      <x v="334"/>
      <x v="1592"/>
    </i>
    <i r="3">
      <x v="376"/>
      <x v="963"/>
    </i>
    <i r="3">
      <x v="377"/>
      <x v="963"/>
    </i>
    <i r="3">
      <x v="1615"/>
      <x v="1504"/>
    </i>
    <i t="default">
      <x v="2"/>
    </i>
    <i>
      <x v="4"/>
      <x v="5"/>
      <x v="43"/>
      <x v="387"/>
      <x v="114"/>
    </i>
    <i r="2">
      <x v="54"/>
      <x v="387"/>
      <x v="114"/>
    </i>
    <i r="2">
      <x v="57"/>
      <x v="387"/>
      <x v="114"/>
    </i>
    <i r="2">
      <x v="58"/>
      <x v="387"/>
      <x v="114"/>
    </i>
    <i r="1">
      <x v="7"/>
      <x v="43"/>
      <x v="7"/>
      <x v="663"/>
    </i>
    <i r="3">
      <x v="387"/>
      <x v="114"/>
    </i>
    <i r="1">
      <x v="10"/>
      <x v="54"/>
      <x v="279"/>
      <x v="752"/>
    </i>
    <i r="3">
      <x v="1485"/>
      <x v="490"/>
    </i>
    <i r="3">
      <x v="1606"/>
      <x v="1116"/>
    </i>
    <i r="3">
      <x v="1607"/>
      <x v="967"/>
    </i>
    <i r="1">
      <x v="15"/>
      <x v="54"/>
      <x v="2"/>
      <x v="641"/>
    </i>
    <i r="3">
      <x v="97"/>
      <x v="1397"/>
    </i>
    <i r="3">
      <x v="132"/>
      <x v="584"/>
    </i>
    <i r="3">
      <x v="135"/>
      <x v="592"/>
    </i>
    <i r="3">
      <x v="136"/>
      <x v="593"/>
    </i>
    <i r="3">
      <x v="139"/>
      <x v="589"/>
    </i>
    <i r="3">
      <x v="143"/>
      <x v="972"/>
    </i>
    <i r="3">
      <x v="156"/>
      <x v="1071"/>
    </i>
    <i r="3">
      <x v="160"/>
      <x v="1077"/>
    </i>
    <i r="3">
      <x v="214"/>
      <x v="974"/>
    </i>
    <i r="3">
      <x v="237"/>
      <x v="1586"/>
    </i>
    <i r="3">
      <x v="258"/>
      <x v="1590"/>
    </i>
    <i r="3">
      <x v="268"/>
      <x v="1215"/>
    </i>
    <i r="3">
      <x v="318"/>
      <x v="1404"/>
    </i>
    <i r="3">
      <x v="330"/>
      <x v="1589"/>
    </i>
    <i r="3">
      <x v="347"/>
      <x v="1471"/>
    </i>
    <i r="3">
      <x v="388"/>
      <x v="1371"/>
    </i>
    <i r="3">
      <x v="400"/>
      <x v="1452"/>
    </i>
    <i r="1">
      <x v="16"/>
      <x v="54"/>
      <x v="73"/>
      <x v="357"/>
    </i>
    <i r="3">
      <x v="279"/>
      <x v="752"/>
    </i>
    <i r="1">
      <x v="17"/>
      <x v="54"/>
      <x v="282"/>
      <x v="755"/>
    </i>
    <i r="1">
      <x v="18"/>
      <x v="54"/>
      <x v="279"/>
      <x v="752"/>
    </i>
    <i r="3">
      <x v="282"/>
      <x v="755"/>
    </i>
    <i r="1">
      <x v="19"/>
      <x v="54"/>
      <x v="73"/>
      <x v="357"/>
    </i>
    <i r="3">
      <x v="281"/>
      <x v="754"/>
    </i>
    <i r="3">
      <x v="282"/>
      <x v="755"/>
    </i>
    <i r="1">
      <x v="25"/>
      <x v="53"/>
      <x v="203"/>
      <x v="1418"/>
    </i>
    <i r="3">
      <x v="302"/>
      <x v="1070"/>
    </i>
    <i r="1">
      <x v="26"/>
      <x v="53"/>
      <x v="387"/>
      <x v="114"/>
    </i>
    <i r="1">
      <x v="32"/>
      <x v="45"/>
      <x v="98"/>
      <x v="1399"/>
    </i>
    <i r="3">
      <x v="132"/>
      <x v="584"/>
    </i>
    <i r="3">
      <x v="171"/>
      <x v="1092"/>
    </i>
    <i r="3">
      <x v="378"/>
      <x v="694"/>
    </i>
    <i r="3">
      <x v="386"/>
      <x v="693"/>
    </i>
    <i r="3">
      <x v="421"/>
      <x v="839"/>
    </i>
    <i r="3">
      <x v="1625"/>
      <x v="695"/>
    </i>
    <i r="1">
      <x v="33"/>
      <x v="45"/>
      <x v="146"/>
      <x v="1587"/>
    </i>
    <i r="3">
      <x v="164"/>
      <x v="1084"/>
    </i>
    <i r="3">
      <x v="174"/>
      <x v="1328"/>
    </i>
    <i r="1">
      <x v="34"/>
      <x v="45"/>
      <x v="70"/>
      <x v="1358"/>
    </i>
    <i r="3">
      <x v="281"/>
      <x v="754"/>
    </i>
    <i r="3">
      <x v="282"/>
      <x v="755"/>
    </i>
    <i r="1">
      <x v="35"/>
      <x v="45"/>
      <x v="93"/>
      <x v="1453"/>
    </i>
    <i r="3">
      <x v="162"/>
      <x v="1081"/>
    </i>
    <i r="3">
      <x v="214"/>
      <x v="974"/>
    </i>
    <i r="3">
      <x v="241"/>
      <x v="1599"/>
    </i>
    <i r="3">
      <x v="279"/>
      <x v="752"/>
    </i>
    <i r="3">
      <x v="281"/>
      <x v="754"/>
    </i>
    <i r="1">
      <x v="36"/>
      <x v="45"/>
      <x v="210"/>
      <x v="987"/>
    </i>
    <i r="3">
      <x v="214"/>
      <x v="974"/>
    </i>
    <i r="3">
      <x v="241"/>
      <x v="1599"/>
    </i>
    <i r="3">
      <x v="279"/>
      <x v="752"/>
    </i>
    <i r="1">
      <x v="48"/>
      <x v="56"/>
      <x v="203"/>
      <x v="1418"/>
    </i>
    <i r="3">
      <x v="302"/>
      <x v="1070"/>
    </i>
    <i r="1">
      <x v="49"/>
      <x v="56"/>
      <x v="387"/>
      <x v="114"/>
    </i>
    <i r="1">
      <x v="51"/>
      <x v="59"/>
      <x v="203"/>
      <x v="1418"/>
    </i>
    <i r="3">
      <x v="302"/>
      <x v="1070"/>
    </i>
    <i r="1">
      <x v="52"/>
      <x v="59"/>
      <x v="387"/>
      <x v="114"/>
    </i>
    <i r="1">
      <x v="109"/>
      <x v="43"/>
      <x v="18"/>
      <x v="388"/>
    </i>
    <i r="3">
      <x v="37"/>
      <x v="958"/>
    </i>
    <i r="3">
      <x v="39"/>
      <x v="960"/>
    </i>
    <i r="3">
      <x v="40"/>
      <x v="957"/>
    </i>
    <i r="1">
      <x v="165"/>
      <x v="42"/>
      <x v="78"/>
      <x v="1476"/>
    </i>
    <i r="3">
      <x v="152"/>
      <x v="1603"/>
    </i>
    <i r="3">
      <x v="216"/>
      <x v="1431"/>
    </i>
    <i r="3">
      <x v="218"/>
      <x v="363"/>
    </i>
    <i r="3">
      <x v="1613"/>
      <x v="510"/>
    </i>
    <i r="1">
      <x v="167"/>
      <x v="54"/>
      <x v="77"/>
      <x v="1477"/>
    </i>
    <i r="3">
      <x v="152"/>
      <x v="1603"/>
    </i>
    <i r="3">
      <x v="216"/>
      <x v="1431"/>
    </i>
    <i r="3">
      <x v="218"/>
      <x v="363"/>
    </i>
    <i r="3">
      <x v="1613"/>
      <x v="510"/>
    </i>
    <i r="2">
      <x v="57"/>
      <x v="77"/>
      <x v="1477"/>
    </i>
    <i r="3">
      <x v="152"/>
      <x v="1603"/>
    </i>
    <i r="3">
      <x v="216"/>
      <x v="1431"/>
    </i>
    <i r="3">
      <x v="218"/>
      <x v="363"/>
    </i>
    <i r="3">
      <x v="1613"/>
      <x v="510"/>
    </i>
    <i r="1">
      <x v="168"/>
      <x v="53"/>
      <x v="1626"/>
      <x v="1474"/>
    </i>
    <i r="1">
      <x v="169"/>
      <x v="41"/>
      <x v="1626"/>
      <x v="1474"/>
    </i>
    <i r="2">
      <x v="47"/>
      <x v="1626"/>
      <x v="1474"/>
    </i>
    <i r="1">
      <x v="171"/>
      <x v="55"/>
      <x v="1628"/>
      <x v="1473"/>
    </i>
    <i r="1">
      <x v="172"/>
      <x v="53"/>
      <x v="1628"/>
      <x v="1473"/>
    </i>
    <i r="2">
      <x v="54"/>
      <x v="1628"/>
      <x v="1473"/>
    </i>
    <i r="1">
      <x v="173"/>
      <x v="56"/>
      <x v="1628"/>
      <x v="1473"/>
    </i>
    <i r="1">
      <x v="176"/>
      <x v="53"/>
      <x v="119"/>
      <x v="1091"/>
    </i>
    <i r="3">
      <x v="282"/>
      <x v="755"/>
    </i>
    <i r="3">
      <x v="1639"/>
      <x v="950"/>
    </i>
    <i r="1">
      <x v="180"/>
      <x v="59"/>
      <x v="360"/>
      <x v="29"/>
    </i>
    <i r="3">
      <x v="362"/>
      <x v="997"/>
    </i>
    <i r="3">
      <x v="423"/>
      <x v="28"/>
    </i>
    <i r="1">
      <x v="182"/>
      <x v="48"/>
      <x v="387"/>
      <x v="114"/>
    </i>
    <i r="1">
      <x v="185"/>
      <x v="54"/>
      <x v="250"/>
      <x v="1318"/>
    </i>
    <i r="1">
      <x v="188"/>
      <x v="54"/>
      <x v="250"/>
      <x v="1318"/>
    </i>
    <i r="3">
      <x v="282"/>
      <x v="755"/>
    </i>
    <i r="1">
      <x v="190"/>
      <x v="59"/>
      <x v="253"/>
      <x v="1319"/>
    </i>
    <i r="1">
      <x v="191"/>
      <x v="59"/>
      <x v="250"/>
      <x v="1318"/>
    </i>
    <i r="1">
      <x v="192"/>
      <x v="56"/>
      <x v="253"/>
      <x v="1319"/>
    </i>
    <i r="1">
      <x v="193"/>
      <x v="56"/>
      <x v="252"/>
      <x v="1319"/>
    </i>
    <i r="3">
      <x v="253"/>
      <x v="1319"/>
    </i>
    <i r="1">
      <x v="194"/>
      <x v="56"/>
      <x v="253"/>
      <x v="1319"/>
    </i>
    <i r="1">
      <x v="196"/>
      <x v="59"/>
      <x v="253"/>
      <x v="1319"/>
    </i>
    <i r="1">
      <x v="197"/>
      <x v="57"/>
      <x v="253"/>
      <x v="1319"/>
    </i>
    <i r="2">
      <x v="58"/>
      <x v="253"/>
      <x v="1319"/>
    </i>
    <i r="1">
      <x v="198"/>
      <x v="54"/>
      <x v="254"/>
      <x v="1320"/>
    </i>
    <i r="1">
      <x v="215"/>
      <x v="46"/>
      <x v="70"/>
      <x v="1358"/>
    </i>
    <i r="3">
      <x v="280"/>
      <x v="753"/>
    </i>
    <i r="1">
      <x v="216"/>
      <x v="41"/>
      <x v="148"/>
      <x v="977"/>
    </i>
    <i r="3">
      <x v="166"/>
      <x v="1086"/>
    </i>
    <i r="3">
      <x v="363"/>
      <x v="673"/>
    </i>
    <i r="3">
      <x v="366"/>
      <x v="899"/>
    </i>
    <i r="3">
      <x v="367"/>
      <x v="896"/>
    </i>
    <i r="3">
      <x v="369"/>
      <x v="897"/>
    </i>
    <i r="3">
      <x v="370"/>
      <x v="675"/>
    </i>
    <i r="3">
      <x v="373"/>
      <x v="998"/>
    </i>
    <i r="3">
      <x v="393"/>
      <x v="1462"/>
    </i>
    <i r="2">
      <x v="42"/>
      <x v="191"/>
      <x v="1283"/>
    </i>
    <i r="3">
      <x v="409"/>
      <x v="672"/>
    </i>
    <i r="3">
      <x v="1624"/>
      <x v="1147"/>
    </i>
    <i r="4">
      <x v="1458"/>
    </i>
    <i r="2">
      <x v="43"/>
      <x v="121"/>
      <x v="1096"/>
    </i>
    <i r="3">
      <x v="126"/>
      <x v="607"/>
    </i>
    <i r="3">
      <x v="136"/>
      <x v="593"/>
    </i>
    <i r="3">
      <x v="137"/>
      <x v="581"/>
    </i>
    <i r="3">
      <x v="160"/>
      <x v="1077"/>
    </i>
    <i r="3">
      <x v="166"/>
      <x v="1086"/>
    </i>
    <i r="3">
      <x v="167"/>
      <x v="1088"/>
    </i>
    <i r="3">
      <x v="172"/>
      <x v="1093"/>
    </i>
    <i r="3">
      <x v="215"/>
      <x v="975"/>
    </i>
    <i r="3">
      <x v="272"/>
      <x v="598"/>
    </i>
    <i r="3">
      <x v="291"/>
      <x v="1419"/>
    </i>
    <i r="3">
      <x v="302"/>
      <x v="1070"/>
    </i>
    <i r="3">
      <x v="309"/>
      <x v="1373"/>
    </i>
    <i r="3">
      <x v="310"/>
      <x v="971"/>
    </i>
    <i r="3">
      <x v="374"/>
      <x v="704"/>
    </i>
    <i r="3">
      <x v="1608"/>
      <x v="1118"/>
    </i>
    <i r="2">
      <x v="44"/>
      <x v="30"/>
      <x v="1577"/>
    </i>
    <i r="3">
      <x v="112"/>
      <x v="609"/>
    </i>
    <i r="3">
      <x v="120"/>
      <x v="1095"/>
    </i>
    <i r="3">
      <x v="122"/>
      <x v="1097"/>
    </i>
    <i r="3">
      <x v="140"/>
      <x v="595"/>
    </i>
    <i r="3">
      <x v="141"/>
      <x v="597"/>
    </i>
    <i r="3">
      <x v="167"/>
      <x v="1088"/>
    </i>
    <i r="3">
      <x v="172"/>
      <x v="1093"/>
    </i>
    <i r="3">
      <x v="215"/>
      <x v="975"/>
    </i>
    <i r="3">
      <x v="224"/>
      <x v="757"/>
    </i>
    <i r="3">
      <x v="279"/>
      <x v="752"/>
    </i>
    <i r="3">
      <x v="282"/>
      <x v="755"/>
    </i>
    <i r="3">
      <x v="283"/>
      <x v="756"/>
    </i>
    <i r="3">
      <x v="336"/>
      <x v="1593"/>
    </i>
    <i r="2">
      <x v="46"/>
      <x v="70"/>
      <x v="1358"/>
    </i>
    <i r="3">
      <x v="90"/>
      <x v="1455"/>
    </i>
    <i r="3">
      <x v="91"/>
      <x v="1456"/>
    </i>
    <i r="3">
      <x v="100"/>
      <x v="1396"/>
    </i>
    <i r="3">
      <x v="101"/>
      <x v="1395"/>
    </i>
    <i r="3">
      <x v="156"/>
      <x v="1071"/>
    </i>
    <i r="3">
      <x v="158"/>
      <x v="1075"/>
    </i>
    <i r="3">
      <x v="160"/>
      <x v="1077"/>
    </i>
    <i r="3">
      <x v="161"/>
      <x v="1079"/>
    </i>
    <i r="3">
      <x v="176"/>
      <x v="1331"/>
    </i>
    <i r="3">
      <x v="212"/>
      <x v="970"/>
    </i>
    <i r="3">
      <x v="213"/>
      <x v="973"/>
    </i>
    <i r="3">
      <x v="242"/>
      <x v="1600"/>
    </i>
    <i r="3">
      <x v="250"/>
      <x v="1318"/>
    </i>
    <i r="3">
      <x v="255"/>
      <x v="1315"/>
    </i>
    <i r="3">
      <x v="280"/>
      <x v="753"/>
    </i>
    <i r="3">
      <x v="304"/>
      <x v="418"/>
    </i>
    <i r="3">
      <x v="324"/>
      <x v="600"/>
    </i>
    <i r="3">
      <x v="325"/>
      <x v="601"/>
    </i>
    <i r="3">
      <x v="1394"/>
      <x v="1609"/>
    </i>
    <i r="2">
      <x v="47"/>
      <x v="167"/>
      <x v="1088"/>
    </i>
    <i r="3">
      <x v="363"/>
      <x v="673"/>
    </i>
    <i r="3">
      <x v="367"/>
      <x v="896"/>
    </i>
    <i r="3">
      <x v="373"/>
      <x v="998"/>
    </i>
    <i r="2">
      <x v="48"/>
      <x v="1"/>
      <x v="837"/>
    </i>
    <i r="3">
      <x v="3"/>
      <x v="1313"/>
    </i>
    <i r="3">
      <x v="21"/>
      <x v="1511"/>
    </i>
    <i r="3">
      <x v="34"/>
      <x v="1114"/>
    </i>
    <i r="3">
      <x v="92"/>
      <x v="1457"/>
    </i>
    <i r="3">
      <x v="114"/>
      <x v="1072"/>
    </i>
    <i r="3">
      <x v="115"/>
      <x v="1073"/>
    </i>
    <i r="3">
      <x v="130"/>
      <x v="1099"/>
    </i>
    <i r="3">
      <x v="147"/>
      <x v="978"/>
    </i>
    <i r="3">
      <x v="198"/>
      <x v="1067"/>
    </i>
    <i r="3">
      <x v="248"/>
      <x v="1316"/>
    </i>
    <i r="3">
      <x v="252"/>
      <x v="1319"/>
    </i>
    <i r="3">
      <x v="279"/>
      <x v="752"/>
    </i>
    <i r="3">
      <x v="410"/>
      <x v="1312"/>
    </i>
    <i r="3">
      <x v="421"/>
      <x v="839"/>
    </i>
    <i r="3">
      <x v="1420"/>
      <x v="1159"/>
    </i>
    <i r="3">
      <x v="1629"/>
      <x v="879"/>
    </i>
    <i r="3">
      <x v="1630"/>
      <x v="880"/>
    </i>
    <i r="3">
      <x v="1638"/>
      <x v="948"/>
    </i>
    <i r="2">
      <x v="49"/>
      <x v="119"/>
      <x v="1091"/>
    </i>
    <i r="3">
      <x v="282"/>
      <x v="755"/>
    </i>
    <i r="3">
      <x v="1639"/>
      <x v="950"/>
    </i>
    <i r="2">
      <x v="50"/>
      <x v="166"/>
      <x v="1086"/>
    </i>
    <i r="2">
      <x v="51"/>
      <x v="148"/>
      <x v="977"/>
    </i>
    <i r="3">
      <x v="169"/>
      <x v="1090"/>
    </i>
    <i r="2">
      <x v="52"/>
      <x v="127"/>
      <x v="1180"/>
    </i>
    <i r="3">
      <x v="279"/>
      <x v="752"/>
    </i>
    <i r="3">
      <x v="302"/>
      <x v="1070"/>
    </i>
    <i r="2">
      <x v="53"/>
      <x v="119"/>
      <x v="1091"/>
    </i>
    <i r="3">
      <x v="137"/>
      <x v="581"/>
    </i>
    <i r="3">
      <x v="148"/>
      <x v="977"/>
    </i>
    <i r="3">
      <x v="167"/>
      <x v="1088"/>
    </i>
    <i r="3">
      <x v="206"/>
      <x v="1428"/>
    </i>
    <i r="3">
      <x v="238"/>
      <x v="1588"/>
    </i>
    <i r="3">
      <x v="293"/>
      <x v="1430"/>
    </i>
    <i r="3">
      <x v="363"/>
      <x v="673"/>
    </i>
    <i r="3">
      <x v="367"/>
      <x v="896"/>
    </i>
    <i r="3">
      <x v="373"/>
      <x v="998"/>
    </i>
    <i r="2">
      <x v="54"/>
      <x v="74"/>
      <x v="1481"/>
    </i>
    <i r="3">
      <x v="119"/>
      <x v="1091"/>
    </i>
    <i r="3">
      <x v="136"/>
      <x v="593"/>
    </i>
    <i r="3">
      <x v="148"/>
      <x v="977"/>
    </i>
    <i r="3">
      <x v="167"/>
      <x v="1088"/>
    </i>
    <i r="3">
      <x v="201"/>
      <x v="1422"/>
    </i>
    <i r="3">
      <x v="203"/>
      <x v="1418"/>
    </i>
    <i r="3">
      <x v="206"/>
      <x v="1428"/>
    </i>
    <i r="3">
      <x v="291"/>
      <x v="1419"/>
    </i>
    <i r="3">
      <x v="292"/>
      <x v="1421"/>
    </i>
    <i r="3">
      <x v="294"/>
      <x v="1427"/>
    </i>
    <i r="3">
      <x v="302"/>
      <x v="1070"/>
    </i>
    <i r="3">
      <x v="326"/>
      <x v="582"/>
    </i>
    <i r="3">
      <x v="327"/>
      <x v="585"/>
    </i>
    <i r="3">
      <x v="363"/>
      <x v="673"/>
    </i>
    <i r="3">
      <x v="367"/>
      <x v="896"/>
    </i>
    <i r="3">
      <x v="371"/>
      <x v="674"/>
    </i>
    <i r="3">
      <x v="373"/>
      <x v="998"/>
    </i>
    <i r="3">
      <x v="409"/>
      <x v="672"/>
    </i>
    <i r="2">
      <x v="55"/>
      <x v="166"/>
      <x v="1086"/>
    </i>
    <i r="3">
      <x v="363"/>
      <x v="673"/>
    </i>
    <i r="3">
      <x v="367"/>
      <x v="896"/>
    </i>
    <i r="3">
      <x v="373"/>
      <x v="998"/>
    </i>
    <i r="2">
      <x v="56"/>
      <x v="72"/>
      <x v="1480"/>
    </i>
    <i r="3">
      <x v="148"/>
      <x v="977"/>
    </i>
    <i r="3">
      <x v="164"/>
      <x v="1084"/>
    </i>
    <i r="3">
      <x v="167"/>
      <x v="1088"/>
    </i>
    <i r="3">
      <x v="206"/>
      <x v="1428"/>
    </i>
    <i r="3">
      <x v="363"/>
      <x v="673"/>
    </i>
    <i r="3">
      <x v="367"/>
      <x v="896"/>
    </i>
    <i r="3">
      <x v="371"/>
      <x v="674"/>
    </i>
    <i r="3">
      <x v="373"/>
      <x v="998"/>
    </i>
    <i r="3">
      <x v="1608"/>
      <x v="1118"/>
    </i>
    <i r="3">
      <x v="1609"/>
      <x v="669"/>
    </i>
    <i r="2">
      <x v="57"/>
      <x v="8"/>
      <x v="1484"/>
    </i>
    <i r="3">
      <x v="11"/>
      <x v="1482"/>
    </i>
    <i r="3">
      <x v="119"/>
      <x v="1091"/>
    </i>
    <i r="3">
      <x v="148"/>
      <x v="977"/>
    </i>
    <i r="3">
      <x v="167"/>
      <x v="1088"/>
    </i>
    <i r="3">
      <x v="200"/>
      <x v="1417"/>
    </i>
    <i r="3">
      <x v="201"/>
      <x v="1422"/>
    </i>
    <i r="3">
      <x v="206"/>
      <x v="1428"/>
    </i>
    <i r="3">
      <x v="291"/>
      <x v="1419"/>
    </i>
    <i r="3">
      <x v="302"/>
      <x v="1070"/>
    </i>
    <i r="3">
      <x v="327"/>
      <x v="585"/>
    </i>
    <i r="3">
      <x v="348"/>
      <x v="1468"/>
    </i>
    <i r="3">
      <x v="380"/>
      <x v="666"/>
    </i>
    <i r="3">
      <x v="406"/>
      <x v="895"/>
    </i>
    <i r="3">
      <x v="407"/>
      <x/>
    </i>
    <i r="3">
      <x v="409"/>
      <x v="672"/>
    </i>
    <i r="2">
      <x v="58"/>
      <x v="12"/>
      <x v="1472"/>
    </i>
    <i r="3">
      <x v="148"/>
      <x v="977"/>
    </i>
    <i r="3">
      <x v="167"/>
      <x v="1088"/>
    </i>
    <i r="3">
      <x v="201"/>
      <x v="1422"/>
    </i>
    <i r="3">
      <x v="203"/>
      <x v="1418"/>
    </i>
    <i r="3">
      <x v="302"/>
      <x v="1070"/>
    </i>
    <i r="3">
      <x v="326"/>
      <x v="582"/>
    </i>
    <i r="3">
      <x v="348"/>
      <x v="1468"/>
    </i>
    <i r="3">
      <x v="380"/>
      <x v="666"/>
    </i>
    <i r="3">
      <x v="406"/>
      <x v="895"/>
    </i>
    <i r="3">
      <x v="407"/>
      <x/>
    </i>
    <i r="3">
      <x v="409"/>
      <x v="672"/>
    </i>
    <i r="2">
      <x v="59"/>
      <x v="6"/>
      <x v="901"/>
    </i>
    <i r="3">
      <x v="49"/>
      <x v="1464"/>
    </i>
    <i r="3">
      <x v="148"/>
      <x v="977"/>
    </i>
    <i r="3">
      <x v="162"/>
      <x v="1081"/>
    </i>
    <i r="3">
      <x v="167"/>
      <x v="1088"/>
    </i>
    <i r="3">
      <x v="201"/>
      <x v="1422"/>
    </i>
    <i r="3">
      <x v="213"/>
      <x v="973"/>
    </i>
    <i r="3">
      <x v="302"/>
      <x v="1070"/>
    </i>
    <i r="3">
      <x v="326"/>
      <x v="582"/>
    </i>
    <i r="3">
      <x v="348"/>
      <x v="1468"/>
    </i>
    <i r="3">
      <x v="361"/>
      <x v="1170"/>
    </i>
    <i r="3">
      <x v="370"/>
      <x v="676"/>
    </i>
    <i r="3">
      <x v="380"/>
      <x v="666"/>
    </i>
    <i r="3">
      <x v="1608"/>
      <x v="1118"/>
    </i>
    <i r="3">
      <x v="1609"/>
      <x v="669"/>
    </i>
    <i t="default">
      <x v="4"/>
    </i>
    <i>
      <x v="5"/>
      <x v="5"/>
      <x v="2"/>
      <x v="387"/>
      <x v="114"/>
    </i>
    <i r="2">
      <x v="3"/>
      <x v="387"/>
      <x v="114"/>
    </i>
    <i r="2">
      <x v="7"/>
      <x v="387"/>
      <x v="114"/>
    </i>
    <i r="1">
      <x v="7"/>
      <x v="2"/>
      <x v="7"/>
      <x v="663"/>
    </i>
    <i r="3">
      <x v="387"/>
      <x v="114"/>
    </i>
    <i r="1">
      <x v="24"/>
      <x v="2"/>
      <x v="387"/>
      <x v="114"/>
    </i>
    <i r="1">
      <x v="27"/>
      <x v="9"/>
      <x v="166"/>
      <x v="1086"/>
    </i>
    <i r="3">
      <x v="179"/>
      <x v="1334"/>
    </i>
    <i r="3">
      <x v="248"/>
      <x v="1316"/>
    </i>
    <i r="3">
      <x v="282"/>
      <x v="755"/>
    </i>
    <i r="3">
      <x v="284"/>
      <x v="749"/>
    </i>
    <i r="3">
      <x v="1616"/>
      <x v="677"/>
    </i>
    <i r="3">
      <x v="1617"/>
      <x v="1583"/>
    </i>
    <i r="3">
      <x v="1619"/>
      <x v="516"/>
    </i>
    <i r="1">
      <x v="28"/>
      <x v="9"/>
      <x v="114"/>
      <x v="1072"/>
    </i>
    <i r="3">
      <x v="310"/>
      <x v="971"/>
    </i>
    <i r="1">
      <x v="29"/>
      <x v="9"/>
      <x v="316"/>
      <x v="1326"/>
    </i>
    <i r="1">
      <x v="30"/>
      <x v="9"/>
      <x v="10"/>
      <x v="1499"/>
    </i>
    <i r="3">
      <x v="408"/>
      <x v="670"/>
    </i>
    <i r="3">
      <x v="594"/>
      <x v="1438"/>
    </i>
    <i r="3">
      <x v="595"/>
      <x v="1438"/>
    </i>
    <i r="3">
      <x v="596"/>
      <x v="1437"/>
    </i>
    <i r="3">
      <x v="1608"/>
      <x v="1118"/>
    </i>
    <i r="3">
      <x v="1609"/>
      <x v="669"/>
    </i>
    <i r="3">
      <x v="1610"/>
      <x v="1582"/>
    </i>
    <i r="3">
      <x v="1627"/>
      <x v="943"/>
    </i>
    <i r="3">
      <x v="1632"/>
      <x v="479"/>
    </i>
    <i r="3">
      <x v="1633"/>
      <x v="330"/>
    </i>
    <i r="3">
      <x v="1634"/>
      <x v="478"/>
    </i>
    <i r="3">
      <x v="1635"/>
      <x v="477"/>
    </i>
    <i r="3">
      <x v="1637"/>
      <x v="1364"/>
    </i>
    <i r="1">
      <x v="31"/>
      <x v="9"/>
      <x v="248"/>
      <x v="1316"/>
    </i>
    <i r="1">
      <x v="37"/>
      <x v="9"/>
      <x v="29"/>
      <x v="1451"/>
    </i>
    <i r="3">
      <x v="33"/>
      <x v="836"/>
    </i>
    <i r="3">
      <x v="281"/>
      <x v="754"/>
    </i>
    <i r="3">
      <x v="282"/>
      <x v="755"/>
    </i>
    <i r="3">
      <x v="310"/>
      <x v="971"/>
    </i>
    <i r="3">
      <x v="326"/>
      <x v="582"/>
    </i>
    <i r="3">
      <x v="328"/>
      <x v="587"/>
    </i>
    <i r="3">
      <x v="335"/>
      <x v="361"/>
    </i>
    <i r="3">
      <x v="383"/>
      <x v="876"/>
    </i>
    <i r="3">
      <x v="384"/>
      <x v="877"/>
    </i>
    <i r="3">
      <x v="431"/>
      <x v="491"/>
    </i>
    <i r="1">
      <x v="38"/>
      <x v="8"/>
      <x v="8"/>
      <x v="1484"/>
    </i>
    <i r="3">
      <x v="11"/>
      <x v="1482"/>
    </i>
    <i r="3">
      <x v="148"/>
      <x v="977"/>
    </i>
    <i r="3">
      <x v="167"/>
      <x v="1088"/>
    </i>
    <i r="3">
      <x v="330"/>
      <x v="1589"/>
    </i>
    <i r="3">
      <x v="406"/>
      <x v="895"/>
    </i>
    <i r="3">
      <x v="407"/>
      <x/>
    </i>
    <i r="3">
      <x v="409"/>
      <x v="672"/>
    </i>
    <i r="3">
      <x v="1608"/>
      <x v="1118"/>
    </i>
    <i r="3">
      <x v="1609"/>
      <x v="669"/>
    </i>
    <i r="1">
      <x v="39"/>
      <x v="8"/>
      <x v="248"/>
      <x v="1316"/>
    </i>
    <i r="1">
      <x v="40"/>
      <x v="8"/>
      <x v="253"/>
      <x v="1319"/>
    </i>
    <i r="1">
      <x v="41"/>
      <x v="8"/>
      <x v="282"/>
      <x v="755"/>
    </i>
    <i r="1">
      <x v="168"/>
      <x v="3"/>
      <x v="1626"/>
      <x v="1474"/>
    </i>
    <i r="1">
      <x v="178"/>
      <x v="2"/>
      <x v="284"/>
      <x v="749"/>
    </i>
    <i r="1">
      <x v="179"/>
      <x v="2"/>
      <x v="284"/>
      <x v="749"/>
    </i>
    <i r="1">
      <x v="181"/>
      <x v="3"/>
      <x v="342"/>
      <x v="1098"/>
    </i>
    <i r="3">
      <x v="466"/>
      <x v="931"/>
    </i>
    <i r="3">
      <x v="467"/>
      <x v="933"/>
    </i>
    <i r="3">
      <x v="468"/>
      <x v="934"/>
    </i>
    <i r="3">
      <x v="469"/>
      <x v="936"/>
    </i>
    <i r="3">
      <x v="470"/>
      <x v="937"/>
    </i>
    <i r="3">
      <x v="471"/>
      <x v="938"/>
    </i>
    <i r="3">
      <x v="472"/>
      <x v="932"/>
    </i>
    <i r="3">
      <x v="473"/>
      <x v="935"/>
    </i>
    <i r="1">
      <x v="183"/>
      <x v="4"/>
      <x v="249"/>
      <x v="1317"/>
    </i>
    <i r="1">
      <x v="184"/>
      <x v="4"/>
      <x v="249"/>
      <x v="1317"/>
    </i>
    <i r="1">
      <x v="186"/>
      <x v="7"/>
      <x v="252"/>
      <x v="1319"/>
    </i>
    <i r="1">
      <x v="203"/>
      <x v="3"/>
      <x v="342"/>
      <x v="1098"/>
    </i>
    <i r="1">
      <x v="216"/>
      <x v="2"/>
      <x v="35"/>
      <x v="12"/>
    </i>
    <i r="3">
      <x v="89"/>
      <x v="1488"/>
    </i>
    <i r="4">
      <x v="1489"/>
    </i>
    <i r="3">
      <x v="102"/>
      <x v="4"/>
    </i>
    <i r="4">
      <x v="5"/>
    </i>
    <i r="3">
      <x v="103"/>
      <x v="5"/>
    </i>
    <i r="3">
      <x v="105"/>
      <x v="1596"/>
    </i>
    <i r="3">
      <x v="112"/>
      <x v="609"/>
    </i>
    <i r="3">
      <x v="121"/>
      <x v="1096"/>
    </i>
    <i r="3">
      <x v="122"/>
      <x v="1097"/>
    </i>
    <i r="3">
      <x v="124"/>
      <x v="605"/>
    </i>
    <i r="3">
      <x v="132"/>
      <x v="584"/>
    </i>
    <i r="3">
      <x v="136"/>
      <x v="593"/>
    </i>
    <i r="3">
      <x v="139"/>
      <x v="589"/>
    </i>
    <i r="3">
      <x v="140"/>
      <x v="595"/>
    </i>
    <i r="3">
      <x v="142"/>
      <x v="579"/>
    </i>
    <i r="3">
      <x v="148"/>
      <x v="977"/>
    </i>
    <i r="3">
      <x v="151"/>
      <x v="980"/>
    </i>
    <i r="3">
      <x v="158"/>
      <x v="1075"/>
    </i>
    <i r="3">
      <x v="169"/>
      <x v="1090"/>
    </i>
    <i r="3">
      <x v="173"/>
      <x v="1094"/>
    </i>
    <i r="3">
      <x v="187"/>
      <x v="682"/>
    </i>
    <i r="3">
      <x v="203"/>
      <x v="1418"/>
    </i>
    <i r="3">
      <x v="204"/>
      <x v="1420"/>
    </i>
    <i r="3">
      <x v="215"/>
      <x v="975"/>
    </i>
    <i r="3">
      <x v="224"/>
      <x v="757"/>
    </i>
    <i r="3">
      <x v="237"/>
      <x v="1586"/>
    </i>
    <i r="3">
      <x v="256"/>
      <x v="681"/>
    </i>
    <i r="3">
      <x v="282"/>
      <x v="755"/>
    </i>
    <i r="3">
      <x v="283"/>
      <x v="756"/>
    </i>
    <i r="3">
      <x v="302"/>
      <x v="1070"/>
    </i>
    <i r="3">
      <x v="334"/>
      <x v="1592"/>
    </i>
    <i r="3">
      <x v="336"/>
      <x v="1593"/>
    </i>
    <i r="3">
      <x v="374"/>
      <x v="704"/>
    </i>
    <i r="3">
      <x v="398"/>
      <x v="1042"/>
    </i>
    <i r="3">
      <x v="399"/>
      <x v="16"/>
    </i>
    <i r="2">
      <x v="3"/>
      <x v="20"/>
      <x v="1406"/>
    </i>
    <i r="3">
      <x v="136"/>
      <x v="593"/>
    </i>
    <i r="3">
      <x v="148"/>
      <x v="977"/>
    </i>
    <i r="3">
      <x v="166"/>
      <x v="1086"/>
    </i>
    <i r="3">
      <x v="169"/>
      <x v="1090"/>
    </i>
    <i r="3">
      <x v="238"/>
      <x v="1588"/>
    </i>
    <i r="3">
      <x v="279"/>
      <x v="752"/>
    </i>
    <i r="3">
      <x v="282"/>
      <x v="755"/>
    </i>
    <i r="3">
      <x v="284"/>
      <x v="749"/>
    </i>
    <i r="3">
      <x v="302"/>
      <x v="1070"/>
    </i>
    <i r="3">
      <x v="341"/>
      <x v="1207"/>
    </i>
    <i r="3">
      <x v="363"/>
      <x v="673"/>
    </i>
    <i r="3">
      <x v="367"/>
      <x v="896"/>
    </i>
    <i r="3">
      <x v="414"/>
      <x v="1146"/>
    </i>
    <i r="3">
      <x v="474"/>
      <x v="939"/>
    </i>
    <i r="2">
      <x v="4"/>
      <x v="243"/>
      <x v="1327"/>
    </i>
    <i r="3">
      <x v="279"/>
      <x v="752"/>
    </i>
    <i r="3">
      <x v="281"/>
      <x v="754"/>
    </i>
    <i r="3">
      <x v="366"/>
      <x v="898"/>
    </i>
    <i r="3">
      <x v="369"/>
      <x v="897"/>
    </i>
    <i r="3">
      <x v="370"/>
      <x v="675"/>
    </i>
    <i r="3">
      <x v="427"/>
      <x v="1466"/>
    </i>
    <i r="3">
      <x v="1618"/>
      <x v="514"/>
    </i>
    <i r="2">
      <x v="5"/>
      <x v="16"/>
      <x v="658"/>
    </i>
    <i r="3">
      <x v="127"/>
      <x v="1180"/>
    </i>
    <i r="3">
      <x v="139"/>
      <x v="589"/>
    </i>
    <i r="3">
      <x v="269"/>
      <x v="590"/>
    </i>
    <i r="3">
      <x v="279"/>
      <x v="752"/>
    </i>
    <i r="3">
      <x v="281"/>
      <x v="754"/>
    </i>
    <i r="3">
      <x v="282"/>
      <x v="755"/>
    </i>
    <i r="3">
      <x v="302"/>
      <x v="1070"/>
    </i>
    <i r="3">
      <x v="531"/>
      <x v="1144"/>
    </i>
    <i r="2">
      <x v="6"/>
      <x v="16"/>
      <x v="658"/>
    </i>
    <i r="3">
      <x v="127"/>
      <x v="1180"/>
    </i>
    <i r="3">
      <x v="139"/>
      <x v="589"/>
    </i>
    <i r="3">
      <x v="269"/>
      <x v="590"/>
    </i>
    <i r="3">
      <x v="279"/>
      <x v="752"/>
    </i>
    <i r="3">
      <x v="281"/>
      <x v="754"/>
    </i>
    <i r="3">
      <x v="282"/>
      <x v="755"/>
    </i>
    <i r="3">
      <x v="302"/>
      <x v="1070"/>
    </i>
    <i r="3">
      <x v="518"/>
      <x v="154"/>
    </i>
    <i r="3">
      <x v="531"/>
      <x v="1144"/>
    </i>
    <i r="2">
      <x v="7"/>
      <x v="8"/>
      <x v="1484"/>
    </i>
    <i r="3">
      <x v="11"/>
      <x v="1482"/>
    </i>
    <i r="3">
      <x v="148"/>
      <x v="977"/>
    </i>
    <i r="3">
      <x v="166"/>
      <x v="1086"/>
    </i>
    <i r="3">
      <x v="169"/>
      <x v="1090"/>
    </i>
    <i r="3">
      <x v="199"/>
      <x v="1087"/>
    </i>
    <i r="3">
      <x v="279"/>
      <x v="752"/>
    </i>
    <i r="3">
      <x v="282"/>
      <x v="755"/>
    </i>
    <i r="3">
      <x v="284"/>
      <x v="749"/>
    </i>
    <i r="3">
      <x v="302"/>
      <x v="1070"/>
    </i>
    <i r="3">
      <x v="406"/>
      <x v="895"/>
    </i>
    <i r="3">
      <x v="407"/>
      <x/>
    </i>
    <i r="3">
      <x v="409"/>
      <x v="672"/>
    </i>
    <i r="3">
      <x v="429"/>
      <x v="654"/>
    </i>
    <i r="3">
      <x v="430"/>
      <x v="966"/>
    </i>
    <i r="3">
      <x v="1612"/>
      <x v="1115"/>
    </i>
    <i r="2">
      <x v="8"/>
      <x v="167"/>
      <x v="1088"/>
    </i>
    <i r="2">
      <x v="9"/>
      <x v="136"/>
      <x v="593"/>
    </i>
    <i r="3">
      <x v="148"/>
      <x v="977"/>
    </i>
    <i r="3">
      <x v="180"/>
      <x v="1335"/>
    </i>
    <i r="3">
      <x v="238"/>
      <x v="1588"/>
    </i>
    <i r="3">
      <x v="284"/>
      <x v="749"/>
    </i>
    <i t="default">
      <x v="5"/>
    </i>
    <i>
      <x v="6"/>
      <x v="216"/>
      <x/>
      <x v="246"/>
      <x v="686"/>
    </i>
    <i r="3">
      <x v="260"/>
      <x v="976"/>
    </i>
    <i r="3">
      <x v="332"/>
      <x v="1597"/>
    </i>
    <i t="default">
      <x v="6"/>
    </i>
    <i t="grand">
      <x/>
    </i>
  </rowItems>
  <colItems count="1">
    <i/>
  </colItems>
  <pageFields count="2">
    <pageField fld="9" item="2" hier="-1"/>
    <pageField fld="6" hier="-1"/>
  </pageFields>
  <dataFields count="1">
    <dataField name="Sum of QTY" fld="2" baseField="0" baseItem="0"/>
  </dataFields>
  <formats count="1">
    <format dxfId="14">
      <pivotArea dataOnly="0" labelOnly="1" outline="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CCF5A-A4E4-40DA-8232-A1BBF448D64F}"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C505" firstHeaderRow="2" firstDataRow="2" firstDataCol="2" rowPageCount="6" colPageCount="1"/>
  <pivotFields count="12">
    <pivotField axis="axisPage" compact="0" outline="0" multipleItemSelectionAllowed="1" showAll="0">
      <items count="8">
        <item x="3"/>
        <item x="4"/>
        <item x="1"/>
        <item m="1" x="6"/>
        <item x="5"/>
        <item x="2"/>
        <item x="0"/>
        <item t="default"/>
      </items>
    </pivotField>
    <pivotField compact="0" outline="0" showAll="0"/>
    <pivotField dataField="1" compact="0" outline="0" showAll="0"/>
    <pivotField axis="axisPage" compact="0" outline="0" showAll="0" defaultSubtotal="0">
      <items count="60">
        <item x="0"/>
        <item x="29"/>
        <item x="8"/>
        <item x="12"/>
        <item x="9"/>
        <item x="10"/>
        <item x="11"/>
        <item x="13"/>
        <item x="14"/>
        <item x="15"/>
        <item x="1"/>
        <item x="6"/>
        <item x="7"/>
        <item x="2"/>
        <item x="4"/>
        <item x="3"/>
        <item x="5"/>
        <item x="16"/>
        <item x="17"/>
        <item x="18"/>
        <item x="19"/>
        <item x="20"/>
        <item x="21"/>
        <item x="40"/>
        <item x="37"/>
        <item x="38"/>
        <item x="39"/>
        <item x="26"/>
        <item x="30"/>
        <item x="32"/>
        <item x="27"/>
        <item x="36"/>
        <item x="31"/>
        <item x="28"/>
        <item x="35"/>
        <item x="34"/>
        <item x="33"/>
        <item x="24"/>
        <item x="22"/>
        <item x="23"/>
        <item x="25"/>
        <item x="54"/>
        <item x="55"/>
        <item x="41"/>
        <item x="43"/>
        <item x="59"/>
        <item x="52"/>
        <item x="53"/>
        <item x="47"/>
        <item x="48"/>
        <item x="49"/>
        <item x="50"/>
        <item x="51"/>
        <item x="42"/>
        <item x="58"/>
        <item x="45"/>
        <item x="57"/>
        <item x="44"/>
        <item x="46"/>
        <item x="56"/>
      </items>
    </pivotField>
    <pivotField compact="0" outline="0" showAll="0" defaultSubtotal="0"/>
    <pivotField axis="axisRow" compact="0" outline="0" showAll="0" defaultSubtotal="0">
      <items count="1645">
        <item x="245"/>
        <item x="75"/>
        <item x="1610"/>
        <item x="1497"/>
        <item x="964"/>
        <item x="1376"/>
        <item x="1177"/>
        <item x="152"/>
        <item x="182"/>
        <item x="1255"/>
        <item x="589"/>
        <item x="178"/>
        <item x="326"/>
        <item x="1272"/>
        <item x="1089"/>
        <item x="686"/>
        <item x="473"/>
        <item x="1388"/>
        <item x="1383"/>
        <item x="288"/>
        <item x="515"/>
        <item x="1496"/>
        <item x="268"/>
        <item x="278"/>
        <item x="270"/>
        <item x="1074"/>
        <item x="1078"/>
        <item x="1227"/>
        <item x="252"/>
        <item x="619"/>
        <item x="646"/>
        <item x="108"/>
        <item x="356"/>
        <item x="615"/>
        <item x="1498"/>
        <item x="323"/>
        <item x="282"/>
        <item x="265"/>
        <item x="1389"/>
        <item x="264"/>
        <item x="263"/>
        <item x="712"/>
        <item x="325"/>
        <item x="737"/>
        <item x="1332"/>
        <item x="355"/>
        <item x="1294"/>
        <item x="1293"/>
        <item x="1274"/>
        <item x="1574"/>
        <item x="960"/>
        <item x="704"/>
        <item x="393"/>
        <item x="954"/>
        <item x="945"/>
        <item x="826"/>
        <item x="769"/>
        <item x="856"/>
        <item x="699"/>
        <item x="1323"/>
        <item x="949"/>
        <item x="1144"/>
        <item x="1123"/>
        <item x="687"/>
        <item x="688"/>
        <item x="765"/>
        <item x="682"/>
        <item x="850"/>
        <item x="681"/>
        <item x="1348"/>
        <item x="1034"/>
        <item x="1219"/>
        <item x="1580"/>
        <item x="1216"/>
        <item x="1594"/>
        <item x="1284"/>
        <item x="1141"/>
        <item x="1164"/>
        <item x="1276"/>
        <item x="684"/>
        <item x="680"/>
        <item x="867"/>
        <item x="844"/>
        <item x="883"/>
        <item x="937"/>
        <item x="383"/>
        <item x="233"/>
        <item x="1124"/>
        <item x="1122"/>
        <item x="137"/>
        <item x="1321"/>
        <item x="1365"/>
        <item x="228"/>
        <item x="1137"/>
        <item x="1032"/>
        <item x="702"/>
        <item x="980"/>
        <item x="1619"/>
        <item x="1363"/>
        <item x="679"/>
        <item x="1539"/>
        <item x="1538"/>
        <item x="397"/>
        <item x="398"/>
        <item x="705"/>
        <item x="260"/>
        <item x="1037"/>
        <item x="955"/>
        <item x="230"/>
        <item x="1091"/>
        <item x="1092"/>
        <item x="60"/>
        <item x="51"/>
        <item x="647"/>
        <item x="78"/>
        <item x="149"/>
        <item x="1080"/>
        <item x="1134"/>
        <item x="1136"/>
        <item x="385"/>
        <item x="1026"/>
        <item x="59"/>
        <item x="58"/>
        <item x="671"/>
        <item x="293"/>
        <item x="235"/>
        <item x="766"/>
        <item x="474"/>
        <item x="691"/>
        <item x="738"/>
        <item x="1500"/>
        <item x="77"/>
        <item x="627"/>
        <item x="1285"/>
        <item x="267"/>
        <item x="966"/>
        <item x="147"/>
        <item x="297"/>
        <item x="62"/>
        <item x="475"/>
        <item x="54"/>
        <item x="53"/>
        <item x="624"/>
        <item x="1616"/>
        <item x="685"/>
        <item x="1138"/>
        <item x="111"/>
        <item x="1131"/>
        <item x="234"/>
        <item x="1139"/>
        <item x="678"/>
        <item x="332"/>
        <item x="1161"/>
        <item x="832"/>
        <item x="259"/>
        <item x="171"/>
        <item x="1369"/>
        <item x="1366"/>
        <item x="296"/>
        <item x="1352"/>
        <item x="1385"/>
        <item x="112"/>
        <item x="1033"/>
        <item x="1090"/>
        <item x="1583"/>
        <item x="143"/>
        <item x="141"/>
        <item x="130"/>
        <item x="291"/>
        <item x="142"/>
        <item x="226"/>
        <item x="1641"/>
        <item x="1025"/>
        <item x="227"/>
        <item x="1322"/>
        <item x="328"/>
        <item x="1300"/>
        <item x="327"/>
        <item x="357"/>
        <item x="555"/>
        <item x="550"/>
        <item x="923"/>
        <item x="869"/>
        <item x="831"/>
        <item x="917"/>
        <item x="912"/>
        <item x="871"/>
        <item x="256"/>
        <item x="1143"/>
        <item x="764"/>
        <item x="1129"/>
        <item x="669"/>
        <item x="1375"/>
        <item x="232"/>
        <item x="673"/>
        <item x="229"/>
        <item x="389"/>
        <item x="670"/>
        <item x="675"/>
        <item x="529"/>
        <item x="76"/>
        <item x="739"/>
        <item x="1265"/>
        <item x="148"/>
        <item x="626"/>
        <item x="1135"/>
        <item x="146"/>
        <item x="910"/>
        <item x="948"/>
        <item x="1231"/>
        <item x="225"/>
        <item x="255"/>
        <item x="1320"/>
        <item x="231"/>
        <item x="1393"/>
        <item x="56"/>
        <item x="1163"/>
        <item x="827"/>
        <item x="1160"/>
        <item x="853"/>
        <item x="881"/>
        <item x="892"/>
        <item x="902"/>
        <item x="861"/>
        <item x="52"/>
        <item x="645"/>
        <item x="843"/>
        <item x="939"/>
        <item x="952"/>
        <item x="849"/>
        <item x="865"/>
        <item x="840"/>
        <item x="828"/>
        <item x="922"/>
        <item x="921"/>
        <item x="920"/>
        <item x="876"/>
        <item x="156"/>
        <item x="224"/>
        <item x="672"/>
        <item x="254"/>
        <item x="1632"/>
        <item x="1319"/>
        <item x="435"/>
        <item x="1355"/>
        <item x="253"/>
        <item x="628"/>
        <item x="236"/>
        <item x="94"/>
        <item x="440"/>
        <item x="107"/>
        <item x="1232"/>
        <item x="532"/>
        <item x="388"/>
        <item x="1597"/>
        <item x="1305"/>
        <item x="623"/>
        <item x="1130"/>
        <item x="1618"/>
        <item x="172"/>
        <item x="630"/>
        <item x="1062"/>
        <item x="1063"/>
        <item x="676"/>
        <item x="677"/>
        <item x="248"/>
        <item x="287"/>
        <item x="875"/>
        <item x="1615"/>
        <item x="476"/>
        <item x="1105"/>
        <item x="1364"/>
        <item x="767"/>
        <item x="860"/>
        <item x="360"/>
        <item x="1132"/>
        <item x="690"/>
        <item x="689"/>
        <item x="674"/>
        <item x="68"/>
        <item x="1316"/>
        <item x="110"/>
        <item x="67"/>
        <item x="55"/>
        <item x="402"/>
        <item x="863"/>
        <item x="891"/>
        <item x="868"/>
        <item x="864"/>
        <item x="904"/>
        <item x="1299"/>
        <item x="1166"/>
        <item x="128"/>
        <item x="1140"/>
        <item x="1180"/>
        <item x="1390"/>
        <item x="951"/>
        <item x="823"/>
        <item x="893"/>
        <item x="870"/>
        <item x="896"/>
        <item x="950"/>
        <item x="116"/>
        <item x="1228"/>
        <item x="1035"/>
        <item x="837"/>
        <item x="938"/>
        <item x="838"/>
        <item x="1133"/>
        <item x="1384"/>
        <item x="117"/>
        <item x="123"/>
        <item x="911"/>
        <item x="710"/>
        <item x="257"/>
        <item x="1362"/>
        <item x="582"/>
        <item x="890"/>
        <item x="1230"/>
        <item x="1093"/>
        <item x="1036"/>
        <item x="683"/>
        <item x="711"/>
        <item x="953"/>
        <item x="1318"/>
        <item x="1317"/>
        <item x="620"/>
        <item x="1225"/>
        <item x="621"/>
        <item x="1088"/>
        <item x="538"/>
        <item x="237"/>
        <item x="629"/>
        <item x="1125"/>
        <item x="249"/>
        <item x="614"/>
        <item x="57"/>
        <item x="768"/>
        <item x="1142"/>
        <item x="1082"/>
        <item x="811"/>
        <item x="516"/>
        <item x="384"/>
        <item x="79"/>
        <item x="812"/>
        <item x="129"/>
        <item x="1262"/>
        <item x="1612"/>
        <item x="1465"/>
        <item x="157"/>
        <item x="158"/>
        <item x="1165"/>
        <item x="1181"/>
        <item x="1182"/>
        <item x="858"/>
        <item x="272"/>
        <item x="273"/>
        <item x="283"/>
        <item x="284"/>
        <item x="1410"/>
        <item x="1564"/>
        <item x="1566"/>
        <item x="1565"/>
        <item x="382"/>
        <item x="1237"/>
        <item x="1103"/>
        <item x="437"/>
        <item x="513"/>
        <item x="1238"/>
        <item x="443"/>
        <item x="444"/>
        <item x="1104"/>
        <item x="1239"/>
        <item x="1042"/>
        <item x="274"/>
        <item x="816"/>
        <item x="240"/>
        <item x="241"/>
        <item x="1639"/>
        <item x="1175"/>
        <item x="1176"/>
        <item x="1174"/>
        <item x="1339"/>
        <item x="616"/>
        <item x="617"/>
        <item x="275"/>
        <item x="1638"/>
        <item x="153"/>
        <item x="1611"/>
        <item x="1361"/>
        <item x="1127"/>
        <item x="1128"/>
        <item x="1126"/>
        <item x="1047"/>
        <item x="1189"/>
        <item x="97"/>
        <item x="144"/>
        <item x="321"/>
        <item x="145"/>
        <item x="625"/>
        <item x="1617"/>
        <item x="852"/>
        <item x="851"/>
        <item x="1234"/>
        <item x="109"/>
        <item x="358"/>
        <item x="180"/>
        <item x="179"/>
        <item x="590"/>
        <item x="181"/>
        <item x="1499"/>
        <item x="968"/>
        <item x="967"/>
        <item x="648"/>
        <item x="514"/>
        <item x="907"/>
        <item x="900"/>
        <item x="901"/>
        <item x="1273"/>
        <item x="936"/>
        <item x="113"/>
        <item x="1494"/>
        <item x="1102"/>
        <item x="1563"/>
        <item x="1236"/>
        <item x="969"/>
        <item x="1340"/>
        <item x="445"/>
        <item x="1209"/>
        <item x="528"/>
        <item x="186"/>
        <item x="618"/>
        <item x="266"/>
        <item x="0"/>
        <item x="1184"/>
        <item x="1185"/>
        <item x="1186"/>
        <item x="1187"/>
        <item x="1188"/>
        <item x="395"/>
        <item x="396"/>
        <item x="400"/>
        <item x="401"/>
        <item x="399"/>
        <item x="405"/>
        <item x="406"/>
        <item x="407"/>
        <item x="408"/>
        <item x="409"/>
        <item x="410"/>
        <item x="411"/>
        <item x="412"/>
        <item x="413"/>
        <item x="403"/>
        <item x="404"/>
        <item x="414"/>
        <item x="415"/>
        <item x="416"/>
        <item x="417"/>
        <item x="418"/>
        <item x="419"/>
        <item x="420"/>
        <item x="422"/>
        <item x="421"/>
        <item x="489"/>
        <item x="490"/>
        <item x="496"/>
        <item x="497"/>
        <item x="498"/>
        <item x="499"/>
        <item x="500"/>
        <item x="501"/>
        <item x="502"/>
        <item x="503"/>
        <item x="491"/>
        <item x="492"/>
        <item x="493"/>
        <item x="494"/>
        <item x="495"/>
        <item x="511"/>
        <item x="512"/>
        <item x="504"/>
        <item x="505"/>
        <item x="506"/>
        <item x="507"/>
        <item x="508"/>
        <item x="509"/>
        <item x="510"/>
        <item x="423"/>
        <item x="424"/>
        <item x="425"/>
        <item x="426"/>
        <item x="427"/>
        <item x="428"/>
        <item x="429"/>
        <item x="430"/>
        <item x="431"/>
        <item x="432"/>
        <item x="433"/>
        <item x="434"/>
        <item x="446"/>
        <item x="450"/>
        <item x="451"/>
        <item x="452"/>
        <item x="453"/>
        <item x="454"/>
        <item x="455"/>
        <item x="456"/>
        <item x="457"/>
        <item x="458"/>
        <item x="459"/>
        <item x="461"/>
        <item x="462"/>
        <item x="463"/>
        <item x="466"/>
        <item x="469"/>
        <item x="470"/>
        <item x="471"/>
        <item x="477"/>
        <item x="478"/>
        <item x="479"/>
        <item x="472"/>
        <item x="447"/>
        <item x="448"/>
        <item x="480"/>
        <item x="449"/>
        <item x="481"/>
        <item x="460"/>
        <item x="464"/>
        <item x="468"/>
        <item x="467"/>
        <item x="465"/>
        <item x="482"/>
        <item x="483"/>
        <item x="484"/>
        <item x="485"/>
        <item x="486"/>
        <item x="487"/>
        <item x="488"/>
        <item x="517"/>
        <item x="518"/>
        <item x="521"/>
        <item x="522"/>
        <item x="523"/>
        <item x="524"/>
        <item x="525"/>
        <item x="519"/>
        <item x="520"/>
        <item x="526"/>
        <item x="527"/>
        <item x="533"/>
        <item x="534"/>
        <item x="535"/>
        <item x="545"/>
        <item x="536"/>
        <item x="537"/>
        <item x="546"/>
        <item x="547"/>
        <item x="548"/>
        <item x="622"/>
        <item x="551"/>
        <item x="552"/>
        <item x="556"/>
        <item x="557"/>
        <item x="558"/>
        <item x="559"/>
        <item x="560"/>
        <item x="561"/>
        <item x="562"/>
        <item x="563"/>
        <item x="553"/>
        <item x="564"/>
        <item x="597"/>
        <item x="565"/>
        <item x="566"/>
        <item x="567"/>
        <item x="568"/>
        <item x="569"/>
        <item x="570"/>
        <item x="571"/>
        <item x="572"/>
        <item x="554"/>
        <item x="573"/>
        <item x="574"/>
        <item x="575"/>
        <item x="576"/>
        <item x="577"/>
        <item x="578"/>
        <item x="579"/>
        <item x="580"/>
        <item x="581"/>
        <item x="549"/>
        <item x="583"/>
        <item x="584"/>
        <item x="594"/>
        <item x="595"/>
        <item x="596"/>
        <item x="598"/>
        <item x="599"/>
        <item x="600"/>
        <item x="602"/>
        <item x="601"/>
        <item x="603"/>
        <item x="604"/>
        <item x="605"/>
        <item x="606"/>
        <item x="607"/>
        <item x="608"/>
        <item x="609"/>
        <item x="610"/>
        <item x="611"/>
        <item x="612"/>
        <item x="613"/>
        <item x="1"/>
        <item x="2"/>
        <item x="298"/>
        <item x="3"/>
        <item x="4"/>
        <item x="334"/>
        <item x="335"/>
        <item x="336"/>
        <item x="337"/>
        <item x="299"/>
        <item x="300"/>
        <item x="333"/>
        <item x="242"/>
        <item x="243"/>
        <item x="5"/>
        <item x="6"/>
        <item x="289"/>
        <item x="290"/>
        <item x="394"/>
        <item x="294"/>
        <item x="292"/>
        <item x="295"/>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61"/>
        <item x="131"/>
        <item x="140"/>
        <item x="132"/>
        <item x="133"/>
        <item x="134"/>
        <item x="135"/>
        <item x="136"/>
        <item x="139"/>
        <item x="138"/>
        <item x="154"/>
        <item x="155"/>
        <item x="188"/>
        <item x="189"/>
        <item x="205"/>
        <item x="199"/>
        <item x="201"/>
        <item x="203"/>
        <item x="193"/>
        <item x="191"/>
        <item x="190"/>
        <item x="194"/>
        <item x="195"/>
        <item x="196"/>
        <item x="197"/>
        <item x="198"/>
        <item x="200"/>
        <item x="204"/>
        <item x="202"/>
        <item x="206"/>
        <item x="221"/>
        <item x="219"/>
        <item x="217"/>
        <item x="213"/>
        <item x="207"/>
        <item x="215"/>
        <item x="208"/>
        <item x="209"/>
        <item x="210"/>
        <item x="211"/>
        <item x="212"/>
        <item x="214"/>
        <item x="216"/>
        <item x="218"/>
        <item x="220"/>
        <item x="222"/>
        <item x="192"/>
        <item x="159"/>
        <item x="160"/>
        <item x="161"/>
        <item x="162"/>
        <item x="163"/>
        <item x="164"/>
        <item x="165"/>
        <item x="166"/>
        <item x="167"/>
        <item x="168"/>
        <item x="169"/>
        <item x="170"/>
        <item x="173"/>
        <item x="174"/>
        <item x="175"/>
        <item x="176"/>
        <item x="177"/>
        <item x="187"/>
        <item x="301"/>
        <item x="302"/>
        <item x="303"/>
        <item x="304"/>
        <item x="305"/>
        <item x="306"/>
        <item x="307"/>
        <item x="308"/>
        <item x="309"/>
        <item x="310"/>
        <item x="311"/>
        <item x="312"/>
        <item x="313"/>
        <item x="314"/>
        <item x="315"/>
        <item x="316"/>
        <item x="317"/>
        <item x="318"/>
        <item x="319"/>
        <item x="320"/>
        <item x="322"/>
        <item x="324"/>
        <item x="338"/>
        <item x="339"/>
        <item x="342"/>
        <item x="344"/>
        <item x="340"/>
        <item x="341"/>
        <item x="359"/>
        <item x="361"/>
        <item x="345"/>
        <item x="346"/>
        <item x="347"/>
        <item x="348"/>
        <item x="349"/>
        <item x="350"/>
        <item x="351"/>
        <item x="352"/>
        <item x="353"/>
        <item x="354"/>
        <item x="366"/>
        <item x="367"/>
        <item x="370"/>
        <item x="343"/>
        <item x="372"/>
        <item x="373"/>
        <item x="374"/>
        <item x="368"/>
        <item x="369"/>
        <item x="375"/>
        <item x="371"/>
        <item x="390"/>
        <item x="391"/>
        <item x="63"/>
        <item x="66"/>
        <item x="69"/>
        <item x="70"/>
        <item x="71"/>
        <item x="65"/>
        <item x="64"/>
        <item x="91"/>
        <item x="99"/>
        <item x="100"/>
        <item x="86"/>
        <item x="87"/>
        <item x="88"/>
        <item x="89"/>
        <item x="90"/>
        <item x="93"/>
        <item x="92"/>
        <item x="98"/>
        <item x="101"/>
        <item x="102"/>
        <item x="103"/>
        <item x="104"/>
        <item x="105"/>
        <item x="106"/>
        <item x="114"/>
        <item x="115"/>
        <item x="118"/>
        <item x="119"/>
        <item x="120"/>
        <item x="121"/>
        <item x="127"/>
        <item x="126"/>
        <item x="125"/>
        <item x="238"/>
        <item x="246"/>
        <item x="244"/>
        <item x="247"/>
        <item x="250"/>
        <item x="258"/>
        <item x="251"/>
        <item x="631"/>
        <item x="633"/>
        <item x="634"/>
        <item x="635"/>
        <item x="636"/>
        <item x="640"/>
        <item x="637"/>
        <item x="638"/>
        <item x="639"/>
        <item x="641"/>
        <item x="642"/>
        <item x="643"/>
        <item x="644"/>
        <item x="632"/>
        <item x="649"/>
        <item x="782"/>
        <item x="650"/>
        <item x="651"/>
        <item x="652"/>
        <item x="653"/>
        <item x="654"/>
        <item x="655"/>
        <item x="783"/>
        <item x="784"/>
        <item x="785"/>
        <item x="786"/>
        <item x="787"/>
        <item x="788"/>
        <item x="789"/>
        <item x="790"/>
        <item x="791"/>
        <item x="814"/>
        <item x="657"/>
        <item x="658"/>
        <item x="659"/>
        <item x="660"/>
        <item x="792"/>
        <item x="793"/>
        <item x="815"/>
        <item x="794"/>
        <item x="795"/>
        <item x="796"/>
        <item x="656"/>
        <item x="797"/>
        <item x="798"/>
        <item x="799"/>
        <item x="781"/>
        <item x="800"/>
        <item x="801"/>
        <item x="740"/>
        <item x="741"/>
        <item x="802"/>
        <item x="803"/>
        <item x="804"/>
        <item x="805"/>
        <item x="806"/>
        <item x="807"/>
        <item x="813"/>
        <item x="808"/>
        <item x="809"/>
        <item x="810"/>
        <item x="661"/>
        <item x="713"/>
        <item x="716"/>
        <item x="717"/>
        <item x="718"/>
        <item x="719"/>
        <item x="720"/>
        <item x="721"/>
        <item x="722"/>
        <item x="723"/>
        <item x="724"/>
        <item x="662"/>
        <item x="725"/>
        <item x="726"/>
        <item x="727"/>
        <item x="728"/>
        <item x="730"/>
        <item x="731"/>
        <item x="692"/>
        <item x="732"/>
        <item x="733"/>
        <item x="735"/>
        <item x="734"/>
        <item x="668"/>
        <item x="698"/>
        <item x="693"/>
        <item x="694"/>
        <item x="695"/>
        <item x="696"/>
        <item x="700"/>
        <item x="697"/>
        <item x="665"/>
        <item x="667"/>
        <item x="664"/>
        <item x="663"/>
        <item x="666"/>
        <item x="729"/>
        <item x="714"/>
        <item x="715"/>
        <item x="701"/>
        <item x="706"/>
        <item x="707"/>
        <item x="708"/>
        <item x="709"/>
        <item x="736"/>
        <item x="742"/>
        <item x="746"/>
        <item x="747"/>
        <item x="748"/>
        <item x="749"/>
        <item x="750"/>
        <item x="751"/>
        <item x="752"/>
        <item x="753"/>
        <item x="754"/>
        <item x="755"/>
        <item x="756"/>
        <item x="757"/>
        <item x="758"/>
        <item x="759"/>
        <item x="760"/>
        <item x="761"/>
        <item x="762"/>
        <item x="763"/>
        <item x="743"/>
        <item x="744"/>
        <item x="745"/>
        <item x="771"/>
        <item x="770"/>
        <item x="773"/>
        <item x="772"/>
        <item x="775"/>
        <item x="776"/>
        <item x="774"/>
        <item x="777"/>
        <item x="778"/>
        <item x="779"/>
        <item x="780"/>
        <item x="817"/>
        <item x="818"/>
        <item x="819"/>
        <item x="820"/>
        <item x="821"/>
        <item x="822"/>
        <item x="824"/>
        <item x="825"/>
        <item x="829"/>
        <item x="830"/>
        <item x="833"/>
        <item x="834"/>
        <item x="894"/>
        <item x="835"/>
        <item x="836"/>
        <item x="841"/>
        <item x="842"/>
        <item x="839"/>
        <item x="872"/>
        <item x="873"/>
        <item x="874"/>
        <item x="845"/>
        <item x="846"/>
        <item x="897"/>
        <item x="848"/>
        <item x="847"/>
        <item x="862"/>
        <item x="857"/>
        <item x="866"/>
        <item x="877"/>
        <item x="884"/>
        <item x="885"/>
        <item x="886"/>
        <item x="887"/>
        <item x="905"/>
        <item x="888"/>
        <item x="882"/>
        <item x="878"/>
        <item x="879"/>
        <item x="880"/>
        <item x="889"/>
        <item x="895"/>
        <item x="898"/>
        <item x="909"/>
        <item x="914"/>
        <item x="906"/>
        <item x="916"/>
        <item x="919"/>
        <item x="924"/>
        <item x="927"/>
        <item x="908"/>
        <item x="859"/>
        <item x="854"/>
        <item x="855"/>
        <item x="913"/>
        <item x="915"/>
        <item x="918"/>
        <item x="899"/>
        <item x="903"/>
        <item x="932"/>
        <item x="934"/>
        <item x="935"/>
        <item x="942"/>
        <item x="941"/>
        <item x="943"/>
        <item x="944"/>
        <item x="946"/>
        <item x="947"/>
        <item x="957"/>
        <item x="933"/>
        <item x="959"/>
        <item x="940"/>
        <item x="956"/>
        <item x="958"/>
        <item x="928"/>
        <item x="929"/>
        <item x="930"/>
        <item x="931"/>
        <item x="961"/>
        <item x="963"/>
        <item x="962"/>
        <item x="965"/>
        <item x="970"/>
        <item x="971"/>
        <item x="972"/>
        <item x="925"/>
        <item x="926"/>
        <item x="1391"/>
        <item x="1392"/>
        <item x="973"/>
        <item x="974"/>
        <item x="983"/>
        <item x="1381"/>
        <item x="1386"/>
        <item x="1387"/>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333"/>
        <item x="1334"/>
        <item x="1372"/>
        <item x="1373"/>
        <item x="1374"/>
        <item x="1335"/>
        <item x="1336"/>
        <item x="1337"/>
        <item x="1338"/>
        <item x="1370"/>
        <item x="1341"/>
        <item x="1371"/>
        <item x="1378"/>
        <item x="1342"/>
        <item x="1343"/>
        <item x="1344"/>
        <item x="1345"/>
        <item x="1346"/>
        <item x="1347"/>
        <item x="1349"/>
        <item x="1350"/>
        <item x="1351"/>
        <item x="1353"/>
        <item x="1354"/>
        <item x="1356"/>
        <item x="1357"/>
        <item x="1358"/>
        <item x="1359"/>
        <item x="1360"/>
        <item x="1367"/>
        <item x="1368"/>
        <item x="1277"/>
        <item x="1308"/>
        <item x="1286"/>
        <item x="1288"/>
        <item x="1287"/>
        <item x="1290"/>
        <item x="1289"/>
        <item x="1297"/>
        <item x="1296"/>
        <item x="1291"/>
        <item x="1292"/>
        <item x="1295"/>
        <item x="1298"/>
        <item x="1278"/>
        <item x="1279"/>
        <item x="1280"/>
        <item x="1281"/>
        <item x="1282"/>
        <item x="1283"/>
        <item x="1304"/>
        <item x="1303"/>
        <item x="1307"/>
        <item x="1306"/>
        <item x="1302"/>
        <item x="1301"/>
        <item x="1309"/>
        <item x="1310"/>
        <item x="1311"/>
        <item x="1312"/>
        <item x="1313"/>
        <item x="1314"/>
        <item x="1315"/>
        <item x="1324"/>
        <item x="1325"/>
        <item x="1326"/>
        <item x="1327"/>
        <item x="1328"/>
        <item x="1329"/>
        <item x="1330"/>
        <item x="1331"/>
        <item x="1145"/>
        <item x="1146"/>
        <item x="1147"/>
        <item x="1148"/>
        <item x="1149"/>
        <item x="1193"/>
        <item x="1194"/>
        <item x="1195"/>
        <item x="1196"/>
        <item x="1197"/>
        <item x="1201"/>
        <item x="1240"/>
        <item x="1242"/>
        <item x="1243"/>
        <item x="1244"/>
        <item x="1150"/>
        <item x="1151"/>
        <item x="1152"/>
        <item x="1153"/>
        <item x="1154"/>
        <item x="1155"/>
        <item x="1167"/>
        <item x="1267"/>
        <item x="1268"/>
        <item x="1269"/>
        <item x="1270"/>
        <item x="1271"/>
        <item x="1202"/>
        <item x="1203"/>
        <item x="1213"/>
        <item x="1214"/>
        <item x="1215"/>
        <item x="1217"/>
        <item x="1218"/>
        <item x="1220"/>
        <item x="1221"/>
        <item x="1222"/>
        <item x="1223"/>
        <item x="1224"/>
        <item x="1204"/>
        <item x="1229"/>
        <item x="1233"/>
        <item x="1205"/>
        <item x="1206"/>
        <item x="1207"/>
        <item x="1212"/>
        <item x="1235"/>
        <item x="1168"/>
        <item x="1169"/>
        <item x="1170"/>
        <item x="1171"/>
        <item x="1172"/>
        <item x="1183"/>
        <item x="1256"/>
        <item x="1257"/>
        <item x="1258"/>
        <item x="1259"/>
        <item x="1260"/>
        <item x="1261"/>
        <item x="1266"/>
        <item x="1250"/>
        <item x="1254"/>
        <item x="1251"/>
        <item x="1252"/>
        <item x="1253"/>
        <item x="1245"/>
        <item x="1246"/>
        <item x="1247"/>
        <item x="1248"/>
        <item x="1249"/>
        <item x="1043"/>
        <item x="1044"/>
        <item x="1045"/>
        <item x="1046"/>
        <item x="1027"/>
        <item x="1028"/>
        <item x="1029"/>
        <item x="1030"/>
        <item x="1031"/>
        <item x="1038"/>
        <item x="1039"/>
        <item x="1040"/>
        <item x="1048"/>
        <item x="1049"/>
        <item x="1054"/>
        <item x="1083"/>
        <item x="1084"/>
        <item x="1085"/>
        <item x="1086"/>
        <item x="1087"/>
        <item x="1055"/>
        <item x="1056"/>
        <item x="1057"/>
        <item x="1058"/>
        <item x="1050"/>
        <item x="1059"/>
        <item x="1060"/>
        <item x="1061"/>
        <item x="1067"/>
        <item x="1068"/>
        <item x="1071"/>
        <item x="1073"/>
        <item x="1075"/>
        <item x="1077"/>
        <item x="1051"/>
        <item x="1069"/>
        <item x="1070"/>
        <item x="1072"/>
        <item x="1076"/>
        <item x="1079"/>
        <item x="1066"/>
        <item x="1052"/>
        <item x="1053"/>
        <item x="1107"/>
        <item x="1108"/>
        <item x="1109"/>
        <item x="1110"/>
        <item x="1111"/>
        <item x="1112"/>
        <item x="1094"/>
        <item x="1095"/>
        <item x="1096"/>
        <item x="1097"/>
        <item x="1098"/>
        <item x="1099"/>
        <item x="1100"/>
        <item x="1101"/>
        <item x="1106"/>
        <item x="1113"/>
        <item x="1114"/>
        <item x="1115"/>
        <item x="1116"/>
        <item x="1117"/>
        <item x="1118"/>
        <item x="1119"/>
        <item x="1120"/>
        <item x="1121"/>
        <item x="975"/>
        <item x="976"/>
        <item x="977"/>
        <item x="978"/>
        <item x="979"/>
        <item x="981"/>
        <item x="982"/>
        <item x="1545"/>
        <item x="1546"/>
        <item x="1547"/>
        <item x="1549"/>
        <item x="1550"/>
        <item x="1551"/>
        <item x="1394"/>
        <item x="1395"/>
        <item x="1396"/>
        <item x="1397"/>
        <item x="1552"/>
        <item x="1548"/>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625"/>
        <item x="1627"/>
        <item x="1628"/>
        <item x="1629"/>
        <item x="1630"/>
        <item x="1642"/>
        <item x="1643"/>
        <item x="1631"/>
        <item x="1626"/>
        <item x="1633"/>
        <item x="1634"/>
        <item x="1635"/>
        <item x="1636"/>
        <item x="1637"/>
        <item x="1528"/>
        <item x="1536"/>
        <item x="1537"/>
        <item x="1529"/>
        <item x="1531"/>
        <item x="1535"/>
        <item x="1532"/>
        <item x="1534"/>
        <item x="1533"/>
        <item x="1530"/>
        <item x="1544"/>
        <item x="1540"/>
        <item x="1541"/>
        <item x="1542"/>
        <item x="1543"/>
        <item x="1477"/>
        <item x="1478"/>
        <item x="1479"/>
        <item x="1480"/>
        <item x="1481"/>
        <item x="1482"/>
        <item x="1483"/>
        <item x="1484"/>
        <item x="1485"/>
        <item x="1486"/>
        <item x="1487"/>
        <item x="1488"/>
        <item x="1489"/>
        <item x="1490"/>
        <item x="1491"/>
        <item x="1495"/>
        <item x="1501"/>
        <item x="1502"/>
        <item x="1503"/>
        <item x="1504"/>
        <item x="1505"/>
        <item x="1506"/>
        <item x="1507"/>
        <item x="1512"/>
        <item x="1508"/>
        <item x="1509"/>
        <item x="1510"/>
        <item x="1511"/>
        <item x="1513"/>
        <item x="1514"/>
        <item x="1515"/>
        <item x="1516"/>
        <item x="1517"/>
        <item x="1518"/>
        <item x="1519"/>
        <item x="1520"/>
        <item x="1521"/>
        <item x="1522"/>
        <item x="1523"/>
        <item x="1524"/>
        <item x="1525"/>
        <item x="1526"/>
        <item x="1527"/>
        <item x="1398"/>
        <item x="1400"/>
        <item x="1403"/>
        <item x="1404"/>
        <item x="1405"/>
        <item x="1406"/>
        <item x="1407"/>
        <item x="1408"/>
        <item x="1409"/>
        <item x="1411"/>
        <item x="1412"/>
        <item x="1413"/>
        <item x="1401"/>
        <item x="1402"/>
        <item x="1399"/>
        <item x="1415"/>
        <item x="1416"/>
        <item x="1588"/>
        <item x="1590"/>
        <item x="1592"/>
        <item x="1591"/>
        <item x="1589"/>
        <item x="1593"/>
        <item x="1602"/>
        <item x="1603"/>
        <item x="1604"/>
        <item x="1605"/>
        <item x="1606"/>
        <item x="1607"/>
        <item x="1608"/>
        <item x="1613"/>
        <item x="1614"/>
        <item x="1609"/>
        <item x="1620"/>
        <item x="1622"/>
        <item x="1623"/>
        <item x="1624"/>
        <item x="1466"/>
        <item x="1468"/>
        <item x="1469"/>
        <item x="1470"/>
        <item x="1467"/>
        <item x="1575"/>
        <item x="1577"/>
        <item x="1581"/>
        <item x="1578"/>
        <item x="1579"/>
        <item x="1576"/>
        <item x="1582"/>
        <item x="1457"/>
        <item x="1459"/>
        <item x="1460"/>
        <item x="1461"/>
        <item x="1458"/>
        <item x="1462"/>
        <item x="1471"/>
        <item x="1473"/>
        <item x="1474"/>
        <item x="1475"/>
        <item x="1472"/>
        <item x="1476"/>
        <item x="1555"/>
        <item x="1557"/>
        <item x="1573"/>
        <item x="1558"/>
        <item x="1559"/>
        <item x="1560"/>
        <item x="1561"/>
        <item x="1562"/>
        <item x="1556"/>
        <item x="1041"/>
        <item x="378"/>
        <item x="379"/>
        <item x="381"/>
        <item x="1198"/>
        <item x="1157"/>
        <item x="376"/>
        <item x="1173"/>
        <item x="1156"/>
        <item x="185"/>
        <item x="365"/>
        <item x="363"/>
        <item x="439"/>
        <item x="442"/>
        <item x="1599"/>
        <item x="531"/>
        <item x="1191"/>
        <item x="1601"/>
        <item x="541"/>
        <item x="1570"/>
        <item x="543"/>
        <item x="1572"/>
        <item x="1587"/>
        <item x="1200"/>
        <item x="387"/>
        <item x="1585"/>
        <item x="331"/>
        <item x="1179"/>
        <item x="1568"/>
        <item x="1464"/>
        <item x="1596"/>
        <item x="1211"/>
        <item x="184"/>
        <item x="364"/>
        <item x="362"/>
        <item x="438"/>
        <item x="441"/>
        <item x="1598"/>
        <item x="530"/>
        <item x="1190"/>
        <item x="1600"/>
        <item x="540"/>
        <item x="1569"/>
        <item x="542"/>
        <item x="1571"/>
        <item x="1586"/>
        <item x="1199"/>
        <item x="386"/>
        <item x="1584"/>
        <item x="1178"/>
        <item x="1567"/>
        <item x="1463"/>
        <item x="1263"/>
        <item x="1210"/>
        <item x="1595"/>
        <item x="1158"/>
        <item x="1162"/>
        <item x="1275"/>
        <item x="1553"/>
        <item x="72"/>
        <item x="81"/>
        <item x="73"/>
        <item x="74"/>
        <item x="83"/>
        <item x="84"/>
        <item x="85"/>
        <item x="82"/>
        <item x="392"/>
        <item x="1379"/>
        <item x="1380"/>
        <item x="1382"/>
        <item x="262"/>
        <item x="1644"/>
        <item x="277"/>
        <item x="261"/>
        <item x="280"/>
        <item x="269"/>
        <item x="286"/>
        <item x="276"/>
        <item x="279"/>
        <item x="285"/>
        <item x="329"/>
        <item x="330"/>
        <item x="1264"/>
        <item x="1064"/>
        <item x="1621"/>
        <item x="1065"/>
        <item x="539"/>
        <item x="544"/>
        <item x="591"/>
        <item x="281"/>
        <item x="183"/>
        <item x="1159"/>
        <item x="1081"/>
        <item x="239"/>
        <item x="96"/>
        <item x="124"/>
        <item x="436"/>
        <item x="122"/>
        <item x="95"/>
        <item x="1208"/>
        <item x="1226"/>
        <item x="703"/>
        <item x="1554"/>
        <item x="1640"/>
        <item x="380"/>
        <item x="593"/>
        <item x="377"/>
        <item x="1493"/>
        <item x="1492"/>
        <item x="1192"/>
        <item x="587"/>
        <item x="585"/>
        <item x="588"/>
        <item x="586"/>
        <item x="271"/>
        <item x="592"/>
        <item x="80"/>
        <item x="1414"/>
        <item x="223"/>
        <item x="1241"/>
        <item x="150"/>
        <item x="151"/>
        <item x="1377"/>
      </items>
    </pivotField>
    <pivotField axis="axisPage" compact="0" outline="0" showAll="0" defaultSubtotal="0">
      <items count="1674">
        <item x="153"/>
        <item x="246"/>
        <item x="183"/>
        <item x="1272"/>
        <item x="599"/>
        <item x="179"/>
        <item x="330"/>
        <item x="1289"/>
        <item x="1104"/>
        <item x="697"/>
        <item x="483"/>
        <item x="1407"/>
        <item x="1402"/>
        <item x="291"/>
        <item x="525"/>
        <item x="1515"/>
        <item x="270"/>
        <item x="281"/>
        <item x="272"/>
        <item x="75"/>
        <item x="1089"/>
        <item x="1093"/>
        <item x="1244"/>
        <item x="253"/>
        <item x="978"/>
        <item x="629"/>
        <item x="657"/>
        <item x="109"/>
        <item x="360"/>
        <item x="625"/>
        <item x="1517"/>
        <item x="426"/>
        <item x="327"/>
        <item x="285"/>
        <item x="267"/>
        <item x="1408"/>
        <item x="266"/>
        <item x="265"/>
        <item x="723"/>
        <item x="329"/>
        <item x="750"/>
        <item x="1395"/>
        <item x="1349"/>
        <item x="359"/>
        <item x="1311"/>
        <item x="1310"/>
        <item x="1291"/>
        <item x="1595"/>
        <item x="974"/>
        <item x="715"/>
        <item x="400"/>
        <item x="968"/>
        <item x="959"/>
        <item x="839"/>
        <item x="782"/>
        <item x="869"/>
        <item x="710"/>
        <item x="1340"/>
        <item x="963"/>
        <item x="1159"/>
        <item x="1138"/>
        <item x="698"/>
        <item x="699"/>
        <item x="778"/>
        <item x="693"/>
        <item x="863"/>
        <item x="1632"/>
        <item x="692"/>
        <item x="1365"/>
        <item x="1048"/>
        <item x="1236"/>
        <item x="1516"/>
        <item x="1602"/>
        <item x="1233"/>
        <item x="1616"/>
        <item x="1301"/>
        <item x="1156"/>
        <item x="1180"/>
        <item x="1293"/>
        <item x="695"/>
        <item x="691"/>
        <item x="880"/>
        <item x="857"/>
        <item x="897"/>
        <item x="951"/>
        <item x="389"/>
        <item x="234"/>
        <item x="1139"/>
        <item x="1137"/>
        <item x="138"/>
        <item x="324"/>
        <item x="1338"/>
        <item x="1384"/>
        <item x="229"/>
        <item x="1152"/>
        <item x="1046"/>
        <item x="713"/>
        <item x="994"/>
        <item x="1641"/>
        <item x="1382"/>
        <item x="690"/>
        <item x="1558"/>
        <item x="1557"/>
        <item x="430"/>
        <item x="404"/>
        <item x="405"/>
        <item x="431"/>
        <item x="716"/>
        <item x="262"/>
        <item x="1051"/>
        <item x="969"/>
        <item x="231"/>
        <item x="1106"/>
        <item x="1107"/>
        <item x="60"/>
        <item x="51"/>
        <item x="658"/>
        <item x="78"/>
        <item x="150"/>
        <item x="1095"/>
        <item x="1149"/>
        <item x="1151"/>
        <item x="391"/>
        <item x="1040"/>
        <item x="59"/>
        <item x="58"/>
        <item x="682"/>
        <item x="296"/>
        <item x="236"/>
        <item x="779"/>
        <item x="484"/>
        <item x="702"/>
        <item x="751"/>
        <item x="1519"/>
        <item x="77"/>
        <item x="638"/>
        <item x="1302"/>
        <item x="269"/>
        <item x="980"/>
        <item x="148"/>
        <item x="300"/>
        <item x="62"/>
        <item x="485"/>
        <item x="54"/>
        <item x="53"/>
        <item x="635"/>
        <item x="1638"/>
        <item x="696"/>
        <item x="910"/>
        <item x="1153"/>
        <item x="112"/>
        <item x="1146"/>
        <item x="235"/>
        <item x="1154"/>
        <item x="689"/>
        <item x="336"/>
        <item x="1177"/>
        <item x="845"/>
        <item x="261"/>
        <item x="172"/>
        <item x="1388"/>
        <item x="1385"/>
        <item x="299"/>
        <item x="1369"/>
        <item x="1404"/>
        <item x="113"/>
        <item x="1047"/>
        <item x="1105"/>
        <item x="1605"/>
        <item x="144"/>
        <item x="142"/>
        <item x="131"/>
        <item x="294"/>
        <item x="143"/>
        <item x="227"/>
        <item x="1665"/>
        <item x="1039"/>
        <item x="228"/>
        <item x="1339"/>
        <item x="332"/>
        <item x="1317"/>
        <item x="331"/>
        <item x="361"/>
        <item x="565"/>
        <item x="560"/>
        <item x="937"/>
        <item x="882"/>
        <item x="844"/>
        <item x="931"/>
        <item x="926"/>
        <item x="884"/>
        <item x="257"/>
        <item x="1158"/>
        <item x="777"/>
        <item x="1144"/>
        <item x="680"/>
        <item x="1394"/>
        <item x="233"/>
        <item x="684"/>
        <item x="230"/>
        <item x="395"/>
        <item x="681"/>
        <item x="686"/>
        <item x="539"/>
        <item x="76"/>
        <item x="752"/>
        <item x="1282"/>
        <item x="149"/>
        <item x="637"/>
        <item x="1150"/>
        <item x="147"/>
        <item x="924"/>
        <item x="962"/>
        <item x="1248"/>
        <item x="226"/>
        <item x="256"/>
        <item x="1337"/>
        <item x="232"/>
        <item x="1412"/>
        <item x="56"/>
        <item x="1179"/>
        <item x="840"/>
        <item x="1176"/>
        <item x="866"/>
        <item x="895"/>
        <item x="906"/>
        <item x="916"/>
        <item x="874"/>
        <item x="52"/>
        <item x="656"/>
        <item x="856"/>
        <item x="953"/>
        <item x="966"/>
        <item x="862"/>
        <item x="878"/>
        <item x="853"/>
        <item x="841"/>
        <item x="936"/>
        <item x="935"/>
        <item x="934"/>
        <item x="890"/>
        <item x="157"/>
        <item x="225"/>
        <item x="683"/>
        <item x="255"/>
        <item x="1655"/>
        <item x="1336"/>
        <item x="445"/>
        <item x="1372"/>
        <item x="254"/>
        <item x="639"/>
        <item x="237"/>
        <item x="94"/>
        <item x="450"/>
        <item x="108"/>
        <item x="1249"/>
        <item x="542"/>
        <item x="394"/>
        <item x="1619"/>
        <item x="1322"/>
        <item x="634"/>
        <item x="1145"/>
        <item x="1640"/>
        <item x="173"/>
        <item x="641"/>
        <item x="1077"/>
        <item x="1078"/>
        <item x="687"/>
        <item x="688"/>
        <item x="249"/>
        <item x="290"/>
        <item x="889"/>
        <item x="1637"/>
        <item x="486"/>
        <item x="1120"/>
        <item x="1383"/>
        <item x="780"/>
        <item x="873"/>
        <item x="364"/>
        <item x="1147"/>
        <item x="701"/>
        <item x="700"/>
        <item x="685"/>
        <item x="68"/>
        <item x="1333"/>
        <item x="111"/>
        <item x="67"/>
        <item x="55"/>
        <item x="409"/>
        <item x="876"/>
        <item x="905"/>
        <item x="881"/>
        <item x="877"/>
        <item x="918"/>
        <item x="1316"/>
        <item x="1182"/>
        <item x="129"/>
        <item x="1155"/>
        <item x="1196"/>
        <item x="1409"/>
        <item x="965"/>
        <item x="836"/>
        <item x="907"/>
        <item x="883"/>
        <item x="117"/>
        <item x="1245"/>
        <item x="1049"/>
        <item x="850"/>
        <item x="952"/>
        <item x="851"/>
        <item x="1148"/>
        <item x="1403"/>
        <item x="118"/>
        <item x="124"/>
        <item x="925"/>
        <item x="721"/>
        <item x="258"/>
        <item x="1381"/>
        <item x="592"/>
        <item x="1247"/>
        <item x="1108"/>
        <item x="1050"/>
        <item x="694"/>
        <item x="722"/>
        <item x="967"/>
        <item x="1335"/>
        <item x="1334"/>
        <item x="631"/>
        <item x="1242"/>
        <item x="632"/>
        <item x="1103"/>
        <item x="548"/>
        <item x="238"/>
        <item x="640"/>
        <item x="1140"/>
        <item x="250"/>
        <item x="624"/>
        <item x="630"/>
        <item x="57"/>
        <item x="781"/>
        <item x="1157"/>
        <item x="1097"/>
        <item m="1" x="1671"/>
        <item x="526"/>
        <item x="390"/>
        <item x="79"/>
        <item x="825"/>
        <item x="130"/>
        <item x="1279"/>
        <item x="1634"/>
        <item x="1484"/>
        <item x="158"/>
        <item x="159"/>
        <item x="1181"/>
        <item x="1197"/>
        <item x="1198"/>
        <item m="1" x="1669"/>
        <item m="1" x="1670"/>
        <item x="871"/>
        <item x="274"/>
        <item x="275"/>
        <item x="278"/>
        <item x="286"/>
        <item x="287"/>
        <item x="1429"/>
        <item x="1584"/>
        <item x="1586"/>
        <item x="1585"/>
        <item x="388"/>
        <item x="1254"/>
        <item x="447"/>
        <item x="1062"/>
        <item x="1255"/>
        <item x="523"/>
        <item x="453"/>
        <item x="454"/>
        <item x="1596"/>
        <item x="1256"/>
        <item x="1056"/>
        <item x="276"/>
        <item x="829"/>
        <item x="241"/>
        <item x="242"/>
        <item x="1663"/>
        <item x="1191"/>
        <item x="1192"/>
        <item x="1190"/>
        <item x="1356"/>
        <item x="626"/>
        <item x="627"/>
        <item x="277"/>
        <item x="1662"/>
        <item x="154"/>
        <item x="1633"/>
        <item x="1380"/>
        <item x="1142"/>
        <item x="1143"/>
        <item x="1061"/>
        <item x="1205"/>
        <item x="97"/>
        <item x="636"/>
        <item x="146"/>
        <item x="325"/>
        <item x="1639"/>
        <item x="1251"/>
        <item x="110"/>
        <item x="1193"/>
        <item x="362"/>
        <item x="181"/>
        <item x="180"/>
        <item x="600"/>
        <item x="182"/>
        <item x="1518"/>
        <item x="982"/>
        <item x="981"/>
        <item x="659"/>
        <item x="524"/>
        <item x="921"/>
        <item x="914"/>
        <item x="915"/>
        <item m="1" x="1673"/>
        <item x="114"/>
        <item x="1513"/>
        <item x="1117"/>
        <item x="1583"/>
        <item x="1253"/>
        <item x="983"/>
        <item x="1290"/>
        <item x="1357"/>
        <item x="455"/>
        <item x="1226"/>
        <item x="538"/>
        <item x="187"/>
        <item x="370"/>
        <item x="628"/>
        <item x="268"/>
        <item x="0"/>
        <item x="1200"/>
        <item x="1201"/>
        <item x="1202"/>
        <item x="1203"/>
        <item x="1204"/>
        <item x="402"/>
        <item x="403"/>
        <item x="407"/>
        <item x="408"/>
        <item x="406"/>
        <item x="412"/>
        <item x="413"/>
        <item x="414"/>
        <item x="415"/>
        <item x="416"/>
        <item x="417"/>
        <item x="418"/>
        <item x="419"/>
        <item x="420"/>
        <item x="410"/>
        <item x="411"/>
        <item x="421"/>
        <item x="422"/>
        <item x="423"/>
        <item x="424"/>
        <item x="425"/>
        <item x="427"/>
        <item x="428"/>
        <item x="432"/>
        <item x="429"/>
        <item x="499"/>
        <item x="500"/>
        <item x="506"/>
        <item x="507"/>
        <item x="508"/>
        <item x="509"/>
        <item x="510"/>
        <item x="511"/>
        <item x="512"/>
        <item x="513"/>
        <item x="501"/>
        <item x="502"/>
        <item x="503"/>
        <item x="504"/>
        <item x="505"/>
        <item x="521"/>
        <item x="522"/>
        <item x="514"/>
        <item x="515"/>
        <item x="516"/>
        <item x="517"/>
        <item x="518"/>
        <item x="519"/>
        <item x="520"/>
        <item x="433"/>
        <item x="434"/>
        <item x="435"/>
        <item x="436"/>
        <item x="437"/>
        <item x="438"/>
        <item x="439"/>
        <item x="440"/>
        <item x="441"/>
        <item x="442"/>
        <item x="443"/>
        <item x="444"/>
        <item x="456"/>
        <item x="460"/>
        <item x="461"/>
        <item x="462"/>
        <item x="463"/>
        <item x="464"/>
        <item x="465"/>
        <item x="466"/>
        <item x="467"/>
        <item x="468"/>
        <item x="469"/>
        <item x="471"/>
        <item x="472"/>
        <item x="473"/>
        <item x="476"/>
        <item x="479"/>
        <item x="480"/>
        <item x="481"/>
        <item x="488"/>
        <item x="489"/>
        <item x="482"/>
        <item x="457"/>
        <item x="458"/>
        <item x="490"/>
        <item x="459"/>
        <item x="491"/>
        <item x="470"/>
        <item x="474"/>
        <item x="478"/>
        <item x="477"/>
        <item x="475"/>
        <item x="492"/>
        <item x="493"/>
        <item x="494"/>
        <item x="495"/>
        <item x="496"/>
        <item x="497"/>
        <item x="498"/>
        <item x="527"/>
        <item x="528"/>
        <item x="531"/>
        <item x="532"/>
        <item x="533"/>
        <item x="534"/>
        <item x="535"/>
        <item x="529"/>
        <item x="530"/>
        <item x="536"/>
        <item x="537"/>
        <item x="543"/>
        <item x="544"/>
        <item x="545"/>
        <item x="555"/>
        <item x="546"/>
        <item x="547"/>
        <item x="556"/>
        <item x="557"/>
        <item x="558"/>
        <item x="633"/>
        <item x="561"/>
        <item x="562"/>
        <item x="566"/>
        <item x="567"/>
        <item x="568"/>
        <item x="569"/>
        <item x="570"/>
        <item x="571"/>
        <item x="572"/>
        <item x="573"/>
        <item x="563"/>
        <item x="574"/>
        <item x="607"/>
        <item x="575"/>
        <item x="576"/>
        <item x="577"/>
        <item x="578"/>
        <item x="579"/>
        <item x="580"/>
        <item x="581"/>
        <item x="582"/>
        <item x="564"/>
        <item x="583"/>
        <item x="584"/>
        <item x="585"/>
        <item x="586"/>
        <item x="587"/>
        <item x="588"/>
        <item x="589"/>
        <item x="590"/>
        <item x="591"/>
        <item x="559"/>
        <item x="593"/>
        <item x="594"/>
        <item x="604"/>
        <item x="605"/>
        <item x="606"/>
        <item x="608"/>
        <item x="609"/>
        <item x="610"/>
        <item x="612"/>
        <item x="611"/>
        <item x="613"/>
        <item x="614"/>
        <item x="615"/>
        <item x="616"/>
        <item x="617"/>
        <item x="618"/>
        <item x="619"/>
        <item x="620"/>
        <item x="621"/>
        <item x="622"/>
        <item x="623"/>
        <item x="1"/>
        <item x="2"/>
        <item x="301"/>
        <item x="3"/>
        <item x="4"/>
        <item x="338"/>
        <item x="339"/>
        <item x="340"/>
        <item x="341"/>
        <item x="302"/>
        <item x="303"/>
        <item x="337"/>
        <item x="5"/>
        <item x="6"/>
        <item x="292"/>
        <item x="293"/>
        <item x="401"/>
        <item x="297"/>
        <item x="295"/>
        <item x="298"/>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61"/>
        <item x="132"/>
        <item x="141"/>
        <item x="133"/>
        <item x="134"/>
        <item x="135"/>
        <item x="136"/>
        <item x="137"/>
        <item x="140"/>
        <item x="139"/>
        <item x="155"/>
        <item x="156"/>
        <item x="189"/>
        <item x="190"/>
        <item x="206"/>
        <item x="200"/>
        <item x="202"/>
        <item x="204"/>
        <item x="194"/>
        <item x="192"/>
        <item x="191"/>
        <item x="195"/>
        <item x="196"/>
        <item x="197"/>
        <item x="198"/>
        <item x="199"/>
        <item x="201"/>
        <item x="205"/>
        <item x="203"/>
        <item x="207"/>
        <item x="222"/>
        <item x="220"/>
        <item x="218"/>
        <item x="214"/>
        <item x="208"/>
        <item x="216"/>
        <item x="209"/>
        <item x="210"/>
        <item x="211"/>
        <item x="212"/>
        <item x="213"/>
        <item x="215"/>
        <item x="217"/>
        <item x="219"/>
        <item x="221"/>
        <item x="223"/>
        <item x="193"/>
        <item x="160"/>
        <item x="161"/>
        <item x="162"/>
        <item x="163"/>
        <item x="164"/>
        <item x="165"/>
        <item x="166"/>
        <item x="167"/>
        <item x="168"/>
        <item x="169"/>
        <item x="170"/>
        <item x="171"/>
        <item x="174"/>
        <item x="175"/>
        <item x="176"/>
        <item x="177"/>
        <item x="178"/>
        <item x="188"/>
        <item x="304"/>
        <item x="305"/>
        <item x="306"/>
        <item x="307"/>
        <item x="308"/>
        <item x="309"/>
        <item x="310"/>
        <item x="311"/>
        <item x="312"/>
        <item x="313"/>
        <item x="314"/>
        <item x="315"/>
        <item x="316"/>
        <item x="317"/>
        <item x="318"/>
        <item x="319"/>
        <item x="320"/>
        <item x="321"/>
        <item x="322"/>
        <item x="323"/>
        <item x="326"/>
        <item x="328"/>
        <item x="342"/>
        <item x="343"/>
        <item x="346"/>
        <item x="348"/>
        <item x="344"/>
        <item x="345"/>
        <item x="363"/>
        <item x="365"/>
        <item x="349"/>
        <item x="350"/>
        <item x="351"/>
        <item x="352"/>
        <item x="353"/>
        <item x="354"/>
        <item x="355"/>
        <item x="356"/>
        <item x="357"/>
        <item x="358"/>
        <item x="371"/>
        <item x="372"/>
        <item x="375"/>
        <item x="347"/>
        <item x="377"/>
        <item x="378"/>
        <item x="379"/>
        <item x="373"/>
        <item x="374"/>
        <item x="380"/>
        <item x="381"/>
        <item x="376"/>
        <item x="396"/>
        <item x="397"/>
        <item x="63"/>
        <item x="66"/>
        <item x="69"/>
        <item x="70"/>
        <item x="71"/>
        <item x="65"/>
        <item x="64"/>
        <item x="91"/>
        <item x="99"/>
        <item x="100"/>
        <item x="86"/>
        <item x="87"/>
        <item x="88"/>
        <item x="89"/>
        <item x="90"/>
        <item x="93"/>
        <item x="92"/>
        <item x="98"/>
        <item x="101"/>
        <item x="102"/>
        <item x="104"/>
        <item x="103"/>
        <item x="105"/>
        <item x="106"/>
        <item x="107"/>
        <item x="115"/>
        <item x="116"/>
        <item x="119"/>
        <item x="120"/>
        <item x="121"/>
        <item x="122"/>
        <item x="128"/>
        <item x="127"/>
        <item x="126"/>
        <item x="239"/>
        <item x="247"/>
        <item x="245"/>
        <item x="248"/>
        <item x="244"/>
        <item x="251"/>
        <item x="259"/>
        <item x="252"/>
        <item x="260"/>
        <item x="243"/>
        <item x="642"/>
        <item x="644"/>
        <item x="645"/>
        <item x="646"/>
        <item x="647"/>
        <item x="651"/>
        <item x="648"/>
        <item x="649"/>
        <item x="650"/>
        <item x="652"/>
        <item x="653"/>
        <item x="654"/>
        <item x="655"/>
        <item x="643"/>
        <item x="660"/>
        <item x="795"/>
        <item x="661"/>
        <item x="662"/>
        <item x="663"/>
        <item x="664"/>
        <item x="665"/>
        <item x="666"/>
        <item x="796"/>
        <item x="797"/>
        <item x="798"/>
        <item x="799"/>
        <item x="800"/>
        <item x="801"/>
        <item x="802"/>
        <item x="803"/>
        <item x="804"/>
        <item x="827"/>
        <item x="668"/>
        <item x="669"/>
        <item x="670"/>
        <item x="671"/>
        <item x="805"/>
        <item x="806"/>
        <item x="828"/>
        <item x="807"/>
        <item x="808"/>
        <item x="809"/>
        <item x="667"/>
        <item x="810"/>
        <item x="811"/>
        <item x="812"/>
        <item x="794"/>
        <item x="813"/>
        <item x="814"/>
        <item x="753"/>
        <item x="754"/>
        <item x="815"/>
        <item x="816"/>
        <item x="817"/>
        <item x="818"/>
        <item x="819"/>
        <item x="820"/>
        <item x="826"/>
        <item x="821"/>
        <item x="822"/>
        <item x="823"/>
        <item x="672"/>
        <item x="724"/>
        <item x="727"/>
        <item x="728"/>
        <item x="729"/>
        <item x="730"/>
        <item x="731"/>
        <item x="735"/>
        <item x="732"/>
        <item x="736"/>
        <item x="733"/>
        <item x="734"/>
        <item x="737"/>
        <item x="673"/>
        <item x="738"/>
        <item x="739"/>
        <item x="740"/>
        <item x="741"/>
        <item x="743"/>
        <item x="744"/>
        <item x="703"/>
        <item x="745"/>
        <item x="746"/>
        <item x="748"/>
        <item x="747"/>
        <item x="679"/>
        <item x="709"/>
        <item x="704"/>
        <item x="705"/>
        <item x="706"/>
        <item x="707"/>
        <item x="711"/>
        <item x="708"/>
        <item x="676"/>
        <item x="678"/>
        <item x="675"/>
        <item x="674"/>
        <item x="677"/>
        <item x="742"/>
        <item x="725"/>
        <item x="726"/>
        <item x="712"/>
        <item x="717"/>
        <item x="718"/>
        <item x="719"/>
        <item x="720"/>
        <item x="749"/>
        <item x="755"/>
        <item x="759"/>
        <item x="760"/>
        <item x="761"/>
        <item x="762"/>
        <item x="763"/>
        <item x="764"/>
        <item x="765"/>
        <item x="766"/>
        <item x="767"/>
        <item x="768"/>
        <item x="769"/>
        <item x="770"/>
        <item x="771"/>
        <item x="772"/>
        <item x="773"/>
        <item x="774"/>
        <item x="775"/>
        <item x="776"/>
        <item x="756"/>
        <item x="757"/>
        <item x="758"/>
        <item x="784"/>
        <item x="783"/>
        <item x="786"/>
        <item x="785"/>
        <item x="788"/>
        <item x="789"/>
        <item x="787"/>
        <item x="790"/>
        <item x="791"/>
        <item x="792"/>
        <item x="793"/>
        <item x="830"/>
        <item x="831"/>
        <item x="832"/>
        <item x="833"/>
        <item x="834"/>
        <item x="835"/>
        <item x="837"/>
        <item x="838"/>
        <item x="842"/>
        <item x="843"/>
        <item x="846"/>
        <item x="847"/>
        <item x="908"/>
        <item x="848"/>
        <item x="849"/>
        <item x="854"/>
        <item x="855"/>
        <item x="852"/>
        <item x="885"/>
        <item x="886"/>
        <item x="887"/>
        <item x="858"/>
        <item x="888"/>
        <item x="859"/>
        <item x="911"/>
        <item x="861"/>
        <item x="860"/>
        <item x="875"/>
        <item x="870"/>
        <item x="879"/>
        <item x="891"/>
        <item x="898"/>
        <item x="899"/>
        <item x="900"/>
        <item x="901"/>
        <item x="919"/>
        <item x="902"/>
        <item x="896"/>
        <item x="892"/>
        <item x="893"/>
        <item x="894"/>
        <item x="903"/>
        <item x="909"/>
        <item x="912"/>
        <item x="923"/>
        <item x="928"/>
        <item x="920"/>
        <item x="930"/>
        <item x="933"/>
        <item x="938"/>
        <item x="941"/>
        <item x="922"/>
        <item x="872"/>
        <item x="867"/>
        <item x="868"/>
        <item x="927"/>
        <item x="929"/>
        <item x="932"/>
        <item x="913"/>
        <item x="917"/>
        <item x="946"/>
        <item x="948"/>
        <item x="949"/>
        <item x="956"/>
        <item x="955"/>
        <item x="957"/>
        <item x="958"/>
        <item x="960"/>
        <item x="961"/>
        <item x="971"/>
        <item x="947"/>
        <item x="973"/>
        <item x="954"/>
        <item x="970"/>
        <item x="972"/>
        <item x="942"/>
        <item x="943"/>
        <item x="944"/>
        <item x="945"/>
        <item x="975"/>
        <item x="977"/>
        <item x="976"/>
        <item x="979"/>
        <item x="984"/>
        <item x="985"/>
        <item x="986"/>
        <item x="939"/>
        <item x="940"/>
        <item x="1410"/>
        <item x="1411"/>
        <item x="987"/>
        <item x="988"/>
        <item x="997"/>
        <item x="1400"/>
        <item x="1405"/>
        <item x="140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350"/>
        <item x="1351"/>
        <item x="1391"/>
        <item x="1392"/>
        <item x="1393"/>
        <item x="1352"/>
        <item x="1353"/>
        <item x="1354"/>
        <item x="1355"/>
        <item x="1389"/>
        <item x="1358"/>
        <item x="1390"/>
        <item x="1397"/>
        <item x="1359"/>
        <item x="1360"/>
        <item x="1361"/>
        <item x="1362"/>
        <item x="1363"/>
        <item x="1364"/>
        <item x="1366"/>
        <item x="1367"/>
        <item x="1368"/>
        <item x="1373"/>
        <item x="1370"/>
        <item x="1374"/>
        <item x="1371"/>
        <item x="1375"/>
        <item x="1376"/>
        <item x="1377"/>
        <item x="1378"/>
        <item x="1379"/>
        <item x="1386"/>
        <item x="1387"/>
        <item x="1294"/>
        <item x="1325"/>
        <item x="1303"/>
        <item x="1305"/>
        <item x="1304"/>
        <item x="1307"/>
        <item x="1306"/>
        <item x="1314"/>
        <item x="1313"/>
        <item x="1308"/>
        <item x="1309"/>
        <item x="1312"/>
        <item x="1315"/>
        <item x="1295"/>
        <item x="1296"/>
        <item x="1297"/>
        <item x="1298"/>
        <item x="1299"/>
        <item x="1300"/>
        <item x="1321"/>
        <item x="1320"/>
        <item x="1324"/>
        <item x="1323"/>
        <item x="1319"/>
        <item x="1318"/>
        <item x="1326"/>
        <item x="1327"/>
        <item x="1328"/>
        <item x="1329"/>
        <item x="1330"/>
        <item x="1331"/>
        <item x="1332"/>
        <item x="1341"/>
        <item x="1342"/>
        <item x="1343"/>
        <item x="1344"/>
        <item x="1345"/>
        <item x="1346"/>
        <item x="1347"/>
        <item x="1348"/>
        <item x="1160"/>
        <item x="1161"/>
        <item x="1162"/>
        <item x="1163"/>
        <item x="1164"/>
        <item x="1210"/>
        <item x="1211"/>
        <item x="1212"/>
        <item x="1213"/>
        <item x="1214"/>
        <item x="1218"/>
        <item x="1257"/>
        <item x="1259"/>
        <item x="1260"/>
        <item x="1261"/>
        <item x="1166"/>
        <item x="1167"/>
        <item x="1168"/>
        <item x="1169"/>
        <item x="1170"/>
        <item x="1171"/>
        <item x="1183"/>
        <item x="1284"/>
        <item x="1285"/>
        <item x="1286"/>
        <item x="1287"/>
        <item x="1288"/>
        <item x="1219"/>
        <item x="1220"/>
        <item x="1230"/>
        <item x="1231"/>
        <item x="1232"/>
        <item x="1234"/>
        <item x="1235"/>
        <item x="1237"/>
        <item x="1238"/>
        <item x="1239"/>
        <item x="1240"/>
        <item x="1241"/>
        <item x="1221"/>
        <item x="1246"/>
        <item x="1250"/>
        <item x="1222"/>
        <item x="1223"/>
        <item x="1224"/>
        <item x="1229"/>
        <item x="1252"/>
        <item x="1184"/>
        <item x="1185"/>
        <item x="1186"/>
        <item x="1187"/>
        <item x="1188"/>
        <item x="1199"/>
        <item x="1273"/>
        <item x="1274"/>
        <item x="1275"/>
        <item x="1276"/>
        <item x="1277"/>
        <item x="1278"/>
        <item x="1283"/>
        <item x="1267"/>
        <item x="1271"/>
        <item x="1268"/>
        <item x="1269"/>
        <item x="1270"/>
        <item x="1262"/>
        <item x="1263"/>
        <item x="1264"/>
        <item x="1265"/>
        <item x="1266"/>
        <item x="1057"/>
        <item x="1058"/>
        <item x="1059"/>
        <item x="1060"/>
        <item x="1041"/>
        <item x="1042"/>
        <item x="1043"/>
        <item x="1044"/>
        <item x="1045"/>
        <item x="1052"/>
        <item x="1053"/>
        <item x="1054"/>
        <item x="1063"/>
        <item x="1064"/>
        <item x="1069"/>
        <item x="1098"/>
        <item x="1099"/>
        <item x="1100"/>
        <item x="1101"/>
        <item x="1102"/>
        <item x="1070"/>
        <item x="1071"/>
        <item x="1072"/>
        <item x="1073"/>
        <item x="1065"/>
        <item x="1074"/>
        <item x="1075"/>
        <item x="1076"/>
        <item x="1082"/>
        <item x="1083"/>
        <item x="1086"/>
        <item x="1088"/>
        <item x="1090"/>
        <item x="1092"/>
        <item x="1066"/>
        <item x="1084"/>
        <item x="1085"/>
        <item x="1087"/>
        <item x="1091"/>
        <item x="1094"/>
        <item x="1081"/>
        <item x="1067"/>
        <item x="1068"/>
        <item x="1122"/>
        <item x="1123"/>
        <item x="1124"/>
        <item x="1125"/>
        <item x="1126"/>
        <item x="1127"/>
        <item x="1109"/>
        <item x="1110"/>
        <item x="1111"/>
        <item x="1112"/>
        <item x="1113"/>
        <item x="1114"/>
        <item x="1115"/>
        <item x="1116"/>
        <item x="1121"/>
        <item x="1128"/>
        <item x="1129"/>
        <item x="1130"/>
        <item x="1131"/>
        <item x="1132"/>
        <item x="1133"/>
        <item x="1134"/>
        <item x="1135"/>
        <item x="1136"/>
        <item x="989"/>
        <item x="990"/>
        <item x="991"/>
        <item x="992"/>
        <item x="993"/>
        <item x="995"/>
        <item x="996"/>
        <item x="1564"/>
        <item x="1565"/>
        <item x="1566"/>
        <item x="1568"/>
        <item x="1569"/>
        <item x="1570"/>
        <item x="1413"/>
        <item x="1414"/>
        <item x="1415"/>
        <item x="1416"/>
        <item x="1571"/>
        <item x="1567"/>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647"/>
        <item x="1649"/>
        <item x="1651"/>
        <item x="1650"/>
        <item x="1661"/>
        <item x="1652"/>
        <item x="1653"/>
        <item x="1666"/>
        <item x="1667"/>
        <item x="1654"/>
        <item x="1648"/>
        <item x="1656"/>
        <item x="1657"/>
        <item x="1658"/>
        <item x="1659"/>
        <item x="1660"/>
        <item x="1547"/>
        <item x="1555"/>
        <item x="1556"/>
        <item x="1548"/>
        <item x="1550"/>
        <item x="1554"/>
        <item x="1551"/>
        <item x="1553"/>
        <item x="1552"/>
        <item x="1549"/>
        <item x="1563"/>
        <item x="1559"/>
        <item x="1560"/>
        <item x="1561"/>
        <item x="1562"/>
        <item x="1496"/>
        <item x="1497"/>
        <item x="1498"/>
        <item x="1499"/>
        <item x="1500"/>
        <item x="1501"/>
        <item x="1502"/>
        <item x="1503"/>
        <item x="1504"/>
        <item x="1505"/>
        <item x="1506"/>
        <item x="1507"/>
        <item x="1508"/>
        <item x="1509"/>
        <item x="1510"/>
        <item x="1514"/>
        <item x="1520"/>
        <item x="1521"/>
        <item x="1522"/>
        <item x="1523"/>
        <item x="1524"/>
        <item x="1525"/>
        <item x="1526"/>
        <item x="1531"/>
        <item x="1527"/>
        <item x="1528"/>
        <item x="1529"/>
        <item x="1530"/>
        <item x="1532"/>
        <item x="1533"/>
        <item x="1534"/>
        <item x="1535"/>
        <item x="1536"/>
        <item x="1537"/>
        <item x="1538"/>
        <item x="1539"/>
        <item x="1540"/>
        <item x="1541"/>
        <item x="1542"/>
        <item x="1543"/>
        <item x="1544"/>
        <item x="1545"/>
        <item x="1546"/>
        <item x="1417"/>
        <item x="1419"/>
        <item x="1422"/>
        <item x="1423"/>
        <item x="1424"/>
        <item x="1425"/>
        <item x="1426"/>
        <item x="1427"/>
        <item x="1428"/>
        <item x="1430"/>
        <item x="1431"/>
        <item x="1432"/>
        <item x="1420"/>
        <item x="1421"/>
        <item x="1418"/>
        <item x="1434"/>
        <item x="1435"/>
        <item x="1610"/>
        <item x="1612"/>
        <item x="1614"/>
        <item x="1613"/>
        <item x="1611"/>
        <item x="1615"/>
        <item x="1624"/>
        <item x="1625"/>
        <item x="1626"/>
        <item x="1627"/>
        <item x="1628"/>
        <item x="1629"/>
        <item x="1630"/>
        <item x="1635"/>
        <item x="1636"/>
        <item x="1631"/>
        <item x="1642"/>
        <item x="1644"/>
        <item x="1645"/>
        <item x="1646"/>
        <item x="1485"/>
        <item x="1487"/>
        <item x="1488"/>
        <item x="1489"/>
        <item x="1486"/>
        <item x="1597"/>
        <item x="1599"/>
        <item x="1603"/>
        <item x="1600"/>
        <item x="1601"/>
        <item x="1598"/>
        <item x="1604"/>
        <item x="1476"/>
        <item x="1478"/>
        <item x="1479"/>
        <item x="1480"/>
        <item x="1477"/>
        <item x="1481"/>
        <item x="1490"/>
        <item x="1492"/>
        <item x="1493"/>
        <item x="1494"/>
        <item x="1491"/>
        <item x="1495"/>
        <item x="1575"/>
        <item x="1577"/>
        <item x="1593"/>
        <item x="1578"/>
        <item x="1579"/>
        <item x="1580"/>
        <item x="1581"/>
        <item x="1582"/>
        <item x="1594"/>
        <item x="1576"/>
        <item x="1055"/>
        <item x="384"/>
        <item x="385"/>
        <item x="387"/>
        <item x="1215"/>
        <item x="1173"/>
        <item x="382"/>
        <item x="1189"/>
        <item x="1172"/>
        <item x="186"/>
        <item x="369"/>
        <item x="367"/>
        <item x="449"/>
        <item x="452"/>
        <item x="1621"/>
        <item x="541"/>
        <item x="1207"/>
        <item x="1623"/>
        <item x="551"/>
        <item x="1590"/>
        <item x="553"/>
        <item x="1592"/>
        <item x="1609"/>
        <item x="1217"/>
        <item x="393"/>
        <item x="1607"/>
        <item x="335"/>
        <item x="1195"/>
        <item x="1588"/>
        <item x="1483"/>
        <item x="1618"/>
        <item x="185"/>
        <item x="368"/>
        <item x="366"/>
        <item x="448"/>
        <item x="451"/>
        <item x="1620"/>
        <item x="540"/>
        <item x="1206"/>
        <item x="1622"/>
        <item x="550"/>
        <item x="1589"/>
        <item x="552"/>
        <item x="1591"/>
        <item x="1608"/>
        <item x="1216"/>
        <item x="392"/>
        <item x="1606"/>
        <item x="1194"/>
        <item x="1587"/>
        <item x="1482"/>
        <item x="1617"/>
        <item x="1280"/>
        <item x="1227"/>
        <item x="1174"/>
        <item x="1178"/>
        <item x="1292"/>
        <item x="1572"/>
        <item x="72"/>
        <item x="81"/>
        <item x="73"/>
        <item x="74"/>
        <item x="83"/>
        <item x="84"/>
        <item x="85"/>
        <item x="82"/>
        <item x="398"/>
        <item x="1398"/>
        <item x="1399"/>
        <item x="1401"/>
        <item x="264"/>
        <item x="1668"/>
        <item x="280"/>
        <item x="263"/>
        <item x="283"/>
        <item x="271"/>
        <item x="289"/>
        <item x="279"/>
        <item x="282"/>
        <item x="288"/>
        <item x="333"/>
        <item x="334"/>
        <item x="1281"/>
        <item x="1228"/>
        <item x="1079"/>
        <item x="1643"/>
        <item x="1080"/>
        <item x="549"/>
        <item x="554"/>
        <item x="601"/>
        <item x="284"/>
        <item x="184"/>
        <item x="1175"/>
        <item x="1096"/>
        <item x="240"/>
        <item x="96"/>
        <item x="125"/>
        <item x="446"/>
        <item x="123"/>
        <item x="95"/>
        <item x="1225"/>
        <item x="1243"/>
        <item x="714"/>
        <item x="1574"/>
        <item x="1573"/>
        <item x="1664"/>
        <item x="386"/>
        <item x="1208"/>
        <item x="603"/>
        <item x="383"/>
        <item x="1512"/>
        <item x="1511"/>
        <item x="602"/>
        <item x="1209"/>
        <item m="1" x="1672"/>
        <item x="597"/>
        <item x="595"/>
        <item x="596"/>
        <item x="598"/>
        <item x="273"/>
        <item x="399"/>
        <item x="80"/>
        <item x="1433"/>
        <item x="224"/>
        <item x="487"/>
        <item x="145"/>
        <item x="864"/>
        <item x="865"/>
        <item x="904"/>
        <item x="950"/>
        <item x="964"/>
        <item x="1118"/>
        <item x="1119"/>
        <item x="1141"/>
        <item x="1258"/>
        <item x="151"/>
        <item x="152"/>
        <item x="824"/>
        <item x="1165"/>
        <item x="1396"/>
      </items>
    </pivotField>
    <pivotField axis="axisRow" compact="0" outline="0" showAll="0">
      <items count="1625">
        <item x="179"/>
        <item x="630"/>
        <item x="632"/>
        <item x="971"/>
        <item x="397"/>
        <item x="398"/>
        <item x="197"/>
        <item x="370"/>
        <item x="194"/>
        <item x="342"/>
        <item x="508"/>
        <item x="371"/>
        <item x="419"/>
        <item x="322"/>
        <item x="1309"/>
        <item x="1310"/>
        <item x="614"/>
        <item x="817"/>
        <item x="899"/>
        <item x="82"/>
        <item x="83"/>
        <item x="84"/>
        <item x="85"/>
        <item x="73"/>
        <item x="74"/>
        <item x="944"/>
        <item x="1363"/>
        <item x="1316"/>
        <item x="1542"/>
        <item x="1543"/>
        <item x="945"/>
        <item x="835"/>
        <item x="858"/>
        <item x="875"/>
        <item x="929"/>
        <item x="936"/>
        <item x="951"/>
        <item x="841"/>
        <item x="855"/>
        <item x="985"/>
        <item x="1004"/>
        <item x="720"/>
        <item x="269"/>
        <item x="1383"/>
        <item x="1427"/>
        <item x="1008"/>
        <item x="1420"/>
        <item x="1426"/>
        <item x="993"/>
        <item x="997"/>
        <item x="44"/>
        <item x="972"/>
        <item x="741"/>
        <item x="806"/>
        <item x="48"/>
        <item x="1423"/>
        <item x="1103"/>
        <item x="69"/>
        <item x="70"/>
        <item x="71"/>
        <item x="1280"/>
        <item x="86"/>
        <item x="87"/>
        <item x="88"/>
        <item x="90"/>
        <item x="93"/>
        <item x="89"/>
        <item x="91"/>
        <item x="99"/>
        <item x="100"/>
        <item x="301"/>
        <item x="305"/>
        <item x="309"/>
        <item x="310"/>
        <item x="306"/>
        <item x="307"/>
        <item x="308"/>
        <item x="323"/>
        <item x="318"/>
        <item x="319"/>
        <item x="313"/>
        <item x="316"/>
        <item x="314"/>
        <item x="315"/>
        <item x="317"/>
        <item x="311"/>
        <item x="312"/>
        <item x="321"/>
        <item x="66"/>
        <item x="1062"/>
        <item x="1051"/>
        <item x="1053"/>
        <item x="1052"/>
        <item x="1234"/>
        <item x="1236"/>
        <item x="1235"/>
        <item x="1233"/>
        <item x="588"/>
        <item x="589"/>
        <item x="598"/>
        <item x="591"/>
        <item x="596"/>
        <item x="595"/>
        <item x="592"/>
        <item x="594"/>
        <item x="597"/>
        <item x="593"/>
        <item x="1367"/>
        <item x="1500"/>
        <item x="1255"/>
        <item x="1257"/>
        <item x="1256"/>
        <item x="1254"/>
        <item x="129"/>
        <item x="153"/>
        <item x="72"/>
        <item x="391"/>
        <item x="157"/>
        <item x="270"/>
        <item m="1" x="1620"/>
        <item x="1171"/>
        <item x="282"/>
        <item x="853"/>
        <item x="1595"/>
        <item x="92"/>
        <item x="300"/>
        <item x="1050"/>
        <item x="1232"/>
        <item x="587"/>
        <item x="1253"/>
        <item x="1518"/>
        <item x="1577"/>
        <item x="1308"/>
        <item x="804"/>
        <item x="1484"/>
        <item x="389"/>
        <item x="1528"/>
        <item x="1492"/>
        <item x="702"/>
        <item x="620"/>
        <item x="1160"/>
        <item x="328"/>
        <item x="424"/>
        <item x="1445"/>
        <item x="1018"/>
        <item x="1063"/>
        <item x="1396"/>
        <item x="1565"/>
        <item x="689"/>
        <item x="638"/>
        <item x="1384"/>
        <item x="1401"/>
        <item x="1182"/>
        <item x="447"/>
        <item x="478"/>
        <item x="1189"/>
        <item x="1137"/>
        <item x="931"/>
        <item x="808"/>
        <item x="1142"/>
        <item x="837"/>
        <item x="836"/>
        <item x="541"/>
        <item x="1227"/>
        <item x="934"/>
        <item x="1608"/>
        <item x="1602"/>
        <item x="1600"/>
        <item x="1605"/>
        <item x="1617"/>
        <item x="599"/>
        <item x="529"/>
        <item x="536"/>
        <item x="1480"/>
        <item x="1046"/>
        <item x="1047"/>
        <item x="1562"/>
        <item x="1556"/>
        <item x="221"/>
        <item x="219"/>
        <item x="217"/>
        <item x="213"/>
        <item x="207"/>
        <item x="215"/>
        <item x="205"/>
        <item x="199"/>
        <item x="201"/>
        <item x="203"/>
        <item x="193"/>
        <item x="132"/>
        <item x="1550"/>
        <item x="1548"/>
        <item x="1546"/>
        <item x="361"/>
        <item x="330"/>
        <item x="439"/>
        <item x="184"/>
        <item x="385"/>
        <item x="1572"/>
        <item x="442"/>
        <item x="1575"/>
        <item x="1442"/>
        <item x="1197"/>
        <item x="1552"/>
        <item x="1534"/>
        <item x="1317"/>
        <item x="1372"/>
        <item x="1487"/>
        <item x="1353"/>
        <item x="1342"/>
        <item x="1340"/>
        <item x="1326"/>
        <item x="1337"/>
        <item x="1325"/>
        <item x="1356"/>
        <item x="1344"/>
        <item x="1368"/>
        <item x="1034"/>
        <item x="964"/>
        <item x="975"/>
        <item x="259"/>
        <item x="131"/>
        <item x="275"/>
        <item x="891"/>
        <item x="886"/>
        <item x="681"/>
        <item x="0"/>
        <item x="1580"/>
        <item x="332"/>
        <item x="1"/>
        <item x="7"/>
        <item x="811"/>
        <item x="812"/>
        <item x="815"/>
        <item x="621"/>
        <item x="1237"/>
        <item x="243"/>
        <item x="1029"/>
        <item x="1243"/>
        <item x="1086"/>
        <item x="1091"/>
        <item x="364"/>
        <item x="528"/>
        <item x="159"/>
        <item x="188"/>
        <item x="490"/>
        <item x="337"/>
        <item x="515"/>
        <item x="173"/>
        <item x="733"/>
        <item x="1293"/>
        <item x="1112"/>
        <item x="573"/>
        <item x="249"/>
        <item x="826"/>
        <item x="832"/>
        <item x="824"/>
        <item x="1588"/>
        <item x="947"/>
        <item x="949"/>
        <item x="1456"/>
        <item x="1619"/>
        <item x="1523"/>
        <item x="1380"/>
        <item x="1403"/>
        <item x="267"/>
        <item x="278"/>
        <item x="895"/>
        <item x="889"/>
        <item x="651"/>
        <item x="863"/>
        <item x="865"/>
        <item x="848"/>
        <item x="238"/>
        <item x="870"/>
        <item x="876"/>
        <item x="869"/>
        <item x="772"/>
        <item x="650"/>
        <item x="1290"/>
        <item x="1285"/>
        <item x="1287"/>
        <item x="1263"/>
        <item x="1272"/>
        <item x="284"/>
        <item x="1450"/>
        <item x="1174"/>
        <item x="1436"/>
        <item x="1582"/>
        <item x="1069"/>
        <item x="925"/>
        <item x="924"/>
        <item x="63"/>
        <item x="920"/>
        <item x="917"/>
        <item x="952"/>
        <item x="809"/>
        <item x="810"/>
        <item x="1261"/>
        <item x="1531"/>
        <item x="1150"/>
        <item x="378"/>
        <item x="1032"/>
        <item x="1187"/>
        <item x="1165"/>
        <item x="375"/>
        <item x="1148"/>
        <item x="1058"/>
        <item x="937"/>
        <item x="1040"/>
        <item x="1377"/>
        <item x="900"/>
        <item x="905"/>
        <item x="907"/>
        <item x="910"/>
        <item x="538"/>
        <item x="1578"/>
        <item x="297"/>
        <item x="395"/>
        <item x="1507"/>
        <item x="1430"/>
        <item x="1409"/>
        <item x="1432"/>
        <item x="1434"/>
        <item x="1433"/>
        <item x="1431"/>
        <item x="1435"/>
        <item x="1522"/>
        <item x="1520"/>
        <item x="1519"/>
        <item x="575"/>
        <item x="897"/>
        <item x="921"/>
        <item x="380"/>
        <item x="377"/>
        <item x="1149"/>
        <item x="1504"/>
        <item x="1393"/>
        <item x="1390"/>
        <item x="1391"/>
        <item x="1399"/>
        <item x="1394"/>
        <item x="1395"/>
        <item x="1398"/>
        <item x="1397"/>
        <item x="1392"/>
        <item x="1389"/>
        <item x="987"/>
        <item x="1005"/>
        <item x="838"/>
        <item x="393"/>
        <item x="1136"/>
        <item x="1115"/>
        <item x="670"/>
        <item x="669"/>
        <item x="1206"/>
        <item x="1332"/>
        <item x="1203"/>
        <item x="1114"/>
        <item x="1116"/>
        <item x="884"/>
        <item x="603"/>
        <item x="852"/>
        <item x="1152"/>
        <item x="873"/>
        <item x="844"/>
        <item x="894"/>
        <item x="1505"/>
        <item x="887"/>
        <item x="890"/>
        <item x="759"/>
        <item x="1226"/>
        <item x="675"/>
        <item x="1154"/>
        <item x="728"/>
        <item x="1314"/>
        <item x="1313"/>
        <item x="1315"/>
        <item x="1311"/>
        <item x="1312"/>
        <item x="260"/>
        <item x="1486"/>
        <item x="1485"/>
        <item x="777"/>
        <item x="1195"/>
        <item x="390"/>
        <item x="286"/>
        <item x="1374"/>
        <item x="1369"/>
        <item x="287"/>
        <item x="266"/>
        <item x="277"/>
        <item x="268"/>
        <item x="994"/>
        <item x="992"/>
        <item x="1529"/>
        <item x="1323"/>
        <item x="803"/>
        <item x="988"/>
        <item x="1006"/>
        <item x="31"/>
        <item x="29"/>
        <item x="624"/>
        <item x="622"/>
        <item x="626"/>
        <item x="623"/>
        <item x="625"/>
        <item x="629"/>
        <item x="1527"/>
        <item x="1525"/>
        <item x="1524"/>
        <item x="1037"/>
        <item x="1036"/>
        <item x="1496"/>
        <item x="336"/>
        <item x="1493"/>
        <item x="1495"/>
        <item x="1506"/>
        <item x="1026"/>
        <item x="1067"/>
        <item x="1173"/>
        <item x="1162"/>
        <item x="1164"/>
        <item x="1163"/>
        <item x="1161"/>
        <item x="960"/>
        <item x="264"/>
        <item x="959"/>
        <item x="958"/>
        <item x="1425"/>
        <item x="1428"/>
        <item x="995"/>
        <item x="1421"/>
        <item x="996"/>
        <item x="1422"/>
        <item x="280"/>
        <item x="655"/>
        <item x="893"/>
        <item x="981"/>
        <item x="425"/>
        <item x="426"/>
        <item x="427"/>
        <item x="432"/>
        <item x="434"/>
        <item x="435"/>
        <item x="429"/>
        <item x="430"/>
        <item x="431"/>
        <item x="433"/>
        <item x="329"/>
        <item x="989"/>
        <item x="762"/>
        <item x="761"/>
        <item x="1530"/>
        <item x="764"/>
        <item x="763"/>
        <item x="771"/>
        <item x="963"/>
        <item x="766"/>
        <item x="767"/>
        <item x="769"/>
        <item x="765"/>
        <item x="768"/>
        <item x="770"/>
        <item x="611"/>
        <item x="1447"/>
        <item x="1449"/>
        <item x="1382"/>
        <item x="1448"/>
        <item x="374"/>
        <item x="1019"/>
        <item x="1020"/>
        <item x="1022"/>
        <item x="1021"/>
        <item x="366"/>
        <item x="365"/>
        <item x="367"/>
        <item x="576"/>
        <item x="578"/>
        <item x="577"/>
        <item x="1121"/>
        <item x="637"/>
        <item x="805"/>
        <item x="644"/>
        <item x="639"/>
        <item x="642"/>
        <item x="641"/>
        <item x="643"/>
        <item x="640"/>
        <item x="787"/>
        <item x="1597"/>
        <item x="607"/>
        <item x="983"/>
        <item x="990"/>
        <item x="369"/>
        <item x="368"/>
        <item x="372"/>
        <item x="1569"/>
        <item x="1568"/>
        <item x="1567"/>
        <item x="1570"/>
        <item x="982"/>
        <item x="1007"/>
        <item x="695"/>
        <item x="690"/>
        <item x="696"/>
        <item x="1386"/>
        <item x="1388"/>
        <item x="1387"/>
        <item x="1402"/>
        <item x="1151"/>
        <item x="496"/>
        <item x="510"/>
        <item x="509"/>
        <item x="437"/>
        <item x="95"/>
        <item x="122"/>
        <item x="480"/>
        <item x="448"/>
        <item x="449"/>
        <item x="479"/>
        <item x="473"/>
        <item x="1188"/>
        <item x="1184"/>
        <item x="1186"/>
        <item x="1185"/>
        <item x="1183"/>
        <item x="1381"/>
        <item x="465"/>
        <item x="468"/>
        <item x="467"/>
        <item x="483"/>
        <item x="469"/>
        <item x="464"/>
        <item x="450"/>
        <item x="461"/>
        <item x="462"/>
        <item x="463"/>
        <item x="489"/>
        <item x="485"/>
        <item x="456"/>
        <item x="486"/>
        <item x="487"/>
        <item x="455"/>
        <item x="460"/>
        <item x="459"/>
        <item x="484"/>
        <item x="458"/>
        <item x="452"/>
        <item x="482"/>
        <item x="454"/>
        <item x="488"/>
        <item x="457"/>
        <item x="451"/>
        <item x="453"/>
        <item x="955"/>
        <item x="1365"/>
        <item x="1366"/>
        <item x="1502"/>
        <item x="1199"/>
        <item x="1526"/>
        <item x="1222"/>
        <item x="1497"/>
        <item x="1191"/>
        <item x="1193"/>
        <item x="1192"/>
        <item x="1190"/>
        <item x="1414"/>
        <item x="856"/>
        <item x="834"/>
        <item x="930"/>
        <item x="943"/>
        <item x="831"/>
        <item x="819"/>
        <item x="868"/>
        <item x="840"/>
        <item x="914"/>
        <item x="913"/>
        <item x="912"/>
        <item x="613"/>
        <item x="1080"/>
        <item x="296"/>
        <item x="609"/>
        <item x="77"/>
        <item x="616"/>
        <item x="1212"/>
        <item x="1271"/>
        <item x="610"/>
        <item x="265"/>
        <item x="476"/>
        <item x="477"/>
        <item x="1350"/>
        <item x="957"/>
        <item x="147"/>
        <item x="1097"/>
        <item x="54"/>
        <item x="62"/>
        <item x="53"/>
        <item x="758"/>
        <item x="1361"/>
        <item x="1302"/>
        <item x="1301"/>
        <item x="662"/>
        <item x="229"/>
        <item x="232"/>
        <item x="292"/>
        <item x="235"/>
        <item x="757"/>
        <item x="60"/>
        <item x="51"/>
        <item x="636"/>
        <item x="1139"/>
        <item x="1141"/>
        <item x="1140"/>
        <item x="1138"/>
        <item x="933"/>
        <item x="932"/>
        <item x="1269"/>
        <item x="896"/>
        <item x="854"/>
        <item x="883"/>
        <item x="859"/>
        <item x="1109"/>
        <item x="1108"/>
        <item x="1159"/>
        <item x="1498"/>
        <item x="1144"/>
        <item x="1146"/>
        <item x="1145"/>
        <item x="1143"/>
        <item x="1419"/>
        <item x="539"/>
        <item x="991"/>
        <item x="973"/>
        <item x="738"/>
        <item x="773"/>
        <item x="718"/>
        <item x="543"/>
        <item x="712"/>
        <item x="1474"/>
        <item x="1214"/>
        <item x="1585"/>
        <item x="1229"/>
        <item x="1501"/>
        <item x="1231"/>
        <item x="1230"/>
        <item x="1410"/>
        <item x="1415"/>
        <item x="400"/>
        <item x="403"/>
        <item x="401"/>
        <item x="404"/>
        <item x="665"/>
        <item x="666"/>
        <item x="526"/>
        <item x="1196"/>
        <item x="1105"/>
        <item x="1106"/>
        <item x="474"/>
        <item x="1068"/>
        <item x="302"/>
        <item x="304"/>
        <item x="303"/>
        <item x="152"/>
        <item x="828"/>
        <item x="691"/>
        <item x="1168"/>
        <item x="1119"/>
        <item x="357"/>
        <item x="534"/>
        <item x="580"/>
        <item x="1279"/>
        <item x="181"/>
        <item x="381"/>
        <item x="1096"/>
        <item x="445"/>
        <item x="1555"/>
        <item x="96"/>
        <item x="851"/>
        <item x="902"/>
        <item x="939"/>
        <item x="612"/>
        <item x="255"/>
        <item x="257"/>
        <item x="1135"/>
        <item x="755"/>
        <item x="617"/>
        <item x="860"/>
        <item x="822"/>
        <item x="915"/>
        <item x="1411"/>
        <item x="1416"/>
        <item x="1260"/>
        <item x="1614"/>
        <item x="1615"/>
        <item x="1616"/>
        <item x="1612"/>
        <item x="1609"/>
        <item x="1610"/>
        <item x="1613"/>
        <item x="1611"/>
        <item x="1604"/>
        <item x="1603"/>
        <item x="1601"/>
        <item x="272"/>
        <item x="600"/>
        <item x="601"/>
        <item x="602"/>
        <item x="416"/>
        <item x="535"/>
        <item x="417"/>
        <item x="537"/>
        <item x="531"/>
        <item x="530"/>
        <item x="174"/>
        <item x="176"/>
        <item x="175"/>
        <item x="1241"/>
        <item x="1481"/>
        <item x="1482"/>
        <item x="1483"/>
        <item x="1099"/>
        <item x="160"/>
        <item x="163"/>
        <item x="165"/>
        <item x="168"/>
        <item x="170"/>
        <item x="164"/>
        <item x="167"/>
        <item x="169"/>
        <item x="162"/>
        <item x="161"/>
        <item x="1412"/>
        <item x="1417"/>
        <item x="1424"/>
        <item x="1078"/>
        <item x="1429"/>
        <item x="1009"/>
        <item x="998"/>
        <item x="779"/>
        <item x="1076"/>
        <item x="1077"/>
        <item x="1075"/>
        <item x="1079"/>
        <item x="967"/>
        <item x="970"/>
        <item x="1003"/>
        <item x="1599"/>
        <item x="684"/>
        <item x="402"/>
        <item x="634"/>
        <item x="663"/>
        <item x="68"/>
        <item x="1300"/>
        <item x="110"/>
        <item x="67"/>
        <item x="55"/>
        <item x="52"/>
        <item x="187"/>
        <item x="1563"/>
        <item x="1558"/>
        <item x="1560"/>
        <item x="1559"/>
        <item x="1413"/>
        <item x="1418"/>
        <item x="189"/>
        <item x="212"/>
        <item x="208"/>
        <item x="210"/>
        <item x="222"/>
        <item x="220"/>
        <item x="218"/>
        <item x="214"/>
        <item x="209"/>
        <item x="216"/>
        <item x="211"/>
        <item x="191"/>
        <item x="198"/>
        <item x="206"/>
        <item x="200"/>
        <item x="202"/>
        <item x="204"/>
        <item x="195"/>
        <item x="196"/>
        <item x="135"/>
        <item x="133"/>
        <item x="134"/>
        <item x="704"/>
        <item x="1551"/>
        <item x="1549"/>
        <item x="1547"/>
        <item x="362"/>
        <item x="440"/>
        <item x="185"/>
        <item x="386"/>
        <item x="1573"/>
        <item x="443"/>
        <item x="1576"/>
        <item x="1443"/>
        <item x="1250"/>
        <item x="1198"/>
        <item x="760"/>
        <item x="1540"/>
        <item x="1539"/>
        <item x="1536"/>
        <item x="1538"/>
        <item x="1537"/>
        <item x="1541"/>
        <item x="1553"/>
        <item x="1499"/>
        <item x="1221"/>
        <item x="1364"/>
        <item x="1319"/>
        <item x="1321"/>
        <item x="1320"/>
        <item x="1318"/>
        <item x="1268"/>
        <item x="1267"/>
        <item x="1373"/>
        <item x="109"/>
        <item x="1491"/>
        <item x="1489"/>
        <item x="1488"/>
        <item x="1354"/>
        <item x="1359"/>
        <item x="1360"/>
        <item x="1343"/>
        <item x="1341"/>
        <item x="1333"/>
        <item x="1338"/>
        <item x="1327"/>
        <item x="1329"/>
        <item x="1335"/>
        <item x="1331"/>
        <item x="1357"/>
        <item x="1346"/>
        <item x="604"/>
        <item x="75"/>
        <item x="1259"/>
        <item x="1473"/>
        <item x="1001"/>
        <item x="1000"/>
        <item x="1011"/>
        <item x="1013"/>
        <item x="1015"/>
        <item x="1014"/>
        <item x="1012"/>
        <item x="1010"/>
        <item x="1035"/>
        <item x="984"/>
        <item x="965"/>
        <item x="999"/>
        <item x="1002"/>
        <item x="16"/>
        <item x="1606"/>
        <item x="27"/>
        <item x="1049"/>
        <item x="713"/>
        <item x="727"/>
        <item x="138"/>
        <item x="43"/>
        <item x="155"/>
        <item x="154"/>
        <item x="276"/>
        <item x="140"/>
        <item x="4"/>
        <item x="3"/>
        <item x="34"/>
        <item x="32"/>
        <item x="1093"/>
        <item x="715"/>
        <item x="726"/>
        <item x="687"/>
        <item x="740"/>
        <item x="986"/>
        <item x="714"/>
        <item x="605"/>
        <item x="606"/>
        <item x="1258"/>
        <item x="1472"/>
        <item x="1471"/>
        <item x="743"/>
        <item x="793"/>
        <item x="745"/>
        <item x="245"/>
        <item x="1041"/>
        <item x="928"/>
        <item x="61"/>
        <item x="6"/>
        <item x="5"/>
        <item x="45"/>
        <item x="49"/>
        <item x="46"/>
        <item x="50"/>
        <item x="1225"/>
        <item x="180"/>
        <item x="511"/>
        <item x="444"/>
        <item x="438"/>
        <item x="1039"/>
        <item x="1167"/>
        <item x="1169"/>
        <item x="1581"/>
        <item x="333"/>
        <item x="30"/>
        <item x="697"/>
        <item x="797"/>
        <item x="798"/>
        <item x="795"/>
        <item x="796"/>
        <item x="801"/>
        <item x="783"/>
        <item x="26"/>
        <item x="39"/>
        <item x="737"/>
        <item x="752"/>
        <item x="788"/>
        <item x="41"/>
        <item x="1060"/>
        <item x="940"/>
        <item x="847"/>
        <item x="813"/>
        <item x="816"/>
        <item x="839"/>
        <item x="654"/>
        <item x="652"/>
        <item x="653"/>
        <item x="491"/>
        <item x="494"/>
        <item x="493"/>
        <item x="495"/>
        <item x="497"/>
        <item x="503"/>
        <item x="498"/>
        <item x="499"/>
        <item x="504"/>
        <item x="500"/>
        <item x="501"/>
        <item x="502"/>
        <item x="492"/>
        <item x="1238"/>
        <item x="1240"/>
        <item x="1239"/>
        <item x="583"/>
        <item x="412"/>
        <item x="413"/>
        <item x="414"/>
        <item x="244"/>
        <item x="392"/>
        <item x="80"/>
        <item x="1400"/>
        <item x="825"/>
        <item x="470"/>
        <item x="471"/>
        <item x="420"/>
        <item x="1362"/>
        <item x="281"/>
        <item x="261"/>
        <item x="263"/>
        <item x="1375"/>
        <item x="262"/>
        <item x="223"/>
        <item x="892"/>
        <item x="240"/>
        <item x="1031"/>
        <item x="1030"/>
        <item x="186"/>
        <item x="1057"/>
        <item x="172"/>
        <item x="674"/>
        <item x="1304"/>
        <item x="117"/>
        <item x="1591"/>
        <item x="231"/>
        <item x="1379"/>
        <item x="56"/>
        <item x="619"/>
        <item x="234"/>
        <item x="1123"/>
        <item x="1218"/>
        <item x="331"/>
        <item x="942"/>
        <item x="814"/>
        <item x="885"/>
        <item x="861"/>
        <item x="888"/>
        <item x="254"/>
        <item x="225"/>
        <item x="256"/>
        <item x="1245"/>
        <item x="1247"/>
        <item x="1246"/>
        <item x="1252"/>
        <item x="1244"/>
        <item x="1248"/>
        <item x="1358"/>
        <item x="97"/>
        <item x="1544"/>
        <item x="1033"/>
        <item x="1090"/>
        <item x="778"/>
        <item x="1089"/>
        <item x="1088"/>
        <item x="1098"/>
        <item x="1087"/>
        <item x="1111"/>
        <item x="969"/>
        <item x="968"/>
        <item x="37"/>
        <item x="38"/>
        <item x="1598"/>
        <item x="683"/>
        <item x="751"/>
        <item x="823"/>
        <item x="953"/>
        <item x="956"/>
        <item x="646"/>
        <item x="647"/>
        <item x="648"/>
        <item x="649"/>
        <item x="1298"/>
        <item x="1294"/>
        <item x="1297"/>
        <item x="1299"/>
        <item x="158"/>
        <item x="1157"/>
        <item m="1" x="1621"/>
        <item x="1172"/>
        <item x="283"/>
        <item x="271"/>
        <item x="274"/>
        <item x="1521"/>
        <item x="1494"/>
        <item x="1113"/>
        <item x="428"/>
        <item x="1446"/>
        <item x="373"/>
        <item x="1566"/>
        <item x="1385"/>
        <item x="472"/>
        <item x="481"/>
        <item x="849"/>
        <item x="145"/>
        <item x="177"/>
        <item x="166"/>
        <item x="1557"/>
        <item x="192"/>
        <item x="136"/>
        <item x="1535"/>
        <item x="1490"/>
        <item x="1470"/>
        <item x="113"/>
        <item x="353"/>
        <item x="1292"/>
        <item x="1451"/>
        <item x="1437"/>
        <item x="524"/>
        <item x="98"/>
        <item x="918"/>
        <item x="590"/>
        <item x="574"/>
        <item x="734"/>
        <item x="736"/>
        <item x="735"/>
        <item x="250"/>
        <item x="388"/>
        <item x="171"/>
        <item x="664"/>
        <item x="659"/>
        <item x="660"/>
        <item x="116"/>
        <item x="1355"/>
        <item x="78"/>
        <item x="149"/>
        <item x="1352"/>
        <item x="295"/>
        <item x="1336"/>
        <item x="1371"/>
        <item x="1072"/>
        <item x="112"/>
        <item x="1126"/>
        <item x="1024"/>
        <item x="1128"/>
        <item x="1082"/>
        <item x="1564"/>
        <item x="143"/>
        <item x="141"/>
        <item x="527"/>
        <item x="130"/>
        <item x="290"/>
        <item x="142"/>
        <item x="384"/>
        <item x="226"/>
        <item x="1016"/>
        <item x="227"/>
        <item x="1017"/>
        <item x="59"/>
        <item x="58"/>
        <item x="383"/>
        <item x="1479"/>
        <item x="79"/>
        <item m="1" x="1622"/>
        <item x="1074"/>
        <item x="1134"/>
        <item x="1122"/>
        <item x="898"/>
        <item x="916"/>
        <item x="827"/>
        <item x="833"/>
        <item x="830"/>
        <item m="1" x="1623"/>
        <item x="355"/>
        <item x="324"/>
        <item x="108"/>
        <item x="1477"/>
        <item x="183"/>
        <item x="1596"/>
        <item x="1213"/>
        <item x="533"/>
        <item x="1056"/>
        <item x="1328"/>
        <item x="1334"/>
        <item x="1330"/>
        <item x="1204"/>
        <item x="1208"/>
        <item x="1201"/>
        <item x="1275"/>
        <item x="1281"/>
        <item x="1273"/>
        <item x="977"/>
        <item x="978"/>
        <item x="979"/>
        <item x="980"/>
        <item x="976"/>
        <item x="1405"/>
        <item x="1406"/>
        <item x="1407"/>
        <item x="1408"/>
        <item x="1404"/>
        <item x="293"/>
        <item x="294"/>
        <item x="291"/>
        <item x="1589"/>
        <item x="1211"/>
        <item x="466"/>
        <item x="1073"/>
        <item x="512"/>
        <item x="1533"/>
        <item x="1503"/>
        <item x="1457"/>
        <item x="1463"/>
        <item x="1460"/>
        <item x="1458"/>
        <item x="1466"/>
        <item x="1465"/>
        <item x="1467"/>
        <item x="1464"/>
        <item x="1459"/>
        <item x="1469"/>
        <item x="1468"/>
        <item x="1461"/>
        <item x="1462"/>
        <item x="505"/>
        <item x="507"/>
        <item x="506"/>
        <item x="628"/>
        <item x="627"/>
        <item x="717"/>
        <item x="961"/>
        <item x="1147"/>
        <item x="1545"/>
        <item x="744"/>
        <item x="794"/>
        <item x="792"/>
        <item x="789"/>
        <item x="746"/>
        <item x="246"/>
        <item x="1042"/>
        <item x="790"/>
        <item x="791"/>
        <item x="475"/>
        <item x="11"/>
        <item x="10"/>
        <item x="9"/>
        <item x="8"/>
        <item x="15"/>
        <item x="14"/>
        <item x="13"/>
        <item x="12"/>
        <item x="22"/>
        <item x="1618"/>
        <item x="28"/>
        <item x="1048"/>
        <item x="710"/>
        <item x="703"/>
        <item x="47"/>
        <item x="279"/>
        <item x="754"/>
        <item x="35"/>
        <item x="33"/>
        <item x="1092"/>
        <item x="707"/>
        <item x="753"/>
        <item x="724"/>
        <item x="657"/>
        <item x="742"/>
        <item x="711"/>
        <item x="514"/>
        <item x="962"/>
        <item x="922"/>
        <item x="273"/>
        <item x="756"/>
        <item x="671"/>
        <item x="677"/>
        <item x="676"/>
        <item x="1590"/>
        <item x="699"/>
        <item x="948"/>
        <item x="935"/>
        <item x="673"/>
        <item x="950"/>
        <item x="938"/>
        <item x="820"/>
        <item x="680"/>
        <item x="359"/>
        <item x="845"/>
        <item x="846"/>
        <item x="864"/>
        <item x="866"/>
        <item x="850"/>
        <item x="694"/>
        <item x="843"/>
        <item x="842"/>
        <item x="1179"/>
        <item x="1584"/>
        <item x="1277"/>
        <item x="1210"/>
        <item x="1205"/>
        <item x="1209"/>
        <item x="1207"/>
        <item x="1202"/>
        <item x="242"/>
        <item x="241"/>
        <item x="334"/>
        <item x="335"/>
        <item x="1200"/>
        <item x="104"/>
        <item x="105"/>
        <item x="347"/>
        <item x="343"/>
        <item x="349"/>
        <item x="350"/>
        <item x="344"/>
        <item x="346"/>
        <item x="341"/>
        <item x="348"/>
        <item x="345"/>
        <item x="351"/>
        <item x="352"/>
        <item x="360"/>
        <item x="338"/>
        <item x="340"/>
        <item x="339"/>
        <item x="358"/>
        <item x="106"/>
        <item x="118"/>
        <item x="114"/>
        <item x="115"/>
        <item x="119"/>
        <item x="120"/>
        <item x="121"/>
        <item x="127"/>
        <item x="125"/>
        <item x="126"/>
        <item x="872"/>
        <item x="871"/>
        <item x="880"/>
        <item x="879"/>
        <item x="878"/>
        <item x="877"/>
        <item x="874"/>
        <item x="881"/>
        <item x="857"/>
        <item x="658"/>
        <item x="667"/>
        <item x="829"/>
        <item x="656"/>
        <item x="721"/>
        <item x="732"/>
        <item x="722"/>
        <item x="723"/>
        <item x="725"/>
        <item x="705"/>
        <item x="774"/>
        <item x="776"/>
        <item x="785"/>
        <item x="775"/>
        <item x="799"/>
        <item x="682"/>
        <item x="731"/>
        <item x="719"/>
        <item x="786"/>
        <item x="800"/>
        <item x="1286"/>
        <item x="1264"/>
        <item x="1291"/>
        <item x="1288"/>
        <item x="1266"/>
        <item x="1265"/>
        <item x="1276"/>
        <item x="1282"/>
        <item x="1274"/>
        <item x="1478"/>
        <item x="1476"/>
        <item x="1219"/>
        <item x="1289"/>
        <item x="94"/>
        <item x="441"/>
        <item x="107"/>
        <item x="387"/>
        <item x="1574"/>
        <item x="818"/>
        <item x="1215"/>
        <item x="1133"/>
        <item x="1220"/>
        <item x="252"/>
        <item x="572"/>
        <item x="436"/>
        <item x="1306"/>
        <item x="327"/>
        <item x="1339"/>
        <item x="1284"/>
        <item x="326"/>
        <item x="236"/>
        <item x="545"/>
        <item x="540"/>
        <item x="356"/>
        <item x="862"/>
        <item x="909"/>
        <item x="904"/>
        <item x="247"/>
        <item x="285"/>
        <item x="685"/>
        <item x="686"/>
        <item x="867"/>
        <item x="1131"/>
        <item x="1452"/>
        <item x="1454"/>
        <item x="1453"/>
        <item x="1455"/>
        <item x="1176"/>
        <item x="1178"/>
        <item x="1177"/>
        <item x="1175"/>
        <item x="747"/>
        <item x="750"/>
        <item x="749"/>
        <item x="748"/>
        <item x="1025"/>
        <item x="692"/>
        <item x="1438"/>
        <item x="1440"/>
        <item x="1439"/>
        <item x="1441"/>
        <item x="582"/>
        <item x="1583"/>
        <item x="1345"/>
        <item x="1100"/>
        <item x="1101"/>
        <item x="1102"/>
        <item x="1347"/>
        <item x="1586"/>
        <item x="1118"/>
        <item x="1370"/>
        <item x="230"/>
        <item x="1083"/>
        <item x="1084"/>
        <item x="1064"/>
        <item x="1065"/>
        <item x="516"/>
        <item x="518"/>
        <item x="517"/>
        <item x="525"/>
        <item x="1045"/>
        <item x="519"/>
        <item x="520"/>
        <item x="521"/>
        <item x="523"/>
        <item x="522"/>
        <item x="1216"/>
        <item x="926"/>
        <item x="927"/>
        <item x="1081"/>
        <item x="1307"/>
        <item x="688"/>
        <item x="1516"/>
        <item x="1517"/>
        <item x="1594"/>
        <item x="668"/>
        <item x="1349"/>
        <item x="672"/>
        <item x="1085"/>
        <item x="1027"/>
        <item x="700"/>
        <item x="1217"/>
        <item x="1125"/>
        <item x="513"/>
        <item x="233"/>
        <item x="1055"/>
        <item x="1054"/>
        <item x="1117"/>
        <item x="586"/>
        <item x="1181"/>
        <item x="2"/>
        <item x="64"/>
        <item x="679"/>
        <item x="678"/>
        <item x="76"/>
        <item x="148"/>
        <item x="1158"/>
        <item x="615"/>
        <item x="128"/>
        <item x="730"/>
        <item x="1124"/>
        <item x="1283"/>
        <item x="1251"/>
        <item x="1127"/>
        <item x="1170"/>
        <item x="146"/>
        <item x="1376"/>
        <item x="1132"/>
        <item x="1155"/>
        <item x="919"/>
        <item x="954"/>
        <item x="701"/>
        <item x="631"/>
        <item x="633"/>
        <item x="585"/>
        <item x="584"/>
        <item x="821"/>
        <item x="65"/>
        <item x="190"/>
        <item x="139"/>
        <item x="18"/>
        <item x="17"/>
        <item x="21"/>
        <item x="20"/>
        <item x="19"/>
        <item x="25"/>
        <item x="24"/>
        <item x="23"/>
        <item x="608"/>
        <item x="1592"/>
        <item x="1129"/>
        <item x="1023"/>
        <item x="1305"/>
        <item x="1351"/>
        <item x="228"/>
        <item x="1532"/>
        <item x="123"/>
        <item x="1324"/>
        <item x="1223"/>
        <item x="1038"/>
        <item x="1166"/>
        <item x="1554"/>
        <item x="354"/>
        <item x="446"/>
        <item x="1278"/>
        <item x="1444"/>
        <item x="382"/>
        <item x="1249"/>
        <item x="1587"/>
        <item x="325"/>
        <item x="376"/>
        <item x="379"/>
        <item x="1180"/>
        <item x="1262"/>
        <item x="1156"/>
        <item x="1094"/>
        <item x="1242"/>
        <item x="1561"/>
        <item x="1571"/>
        <item x="178"/>
        <item x="1270"/>
        <item x="182"/>
        <item x="1066"/>
        <item x="1070"/>
        <item x="1194"/>
        <item x="137"/>
        <item x="320"/>
        <item x="1059"/>
        <item x="1061"/>
        <item x="1104"/>
        <item x="1044"/>
        <item x="1110"/>
        <item x="1107"/>
        <item x="966"/>
        <item x="1043"/>
        <item x="1071"/>
        <item x="579"/>
        <item x="363"/>
        <item x="1224"/>
        <item x="739"/>
        <item x="923"/>
        <item x="239"/>
        <item x="1378"/>
        <item x="901"/>
        <item x="906"/>
        <item x="908"/>
        <item x="911"/>
        <item x="693"/>
        <item x="1475"/>
        <item x="560"/>
        <item x="547"/>
        <item x="548"/>
        <item x="544"/>
        <item x="559"/>
        <item x="558"/>
        <item x="557"/>
        <item x="549"/>
        <item x="550"/>
        <item x="542"/>
        <item x="546"/>
        <item x="555"/>
        <item x="556"/>
        <item x="551"/>
        <item x="552"/>
        <item x="567"/>
        <item x="553"/>
        <item x="564"/>
        <item x="568"/>
        <item x="561"/>
        <item x="565"/>
        <item x="569"/>
        <item x="562"/>
        <item x="566"/>
        <item x="570"/>
        <item x="563"/>
        <item x="554"/>
        <item x="571"/>
        <item x="418"/>
        <item x="415"/>
        <item x="408"/>
        <item x="410"/>
        <item x="396"/>
        <item x="407"/>
        <item x="406"/>
        <item x="422"/>
        <item x="421"/>
        <item x="399"/>
        <item x="903"/>
        <item x="1579"/>
        <item x="299"/>
        <item x="298"/>
        <item x="698"/>
        <item x="782"/>
        <item x="409"/>
        <item x="405"/>
        <item x="36"/>
        <item x="40"/>
        <item x="645"/>
        <item x="784"/>
        <item x="42"/>
        <item x="706"/>
        <item x="708"/>
        <item x="709"/>
        <item x="716"/>
        <item x="411"/>
        <item x="423"/>
        <item x="288"/>
        <item x="289"/>
        <item x="974"/>
        <item x="394"/>
        <item x="81"/>
        <item x="780"/>
        <item x="781"/>
        <item x="101"/>
        <item x="635"/>
        <item x="102"/>
        <item x="103"/>
        <item x="1322"/>
        <item x="1120"/>
        <item x="581"/>
        <item x="124"/>
        <item x="661"/>
        <item x="253"/>
        <item x="156"/>
        <item x="111"/>
        <item x="224"/>
        <item x="532"/>
        <item x="1593"/>
        <item x="237"/>
        <item x="248"/>
        <item x="57"/>
        <item x="1130"/>
        <item x="1348"/>
        <item x="258"/>
        <item x="618"/>
        <item x="729"/>
        <item x="1607"/>
        <item x="1303"/>
        <item x="1028"/>
        <item x="946"/>
        <item x="1153"/>
        <item x="251"/>
        <item x="1510"/>
        <item x="1512"/>
        <item x="1511"/>
        <item x="1515"/>
        <item x="1296"/>
        <item x="1508"/>
        <item x="1514"/>
        <item x="1513"/>
        <item x="1295"/>
        <item x="1509"/>
        <item x="807"/>
        <item x="144"/>
        <item x="882"/>
        <item x="941"/>
        <item x="1095"/>
        <item x="1228"/>
        <item x="150"/>
        <item x="151"/>
        <item x="802"/>
        <item t="default"/>
      </items>
    </pivotField>
    <pivotField compact="0" outline="0" showAll="0"/>
    <pivotField axis="axisPage" compact="0" outline="0" showAll="0">
      <items count="7">
        <item x="5"/>
        <item x="4"/>
        <item x="2"/>
        <item x="0"/>
        <item x="3"/>
        <item x="1"/>
        <item t="default"/>
      </items>
    </pivotField>
    <pivotField axis="axisPage" compact="0" outline="0" showAll="0">
      <items count="17">
        <item x="7"/>
        <item x="5"/>
        <item x="11"/>
        <item x="10"/>
        <item x="13"/>
        <item x="6"/>
        <item x="15"/>
        <item x="1"/>
        <item x="12"/>
        <item x="2"/>
        <item x="0"/>
        <item x="8"/>
        <item x="4"/>
        <item x="9"/>
        <item x="14"/>
        <item x="3"/>
        <item t="default"/>
      </items>
    </pivotField>
    <pivotField axis="axisPage" compact="0" outline="0" showAll="0">
      <items count="42">
        <item x="18"/>
        <item x="16"/>
        <item x="30"/>
        <item x="29"/>
        <item x="35"/>
        <item x="26"/>
        <item x="36"/>
        <item x="25"/>
        <item x="32"/>
        <item x="14"/>
        <item x="38"/>
        <item x="31"/>
        <item x="3"/>
        <item x="1"/>
        <item x="24"/>
        <item x="33"/>
        <item x="27"/>
        <item x="4"/>
        <item x="8"/>
        <item x="34"/>
        <item x="10"/>
        <item x="40"/>
        <item x="15"/>
        <item x="5"/>
        <item x="0"/>
        <item x="7"/>
        <item x="2"/>
        <item x="39"/>
        <item x="13"/>
        <item x="19"/>
        <item x="28"/>
        <item x="23"/>
        <item x="11"/>
        <item x="22"/>
        <item x="37"/>
        <item x="20"/>
        <item x="21"/>
        <item x="9"/>
        <item x="12"/>
        <item x="17"/>
        <item x="6"/>
        <item t="default"/>
      </items>
    </pivotField>
  </pivotFields>
  <rowFields count="2">
    <field x="5"/>
    <field x="7"/>
  </rowFields>
  <rowItems count="496">
    <i>
      <x/>
      <x v="947"/>
    </i>
    <i>
      <x v="1"/>
      <x v="837"/>
    </i>
    <i>
      <x v="2"/>
      <x v="641"/>
    </i>
    <i>
      <x v="3"/>
      <x v="1313"/>
    </i>
    <i>
      <x v="4"/>
      <x v="555"/>
    </i>
    <i>
      <x v="5"/>
      <x v="955"/>
    </i>
    <i>
      <x v="6"/>
      <x v="901"/>
    </i>
    <i>
      <x v="7"/>
      <x v="663"/>
    </i>
    <i>
      <x v="8"/>
      <x v="1484"/>
    </i>
    <i>
      <x v="9"/>
      <x v="1479"/>
    </i>
    <i>
      <x v="10"/>
      <x v="1499"/>
    </i>
    <i>
      <x v="11"/>
      <x v="1482"/>
    </i>
    <i>
      <x v="12"/>
      <x v="1472"/>
    </i>
    <i>
      <x v="13"/>
      <x v="878"/>
    </i>
    <i>
      <x v="14"/>
      <x v="1392"/>
    </i>
    <i>
      <x v="15"/>
      <x v="372"/>
    </i>
    <i>
      <x v="16"/>
      <x v="658"/>
    </i>
    <i>
      <x v="17"/>
      <x v="387"/>
    </i>
    <i>
      <x v="18"/>
      <x v="388"/>
    </i>
    <i>
      <x v="19"/>
      <x v="389"/>
    </i>
    <i>
      <x v="20"/>
      <x v="1406"/>
    </i>
    <i>
      <x v="21"/>
      <x v="1511"/>
    </i>
    <i>
      <x v="22"/>
      <x v="390"/>
    </i>
    <i>
      <x v="23"/>
      <x v="391"/>
    </i>
    <i>
      <x v="24"/>
      <x v="392"/>
    </i>
    <i>
      <x v="25"/>
      <x v="1485"/>
    </i>
    <i>
      <x v="26"/>
      <x v="1486"/>
    </i>
    <i>
      <x v="27"/>
      <x v="640"/>
    </i>
    <i>
      <x v="28"/>
      <x v="1604"/>
    </i>
    <i>
      <x v="29"/>
      <x v="1451"/>
    </i>
    <i>
      <x v="30"/>
      <x v="1577"/>
    </i>
    <i>
      <x v="31"/>
      <x v="1113"/>
    </i>
    <i>
      <x v="32"/>
      <x v="1111"/>
    </i>
    <i>
      <x v="33"/>
      <x v="836"/>
    </i>
    <i>
      <x v="34"/>
      <x v="1114"/>
    </i>
    <i>
      <x v="35"/>
      <x v="12"/>
    </i>
    <i r="1">
      <x v="13"/>
    </i>
    <i>
      <x v="36"/>
      <x v="956"/>
    </i>
    <i>
      <x v="37"/>
      <x v="958"/>
    </i>
    <i>
      <x v="38"/>
      <x v="959"/>
    </i>
    <i>
      <x v="39"/>
      <x v="960"/>
    </i>
    <i>
      <x v="40"/>
      <x v="957"/>
    </i>
    <i>
      <x v="41"/>
      <x v="1434"/>
    </i>
    <i>
      <x v="42"/>
      <x v="1112"/>
    </i>
    <i>
      <x v="43"/>
      <x v="374"/>
    </i>
    <i>
      <x v="44"/>
      <x v="27"/>
    </i>
    <i>
      <x v="45"/>
      <x v="1465"/>
    </i>
    <i>
      <x v="46"/>
      <x v="671"/>
    </i>
    <i>
      <x v="47"/>
      <x v="1467"/>
    </i>
    <i>
      <x v="48"/>
      <x v="692"/>
    </i>
    <i>
      <x v="49"/>
      <x v="1464"/>
    </i>
    <i>
      <x v="50"/>
      <x v="36"/>
    </i>
    <i>
      <x v="51"/>
      <x v="1510"/>
    </i>
    <i>
      <x v="52"/>
      <x v="350"/>
    </i>
    <i>
      <x v="53"/>
      <x v="30"/>
    </i>
    <i>
      <x v="54"/>
      <x v="35"/>
    </i>
    <i>
      <x v="55"/>
      <x v="17"/>
    </i>
    <i>
      <x v="56"/>
      <x v="801"/>
    </i>
    <i>
      <x v="57"/>
      <x v="920"/>
    </i>
    <i>
      <x v="58"/>
      <x v="1394"/>
    </i>
    <i>
      <x v="59"/>
      <x v="1393"/>
    </i>
    <i>
      <x v="60"/>
      <x v="919"/>
    </i>
    <i>
      <x v="61"/>
      <x v="351"/>
    </i>
    <i>
      <x v="62"/>
      <x v="352"/>
    </i>
    <i>
      <x v="63"/>
      <x v="1214"/>
    </i>
    <i>
      <x v="64"/>
      <x v="1213"/>
    </i>
    <i>
      <x v="65"/>
      <x v="1211"/>
    </i>
    <i>
      <x v="66"/>
      <x v="1212"/>
    </i>
    <i>
      <x v="67"/>
      <x v="37"/>
    </i>
    <i>
      <x v="68"/>
      <x v="353"/>
    </i>
    <i>
      <x v="69"/>
      <x v="356"/>
    </i>
    <i>
      <x v="70"/>
      <x v="1358"/>
    </i>
    <i>
      <x v="71"/>
      <x v="355"/>
    </i>
    <i>
      <x v="72"/>
      <x v="1480"/>
    </i>
    <i>
      <x v="73"/>
      <x v="357"/>
    </i>
    <i>
      <x v="74"/>
      <x v="1481"/>
    </i>
    <i>
      <x v="75"/>
      <x v="1483"/>
    </i>
    <i>
      <x v="76"/>
      <x v="1323"/>
    </i>
    <i>
      <x v="77"/>
      <x v="1477"/>
    </i>
    <i>
      <x v="78"/>
      <x v="1476"/>
    </i>
    <i>
      <x v="79"/>
      <x v="1219"/>
    </i>
    <i>
      <x v="80"/>
      <x v="354"/>
    </i>
    <i>
      <x v="81"/>
      <x v="32"/>
    </i>
    <i>
      <x v="82"/>
      <x v="31"/>
    </i>
    <i>
      <x v="83"/>
      <x v="33"/>
    </i>
    <i>
      <x v="84"/>
      <x v="34"/>
    </i>
    <i>
      <x v="85"/>
      <x v="1469"/>
    </i>
    <i>
      <x v="86"/>
      <x v="1407"/>
    </i>
    <i>
      <x v="87"/>
      <x v="359"/>
    </i>
    <i>
      <x v="88"/>
      <x v="358"/>
    </i>
    <i>
      <x v="89"/>
      <x v="1488"/>
    </i>
    <i r="1">
      <x v="1489"/>
    </i>
    <i>
      <x v="90"/>
      <x v="1455"/>
    </i>
    <i>
      <x v="91"/>
      <x v="1456"/>
    </i>
    <i>
      <x v="92"/>
      <x v="1457"/>
    </i>
    <i>
      <x v="93"/>
      <x v="1453"/>
    </i>
    <i>
      <x v="94"/>
      <x v="1454"/>
    </i>
    <i>
      <x v="95"/>
      <x v="665"/>
    </i>
    <i>
      <x v="96"/>
      <x v="3"/>
    </i>
    <i>
      <x v="97"/>
      <x v="1397"/>
    </i>
    <i>
      <x v="98"/>
      <x v="1399"/>
    </i>
    <i>
      <x v="99"/>
      <x v="1398"/>
    </i>
    <i>
      <x v="100"/>
      <x v="1396"/>
    </i>
    <i>
      <x v="101"/>
      <x v="1395"/>
    </i>
    <i>
      <x v="102"/>
      <x v="4"/>
    </i>
    <i r="1">
      <x v="5"/>
    </i>
    <i>
      <x v="103"/>
      <x v="5"/>
    </i>
    <i>
      <x v="104"/>
      <x v="1230"/>
    </i>
    <i>
      <x v="105"/>
      <x v="1596"/>
    </i>
    <i>
      <x v="106"/>
      <x v="1601"/>
    </i>
    <i>
      <x v="107"/>
      <x v="1602"/>
    </i>
    <i>
      <x v="108"/>
      <x v="1374"/>
    </i>
    <i>
      <x v="109"/>
      <x v="1375"/>
    </i>
    <i>
      <x v="110"/>
      <x v="1376"/>
    </i>
    <i>
      <x v="111"/>
      <x v="608"/>
    </i>
    <i>
      <x v="112"/>
      <x v="609"/>
    </i>
    <i>
      <x v="113"/>
      <x v="610"/>
    </i>
    <i>
      <x v="114"/>
      <x v="1072"/>
    </i>
    <i>
      <x v="115"/>
      <x v="1073"/>
    </i>
    <i>
      <x v="116"/>
      <x v="1078"/>
    </i>
    <i>
      <x v="117"/>
      <x v="1080"/>
    </i>
    <i>
      <x v="118"/>
      <x v="1082"/>
    </i>
    <i>
      <x v="119"/>
      <x v="1091"/>
    </i>
    <i>
      <x v="120"/>
      <x v="1095"/>
    </i>
    <i>
      <x v="121"/>
      <x v="1096"/>
    </i>
    <i>
      <x v="122"/>
      <x v="1097"/>
    </i>
    <i>
      <x v="123"/>
      <x v="1069"/>
    </i>
    <i>
      <x v="124"/>
      <x v="605"/>
    </i>
    <i>
      <x v="125"/>
      <x v="606"/>
    </i>
    <i>
      <x v="126"/>
      <x v="607"/>
    </i>
    <i>
      <x v="127"/>
      <x v="1180"/>
    </i>
    <i>
      <x v="128"/>
      <x v="1223"/>
    </i>
    <i>
      <x v="129"/>
      <x v="1598"/>
    </i>
    <i>
      <x v="130"/>
      <x v="1099"/>
    </i>
    <i>
      <x v="131"/>
      <x v="583"/>
    </i>
    <i>
      <x v="132"/>
      <x v="584"/>
    </i>
    <i>
      <x v="133"/>
      <x v="586"/>
    </i>
    <i>
      <x v="134"/>
      <x v="588"/>
    </i>
    <i>
      <x v="135"/>
      <x v="592"/>
    </i>
    <i>
      <x v="136"/>
      <x v="593"/>
    </i>
    <i>
      <x v="137"/>
      <x v="581"/>
    </i>
    <i>
      <x v="138"/>
      <x v="596"/>
    </i>
    <i>
      <x v="139"/>
      <x v="589"/>
    </i>
    <i>
      <x v="140"/>
      <x v="595"/>
    </i>
    <i>
      <x v="141"/>
      <x v="597"/>
    </i>
    <i>
      <x v="142"/>
      <x v="579"/>
    </i>
    <i>
      <x v="143"/>
      <x v="972"/>
    </i>
    <i>
      <x v="144"/>
      <x v="969"/>
    </i>
    <i>
      <x v="145"/>
      <x v="1594"/>
    </i>
    <i>
      <x v="146"/>
      <x v="1587"/>
    </i>
    <i>
      <x v="147"/>
      <x v="978"/>
    </i>
    <i>
      <x v="148"/>
      <x v="977"/>
    </i>
    <i>
      <x v="149"/>
      <x v="1345"/>
    </i>
    <i>
      <x v="150"/>
      <x v="1284"/>
    </i>
    <i>
      <x v="151"/>
      <x v="980"/>
    </i>
    <i>
      <x v="152"/>
      <x v="1603"/>
    </i>
    <i>
      <x v="153"/>
      <x v="1013"/>
    </i>
    <i>
      <x v="154"/>
      <x v="683"/>
    </i>
    <i>
      <x v="155"/>
      <x v="1066"/>
    </i>
    <i>
      <x v="156"/>
      <x v="1071"/>
    </i>
    <i>
      <x v="157"/>
      <x v="1074"/>
    </i>
    <i>
      <x v="158"/>
      <x v="1075"/>
    </i>
    <i>
      <x v="159"/>
      <x v="1076"/>
    </i>
    <i>
      <x v="160"/>
      <x v="1077"/>
    </i>
    <i>
      <x v="161"/>
      <x v="1079"/>
    </i>
    <i>
      <x v="162"/>
      <x v="1081"/>
    </i>
    <i>
      <x v="163"/>
      <x v="1083"/>
    </i>
    <i>
      <x v="164"/>
      <x v="1084"/>
    </i>
    <i>
      <x v="165"/>
      <x v="1085"/>
    </i>
    <i>
      <x v="166"/>
      <x v="1086"/>
    </i>
    <i>
      <x v="167"/>
      <x v="1088"/>
    </i>
    <i>
      <x v="168"/>
      <x v="1089"/>
    </i>
    <i>
      <x v="169"/>
      <x v="1090"/>
    </i>
    <i>
      <x v="170"/>
      <x v="1092"/>
    </i>
    <i>
      <x v="171"/>
      <x v="1092"/>
    </i>
    <i>
      <x v="172"/>
      <x v="1093"/>
    </i>
    <i>
      <x v="173"/>
      <x v="1094"/>
    </i>
    <i>
      <x v="174"/>
      <x v="1328"/>
    </i>
    <i>
      <x v="175"/>
      <x v="1329"/>
    </i>
    <i>
      <x v="176"/>
      <x v="1331"/>
    </i>
    <i>
      <x v="177"/>
      <x v="1332"/>
    </i>
    <i>
      <x v="178"/>
      <x v="1336"/>
    </i>
    <i>
      <x v="179"/>
      <x v="1334"/>
    </i>
    <i>
      <x v="180"/>
      <x v="1335"/>
    </i>
    <i>
      <x v="181"/>
      <x v="689"/>
    </i>
    <i>
      <x v="182"/>
      <x v="687"/>
    </i>
    <i>
      <x v="183"/>
      <x v="688"/>
    </i>
    <i>
      <x v="184"/>
      <x v="1338"/>
    </i>
    <i>
      <x v="185"/>
      <x v="1339"/>
    </i>
    <i>
      <x v="186"/>
      <x v="1337"/>
    </i>
    <i>
      <x v="187"/>
      <x v="682"/>
    </i>
    <i>
      <x v="188"/>
      <x v="684"/>
    </i>
    <i>
      <x v="189"/>
      <x v="685"/>
    </i>
    <i>
      <x v="190"/>
      <x v="480"/>
    </i>
    <i>
      <x v="191"/>
      <x v="1283"/>
    </i>
    <i>
      <x v="192"/>
      <x v="599"/>
    </i>
    <i>
      <x v="193"/>
      <x v="604"/>
    </i>
    <i>
      <x v="194"/>
      <x v="602"/>
    </i>
    <i>
      <x v="195"/>
      <x v="603"/>
    </i>
    <i>
      <x v="196"/>
      <x v="1065"/>
    </i>
    <i>
      <x v="197"/>
      <x v="1068"/>
    </i>
    <i>
      <x v="198"/>
      <x v="1067"/>
    </i>
    <i>
      <x v="199"/>
      <x v="1087"/>
    </i>
    <i>
      <x v="200"/>
      <x v="1417"/>
    </i>
    <i>
      <x v="201"/>
      <x v="1422"/>
    </i>
    <i>
      <x v="202"/>
      <x v="1425"/>
    </i>
    <i>
      <x v="203"/>
      <x v="1418"/>
    </i>
    <i>
      <x v="204"/>
      <x v="1420"/>
    </i>
    <i>
      <x v="205"/>
      <x v="1426"/>
    </i>
    <i>
      <x v="206"/>
      <x v="1428"/>
    </i>
    <i>
      <x v="207"/>
      <x v="679"/>
    </i>
    <i>
      <x v="208"/>
      <x v="680"/>
    </i>
    <i>
      <x v="209"/>
      <x v="979"/>
    </i>
    <i>
      <x v="210"/>
      <x v="987"/>
    </i>
    <i>
      <x v="211"/>
      <x v="986"/>
    </i>
    <i>
      <x v="212"/>
      <x v="970"/>
    </i>
    <i>
      <x v="213"/>
      <x v="973"/>
    </i>
    <i>
      <x v="214"/>
      <x v="974"/>
    </i>
    <i>
      <x v="215"/>
      <x v="975"/>
    </i>
    <i>
      <x v="216"/>
      <x v="1431"/>
    </i>
    <i>
      <x v="217"/>
      <x v="1321"/>
    </i>
    <i>
      <x v="218"/>
      <x v="363"/>
    </i>
    <i>
      <x v="219"/>
      <x v="365"/>
    </i>
    <i>
      <x v="220"/>
      <x v="364"/>
    </i>
    <i>
      <x v="221"/>
      <x v="360"/>
    </i>
    <i>
      <x v="222"/>
      <x v="366"/>
    </i>
    <i>
      <x v="223"/>
      <x v="362"/>
    </i>
    <i>
      <x v="224"/>
      <x v="757"/>
    </i>
    <i>
      <x v="225"/>
      <x v="750"/>
    </i>
    <i>
      <x v="226"/>
      <x v="569"/>
    </i>
    <i>
      <x v="227"/>
      <x v="570"/>
    </i>
    <i>
      <x v="228"/>
      <x v="571"/>
    </i>
    <i>
      <x v="229"/>
      <x v="575"/>
    </i>
    <i>
      <x v="230"/>
      <x v="568"/>
    </i>
    <i>
      <x v="231"/>
      <x v="572"/>
    </i>
    <i>
      <x v="232"/>
      <x v="573"/>
    </i>
    <i>
      <x v="233"/>
      <x v="576"/>
    </i>
    <i>
      <x v="234"/>
      <x v="577"/>
    </i>
    <i>
      <x v="235"/>
      <x v="578"/>
    </i>
    <i>
      <x v="236"/>
      <x v="574"/>
    </i>
    <i>
      <x v="237"/>
      <x v="1586"/>
    </i>
    <i>
      <x v="238"/>
      <x v="1588"/>
    </i>
    <i>
      <x v="239"/>
      <x v="1584"/>
    </i>
    <i>
      <x v="240"/>
      <x v="1585"/>
    </i>
    <i>
      <x v="241"/>
      <x v="1599"/>
    </i>
    <i>
      <x v="242"/>
      <x v="1600"/>
    </i>
    <i>
      <x v="243"/>
      <x v="1327"/>
    </i>
    <i>
      <x v="244"/>
      <x v="1330"/>
    </i>
    <i>
      <x v="245"/>
      <x v="1325"/>
    </i>
    <i>
      <x v="246"/>
      <x v="686"/>
    </i>
    <i>
      <x v="247"/>
      <x v="1333"/>
    </i>
    <i>
      <x v="248"/>
      <x v="1316"/>
    </i>
    <i>
      <x v="249"/>
      <x v="1317"/>
    </i>
    <i>
      <x v="250"/>
      <x v="1318"/>
    </i>
    <i>
      <x v="251"/>
      <x v="1314"/>
    </i>
    <i>
      <x v="252"/>
      <x v="1319"/>
    </i>
    <i>
      <x v="253"/>
      <x v="1319"/>
    </i>
    <i>
      <x v="254"/>
      <x v="1320"/>
    </i>
    <i>
      <x v="255"/>
      <x v="1315"/>
    </i>
    <i>
      <x v="256"/>
      <x v="681"/>
    </i>
    <i>
      <x v="257"/>
      <x v="1104"/>
    </i>
    <i>
      <x v="258"/>
      <x v="1590"/>
    </i>
    <i>
      <x v="259"/>
      <x v="968"/>
    </i>
    <i>
      <x v="260"/>
      <x v="976"/>
    </i>
    <i>
      <x v="261"/>
      <x v="1409"/>
    </i>
    <i>
      <x v="262"/>
      <x v="1408"/>
    </i>
    <i>
      <x v="263"/>
      <x v="652"/>
    </i>
    <i>
      <x v="264"/>
      <x v="653"/>
    </i>
    <i>
      <x v="265"/>
      <x v="1340"/>
    </i>
    <i>
      <x v="266"/>
      <x v="386"/>
    </i>
    <i>
      <x v="267"/>
      <x v="1344"/>
    </i>
    <i>
      <x v="268"/>
      <x v="1215"/>
    </i>
    <i>
      <x v="269"/>
      <x v="590"/>
    </i>
    <i>
      <x v="270"/>
      <x v="594"/>
    </i>
    <i>
      <x v="271"/>
      <x v="591"/>
    </i>
    <i>
      <x v="272"/>
      <x v="598"/>
    </i>
    <i>
      <x v="273"/>
      <x v="678"/>
    </i>
    <i>
      <x v="274"/>
      <x v="1224"/>
    </i>
    <i>
      <x v="275"/>
      <x v="1423"/>
    </i>
    <i>
      <x v="276"/>
      <x v="1415"/>
    </i>
    <i>
      <x v="277"/>
      <x v="1416"/>
    </i>
    <i>
      <x v="278"/>
      <x v="751"/>
    </i>
    <i>
      <x v="279"/>
      <x v="752"/>
    </i>
    <i>
      <x v="280"/>
      <x v="753"/>
    </i>
    <i>
      <x v="281"/>
      <x v="754"/>
    </i>
    <i>
      <x v="282"/>
      <x v="755"/>
    </i>
    <i>
      <x v="283"/>
      <x v="756"/>
    </i>
    <i>
      <x v="284"/>
      <x v="749"/>
    </i>
    <i>
      <x v="285"/>
      <x v="619"/>
    </i>
    <i>
      <x v="286"/>
      <x v="620"/>
    </i>
    <i>
      <x v="287"/>
      <x v="621"/>
    </i>
    <i>
      <x v="288"/>
      <x v="38"/>
    </i>
    <i>
      <x v="289"/>
      <x v="618"/>
    </i>
    <i>
      <x v="290"/>
      <x v="1424"/>
    </i>
    <i>
      <x v="291"/>
      <x v="1419"/>
    </i>
    <i>
      <x v="292"/>
      <x v="1421"/>
    </i>
    <i>
      <x v="293"/>
      <x v="1430"/>
    </i>
    <i>
      <x v="294"/>
      <x v="1427"/>
    </i>
    <i>
      <x v="295"/>
      <x v="1429"/>
    </i>
    <i>
      <x v="296"/>
      <x v="981"/>
    </i>
    <i>
      <x v="297"/>
      <x v="982"/>
    </i>
    <i>
      <x v="298"/>
      <x v="983"/>
    </i>
    <i>
      <x v="299"/>
      <x v="984"/>
    </i>
    <i>
      <x v="300"/>
      <x v="985"/>
    </i>
    <i>
      <x v="301"/>
      <x v="1618"/>
    </i>
    <i>
      <x v="302"/>
      <x v="1070"/>
    </i>
    <i>
      <x v="303"/>
      <x v="1322"/>
    </i>
    <i>
      <x v="304"/>
      <x v="418"/>
    </i>
    <i>
      <x v="305"/>
      <x v="664"/>
    </i>
    <i>
      <x v="306"/>
      <x v="664"/>
    </i>
    <i>
      <x v="307"/>
      <x v="1285"/>
    </i>
    <i>
      <x v="308"/>
      <x v="1405"/>
    </i>
    <i>
      <x v="309"/>
      <x v="1373"/>
    </i>
    <i>
      <x v="310"/>
      <x v="971"/>
    </i>
    <i>
      <x v="311"/>
      <x v="1459"/>
    </i>
    <i>
      <x v="312"/>
      <x v="1550"/>
    </i>
    <i>
      <x v="313"/>
      <x v="1216"/>
    </i>
    <i>
      <x v="314"/>
      <x v="988"/>
    </i>
    <i>
      <x v="315"/>
      <x v="1595"/>
    </i>
    <i>
      <x v="316"/>
      <x v="1326"/>
    </i>
    <i>
      <x v="317"/>
      <x v="1617"/>
    </i>
    <i>
      <x v="318"/>
      <x v="1404"/>
    </i>
    <i>
      <x v="319"/>
      <x v="1401"/>
    </i>
    <i>
      <x v="320"/>
      <x v="1402"/>
    </i>
    <i>
      <x v="321"/>
      <x v="1400"/>
    </i>
    <i>
      <x v="322"/>
      <x v="1403"/>
    </i>
    <i>
      <x v="323"/>
      <x v="25"/>
    </i>
    <i>
      <x v="324"/>
      <x v="600"/>
    </i>
    <i>
      <x v="325"/>
      <x v="601"/>
    </i>
    <i>
      <x v="326"/>
      <x v="582"/>
    </i>
    <i>
      <x v="327"/>
      <x v="585"/>
    </i>
    <i>
      <x v="328"/>
      <x v="587"/>
    </i>
    <i>
      <x v="329"/>
      <x v="580"/>
    </i>
    <i>
      <x v="330"/>
      <x v="1589"/>
    </i>
    <i>
      <x v="331"/>
      <x v="1591"/>
    </i>
    <i>
      <x v="332"/>
      <x v="1597"/>
    </i>
    <i>
      <x v="333"/>
      <x v="1410"/>
    </i>
    <i>
      <x v="334"/>
      <x v="1592"/>
    </i>
    <i>
      <x v="335"/>
      <x v="361"/>
    </i>
    <i>
      <x v="336"/>
      <x v="1593"/>
    </i>
    <i>
      <x v="337"/>
      <x v="370"/>
    </i>
    <i>
      <x v="338"/>
      <x v="1103"/>
    </i>
    <i>
      <x v="339"/>
      <x v="1102"/>
    </i>
    <i>
      <x v="340"/>
      <x v="1623"/>
    </i>
    <i>
      <x v="341"/>
      <x v="1207"/>
    </i>
    <i>
      <x v="342"/>
      <x v="1098"/>
    </i>
    <i>
      <x v="343"/>
      <x v="1100"/>
    </i>
    <i>
      <x v="344"/>
      <x v="397"/>
    </i>
    <i>
      <x v="345"/>
      <x v="113"/>
    </i>
    <i>
      <x v="346"/>
      <x v="1470"/>
    </i>
    <i>
      <x v="347"/>
      <x v="1471"/>
    </i>
    <i>
      <x v="348"/>
      <x v="1468"/>
    </i>
    <i>
      <x v="360"/>
      <x v="29"/>
    </i>
    <i>
      <x v="361"/>
      <x v="1170"/>
    </i>
    <i>
      <x v="362"/>
      <x v="997"/>
    </i>
    <i>
      <x v="363"/>
      <x v="673"/>
    </i>
    <i>
      <x v="364"/>
      <x v="1501"/>
    </i>
    <i>
      <x v="365"/>
      <x v="1619"/>
    </i>
    <i>
      <x v="366"/>
      <x v="898"/>
    </i>
    <i r="1">
      <x v="899"/>
    </i>
    <i>
      <x v="367"/>
      <x v="896"/>
    </i>
    <i>
      <x v="368"/>
      <x v="894"/>
    </i>
    <i>
      <x v="369"/>
      <x v="897"/>
    </i>
    <i>
      <x v="370"/>
      <x v="675"/>
    </i>
    <i r="1">
      <x v="676"/>
    </i>
    <i>
      <x v="371"/>
      <x v="674"/>
    </i>
    <i>
      <x v="372"/>
      <x v="371"/>
    </i>
    <i>
      <x v="373"/>
      <x v="998"/>
    </i>
    <i>
      <x v="374"/>
      <x v="704"/>
    </i>
    <i>
      <x v="375"/>
      <x v="1615"/>
    </i>
    <i>
      <x v="376"/>
      <x v="963"/>
    </i>
    <i>
      <x v="377"/>
      <x v="963"/>
    </i>
    <i>
      <x v="378"/>
      <x v="694"/>
    </i>
    <i>
      <x v="379"/>
      <x v="900"/>
    </i>
    <i>
      <x v="380"/>
      <x v="666"/>
    </i>
    <i>
      <x v="381"/>
      <x v="1463"/>
    </i>
    <i>
      <x v="382"/>
      <x v="396"/>
    </i>
    <i>
      <x v="383"/>
      <x v="876"/>
    </i>
    <i>
      <x v="384"/>
      <x v="877"/>
    </i>
    <i>
      <x v="385"/>
      <x v="1210"/>
    </i>
    <i>
      <x v="386"/>
      <x v="693"/>
    </i>
    <i>
      <x v="387"/>
      <x v="114"/>
    </i>
    <i>
      <x v="388"/>
      <x v="1371"/>
    </i>
    <i>
      <x v="389"/>
      <x v="1370"/>
    </i>
    <i>
      <x v="390"/>
      <x v="667"/>
    </i>
    <i>
      <x v="391"/>
      <x v="1581"/>
    </i>
    <i>
      <x v="392"/>
      <x v="1372"/>
    </i>
    <i>
      <x v="393"/>
      <x v="1462"/>
    </i>
    <i>
      <x v="394"/>
      <x v="1233"/>
    </i>
    <i>
      <x v="395"/>
      <x v="996"/>
    </i>
    <i>
      <x v="396"/>
      <x v="1616"/>
    </i>
    <i>
      <x v="397"/>
      <x v="1042"/>
    </i>
    <i>
      <x v="398"/>
      <x v="1042"/>
    </i>
    <i>
      <x v="399"/>
      <x v="16"/>
    </i>
    <i>
      <x v="400"/>
      <x v="1452"/>
    </i>
    <i>
      <x v="401"/>
      <x v="1231"/>
    </i>
    <i>
      <x v="402"/>
      <x v="1232"/>
    </i>
    <i>
      <x v="403"/>
      <x v="810"/>
    </i>
    <i>
      <x v="404"/>
      <x v="819"/>
    </i>
    <i>
      <x v="405"/>
      <x v="668"/>
    </i>
    <i>
      <x v="406"/>
      <x v="895"/>
    </i>
    <i>
      <x v="407"/>
      <x/>
    </i>
    <i>
      <x v="408"/>
      <x v="670"/>
    </i>
    <i>
      <x v="409"/>
      <x v="672"/>
    </i>
    <i>
      <x v="410"/>
      <x v="1312"/>
    </i>
    <i>
      <x v="411"/>
      <x v="427"/>
    </i>
    <i>
      <x v="412"/>
      <x v="428"/>
    </i>
    <i>
      <x v="413"/>
      <x v="481"/>
    </i>
    <i>
      <x v="414"/>
      <x v="1146"/>
    </i>
    <i>
      <x v="415"/>
      <x v="18"/>
    </i>
    <i>
      <x v="416"/>
      <x v="962"/>
    </i>
    <i>
      <x v="417"/>
      <x v="437"/>
    </i>
    <i>
      <x v="418"/>
      <x v="838"/>
    </i>
    <i>
      <x v="419"/>
      <x v="886"/>
    </i>
    <i>
      <x v="420"/>
      <x v="1051"/>
    </i>
    <i>
      <x v="421"/>
      <x v="839"/>
    </i>
    <i>
      <x v="422"/>
      <x v="1478"/>
    </i>
    <i>
      <x v="423"/>
      <x v="28"/>
    </i>
    <i>
      <x v="424"/>
      <x v="1461"/>
    </i>
    <i>
      <x v="425"/>
      <x v="425"/>
    </i>
    <i>
      <x v="426"/>
      <x v="1460"/>
    </i>
    <i>
      <x v="427"/>
      <x v="1466"/>
    </i>
    <i>
      <x v="428"/>
      <x v="655"/>
    </i>
    <i>
      <x v="429"/>
      <x v="654"/>
    </i>
    <i>
      <x v="430"/>
      <x v="966"/>
    </i>
    <i r="1">
      <x v="1500"/>
    </i>
    <i>
      <x v="431"/>
      <x v="491"/>
    </i>
    <i>
      <x v="432"/>
      <x v="426"/>
    </i>
    <i>
      <x v="466"/>
      <x v="931"/>
    </i>
    <i>
      <x v="467"/>
      <x v="933"/>
    </i>
    <i>
      <x v="468"/>
      <x v="934"/>
    </i>
    <i>
      <x v="469"/>
      <x v="936"/>
    </i>
    <i>
      <x v="470"/>
      <x v="937"/>
    </i>
    <i>
      <x v="471"/>
      <x v="938"/>
    </i>
    <i>
      <x v="472"/>
      <x v="932"/>
    </i>
    <i>
      <x v="473"/>
      <x v="935"/>
    </i>
    <i>
      <x v="474"/>
      <x v="939"/>
    </i>
    <i>
      <x v="518"/>
      <x v="154"/>
    </i>
    <i>
      <x v="531"/>
      <x v="1144"/>
    </i>
    <i>
      <x v="594"/>
      <x v="1438"/>
    </i>
    <i>
      <x v="595"/>
      <x v="1438"/>
    </i>
    <i>
      <x v="596"/>
      <x v="1437"/>
    </i>
    <i>
      <x v="693"/>
      <x v="184"/>
    </i>
    <i>
      <x v="694"/>
      <x v="185"/>
    </i>
    <i>
      <x v="695"/>
      <x v="186"/>
    </i>
    <i>
      <x v="696"/>
      <x v="187"/>
    </i>
    <i>
      <x v="697"/>
      <x v="188"/>
    </i>
    <i>
      <x v="847"/>
      <x v="1435"/>
    </i>
    <i>
      <x v="849"/>
      <x v="1436"/>
    </i>
    <i>
      <x v="858"/>
      <x v="483"/>
    </i>
    <i>
      <x v="1171"/>
      <x v="1609"/>
    </i>
    <i>
      <x v="1295"/>
      <x v="1383"/>
    </i>
    <i>
      <x v="1394"/>
      <x v="1609"/>
    </i>
    <i>
      <x v="1420"/>
      <x v="1159"/>
    </i>
    <i>
      <x v="1485"/>
      <x v="490"/>
    </i>
    <i>
      <x v="1605"/>
      <x v="1119"/>
    </i>
    <i>
      <x v="1606"/>
      <x v="1116"/>
    </i>
    <i>
      <x v="1607"/>
      <x v="967"/>
    </i>
    <i>
      <x v="1608"/>
      <x v="1118"/>
    </i>
    <i>
      <x v="1609"/>
      <x v="669"/>
    </i>
    <i>
      <x v="1610"/>
      <x v="1582"/>
    </i>
    <i>
      <x v="1611"/>
      <x v="435"/>
    </i>
    <i>
      <x v="1612"/>
      <x v="1115"/>
    </i>
    <i>
      <x v="1613"/>
      <x v="510"/>
    </i>
    <i>
      <x v="1614"/>
      <x v="1145"/>
    </i>
    <i>
      <x v="1615"/>
      <x v="1504"/>
    </i>
    <i>
      <x v="1616"/>
      <x v="677"/>
    </i>
    <i>
      <x v="1617"/>
      <x v="1583"/>
    </i>
    <i>
      <x v="1618"/>
      <x v="514"/>
    </i>
    <i>
      <x v="1619"/>
      <x v="516"/>
    </i>
    <i>
      <x v="1620"/>
      <x v="515"/>
    </i>
    <i>
      <x v="1621"/>
      <x v="384"/>
    </i>
    <i>
      <x v="1622"/>
      <x v="1117"/>
    </i>
    <i>
      <x v="1623"/>
      <x v="1359"/>
    </i>
    <i>
      <x v="1624"/>
      <x v="1147"/>
    </i>
    <i r="1">
      <x v="1458"/>
    </i>
    <i>
      <x v="1625"/>
      <x v="695"/>
    </i>
    <i>
      <x v="1626"/>
      <x v="1474"/>
    </i>
    <i r="1">
      <x v="1475"/>
    </i>
    <i>
      <x v="1627"/>
      <x v="943"/>
    </i>
    <i>
      <x v="1628"/>
      <x v="1473"/>
    </i>
    <i>
      <x v="1629"/>
      <x v="879"/>
    </i>
    <i>
      <x v="1630"/>
      <x v="880"/>
    </i>
    <i>
      <x v="1631"/>
      <x v="1412"/>
    </i>
    <i>
      <x v="1632"/>
      <x v="479"/>
    </i>
    <i>
      <x v="1633"/>
      <x v="330"/>
    </i>
    <i>
      <x v="1634"/>
      <x v="478"/>
    </i>
    <i>
      <x v="1635"/>
      <x v="477"/>
    </i>
    <i>
      <x v="1636"/>
      <x v="42"/>
    </i>
    <i>
      <x v="1637"/>
      <x v="1364"/>
    </i>
    <i>
      <x v="1638"/>
      <x v="948"/>
    </i>
    <i r="1">
      <x v="949"/>
    </i>
    <i>
      <x v="1639"/>
      <x v="950"/>
    </i>
    <i>
      <x v="1640"/>
      <x v="961"/>
    </i>
    <i>
      <x v="1644"/>
      <x v="26"/>
    </i>
    <i t="grand">
      <x/>
    </i>
  </rowItems>
  <colItems count="1">
    <i/>
  </colItems>
  <pageFields count="6">
    <pageField fld="0" hier="-1"/>
    <pageField fld="3" hier="-1"/>
    <pageField fld="9" item="2" hier="-1"/>
    <pageField fld="6" hier="-1"/>
    <pageField fld="10" hier="-1"/>
    <pageField fld="11" hier="-1"/>
  </pageFields>
  <dataFields count="1">
    <dataField name="Sum of QTY" fld="2" baseField="0" baseItem="0"/>
  </dataFields>
  <formats count="14">
    <format dxfId="13">
      <pivotArea type="origin" dataOnly="0" labelOnly="1" outline="0" fieldPosition="0"/>
    </format>
    <format dxfId="12">
      <pivotArea field="5" type="button" dataOnly="0" labelOnly="1" outline="0" axis="axisRow" fieldPosition="0"/>
    </format>
    <format dxfId="11">
      <pivotArea dataOnly="0" labelOnly="1" outline="0"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
      <pivotArea dataOnly="0" labelOnly="1" outline="0"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
      <pivotArea dataOnly="0" labelOnly="1" outline="0"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
      <pivotArea dataOnly="0" labelOnly="1" outline="0"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
      <pivotArea dataOnly="0" labelOnly="1" outline="0" fieldPosition="0">
        <references count="1">
          <reference field="5"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
      <pivotArea dataOnly="0" labelOnly="1" outline="0" fieldPosition="0">
        <references count="1">
          <reference field="5"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
      <pivotArea dataOnly="0" labelOnly="1" outline="0" fieldPosition="0">
        <references count="1">
          <reference field="5"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60"/>
          </reference>
        </references>
      </pivotArea>
    </format>
    <format dxfId="4">
      <pivotArea dataOnly="0" labelOnly="1" outline="0" fieldPosition="0">
        <references count="1">
          <reference field="5" count="5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reference>
        </references>
      </pivotArea>
    </format>
    <format dxfId="3">
      <pivotArea dataOnly="0" labelOnly="1" outline="0" fieldPosition="0">
        <references count="1">
          <reference field="5" count="50">
            <x v="411"/>
            <x v="412"/>
            <x v="413"/>
            <x v="414"/>
            <x v="415"/>
            <x v="416"/>
            <x v="417"/>
            <x v="418"/>
            <x v="419"/>
            <x v="420"/>
            <x v="421"/>
            <x v="422"/>
            <x v="423"/>
            <x v="424"/>
            <x v="425"/>
            <x v="426"/>
            <x v="427"/>
            <x v="428"/>
            <x v="429"/>
            <x v="430"/>
            <x v="431"/>
            <x v="432"/>
            <x v="466"/>
            <x v="467"/>
            <x v="468"/>
            <x v="469"/>
            <x v="470"/>
            <x v="471"/>
            <x v="472"/>
            <x v="473"/>
            <x v="474"/>
            <x v="518"/>
            <x v="531"/>
            <x v="594"/>
            <x v="595"/>
            <x v="596"/>
            <x v="693"/>
            <x v="694"/>
            <x v="695"/>
            <x v="696"/>
            <x v="697"/>
            <x v="847"/>
            <x v="849"/>
            <x v="858"/>
            <x v="1171"/>
            <x v="1295"/>
            <x v="1394"/>
            <x v="1420"/>
            <x v="1485"/>
            <x v="1605"/>
          </reference>
        </references>
      </pivotArea>
    </format>
    <format dxfId="2">
      <pivotArea dataOnly="0" labelOnly="1" outline="0" fieldPosition="0">
        <references count="1">
          <reference field="5" count="3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reference>
        </references>
      </pivotArea>
    </format>
    <format dxfId="1">
      <pivotArea dataOnly="0" labelOnly="1" grandRow="1" outline="0" fieldPosition="0"/>
    </format>
    <format dxfId="0">
      <pivotArea dataOnly="0" labelOnly="1" outline="0" fieldPosition="0">
        <references count="2">
          <reference field="0" count="0"/>
          <reference field="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72F4-5523-4227-A59D-BF204A8A7F55}">
  <dimension ref="A1:B10"/>
  <sheetViews>
    <sheetView tabSelected="1" workbookViewId="0">
      <selection activeCell="C5" sqref="C5"/>
    </sheetView>
  </sheetViews>
  <sheetFormatPr defaultRowHeight="15" x14ac:dyDescent="0.25"/>
  <cols>
    <col min="1" max="1" width="11" customWidth="1"/>
  </cols>
  <sheetData>
    <row r="1" spans="1:2" ht="23.25" x14ac:dyDescent="0.25">
      <c r="A1" s="32" t="s">
        <v>7971</v>
      </c>
      <c r="B1" s="33" t="s">
        <v>7978</v>
      </c>
    </row>
    <row r="2" spans="1:2" ht="23.25" x14ac:dyDescent="0.25">
      <c r="A2" s="32" t="s">
        <v>7972</v>
      </c>
      <c r="B2" s="33" t="s">
        <v>7977</v>
      </c>
    </row>
    <row r="3" spans="1:2" x14ac:dyDescent="0.25">
      <c r="A3" s="32" t="s">
        <v>7973</v>
      </c>
      <c r="B3" s="32" t="s">
        <v>7994</v>
      </c>
    </row>
    <row r="4" spans="1:2" x14ac:dyDescent="0.25">
      <c r="A4" s="32" t="s">
        <v>7974</v>
      </c>
      <c r="B4" s="32" t="s">
        <v>7976</v>
      </c>
    </row>
    <row r="5" spans="1:2" x14ac:dyDescent="0.25">
      <c r="A5" s="32" t="s">
        <v>7975</v>
      </c>
      <c r="B5" s="32" t="s">
        <v>7993</v>
      </c>
    </row>
    <row r="7" spans="1:2" ht="18.75" x14ac:dyDescent="0.3">
      <c r="A7" s="38" t="s">
        <v>7981</v>
      </c>
      <c r="B7" s="39"/>
    </row>
    <row r="8" spans="1:2" x14ac:dyDescent="0.25">
      <c r="A8" s="19">
        <v>1</v>
      </c>
      <c r="B8" t="s">
        <v>7979</v>
      </c>
    </row>
    <row r="9" spans="1:2" x14ac:dyDescent="0.25">
      <c r="A9" s="19">
        <v>2</v>
      </c>
      <c r="B9" t="s">
        <v>7963</v>
      </c>
    </row>
    <row r="10" spans="1:2" x14ac:dyDescent="0.25">
      <c r="A10" s="19"/>
    </row>
  </sheetData>
  <mergeCells count="1">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61ED-027F-4054-993B-F8298E880D87}">
  <dimension ref="A1:G2862"/>
  <sheetViews>
    <sheetView zoomScale="115" zoomScaleNormal="115" workbookViewId="0">
      <selection activeCell="C68" sqref="C68"/>
    </sheetView>
  </sheetViews>
  <sheetFormatPr defaultRowHeight="15" x14ac:dyDescent="0.25"/>
  <cols>
    <col min="1" max="1" width="17" style="18" bestFit="1" customWidth="1"/>
    <col min="2" max="2" width="57" style="18" bestFit="1" customWidth="1"/>
    <col min="3" max="3" width="51" style="18" customWidth="1"/>
    <col min="4" max="4" width="30.5703125" style="18" bestFit="1" customWidth="1"/>
    <col min="5" max="5" width="57.85546875" style="18" bestFit="1" customWidth="1"/>
    <col min="6" max="6" width="5.42578125" style="20" bestFit="1" customWidth="1"/>
    <col min="7" max="7" width="21" bestFit="1" customWidth="1"/>
    <col min="8" max="51" width="6.42578125" bestFit="1" customWidth="1"/>
    <col min="52" max="53" width="10.7109375" bestFit="1" customWidth="1"/>
  </cols>
  <sheetData>
    <row r="1" spans="1:7" x14ac:dyDescent="0.25">
      <c r="A1" s="7" t="s">
        <v>7678</v>
      </c>
      <c r="B1" t="s">
        <v>7755</v>
      </c>
      <c r="C1" s="34" t="s">
        <v>7980</v>
      </c>
      <c r="D1" s="35"/>
    </row>
    <row r="2" spans="1:7" ht="15.75" thickBot="1" x14ac:dyDescent="0.3">
      <c r="A2" s="7" t="s">
        <v>7966</v>
      </c>
      <c r="B2" t="s">
        <v>7755</v>
      </c>
      <c r="C2" s="36"/>
      <c r="D2" s="37"/>
    </row>
    <row r="3" spans="1:7" x14ac:dyDescent="0.25">
      <c r="A3" s="7" t="s">
        <v>4</v>
      </c>
      <c r="B3" t="s">
        <v>7755</v>
      </c>
    </row>
    <row r="4" spans="1:7" x14ac:dyDescent="0.25">
      <c r="A4" s="7" t="s">
        <v>7967</v>
      </c>
      <c r="B4" t="s">
        <v>7755</v>
      </c>
    </row>
    <row r="5" spans="1:7" x14ac:dyDescent="0.25">
      <c r="A5" s="7" t="s">
        <v>7968</v>
      </c>
      <c r="B5" t="s">
        <v>7755</v>
      </c>
    </row>
    <row r="7" spans="1:7" x14ac:dyDescent="0.25">
      <c r="A7" s="30" t="s">
        <v>7754</v>
      </c>
    </row>
    <row r="8" spans="1:7" x14ac:dyDescent="0.25">
      <c r="A8" s="30" t="s">
        <v>7965</v>
      </c>
      <c r="B8" s="30" t="s">
        <v>7671</v>
      </c>
      <c r="C8" s="30" t="s">
        <v>7961</v>
      </c>
      <c r="D8" s="30" t="s">
        <v>2</v>
      </c>
      <c r="E8" s="30" t="s">
        <v>3</v>
      </c>
      <c r="F8" t="s">
        <v>7756</v>
      </c>
    </row>
    <row r="9" spans="1:7" x14ac:dyDescent="0.25">
      <c r="A9" s="18" t="s">
        <v>7675</v>
      </c>
      <c r="B9" s="18" t="s">
        <v>7431</v>
      </c>
      <c r="C9" s="18" t="s">
        <v>614</v>
      </c>
      <c r="D9" s="18" t="s">
        <v>613</v>
      </c>
      <c r="E9" s="18" t="s">
        <v>614</v>
      </c>
      <c r="F9" s="41">
        <v>1</v>
      </c>
      <c r="G9" s="18"/>
    </row>
    <row r="10" spans="1:7" x14ac:dyDescent="0.25">
      <c r="D10" s="18" t="s">
        <v>616</v>
      </c>
      <c r="E10" s="18" t="s">
        <v>617</v>
      </c>
      <c r="F10" s="41">
        <v>1</v>
      </c>
    </row>
    <row r="11" spans="1:7" x14ac:dyDescent="0.25">
      <c r="D11" s="18" t="s">
        <v>596</v>
      </c>
      <c r="E11" s="18" t="s">
        <v>597</v>
      </c>
      <c r="F11" s="41">
        <v>1</v>
      </c>
    </row>
    <row r="12" spans="1:7" x14ac:dyDescent="0.25">
      <c r="C12" s="18" t="s">
        <v>589</v>
      </c>
      <c r="D12" s="18" t="s">
        <v>592</v>
      </c>
      <c r="E12" s="18" t="s">
        <v>593</v>
      </c>
      <c r="F12" s="41">
        <v>2</v>
      </c>
    </row>
    <row r="13" spans="1:7" x14ac:dyDescent="0.25">
      <c r="D13" s="18" t="s">
        <v>596</v>
      </c>
      <c r="E13" s="18" t="s">
        <v>597</v>
      </c>
      <c r="F13" s="41">
        <v>1</v>
      </c>
    </row>
    <row r="14" spans="1:7" x14ac:dyDescent="0.25">
      <c r="C14" s="18" t="s">
        <v>5817</v>
      </c>
      <c r="D14" s="18" t="s">
        <v>5822</v>
      </c>
      <c r="E14" s="18" t="s">
        <v>5823</v>
      </c>
      <c r="F14" s="41">
        <v>1</v>
      </c>
    </row>
    <row r="15" spans="1:7" x14ac:dyDescent="0.25">
      <c r="D15" s="18" t="s">
        <v>5828</v>
      </c>
      <c r="E15" s="18" t="s">
        <v>5829</v>
      </c>
      <c r="F15" s="41">
        <v>2</v>
      </c>
    </row>
    <row r="16" spans="1:7" x14ac:dyDescent="0.25">
      <c r="D16" s="18" t="s">
        <v>1048</v>
      </c>
      <c r="E16" s="18" t="s">
        <v>1049</v>
      </c>
      <c r="F16" s="41">
        <v>2</v>
      </c>
    </row>
    <row r="17" spans="3:6" x14ac:dyDescent="0.25">
      <c r="D17" s="18" t="s">
        <v>932</v>
      </c>
      <c r="E17" s="18" t="s">
        <v>933</v>
      </c>
      <c r="F17" s="41">
        <v>2</v>
      </c>
    </row>
    <row r="18" spans="3:6" x14ac:dyDescent="0.25">
      <c r="D18" s="18" t="s">
        <v>1044</v>
      </c>
      <c r="E18" s="18" t="s">
        <v>1045</v>
      </c>
      <c r="F18" s="41">
        <v>1</v>
      </c>
    </row>
    <row r="19" spans="3:6" x14ac:dyDescent="0.25">
      <c r="D19" s="18" t="s">
        <v>5816</v>
      </c>
      <c r="E19" s="18" t="s">
        <v>5817</v>
      </c>
      <c r="F19" s="41">
        <v>1</v>
      </c>
    </row>
    <row r="20" spans="3:6" x14ac:dyDescent="0.25">
      <c r="D20" s="18" t="s">
        <v>5819</v>
      </c>
      <c r="E20" s="18" t="s">
        <v>5820</v>
      </c>
      <c r="F20" s="41">
        <v>1</v>
      </c>
    </row>
    <row r="21" spans="3:6" x14ac:dyDescent="0.25">
      <c r="C21" s="18" t="s">
        <v>5798</v>
      </c>
      <c r="D21" s="18" t="s">
        <v>5807</v>
      </c>
      <c r="E21" s="18" t="s">
        <v>5808</v>
      </c>
      <c r="F21" s="41">
        <v>1</v>
      </c>
    </row>
    <row r="22" spans="3:6" x14ac:dyDescent="0.25">
      <c r="D22" s="18" t="s">
        <v>1041</v>
      </c>
      <c r="E22" s="18" t="s">
        <v>1042</v>
      </c>
      <c r="F22" s="41">
        <v>2</v>
      </c>
    </row>
    <row r="23" spans="3:6" x14ac:dyDescent="0.25">
      <c r="D23" s="18" t="s">
        <v>1038</v>
      </c>
      <c r="E23" s="18" t="s">
        <v>1039</v>
      </c>
      <c r="F23" s="41">
        <v>1</v>
      </c>
    </row>
    <row r="24" spans="3:6" x14ac:dyDescent="0.25">
      <c r="D24" s="18" t="s">
        <v>1035</v>
      </c>
      <c r="E24" s="18" t="s">
        <v>1036</v>
      </c>
      <c r="F24" s="41">
        <v>1</v>
      </c>
    </row>
    <row r="25" spans="3:6" x14ac:dyDescent="0.25">
      <c r="D25" s="18" t="s">
        <v>1048</v>
      </c>
      <c r="E25" s="18" t="s">
        <v>1049</v>
      </c>
      <c r="F25" s="41">
        <v>2</v>
      </c>
    </row>
    <row r="26" spans="3:6" x14ac:dyDescent="0.25">
      <c r="D26" s="18" t="s">
        <v>932</v>
      </c>
      <c r="E26" s="18" t="s">
        <v>933</v>
      </c>
      <c r="F26" s="41">
        <v>2</v>
      </c>
    </row>
    <row r="27" spans="3:6" x14ac:dyDescent="0.25">
      <c r="D27" s="18" t="s">
        <v>1044</v>
      </c>
      <c r="E27" s="18" t="s">
        <v>1045</v>
      </c>
      <c r="F27" s="41">
        <v>1</v>
      </c>
    </row>
    <row r="28" spans="3:6" x14ac:dyDescent="0.25">
      <c r="D28" s="18" t="s">
        <v>5797</v>
      </c>
      <c r="E28" s="18" t="s">
        <v>5798</v>
      </c>
      <c r="F28" s="41">
        <v>1</v>
      </c>
    </row>
    <row r="29" spans="3:6" x14ac:dyDescent="0.25">
      <c r="D29" s="18" t="s">
        <v>1032</v>
      </c>
      <c r="E29" s="18" t="s">
        <v>1033</v>
      </c>
      <c r="F29" s="41">
        <v>1</v>
      </c>
    </row>
    <row r="30" spans="3:6" x14ac:dyDescent="0.25">
      <c r="C30" s="18" t="s">
        <v>5833</v>
      </c>
      <c r="D30" s="18" t="s">
        <v>5832</v>
      </c>
      <c r="E30" s="18" t="s">
        <v>5833</v>
      </c>
      <c r="F30" s="41">
        <v>1</v>
      </c>
    </row>
    <row r="31" spans="3:6" x14ac:dyDescent="0.25">
      <c r="D31" s="18" t="s">
        <v>5836</v>
      </c>
      <c r="E31" s="18" t="s">
        <v>5837</v>
      </c>
      <c r="F31" s="41">
        <v>1</v>
      </c>
    </row>
    <row r="32" spans="3:6" x14ac:dyDescent="0.25">
      <c r="D32" s="18" t="s">
        <v>2213</v>
      </c>
      <c r="E32" s="18" t="s">
        <v>2214</v>
      </c>
      <c r="F32" s="41">
        <v>1</v>
      </c>
    </row>
    <row r="33" spans="3:6" x14ac:dyDescent="0.25">
      <c r="D33" s="18" t="s">
        <v>2229</v>
      </c>
      <c r="E33" s="18" t="s">
        <v>2230</v>
      </c>
      <c r="F33" s="41">
        <v>1</v>
      </c>
    </row>
    <row r="34" spans="3:6" x14ac:dyDescent="0.25">
      <c r="D34" s="18" t="s">
        <v>2417</v>
      </c>
      <c r="E34" s="18" t="s">
        <v>2418</v>
      </c>
      <c r="F34" s="41">
        <v>1</v>
      </c>
    </row>
    <row r="35" spans="3:6" x14ac:dyDescent="0.25">
      <c r="C35" s="18" t="s">
        <v>7944</v>
      </c>
      <c r="D35" s="18" t="s">
        <v>2179</v>
      </c>
      <c r="E35" s="18" t="s">
        <v>1552</v>
      </c>
      <c r="F35" s="41">
        <v>2</v>
      </c>
    </row>
    <row r="36" spans="3:6" x14ac:dyDescent="0.25">
      <c r="D36" s="18" t="s">
        <v>4920</v>
      </c>
      <c r="E36" s="18" t="s">
        <v>714</v>
      </c>
      <c r="F36" s="41">
        <v>1</v>
      </c>
    </row>
    <row r="37" spans="3:6" x14ac:dyDescent="0.25">
      <c r="D37" s="18" t="s">
        <v>4918</v>
      </c>
      <c r="E37" s="18" t="s">
        <v>711</v>
      </c>
      <c r="F37" s="41">
        <v>1</v>
      </c>
    </row>
    <row r="38" spans="3:6" x14ac:dyDescent="0.25">
      <c r="C38" s="18" t="s">
        <v>7590</v>
      </c>
      <c r="D38" s="18" t="s">
        <v>3167</v>
      </c>
      <c r="E38" s="18" t="s">
        <v>3168</v>
      </c>
      <c r="F38" s="41">
        <v>1</v>
      </c>
    </row>
    <row r="39" spans="3:6" x14ac:dyDescent="0.25">
      <c r="D39" s="18" t="s">
        <v>5785</v>
      </c>
      <c r="E39" s="18" t="s">
        <v>5786</v>
      </c>
      <c r="F39" s="41">
        <v>43</v>
      </c>
    </row>
    <row r="40" spans="3:6" x14ac:dyDescent="0.25">
      <c r="D40" s="18" t="s">
        <v>5788</v>
      </c>
      <c r="E40" s="18" t="s">
        <v>5789</v>
      </c>
      <c r="F40" s="41">
        <v>1</v>
      </c>
    </row>
    <row r="41" spans="3:6" x14ac:dyDescent="0.25">
      <c r="C41" s="18" t="s">
        <v>4008</v>
      </c>
      <c r="D41" s="18" t="s">
        <v>4027</v>
      </c>
      <c r="E41" s="18" t="s">
        <v>4028</v>
      </c>
      <c r="F41" s="41">
        <v>3</v>
      </c>
    </row>
    <row r="42" spans="3:6" x14ac:dyDescent="0.25">
      <c r="D42" s="18" t="s">
        <v>442</v>
      </c>
      <c r="E42" s="18" t="s">
        <v>443</v>
      </c>
      <c r="F42" s="41">
        <v>6</v>
      </c>
    </row>
    <row r="43" spans="3:6" x14ac:dyDescent="0.25">
      <c r="D43" s="18" t="s">
        <v>445</v>
      </c>
      <c r="E43" s="18" t="s">
        <v>446</v>
      </c>
      <c r="F43" s="41">
        <v>6</v>
      </c>
    </row>
    <row r="44" spans="3:6" x14ac:dyDescent="0.25">
      <c r="D44" s="18" t="s">
        <v>439</v>
      </c>
      <c r="E44" s="18" t="s">
        <v>440</v>
      </c>
      <c r="F44" s="41">
        <v>6</v>
      </c>
    </row>
    <row r="45" spans="3:6" x14ac:dyDescent="0.25">
      <c r="D45" s="18" t="s">
        <v>4041</v>
      </c>
      <c r="E45" s="18" t="s">
        <v>4042</v>
      </c>
      <c r="F45" s="41">
        <v>1</v>
      </c>
    </row>
    <row r="46" spans="3:6" x14ac:dyDescent="0.25">
      <c r="D46" s="18" t="s">
        <v>4007</v>
      </c>
      <c r="E46" s="18" t="s">
        <v>4008</v>
      </c>
      <c r="F46" s="41">
        <v>1</v>
      </c>
    </row>
    <row r="47" spans="3:6" x14ac:dyDescent="0.25">
      <c r="D47" s="18" t="s">
        <v>4011</v>
      </c>
      <c r="E47" s="18" t="s">
        <v>4012</v>
      </c>
      <c r="F47" s="41">
        <v>1</v>
      </c>
    </row>
    <row r="48" spans="3:6" x14ac:dyDescent="0.25">
      <c r="D48" s="18" t="s">
        <v>4015</v>
      </c>
      <c r="E48" s="18" t="s">
        <v>4016</v>
      </c>
      <c r="F48" s="41">
        <v>1</v>
      </c>
    </row>
    <row r="49" spans="3:6" x14ac:dyDescent="0.25">
      <c r="D49" s="18" t="s">
        <v>4019</v>
      </c>
      <c r="E49" s="18" t="s">
        <v>4020</v>
      </c>
      <c r="F49" s="41">
        <v>1</v>
      </c>
    </row>
    <row r="50" spans="3:6" x14ac:dyDescent="0.25">
      <c r="D50" s="18" t="s">
        <v>4023</v>
      </c>
      <c r="E50" s="18" t="s">
        <v>4024</v>
      </c>
      <c r="F50" s="41">
        <v>1</v>
      </c>
    </row>
    <row r="51" spans="3:6" x14ac:dyDescent="0.25">
      <c r="D51" s="18" t="s">
        <v>4031</v>
      </c>
      <c r="E51" s="18" t="s">
        <v>4032</v>
      </c>
      <c r="F51" s="41">
        <v>1</v>
      </c>
    </row>
    <row r="52" spans="3:6" x14ac:dyDescent="0.25">
      <c r="D52" s="18" t="s">
        <v>4035</v>
      </c>
      <c r="E52" s="18" t="s">
        <v>4036</v>
      </c>
      <c r="F52" s="41">
        <v>1</v>
      </c>
    </row>
    <row r="53" spans="3:6" x14ac:dyDescent="0.25">
      <c r="C53" s="18" t="s">
        <v>7962</v>
      </c>
      <c r="D53" s="18" t="s">
        <v>5576</v>
      </c>
      <c r="E53" s="18" t="s">
        <v>5577</v>
      </c>
      <c r="F53" s="41">
        <v>1</v>
      </c>
    </row>
    <row r="54" spans="3:6" x14ac:dyDescent="0.25">
      <c r="D54" s="18" t="s">
        <v>586</v>
      </c>
      <c r="E54" s="18" t="s">
        <v>587</v>
      </c>
      <c r="F54" s="41">
        <v>4</v>
      </c>
    </row>
    <row r="55" spans="3:6" x14ac:dyDescent="0.25">
      <c r="D55" s="18" t="s">
        <v>4437</v>
      </c>
      <c r="E55" s="18" t="s">
        <v>4438</v>
      </c>
      <c r="F55" s="41">
        <v>4</v>
      </c>
    </row>
    <row r="56" spans="3:6" x14ac:dyDescent="0.25">
      <c r="D56" s="18" t="s">
        <v>236</v>
      </c>
      <c r="E56" s="18" t="s">
        <v>237</v>
      </c>
      <c r="F56" s="41">
        <v>12</v>
      </c>
    </row>
    <row r="57" spans="3:6" x14ac:dyDescent="0.25">
      <c r="D57" s="18" t="s">
        <v>233</v>
      </c>
      <c r="E57" s="18" t="s">
        <v>234</v>
      </c>
      <c r="F57" s="41">
        <v>4</v>
      </c>
    </row>
    <row r="58" spans="3:6" x14ac:dyDescent="0.25">
      <c r="D58" s="18" t="s">
        <v>580</v>
      </c>
      <c r="E58" s="18" t="s">
        <v>581</v>
      </c>
      <c r="F58" s="41">
        <v>2</v>
      </c>
    </row>
    <row r="59" spans="3:6" x14ac:dyDescent="0.25">
      <c r="D59" s="18" t="s">
        <v>219</v>
      </c>
      <c r="E59" s="18" t="s">
        <v>220</v>
      </c>
      <c r="F59" s="41">
        <v>4</v>
      </c>
    </row>
    <row r="60" spans="3:6" x14ac:dyDescent="0.25">
      <c r="D60" s="18" t="s">
        <v>442</v>
      </c>
      <c r="E60" s="18" t="s">
        <v>443</v>
      </c>
      <c r="F60" s="41">
        <v>4</v>
      </c>
    </row>
    <row r="61" spans="3:6" x14ac:dyDescent="0.25">
      <c r="D61" s="18" t="s">
        <v>941</v>
      </c>
      <c r="E61" s="18" t="s">
        <v>942</v>
      </c>
      <c r="F61" s="41">
        <v>2</v>
      </c>
    </row>
    <row r="62" spans="3:6" x14ac:dyDescent="0.25">
      <c r="D62" s="18" t="s">
        <v>5814</v>
      </c>
      <c r="E62" s="18" t="s">
        <v>5815</v>
      </c>
      <c r="F62" s="41">
        <v>2</v>
      </c>
    </row>
    <row r="63" spans="3:6" x14ac:dyDescent="0.25">
      <c r="D63" s="18" t="s">
        <v>445</v>
      </c>
      <c r="E63" s="18" t="s">
        <v>446</v>
      </c>
      <c r="F63" s="41">
        <v>2</v>
      </c>
    </row>
    <row r="64" spans="3:6" x14ac:dyDescent="0.25">
      <c r="D64" s="18" t="s">
        <v>4479</v>
      </c>
      <c r="E64" s="18" t="s">
        <v>4480</v>
      </c>
      <c r="F64" s="41">
        <v>2</v>
      </c>
    </row>
    <row r="65" spans="4:6" x14ac:dyDescent="0.25">
      <c r="D65" t="s">
        <v>569</v>
      </c>
      <c r="E65" t="s">
        <v>570</v>
      </c>
      <c r="F65" s="41">
        <v>1</v>
      </c>
    </row>
    <row r="66" spans="4:6" x14ac:dyDescent="0.25">
      <c r="D66" s="18" t="s">
        <v>563</v>
      </c>
      <c r="E66" s="18" t="s">
        <v>564</v>
      </c>
      <c r="F66" s="41">
        <v>11</v>
      </c>
    </row>
    <row r="67" spans="4:6" x14ac:dyDescent="0.25">
      <c r="D67" s="18" t="s">
        <v>910</v>
      </c>
      <c r="E67" s="18" t="s">
        <v>911</v>
      </c>
      <c r="F67" s="41">
        <v>2</v>
      </c>
    </row>
    <row r="68" spans="4:6" x14ac:dyDescent="0.25">
      <c r="D68" s="18" t="s">
        <v>4214</v>
      </c>
      <c r="E68" s="18" t="s">
        <v>4215</v>
      </c>
      <c r="F68" s="41">
        <v>6</v>
      </c>
    </row>
    <row r="69" spans="4:6" x14ac:dyDescent="0.25">
      <c r="D69" s="18" t="s">
        <v>583</v>
      </c>
      <c r="E69" s="18" t="s">
        <v>584</v>
      </c>
      <c r="F69" s="41">
        <v>4</v>
      </c>
    </row>
    <row r="70" spans="4:6" x14ac:dyDescent="0.25">
      <c r="D70" s="18" t="s">
        <v>932</v>
      </c>
      <c r="E70" s="18" t="s">
        <v>933</v>
      </c>
      <c r="F70" s="41">
        <v>4</v>
      </c>
    </row>
    <row r="71" spans="4:6" x14ac:dyDescent="0.25">
      <c r="D71" s="18" t="s">
        <v>5843</v>
      </c>
      <c r="E71" s="18" t="s">
        <v>5844</v>
      </c>
      <c r="F71" s="41">
        <v>2</v>
      </c>
    </row>
    <row r="72" spans="4:6" x14ac:dyDescent="0.25">
      <c r="D72" s="18" t="s">
        <v>226</v>
      </c>
      <c r="E72" s="18" t="s">
        <v>227</v>
      </c>
      <c r="F72" s="41">
        <v>8</v>
      </c>
    </row>
    <row r="73" spans="4:6" x14ac:dyDescent="0.25">
      <c r="D73" s="18" t="s">
        <v>212</v>
      </c>
      <c r="E73" s="18" t="s">
        <v>213</v>
      </c>
      <c r="F73" s="41">
        <v>2</v>
      </c>
    </row>
    <row r="74" spans="4:6" x14ac:dyDescent="0.25">
      <c r="D74" s="18" t="s">
        <v>5830</v>
      </c>
      <c r="E74" s="18" t="s">
        <v>5831</v>
      </c>
      <c r="F74" s="41">
        <v>4</v>
      </c>
    </row>
    <row r="75" spans="4:6" x14ac:dyDescent="0.25">
      <c r="D75" s="18" t="s">
        <v>460</v>
      </c>
      <c r="E75" s="18" t="s">
        <v>461</v>
      </c>
      <c r="F75" s="41">
        <v>4</v>
      </c>
    </row>
    <row r="76" spans="4:6" x14ac:dyDescent="0.25">
      <c r="D76" s="18" t="s">
        <v>5812</v>
      </c>
      <c r="E76" s="18" t="s">
        <v>5813</v>
      </c>
      <c r="F76" s="41">
        <v>4</v>
      </c>
    </row>
    <row r="77" spans="4:6" x14ac:dyDescent="0.25">
      <c r="D77" s="18" t="s">
        <v>464</v>
      </c>
      <c r="E77" s="18" t="s">
        <v>465</v>
      </c>
      <c r="F77" s="41">
        <v>2</v>
      </c>
    </row>
    <row r="78" spans="4:6" x14ac:dyDescent="0.25">
      <c r="D78" s="18" t="s">
        <v>230</v>
      </c>
      <c r="E78" s="18" t="s">
        <v>231</v>
      </c>
      <c r="F78" s="41">
        <v>6</v>
      </c>
    </row>
    <row r="79" spans="4:6" x14ac:dyDescent="0.25">
      <c r="D79" s="18" t="s">
        <v>4791</v>
      </c>
      <c r="E79" s="18" t="s">
        <v>4792</v>
      </c>
      <c r="F79" s="41">
        <v>1</v>
      </c>
    </row>
    <row r="80" spans="4:6" x14ac:dyDescent="0.25">
      <c r="D80" s="18" t="s">
        <v>1077</v>
      </c>
      <c r="E80" s="18" t="s">
        <v>1078</v>
      </c>
      <c r="F80" s="41">
        <v>3</v>
      </c>
    </row>
    <row r="81" spans="2:6" x14ac:dyDescent="0.25">
      <c r="D81" s="18" t="s">
        <v>4002</v>
      </c>
      <c r="E81" s="18" t="s">
        <v>4003</v>
      </c>
      <c r="F81" s="41">
        <v>1</v>
      </c>
    </row>
    <row r="82" spans="2:6" x14ac:dyDescent="0.25">
      <c r="D82" s="18" t="s">
        <v>4004</v>
      </c>
      <c r="E82" s="18" t="s">
        <v>4005</v>
      </c>
      <c r="F82" s="41">
        <v>1</v>
      </c>
    </row>
    <row r="83" spans="2:6" x14ac:dyDescent="0.25">
      <c r="D83" s="18" t="s">
        <v>5792</v>
      </c>
      <c r="E83" s="18" t="s">
        <v>5793</v>
      </c>
      <c r="F83" s="41">
        <v>1</v>
      </c>
    </row>
    <row r="84" spans="2:6" x14ac:dyDescent="0.25">
      <c r="C84" t="s">
        <v>7987</v>
      </c>
      <c r="D84" t="s">
        <v>7988</v>
      </c>
      <c r="E84" t="s">
        <v>7987</v>
      </c>
      <c r="F84" s="41">
        <v>1</v>
      </c>
    </row>
    <row r="85" spans="2:6" x14ac:dyDescent="0.25">
      <c r="C85"/>
      <c r="D85" t="s">
        <v>7989</v>
      </c>
      <c r="E85" t="s">
        <v>7992</v>
      </c>
      <c r="F85" s="41">
        <v>1</v>
      </c>
    </row>
    <row r="86" spans="2:6" x14ac:dyDescent="0.25">
      <c r="B86" s="18" t="s">
        <v>7432</v>
      </c>
      <c r="C86" t="s">
        <v>7962</v>
      </c>
      <c r="D86" s="18" t="s">
        <v>2651</v>
      </c>
      <c r="E86" s="18" t="s">
        <v>2652</v>
      </c>
      <c r="F86" s="41">
        <v>1</v>
      </c>
    </row>
    <row r="87" spans="2:6" x14ac:dyDescent="0.25">
      <c r="C87"/>
      <c r="D87" s="18" t="s">
        <v>208</v>
      </c>
      <c r="E87" s="18" t="s">
        <v>209</v>
      </c>
      <c r="F87" s="41">
        <v>75</v>
      </c>
    </row>
    <row r="88" spans="2:6" x14ac:dyDescent="0.25">
      <c r="C88"/>
      <c r="D88" s="18" t="s">
        <v>4222</v>
      </c>
      <c r="E88" s="18" t="s">
        <v>4223</v>
      </c>
      <c r="F88" s="41">
        <v>1</v>
      </c>
    </row>
    <row r="89" spans="2:6" x14ac:dyDescent="0.25">
      <c r="C89"/>
      <c r="D89" s="18" t="s">
        <v>233</v>
      </c>
      <c r="E89" s="18" t="s">
        <v>234</v>
      </c>
      <c r="F89" s="41">
        <v>48</v>
      </c>
    </row>
    <row r="90" spans="2:6" x14ac:dyDescent="0.25">
      <c r="C90"/>
      <c r="D90" s="18" t="s">
        <v>219</v>
      </c>
      <c r="E90" s="18" t="s">
        <v>220</v>
      </c>
      <c r="F90" s="41">
        <v>29</v>
      </c>
    </row>
    <row r="91" spans="2:6" x14ac:dyDescent="0.25">
      <c r="C91"/>
      <c r="D91" s="18" t="s">
        <v>216</v>
      </c>
      <c r="E91" s="18" t="s">
        <v>217</v>
      </c>
      <c r="F91" s="41">
        <v>32</v>
      </c>
    </row>
    <row r="92" spans="2:6" x14ac:dyDescent="0.25">
      <c r="C92"/>
      <c r="D92" s="18" t="s">
        <v>519</v>
      </c>
      <c r="E92" s="18" t="s">
        <v>520</v>
      </c>
      <c r="F92" s="41">
        <v>3</v>
      </c>
    </row>
    <row r="93" spans="2:6" x14ac:dyDescent="0.25">
      <c r="C93"/>
      <c r="D93" s="18" t="s">
        <v>4214</v>
      </c>
      <c r="E93" s="18" t="s">
        <v>4215</v>
      </c>
      <c r="F93" s="41">
        <v>5</v>
      </c>
    </row>
    <row r="94" spans="2:6" x14ac:dyDescent="0.25">
      <c r="C94"/>
      <c r="D94" s="18" t="s">
        <v>226</v>
      </c>
      <c r="E94" s="18" t="s">
        <v>227</v>
      </c>
      <c r="F94" s="41">
        <v>79</v>
      </c>
    </row>
    <row r="95" spans="2:6" x14ac:dyDescent="0.25">
      <c r="C95"/>
      <c r="D95" s="18" t="s">
        <v>212</v>
      </c>
      <c r="E95" s="18" t="s">
        <v>213</v>
      </c>
      <c r="F95" s="41">
        <v>36</v>
      </c>
    </row>
    <row r="96" spans="2:6" x14ac:dyDescent="0.25">
      <c r="C96"/>
      <c r="D96" s="18" t="s">
        <v>439</v>
      </c>
      <c r="E96" s="18" t="s">
        <v>440</v>
      </c>
      <c r="F96" s="41">
        <v>4</v>
      </c>
    </row>
    <row r="97" spans="3:6" x14ac:dyDescent="0.25">
      <c r="C97"/>
      <c r="D97" s="18" t="s">
        <v>265</v>
      </c>
      <c r="E97" s="18" t="s">
        <v>266</v>
      </c>
      <c r="F97" s="41">
        <v>13</v>
      </c>
    </row>
    <row r="98" spans="3:6" x14ac:dyDescent="0.25">
      <c r="C98"/>
      <c r="D98" s="18" t="s">
        <v>222</v>
      </c>
      <c r="E98" s="18" t="s">
        <v>223</v>
      </c>
      <c r="F98" s="41">
        <v>66</v>
      </c>
    </row>
    <row r="99" spans="3:6" x14ac:dyDescent="0.25">
      <c r="C99"/>
      <c r="D99" s="18" t="s">
        <v>230</v>
      </c>
      <c r="E99" s="18" t="s">
        <v>231</v>
      </c>
      <c r="F99" s="41">
        <v>70</v>
      </c>
    </row>
    <row r="100" spans="3:6" x14ac:dyDescent="0.25">
      <c r="C100"/>
      <c r="D100" s="18" t="s">
        <v>4044</v>
      </c>
      <c r="E100" s="18" t="s">
        <v>4045</v>
      </c>
      <c r="F100" s="41">
        <v>1</v>
      </c>
    </row>
    <row r="101" spans="3:6" x14ac:dyDescent="0.25">
      <c r="C101"/>
      <c r="D101" s="18" t="s">
        <v>4047</v>
      </c>
      <c r="E101" s="18" t="s">
        <v>4048</v>
      </c>
      <c r="F101" s="41">
        <v>1</v>
      </c>
    </row>
    <row r="102" spans="3:6" x14ac:dyDescent="0.25">
      <c r="C102"/>
      <c r="D102" s="18" t="s">
        <v>4051</v>
      </c>
      <c r="E102" s="18" t="s">
        <v>4052</v>
      </c>
      <c r="F102" s="41">
        <v>1</v>
      </c>
    </row>
    <row r="103" spans="3:6" x14ac:dyDescent="0.25">
      <c r="C103"/>
      <c r="D103" s="18" t="s">
        <v>4055</v>
      </c>
      <c r="E103" s="18" t="s">
        <v>4056</v>
      </c>
      <c r="F103" s="41">
        <v>1</v>
      </c>
    </row>
    <row r="104" spans="3:6" x14ac:dyDescent="0.25">
      <c r="C104"/>
      <c r="D104" s="18" t="s">
        <v>4059</v>
      </c>
      <c r="E104" s="18" t="s">
        <v>4060</v>
      </c>
      <c r="F104" s="41">
        <v>1</v>
      </c>
    </row>
    <row r="105" spans="3:6" x14ac:dyDescent="0.25">
      <c r="C105"/>
      <c r="D105" s="18" t="s">
        <v>4063</v>
      </c>
      <c r="E105" s="18" t="s">
        <v>4064</v>
      </c>
      <c r="F105" s="41">
        <v>1</v>
      </c>
    </row>
    <row r="106" spans="3:6" x14ac:dyDescent="0.25">
      <c r="C106"/>
      <c r="D106" s="18" t="s">
        <v>4067</v>
      </c>
      <c r="E106" s="18" t="s">
        <v>4068</v>
      </c>
      <c r="F106" s="41">
        <v>1</v>
      </c>
    </row>
    <row r="107" spans="3:6" x14ac:dyDescent="0.25">
      <c r="C107"/>
      <c r="D107" s="18" t="s">
        <v>4071</v>
      </c>
      <c r="E107" s="18" t="s">
        <v>4072</v>
      </c>
      <c r="F107" s="41">
        <v>1</v>
      </c>
    </row>
    <row r="108" spans="3:6" x14ac:dyDescent="0.25">
      <c r="C108"/>
      <c r="D108" s="18" t="s">
        <v>4075</v>
      </c>
      <c r="E108" s="18" t="s">
        <v>4076</v>
      </c>
      <c r="F108" s="41">
        <v>1</v>
      </c>
    </row>
    <row r="109" spans="3:6" x14ac:dyDescent="0.25">
      <c r="C109"/>
      <c r="D109" s="18" t="s">
        <v>4079</v>
      </c>
      <c r="E109" s="18" t="s">
        <v>4080</v>
      </c>
      <c r="F109" s="41">
        <v>1</v>
      </c>
    </row>
    <row r="110" spans="3:6" x14ac:dyDescent="0.25">
      <c r="C110"/>
      <c r="D110" s="18" t="s">
        <v>4083</v>
      </c>
      <c r="E110" s="18" t="s">
        <v>4084</v>
      </c>
      <c r="F110" s="41">
        <v>1</v>
      </c>
    </row>
    <row r="111" spans="3:6" x14ac:dyDescent="0.25">
      <c r="C111"/>
      <c r="D111" s="18" t="s">
        <v>4087</v>
      </c>
      <c r="E111" s="18" t="s">
        <v>4088</v>
      </c>
      <c r="F111" s="41">
        <v>1</v>
      </c>
    </row>
    <row r="112" spans="3:6" x14ac:dyDescent="0.25">
      <c r="C112"/>
      <c r="D112" s="18" t="s">
        <v>4091</v>
      </c>
      <c r="E112" s="18" t="s">
        <v>4092</v>
      </c>
      <c r="F112" s="41">
        <v>1</v>
      </c>
    </row>
    <row r="113" spans="3:6" x14ac:dyDescent="0.25">
      <c r="C113"/>
      <c r="D113" s="18" t="s">
        <v>4095</v>
      </c>
      <c r="E113" s="18" t="s">
        <v>4096</v>
      </c>
      <c r="F113" s="41">
        <v>1</v>
      </c>
    </row>
    <row r="114" spans="3:6" x14ac:dyDescent="0.25">
      <c r="C114"/>
      <c r="D114" s="18" t="s">
        <v>4099</v>
      </c>
      <c r="E114" s="18" t="s">
        <v>4100</v>
      </c>
      <c r="F114" s="41">
        <v>1</v>
      </c>
    </row>
    <row r="115" spans="3:6" x14ac:dyDescent="0.25">
      <c r="C115"/>
      <c r="D115" s="18" t="s">
        <v>4103</v>
      </c>
      <c r="E115" s="18" t="s">
        <v>4104</v>
      </c>
      <c r="F115" s="41">
        <v>1</v>
      </c>
    </row>
    <row r="116" spans="3:6" x14ac:dyDescent="0.25">
      <c r="C116"/>
      <c r="D116" s="18" t="s">
        <v>4107</v>
      </c>
      <c r="E116" s="18" t="s">
        <v>4108</v>
      </c>
      <c r="F116" s="41">
        <v>1</v>
      </c>
    </row>
    <row r="117" spans="3:6" x14ac:dyDescent="0.25">
      <c r="C117"/>
      <c r="D117" s="18" t="s">
        <v>4111</v>
      </c>
      <c r="E117" s="18" t="s">
        <v>4112</v>
      </c>
      <c r="F117" s="41">
        <v>1</v>
      </c>
    </row>
    <row r="118" spans="3:6" x14ac:dyDescent="0.25">
      <c r="C118"/>
      <c r="D118" s="18" t="s">
        <v>4115</v>
      </c>
      <c r="E118" s="18" t="s">
        <v>4116</v>
      </c>
      <c r="F118" s="41">
        <v>1</v>
      </c>
    </row>
    <row r="119" spans="3:6" x14ac:dyDescent="0.25">
      <c r="C119"/>
      <c r="D119" s="18" t="s">
        <v>4119</v>
      </c>
      <c r="E119" s="18" t="s">
        <v>4120</v>
      </c>
      <c r="F119" s="41">
        <v>1</v>
      </c>
    </row>
    <row r="120" spans="3:6" x14ac:dyDescent="0.25">
      <c r="C120"/>
      <c r="D120" s="18" t="s">
        <v>4123</v>
      </c>
      <c r="E120" s="18" t="s">
        <v>4124</v>
      </c>
      <c r="F120" s="41">
        <v>4</v>
      </c>
    </row>
    <row r="121" spans="3:6" x14ac:dyDescent="0.25">
      <c r="C121"/>
      <c r="D121" s="18" t="s">
        <v>4127</v>
      </c>
      <c r="E121" s="18" t="s">
        <v>4128</v>
      </c>
      <c r="F121" s="41">
        <v>3</v>
      </c>
    </row>
    <row r="122" spans="3:6" x14ac:dyDescent="0.25">
      <c r="C122"/>
      <c r="D122" s="18" t="s">
        <v>4131</v>
      </c>
      <c r="E122" s="18" t="s">
        <v>4132</v>
      </c>
      <c r="F122" s="41">
        <v>1</v>
      </c>
    </row>
    <row r="123" spans="3:6" x14ac:dyDescent="0.25">
      <c r="C123"/>
      <c r="D123" s="18" t="s">
        <v>4135</v>
      </c>
      <c r="E123" s="18" t="s">
        <v>4136</v>
      </c>
      <c r="F123" s="41">
        <v>1</v>
      </c>
    </row>
    <row r="124" spans="3:6" x14ac:dyDescent="0.25">
      <c r="C124"/>
      <c r="D124" s="18" t="s">
        <v>4139</v>
      </c>
      <c r="E124" s="18" t="s">
        <v>4140</v>
      </c>
      <c r="F124" s="41">
        <v>1</v>
      </c>
    </row>
    <row r="125" spans="3:6" x14ac:dyDescent="0.25">
      <c r="C125"/>
      <c r="D125" s="18" t="s">
        <v>4143</v>
      </c>
      <c r="E125" s="18" t="s">
        <v>4144</v>
      </c>
      <c r="F125" s="41">
        <v>1</v>
      </c>
    </row>
    <row r="126" spans="3:6" x14ac:dyDescent="0.25">
      <c r="C126"/>
      <c r="D126" s="18" t="s">
        <v>4147</v>
      </c>
      <c r="E126" s="18" t="s">
        <v>4148</v>
      </c>
      <c r="F126" s="41">
        <v>1</v>
      </c>
    </row>
    <row r="127" spans="3:6" x14ac:dyDescent="0.25">
      <c r="C127"/>
      <c r="D127" s="18" t="s">
        <v>4151</v>
      </c>
      <c r="E127" s="18" t="s">
        <v>4152</v>
      </c>
      <c r="F127" s="41">
        <v>1</v>
      </c>
    </row>
    <row r="128" spans="3:6" x14ac:dyDescent="0.25">
      <c r="C128"/>
      <c r="D128" s="18" t="s">
        <v>4155</v>
      </c>
      <c r="E128" s="18" t="s">
        <v>4156</v>
      </c>
      <c r="F128" s="41">
        <v>1</v>
      </c>
    </row>
    <row r="129" spans="1:6" x14ac:dyDescent="0.25">
      <c r="C129"/>
      <c r="D129" s="18" t="s">
        <v>4159</v>
      </c>
      <c r="E129" s="18" t="s">
        <v>4160</v>
      </c>
      <c r="F129" s="41">
        <v>1</v>
      </c>
    </row>
    <row r="130" spans="1:6" x14ac:dyDescent="0.25">
      <c r="C130"/>
      <c r="D130" s="18" t="s">
        <v>4163</v>
      </c>
      <c r="E130" s="18" t="s">
        <v>4164</v>
      </c>
      <c r="F130" s="41">
        <v>1</v>
      </c>
    </row>
    <row r="131" spans="1:6" x14ac:dyDescent="0.25">
      <c r="C131"/>
      <c r="D131" s="18" t="s">
        <v>4167</v>
      </c>
      <c r="E131" s="18" t="s">
        <v>4168</v>
      </c>
      <c r="F131" s="41">
        <v>2</v>
      </c>
    </row>
    <row r="132" spans="1:6" x14ac:dyDescent="0.25">
      <c r="C132"/>
      <c r="D132" s="18" t="s">
        <v>4171</v>
      </c>
      <c r="E132" s="18" t="s">
        <v>4172</v>
      </c>
      <c r="F132" s="41">
        <v>2</v>
      </c>
    </row>
    <row r="133" spans="1:6" x14ac:dyDescent="0.25">
      <c r="C133"/>
      <c r="D133" s="18" t="s">
        <v>4175</v>
      </c>
      <c r="E133" s="18" t="s">
        <v>4176</v>
      </c>
      <c r="F133" s="41">
        <v>2</v>
      </c>
    </row>
    <row r="134" spans="1:6" x14ac:dyDescent="0.25">
      <c r="C134"/>
      <c r="D134" s="18" t="s">
        <v>4179</v>
      </c>
      <c r="E134" s="18" t="s">
        <v>4180</v>
      </c>
      <c r="F134" s="41">
        <v>1</v>
      </c>
    </row>
    <row r="135" spans="1:6" x14ac:dyDescent="0.25">
      <c r="C135"/>
      <c r="D135" s="18" t="s">
        <v>4183</v>
      </c>
      <c r="E135" s="18" t="s">
        <v>4184</v>
      </c>
      <c r="F135" s="41">
        <v>1</v>
      </c>
    </row>
    <row r="136" spans="1:6" x14ac:dyDescent="0.25">
      <c r="C136"/>
      <c r="D136" s="18" t="s">
        <v>4187</v>
      </c>
      <c r="E136" s="18" t="s">
        <v>4188</v>
      </c>
      <c r="F136" s="41">
        <v>1</v>
      </c>
    </row>
    <row r="137" spans="1:6" x14ac:dyDescent="0.25">
      <c r="C137"/>
      <c r="D137" s="18" t="s">
        <v>4191</v>
      </c>
      <c r="E137" s="18" t="s">
        <v>4192</v>
      </c>
      <c r="F137" s="41">
        <v>1</v>
      </c>
    </row>
    <row r="138" spans="1:6" x14ac:dyDescent="0.25">
      <c r="C138"/>
      <c r="D138" s="18" t="s">
        <v>4195</v>
      </c>
      <c r="E138" s="18" t="s">
        <v>4196</v>
      </c>
      <c r="F138" s="41">
        <v>1</v>
      </c>
    </row>
    <row r="139" spans="1:6" x14ac:dyDescent="0.25">
      <c r="C139"/>
      <c r="D139" s="18" t="s">
        <v>4199</v>
      </c>
      <c r="E139" s="18" t="s">
        <v>4200</v>
      </c>
      <c r="F139" s="41">
        <v>1</v>
      </c>
    </row>
    <row r="140" spans="1:6" x14ac:dyDescent="0.25">
      <c r="C140"/>
      <c r="D140" s="18" t="s">
        <v>4203</v>
      </c>
      <c r="E140" s="18" t="s">
        <v>4204</v>
      </c>
      <c r="F140" s="41">
        <v>1</v>
      </c>
    </row>
    <row r="141" spans="1:6" x14ac:dyDescent="0.25">
      <c r="A141" s="18" t="s">
        <v>7850</v>
      </c>
      <c r="F141" s="41">
        <v>734</v>
      </c>
    </row>
    <row r="142" spans="1:6" x14ac:dyDescent="0.25">
      <c r="A142" s="18" t="s">
        <v>7753</v>
      </c>
      <c r="F142" s="41">
        <v>734</v>
      </c>
    </row>
    <row r="143" spans="1:6" x14ac:dyDescent="0.25">
      <c r="A143"/>
      <c r="B143"/>
      <c r="C143"/>
      <c r="D143"/>
      <c r="E143"/>
      <c r="F143"/>
    </row>
    <row r="144" spans="1:6" x14ac:dyDescent="0.25">
      <c r="A144"/>
      <c r="B144"/>
      <c r="C144"/>
      <c r="D144"/>
      <c r="E144"/>
      <c r="F144"/>
    </row>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row r="2436" customFormat="1" x14ac:dyDescent="0.25"/>
    <row r="2437" customFormat="1" x14ac:dyDescent="0.25"/>
    <row r="2438" customFormat="1" x14ac:dyDescent="0.25"/>
    <row r="2439" customFormat="1" x14ac:dyDescent="0.25"/>
    <row r="2440" customFormat="1" x14ac:dyDescent="0.25"/>
    <row r="2441" customFormat="1" x14ac:dyDescent="0.25"/>
    <row r="2442" customFormat="1" x14ac:dyDescent="0.25"/>
    <row r="2443" customFormat="1" x14ac:dyDescent="0.25"/>
    <row r="2444" customFormat="1" x14ac:dyDescent="0.25"/>
    <row r="2445" customFormat="1" x14ac:dyDescent="0.25"/>
    <row r="2446" customFormat="1" x14ac:dyDescent="0.25"/>
    <row r="2447" customFormat="1" x14ac:dyDescent="0.25"/>
    <row r="2448" customFormat="1" x14ac:dyDescent="0.25"/>
    <row r="2449" customFormat="1" x14ac:dyDescent="0.25"/>
    <row r="2450" customFormat="1" x14ac:dyDescent="0.25"/>
    <row r="2451" customFormat="1" x14ac:dyDescent="0.25"/>
    <row r="2452" customFormat="1" x14ac:dyDescent="0.25"/>
    <row r="2453" customFormat="1" x14ac:dyDescent="0.25"/>
    <row r="2454" customFormat="1" x14ac:dyDescent="0.25"/>
    <row r="2455" customFormat="1" x14ac:dyDescent="0.25"/>
    <row r="2456" customFormat="1" x14ac:dyDescent="0.25"/>
    <row r="2457" customFormat="1" x14ac:dyDescent="0.25"/>
    <row r="2458" customFormat="1" x14ac:dyDescent="0.25"/>
    <row r="2459" customFormat="1" x14ac:dyDescent="0.25"/>
    <row r="2460" customFormat="1" x14ac:dyDescent="0.25"/>
    <row r="2461" customFormat="1" x14ac:dyDescent="0.25"/>
    <row r="2462" customFormat="1" x14ac:dyDescent="0.25"/>
    <row r="2463" customFormat="1" x14ac:dyDescent="0.25"/>
    <row r="2464" customFormat="1" x14ac:dyDescent="0.25"/>
    <row r="2465" customFormat="1" x14ac:dyDescent="0.25"/>
    <row r="2466" customFormat="1" x14ac:dyDescent="0.25"/>
    <row r="2467" customFormat="1" x14ac:dyDescent="0.25"/>
    <row r="2468" customFormat="1" x14ac:dyDescent="0.25"/>
    <row r="2469" customFormat="1" x14ac:dyDescent="0.25"/>
    <row r="2470" customFormat="1" x14ac:dyDescent="0.25"/>
    <row r="2471" customFormat="1" x14ac:dyDescent="0.25"/>
    <row r="2472" customFormat="1" x14ac:dyDescent="0.25"/>
    <row r="2473" customFormat="1" x14ac:dyDescent="0.25"/>
    <row r="2474" customFormat="1" x14ac:dyDescent="0.25"/>
    <row r="2475" customFormat="1" x14ac:dyDescent="0.25"/>
    <row r="2476" customFormat="1" x14ac:dyDescent="0.25"/>
    <row r="2477" customFormat="1" x14ac:dyDescent="0.25"/>
    <row r="2478" customFormat="1" x14ac:dyDescent="0.25"/>
    <row r="2479" customFormat="1" x14ac:dyDescent="0.25"/>
    <row r="2480" customFormat="1" x14ac:dyDescent="0.25"/>
    <row r="2481" customFormat="1" x14ac:dyDescent="0.25"/>
    <row r="2482" customFormat="1" x14ac:dyDescent="0.25"/>
    <row r="2483" customFormat="1" x14ac:dyDescent="0.25"/>
    <row r="2484" customFormat="1" x14ac:dyDescent="0.25"/>
    <row r="2485" customFormat="1" x14ac:dyDescent="0.25"/>
    <row r="2486" customFormat="1" x14ac:dyDescent="0.25"/>
    <row r="2487" customFormat="1" x14ac:dyDescent="0.25"/>
    <row r="2488" customFormat="1" x14ac:dyDescent="0.25"/>
    <row r="2489" customFormat="1" x14ac:dyDescent="0.25"/>
    <row r="2490" customFormat="1" x14ac:dyDescent="0.25"/>
    <row r="2491" customFormat="1" x14ac:dyDescent="0.25"/>
    <row r="2492" customFormat="1" x14ac:dyDescent="0.25"/>
    <row r="2493" customFormat="1" x14ac:dyDescent="0.25"/>
    <row r="2494" customFormat="1" x14ac:dyDescent="0.25"/>
    <row r="2495" customFormat="1" x14ac:dyDescent="0.25"/>
    <row r="2496" customFormat="1" x14ac:dyDescent="0.25"/>
    <row r="2497" customFormat="1" x14ac:dyDescent="0.25"/>
    <row r="2498" customFormat="1" x14ac:dyDescent="0.25"/>
    <row r="2499" customFormat="1" x14ac:dyDescent="0.25"/>
    <row r="2500" customFormat="1" x14ac:dyDescent="0.25"/>
    <row r="2501" customFormat="1" x14ac:dyDescent="0.25"/>
    <row r="2502" customFormat="1" x14ac:dyDescent="0.25"/>
    <row r="2503" customFormat="1" x14ac:dyDescent="0.25"/>
    <row r="2504" customFormat="1" x14ac:dyDescent="0.25"/>
    <row r="2505" customFormat="1" x14ac:dyDescent="0.25"/>
    <row r="2506" customFormat="1" x14ac:dyDescent="0.25"/>
    <row r="2507" customFormat="1" x14ac:dyDescent="0.25"/>
    <row r="2508" customFormat="1" x14ac:dyDescent="0.25"/>
    <row r="2509" customFormat="1" x14ac:dyDescent="0.25"/>
    <row r="2510" customFormat="1" x14ac:dyDescent="0.25"/>
    <row r="2511" customFormat="1" x14ac:dyDescent="0.25"/>
    <row r="2512" customFormat="1" x14ac:dyDescent="0.25"/>
    <row r="2513" customFormat="1" x14ac:dyDescent="0.25"/>
    <row r="2514" customFormat="1" x14ac:dyDescent="0.25"/>
    <row r="2515" customFormat="1" x14ac:dyDescent="0.25"/>
    <row r="2516" customFormat="1" x14ac:dyDescent="0.25"/>
    <row r="2517" customFormat="1" x14ac:dyDescent="0.25"/>
    <row r="2518" customFormat="1" x14ac:dyDescent="0.25"/>
    <row r="2519" customFormat="1" x14ac:dyDescent="0.25"/>
    <row r="2520" customFormat="1" x14ac:dyDescent="0.25"/>
    <row r="2521" customFormat="1" x14ac:dyDescent="0.25"/>
    <row r="2522" customFormat="1" x14ac:dyDescent="0.25"/>
    <row r="2523" customFormat="1" x14ac:dyDescent="0.25"/>
    <row r="2524" customFormat="1" x14ac:dyDescent="0.25"/>
    <row r="2525" customFormat="1" x14ac:dyDescent="0.25"/>
    <row r="2526" customFormat="1" x14ac:dyDescent="0.25"/>
    <row r="2527" customFormat="1" x14ac:dyDescent="0.25"/>
    <row r="2528" customFormat="1" x14ac:dyDescent="0.25"/>
    <row r="2529" customFormat="1" x14ac:dyDescent="0.25"/>
    <row r="2530" customFormat="1" x14ac:dyDescent="0.25"/>
    <row r="2531" customFormat="1" x14ac:dyDescent="0.25"/>
    <row r="2532" customFormat="1" x14ac:dyDescent="0.25"/>
    <row r="2533" customFormat="1" x14ac:dyDescent="0.25"/>
    <row r="2534" customFormat="1" x14ac:dyDescent="0.25"/>
    <row r="2535" customFormat="1" x14ac:dyDescent="0.25"/>
    <row r="2536" customFormat="1" x14ac:dyDescent="0.25"/>
    <row r="2537" customFormat="1" x14ac:dyDescent="0.25"/>
    <row r="2538" customFormat="1" x14ac:dyDescent="0.25"/>
    <row r="2539" customFormat="1" x14ac:dyDescent="0.25"/>
    <row r="2540" customFormat="1" x14ac:dyDescent="0.25"/>
    <row r="2541" customFormat="1" x14ac:dyDescent="0.25"/>
    <row r="2542" customFormat="1" x14ac:dyDescent="0.25"/>
    <row r="2543" customFormat="1" x14ac:dyDescent="0.25"/>
    <row r="2544" customFormat="1" x14ac:dyDescent="0.25"/>
    <row r="2545" customFormat="1" x14ac:dyDescent="0.25"/>
    <row r="2546" customFormat="1" x14ac:dyDescent="0.25"/>
    <row r="2547" customFormat="1" x14ac:dyDescent="0.25"/>
    <row r="2548" customFormat="1" x14ac:dyDescent="0.25"/>
    <row r="2549" customFormat="1" x14ac:dyDescent="0.25"/>
    <row r="2550" customFormat="1" x14ac:dyDescent="0.25"/>
    <row r="2551" customFormat="1" x14ac:dyDescent="0.25"/>
    <row r="2552" customFormat="1" x14ac:dyDescent="0.25"/>
    <row r="2553" customFormat="1" x14ac:dyDescent="0.25"/>
    <row r="2554" customFormat="1" x14ac:dyDescent="0.25"/>
    <row r="2555" customFormat="1" x14ac:dyDescent="0.25"/>
    <row r="2556" customFormat="1" x14ac:dyDescent="0.25"/>
    <row r="2557" customFormat="1" x14ac:dyDescent="0.25"/>
    <row r="2558" customFormat="1" x14ac:dyDescent="0.25"/>
    <row r="2559" customFormat="1" x14ac:dyDescent="0.25"/>
    <row r="2560" customFormat="1" x14ac:dyDescent="0.25"/>
    <row r="2561" customFormat="1" x14ac:dyDescent="0.25"/>
    <row r="2562" customFormat="1" x14ac:dyDescent="0.25"/>
    <row r="2563" customFormat="1" x14ac:dyDescent="0.25"/>
    <row r="2564" customFormat="1" x14ac:dyDescent="0.25"/>
    <row r="2565" customFormat="1" x14ac:dyDescent="0.25"/>
    <row r="2566" customFormat="1" x14ac:dyDescent="0.25"/>
    <row r="2567" customFormat="1" x14ac:dyDescent="0.25"/>
    <row r="2568" customFormat="1" x14ac:dyDescent="0.25"/>
    <row r="2569" customFormat="1" x14ac:dyDescent="0.25"/>
    <row r="2570" customFormat="1" x14ac:dyDescent="0.25"/>
    <row r="2571" customFormat="1" x14ac:dyDescent="0.25"/>
    <row r="2572" customFormat="1" x14ac:dyDescent="0.25"/>
    <row r="2573" customFormat="1" x14ac:dyDescent="0.25"/>
    <row r="2574" customFormat="1" x14ac:dyDescent="0.25"/>
    <row r="2575" customFormat="1" x14ac:dyDescent="0.25"/>
    <row r="2576" customFormat="1" x14ac:dyDescent="0.25"/>
    <row r="2577" customFormat="1" x14ac:dyDescent="0.25"/>
    <row r="2578" customFormat="1" x14ac:dyDescent="0.25"/>
    <row r="2579" customFormat="1" x14ac:dyDescent="0.25"/>
    <row r="2580" customFormat="1" x14ac:dyDescent="0.25"/>
    <row r="2581" customFormat="1" x14ac:dyDescent="0.25"/>
    <row r="2582" customFormat="1" x14ac:dyDescent="0.25"/>
    <row r="2583" customFormat="1" x14ac:dyDescent="0.25"/>
    <row r="2584" customFormat="1" x14ac:dyDescent="0.25"/>
    <row r="2585" customFormat="1" x14ac:dyDescent="0.25"/>
    <row r="2586" customFormat="1" x14ac:dyDescent="0.25"/>
    <row r="2587" customFormat="1" x14ac:dyDescent="0.25"/>
    <row r="2588" customFormat="1" x14ac:dyDescent="0.25"/>
    <row r="2589" customFormat="1" x14ac:dyDescent="0.25"/>
    <row r="2590" customFormat="1" x14ac:dyDescent="0.25"/>
    <row r="2591" customFormat="1" x14ac:dyDescent="0.25"/>
    <row r="2592" customFormat="1" x14ac:dyDescent="0.25"/>
    <row r="2593" customFormat="1" x14ac:dyDescent="0.25"/>
    <row r="2594" customFormat="1" x14ac:dyDescent="0.25"/>
    <row r="2595" customFormat="1" x14ac:dyDescent="0.25"/>
    <row r="2596" customFormat="1" x14ac:dyDescent="0.25"/>
    <row r="2597" customFormat="1" x14ac:dyDescent="0.25"/>
    <row r="2598" customFormat="1" x14ac:dyDescent="0.25"/>
    <row r="2599" customFormat="1" x14ac:dyDescent="0.25"/>
    <row r="2600" customFormat="1" x14ac:dyDescent="0.25"/>
    <row r="2601" customFormat="1" x14ac:dyDescent="0.25"/>
    <row r="2602" customFormat="1" x14ac:dyDescent="0.25"/>
    <row r="2603" customFormat="1" x14ac:dyDescent="0.25"/>
    <row r="2604" customFormat="1" x14ac:dyDescent="0.25"/>
    <row r="2605" customFormat="1" x14ac:dyDescent="0.25"/>
    <row r="2606" customFormat="1" x14ac:dyDescent="0.25"/>
    <row r="2607" customFormat="1" x14ac:dyDescent="0.25"/>
    <row r="2608" customFormat="1" x14ac:dyDescent="0.25"/>
    <row r="2609" customFormat="1" x14ac:dyDescent="0.25"/>
    <row r="2610" customFormat="1" x14ac:dyDescent="0.25"/>
    <row r="2611" customFormat="1" x14ac:dyDescent="0.25"/>
    <row r="2612" customFormat="1" x14ac:dyDescent="0.25"/>
    <row r="2613" customFormat="1" x14ac:dyDescent="0.25"/>
    <row r="2614" customFormat="1" x14ac:dyDescent="0.25"/>
    <row r="2615" customFormat="1" x14ac:dyDescent="0.25"/>
    <row r="2616" customFormat="1" x14ac:dyDescent="0.25"/>
    <row r="2617" customFormat="1" x14ac:dyDescent="0.25"/>
    <row r="2618" customFormat="1" x14ac:dyDescent="0.25"/>
    <row r="2619" customFormat="1" x14ac:dyDescent="0.25"/>
    <row r="2620" customFormat="1" x14ac:dyDescent="0.25"/>
    <row r="2621" customFormat="1" x14ac:dyDescent="0.25"/>
    <row r="2622" customFormat="1" x14ac:dyDescent="0.25"/>
    <row r="2623" customFormat="1" x14ac:dyDescent="0.25"/>
    <row r="2624" customFormat="1" x14ac:dyDescent="0.25"/>
    <row r="2625" customFormat="1" x14ac:dyDescent="0.25"/>
    <row r="2626" customFormat="1" x14ac:dyDescent="0.25"/>
    <row r="2627" customFormat="1" x14ac:dyDescent="0.25"/>
    <row r="2628" customFormat="1" x14ac:dyDescent="0.25"/>
    <row r="2629" customFormat="1" x14ac:dyDescent="0.25"/>
    <row r="2630" customFormat="1" x14ac:dyDescent="0.25"/>
    <row r="2631" customFormat="1" x14ac:dyDescent="0.25"/>
    <row r="2632" customFormat="1" x14ac:dyDescent="0.25"/>
    <row r="2633" customFormat="1" x14ac:dyDescent="0.25"/>
    <row r="2634" customFormat="1" x14ac:dyDescent="0.25"/>
    <row r="2635" customFormat="1" x14ac:dyDescent="0.25"/>
    <row r="2636" customFormat="1" x14ac:dyDescent="0.25"/>
    <row r="2637" customFormat="1" x14ac:dyDescent="0.25"/>
    <row r="2638" customFormat="1" x14ac:dyDescent="0.25"/>
    <row r="2639" customFormat="1" x14ac:dyDescent="0.25"/>
    <row r="2640" customFormat="1" x14ac:dyDescent="0.25"/>
    <row r="2641" customFormat="1" x14ac:dyDescent="0.25"/>
    <row r="2642" customFormat="1" x14ac:dyDescent="0.25"/>
    <row r="2643" customFormat="1" x14ac:dyDescent="0.25"/>
    <row r="2644" customFormat="1" x14ac:dyDescent="0.25"/>
    <row r="2645" customFormat="1" x14ac:dyDescent="0.25"/>
    <row r="2646" customFormat="1" x14ac:dyDescent="0.25"/>
    <row r="2647" customFormat="1" x14ac:dyDescent="0.25"/>
    <row r="2648" customFormat="1" x14ac:dyDescent="0.25"/>
    <row r="2649" customFormat="1" x14ac:dyDescent="0.25"/>
    <row r="2650" customFormat="1" x14ac:dyDescent="0.25"/>
    <row r="2651" customFormat="1" x14ac:dyDescent="0.25"/>
    <row r="2652" customFormat="1" x14ac:dyDescent="0.25"/>
    <row r="2653" customFormat="1" x14ac:dyDescent="0.25"/>
    <row r="2654" customFormat="1" x14ac:dyDescent="0.25"/>
    <row r="2655" customFormat="1" x14ac:dyDescent="0.25"/>
    <row r="2656" customFormat="1" x14ac:dyDescent="0.25"/>
    <row r="2657" customFormat="1" x14ac:dyDescent="0.25"/>
    <row r="2658" customFormat="1" x14ac:dyDescent="0.25"/>
    <row r="2659" customFormat="1" x14ac:dyDescent="0.25"/>
    <row r="2660" customFormat="1" x14ac:dyDescent="0.25"/>
    <row r="2661" customFormat="1" x14ac:dyDescent="0.25"/>
    <row r="2662" customFormat="1" x14ac:dyDescent="0.25"/>
    <row r="2663" customFormat="1" x14ac:dyDescent="0.25"/>
    <row r="2664" customFormat="1" x14ac:dyDescent="0.25"/>
    <row r="2665" customFormat="1" x14ac:dyDescent="0.25"/>
    <row r="2666" customFormat="1" x14ac:dyDescent="0.25"/>
    <row r="2667" customFormat="1" x14ac:dyDescent="0.25"/>
    <row r="2668" customFormat="1" x14ac:dyDescent="0.25"/>
    <row r="2669" customFormat="1" x14ac:dyDescent="0.25"/>
    <row r="2670" customFormat="1" x14ac:dyDescent="0.25"/>
    <row r="2671" customFormat="1" x14ac:dyDescent="0.25"/>
    <row r="2672" customFormat="1" x14ac:dyDescent="0.25"/>
    <row r="2673" customFormat="1" x14ac:dyDescent="0.25"/>
    <row r="2674" customFormat="1" x14ac:dyDescent="0.25"/>
    <row r="2675" customFormat="1" x14ac:dyDescent="0.25"/>
    <row r="2676" customFormat="1" x14ac:dyDescent="0.25"/>
    <row r="2677" customFormat="1" x14ac:dyDescent="0.25"/>
    <row r="2678" customFormat="1" x14ac:dyDescent="0.25"/>
    <row r="2679" customFormat="1" x14ac:dyDescent="0.25"/>
    <row r="2680" customFormat="1" x14ac:dyDescent="0.25"/>
    <row r="2681" customFormat="1" x14ac:dyDescent="0.25"/>
    <row r="2682" customFormat="1" x14ac:dyDescent="0.25"/>
    <row r="2683" customFormat="1" x14ac:dyDescent="0.25"/>
    <row r="2684" customFormat="1" x14ac:dyDescent="0.25"/>
    <row r="2685" customFormat="1" x14ac:dyDescent="0.25"/>
    <row r="2686" customFormat="1" x14ac:dyDescent="0.25"/>
    <row r="2687" customFormat="1" x14ac:dyDescent="0.25"/>
    <row r="2688" customFormat="1" x14ac:dyDescent="0.25"/>
    <row r="2689" customFormat="1" x14ac:dyDescent="0.25"/>
    <row r="2690" customFormat="1" x14ac:dyDescent="0.25"/>
    <row r="2691" customFormat="1" x14ac:dyDescent="0.25"/>
    <row r="2692" customFormat="1" x14ac:dyDescent="0.25"/>
    <row r="2693" customFormat="1" x14ac:dyDescent="0.25"/>
    <row r="2694" customFormat="1" x14ac:dyDescent="0.25"/>
    <row r="2695" customFormat="1" x14ac:dyDescent="0.25"/>
    <row r="2696" customFormat="1" x14ac:dyDescent="0.25"/>
    <row r="2697" customFormat="1" x14ac:dyDescent="0.25"/>
    <row r="2698" customFormat="1" x14ac:dyDescent="0.25"/>
    <row r="2699" customFormat="1" x14ac:dyDescent="0.25"/>
    <row r="2700" customFormat="1" x14ac:dyDescent="0.25"/>
    <row r="2701" customFormat="1" x14ac:dyDescent="0.25"/>
    <row r="2702" customFormat="1" x14ac:dyDescent="0.25"/>
    <row r="2703" customFormat="1" x14ac:dyDescent="0.25"/>
    <row r="2704" customFormat="1" x14ac:dyDescent="0.25"/>
    <row r="2705" customFormat="1" x14ac:dyDescent="0.25"/>
    <row r="2706" customFormat="1" x14ac:dyDescent="0.25"/>
    <row r="2707" customFormat="1" x14ac:dyDescent="0.25"/>
    <row r="2708" customFormat="1" x14ac:dyDescent="0.25"/>
    <row r="2709" customFormat="1" x14ac:dyDescent="0.25"/>
    <row r="2710" customFormat="1" x14ac:dyDescent="0.25"/>
    <row r="2711" customFormat="1" x14ac:dyDescent="0.25"/>
    <row r="2712" customFormat="1" x14ac:dyDescent="0.25"/>
    <row r="2713" customFormat="1" x14ac:dyDescent="0.25"/>
    <row r="2714" customFormat="1" x14ac:dyDescent="0.25"/>
    <row r="2715" customFormat="1" x14ac:dyDescent="0.25"/>
    <row r="2716" customFormat="1" x14ac:dyDescent="0.25"/>
    <row r="2717" customFormat="1" x14ac:dyDescent="0.25"/>
    <row r="2718" customFormat="1" x14ac:dyDescent="0.25"/>
    <row r="2719" customFormat="1" x14ac:dyDescent="0.25"/>
    <row r="2720" customFormat="1" x14ac:dyDescent="0.25"/>
    <row r="2721" customFormat="1" x14ac:dyDescent="0.25"/>
    <row r="2722" customFormat="1" x14ac:dyDescent="0.25"/>
    <row r="2723" customFormat="1" x14ac:dyDescent="0.25"/>
    <row r="2724" customFormat="1" x14ac:dyDescent="0.25"/>
    <row r="2725" customFormat="1" x14ac:dyDescent="0.25"/>
    <row r="2726" customFormat="1" x14ac:dyDescent="0.25"/>
    <row r="2727" customFormat="1" x14ac:dyDescent="0.25"/>
    <row r="2728" customFormat="1" x14ac:dyDescent="0.25"/>
    <row r="2729" customFormat="1" x14ac:dyDescent="0.25"/>
    <row r="2730" customFormat="1" x14ac:dyDescent="0.25"/>
    <row r="2731" customFormat="1" x14ac:dyDescent="0.25"/>
    <row r="2732" customFormat="1" x14ac:dyDescent="0.25"/>
    <row r="2733" customFormat="1" x14ac:dyDescent="0.25"/>
    <row r="2734" customFormat="1" x14ac:dyDescent="0.25"/>
    <row r="2735" customFormat="1" x14ac:dyDescent="0.25"/>
    <row r="2736" customFormat="1" x14ac:dyDescent="0.25"/>
    <row r="2737" customFormat="1" x14ac:dyDescent="0.25"/>
    <row r="2738" customFormat="1" x14ac:dyDescent="0.25"/>
    <row r="2739" customFormat="1" x14ac:dyDescent="0.25"/>
    <row r="2740" customFormat="1" x14ac:dyDescent="0.25"/>
    <row r="2741" customFormat="1" x14ac:dyDescent="0.25"/>
    <row r="2742" customFormat="1" x14ac:dyDescent="0.25"/>
    <row r="2743" customFormat="1" x14ac:dyDescent="0.25"/>
    <row r="2744" customFormat="1" x14ac:dyDescent="0.25"/>
    <row r="2745" customFormat="1" x14ac:dyDescent="0.25"/>
    <row r="2746" customFormat="1" x14ac:dyDescent="0.25"/>
    <row r="2747" customFormat="1" x14ac:dyDescent="0.25"/>
    <row r="2748" customFormat="1" x14ac:dyDescent="0.25"/>
    <row r="2749" customFormat="1" x14ac:dyDescent="0.25"/>
    <row r="2750" customFormat="1" x14ac:dyDescent="0.25"/>
    <row r="2751" customFormat="1" x14ac:dyDescent="0.25"/>
    <row r="2752" customFormat="1" x14ac:dyDescent="0.25"/>
    <row r="2753" customFormat="1" x14ac:dyDescent="0.25"/>
    <row r="2754" customFormat="1" x14ac:dyDescent="0.25"/>
    <row r="2755" customFormat="1" x14ac:dyDescent="0.25"/>
    <row r="2756" customFormat="1" x14ac:dyDescent="0.25"/>
    <row r="2757" customFormat="1" x14ac:dyDescent="0.25"/>
    <row r="2758" customFormat="1" x14ac:dyDescent="0.25"/>
    <row r="2759" customFormat="1" x14ac:dyDescent="0.25"/>
    <row r="2760" customFormat="1" x14ac:dyDescent="0.25"/>
    <row r="2761" customFormat="1" x14ac:dyDescent="0.25"/>
    <row r="2762" customFormat="1" x14ac:dyDescent="0.25"/>
    <row r="2763" customFormat="1" x14ac:dyDescent="0.25"/>
    <row r="2764" customFormat="1" x14ac:dyDescent="0.25"/>
    <row r="2765" customFormat="1" x14ac:dyDescent="0.25"/>
    <row r="2766" customFormat="1" x14ac:dyDescent="0.25"/>
    <row r="2767" customFormat="1" x14ac:dyDescent="0.25"/>
    <row r="2768" customFormat="1" x14ac:dyDescent="0.25"/>
    <row r="2769" customFormat="1" x14ac:dyDescent="0.25"/>
    <row r="2770" customFormat="1" x14ac:dyDescent="0.25"/>
    <row r="2771" customFormat="1" x14ac:dyDescent="0.25"/>
    <row r="2772" customFormat="1" x14ac:dyDescent="0.25"/>
    <row r="2773" customFormat="1" x14ac:dyDescent="0.25"/>
    <row r="2774" customFormat="1" x14ac:dyDescent="0.25"/>
    <row r="2775" customFormat="1" x14ac:dyDescent="0.25"/>
    <row r="2776" customFormat="1" x14ac:dyDescent="0.25"/>
    <row r="2777" customFormat="1" x14ac:dyDescent="0.25"/>
    <row r="2778" customFormat="1" x14ac:dyDescent="0.25"/>
    <row r="2779" customFormat="1" x14ac:dyDescent="0.25"/>
    <row r="2780" customFormat="1" x14ac:dyDescent="0.25"/>
    <row r="2781" customFormat="1" x14ac:dyDescent="0.25"/>
    <row r="2782" customFormat="1" x14ac:dyDescent="0.25"/>
    <row r="2783" customFormat="1" x14ac:dyDescent="0.25"/>
    <row r="2784" customFormat="1" x14ac:dyDescent="0.25"/>
    <row r="2785" customFormat="1" x14ac:dyDescent="0.25"/>
    <row r="2786" customFormat="1" x14ac:dyDescent="0.25"/>
    <row r="2787" customFormat="1" x14ac:dyDescent="0.25"/>
    <row r="2788" customFormat="1" x14ac:dyDescent="0.25"/>
    <row r="2789" customFormat="1" x14ac:dyDescent="0.25"/>
    <row r="2790" customFormat="1" x14ac:dyDescent="0.25"/>
    <row r="2791" customFormat="1" x14ac:dyDescent="0.25"/>
    <row r="2792" customFormat="1" x14ac:dyDescent="0.25"/>
    <row r="2793" customFormat="1" x14ac:dyDescent="0.25"/>
    <row r="2794" customFormat="1" x14ac:dyDescent="0.25"/>
    <row r="2795" customFormat="1" x14ac:dyDescent="0.25"/>
    <row r="2796" customFormat="1" x14ac:dyDescent="0.25"/>
    <row r="2797" customFormat="1" x14ac:dyDescent="0.25"/>
    <row r="2798" customFormat="1" x14ac:dyDescent="0.25"/>
    <row r="2799" customFormat="1" x14ac:dyDescent="0.25"/>
    <row r="2800" customFormat="1" x14ac:dyDescent="0.25"/>
    <row r="2801" customFormat="1" x14ac:dyDescent="0.25"/>
    <row r="2802" customFormat="1" x14ac:dyDescent="0.25"/>
    <row r="2803" customFormat="1" x14ac:dyDescent="0.25"/>
    <row r="2804" customFormat="1" x14ac:dyDescent="0.25"/>
    <row r="2805" customFormat="1" x14ac:dyDescent="0.25"/>
    <row r="2806" customFormat="1" x14ac:dyDescent="0.25"/>
    <row r="2807" customFormat="1" x14ac:dyDescent="0.25"/>
    <row r="2808" customFormat="1" x14ac:dyDescent="0.25"/>
    <row r="2809" customFormat="1" x14ac:dyDescent="0.25"/>
    <row r="2810" customFormat="1" x14ac:dyDescent="0.25"/>
    <row r="2811" customFormat="1" x14ac:dyDescent="0.25"/>
    <row r="2812" customFormat="1" x14ac:dyDescent="0.25"/>
    <row r="2813" customFormat="1" x14ac:dyDescent="0.25"/>
    <row r="2814" customFormat="1" x14ac:dyDescent="0.25"/>
    <row r="2815" customFormat="1" x14ac:dyDescent="0.25"/>
    <row r="2816" customFormat="1" x14ac:dyDescent="0.25"/>
    <row r="2817" customFormat="1" x14ac:dyDescent="0.25"/>
    <row r="2818" customFormat="1" x14ac:dyDescent="0.25"/>
    <row r="2819" customFormat="1" x14ac:dyDescent="0.25"/>
    <row r="2820" customFormat="1" x14ac:dyDescent="0.25"/>
    <row r="2821" customFormat="1" x14ac:dyDescent="0.25"/>
    <row r="2822" customFormat="1" x14ac:dyDescent="0.25"/>
    <row r="2823" customFormat="1" x14ac:dyDescent="0.25"/>
    <row r="2824" customFormat="1" x14ac:dyDescent="0.25"/>
    <row r="2825" customFormat="1" x14ac:dyDescent="0.25"/>
    <row r="2826" customFormat="1" x14ac:dyDescent="0.25"/>
    <row r="2827" customFormat="1" x14ac:dyDescent="0.25"/>
    <row r="2828" customFormat="1" x14ac:dyDescent="0.25"/>
    <row r="2829" customFormat="1" x14ac:dyDescent="0.25"/>
    <row r="2830" customFormat="1" x14ac:dyDescent="0.25"/>
    <row r="2831" customFormat="1" x14ac:dyDescent="0.25"/>
    <row r="2832" customFormat="1" x14ac:dyDescent="0.25"/>
    <row r="2833" customFormat="1" x14ac:dyDescent="0.25"/>
    <row r="2834" customFormat="1" x14ac:dyDescent="0.25"/>
    <row r="2835" customFormat="1" x14ac:dyDescent="0.25"/>
    <row r="2836" customFormat="1" x14ac:dyDescent="0.25"/>
    <row r="2837" customFormat="1" x14ac:dyDescent="0.25"/>
    <row r="2838" customFormat="1" x14ac:dyDescent="0.25"/>
    <row r="2839" customFormat="1" x14ac:dyDescent="0.25"/>
    <row r="2840" customFormat="1" x14ac:dyDescent="0.25"/>
    <row r="2841" customFormat="1" x14ac:dyDescent="0.25"/>
    <row r="2842" customFormat="1" x14ac:dyDescent="0.25"/>
    <row r="2843" customFormat="1" x14ac:dyDescent="0.25"/>
    <row r="2844" customFormat="1" x14ac:dyDescent="0.25"/>
    <row r="2845" customFormat="1" x14ac:dyDescent="0.25"/>
    <row r="2846" customFormat="1" x14ac:dyDescent="0.25"/>
    <row r="2847" customFormat="1" x14ac:dyDescent="0.25"/>
    <row r="2848" customFormat="1" x14ac:dyDescent="0.25"/>
    <row r="2849" customFormat="1" x14ac:dyDescent="0.25"/>
    <row r="2850" customFormat="1" x14ac:dyDescent="0.25"/>
    <row r="2851" customFormat="1" x14ac:dyDescent="0.25"/>
    <row r="2852" customFormat="1" x14ac:dyDescent="0.25"/>
    <row r="2853" customFormat="1" x14ac:dyDescent="0.25"/>
    <row r="2854" customFormat="1" x14ac:dyDescent="0.25"/>
    <row r="2855" customFormat="1" x14ac:dyDescent="0.25"/>
    <row r="2856" customFormat="1" x14ac:dyDescent="0.25"/>
    <row r="2857" customFormat="1" x14ac:dyDescent="0.25"/>
    <row r="2858" customFormat="1" x14ac:dyDescent="0.25"/>
    <row r="2859" customFormat="1" x14ac:dyDescent="0.25"/>
    <row r="2860" customFormat="1" x14ac:dyDescent="0.25"/>
    <row r="2861" customFormat="1" x14ac:dyDescent="0.25"/>
    <row r="2862" customFormat="1" x14ac:dyDescent="0.25"/>
  </sheetData>
  <mergeCells count="1">
    <mergeCell ref="C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CCF2-4A45-4900-AC94-A20F2F3C4494}">
  <dimension ref="A1:F1327"/>
  <sheetViews>
    <sheetView workbookViewId="0">
      <selection activeCell="E3" sqref="E3"/>
    </sheetView>
  </sheetViews>
  <sheetFormatPr defaultRowHeight="15" x14ac:dyDescent="0.25"/>
  <cols>
    <col min="1" max="1" width="43.5703125" bestFit="1" customWidth="1"/>
    <col min="2" max="2" width="38.5703125" customWidth="1"/>
    <col min="3" max="3" width="41.5703125" customWidth="1"/>
    <col min="4" max="4" width="30.5703125" bestFit="1" customWidth="1"/>
    <col min="5" max="5" width="52.85546875" bestFit="1" customWidth="1"/>
    <col min="6" max="7" width="5.42578125" bestFit="1" customWidth="1"/>
    <col min="8" max="51" width="6.42578125" bestFit="1" customWidth="1"/>
    <col min="52" max="53" width="10.7109375" bestFit="1" customWidth="1"/>
  </cols>
  <sheetData>
    <row r="1" spans="1:6" x14ac:dyDescent="0.25">
      <c r="A1" s="7" t="s">
        <v>0</v>
      </c>
      <c r="B1" t="s">
        <v>7755</v>
      </c>
      <c r="C1" s="34" t="s">
        <v>7980</v>
      </c>
      <c r="D1" s="35"/>
    </row>
    <row r="2" spans="1:6" ht="15.75" thickBot="1" x14ac:dyDescent="0.3">
      <c r="A2" s="7" t="s">
        <v>7678</v>
      </c>
      <c r="B2" t="s">
        <v>7964</v>
      </c>
      <c r="C2" s="36"/>
      <c r="D2" s="37"/>
    </row>
    <row r="3" spans="1:6" x14ac:dyDescent="0.25">
      <c r="A3" s="7" t="s">
        <v>4</v>
      </c>
      <c r="B3" t="s">
        <v>7755</v>
      </c>
    </row>
    <row r="5" spans="1:6" x14ac:dyDescent="0.25">
      <c r="A5" s="7" t="s">
        <v>7754</v>
      </c>
    </row>
    <row r="6" spans="1:6" x14ac:dyDescent="0.25">
      <c r="A6" s="7" t="s">
        <v>7965</v>
      </c>
      <c r="B6" s="7" t="s">
        <v>7671</v>
      </c>
      <c r="C6" s="7" t="s">
        <v>7961</v>
      </c>
      <c r="D6" s="7" t="s">
        <v>2</v>
      </c>
      <c r="E6" s="7" t="s">
        <v>3</v>
      </c>
      <c r="F6" t="s">
        <v>7756</v>
      </c>
    </row>
    <row r="7" spans="1:6" x14ac:dyDescent="0.25">
      <c r="A7" t="s">
        <v>7674</v>
      </c>
      <c r="B7" t="s">
        <v>7302</v>
      </c>
      <c r="C7" t="s">
        <v>7962</v>
      </c>
      <c r="D7" t="s">
        <v>2594</v>
      </c>
      <c r="E7" t="s">
        <v>2595</v>
      </c>
      <c r="F7" s="40">
        <v>1</v>
      </c>
    </row>
    <row r="8" spans="1:6" x14ac:dyDescent="0.25">
      <c r="B8" t="s">
        <v>7303</v>
      </c>
      <c r="C8" t="s">
        <v>7962</v>
      </c>
      <c r="D8" t="s">
        <v>2599</v>
      </c>
      <c r="E8" t="s">
        <v>2600</v>
      </c>
      <c r="F8" s="40">
        <v>1</v>
      </c>
    </row>
    <row r="9" spans="1:6" x14ac:dyDescent="0.25">
      <c r="D9" t="s">
        <v>2603</v>
      </c>
      <c r="E9" t="s">
        <v>2604</v>
      </c>
      <c r="F9" s="40">
        <v>1</v>
      </c>
    </row>
    <row r="10" spans="1:6" x14ac:dyDescent="0.25">
      <c r="D10" t="s">
        <v>2607</v>
      </c>
      <c r="E10" t="s">
        <v>2608</v>
      </c>
      <c r="F10" s="40">
        <v>1</v>
      </c>
    </row>
    <row r="11" spans="1:6" x14ac:dyDescent="0.25">
      <c r="D11" t="s">
        <v>2611</v>
      </c>
      <c r="E11" t="s">
        <v>2612</v>
      </c>
      <c r="F11" s="40">
        <v>1</v>
      </c>
    </row>
    <row r="12" spans="1:6" x14ac:dyDescent="0.25">
      <c r="D12" t="s">
        <v>2627</v>
      </c>
      <c r="E12" t="s">
        <v>2628</v>
      </c>
      <c r="F12" s="40">
        <v>1</v>
      </c>
    </row>
    <row r="13" spans="1:6" x14ac:dyDescent="0.25">
      <c r="D13" t="s">
        <v>2615</v>
      </c>
      <c r="E13" t="s">
        <v>2616</v>
      </c>
      <c r="F13" s="40">
        <v>1</v>
      </c>
    </row>
    <row r="14" spans="1:6" x14ac:dyDescent="0.25">
      <c r="D14" t="s">
        <v>2619</v>
      </c>
      <c r="E14" t="s">
        <v>2620</v>
      </c>
      <c r="F14" s="40">
        <v>2</v>
      </c>
    </row>
    <row r="15" spans="1:6" x14ac:dyDescent="0.25">
      <c r="D15" t="s">
        <v>2623</v>
      </c>
      <c r="E15" t="s">
        <v>2624</v>
      </c>
      <c r="F15" s="40">
        <v>3</v>
      </c>
    </row>
    <row r="16" spans="1:6" x14ac:dyDescent="0.25">
      <c r="D16" t="s">
        <v>2631</v>
      </c>
      <c r="E16" t="s">
        <v>2632</v>
      </c>
      <c r="F16" s="40">
        <v>2</v>
      </c>
    </row>
    <row r="17" spans="2:6" x14ac:dyDescent="0.25">
      <c r="D17" t="s">
        <v>2639</v>
      </c>
      <c r="E17" t="s">
        <v>2640</v>
      </c>
      <c r="F17" s="40">
        <v>2</v>
      </c>
    </row>
    <row r="18" spans="2:6" x14ac:dyDescent="0.25">
      <c r="D18" t="s">
        <v>2596</v>
      </c>
      <c r="E18" t="s">
        <v>2597</v>
      </c>
      <c r="F18" s="40">
        <v>1</v>
      </c>
    </row>
    <row r="19" spans="2:6" x14ac:dyDescent="0.25">
      <c r="B19" t="s">
        <v>7308</v>
      </c>
      <c r="C19" t="s">
        <v>3361</v>
      </c>
      <c r="D19" t="s">
        <v>3364</v>
      </c>
      <c r="E19" t="s">
        <v>3365</v>
      </c>
      <c r="F19" s="40">
        <v>2</v>
      </c>
    </row>
    <row r="20" spans="2:6" x14ac:dyDescent="0.25">
      <c r="D20" t="s">
        <v>3368</v>
      </c>
      <c r="E20" t="s">
        <v>3369</v>
      </c>
      <c r="F20" s="40">
        <v>1</v>
      </c>
    </row>
    <row r="21" spans="2:6" x14ac:dyDescent="0.25">
      <c r="D21" t="s">
        <v>3360</v>
      </c>
      <c r="E21" t="s">
        <v>3361</v>
      </c>
      <c r="F21" s="40">
        <v>1</v>
      </c>
    </row>
    <row r="22" spans="2:6" x14ac:dyDescent="0.25">
      <c r="C22" t="s">
        <v>3062</v>
      </c>
      <c r="D22" t="s">
        <v>3061</v>
      </c>
      <c r="E22" t="s">
        <v>3062</v>
      </c>
      <c r="F22" s="40">
        <v>1</v>
      </c>
    </row>
    <row r="23" spans="2:6" x14ac:dyDescent="0.25">
      <c r="D23" t="s">
        <v>3077</v>
      </c>
      <c r="E23" t="s">
        <v>3078</v>
      </c>
      <c r="F23" s="40">
        <v>1</v>
      </c>
    </row>
    <row r="24" spans="2:6" x14ac:dyDescent="0.25">
      <c r="D24" t="s">
        <v>3081</v>
      </c>
      <c r="E24" t="s">
        <v>3082</v>
      </c>
      <c r="F24" s="40">
        <v>1</v>
      </c>
    </row>
    <row r="25" spans="2:6" x14ac:dyDescent="0.25">
      <c r="D25" t="s">
        <v>3085</v>
      </c>
      <c r="E25" t="s">
        <v>3086</v>
      </c>
      <c r="F25" s="40">
        <v>1</v>
      </c>
    </row>
    <row r="26" spans="2:6" x14ac:dyDescent="0.25">
      <c r="D26" t="s">
        <v>3089</v>
      </c>
      <c r="E26" t="s">
        <v>3090</v>
      </c>
      <c r="F26" s="40">
        <v>1</v>
      </c>
    </row>
    <row r="27" spans="2:6" x14ac:dyDescent="0.25">
      <c r="D27" t="s">
        <v>3093</v>
      </c>
      <c r="E27" t="s">
        <v>3094</v>
      </c>
      <c r="F27" s="40">
        <v>1</v>
      </c>
    </row>
    <row r="28" spans="2:6" x14ac:dyDescent="0.25">
      <c r="D28" t="s">
        <v>3097</v>
      </c>
      <c r="E28" t="s">
        <v>3098</v>
      </c>
      <c r="F28" s="40">
        <v>1</v>
      </c>
    </row>
    <row r="29" spans="2:6" x14ac:dyDescent="0.25">
      <c r="D29" t="s">
        <v>3101</v>
      </c>
      <c r="E29" t="s">
        <v>3102</v>
      </c>
      <c r="F29" s="40">
        <v>1</v>
      </c>
    </row>
    <row r="30" spans="2:6" x14ac:dyDescent="0.25">
      <c r="D30" t="s">
        <v>3105</v>
      </c>
      <c r="E30" t="s">
        <v>3106</v>
      </c>
      <c r="F30" s="40">
        <v>1</v>
      </c>
    </row>
    <row r="31" spans="2:6" x14ac:dyDescent="0.25">
      <c r="D31" t="s">
        <v>3109</v>
      </c>
      <c r="E31" t="s">
        <v>3110</v>
      </c>
      <c r="F31" s="40">
        <v>1</v>
      </c>
    </row>
    <row r="32" spans="2:6" x14ac:dyDescent="0.25">
      <c r="D32" t="s">
        <v>3113</v>
      </c>
      <c r="E32" t="s">
        <v>3114</v>
      </c>
      <c r="F32" s="40">
        <v>1</v>
      </c>
    </row>
    <row r="33" spans="3:6" x14ac:dyDescent="0.25">
      <c r="D33" t="s">
        <v>3117</v>
      </c>
      <c r="E33" t="s">
        <v>3118</v>
      </c>
      <c r="F33" s="40">
        <v>1</v>
      </c>
    </row>
    <row r="34" spans="3:6" x14ac:dyDescent="0.25">
      <c r="D34" t="s">
        <v>3121</v>
      </c>
      <c r="E34" t="s">
        <v>3122</v>
      </c>
      <c r="F34" s="40">
        <v>1</v>
      </c>
    </row>
    <row r="35" spans="3:6" x14ac:dyDescent="0.25">
      <c r="D35" t="s">
        <v>3125</v>
      </c>
      <c r="E35" t="s">
        <v>3126</v>
      </c>
      <c r="F35" s="40">
        <v>1</v>
      </c>
    </row>
    <row r="36" spans="3:6" x14ac:dyDescent="0.25">
      <c r="D36" t="s">
        <v>3129</v>
      </c>
      <c r="E36" t="s">
        <v>3130</v>
      </c>
      <c r="F36" s="40">
        <v>1</v>
      </c>
    </row>
    <row r="37" spans="3:6" x14ac:dyDescent="0.25">
      <c r="D37" t="s">
        <v>3133</v>
      </c>
      <c r="E37" t="s">
        <v>3134</v>
      </c>
      <c r="F37" s="40">
        <v>1</v>
      </c>
    </row>
    <row r="38" spans="3:6" x14ac:dyDescent="0.25">
      <c r="D38" t="s">
        <v>3137</v>
      </c>
      <c r="E38" t="s">
        <v>3138</v>
      </c>
      <c r="F38" s="40">
        <v>1</v>
      </c>
    </row>
    <row r="39" spans="3:6" x14ac:dyDescent="0.25">
      <c r="D39" t="s">
        <v>3141</v>
      </c>
      <c r="E39" t="s">
        <v>3142</v>
      </c>
      <c r="F39" s="40">
        <v>1</v>
      </c>
    </row>
    <row r="40" spans="3:6" x14ac:dyDescent="0.25">
      <c r="D40" t="s">
        <v>3145</v>
      </c>
      <c r="E40" t="s">
        <v>3146</v>
      </c>
      <c r="F40" s="40">
        <v>1</v>
      </c>
    </row>
    <row r="41" spans="3:6" x14ac:dyDescent="0.25">
      <c r="D41" t="s">
        <v>3065</v>
      </c>
      <c r="E41" t="s">
        <v>3066</v>
      </c>
      <c r="F41" s="40">
        <v>1</v>
      </c>
    </row>
    <row r="42" spans="3:6" x14ac:dyDescent="0.25">
      <c r="D42" t="s">
        <v>3069</v>
      </c>
      <c r="E42" t="s">
        <v>3070</v>
      </c>
      <c r="F42" s="40">
        <v>1</v>
      </c>
    </row>
    <row r="43" spans="3:6" x14ac:dyDescent="0.25">
      <c r="D43" t="s">
        <v>3073</v>
      </c>
      <c r="E43" t="s">
        <v>3074</v>
      </c>
      <c r="F43" s="40">
        <v>1</v>
      </c>
    </row>
    <row r="44" spans="3:6" x14ac:dyDescent="0.25">
      <c r="C44" t="s">
        <v>3223</v>
      </c>
      <c r="D44" t="s">
        <v>3226</v>
      </c>
      <c r="E44" t="s">
        <v>3227</v>
      </c>
      <c r="F44" s="40">
        <v>1</v>
      </c>
    </row>
    <row r="45" spans="3:6" x14ac:dyDescent="0.25">
      <c r="D45" t="s">
        <v>3230</v>
      </c>
      <c r="E45" t="s">
        <v>3231</v>
      </c>
      <c r="F45" s="40">
        <v>1</v>
      </c>
    </row>
    <row r="46" spans="3:6" x14ac:dyDescent="0.25">
      <c r="D46" t="s">
        <v>3234</v>
      </c>
      <c r="E46" t="s">
        <v>3235</v>
      </c>
      <c r="F46" s="40">
        <v>1</v>
      </c>
    </row>
    <row r="47" spans="3:6" x14ac:dyDescent="0.25">
      <c r="D47" t="s">
        <v>3238</v>
      </c>
      <c r="E47" t="s">
        <v>3239</v>
      </c>
      <c r="F47" s="40">
        <v>2</v>
      </c>
    </row>
    <row r="48" spans="3:6" x14ac:dyDescent="0.25">
      <c r="D48" t="s">
        <v>3242</v>
      </c>
      <c r="E48" t="s">
        <v>3243</v>
      </c>
      <c r="F48" s="40">
        <v>1</v>
      </c>
    </row>
    <row r="49" spans="4:6" x14ac:dyDescent="0.25">
      <c r="D49" t="s">
        <v>3246</v>
      </c>
      <c r="E49" t="s">
        <v>3247</v>
      </c>
      <c r="F49" s="40">
        <v>1</v>
      </c>
    </row>
    <row r="50" spans="4:6" x14ac:dyDescent="0.25">
      <c r="D50" t="s">
        <v>3250</v>
      </c>
      <c r="E50" t="s">
        <v>3251</v>
      </c>
      <c r="F50" s="40">
        <v>1</v>
      </c>
    </row>
    <row r="51" spans="4:6" x14ac:dyDescent="0.25">
      <c r="D51" t="s">
        <v>3254</v>
      </c>
      <c r="E51" t="s">
        <v>3255</v>
      </c>
      <c r="F51" s="40">
        <v>1</v>
      </c>
    </row>
    <row r="52" spans="4:6" x14ac:dyDescent="0.25">
      <c r="D52" t="s">
        <v>3258</v>
      </c>
      <c r="E52" t="s">
        <v>3259</v>
      </c>
      <c r="F52" s="40">
        <v>1</v>
      </c>
    </row>
    <row r="53" spans="4:6" x14ac:dyDescent="0.25">
      <c r="D53" t="s">
        <v>3262</v>
      </c>
      <c r="E53" t="s">
        <v>3263</v>
      </c>
      <c r="F53" s="40">
        <v>1</v>
      </c>
    </row>
    <row r="54" spans="4:6" x14ac:dyDescent="0.25">
      <c r="D54" t="s">
        <v>3266</v>
      </c>
      <c r="E54" t="s">
        <v>3267</v>
      </c>
      <c r="F54" s="40">
        <v>1</v>
      </c>
    </row>
    <row r="55" spans="4:6" x14ac:dyDescent="0.25">
      <c r="D55" t="s">
        <v>3270</v>
      </c>
      <c r="E55" t="s">
        <v>3271</v>
      </c>
      <c r="F55" s="40">
        <v>1</v>
      </c>
    </row>
    <row r="56" spans="4:6" x14ac:dyDescent="0.25">
      <c r="D56" t="s">
        <v>3274</v>
      </c>
      <c r="E56" t="s">
        <v>3275</v>
      </c>
      <c r="F56" s="40">
        <v>1</v>
      </c>
    </row>
    <row r="57" spans="4:6" x14ac:dyDescent="0.25">
      <c r="D57" t="s">
        <v>3278</v>
      </c>
      <c r="E57" t="s">
        <v>3279</v>
      </c>
      <c r="F57" s="40">
        <v>1</v>
      </c>
    </row>
    <row r="58" spans="4:6" x14ac:dyDescent="0.25">
      <c r="D58" t="s">
        <v>3282</v>
      </c>
      <c r="E58" t="s">
        <v>3283</v>
      </c>
      <c r="F58" s="40">
        <v>2</v>
      </c>
    </row>
    <row r="59" spans="4:6" x14ac:dyDescent="0.25">
      <c r="D59" t="s">
        <v>3286</v>
      </c>
      <c r="E59" t="s">
        <v>3287</v>
      </c>
      <c r="F59" s="40">
        <v>1</v>
      </c>
    </row>
    <row r="60" spans="4:6" x14ac:dyDescent="0.25">
      <c r="D60" t="s">
        <v>3290</v>
      </c>
      <c r="E60" t="s">
        <v>3291</v>
      </c>
      <c r="F60" s="40">
        <v>1</v>
      </c>
    </row>
    <row r="61" spans="4:6" x14ac:dyDescent="0.25">
      <c r="D61" t="s">
        <v>3294</v>
      </c>
      <c r="E61" t="s">
        <v>3295</v>
      </c>
      <c r="F61" s="40">
        <v>1</v>
      </c>
    </row>
    <row r="62" spans="4:6" x14ac:dyDescent="0.25">
      <c r="D62" t="s">
        <v>3222</v>
      </c>
      <c r="E62" t="s">
        <v>3223</v>
      </c>
      <c r="F62" s="40">
        <v>1</v>
      </c>
    </row>
    <row r="63" spans="4:6" x14ac:dyDescent="0.25">
      <c r="D63" t="s">
        <v>3298</v>
      </c>
      <c r="E63" t="s">
        <v>3299</v>
      </c>
      <c r="F63" s="40">
        <v>1</v>
      </c>
    </row>
    <row r="64" spans="4:6" x14ac:dyDescent="0.25">
      <c r="D64" t="s">
        <v>3302</v>
      </c>
      <c r="E64" t="s">
        <v>3303</v>
      </c>
      <c r="F64" s="40">
        <v>1</v>
      </c>
    </row>
    <row r="65" spans="3:6" x14ac:dyDescent="0.25">
      <c r="D65" t="s">
        <v>3306</v>
      </c>
      <c r="E65" t="s">
        <v>3307</v>
      </c>
      <c r="F65" s="40">
        <v>1</v>
      </c>
    </row>
    <row r="66" spans="3:6" x14ac:dyDescent="0.25">
      <c r="D66" t="s">
        <v>3310</v>
      </c>
      <c r="E66" t="s">
        <v>3311</v>
      </c>
      <c r="F66" s="40">
        <v>1</v>
      </c>
    </row>
    <row r="67" spans="3:6" x14ac:dyDescent="0.25">
      <c r="D67" t="s">
        <v>3314</v>
      </c>
      <c r="E67" t="s">
        <v>3315</v>
      </c>
      <c r="F67" s="40">
        <v>1</v>
      </c>
    </row>
    <row r="68" spans="3:6" x14ac:dyDescent="0.25">
      <c r="D68" t="s">
        <v>3318</v>
      </c>
      <c r="E68" t="s">
        <v>3319</v>
      </c>
      <c r="F68" s="40">
        <v>1</v>
      </c>
    </row>
    <row r="69" spans="3:6" x14ac:dyDescent="0.25">
      <c r="D69" t="s">
        <v>3322</v>
      </c>
      <c r="E69" t="s">
        <v>3323</v>
      </c>
      <c r="F69" s="40">
        <v>1</v>
      </c>
    </row>
    <row r="70" spans="3:6" x14ac:dyDescent="0.25">
      <c r="D70" t="s">
        <v>3326</v>
      </c>
      <c r="E70" t="s">
        <v>3327</v>
      </c>
      <c r="F70" s="40">
        <v>1</v>
      </c>
    </row>
    <row r="71" spans="3:6" x14ac:dyDescent="0.25">
      <c r="D71" t="s">
        <v>3330</v>
      </c>
      <c r="E71" t="s">
        <v>3331</v>
      </c>
      <c r="F71" s="40">
        <v>1</v>
      </c>
    </row>
    <row r="72" spans="3:6" x14ac:dyDescent="0.25">
      <c r="D72" t="s">
        <v>3334</v>
      </c>
      <c r="E72" t="s">
        <v>3335</v>
      </c>
      <c r="F72" s="40">
        <v>1</v>
      </c>
    </row>
    <row r="73" spans="3:6" x14ac:dyDescent="0.25">
      <c r="D73" t="s">
        <v>3338</v>
      </c>
      <c r="E73" t="s">
        <v>3339</v>
      </c>
      <c r="F73" s="40">
        <v>1</v>
      </c>
    </row>
    <row r="74" spans="3:6" x14ac:dyDescent="0.25">
      <c r="C74" t="s">
        <v>2713</v>
      </c>
      <c r="D74" t="s">
        <v>2712</v>
      </c>
      <c r="E74" t="s">
        <v>2713</v>
      </c>
      <c r="F74" s="40">
        <v>1</v>
      </c>
    </row>
    <row r="75" spans="3:6" x14ac:dyDescent="0.25">
      <c r="C75" t="s">
        <v>7883</v>
      </c>
      <c r="D75" t="s">
        <v>2927</v>
      </c>
      <c r="E75" t="s">
        <v>2928</v>
      </c>
      <c r="F75" s="40">
        <v>1</v>
      </c>
    </row>
    <row r="76" spans="3:6" x14ac:dyDescent="0.25">
      <c r="D76" t="s">
        <v>2939</v>
      </c>
      <c r="E76" t="s">
        <v>2940</v>
      </c>
      <c r="F76" s="40">
        <v>1</v>
      </c>
    </row>
    <row r="77" spans="3:6" x14ac:dyDescent="0.25">
      <c r="D77" t="s">
        <v>2943</v>
      </c>
      <c r="E77" t="s">
        <v>2944</v>
      </c>
      <c r="F77" s="40">
        <v>1</v>
      </c>
    </row>
    <row r="78" spans="3:6" x14ac:dyDescent="0.25">
      <c r="D78" t="s">
        <v>2947</v>
      </c>
      <c r="E78" t="s">
        <v>2948</v>
      </c>
      <c r="F78" s="40">
        <v>1</v>
      </c>
    </row>
    <row r="79" spans="3:6" x14ac:dyDescent="0.25">
      <c r="D79" t="s">
        <v>2951</v>
      </c>
      <c r="E79" t="s">
        <v>2952</v>
      </c>
      <c r="F79" s="40">
        <v>1</v>
      </c>
    </row>
    <row r="80" spans="3:6" x14ac:dyDescent="0.25">
      <c r="D80" t="s">
        <v>2955</v>
      </c>
      <c r="E80" t="s">
        <v>2956</v>
      </c>
      <c r="F80" s="40">
        <v>1</v>
      </c>
    </row>
    <row r="81" spans="4:6" x14ac:dyDescent="0.25">
      <c r="D81" t="s">
        <v>2959</v>
      </c>
      <c r="E81" t="s">
        <v>2971</v>
      </c>
      <c r="F81" s="40">
        <v>1</v>
      </c>
    </row>
    <row r="82" spans="4:6" x14ac:dyDescent="0.25">
      <c r="E82" t="s">
        <v>2960</v>
      </c>
      <c r="F82" s="40">
        <v>1</v>
      </c>
    </row>
    <row r="83" spans="4:6" x14ac:dyDescent="0.25">
      <c r="D83" t="s">
        <v>2963</v>
      </c>
      <c r="E83" t="s">
        <v>2974</v>
      </c>
      <c r="F83" s="40">
        <v>1</v>
      </c>
    </row>
    <row r="84" spans="4:6" x14ac:dyDescent="0.25">
      <c r="E84" t="s">
        <v>2964</v>
      </c>
      <c r="F84" s="40">
        <v>1</v>
      </c>
    </row>
    <row r="85" spans="4:6" x14ac:dyDescent="0.25">
      <c r="D85" t="s">
        <v>2967</v>
      </c>
      <c r="E85" t="s">
        <v>2968</v>
      </c>
      <c r="F85" s="40">
        <v>1</v>
      </c>
    </row>
    <row r="86" spans="4:6" x14ac:dyDescent="0.25">
      <c r="D86" t="s">
        <v>2977</v>
      </c>
      <c r="E86" t="s">
        <v>2978</v>
      </c>
      <c r="F86" s="40">
        <v>1</v>
      </c>
    </row>
    <row r="87" spans="4:6" x14ac:dyDescent="0.25">
      <c r="D87" t="s">
        <v>2981</v>
      </c>
      <c r="E87" t="s">
        <v>2982</v>
      </c>
      <c r="F87" s="40">
        <v>1</v>
      </c>
    </row>
    <row r="88" spans="4:6" x14ac:dyDescent="0.25">
      <c r="D88" t="s">
        <v>2985</v>
      </c>
      <c r="E88" t="s">
        <v>2986</v>
      </c>
      <c r="F88" s="40">
        <v>1</v>
      </c>
    </row>
    <row r="89" spans="4:6" x14ac:dyDescent="0.25">
      <c r="D89" t="s">
        <v>2989</v>
      </c>
      <c r="E89" t="s">
        <v>2990</v>
      </c>
      <c r="F89" s="40">
        <v>1</v>
      </c>
    </row>
    <row r="90" spans="4:6" x14ac:dyDescent="0.25">
      <c r="D90" t="s">
        <v>2993</v>
      </c>
      <c r="E90" t="s">
        <v>2994</v>
      </c>
      <c r="F90" s="40">
        <v>1</v>
      </c>
    </row>
    <row r="91" spans="4:6" x14ac:dyDescent="0.25">
      <c r="D91" t="s">
        <v>3001</v>
      </c>
      <c r="E91" t="s">
        <v>3002</v>
      </c>
      <c r="F91" s="40">
        <v>1</v>
      </c>
    </row>
    <row r="92" spans="4:6" x14ac:dyDescent="0.25">
      <c r="D92" t="s">
        <v>3005</v>
      </c>
      <c r="E92" t="s">
        <v>3006</v>
      </c>
      <c r="F92" s="40">
        <v>2</v>
      </c>
    </row>
    <row r="93" spans="4:6" x14ac:dyDescent="0.25">
      <c r="D93" t="s">
        <v>3009</v>
      </c>
      <c r="E93" t="s">
        <v>3010</v>
      </c>
      <c r="F93" s="40">
        <v>2</v>
      </c>
    </row>
    <row r="94" spans="4:6" x14ac:dyDescent="0.25">
      <c r="D94" t="s">
        <v>3013</v>
      </c>
      <c r="E94" t="s">
        <v>3014</v>
      </c>
      <c r="F94" s="40">
        <v>1</v>
      </c>
    </row>
    <row r="95" spans="4:6" x14ac:dyDescent="0.25">
      <c r="D95" t="s">
        <v>3021</v>
      </c>
      <c r="E95" t="s">
        <v>3022</v>
      </c>
      <c r="F95" s="40">
        <v>1</v>
      </c>
    </row>
    <row r="96" spans="4:6" x14ac:dyDescent="0.25">
      <c r="D96" t="s">
        <v>3017</v>
      </c>
      <c r="E96" t="s">
        <v>3018</v>
      </c>
      <c r="F96" s="40">
        <v>1</v>
      </c>
    </row>
    <row r="97" spans="3:6" x14ac:dyDescent="0.25">
      <c r="D97" t="s">
        <v>2997</v>
      </c>
      <c r="E97" t="s">
        <v>2998</v>
      </c>
      <c r="F97" s="40">
        <v>1</v>
      </c>
    </row>
    <row r="98" spans="3:6" x14ac:dyDescent="0.25">
      <c r="D98" t="s">
        <v>2931</v>
      </c>
      <c r="E98" t="s">
        <v>2932</v>
      </c>
      <c r="F98" s="40">
        <v>1</v>
      </c>
    </row>
    <row r="99" spans="3:6" x14ac:dyDescent="0.25">
      <c r="D99" t="s">
        <v>2935</v>
      </c>
      <c r="E99" t="s">
        <v>2936</v>
      </c>
      <c r="F99" s="40">
        <v>2</v>
      </c>
    </row>
    <row r="100" spans="3:6" x14ac:dyDescent="0.25">
      <c r="D100" t="s">
        <v>3025</v>
      </c>
      <c r="E100" t="s">
        <v>3026</v>
      </c>
      <c r="F100" s="40">
        <v>1</v>
      </c>
    </row>
    <row r="101" spans="3:6" x14ac:dyDescent="0.25">
      <c r="C101" t="s">
        <v>7882</v>
      </c>
      <c r="D101" t="s">
        <v>2869</v>
      </c>
      <c r="E101" t="s">
        <v>2870</v>
      </c>
      <c r="F101" s="40">
        <v>1</v>
      </c>
    </row>
    <row r="102" spans="3:6" x14ac:dyDescent="0.25">
      <c r="D102" t="s">
        <v>2873</v>
      </c>
      <c r="E102" t="s">
        <v>2874</v>
      </c>
      <c r="F102" s="40">
        <v>1</v>
      </c>
    </row>
    <row r="103" spans="3:6" x14ac:dyDescent="0.25">
      <c r="D103" t="s">
        <v>2893</v>
      </c>
      <c r="E103" t="s">
        <v>2894</v>
      </c>
      <c r="F103" s="40">
        <v>1</v>
      </c>
    </row>
    <row r="104" spans="3:6" x14ac:dyDescent="0.25">
      <c r="D104" t="s">
        <v>2897</v>
      </c>
      <c r="E104" t="s">
        <v>2898</v>
      </c>
      <c r="F104" s="40">
        <v>1</v>
      </c>
    </row>
    <row r="105" spans="3:6" x14ac:dyDescent="0.25">
      <c r="D105" t="s">
        <v>2901</v>
      </c>
      <c r="E105" t="s">
        <v>2902</v>
      </c>
      <c r="F105" s="40">
        <v>1</v>
      </c>
    </row>
    <row r="106" spans="3:6" x14ac:dyDescent="0.25">
      <c r="D106" t="s">
        <v>2905</v>
      </c>
      <c r="E106" t="s">
        <v>2906</v>
      </c>
      <c r="F106" s="40">
        <v>1</v>
      </c>
    </row>
    <row r="107" spans="3:6" x14ac:dyDescent="0.25">
      <c r="C107" t="s">
        <v>7881</v>
      </c>
      <c r="D107" t="s">
        <v>2827</v>
      </c>
      <c r="E107" t="s">
        <v>2828</v>
      </c>
      <c r="F107" s="40">
        <v>1</v>
      </c>
    </row>
    <row r="108" spans="3:6" x14ac:dyDescent="0.25">
      <c r="D108" t="s">
        <v>2851</v>
      </c>
      <c r="E108" t="s">
        <v>2852</v>
      </c>
      <c r="F108" s="40">
        <v>1</v>
      </c>
    </row>
    <row r="109" spans="3:6" x14ac:dyDescent="0.25">
      <c r="D109" t="s">
        <v>2831</v>
      </c>
      <c r="E109" t="s">
        <v>2832</v>
      </c>
      <c r="F109" s="40">
        <v>1</v>
      </c>
    </row>
    <row r="110" spans="3:6" x14ac:dyDescent="0.25">
      <c r="D110" t="s">
        <v>2835</v>
      </c>
      <c r="E110" t="s">
        <v>2836</v>
      </c>
      <c r="F110" s="40">
        <v>1</v>
      </c>
    </row>
    <row r="111" spans="3:6" x14ac:dyDescent="0.25">
      <c r="D111" t="s">
        <v>2839</v>
      </c>
      <c r="E111" t="s">
        <v>2840</v>
      </c>
      <c r="F111" s="40">
        <v>1</v>
      </c>
    </row>
    <row r="112" spans="3:6" x14ac:dyDescent="0.25">
      <c r="D112" t="s">
        <v>2843</v>
      </c>
      <c r="E112" t="s">
        <v>2844</v>
      </c>
      <c r="F112" s="40">
        <v>1</v>
      </c>
    </row>
    <row r="113" spans="3:6" x14ac:dyDescent="0.25">
      <c r="D113" t="s">
        <v>2847</v>
      </c>
      <c r="E113" t="s">
        <v>2848</v>
      </c>
      <c r="F113" s="40">
        <v>1</v>
      </c>
    </row>
    <row r="114" spans="3:6" x14ac:dyDescent="0.25">
      <c r="C114" t="s">
        <v>7880</v>
      </c>
      <c r="D114" t="s">
        <v>2720</v>
      </c>
      <c r="E114" t="s">
        <v>2721</v>
      </c>
      <c r="F114" s="40">
        <v>1</v>
      </c>
    </row>
    <row r="115" spans="3:6" x14ac:dyDescent="0.25">
      <c r="D115" t="s">
        <v>2744</v>
      </c>
      <c r="E115" t="s">
        <v>2745</v>
      </c>
      <c r="F115" s="40">
        <v>1</v>
      </c>
    </row>
    <row r="116" spans="3:6" x14ac:dyDescent="0.25">
      <c r="D116" t="s">
        <v>2732</v>
      </c>
      <c r="E116" t="s">
        <v>2733</v>
      </c>
      <c r="F116" s="40">
        <v>1</v>
      </c>
    </row>
    <row r="117" spans="3:6" x14ac:dyDescent="0.25">
      <c r="D117" t="s">
        <v>2740</v>
      </c>
      <c r="E117" t="s">
        <v>2741</v>
      </c>
      <c r="F117" s="40">
        <v>1</v>
      </c>
    </row>
    <row r="118" spans="3:6" x14ac:dyDescent="0.25">
      <c r="D118" t="s">
        <v>2728</v>
      </c>
      <c r="E118" t="s">
        <v>2729</v>
      </c>
      <c r="F118" s="40">
        <v>1</v>
      </c>
    </row>
    <row r="119" spans="3:6" x14ac:dyDescent="0.25">
      <c r="D119" t="s">
        <v>2724</v>
      </c>
      <c r="E119" t="s">
        <v>2725</v>
      </c>
      <c r="F119" s="40">
        <v>1</v>
      </c>
    </row>
    <row r="120" spans="3:6" x14ac:dyDescent="0.25">
      <c r="D120" t="s">
        <v>2736</v>
      </c>
      <c r="E120" t="s">
        <v>2737</v>
      </c>
      <c r="F120" s="40">
        <v>1</v>
      </c>
    </row>
    <row r="121" spans="3:6" x14ac:dyDescent="0.25">
      <c r="C121" t="s">
        <v>2668</v>
      </c>
      <c r="D121" t="s">
        <v>2667</v>
      </c>
      <c r="E121" t="s">
        <v>2668</v>
      </c>
      <c r="F121" s="40">
        <v>1</v>
      </c>
    </row>
    <row r="122" spans="3:6" x14ac:dyDescent="0.25">
      <c r="D122" t="s">
        <v>2671</v>
      </c>
      <c r="E122" t="s">
        <v>2672</v>
      </c>
      <c r="F122" s="40">
        <v>1</v>
      </c>
    </row>
    <row r="123" spans="3:6" x14ac:dyDescent="0.25">
      <c r="D123" t="s">
        <v>2675</v>
      </c>
      <c r="E123" t="s">
        <v>2676</v>
      </c>
      <c r="F123" s="40">
        <v>1</v>
      </c>
    </row>
    <row r="124" spans="3:6" x14ac:dyDescent="0.25">
      <c r="D124" t="s">
        <v>2679</v>
      </c>
      <c r="E124" t="s">
        <v>2680</v>
      </c>
      <c r="F124" s="40">
        <v>1</v>
      </c>
    </row>
    <row r="125" spans="3:6" x14ac:dyDescent="0.25">
      <c r="D125" t="s">
        <v>2684</v>
      </c>
      <c r="E125" t="s">
        <v>2685</v>
      </c>
      <c r="F125" s="40">
        <v>2</v>
      </c>
    </row>
    <row r="126" spans="3:6" x14ac:dyDescent="0.25">
      <c r="C126" t="s">
        <v>2697</v>
      </c>
      <c r="D126" t="s">
        <v>2696</v>
      </c>
      <c r="E126" t="s">
        <v>2697</v>
      </c>
      <c r="F126" s="40">
        <v>1</v>
      </c>
    </row>
    <row r="127" spans="3:6" x14ac:dyDescent="0.25">
      <c r="D127" t="s">
        <v>2700</v>
      </c>
      <c r="E127" t="s">
        <v>2701</v>
      </c>
      <c r="F127" s="40">
        <v>1</v>
      </c>
    </row>
    <row r="128" spans="3:6" x14ac:dyDescent="0.25">
      <c r="D128" t="s">
        <v>2704</v>
      </c>
      <c r="E128" t="s">
        <v>2705</v>
      </c>
      <c r="F128" s="40">
        <v>1</v>
      </c>
    </row>
    <row r="129" spans="3:6" x14ac:dyDescent="0.25">
      <c r="D129" t="s">
        <v>2708</v>
      </c>
      <c r="E129" t="s">
        <v>2709</v>
      </c>
      <c r="F129" s="40">
        <v>1</v>
      </c>
    </row>
    <row r="130" spans="3:6" x14ac:dyDescent="0.25">
      <c r="C130" t="s">
        <v>7962</v>
      </c>
      <c r="D130" t="s">
        <v>2664</v>
      </c>
      <c r="E130" t="s">
        <v>2665</v>
      </c>
      <c r="F130" s="40">
        <v>1</v>
      </c>
    </row>
    <row r="131" spans="3:6" x14ac:dyDescent="0.25">
      <c r="D131" t="s">
        <v>2692</v>
      </c>
      <c r="E131" t="s">
        <v>2693</v>
      </c>
      <c r="F131" s="40">
        <v>2</v>
      </c>
    </row>
    <row r="132" spans="3:6" x14ac:dyDescent="0.25">
      <c r="D132" t="s">
        <v>3053</v>
      </c>
      <c r="E132" t="s">
        <v>3054</v>
      </c>
      <c r="F132" s="40">
        <v>1</v>
      </c>
    </row>
    <row r="133" spans="3:6" x14ac:dyDescent="0.25">
      <c r="D133" t="s">
        <v>3057</v>
      </c>
      <c r="E133" t="s">
        <v>3058</v>
      </c>
      <c r="F133" s="40">
        <v>1</v>
      </c>
    </row>
    <row r="134" spans="3:6" x14ac:dyDescent="0.25">
      <c r="D134" t="s">
        <v>3192</v>
      </c>
      <c r="E134" t="s">
        <v>3193</v>
      </c>
      <c r="F134" s="40">
        <v>1</v>
      </c>
    </row>
    <row r="135" spans="3:6" x14ac:dyDescent="0.25">
      <c r="D135" t="s">
        <v>3189</v>
      </c>
      <c r="E135" t="s">
        <v>3190</v>
      </c>
      <c r="F135" s="40">
        <v>1</v>
      </c>
    </row>
    <row r="136" spans="3:6" x14ac:dyDescent="0.25">
      <c r="D136" t="s">
        <v>3198</v>
      </c>
      <c r="E136" t="s">
        <v>3199</v>
      </c>
      <c r="F136" s="40">
        <v>1</v>
      </c>
    </row>
    <row r="137" spans="3:6" x14ac:dyDescent="0.25">
      <c r="D137" t="s">
        <v>3195</v>
      </c>
      <c r="E137" t="s">
        <v>3196</v>
      </c>
      <c r="F137" s="40">
        <v>1</v>
      </c>
    </row>
    <row r="138" spans="3:6" x14ac:dyDescent="0.25">
      <c r="D138" t="s">
        <v>3204</v>
      </c>
      <c r="E138" t="s">
        <v>3205</v>
      </c>
      <c r="F138" s="40">
        <v>1</v>
      </c>
    </row>
    <row r="139" spans="3:6" x14ac:dyDescent="0.25">
      <c r="D139" t="s">
        <v>3207</v>
      </c>
      <c r="E139" t="s">
        <v>3208</v>
      </c>
      <c r="F139" s="40">
        <v>1</v>
      </c>
    </row>
    <row r="140" spans="3:6" x14ac:dyDescent="0.25">
      <c r="D140" t="s">
        <v>3201</v>
      </c>
      <c r="E140" t="s">
        <v>3202</v>
      </c>
      <c r="F140" s="40">
        <v>1</v>
      </c>
    </row>
    <row r="141" spans="3:6" x14ac:dyDescent="0.25">
      <c r="D141" t="s">
        <v>3210</v>
      </c>
      <c r="E141" t="s">
        <v>3211</v>
      </c>
      <c r="F141" s="40">
        <v>1</v>
      </c>
    </row>
    <row r="142" spans="3:6" x14ac:dyDescent="0.25">
      <c r="D142" t="s">
        <v>3213</v>
      </c>
      <c r="E142" t="s">
        <v>3214</v>
      </c>
      <c r="F142" s="40">
        <v>2</v>
      </c>
    </row>
    <row r="143" spans="3:6" x14ac:dyDescent="0.25">
      <c r="D143" t="s">
        <v>3216</v>
      </c>
      <c r="E143" t="s">
        <v>3217</v>
      </c>
      <c r="F143" s="40">
        <v>1</v>
      </c>
    </row>
    <row r="144" spans="3:6" x14ac:dyDescent="0.25">
      <c r="D144" t="s">
        <v>3219</v>
      </c>
      <c r="E144" t="s">
        <v>3220</v>
      </c>
      <c r="F144" s="40">
        <v>1</v>
      </c>
    </row>
    <row r="145" spans="2:6" x14ac:dyDescent="0.25">
      <c r="B145" t="s">
        <v>7358</v>
      </c>
      <c r="C145" t="s">
        <v>3844</v>
      </c>
      <c r="D145" t="s">
        <v>3843</v>
      </c>
      <c r="E145" t="s">
        <v>3844</v>
      </c>
      <c r="F145" s="40">
        <v>2</v>
      </c>
    </row>
    <row r="146" spans="2:6" x14ac:dyDescent="0.25">
      <c r="C146" t="s">
        <v>7913</v>
      </c>
      <c r="D146" t="s">
        <v>3877</v>
      </c>
      <c r="E146" t="s">
        <v>3878</v>
      </c>
      <c r="F146" s="40">
        <v>1</v>
      </c>
    </row>
    <row r="147" spans="2:6" x14ac:dyDescent="0.25">
      <c r="D147" t="s">
        <v>3873</v>
      </c>
      <c r="E147" t="s">
        <v>3874</v>
      </c>
      <c r="F147" s="40">
        <v>1</v>
      </c>
    </row>
    <row r="148" spans="2:6" x14ac:dyDescent="0.25">
      <c r="D148" t="s">
        <v>3869</v>
      </c>
      <c r="E148" t="s">
        <v>3870</v>
      </c>
      <c r="F148" s="40">
        <v>1</v>
      </c>
    </row>
    <row r="149" spans="2:6" x14ac:dyDescent="0.25">
      <c r="C149" t="s">
        <v>7914</v>
      </c>
      <c r="D149" t="s">
        <v>3881</v>
      </c>
      <c r="E149" t="s">
        <v>3882</v>
      </c>
      <c r="F149" s="40">
        <v>2</v>
      </c>
    </row>
    <row r="150" spans="2:6" x14ac:dyDescent="0.25">
      <c r="D150" t="s">
        <v>3885</v>
      </c>
      <c r="E150" t="s">
        <v>3886</v>
      </c>
      <c r="F150" s="40">
        <v>1</v>
      </c>
    </row>
    <row r="151" spans="2:6" x14ac:dyDescent="0.25">
      <c r="C151" t="s">
        <v>7915</v>
      </c>
      <c r="D151" t="s">
        <v>3892</v>
      </c>
      <c r="E151" t="s">
        <v>3893</v>
      </c>
      <c r="F151" s="40">
        <v>1</v>
      </c>
    </row>
    <row r="152" spans="2:6" x14ac:dyDescent="0.25">
      <c r="D152" t="s">
        <v>3896</v>
      </c>
      <c r="E152" t="s">
        <v>3897</v>
      </c>
      <c r="F152" s="40">
        <v>1</v>
      </c>
    </row>
    <row r="153" spans="2:6" x14ac:dyDescent="0.25">
      <c r="C153" t="s">
        <v>7916</v>
      </c>
      <c r="D153" t="s">
        <v>3932</v>
      </c>
      <c r="E153" t="s">
        <v>3933</v>
      </c>
      <c r="F153" s="40">
        <v>1</v>
      </c>
    </row>
    <row r="154" spans="2:6" x14ac:dyDescent="0.25">
      <c r="D154" t="s">
        <v>3928</v>
      </c>
      <c r="E154" t="s">
        <v>3929</v>
      </c>
      <c r="F154" s="40">
        <v>1</v>
      </c>
    </row>
    <row r="155" spans="2:6" x14ac:dyDescent="0.25">
      <c r="C155" t="s">
        <v>7917</v>
      </c>
      <c r="D155" t="s">
        <v>3942</v>
      </c>
      <c r="E155" t="s">
        <v>3943</v>
      </c>
      <c r="F155" s="40">
        <v>1</v>
      </c>
    </row>
    <row r="156" spans="2:6" x14ac:dyDescent="0.25">
      <c r="D156" t="s">
        <v>3938</v>
      </c>
      <c r="E156" t="s">
        <v>3939</v>
      </c>
      <c r="F156" s="40">
        <v>1</v>
      </c>
    </row>
    <row r="157" spans="2:6" x14ac:dyDescent="0.25">
      <c r="C157" t="s">
        <v>7912</v>
      </c>
      <c r="D157" t="s">
        <v>3850</v>
      </c>
      <c r="E157" t="s">
        <v>3851</v>
      </c>
      <c r="F157" s="40">
        <v>1</v>
      </c>
    </row>
    <row r="158" spans="2:6" x14ac:dyDescent="0.25">
      <c r="D158" t="s">
        <v>3854</v>
      </c>
      <c r="E158" t="s">
        <v>3855</v>
      </c>
      <c r="F158" s="40">
        <v>1</v>
      </c>
    </row>
    <row r="159" spans="2:6" x14ac:dyDescent="0.25">
      <c r="D159" t="s">
        <v>3846</v>
      </c>
      <c r="E159" t="s">
        <v>3847</v>
      </c>
      <c r="F159" s="40">
        <v>2</v>
      </c>
    </row>
    <row r="160" spans="2:6" x14ac:dyDescent="0.25">
      <c r="C160" t="s">
        <v>3826</v>
      </c>
      <c r="D160" t="s">
        <v>3825</v>
      </c>
      <c r="E160" t="s">
        <v>3826</v>
      </c>
      <c r="F160" s="40">
        <v>1</v>
      </c>
    </row>
    <row r="161" spans="3:6" x14ac:dyDescent="0.25">
      <c r="D161" t="s">
        <v>3828</v>
      </c>
      <c r="E161" t="s">
        <v>3829</v>
      </c>
      <c r="F161" s="40">
        <v>1</v>
      </c>
    </row>
    <row r="162" spans="3:6" x14ac:dyDescent="0.25">
      <c r="D162" t="s">
        <v>3832</v>
      </c>
      <c r="E162" t="s">
        <v>3833</v>
      </c>
      <c r="F162" s="40">
        <v>2</v>
      </c>
    </row>
    <row r="163" spans="3:6" x14ac:dyDescent="0.25">
      <c r="D163" t="s">
        <v>3836</v>
      </c>
      <c r="E163" t="s">
        <v>3837</v>
      </c>
      <c r="F163" s="40">
        <v>1</v>
      </c>
    </row>
    <row r="164" spans="3:6" x14ac:dyDescent="0.25">
      <c r="C164" t="s">
        <v>3956</v>
      </c>
      <c r="D164" t="s">
        <v>3955</v>
      </c>
      <c r="E164" t="s">
        <v>3956</v>
      </c>
      <c r="F164" s="40">
        <v>1</v>
      </c>
    </row>
    <row r="165" spans="3:6" x14ac:dyDescent="0.25">
      <c r="D165" t="s">
        <v>3962</v>
      </c>
      <c r="E165" t="s">
        <v>3963</v>
      </c>
      <c r="F165" s="40">
        <v>1</v>
      </c>
    </row>
    <row r="166" spans="3:6" x14ac:dyDescent="0.25">
      <c r="D166" t="s">
        <v>3958</v>
      </c>
      <c r="E166" t="s">
        <v>3959</v>
      </c>
      <c r="F166" s="40">
        <v>1</v>
      </c>
    </row>
    <row r="167" spans="3:6" x14ac:dyDescent="0.25">
      <c r="D167" t="s">
        <v>3969</v>
      </c>
      <c r="E167" t="s">
        <v>3970</v>
      </c>
      <c r="F167" s="40">
        <v>1</v>
      </c>
    </row>
    <row r="168" spans="3:6" x14ac:dyDescent="0.25">
      <c r="D168" t="s">
        <v>3988</v>
      </c>
      <c r="E168" t="s">
        <v>3989</v>
      </c>
      <c r="F168" s="40">
        <v>1</v>
      </c>
    </row>
    <row r="169" spans="3:6" x14ac:dyDescent="0.25">
      <c r="D169" t="s">
        <v>3993</v>
      </c>
      <c r="E169" t="s">
        <v>3994</v>
      </c>
      <c r="F169" s="40">
        <v>1</v>
      </c>
    </row>
    <row r="170" spans="3:6" x14ac:dyDescent="0.25">
      <c r="C170" t="s">
        <v>3379</v>
      </c>
      <c r="D170" t="s">
        <v>3378</v>
      </c>
      <c r="E170" t="s">
        <v>3379</v>
      </c>
      <c r="F170" s="40">
        <v>1</v>
      </c>
    </row>
    <row r="171" spans="3:6" x14ac:dyDescent="0.25">
      <c r="D171" t="s">
        <v>3720</v>
      </c>
      <c r="E171" t="s">
        <v>3721</v>
      </c>
      <c r="F171" s="40">
        <v>1</v>
      </c>
    </row>
    <row r="172" spans="3:6" x14ac:dyDescent="0.25">
      <c r="D172" t="s">
        <v>3724</v>
      </c>
      <c r="E172" t="s">
        <v>3725</v>
      </c>
      <c r="F172" s="40">
        <v>2</v>
      </c>
    </row>
    <row r="173" spans="3:6" x14ac:dyDescent="0.25">
      <c r="D173" t="s">
        <v>3806</v>
      </c>
      <c r="E173" t="s">
        <v>3807</v>
      </c>
      <c r="F173" s="40">
        <v>1</v>
      </c>
    </row>
    <row r="174" spans="3:6" x14ac:dyDescent="0.25">
      <c r="D174" t="s">
        <v>3820</v>
      </c>
      <c r="E174" t="s">
        <v>3821</v>
      </c>
      <c r="F174" s="40">
        <v>1</v>
      </c>
    </row>
    <row r="175" spans="3:6" x14ac:dyDescent="0.25">
      <c r="C175" t="s">
        <v>7905</v>
      </c>
      <c r="D175" t="s">
        <v>3696</v>
      </c>
      <c r="E175" t="s">
        <v>3697</v>
      </c>
      <c r="F175" s="40">
        <v>1</v>
      </c>
    </row>
    <row r="176" spans="3:6" x14ac:dyDescent="0.25">
      <c r="C176" t="s">
        <v>7903</v>
      </c>
      <c r="D176" t="s">
        <v>3672</v>
      </c>
      <c r="E176" t="s">
        <v>3673</v>
      </c>
      <c r="F176" s="40">
        <v>1</v>
      </c>
    </row>
    <row r="177" spans="3:6" x14ac:dyDescent="0.25">
      <c r="D177" t="s">
        <v>3676</v>
      </c>
      <c r="E177" t="s">
        <v>3677</v>
      </c>
      <c r="F177" s="40">
        <v>1</v>
      </c>
    </row>
    <row r="178" spans="3:6" x14ac:dyDescent="0.25">
      <c r="C178" t="s">
        <v>7906</v>
      </c>
      <c r="D178" t="s">
        <v>3710</v>
      </c>
      <c r="E178" t="s">
        <v>3711</v>
      </c>
      <c r="F178" s="40">
        <v>1</v>
      </c>
    </row>
    <row r="179" spans="3:6" x14ac:dyDescent="0.25">
      <c r="C179" t="s">
        <v>7904</v>
      </c>
      <c r="D179" t="s">
        <v>3685</v>
      </c>
      <c r="E179" t="s">
        <v>3686</v>
      </c>
      <c r="F179" s="40">
        <v>1</v>
      </c>
    </row>
    <row r="180" spans="3:6" x14ac:dyDescent="0.25">
      <c r="D180" t="s">
        <v>3689</v>
      </c>
      <c r="E180" t="s">
        <v>3690</v>
      </c>
      <c r="F180" s="40">
        <v>1</v>
      </c>
    </row>
    <row r="181" spans="3:6" x14ac:dyDescent="0.25">
      <c r="C181" t="s">
        <v>7911</v>
      </c>
      <c r="D181" t="s">
        <v>3813</v>
      </c>
      <c r="E181" t="s">
        <v>3814</v>
      </c>
      <c r="F181" s="40">
        <v>1</v>
      </c>
    </row>
    <row r="182" spans="3:6" x14ac:dyDescent="0.25">
      <c r="D182" t="s">
        <v>3816</v>
      </c>
      <c r="E182" t="s">
        <v>3817</v>
      </c>
      <c r="F182" s="40">
        <v>1</v>
      </c>
    </row>
    <row r="183" spans="3:6" x14ac:dyDescent="0.25">
      <c r="C183" t="s">
        <v>7885</v>
      </c>
      <c r="D183" t="s">
        <v>3381</v>
      </c>
      <c r="E183" t="s">
        <v>3382</v>
      </c>
      <c r="F183" s="40">
        <v>1</v>
      </c>
    </row>
    <row r="184" spans="3:6" x14ac:dyDescent="0.25">
      <c r="D184" t="s">
        <v>3564</v>
      </c>
      <c r="E184" t="s">
        <v>3565</v>
      </c>
      <c r="F184" s="40">
        <v>1</v>
      </c>
    </row>
    <row r="185" spans="3:6" x14ac:dyDescent="0.25">
      <c r="C185" t="s">
        <v>7896</v>
      </c>
      <c r="D185" t="s">
        <v>3539</v>
      </c>
      <c r="E185" t="s">
        <v>3540</v>
      </c>
      <c r="F185" s="40">
        <v>1</v>
      </c>
    </row>
    <row r="186" spans="3:6" x14ac:dyDescent="0.25">
      <c r="C186" t="s">
        <v>7897</v>
      </c>
      <c r="D186" t="s">
        <v>3483</v>
      </c>
      <c r="E186" t="s">
        <v>3484</v>
      </c>
      <c r="F186" s="40">
        <v>1</v>
      </c>
    </row>
    <row r="187" spans="3:6" x14ac:dyDescent="0.25">
      <c r="D187" t="s">
        <v>3491</v>
      </c>
      <c r="E187" t="s">
        <v>3492</v>
      </c>
      <c r="F187" s="40">
        <v>1</v>
      </c>
    </row>
    <row r="188" spans="3:6" x14ac:dyDescent="0.25">
      <c r="D188" t="s">
        <v>3487</v>
      </c>
      <c r="E188" t="s">
        <v>3488</v>
      </c>
      <c r="F188" s="40">
        <v>1</v>
      </c>
    </row>
    <row r="189" spans="3:6" x14ac:dyDescent="0.25">
      <c r="C189" t="s">
        <v>7893</v>
      </c>
      <c r="D189" t="s">
        <v>3479</v>
      </c>
      <c r="E189" t="s">
        <v>3480</v>
      </c>
      <c r="F189" s="40">
        <v>1</v>
      </c>
    </row>
    <row r="190" spans="3:6" x14ac:dyDescent="0.25">
      <c r="D190" t="s">
        <v>3510</v>
      </c>
      <c r="E190" t="s">
        <v>3511</v>
      </c>
      <c r="F190" s="40">
        <v>1</v>
      </c>
    </row>
    <row r="191" spans="3:6" x14ac:dyDescent="0.25">
      <c r="D191" t="s">
        <v>3514</v>
      </c>
      <c r="E191" t="s">
        <v>3515</v>
      </c>
      <c r="F191" s="40">
        <v>1</v>
      </c>
    </row>
    <row r="192" spans="3:6" x14ac:dyDescent="0.25">
      <c r="C192" t="s">
        <v>7894</v>
      </c>
      <c r="D192" t="s">
        <v>3483</v>
      </c>
      <c r="E192" t="s">
        <v>3484</v>
      </c>
      <c r="F192" s="40">
        <v>1</v>
      </c>
    </row>
    <row r="193" spans="3:6" x14ac:dyDescent="0.25">
      <c r="D193" t="s">
        <v>3491</v>
      </c>
      <c r="E193" t="s">
        <v>3492</v>
      </c>
      <c r="F193" s="40">
        <v>1</v>
      </c>
    </row>
    <row r="194" spans="3:6" x14ac:dyDescent="0.25">
      <c r="D194" t="s">
        <v>3487</v>
      </c>
      <c r="E194" t="s">
        <v>3488</v>
      </c>
      <c r="F194" s="40">
        <v>1</v>
      </c>
    </row>
    <row r="195" spans="3:6" x14ac:dyDescent="0.25">
      <c r="C195" t="s">
        <v>7895</v>
      </c>
      <c r="D195" t="s">
        <v>3521</v>
      </c>
      <c r="E195" t="s">
        <v>3522</v>
      </c>
      <c r="F195" s="40">
        <v>1</v>
      </c>
    </row>
    <row r="196" spans="3:6" x14ac:dyDescent="0.25">
      <c r="D196" t="s">
        <v>3528</v>
      </c>
      <c r="E196" t="s">
        <v>3529</v>
      </c>
      <c r="F196" s="40">
        <v>1</v>
      </c>
    </row>
    <row r="197" spans="3:6" x14ac:dyDescent="0.25">
      <c r="C197" t="s">
        <v>7886</v>
      </c>
      <c r="D197" t="s">
        <v>3384</v>
      </c>
      <c r="E197" t="s">
        <v>3385</v>
      </c>
      <c r="F197" s="40">
        <v>1</v>
      </c>
    </row>
    <row r="198" spans="3:6" x14ac:dyDescent="0.25">
      <c r="D198" t="s">
        <v>3417</v>
      </c>
      <c r="E198" t="s">
        <v>3418</v>
      </c>
      <c r="F198" s="40">
        <v>1</v>
      </c>
    </row>
    <row r="199" spans="3:6" x14ac:dyDescent="0.25">
      <c r="C199" t="s">
        <v>7887</v>
      </c>
      <c r="D199" t="s">
        <v>3388</v>
      </c>
      <c r="E199" t="s">
        <v>3389</v>
      </c>
      <c r="F199" s="40">
        <v>1</v>
      </c>
    </row>
    <row r="200" spans="3:6" x14ac:dyDescent="0.25">
      <c r="D200" t="s">
        <v>3392</v>
      </c>
      <c r="E200" t="s">
        <v>3393</v>
      </c>
      <c r="F200" s="40">
        <v>1</v>
      </c>
    </row>
    <row r="201" spans="3:6" x14ac:dyDescent="0.25">
      <c r="C201" t="s">
        <v>7888</v>
      </c>
      <c r="D201" t="s">
        <v>3399</v>
      </c>
      <c r="E201" t="s">
        <v>3400</v>
      </c>
      <c r="F201" s="40">
        <v>1</v>
      </c>
    </row>
    <row r="202" spans="3:6" x14ac:dyDescent="0.25">
      <c r="D202" t="s">
        <v>3403</v>
      </c>
      <c r="E202" t="s">
        <v>3404</v>
      </c>
      <c r="F202" s="40">
        <v>1</v>
      </c>
    </row>
    <row r="203" spans="3:6" x14ac:dyDescent="0.25">
      <c r="C203" t="s">
        <v>7889</v>
      </c>
      <c r="D203" t="s">
        <v>3421</v>
      </c>
      <c r="E203" t="s">
        <v>3422</v>
      </c>
      <c r="F203" s="40">
        <v>4</v>
      </c>
    </row>
    <row r="204" spans="3:6" x14ac:dyDescent="0.25">
      <c r="C204" t="s">
        <v>7890</v>
      </c>
      <c r="D204" t="s">
        <v>3431</v>
      </c>
      <c r="E204" t="s">
        <v>3432</v>
      </c>
      <c r="F204" s="40">
        <v>1</v>
      </c>
    </row>
    <row r="205" spans="3:6" x14ac:dyDescent="0.25">
      <c r="D205" t="s">
        <v>3435</v>
      </c>
      <c r="E205" t="s">
        <v>3436</v>
      </c>
      <c r="F205" s="40">
        <v>1</v>
      </c>
    </row>
    <row r="206" spans="3:6" x14ac:dyDescent="0.25">
      <c r="D206" t="s">
        <v>3454</v>
      </c>
      <c r="E206" t="s">
        <v>3455</v>
      </c>
      <c r="F206" s="40">
        <v>1</v>
      </c>
    </row>
    <row r="207" spans="3:6" x14ac:dyDescent="0.25">
      <c r="C207" t="s">
        <v>7891</v>
      </c>
      <c r="D207" t="s">
        <v>3439</v>
      </c>
      <c r="E207" t="s">
        <v>3440</v>
      </c>
      <c r="F207" s="40">
        <v>1</v>
      </c>
    </row>
    <row r="208" spans="3:6" x14ac:dyDescent="0.25">
      <c r="D208" t="s">
        <v>3443</v>
      </c>
      <c r="E208" t="s">
        <v>3444</v>
      </c>
      <c r="F208" s="40">
        <v>1</v>
      </c>
    </row>
    <row r="209" spans="3:6" x14ac:dyDescent="0.25">
      <c r="C209" t="s">
        <v>7892</v>
      </c>
      <c r="D209" t="s">
        <v>3461</v>
      </c>
      <c r="E209" t="s">
        <v>3462</v>
      </c>
      <c r="F209" s="40">
        <v>1</v>
      </c>
    </row>
    <row r="210" spans="3:6" x14ac:dyDescent="0.25">
      <c r="D210" t="s">
        <v>3465</v>
      </c>
      <c r="E210" t="s">
        <v>3466</v>
      </c>
      <c r="F210" s="40">
        <v>1</v>
      </c>
    </row>
    <row r="211" spans="3:6" x14ac:dyDescent="0.25">
      <c r="C211" t="s">
        <v>7898</v>
      </c>
      <c r="D211" t="s">
        <v>3583</v>
      </c>
      <c r="E211" t="s">
        <v>3584</v>
      </c>
      <c r="F211" s="40">
        <v>1</v>
      </c>
    </row>
    <row r="212" spans="3:6" x14ac:dyDescent="0.25">
      <c r="D212" t="s">
        <v>3586</v>
      </c>
      <c r="E212" t="s">
        <v>3587</v>
      </c>
      <c r="F212" s="40">
        <v>1</v>
      </c>
    </row>
    <row r="213" spans="3:6" x14ac:dyDescent="0.25">
      <c r="C213" t="s">
        <v>7899</v>
      </c>
      <c r="D213" t="s">
        <v>3591</v>
      </c>
      <c r="E213" t="s">
        <v>3592</v>
      </c>
      <c r="F213" s="40">
        <v>1</v>
      </c>
    </row>
    <row r="214" spans="3:6" x14ac:dyDescent="0.25">
      <c r="D214" t="s">
        <v>3479</v>
      </c>
      <c r="E214" t="s">
        <v>3594</v>
      </c>
      <c r="F214" s="40">
        <v>1</v>
      </c>
    </row>
    <row r="215" spans="3:6" x14ac:dyDescent="0.25">
      <c r="C215" t="s">
        <v>7900</v>
      </c>
      <c r="D215" t="s">
        <v>3604</v>
      </c>
      <c r="E215" t="s">
        <v>3605</v>
      </c>
      <c r="F215" s="40">
        <v>1</v>
      </c>
    </row>
    <row r="216" spans="3:6" x14ac:dyDescent="0.25">
      <c r="D216" t="s">
        <v>3657</v>
      </c>
      <c r="E216" t="s">
        <v>3658</v>
      </c>
      <c r="F216" s="40">
        <v>4</v>
      </c>
    </row>
    <row r="217" spans="3:6" x14ac:dyDescent="0.25">
      <c r="C217" t="s">
        <v>7901</v>
      </c>
      <c r="D217" t="s">
        <v>3625</v>
      </c>
      <c r="E217" t="s">
        <v>3626</v>
      </c>
      <c r="F217" s="40">
        <v>1</v>
      </c>
    </row>
    <row r="218" spans="3:6" x14ac:dyDescent="0.25">
      <c r="D218" t="s">
        <v>3608</v>
      </c>
      <c r="E218" t="s">
        <v>3609</v>
      </c>
      <c r="F218" s="40">
        <v>1</v>
      </c>
    </row>
    <row r="219" spans="3:6" x14ac:dyDescent="0.25">
      <c r="D219" t="s">
        <v>3612</v>
      </c>
      <c r="E219" t="s">
        <v>3613</v>
      </c>
      <c r="F219" s="40">
        <v>2</v>
      </c>
    </row>
    <row r="220" spans="3:6" x14ac:dyDescent="0.25">
      <c r="D220" t="s">
        <v>3616</v>
      </c>
      <c r="E220" t="s">
        <v>3617</v>
      </c>
      <c r="F220" s="40">
        <v>1</v>
      </c>
    </row>
    <row r="221" spans="3:6" x14ac:dyDescent="0.25">
      <c r="C221" t="s">
        <v>7902</v>
      </c>
      <c r="D221" t="s">
        <v>3632</v>
      </c>
      <c r="E221" t="s">
        <v>3633</v>
      </c>
      <c r="F221" s="40">
        <v>1</v>
      </c>
    </row>
    <row r="222" spans="3:6" x14ac:dyDescent="0.25">
      <c r="D222" t="s">
        <v>3636</v>
      </c>
      <c r="E222" t="s">
        <v>3637</v>
      </c>
      <c r="F222" s="40">
        <v>2</v>
      </c>
    </row>
    <row r="223" spans="3:6" x14ac:dyDescent="0.25">
      <c r="D223" t="s">
        <v>3640</v>
      </c>
      <c r="E223" t="s">
        <v>3641</v>
      </c>
      <c r="F223" s="40">
        <v>2</v>
      </c>
    </row>
    <row r="224" spans="3:6" x14ac:dyDescent="0.25">
      <c r="D224" t="s">
        <v>3644</v>
      </c>
      <c r="E224" t="s">
        <v>3645</v>
      </c>
      <c r="F224" s="40">
        <v>2</v>
      </c>
    </row>
    <row r="225" spans="1:6" x14ac:dyDescent="0.25">
      <c r="D225" t="s">
        <v>3648</v>
      </c>
      <c r="E225" t="s">
        <v>3649</v>
      </c>
      <c r="F225" s="40">
        <v>1</v>
      </c>
    </row>
    <row r="226" spans="1:6" x14ac:dyDescent="0.25">
      <c r="D226" t="s">
        <v>3625</v>
      </c>
      <c r="E226" t="s">
        <v>3626</v>
      </c>
      <c r="F226" s="40">
        <v>1</v>
      </c>
    </row>
    <row r="227" spans="1:6" x14ac:dyDescent="0.25">
      <c r="C227" t="s">
        <v>7907</v>
      </c>
      <c r="D227" t="s">
        <v>3735</v>
      </c>
      <c r="E227" t="s">
        <v>3736</v>
      </c>
      <c r="F227" s="40">
        <v>1</v>
      </c>
    </row>
    <row r="228" spans="1:6" x14ac:dyDescent="0.25">
      <c r="D228" t="s">
        <v>3731</v>
      </c>
      <c r="E228" t="s">
        <v>3732</v>
      </c>
      <c r="F228" s="40">
        <v>1</v>
      </c>
    </row>
    <row r="229" spans="1:6" x14ac:dyDescent="0.25">
      <c r="C229" t="s">
        <v>7908</v>
      </c>
      <c r="D229" t="s">
        <v>3758</v>
      </c>
      <c r="E229" t="s">
        <v>3759</v>
      </c>
      <c r="F229" s="40">
        <v>1</v>
      </c>
    </row>
    <row r="230" spans="1:6" x14ac:dyDescent="0.25">
      <c r="D230" t="s">
        <v>3750</v>
      </c>
      <c r="E230" t="s">
        <v>3751</v>
      </c>
      <c r="F230" s="40">
        <v>1</v>
      </c>
    </row>
    <row r="231" spans="1:6" x14ac:dyDescent="0.25">
      <c r="C231" t="s">
        <v>7909</v>
      </c>
      <c r="D231" t="s">
        <v>3766</v>
      </c>
      <c r="E231" t="s">
        <v>3767</v>
      </c>
      <c r="F231" s="40">
        <v>1</v>
      </c>
    </row>
    <row r="232" spans="1:6" x14ac:dyDescent="0.25">
      <c r="D232" t="s">
        <v>3762</v>
      </c>
      <c r="E232" t="s">
        <v>3763</v>
      </c>
      <c r="F232" s="40">
        <v>1</v>
      </c>
    </row>
    <row r="233" spans="1:6" x14ac:dyDescent="0.25">
      <c r="C233" t="s">
        <v>7910</v>
      </c>
      <c r="D233" t="s">
        <v>3780</v>
      </c>
      <c r="E233" t="s">
        <v>3781</v>
      </c>
      <c r="F233" s="40">
        <v>1</v>
      </c>
    </row>
    <row r="234" spans="1:6" x14ac:dyDescent="0.25">
      <c r="D234" t="s">
        <v>3776</v>
      </c>
      <c r="E234" t="s">
        <v>3777</v>
      </c>
      <c r="F234" s="40">
        <v>1</v>
      </c>
    </row>
    <row r="235" spans="1:6" x14ac:dyDescent="0.25">
      <c r="C235" t="s">
        <v>7962</v>
      </c>
      <c r="D235" t="s">
        <v>3375</v>
      </c>
      <c r="E235" t="s">
        <v>3376</v>
      </c>
      <c r="F235" s="40">
        <v>1</v>
      </c>
    </row>
    <row r="236" spans="1:6" x14ac:dyDescent="0.25">
      <c r="D236" t="s">
        <v>3997</v>
      </c>
      <c r="E236" t="s">
        <v>3998</v>
      </c>
      <c r="F236" s="40">
        <v>1</v>
      </c>
    </row>
    <row r="237" spans="1:6" x14ac:dyDescent="0.25">
      <c r="A237" t="s">
        <v>7849</v>
      </c>
      <c r="F237" s="40">
        <v>259</v>
      </c>
    </row>
    <row r="238" spans="1:6" x14ac:dyDescent="0.25">
      <c r="A238" t="s">
        <v>7675</v>
      </c>
      <c r="B238" t="s">
        <v>7510</v>
      </c>
      <c r="C238" t="s">
        <v>4276</v>
      </c>
      <c r="D238" t="s">
        <v>4275</v>
      </c>
      <c r="E238" t="s">
        <v>4276</v>
      </c>
      <c r="F238" s="40">
        <v>1</v>
      </c>
    </row>
    <row r="239" spans="1:6" x14ac:dyDescent="0.25">
      <c r="D239" t="s">
        <v>1516</v>
      </c>
      <c r="E239" t="s">
        <v>1517</v>
      </c>
      <c r="F239" s="40">
        <v>1</v>
      </c>
    </row>
    <row r="240" spans="1:6" x14ac:dyDescent="0.25">
      <c r="C240" t="s">
        <v>4828</v>
      </c>
      <c r="D240" t="s">
        <v>1525</v>
      </c>
      <c r="E240" t="s">
        <v>1526</v>
      </c>
      <c r="F240" s="40">
        <v>1</v>
      </c>
    </row>
    <row r="241" spans="2:6" x14ac:dyDescent="0.25">
      <c r="D241" t="s">
        <v>4827</v>
      </c>
      <c r="E241" t="s">
        <v>4828</v>
      </c>
      <c r="F241" s="40">
        <v>1</v>
      </c>
    </row>
    <row r="242" spans="2:6" x14ac:dyDescent="0.25">
      <c r="C242" t="s">
        <v>4760</v>
      </c>
      <c r="D242" t="s">
        <v>4763</v>
      </c>
      <c r="E242" t="s">
        <v>4764</v>
      </c>
      <c r="F242" s="40">
        <v>1</v>
      </c>
    </row>
    <row r="243" spans="2:6" x14ac:dyDescent="0.25">
      <c r="D243" t="s">
        <v>4759</v>
      </c>
      <c r="E243" t="s">
        <v>4760</v>
      </c>
      <c r="F243" s="40">
        <v>1</v>
      </c>
    </row>
    <row r="244" spans="2:6" x14ac:dyDescent="0.25">
      <c r="C244" t="s">
        <v>7512</v>
      </c>
      <c r="D244" t="s">
        <v>4920</v>
      </c>
      <c r="E244" t="s">
        <v>714</v>
      </c>
      <c r="F244" s="40">
        <v>1</v>
      </c>
    </row>
    <row r="245" spans="2:6" x14ac:dyDescent="0.25">
      <c r="D245" t="s">
        <v>4918</v>
      </c>
      <c r="E245" t="s">
        <v>711</v>
      </c>
      <c r="F245" s="40">
        <v>1</v>
      </c>
    </row>
    <row r="246" spans="2:6" x14ac:dyDescent="0.25">
      <c r="C246" t="s">
        <v>7962</v>
      </c>
      <c r="D246" t="s">
        <v>4884</v>
      </c>
      <c r="E246" t="s">
        <v>4885</v>
      </c>
      <c r="F246" s="40">
        <v>1</v>
      </c>
    </row>
    <row r="247" spans="2:6" x14ac:dyDescent="0.25">
      <c r="D247" t="s">
        <v>4887</v>
      </c>
      <c r="E247" t="s">
        <v>4888</v>
      </c>
      <c r="F247" s="40">
        <v>1</v>
      </c>
    </row>
    <row r="248" spans="2:6" x14ac:dyDescent="0.25">
      <c r="D248" t="s">
        <v>4891</v>
      </c>
      <c r="E248" t="s">
        <v>4892</v>
      </c>
      <c r="F248" s="40">
        <v>1</v>
      </c>
    </row>
    <row r="249" spans="2:6" x14ac:dyDescent="0.25">
      <c r="D249" t="s">
        <v>4895</v>
      </c>
      <c r="E249" t="s">
        <v>4896</v>
      </c>
      <c r="F249" s="40">
        <v>1</v>
      </c>
    </row>
    <row r="250" spans="2:6" x14ac:dyDescent="0.25">
      <c r="D250" t="s">
        <v>4899</v>
      </c>
      <c r="E250" t="s">
        <v>4900</v>
      </c>
      <c r="F250" s="40">
        <v>1</v>
      </c>
    </row>
    <row r="251" spans="2:6" x14ac:dyDescent="0.25">
      <c r="B251" t="s">
        <v>7431</v>
      </c>
      <c r="C251" t="s">
        <v>5817</v>
      </c>
      <c r="D251" t="s">
        <v>5816</v>
      </c>
      <c r="E251" t="s">
        <v>5817</v>
      </c>
      <c r="F251" s="40">
        <v>1</v>
      </c>
    </row>
    <row r="252" spans="2:6" x14ac:dyDescent="0.25">
      <c r="D252" t="s">
        <v>5819</v>
      </c>
      <c r="E252" t="s">
        <v>5820</v>
      </c>
      <c r="F252" s="40">
        <v>1</v>
      </c>
    </row>
    <row r="253" spans="2:6" x14ac:dyDescent="0.25">
      <c r="C253" t="s">
        <v>5798</v>
      </c>
      <c r="D253" t="s">
        <v>5797</v>
      </c>
      <c r="E253" t="s">
        <v>5798</v>
      </c>
      <c r="F253" s="40">
        <v>1</v>
      </c>
    </row>
    <row r="254" spans="2:6" x14ac:dyDescent="0.25">
      <c r="D254" t="s">
        <v>1032</v>
      </c>
      <c r="E254" t="s">
        <v>1033</v>
      </c>
      <c r="F254" s="40">
        <v>1</v>
      </c>
    </row>
    <row r="255" spans="2:6" x14ac:dyDescent="0.25">
      <c r="C255" t="s">
        <v>5833</v>
      </c>
      <c r="D255" t="s">
        <v>5832</v>
      </c>
      <c r="E255" t="s">
        <v>5833</v>
      </c>
      <c r="F255" s="40">
        <v>1</v>
      </c>
    </row>
    <row r="256" spans="2:6" x14ac:dyDescent="0.25">
      <c r="D256" t="s">
        <v>5836</v>
      </c>
      <c r="E256" t="s">
        <v>5837</v>
      </c>
      <c r="F256" s="40">
        <v>1</v>
      </c>
    </row>
    <row r="257" spans="2:6" x14ac:dyDescent="0.25">
      <c r="C257" t="s">
        <v>7944</v>
      </c>
      <c r="D257" t="s">
        <v>4920</v>
      </c>
      <c r="E257" t="s">
        <v>714</v>
      </c>
      <c r="F257" s="40">
        <v>1</v>
      </c>
    </row>
    <row r="258" spans="2:6" x14ac:dyDescent="0.25">
      <c r="D258" t="s">
        <v>4918</v>
      </c>
      <c r="E258" t="s">
        <v>711</v>
      </c>
      <c r="F258" s="40">
        <v>1</v>
      </c>
    </row>
    <row r="259" spans="2:6" x14ac:dyDescent="0.25">
      <c r="C259" t="s">
        <v>7590</v>
      </c>
      <c r="D259" t="s">
        <v>5785</v>
      </c>
      <c r="E259" t="s">
        <v>5786</v>
      </c>
      <c r="F259" s="40">
        <v>43</v>
      </c>
    </row>
    <row r="260" spans="2:6" x14ac:dyDescent="0.25">
      <c r="D260" t="s">
        <v>5788</v>
      </c>
      <c r="E260" t="s">
        <v>5789</v>
      </c>
      <c r="F260" s="40">
        <v>1</v>
      </c>
    </row>
    <row r="261" spans="2:6" x14ac:dyDescent="0.25">
      <c r="C261" t="s">
        <v>4008</v>
      </c>
      <c r="D261" t="s">
        <v>4041</v>
      </c>
      <c r="E261" t="s">
        <v>4042</v>
      </c>
      <c r="F261" s="40">
        <v>1</v>
      </c>
    </row>
    <row r="262" spans="2:6" x14ac:dyDescent="0.25">
      <c r="D262" t="s">
        <v>4007</v>
      </c>
      <c r="E262" t="s">
        <v>4008</v>
      </c>
      <c r="F262" s="40">
        <v>1</v>
      </c>
    </row>
    <row r="263" spans="2:6" x14ac:dyDescent="0.25">
      <c r="D263" t="s">
        <v>4011</v>
      </c>
      <c r="E263" t="s">
        <v>4012</v>
      </c>
      <c r="F263" s="40">
        <v>1</v>
      </c>
    </row>
    <row r="264" spans="2:6" x14ac:dyDescent="0.25">
      <c r="D264" t="s">
        <v>4015</v>
      </c>
      <c r="E264" t="s">
        <v>4016</v>
      </c>
      <c r="F264" s="40">
        <v>1</v>
      </c>
    </row>
    <row r="265" spans="2:6" x14ac:dyDescent="0.25">
      <c r="D265" t="s">
        <v>4019</v>
      </c>
      <c r="E265" t="s">
        <v>4020</v>
      </c>
      <c r="F265" s="40">
        <v>1</v>
      </c>
    </row>
    <row r="266" spans="2:6" x14ac:dyDescent="0.25">
      <c r="D266" t="s">
        <v>4023</v>
      </c>
      <c r="E266" t="s">
        <v>4024</v>
      </c>
      <c r="F266" s="40">
        <v>1</v>
      </c>
    </row>
    <row r="267" spans="2:6" x14ac:dyDescent="0.25">
      <c r="D267" t="s">
        <v>4031</v>
      </c>
      <c r="E267" t="s">
        <v>4032</v>
      </c>
      <c r="F267" s="40">
        <v>1</v>
      </c>
    </row>
    <row r="268" spans="2:6" x14ac:dyDescent="0.25">
      <c r="D268" t="s">
        <v>4035</v>
      </c>
      <c r="E268" t="s">
        <v>4036</v>
      </c>
      <c r="F268" s="40">
        <v>1</v>
      </c>
    </row>
    <row r="269" spans="2:6" x14ac:dyDescent="0.25">
      <c r="C269" t="s">
        <v>7962</v>
      </c>
      <c r="D269" t="s">
        <v>4002</v>
      </c>
      <c r="E269" t="s">
        <v>4003</v>
      </c>
      <c r="F269" s="40">
        <v>1</v>
      </c>
    </row>
    <row r="270" spans="2:6" x14ac:dyDescent="0.25">
      <c r="D270" t="s">
        <v>4004</v>
      </c>
      <c r="E270" t="s">
        <v>4005</v>
      </c>
      <c r="F270" s="40">
        <v>1</v>
      </c>
    </row>
    <row r="271" spans="2:6" x14ac:dyDescent="0.25">
      <c r="D271" t="s">
        <v>5792</v>
      </c>
      <c r="E271" t="s">
        <v>5793</v>
      </c>
      <c r="F271" s="40">
        <v>1</v>
      </c>
    </row>
    <row r="272" spans="2:6" x14ac:dyDescent="0.25">
      <c r="B272" t="s">
        <v>7432</v>
      </c>
      <c r="C272" t="s">
        <v>7962</v>
      </c>
      <c r="D272" t="s">
        <v>4044</v>
      </c>
      <c r="E272" t="s">
        <v>4045</v>
      </c>
      <c r="F272" s="40">
        <v>1</v>
      </c>
    </row>
    <row r="273" spans="4:6" x14ac:dyDescent="0.25">
      <c r="D273" t="s">
        <v>4047</v>
      </c>
      <c r="E273" t="s">
        <v>4048</v>
      </c>
      <c r="F273" s="40">
        <v>1</v>
      </c>
    </row>
    <row r="274" spans="4:6" x14ac:dyDescent="0.25">
      <c r="D274" t="s">
        <v>4051</v>
      </c>
      <c r="E274" t="s">
        <v>4052</v>
      </c>
      <c r="F274" s="40">
        <v>1</v>
      </c>
    </row>
    <row r="275" spans="4:6" x14ac:dyDescent="0.25">
      <c r="D275" t="s">
        <v>4055</v>
      </c>
      <c r="E275" t="s">
        <v>4056</v>
      </c>
      <c r="F275" s="40">
        <v>1</v>
      </c>
    </row>
    <row r="276" spans="4:6" x14ac:dyDescent="0.25">
      <c r="D276" t="s">
        <v>4059</v>
      </c>
      <c r="E276" t="s">
        <v>4060</v>
      </c>
      <c r="F276" s="40">
        <v>1</v>
      </c>
    </row>
    <row r="277" spans="4:6" x14ac:dyDescent="0.25">
      <c r="D277" t="s">
        <v>4063</v>
      </c>
      <c r="E277" t="s">
        <v>4064</v>
      </c>
      <c r="F277" s="40">
        <v>1</v>
      </c>
    </row>
    <row r="278" spans="4:6" x14ac:dyDescent="0.25">
      <c r="D278" t="s">
        <v>4067</v>
      </c>
      <c r="E278" t="s">
        <v>4068</v>
      </c>
      <c r="F278" s="40">
        <v>1</v>
      </c>
    </row>
    <row r="279" spans="4:6" x14ac:dyDescent="0.25">
      <c r="D279" t="s">
        <v>4071</v>
      </c>
      <c r="E279" t="s">
        <v>4072</v>
      </c>
      <c r="F279" s="40">
        <v>1</v>
      </c>
    </row>
    <row r="280" spans="4:6" x14ac:dyDescent="0.25">
      <c r="D280" t="s">
        <v>4075</v>
      </c>
      <c r="E280" t="s">
        <v>4076</v>
      </c>
      <c r="F280" s="40">
        <v>1</v>
      </c>
    </row>
    <row r="281" spans="4:6" x14ac:dyDescent="0.25">
      <c r="D281" t="s">
        <v>4079</v>
      </c>
      <c r="E281" t="s">
        <v>4080</v>
      </c>
      <c r="F281" s="40">
        <v>1</v>
      </c>
    </row>
    <row r="282" spans="4:6" x14ac:dyDescent="0.25">
      <c r="D282" t="s">
        <v>4083</v>
      </c>
      <c r="E282" t="s">
        <v>4084</v>
      </c>
      <c r="F282" s="40">
        <v>1</v>
      </c>
    </row>
    <row r="283" spans="4:6" x14ac:dyDescent="0.25">
      <c r="D283" t="s">
        <v>4087</v>
      </c>
      <c r="E283" t="s">
        <v>4088</v>
      </c>
      <c r="F283" s="40">
        <v>1</v>
      </c>
    </row>
    <row r="284" spans="4:6" x14ac:dyDescent="0.25">
      <c r="D284" t="s">
        <v>4091</v>
      </c>
      <c r="E284" t="s">
        <v>4092</v>
      </c>
      <c r="F284" s="40">
        <v>1</v>
      </c>
    </row>
    <row r="285" spans="4:6" x14ac:dyDescent="0.25">
      <c r="D285" t="s">
        <v>4095</v>
      </c>
      <c r="E285" t="s">
        <v>4096</v>
      </c>
      <c r="F285" s="40">
        <v>1</v>
      </c>
    </row>
    <row r="286" spans="4:6" x14ac:dyDescent="0.25">
      <c r="D286" t="s">
        <v>4099</v>
      </c>
      <c r="E286" t="s">
        <v>4100</v>
      </c>
      <c r="F286" s="40">
        <v>1</v>
      </c>
    </row>
    <row r="287" spans="4:6" x14ac:dyDescent="0.25">
      <c r="D287" t="s">
        <v>4103</v>
      </c>
      <c r="E287" t="s">
        <v>4104</v>
      </c>
      <c r="F287" s="40">
        <v>1</v>
      </c>
    </row>
    <row r="288" spans="4:6" x14ac:dyDescent="0.25">
      <c r="D288" t="s">
        <v>4107</v>
      </c>
      <c r="E288" t="s">
        <v>4108</v>
      </c>
      <c r="F288" s="40">
        <v>1</v>
      </c>
    </row>
    <row r="289" spans="4:6" x14ac:dyDescent="0.25">
      <c r="D289" t="s">
        <v>4111</v>
      </c>
      <c r="E289" t="s">
        <v>4112</v>
      </c>
      <c r="F289" s="40">
        <v>1</v>
      </c>
    </row>
    <row r="290" spans="4:6" x14ac:dyDescent="0.25">
      <c r="D290" t="s">
        <v>4115</v>
      </c>
      <c r="E290" t="s">
        <v>4116</v>
      </c>
      <c r="F290" s="40">
        <v>1</v>
      </c>
    </row>
    <row r="291" spans="4:6" x14ac:dyDescent="0.25">
      <c r="D291" t="s">
        <v>4119</v>
      </c>
      <c r="E291" t="s">
        <v>4120</v>
      </c>
      <c r="F291" s="40">
        <v>1</v>
      </c>
    </row>
    <row r="292" spans="4:6" x14ac:dyDescent="0.25">
      <c r="D292" t="s">
        <v>4123</v>
      </c>
      <c r="E292" t="s">
        <v>4124</v>
      </c>
      <c r="F292" s="40">
        <v>4</v>
      </c>
    </row>
    <row r="293" spans="4:6" x14ac:dyDescent="0.25">
      <c r="D293" t="s">
        <v>4127</v>
      </c>
      <c r="E293" t="s">
        <v>4128</v>
      </c>
      <c r="F293" s="40">
        <v>3</v>
      </c>
    </row>
    <row r="294" spans="4:6" x14ac:dyDescent="0.25">
      <c r="D294" t="s">
        <v>4131</v>
      </c>
      <c r="E294" t="s">
        <v>4132</v>
      </c>
      <c r="F294" s="40">
        <v>1</v>
      </c>
    </row>
    <row r="295" spans="4:6" x14ac:dyDescent="0.25">
      <c r="D295" t="s">
        <v>4135</v>
      </c>
      <c r="E295" t="s">
        <v>4136</v>
      </c>
      <c r="F295" s="40">
        <v>1</v>
      </c>
    </row>
    <row r="296" spans="4:6" x14ac:dyDescent="0.25">
      <c r="D296" t="s">
        <v>4139</v>
      </c>
      <c r="E296" t="s">
        <v>4140</v>
      </c>
      <c r="F296" s="40">
        <v>1</v>
      </c>
    </row>
    <row r="297" spans="4:6" x14ac:dyDescent="0.25">
      <c r="D297" t="s">
        <v>4143</v>
      </c>
      <c r="E297" t="s">
        <v>4144</v>
      </c>
      <c r="F297" s="40">
        <v>1</v>
      </c>
    </row>
    <row r="298" spans="4:6" x14ac:dyDescent="0.25">
      <c r="D298" t="s">
        <v>4147</v>
      </c>
      <c r="E298" t="s">
        <v>4148</v>
      </c>
      <c r="F298" s="40">
        <v>1</v>
      </c>
    </row>
    <row r="299" spans="4:6" x14ac:dyDescent="0.25">
      <c r="D299" t="s">
        <v>4151</v>
      </c>
      <c r="E299" t="s">
        <v>4152</v>
      </c>
      <c r="F299" s="40">
        <v>1</v>
      </c>
    </row>
    <row r="300" spans="4:6" x14ac:dyDescent="0.25">
      <c r="D300" t="s">
        <v>4155</v>
      </c>
      <c r="E300" t="s">
        <v>4156</v>
      </c>
      <c r="F300" s="40">
        <v>1</v>
      </c>
    </row>
    <row r="301" spans="4:6" x14ac:dyDescent="0.25">
      <c r="D301" t="s">
        <v>4159</v>
      </c>
      <c r="E301" t="s">
        <v>4160</v>
      </c>
      <c r="F301" s="40">
        <v>1</v>
      </c>
    </row>
    <row r="302" spans="4:6" x14ac:dyDescent="0.25">
      <c r="D302" t="s">
        <v>4163</v>
      </c>
      <c r="E302" t="s">
        <v>4164</v>
      </c>
      <c r="F302" s="40">
        <v>1</v>
      </c>
    </row>
    <row r="303" spans="4:6" x14ac:dyDescent="0.25">
      <c r="D303" t="s">
        <v>4167</v>
      </c>
      <c r="E303" t="s">
        <v>4168</v>
      </c>
      <c r="F303" s="40">
        <v>2</v>
      </c>
    </row>
    <row r="304" spans="4:6" x14ac:dyDescent="0.25">
      <c r="D304" t="s">
        <v>4171</v>
      </c>
      <c r="E304" t="s">
        <v>4172</v>
      </c>
      <c r="F304" s="40">
        <v>2</v>
      </c>
    </row>
    <row r="305" spans="2:6" x14ac:dyDescent="0.25">
      <c r="D305" t="s">
        <v>4175</v>
      </c>
      <c r="E305" t="s">
        <v>4176</v>
      </c>
      <c r="F305" s="40">
        <v>2</v>
      </c>
    </row>
    <row r="306" spans="2:6" x14ac:dyDescent="0.25">
      <c r="D306" t="s">
        <v>4179</v>
      </c>
      <c r="E306" t="s">
        <v>4180</v>
      </c>
      <c r="F306" s="40">
        <v>1</v>
      </c>
    </row>
    <row r="307" spans="2:6" x14ac:dyDescent="0.25">
      <c r="D307" t="s">
        <v>4183</v>
      </c>
      <c r="E307" t="s">
        <v>4184</v>
      </c>
      <c r="F307" s="40">
        <v>1</v>
      </c>
    </row>
    <row r="308" spans="2:6" x14ac:dyDescent="0.25">
      <c r="D308" t="s">
        <v>4187</v>
      </c>
      <c r="E308" t="s">
        <v>4188</v>
      </c>
      <c r="F308" s="40">
        <v>1</v>
      </c>
    </row>
    <row r="309" spans="2:6" x14ac:dyDescent="0.25">
      <c r="D309" t="s">
        <v>4191</v>
      </c>
      <c r="E309" t="s">
        <v>4192</v>
      </c>
      <c r="F309" s="40">
        <v>1</v>
      </c>
    </row>
    <row r="310" spans="2:6" x14ac:dyDescent="0.25">
      <c r="D310" t="s">
        <v>4195</v>
      </c>
      <c r="E310" t="s">
        <v>4196</v>
      </c>
      <c r="F310" s="40">
        <v>1</v>
      </c>
    </row>
    <row r="311" spans="2:6" x14ac:dyDescent="0.25">
      <c r="D311" t="s">
        <v>4199</v>
      </c>
      <c r="E311" t="s">
        <v>4200</v>
      </c>
      <c r="F311" s="40">
        <v>1</v>
      </c>
    </row>
    <row r="312" spans="2:6" x14ac:dyDescent="0.25">
      <c r="D312" t="s">
        <v>4203</v>
      </c>
      <c r="E312" t="s">
        <v>4204</v>
      </c>
      <c r="F312" s="40">
        <v>1</v>
      </c>
    </row>
    <row r="313" spans="2:6" x14ac:dyDescent="0.25">
      <c r="B313" t="s">
        <v>7573</v>
      </c>
      <c r="C313" t="s">
        <v>7843</v>
      </c>
      <c r="D313" t="s">
        <v>5763</v>
      </c>
      <c r="E313" t="s">
        <v>5764</v>
      </c>
      <c r="F313" s="40">
        <v>1</v>
      </c>
    </row>
    <row r="314" spans="2:6" x14ac:dyDescent="0.25">
      <c r="D314" t="s">
        <v>5766</v>
      </c>
      <c r="E314" t="s">
        <v>5767</v>
      </c>
      <c r="F314" s="40">
        <v>1</v>
      </c>
    </row>
    <row r="315" spans="2:6" x14ac:dyDescent="0.25">
      <c r="D315" t="s">
        <v>5770</v>
      </c>
      <c r="E315" t="s">
        <v>5771</v>
      </c>
      <c r="F315" s="40">
        <v>1</v>
      </c>
    </row>
    <row r="316" spans="2:6" x14ac:dyDescent="0.25">
      <c r="C316" t="s">
        <v>5618</v>
      </c>
      <c r="D316" t="s">
        <v>5617</v>
      </c>
      <c r="E316" t="s">
        <v>5618</v>
      </c>
      <c r="F316" s="40">
        <v>1</v>
      </c>
    </row>
    <row r="317" spans="2:6" x14ac:dyDescent="0.25">
      <c r="C317" t="s">
        <v>7943</v>
      </c>
      <c r="D317" t="s">
        <v>5740</v>
      </c>
      <c r="E317" t="s">
        <v>5741</v>
      </c>
      <c r="F317" s="40">
        <v>1</v>
      </c>
    </row>
    <row r="318" spans="2:6" x14ac:dyDescent="0.25">
      <c r="D318" t="s">
        <v>5744</v>
      </c>
      <c r="E318" t="s">
        <v>5745</v>
      </c>
      <c r="F318" s="40">
        <v>1</v>
      </c>
    </row>
    <row r="319" spans="2:6" x14ac:dyDescent="0.25">
      <c r="C319" t="s">
        <v>7941</v>
      </c>
      <c r="D319" t="s">
        <v>5691</v>
      </c>
      <c r="E319" t="s">
        <v>5692</v>
      </c>
      <c r="F319" s="40">
        <v>1</v>
      </c>
    </row>
    <row r="320" spans="2:6" x14ac:dyDescent="0.25">
      <c r="D320" t="s">
        <v>5695</v>
      </c>
      <c r="E320" t="s">
        <v>5696</v>
      </c>
      <c r="F320" s="40">
        <v>1</v>
      </c>
    </row>
    <row r="321" spans="3:6" x14ac:dyDescent="0.25">
      <c r="C321" t="s">
        <v>7940</v>
      </c>
      <c r="D321" t="s">
        <v>5670</v>
      </c>
      <c r="E321" t="s">
        <v>5681</v>
      </c>
      <c r="F321" s="40">
        <v>1</v>
      </c>
    </row>
    <row r="322" spans="3:6" x14ac:dyDescent="0.25">
      <c r="D322" t="s">
        <v>5674</v>
      </c>
      <c r="E322" t="s">
        <v>5684</v>
      </c>
      <c r="F322" s="40">
        <v>1</v>
      </c>
    </row>
    <row r="323" spans="3:6" x14ac:dyDescent="0.25">
      <c r="C323" t="s">
        <v>7935</v>
      </c>
      <c r="D323" t="s">
        <v>5620</v>
      </c>
      <c r="E323" t="s">
        <v>5621</v>
      </c>
      <c r="F323" s="40">
        <v>1</v>
      </c>
    </row>
    <row r="324" spans="3:6" x14ac:dyDescent="0.25">
      <c r="D324" t="s">
        <v>5624</v>
      </c>
      <c r="E324" t="s">
        <v>5625</v>
      </c>
      <c r="F324" s="40">
        <v>2</v>
      </c>
    </row>
    <row r="325" spans="3:6" x14ac:dyDescent="0.25">
      <c r="D325" t="s">
        <v>5648</v>
      </c>
      <c r="E325" t="s">
        <v>5649</v>
      </c>
      <c r="F325" s="40">
        <v>1</v>
      </c>
    </row>
    <row r="326" spans="3:6" x14ac:dyDescent="0.25">
      <c r="C326" t="s">
        <v>7939</v>
      </c>
      <c r="D326" t="s">
        <v>5670</v>
      </c>
      <c r="E326" t="s">
        <v>5671</v>
      </c>
      <c r="F326" s="40">
        <v>1</v>
      </c>
    </row>
    <row r="327" spans="3:6" x14ac:dyDescent="0.25">
      <c r="D327" t="s">
        <v>5674</v>
      </c>
      <c r="E327" t="s">
        <v>5675</v>
      </c>
      <c r="F327" s="40">
        <v>1</v>
      </c>
    </row>
    <row r="328" spans="3:6" x14ac:dyDescent="0.25">
      <c r="C328" t="s">
        <v>7936</v>
      </c>
      <c r="D328" t="s">
        <v>5628</v>
      </c>
      <c r="E328" t="s">
        <v>5629</v>
      </c>
      <c r="F328" s="40">
        <v>1</v>
      </c>
    </row>
    <row r="329" spans="3:6" x14ac:dyDescent="0.25">
      <c r="D329" t="s">
        <v>5632</v>
      </c>
      <c r="E329" t="s">
        <v>5633</v>
      </c>
      <c r="F329" s="40">
        <v>1</v>
      </c>
    </row>
    <row r="330" spans="3:6" x14ac:dyDescent="0.25">
      <c r="C330" t="s">
        <v>7938</v>
      </c>
      <c r="D330" t="s">
        <v>5652</v>
      </c>
      <c r="E330" t="s">
        <v>5653</v>
      </c>
      <c r="F330" s="40">
        <v>1</v>
      </c>
    </row>
    <row r="331" spans="3:6" x14ac:dyDescent="0.25">
      <c r="D331" t="s">
        <v>5656</v>
      </c>
      <c r="E331" t="s">
        <v>5657</v>
      </c>
      <c r="F331" s="40">
        <v>1</v>
      </c>
    </row>
    <row r="332" spans="3:6" x14ac:dyDescent="0.25">
      <c r="C332" t="s">
        <v>7937</v>
      </c>
      <c r="D332" t="s">
        <v>5637</v>
      </c>
      <c r="E332" t="s">
        <v>5638</v>
      </c>
      <c r="F332" s="40">
        <v>1</v>
      </c>
    </row>
    <row r="333" spans="3:6" x14ac:dyDescent="0.25">
      <c r="D333" t="s">
        <v>5641</v>
      </c>
      <c r="E333" t="s">
        <v>5642</v>
      </c>
      <c r="F333" s="40">
        <v>1</v>
      </c>
    </row>
    <row r="334" spans="3:6" x14ac:dyDescent="0.25">
      <c r="C334" t="s">
        <v>7942</v>
      </c>
      <c r="D334" t="s">
        <v>5703</v>
      </c>
      <c r="E334" t="s">
        <v>5704</v>
      </c>
      <c r="F334" s="40">
        <v>1</v>
      </c>
    </row>
    <row r="335" spans="3:6" x14ac:dyDescent="0.25">
      <c r="D335" t="s">
        <v>5707</v>
      </c>
      <c r="E335" t="s">
        <v>5708</v>
      </c>
      <c r="F335" s="40">
        <v>1</v>
      </c>
    </row>
    <row r="336" spans="3:6" x14ac:dyDescent="0.25">
      <c r="D336" t="s">
        <v>5711</v>
      </c>
      <c r="E336" t="s">
        <v>5712</v>
      </c>
      <c r="F336" s="40">
        <v>1</v>
      </c>
    </row>
    <row r="337" spans="2:6" x14ac:dyDescent="0.25">
      <c r="C337" t="s">
        <v>5753</v>
      </c>
      <c r="D337" t="s">
        <v>5752</v>
      </c>
      <c r="E337" t="s">
        <v>5753</v>
      </c>
      <c r="F337" s="40">
        <v>1</v>
      </c>
    </row>
    <row r="338" spans="2:6" x14ac:dyDescent="0.25">
      <c r="D338" t="s">
        <v>5756</v>
      </c>
      <c r="E338" t="s">
        <v>5757</v>
      </c>
      <c r="F338" s="40">
        <v>1</v>
      </c>
    </row>
    <row r="339" spans="2:6" x14ac:dyDescent="0.25">
      <c r="C339" t="s">
        <v>7962</v>
      </c>
      <c r="D339" t="s">
        <v>5578</v>
      </c>
      <c r="E339" t="s">
        <v>5579</v>
      </c>
      <c r="F339" s="40">
        <v>1</v>
      </c>
    </row>
    <row r="340" spans="2:6" x14ac:dyDescent="0.25">
      <c r="D340" t="s">
        <v>5581</v>
      </c>
      <c r="E340" t="s">
        <v>5582</v>
      </c>
      <c r="F340" s="40">
        <v>1</v>
      </c>
    </row>
    <row r="341" spans="2:6" x14ac:dyDescent="0.25">
      <c r="D341" t="s">
        <v>5585</v>
      </c>
      <c r="E341" t="s">
        <v>5586</v>
      </c>
      <c r="F341" s="40">
        <v>1</v>
      </c>
    </row>
    <row r="342" spans="2:6" x14ac:dyDescent="0.25">
      <c r="D342" t="s">
        <v>5589</v>
      </c>
      <c r="E342" t="s">
        <v>5590</v>
      </c>
      <c r="F342" s="40">
        <v>1</v>
      </c>
    </row>
    <row r="343" spans="2:6" x14ac:dyDescent="0.25">
      <c r="D343" t="s">
        <v>5593</v>
      </c>
      <c r="E343" t="s">
        <v>5594</v>
      </c>
      <c r="F343" s="40">
        <v>1</v>
      </c>
    </row>
    <row r="344" spans="2:6" x14ac:dyDescent="0.25">
      <c r="D344" t="s">
        <v>5597</v>
      </c>
      <c r="E344" t="s">
        <v>5598</v>
      </c>
      <c r="F344" s="40">
        <v>1</v>
      </c>
    </row>
    <row r="345" spans="2:6" x14ac:dyDescent="0.25">
      <c r="D345" t="s">
        <v>5782</v>
      </c>
      <c r="E345" t="s">
        <v>5783</v>
      </c>
      <c r="F345" s="40">
        <v>1</v>
      </c>
    </row>
    <row r="346" spans="2:6" x14ac:dyDescent="0.25">
      <c r="B346" t="s">
        <v>7551</v>
      </c>
      <c r="C346" t="s">
        <v>5476</v>
      </c>
      <c r="D346" t="s">
        <v>5478</v>
      </c>
      <c r="E346" t="s">
        <v>5479</v>
      </c>
      <c r="F346" s="40">
        <v>1</v>
      </c>
    </row>
    <row r="347" spans="2:6" x14ac:dyDescent="0.25">
      <c r="D347" t="s">
        <v>5475</v>
      </c>
      <c r="E347" t="s">
        <v>5476</v>
      </c>
      <c r="F347" s="40">
        <v>1</v>
      </c>
    </row>
    <row r="348" spans="2:6" x14ac:dyDescent="0.25">
      <c r="C348" t="s">
        <v>5450</v>
      </c>
      <c r="D348" t="s">
        <v>5454</v>
      </c>
      <c r="E348" t="s">
        <v>5455</v>
      </c>
      <c r="F348" s="40">
        <v>1</v>
      </c>
    </row>
    <row r="349" spans="2:6" x14ac:dyDescent="0.25">
      <c r="D349" t="s">
        <v>5449</v>
      </c>
      <c r="E349" t="s">
        <v>5450</v>
      </c>
      <c r="F349" s="40">
        <v>1</v>
      </c>
    </row>
    <row r="350" spans="2:6" x14ac:dyDescent="0.25">
      <c r="C350" t="s">
        <v>5465</v>
      </c>
      <c r="D350" t="s">
        <v>5467</v>
      </c>
      <c r="E350" t="s">
        <v>5468</v>
      </c>
      <c r="F350" s="40">
        <v>1</v>
      </c>
    </row>
    <row r="351" spans="2:6" x14ac:dyDescent="0.25">
      <c r="D351" t="s">
        <v>5464</v>
      </c>
      <c r="E351" t="s">
        <v>5465</v>
      </c>
      <c r="F351" s="40">
        <v>1</v>
      </c>
    </row>
    <row r="352" spans="2:6" x14ac:dyDescent="0.25">
      <c r="C352" t="s">
        <v>5375</v>
      </c>
      <c r="D352" t="s">
        <v>5374</v>
      </c>
      <c r="E352" t="s">
        <v>5375</v>
      </c>
      <c r="F352" s="40">
        <v>1</v>
      </c>
    </row>
    <row r="353" spans="3:6" x14ac:dyDescent="0.25">
      <c r="D353" t="s">
        <v>5397</v>
      </c>
      <c r="E353" t="s">
        <v>5398</v>
      </c>
      <c r="F353" s="40">
        <v>1</v>
      </c>
    </row>
    <row r="354" spans="3:6" x14ac:dyDescent="0.25">
      <c r="D354" t="s">
        <v>5401</v>
      </c>
      <c r="E354" t="s">
        <v>5086</v>
      </c>
      <c r="F354" s="40">
        <v>1</v>
      </c>
    </row>
    <row r="355" spans="3:6" x14ac:dyDescent="0.25">
      <c r="D355" t="s">
        <v>5416</v>
      </c>
      <c r="E355" t="s">
        <v>5417</v>
      </c>
      <c r="F355" s="40">
        <v>1</v>
      </c>
    </row>
    <row r="356" spans="3:6" x14ac:dyDescent="0.25">
      <c r="D356" t="s">
        <v>5435</v>
      </c>
      <c r="E356" t="s">
        <v>5104</v>
      </c>
      <c r="F356" s="40">
        <v>1</v>
      </c>
    </row>
    <row r="357" spans="3:6" x14ac:dyDescent="0.25">
      <c r="C357" t="s">
        <v>7932</v>
      </c>
      <c r="D357" t="s">
        <v>5391</v>
      </c>
      <c r="E357" t="s">
        <v>5392</v>
      </c>
      <c r="F357" s="40">
        <v>1</v>
      </c>
    </row>
    <row r="358" spans="3:6" x14ac:dyDescent="0.25">
      <c r="D358" t="s">
        <v>5387</v>
      </c>
      <c r="E358" t="s">
        <v>5388</v>
      </c>
      <c r="F358" s="40">
        <v>1</v>
      </c>
    </row>
    <row r="359" spans="3:6" x14ac:dyDescent="0.25">
      <c r="C359" t="s">
        <v>7933</v>
      </c>
      <c r="D359" t="s">
        <v>5424</v>
      </c>
      <c r="E359" t="s">
        <v>5425</v>
      </c>
      <c r="F359" s="40">
        <v>1</v>
      </c>
    </row>
    <row r="360" spans="3:6" x14ac:dyDescent="0.25">
      <c r="D360" t="s">
        <v>5420</v>
      </c>
      <c r="E360" t="s">
        <v>5421</v>
      </c>
      <c r="F360" s="40">
        <v>1</v>
      </c>
    </row>
    <row r="361" spans="3:6" x14ac:dyDescent="0.25">
      <c r="C361" t="s">
        <v>7931</v>
      </c>
      <c r="D361" t="s">
        <v>5381</v>
      </c>
      <c r="E361" t="s">
        <v>5382</v>
      </c>
      <c r="F361" s="40">
        <v>1</v>
      </c>
    </row>
    <row r="362" spans="3:6" x14ac:dyDescent="0.25">
      <c r="D362" t="s">
        <v>5377</v>
      </c>
      <c r="E362" t="s">
        <v>5378</v>
      </c>
      <c r="F362" s="40">
        <v>1</v>
      </c>
    </row>
    <row r="363" spans="3:6" x14ac:dyDescent="0.25">
      <c r="C363" t="s">
        <v>4770</v>
      </c>
      <c r="D363" t="s">
        <v>4769</v>
      </c>
      <c r="E363" t="s">
        <v>4770</v>
      </c>
      <c r="F363" s="40">
        <v>2</v>
      </c>
    </row>
    <row r="364" spans="3:6" x14ac:dyDescent="0.25">
      <c r="D364" t="s">
        <v>4781</v>
      </c>
      <c r="E364" t="s">
        <v>4782</v>
      </c>
      <c r="F364" s="40">
        <v>1</v>
      </c>
    </row>
    <row r="365" spans="3:6" x14ac:dyDescent="0.25">
      <c r="C365" t="s">
        <v>4276</v>
      </c>
      <c r="D365" t="s">
        <v>4275</v>
      </c>
      <c r="E365" t="s">
        <v>4276</v>
      </c>
      <c r="F365" s="40">
        <v>1</v>
      </c>
    </row>
    <row r="366" spans="3:6" x14ac:dyDescent="0.25">
      <c r="D366" t="s">
        <v>1516</v>
      </c>
      <c r="E366" t="s">
        <v>1517</v>
      </c>
      <c r="F366" s="40">
        <v>1</v>
      </c>
    </row>
    <row r="367" spans="3:6" x14ac:dyDescent="0.25">
      <c r="C367" t="s">
        <v>7962</v>
      </c>
      <c r="D367" t="s">
        <v>5321</v>
      </c>
      <c r="E367" t="s">
        <v>5322</v>
      </c>
      <c r="F367" s="40">
        <v>1</v>
      </c>
    </row>
    <row r="368" spans="3:6" x14ac:dyDescent="0.25">
      <c r="D368" t="s">
        <v>5484</v>
      </c>
      <c r="E368" t="s">
        <v>5485</v>
      </c>
      <c r="F368" s="40">
        <v>1</v>
      </c>
    </row>
    <row r="369" spans="2:6" x14ac:dyDescent="0.25">
      <c r="D369" t="s">
        <v>5324</v>
      </c>
      <c r="E369" t="s">
        <v>5325</v>
      </c>
      <c r="F369" s="40">
        <v>1</v>
      </c>
    </row>
    <row r="370" spans="2:6" x14ac:dyDescent="0.25">
      <c r="D370" t="s">
        <v>5328</v>
      </c>
      <c r="E370" t="s">
        <v>5329</v>
      </c>
      <c r="F370" s="40">
        <v>1</v>
      </c>
    </row>
    <row r="371" spans="2:6" x14ac:dyDescent="0.25">
      <c r="D371" t="s">
        <v>5332</v>
      </c>
      <c r="E371" t="s">
        <v>5333</v>
      </c>
      <c r="F371" s="40">
        <v>1</v>
      </c>
    </row>
    <row r="372" spans="2:6" x14ac:dyDescent="0.25">
      <c r="D372" t="s">
        <v>5336</v>
      </c>
      <c r="E372" t="s">
        <v>5337</v>
      </c>
      <c r="F372" s="40">
        <v>1</v>
      </c>
    </row>
    <row r="373" spans="2:6" x14ac:dyDescent="0.25">
      <c r="D373" t="s">
        <v>5340</v>
      </c>
      <c r="E373" t="s">
        <v>5341</v>
      </c>
      <c r="F373" s="40">
        <v>1</v>
      </c>
    </row>
    <row r="374" spans="2:6" x14ac:dyDescent="0.25">
      <c r="D374" t="s">
        <v>5344</v>
      </c>
      <c r="E374" t="s">
        <v>5345</v>
      </c>
      <c r="F374" s="40">
        <v>1</v>
      </c>
    </row>
    <row r="375" spans="2:6" x14ac:dyDescent="0.25">
      <c r="B375" t="s">
        <v>7562</v>
      </c>
      <c r="C375" t="s">
        <v>7962</v>
      </c>
      <c r="D375" t="s">
        <v>5487</v>
      </c>
      <c r="E375" t="s">
        <v>5488</v>
      </c>
      <c r="F375" s="40">
        <v>1</v>
      </c>
    </row>
    <row r="376" spans="2:6" x14ac:dyDescent="0.25">
      <c r="D376" t="s">
        <v>5490</v>
      </c>
      <c r="E376" t="s">
        <v>5491</v>
      </c>
      <c r="F376" s="40">
        <v>1</v>
      </c>
    </row>
    <row r="377" spans="2:6" x14ac:dyDescent="0.25">
      <c r="D377" t="s">
        <v>5494</v>
      </c>
      <c r="E377" t="s">
        <v>5495</v>
      </c>
      <c r="F377" s="40">
        <v>1</v>
      </c>
    </row>
    <row r="378" spans="2:6" x14ac:dyDescent="0.25">
      <c r="D378" t="s">
        <v>5502</v>
      </c>
      <c r="E378" t="s">
        <v>5503</v>
      </c>
      <c r="F378" s="40">
        <v>1</v>
      </c>
    </row>
    <row r="379" spans="2:6" x14ac:dyDescent="0.25">
      <c r="D379" t="s">
        <v>5506</v>
      </c>
      <c r="E379" t="s">
        <v>5507</v>
      </c>
      <c r="F379" s="40">
        <v>1</v>
      </c>
    </row>
    <row r="380" spans="2:6" x14ac:dyDescent="0.25">
      <c r="D380" t="s">
        <v>5510</v>
      </c>
      <c r="E380" t="s">
        <v>5511</v>
      </c>
      <c r="F380" s="40">
        <v>1</v>
      </c>
    </row>
    <row r="381" spans="2:6" x14ac:dyDescent="0.25">
      <c r="B381" t="s">
        <v>7571</v>
      </c>
      <c r="C381" t="s">
        <v>7962</v>
      </c>
      <c r="D381" t="s">
        <v>5541</v>
      </c>
      <c r="E381" t="s">
        <v>5542</v>
      </c>
      <c r="F381" s="40">
        <v>1</v>
      </c>
    </row>
    <row r="382" spans="2:6" x14ac:dyDescent="0.25">
      <c r="D382" t="s">
        <v>5544</v>
      </c>
      <c r="E382" t="s">
        <v>5545</v>
      </c>
      <c r="F382" s="40">
        <v>1</v>
      </c>
    </row>
    <row r="383" spans="2:6" x14ac:dyDescent="0.25">
      <c r="D383" t="s">
        <v>5548</v>
      </c>
      <c r="E383" t="s">
        <v>5549</v>
      </c>
      <c r="F383" s="40">
        <v>1</v>
      </c>
    </row>
    <row r="384" spans="2:6" x14ac:dyDescent="0.25">
      <c r="D384" t="s">
        <v>5552</v>
      </c>
      <c r="E384" t="s">
        <v>5553</v>
      </c>
      <c r="F384" s="40">
        <v>1</v>
      </c>
    </row>
    <row r="385" spans="2:6" x14ac:dyDescent="0.25">
      <c r="D385" t="s">
        <v>5556</v>
      </c>
      <c r="E385" t="s">
        <v>5557</v>
      </c>
      <c r="F385" s="40">
        <v>1</v>
      </c>
    </row>
    <row r="386" spans="2:6" x14ac:dyDescent="0.25">
      <c r="D386" t="s">
        <v>5560</v>
      </c>
      <c r="E386" t="s">
        <v>5561</v>
      </c>
      <c r="F386" s="40">
        <v>1</v>
      </c>
    </row>
    <row r="387" spans="2:6" x14ac:dyDescent="0.25">
      <c r="D387" t="s">
        <v>5564</v>
      </c>
      <c r="E387" t="s">
        <v>5565</v>
      </c>
      <c r="F387" s="40">
        <v>1</v>
      </c>
    </row>
    <row r="388" spans="2:6" x14ac:dyDescent="0.25">
      <c r="D388" t="s">
        <v>5568</v>
      </c>
      <c r="E388" t="s">
        <v>5569</v>
      </c>
      <c r="F388" s="40">
        <v>1</v>
      </c>
    </row>
    <row r="389" spans="2:6" x14ac:dyDescent="0.25">
      <c r="B389" t="s">
        <v>7488</v>
      </c>
      <c r="C389" t="s">
        <v>7962</v>
      </c>
      <c r="D389" t="s">
        <v>4706</v>
      </c>
      <c r="E389" t="s">
        <v>4707</v>
      </c>
      <c r="F389" s="40">
        <v>1</v>
      </c>
    </row>
    <row r="390" spans="2:6" x14ac:dyDescent="0.25">
      <c r="D390" t="s">
        <v>4709</v>
      </c>
      <c r="E390" t="s">
        <v>4710</v>
      </c>
      <c r="F390" s="40">
        <v>1</v>
      </c>
    </row>
    <row r="391" spans="2:6" x14ac:dyDescent="0.25">
      <c r="D391" t="s">
        <v>4713</v>
      </c>
      <c r="E391" t="s">
        <v>4714</v>
      </c>
      <c r="F391" s="40">
        <v>1</v>
      </c>
    </row>
    <row r="392" spans="2:6" x14ac:dyDescent="0.25">
      <c r="D392" t="s">
        <v>4717</v>
      </c>
      <c r="E392" t="s">
        <v>4718</v>
      </c>
      <c r="F392" s="40">
        <v>1</v>
      </c>
    </row>
    <row r="393" spans="2:6" x14ac:dyDescent="0.25">
      <c r="D393" t="s">
        <v>4721</v>
      </c>
      <c r="E393" t="s">
        <v>4722</v>
      </c>
      <c r="F393" s="40">
        <v>1</v>
      </c>
    </row>
    <row r="394" spans="2:6" x14ac:dyDescent="0.25">
      <c r="B394" t="s">
        <v>7515</v>
      </c>
      <c r="C394" t="s">
        <v>4953</v>
      </c>
      <c r="D394" t="s">
        <v>4952</v>
      </c>
      <c r="E394" t="s">
        <v>4953</v>
      </c>
      <c r="F394" s="40">
        <v>1</v>
      </c>
    </row>
    <row r="395" spans="2:6" x14ac:dyDescent="0.25">
      <c r="D395" t="s">
        <v>4763</v>
      </c>
      <c r="E395" t="s">
        <v>4764</v>
      </c>
      <c r="F395" s="40">
        <v>1</v>
      </c>
    </row>
    <row r="396" spans="2:6" x14ac:dyDescent="0.25">
      <c r="C396" t="s">
        <v>7517</v>
      </c>
      <c r="D396" t="s">
        <v>4971</v>
      </c>
      <c r="E396" t="s">
        <v>714</v>
      </c>
      <c r="F396" s="40">
        <v>1</v>
      </c>
    </row>
    <row r="397" spans="2:6" x14ac:dyDescent="0.25">
      <c r="D397" t="s">
        <v>4969</v>
      </c>
      <c r="E397" t="s">
        <v>711</v>
      </c>
      <c r="F397" s="40">
        <v>2</v>
      </c>
    </row>
    <row r="398" spans="2:6" x14ac:dyDescent="0.25">
      <c r="C398" t="s">
        <v>7962</v>
      </c>
      <c r="D398" t="s">
        <v>4933</v>
      </c>
      <c r="E398" t="s">
        <v>4934</v>
      </c>
      <c r="F398" s="40">
        <v>1</v>
      </c>
    </row>
    <row r="399" spans="2:6" x14ac:dyDescent="0.25">
      <c r="D399" t="s">
        <v>4936</v>
      </c>
      <c r="E399" t="s">
        <v>4937</v>
      </c>
      <c r="F399" s="40">
        <v>1</v>
      </c>
    </row>
    <row r="400" spans="2:6" x14ac:dyDescent="0.25">
      <c r="D400" t="s">
        <v>4940</v>
      </c>
      <c r="E400" t="s">
        <v>4941</v>
      </c>
      <c r="F400" s="40">
        <v>1</v>
      </c>
    </row>
    <row r="401" spans="2:6" x14ac:dyDescent="0.25">
      <c r="D401" t="s">
        <v>4944</v>
      </c>
      <c r="E401" t="s">
        <v>4945</v>
      </c>
      <c r="F401" s="40">
        <v>1</v>
      </c>
    </row>
    <row r="402" spans="2:6" x14ac:dyDescent="0.25">
      <c r="D402" t="s">
        <v>4948</v>
      </c>
      <c r="E402" t="s">
        <v>4949</v>
      </c>
      <c r="F402" s="40">
        <v>1</v>
      </c>
    </row>
    <row r="403" spans="2:6" x14ac:dyDescent="0.25">
      <c r="D403" t="s">
        <v>4979</v>
      </c>
      <c r="E403" t="s">
        <v>4980</v>
      </c>
      <c r="F403" s="40">
        <v>1</v>
      </c>
    </row>
    <row r="404" spans="2:6" x14ac:dyDescent="0.25">
      <c r="B404" t="s">
        <v>7537</v>
      </c>
      <c r="C404" t="s">
        <v>7962</v>
      </c>
      <c r="D404" t="s">
        <v>5145</v>
      </c>
      <c r="E404" t="s">
        <v>5146</v>
      </c>
      <c r="F404" s="40">
        <v>1</v>
      </c>
    </row>
    <row r="405" spans="2:6" x14ac:dyDescent="0.25">
      <c r="D405" t="s">
        <v>5148</v>
      </c>
      <c r="E405" t="s">
        <v>5149</v>
      </c>
      <c r="F405" s="40">
        <v>1</v>
      </c>
    </row>
    <row r="406" spans="2:6" x14ac:dyDescent="0.25">
      <c r="D406" t="s">
        <v>5152</v>
      </c>
      <c r="E406" t="s">
        <v>5153</v>
      </c>
      <c r="F406" s="40">
        <v>1</v>
      </c>
    </row>
    <row r="407" spans="2:6" x14ac:dyDescent="0.25">
      <c r="D407" t="s">
        <v>5156</v>
      </c>
      <c r="E407" t="s">
        <v>5157</v>
      </c>
      <c r="F407" s="40">
        <v>1</v>
      </c>
    </row>
    <row r="408" spans="2:6" x14ac:dyDescent="0.25">
      <c r="D408" t="s">
        <v>7927</v>
      </c>
      <c r="E408" t="s">
        <v>7929</v>
      </c>
      <c r="F408" s="40">
        <v>1</v>
      </c>
    </row>
    <row r="409" spans="2:6" x14ac:dyDescent="0.25">
      <c r="B409" t="s">
        <v>7489</v>
      </c>
      <c r="C409" t="s">
        <v>4770</v>
      </c>
      <c r="D409" t="s">
        <v>4769</v>
      </c>
      <c r="E409" t="s">
        <v>4770</v>
      </c>
      <c r="F409" s="40">
        <v>1</v>
      </c>
    </row>
    <row r="410" spans="2:6" x14ac:dyDescent="0.25">
      <c r="D410" t="s">
        <v>4781</v>
      </c>
      <c r="E410" t="s">
        <v>4782</v>
      </c>
      <c r="F410" s="40">
        <v>1</v>
      </c>
    </row>
    <row r="411" spans="2:6" x14ac:dyDescent="0.25">
      <c r="C411" t="s">
        <v>1511</v>
      </c>
      <c r="D411" t="s">
        <v>1516</v>
      </c>
      <c r="E411" t="s">
        <v>1517</v>
      </c>
      <c r="F411" s="40">
        <v>1</v>
      </c>
    </row>
    <row r="412" spans="2:6" x14ac:dyDescent="0.25">
      <c r="D412" t="s">
        <v>1510</v>
      </c>
      <c r="E412" t="s">
        <v>1511</v>
      </c>
      <c r="F412" s="40">
        <v>1</v>
      </c>
    </row>
    <row r="413" spans="2:6" x14ac:dyDescent="0.25">
      <c r="C413" t="s">
        <v>4760</v>
      </c>
      <c r="D413" t="s">
        <v>4763</v>
      </c>
      <c r="E413" t="s">
        <v>4764</v>
      </c>
      <c r="F413" s="40">
        <v>1</v>
      </c>
    </row>
    <row r="414" spans="2:6" x14ac:dyDescent="0.25">
      <c r="D414" t="s">
        <v>4759</v>
      </c>
      <c r="E414" t="s">
        <v>4760</v>
      </c>
      <c r="F414" s="40">
        <v>2</v>
      </c>
    </row>
    <row r="415" spans="2:6" x14ac:dyDescent="0.25">
      <c r="C415" t="s">
        <v>7962</v>
      </c>
      <c r="D415" t="s">
        <v>4730</v>
      </c>
      <c r="E415" t="s">
        <v>4731</v>
      </c>
      <c r="F415" s="40">
        <v>1</v>
      </c>
    </row>
    <row r="416" spans="2:6" x14ac:dyDescent="0.25">
      <c r="D416" t="s">
        <v>4733</v>
      </c>
      <c r="E416" t="s">
        <v>4734</v>
      </c>
      <c r="F416" s="40">
        <v>1</v>
      </c>
    </row>
    <row r="417" spans="2:6" x14ac:dyDescent="0.25">
      <c r="D417" t="s">
        <v>4737</v>
      </c>
      <c r="E417" t="s">
        <v>4738</v>
      </c>
      <c r="F417" s="40">
        <v>1</v>
      </c>
    </row>
    <row r="418" spans="2:6" x14ac:dyDescent="0.25">
      <c r="D418" t="s">
        <v>4741</v>
      </c>
      <c r="E418" t="s">
        <v>4742</v>
      </c>
      <c r="F418" s="40">
        <v>1</v>
      </c>
    </row>
    <row r="419" spans="2:6" x14ac:dyDescent="0.25">
      <c r="D419" t="s">
        <v>4745</v>
      </c>
      <c r="E419" t="s">
        <v>4746</v>
      </c>
      <c r="F419" s="40">
        <v>1</v>
      </c>
    </row>
    <row r="420" spans="2:6" x14ac:dyDescent="0.25">
      <c r="D420" t="s">
        <v>4749</v>
      </c>
      <c r="E420" t="s">
        <v>4750</v>
      </c>
      <c r="F420" s="40">
        <v>1</v>
      </c>
    </row>
    <row r="421" spans="2:6" x14ac:dyDescent="0.25">
      <c r="D421" t="s">
        <v>4800</v>
      </c>
      <c r="E421" t="s">
        <v>4801</v>
      </c>
      <c r="F421" s="40">
        <v>1</v>
      </c>
    </row>
    <row r="422" spans="2:6" x14ac:dyDescent="0.25">
      <c r="D422" t="s">
        <v>1516</v>
      </c>
      <c r="E422" t="s">
        <v>1517</v>
      </c>
      <c r="F422" s="40">
        <v>1</v>
      </c>
    </row>
    <row r="423" spans="2:6" x14ac:dyDescent="0.25">
      <c r="B423" t="s">
        <v>7545</v>
      </c>
      <c r="C423" t="s">
        <v>5311</v>
      </c>
      <c r="D423" t="s">
        <v>4781</v>
      </c>
      <c r="E423" t="s">
        <v>4782</v>
      </c>
      <c r="F423" s="40">
        <v>1</v>
      </c>
    </row>
    <row r="424" spans="2:6" x14ac:dyDescent="0.25">
      <c r="D424" t="s">
        <v>5310</v>
      </c>
      <c r="E424" t="s">
        <v>5311</v>
      </c>
      <c r="F424" s="40">
        <v>1</v>
      </c>
    </row>
    <row r="425" spans="2:6" x14ac:dyDescent="0.25">
      <c r="C425" t="s">
        <v>4770</v>
      </c>
      <c r="D425" t="s">
        <v>4769</v>
      </c>
      <c r="E425" t="s">
        <v>4770</v>
      </c>
      <c r="F425" s="40">
        <v>1</v>
      </c>
    </row>
    <row r="426" spans="2:6" x14ac:dyDescent="0.25">
      <c r="D426" t="s">
        <v>4781</v>
      </c>
      <c r="E426" t="s">
        <v>4782</v>
      </c>
      <c r="F426" s="40">
        <v>1</v>
      </c>
    </row>
    <row r="427" spans="2:6" x14ac:dyDescent="0.25">
      <c r="C427" t="s">
        <v>7962</v>
      </c>
      <c r="D427" t="s">
        <v>5272</v>
      </c>
      <c r="E427" t="s">
        <v>5273</v>
      </c>
      <c r="F427" s="40">
        <v>1</v>
      </c>
    </row>
    <row r="428" spans="2:6" x14ac:dyDescent="0.25">
      <c r="D428" t="s">
        <v>5275</v>
      </c>
      <c r="E428" t="s">
        <v>5276</v>
      </c>
      <c r="F428" s="40">
        <v>1</v>
      </c>
    </row>
    <row r="429" spans="2:6" x14ac:dyDescent="0.25">
      <c r="D429" t="s">
        <v>5279</v>
      </c>
      <c r="E429" t="s">
        <v>5280</v>
      </c>
      <c r="F429" s="40">
        <v>1</v>
      </c>
    </row>
    <row r="430" spans="2:6" x14ac:dyDescent="0.25">
      <c r="D430" t="s">
        <v>5283</v>
      </c>
      <c r="E430" t="s">
        <v>5284</v>
      </c>
      <c r="F430" s="40">
        <v>1</v>
      </c>
    </row>
    <row r="431" spans="2:6" x14ac:dyDescent="0.25">
      <c r="D431" t="s">
        <v>5287</v>
      </c>
      <c r="E431" t="s">
        <v>5288</v>
      </c>
      <c r="F431" s="40">
        <v>1</v>
      </c>
    </row>
    <row r="432" spans="2:6" x14ac:dyDescent="0.25">
      <c r="D432" t="s">
        <v>1516</v>
      </c>
      <c r="E432" t="s">
        <v>1517</v>
      </c>
      <c r="F432" s="40">
        <v>1</v>
      </c>
    </row>
    <row r="433" spans="2:6" x14ac:dyDescent="0.25">
      <c r="B433" t="s">
        <v>7518</v>
      </c>
      <c r="C433" t="s">
        <v>7521</v>
      </c>
      <c r="D433" t="s">
        <v>5025</v>
      </c>
      <c r="E433" t="s">
        <v>5026</v>
      </c>
      <c r="F433" s="40">
        <v>1</v>
      </c>
    </row>
    <row r="434" spans="2:6" x14ac:dyDescent="0.25">
      <c r="D434" t="s">
        <v>5022</v>
      </c>
      <c r="E434" t="s">
        <v>5023</v>
      </c>
      <c r="F434" s="40">
        <v>1</v>
      </c>
    </row>
    <row r="435" spans="2:6" x14ac:dyDescent="0.25">
      <c r="C435" t="s">
        <v>5042</v>
      </c>
      <c r="D435" t="s">
        <v>5041</v>
      </c>
      <c r="E435" t="s">
        <v>5042</v>
      </c>
      <c r="F435" s="40">
        <v>1</v>
      </c>
    </row>
    <row r="436" spans="2:6" x14ac:dyDescent="0.25">
      <c r="D436" t="s">
        <v>5068</v>
      </c>
      <c r="E436" t="s">
        <v>5069</v>
      </c>
      <c r="F436" s="40">
        <v>1</v>
      </c>
    </row>
    <row r="437" spans="2:6" x14ac:dyDescent="0.25">
      <c r="D437" t="s">
        <v>5081</v>
      </c>
      <c r="E437" t="s">
        <v>5082</v>
      </c>
      <c r="F437" s="40">
        <v>1</v>
      </c>
    </row>
    <row r="438" spans="2:6" x14ac:dyDescent="0.25">
      <c r="D438" t="s">
        <v>5085</v>
      </c>
      <c r="E438" t="s">
        <v>5086</v>
      </c>
      <c r="F438" s="40">
        <v>1</v>
      </c>
    </row>
    <row r="439" spans="2:6" x14ac:dyDescent="0.25">
      <c r="D439" t="s">
        <v>5103</v>
      </c>
      <c r="E439" t="s">
        <v>5104</v>
      </c>
      <c r="F439" s="40">
        <v>1</v>
      </c>
    </row>
    <row r="440" spans="2:6" x14ac:dyDescent="0.25">
      <c r="D440" t="s">
        <v>5119</v>
      </c>
      <c r="E440" t="s">
        <v>5120</v>
      </c>
      <c r="F440" s="40">
        <v>1</v>
      </c>
    </row>
    <row r="441" spans="2:6" x14ac:dyDescent="0.25">
      <c r="C441" t="s">
        <v>7925</v>
      </c>
      <c r="D441" t="s">
        <v>5056</v>
      </c>
      <c r="E441" t="s">
        <v>5057</v>
      </c>
      <c r="F441" s="40">
        <v>1</v>
      </c>
    </row>
    <row r="442" spans="2:6" x14ac:dyDescent="0.25">
      <c r="D442" t="s">
        <v>5060</v>
      </c>
      <c r="E442" t="s">
        <v>5061</v>
      </c>
      <c r="F442" s="40">
        <v>1</v>
      </c>
    </row>
    <row r="443" spans="2:6" x14ac:dyDescent="0.25">
      <c r="C443" t="s">
        <v>7926</v>
      </c>
      <c r="D443" t="s">
        <v>5072</v>
      </c>
      <c r="E443" t="s">
        <v>5073</v>
      </c>
      <c r="F443" s="40">
        <v>1</v>
      </c>
    </row>
    <row r="444" spans="2:6" x14ac:dyDescent="0.25">
      <c r="D444" t="s">
        <v>5076</v>
      </c>
      <c r="E444" t="s">
        <v>5077</v>
      </c>
      <c r="F444" s="40">
        <v>1</v>
      </c>
    </row>
    <row r="445" spans="2:6" x14ac:dyDescent="0.25">
      <c r="C445" t="s">
        <v>7924</v>
      </c>
      <c r="D445" t="s">
        <v>5044</v>
      </c>
      <c r="E445" t="s">
        <v>5045</v>
      </c>
      <c r="F445" s="40">
        <v>1</v>
      </c>
    </row>
    <row r="446" spans="2:6" x14ac:dyDescent="0.25">
      <c r="D446" t="s">
        <v>5048</v>
      </c>
      <c r="E446" t="s">
        <v>5049</v>
      </c>
      <c r="F446" s="40">
        <v>1</v>
      </c>
    </row>
    <row r="447" spans="2:6" x14ac:dyDescent="0.25">
      <c r="C447" t="s">
        <v>7962</v>
      </c>
      <c r="D447" t="s">
        <v>4987</v>
      </c>
      <c r="E447" t="s">
        <v>4988</v>
      </c>
      <c r="F447" s="40">
        <v>1</v>
      </c>
    </row>
    <row r="448" spans="2:6" x14ac:dyDescent="0.25">
      <c r="D448" t="s">
        <v>4990</v>
      </c>
      <c r="E448" t="s">
        <v>4991</v>
      </c>
      <c r="F448" s="40">
        <v>1</v>
      </c>
    </row>
    <row r="449" spans="2:6" x14ac:dyDescent="0.25">
      <c r="D449" t="s">
        <v>4994</v>
      </c>
      <c r="E449" t="s">
        <v>4995</v>
      </c>
      <c r="F449" s="40">
        <v>1</v>
      </c>
    </row>
    <row r="450" spans="2:6" x14ac:dyDescent="0.25">
      <c r="D450" t="s">
        <v>4998</v>
      </c>
      <c r="E450" t="s">
        <v>4999</v>
      </c>
      <c r="F450" s="40">
        <v>1</v>
      </c>
    </row>
    <row r="451" spans="2:6" x14ac:dyDescent="0.25">
      <c r="D451" t="s">
        <v>5002</v>
      </c>
      <c r="E451" t="s">
        <v>5003</v>
      </c>
      <c r="F451" s="40">
        <v>1</v>
      </c>
    </row>
    <row r="452" spans="2:6" x14ac:dyDescent="0.25">
      <c r="D452" t="s">
        <v>5006</v>
      </c>
      <c r="E452" t="s">
        <v>5007</v>
      </c>
      <c r="F452" s="40">
        <v>1</v>
      </c>
    </row>
    <row r="453" spans="2:6" x14ac:dyDescent="0.25">
      <c r="D453" t="s">
        <v>5032</v>
      </c>
      <c r="E453" t="s">
        <v>5033</v>
      </c>
      <c r="F453" s="40">
        <v>1</v>
      </c>
    </row>
    <row r="454" spans="2:6" x14ac:dyDescent="0.25">
      <c r="D454" t="s">
        <v>5126</v>
      </c>
      <c r="E454" t="s">
        <v>5127</v>
      </c>
      <c r="F454" s="40">
        <v>1</v>
      </c>
    </row>
    <row r="455" spans="2:6" x14ac:dyDescent="0.25">
      <c r="B455" t="s">
        <v>7501</v>
      </c>
      <c r="C455" t="s">
        <v>1520</v>
      </c>
      <c r="D455" t="s">
        <v>1519</v>
      </c>
      <c r="E455" t="s">
        <v>1520</v>
      </c>
      <c r="F455" s="40">
        <v>2</v>
      </c>
    </row>
    <row r="456" spans="2:6" x14ac:dyDescent="0.25">
      <c r="D456" t="s">
        <v>1525</v>
      </c>
      <c r="E456" t="s">
        <v>1526</v>
      </c>
      <c r="F456" s="40">
        <v>1</v>
      </c>
    </row>
    <row r="457" spans="2:6" x14ac:dyDescent="0.25">
      <c r="C457" t="s">
        <v>4828</v>
      </c>
      <c r="D457" t="s">
        <v>1525</v>
      </c>
      <c r="E457" t="s">
        <v>1526</v>
      </c>
      <c r="F457" s="40">
        <v>1</v>
      </c>
    </row>
    <row r="458" spans="2:6" x14ac:dyDescent="0.25">
      <c r="D458" t="s">
        <v>4827</v>
      </c>
      <c r="E458" t="s">
        <v>4828</v>
      </c>
      <c r="F458" s="40">
        <v>4</v>
      </c>
    </row>
    <row r="459" spans="2:6" x14ac:dyDescent="0.25">
      <c r="C459" t="s">
        <v>7258</v>
      </c>
      <c r="D459" t="s">
        <v>2176</v>
      </c>
      <c r="E459" t="s">
        <v>714</v>
      </c>
      <c r="F459" s="40">
        <v>1</v>
      </c>
    </row>
    <row r="460" spans="2:6" x14ac:dyDescent="0.25">
      <c r="D460" t="s">
        <v>2174</v>
      </c>
      <c r="E460" t="s">
        <v>711</v>
      </c>
      <c r="F460" s="40">
        <v>7</v>
      </c>
    </row>
    <row r="461" spans="2:6" x14ac:dyDescent="0.25">
      <c r="C461" t="s">
        <v>7263</v>
      </c>
      <c r="D461" t="s">
        <v>2218</v>
      </c>
      <c r="E461" t="s">
        <v>714</v>
      </c>
      <c r="F461" s="40">
        <v>1</v>
      </c>
    </row>
    <row r="462" spans="2:6" x14ac:dyDescent="0.25">
      <c r="D462" t="s">
        <v>2216</v>
      </c>
      <c r="E462" t="s">
        <v>711</v>
      </c>
      <c r="F462" s="40">
        <v>1</v>
      </c>
    </row>
    <row r="463" spans="2:6" x14ac:dyDescent="0.25">
      <c r="C463" t="s">
        <v>7507</v>
      </c>
      <c r="D463" t="s">
        <v>4862</v>
      </c>
      <c r="E463" t="s">
        <v>714</v>
      </c>
      <c r="F463" s="40">
        <v>1</v>
      </c>
    </row>
    <row r="464" spans="2:6" x14ac:dyDescent="0.25">
      <c r="D464" t="s">
        <v>4860</v>
      </c>
      <c r="E464" t="s">
        <v>711</v>
      </c>
      <c r="F464" s="40">
        <v>1</v>
      </c>
    </row>
    <row r="465" spans="2:6" x14ac:dyDescent="0.25">
      <c r="C465" t="s">
        <v>7962</v>
      </c>
      <c r="D465" t="s">
        <v>4808</v>
      </c>
      <c r="E465" t="s">
        <v>4809</v>
      </c>
      <c r="F465" s="40">
        <v>1</v>
      </c>
    </row>
    <row r="466" spans="2:6" x14ac:dyDescent="0.25">
      <c r="D466" t="s">
        <v>4811</v>
      </c>
      <c r="E466" t="s">
        <v>4812</v>
      </c>
      <c r="F466" s="40">
        <v>1</v>
      </c>
    </row>
    <row r="467" spans="2:6" x14ac:dyDescent="0.25">
      <c r="D467" t="s">
        <v>4815</v>
      </c>
      <c r="E467" t="s">
        <v>4816</v>
      </c>
      <c r="F467" s="40">
        <v>1</v>
      </c>
    </row>
    <row r="468" spans="2:6" x14ac:dyDescent="0.25">
      <c r="D468" t="s">
        <v>4819</v>
      </c>
      <c r="E468" t="s">
        <v>4820</v>
      </c>
      <c r="F468" s="40">
        <v>1</v>
      </c>
    </row>
    <row r="469" spans="2:6" x14ac:dyDescent="0.25">
      <c r="D469" t="s">
        <v>4823</v>
      </c>
      <c r="E469" t="s">
        <v>4824</v>
      </c>
      <c r="F469" s="40">
        <v>1</v>
      </c>
    </row>
    <row r="470" spans="2:6" x14ac:dyDescent="0.25">
      <c r="D470" t="s">
        <v>4878</v>
      </c>
      <c r="E470" t="s">
        <v>4879</v>
      </c>
      <c r="F470" s="40">
        <v>1</v>
      </c>
    </row>
    <row r="471" spans="2:6" x14ac:dyDescent="0.25">
      <c r="B471" t="s">
        <v>7541</v>
      </c>
      <c r="C471" t="s">
        <v>4276</v>
      </c>
      <c r="D471" t="s">
        <v>4275</v>
      </c>
      <c r="E471" t="s">
        <v>4276</v>
      </c>
      <c r="F471" s="40">
        <v>1</v>
      </c>
    </row>
    <row r="472" spans="2:6" x14ac:dyDescent="0.25">
      <c r="D472" t="s">
        <v>1516</v>
      </c>
      <c r="E472" t="s">
        <v>1517</v>
      </c>
      <c r="F472" s="40">
        <v>1</v>
      </c>
    </row>
    <row r="473" spans="2:6" x14ac:dyDescent="0.25">
      <c r="C473" t="s">
        <v>7543</v>
      </c>
      <c r="D473" t="s">
        <v>5252</v>
      </c>
      <c r="E473" t="s">
        <v>5253</v>
      </c>
      <c r="F473" s="40">
        <v>1</v>
      </c>
    </row>
    <row r="474" spans="2:6" x14ac:dyDescent="0.25">
      <c r="D474" t="s">
        <v>5255</v>
      </c>
      <c r="E474" t="s">
        <v>5253</v>
      </c>
      <c r="F474" s="40">
        <v>1</v>
      </c>
    </row>
    <row r="475" spans="2:6" x14ac:dyDescent="0.25">
      <c r="C475" t="s">
        <v>7962</v>
      </c>
      <c r="D475" t="s">
        <v>5216</v>
      </c>
      <c r="E475" t="s">
        <v>5217</v>
      </c>
      <c r="F475" s="40">
        <v>1</v>
      </c>
    </row>
    <row r="476" spans="2:6" x14ac:dyDescent="0.25">
      <c r="D476" t="s">
        <v>5219</v>
      </c>
      <c r="E476" t="s">
        <v>5220</v>
      </c>
      <c r="F476" s="40">
        <v>1</v>
      </c>
    </row>
    <row r="477" spans="2:6" x14ac:dyDescent="0.25">
      <c r="D477" t="s">
        <v>5223</v>
      </c>
      <c r="E477" t="s">
        <v>5224</v>
      </c>
      <c r="F477" s="40">
        <v>1</v>
      </c>
    </row>
    <row r="478" spans="2:6" x14ac:dyDescent="0.25">
      <c r="D478" t="s">
        <v>5227</v>
      </c>
      <c r="E478" t="s">
        <v>5228</v>
      </c>
      <c r="F478" s="40">
        <v>1</v>
      </c>
    </row>
    <row r="479" spans="2:6" x14ac:dyDescent="0.25">
      <c r="D479" t="s">
        <v>5231</v>
      </c>
      <c r="E479" t="s">
        <v>5232</v>
      </c>
      <c r="F479" s="40">
        <v>1</v>
      </c>
    </row>
    <row r="480" spans="2:6" x14ac:dyDescent="0.25">
      <c r="D480" t="s">
        <v>5235</v>
      </c>
      <c r="E480" t="s">
        <v>5236</v>
      </c>
      <c r="F480" s="40">
        <v>1</v>
      </c>
    </row>
    <row r="481" spans="2:6" x14ac:dyDescent="0.25">
      <c r="D481" t="s">
        <v>5264</v>
      </c>
      <c r="E481" t="s">
        <v>5265</v>
      </c>
      <c r="F481" s="40">
        <v>1</v>
      </c>
    </row>
    <row r="482" spans="2:6" x14ac:dyDescent="0.25">
      <c r="B482" t="s">
        <v>7539</v>
      </c>
      <c r="C482" t="s">
        <v>7962</v>
      </c>
      <c r="D482" t="s">
        <v>5189</v>
      </c>
      <c r="E482" t="s">
        <v>5190</v>
      </c>
      <c r="F482" s="40">
        <v>1</v>
      </c>
    </row>
    <row r="483" spans="2:6" x14ac:dyDescent="0.25">
      <c r="D483" t="s">
        <v>5204</v>
      </c>
      <c r="E483" t="s">
        <v>5205</v>
      </c>
      <c r="F483" s="40">
        <v>1</v>
      </c>
    </row>
    <row r="484" spans="2:6" x14ac:dyDescent="0.25">
      <c r="D484" t="s">
        <v>5192</v>
      </c>
      <c r="E484" t="s">
        <v>5193</v>
      </c>
      <c r="F484" s="40">
        <v>1</v>
      </c>
    </row>
    <row r="485" spans="2:6" x14ac:dyDescent="0.25">
      <c r="D485" t="s">
        <v>5196</v>
      </c>
      <c r="E485" t="s">
        <v>5197</v>
      </c>
      <c r="F485" s="40">
        <v>1</v>
      </c>
    </row>
    <row r="486" spans="2:6" x14ac:dyDescent="0.25">
      <c r="D486" t="s">
        <v>5200</v>
      </c>
      <c r="E486" t="s">
        <v>5201</v>
      </c>
      <c r="F486" s="40">
        <v>1</v>
      </c>
    </row>
    <row r="487" spans="2:6" x14ac:dyDescent="0.25">
      <c r="B487" t="s">
        <v>7538</v>
      </c>
      <c r="C487" t="s">
        <v>7962</v>
      </c>
      <c r="D487" t="s">
        <v>5165</v>
      </c>
      <c r="E487" t="s">
        <v>5166</v>
      </c>
      <c r="F487" s="40">
        <v>1</v>
      </c>
    </row>
    <row r="488" spans="2:6" x14ac:dyDescent="0.25">
      <c r="D488" t="s">
        <v>5168</v>
      </c>
      <c r="E488" t="s">
        <v>5169</v>
      </c>
      <c r="F488" s="40">
        <v>1</v>
      </c>
    </row>
    <row r="489" spans="2:6" x14ac:dyDescent="0.25">
      <c r="D489" t="s">
        <v>5172</v>
      </c>
      <c r="E489" t="s">
        <v>5173</v>
      </c>
      <c r="F489" s="40">
        <v>1</v>
      </c>
    </row>
    <row r="490" spans="2:6" x14ac:dyDescent="0.25">
      <c r="D490" t="s">
        <v>5176</v>
      </c>
      <c r="E490" t="s">
        <v>5177</v>
      </c>
      <c r="F490" s="40">
        <v>1</v>
      </c>
    </row>
    <row r="491" spans="2:6" x14ac:dyDescent="0.25">
      <c r="D491" t="s">
        <v>5180</v>
      </c>
      <c r="E491" t="s">
        <v>5181</v>
      </c>
      <c r="F491" s="40">
        <v>1</v>
      </c>
    </row>
    <row r="492" spans="2:6" x14ac:dyDescent="0.25">
      <c r="B492" t="s">
        <v>7445</v>
      </c>
      <c r="C492" t="s">
        <v>7962</v>
      </c>
      <c r="D492" t="s">
        <v>4284</v>
      </c>
      <c r="E492" t="s">
        <v>4285</v>
      </c>
      <c r="F492" s="40">
        <v>1</v>
      </c>
    </row>
    <row r="493" spans="2:6" x14ac:dyDescent="0.25">
      <c r="D493" t="s">
        <v>4287</v>
      </c>
      <c r="E493" t="s">
        <v>4288</v>
      </c>
      <c r="F493" s="40">
        <v>1</v>
      </c>
    </row>
    <row r="494" spans="2:6" x14ac:dyDescent="0.25">
      <c r="D494" t="s">
        <v>4291</v>
      </c>
      <c r="E494" t="s">
        <v>4292</v>
      </c>
      <c r="F494" s="40">
        <v>1</v>
      </c>
    </row>
    <row r="495" spans="2:6" x14ac:dyDescent="0.25">
      <c r="D495" t="s">
        <v>4295</v>
      </c>
      <c r="E495" t="s">
        <v>4296</v>
      </c>
      <c r="F495" s="40">
        <v>1</v>
      </c>
    </row>
    <row r="496" spans="2:6" x14ac:dyDescent="0.25">
      <c r="B496" t="s">
        <v>7435</v>
      </c>
      <c r="C496" t="s">
        <v>7962</v>
      </c>
      <c r="D496" t="s">
        <v>4224</v>
      </c>
      <c r="E496" t="s">
        <v>4225</v>
      </c>
      <c r="F496" s="40">
        <v>1</v>
      </c>
    </row>
    <row r="497" spans="2:6" x14ac:dyDescent="0.25">
      <c r="D497" t="s">
        <v>4227</v>
      </c>
      <c r="E497" t="s">
        <v>4228</v>
      </c>
      <c r="F497" s="40">
        <v>1</v>
      </c>
    </row>
    <row r="498" spans="2:6" x14ac:dyDescent="0.25">
      <c r="D498" t="s">
        <v>4231</v>
      </c>
      <c r="E498" t="s">
        <v>4232</v>
      </c>
      <c r="F498" s="40">
        <v>1</v>
      </c>
    </row>
    <row r="499" spans="2:6" x14ac:dyDescent="0.25">
      <c r="D499" t="s">
        <v>4235</v>
      </c>
      <c r="E499" t="s">
        <v>4236</v>
      </c>
      <c r="F499" s="40">
        <v>1</v>
      </c>
    </row>
    <row r="500" spans="2:6" x14ac:dyDescent="0.25">
      <c r="D500" t="s">
        <v>4239</v>
      </c>
      <c r="E500" t="s">
        <v>4240</v>
      </c>
      <c r="F500" s="40">
        <v>1</v>
      </c>
    </row>
    <row r="501" spans="2:6" x14ac:dyDescent="0.25">
      <c r="B501" t="s">
        <v>7442</v>
      </c>
      <c r="C501" t="s">
        <v>4276</v>
      </c>
      <c r="D501" t="s">
        <v>4275</v>
      </c>
      <c r="E501" t="s">
        <v>4276</v>
      </c>
      <c r="F501" s="40">
        <v>1</v>
      </c>
    </row>
    <row r="502" spans="2:6" x14ac:dyDescent="0.25">
      <c r="D502" t="s">
        <v>1516</v>
      </c>
      <c r="E502" t="s">
        <v>1517</v>
      </c>
      <c r="F502" s="40">
        <v>1</v>
      </c>
    </row>
    <row r="503" spans="2:6" x14ac:dyDescent="0.25">
      <c r="C503" t="s">
        <v>7962</v>
      </c>
      <c r="D503" t="s">
        <v>4264</v>
      </c>
      <c r="E503" t="s">
        <v>4265</v>
      </c>
      <c r="F503" s="40">
        <v>1</v>
      </c>
    </row>
    <row r="504" spans="2:6" x14ac:dyDescent="0.25">
      <c r="D504" t="s">
        <v>4267</v>
      </c>
      <c r="E504" t="s">
        <v>4268</v>
      </c>
      <c r="F504" s="40">
        <v>1</v>
      </c>
    </row>
    <row r="505" spans="2:6" x14ac:dyDescent="0.25">
      <c r="D505" t="s">
        <v>4271</v>
      </c>
      <c r="E505" t="s">
        <v>4272</v>
      </c>
      <c r="F505" s="40">
        <v>1</v>
      </c>
    </row>
    <row r="506" spans="2:6" x14ac:dyDescent="0.25">
      <c r="B506" t="s">
        <v>7448</v>
      </c>
      <c r="C506" t="s">
        <v>4331</v>
      </c>
      <c r="D506" t="s">
        <v>4330</v>
      </c>
      <c r="E506" t="s">
        <v>4331</v>
      </c>
      <c r="F506" s="40">
        <v>1</v>
      </c>
    </row>
    <row r="507" spans="2:6" x14ac:dyDescent="0.25">
      <c r="D507" t="s">
        <v>4448</v>
      </c>
      <c r="E507" t="s">
        <v>4449</v>
      </c>
      <c r="F507" s="40">
        <v>1</v>
      </c>
    </row>
    <row r="508" spans="2:6" x14ac:dyDescent="0.25">
      <c r="D508" t="s">
        <v>4452</v>
      </c>
      <c r="E508" t="s">
        <v>4453</v>
      </c>
      <c r="F508" s="40">
        <v>1</v>
      </c>
    </row>
    <row r="509" spans="2:6" x14ac:dyDescent="0.25">
      <c r="D509" t="s">
        <v>4456</v>
      </c>
      <c r="E509" t="s">
        <v>4457</v>
      </c>
      <c r="F509" s="40">
        <v>1</v>
      </c>
    </row>
    <row r="510" spans="2:6" x14ac:dyDescent="0.25">
      <c r="D510" t="s">
        <v>4460</v>
      </c>
      <c r="E510" t="s">
        <v>4461</v>
      </c>
      <c r="F510" s="40">
        <v>1</v>
      </c>
    </row>
    <row r="511" spans="2:6" x14ac:dyDescent="0.25">
      <c r="D511" t="s">
        <v>4464</v>
      </c>
      <c r="E511" t="s">
        <v>4465</v>
      </c>
      <c r="F511" s="40">
        <v>1</v>
      </c>
    </row>
    <row r="512" spans="2:6" x14ac:dyDescent="0.25">
      <c r="C512" t="s">
        <v>7918</v>
      </c>
      <c r="D512" t="s">
        <v>4334</v>
      </c>
      <c r="E512" t="s">
        <v>4335</v>
      </c>
      <c r="F512" s="40">
        <v>1</v>
      </c>
    </row>
    <row r="513" spans="3:6" x14ac:dyDescent="0.25">
      <c r="D513" t="s">
        <v>4338</v>
      </c>
      <c r="E513" t="s">
        <v>4339</v>
      </c>
      <c r="F513" s="40">
        <v>1</v>
      </c>
    </row>
    <row r="514" spans="3:6" x14ac:dyDescent="0.25">
      <c r="D514" t="s">
        <v>4342</v>
      </c>
      <c r="E514" t="s">
        <v>4343</v>
      </c>
      <c r="F514" s="40">
        <v>1</v>
      </c>
    </row>
    <row r="515" spans="3:6" x14ac:dyDescent="0.25">
      <c r="D515" t="s">
        <v>4411</v>
      </c>
      <c r="E515" t="s">
        <v>4412</v>
      </c>
      <c r="F515" s="40">
        <v>1</v>
      </c>
    </row>
    <row r="516" spans="3:6" x14ac:dyDescent="0.25">
      <c r="D516" t="s">
        <v>4415</v>
      </c>
      <c r="E516" t="s">
        <v>4416</v>
      </c>
      <c r="F516" s="40">
        <v>1</v>
      </c>
    </row>
    <row r="517" spans="3:6" x14ac:dyDescent="0.25">
      <c r="D517" t="s">
        <v>4428</v>
      </c>
      <c r="E517" t="s">
        <v>4429</v>
      </c>
      <c r="F517" s="40">
        <v>1</v>
      </c>
    </row>
    <row r="518" spans="3:6" x14ac:dyDescent="0.25">
      <c r="C518" t="s">
        <v>7919</v>
      </c>
      <c r="D518" t="s">
        <v>4346</v>
      </c>
      <c r="E518" t="s">
        <v>4347</v>
      </c>
      <c r="F518" s="40">
        <v>1</v>
      </c>
    </row>
    <row r="519" spans="3:6" x14ac:dyDescent="0.25">
      <c r="D519" t="s">
        <v>4350</v>
      </c>
      <c r="E519" t="s">
        <v>4351</v>
      </c>
      <c r="F519" s="40">
        <v>1</v>
      </c>
    </row>
    <row r="520" spans="3:6" x14ac:dyDescent="0.25">
      <c r="D520" t="s">
        <v>4354</v>
      </c>
      <c r="E520" t="s">
        <v>4355</v>
      </c>
      <c r="F520" s="40">
        <v>1</v>
      </c>
    </row>
    <row r="521" spans="3:6" x14ac:dyDescent="0.25">
      <c r="D521" t="s">
        <v>4358</v>
      </c>
      <c r="E521" t="s">
        <v>4359</v>
      </c>
      <c r="F521" s="40">
        <v>1</v>
      </c>
    </row>
    <row r="522" spans="3:6" x14ac:dyDescent="0.25">
      <c r="C522" t="s">
        <v>7921</v>
      </c>
      <c r="D522" t="s">
        <v>4396</v>
      </c>
      <c r="E522" t="s">
        <v>4397</v>
      </c>
      <c r="F522" s="40">
        <v>1</v>
      </c>
    </row>
    <row r="523" spans="3:6" x14ac:dyDescent="0.25">
      <c r="D523" t="s">
        <v>4404</v>
      </c>
      <c r="E523" t="s">
        <v>4405</v>
      </c>
      <c r="F523" s="40">
        <v>1</v>
      </c>
    </row>
    <row r="524" spans="3:6" x14ac:dyDescent="0.25">
      <c r="D524" t="s">
        <v>4400</v>
      </c>
      <c r="E524" t="s">
        <v>4401</v>
      </c>
      <c r="F524" s="40">
        <v>1</v>
      </c>
    </row>
    <row r="525" spans="3:6" x14ac:dyDescent="0.25">
      <c r="C525" t="s">
        <v>7922</v>
      </c>
      <c r="D525" t="s">
        <v>4404</v>
      </c>
      <c r="E525" t="s">
        <v>4405</v>
      </c>
      <c r="F525" s="40">
        <v>1</v>
      </c>
    </row>
    <row r="526" spans="3:6" x14ac:dyDescent="0.25">
      <c r="D526" t="s">
        <v>4419</v>
      </c>
      <c r="E526" t="s">
        <v>4420</v>
      </c>
      <c r="F526" s="40">
        <v>1</v>
      </c>
    </row>
    <row r="527" spans="3:6" x14ac:dyDescent="0.25">
      <c r="D527" t="s">
        <v>4400</v>
      </c>
      <c r="E527" t="s">
        <v>4401</v>
      </c>
      <c r="F527" s="40">
        <v>1</v>
      </c>
    </row>
    <row r="528" spans="3:6" x14ac:dyDescent="0.25">
      <c r="C528" t="s">
        <v>7920</v>
      </c>
      <c r="D528" t="s">
        <v>4380</v>
      </c>
      <c r="E528" t="s">
        <v>4381</v>
      </c>
      <c r="F528" s="40">
        <v>1</v>
      </c>
    </row>
    <row r="529" spans="3:6" x14ac:dyDescent="0.25">
      <c r="D529" t="s">
        <v>4384</v>
      </c>
      <c r="E529" t="s">
        <v>4385</v>
      </c>
      <c r="F529" s="40">
        <v>1</v>
      </c>
    </row>
    <row r="530" spans="3:6" x14ac:dyDescent="0.25">
      <c r="D530" t="s">
        <v>4388</v>
      </c>
      <c r="E530" t="s">
        <v>4389</v>
      </c>
      <c r="F530" s="40">
        <v>1</v>
      </c>
    </row>
    <row r="531" spans="3:6" x14ac:dyDescent="0.25">
      <c r="D531" t="s">
        <v>4392</v>
      </c>
      <c r="E531" t="s">
        <v>4393</v>
      </c>
      <c r="F531" s="40">
        <v>1</v>
      </c>
    </row>
    <row r="532" spans="3:6" x14ac:dyDescent="0.25">
      <c r="D532" t="s">
        <v>4376</v>
      </c>
      <c r="E532" t="s">
        <v>4377</v>
      </c>
      <c r="F532" s="40">
        <v>1</v>
      </c>
    </row>
    <row r="533" spans="3:6" x14ac:dyDescent="0.25">
      <c r="C533" t="s">
        <v>4495</v>
      </c>
      <c r="D533" t="s">
        <v>4494</v>
      </c>
      <c r="E533" t="s">
        <v>4495</v>
      </c>
      <c r="F533" s="40">
        <v>1</v>
      </c>
    </row>
    <row r="534" spans="3:6" x14ac:dyDescent="0.25">
      <c r="D534" t="s">
        <v>4498</v>
      </c>
      <c r="E534" t="s">
        <v>4499</v>
      </c>
      <c r="F534" s="40">
        <v>1</v>
      </c>
    </row>
    <row r="535" spans="3:6" x14ac:dyDescent="0.25">
      <c r="D535" t="s">
        <v>4502</v>
      </c>
      <c r="E535" t="s">
        <v>4503</v>
      </c>
      <c r="F535" s="40">
        <v>1</v>
      </c>
    </row>
    <row r="536" spans="3:6" x14ac:dyDescent="0.25">
      <c r="D536" t="s">
        <v>4506</v>
      </c>
      <c r="E536" t="s">
        <v>4507</v>
      </c>
      <c r="F536" s="40">
        <v>1</v>
      </c>
    </row>
    <row r="537" spans="3:6" x14ac:dyDescent="0.25">
      <c r="D537" t="s">
        <v>4510</v>
      </c>
      <c r="E537" t="s">
        <v>4511</v>
      </c>
      <c r="F537" s="40">
        <v>1</v>
      </c>
    </row>
    <row r="538" spans="3:6" x14ac:dyDescent="0.25">
      <c r="D538" t="s">
        <v>4560</v>
      </c>
      <c r="E538" t="s">
        <v>4561</v>
      </c>
      <c r="F538" s="40">
        <v>1</v>
      </c>
    </row>
    <row r="539" spans="3:6" x14ac:dyDescent="0.25">
      <c r="C539" t="s">
        <v>7923</v>
      </c>
      <c r="D539" t="s">
        <v>4514</v>
      </c>
      <c r="E539" t="s">
        <v>4515</v>
      </c>
      <c r="F539" s="40">
        <v>1</v>
      </c>
    </row>
    <row r="540" spans="3:6" x14ac:dyDescent="0.25">
      <c r="D540" t="s">
        <v>4518</v>
      </c>
      <c r="E540" t="s">
        <v>4519</v>
      </c>
      <c r="F540" s="40">
        <v>1</v>
      </c>
    </row>
    <row r="541" spans="3:6" x14ac:dyDescent="0.25">
      <c r="D541" t="s">
        <v>4522</v>
      </c>
      <c r="E541" t="s">
        <v>4523</v>
      </c>
      <c r="F541" s="40">
        <v>1</v>
      </c>
    </row>
    <row r="542" spans="3:6" x14ac:dyDescent="0.25">
      <c r="C542" t="s">
        <v>4617</v>
      </c>
      <c r="D542" t="s">
        <v>4616</v>
      </c>
      <c r="E542" t="s">
        <v>4617</v>
      </c>
      <c r="F542" s="40">
        <v>1</v>
      </c>
    </row>
    <row r="543" spans="3:6" x14ac:dyDescent="0.25">
      <c r="D543" t="s">
        <v>4620</v>
      </c>
      <c r="E543" t="s">
        <v>4621</v>
      </c>
      <c r="F543" s="40">
        <v>1</v>
      </c>
    </row>
    <row r="544" spans="3:6" x14ac:dyDescent="0.25">
      <c r="C544" t="s">
        <v>7962</v>
      </c>
      <c r="D544" t="s">
        <v>4307</v>
      </c>
      <c r="E544" t="s">
        <v>4308</v>
      </c>
      <c r="F544" s="40">
        <v>1</v>
      </c>
    </row>
    <row r="545" spans="4:6" x14ac:dyDescent="0.25">
      <c r="D545" t="s">
        <v>4310</v>
      </c>
      <c r="E545" t="s">
        <v>4311</v>
      </c>
      <c r="F545" s="40">
        <v>1</v>
      </c>
    </row>
    <row r="546" spans="4:6" x14ac:dyDescent="0.25">
      <c r="D546" t="s">
        <v>4314</v>
      </c>
      <c r="E546" t="s">
        <v>4315</v>
      </c>
      <c r="F546" s="40">
        <v>1</v>
      </c>
    </row>
    <row r="547" spans="4:6" x14ac:dyDescent="0.25">
      <c r="D547" t="s">
        <v>4318</v>
      </c>
      <c r="E547" t="s">
        <v>4319</v>
      </c>
      <c r="F547" s="40">
        <v>1</v>
      </c>
    </row>
    <row r="548" spans="4:6" x14ac:dyDescent="0.25">
      <c r="D548" t="s">
        <v>4322</v>
      </c>
      <c r="E548" t="s">
        <v>4323</v>
      </c>
      <c r="F548" s="40">
        <v>2</v>
      </c>
    </row>
    <row r="549" spans="4:6" x14ac:dyDescent="0.25">
      <c r="D549" t="s">
        <v>4564</v>
      </c>
      <c r="E549" t="s">
        <v>4565</v>
      </c>
      <c r="F549" s="40">
        <v>1</v>
      </c>
    </row>
    <row r="550" spans="4:6" x14ac:dyDescent="0.25">
      <c r="D550" t="s">
        <v>4568</v>
      </c>
      <c r="E550" t="s">
        <v>4569</v>
      </c>
      <c r="F550" s="40">
        <v>2</v>
      </c>
    </row>
    <row r="551" spans="4:6" x14ac:dyDescent="0.25">
      <c r="D551" t="s">
        <v>4572</v>
      </c>
      <c r="E551" t="s">
        <v>4573</v>
      </c>
      <c r="F551" s="40">
        <v>2</v>
      </c>
    </row>
    <row r="552" spans="4:6" x14ac:dyDescent="0.25">
      <c r="D552" t="s">
        <v>4576</v>
      </c>
      <c r="E552" t="s">
        <v>4577</v>
      </c>
      <c r="F552" s="40">
        <v>2</v>
      </c>
    </row>
    <row r="553" spans="4:6" x14ac:dyDescent="0.25">
      <c r="D553" t="s">
        <v>4580</v>
      </c>
      <c r="E553" t="s">
        <v>4581</v>
      </c>
      <c r="F553" s="40">
        <v>1</v>
      </c>
    </row>
    <row r="554" spans="4:6" x14ac:dyDescent="0.25">
      <c r="D554" t="s">
        <v>4584</v>
      </c>
      <c r="E554" t="s">
        <v>4585</v>
      </c>
      <c r="F554" s="40">
        <v>2</v>
      </c>
    </row>
    <row r="555" spans="4:6" x14ac:dyDescent="0.25">
      <c r="D555" t="s">
        <v>4588</v>
      </c>
      <c r="E555" t="s">
        <v>4589</v>
      </c>
      <c r="F555" s="40">
        <v>2</v>
      </c>
    </row>
    <row r="556" spans="4:6" x14ac:dyDescent="0.25">
      <c r="D556" t="s">
        <v>4592</v>
      </c>
      <c r="E556" t="s">
        <v>4593</v>
      </c>
      <c r="F556" s="40">
        <v>2</v>
      </c>
    </row>
    <row r="557" spans="4:6" x14ac:dyDescent="0.25">
      <c r="D557" t="s">
        <v>4596</v>
      </c>
      <c r="E557" t="s">
        <v>4597</v>
      </c>
      <c r="F557" s="40">
        <v>1</v>
      </c>
    </row>
    <row r="558" spans="4:6" x14ac:dyDescent="0.25">
      <c r="D558" t="s">
        <v>4600</v>
      </c>
      <c r="E558" t="s">
        <v>4601</v>
      </c>
      <c r="F558" s="40">
        <v>1</v>
      </c>
    </row>
    <row r="559" spans="4:6" x14ac:dyDescent="0.25">
      <c r="D559" t="s">
        <v>4604</v>
      </c>
      <c r="E559" t="s">
        <v>4605</v>
      </c>
      <c r="F559" s="40">
        <v>1</v>
      </c>
    </row>
    <row r="560" spans="4:6" x14ac:dyDescent="0.25">
      <c r="D560" t="s">
        <v>4608</v>
      </c>
      <c r="E560" t="s">
        <v>4609</v>
      </c>
      <c r="F560" s="40">
        <v>1</v>
      </c>
    </row>
    <row r="561" spans="1:6" x14ac:dyDescent="0.25">
      <c r="D561" t="s">
        <v>4612</v>
      </c>
      <c r="E561" t="s">
        <v>4613</v>
      </c>
      <c r="F561" s="40">
        <v>1</v>
      </c>
    </row>
    <row r="562" spans="1:6" x14ac:dyDescent="0.25">
      <c r="A562" t="s">
        <v>7850</v>
      </c>
      <c r="F562" s="40">
        <v>395</v>
      </c>
    </row>
    <row r="563" spans="1:6" x14ac:dyDescent="0.25">
      <c r="A563" t="s">
        <v>7672</v>
      </c>
      <c r="B563" t="s">
        <v>7047</v>
      </c>
      <c r="C563" t="s">
        <v>1030</v>
      </c>
      <c r="D563" t="s">
        <v>1032</v>
      </c>
      <c r="E563" t="s">
        <v>1033</v>
      </c>
      <c r="F563" s="40">
        <v>1</v>
      </c>
    </row>
    <row r="564" spans="1:6" x14ac:dyDescent="0.25">
      <c r="D564" t="s">
        <v>1029</v>
      </c>
      <c r="E564" t="s">
        <v>1030</v>
      </c>
      <c r="F564" s="40">
        <v>1</v>
      </c>
    </row>
    <row r="565" spans="1:6" x14ac:dyDescent="0.25">
      <c r="C565" t="s">
        <v>1086</v>
      </c>
      <c r="D565" t="s">
        <v>1088</v>
      </c>
      <c r="E565" t="s">
        <v>1089</v>
      </c>
      <c r="F565" s="40">
        <v>1</v>
      </c>
    </row>
    <row r="566" spans="1:6" x14ac:dyDescent="0.25">
      <c r="D566" t="s">
        <v>1085</v>
      </c>
      <c r="E566" t="s">
        <v>1086</v>
      </c>
      <c r="F566" s="40">
        <v>1</v>
      </c>
    </row>
    <row r="567" spans="1:6" x14ac:dyDescent="0.25">
      <c r="C567" t="s">
        <v>1055</v>
      </c>
      <c r="D567" t="s">
        <v>1032</v>
      </c>
      <c r="E567" t="s">
        <v>1033</v>
      </c>
      <c r="F567" s="40">
        <v>1</v>
      </c>
    </row>
    <row r="568" spans="1:6" x14ac:dyDescent="0.25">
      <c r="D568" t="s">
        <v>1054</v>
      </c>
      <c r="E568" t="s">
        <v>1055</v>
      </c>
      <c r="F568" s="40">
        <v>1</v>
      </c>
    </row>
    <row r="569" spans="1:6" x14ac:dyDescent="0.25">
      <c r="C569" t="s">
        <v>1097</v>
      </c>
      <c r="D569" t="s">
        <v>1099</v>
      </c>
      <c r="E569" t="s">
        <v>1100</v>
      </c>
      <c r="F569" s="40">
        <v>1</v>
      </c>
    </row>
    <row r="570" spans="1:6" x14ac:dyDescent="0.25">
      <c r="D570" t="s">
        <v>1096</v>
      </c>
      <c r="E570" t="s">
        <v>1097</v>
      </c>
      <c r="F570" s="40">
        <v>1</v>
      </c>
    </row>
    <row r="571" spans="1:6" x14ac:dyDescent="0.25">
      <c r="C571" t="s">
        <v>1116</v>
      </c>
      <c r="D571" t="s">
        <v>1118</v>
      </c>
      <c r="E571" t="s">
        <v>1119</v>
      </c>
      <c r="F571" s="40">
        <v>1</v>
      </c>
    </row>
    <row r="572" spans="1:6" x14ac:dyDescent="0.25">
      <c r="D572" t="s">
        <v>1115</v>
      </c>
      <c r="E572" t="s">
        <v>1116</v>
      </c>
      <c r="F572" s="40">
        <v>1</v>
      </c>
    </row>
    <row r="573" spans="1:6" x14ac:dyDescent="0.25">
      <c r="C573" t="s">
        <v>7962</v>
      </c>
      <c r="D573" t="s">
        <v>7</v>
      </c>
      <c r="E573" t="s">
        <v>8</v>
      </c>
      <c r="F573" s="40">
        <v>1</v>
      </c>
    </row>
    <row r="574" spans="1:6" x14ac:dyDescent="0.25">
      <c r="D574" t="s">
        <v>10</v>
      </c>
      <c r="E574" t="s">
        <v>11</v>
      </c>
      <c r="F574" s="40">
        <v>1</v>
      </c>
    </row>
    <row r="575" spans="1:6" x14ac:dyDescent="0.25">
      <c r="D575" t="s">
        <v>15</v>
      </c>
      <c r="E575" t="s">
        <v>16</v>
      </c>
      <c r="F575" s="40">
        <v>1</v>
      </c>
    </row>
    <row r="576" spans="1:6" x14ac:dyDescent="0.25">
      <c r="D576" t="s">
        <v>19</v>
      </c>
      <c r="E576" t="s">
        <v>20</v>
      </c>
      <c r="F576" s="40">
        <v>1</v>
      </c>
    </row>
    <row r="577" spans="2:6" x14ac:dyDescent="0.25">
      <c r="D577" t="s">
        <v>23</v>
      </c>
      <c r="E577" t="s">
        <v>24</v>
      </c>
      <c r="F577" s="40">
        <v>1</v>
      </c>
    </row>
    <row r="578" spans="2:6" x14ac:dyDescent="0.25">
      <c r="D578" t="s">
        <v>28</v>
      </c>
      <c r="E578" t="s">
        <v>29</v>
      </c>
      <c r="F578" s="40">
        <v>1</v>
      </c>
    </row>
    <row r="579" spans="2:6" x14ac:dyDescent="0.25">
      <c r="D579" t="s">
        <v>1128</v>
      </c>
      <c r="E579" t="s">
        <v>1129</v>
      </c>
      <c r="F579" s="40">
        <v>1</v>
      </c>
    </row>
    <row r="580" spans="2:6" x14ac:dyDescent="0.25">
      <c r="D580" t="s">
        <v>1132</v>
      </c>
      <c r="E580" t="s">
        <v>1133</v>
      </c>
      <c r="F580" s="40">
        <v>1</v>
      </c>
    </row>
    <row r="581" spans="2:6" x14ac:dyDescent="0.25">
      <c r="D581" t="s">
        <v>1596</v>
      </c>
      <c r="E581" t="s">
        <v>1597</v>
      </c>
      <c r="F581" s="40">
        <v>2</v>
      </c>
    </row>
    <row r="582" spans="2:6" x14ac:dyDescent="0.25">
      <c r="D582" t="s">
        <v>1148</v>
      </c>
      <c r="E582" t="s">
        <v>1149</v>
      </c>
      <c r="F582" s="40">
        <v>1</v>
      </c>
    </row>
    <row r="583" spans="2:6" x14ac:dyDescent="0.25">
      <c r="D583" t="s">
        <v>1142</v>
      </c>
      <c r="E583" t="s">
        <v>1143</v>
      </c>
      <c r="F583" s="40">
        <v>1</v>
      </c>
    </row>
    <row r="584" spans="2:6" x14ac:dyDescent="0.25">
      <c r="D584" t="s">
        <v>1151</v>
      </c>
      <c r="E584" t="s">
        <v>1152</v>
      </c>
      <c r="F584" s="40">
        <v>2</v>
      </c>
    </row>
    <row r="585" spans="2:6" x14ac:dyDescent="0.25">
      <c r="B585" t="s">
        <v>1162</v>
      </c>
      <c r="C585" t="s">
        <v>1173</v>
      </c>
      <c r="D585" t="s">
        <v>1172</v>
      </c>
      <c r="E585" t="s">
        <v>1173</v>
      </c>
      <c r="F585" s="40">
        <v>1</v>
      </c>
    </row>
    <row r="586" spans="2:6" x14ac:dyDescent="0.25">
      <c r="D586" t="s">
        <v>1175</v>
      </c>
      <c r="E586" t="s">
        <v>1176</v>
      </c>
      <c r="F586" s="40">
        <v>1</v>
      </c>
    </row>
    <row r="587" spans="2:6" x14ac:dyDescent="0.25">
      <c r="D587" t="s">
        <v>1179</v>
      </c>
      <c r="E587" t="s">
        <v>1180</v>
      </c>
      <c r="F587" s="40">
        <v>1</v>
      </c>
    </row>
    <row r="588" spans="2:6" x14ac:dyDescent="0.25">
      <c r="D588" t="s">
        <v>1183</v>
      </c>
      <c r="E588" t="s">
        <v>1184</v>
      </c>
      <c r="F588" s="40">
        <v>1</v>
      </c>
    </row>
    <row r="589" spans="2:6" x14ac:dyDescent="0.25">
      <c r="D589" t="s">
        <v>1187</v>
      </c>
      <c r="E589" t="s">
        <v>1188</v>
      </c>
      <c r="F589" s="40">
        <v>1</v>
      </c>
    </row>
    <row r="590" spans="2:6" x14ac:dyDescent="0.25">
      <c r="D590" t="s">
        <v>1191</v>
      </c>
      <c r="E590" t="s">
        <v>1192</v>
      </c>
      <c r="F590" s="40">
        <v>1</v>
      </c>
    </row>
    <row r="591" spans="2:6" x14ac:dyDescent="0.25">
      <c r="D591" t="s">
        <v>1195</v>
      </c>
      <c r="E591" t="s">
        <v>1196</v>
      </c>
      <c r="F591" s="40">
        <v>18</v>
      </c>
    </row>
    <row r="592" spans="2:6" x14ac:dyDescent="0.25">
      <c r="D592" t="s">
        <v>1199</v>
      </c>
      <c r="E592" t="s">
        <v>1200</v>
      </c>
      <c r="F592" s="40">
        <v>4</v>
      </c>
    </row>
    <row r="593" spans="3:6" x14ac:dyDescent="0.25">
      <c r="D593" t="s">
        <v>1203</v>
      </c>
      <c r="E593" t="s">
        <v>1204</v>
      </c>
      <c r="F593" s="40">
        <v>1</v>
      </c>
    </row>
    <row r="594" spans="3:6" x14ac:dyDescent="0.25">
      <c r="D594" t="s">
        <v>1207</v>
      </c>
      <c r="E594" t="s">
        <v>1208</v>
      </c>
      <c r="F594" s="40">
        <v>20</v>
      </c>
    </row>
    <row r="595" spans="3:6" x14ac:dyDescent="0.25">
      <c r="D595" t="s">
        <v>1211</v>
      </c>
      <c r="E595" t="s">
        <v>1212</v>
      </c>
      <c r="F595" s="40">
        <v>20</v>
      </c>
    </row>
    <row r="596" spans="3:6" x14ac:dyDescent="0.25">
      <c r="D596" t="s">
        <v>1215</v>
      </c>
      <c r="E596" t="s">
        <v>1216</v>
      </c>
      <c r="F596" s="40">
        <v>4</v>
      </c>
    </row>
    <row r="597" spans="3:6" x14ac:dyDescent="0.25">
      <c r="D597" t="s">
        <v>1219</v>
      </c>
      <c r="E597" t="s">
        <v>1220</v>
      </c>
      <c r="F597" s="40">
        <v>8</v>
      </c>
    </row>
    <row r="598" spans="3:6" x14ac:dyDescent="0.25">
      <c r="D598" t="s">
        <v>1223</v>
      </c>
      <c r="E598" t="s">
        <v>1224</v>
      </c>
      <c r="F598" s="40">
        <v>1</v>
      </c>
    </row>
    <row r="599" spans="3:6" x14ac:dyDescent="0.25">
      <c r="D599" t="s">
        <v>1227</v>
      </c>
      <c r="E599" t="s">
        <v>1228</v>
      </c>
      <c r="F599" s="40">
        <v>1</v>
      </c>
    </row>
    <row r="600" spans="3:6" x14ac:dyDescent="0.25">
      <c r="D600" t="s">
        <v>1231</v>
      </c>
      <c r="E600" t="s">
        <v>1232</v>
      </c>
      <c r="F600" s="40">
        <v>1</v>
      </c>
    </row>
    <row r="601" spans="3:6" x14ac:dyDescent="0.25">
      <c r="D601" t="s">
        <v>1235</v>
      </c>
      <c r="E601" t="s">
        <v>1236</v>
      </c>
      <c r="F601" s="40">
        <v>1</v>
      </c>
    </row>
    <row r="602" spans="3:6" x14ac:dyDescent="0.25">
      <c r="D602" t="s">
        <v>1239</v>
      </c>
      <c r="E602" t="s">
        <v>1240</v>
      </c>
      <c r="F602" s="40">
        <v>1</v>
      </c>
    </row>
    <row r="603" spans="3:6" x14ac:dyDescent="0.25">
      <c r="D603" t="s">
        <v>1243</v>
      </c>
      <c r="E603" t="s">
        <v>1244</v>
      </c>
      <c r="F603" s="40">
        <v>1</v>
      </c>
    </row>
    <row r="604" spans="3:6" x14ac:dyDescent="0.25">
      <c r="D604" t="s">
        <v>1247</v>
      </c>
      <c r="E604" t="s">
        <v>1248</v>
      </c>
      <c r="F604" s="40">
        <v>1</v>
      </c>
    </row>
    <row r="605" spans="3:6" x14ac:dyDescent="0.25">
      <c r="D605" t="s">
        <v>1258</v>
      </c>
      <c r="E605" t="s">
        <v>1259</v>
      </c>
      <c r="F605" s="40">
        <v>1</v>
      </c>
    </row>
    <row r="606" spans="3:6" x14ac:dyDescent="0.25">
      <c r="D606" t="s">
        <v>1267</v>
      </c>
      <c r="E606" t="s">
        <v>1268</v>
      </c>
      <c r="F606" s="40">
        <v>1</v>
      </c>
    </row>
    <row r="607" spans="3:6" x14ac:dyDescent="0.25">
      <c r="C607" t="s">
        <v>7865</v>
      </c>
      <c r="D607" t="s">
        <v>1292</v>
      </c>
      <c r="E607" t="s">
        <v>1293</v>
      </c>
      <c r="F607" s="40">
        <v>1</v>
      </c>
    </row>
    <row r="608" spans="3:6" x14ac:dyDescent="0.25">
      <c r="D608" t="s">
        <v>1295</v>
      </c>
      <c r="E608" t="s">
        <v>1296</v>
      </c>
      <c r="F608" s="40">
        <v>1</v>
      </c>
    </row>
    <row r="609" spans="2:6" x14ac:dyDescent="0.25">
      <c r="C609" t="s">
        <v>7954</v>
      </c>
      <c r="D609" t="s">
        <v>1299</v>
      </c>
      <c r="E609" t="s">
        <v>1300</v>
      </c>
      <c r="F609" s="40">
        <v>2</v>
      </c>
    </row>
    <row r="610" spans="2:6" x14ac:dyDescent="0.25">
      <c r="C610" t="s">
        <v>7962</v>
      </c>
      <c r="D610" t="s">
        <v>1160</v>
      </c>
      <c r="E610" t="s">
        <v>1161</v>
      </c>
      <c r="F610" s="40">
        <v>1</v>
      </c>
    </row>
    <row r="611" spans="2:6" x14ac:dyDescent="0.25">
      <c r="D611" t="s">
        <v>1164</v>
      </c>
      <c r="E611" t="s">
        <v>1165</v>
      </c>
      <c r="F611" s="40">
        <v>1</v>
      </c>
    </row>
    <row r="612" spans="2:6" x14ac:dyDescent="0.25">
      <c r="D612" t="s">
        <v>1168</v>
      </c>
      <c r="E612" t="s">
        <v>1169</v>
      </c>
      <c r="F612" s="40">
        <v>1</v>
      </c>
    </row>
    <row r="613" spans="2:6" x14ac:dyDescent="0.25">
      <c r="B613" t="s">
        <v>1314</v>
      </c>
      <c r="C613" t="s">
        <v>1564</v>
      </c>
      <c r="D613" t="s">
        <v>1563</v>
      </c>
      <c r="E613" t="s">
        <v>1564</v>
      </c>
      <c r="F613" s="40">
        <v>1</v>
      </c>
    </row>
    <row r="614" spans="2:6" x14ac:dyDescent="0.25">
      <c r="D614" t="s">
        <v>1567</v>
      </c>
      <c r="E614" t="s">
        <v>1568</v>
      </c>
      <c r="F614" s="40">
        <v>1</v>
      </c>
    </row>
    <row r="615" spans="2:6" x14ac:dyDescent="0.25">
      <c r="D615" t="s">
        <v>274</v>
      </c>
      <c r="E615" t="s">
        <v>275</v>
      </c>
      <c r="F615" s="40">
        <v>1</v>
      </c>
    </row>
    <row r="616" spans="2:6" x14ac:dyDescent="0.25">
      <c r="D616" t="s">
        <v>319</v>
      </c>
      <c r="E616" t="s">
        <v>320</v>
      </c>
      <c r="F616" s="40">
        <v>1</v>
      </c>
    </row>
    <row r="617" spans="2:6" x14ac:dyDescent="0.25">
      <c r="D617" t="s">
        <v>322</v>
      </c>
      <c r="E617" t="s">
        <v>323</v>
      </c>
      <c r="F617" s="40">
        <v>1</v>
      </c>
    </row>
    <row r="618" spans="2:6" x14ac:dyDescent="0.25">
      <c r="D618" t="s">
        <v>325</v>
      </c>
      <c r="E618" t="s">
        <v>326</v>
      </c>
      <c r="F618" s="40">
        <v>1</v>
      </c>
    </row>
    <row r="619" spans="2:6" x14ac:dyDescent="0.25">
      <c r="C619" t="s">
        <v>7876</v>
      </c>
      <c r="D619" t="s">
        <v>286</v>
      </c>
      <c r="E619" t="s">
        <v>287</v>
      </c>
      <c r="F619" s="40">
        <v>1</v>
      </c>
    </row>
    <row r="620" spans="2:6" x14ac:dyDescent="0.25">
      <c r="D620" t="s">
        <v>316</v>
      </c>
      <c r="E620" t="s">
        <v>317</v>
      </c>
      <c r="F620" s="40">
        <v>1</v>
      </c>
    </row>
    <row r="621" spans="2:6" x14ac:dyDescent="0.25">
      <c r="D621" t="s">
        <v>1573</v>
      </c>
      <c r="E621" t="s">
        <v>1574</v>
      </c>
      <c r="F621" s="40">
        <v>1</v>
      </c>
    </row>
    <row r="622" spans="2:6" x14ac:dyDescent="0.25">
      <c r="C622" t="s">
        <v>1313</v>
      </c>
      <c r="D622" t="s">
        <v>1312</v>
      </c>
      <c r="E622" t="s">
        <v>1313</v>
      </c>
      <c r="F622" s="40">
        <v>1</v>
      </c>
    </row>
    <row r="623" spans="2:6" x14ac:dyDescent="0.25">
      <c r="C623" t="s">
        <v>1466</v>
      </c>
      <c r="D623" t="s">
        <v>1465</v>
      </c>
      <c r="E623" t="s">
        <v>1466</v>
      </c>
      <c r="F623" s="40">
        <v>1</v>
      </c>
    </row>
    <row r="624" spans="2:6" x14ac:dyDescent="0.25">
      <c r="D624" t="s">
        <v>1468</v>
      </c>
      <c r="E624" t="s">
        <v>1469</v>
      </c>
      <c r="F624" s="40">
        <v>1</v>
      </c>
    </row>
    <row r="625" spans="3:6" x14ac:dyDescent="0.25">
      <c r="D625" t="s">
        <v>1472</v>
      </c>
      <c r="E625" t="s">
        <v>1473</v>
      </c>
      <c r="F625" s="40">
        <v>1</v>
      </c>
    </row>
    <row r="626" spans="3:6" x14ac:dyDescent="0.25">
      <c r="D626" t="s">
        <v>1476</v>
      </c>
      <c r="E626" t="s">
        <v>1477</v>
      </c>
      <c r="F626" s="40">
        <v>1</v>
      </c>
    </row>
    <row r="627" spans="3:6" x14ac:dyDescent="0.25">
      <c r="D627" t="s">
        <v>1503</v>
      </c>
      <c r="E627" t="s">
        <v>1504</v>
      </c>
      <c r="F627" s="40">
        <v>1</v>
      </c>
    </row>
    <row r="628" spans="3:6" x14ac:dyDescent="0.25">
      <c r="D628" t="s">
        <v>1485</v>
      </c>
      <c r="E628" t="s">
        <v>1507</v>
      </c>
      <c r="F628" s="40">
        <v>1</v>
      </c>
    </row>
    <row r="629" spans="3:6" x14ac:dyDescent="0.25">
      <c r="C629" t="s">
        <v>7874</v>
      </c>
      <c r="D629" t="s">
        <v>1519</v>
      </c>
      <c r="E629" t="s">
        <v>1520</v>
      </c>
      <c r="F629" s="40">
        <v>1</v>
      </c>
    </row>
    <row r="630" spans="3:6" x14ac:dyDescent="0.25">
      <c r="D630" t="s">
        <v>1525</v>
      </c>
      <c r="E630" t="s">
        <v>1526</v>
      </c>
      <c r="F630" s="40">
        <v>1</v>
      </c>
    </row>
    <row r="631" spans="3:6" x14ac:dyDescent="0.25">
      <c r="C631" t="s">
        <v>7873</v>
      </c>
      <c r="D631" t="s">
        <v>1516</v>
      </c>
      <c r="E631" t="s">
        <v>1517</v>
      </c>
      <c r="F631" s="40">
        <v>1</v>
      </c>
    </row>
    <row r="632" spans="3:6" x14ac:dyDescent="0.25">
      <c r="D632" t="s">
        <v>1510</v>
      </c>
      <c r="E632" t="s">
        <v>1511</v>
      </c>
      <c r="F632" s="40">
        <v>1</v>
      </c>
    </row>
    <row r="633" spans="3:6" x14ac:dyDescent="0.25">
      <c r="C633" t="s">
        <v>7872</v>
      </c>
      <c r="D633" t="s">
        <v>749</v>
      </c>
      <c r="E633" t="s">
        <v>750</v>
      </c>
      <c r="F633" s="40">
        <v>1</v>
      </c>
    </row>
    <row r="634" spans="3:6" x14ac:dyDescent="0.25">
      <c r="D634" t="s">
        <v>761</v>
      </c>
      <c r="E634" t="s">
        <v>762</v>
      </c>
      <c r="F634" s="40">
        <v>1</v>
      </c>
    </row>
    <row r="635" spans="3:6" x14ac:dyDescent="0.25">
      <c r="D635" t="s">
        <v>765</v>
      </c>
      <c r="E635" t="s">
        <v>766</v>
      </c>
      <c r="F635" s="40">
        <v>2</v>
      </c>
    </row>
    <row r="636" spans="3:6" x14ac:dyDescent="0.25">
      <c r="D636" t="s">
        <v>1480</v>
      </c>
      <c r="E636" t="s">
        <v>1481</v>
      </c>
      <c r="F636" s="40">
        <v>1</v>
      </c>
    </row>
    <row r="637" spans="3:6" x14ac:dyDescent="0.25">
      <c r="D637" t="s">
        <v>1491</v>
      </c>
      <c r="E637" t="s">
        <v>1492</v>
      </c>
      <c r="F637" s="40">
        <v>1</v>
      </c>
    </row>
    <row r="638" spans="3:6" x14ac:dyDescent="0.25">
      <c r="D638" t="s">
        <v>1495</v>
      </c>
      <c r="E638" t="s">
        <v>1496</v>
      </c>
      <c r="F638" s="40">
        <v>2</v>
      </c>
    </row>
    <row r="639" spans="3:6" x14ac:dyDescent="0.25">
      <c r="D639" t="s">
        <v>1499</v>
      </c>
      <c r="E639" t="s">
        <v>1500</v>
      </c>
      <c r="F639" s="40">
        <v>1</v>
      </c>
    </row>
    <row r="640" spans="3:6" x14ac:dyDescent="0.25">
      <c r="D640" t="s">
        <v>1485</v>
      </c>
      <c r="E640" t="s">
        <v>1486</v>
      </c>
      <c r="F640" s="40">
        <v>1</v>
      </c>
    </row>
    <row r="641" spans="3:6" x14ac:dyDescent="0.25">
      <c r="C641" t="s">
        <v>7957</v>
      </c>
      <c r="D641" t="s">
        <v>1547</v>
      </c>
      <c r="E641" t="s">
        <v>1548</v>
      </c>
      <c r="F641" s="40">
        <v>1</v>
      </c>
    </row>
    <row r="642" spans="3:6" x14ac:dyDescent="0.25">
      <c r="D642" t="s">
        <v>1544</v>
      </c>
      <c r="E642" t="s">
        <v>1545</v>
      </c>
      <c r="F642" s="40">
        <v>1</v>
      </c>
    </row>
    <row r="643" spans="3:6" x14ac:dyDescent="0.25">
      <c r="C643" t="s">
        <v>1333</v>
      </c>
      <c r="D643" t="s">
        <v>1332</v>
      </c>
      <c r="E643" t="s">
        <v>1333</v>
      </c>
      <c r="F643" s="40">
        <v>1</v>
      </c>
    </row>
    <row r="644" spans="3:6" x14ac:dyDescent="0.25">
      <c r="D644" t="s">
        <v>1335</v>
      </c>
      <c r="E644" t="s">
        <v>1336</v>
      </c>
      <c r="F644" s="40">
        <v>1</v>
      </c>
    </row>
    <row r="645" spans="3:6" x14ac:dyDescent="0.25">
      <c r="D645" t="s">
        <v>1339</v>
      </c>
      <c r="E645" t="s">
        <v>1340</v>
      </c>
      <c r="F645" s="40">
        <v>1</v>
      </c>
    </row>
    <row r="646" spans="3:6" x14ac:dyDescent="0.25">
      <c r="D646" t="s">
        <v>1343</v>
      </c>
      <c r="E646" t="s">
        <v>1344</v>
      </c>
      <c r="F646" s="40">
        <v>1</v>
      </c>
    </row>
    <row r="647" spans="3:6" x14ac:dyDescent="0.25">
      <c r="D647" t="s">
        <v>1431</v>
      </c>
      <c r="E647" t="s">
        <v>1432</v>
      </c>
      <c r="F647" s="40">
        <v>1</v>
      </c>
    </row>
    <row r="648" spans="3:6" x14ac:dyDescent="0.25">
      <c r="D648" t="s">
        <v>1413</v>
      </c>
      <c r="E648" t="s">
        <v>1414</v>
      </c>
      <c r="F648" s="40">
        <v>1</v>
      </c>
    </row>
    <row r="649" spans="3:6" x14ac:dyDescent="0.25">
      <c r="C649" t="s">
        <v>7956</v>
      </c>
      <c r="D649" t="s">
        <v>1459</v>
      </c>
      <c r="E649" t="s">
        <v>1453</v>
      </c>
      <c r="F649" s="40">
        <v>1</v>
      </c>
    </row>
    <row r="650" spans="3:6" x14ac:dyDescent="0.25">
      <c r="D650" t="s">
        <v>1457</v>
      </c>
      <c r="E650" t="s">
        <v>1450</v>
      </c>
      <c r="F650" s="40">
        <v>2</v>
      </c>
    </row>
    <row r="651" spans="3:6" x14ac:dyDescent="0.25">
      <c r="C651" t="s">
        <v>7955</v>
      </c>
      <c r="D651" t="s">
        <v>1452</v>
      </c>
      <c r="E651" t="s">
        <v>1453</v>
      </c>
      <c r="F651" s="40">
        <v>1</v>
      </c>
    </row>
    <row r="652" spans="3:6" x14ac:dyDescent="0.25">
      <c r="D652" t="s">
        <v>1449</v>
      </c>
      <c r="E652" t="s">
        <v>1450</v>
      </c>
      <c r="F652" s="40">
        <v>1</v>
      </c>
    </row>
    <row r="653" spans="3:6" x14ac:dyDescent="0.25">
      <c r="C653" t="s">
        <v>7870</v>
      </c>
      <c r="D653" t="s">
        <v>749</v>
      </c>
      <c r="E653" t="s">
        <v>750</v>
      </c>
      <c r="F653" s="40">
        <v>1</v>
      </c>
    </row>
    <row r="654" spans="3:6" x14ac:dyDescent="0.25">
      <c r="D654" t="s">
        <v>761</v>
      </c>
      <c r="E654" t="s">
        <v>762</v>
      </c>
      <c r="F654" s="40">
        <v>1</v>
      </c>
    </row>
    <row r="655" spans="3:6" x14ac:dyDescent="0.25">
      <c r="D655" t="s">
        <v>765</v>
      </c>
      <c r="E655" t="s">
        <v>766</v>
      </c>
      <c r="F655" s="40">
        <v>2</v>
      </c>
    </row>
    <row r="656" spans="3:6" x14ac:dyDescent="0.25">
      <c r="D656" t="s">
        <v>1398</v>
      </c>
      <c r="E656" t="s">
        <v>1399</v>
      </c>
      <c r="F656" s="40">
        <v>1</v>
      </c>
    </row>
    <row r="657" spans="3:6" x14ac:dyDescent="0.25">
      <c r="D657" t="s">
        <v>1403</v>
      </c>
      <c r="E657" t="s">
        <v>1404</v>
      </c>
      <c r="F657" s="40">
        <v>1</v>
      </c>
    </row>
    <row r="658" spans="3:6" x14ac:dyDescent="0.25">
      <c r="D658" t="s">
        <v>1407</v>
      </c>
      <c r="E658" t="s">
        <v>1408</v>
      </c>
      <c r="F658" s="40">
        <v>1</v>
      </c>
    </row>
    <row r="659" spans="3:6" x14ac:dyDescent="0.25">
      <c r="C659" t="s">
        <v>7867</v>
      </c>
      <c r="D659" t="s">
        <v>749</v>
      </c>
      <c r="E659" t="s">
        <v>750</v>
      </c>
      <c r="F659" s="40">
        <v>1</v>
      </c>
    </row>
    <row r="660" spans="3:6" x14ac:dyDescent="0.25">
      <c r="D660" t="s">
        <v>761</v>
      </c>
      <c r="E660" t="s">
        <v>762</v>
      </c>
      <c r="F660" s="40">
        <v>1</v>
      </c>
    </row>
    <row r="661" spans="3:6" x14ac:dyDescent="0.25">
      <c r="D661" t="s">
        <v>765</v>
      </c>
      <c r="E661" t="s">
        <v>766</v>
      </c>
      <c r="F661" s="40">
        <v>2</v>
      </c>
    </row>
    <row r="662" spans="3:6" x14ac:dyDescent="0.25">
      <c r="D662" t="s">
        <v>1362</v>
      </c>
      <c r="E662" t="s">
        <v>1363</v>
      </c>
      <c r="F662" s="40">
        <v>1</v>
      </c>
    </row>
    <row r="663" spans="3:6" x14ac:dyDescent="0.25">
      <c r="D663" t="s">
        <v>1368</v>
      </c>
      <c r="E663" t="s">
        <v>1369</v>
      </c>
      <c r="F663" s="40">
        <v>1</v>
      </c>
    </row>
    <row r="664" spans="3:6" x14ac:dyDescent="0.25">
      <c r="D664" t="s">
        <v>1352</v>
      </c>
      <c r="E664" t="s">
        <v>1353</v>
      </c>
      <c r="F664" s="40">
        <v>1</v>
      </c>
    </row>
    <row r="665" spans="3:6" x14ac:dyDescent="0.25">
      <c r="C665" t="s">
        <v>7868</v>
      </c>
      <c r="D665" t="s">
        <v>749</v>
      </c>
      <c r="E665" t="s">
        <v>750</v>
      </c>
      <c r="F665" s="40">
        <v>1</v>
      </c>
    </row>
    <row r="666" spans="3:6" x14ac:dyDescent="0.25">
      <c r="D666" t="s">
        <v>761</v>
      </c>
      <c r="E666" t="s">
        <v>762</v>
      </c>
      <c r="F666" s="40">
        <v>1</v>
      </c>
    </row>
    <row r="667" spans="3:6" x14ac:dyDescent="0.25">
      <c r="D667" t="s">
        <v>765</v>
      </c>
      <c r="E667" t="s">
        <v>766</v>
      </c>
      <c r="F667" s="40">
        <v>2</v>
      </c>
    </row>
    <row r="668" spans="3:6" x14ac:dyDescent="0.25">
      <c r="D668" t="s">
        <v>1374</v>
      </c>
      <c r="E668" t="s">
        <v>1375</v>
      </c>
      <c r="F668" s="40">
        <v>1</v>
      </c>
    </row>
    <row r="669" spans="3:6" x14ac:dyDescent="0.25">
      <c r="D669" t="s">
        <v>1380</v>
      </c>
      <c r="E669" t="s">
        <v>1381</v>
      </c>
      <c r="F669" s="40">
        <v>1</v>
      </c>
    </row>
    <row r="670" spans="3:6" x14ac:dyDescent="0.25">
      <c r="D670" t="s">
        <v>1352</v>
      </c>
      <c r="E670" t="s">
        <v>1353</v>
      </c>
      <c r="F670" s="40">
        <v>1</v>
      </c>
    </row>
    <row r="671" spans="3:6" x14ac:dyDescent="0.25">
      <c r="C671" t="s">
        <v>7866</v>
      </c>
      <c r="D671" t="s">
        <v>749</v>
      </c>
      <c r="E671" t="s">
        <v>750</v>
      </c>
      <c r="F671" s="40">
        <v>1</v>
      </c>
    </row>
    <row r="672" spans="3:6" x14ac:dyDescent="0.25">
      <c r="D672" t="s">
        <v>761</v>
      </c>
      <c r="E672" t="s">
        <v>762</v>
      </c>
      <c r="F672" s="40">
        <v>1</v>
      </c>
    </row>
    <row r="673" spans="2:6" x14ac:dyDescent="0.25">
      <c r="D673" t="s">
        <v>765</v>
      </c>
      <c r="E673" t="s">
        <v>766</v>
      </c>
      <c r="F673" s="40">
        <v>2</v>
      </c>
    </row>
    <row r="674" spans="2:6" x14ac:dyDescent="0.25">
      <c r="D674" t="s">
        <v>1347</v>
      </c>
      <c r="E674" t="s">
        <v>1348</v>
      </c>
      <c r="F674" s="40">
        <v>1</v>
      </c>
    </row>
    <row r="675" spans="2:6" x14ac:dyDescent="0.25">
      <c r="D675" t="s">
        <v>1356</v>
      </c>
      <c r="E675" t="s">
        <v>1357</v>
      </c>
      <c r="F675" s="40">
        <v>1</v>
      </c>
    </row>
    <row r="676" spans="2:6" x14ac:dyDescent="0.25">
      <c r="D676" t="s">
        <v>1352</v>
      </c>
      <c r="E676" t="s">
        <v>1353</v>
      </c>
      <c r="F676" s="40">
        <v>1</v>
      </c>
    </row>
    <row r="677" spans="2:6" x14ac:dyDescent="0.25">
      <c r="C677" t="s">
        <v>7869</v>
      </c>
      <c r="D677" t="s">
        <v>749</v>
      </c>
      <c r="E677" t="s">
        <v>750</v>
      </c>
      <c r="F677" s="40">
        <v>1</v>
      </c>
    </row>
    <row r="678" spans="2:6" x14ac:dyDescent="0.25">
      <c r="D678" t="s">
        <v>761</v>
      </c>
      <c r="E678" t="s">
        <v>762</v>
      </c>
      <c r="F678" s="40">
        <v>1</v>
      </c>
    </row>
    <row r="679" spans="2:6" x14ac:dyDescent="0.25">
      <c r="D679" t="s">
        <v>765</v>
      </c>
      <c r="E679" t="s">
        <v>766</v>
      </c>
      <c r="F679" s="40">
        <v>2</v>
      </c>
    </row>
    <row r="680" spans="2:6" x14ac:dyDescent="0.25">
      <c r="D680" t="s">
        <v>1386</v>
      </c>
      <c r="E680" t="s">
        <v>1387</v>
      </c>
      <c r="F680" s="40">
        <v>1</v>
      </c>
    </row>
    <row r="681" spans="2:6" x14ac:dyDescent="0.25">
      <c r="D681" t="s">
        <v>1392</v>
      </c>
      <c r="E681" t="s">
        <v>1393</v>
      </c>
      <c r="F681" s="40">
        <v>1</v>
      </c>
    </row>
    <row r="682" spans="2:6" x14ac:dyDescent="0.25">
      <c r="D682" t="s">
        <v>1352</v>
      </c>
      <c r="E682" t="s">
        <v>1353</v>
      </c>
      <c r="F682" s="40">
        <v>1</v>
      </c>
    </row>
    <row r="683" spans="2:6" x14ac:dyDescent="0.25">
      <c r="C683" t="s">
        <v>7962</v>
      </c>
      <c r="D683" t="s">
        <v>1316</v>
      </c>
      <c r="E683" t="s">
        <v>1317</v>
      </c>
      <c r="F683" s="40">
        <v>1</v>
      </c>
    </row>
    <row r="684" spans="2:6" x14ac:dyDescent="0.25">
      <c r="D684" t="s">
        <v>1320</v>
      </c>
      <c r="E684" t="s">
        <v>1321</v>
      </c>
      <c r="F684" s="40">
        <v>1</v>
      </c>
    </row>
    <row r="685" spans="2:6" x14ac:dyDescent="0.25">
      <c r="D685" t="s">
        <v>1324</v>
      </c>
      <c r="E685" t="s">
        <v>1325</v>
      </c>
      <c r="F685" s="40">
        <v>1</v>
      </c>
    </row>
    <row r="686" spans="2:6" x14ac:dyDescent="0.25">
      <c r="D686" t="s">
        <v>1328</v>
      </c>
      <c r="E686" t="s">
        <v>1329</v>
      </c>
      <c r="F686" s="40">
        <v>1</v>
      </c>
    </row>
    <row r="687" spans="2:6" x14ac:dyDescent="0.25">
      <c r="D687" t="s">
        <v>1443</v>
      </c>
      <c r="E687" t="s">
        <v>1444</v>
      </c>
      <c r="F687" s="40">
        <v>1</v>
      </c>
    </row>
    <row r="688" spans="2:6" x14ac:dyDescent="0.25">
      <c r="B688" t="s">
        <v>7048</v>
      </c>
      <c r="C688" t="s">
        <v>7962</v>
      </c>
      <c r="D688" t="s">
        <v>32</v>
      </c>
      <c r="E688" t="s">
        <v>33</v>
      </c>
      <c r="F688" s="40">
        <v>1</v>
      </c>
    </row>
    <row r="689" spans="4:6" x14ac:dyDescent="0.25">
      <c r="D689" t="s">
        <v>35</v>
      </c>
      <c r="E689" t="s">
        <v>36</v>
      </c>
      <c r="F689" s="40">
        <v>1</v>
      </c>
    </row>
    <row r="690" spans="4:6" x14ac:dyDescent="0.25">
      <c r="D690" t="s">
        <v>40</v>
      </c>
      <c r="E690" t="s">
        <v>41</v>
      </c>
      <c r="F690" s="40">
        <v>1</v>
      </c>
    </row>
    <row r="691" spans="4:6" x14ac:dyDescent="0.25">
      <c r="D691" t="s">
        <v>44</v>
      </c>
      <c r="E691" t="s">
        <v>45</v>
      </c>
      <c r="F691" s="40">
        <v>1</v>
      </c>
    </row>
    <row r="692" spans="4:6" x14ac:dyDescent="0.25">
      <c r="D692" t="s">
        <v>48</v>
      </c>
      <c r="E692" t="s">
        <v>49</v>
      </c>
      <c r="F692" s="40">
        <v>1</v>
      </c>
    </row>
    <row r="693" spans="4:6" x14ac:dyDescent="0.25">
      <c r="D693" t="s">
        <v>52</v>
      </c>
      <c r="E693" t="s">
        <v>53</v>
      </c>
      <c r="F693" s="40">
        <v>1</v>
      </c>
    </row>
    <row r="694" spans="4:6" x14ac:dyDescent="0.25">
      <c r="D694" t="s">
        <v>56</v>
      </c>
      <c r="E694" t="s">
        <v>57</v>
      </c>
      <c r="F694" s="40">
        <v>1</v>
      </c>
    </row>
    <row r="695" spans="4:6" x14ac:dyDescent="0.25">
      <c r="D695" t="s">
        <v>60</v>
      </c>
      <c r="E695" t="s">
        <v>61</v>
      </c>
      <c r="F695" s="40">
        <v>1</v>
      </c>
    </row>
    <row r="696" spans="4:6" x14ac:dyDescent="0.25">
      <c r="D696" t="s">
        <v>64</v>
      </c>
      <c r="E696" t="s">
        <v>65</v>
      </c>
      <c r="F696" s="40">
        <v>1</v>
      </c>
    </row>
    <row r="697" spans="4:6" x14ac:dyDescent="0.25">
      <c r="D697" t="s">
        <v>68</v>
      </c>
      <c r="E697" t="s">
        <v>69</v>
      </c>
      <c r="F697" s="40">
        <v>1</v>
      </c>
    </row>
    <row r="698" spans="4:6" x14ac:dyDescent="0.25">
      <c r="D698" t="s">
        <v>72</v>
      </c>
      <c r="E698" t="s">
        <v>73</v>
      </c>
      <c r="F698" s="40">
        <v>1</v>
      </c>
    </row>
    <row r="699" spans="4:6" x14ac:dyDescent="0.25">
      <c r="D699" t="s">
        <v>76</v>
      </c>
      <c r="E699" t="s">
        <v>77</v>
      </c>
      <c r="F699" s="40">
        <v>1</v>
      </c>
    </row>
    <row r="700" spans="4:6" x14ac:dyDescent="0.25">
      <c r="D700" t="s">
        <v>80</v>
      </c>
      <c r="E700" t="s">
        <v>81</v>
      </c>
      <c r="F700" s="40">
        <v>1</v>
      </c>
    </row>
    <row r="701" spans="4:6" x14ac:dyDescent="0.25">
      <c r="D701" t="s">
        <v>84</v>
      </c>
      <c r="E701" t="s">
        <v>85</v>
      </c>
      <c r="F701" s="40">
        <v>1</v>
      </c>
    </row>
    <row r="702" spans="4:6" x14ac:dyDescent="0.25">
      <c r="D702" t="s">
        <v>88</v>
      </c>
      <c r="E702" t="s">
        <v>89</v>
      </c>
      <c r="F702" s="40">
        <v>1</v>
      </c>
    </row>
    <row r="703" spans="4:6" x14ac:dyDescent="0.25">
      <c r="D703" t="s">
        <v>92</v>
      </c>
      <c r="E703" t="s">
        <v>93</v>
      </c>
      <c r="F703" s="40">
        <v>1</v>
      </c>
    </row>
    <row r="704" spans="4:6" x14ac:dyDescent="0.25">
      <c r="D704" t="s">
        <v>96</v>
      </c>
      <c r="E704" t="s">
        <v>97</v>
      </c>
      <c r="F704" s="40">
        <v>1</v>
      </c>
    </row>
    <row r="705" spans="4:6" x14ac:dyDescent="0.25">
      <c r="D705" t="s">
        <v>100</v>
      </c>
      <c r="E705" t="s">
        <v>101</v>
      </c>
      <c r="F705" s="40">
        <v>1</v>
      </c>
    </row>
    <row r="706" spans="4:6" x14ac:dyDescent="0.25">
      <c r="D706" t="s">
        <v>104</v>
      </c>
      <c r="E706" t="s">
        <v>105</v>
      </c>
      <c r="F706" s="40">
        <v>1</v>
      </c>
    </row>
    <row r="707" spans="4:6" x14ac:dyDescent="0.25">
      <c r="D707" t="s">
        <v>108</v>
      </c>
      <c r="E707" t="s">
        <v>109</v>
      </c>
      <c r="F707" s="40">
        <v>1</v>
      </c>
    </row>
    <row r="708" spans="4:6" x14ac:dyDescent="0.25">
      <c r="D708" t="s">
        <v>112</v>
      </c>
      <c r="E708" t="s">
        <v>113</v>
      </c>
      <c r="F708" s="40">
        <v>1</v>
      </c>
    </row>
    <row r="709" spans="4:6" x14ac:dyDescent="0.25">
      <c r="D709" t="s">
        <v>116</v>
      </c>
      <c r="E709" t="s">
        <v>117</v>
      </c>
      <c r="F709" s="40">
        <v>1</v>
      </c>
    </row>
    <row r="710" spans="4:6" x14ac:dyDescent="0.25">
      <c r="D710" t="s">
        <v>120</v>
      </c>
      <c r="E710" t="s">
        <v>121</v>
      </c>
      <c r="F710" s="40">
        <v>1</v>
      </c>
    </row>
    <row r="711" spans="4:6" x14ac:dyDescent="0.25">
      <c r="D711" t="s">
        <v>124</v>
      </c>
      <c r="E711" t="s">
        <v>125</v>
      </c>
      <c r="F711" s="40">
        <v>2</v>
      </c>
    </row>
    <row r="712" spans="4:6" x14ac:dyDescent="0.25">
      <c r="D712" t="s">
        <v>128</v>
      </c>
      <c r="E712" t="s">
        <v>129</v>
      </c>
      <c r="F712" s="40">
        <v>1</v>
      </c>
    </row>
    <row r="713" spans="4:6" x14ac:dyDescent="0.25">
      <c r="D713" t="s">
        <v>132</v>
      </c>
      <c r="E713" t="s">
        <v>133</v>
      </c>
      <c r="F713" s="40">
        <v>1</v>
      </c>
    </row>
    <row r="714" spans="4:6" x14ac:dyDescent="0.25">
      <c r="D714" t="s">
        <v>136</v>
      </c>
      <c r="E714" t="s">
        <v>137</v>
      </c>
      <c r="F714" s="40">
        <v>1</v>
      </c>
    </row>
    <row r="715" spans="4:6" x14ac:dyDescent="0.25">
      <c r="D715" t="s">
        <v>140</v>
      </c>
      <c r="E715" t="s">
        <v>141</v>
      </c>
      <c r="F715" s="40">
        <v>1</v>
      </c>
    </row>
    <row r="716" spans="4:6" x14ac:dyDescent="0.25">
      <c r="D716" t="s">
        <v>144</v>
      </c>
      <c r="E716" t="s">
        <v>145</v>
      </c>
      <c r="F716" s="40">
        <v>1</v>
      </c>
    </row>
    <row r="717" spans="4:6" x14ac:dyDescent="0.25">
      <c r="D717" t="s">
        <v>148</v>
      </c>
      <c r="E717" t="s">
        <v>149</v>
      </c>
      <c r="F717" s="40">
        <v>1</v>
      </c>
    </row>
    <row r="718" spans="4:6" x14ac:dyDescent="0.25">
      <c r="D718" t="s">
        <v>152</v>
      </c>
      <c r="E718" t="s">
        <v>153</v>
      </c>
      <c r="F718" s="40">
        <v>1</v>
      </c>
    </row>
    <row r="719" spans="4:6" x14ac:dyDescent="0.25">
      <c r="D719" t="s">
        <v>156</v>
      </c>
      <c r="E719" t="s">
        <v>157</v>
      </c>
      <c r="F719" s="40">
        <v>1</v>
      </c>
    </row>
    <row r="720" spans="4:6" x14ac:dyDescent="0.25">
      <c r="D720" t="s">
        <v>160</v>
      </c>
      <c r="E720" t="s">
        <v>161</v>
      </c>
      <c r="F720" s="40">
        <v>1</v>
      </c>
    </row>
    <row r="721" spans="2:6" x14ac:dyDescent="0.25">
      <c r="D721" t="s">
        <v>164</v>
      </c>
      <c r="E721" t="s">
        <v>165</v>
      </c>
      <c r="F721" s="40">
        <v>1</v>
      </c>
    </row>
    <row r="722" spans="2:6" x14ac:dyDescent="0.25">
      <c r="D722" t="s">
        <v>168</v>
      </c>
      <c r="E722" t="s">
        <v>169</v>
      </c>
      <c r="F722" s="40">
        <v>1</v>
      </c>
    </row>
    <row r="723" spans="2:6" x14ac:dyDescent="0.25">
      <c r="D723" t="s">
        <v>172</v>
      </c>
      <c r="E723" t="s">
        <v>173</v>
      </c>
      <c r="F723" s="40">
        <v>1</v>
      </c>
    </row>
    <row r="724" spans="2:6" x14ac:dyDescent="0.25">
      <c r="D724" t="s">
        <v>176</v>
      </c>
      <c r="E724" t="s">
        <v>177</v>
      </c>
      <c r="F724" s="40">
        <v>1</v>
      </c>
    </row>
    <row r="725" spans="2:6" x14ac:dyDescent="0.25">
      <c r="D725" t="s">
        <v>180</v>
      </c>
      <c r="E725" t="s">
        <v>181</v>
      </c>
      <c r="F725" s="40">
        <v>1</v>
      </c>
    </row>
    <row r="726" spans="2:6" x14ac:dyDescent="0.25">
      <c r="D726" t="s">
        <v>184</v>
      </c>
      <c r="E726" t="s">
        <v>185</v>
      </c>
      <c r="F726" s="40">
        <v>3</v>
      </c>
    </row>
    <row r="727" spans="2:6" x14ac:dyDescent="0.25">
      <c r="D727" t="s">
        <v>188</v>
      </c>
      <c r="E727" t="s">
        <v>189</v>
      </c>
      <c r="F727" s="40">
        <v>2</v>
      </c>
    </row>
    <row r="728" spans="2:6" x14ac:dyDescent="0.25">
      <c r="D728" t="s">
        <v>192</v>
      </c>
      <c r="E728" t="s">
        <v>193</v>
      </c>
      <c r="F728" s="40">
        <v>1</v>
      </c>
    </row>
    <row r="729" spans="2:6" x14ac:dyDescent="0.25">
      <c r="D729" t="s">
        <v>196</v>
      </c>
      <c r="E729" t="s">
        <v>197</v>
      </c>
      <c r="F729" s="40">
        <v>1</v>
      </c>
    </row>
    <row r="730" spans="2:6" x14ac:dyDescent="0.25">
      <c r="D730" t="s">
        <v>200</v>
      </c>
      <c r="E730" t="s">
        <v>201</v>
      </c>
      <c r="F730" s="40">
        <v>3</v>
      </c>
    </row>
    <row r="731" spans="2:6" x14ac:dyDescent="0.25">
      <c r="D731" t="s">
        <v>204</v>
      </c>
      <c r="E731" t="s">
        <v>205</v>
      </c>
      <c r="F731" s="40">
        <v>2</v>
      </c>
    </row>
    <row r="732" spans="2:6" x14ac:dyDescent="0.25">
      <c r="D732" t="s">
        <v>242</v>
      </c>
      <c r="E732" t="s">
        <v>243</v>
      </c>
      <c r="F732" s="40">
        <v>2</v>
      </c>
    </row>
    <row r="733" spans="2:6" x14ac:dyDescent="0.25">
      <c r="B733" t="s">
        <v>7098</v>
      </c>
      <c r="C733" t="s">
        <v>526</v>
      </c>
      <c r="D733" t="s">
        <v>525</v>
      </c>
      <c r="E733" t="s">
        <v>526</v>
      </c>
      <c r="F733" s="40">
        <v>1</v>
      </c>
    </row>
    <row r="734" spans="2:6" x14ac:dyDescent="0.25">
      <c r="D734" t="s">
        <v>529</v>
      </c>
      <c r="E734" t="s">
        <v>530</v>
      </c>
      <c r="F734" s="40">
        <v>1</v>
      </c>
    </row>
    <row r="735" spans="2:6" x14ac:dyDescent="0.25">
      <c r="D735" t="s">
        <v>533</v>
      </c>
      <c r="E735" t="s">
        <v>534</v>
      </c>
      <c r="F735" s="40">
        <v>1</v>
      </c>
    </row>
    <row r="736" spans="2:6" x14ac:dyDescent="0.25">
      <c r="D736" t="s">
        <v>537</v>
      </c>
      <c r="E736" t="s">
        <v>538</v>
      </c>
      <c r="F736" s="40">
        <v>1</v>
      </c>
    </row>
    <row r="737" spans="3:6" x14ac:dyDescent="0.25">
      <c r="D737" t="s">
        <v>541</v>
      </c>
      <c r="E737" t="s">
        <v>542</v>
      </c>
      <c r="F737" s="40">
        <v>1</v>
      </c>
    </row>
    <row r="738" spans="3:6" x14ac:dyDescent="0.25">
      <c r="C738" t="s">
        <v>523</v>
      </c>
      <c r="D738" t="s">
        <v>522</v>
      </c>
      <c r="E738" t="s">
        <v>523</v>
      </c>
      <c r="F738" s="40">
        <v>1</v>
      </c>
    </row>
    <row r="739" spans="3:6" x14ac:dyDescent="0.25">
      <c r="C739" t="s">
        <v>7842</v>
      </c>
      <c r="D739" t="s">
        <v>557</v>
      </c>
      <c r="E739" t="s">
        <v>558</v>
      </c>
      <c r="F739" s="40">
        <v>1</v>
      </c>
    </row>
    <row r="740" spans="3:6" x14ac:dyDescent="0.25">
      <c r="D740" t="s">
        <v>553</v>
      </c>
      <c r="E740" t="s">
        <v>554</v>
      </c>
      <c r="F740" s="40">
        <v>1</v>
      </c>
    </row>
    <row r="741" spans="3:6" x14ac:dyDescent="0.25">
      <c r="C741" t="s">
        <v>621</v>
      </c>
      <c r="D741" t="s">
        <v>620</v>
      </c>
      <c r="E741" t="s">
        <v>621</v>
      </c>
      <c r="F741" s="40">
        <v>1</v>
      </c>
    </row>
    <row r="742" spans="3:6" x14ac:dyDescent="0.25">
      <c r="D742" t="s">
        <v>623</v>
      </c>
      <c r="E742" t="s">
        <v>624</v>
      </c>
      <c r="F742" s="40">
        <v>1</v>
      </c>
    </row>
    <row r="743" spans="3:6" x14ac:dyDescent="0.25">
      <c r="D743" t="s">
        <v>627</v>
      </c>
      <c r="E743" t="s">
        <v>628</v>
      </c>
      <c r="F743" s="40">
        <v>1</v>
      </c>
    </row>
    <row r="744" spans="3:6" x14ac:dyDescent="0.25">
      <c r="D744" t="s">
        <v>631</v>
      </c>
      <c r="E744" t="s">
        <v>632</v>
      </c>
      <c r="F744" s="40">
        <v>1</v>
      </c>
    </row>
    <row r="745" spans="3:6" x14ac:dyDescent="0.25">
      <c r="D745" t="s">
        <v>635</v>
      </c>
      <c r="E745" t="s">
        <v>636</v>
      </c>
      <c r="F745" s="40">
        <v>1</v>
      </c>
    </row>
    <row r="746" spans="3:6" x14ac:dyDescent="0.25">
      <c r="D746" t="s">
        <v>639</v>
      </c>
      <c r="E746" t="s">
        <v>640</v>
      </c>
      <c r="F746" s="40">
        <v>1</v>
      </c>
    </row>
    <row r="747" spans="3:6" x14ac:dyDescent="0.25">
      <c r="D747" t="s">
        <v>643</v>
      </c>
      <c r="E747" t="s">
        <v>644</v>
      </c>
      <c r="F747" s="40">
        <v>6</v>
      </c>
    </row>
    <row r="748" spans="3:6" x14ac:dyDescent="0.25">
      <c r="D748" t="s">
        <v>647</v>
      </c>
      <c r="E748" t="s">
        <v>648</v>
      </c>
      <c r="F748" s="40">
        <v>1</v>
      </c>
    </row>
    <row r="749" spans="3:6" x14ac:dyDescent="0.25">
      <c r="D749" t="s">
        <v>651</v>
      </c>
      <c r="E749" t="s">
        <v>652</v>
      </c>
      <c r="F749" s="40">
        <v>1</v>
      </c>
    </row>
    <row r="750" spans="3:6" x14ac:dyDescent="0.25">
      <c r="D750" t="s">
        <v>655</v>
      </c>
      <c r="E750" t="s">
        <v>656</v>
      </c>
      <c r="F750" s="40">
        <v>2</v>
      </c>
    </row>
    <row r="751" spans="3:6" x14ac:dyDescent="0.25">
      <c r="D751" t="s">
        <v>659</v>
      </c>
      <c r="E751" t="s">
        <v>660</v>
      </c>
      <c r="F751" s="40">
        <v>1</v>
      </c>
    </row>
    <row r="752" spans="3:6" x14ac:dyDescent="0.25">
      <c r="D752" t="s">
        <v>663</v>
      </c>
      <c r="E752" t="s">
        <v>664</v>
      </c>
      <c r="F752" s="40">
        <v>1</v>
      </c>
    </row>
    <row r="753" spans="3:6" x14ac:dyDescent="0.25">
      <c r="C753" t="s">
        <v>725</v>
      </c>
      <c r="D753" t="s">
        <v>724</v>
      </c>
      <c r="E753" t="s">
        <v>725</v>
      </c>
      <c r="F753" s="40">
        <v>1</v>
      </c>
    </row>
    <row r="754" spans="3:6" x14ac:dyDescent="0.25">
      <c r="D754" t="s">
        <v>727</v>
      </c>
      <c r="E754" t="s">
        <v>728</v>
      </c>
      <c r="F754" s="40">
        <v>1</v>
      </c>
    </row>
    <row r="755" spans="3:6" x14ac:dyDescent="0.25">
      <c r="D755" t="s">
        <v>740</v>
      </c>
      <c r="E755" t="s">
        <v>741</v>
      </c>
      <c r="F755" s="40">
        <v>1</v>
      </c>
    </row>
    <row r="756" spans="3:6" x14ac:dyDescent="0.25">
      <c r="C756" t="s">
        <v>7864</v>
      </c>
      <c r="D756" t="s">
        <v>889</v>
      </c>
      <c r="E756" t="s">
        <v>890</v>
      </c>
      <c r="F756" s="40">
        <v>1</v>
      </c>
    </row>
    <row r="757" spans="3:6" x14ac:dyDescent="0.25">
      <c r="D757" t="s">
        <v>821</v>
      </c>
      <c r="E757" t="s">
        <v>822</v>
      </c>
      <c r="F757" s="40">
        <v>1</v>
      </c>
    </row>
    <row r="758" spans="3:6" x14ac:dyDescent="0.25">
      <c r="D758" t="s">
        <v>829</v>
      </c>
      <c r="E758" t="s">
        <v>830</v>
      </c>
      <c r="F758" s="40">
        <v>1</v>
      </c>
    </row>
    <row r="759" spans="3:6" x14ac:dyDescent="0.25">
      <c r="D759" t="s">
        <v>833</v>
      </c>
      <c r="E759" t="s">
        <v>834</v>
      </c>
      <c r="F759" s="40">
        <v>1</v>
      </c>
    </row>
    <row r="760" spans="3:6" x14ac:dyDescent="0.25">
      <c r="D760" t="s">
        <v>837</v>
      </c>
      <c r="E760" t="s">
        <v>838</v>
      </c>
      <c r="F760" s="40">
        <v>1</v>
      </c>
    </row>
    <row r="761" spans="3:6" x14ac:dyDescent="0.25">
      <c r="D761" t="s">
        <v>893</v>
      </c>
      <c r="E761" t="s">
        <v>894</v>
      </c>
      <c r="F761" s="40">
        <v>1</v>
      </c>
    </row>
    <row r="762" spans="3:6" x14ac:dyDescent="0.25">
      <c r="C762" t="s">
        <v>7863</v>
      </c>
      <c r="D762" t="s">
        <v>877</v>
      </c>
      <c r="E762" t="s">
        <v>878</v>
      </c>
      <c r="F762" s="40">
        <v>1</v>
      </c>
    </row>
    <row r="763" spans="3:6" x14ac:dyDescent="0.25">
      <c r="D763" t="s">
        <v>821</v>
      </c>
      <c r="E763" t="s">
        <v>822</v>
      </c>
      <c r="F763" s="40">
        <v>1</v>
      </c>
    </row>
    <row r="764" spans="3:6" x14ac:dyDescent="0.25">
      <c r="D764" t="s">
        <v>829</v>
      </c>
      <c r="E764" t="s">
        <v>830</v>
      </c>
      <c r="F764" s="40">
        <v>1</v>
      </c>
    </row>
    <row r="765" spans="3:6" x14ac:dyDescent="0.25">
      <c r="D765" t="s">
        <v>833</v>
      </c>
      <c r="E765" t="s">
        <v>834</v>
      </c>
      <c r="F765" s="40">
        <v>1</v>
      </c>
    </row>
    <row r="766" spans="3:6" x14ac:dyDescent="0.25">
      <c r="D766" t="s">
        <v>837</v>
      </c>
      <c r="E766" t="s">
        <v>838</v>
      </c>
      <c r="F766" s="40">
        <v>1</v>
      </c>
    </row>
    <row r="767" spans="3:6" x14ac:dyDescent="0.25">
      <c r="D767" t="s">
        <v>881</v>
      </c>
      <c r="E767" t="s">
        <v>882</v>
      </c>
      <c r="F767" s="40">
        <v>1</v>
      </c>
    </row>
    <row r="768" spans="3:6" x14ac:dyDescent="0.25">
      <c r="C768" t="s">
        <v>7862</v>
      </c>
      <c r="D768" t="s">
        <v>865</v>
      </c>
      <c r="E768" t="s">
        <v>866</v>
      </c>
      <c r="F768" s="40">
        <v>1</v>
      </c>
    </row>
    <row r="769" spans="3:6" x14ac:dyDescent="0.25">
      <c r="D769" t="s">
        <v>821</v>
      </c>
      <c r="E769" t="s">
        <v>822</v>
      </c>
      <c r="F769" s="40">
        <v>1</v>
      </c>
    </row>
    <row r="770" spans="3:6" x14ac:dyDescent="0.25">
      <c r="D770" t="s">
        <v>829</v>
      </c>
      <c r="E770" t="s">
        <v>830</v>
      </c>
      <c r="F770" s="40">
        <v>1</v>
      </c>
    </row>
    <row r="771" spans="3:6" x14ac:dyDescent="0.25">
      <c r="D771" t="s">
        <v>833</v>
      </c>
      <c r="E771" t="s">
        <v>834</v>
      </c>
      <c r="F771" s="40">
        <v>1</v>
      </c>
    </row>
    <row r="772" spans="3:6" x14ac:dyDescent="0.25">
      <c r="D772" t="s">
        <v>837</v>
      </c>
      <c r="E772" t="s">
        <v>838</v>
      </c>
      <c r="F772" s="40">
        <v>1</v>
      </c>
    </row>
    <row r="773" spans="3:6" x14ac:dyDescent="0.25">
      <c r="D773" t="s">
        <v>869</v>
      </c>
      <c r="E773" t="s">
        <v>870</v>
      </c>
      <c r="F773" s="40">
        <v>1</v>
      </c>
    </row>
    <row r="774" spans="3:6" x14ac:dyDescent="0.25">
      <c r="C774" t="s">
        <v>7860</v>
      </c>
      <c r="D774" t="s">
        <v>841</v>
      </c>
      <c r="E774" t="s">
        <v>842</v>
      </c>
      <c r="F774" s="40">
        <v>1</v>
      </c>
    </row>
    <row r="775" spans="3:6" x14ac:dyDescent="0.25">
      <c r="D775" t="s">
        <v>821</v>
      </c>
      <c r="E775" t="s">
        <v>822</v>
      </c>
      <c r="F775" s="40">
        <v>1</v>
      </c>
    </row>
    <row r="776" spans="3:6" x14ac:dyDescent="0.25">
      <c r="D776" t="s">
        <v>829</v>
      </c>
      <c r="E776" t="s">
        <v>830</v>
      </c>
      <c r="F776" s="40">
        <v>1</v>
      </c>
    </row>
    <row r="777" spans="3:6" x14ac:dyDescent="0.25">
      <c r="D777" t="s">
        <v>833</v>
      </c>
      <c r="E777" t="s">
        <v>834</v>
      </c>
      <c r="F777" s="40">
        <v>1</v>
      </c>
    </row>
    <row r="778" spans="3:6" x14ac:dyDescent="0.25">
      <c r="D778" t="s">
        <v>837</v>
      </c>
      <c r="E778" t="s">
        <v>838</v>
      </c>
      <c r="F778" s="40">
        <v>1</v>
      </c>
    </row>
    <row r="779" spans="3:6" x14ac:dyDescent="0.25">
      <c r="D779" t="s">
        <v>845</v>
      </c>
      <c r="E779" t="s">
        <v>846</v>
      </c>
      <c r="F779" s="40">
        <v>1</v>
      </c>
    </row>
    <row r="780" spans="3:6" x14ac:dyDescent="0.25">
      <c r="C780" t="s">
        <v>7859</v>
      </c>
      <c r="D780" t="s">
        <v>817</v>
      </c>
      <c r="E780" t="s">
        <v>818</v>
      </c>
      <c r="F780" s="40">
        <v>1</v>
      </c>
    </row>
    <row r="781" spans="3:6" x14ac:dyDescent="0.25">
      <c r="D781" t="s">
        <v>821</v>
      </c>
      <c r="E781" t="s">
        <v>822</v>
      </c>
      <c r="F781" s="40">
        <v>1</v>
      </c>
    </row>
    <row r="782" spans="3:6" x14ac:dyDescent="0.25">
      <c r="D782" t="s">
        <v>825</v>
      </c>
      <c r="E782" t="s">
        <v>826</v>
      </c>
      <c r="F782" s="40">
        <v>1</v>
      </c>
    </row>
    <row r="783" spans="3:6" x14ac:dyDescent="0.25">
      <c r="D783" t="s">
        <v>829</v>
      </c>
      <c r="E783" t="s">
        <v>830</v>
      </c>
      <c r="F783" s="40">
        <v>1</v>
      </c>
    </row>
    <row r="784" spans="3:6" x14ac:dyDescent="0.25">
      <c r="D784" t="s">
        <v>833</v>
      </c>
      <c r="E784" t="s">
        <v>834</v>
      </c>
      <c r="F784" s="40">
        <v>1</v>
      </c>
    </row>
    <row r="785" spans="3:6" x14ac:dyDescent="0.25">
      <c r="D785" t="s">
        <v>837</v>
      </c>
      <c r="E785" t="s">
        <v>838</v>
      </c>
      <c r="F785" s="40">
        <v>1</v>
      </c>
    </row>
    <row r="786" spans="3:6" x14ac:dyDescent="0.25">
      <c r="C786" t="s">
        <v>7861</v>
      </c>
      <c r="D786" t="s">
        <v>853</v>
      </c>
      <c r="E786" t="s">
        <v>854</v>
      </c>
      <c r="F786" s="40">
        <v>1</v>
      </c>
    </row>
    <row r="787" spans="3:6" x14ac:dyDescent="0.25">
      <c r="D787" t="s">
        <v>821</v>
      </c>
      <c r="E787" t="s">
        <v>822</v>
      </c>
      <c r="F787" s="40">
        <v>1</v>
      </c>
    </row>
    <row r="788" spans="3:6" x14ac:dyDescent="0.25">
      <c r="D788" t="s">
        <v>829</v>
      </c>
      <c r="E788" t="s">
        <v>830</v>
      </c>
      <c r="F788" s="40">
        <v>1</v>
      </c>
    </row>
    <row r="789" spans="3:6" x14ac:dyDescent="0.25">
      <c r="D789" t="s">
        <v>833</v>
      </c>
      <c r="E789" t="s">
        <v>834</v>
      </c>
      <c r="F789" s="40">
        <v>1</v>
      </c>
    </row>
    <row r="790" spans="3:6" x14ac:dyDescent="0.25">
      <c r="D790" t="s">
        <v>837</v>
      </c>
      <c r="E790" t="s">
        <v>838</v>
      </c>
      <c r="F790" s="40">
        <v>1</v>
      </c>
    </row>
    <row r="791" spans="3:6" x14ac:dyDescent="0.25">
      <c r="D791" t="s">
        <v>857</v>
      </c>
      <c r="E791" t="s">
        <v>858</v>
      </c>
      <c r="F791" s="40">
        <v>1</v>
      </c>
    </row>
    <row r="792" spans="3:6" x14ac:dyDescent="0.25">
      <c r="C792" t="s">
        <v>7853</v>
      </c>
      <c r="D792" t="s">
        <v>735</v>
      </c>
      <c r="E792" t="s">
        <v>736</v>
      </c>
      <c r="F792" s="40">
        <v>1</v>
      </c>
    </row>
    <row r="793" spans="3:6" x14ac:dyDescent="0.25">
      <c r="D793" t="s">
        <v>731</v>
      </c>
      <c r="E793" t="s">
        <v>732</v>
      </c>
      <c r="F793" s="40">
        <v>1</v>
      </c>
    </row>
    <row r="794" spans="3:6" x14ac:dyDescent="0.25">
      <c r="C794" t="s">
        <v>7858</v>
      </c>
      <c r="D794" t="s">
        <v>749</v>
      </c>
      <c r="E794" t="s">
        <v>750</v>
      </c>
      <c r="F794" s="40">
        <v>1</v>
      </c>
    </row>
    <row r="795" spans="3:6" x14ac:dyDescent="0.25">
      <c r="D795" t="s">
        <v>757</v>
      </c>
      <c r="E795" t="s">
        <v>758</v>
      </c>
      <c r="F795" s="40">
        <v>1</v>
      </c>
    </row>
    <row r="796" spans="3:6" x14ac:dyDescent="0.25">
      <c r="D796" t="s">
        <v>761</v>
      </c>
      <c r="E796" t="s">
        <v>762</v>
      </c>
      <c r="F796" s="40">
        <v>1</v>
      </c>
    </row>
    <row r="797" spans="3:6" x14ac:dyDescent="0.25">
      <c r="D797" t="s">
        <v>765</v>
      </c>
      <c r="E797" t="s">
        <v>766</v>
      </c>
      <c r="F797" s="40">
        <v>1</v>
      </c>
    </row>
    <row r="798" spans="3:6" x14ac:dyDescent="0.25">
      <c r="D798" t="s">
        <v>809</v>
      </c>
      <c r="E798" t="s">
        <v>810</v>
      </c>
      <c r="F798" s="40">
        <v>1</v>
      </c>
    </row>
    <row r="799" spans="3:6" x14ac:dyDescent="0.25">
      <c r="C799" t="s">
        <v>7855</v>
      </c>
      <c r="D799" t="s">
        <v>749</v>
      </c>
      <c r="E799" t="s">
        <v>750</v>
      </c>
      <c r="F799" s="40">
        <v>1</v>
      </c>
    </row>
    <row r="800" spans="3:6" x14ac:dyDescent="0.25">
      <c r="D800" t="s">
        <v>757</v>
      </c>
      <c r="E800" t="s">
        <v>758</v>
      </c>
      <c r="F800" s="40">
        <v>1</v>
      </c>
    </row>
    <row r="801" spans="3:6" x14ac:dyDescent="0.25">
      <c r="D801" t="s">
        <v>761</v>
      </c>
      <c r="E801" t="s">
        <v>762</v>
      </c>
      <c r="F801" s="40">
        <v>1</v>
      </c>
    </row>
    <row r="802" spans="3:6" x14ac:dyDescent="0.25">
      <c r="D802" t="s">
        <v>765</v>
      </c>
      <c r="E802" t="s">
        <v>766</v>
      </c>
      <c r="F802" s="40">
        <v>1</v>
      </c>
    </row>
    <row r="803" spans="3:6" x14ac:dyDescent="0.25">
      <c r="D803" t="s">
        <v>774</v>
      </c>
      <c r="E803" t="s">
        <v>775</v>
      </c>
      <c r="F803" s="40">
        <v>1</v>
      </c>
    </row>
    <row r="804" spans="3:6" x14ac:dyDescent="0.25">
      <c r="C804" t="s">
        <v>7856</v>
      </c>
      <c r="D804" t="s">
        <v>749</v>
      </c>
      <c r="E804" t="s">
        <v>750</v>
      </c>
      <c r="F804" s="40">
        <v>1</v>
      </c>
    </row>
    <row r="805" spans="3:6" x14ac:dyDescent="0.25">
      <c r="D805" t="s">
        <v>757</v>
      </c>
      <c r="E805" t="s">
        <v>758</v>
      </c>
      <c r="F805" s="40">
        <v>1</v>
      </c>
    </row>
    <row r="806" spans="3:6" x14ac:dyDescent="0.25">
      <c r="D806" t="s">
        <v>761</v>
      </c>
      <c r="E806" t="s">
        <v>762</v>
      </c>
      <c r="F806" s="40">
        <v>1</v>
      </c>
    </row>
    <row r="807" spans="3:6" x14ac:dyDescent="0.25">
      <c r="D807" t="s">
        <v>765</v>
      </c>
      <c r="E807" t="s">
        <v>766</v>
      </c>
      <c r="F807" s="40">
        <v>1</v>
      </c>
    </row>
    <row r="808" spans="3:6" x14ac:dyDescent="0.25">
      <c r="D808" t="s">
        <v>785</v>
      </c>
      <c r="E808" t="s">
        <v>786</v>
      </c>
      <c r="F808" s="40">
        <v>1</v>
      </c>
    </row>
    <row r="809" spans="3:6" x14ac:dyDescent="0.25">
      <c r="C809" t="s">
        <v>7857</v>
      </c>
      <c r="D809" t="s">
        <v>749</v>
      </c>
      <c r="E809" t="s">
        <v>750</v>
      </c>
      <c r="F809" s="40">
        <v>1</v>
      </c>
    </row>
    <row r="810" spans="3:6" x14ac:dyDescent="0.25">
      <c r="D810" t="s">
        <v>757</v>
      </c>
      <c r="E810" t="s">
        <v>758</v>
      </c>
      <c r="F810" s="40">
        <v>1</v>
      </c>
    </row>
    <row r="811" spans="3:6" x14ac:dyDescent="0.25">
      <c r="D811" t="s">
        <v>761</v>
      </c>
      <c r="E811" t="s">
        <v>762</v>
      </c>
      <c r="F811" s="40">
        <v>1</v>
      </c>
    </row>
    <row r="812" spans="3:6" x14ac:dyDescent="0.25">
      <c r="D812" t="s">
        <v>765</v>
      </c>
      <c r="E812" t="s">
        <v>766</v>
      </c>
      <c r="F812" s="40">
        <v>1</v>
      </c>
    </row>
    <row r="813" spans="3:6" x14ac:dyDescent="0.25">
      <c r="D813" t="s">
        <v>797</v>
      </c>
      <c r="E813" t="s">
        <v>798</v>
      </c>
      <c r="F813" s="40">
        <v>1</v>
      </c>
    </row>
    <row r="814" spans="3:6" x14ac:dyDescent="0.25">
      <c r="C814" t="s">
        <v>7854</v>
      </c>
      <c r="D814" t="s">
        <v>749</v>
      </c>
      <c r="E814" t="s">
        <v>750</v>
      </c>
      <c r="F814" s="40">
        <v>1</v>
      </c>
    </row>
    <row r="815" spans="3:6" x14ac:dyDescent="0.25">
      <c r="D815" t="s">
        <v>753</v>
      </c>
      <c r="E815" t="s">
        <v>754</v>
      </c>
      <c r="F815" s="40">
        <v>1</v>
      </c>
    </row>
    <row r="816" spans="3:6" x14ac:dyDescent="0.25">
      <c r="D816" t="s">
        <v>757</v>
      </c>
      <c r="E816" t="s">
        <v>758</v>
      </c>
      <c r="F816" s="40">
        <v>1</v>
      </c>
    </row>
    <row r="817" spans="2:6" x14ac:dyDescent="0.25">
      <c r="D817" t="s">
        <v>761</v>
      </c>
      <c r="E817" t="s">
        <v>762</v>
      </c>
      <c r="F817" s="40">
        <v>1</v>
      </c>
    </row>
    <row r="818" spans="2:6" x14ac:dyDescent="0.25">
      <c r="D818" t="s">
        <v>765</v>
      </c>
      <c r="E818" t="s">
        <v>766</v>
      </c>
      <c r="F818" s="40">
        <v>1</v>
      </c>
    </row>
    <row r="819" spans="2:6" x14ac:dyDescent="0.25">
      <c r="C819" t="s">
        <v>674</v>
      </c>
      <c r="D819" t="s">
        <v>673</v>
      </c>
      <c r="E819" t="s">
        <v>674</v>
      </c>
      <c r="F819" s="40">
        <v>1</v>
      </c>
    </row>
    <row r="820" spans="2:6" x14ac:dyDescent="0.25">
      <c r="D820" t="s">
        <v>676</v>
      </c>
      <c r="E820" t="s">
        <v>677</v>
      </c>
      <c r="F820" s="40">
        <v>1</v>
      </c>
    </row>
    <row r="821" spans="2:6" x14ac:dyDescent="0.25">
      <c r="D821" t="s">
        <v>680</v>
      </c>
      <c r="E821" t="s">
        <v>681</v>
      </c>
      <c r="F821" s="40">
        <v>1</v>
      </c>
    </row>
    <row r="822" spans="2:6" x14ac:dyDescent="0.25">
      <c r="D822" t="s">
        <v>684</v>
      </c>
      <c r="E822" t="s">
        <v>685</v>
      </c>
      <c r="F822" s="40">
        <v>1</v>
      </c>
    </row>
    <row r="823" spans="2:6" x14ac:dyDescent="0.25">
      <c r="D823" t="s">
        <v>688</v>
      </c>
      <c r="E823" t="s">
        <v>689</v>
      </c>
      <c r="F823" s="40">
        <v>1</v>
      </c>
    </row>
    <row r="824" spans="2:6" x14ac:dyDescent="0.25">
      <c r="D824" t="s">
        <v>720</v>
      </c>
      <c r="E824" t="s">
        <v>721</v>
      </c>
      <c r="F824" s="40">
        <v>1</v>
      </c>
    </row>
    <row r="825" spans="2:6" x14ac:dyDescent="0.25">
      <c r="C825" t="s">
        <v>7953</v>
      </c>
      <c r="D825" t="s">
        <v>713</v>
      </c>
      <c r="E825" t="s">
        <v>714</v>
      </c>
      <c r="F825" s="40">
        <v>1</v>
      </c>
    </row>
    <row r="826" spans="2:6" x14ac:dyDescent="0.25">
      <c r="D826" t="s">
        <v>710</v>
      </c>
      <c r="E826" t="s">
        <v>711</v>
      </c>
      <c r="F826" s="40">
        <v>1</v>
      </c>
    </row>
    <row r="827" spans="2:6" x14ac:dyDescent="0.25">
      <c r="C827" t="s">
        <v>7962</v>
      </c>
      <c r="D827" t="s">
        <v>549</v>
      </c>
      <c r="E827" t="s">
        <v>550</v>
      </c>
      <c r="F827" s="40">
        <v>1</v>
      </c>
    </row>
    <row r="828" spans="2:6" x14ac:dyDescent="0.25">
      <c r="D828" t="s">
        <v>600</v>
      </c>
      <c r="E828" t="s">
        <v>601</v>
      </c>
      <c r="F828" s="40">
        <v>1</v>
      </c>
    </row>
    <row r="829" spans="2:6" x14ac:dyDescent="0.25">
      <c r="D829" t="s">
        <v>604</v>
      </c>
      <c r="E829" t="s">
        <v>605</v>
      </c>
      <c r="F829" s="40">
        <v>1</v>
      </c>
    </row>
    <row r="830" spans="2:6" x14ac:dyDescent="0.25">
      <c r="B830" t="s">
        <v>7060</v>
      </c>
      <c r="C830" t="s">
        <v>272</v>
      </c>
      <c r="D830" t="s">
        <v>271</v>
      </c>
      <c r="E830" t="s">
        <v>272</v>
      </c>
      <c r="F830" s="40">
        <v>1</v>
      </c>
    </row>
    <row r="831" spans="2:6" x14ac:dyDescent="0.25">
      <c r="D831" t="s">
        <v>274</v>
      </c>
      <c r="E831" t="s">
        <v>275</v>
      </c>
      <c r="F831" s="40">
        <v>1</v>
      </c>
    </row>
    <row r="832" spans="2:6" x14ac:dyDescent="0.25">
      <c r="D832" t="s">
        <v>278</v>
      </c>
      <c r="E832" t="s">
        <v>279</v>
      </c>
      <c r="F832" s="40">
        <v>1</v>
      </c>
    </row>
    <row r="833" spans="3:6" x14ac:dyDescent="0.25">
      <c r="D833" t="s">
        <v>319</v>
      </c>
      <c r="E833" t="s">
        <v>320</v>
      </c>
      <c r="F833" s="40">
        <v>1</v>
      </c>
    </row>
    <row r="834" spans="3:6" x14ac:dyDescent="0.25">
      <c r="D834" t="s">
        <v>322</v>
      </c>
      <c r="E834" t="s">
        <v>323</v>
      </c>
      <c r="F834" s="40">
        <v>1</v>
      </c>
    </row>
    <row r="835" spans="3:6" x14ac:dyDescent="0.25">
      <c r="D835" t="s">
        <v>325</v>
      </c>
      <c r="E835" t="s">
        <v>326</v>
      </c>
      <c r="F835" s="40">
        <v>1</v>
      </c>
    </row>
    <row r="836" spans="3:6" x14ac:dyDescent="0.25">
      <c r="C836" t="s">
        <v>7845</v>
      </c>
      <c r="D836" t="s">
        <v>283</v>
      </c>
      <c r="E836" t="s">
        <v>284</v>
      </c>
      <c r="F836" s="40">
        <v>1</v>
      </c>
    </row>
    <row r="837" spans="3:6" x14ac:dyDescent="0.25">
      <c r="D837" t="s">
        <v>313</v>
      </c>
      <c r="E837" t="s">
        <v>314</v>
      </c>
      <c r="F837" s="40">
        <v>1</v>
      </c>
    </row>
    <row r="838" spans="3:6" x14ac:dyDescent="0.25">
      <c r="D838" t="s">
        <v>286</v>
      </c>
      <c r="E838" t="s">
        <v>287</v>
      </c>
      <c r="F838" s="40">
        <v>1</v>
      </c>
    </row>
    <row r="839" spans="3:6" x14ac:dyDescent="0.25">
      <c r="D839" t="s">
        <v>290</v>
      </c>
      <c r="E839" t="s">
        <v>291</v>
      </c>
      <c r="F839" s="40">
        <v>1</v>
      </c>
    </row>
    <row r="840" spans="3:6" x14ac:dyDescent="0.25">
      <c r="D840" t="s">
        <v>316</v>
      </c>
      <c r="E840" t="s">
        <v>317</v>
      </c>
      <c r="F840" s="40">
        <v>1</v>
      </c>
    </row>
    <row r="841" spans="3:6" x14ac:dyDescent="0.25">
      <c r="C841" t="s">
        <v>329</v>
      </c>
      <c r="D841" t="s">
        <v>347</v>
      </c>
      <c r="E841" t="s">
        <v>348</v>
      </c>
      <c r="F841" s="40">
        <v>1</v>
      </c>
    </row>
    <row r="842" spans="3:6" x14ac:dyDescent="0.25">
      <c r="D842" t="s">
        <v>383</v>
      </c>
      <c r="E842" t="s">
        <v>384</v>
      </c>
      <c r="F842" s="40">
        <v>1</v>
      </c>
    </row>
    <row r="843" spans="3:6" x14ac:dyDescent="0.25">
      <c r="D843" t="s">
        <v>387</v>
      </c>
      <c r="E843" t="s">
        <v>388</v>
      </c>
      <c r="F843" s="40">
        <v>1</v>
      </c>
    </row>
    <row r="844" spans="3:6" x14ac:dyDescent="0.25">
      <c r="D844" t="s">
        <v>328</v>
      </c>
      <c r="E844" t="s">
        <v>329</v>
      </c>
      <c r="F844" s="40">
        <v>1</v>
      </c>
    </row>
    <row r="845" spans="3:6" x14ac:dyDescent="0.25">
      <c r="D845" t="s">
        <v>331</v>
      </c>
      <c r="E845" t="s">
        <v>332</v>
      </c>
      <c r="F845" s="40">
        <v>1</v>
      </c>
    </row>
    <row r="846" spans="3:6" x14ac:dyDescent="0.25">
      <c r="D846" t="s">
        <v>335</v>
      </c>
      <c r="E846" t="s">
        <v>336</v>
      </c>
      <c r="F846" s="40">
        <v>1</v>
      </c>
    </row>
    <row r="847" spans="3:6" x14ac:dyDescent="0.25">
      <c r="D847" t="s">
        <v>339</v>
      </c>
      <c r="E847" t="s">
        <v>340</v>
      </c>
      <c r="F847" s="40">
        <v>1</v>
      </c>
    </row>
    <row r="848" spans="3:6" x14ac:dyDescent="0.25">
      <c r="D848" t="s">
        <v>343</v>
      </c>
      <c r="E848" t="s">
        <v>344</v>
      </c>
      <c r="F848" s="40">
        <v>1</v>
      </c>
    </row>
    <row r="849" spans="3:6" x14ac:dyDescent="0.25">
      <c r="D849" t="s">
        <v>378</v>
      </c>
      <c r="E849" t="s">
        <v>379</v>
      </c>
      <c r="F849" s="40">
        <v>1</v>
      </c>
    </row>
    <row r="850" spans="3:6" x14ac:dyDescent="0.25">
      <c r="D850" t="s">
        <v>313</v>
      </c>
      <c r="E850" t="s">
        <v>314</v>
      </c>
      <c r="F850" s="40">
        <v>1</v>
      </c>
    </row>
    <row r="851" spans="3:6" x14ac:dyDescent="0.25">
      <c r="D851" t="s">
        <v>319</v>
      </c>
      <c r="E851" t="s">
        <v>320</v>
      </c>
      <c r="F851" s="40">
        <v>1</v>
      </c>
    </row>
    <row r="852" spans="3:6" x14ac:dyDescent="0.25">
      <c r="D852" t="s">
        <v>322</v>
      </c>
      <c r="E852" t="s">
        <v>323</v>
      </c>
      <c r="F852" s="40">
        <v>1</v>
      </c>
    </row>
    <row r="853" spans="3:6" x14ac:dyDescent="0.25">
      <c r="C853" t="s">
        <v>7846</v>
      </c>
      <c r="D853" t="s">
        <v>355</v>
      </c>
      <c r="E853" t="s">
        <v>356</v>
      </c>
      <c r="F853" s="40">
        <v>1</v>
      </c>
    </row>
    <row r="854" spans="3:6" x14ac:dyDescent="0.25">
      <c r="D854" t="s">
        <v>351</v>
      </c>
      <c r="E854" t="s">
        <v>352</v>
      </c>
      <c r="F854" s="40">
        <v>1</v>
      </c>
    </row>
    <row r="855" spans="3:6" x14ac:dyDescent="0.25">
      <c r="C855" t="s">
        <v>7841</v>
      </c>
      <c r="D855" t="s">
        <v>261</v>
      </c>
      <c r="E855" t="s">
        <v>262</v>
      </c>
      <c r="F855" s="40">
        <v>1</v>
      </c>
    </row>
    <row r="856" spans="3:6" x14ac:dyDescent="0.25">
      <c r="D856" t="s">
        <v>257</v>
      </c>
      <c r="E856" t="s">
        <v>258</v>
      </c>
      <c r="F856" s="40">
        <v>1</v>
      </c>
    </row>
    <row r="857" spans="3:6" x14ac:dyDescent="0.25">
      <c r="C857" t="s">
        <v>420</v>
      </c>
      <c r="D857" t="s">
        <v>419</v>
      </c>
      <c r="E857" t="s">
        <v>420</v>
      </c>
      <c r="F857" s="40">
        <v>1</v>
      </c>
    </row>
    <row r="858" spans="3:6" x14ac:dyDescent="0.25">
      <c r="D858" t="s">
        <v>422</v>
      </c>
      <c r="E858" t="s">
        <v>423</v>
      </c>
      <c r="F858" s="40">
        <v>1</v>
      </c>
    </row>
    <row r="859" spans="3:6" x14ac:dyDescent="0.25">
      <c r="D859" t="s">
        <v>426</v>
      </c>
      <c r="E859" t="s">
        <v>427</v>
      </c>
      <c r="F859" s="40">
        <v>1</v>
      </c>
    </row>
    <row r="860" spans="3:6" x14ac:dyDescent="0.25">
      <c r="D860" t="s">
        <v>451</v>
      </c>
      <c r="E860" t="s">
        <v>452</v>
      </c>
      <c r="F860" s="40">
        <v>1</v>
      </c>
    </row>
    <row r="861" spans="3:6" x14ac:dyDescent="0.25">
      <c r="D861" t="s">
        <v>455</v>
      </c>
      <c r="E861" t="s">
        <v>456</v>
      </c>
      <c r="F861" s="40">
        <v>1</v>
      </c>
    </row>
    <row r="862" spans="3:6" x14ac:dyDescent="0.25">
      <c r="D862" t="s">
        <v>467</v>
      </c>
      <c r="E862" t="s">
        <v>468</v>
      </c>
      <c r="F862" s="40">
        <v>1</v>
      </c>
    </row>
    <row r="863" spans="3:6" x14ac:dyDescent="0.25">
      <c r="C863" t="s">
        <v>472</v>
      </c>
      <c r="D863" t="s">
        <v>471</v>
      </c>
      <c r="E863" t="s">
        <v>472</v>
      </c>
      <c r="F863" s="40">
        <v>1</v>
      </c>
    </row>
    <row r="864" spans="3:6" x14ac:dyDescent="0.25">
      <c r="D864" t="s">
        <v>474</v>
      </c>
      <c r="E864" t="s">
        <v>475</v>
      </c>
      <c r="F864" s="40">
        <v>1</v>
      </c>
    </row>
    <row r="865" spans="3:6" x14ac:dyDescent="0.25">
      <c r="D865" t="s">
        <v>478</v>
      </c>
      <c r="E865" t="s">
        <v>479</v>
      </c>
      <c r="F865" s="40">
        <v>1</v>
      </c>
    </row>
    <row r="866" spans="3:6" x14ac:dyDescent="0.25">
      <c r="D866" t="s">
        <v>504</v>
      </c>
      <c r="E866" t="s">
        <v>505</v>
      </c>
      <c r="F866" s="40">
        <v>1</v>
      </c>
    </row>
    <row r="867" spans="3:6" x14ac:dyDescent="0.25">
      <c r="D867" t="s">
        <v>498</v>
      </c>
      <c r="E867" t="s">
        <v>499</v>
      </c>
      <c r="F867" s="40">
        <v>1</v>
      </c>
    </row>
    <row r="868" spans="3:6" x14ac:dyDescent="0.25">
      <c r="D868" t="s">
        <v>494</v>
      </c>
      <c r="E868" t="s">
        <v>495</v>
      </c>
      <c r="F868" s="40">
        <v>1</v>
      </c>
    </row>
    <row r="869" spans="3:6" x14ac:dyDescent="0.25">
      <c r="C869" t="s">
        <v>393</v>
      </c>
      <c r="D869" t="s">
        <v>392</v>
      </c>
      <c r="E869" t="s">
        <v>393</v>
      </c>
      <c r="F869" s="40">
        <v>1</v>
      </c>
    </row>
    <row r="870" spans="3:6" x14ac:dyDescent="0.25">
      <c r="D870" t="s">
        <v>395</v>
      </c>
      <c r="E870" t="s">
        <v>396</v>
      </c>
      <c r="F870" s="40">
        <v>2</v>
      </c>
    </row>
    <row r="871" spans="3:6" x14ac:dyDescent="0.25">
      <c r="D871" t="s">
        <v>399</v>
      </c>
      <c r="E871" t="s">
        <v>400</v>
      </c>
      <c r="F871" s="40">
        <v>1</v>
      </c>
    </row>
    <row r="872" spans="3:6" x14ac:dyDescent="0.25">
      <c r="D872" t="s">
        <v>319</v>
      </c>
      <c r="E872" t="s">
        <v>320</v>
      </c>
      <c r="F872" s="40">
        <v>1</v>
      </c>
    </row>
    <row r="873" spans="3:6" x14ac:dyDescent="0.25">
      <c r="D873" t="s">
        <v>322</v>
      </c>
      <c r="E873" t="s">
        <v>323</v>
      </c>
      <c r="F873" s="40">
        <v>1</v>
      </c>
    </row>
    <row r="874" spans="3:6" x14ac:dyDescent="0.25">
      <c r="D874" t="s">
        <v>325</v>
      </c>
      <c r="E874" t="s">
        <v>326</v>
      </c>
      <c r="F874" s="40">
        <v>1</v>
      </c>
    </row>
    <row r="875" spans="3:6" x14ac:dyDescent="0.25">
      <c r="C875" t="s">
        <v>7847</v>
      </c>
      <c r="D875" t="s">
        <v>283</v>
      </c>
      <c r="E875" t="s">
        <v>284</v>
      </c>
      <c r="F875" s="40">
        <v>1</v>
      </c>
    </row>
    <row r="876" spans="3:6" x14ac:dyDescent="0.25">
      <c r="D876" t="s">
        <v>313</v>
      </c>
      <c r="E876" t="s">
        <v>314</v>
      </c>
      <c r="F876" s="40">
        <v>1</v>
      </c>
    </row>
    <row r="877" spans="3:6" x14ac:dyDescent="0.25">
      <c r="D877" t="s">
        <v>286</v>
      </c>
      <c r="E877" t="s">
        <v>287</v>
      </c>
      <c r="F877" s="40">
        <v>1</v>
      </c>
    </row>
    <row r="878" spans="3:6" x14ac:dyDescent="0.25">
      <c r="D878" t="s">
        <v>290</v>
      </c>
      <c r="E878" t="s">
        <v>291</v>
      </c>
      <c r="F878" s="40">
        <v>1</v>
      </c>
    </row>
    <row r="879" spans="3:6" x14ac:dyDescent="0.25">
      <c r="D879" t="s">
        <v>316</v>
      </c>
      <c r="E879" t="s">
        <v>317</v>
      </c>
      <c r="F879" s="40">
        <v>1</v>
      </c>
    </row>
    <row r="880" spans="3:6" x14ac:dyDescent="0.25">
      <c r="C880" t="s">
        <v>7962</v>
      </c>
      <c r="D880" t="s">
        <v>249</v>
      </c>
      <c r="E880" t="s">
        <v>250</v>
      </c>
      <c r="F880" s="40">
        <v>1</v>
      </c>
    </row>
    <row r="881" spans="1:6" x14ac:dyDescent="0.25">
      <c r="D881" t="s">
        <v>252</v>
      </c>
      <c r="E881" t="s">
        <v>253</v>
      </c>
      <c r="F881" s="40">
        <v>1</v>
      </c>
    </row>
    <row r="882" spans="1:6" x14ac:dyDescent="0.25">
      <c r="B882" t="s">
        <v>7140</v>
      </c>
      <c r="C882" t="s">
        <v>971</v>
      </c>
      <c r="D882" t="s">
        <v>975</v>
      </c>
      <c r="E882" t="s">
        <v>976</v>
      </c>
      <c r="F882" s="40">
        <v>1</v>
      </c>
    </row>
    <row r="883" spans="1:6" x14ac:dyDescent="0.25">
      <c r="D883" t="s">
        <v>970</v>
      </c>
      <c r="E883" t="s">
        <v>971</v>
      </c>
      <c r="F883" s="40">
        <v>1</v>
      </c>
    </row>
    <row r="884" spans="1:6" x14ac:dyDescent="0.25">
      <c r="D884" t="s">
        <v>978</v>
      </c>
      <c r="E884" t="s">
        <v>979</v>
      </c>
      <c r="F884" s="40">
        <v>1</v>
      </c>
    </row>
    <row r="885" spans="1:6" x14ac:dyDescent="0.25">
      <c r="C885" t="s">
        <v>989</v>
      </c>
      <c r="D885" t="s">
        <v>988</v>
      </c>
      <c r="E885" t="s">
        <v>989</v>
      </c>
      <c r="F885" s="40">
        <v>1</v>
      </c>
    </row>
    <row r="886" spans="1:6" x14ac:dyDescent="0.25">
      <c r="D886" t="s">
        <v>1014</v>
      </c>
      <c r="E886" t="s">
        <v>989</v>
      </c>
      <c r="F886" s="40">
        <v>1</v>
      </c>
    </row>
    <row r="887" spans="1:6" x14ac:dyDescent="0.25">
      <c r="D887" t="s">
        <v>991</v>
      </c>
      <c r="E887" t="s">
        <v>992</v>
      </c>
      <c r="F887" s="40">
        <v>2</v>
      </c>
    </row>
    <row r="888" spans="1:6" x14ac:dyDescent="0.25">
      <c r="C888" t="s">
        <v>7962</v>
      </c>
      <c r="D888" t="s">
        <v>964</v>
      </c>
      <c r="E888" t="s">
        <v>965</v>
      </c>
      <c r="F888" s="40">
        <v>2</v>
      </c>
    </row>
    <row r="889" spans="1:6" x14ac:dyDescent="0.25">
      <c r="D889" t="s">
        <v>967</v>
      </c>
      <c r="E889" t="s">
        <v>968</v>
      </c>
      <c r="F889" s="40">
        <v>1</v>
      </c>
    </row>
    <row r="890" spans="1:6" x14ac:dyDescent="0.25">
      <c r="D890" t="s">
        <v>953</v>
      </c>
      <c r="E890" t="s">
        <v>954</v>
      </c>
      <c r="F890" s="40">
        <v>1</v>
      </c>
    </row>
    <row r="891" spans="1:6" x14ac:dyDescent="0.25">
      <c r="A891" t="s">
        <v>7848</v>
      </c>
      <c r="F891" s="40">
        <v>424</v>
      </c>
    </row>
    <row r="892" spans="1:6" x14ac:dyDescent="0.25">
      <c r="A892" t="s">
        <v>7676</v>
      </c>
      <c r="B892" t="s">
        <v>7629</v>
      </c>
      <c r="C892" t="s">
        <v>4276</v>
      </c>
      <c r="D892" t="s">
        <v>4275</v>
      </c>
      <c r="E892" t="s">
        <v>4276</v>
      </c>
      <c r="F892" s="40">
        <v>1</v>
      </c>
    </row>
    <row r="893" spans="1:6" x14ac:dyDescent="0.25">
      <c r="D893" t="s">
        <v>1516</v>
      </c>
      <c r="E893" t="s">
        <v>1517</v>
      </c>
      <c r="F893" s="40">
        <v>1</v>
      </c>
    </row>
    <row r="894" spans="1:6" x14ac:dyDescent="0.25">
      <c r="C894" t="s">
        <v>7962</v>
      </c>
      <c r="D894" t="s">
        <v>6542</v>
      </c>
      <c r="E894" t="s">
        <v>6543</v>
      </c>
      <c r="F894" s="40">
        <v>1</v>
      </c>
    </row>
    <row r="895" spans="1:6" x14ac:dyDescent="0.25">
      <c r="D895" t="s">
        <v>6545</v>
      </c>
      <c r="E895" t="s">
        <v>6546</v>
      </c>
      <c r="F895" s="40">
        <v>1</v>
      </c>
    </row>
    <row r="896" spans="1:6" x14ac:dyDescent="0.25">
      <c r="D896" t="s">
        <v>6549</v>
      </c>
      <c r="E896" t="s">
        <v>6550</v>
      </c>
      <c r="F896" s="40">
        <v>1</v>
      </c>
    </row>
    <row r="897" spans="2:6" x14ac:dyDescent="0.25">
      <c r="D897" t="s">
        <v>6557</v>
      </c>
      <c r="E897" t="s">
        <v>6558</v>
      </c>
      <c r="F897" s="40">
        <v>1</v>
      </c>
    </row>
    <row r="898" spans="2:6" x14ac:dyDescent="0.25">
      <c r="D898" t="s">
        <v>6553</v>
      </c>
      <c r="E898" t="s">
        <v>6554</v>
      </c>
      <c r="F898" s="40">
        <v>1</v>
      </c>
    </row>
    <row r="899" spans="2:6" x14ac:dyDescent="0.25">
      <c r="B899" t="s">
        <v>7630</v>
      </c>
      <c r="C899" t="s">
        <v>6573</v>
      </c>
      <c r="D899" t="s">
        <v>6572</v>
      </c>
      <c r="E899" t="s">
        <v>6573</v>
      </c>
      <c r="F899" s="40">
        <v>1</v>
      </c>
    </row>
    <row r="900" spans="2:6" x14ac:dyDescent="0.25">
      <c r="C900" t="s">
        <v>7844</v>
      </c>
      <c r="D900" t="s">
        <v>4781</v>
      </c>
      <c r="E900" t="s">
        <v>4782</v>
      </c>
      <c r="F900" s="40">
        <v>1</v>
      </c>
    </row>
    <row r="901" spans="2:6" x14ac:dyDescent="0.25">
      <c r="D901" t="s">
        <v>6583</v>
      </c>
      <c r="E901" t="s">
        <v>6584</v>
      </c>
      <c r="F901" s="40">
        <v>1</v>
      </c>
    </row>
    <row r="902" spans="2:6" x14ac:dyDescent="0.25">
      <c r="C902" t="s">
        <v>7962</v>
      </c>
      <c r="D902" t="s">
        <v>6575</v>
      </c>
      <c r="E902" t="s">
        <v>6576</v>
      </c>
      <c r="F902" s="40">
        <v>1</v>
      </c>
    </row>
    <row r="903" spans="2:6" x14ac:dyDescent="0.25">
      <c r="D903" t="s">
        <v>6579</v>
      </c>
      <c r="E903" t="s">
        <v>6580</v>
      </c>
      <c r="F903" s="40">
        <v>1</v>
      </c>
    </row>
    <row r="904" spans="2:6" x14ac:dyDescent="0.25">
      <c r="B904" t="s">
        <v>7603</v>
      </c>
      <c r="C904" t="s">
        <v>7037</v>
      </c>
      <c r="D904" t="s">
        <v>1032</v>
      </c>
      <c r="E904" t="s">
        <v>1033</v>
      </c>
      <c r="F904" s="40">
        <v>1</v>
      </c>
    </row>
    <row r="905" spans="2:6" x14ac:dyDescent="0.25">
      <c r="D905" t="s">
        <v>7036</v>
      </c>
      <c r="E905" t="s">
        <v>7037</v>
      </c>
      <c r="F905" s="40">
        <v>1</v>
      </c>
    </row>
    <row r="906" spans="2:6" x14ac:dyDescent="0.25">
      <c r="C906" t="s">
        <v>7962</v>
      </c>
      <c r="D906" t="s">
        <v>5845</v>
      </c>
      <c r="E906" t="s">
        <v>5846</v>
      </c>
      <c r="F906" s="40">
        <v>1</v>
      </c>
    </row>
    <row r="907" spans="2:6" x14ac:dyDescent="0.25">
      <c r="D907" t="s">
        <v>5847</v>
      </c>
      <c r="E907" t="s">
        <v>5848</v>
      </c>
      <c r="F907" s="40">
        <v>1</v>
      </c>
    </row>
    <row r="908" spans="2:6" x14ac:dyDescent="0.25">
      <c r="D908" t="s">
        <v>5850</v>
      </c>
      <c r="E908" t="s">
        <v>5851</v>
      </c>
      <c r="F908" s="40">
        <v>1</v>
      </c>
    </row>
    <row r="909" spans="2:6" x14ac:dyDescent="0.25">
      <c r="D909" t="s">
        <v>5853</v>
      </c>
      <c r="E909" t="s">
        <v>5854</v>
      </c>
      <c r="F909" s="40">
        <v>1</v>
      </c>
    </row>
    <row r="910" spans="2:6" x14ac:dyDescent="0.25">
      <c r="D910" t="s">
        <v>5785</v>
      </c>
      <c r="E910" t="s">
        <v>5786</v>
      </c>
      <c r="F910" s="40">
        <v>35</v>
      </c>
    </row>
    <row r="911" spans="2:6" x14ac:dyDescent="0.25">
      <c r="D911" t="s">
        <v>5788</v>
      </c>
      <c r="E911" t="s">
        <v>5789</v>
      </c>
      <c r="F911" s="40">
        <v>1</v>
      </c>
    </row>
    <row r="912" spans="2:6" x14ac:dyDescent="0.25">
      <c r="B912" t="s">
        <v>7606</v>
      </c>
      <c r="C912" t="s">
        <v>7962</v>
      </c>
      <c r="D912" t="s">
        <v>5952</v>
      </c>
      <c r="E912" t="s">
        <v>5953</v>
      </c>
      <c r="F912" s="40">
        <v>1</v>
      </c>
    </row>
    <row r="913" spans="4:6" x14ac:dyDescent="0.25">
      <c r="D913" t="s">
        <v>5955</v>
      </c>
      <c r="E913" t="s">
        <v>5956</v>
      </c>
      <c r="F913" s="40">
        <v>1</v>
      </c>
    </row>
    <row r="914" spans="4:6" x14ac:dyDescent="0.25">
      <c r="D914" t="s">
        <v>5959</v>
      </c>
      <c r="E914" t="s">
        <v>5960</v>
      </c>
      <c r="F914" s="40">
        <v>1</v>
      </c>
    </row>
    <row r="915" spans="4:6" x14ac:dyDescent="0.25">
      <c r="D915" t="s">
        <v>5963</v>
      </c>
      <c r="E915" t="s">
        <v>5964</v>
      </c>
      <c r="F915" s="40">
        <v>1</v>
      </c>
    </row>
    <row r="916" spans="4:6" x14ac:dyDescent="0.25">
      <c r="D916" t="s">
        <v>5967</v>
      </c>
      <c r="E916" t="s">
        <v>5968</v>
      </c>
      <c r="F916" s="40">
        <v>1</v>
      </c>
    </row>
    <row r="917" spans="4:6" x14ac:dyDescent="0.25">
      <c r="D917" t="s">
        <v>5971</v>
      </c>
      <c r="E917" t="s">
        <v>5972</v>
      </c>
      <c r="F917" s="40">
        <v>1</v>
      </c>
    </row>
    <row r="918" spans="4:6" x14ac:dyDescent="0.25">
      <c r="D918" t="s">
        <v>5975</v>
      </c>
      <c r="E918" t="s">
        <v>5976</v>
      </c>
      <c r="F918" s="40">
        <v>1</v>
      </c>
    </row>
    <row r="919" spans="4:6" x14ac:dyDescent="0.25">
      <c r="D919" t="s">
        <v>5979</v>
      </c>
      <c r="E919" t="s">
        <v>5980</v>
      </c>
      <c r="F919" s="40">
        <v>1</v>
      </c>
    </row>
    <row r="920" spans="4:6" x14ac:dyDescent="0.25">
      <c r="D920" t="s">
        <v>5983</v>
      </c>
      <c r="E920" t="s">
        <v>5984</v>
      </c>
      <c r="F920" s="40">
        <v>1</v>
      </c>
    </row>
    <row r="921" spans="4:6" x14ac:dyDescent="0.25">
      <c r="D921" t="s">
        <v>5987</v>
      </c>
      <c r="E921" t="s">
        <v>5988</v>
      </c>
      <c r="F921" s="40">
        <v>1</v>
      </c>
    </row>
    <row r="922" spans="4:6" x14ac:dyDescent="0.25">
      <c r="D922" t="s">
        <v>5991</v>
      </c>
      <c r="E922" t="s">
        <v>5992</v>
      </c>
      <c r="F922" s="40">
        <v>1</v>
      </c>
    </row>
    <row r="923" spans="4:6" x14ac:dyDescent="0.25">
      <c r="D923" t="s">
        <v>5995</v>
      </c>
      <c r="E923" t="s">
        <v>5996</v>
      </c>
      <c r="F923" s="40">
        <v>1</v>
      </c>
    </row>
    <row r="924" spans="4:6" x14ac:dyDescent="0.25">
      <c r="D924" t="s">
        <v>5999</v>
      </c>
      <c r="E924" t="s">
        <v>6000</v>
      </c>
      <c r="F924" s="40">
        <v>1</v>
      </c>
    </row>
    <row r="925" spans="4:6" x14ac:dyDescent="0.25">
      <c r="D925" t="s">
        <v>6003</v>
      </c>
      <c r="E925" t="s">
        <v>6004</v>
      </c>
      <c r="F925" s="40">
        <v>1</v>
      </c>
    </row>
    <row r="926" spans="4:6" x14ac:dyDescent="0.25">
      <c r="D926" t="s">
        <v>6007</v>
      </c>
      <c r="E926" t="s">
        <v>6008</v>
      </c>
      <c r="F926" s="40">
        <v>1</v>
      </c>
    </row>
    <row r="927" spans="4:6" x14ac:dyDescent="0.25">
      <c r="D927" t="s">
        <v>6011</v>
      </c>
      <c r="E927" t="s">
        <v>6012</v>
      </c>
      <c r="F927" s="40">
        <v>1</v>
      </c>
    </row>
    <row r="928" spans="4:6" x14ac:dyDescent="0.25">
      <c r="D928" t="s">
        <v>6015</v>
      </c>
      <c r="E928" t="s">
        <v>6016</v>
      </c>
      <c r="F928" s="40">
        <v>1</v>
      </c>
    </row>
    <row r="929" spans="4:6" x14ac:dyDescent="0.25">
      <c r="D929" t="s">
        <v>6019</v>
      </c>
      <c r="E929" t="s">
        <v>4112</v>
      </c>
      <c r="F929" s="40">
        <v>1</v>
      </c>
    </row>
    <row r="930" spans="4:6" x14ac:dyDescent="0.25">
      <c r="D930" t="s">
        <v>6022</v>
      </c>
      <c r="E930" t="s">
        <v>6023</v>
      </c>
      <c r="F930" s="40">
        <v>1</v>
      </c>
    </row>
    <row r="931" spans="4:6" x14ac:dyDescent="0.25">
      <c r="D931" t="s">
        <v>6026</v>
      </c>
      <c r="E931" t="s">
        <v>4120</v>
      </c>
      <c r="F931" s="40">
        <v>1</v>
      </c>
    </row>
    <row r="932" spans="4:6" x14ac:dyDescent="0.25">
      <c r="D932" t="s">
        <v>6029</v>
      </c>
      <c r="E932" t="s">
        <v>6030</v>
      </c>
      <c r="F932" s="40">
        <v>5</v>
      </c>
    </row>
    <row r="933" spans="4:6" x14ac:dyDescent="0.25">
      <c r="D933" t="s">
        <v>6033</v>
      </c>
      <c r="E933" t="s">
        <v>6034</v>
      </c>
      <c r="F933" s="40">
        <v>4</v>
      </c>
    </row>
    <row r="934" spans="4:6" x14ac:dyDescent="0.25">
      <c r="D934" t="s">
        <v>6037</v>
      </c>
      <c r="E934" t="s">
        <v>6038</v>
      </c>
      <c r="F934" s="40">
        <v>1</v>
      </c>
    </row>
    <row r="935" spans="4:6" x14ac:dyDescent="0.25">
      <c r="D935" t="s">
        <v>6041</v>
      </c>
      <c r="E935" t="s">
        <v>6042</v>
      </c>
      <c r="F935" s="40">
        <v>1</v>
      </c>
    </row>
    <row r="936" spans="4:6" x14ac:dyDescent="0.25">
      <c r="D936" t="s">
        <v>6045</v>
      </c>
      <c r="E936" t="s">
        <v>6046</v>
      </c>
      <c r="F936" s="40">
        <v>1</v>
      </c>
    </row>
    <row r="937" spans="4:6" x14ac:dyDescent="0.25">
      <c r="D937" t="s">
        <v>6049</v>
      </c>
      <c r="E937" t="s">
        <v>6050</v>
      </c>
      <c r="F937" s="40">
        <v>1</v>
      </c>
    </row>
    <row r="938" spans="4:6" x14ac:dyDescent="0.25">
      <c r="D938" t="s">
        <v>6053</v>
      </c>
      <c r="E938" t="s">
        <v>6054</v>
      </c>
      <c r="F938" s="40">
        <v>1</v>
      </c>
    </row>
    <row r="939" spans="4:6" x14ac:dyDescent="0.25">
      <c r="D939" t="s">
        <v>6057</v>
      </c>
      <c r="E939" t="s">
        <v>6058</v>
      </c>
      <c r="F939" s="40">
        <v>1</v>
      </c>
    </row>
    <row r="940" spans="4:6" x14ac:dyDescent="0.25">
      <c r="D940" t="s">
        <v>6061</v>
      </c>
      <c r="E940" t="s">
        <v>4160</v>
      </c>
      <c r="F940" s="40">
        <v>2</v>
      </c>
    </row>
    <row r="941" spans="4:6" x14ac:dyDescent="0.25">
      <c r="D941" t="s">
        <v>6064</v>
      </c>
      <c r="E941" t="s">
        <v>4164</v>
      </c>
      <c r="F941" s="40">
        <v>2</v>
      </c>
    </row>
    <row r="942" spans="4:6" x14ac:dyDescent="0.25">
      <c r="D942" t="s">
        <v>6067</v>
      </c>
      <c r="E942" t="s">
        <v>4168</v>
      </c>
      <c r="F942" s="40">
        <v>2</v>
      </c>
    </row>
    <row r="943" spans="4:6" x14ac:dyDescent="0.25">
      <c r="D943" t="s">
        <v>6070</v>
      </c>
      <c r="E943" t="s">
        <v>4172</v>
      </c>
      <c r="F943" s="40">
        <v>2</v>
      </c>
    </row>
    <row r="944" spans="4:6" x14ac:dyDescent="0.25">
      <c r="D944" t="s">
        <v>6073</v>
      </c>
      <c r="E944" t="s">
        <v>4176</v>
      </c>
      <c r="F944" s="40">
        <v>2</v>
      </c>
    </row>
    <row r="945" spans="2:6" x14ac:dyDescent="0.25">
      <c r="D945" t="s">
        <v>6076</v>
      </c>
      <c r="E945" t="s">
        <v>6077</v>
      </c>
      <c r="F945" s="40">
        <v>1</v>
      </c>
    </row>
    <row r="946" spans="2:6" x14ac:dyDescent="0.25">
      <c r="D946" t="s">
        <v>6080</v>
      </c>
      <c r="E946" t="s">
        <v>6081</v>
      </c>
      <c r="F946" s="40">
        <v>1</v>
      </c>
    </row>
    <row r="947" spans="2:6" x14ac:dyDescent="0.25">
      <c r="D947" t="s">
        <v>6084</v>
      </c>
      <c r="E947" t="s">
        <v>6085</v>
      </c>
      <c r="F947" s="40">
        <v>1</v>
      </c>
    </row>
    <row r="948" spans="2:6" x14ac:dyDescent="0.25">
      <c r="D948" t="s">
        <v>6088</v>
      </c>
      <c r="E948" t="s">
        <v>6089</v>
      </c>
      <c r="F948" s="40">
        <v>1</v>
      </c>
    </row>
    <row r="949" spans="2:6" x14ac:dyDescent="0.25">
      <c r="D949" t="s">
        <v>6092</v>
      </c>
      <c r="E949" t="s">
        <v>6093</v>
      </c>
      <c r="F949" s="40">
        <v>1</v>
      </c>
    </row>
    <row r="950" spans="2:6" x14ac:dyDescent="0.25">
      <c r="D950" t="s">
        <v>6096</v>
      </c>
      <c r="E950" t="s">
        <v>6097</v>
      </c>
      <c r="F950" s="40">
        <v>1</v>
      </c>
    </row>
    <row r="951" spans="2:6" x14ac:dyDescent="0.25">
      <c r="D951" t="s">
        <v>6100</v>
      </c>
      <c r="E951" t="s">
        <v>6101</v>
      </c>
      <c r="F951" s="40">
        <v>1</v>
      </c>
    </row>
    <row r="952" spans="2:6" x14ac:dyDescent="0.25">
      <c r="B952" t="s">
        <v>7664</v>
      </c>
      <c r="C952" t="s">
        <v>6985</v>
      </c>
      <c r="D952" t="s">
        <v>6961</v>
      </c>
      <c r="E952" t="s">
        <v>7004</v>
      </c>
      <c r="F952" s="40">
        <v>1</v>
      </c>
    </row>
    <row r="953" spans="2:6" x14ac:dyDescent="0.25">
      <c r="D953" t="s">
        <v>6984</v>
      </c>
      <c r="E953" t="s">
        <v>6985</v>
      </c>
      <c r="F953" s="40">
        <v>1</v>
      </c>
    </row>
    <row r="954" spans="2:6" x14ac:dyDescent="0.25">
      <c r="D954" t="s">
        <v>6988</v>
      </c>
      <c r="E954" t="s">
        <v>6989</v>
      </c>
      <c r="F954" s="40">
        <v>1</v>
      </c>
    </row>
    <row r="955" spans="2:6" x14ac:dyDescent="0.25">
      <c r="D955" t="s">
        <v>6992</v>
      </c>
      <c r="E955" t="s">
        <v>6993</v>
      </c>
      <c r="F955" s="40">
        <v>1</v>
      </c>
    </row>
    <row r="956" spans="2:6" x14ac:dyDescent="0.25">
      <c r="D956" t="s">
        <v>6996</v>
      </c>
      <c r="E956" t="s">
        <v>6997</v>
      </c>
      <c r="F956" s="40">
        <v>1</v>
      </c>
    </row>
    <row r="957" spans="2:6" x14ac:dyDescent="0.25">
      <c r="D957" t="s">
        <v>7000</v>
      </c>
      <c r="E957" t="s">
        <v>7001</v>
      </c>
      <c r="F957" s="40">
        <v>1</v>
      </c>
    </row>
    <row r="958" spans="2:6" x14ac:dyDescent="0.25">
      <c r="C958" t="s">
        <v>6949</v>
      </c>
      <c r="D958" t="s">
        <v>6948</v>
      </c>
      <c r="E958" t="s">
        <v>6949</v>
      </c>
      <c r="F958" s="40">
        <v>1</v>
      </c>
    </row>
    <row r="959" spans="2:6" x14ac:dyDescent="0.25">
      <c r="D959" t="s">
        <v>6961</v>
      </c>
      <c r="E959" t="s">
        <v>6962</v>
      </c>
      <c r="F959" s="40">
        <v>1</v>
      </c>
    </row>
    <row r="960" spans="2:6" x14ac:dyDescent="0.25">
      <c r="C960" t="s">
        <v>7952</v>
      </c>
      <c r="D960" t="s">
        <v>6952</v>
      </c>
      <c r="E960" t="s">
        <v>6953</v>
      </c>
      <c r="F960" s="40">
        <v>2</v>
      </c>
    </row>
    <row r="961" spans="2:6" x14ac:dyDescent="0.25">
      <c r="C961" t="s">
        <v>6969</v>
      </c>
      <c r="D961" t="s">
        <v>6968</v>
      </c>
      <c r="E961" t="s">
        <v>6969</v>
      </c>
      <c r="F961" s="40">
        <v>1</v>
      </c>
    </row>
    <row r="962" spans="2:6" x14ac:dyDescent="0.25">
      <c r="D962" t="s">
        <v>6972</v>
      </c>
      <c r="E962" t="s">
        <v>6973</v>
      </c>
      <c r="F962" s="40">
        <v>1</v>
      </c>
    </row>
    <row r="963" spans="2:6" x14ac:dyDescent="0.25">
      <c r="C963" t="s">
        <v>7022</v>
      </c>
      <c r="D963" t="s">
        <v>7021</v>
      </c>
      <c r="E963" t="s">
        <v>7022</v>
      </c>
      <c r="F963" s="40">
        <v>1</v>
      </c>
    </row>
    <row r="964" spans="2:6" x14ac:dyDescent="0.25">
      <c r="D964" t="s">
        <v>7025</v>
      </c>
      <c r="E964" t="s">
        <v>7026</v>
      </c>
      <c r="F964" s="40">
        <v>1</v>
      </c>
    </row>
    <row r="965" spans="2:6" x14ac:dyDescent="0.25">
      <c r="C965" t="s">
        <v>7962</v>
      </c>
      <c r="D965" t="s">
        <v>6941</v>
      </c>
      <c r="E965" t="s">
        <v>6942</v>
      </c>
      <c r="F965" s="40">
        <v>1</v>
      </c>
    </row>
    <row r="966" spans="2:6" x14ac:dyDescent="0.25">
      <c r="D966" t="s">
        <v>6944</v>
      </c>
      <c r="E966" t="s">
        <v>6945</v>
      </c>
      <c r="F966" s="40">
        <v>1</v>
      </c>
    </row>
    <row r="967" spans="2:6" x14ac:dyDescent="0.25">
      <c r="B967" t="s">
        <v>7625</v>
      </c>
      <c r="C967" t="s">
        <v>6471</v>
      </c>
      <c r="D967" t="s">
        <v>6470</v>
      </c>
      <c r="E967" t="s">
        <v>6471</v>
      </c>
      <c r="F967" s="40">
        <v>1</v>
      </c>
    </row>
    <row r="968" spans="2:6" x14ac:dyDescent="0.25">
      <c r="C968" t="s">
        <v>7962</v>
      </c>
      <c r="D968" t="s">
        <v>6455</v>
      </c>
      <c r="E968" t="s">
        <v>6456</v>
      </c>
      <c r="F968" s="40">
        <v>1</v>
      </c>
    </row>
    <row r="969" spans="2:6" x14ac:dyDescent="0.25">
      <c r="D969" t="s">
        <v>6491</v>
      </c>
      <c r="E969" t="s">
        <v>6492</v>
      </c>
      <c r="F969" s="40">
        <v>1</v>
      </c>
    </row>
    <row r="970" spans="2:6" x14ac:dyDescent="0.25">
      <c r="D970" t="s">
        <v>6458</v>
      </c>
      <c r="E970" t="s">
        <v>6459</v>
      </c>
      <c r="F970" s="40">
        <v>1</v>
      </c>
    </row>
    <row r="971" spans="2:6" x14ac:dyDescent="0.25">
      <c r="D971" t="s">
        <v>6466</v>
      </c>
      <c r="E971" t="s">
        <v>6467</v>
      </c>
      <c r="F971" s="40">
        <v>1</v>
      </c>
    </row>
    <row r="972" spans="2:6" x14ac:dyDescent="0.25">
      <c r="D972" t="s">
        <v>6484</v>
      </c>
      <c r="E972" t="s">
        <v>6485</v>
      </c>
      <c r="F972" s="40">
        <v>1</v>
      </c>
    </row>
    <row r="973" spans="2:6" x14ac:dyDescent="0.25">
      <c r="D973" t="s">
        <v>6480</v>
      </c>
      <c r="E973" t="s">
        <v>6481</v>
      </c>
      <c r="F973" s="40">
        <v>1</v>
      </c>
    </row>
    <row r="974" spans="2:6" x14ac:dyDescent="0.25">
      <c r="D974" t="s">
        <v>6476</v>
      </c>
      <c r="E974" t="s">
        <v>6477</v>
      </c>
      <c r="F974" s="40">
        <v>1</v>
      </c>
    </row>
    <row r="975" spans="2:6" x14ac:dyDescent="0.25">
      <c r="D975" t="s">
        <v>6462</v>
      </c>
      <c r="E975" t="s">
        <v>6463</v>
      </c>
      <c r="F975" s="40">
        <v>1</v>
      </c>
    </row>
    <row r="976" spans="2:6" x14ac:dyDescent="0.25">
      <c r="B976" t="s">
        <v>7628</v>
      </c>
      <c r="C976" t="s">
        <v>4276</v>
      </c>
      <c r="D976" t="s">
        <v>4275</v>
      </c>
      <c r="E976" t="s">
        <v>4276</v>
      </c>
      <c r="F976" s="40">
        <v>1</v>
      </c>
    </row>
    <row r="977" spans="2:6" x14ac:dyDescent="0.25">
      <c r="D977" t="s">
        <v>1516</v>
      </c>
      <c r="E977" t="s">
        <v>1517</v>
      </c>
      <c r="F977" s="40">
        <v>1</v>
      </c>
    </row>
    <row r="978" spans="2:6" x14ac:dyDescent="0.25">
      <c r="C978" t="s">
        <v>7962</v>
      </c>
      <c r="D978" t="s">
        <v>6538</v>
      </c>
      <c r="E978" t="s">
        <v>6539</v>
      </c>
      <c r="F978" s="40">
        <v>1</v>
      </c>
    </row>
    <row r="979" spans="2:6" x14ac:dyDescent="0.25">
      <c r="D979" t="s">
        <v>6517</v>
      </c>
      <c r="E979" t="s">
        <v>6518</v>
      </c>
      <c r="F979" s="40">
        <v>1</v>
      </c>
    </row>
    <row r="980" spans="2:6" x14ac:dyDescent="0.25">
      <c r="D980" t="s">
        <v>6520</v>
      </c>
      <c r="E980" t="s">
        <v>6521</v>
      </c>
      <c r="F980" s="40">
        <v>1</v>
      </c>
    </row>
    <row r="981" spans="2:6" x14ac:dyDescent="0.25">
      <c r="D981" t="s">
        <v>6524</v>
      </c>
      <c r="E981" t="s">
        <v>6525</v>
      </c>
      <c r="F981" s="40">
        <v>1</v>
      </c>
    </row>
    <row r="982" spans="2:6" x14ac:dyDescent="0.25">
      <c r="D982" t="s">
        <v>6528</v>
      </c>
      <c r="E982" t="s">
        <v>6529</v>
      </c>
      <c r="F982" s="40">
        <v>1</v>
      </c>
    </row>
    <row r="983" spans="2:6" x14ac:dyDescent="0.25">
      <c r="B983" t="s">
        <v>7612</v>
      </c>
      <c r="C983" t="s">
        <v>6299</v>
      </c>
      <c r="D983" t="s">
        <v>6297</v>
      </c>
      <c r="E983" t="s">
        <v>6298</v>
      </c>
      <c r="F983" s="40">
        <v>1</v>
      </c>
    </row>
    <row r="984" spans="2:6" x14ac:dyDescent="0.25">
      <c r="C984" t="s">
        <v>7962</v>
      </c>
      <c r="D984" t="s">
        <v>6242</v>
      </c>
      <c r="E984" t="s">
        <v>6243</v>
      </c>
      <c r="F984" s="40">
        <v>1</v>
      </c>
    </row>
    <row r="985" spans="2:6" x14ac:dyDescent="0.25">
      <c r="D985" t="s">
        <v>6245</v>
      </c>
      <c r="E985" t="s">
        <v>6246</v>
      </c>
      <c r="F985" s="40">
        <v>1</v>
      </c>
    </row>
    <row r="986" spans="2:6" x14ac:dyDescent="0.25">
      <c r="D986" t="s">
        <v>6249</v>
      </c>
      <c r="E986" t="s">
        <v>6250</v>
      </c>
      <c r="F986" s="40">
        <v>1</v>
      </c>
    </row>
    <row r="987" spans="2:6" x14ac:dyDescent="0.25">
      <c r="D987" t="s">
        <v>6253</v>
      </c>
      <c r="E987" t="s">
        <v>6254</v>
      </c>
      <c r="F987" s="40">
        <v>1</v>
      </c>
    </row>
    <row r="988" spans="2:6" x14ac:dyDescent="0.25">
      <c r="D988" t="s">
        <v>6257</v>
      </c>
      <c r="E988" t="s">
        <v>6258</v>
      </c>
      <c r="F988" s="40">
        <v>1</v>
      </c>
    </row>
    <row r="989" spans="2:6" x14ac:dyDescent="0.25">
      <c r="D989" t="s">
        <v>6261</v>
      </c>
      <c r="E989" t="s">
        <v>6262</v>
      </c>
      <c r="F989" s="40">
        <v>1</v>
      </c>
    </row>
    <row r="990" spans="2:6" x14ac:dyDescent="0.25">
      <c r="D990" t="s">
        <v>6265</v>
      </c>
      <c r="E990" t="s">
        <v>6266</v>
      </c>
      <c r="F990" s="40">
        <v>1</v>
      </c>
    </row>
    <row r="991" spans="2:6" x14ac:dyDescent="0.25">
      <c r="D991" t="s">
        <v>6269</v>
      </c>
      <c r="E991" t="s">
        <v>6270</v>
      </c>
      <c r="F991" s="40">
        <v>1</v>
      </c>
    </row>
    <row r="992" spans="2:6" x14ac:dyDescent="0.25">
      <c r="D992" t="s">
        <v>6273</v>
      </c>
      <c r="E992" t="s">
        <v>6274</v>
      </c>
      <c r="F992" s="40">
        <v>1</v>
      </c>
    </row>
    <row r="993" spans="2:6" x14ac:dyDescent="0.25">
      <c r="D993" t="s">
        <v>6277</v>
      </c>
      <c r="E993" t="s">
        <v>6278</v>
      </c>
      <c r="F993" s="40">
        <v>1</v>
      </c>
    </row>
    <row r="994" spans="2:6" x14ac:dyDescent="0.25">
      <c r="D994" t="s">
        <v>6281</v>
      </c>
      <c r="E994" t="s">
        <v>6282</v>
      </c>
      <c r="F994" s="40">
        <v>1</v>
      </c>
    </row>
    <row r="995" spans="2:6" x14ac:dyDescent="0.25">
      <c r="D995" t="s">
        <v>6285</v>
      </c>
      <c r="E995" t="s">
        <v>6286</v>
      </c>
      <c r="F995" s="40">
        <v>1</v>
      </c>
    </row>
    <row r="996" spans="2:6" x14ac:dyDescent="0.25">
      <c r="D996" t="s">
        <v>6293</v>
      </c>
      <c r="E996" t="s">
        <v>6294</v>
      </c>
      <c r="F996" s="40">
        <v>1</v>
      </c>
    </row>
    <row r="997" spans="2:6" x14ac:dyDescent="0.25">
      <c r="D997" t="s">
        <v>6317</v>
      </c>
      <c r="E997" t="s">
        <v>6318</v>
      </c>
      <c r="F997" s="40">
        <v>2</v>
      </c>
    </row>
    <row r="998" spans="2:6" x14ac:dyDescent="0.25">
      <c r="D998" t="s">
        <v>316</v>
      </c>
      <c r="E998" t="s">
        <v>317</v>
      </c>
      <c r="F998" s="40">
        <v>1</v>
      </c>
    </row>
    <row r="999" spans="2:6" x14ac:dyDescent="0.25">
      <c r="B999" t="s">
        <v>7621</v>
      </c>
      <c r="C999" t="s">
        <v>7962</v>
      </c>
      <c r="D999" t="s">
        <v>5903</v>
      </c>
      <c r="E999" t="s">
        <v>5904</v>
      </c>
      <c r="F999" s="40">
        <v>1</v>
      </c>
    </row>
    <row r="1000" spans="2:6" x14ac:dyDescent="0.25">
      <c r="D1000" t="s">
        <v>6339</v>
      </c>
      <c r="E1000" t="s">
        <v>6340</v>
      </c>
      <c r="F1000" s="40">
        <v>1</v>
      </c>
    </row>
    <row r="1001" spans="2:6" x14ac:dyDescent="0.25">
      <c r="D1001" t="s">
        <v>6345</v>
      </c>
      <c r="E1001" t="s">
        <v>6346</v>
      </c>
      <c r="F1001" s="40">
        <v>1</v>
      </c>
    </row>
    <row r="1002" spans="2:6" x14ac:dyDescent="0.25">
      <c r="D1002" t="s">
        <v>6349</v>
      </c>
      <c r="E1002" t="s">
        <v>6350</v>
      </c>
      <c r="F1002" s="40">
        <v>1</v>
      </c>
    </row>
    <row r="1003" spans="2:6" x14ac:dyDescent="0.25">
      <c r="D1003" t="s">
        <v>6353</v>
      </c>
      <c r="E1003" t="s">
        <v>6354</v>
      </c>
      <c r="F1003" s="40">
        <v>1</v>
      </c>
    </row>
    <row r="1004" spans="2:6" x14ac:dyDescent="0.25">
      <c r="D1004" t="s">
        <v>5879</v>
      </c>
      <c r="E1004" t="s">
        <v>5880</v>
      </c>
      <c r="F1004" s="40">
        <v>1</v>
      </c>
    </row>
    <row r="1005" spans="2:6" x14ac:dyDescent="0.25">
      <c r="D1005" t="s">
        <v>5883</v>
      </c>
      <c r="E1005" t="s">
        <v>5884</v>
      </c>
      <c r="F1005" s="40">
        <v>1</v>
      </c>
    </row>
    <row r="1006" spans="2:6" x14ac:dyDescent="0.25">
      <c r="D1006" t="s">
        <v>5887</v>
      </c>
      <c r="E1006" t="s">
        <v>5888</v>
      </c>
      <c r="F1006" s="40">
        <v>1</v>
      </c>
    </row>
    <row r="1007" spans="2:6" x14ac:dyDescent="0.25">
      <c r="D1007" t="s">
        <v>5907</v>
      </c>
      <c r="E1007" t="s">
        <v>5908</v>
      </c>
      <c r="F1007" s="40">
        <v>1</v>
      </c>
    </row>
    <row r="1008" spans="2:6" x14ac:dyDescent="0.25">
      <c r="D1008" t="s">
        <v>5911</v>
      </c>
      <c r="E1008" t="s">
        <v>5912</v>
      </c>
      <c r="F1008" s="40">
        <v>1</v>
      </c>
    </row>
    <row r="1009" spans="2:6" x14ac:dyDescent="0.25">
      <c r="D1009" t="s">
        <v>5915</v>
      </c>
      <c r="E1009" t="s">
        <v>5916</v>
      </c>
      <c r="F1009" s="40">
        <v>1</v>
      </c>
    </row>
    <row r="1010" spans="2:6" x14ac:dyDescent="0.25">
      <c r="B1010" t="s">
        <v>7622</v>
      </c>
      <c r="C1010" t="s">
        <v>7962</v>
      </c>
      <c r="D1010" t="s">
        <v>6363</v>
      </c>
      <c r="E1010" t="s">
        <v>6364</v>
      </c>
      <c r="F1010" s="40">
        <v>1</v>
      </c>
    </row>
    <row r="1011" spans="2:6" x14ac:dyDescent="0.25">
      <c r="D1011" t="s">
        <v>6366</v>
      </c>
      <c r="E1011" t="s">
        <v>6367</v>
      </c>
      <c r="F1011" s="40">
        <v>1</v>
      </c>
    </row>
    <row r="1012" spans="2:6" x14ac:dyDescent="0.25">
      <c r="D1012" t="s">
        <v>6370</v>
      </c>
      <c r="E1012" t="s">
        <v>6371</v>
      </c>
      <c r="F1012" s="40">
        <v>1</v>
      </c>
    </row>
    <row r="1013" spans="2:6" x14ac:dyDescent="0.25">
      <c r="B1013" t="s">
        <v>7623</v>
      </c>
      <c r="C1013" t="s">
        <v>7962</v>
      </c>
      <c r="D1013" t="s">
        <v>6390</v>
      </c>
      <c r="E1013" t="s">
        <v>6391</v>
      </c>
      <c r="F1013" s="40">
        <v>1</v>
      </c>
    </row>
    <row r="1014" spans="2:6" x14ac:dyDescent="0.25">
      <c r="D1014" t="s">
        <v>6374</v>
      </c>
      <c r="E1014" t="s">
        <v>6375</v>
      </c>
      <c r="F1014" s="40">
        <v>1</v>
      </c>
    </row>
    <row r="1015" spans="2:6" x14ac:dyDescent="0.25">
      <c r="D1015" t="s">
        <v>6377</v>
      </c>
      <c r="E1015" t="s">
        <v>6378</v>
      </c>
      <c r="F1015" s="40">
        <v>1</v>
      </c>
    </row>
    <row r="1016" spans="2:6" x14ac:dyDescent="0.25">
      <c r="D1016" t="s">
        <v>6381</v>
      </c>
      <c r="E1016" t="s">
        <v>6382</v>
      </c>
      <c r="F1016" s="40">
        <v>1</v>
      </c>
    </row>
    <row r="1017" spans="2:6" x14ac:dyDescent="0.25">
      <c r="D1017" t="s">
        <v>6385</v>
      </c>
      <c r="E1017" t="s">
        <v>6386</v>
      </c>
      <c r="F1017" s="40">
        <v>1</v>
      </c>
    </row>
    <row r="1018" spans="2:6" x14ac:dyDescent="0.25">
      <c r="B1018" t="s">
        <v>7624</v>
      </c>
      <c r="C1018" t="s">
        <v>7962</v>
      </c>
      <c r="D1018" t="s">
        <v>6394</v>
      </c>
      <c r="E1018" t="s">
        <v>6395</v>
      </c>
      <c r="F1018" s="40">
        <v>1</v>
      </c>
    </row>
    <row r="1019" spans="2:6" x14ac:dyDescent="0.25">
      <c r="D1019" t="s">
        <v>6397</v>
      </c>
      <c r="E1019" t="s">
        <v>6398</v>
      </c>
      <c r="F1019" s="40">
        <v>1</v>
      </c>
    </row>
    <row r="1020" spans="2:6" x14ac:dyDescent="0.25">
      <c r="D1020" t="s">
        <v>6401</v>
      </c>
      <c r="E1020" t="s">
        <v>6402</v>
      </c>
      <c r="F1020" s="40">
        <v>1</v>
      </c>
    </row>
    <row r="1021" spans="2:6" x14ac:dyDescent="0.25">
      <c r="D1021" t="s">
        <v>6405</v>
      </c>
      <c r="E1021" t="s">
        <v>6406</v>
      </c>
      <c r="F1021" s="40">
        <v>12</v>
      </c>
    </row>
    <row r="1022" spans="2:6" x14ac:dyDescent="0.25">
      <c r="D1022" t="s">
        <v>6409</v>
      </c>
      <c r="E1022" t="s">
        <v>6410</v>
      </c>
      <c r="F1022" s="40">
        <v>1</v>
      </c>
    </row>
    <row r="1023" spans="2:6" x14ac:dyDescent="0.25">
      <c r="D1023" t="s">
        <v>6413</v>
      </c>
      <c r="E1023" t="s">
        <v>6414</v>
      </c>
      <c r="F1023" s="40">
        <v>1</v>
      </c>
    </row>
    <row r="1024" spans="2:6" x14ac:dyDescent="0.25">
      <c r="D1024" t="s">
        <v>6417</v>
      </c>
      <c r="E1024" t="s">
        <v>6418</v>
      </c>
      <c r="F1024" s="40">
        <v>1</v>
      </c>
    </row>
    <row r="1025" spans="2:6" x14ac:dyDescent="0.25">
      <c r="D1025" t="s">
        <v>6421</v>
      </c>
      <c r="E1025" t="s">
        <v>6422</v>
      </c>
      <c r="F1025" s="40">
        <v>1</v>
      </c>
    </row>
    <row r="1026" spans="2:6" x14ac:dyDescent="0.25">
      <c r="D1026" t="s">
        <v>6425</v>
      </c>
      <c r="E1026" t="s">
        <v>6426</v>
      </c>
      <c r="F1026" s="40">
        <v>1</v>
      </c>
    </row>
    <row r="1027" spans="2:6" x14ac:dyDescent="0.25">
      <c r="D1027" t="s">
        <v>6429</v>
      </c>
      <c r="E1027" t="s">
        <v>6430</v>
      </c>
      <c r="F1027" s="40">
        <v>1</v>
      </c>
    </row>
    <row r="1028" spans="2:6" x14ac:dyDescent="0.25">
      <c r="D1028" t="s">
        <v>6433</v>
      </c>
      <c r="E1028" t="s">
        <v>6434</v>
      </c>
      <c r="F1028" s="40">
        <v>1</v>
      </c>
    </row>
    <row r="1029" spans="2:6" x14ac:dyDescent="0.25">
      <c r="D1029" t="s">
        <v>6437</v>
      </c>
      <c r="E1029" t="s">
        <v>6438</v>
      </c>
      <c r="F1029" s="40">
        <v>1</v>
      </c>
    </row>
    <row r="1030" spans="2:6" x14ac:dyDescent="0.25">
      <c r="D1030" t="s">
        <v>6441</v>
      </c>
      <c r="E1030" t="s">
        <v>6442</v>
      </c>
      <c r="F1030" s="40">
        <v>1</v>
      </c>
    </row>
    <row r="1031" spans="2:6" x14ac:dyDescent="0.25">
      <c r="D1031" t="s">
        <v>6445</v>
      </c>
      <c r="E1031" t="s">
        <v>6446</v>
      </c>
      <c r="F1031" s="40">
        <v>3</v>
      </c>
    </row>
    <row r="1032" spans="2:6" x14ac:dyDescent="0.25">
      <c r="D1032" t="s">
        <v>6449</v>
      </c>
      <c r="E1032" t="s">
        <v>6450</v>
      </c>
      <c r="F1032" s="40">
        <v>12</v>
      </c>
    </row>
    <row r="1033" spans="2:6" x14ac:dyDescent="0.25">
      <c r="B1033" t="s">
        <v>7604</v>
      </c>
      <c r="C1033" t="s">
        <v>5941</v>
      </c>
      <c r="D1033" t="s">
        <v>5940</v>
      </c>
      <c r="E1033" t="s">
        <v>5941</v>
      </c>
      <c r="F1033" s="40">
        <v>1</v>
      </c>
    </row>
    <row r="1034" spans="2:6" x14ac:dyDescent="0.25">
      <c r="D1034" t="s">
        <v>5944</v>
      </c>
      <c r="E1034" t="s">
        <v>5945</v>
      </c>
      <c r="F1034" s="40">
        <v>1</v>
      </c>
    </row>
    <row r="1035" spans="2:6" x14ac:dyDescent="0.25">
      <c r="C1035" t="s">
        <v>1520</v>
      </c>
      <c r="D1035" t="s">
        <v>1519</v>
      </c>
      <c r="E1035" t="s">
        <v>1520</v>
      </c>
      <c r="F1035" s="40">
        <v>2</v>
      </c>
    </row>
    <row r="1036" spans="2:6" x14ac:dyDescent="0.25">
      <c r="D1036" t="s">
        <v>1525</v>
      </c>
      <c r="E1036" t="s">
        <v>1526</v>
      </c>
      <c r="F1036" s="40">
        <v>1</v>
      </c>
    </row>
    <row r="1037" spans="2:6" x14ac:dyDescent="0.25">
      <c r="C1037" t="s">
        <v>1511</v>
      </c>
      <c r="D1037" t="s">
        <v>1516</v>
      </c>
      <c r="E1037" t="s">
        <v>1517</v>
      </c>
      <c r="F1037" s="40">
        <v>1</v>
      </c>
    </row>
    <row r="1038" spans="2:6" x14ac:dyDescent="0.25">
      <c r="D1038" t="s">
        <v>1510</v>
      </c>
      <c r="E1038" t="s">
        <v>1511</v>
      </c>
      <c r="F1038" s="40">
        <v>1</v>
      </c>
    </row>
    <row r="1039" spans="2:6" x14ac:dyDescent="0.25">
      <c r="C1039" t="s">
        <v>5876</v>
      </c>
      <c r="D1039" t="s">
        <v>5903</v>
      </c>
      <c r="E1039" t="s">
        <v>5904</v>
      </c>
      <c r="F1039" s="40">
        <v>1</v>
      </c>
    </row>
    <row r="1040" spans="2:6" x14ac:dyDescent="0.25">
      <c r="D1040" t="s">
        <v>5875</v>
      </c>
      <c r="E1040" t="s">
        <v>5876</v>
      </c>
      <c r="F1040" s="40">
        <v>1</v>
      </c>
    </row>
    <row r="1041" spans="2:6" x14ac:dyDescent="0.25">
      <c r="D1041" t="s">
        <v>5879</v>
      </c>
      <c r="E1041" t="s">
        <v>5880</v>
      </c>
      <c r="F1041" s="40">
        <v>1</v>
      </c>
    </row>
    <row r="1042" spans="2:6" x14ac:dyDescent="0.25">
      <c r="D1042" t="s">
        <v>5883</v>
      </c>
      <c r="E1042" t="s">
        <v>5884</v>
      </c>
      <c r="F1042" s="40">
        <v>1</v>
      </c>
    </row>
    <row r="1043" spans="2:6" x14ac:dyDescent="0.25">
      <c r="D1043" t="s">
        <v>5887</v>
      </c>
      <c r="E1043" t="s">
        <v>5888</v>
      </c>
      <c r="F1043" s="40">
        <v>1</v>
      </c>
    </row>
    <row r="1044" spans="2:6" x14ac:dyDescent="0.25">
      <c r="D1044" t="s">
        <v>5891</v>
      </c>
      <c r="E1044" t="s">
        <v>5892</v>
      </c>
      <c r="F1044" s="40">
        <v>1</v>
      </c>
    </row>
    <row r="1045" spans="2:6" x14ac:dyDescent="0.25">
      <c r="D1045" t="s">
        <v>5895</v>
      </c>
      <c r="E1045" t="s">
        <v>5896</v>
      </c>
      <c r="F1045" s="40">
        <v>1</v>
      </c>
    </row>
    <row r="1046" spans="2:6" x14ac:dyDescent="0.25">
      <c r="D1046" t="s">
        <v>5899</v>
      </c>
      <c r="E1046" t="s">
        <v>5900</v>
      </c>
      <c r="F1046" s="40">
        <v>1</v>
      </c>
    </row>
    <row r="1047" spans="2:6" x14ac:dyDescent="0.25">
      <c r="D1047" t="s">
        <v>5907</v>
      </c>
      <c r="E1047" t="s">
        <v>5908</v>
      </c>
      <c r="F1047" s="40">
        <v>1</v>
      </c>
    </row>
    <row r="1048" spans="2:6" x14ac:dyDescent="0.25">
      <c r="D1048" t="s">
        <v>5911</v>
      </c>
      <c r="E1048" t="s">
        <v>5912</v>
      </c>
      <c r="F1048" s="40">
        <v>1</v>
      </c>
    </row>
    <row r="1049" spans="2:6" x14ac:dyDescent="0.25">
      <c r="D1049" t="s">
        <v>5915</v>
      </c>
      <c r="E1049" t="s">
        <v>5916</v>
      </c>
      <c r="F1049" s="40">
        <v>1</v>
      </c>
    </row>
    <row r="1050" spans="2:6" x14ac:dyDescent="0.25">
      <c r="C1050" t="s">
        <v>7962</v>
      </c>
      <c r="D1050" t="s">
        <v>5856</v>
      </c>
      <c r="E1050" t="s">
        <v>5857</v>
      </c>
      <c r="F1050" s="40">
        <v>1</v>
      </c>
    </row>
    <row r="1051" spans="2:6" x14ac:dyDescent="0.25">
      <c r="D1051" t="s">
        <v>5863</v>
      </c>
      <c r="E1051" t="s">
        <v>5864</v>
      </c>
      <c r="F1051" s="40">
        <v>1</v>
      </c>
    </row>
    <row r="1052" spans="2:6" x14ac:dyDescent="0.25">
      <c r="D1052" t="s">
        <v>5867</v>
      </c>
      <c r="E1052" t="s">
        <v>5868</v>
      </c>
      <c r="F1052" s="40">
        <v>1</v>
      </c>
    </row>
    <row r="1053" spans="2:6" x14ac:dyDescent="0.25">
      <c r="D1053" t="s">
        <v>5871</v>
      </c>
      <c r="E1053" t="s">
        <v>5872</v>
      </c>
      <c r="F1053" s="40">
        <v>1</v>
      </c>
    </row>
    <row r="1054" spans="2:6" x14ac:dyDescent="0.25">
      <c r="D1054" t="s">
        <v>5859</v>
      </c>
      <c r="E1054" t="s">
        <v>5860</v>
      </c>
      <c r="F1054" s="40">
        <v>1</v>
      </c>
    </row>
    <row r="1055" spans="2:6" x14ac:dyDescent="0.25">
      <c r="B1055" t="s">
        <v>7648</v>
      </c>
      <c r="C1055" t="s">
        <v>6922</v>
      </c>
      <c r="D1055" t="s">
        <v>6921</v>
      </c>
      <c r="E1055" t="s">
        <v>6922</v>
      </c>
      <c r="F1055" s="40">
        <v>1</v>
      </c>
    </row>
    <row r="1056" spans="2:6" x14ac:dyDescent="0.25">
      <c r="D1056" t="s">
        <v>6934</v>
      </c>
      <c r="E1056" t="s">
        <v>6935</v>
      </c>
      <c r="F1056" s="40">
        <v>1</v>
      </c>
    </row>
    <row r="1057" spans="3:6" x14ac:dyDescent="0.25">
      <c r="D1057" t="s">
        <v>6938</v>
      </c>
      <c r="E1057" t="s">
        <v>6939</v>
      </c>
      <c r="F1057" s="40">
        <v>1</v>
      </c>
    </row>
    <row r="1058" spans="3:6" x14ac:dyDescent="0.25">
      <c r="C1058" t="s">
        <v>6834</v>
      </c>
      <c r="D1058" t="s">
        <v>6833</v>
      </c>
      <c r="E1058" t="s">
        <v>6834</v>
      </c>
      <c r="F1058" s="40">
        <v>1</v>
      </c>
    </row>
    <row r="1059" spans="3:6" x14ac:dyDescent="0.25">
      <c r="D1059" t="s">
        <v>6867</v>
      </c>
      <c r="E1059" t="s">
        <v>6868</v>
      </c>
      <c r="F1059" s="40">
        <v>1</v>
      </c>
    </row>
    <row r="1060" spans="3:6" x14ac:dyDescent="0.25">
      <c r="C1060" t="s">
        <v>7949</v>
      </c>
      <c r="D1060" t="s">
        <v>6847</v>
      </c>
      <c r="E1060" t="s">
        <v>6848</v>
      </c>
      <c r="F1060" s="40">
        <v>1</v>
      </c>
    </row>
    <row r="1061" spans="3:6" x14ac:dyDescent="0.25">
      <c r="D1061" t="s">
        <v>6851</v>
      </c>
      <c r="E1061" t="s">
        <v>6852</v>
      </c>
      <c r="F1061" s="40">
        <v>1</v>
      </c>
    </row>
    <row r="1062" spans="3:6" x14ac:dyDescent="0.25">
      <c r="C1062" t="s">
        <v>7951</v>
      </c>
      <c r="D1062" t="s">
        <v>6879</v>
      </c>
      <c r="E1062" t="s">
        <v>6880</v>
      </c>
      <c r="F1062" s="40">
        <v>1</v>
      </c>
    </row>
    <row r="1063" spans="3:6" x14ac:dyDescent="0.25">
      <c r="D1063" t="s">
        <v>6883</v>
      </c>
      <c r="E1063" t="s">
        <v>6884</v>
      </c>
      <c r="F1063" s="40">
        <v>1</v>
      </c>
    </row>
    <row r="1064" spans="3:6" x14ac:dyDescent="0.25">
      <c r="C1064" t="s">
        <v>7950</v>
      </c>
      <c r="D1064" t="s">
        <v>6857</v>
      </c>
      <c r="E1064" t="s">
        <v>6858</v>
      </c>
      <c r="F1064" s="40">
        <v>1</v>
      </c>
    </row>
    <row r="1065" spans="3:6" x14ac:dyDescent="0.25">
      <c r="D1065" t="s">
        <v>6861</v>
      </c>
      <c r="E1065" t="s">
        <v>6862</v>
      </c>
      <c r="F1065" s="40">
        <v>1</v>
      </c>
    </row>
    <row r="1066" spans="3:6" x14ac:dyDescent="0.25">
      <c r="C1066" t="s">
        <v>7948</v>
      </c>
      <c r="D1066" t="s">
        <v>6836</v>
      </c>
      <c r="E1066" t="s">
        <v>6837</v>
      </c>
      <c r="F1066" s="40">
        <v>1</v>
      </c>
    </row>
    <row r="1067" spans="3:6" x14ac:dyDescent="0.25">
      <c r="D1067" t="s">
        <v>6840</v>
      </c>
      <c r="E1067" t="s">
        <v>6841</v>
      </c>
      <c r="F1067" s="40">
        <v>1</v>
      </c>
    </row>
    <row r="1068" spans="3:6" x14ac:dyDescent="0.25">
      <c r="C1068" t="s">
        <v>4770</v>
      </c>
      <c r="D1068" t="s">
        <v>4769</v>
      </c>
      <c r="E1068" t="s">
        <v>4770</v>
      </c>
      <c r="F1068" s="40">
        <v>1</v>
      </c>
    </row>
    <row r="1069" spans="3:6" x14ac:dyDescent="0.25">
      <c r="D1069" t="s">
        <v>4781</v>
      </c>
      <c r="E1069" t="s">
        <v>4782</v>
      </c>
      <c r="F1069" s="40">
        <v>1</v>
      </c>
    </row>
    <row r="1070" spans="3:6" x14ac:dyDescent="0.25">
      <c r="C1070" t="s">
        <v>1511</v>
      </c>
      <c r="D1070" t="s">
        <v>1516</v>
      </c>
      <c r="E1070" t="s">
        <v>1517</v>
      </c>
      <c r="F1070" s="40">
        <v>1</v>
      </c>
    </row>
    <row r="1071" spans="3:6" x14ac:dyDescent="0.25">
      <c r="D1071" t="s">
        <v>1510</v>
      </c>
      <c r="E1071" t="s">
        <v>1511</v>
      </c>
      <c r="F1071" s="40">
        <v>2</v>
      </c>
    </row>
    <row r="1072" spans="3:6" x14ac:dyDescent="0.25">
      <c r="C1072" t="s">
        <v>7652</v>
      </c>
      <c r="D1072" t="s">
        <v>6817</v>
      </c>
      <c r="E1072" t="s">
        <v>1781</v>
      </c>
      <c r="F1072" s="40">
        <v>1</v>
      </c>
    </row>
    <row r="1073" spans="2:6" x14ac:dyDescent="0.25">
      <c r="D1073" t="s">
        <v>6815</v>
      </c>
      <c r="E1073" t="s">
        <v>1778</v>
      </c>
      <c r="F1073" s="40">
        <v>1</v>
      </c>
    </row>
    <row r="1074" spans="2:6" x14ac:dyDescent="0.25">
      <c r="C1074" t="s">
        <v>7653</v>
      </c>
      <c r="D1074" t="s">
        <v>6824</v>
      </c>
      <c r="E1074" t="s">
        <v>6825</v>
      </c>
      <c r="F1074" s="40">
        <v>1</v>
      </c>
    </row>
    <row r="1075" spans="2:6" x14ac:dyDescent="0.25">
      <c r="D1075" t="s">
        <v>6821</v>
      </c>
      <c r="E1075" t="s">
        <v>6822</v>
      </c>
      <c r="F1075" s="40">
        <v>1</v>
      </c>
    </row>
    <row r="1076" spans="2:6" x14ac:dyDescent="0.25">
      <c r="C1076" t="s">
        <v>7650</v>
      </c>
      <c r="D1076" t="s">
        <v>6808</v>
      </c>
      <c r="E1076" t="s">
        <v>6809</v>
      </c>
      <c r="F1076" s="40">
        <v>1</v>
      </c>
    </row>
    <row r="1077" spans="2:6" x14ac:dyDescent="0.25">
      <c r="D1077" t="s">
        <v>6805</v>
      </c>
      <c r="E1077" t="s">
        <v>6806</v>
      </c>
      <c r="F1077" s="40">
        <v>2</v>
      </c>
    </row>
    <row r="1078" spans="2:6" x14ac:dyDescent="0.25">
      <c r="C1078" t="s">
        <v>7962</v>
      </c>
      <c r="D1078" t="s">
        <v>6758</v>
      </c>
      <c r="E1078" t="s">
        <v>6759</v>
      </c>
      <c r="F1078" s="40">
        <v>1</v>
      </c>
    </row>
    <row r="1079" spans="2:6" x14ac:dyDescent="0.25">
      <c r="D1079" t="s">
        <v>6765</v>
      </c>
      <c r="E1079" t="s">
        <v>6766</v>
      </c>
      <c r="F1079" s="40">
        <v>1</v>
      </c>
    </row>
    <row r="1080" spans="2:6" x14ac:dyDescent="0.25">
      <c r="D1080" t="s">
        <v>6773</v>
      </c>
      <c r="E1080" t="s">
        <v>6774</v>
      </c>
      <c r="F1080" s="40">
        <v>1</v>
      </c>
    </row>
    <row r="1081" spans="2:6" x14ac:dyDescent="0.25">
      <c r="D1081" t="s">
        <v>6769</v>
      </c>
      <c r="E1081" t="s">
        <v>6770</v>
      </c>
      <c r="F1081" s="40">
        <v>1</v>
      </c>
    </row>
    <row r="1082" spans="2:6" x14ac:dyDescent="0.25">
      <c r="D1082" t="s">
        <v>6761</v>
      </c>
      <c r="E1082" t="s">
        <v>6762</v>
      </c>
      <c r="F1082" s="40">
        <v>1</v>
      </c>
    </row>
    <row r="1083" spans="2:6" x14ac:dyDescent="0.25">
      <c r="D1083" t="s">
        <v>6777</v>
      </c>
      <c r="E1083" t="s">
        <v>6778</v>
      </c>
      <c r="F1083" s="40">
        <v>1</v>
      </c>
    </row>
    <row r="1084" spans="2:6" x14ac:dyDescent="0.25">
      <c r="B1084" t="s">
        <v>7610</v>
      </c>
      <c r="C1084" t="s">
        <v>4828</v>
      </c>
      <c r="D1084" t="s">
        <v>1525</v>
      </c>
      <c r="E1084" t="s">
        <v>1526</v>
      </c>
      <c r="F1084" s="40">
        <v>1</v>
      </c>
    </row>
    <row r="1085" spans="2:6" x14ac:dyDescent="0.25">
      <c r="D1085" t="s">
        <v>4827</v>
      </c>
      <c r="E1085" t="s">
        <v>4828</v>
      </c>
      <c r="F1085" s="40">
        <v>1</v>
      </c>
    </row>
    <row r="1086" spans="2:6" x14ac:dyDescent="0.25">
      <c r="C1086" t="s">
        <v>7962</v>
      </c>
      <c r="D1086" t="s">
        <v>6177</v>
      </c>
      <c r="E1086" t="s">
        <v>6178</v>
      </c>
      <c r="F1086" s="40">
        <v>1</v>
      </c>
    </row>
    <row r="1087" spans="2:6" x14ac:dyDescent="0.25">
      <c r="D1087" t="s">
        <v>6184</v>
      </c>
      <c r="E1087" t="s">
        <v>6185</v>
      </c>
      <c r="F1087" s="40">
        <v>1</v>
      </c>
    </row>
    <row r="1088" spans="2:6" x14ac:dyDescent="0.25">
      <c r="D1088" t="s">
        <v>6188</v>
      </c>
      <c r="E1088" t="s">
        <v>6189</v>
      </c>
      <c r="F1088" s="40">
        <v>1</v>
      </c>
    </row>
    <row r="1089" spans="2:6" x14ac:dyDescent="0.25">
      <c r="D1089" t="s">
        <v>6192</v>
      </c>
      <c r="E1089" t="s">
        <v>6193</v>
      </c>
      <c r="F1089" s="40">
        <v>1</v>
      </c>
    </row>
    <row r="1090" spans="2:6" x14ac:dyDescent="0.25">
      <c r="D1090" t="s">
        <v>6180</v>
      </c>
      <c r="E1090" t="s">
        <v>6181</v>
      </c>
      <c r="F1090" s="40">
        <v>1</v>
      </c>
    </row>
    <row r="1091" spans="2:6" x14ac:dyDescent="0.25">
      <c r="B1091" t="s">
        <v>7643</v>
      </c>
      <c r="C1091" t="s">
        <v>6723</v>
      </c>
      <c r="D1091" t="s">
        <v>6726</v>
      </c>
      <c r="E1091" t="s">
        <v>6727</v>
      </c>
      <c r="F1091" s="40">
        <v>1</v>
      </c>
    </row>
    <row r="1092" spans="2:6" x14ac:dyDescent="0.25">
      <c r="C1092" t="s">
        <v>4760</v>
      </c>
      <c r="D1092" t="s">
        <v>4763</v>
      </c>
      <c r="E1092" t="s">
        <v>4764</v>
      </c>
      <c r="F1092" s="40">
        <v>1</v>
      </c>
    </row>
    <row r="1093" spans="2:6" x14ac:dyDescent="0.25">
      <c r="D1093" t="s">
        <v>4759</v>
      </c>
      <c r="E1093" t="s">
        <v>4760</v>
      </c>
      <c r="F1093" s="40">
        <v>1</v>
      </c>
    </row>
    <row r="1094" spans="2:6" x14ac:dyDescent="0.25">
      <c r="C1094" t="s">
        <v>7647</v>
      </c>
      <c r="D1094" t="s">
        <v>6746</v>
      </c>
      <c r="E1094" t="s">
        <v>714</v>
      </c>
      <c r="F1094" s="40">
        <v>1</v>
      </c>
    </row>
    <row r="1095" spans="2:6" x14ac:dyDescent="0.25">
      <c r="D1095" t="s">
        <v>6744</v>
      </c>
      <c r="E1095" t="s">
        <v>711</v>
      </c>
      <c r="F1095" s="40">
        <v>1</v>
      </c>
    </row>
    <row r="1096" spans="2:6" x14ac:dyDescent="0.25">
      <c r="C1096" t="s">
        <v>7517</v>
      </c>
      <c r="D1096" t="s">
        <v>4971</v>
      </c>
      <c r="E1096" t="s">
        <v>714</v>
      </c>
      <c r="F1096" s="40">
        <v>1</v>
      </c>
    </row>
    <row r="1097" spans="2:6" x14ac:dyDescent="0.25">
      <c r="D1097" t="s">
        <v>4969</v>
      </c>
      <c r="E1097" t="s">
        <v>711</v>
      </c>
      <c r="F1097" s="40">
        <v>2</v>
      </c>
    </row>
    <row r="1098" spans="2:6" x14ac:dyDescent="0.25">
      <c r="C1098" t="s">
        <v>7646</v>
      </c>
      <c r="D1098" t="s">
        <v>6740</v>
      </c>
      <c r="E1098" t="s">
        <v>714</v>
      </c>
      <c r="F1098" s="40">
        <v>1</v>
      </c>
    </row>
    <row r="1099" spans="2:6" x14ac:dyDescent="0.25">
      <c r="D1099" t="s">
        <v>6738</v>
      </c>
      <c r="E1099" t="s">
        <v>711</v>
      </c>
      <c r="F1099" s="40">
        <v>2</v>
      </c>
    </row>
    <row r="1100" spans="2:6" x14ac:dyDescent="0.25">
      <c r="C1100" t="s">
        <v>7962</v>
      </c>
      <c r="D1100" t="s">
        <v>6693</v>
      </c>
      <c r="E1100" t="s">
        <v>6694</v>
      </c>
      <c r="F1100" s="40">
        <v>1</v>
      </c>
    </row>
    <row r="1101" spans="2:6" x14ac:dyDescent="0.25">
      <c r="D1101" t="s">
        <v>6700</v>
      </c>
      <c r="E1101" t="s">
        <v>6701</v>
      </c>
      <c r="F1101" s="40">
        <v>1</v>
      </c>
    </row>
    <row r="1102" spans="2:6" x14ac:dyDescent="0.25">
      <c r="D1102" t="s">
        <v>6704</v>
      </c>
      <c r="E1102" t="s">
        <v>6705</v>
      </c>
      <c r="F1102" s="40">
        <v>1</v>
      </c>
    </row>
    <row r="1103" spans="2:6" x14ac:dyDescent="0.25">
      <c r="D1103" t="s">
        <v>6708</v>
      </c>
      <c r="E1103" t="s">
        <v>6709</v>
      </c>
      <c r="F1103" s="40">
        <v>1</v>
      </c>
    </row>
    <row r="1104" spans="2:6" x14ac:dyDescent="0.25">
      <c r="D1104" t="s">
        <v>6696</v>
      </c>
      <c r="E1104" t="s">
        <v>6697</v>
      </c>
      <c r="F1104" s="40">
        <v>1</v>
      </c>
    </row>
    <row r="1105" spans="2:6" x14ac:dyDescent="0.25">
      <c r="B1105" t="s">
        <v>7607</v>
      </c>
      <c r="C1105" t="s">
        <v>4770</v>
      </c>
      <c r="D1105" t="s">
        <v>4769</v>
      </c>
      <c r="E1105" t="s">
        <v>4770</v>
      </c>
      <c r="F1105" s="40">
        <v>1</v>
      </c>
    </row>
    <row r="1106" spans="2:6" x14ac:dyDescent="0.25">
      <c r="D1106" t="s">
        <v>4781</v>
      </c>
      <c r="E1106" t="s">
        <v>4782</v>
      </c>
      <c r="F1106" s="40">
        <v>1</v>
      </c>
    </row>
    <row r="1107" spans="2:6" x14ac:dyDescent="0.25">
      <c r="C1107" t="s">
        <v>7608</v>
      </c>
      <c r="D1107" t="s">
        <v>6144</v>
      </c>
      <c r="E1107" t="s">
        <v>6145</v>
      </c>
      <c r="F1107" s="40">
        <v>1</v>
      </c>
    </row>
    <row r="1108" spans="2:6" x14ac:dyDescent="0.25">
      <c r="D1108" t="s">
        <v>6141</v>
      </c>
      <c r="E1108" t="s">
        <v>6142</v>
      </c>
      <c r="F1108" s="40">
        <v>2</v>
      </c>
    </row>
    <row r="1109" spans="2:6" x14ac:dyDescent="0.25">
      <c r="C1109" t="s">
        <v>7962</v>
      </c>
      <c r="D1109" t="s">
        <v>6117</v>
      </c>
      <c r="E1109" t="s">
        <v>6118</v>
      </c>
      <c r="F1109" s="40">
        <v>1</v>
      </c>
    </row>
    <row r="1110" spans="2:6" x14ac:dyDescent="0.25">
      <c r="D1110" t="s">
        <v>6124</v>
      </c>
      <c r="E1110" t="s">
        <v>6125</v>
      </c>
      <c r="F1110" s="40">
        <v>1</v>
      </c>
    </row>
    <row r="1111" spans="2:6" x14ac:dyDescent="0.25">
      <c r="D1111" t="s">
        <v>6128</v>
      </c>
      <c r="E1111" t="s">
        <v>6129</v>
      </c>
      <c r="F1111" s="40">
        <v>1</v>
      </c>
    </row>
    <row r="1112" spans="2:6" x14ac:dyDescent="0.25">
      <c r="D1112" t="s">
        <v>6132</v>
      </c>
      <c r="E1112" t="s">
        <v>6133</v>
      </c>
      <c r="F1112" s="40">
        <v>1</v>
      </c>
    </row>
    <row r="1113" spans="2:6" x14ac:dyDescent="0.25">
      <c r="D1113" t="s">
        <v>6120</v>
      </c>
      <c r="E1113" t="s">
        <v>6121</v>
      </c>
      <c r="F1113" s="40">
        <v>1</v>
      </c>
    </row>
    <row r="1114" spans="2:6" x14ac:dyDescent="0.25">
      <c r="D1114" t="s">
        <v>6136</v>
      </c>
      <c r="E1114" t="s">
        <v>6137</v>
      </c>
      <c r="F1114" s="40">
        <v>1</v>
      </c>
    </row>
    <row r="1115" spans="2:6" x14ac:dyDescent="0.25">
      <c r="D1115" t="s">
        <v>1516</v>
      </c>
      <c r="E1115" t="s">
        <v>1517</v>
      </c>
      <c r="F1115" s="40">
        <v>1</v>
      </c>
    </row>
    <row r="1116" spans="2:6" x14ac:dyDescent="0.25">
      <c r="B1116" t="s">
        <v>7611</v>
      </c>
      <c r="C1116" t="s">
        <v>7507</v>
      </c>
      <c r="D1116" t="s">
        <v>4862</v>
      </c>
      <c r="E1116" t="s">
        <v>714</v>
      </c>
      <c r="F1116" s="40">
        <v>1</v>
      </c>
    </row>
    <row r="1117" spans="2:6" x14ac:dyDescent="0.25">
      <c r="D1117" t="s">
        <v>4860</v>
      </c>
      <c r="E1117" t="s">
        <v>711</v>
      </c>
      <c r="F1117" s="40">
        <v>1</v>
      </c>
    </row>
    <row r="1118" spans="2:6" x14ac:dyDescent="0.25">
      <c r="C1118" t="s">
        <v>7962</v>
      </c>
      <c r="D1118" t="s">
        <v>6202</v>
      </c>
      <c r="E1118" t="s">
        <v>6203</v>
      </c>
      <c r="F1118" s="40">
        <v>1</v>
      </c>
    </row>
    <row r="1119" spans="2:6" x14ac:dyDescent="0.25">
      <c r="D1119" t="s">
        <v>6209</v>
      </c>
      <c r="E1119" t="s">
        <v>6210</v>
      </c>
      <c r="F1119" s="40">
        <v>1</v>
      </c>
    </row>
    <row r="1120" spans="2:6" x14ac:dyDescent="0.25">
      <c r="D1120" t="s">
        <v>6213</v>
      </c>
      <c r="E1120" t="s">
        <v>6214</v>
      </c>
      <c r="F1120" s="40">
        <v>1</v>
      </c>
    </row>
    <row r="1121" spans="2:6" x14ac:dyDescent="0.25">
      <c r="D1121" t="s">
        <v>6217</v>
      </c>
      <c r="E1121" t="s">
        <v>6218</v>
      </c>
      <c r="F1121" s="40">
        <v>1</v>
      </c>
    </row>
    <row r="1122" spans="2:6" x14ac:dyDescent="0.25">
      <c r="D1122" t="s">
        <v>6205</v>
      </c>
      <c r="E1122" t="s">
        <v>6206</v>
      </c>
      <c r="F1122" s="40">
        <v>1</v>
      </c>
    </row>
    <row r="1123" spans="2:6" x14ac:dyDescent="0.25">
      <c r="D1123" t="s">
        <v>6221</v>
      </c>
      <c r="E1123" t="s">
        <v>6222</v>
      </c>
      <c r="F1123" s="40">
        <v>1</v>
      </c>
    </row>
    <row r="1124" spans="2:6" x14ac:dyDescent="0.25">
      <c r="B1124" t="s">
        <v>7633</v>
      </c>
      <c r="C1124" t="s">
        <v>6673</v>
      </c>
      <c r="D1124" t="s">
        <v>6601</v>
      </c>
      <c r="E1124" t="s">
        <v>6676</v>
      </c>
      <c r="F1124" s="40">
        <v>1</v>
      </c>
    </row>
    <row r="1125" spans="2:6" x14ac:dyDescent="0.25">
      <c r="C1125" t="s">
        <v>7639</v>
      </c>
      <c r="D1125" t="s">
        <v>6652</v>
      </c>
      <c r="E1125" t="s">
        <v>6653</v>
      </c>
      <c r="F1125" s="40">
        <v>1</v>
      </c>
    </row>
    <row r="1126" spans="2:6" x14ac:dyDescent="0.25">
      <c r="D1126" t="s">
        <v>6649</v>
      </c>
      <c r="E1126" t="s">
        <v>6650</v>
      </c>
      <c r="F1126" s="40">
        <v>1</v>
      </c>
    </row>
    <row r="1127" spans="2:6" x14ac:dyDescent="0.25">
      <c r="C1127" t="s">
        <v>7640</v>
      </c>
      <c r="D1127" t="s">
        <v>6660</v>
      </c>
      <c r="E1127" t="s">
        <v>6661</v>
      </c>
      <c r="F1127" s="40">
        <v>1</v>
      </c>
    </row>
    <row r="1128" spans="2:6" x14ac:dyDescent="0.25">
      <c r="D1128" t="s">
        <v>6657</v>
      </c>
      <c r="E1128" t="s">
        <v>6658</v>
      </c>
      <c r="F1128" s="40">
        <v>1</v>
      </c>
    </row>
    <row r="1129" spans="2:6" x14ac:dyDescent="0.25">
      <c r="C1129" t="s">
        <v>7638</v>
      </c>
      <c r="D1129" t="s">
        <v>6644</v>
      </c>
      <c r="E1129" t="s">
        <v>6645</v>
      </c>
      <c r="F1129" s="40">
        <v>1</v>
      </c>
    </row>
    <row r="1130" spans="2:6" x14ac:dyDescent="0.25">
      <c r="D1130" t="s">
        <v>6641</v>
      </c>
      <c r="E1130" t="s">
        <v>6642</v>
      </c>
      <c r="F1130" s="40">
        <v>2</v>
      </c>
    </row>
    <row r="1131" spans="2:6" x14ac:dyDescent="0.25">
      <c r="C1131" t="s">
        <v>7962</v>
      </c>
      <c r="D1131" t="s">
        <v>6598</v>
      </c>
      <c r="E1131" t="s">
        <v>6599</v>
      </c>
      <c r="F1131" s="40">
        <v>1</v>
      </c>
    </row>
    <row r="1132" spans="2:6" x14ac:dyDescent="0.25">
      <c r="D1132" t="s">
        <v>6605</v>
      </c>
      <c r="E1132" t="s">
        <v>6606</v>
      </c>
      <c r="F1132" s="40">
        <v>1</v>
      </c>
    </row>
    <row r="1133" spans="2:6" x14ac:dyDescent="0.25">
      <c r="D1133" t="s">
        <v>6609</v>
      </c>
      <c r="E1133" t="s">
        <v>6610</v>
      </c>
      <c r="F1133" s="40">
        <v>1</v>
      </c>
    </row>
    <row r="1134" spans="2:6" x14ac:dyDescent="0.25">
      <c r="D1134" t="s">
        <v>6613</v>
      </c>
      <c r="E1134" t="s">
        <v>6614</v>
      </c>
      <c r="F1134" s="40">
        <v>1</v>
      </c>
    </row>
    <row r="1135" spans="2:6" x14ac:dyDescent="0.25">
      <c r="D1135" t="s">
        <v>6617</v>
      </c>
      <c r="E1135" t="s">
        <v>6618</v>
      </c>
      <c r="F1135" s="40">
        <v>1</v>
      </c>
    </row>
    <row r="1136" spans="2:6" x14ac:dyDescent="0.25">
      <c r="D1136" t="s">
        <v>6621</v>
      </c>
      <c r="E1136" t="s">
        <v>6622</v>
      </c>
      <c r="F1136" s="40">
        <v>1</v>
      </c>
    </row>
    <row r="1137" spans="1:6" x14ac:dyDescent="0.25">
      <c r="D1137" t="s">
        <v>6625</v>
      </c>
      <c r="E1137" t="s">
        <v>6626</v>
      </c>
      <c r="F1137" s="40">
        <v>1</v>
      </c>
    </row>
    <row r="1138" spans="1:6" x14ac:dyDescent="0.25">
      <c r="D1138" t="s">
        <v>6601</v>
      </c>
      <c r="E1138" t="s">
        <v>6602</v>
      </c>
      <c r="F1138" s="40">
        <v>1</v>
      </c>
    </row>
    <row r="1139" spans="1:6" x14ac:dyDescent="0.25">
      <c r="A1139" t="s">
        <v>7851</v>
      </c>
      <c r="F1139" s="40">
        <v>326</v>
      </c>
    </row>
    <row r="1140" spans="1:6" x14ac:dyDescent="0.25">
      <c r="A1140" t="s">
        <v>7673</v>
      </c>
      <c r="B1140" t="s">
        <v>7231</v>
      </c>
      <c r="C1140" t="s">
        <v>1293</v>
      </c>
      <c r="D1140" t="s">
        <v>1292</v>
      </c>
      <c r="E1140" t="s">
        <v>1293</v>
      </c>
      <c r="F1140" s="40">
        <v>2</v>
      </c>
    </row>
    <row r="1141" spans="1:6" x14ac:dyDescent="0.25">
      <c r="D1141" t="s">
        <v>1295</v>
      </c>
      <c r="E1141" t="s">
        <v>1296</v>
      </c>
      <c r="F1141" s="40">
        <v>1</v>
      </c>
    </row>
    <row r="1142" spans="1:6" x14ac:dyDescent="0.25">
      <c r="C1142" t="s">
        <v>1619</v>
      </c>
      <c r="D1142" t="s">
        <v>1618</v>
      </c>
      <c r="E1142" t="s">
        <v>1619</v>
      </c>
      <c r="F1142" s="40">
        <v>7</v>
      </c>
    </row>
    <row r="1143" spans="1:6" x14ac:dyDescent="0.25">
      <c r="D1143" t="s">
        <v>1622</v>
      </c>
      <c r="E1143" t="s">
        <v>1623</v>
      </c>
      <c r="F1143" s="40">
        <v>1</v>
      </c>
    </row>
    <row r="1144" spans="1:6" x14ac:dyDescent="0.25">
      <c r="C1144" t="s">
        <v>1630</v>
      </c>
      <c r="D1144" t="s">
        <v>1629</v>
      </c>
      <c r="E1144" t="s">
        <v>1630</v>
      </c>
      <c r="F1144" s="40">
        <v>7</v>
      </c>
    </row>
    <row r="1145" spans="1:6" x14ac:dyDescent="0.25">
      <c r="D1145" t="s">
        <v>1633</v>
      </c>
      <c r="E1145" t="s">
        <v>1634</v>
      </c>
      <c r="F1145" s="40">
        <v>1</v>
      </c>
    </row>
    <row r="1146" spans="1:6" x14ac:dyDescent="0.25">
      <c r="C1146" t="s">
        <v>7962</v>
      </c>
      <c r="D1146" t="s">
        <v>1599</v>
      </c>
      <c r="E1146" t="s">
        <v>1600</v>
      </c>
      <c r="F1146" s="40">
        <v>1</v>
      </c>
    </row>
    <row r="1147" spans="1:6" x14ac:dyDescent="0.25">
      <c r="D1147" t="s">
        <v>1602</v>
      </c>
      <c r="E1147" t="s">
        <v>1603</v>
      </c>
      <c r="F1147" s="40">
        <v>1</v>
      </c>
    </row>
    <row r="1148" spans="1:6" x14ac:dyDescent="0.25">
      <c r="D1148" t="s">
        <v>1614</v>
      </c>
      <c r="E1148" t="s">
        <v>1615</v>
      </c>
      <c r="F1148" s="40">
        <v>1</v>
      </c>
    </row>
    <row r="1149" spans="1:6" x14ac:dyDescent="0.25">
      <c r="D1149" t="s">
        <v>1638</v>
      </c>
      <c r="E1149" t="s">
        <v>1639</v>
      </c>
      <c r="F1149" s="40">
        <v>1</v>
      </c>
    </row>
    <row r="1150" spans="1:6" x14ac:dyDescent="0.25">
      <c r="D1150" t="s">
        <v>1642</v>
      </c>
      <c r="E1150" t="s">
        <v>1643</v>
      </c>
      <c r="F1150" s="40">
        <v>2</v>
      </c>
    </row>
    <row r="1151" spans="1:6" x14ac:dyDescent="0.25">
      <c r="D1151" t="s">
        <v>1646</v>
      </c>
      <c r="E1151" t="s">
        <v>1647</v>
      </c>
      <c r="F1151" s="40">
        <v>1</v>
      </c>
    </row>
    <row r="1152" spans="1:6" x14ac:dyDescent="0.25">
      <c r="D1152" t="s">
        <v>1650</v>
      </c>
      <c r="E1152" t="s">
        <v>1651</v>
      </c>
      <c r="F1152" s="40">
        <v>1</v>
      </c>
    </row>
    <row r="1153" spans="2:6" x14ac:dyDescent="0.25">
      <c r="D1153" t="s">
        <v>1654</v>
      </c>
      <c r="E1153" t="s">
        <v>1655</v>
      </c>
      <c r="F1153" s="40">
        <v>1</v>
      </c>
    </row>
    <row r="1154" spans="2:6" x14ac:dyDescent="0.25">
      <c r="D1154" t="s">
        <v>1658</v>
      </c>
      <c r="E1154" t="s">
        <v>1659</v>
      </c>
      <c r="F1154" s="40">
        <v>1</v>
      </c>
    </row>
    <row r="1155" spans="2:6" x14ac:dyDescent="0.25">
      <c r="D1155" t="s">
        <v>1662</v>
      </c>
      <c r="E1155" t="s">
        <v>1663</v>
      </c>
      <c r="F1155" s="40">
        <v>1</v>
      </c>
    </row>
    <row r="1156" spans="2:6" x14ac:dyDescent="0.25">
      <c r="D1156" t="s">
        <v>1666</v>
      </c>
      <c r="E1156" t="s">
        <v>1667</v>
      </c>
      <c r="F1156" s="40">
        <v>1</v>
      </c>
    </row>
    <row r="1157" spans="2:6" x14ac:dyDescent="0.25">
      <c r="D1157" t="s">
        <v>1670</v>
      </c>
      <c r="E1157" t="s">
        <v>1671</v>
      </c>
      <c r="F1157" s="40">
        <v>2</v>
      </c>
    </row>
    <row r="1158" spans="2:6" x14ac:dyDescent="0.25">
      <c r="D1158" t="s">
        <v>1674</v>
      </c>
      <c r="E1158" t="s">
        <v>1675</v>
      </c>
      <c r="F1158" s="40">
        <v>2</v>
      </c>
    </row>
    <row r="1159" spans="2:6" x14ac:dyDescent="0.25">
      <c r="D1159" t="s">
        <v>1678</v>
      </c>
      <c r="E1159" t="s">
        <v>1679</v>
      </c>
      <c r="F1159" s="40">
        <v>2</v>
      </c>
    </row>
    <row r="1160" spans="2:6" x14ac:dyDescent="0.25">
      <c r="D1160" t="s">
        <v>1682</v>
      </c>
      <c r="E1160" t="s">
        <v>1683</v>
      </c>
      <c r="F1160" s="40">
        <v>1</v>
      </c>
    </row>
    <row r="1161" spans="2:6" x14ac:dyDescent="0.25">
      <c r="D1161" t="s">
        <v>1686</v>
      </c>
      <c r="E1161" t="s">
        <v>1687</v>
      </c>
      <c r="F1161" s="40">
        <v>1</v>
      </c>
    </row>
    <row r="1162" spans="2:6" x14ac:dyDescent="0.25">
      <c r="D1162" t="s">
        <v>1690</v>
      </c>
      <c r="E1162" t="s">
        <v>1691</v>
      </c>
      <c r="F1162" s="40">
        <v>1</v>
      </c>
    </row>
    <row r="1163" spans="2:6" x14ac:dyDescent="0.25">
      <c r="D1163" t="s">
        <v>1697</v>
      </c>
      <c r="E1163" t="s">
        <v>1698</v>
      </c>
      <c r="F1163" s="40">
        <v>1</v>
      </c>
    </row>
    <row r="1164" spans="2:6" x14ac:dyDescent="0.25">
      <c r="D1164" t="s">
        <v>1701</v>
      </c>
      <c r="E1164" t="s">
        <v>1702</v>
      </c>
      <c r="F1164" s="40">
        <v>1</v>
      </c>
    </row>
    <row r="1165" spans="2:6" x14ac:dyDescent="0.25">
      <c r="D1165" t="s">
        <v>1715</v>
      </c>
      <c r="E1165" t="s">
        <v>1716</v>
      </c>
      <c r="F1165" s="40">
        <v>1</v>
      </c>
    </row>
    <row r="1166" spans="2:6" x14ac:dyDescent="0.25">
      <c r="D1166" t="s">
        <v>1705</v>
      </c>
      <c r="E1166" t="s">
        <v>1706</v>
      </c>
      <c r="F1166" s="40">
        <v>1</v>
      </c>
    </row>
    <row r="1167" spans="2:6" x14ac:dyDescent="0.25">
      <c r="B1167" t="s">
        <v>7249</v>
      </c>
      <c r="C1167" t="s">
        <v>1520</v>
      </c>
      <c r="D1167" t="s">
        <v>1519</v>
      </c>
      <c r="E1167" t="s">
        <v>1520</v>
      </c>
      <c r="F1167" s="40">
        <v>1</v>
      </c>
    </row>
    <row r="1168" spans="2:6" x14ac:dyDescent="0.25">
      <c r="D1168" t="s">
        <v>1525</v>
      </c>
      <c r="E1168" t="s">
        <v>1526</v>
      </c>
      <c r="F1168" s="40">
        <v>1</v>
      </c>
    </row>
    <row r="1169" spans="2:6" x14ac:dyDescent="0.25">
      <c r="C1169" t="s">
        <v>2052</v>
      </c>
      <c r="D1169" t="s">
        <v>2051</v>
      </c>
      <c r="E1169" t="s">
        <v>2052</v>
      </c>
      <c r="F1169" s="40">
        <v>1</v>
      </c>
    </row>
    <row r="1170" spans="2:6" x14ac:dyDescent="0.25">
      <c r="D1170" t="s">
        <v>2055</v>
      </c>
      <c r="E1170" t="s">
        <v>750</v>
      </c>
      <c r="F1170" s="40">
        <v>1</v>
      </c>
    </row>
    <row r="1171" spans="2:6" x14ac:dyDescent="0.25">
      <c r="D1171" t="s">
        <v>2058</v>
      </c>
      <c r="E1171" t="s">
        <v>2059</v>
      </c>
      <c r="F1171" s="40">
        <v>1</v>
      </c>
    </row>
    <row r="1172" spans="2:6" x14ac:dyDescent="0.25">
      <c r="D1172" t="s">
        <v>2062</v>
      </c>
      <c r="E1172" t="s">
        <v>2063</v>
      </c>
      <c r="F1172" s="40">
        <v>1</v>
      </c>
    </row>
    <row r="1173" spans="2:6" x14ac:dyDescent="0.25">
      <c r="D1173" t="s">
        <v>2066</v>
      </c>
      <c r="E1173" t="s">
        <v>762</v>
      </c>
      <c r="F1173" s="40">
        <v>1</v>
      </c>
    </row>
    <row r="1174" spans="2:6" x14ac:dyDescent="0.25">
      <c r="D1174" t="s">
        <v>2069</v>
      </c>
      <c r="E1174" t="s">
        <v>2070</v>
      </c>
      <c r="F1174" s="40">
        <v>2</v>
      </c>
    </row>
    <row r="1175" spans="2:6" x14ac:dyDescent="0.25">
      <c r="D1175" t="s">
        <v>2073</v>
      </c>
      <c r="E1175" t="s">
        <v>1492</v>
      </c>
      <c r="F1175" s="40">
        <v>1</v>
      </c>
    </row>
    <row r="1176" spans="2:6" x14ac:dyDescent="0.25">
      <c r="C1176" t="s">
        <v>7962</v>
      </c>
      <c r="D1176" t="s">
        <v>1991</v>
      </c>
      <c r="E1176" t="s">
        <v>1992</v>
      </c>
      <c r="F1176" s="40">
        <v>1</v>
      </c>
    </row>
    <row r="1177" spans="2:6" x14ac:dyDescent="0.25">
      <c r="D1177" t="s">
        <v>1994</v>
      </c>
      <c r="E1177" t="s">
        <v>1995</v>
      </c>
      <c r="F1177" s="40">
        <v>1</v>
      </c>
    </row>
    <row r="1178" spans="2:6" x14ac:dyDescent="0.25">
      <c r="D1178" t="s">
        <v>2002</v>
      </c>
      <c r="E1178" t="s">
        <v>2003</v>
      </c>
      <c r="F1178" s="40">
        <v>1</v>
      </c>
    </row>
    <row r="1179" spans="2:6" x14ac:dyDescent="0.25">
      <c r="D1179" t="s">
        <v>2006</v>
      </c>
      <c r="E1179" t="s">
        <v>2007</v>
      </c>
      <c r="F1179" s="40">
        <v>1</v>
      </c>
    </row>
    <row r="1180" spans="2:6" x14ac:dyDescent="0.25">
      <c r="D1180" t="s">
        <v>2010</v>
      </c>
      <c r="E1180" t="s">
        <v>2011</v>
      </c>
      <c r="F1180" s="40">
        <v>1</v>
      </c>
    </row>
    <row r="1181" spans="2:6" x14ac:dyDescent="0.25">
      <c r="D1181" t="s">
        <v>2014</v>
      </c>
      <c r="E1181" t="s">
        <v>2015</v>
      </c>
      <c r="F1181" s="40">
        <v>1</v>
      </c>
    </row>
    <row r="1182" spans="2:6" x14ac:dyDescent="0.25">
      <c r="D1182" t="s">
        <v>2077</v>
      </c>
      <c r="E1182" t="s">
        <v>2078</v>
      </c>
      <c r="F1182" s="40">
        <v>1</v>
      </c>
    </row>
    <row r="1183" spans="2:6" x14ac:dyDescent="0.25">
      <c r="D1183" t="s">
        <v>2081</v>
      </c>
      <c r="E1183" t="s">
        <v>2082</v>
      </c>
      <c r="F1183" s="40">
        <v>1</v>
      </c>
    </row>
    <row r="1184" spans="2:6" x14ac:dyDescent="0.25">
      <c r="B1184" t="s">
        <v>7233</v>
      </c>
      <c r="C1184" t="s">
        <v>7237</v>
      </c>
      <c r="D1184" t="s">
        <v>1780</v>
      </c>
      <c r="E1184" t="s">
        <v>1781</v>
      </c>
      <c r="F1184" s="40">
        <v>2</v>
      </c>
    </row>
    <row r="1185" spans="2:6" x14ac:dyDescent="0.25">
      <c r="D1185" t="s">
        <v>1777</v>
      </c>
      <c r="E1185" t="s">
        <v>1778</v>
      </c>
      <c r="F1185" s="40">
        <v>2</v>
      </c>
    </row>
    <row r="1186" spans="2:6" x14ac:dyDescent="0.25">
      <c r="C1186" t="s">
        <v>7239</v>
      </c>
      <c r="D1186" t="s">
        <v>1790</v>
      </c>
      <c r="E1186" t="s">
        <v>1791</v>
      </c>
      <c r="F1186" s="40">
        <v>2</v>
      </c>
    </row>
    <row r="1187" spans="2:6" x14ac:dyDescent="0.25">
      <c r="D1187" t="s">
        <v>1787</v>
      </c>
      <c r="E1187" t="s">
        <v>1788</v>
      </c>
      <c r="F1187" s="40">
        <v>4</v>
      </c>
    </row>
    <row r="1188" spans="2:6" x14ac:dyDescent="0.25">
      <c r="C1188" t="s">
        <v>7962</v>
      </c>
      <c r="D1188" t="s">
        <v>1719</v>
      </c>
      <c r="E1188" t="s">
        <v>1720</v>
      </c>
      <c r="F1188" s="40">
        <v>2</v>
      </c>
    </row>
    <row r="1189" spans="2:6" x14ac:dyDescent="0.25">
      <c r="D1189" t="s">
        <v>1722</v>
      </c>
      <c r="E1189" t="s">
        <v>1723</v>
      </c>
      <c r="F1189" s="40">
        <v>2</v>
      </c>
    </row>
    <row r="1190" spans="2:6" x14ac:dyDescent="0.25">
      <c r="D1190" t="s">
        <v>1726</v>
      </c>
      <c r="E1190" t="s">
        <v>1727</v>
      </c>
      <c r="F1190" s="40">
        <v>40</v>
      </c>
    </row>
    <row r="1191" spans="2:6" x14ac:dyDescent="0.25">
      <c r="D1191" t="s">
        <v>1730</v>
      </c>
      <c r="E1191" t="s">
        <v>1731</v>
      </c>
      <c r="F1191" s="40">
        <v>40</v>
      </c>
    </row>
    <row r="1192" spans="2:6" x14ac:dyDescent="0.25">
      <c r="D1192" t="s">
        <v>1734</v>
      </c>
      <c r="E1192" t="s">
        <v>1735</v>
      </c>
      <c r="F1192" s="40">
        <v>2</v>
      </c>
    </row>
    <row r="1193" spans="2:6" x14ac:dyDescent="0.25">
      <c r="D1193" t="s">
        <v>1738</v>
      </c>
      <c r="E1193" t="s">
        <v>1739</v>
      </c>
      <c r="F1193" s="40">
        <v>2</v>
      </c>
    </row>
    <row r="1194" spans="2:6" x14ac:dyDescent="0.25">
      <c r="D1194" t="s">
        <v>1742</v>
      </c>
      <c r="E1194" t="s">
        <v>1743</v>
      </c>
      <c r="F1194" s="40">
        <v>2</v>
      </c>
    </row>
    <row r="1195" spans="2:6" x14ac:dyDescent="0.25">
      <c r="D1195" t="s">
        <v>1746</v>
      </c>
      <c r="E1195" t="s">
        <v>1747</v>
      </c>
      <c r="F1195" s="40">
        <v>2</v>
      </c>
    </row>
    <row r="1196" spans="2:6" x14ac:dyDescent="0.25">
      <c r="D1196" t="s">
        <v>1750</v>
      </c>
      <c r="E1196" t="s">
        <v>1751</v>
      </c>
      <c r="F1196" s="40">
        <v>28</v>
      </c>
    </row>
    <row r="1197" spans="2:6" x14ac:dyDescent="0.25">
      <c r="D1197" t="s">
        <v>1754</v>
      </c>
      <c r="E1197" t="s">
        <v>1755</v>
      </c>
      <c r="F1197" s="40">
        <v>2</v>
      </c>
    </row>
    <row r="1198" spans="2:6" x14ac:dyDescent="0.25">
      <c r="D1198" t="s">
        <v>1758</v>
      </c>
      <c r="E1198" t="s">
        <v>1759</v>
      </c>
      <c r="F1198" s="40">
        <v>2</v>
      </c>
    </row>
    <row r="1199" spans="2:6" x14ac:dyDescent="0.25">
      <c r="D1199" t="s">
        <v>1762</v>
      </c>
      <c r="E1199" t="s">
        <v>1763</v>
      </c>
      <c r="F1199" s="40">
        <v>2</v>
      </c>
    </row>
    <row r="1200" spans="2:6" x14ac:dyDescent="0.25">
      <c r="B1200" t="s">
        <v>7243</v>
      </c>
      <c r="C1200" t="s">
        <v>7962</v>
      </c>
      <c r="D1200" t="s">
        <v>1804</v>
      </c>
      <c r="E1200" t="s">
        <v>1805</v>
      </c>
      <c r="F1200" s="40">
        <v>1</v>
      </c>
    </row>
    <row r="1201" spans="4:6" x14ac:dyDescent="0.25">
      <c r="D1201" t="s">
        <v>1819</v>
      </c>
      <c r="E1201" t="s">
        <v>1820</v>
      </c>
      <c r="F1201" s="40">
        <v>1</v>
      </c>
    </row>
    <row r="1202" spans="4:6" x14ac:dyDescent="0.25">
      <c r="D1202" t="s">
        <v>1823</v>
      </c>
      <c r="E1202" t="s">
        <v>1824</v>
      </c>
      <c r="F1202" s="40">
        <v>1</v>
      </c>
    </row>
    <row r="1203" spans="4:6" x14ac:dyDescent="0.25">
      <c r="D1203" t="s">
        <v>1827</v>
      </c>
      <c r="E1203" t="s">
        <v>1828</v>
      </c>
      <c r="F1203" s="40">
        <v>1</v>
      </c>
    </row>
    <row r="1204" spans="4:6" x14ac:dyDescent="0.25">
      <c r="D1204" t="s">
        <v>1831</v>
      </c>
      <c r="E1204" t="s">
        <v>1832</v>
      </c>
      <c r="F1204" s="40">
        <v>1</v>
      </c>
    </row>
    <row r="1205" spans="4:6" x14ac:dyDescent="0.25">
      <c r="D1205" t="s">
        <v>1835</v>
      </c>
      <c r="E1205" t="s">
        <v>1836</v>
      </c>
      <c r="F1205" s="40">
        <v>1</v>
      </c>
    </row>
    <row r="1206" spans="4:6" x14ac:dyDescent="0.25">
      <c r="D1206" t="s">
        <v>1839</v>
      </c>
      <c r="E1206" t="s">
        <v>1840</v>
      </c>
      <c r="F1206" s="40">
        <v>1</v>
      </c>
    </row>
    <row r="1207" spans="4:6" x14ac:dyDescent="0.25">
      <c r="D1207" t="s">
        <v>1843</v>
      </c>
      <c r="E1207" t="s">
        <v>1844</v>
      </c>
      <c r="F1207" s="40">
        <v>1</v>
      </c>
    </row>
    <row r="1208" spans="4:6" x14ac:dyDescent="0.25">
      <c r="D1208" t="s">
        <v>1847</v>
      </c>
      <c r="E1208" t="s">
        <v>1848</v>
      </c>
      <c r="F1208" s="40">
        <v>1</v>
      </c>
    </row>
    <row r="1209" spans="4:6" x14ac:dyDescent="0.25">
      <c r="D1209" t="s">
        <v>1851</v>
      </c>
      <c r="E1209" t="s">
        <v>1852</v>
      </c>
      <c r="F1209" s="40">
        <v>1</v>
      </c>
    </row>
    <row r="1210" spans="4:6" x14ac:dyDescent="0.25">
      <c r="D1210" t="s">
        <v>1855</v>
      </c>
      <c r="E1210" t="s">
        <v>1856</v>
      </c>
      <c r="F1210" s="40">
        <v>2</v>
      </c>
    </row>
    <row r="1211" spans="4:6" x14ac:dyDescent="0.25">
      <c r="D1211" t="s">
        <v>1863</v>
      </c>
      <c r="E1211" t="s">
        <v>1864</v>
      </c>
      <c r="F1211" s="40">
        <v>3</v>
      </c>
    </row>
    <row r="1212" spans="4:6" x14ac:dyDescent="0.25">
      <c r="D1212" t="s">
        <v>1867</v>
      </c>
      <c r="E1212" t="s">
        <v>1868</v>
      </c>
      <c r="F1212" s="40">
        <v>2</v>
      </c>
    </row>
    <row r="1213" spans="4:6" x14ac:dyDescent="0.25">
      <c r="D1213" t="s">
        <v>1871</v>
      </c>
      <c r="E1213" t="s">
        <v>1872</v>
      </c>
      <c r="F1213" s="40">
        <v>1</v>
      </c>
    </row>
    <row r="1214" spans="4:6" x14ac:dyDescent="0.25">
      <c r="D1214" t="s">
        <v>1883</v>
      </c>
      <c r="E1214" t="s">
        <v>1884</v>
      </c>
      <c r="F1214" s="40">
        <v>1</v>
      </c>
    </row>
    <row r="1215" spans="4:6" x14ac:dyDescent="0.25">
      <c r="D1215" t="s">
        <v>1895</v>
      </c>
      <c r="E1215" t="s">
        <v>1896</v>
      </c>
      <c r="F1215" s="40">
        <v>1</v>
      </c>
    </row>
    <row r="1216" spans="4:6" x14ac:dyDescent="0.25">
      <c r="D1216" t="s">
        <v>1899</v>
      </c>
      <c r="E1216" t="s">
        <v>1900</v>
      </c>
      <c r="F1216" s="40">
        <v>1</v>
      </c>
    </row>
    <row r="1217" spans="2:6" x14ac:dyDescent="0.25">
      <c r="D1217" t="s">
        <v>1903</v>
      </c>
      <c r="E1217" t="s">
        <v>1904</v>
      </c>
      <c r="F1217" s="40">
        <v>1</v>
      </c>
    </row>
    <row r="1218" spans="2:6" x14ac:dyDescent="0.25">
      <c r="D1218" t="s">
        <v>1907</v>
      </c>
      <c r="E1218" t="s">
        <v>1908</v>
      </c>
      <c r="F1218" s="40">
        <v>1</v>
      </c>
    </row>
    <row r="1219" spans="2:6" x14ac:dyDescent="0.25">
      <c r="D1219" t="s">
        <v>1807</v>
      </c>
      <c r="E1219" t="s">
        <v>1808</v>
      </c>
      <c r="F1219" s="40">
        <v>1</v>
      </c>
    </row>
    <row r="1220" spans="2:6" x14ac:dyDescent="0.25">
      <c r="D1220" t="s">
        <v>1811</v>
      </c>
      <c r="E1220" t="s">
        <v>1812</v>
      </c>
      <c r="F1220" s="40">
        <v>1</v>
      </c>
    </row>
    <row r="1221" spans="2:6" x14ac:dyDescent="0.25">
      <c r="D1221" t="s">
        <v>1815</v>
      </c>
      <c r="E1221" t="s">
        <v>1816</v>
      </c>
      <c r="F1221" s="40">
        <v>11</v>
      </c>
    </row>
    <row r="1222" spans="2:6" x14ac:dyDescent="0.25">
      <c r="D1222" t="s">
        <v>1859</v>
      </c>
      <c r="E1222" t="s">
        <v>1860</v>
      </c>
      <c r="F1222" s="40">
        <v>6</v>
      </c>
    </row>
    <row r="1223" spans="2:6" x14ac:dyDescent="0.25">
      <c r="D1223" t="s">
        <v>1875</v>
      </c>
      <c r="E1223" t="s">
        <v>1876</v>
      </c>
      <c r="F1223" s="40">
        <v>2</v>
      </c>
    </row>
    <row r="1224" spans="2:6" x14ac:dyDescent="0.25">
      <c r="D1224" t="s">
        <v>1891</v>
      </c>
      <c r="E1224" t="s">
        <v>1892</v>
      </c>
      <c r="F1224" s="40">
        <v>1</v>
      </c>
    </row>
    <row r="1225" spans="2:6" x14ac:dyDescent="0.25">
      <c r="D1225" t="s">
        <v>1887</v>
      </c>
      <c r="E1225" t="s">
        <v>1888</v>
      </c>
      <c r="F1225" s="40">
        <v>1</v>
      </c>
    </row>
    <row r="1226" spans="2:6" x14ac:dyDescent="0.25">
      <c r="B1226" t="s">
        <v>7248</v>
      </c>
      <c r="C1226" t="s">
        <v>7962</v>
      </c>
      <c r="D1226" t="s">
        <v>1930</v>
      </c>
      <c r="E1226" t="s">
        <v>1931</v>
      </c>
      <c r="F1226" s="40">
        <v>1</v>
      </c>
    </row>
    <row r="1227" spans="2:6" x14ac:dyDescent="0.25">
      <c r="D1227" t="s">
        <v>1934</v>
      </c>
      <c r="E1227" t="s">
        <v>1935</v>
      </c>
      <c r="F1227" s="40">
        <v>1</v>
      </c>
    </row>
    <row r="1228" spans="2:6" x14ac:dyDescent="0.25">
      <c r="D1228" t="s">
        <v>1907</v>
      </c>
      <c r="E1228" t="s">
        <v>1908</v>
      </c>
      <c r="F1228" s="40">
        <v>1</v>
      </c>
    </row>
    <row r="1229" spans="2:6" x14ac:dyDescent="0.25">
      <c r="D1229" t="s">
        <v>1807</v>
      </c>
      <c r="E1229" t="s">
        <v>1808</v>
      </c>
      <c r="F1229" s="40">
        <v>1</v>
      </c>
    </row>
    <row r="1230" spans="2:6" x14ac:dyDescent="0.25">
      <c r="D1230" t="s">
        <v>1811</v>
      </c>
      <c r="E1230" t="s">
        <v>1812</v>
      </c>
      <c r="F1230" s="40">
        <v>1</v>
      </c>
    </row>
    <row r="1231" spans="2:6" x14ac:dyDescent="0.25">
      <c r="D1231" t="s">
        <v>1941</v>
      </c>
      <c r="E1231" t="s">
        <v>1942</v>
      </c>
      <c r="F1231" s="40">
        <v>1</v>
      </c>
    </row>
    <row r="1232" spans="2:6" x14ac:dyDescent="0.25">
      <c r="D1232" t="s">
        <v>1815</v>
      </c>
      <c r="E1232" t="s">
        <v>1816</v>
      </c>
      <c r="F1232" s="40">
        <v>11</v>
      </c>
    </row>
    <row r="1233" spans="2:6" x14ac:dyDescent="0.25">
      <c r="D1233" t="s">
        <v>1946</v>
      </c>
      <c r="E1233" t="s">
        <v>1947</v>
      </c>
      <c r="F1233" s="40">
        <v>1</v>
      </c>
    </row>
    <row r="1234" spans="2:6" x14ac:dyDescent="0.25">
      <c r="D1234" t="s">
        <v>1859</v>
      </c>
      <c r="E1234" t="s">
        <v>1860</v>
      </c>
      <c r="F1234" s="40">
        <v>11</v>
      </c>
    </row>
    <row r="1235" spans="2:6" x14ac:dyDescent="0.25">
      <c r="D1235" t="s">
        <v>1875</v>
      </c>
      <c r="E1235" t="s">
        <v>1876</v>
      </c>
      <c r="F1235" s="40">
        <v>2</v>
      </c>
    </row>
    <row r="1236" spans="2:6" x14ac:dyDescent="0.25">
      <c r="D1236" t="s">
        <v>1891</v>
      </c>
      <c r="E1236" t="s">
        <v>1892</v>
      </c>
      <c r="F1236" s="40">
        <v>1</v>
      </c>
    </row>
    <row r="1237" spans="2:6" x14ac:dyDescent="0.25">
      <c r="D1237" t="s">
        <v>1887</v>
      </c>
      <c r="E1237" t="s">
        <v>1888</v>
      </c>
      <c r="F1237" s="40">
        <v>2</v>
      </c>
    </row>
    <row r="1238" spans="2:6" x14ac:dyDescent="0.25">
      <c r="D1238" t="s">
        <v>1955</v>
      </c>
      <c r="E1238" t="s">
        <v>1956</v>
      </c>
      <c r="F1238" s="40">
        <v>1</v>
      </c>
    </row>
    <row r="1239" spans="2:6" x14ac:dyDescent="0.25">
      <c r="D1239" t="s">
        <v>1959</v>
      </c>
      <c r="E1239" t="s">
        <v>1960</v>
      </c>
      <c r="F1239" s="40">
        <v>5</v>
      </c>
    </row>
    <row r="1240" spans="2:6" x14ac:dyDescent="0.25">
      <c r="D1240" t="s">
        <v>1963</v>
      </c>
      <c r="E1240" t="s">
        <v>1964</v>
      </c>
      <c r="F1240" s="40">
        <v>1</v>
      </c>
    </row>
    <row r="1241" spans="2:6" x14ac:dyDescent="0.25">
      <c r="D1241" t="s">
        <v>1967</v>
      </c>
      <c r="E1241" t="s">
        <v>1968</v>
      </c>
      <c r="F1241" s="40">
        <v>1</v>
      </c>
    </row>
    <row r="1242" spans="2:6" x14ac:dyDescent="0.25">
      <c r="D1242" t="s">
        <v>1971</v>
      </c>
      <c r="E1242" t="s">
        <v>1972</v>
      </c>
      <c r="F1242" s="40">
        <v>1</v>
      </c>
    </row>
    <row r="1243" spans="2:6" x14ac:dyDescent="0.25">
      <c r="D1243" t="s">
        <v>1975</v>
      </c>
      <c r="E1243" t="s">
        <v>1976</v>
      </c>
      <c r="F1243" s="40">
        <v>1</v>
      </c>
    </row>
    <row r="1244" spans="2:6" x14ac:dyDescent="0.25">
      <c r="D1244" t="s">
        <v>1979</v>
      </c>
      <c r="E1244" t="s">
        <v>1980</v>
      </c>
      <c r="F1244" s="40">
        <v>1</v>
      </c>
    </row>
    <row r="1245" spans="2:6" x14ac:dyDescent="0.25">
      <c r="B1245" t="s">
        <v>7254</v>
      </c>
      <c r="C1245" t="s">
        <v>7258</v>
      </c>
      <c r="D1245" t="s">
        <v>2176</v>
      </c>
      <c r="E1245" t="s">
        <v>714</v>
      </c>
      <c r="F1245" s="40">
        <v>1</v>
      </c>
    </row>
    <row r="1246" spans="2:6" x14ac:dyDescent="0.25">
      <c r="D1246" t="s">
        <v>2174</v>
      </c>
      <c r="E1246" t="s">
        <v>711</v>
      </c>
      <c r="F1246" s="40">
        <v>1</v>
      </c>
    </row>
    <row r="1247" spans="2:6" x14ac:dyDescent="0.25">
      <c r="C1247" t="s">
        <v>2130</v>
      </c>
      <c r="D1247" t="s">
        <v>2129</v>
      </c>
      <c r="E1247" t="s">
        <v>2130</v>
      </c>
      <c r="F1247" s="40">
        <v>1</v>
      </c>
    </row>
    <row r="1248" spans="2:6" x14ac:dyDescent="0.25">
      <c r="D1248" t="s">
        <v>2133</v>
      </c>
      <c r="E1248" t="s">
        <v>2134</v>
      </c>
      <c r="F1248" s="40">
        <v>1</v>
      </c>
    </row>
    <row r="1249" spans="2:6" x14ac:dyDescent="0.25">
      <c r="D1249" t="s">
        <v>2137</v>
      </c>
      <c r="E1249" t="s">
        <v>2138</v>
      </c>
      <c r="F1249" s="40">
        <v>1</v>
      </c>
    </row>
    <row r="1250" spans="2:6" x14ac:dyDescent="0.25">
      <c r="D1250" t="s">
        <v>2141</v>
      </c>
      <c r="E1250" t="s">
        <v>2142</v>
      </c>
      <c r="F1250" s="40">
        <v>1</v>
      </c>
    </row>
    <row r="1251" spans="2:6" x14ac:dyDescent="0.25">
      <c r="D1251" t="s">
        <v>2145</v>
      </c>
      <c r="E1251" t="s">
        <v>2146</v>
      </c>
      <c r="F1251" s="40">
        <v>1</v>
      </c>
    </row>
    <row r="1252" spans="2:6" x14ac:dyDescent="0.25">
      <c r="C1252" t="s">
        <v>7962</v>
      </c>
      <c r="D1252" t="s">
        <v>2114</v>
      </c>
      <c r="E1252" t="s">
        <v>2115</v>
      </c>
      <c r="F1252" s="40">
        <v>1</v>
      </c>
    </row>
    <row r="1253" spans="2:6" x14ac:dyDescent="0.25">
      <c r="D1253" t="s">
        <v>2117</v>
      </c>
      <c r="E1253" t="s">
        <v>2118</v>
      </c>
      <c r="F1253" s="40">
        <v>1</v>
      </c>
    </row>
    <row r="1254" spans="2:6" x14ac:dyDescent="0.25">
      <c r="D1254" t="s">
        <v>2121</v>
      </c>
      <c r="E1254" t="s">
        <v>2122</v>
      </c>
      <c r="F1254" s="40">
        <v>1</v>
      </c>
    </row>
    <row r="1255" spans="2:6" x14ac:dyDescent="0.25">
      <c r="D1255" t="s">
        <v>2125</v>
      </c>
      <c r="E1255" t="s">
        <v>2126</v>
      </c>
      <c r="F1255" s="40">
        <v>1</v>
      </c>
    </row>
    <row r="1256" spans="2:6" x14ac:dyDescent="0.25">
      <c r="D1256" t="s">
        <v>2149</v>
      </c>
      <c r="E1256" t="s">
        <v>2150</v>
      </c>
      <c r="F1256" s="40">
        <v>1</v>
      </c>
    </row>
    <row r="1257" spans="2:6" x14ac:dyDescent="0.25">
      <c r="D1257" t="s">
        <v>2152</v>
      </c>
      <c r="E1257" t="s">
        <v>2153</v>
      </c>
      <c r="F1257" s="40">
        <v>1</v>
      </c>
    </row>
    <row r="1258" spans="2:6" x14ac:dyDescent="0.25">
      <c r="D1258" t="s">
        <v>2185</v>
      </c>
      <c r="E1258" t="s">
        <v>721</v>
      </c>
      <c r="F1258" s="40">
        <v>1</v>
      </c>
    </row>
    <row r="1259" spans="2:6" x14ac:dyDescent="0.25">
      <c r="B1259" t="s">
        <v>7260</v>
      </c>
      <c r="C1259" t="s">
        <v>2193</v>
      </c>
      <c r="D1259" t="s">
        <v>2192</v>
      </c>
      <c r="E1259" t="s">
        <v>2193</v>
      </c>
      <c r="F1259" s="40">
        <v>1</v>
      </c>
    </row>
    <row r="1260" spans="2:6" x14ac:dyDescent="0.25">
      <c r="D1260" t="s">
        <v>2232</v>
      </c>
      <c r="E1260" t="s">
        <v>2233</v>
      </c>
      <c r="F1260" s="40">
        <v>1</v>
      </c>
    </row>
    <row r="1261" spans="2:6" x14ac:dyDescent="0.25">
      <c r="D1261" t="s">
        <v>2196</v>
      </c>
      <c r="E1261" t="s">
        <v>2197</v>
      </c>
      <c r="F1261" s="40">
        <v>1</v>
      </c>
    </row>
    <row r="1262" spans="2:6" x14ac:dyDescent="0.25">
      <c r="D1262" t="s">
        <v>2200</v>
      </c>
      <c r="E1262" t="s">
        <v>2201</v>
      </c>
      <c r="F1262" s="40">
        <v>1</v>
      </c>
    </row>
    <row r="1263" spans="2:6" x14ac:dyDescent="0.25">
      <c r="C1263" t="s">
        <v>7958</v>
      </c>
      <c r="D1263" t="s">
        <v>2218</v>
      </c>
      <c r="E1263" t="s">
        <v>714</v>
      </c>
      <c r="F1263" s="40">
        <v>1</v>
      </c>
    </row>
    <row r="1264" spans="2:6" x14ac:dyDescent="0.25">
      <c r="D1264" t="s">
        <v>2216</v>
      </c>
      <c r="E1264" t="s">
        <v>711</v>
      </c>
      <c r="F1264" s="40">
        <v>2</v>
      </c>
    </row>
    <row r="1265" spans="2:6" x14ac:dyDescent="0.25">
      <c r="C1265" t="s">
        <v>7959</v>
      </c>
      <c r="D1265" t="s">
        <v>2224</v>
      </c>
      <c r="E1265" t="s">
        <v>711</v>
      </c>
      <c r="F1265" s="40">
        <v>1</v>
      </c>
    </row>
    <row r="1266" spans="2:6" x14ac:dyDescent="0.25">
      <c r="D1266" t="s">
        <v>2222</v>
      </c>
      <c r="E1266" t="s">
        <v>711</v>
      </c>
      <c r="F1266" s="40">
        <v>2</v>
      </c>
    </row>
    <row r="1267" spans="2:6" x14ac:dyDescent="0.25">
      <c r="C1267" t="s">
        <v>2238</v>
      </c>
      <c r="D1267" t="s">
        <v>2237</v>
      </c>
      <c r="E1267" t="s">
        <v>2238</v>
      </c>
      <c r="F1267" s="40">
        <v>1</v>
      </c>
    </row>
    <row r="1268" spans="2:6" x14ac:dyDescent="0.25">
      <c r="D1268" t="s">
        <v>2241</v>
      </c>
      <c r="E1268" t="s">
        <v>2242</v>
      </c>
      <c r="F1268" s="40">
        <v>1</v>
      </c>
    </row>
    <row r="1269" spans="2:6" x14ac:dyDescent="0.25">
      <c r="C1269" t="s">
        <v>7962</v>
      </c>
      <c r="D1269" t="s">
        <v>2189</v>
      </c>
      <c r="E1269" t="s">
        <v>2190</v>
      </c>
      <c r="F1269" s="40">
        <v>1</v>
      </c>
    </row>
    <row r="1270" spans="2:6" x14ac:dyDescent="0.25">
      <c r="B1270" t="s">
        <v>7266</v>
      </c>
      <c r="C1270" t="s">
        <v>2261</v>
      </c>
      <c r="D1270" t="s">
        <v>2260</v>
      </c>
      <c r="E1270" t="s">
        <v>2261</v>
      </c>
      <c r="F1270" s="40">
        <v>1</v>
      </c>
    </row>
    <row r="1271" spans="2:6" x14ac:dyDescent="0.25">
      <c r="D1271" t="s">
        <v>2263</v>
      </c>
      <c r="E1271" t="s">
        <v>2264</v>
      </c>
      <c r="F1271" s="40">
        <v>1</v>
      </c>
    </row>
    <row r="1272" spans="2:6" x14ac:dyDescent="0.25">
      <c r="D1272" t="s">
        <v>2267</v>
      </c>
      <c r="E1272" t="s">
        <v>2268</v>
      </c>
      <c r="F1272" s="40">
        <v>2</v>
      </c>
    </row>
    <row r="1273" spans="2:6" x14ac:dyDescent="0.25">
      <c r="D1273" t="s">
        <v>2271</v>
      </c>
      <c r="E1273" t="s">
        <v>2272</v>
      </c>
      <c r="F1273" s="40">
        <v>2</v>
      </c>
    </row>
    <row r="1274" spans="2:6" x14ac:dyDescent="0.25">
      <c r="C1274" t="s">
        <v>7879</v>
      </c>
      <c r="D1274" t="s">
        <v>2442</v>
      </c>
      <c r="E1274" t="s">
        <v>2443</v>
      </c>
      <c r="F1274" s="40">
        <v>1</v>
      </c>
    </row>
    <row r="1275" spans="2:6" x14ac:dyDescent="0.25">
      <c r="D1275" t="s">
        <v>2445</v>
      </c>
      <c r="E1275" t="s">
        <v>2446</v>
      </c>
      <c r="F1275" s="40">
        <v>1</v>
      </c>
    </row>
    <row r="1276" spans="2:6" x14ac:dyDescent="0.25">
      <c r="D1276" t="s">
        <v>2449</v>
      </c>
      <c r="E1276" t="s">
        <v>2450</v>
      </c>
      <c r="F1276" s="40">
        <v>1</v>
      </c>
    </row>
    <row r="1277" spans="2:6" x14ac:dyDescent="0.25">
      <c r="D1277" t="s">
        <v>2458</v>
      </c>
      <c r="E1277" t="s">
        <v>2459</v>
      </c>
      <c r="F1277" s="40">
        <v>1</v>
      </c>
    </row>
    <row r="1278" spans="2:6" x14ac:dyDescent="0.25">
      <c r="D1278" t="s">
        <v>2453</v>
      </c>
      <c r="E1278" t="s">
        <v>2454</v>
      </c>
      <c r="F1278" s="40">
        <v>1</v>
      </c>
    </row>
    <row r="1279" spans="2:6" x14ac:dyDescent="0.25">
      <c r="D1279" t="s">
        <v>2462</v>
      </c>
      <c r="E1279" t="s">
        <v>2463</v>
      </c>
      <c r="F1279" s="40">
        <v>1</v>
      </c>
    </row>
    <row r="1280" spans="2:6" x14ac:dyDescent="0.25">
      <c r="D1280" t="s">
        <v>2466</v>
      </c>
      <c r="E1280" t="s">
        <v>2467</v>
      </c>
      <c r="F1280" s="40">
        <v>1</v>
      </c>
    </row>
    <row r="1281" spans="3:6" x14ac:dyDescent="0.25">
      <c r="D1281" t="s">
        <v>2470</v>
      </c>
      <c r="E1281" t="s">
        <v>2471</v>
      </c>
      <c r="F1281" s="40">
        <v>1</v>
      </c>
    </row>
    <row r="1282" spans="3:6" x14ac:dyDescent="0.25">
      <c r="D1282" t="s">
        <v>2474</v>
      </c>
      <c r="E1282" t="s">
        <v>2475</v>
      </c>
      <c r="F1282" s="40">
        <v>1</v>
      </c>
    </row>
    <row r="1283" spans="3:6" x14ac:dyDescent="0.25">
      <c r="D1283" t="s">
        <v>2478</v>
      </c>
      <c r="E1283" t="s">
        <v>2479</v>
      </c>
      <c r="F1283" s="40">
        <v>1</v>
      </c>
    </row>
    <row r="1284" spans="3:6" x14ac:dyDescent="0.25">
      <c r="D1284" t="s">
        <v>2482</v>
      </c>
      <c r="E1284" t="s">
        <v>2483</v>
      </c>
      <c r="F1284" s="40">
        <v>1</v>
      </c>
    </row>
    <row r="1285" spans="3:6" x14ac:dyDescent="0.25">
      <c r="D1285" t="s">
        <v>2486</v>
      </c>
      <c r="E1285" t="s">
        <v>2487</v>
      </c>
      <c r="F1285" s="40">
        <v>7</v>
      </c>
    </row>
    <row r="1286" spans="3:6" x14ac:dyDescent="0.25">
      <c r="C1286" t="s">
        <v>7877</v>
      </c>
      <c r="D1286" t="s">
        <v>2283</v>
      </c>
      <c r="E1286" t="s">
        <v>2284</v>
      </c>
      <c r="F1286" s="40">
        <v>1</v>
      </c>
    </row>
    <row r="1287" spans="3:6" x14ac:dyDescent="0.25">
      <c r="D1287" t="s">
        <v>2286</v>
      </c>
      <c r="E1287" t="s">
        <v>2287</v>
      </c>
      <c r="F1287" s="40">
        <v>2</v>
      </c>
    </row>
    <row r="1288" spans="3:6" x14ac:dyDescent="0.25">
      <c r="D1288" t="s">
        <v>2290</v>
      </c>
      <c r="E1288" t="s">
        <v>2291</v>
      </c>
      <c r="F1288" s="40">
        <v>2</v>
      </c>
    </row>
    <row r="1289" spans="3:6" x14ac:dyDescent="0.25">
      <c r="D1289" t="s">
        <v>2294</v>
      </c>
      <c r="E1289" t="s">
        <v>2295</v>
      </c>
      <c r="F1289" s="40">
        <v>1</v>
      </c>
    </row>
    <row r="1290" spans="3:6" x14ac:dyDescent="0.25">
      <c r="D1290" t="s">
        <v>2298</v>
      </c>
      <c r="E1290" t="s">
        <v>2299</v>
      </c>
      <c r="F1290" s="40">
        <v>1</v>
      </c>
    </row>
    <row r="1291" spans="3:6" x14ac:dyDescent="0.25">
      <c r="D1291" t="s">
        <v>2302</v>
      </c>
      <c r="E1291" t="s">
        <v>2303</v>
      </c>
      <c r="F1291" s="40">
        <v>1</v>
      </c>
    </row>
    <row r="1292" spans="3:6" x14ac:dyDescent="0.25">
      <c r="D1292" t="s">
        <v>2306</v>
      </c>
      <c r="E1292" t="s">
        <v>2307</v>
      </c>
      <c r="F1292" s="40">
        <v>1</v>
      </c>
    </row>
    <row r="1293" spans="3:6" x14ac:dyDescent="0.25">
      <c r="D1293" t="s">
        <v>2310</v>
      </c>
      <c r="E1293" t="s">
        <v>2311</v>
      </c>
      <c r="F1293" s="40">
        <v>1</v>
      </c>
    </row>
    <row r="1294" spans="3:6" x14ac:dyDescent="0.25">
      <c r="D1294" t="s">
        <v>2314</v>
      </c>
      <c r="E1294" t="s">
        <v>2315</v>
      </c>
      <c r="F1294" s="40">
        <v>1</v>
      </c>
    </row>
    <row r="1295" spans="3:6" x14ac:dyDescent="0.25">
      <c r="D1295" t="s">
        <v>2438</v>
      </c>
      <c r="E1295" t="s">
        <v>2439</v>
      </c>
      <c r="F1295" s="40">
        <v>13</v>
      </c>
    </row>
    <row r="1296" spans="3:6" x14ac:dyDescent="0.25">
      <c r="D1296" t="s">
        <v>2318</v>
      </c>
      <c r="E1296" t="s">
        <v>2319</v>
      </c>
      <c r="F1296" s="40">
        <v>6</v>
      </c>
    </row>
    <row r="1297" spans="4:6" x14ac:dyDescent="0.25">
      <c r="D1297" t="s">
        <v>2322</v>
      </c>
      <c r="E1297" t="s">
        <v>2323</v>
      </c>
      <c r="F1297" s="40">
        <v>6</v>
      </c>
    </row>
    <row r="1298" spans="4:6" x14ac:dyDescent="0.25">
      <c r="D1298" t="s">
        <v>2326</v>
      </c>
      <c r="E1298" t="s">
        <v>2327</v>
      </c>
      <c r="F1298" s="40">
        <v>1</v>
      </c>
    </row>
    <row r="1299" spans="4:6" x14ac:dyDescent="0.25">
      <c r="D1299" t="s">
        <v>2330</v>
      </c>
      <c r="E1299" t="s">
        <v>2331</v>
      </c>
      <c r="F1299" s="40">
        <v>1</v>
      </c>
    </row>
    <row r="1300" spans="4:6" x14ac:dyDescent="0.25">
      <c r="D1300" t="s">
        <v>2334</v>
      </c>
      <c r="E1300" t="s">
        <v>2335</v>
      </c>
      <c r="F1300" s="40">
        <v>1</v>
      </c>
    </row>
    <row r="1301" spans="4:6" x14ac:dyDescent="0.25">
      <c r="D1301" t="s">
        <v>2338</v>
      </c>
      <c r="E1301" t="s">
        <v>2339</v>
      </c>
      <c r="F1301" s="40">
        <v>1</v>
      </c>
    </row>
    <row r="1302" spans="4:6" x14ac:dyDescent="0.25">
      <c r="D1302" t="s">
        <v>2342</v>
      </c>
      <c r="E1302" t="s">
        <v>2343</v>
      </c>
      <c r="F1302" s="40">
        <v>1</v>
      </c>
    </row>
    <row r="1303" spans="4:6" x14ac:dyDescent="0.25">
      <c r="D1303" t="s">
        <v>2346</v>
      </c>
      <c r="E1303" t="s">
        <v>2347</v>
      </c>
      <c r="F1303" s="40">
        <v>1</v>
      </c>
    </row>
    <row r="1304" spans="4:6" x14ac:dyDescent="0.25">
      <c r="D1304" t="s">
        <v>2350</v>
      </c>
      <c r="E1304" t="s">
        <v>2351</v>
      </c>
      <c r="F1304" s="40">
        <v>1</v>
      </c>
    </row>
    <row r="1305" spans="4:6" x14ac:dyDescent="0.25">
      <c r="D1305" t="s">
        <v>2354</v>
      </c>
      <c r="E1305" t="s">
        <v>2355</v>
      </c>
      <c r="F1305" s="40">
        <v>1</v>
      </c>
    </row>
    <row r="1306" spans="4:6" x14ac:dyDescent="0.25">
      <c r="D1306" t="s">
        <v>2358</v>
      </c>
      <c r="E1306" t="s">
        <v>2359</v>
      </c>
      <c r="F1306" s="40">
        <v>1</v>
      </c>
    </row>
    <row r="1307" spans="4:6" x14ac:dyDescent="0.25">
      <c r="D1307" t="s">
        <v>2362</v>
      </c>
      <c r="E1307" t="s">
        <v>2363</v>
      </c>
      <c r="F1307" s="40">
        <v>1</v>
      </c>
    </row>
    <row r="1308" spans="4:6" x14ac:dyDescent="0.25">
      <c r="D1308" t="s">
        <v>2366</v>
      </c>
      <c r="E1308" t="s">
        <v>2367</v>
      </c>
      <c r="F1308" s="40">
        <v>1</v>
      </c>
    </row>
    <row r="1309" spans="4:6" x14ac:dyDescent="0.25">
      <c r="D1309" t="s">
        <v>2370</v>
      </c>
      <c r="E1309" t="s">
        <v>2371</v>
      </c>
      <c r="F1309" s="40">
        <v>1</v>
      </c>
    </row>
    <row r="1310" spans="4:6" x14ac:dyDescent="0.25">
      <c r="D1310" t="s">
        <v>2374</v>
      </c>
      <c r="E1310" t="s">
        <v>2375</v>
      </c>
      <c r="F1310" s="40">
        <v>1</v>
      </c>
    </row>
    <row r="1311" spans="4:6" x14ac:dyDescent="0.25">
      <c r="D1311" t="s">
        <v>2378</v>
      </c>
      <c r="E1311" t="s">
        <v>2379</v>
      </c>
      <c r="F1311" s="40">
        <v>1</v>
      </c>
    </row>
    <row r="1312" spans="4:6" x14ac:dyDescent="0.25">
      <c r="D1312" t="s">
        <v>2382</v>
      </c>
      <c r="E1312" t="s">
        <v>2383</v>
      </c>
      <c r="F1312" s="40">
        <v>1</v>
      </c>
    </row>
    <row r="1313" spans="1:6" x14ac:dyDescent="0.25">
      <c r="C1313" t="s">
        <v>7878</v>
      </c>
      <c r="D1313" t="s">
        <v>2392</v>
      </c>
      <c r="E1313" t="s">
        <v>2393</v>
      </c>
      <c r="F1313" s="40">
        <v>1</v>
      </c>
    </row>
    <row r="1314" spans="1:6" x14ac:dyDescent="0.25">
      <c r="D1314" t="s">
        <v>2395</v>
      </c>
      <c r="E1314" t="s">
        <v>2396</v>
      </c>
      <c r="F1314" s="40">
        <v>1</v>
      </c>
    </row>
    <row r="1315" spans="1:6" x14ac:dyDescent="0.25">
      <c r="C1315" t="s">
        <v>7960</v>
      </c>
      <c r="D1315" t="s">
        <v>713</v>
      </c>
      <c r="E1315" t="s">
        <v>714</v>
      </c>
      <c r="F1315" s="40">
        <v>1</v>
      </c>
    </row>
    <row r="1316" spans="1:6" x14ac:dyDescent="0.25">
      <c r="D1316" t="s">
        <v>710</v>
      </c>
      <c r="E1316" t="s">
        <v>711</v>
      </c>
      <c r="F1316" s="40">
        <v>3</v>
      </c>
    </row>
    <row r="1317" spans="1:6" x14ac:dyDescent="0.25">
      <c r="C1317" t="s">
        <v>2493</v>
      </c>
      <c r="D1317" t="s">
        <v>2492</v>
      </c>
      <c r="E1317" t="s">
        <v>2493</v>
      </c>
      <c r="F1317" s="40">
        <v>1</v>
      </c>
    </row>
    <row r="1318" spans="1:6" x14ac:dyDescent="0.25">
      <c r="D1318" t="s">
        <v>2495</v>
      </c>
      <c r="E1318" t="s">
        <v>2496</v>
      </c>
      <c r="F1318" s="40">
        <v>1</v>
      </c>
    </row>
    <row r="1319" spans="1:6" x14ac:dyDescent="0.25">
      <c r="D1319" t="s">
        <v>2499</v>
      </c>
      <c r="E1319" t="s">
        <v>2500</v>
      </c>
      <c r="F1319" s="40">
        <v>1</v>
      </c>
    </row>
    <row r="1320" spans="1:6" x14ac:dyDescent="0.25">
      <c r="D1320" t="s">
        <v>2503</v>
      </c>
      <c r="E1320" t="s">
        <v>2504</v>
      </c>
      <c r="F1320" s="40">
        <v>1</v>
      </c>
    </row>
    <row r="1321" spans="1:6" x14ac:dyDescent="0.25">
      <c r="C1321" t="s">
        <v>7962</v>
      </c>
      <c r="D1321" t="s">
        <v>2246</v>
      </c>
      <c r="E1321" t="s">
        <v>2247</v>
      </c>
      <c r="F1321" s="40">
        <v>1</v>
      </c>
    </row>
    <row r="1322" spans="1:6" x14ac:dyDescent="0.25">
      <c r="D1322" t="s">
        <v>2535</v>
      </c>
      <c r="E1322" t="s">
        <v>2536</v>
      </c>
      <c r="F1322" s="40">
        <v>1</v>
      </c>
    </row>
    <row r="1323" spans="1:6" x14ac:dyDescent="0.25">
      <c r="D1323" t="s">
        <v>2249</v>
      </c>
      <c r="E1323" t="s">
        <v>2250</v>
      </c>
      <c r="F1323" s="40">
        <v>1</v>
      </c>
    </row>
    <row r="1324" spans="1:6" x14ac:dyDescent="0.25">
      <c r="A1324" t="s">
        <v>7852</v>
      </c>
      <c r="F1324" s="40">
        <v>404</v>
      </c>
    </row>
    <row r="1325" spans="1:6" x14ac:dyDescent="0.25">
      <c r="A1325" t="s">
        <v>7969</v>
      </c>
      <c r="B1325" t="s">
        <v>7046</v>
      </c>
      <c r="C1325" t="s">
        <v>7962</v>
      </c>
      <c r="D1325" t="s">
        <v>5</v>
      </c>
      <c r="E1325" t="s">
        <v>6</v>
      </c>
      <c r="F1325" s="40">
        <v>1</v>
      </c>
    </row>
    <row r="1326" spans="1:6" x14ac:dyDescent="0.25">
      <c r="A1326" t="s">
        <v>7970</v>
      </c>
      <c r="F1326" s="40">
        <v>1</v>
      </c>
    </row>
    <row r="1327" spans="1:6" x14ac:dyDescent="0.25">
      <c r="A1327" t="s">
        <v>7753</v>
      </c>
      <c r="F1327" s="40">
        <v>1809</v>
      </c>
    </row>
  </sheetData>
  <mergeCells count="1">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0F91-064E-466D-90DF-72842250F758}">
  <dimension ref="A1:D61"/>
  <sheetViews>
    <sheetView workbookViewId="0">
      <selection activeCell="D32" sqref="D32"/>
    </sheetView>
  </sheetViews>
  <sheetFormatPr defaultRowHeight="15" x14ac:dyDescent="0.25"/>
  <cols>
    <col min="1" max="1" width="16.42578125" bestFit="1" customWidth="1"/>
    <col min="2" max="2" width="39.28515625" bestFit="1" customWidth="1"/>
    <col min="3" max="3" width="5.42578125" bestFit="1" customWidth="1"/>
    <col min="4" max="4" width="36.85546875" customWidth="1"/>
    <col min="5" max="6" width="5.42578125" bestFit="1" customWidth="1"/>
    <col min="7" max="51" width="6.42578125" bestFit="1" customWidth="1"/>
    <col min="52" max="53" width="10.7109375" bestFit="1" customWidth="1"/>
  </cols>
  <sheetData>
    <row r="1" spans="1:4" x14ac:dyDescent="0.25">
      <c r="A1" s="7" t="s">
        <v>7965</v>
      </c>
      <c r="B1" t="s">
        <v>7755</v>
      </c>
      <c r="C1" s="34" t="s">
        <v>7980</v>
      </c>
      <c r="D1" s="35"/>
    </row>
    <row r="2" spans="1:4" ht="15.75" thickBot="1" x14ac:dyDescent="0.3">
      <c r="A2" s="7" t="s">
        <v>7966</v>
      </c>
      <c r="B2" t="s">
        <v>7755</v>
      </c>
      <c r="C2" s="36"/>
      <c r="D2" s="37"/>
    </row>
    <row r="3" spans="1:4" x14ac:dyDescent="0.25">
      <c r="A3" s="7" t="s">
        <v>7678</v>
      </c>
      <c r="B3" t="s">
        <v>7964</v>
      </c>
    </row>
    <row r="4" spans="1:4" x14ac:dyDescent="0.25">
      <c r="A4" s="7" t="s">
        <v>7671</v>
      </c>
      <c r="B4" t="s">
        <v>7755</v>
      </c>
    </row>
    <row r="5" spans="1:4" x14ac:dyDescent="0.25">
      <c r="A5" s="7" t="s">
        <v>7961</v>
      </c>
      <c r="B5" t="s">
        <v>7755</v>
      </c>
    </row>
    <row r="7" spans="1:4" x14ac:dyDescent="0.25">
      <c r="A7" s="7" t="s">
        <v>7754</v>
      </c>
    </row>
    <row r="8" spans="1:4" x14ac:dyDescent="0.25">
      <c r="A8" s="7" t="s">
        <v>2</v>
      </c>
      <c r="B8" s="7" t="s">
        <v>3</v>
      </c>
      <c r="C8" t="s">
        <v>7756</v>
      </c>
    </row>
    <row r="9" spans="1:4" x14ac:dyDescent="0.25">
      <c r="A9" t="s">
        <v>616</v>
      </c>
      <c r="B9" t="s">
        <v>617</v>
      </c>
      <c r="C9" s="40">
        <v>21</v>
      </c>
    </row>
    <row r="10" spans="1:4" x14ac:dyDescent="0.25">
      <c r="A10" t="s">
        <v>4791</v>
      </c>
      <c r="B10" t="s">
        <v>4792</v>
      </c>
      <c r="C10" s="40">
        <v>7</v>
      </c>
    </row>
    <row r="11" spans="1:4" x14ac:dyDescent="0.25">
      <c r="A11" t="s">
        <v>4873</v>
      </c>
      <c r="B11" t="s">
        <v>4874</v>
      </c>
      <c r="C11" s="40">
        <v>1</v>
      </c>
    </row>
    <row r="12" spans="1:4" x14ac:dyDescent="0.25">
      <c r="A12" t="s">
        <v>3525</v>
      </c>
      <c r="B12" t="s">
        <v>3526</v>
      </c>
      <c r="C12" s="40">
        <v>4</v>
      </c>
    </row>
    <row r="13" spans="1:4" x14ac:dyDescent="0.25">
      <c r="A13" t="s">
        <v>1068</v>
      </c>
      <c r="B13" t="s">
        <v>1083</v>
      </c>
      <c r="C13" s="40">
        <v>1</v>
      </c>
    </row>
    <row r="14" spans="1:4" x14ac:dyDescent="0.25">
      <c r="A14" t="s">
        <v>1071</v>
      </c>
      <c r="B14" t="s">
        <v>1072</v>
      </c>
      <c r="C14" s="40">
        <v>1</v>
      </c>
    </row>
    <row r="15" spans="1:4" x14ac:dyDescent="0.25">
      <c r="A15" t="s">
        <v>1111</v>
      </c>
      <c r="B15" t="s">
        <v>1112</v>
      </c>
      <c r="C15" s="40">
        <v>1</v>
      </c>
    </row>
    <row r="16" spans="1:4" x14ac:dyDescent="0.25">
      <c r="A16" t="s">
        <v>4887</v>
      </c>
      <c r="B16" t="s">
        <v>4888</v>
      </c>
      <c r="C16" s="40">
        <v>1</v>
      </c>
    </row>
    <row r="17" spans="1:3" x14ac:dyDescent="0.25">
      <c r="A17" t="s">
        <v>1734</v>
      </c>
      <c r="B17" t="s">
        <v>1735</v>
      </c>
      <c r="C17" s="40">
        <v>2</v>
      </c>
    </row>
    <row r="18" spans="1:3" x14ac:dyDescent="0.25">
      <c r="A18" t="s">
        <v>1903</v>
      </c>
      <c r="B18" t="s">
        <v>1904</v>
      </c>
      <c r="C18" s="40">
        <v>1</v>
      </c>
    </row>
    <row r="19" spans="1:3" x14ac:dyDescent="0.25">
      <c r="A19" t="s">
        <v>1941</v>
      </c>
      <c r="B19" t="s">
        <v>1942</v>
      </c>
      <c r="C19" s="40">
        <v>1</v>
      </c>
    </row>
    <row r="20" spans="1:3" x14ac:dyDescent="0.25">
      <c r="A20" t="s">
        <v>2149</v>
      </c>
      <c r="B20" t="s">
        <v>2150</v>
      </c>
      <c r="C20" s="40">
        <v>1</v>
      </c>
    </row>
    <row r="21" spans="1:3" x14ac:dyDescent="0.25">
      <c r="A21" t="s">
        <v>2395</v>
      </c>
      <c r="B21" t="s">
        <v>2396</v>
      </c>
      <c r="C21" s="40">
        <v>1</v>
      </c>
    </row>
    <row r="22" spans="1:3" x14ac:dyDescent="0.25">
      <c r="A22" t="s">
        <v>2453</v>
      </c>
      <c r="B22" t="s">
        <v>2454</v>
      </c>
      <c r="C22" s="40">
        <v>1</v>
      </c>
    </row>
    <row r="23" spans="1:3" x14ac:dyDescent="0.25">
      <c r="A23" t="s">
        <v>541</v>
      </c>
      <c r="B23" t="s">
        <v>542</v>
      </c>
      <c r="C23" s="40">
        <v>1</v>
      </c>
    </row>
    <row r="24" spans="1:3" x14ac:dyDescent="0.25">
      <c r="A24" t="s">
        <v>740</v>
      </c>
      <c r="B24" t="s">
        <v>741</v>
      </c>
      <c r="C24" s="40">
        <v>1</v>
      </c>
    </row>
    <row r="25" spans="1:3" x14ac:dyDescent="0.25">
      <c r="A25" t="s">
        <v>647</v>
      </c>
      <c r="B25" t="s">
        <v>648</v>
      </c>
      <c r="C25" s="40">
        <v>1</v>
      </c>
    </row>
    <row r="26" spans="1:3" x14ac:dyDescent="0.25">
      <c r="A26" t="s">
        <v>688</v>
      </c>
      <c r="B26" t="s">
        <v>689</v>
      </c>
      <c r="C26" s="40">
        <v>1</v>
      </c>
    </row>
    <row r="27" spans="1:3" x14ac:dyDescent="0.25">
      <c r="A27" t="s">
        <v>1431</v>
      </c>
      <c r="B27" t="s">
        <v>1432</v>
      </c>
      <c r="C27" s="40">
        <v>1</v>
      </c>
    </row>
    <row r="28" spans="1:3" x14ac:dyDescent="0.25">
      <c r="A28" t="s">
        <v>1413</v>
      </c>
      <c r="B28" t="s">
        <v>1414</v>
      </c>
      <c r="C28" s="40">
        <v>1</v>
      </c>
    </row>
    <row r="29" spans="1:3" x14ac:dyDescent="0.25">
      <c r="A29" t="s">
        <v>1503</v>
      </c>
      <c r="B29" t="s">
        <v>1504</v>
      </c>
      <c r="C29" s="40">
        <v>1</v>
      </c>
    </row>
    <row r="30" spans="1:3" x14ac:dyDescent="0.25">
      <c r="A30" t="s">
        <v>378</v>
      </c>
      <c r="B30" t="s">
        <v>379</v>
      </c>
      <c r="C30" s="40">
        <v>1</v>
      </c>
    </row>
    <row r="31" spans="1:3" x14ac:dyDescent="0.25">
      <c r="A31" t="s">
        <v>451</v>
      </c>
      <c r="B31" t="s">
        <v>452</v>
      </c>
      <c r="C31" s="40">
        <v>1</v>
      </c>
    </row>
    <row r="32" spans="1:3" x14ac:dyDescent="0.25">
      <c r="A32" t="s">
        <v>494</v>
      </c>
      <c r="B32" t="s">
        <v>495</v>
      </c>
      <c r="C32" s="40">
        <v>1</v>
      </c>
    </row>
    <row r="33" spans="1:3" x14ac:dyDescent="0.25">
      <c r="A33" t="s">
        <v>3816</v>
      </c>
      <c r="B33" t="s">
        <v>3817</v>
      </c>
      <c r="C33" s="40">
        <v>1</v>
      </c>
    </row>
    <row r="34" spans="1:3" x14ac:dyDescent="0.25">
      <c r="A34" t="s">
        <v>5581</v>
      </c>
      <c r="B34" t="s">
        <v>5582</v>
      </c>
      <c r="C34" s="40">
        <v>1</v>
      </c>
    </row>
    <row r="35" spans="1:3" x14ac:dyDescent="0.25">
      <c r="A35" t="s">
        <v>5484</v>
      </c>
      <c r="B35" t="s">
        <v>5485</v>
      </c>
      <c r="C35" s="40">
        <v>1</v>
      </c>
    </row>
    <row r="36" spans="1:3" x14ac:dyDescent="0.25">
      <c r="A36" t="s">
        <v>4709</v>
      </c>
      <c r="B36" t="s">
        <v>4710</v>
      </c>
      <c r="C36" s="40">
        <v>1</v>
      </c>
    </row>
    <row r="37" spans="1:3" x14ac:dyDescent="0.25">
      <c r="A37" t="s">
        <v>4936</v>
      </c>
      <c r="B37" t="s">
        <v>4937</v>
      </c>
      <c r="C37" s="40">
        <v>1</v>
      </c>
    </row>
    <row r="38" spans="1:3" x14ac:dyDescent="0.25">
      <c r="A38" t="s">
        <v>4733</v>
      </c>
      <c r="B38" t="s">
        <v>4734</v>
      </c>
      <c r="C38" s="40">
        <v>1</v>
      </c>
    </row>
    <row r="39" spans="1:3" x14ac:dyDescent="0.25">
      <c r="A39" t="s">
        <v>5275</v>
      </c>
      <c r="B39" t="s">
        <v>5276</v>
      </c>
      <c r="C39" s="40">
        <v>1</v>
      </c>
    </row>
    <row r="40" spans="1:3" x14ac:dyDescent="0.25">
      <c r="A40" t="s">
        <v>4990</v>
      </c>
      <c r="B40" t="s">
        <v>4991</v>
      </c>
      <c r="C40" s="40">
        <v>1</v>
      </c>
    </row>
    <row r="41" spans="1:3" x14ac:dyDescent="0.25">
      <c r="A41" t="s">
        <v>4811</v>
      </c>
      <c r="B41" t="s">
        <v>4812</v>
      </c>
      <c r="C41" s="40">
        <v>1</v>
      </c>
    </row>
    <row r="42" spans="1:3" x14ac:dyDescent="0.25">
      <c r="A42" t="s">
        <v>5219</v>
      </c>
      <c r="B42" t="s">
        <v>5220</v>
      </c>
      <c r="C42" s="40">
        <v>1</v>
      </c>
    </row>
    <row r="43" spans="1:3" x14ac:dyDescent="0.25">
      <c r="A43" t="s">
        <v>5204</v>
      </c>
      <c r="B43" t="s">
        <v>5205</v>
      </c>
      <c r="C43" s="40">
        <v>1</v>
      </c>
    </row>
    <row r="44" spans="1:3" x14ac:dyDescent="0.25">
      <c r="A44" t="s">
        <v>5168</v>
      </c>
      <c r="B44" t="s">
        <v>5169</v>
      </c>
      <c r="C44" s="40">
        <v>1</v>
      </c>
    </row>
    <row r="45" spans="1:3" x14ac:dyDescent="0.25">
      <c r="A45" t="s">
        <v>4392</v>
      </c>
      <c r="B45" t="s">
        <v>4393</v>
      </c>
      <c r="C45" s="40">
        <v>1</v>
      </c>
    </row>
    <row r="46" spans="1:3" x14ac:dyDescent="0.25">
      <c r="A46" t="s">
        <v>4415</v>
      </c>
      <c r="B46" t="s">
        <v>4416</v>
      </c>
      <c r="C46" s="40">
        <v>1</v>
      </c>
    </row>
    <row r="47" spans="1:3" x14ac:dyDescent="0.25">
      <c r="A47" t="s">
        <v>4428</v>
      </c>
      <c r="B47" t="s">
        <v>4429</v>
      </c>
      <c r="C47" s="40">
        <v>1</v>
      </c>
    </row>
    <row r="48" spans="1:3" x14ac:dyDescent="0.25">
      <c r="A48" t="s">
        <v>4620</v>
      </c>
      <c r="B48" t="s">
        <v>4621</v>
      </c>
      <c r="C48" s="40">
        <v>1</v>
      </c>
    </row>
    <row r="49" spans="1:3" x14ac:dyDescent="0.25">
      <c r="A49" t="s">
        <v>6528</v>
      </c>
      <c r="B49" t="s">
        <v>6529</v>
      </c>
      <c r="C49" s="40">
        <v>1</v>
      </c>
    </row>
    <row r="50" spans="1:3" x14ac:dyDescent="0.25">
      <c r="A50" t="s">
        <v>6297</v>
      </c>
      <c r="B50" t="s">
        <v>6298</v>
      </c>
      <c r="C50" s="40">
        <v>1</v>
      </c>
    </row>
    <row r="51" spans="1:3" x14ac:dyDescent="0.25">
      <c r="A51" t="s">
        <v>6385</v>
      </c>
      <c r="B51" t="s">
        <v>6386</v>
      </c>
      <c r="C51" s="40">
        <v>1</v>
      </c>
    </row>
    <row r="52" spans="1:3" x14ac:dyDescent="0.25">
      <c r="A52" t="s">
        <v>6401</v>
      </c>
      <c r="B52" t="s">
        <v>6402</v>
      </c>
      <c r="C52" s="40">
        <v>1</v>
      </c>
    </row>
    <row r="53" spans="1:3" x14ac:dyDescent="0.25">
      <c r="A53" t="s">
        <v>5859</v>
      </c>
      <c r="B53" t="s">
        <v>5860</v>
      </c>
      <c r="C53" s="40">
        <v>1</v>
      </c>
    </row>
    <row r="54" spans="1:3" x14ac:dyDescent="0.25">
      <c r="A54" t="s">
        <v>6761</v>
      </c>
      <c r="B54" t="s">
        <v>6762</v>
      </c>
      <c r="C54" s="40">
        <v>1</v>
      </c>
    </row>
    <row r="55" spans="1:3" x14ac:dyDescent="0.25">
      <c r="A55" t="s">
        <v>6180</v>
      </c>
      <c r="B55" t="s">
        <v>6181</v>
      </c>
      <c r="C55" s="40">
        <v>1</v>
      </c>
    </row>
    <row r="56" spans="1:3" x14ac:dyDescent="0.25">
      <c r="A56" t="s">
        <v>6696</v>
      </c>
      <c r="B56" t="s">
        <v>6697</v>
      </c>
      <c r="C56" s="40">
        <v>1</v>
      </c>
    </row>
    <row r="57" spans="1:3" x14ac:dyDescent="0.25">
      <c r="A57" t="s">
        <v>6120</v>
      </c>
      <c r="B57" t="s">
        <v>6121</v>
      </c>
      <c r="C57" s="40">
        <v>1</v>
      </c>
    </row>
    <row r="58" spans="1:3" x14ac:dyDescent="0.25">
      <c r="A58" t="s">
        <v>6205</v>
      </c>
      <c r="B58" t="s">
        <v>6206</v>
      </c>
      <c r="C58" s="40">
        <v>1</v>
      </c>
    </row>
    <row r="59" spans="1:3" x14ac:dyDescent="0.25">
      <c r="A59" t="s">
        <v>6601</v>
      </c>
      <c r="B59" t="s">
        <v>6602</v>
      </c>
      <c r="C59" s="40">
        <v>1</v>
      </c>
    </row>
    <row r="60" spans="1:3" x14ac:dyDescent="0.25">
      <c r="A60" t="s">
        <v>7927</v>
      </c>
      <c r="B60" t="s">
        <v>7929</v>
      </c>
      <c r="C60" s="40">
        <v>1</v>
      </c>
    </row>
    <row r="61" spans="1:3" x14ac:dyDescent="0.25">
      <c r="A61" t="s">
        <v>7753</v>
      </c>
      <c r="C61" s="40">
        <v>82</v>
      </c>
    </row>
  </sheetData>
  <mergeCells count="1">
    <mergeCell ref="C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A2AE-1793-41EC-826E-17B245F9458C}">
  <dimension ref="A1:F1477"/>
  <sheetViews>
    <sheetView workbookViewId="0">
      <selection activeCell="C1" sqref="C1:D2"/>
    </sheetView>
  </sheetViews>
  <sheetFormatPr defaultRowHeight="15" x14ac:dyDescent="0.25"/>
  <cols>
    <col min="1" max="1" width="56.42578125" bestFit="1" customWidth="1"/>
    <col min="2" max="2" width="54.5703125" customWidth="1"/>
    <col min="3" max="3" width="44.42578125" bestFit="1" customWidth="1"/>
    <col min="4" max="4" width="28.7109375" bestFit="1" customWidth="1"/>
    <col min="5" max="5" width="84.28515625" bestFit="1" customWidth="1"/>
    <col min="6" max="6" width="5.42578125" bestFit="1" customWidth="1"/>
    <col min="7" max="7" width="21" bestFit="1" customWidth="1"/>
    <col min="8" max="51" width="6.42578125" bestFit="1" customWidth="1"/>
    <col min="52" max="53" width="10.7109375" bestFit="1" customWidth="1"/>
  </cols>
  <sheetData>
    <row r="1" spans="1:6" x14ac:dyDescent="0.25">
      <c r="A1" s="7" t="s">
        <v>7678</v>
      </c>
      <c r="B1" s="31" t="s">
        <v>7703</v>
      </c>
      <c r="C1" s="34" t="s">
        <v>7980</v>
      </c>
      <c r="D1" s="35"/>
    </row>
    <row r="2" spans="1:6" ht="15.75" thickBot="1" x14ac:dyDescent="0.3">
      <c r="A2" s="7" t="s">
        <v>7966</v>
      </c>
      <c r="B2" t="s">
        <v>7755</v>
      </c>
      <c r="C2" s="36"/>
      <c r="D2" s="37"/>
    </row>
    <row r="4" spans="1:6" x14ac:dyDescent="0.25">
      <c r="A4" s="7" t="s">
        <v>7754</v>
      </c>
    </row>
    <row r="5" spans="1:6" x14ac:dyDescent="0.25">
      <c r="A5" s="7" t="s">
        <v>7965</v>
      </c>
      <c r="B5" s="7" t="s">
        <v>7961</v>
      </c>
      <c r="C5" s="7" t="s">
        <v>7671</v>
      </c>
      <c r="D5" s="7" t="s">
        <v>2</v>
      </c>
      <c r="E5" s="7" t="s">
        <v>3</v>
      </c>
      <c r="F5" t="s">
        <v>7756</v>
      </c>
    </row>
    <row r="6" spans="1:6" x14ac:dyDescent="0.25">
      <c r="A6" t="s">
        <v>7674</v>
      </c>
      <c r="B6" t="s">
        <v>3361</v>
      </c>
      <c r="C6" t="s">
        <v>7308</v>
      </c>
      <c r="D6" t="s">
        <v>208</v>
      </c>
      <c r="E6" t="s">
        <v>209</v>
      </c>
      <c r="F6" s="40">
        <v>4</v>
      </c>
    </row>
    <row r="7" spans="1:6" x14ac:dyDescent="0.25">
      <c r="B7" t="s">
        <v>3062</v>
      </c>
      <c r="C7" t="s">
        <v>7308</v>
      </c>
      <c r="D7" t="s">
        <v>3036</v>
      </c>
      <c r="E7" t="s">
        <v>3037</v>
      </c>
      <c r="F7" s="40">
        <v>2</v>
      </c>
    </row>
    <row r="8" spans="1:6" x14ac:dyDescent="0.25">
      <c r="D8" t="s">
        <v>3161</v>
      </c>
      <c r="E8" t="s">
        <v>3162</v>
      </c>
      <c r="F8" s="40">
        <v>2</v>
      </c>
    </row>
    <row r="9" spans="1:6" x14ac:dyDescent="0.25">
      <c r="D9" t="s">
        <v>239</v>
      </c>
      <c r="E9" t="s">
        <v>240</v>
      </c>
      <c r="F9" s="40">
        <v>19</v>
      </c>
    </row>
    <row r="10" spans="1:6" x14ac:dyDescent="0.25">
      <c r="D10" t="s">
        <v>208</v>
      </c>
      <c r="E10" t="s">
        <v>209</v>
      </c>
      <c r="F10" s="40">
        <v>3</v>
      </c>
    </row>
    <row r="11" spans="1:6" x14ac:dyDescent="0.25">
      <c r="D11" t="s">
        <v>236</v>
      </c>
      <c r="E11" t="s">
        <v>237</v>
      </c>
      <c r="F11" s="40">
        <v>4</v>
      </c>
    </row>
    <row r="12" spans="1:6" x14ac:dyDescent="0.25">
      <c r="D12" t="s">
        <v>3167</v>
      </c>
      <c r="E12" t="s">
        <v>3168</v>
      </c>
      <c r="F12" s="40">
        <v>14</v>
      </c>
    </row>
    <row r="13" spans="1:6" x14ac:dyDescent="0.25">
      <c r="D13" t="s">
        <v>219</v>
      </c>
      <c r="E13" t="s">
        <v>220</v>
      </c>
      <c r="F13" s="40">
        <v>4</v>
      </c>
    </row>
    <row r="14" spans="1:6" x14ac:dyDescent="0.25">
      <c r="D14" t="s">
        <v>915</v>
      </c>
      <c r="E14" t="s">
        <v>916</v>
      </c>
      <c r="F14" s="40">
        <v>20</v>
      </c>
    </row>
    <row r="15" spans="1:6" x14ac:dyDescent="0.25">
      <c r="D15" t="s">
        <v>3153</v>
      </c>
      <c r="E15" t="s">
        <v>3154</v>
      </c>
      <c r="F15" s="40">
        <v>4</v>
      </c>
    </row>
    <row r="16" spans="1:6" x14ac:dyDescent="0.25">
      <c r="D16" t="s">
        <v>2748</v>
      </c>
      <c r="E16" t="s">
        <v>2749</v>
      </c>
      <c r="F16" s="40">
        <v>30</v>
      </c>
    </row>
    <row r="17" spans="2:6" x14ac:dyDescent="0.25">
      <c r="D17" t="s">
        <v>226</v>
      </c>
      <c r="E17" t="s">
        <v>227</v>
      </c>
      <c r="F17" s="40">
        <v>22</v>
      </c>
    </row>
    <row r="18" spans="2:6" x14ac:dyDescent="0.25">
      <c r="D18" t="s">
        <v>212</v>
      </c>
      <c r="E18" t="s">
        <v>213</v>
      </c>
      <c r="F18" s="40">
        <v>6</v>
      </c>
    </row>
    <row r="19" spans="2:6" x14ac:dyDescent="0.25">
      <c r="D19" t="s">
        <v>2592</v>
      </c>
      <c r="E19" t="s">
        <v>2593</v>
      </c>
      <c r="F19" s="40">
        <v>4</v>
      </c>
    </row>
    <row r="20" spans="2:6" x14ac:dyDescent="0.25">
      <c r="D20" t="s">
        <v>222</v>
      </c>
      <c r="E20" t="s">
        <v>223</v>
      </c>
      <c r="F20" s="40">
        <v>22</v>
      </c>
    </row>
    <row r="21" spans="2:6" x14ac:dyDescent="0.25">
      <c r="D21" t="s">
        <v>2590</v>
      </c>
      <c r="E21" t="s">
        <v>2591</v>
      </c>
      <c r="F21" s="40">
        <v>4</v>
      </c>
    </row>
    <row r="22" spans="2:6" x14ac:dyDescent="0.25">
      <c r="D22" t="s">
        <v>230</v>
      </c>
      <c r="E22" t="s">
        <v>231</v>
      </c>
      <c r="F22" s="40">
        <v>28</v>
      </c>
    </row>
    <row r="23" spans="2:6" x14ac:dyDescent="0.25">
      <c r="B23" t="s">
        <v>3223</v>
      </c>
      <c r="C23" t="s">
        <v>7308</v>
      </c>
      <c r="D23" t="s">
        <v>239</v>
      </c>
      <c r="E23" t="s">
        <v>240</v>
      </c>
      <c r="F23" s="40">
        <v>2</v>
      </c>
    </row>
    <row r="24" spans="2:6" x14ac:dyDescent="0.25">
      <c r="D24" t="s">
        <v>208</v>
      </c>
      <c r="E24" t="s">
        <v>209</v>
      </c>
      <c r="F24" s="40">
        <v>66</v>
      </c>
    </row>
    <row r="25" spans="2:6" x14ac:dyDescent="0.25">
      <c r="D25" t="s">
        <v>2659</v>
      </c>
      <c r="E25" t="s">
        <v>2660</v>
      </c>
      <c r="F25" s="40">
        <v>4</v>
      </c>
    </row>
    <row r="26" spans="2:6" x14ac:dyDescent="0.25">
      <c r="D26" t="s">
        <v>236</v>
      </c>
      <c r="E26" t="s">
        <v>237</v>
      </c>
      <c r="F26" s="40">
        <v>24</v>
      </c>
    </row>
    <row r="27" spans="2:6" x14ac:dyDescent="0.25">
      <c r="D27" t="s">
        <v>233</v>
      </c>
      <c r="E27" t="s">
        <v>234</v>
      </c>
      <c r="F27" s="40">
        <v>1</v>
      </c>
    </row>
    <row r="28" spans="2:6" x14ac:dyDescent="0.25">
      <c r="D28" t="s">
        <v>219</v>
      </c>
      <c r="E28" t="s">
        <v>220</v>
      </c>
      <c r="F28" s="40">
        <v>6</v>
      </c>
    </row>
    <row r="29" spans="2:6" x14ac:dyDescent="0.25">
      <c r="D29" t="s">
        <v>915</v>
      </c>
      <c r="E29" t="s">
        <v>916</v>
      </c>
      <c r="F29" s="40">
        <v>14</v>
      </c>
    </row>
    <row r="30" spans="2:6" x14ac:dyDescent="0.25">
      <c r="D30" t="s">
        <v>226</v>
      </c>
      <c r="E30" t="s">
        <v>227</v>
      </c>
      <c r="F30" s="40">
        <v>1</v>
      </c>
    </row>
    <row r="31" spans="2:6" x14ac:dyDescent="0.25">
      <c r="D31" t="s">
        <v>212</v>
      </c>
      <c r="E31" t="s">
        <v>213</v>
      </c>
      <c r="F31" s="40">
        <v>12</v>
      </c>
    </row>
    <row r="32" spans="2:6" x14ac:dyDescent="0.25">
      <c r="D32" t="s">
        <v>2647</v>
      </c>
      <c r="E32" t="s">
        <v>2648</v>
      </c>
      <c r="F32" s="40">
        <v>4</v>
      </c>
    </row>
    <row r="33" spans="2:6" x14ac:dyDescent="0.25">
      <c r="D33" t="s">
        <v>222</v>
      </c>
      <c r="E33" t="s">
        <v>223</v>
      </c>
      <c r="F33" s="40">
        <v>32</v>
      </c>
    </row>
    <row r="34" spans="2:6" x14ac:dyDescent="0.25">
      <c r="D34" t="s">
        <v>950</v>
      </c>
      <c r="E34" t="s">
        <v>951</v>
      </c>
      <c r="F34" s="40">
        <v>6</v>
      </c>
    </row>
    <row r="35" spans="2:6" x14ac:dyDescent="0.25">
      <c r="D35" t="s">
        <v>230</v>
      </c>
      <c r="E35" t="s">
        <v>231</v>
      </c>
      <c r="F35" s="40">
        <v>33</v>
      </c>
    </row>
    <row r="36" spans="2:6" x14ac:dyDescent="0.25">
      <c r="D36" t="s">
        <v>3348</v>
      </c>
      <c r="E36" t="s">
        <v>7985</v>
      </c>
      <c r="F36" s="40">
        <v>2</v>
      </c>
    </row>
    <row r="37" spans="2:6" x14ac:dyDescent="0.25">
      <c r="D37" t="s">
        <v>3357</v>
      </c>
      <c r="E37" t="s">
        <v>3358</v>
      </c>
      <c r="F37" s="40">
        <v>2</v>
      </c>
    </row>
    <row r="38" spans="2:6" x14ac:dyDescent="0.25">
      <c r="B38" t="s">
        <v>2713</v>
      </c>
      <c r="C38" t="s">
        <v>7308</v>
      </c>
      <c r="D38" t="s">
        <v>563</v>
      </c>
      <c r="E38" t="s">
        <v>564</v>
      </c>
      <c r="F38" s="40">
        <v>4</v>
      </c>
    </row>
    <row r="39" spans="2:6" x14ac:dyDescent="0.25">
      <c r="D39" t="s">
        <v>915</v>
      </c>
      <c r="E39" t="s">
        <v>916</v>
      </c>
      <c r="F39" s="40">
        <v>13</v>
      </c>
    </row>
    <row r="40" spans="2:6" x14ac:dyDescent="0.25">
      <c r="D40" t="s">
        <v>2204</v>
      </c>
      <c r="E40" t="s">
        <v>2205</v>
      </c>
      <c r="F40" s="40">
        <v>4</v>
      </c>
    </row>
    <row r="41" spans="2:6" x14ac:dyDescent="0.25">
      <c r="D41" t="s">
        <v>950</v>
      </c>
      <c r="E41" t="s">
        <v>951</v>
      </c>
      <c r="F41" s="40">
        <v>13</v>
      </c>
    </row>
    <row r="42" spans="2:6" x14ac:dyDescent="0.25">
      <c r="B42" t="s">
        <v>7883</v>
      </c>
      <c r="C42" t="s">
        <v>7308</v>
      </c>
      <c r="D42" t="s">
        <v>3036</v>
      </c>
      <c r="E42" t="s">
        <v>3037</v>
      </c>
      <c r="F42" s="40">
        <v>4</v>
      </c>
    </row>
    <row r="43" spans="2:6" x14ac:dyDescent="0.25">
      <c r="D43" t="s">
        <v>208</v>
      </c>
      <c r="E43" t="s">
        <v>209</v>
      </c>
      <c r="F43" s="40">
        <v>29</v>
      </c>
    </row>
    <row r="44" spans="2:6" x14ac:dyDescent="0.25">
      <c r="D44" t="s">
        <v>2659</v>
      </c>
      <c r="E44" t="s">
        <v>2660</v>
      </c>
      <c r="F44" s="40">
        <v>22</v>
      </c>
    </row>
    <row r="45" spans="2:6" x14ac:dyDescent="0.25">
      <c r="D45" t="s">
        <v>3041</v>
      </c>
      <c r="E45" t="s">
        <v>3042</v>
      </c>
      <c r="F45" s="40">
        <v>4</v>
      </c>
    </row>
    <row r="46" spans="2:6" x14ac:dyDescent="0.25">
      <c r="D46" t="s">
        <v>1154</v>
      </c>
      <c r="E46" t="s">
        <v>1155</v>
      </c>
      <c r="F46" s="40">
        <v>4</v>
      </c>
    </row>
    <row r="47" spans="2:6" x14ac:dyDescent="0.25">
      <c r="D47" t="s">
        <v>915</v>
      </c>
      <c r="E47" t="s">
        <v>916</v>
      </c>
      <c r="F47" s="40">
        <v>8</v>
      </c>
    </row>
    <row r="48" spans="2:6" x14ac:dyDescent="0.25">
      <c r="D48" t="s">
        <v>3046</v>
      </c>
      <c r="E48" t="s">
        <v>3047</v>
      </c>
      <c r="F48" s="40">
        <v>4</v>
      </c>
    </row>
    <row r="49" spans="2:6" x14ac:dyDescent="0.25">
      <c r="D49" t="s">
        <v>212</v>
      </c>
      <c r="E49" t="s">
        <v>213</v>
      </c>
      <c r="F49" s="40">
        <v>17</v>
      </c>
    </row>
    <row r="50" spans="2:6" x14ac:dyDescent="0.25">
      <c r="D50" t="s">
        <v>2588</v>
      </c>
      <c r="E50" t="s">
        <v>2589</v>
      </c>
      <c r="F50" s="40">
        <v>4</v>
      </c>
    </row>
    <row r="51" spans="2:6" x14ac:dyDescent="0.25">
      <c r="D51" t="s">
        <v>2592</v>
      </c>
      <c r="E51" t="s">
        <v>2593</v>
      </c>
      <c r="F51" s="40">
        <v>4</v>
      </c>
    </row>
    <row r="52" spans="2:6" x14ac:dyDescent="0.25">
      <c r="D52" t="s">
        <v>265</v>
      </c>
      <c r="E52" t="s">
        <v>266</v>
      </c>
      <c r="F52" s="40">
        <v>4</v>
      </c>
    </row>
    <row r="53" spans="2:6" x14ac:dyDescent="0.25">
      <c r="D53" t="s">
        <v>222</v>
      </c>
      <c r="E53" t="s">
        <v>223</v>
      </c>
      <c r="F53" s="40">
        <v>4</v>
      </c>
    </row>
    <row r="54" spans="2:6" x14ac:dyDescent="0.25">
      <c r="D54" t="s">
        <v>460</v>
      </c>
      <c r="E54" t="s">
        <v>461</v>
      </c>
      <c r="F54" s="40">
        <v>4</v>
      </c>
    </row>
    <row r="55" spans="2:6" x14ac:dyDescent="0.25">
      <c r="D55" t="s">
        <v>2590</v>
      </c>
      <c r="E55" t="s">
        <v>2591</v>
      </c>
      <c r="F55" s="40">
        <v>4</v>
      </c>
    </row>
    <row r="56" spans="2:6" x14ac:dyDescent="0.25">
      <c r="D56" t="s">
        <v>230</v>
      </c>
      <c r="E56" t="s">
        <v>231</v>
      </c>
      <c r="F56" s="40">
        <v>8</v>
      </c>
    </row>
    <row r="57" spans="2:6" x14ac:dyDescent="0.25">
      <c r="B57" t="s">
        <v>7884</v>
      </c>
      <c r="C57" t="s">
        <v>7308</v>
      </c>
      <c r="D57" t="s">
        <v>596</v>
      </c>
      <c r="E57" t="s">
        <v>597</v>
      </c>
      <c r="F57" s="40">
        <v>1</v>
      </c>
    </row>
    <row r="58" spans="2:6" x14ac:dyDescent="0.25">
      <c r="B58" t="s">
        <v>7882</v>
      </c>
      <c r="C58" t="s">
        <v>7308</v>
      </c>
      <c r="D58" t="s">
        <v>2923</v>
      </c>
      <c r="E58" t="s">
        <v>2924</v>
      </c>
      <c r="F58" s="40">
        <v>4</v>
      </c>
    </row>
    <row r="59" spans="2:6" x14ac:dyDescent="0.25">
      <c r="D59" t="s">
        <v>2885</v>
      </c>
      <c r="E59" t="s">
        <v>2886</v>
      </c>
      <c r="F59" s="40">
        <v>1</v>
      </c>
    </row>
    <row r="60" spans="2:6" x14ac:dyDescent="0.25">
      <c r="D60" t="s">
        <v>920</v>
      </c>
      <c r="E60" t="s">
        <v>921</v>
      </c>
      <c r="F60" s="40">
        <v>1</v>
      </c>
    </row>
    <row r="61" spans="2:6" x14ac:dyDescent="0.25">
      <c r="D61" t="s">
        <v>2877</v>
      </c>
      <c r="E61" t="s">
        <v>2878</v>
      </c>
      <c r="F61" s="40">
        <v>2</v>
      </c>
    </row>
    <row r="62" spans="2:6" x14ac:dyDescent="0.25">
      <c r="D62" t="s">
        <v>2889</v>
      </c>
      <c r="E62" t="s">
        <v>2890</v>
      </c>
      <c r="F62" s="40">
        <v>1</v>
      </c>
    </row>
    <row r="63" spans="2:6" x14ac:dyDescent="0.25">
      <c r="D63" t="s">
        <v>1025</v>
      </c>
      <c r="E63" t="s">
        <v>1026</v>
      </c>
      <c r="F63" s="40">
        <v>6</v>
      </c>
    </row>
    <row r="64" spans="2:6" x14ac:dyDescent="0.25">
      <c r="D64" t="s">
        <v>586</v>
      </c>
      <c r="E64" t="s">
        <v>587</v>
      </c>
      <c r="F64" s="40">
        <v>2</v>
      </c>
    </row>
    <row r="65" spans="2:6" x14ac:dyDescent="0.25">
      <c r="D65" t="s">
        <v>233</v>
      </c>
      <c r="E65" t="s">
        <v>234</v>
      </c>
      <c r="F65" s="40">
        <v>2</v>
      </c>
    </row>
    <row r="66" spans="2:6" x14ac:dyDescent="0.25">
      <c r="D66" t="s">
        <v>1309</v>
      </c>
      <c r="E66" t="s">
        <v>1310</v>
      </c>
      <c r="F66" s="40">
        <v>2</v>
      </c>
    </row>
    <row r="67" spans="2:6" x14ac:dyDescent="0.25">
      <c r="D67" t="s">
        <v>268</v>
      </c>
      <c r="E67" t="s">
        <v>269</v>
      </c>
      <c r="F67" s="40">
        <v>2</v>
      </c>
    </row>
    <row r="68" spans="2:6" x14ac:dyDescent="0.25">
      <c r="D68" t="s">
        <v>222</v>
      </c>
      <c r="E68" t="s">
        <v>223</v>
      </c>
      <c r="F68" s="40">
        <v>2</v>
      </c>
    </row>
    <row r="69" spans="2:6" x14ac:dyDescent="0.25">
      <c r="D69" t="s">
        <v>1626</v>
      </c>
      <c r="E69" t="s">
        <v>1627</v>
      </c>
      <c r="F69" s="40">
        <v>4</v>
      </c>
    </row>
    <row r="70" spans="2:6" x14ac:dyDescent="0.25">
      <c r="D70" t="s">
        <v>2912</v>
      </c>
      <c r="E70" t="s">
        <v>2913</v>
      </c>
      <c r="F70" s="40">
        <v>2</v>
      </c>
    </row>
    <row r="71" spans="2:6" x14ac:dyDescent="0.25">
      <c r="D71" t="s">
        <v>2917</v>
      </c>
      <c r="E71" t="s">
        <v>2918</v>
      </c>
      <c r="F71" s="40">
        <v>2</v>
      </c>
    </row>
    <row r="72" spans="2:6" x14ac:dyDescent="0.25">
      <c r="D72" t="s">
        <v>230</v>
      </c>
      <c r="E72" t="s">
        <v>231</v>
      </c>
      <c r="F72" s="40">
        <v>2</v>
      </c>
    </row>
    <row r="73" spans="2:6" x14ac:dyDescent="0.25">
      <c r="D73" t="s">
        <v>2881</v>
      </c>
      <c r="E73" t="s">
        <v>2882</v>
      </c>
      <c r="F73" s="40">
        <v>1</v>
      </c>
    </row>
    <row r="74" spans="2:6" x14ac:dyDescent="0.25">
      <c r="B74" t="s">
        <v>7881</v>
      </c>
      <c r="C74" t="s">
        <v>7308</v>
      </c>
      <c r="D74" t="s">
        <v>1274</v>
      </c>
      <c r="E74" t="s">
        <v>1275</v>
      </c>
      <c r="F74" s="40">
        <v>1</v>
      </c>
    </row>
    <row r="75" spans="2:6" x14ac:dyDescent="0.25">
      <c r="D75" t="s">
        <v>2861</v>
      </c>
      <c r="E75" t="s">
        <v>2862</v>
      </c>
      <c r="F75" s="40">
        <v>1</v>
      </c>
    </row>
    <row r="76" spans="2:6" x14ac:dyDescent="0.25">
      <c r="D76" t="s">
        <v>920</v>
      </c>
      <c r="E76" t="s">
        <v>921</v>
      </c>
      <c r="F76" s="40">
        <v>2</v>
      </c>
    </row>
    <row r="77" spans="2:6" x14ac:dyDescent="0.25">
      <c r="D77" t="s">
        <v>216</v>
      </c>
      <c r="E77" t="s">
        <v>217</v>
      </c>
      <c r="F77" s="40">
        <v>7</v>
      </c>
    </row>
    <row r="78" spans="2:6" x14ac:dyDescent="0.25">
      <c r="D78" t="s">
        <v>2748</v>
      </c>
      <c r="E78" t="s">
        <v>2749</v>
      </c>
      <c r="F78" s="40">
        <v>42</v>
      </c>
    </row>
    <row r="79" spans="2:6" x14ac:dyDescent="0.25">
      <c r="D79" t="s">
        <v>2771</v>
      </c>
      <c r="E79" t="s">
        <v>2772</v>
      </c>
      <c r="F79" s="40">
        <v>4</v>
      </c>
    </row>
    <row r="80" spans="2:6" x14ac:dyDescent="0.25">
      <c r="D80" t="s">
        <v>226</v>
      </c>
      <c r="E80" t="s">
        <v>227</v>
      </c>
      <c r="F80" s="40">
        <v>1</v>
      </c>
    </row>
    <row r="81" spans="2:6" x14ac:dyDescent="0.25">
      <c r="D81" t="s">
        <v>2768</v>
      </c>
      <c r="E81" t="s">
        <v>2769</v>
      </c>
      <c r="F81" s="40">
        <v>4</v>
      </c>
    </row>
    <row r="82" spans="2:6" x14ac:dyDescent="0.25">
      <c r="D82" t="s">
        <v>222</v>
      </c>
      <c r="E82" t="s">
        <v>223</v>
      </c>
      <c r="F82" s="40">
        <v>8</v>
      </c>
    </row>
    <row r="83" spans="2:6" x14ac:dyDescent="0.25">
      <c r="D83" t="s">
        <v>698</v>
      </c>
      <c r="E83" t="s">
        <v>699</v>
      </c>
      <c r="F83" s="40">
        <v>1</v>
      </c>
    </row>
    <row r="84" spans="2:6" x14ac:dyDescent="0.25">
      <c r="D84" t="s">
        <v>695</v>
      </c>
      <c r="E84" t="s">
        <v>696</v>
      </c>
      <c r="F84" s="40">
        <v>1</v>
      </c>
    </row>
    <row r="85" spans="2:6" x14ac:dyDescent="0.25">
      <c r="D85" t="s">
        <v>701</v>
      </c>
      <c r="E85" t="s">
        <v>702</v>
      </c>
      <c r="F85" s="40">
        <v>2</v>
      </c>
    </row>
    <row r="86" spans="2:6" x14ac:dyDescent="0.25">
      <c r="B86" t="s">
        <v>7880</v>
      </c>
      <c r="C86" t="s">
        <v>7308</v>
      </c>
      <c r="D86" t="s">
        <v>2808</v>
      </c>
      <c r="E86" t="s">
        <v>2809</v>
      </c>
      <c r="F86" s="40">
        <v>1</v>
      </c>
    </row>
    <row r="87" spans="2:6" x14ac:dyDescent="0.25">
      <c r="D87" t="s">
        <v>2811</v>
      </c>
      <c r="E87" t="s">
        <v>2812</v>
      </c>
      <c r="F87" s="40">
        <v>1</v>
      </c>
    </row>
    <row r="88" spans="2:6" x14ac:dyDescent="0.25">
      <c r="D88" t="s">
        <v>2814</v>
      </c>
      <c r="E88" t="s">
        <v>2815</v>
      </c>
      <c r="F88" s="40">
        <v>1</v>
      </c>
    </row>
    <row r="89" spans="2:6" x14ac:dyDescent="0.25">
      <c r="D89" t="s">
        <v>2796</v>
      </c>
      <c r="E89" t="s">
        <v>2797</v>
      </c>
      <c r="F89" s="40">
        <v>2</v>
      </c>
    </row>
    <row r="90" spans="2:6" x14ac:dyDescent="0.25">
      <c r="D90" t="s">
        <v>2793</v>
      </c>
      <c r="E90" t="s">
        <v>2794</v>
      </c>
      <c r="F90" s="40">
        <v>2</v>
      </c>
    </row>
    <row r="91" spans="2:6" x14ac:dyDescent="0.25">
      <c r="D91" t="s">
        <v>2802</v>
      </c>
      <c r="E91" t="s">
        <v>2803</v>
      </c>
      <c r="F91" s="40">
        <v>1</v>
      </c>
    </row>
    <row r="92" spans="2:6" x14ac:dyDescent="0.25">
      <c r="D92" t="s">
        <v>2789</v>
      </c>
      <c r="E92" t="s">
        <v>2790</v>
      </c>
      <c r="F92" s="40">
        <v>1</v>
      </c>
    </row>
    <row r="93" spans="2:6" x14ac:dyDescent="0.25">
      <c r="D93" t="s">
        <v>920</v>
      </c>
      <c r="E93" t="s">
        <v>921</v>
      </c>
      <c r="F93" s="40">
        <v>2</v>
      </c>
    </row>
    <row r="94" spans="2:6" x14ac:dyDescent="0.25">
      <c r="D94" t="s">
        <v>2786</v>
      </c>
      <c r="E94" t="s">
        <v>2787</v>
      </c>
      <c r="F94" s="40">
        <v>2</v>
      </c>
    </row>
    <row r="95" spans="2:6" x14ac:dyDescent="0.25">
      <c r="D95" t="s">
        <v>2759</v>
      </c>
      <c r="E95" t="s">
        <v>2760</v>
      </c>
      <c r="F95" s="40">
        <v>1</v>
      </c>
    </row>
    <row r="96" spans="2:6" x14ac:dyDescent="0.25">
      <c r="D96" t="s">
        <v>2823</v>
      </c>
      <c r="E96" t="s">
        <v>2824</v>
      </c>
      <c r="F96" s="40">
        <v>1</v>
      </c>
    </row>
    <row r="97" spans="4:6" x14ac:dyDescent="0.25">
      <c r="D97" t="s">
        <v>2805</v>
      </c>
      <c r="E97" t="s">
        <v>2806</v>
      </c>
      <c r="F97" s="40">
        <v>2</v>
      </c>
    </row>
    <row r="98" spans="4:6" x14ac:dyDescent="0.25">
      <c r="D98" t="s">
        <v>442</v>
      </c>
      <c r="E98" t="s">
        <v>443</v>
      </c>
      <c r="F98" s="40">
        <v>6</v>
      </c>
    </row>
    <row r="99" spans="4:6" x14ac:dyDescent="0.25">
      <c r="D99" t="s">
        <v>2781</v>
      </c>
      <c r="E99" t="s">
        <v>2782</v>
      </c>
      <c r="F99" s="40">
        <v>1</v>
      </c>
    </row>
    <row r="100" spans="4:6" x14ac:dyDescent="0.25">
      <c r="D100" t="s">
        <v>445</v>
      </c>
      <c r="E100" t="s">
        <v>446</v>
      </c>
      <c r="F100" s="40">
        <v>6</v>
      </c>
    </row>
    <row r="101" spans="4:6" x14ac:dyDescent="0.25">
      <c r="D101" t="s">
        <v>2748</v>
      </c>
      <c r="E101" t="s">
        <v>2749</v>
      </c>
      <c r="F101" s="40">
        <v>40</v>
      </c>
    </row>
    <row r="102" spans="4:6" x14ac:dyDescent="0.25">
      <c r="D102" t="s">
        <v>2765</v>
      </c>
      <c r="E102" t="s">
        <v>2766</v>
      </c>
      <c r="F102" s="40">
        <v>2</v>
      </c>
    </row>
    <row r="103" spans="4:6" x14ac:dyDescent="0.25">
      <c r="D103" t="s">
        <v>2756</v>
      </c>
      <c r="E103" t="s">
        <v>2757</v>
      </c>
      <c r="F103" s="40">
        <v>2</v>
      </c>
    </row>
    <row r="104" spans="4:6" x14ac:dyDescent="0.25">
      <c r="D104" t="s">
        <v>2771</v>
      </c>
      <c r="E104" t="s">
        <v>2772</v>
      </c>
      <c r="F104" s="40">
        <v>2</v>
      </c>
    </row>
    <row r="105" spans="4:6" x14ac:dyDescent="0.25">
      <c r="D105" t="s">
        <v>2762</v>
      </c>
      <c r="E105" t="s">
        <v>2763</v>
      </c>
      <c r="F105" s="40">
        <v>4</v>
      </c>
    </row>
    <row r="106" spans="4:6" x14ac:dyDescent="0.25">
      <c r="D106" t="s">
        <v>670</v>
      </c>
      <c r="E106" t="s">
        <v>671</v>
      </c>
      <c r="F106" s="40">
        <v>2</v>
      </c>
    </row>
    <row r="107" spans="4:6" x14ac:dyDescent="0.25">
      <c r="D107" t="s">
        <v>2592</v>
      </c>
      <c r="E107" t="s">
        <v>2593</v>
      </c>
      <c r="F107" s="40">
        <v>1</v>
      </c>
    </row>
    <row r="108" spans="4:6" x14ac:dyDescent="0.25">
      <c r="D108" t="s">
        <v>2775</v>
      </c>
      <c r="E108" t="s">
        <v>2776</v>
      </c>
      <c r="F108" s="40">
        <v>4</v>
      </c>
    </row>
    <row r="109" spans="4:6" x14ac:dyDescent="0.25">
      <c r="D109" t="s">
        <v>2778</v>
      </c>
      <c r="E109" t="s">
        <v>2779</v>
      </c>
      <c r="F109" s="40">
        <v>1</v>
      </c>
    </row>
    <row r="110" spans="4:6" x14ac:dyDescent="0.25">
      <c r="D110" t="s">
        <v>2820</v>
      </c>
      <c r="E110" t="s">
        <v>2821</v>
      </c>
      <c r="F110" s="40">
        <v>1</v>
      </c>
    </row>
    <row r="111" spans="4:6" x14ac:dyDescent="0.25">
      <c r="D111" t="s">
        <v>2817</v>
      </c>
      <c r="E111" t="s">
        <v>2818</v>
      </c>
      <c r="F111" s="40">
        <v>1</v>
      </c>
    </row>
    <row r="112" spans="4:6" x14ac:dyDescent="0.25">
      <c r="D112" t="s">
        <v>2768</v>
      </c>
      <c r="E112" t="s">
        <v>2769</v>
      </c>
      <c r="F112" s="40">
        <v>2</v>
      </c>
    </row>
    <row r="113" spans="2:6" x14ac:dyDescent="0.25">
      <c r="D113" t="s">
        <v>268</v>
      </c>
      <c r="E113" t="s">
        <v>269</v>
      </c>
      <c r="F113" s="40">
        <v>2</v>
      </c>
    </row>
    <row r="114" spans="2:6" x14ac:dyDescent="0.25">
      <c r="D114" t="s">
        <v>439</v>
      </c>
      <c r="E114" t="s">
        <v>440</v>
      </c>
      <c r="F114" s="40">
        <v>6</v>
      </c>
    </row>
    <row r="115" spans="2:6" x14ac:dyDescent="0.25">
      <c r="D115" t="s">
        <v>2799</v>
      </c>
      <c r="E115" t="s">
        <v>2800</v>
      </c>
      <c r="F115" s="40">
        <v>1</v>
      </c>
    </row>
    <row r="116" spans="2:6" x14ac:dyDescent="0.25">
      <c r="B116" t="s">
        <v>3844</v>
      </c>
      <c r="C116" t="s">
        <v>7358</v>
      </c>
      <c r="D116" t="s">
        <v>3922</v>
      </c>
      <c r="E116" t="s">
        <v>3923</v>
      </c>
      <c r="F116" s="40">
        <v>3</v>
      </c>
    </row>
    <row r="117" spans="2:6" x14ac:dyDescent="0.25">
      <c r="D117" t="s">
        <v>3925</v>
      </c>
      <c r="E117" t="s">
        <v>3926</v>
      </c>
      <c r="F117" s="40">
        <v>3</v>
      </c>
    </row>
    <row r="118" spans="2:6" x14ac:dyDescent="0.25">
      <c r="D118" t="s">
        <v>3919</v>
      </c>
      <c r="E118" t="s">
        <v>3920</v>
      </c>
      <c r="F118" s="40">
        <v>1</v>
      </c>
    </row>
    <row r="119" spans="2:6" x14ac:dyDescent="0.25">
      <c r="B119" t="s">
        <v>7913</v>
      </c>
      <c r="C119" t="s">
        <v>7358</v>
      </c>
      <c r="D119" t="s">
        <v>3904</v>
      </c>
      <c r="E119" t="s">
        <v>3905</v>
      </c>
      <c r="F119" s="40">
        <v>1</v>
      </c>
    </row>
    <row r="120" spans="2:6" x14ac:dyDescent="0.25">
      <c r="D120" t="s">
        <v>3428</v>
      </c>
      <c r="E120" t="s">
        <v>3429</v>
      </c>
      <c r="F120" s="40">
        <v>1</v>
      </c>
    </row>
    <row r="121" spans="2:6" x14ac:dyDescent="0.25">
      <c r="D121" t="s">
        <v>3900</v>
      </c>
      <c r="E121" t="s">
        <v>3901</v>
      </c>
      <c r="F121" s="40">
        <v>1</v>
      </c>
    </row>
    <row r="122" spans="2:6" x14ac:dyDescent="0.25">
      <c r="D122" t="s">
        <v>3912</v>
      </c>
      <c r="E122" t="s">
        <v>3913</v>
      </c>
      <c r="F122" s="40">
        <v>10</v>
      </c>
    </row>
    <row r="123" spans="2:6" x14ac:dyDescent="0.25">
      <c r="D123" t="s">
        <v>3555</v>
      </c>
      <c r="E123" t="s">
        <v>3556</v>
      </c>
      <c r="F123" s="40">
        <v>1</v>
      </c>
    </row>
    <row r="124" spans="2:6" x14ac:dyDescent="0.25">
      <c r="D124" t="s">
        <v>3909</v>
      </c>
      <c r="E124" t="s">
        <v>3910</v>
      </c>
      <c r="F124" s="40">
        <v>10</v>
      </c>
    </row>
    <row r="125" spans="2:6" x14ac:dyDescent="0.25">
      <c r="D125" t="s">
        <v>3681</v>
      </c>
      <c r="E125" t="s">
        <v>3682</v>
      </c>
      <c r="F125" s="40">
        <v>1</v>
      </c>
    </row>
    <row r="126" spans="2:6" x14ac:dyDescent="0.25">
      <c r="D126" t="s">
        <v>3907</v>
      </c>
      <c r="E126" t="s">
        <v>7813</v>
      </c>
      <c r="F126" s="40">
        <v>2</v>
      </c>
    </row>
    <row r="127" spans="2:6" x14ac:dyDescent="0.25">
      <c r="B127" t="s">
        <v>7914</v>
      </c>
      <c r="C127" t="s">
        <v>7358</v>
      </c>
      <c r="D127" t="s">
        <v>3889</v>
      </c>
      <c r="E127" t="s">
        <v>3890</v>
      </c>
      <c r="F127" s="40">
        <v>1</v>
      </c>
    </row>
    <row r="128" spans="2:6" x14ac:dyDescent="0.25">
      <c r="B128" t="s">
        <v>7915</v>
      </c>
      <c r="C128" t="s">
        <v>7358</v>
      </c>
      <c r="D128" t="s">
        <v>3428</v>
      </c>
      <c r="E128" t="s">
        <v>3429</v>
      </c>
      <c r="F128" s="40">
        <v>1</v>
      </c>
    </row>
    <row r="129" spans="2:6" x14ac:dyDescent="0.25">
      <c r="D129" t="s">
        <v>3900</v>
      </c>
      <c r="E129" t="s">
        <v>3901</v>
      </c>
      <c r="F129" s="40">
        <v>2</v>
      </c>
    </row>
    <row r="130" spans="2:6" x14ac:dyDescent="0.25">
      <c r="B130" t="s">
        <v>7916</v>
      </c>
      <c r="C130" t="s">
        <v>7358</v>
      </c>
      <c r="D130" t="s">
        <v>3922</v>
      </c>
      <c r="E130" t="s">
        <v>3923</v>
      </c>
      <c r="F130" s="40">
        <v>1</v>
      </c>
    </row>
    <row r="131" spans="2:6" x14ac:dyDescent="0.25">
      <c r="D131" t="s">
        <v>3925</v>
      </c>
      <c r="E131" t="s">
        <v>3926</v>
      </c>
      <c r="F131" s="40">
        <v>1</v>
      </c>
    </row>
    <row r="132" spans="2:6" x14ac:dyDescent="0.25">
      <c r="B132" t="s">
        <v>7917</v>
      </c>
      <c r="C132" t="s">
        <v>7358</v>
      </c>
      <c r="D132" t="s">
        <v>3946</v>
      </c>
      <c r="E132" t="s">
        <v>3947</v>
      </c>
      <c r="F132" s="40">
        <v>1</v>
      </c>
    </row>
    <row r="133" spans="2:6" x14ac:dyDescent="0.25">
      <c r="D133" t="s">
        <v>3904</v>
      </c>
      <c r="E133" t="s">
        <v>3905</v>
      </c>
      <c r="F133" s="40">
        <v>1</v>
      </c>
    </row>
    <row r="134" spans="2:6" x14ac:dyDescent="0.25">
      <c r="D134" t="s">
        <v>3900</v>
      </c>
      <c r="E134" t="s">
        <v>3901</v>
      </c>
      <c r="F134" s="40">
        <v>2</v>
      </c>
    </row>
    <row r="135" spans="2:6" x14ac:dyDescent="0.25">
      <c r="D135" t="s">
        <v>3555</v>
      </c>
      <c r="E135" t="s">
        <v>3556</v>
      </c>
      <c r="F135" s="40">
        <v>2</v>
      </c>
    </row>
    <row r="136" spans="2:6" x14ac:dyDescent="0.25">
      <c r="B136" t="s">
        <v>7912</v>
      </c>
      <c r="C136" t="s">
        <v>7358</v>
      </c>
      <c r="D136" t="s">
        <v>3861</v>
      </c>
      <c r="E136" t="s">
        <v>3862</v>
      </c>
      <c r="F136" s="40">
        <v>1</v>
      </c>
    </row>
    <row r="137" spans="2:6" x14ac:dyDescent="0.25">
      <c r="D137" t="s">
        <v>3866</v>
      </c>
      <c r="E137" t="s">
        <v>3867</v>
      </c>
      <c r="F137" s="40">
        <v>4</v>
      </c>
    </row>
    <row r="138" spans="2:6" x14ac:dyDescent="0.25">
      <c r="D138" t="s">
        <v>3864</v>
      </c>
      <c r="E138" t="s">
        <v>3448</v>
      </c>
      <c r="F138" s="40">
        <v>4</v>
      </c>
    </row>
    <row r="139" spans="2:6" x14ac:dyDescent="0.25">
      <c r="D139" t="s">
        <v>3858</v>
      </c>
      <c r="E139" t="s">
        <v>3859</v>
      </c>
      <c r="F139" s="40">
        <v>2</v>
      </c>
    </row>
    <row r="140" spans="2:6" x14ac:dyDescent="0.25">
      <c r="B140" t="s">
        <v>3826</v>
      </c>
      <c r="C140" t="s">
        <v>7358</v>
      </c>
      <c r="D140" t="s">
        <v>3796</v>
      </c>
      <c r="E140" t="s">
        <v>3797</v>
      </c>
      <c r="F140" s="40">
        <v>10</v>
      </c>
    </row>
    <row r="141" spans="2:6" x14ac:dyDescent="0.25">
      <c r="D141" t="s">
        <v>3663</v>
      </c>
      <c r="E141" t="s">
        <v>3664</v>
      </c>
      <c r="F141" s="40">
        <v>10</v>
      </c>
    </row>
    <row r="142" spans="2:6" x14ac:dyDescent="0.25">
      <c r="D142" t="s">
        <v>3669</v>
      </c>
      <c r="E142" t="s">
        <v>3670</v>
      </c>
      <c r="F142" s="40">
        <v>10</v>
      </c>
    </row>
    <row r="143" spans="2:6" x14ac:dyDescent="0.25">
      <c r="B143" t="s">
        <v>3956</v>
      </c>
      <c r="C143" t="s">
        <v>7358</v>
      </c>
      <c r="D143">
        <v>2960812</v>
      </c>
      <c r="E143" t="s">
        <v>3966</v>
      </c>
      <c r="F143" s="40">
        <v>1</v>
      </c>
    </row>
    <row r="144" spans="2:6" x14ac:dyDescent="0.25">
      <c r="D144" t="s">
        <v>3974</v>
      </c>
      <c r="E144" t="s">
        <v>3975</v>
      </c>
      <c r="F144" s="40">
        <v>4</v>
      </c>
    </row>
    <row r="145" spans="2:6" x14ac:dyDescent="0.25">
      <c r="D145" t="s">
        <v>3507</v>
      </c>
      <c r="E145" t="s">
        <v>3508</v>
      </c>
      <c r="F145" s="40">
        <v>2</v>
      </c>
    </row>
    <row r="146" spans="2:6" x14ac:dyDescent="0.25">
      <c r="D146" t="s">
        <v>265</v>
      </c>
      <c r="E146" t="s">
        <v>266</v>
      </c>
      <c r="F146" s="40">
        <v>4</v>
      </c>
    </row>
    <row r="147" spans="2:6" x14ac:dyDescent="0.25">
      <c r="D147" t="s">
        <v>3551</v>
      </c>
      <c r="E147" t="s">
        <v>3552</v>
      </c>
      <c r="F147" s="40">
        <v>2</v>
      </c>
    </row>
    <row r="148" spans="2:6" x14ac:dyDescent="0.25">
      <c r="D148" t="s">
        <v>3396</v>
      </c>
      <c r="E148" t="s">
        <v>3397</v>
      </c>
      <c r="F148" s="40">
        <v>2</v>
      </c>
    </row>
    <row r="149" spans="2:6" x14ac:dyDescent="0.25">
      <c r="D149" t="s">
        <v>3980</v>
      </c>
      <c r="E149" t="s">
        <v>3981</v>
      </c>
      <c r="F149" s="40">
        <v>1</v>
      </c>
    </row>
    <row r="150" spans="2:6" x14ac:dyDescent="0.25">
      <c r="D150" t="s">
        <v>3977</v>
      </c>
      <c r="E150" t="s">
        <v>3978</v>
      </c>
      <c r="F150" s="40">
        <v>1</v>
      </c>
    </row>
    <row r="151" spans="2:6" x14ac:dyDescent="0.25">
      <c r="D151" t="s">
        <v>3985</v>
      </c>
      <c r="E151" t="s">
        <v>3986</v>
      </c>
      <c r="F151" s="40">
        <v>1</v>
      </c>
    </row>
    <row r="152" spans="2:6" x14ac:dyDescent="0.25">
      <c r="B152" t="s">
        <v>3379</v>
      </c>
      <c r="C152" t="s">
        <v>7358</v>
      </c>
      <c r="D152" t="s">
        <v>3518</v>
      </c>
      <c r="E152" t="s">
        <v>3519</v>
      </c>
      <c r="F152" s="40">
        <v>1</v>
      </c>
    </row>
    <row r="153" spans="2:6" x14ac:dyDescent="0.25">
      <c r="D153" t="s">
        <v>3801</v>
      </c>
      <c r="E153" t="s">
        <v>3802</v>
      </c>
      <c r="F153" s="40">
        <v>2</v>
      </c>
    </row>
    <row r="154" spans="2:6" x14ac:dyDescent="0.25">
      <c r="D154" t="s">
        <v>3535</v>
      </c>
      <c r="E154" t="s">
        <v>3536</v>
      </c>
      <c r="F154" s="40">
        <v>6</v>
      </c>
    </row>
    <row r="155" spans="2:6" x14ac:dyDescent="0.25">
      <c r="D155" t="s">
        <v>3796</v>
      </c>
      <c r="E155" t="s">
        <v>3797</v>
      </c>
      <c r="F155" s="40">
        <v>16</v>
      </c>
    </row>
    <row r="156" spans="2:6" x14ac:dyDescent="0.25">
      <c r="D156" t="s">
        <v>3793</v>
      </c>
      <c r="E156" t="s">
        <v>3794</v>
      </c>
      <c r="F156" s="40">
        <v>6</v>
      </c>
    </row>
    <row r="157" spans="2:6" x14ac:dyDescent="0.25">
      <c r="D157" t="s">
        <v>3788</v>
      </c>
      <c r="E157" t="s">
        <v>3789</v>
      </c>
      <c r="F157" s="40">
        <v>12</v>
      </c>
    </row>
    <row r="158" spans="2:6" x14ac:dyDescent="0.25">
      <c r="D158" t="s">
        <v>3532</v>
      </c>
      <c r="E158" t="s">
        <v>3533</v>
      </c>
      <c r="F158" s="40">
        <v>4</v>
      </c>
    </row>
    <row r="159" spans="2:6" x14ac:dyDescent="0.25">
      <c r="D159" t="s">
        <v>3663</v>
      </c>
      <c r="E159" t="s">
        <v>3664</v>
      </c>
      <c r="F159" s="40">
        <v>10</v>
      </c>
    </row>
    <row r="160" spans="2:6" x14ac:dyDescent="0.25">
      <c r="D160" t="s">
        <v>3571</v>
      </c>
      <c r="E160" t="s">
        <v>3572</v>
      </c>
      <c r="F160" s="40">
        <v>12</v>
      </c>
    </row>
    <row r="161" spans="2:6" x14ac:dyDescent="0.25">
      <c r="D161" t="s">
        <v>3717</v>
      </c>
      <c r="E161" t="s">
        <v>3718</v>
      </c>
      <c r="F161" s="40">
        <v>4</v>
      </c>
    </row>
    <row r="162" spans="2:6" x14ac:dyDescent="0.25">
      <c r="D162" t="s">
        <v>3669</v>
      </c>
      <c r="E162" t="s">
        <v>3670</v>
      </c>
      <c r="F162" s="40">
        <v>10</v>
      </c>
    </row>
    <row r="163" spans="2:6" x14ac:dyDescent="0.25">
      <c r="D163" t="s">
        <v>3577</v>
      </c>
      <c r="E163" t="s">
        <v>3578</v>
      </c>
      <c r="F163" s="40">
        <v>12</v>
      </c>
    </row>
    <row r="164" spans="2:6" x14ac:dyDescent="0.25">
      <c r="D164" t="s">
        <v>3681</v>
      </c>
      <c r="E164" t="s">
        <v>3682</v>
      </c>
      <c r="F164" s="40">
        <v>2</v>
      </c>
    </row>
    <row r="165" spans="2:6" x14ac:dyDescent="0.25">
      <c r="D165" t="s">
        <v>464</v>
      </c>
      <c r="E165" t="s">
        <v>465</v>
      </c>
      <c r="F165" s="40">
        <v>2</v>
      </c>
    </row>
    <row r="166" spans="2:6" x14ac:dyDescent="0.25">
      <c r="D166" t="s">
        <v>3728</v>
      </c>
      <c r="E166" t="s">
        <v>3729</v>
      </c>
      <c r="F166" s="40">
        <v>2</v>
      </c>
    </row>
    <row r="167" spans="2:6" x14ac:dyDescent="0.25">
      <c r="B167" t="s">
        <v>7905</v>
      </c>
      <c r="C167" t="s">
        <v>7358</v>
      </c>
      <c r="D167" t="s">
        <v>3706</v>
      </c>
      <c r="E167" t="s">
        <v>3707</v>
      </c>
      <c r="F167" s="40">
        <v>1</v>
      </c>
    </row>
    <row r="168" spans="2:6" x14ac:dyDescent="0.25">
      <c r="D168" t="s">
        <v>3555</v>
      </c>
      <c r="E168" t="s">
        <v>3556</v>
      </c>
      <c r="F168" s="40">
        <v>6</v>
      </c>
    </row>
    <row r="169" spans="2:6" x14ac:dyDescent="0.25">
      <c r="D169" t="s">
        <v>3700</v>
      </c>
      <c r="E169" t="s">
        <v>3701</v>
      </c>
      <c r="F169" s="40">
        <v>1</v>
      </c>
    </row>
    <row r="170" spans="2:6" x14ac:dyDescent="0.25">
      <c r="D170" t="s">
        <v>3703</v>
      </c>
      <c r="E170" t="s">
        <v>3704</v>
      </c>
      <c r="F170" s="40">
        <v>1</v>
      </c>
    </row>
    <row r="171" spans="2:6" x14ac:dyDescent="0.25">
      <c r="B171" t="s">
        <v>7903</v>
      </c>
      <c r="C171" t="s">
        <v>7358</v>
      </c>
      <c r="D171" t="s">
        <v>3555</v>
      </c>
      <c r="E171" t="s">
        <v>3556</v>
      </c>
      <c r="F171" s="40">
        <v>1</v>
      </c>
    </row>
    <row r="172" spans="2:6" x14ac:dyDescent="0.25">
      <c r="D172" t="s">
        <v>3669</v>
      </c>
      <c r="E172" t="s">
        <v>3670</v>
      </c>
      <c r="F172" s="40">
        <v>3</v>
      </c>
    </row>
    <row r="173" spans="2:6" x14ac:dyDescent="0.25">
      <c r="D173" t="s">
        <v>3681</v>
      </c>
      <c r="E173" t="s">
        <v>3682</v>
      </c>
      <c r="F173" s="40">
        <v>1</v>
      </c>
    </row>
    <row r="174" spans="2:6" x14ac:dyDescent="0.25">
      <c r="B174" t="s">
        <v>7906</v>
      </c>
      <c r="C174" t="s">
        <v>7358</v>
      </c>
      <c r="D174" t="s">
        <v>3706</v>
      </c>
      <c r="E174" t="s">
        <v>3707</v>
      </c>
      <c r="F174" s="40">
        <v>1</v>
      </c>
    </row>
    <row r="175" spans="2:6" x14ac:dyDescent="0.25">
      <c r="D175" t="s">
        <v>3700</v>
      </c>
      <c r="E175" t="s">
        <v>3701</v>
      </c>
      <c r="F175" s="40">
        <v>1</v>
      </c>
    </row>
    <row r="176" spans="2:6" x14ac:dyDescent="0.25">
      <c r="D176" t="s">
        <v>3703</v>
      </c>
      <c r="E176" t="s">
        <v>3704</v>
      </c>
      <c r="F176" s="40">
        <v>1</v>
      </c>
    </row>
    <row r="177" spans="2:6" x14ac:dyDescent="0.25">
      <c r="B177" t="s">
        <v>7904</v>
      </c>
      <c r="C177" t="s">
        <v>7358</v>
      </c>
      <c r="D177" t="s">
        <v>3555</v>
      </c>
      <c r="E177" t="s">
        <v>3556</v>
      </c>
      <c r="F177" s="40">
        <v>1</v>
      </c>
    </row>
    <row r="178" spans="2:6" x14ac:dyDescent="0.25">
      <c r="D178" t="s">
        <v>3669</v>
      </c>
      <c r="E178" t="s">
        <v>3670</v>
      </c>
      <c r="F178" s="40">
        <v>3</v>
      </c>
    </row>
    <row r="179" spans="2:6" x14ac:dyDescent="0.25">
      <c r="D179" t="s">
        <v>3681</v>
      </c>
      <c r="E179" t="s">
        <v>3682</v>
      </c>
      <c r="F179" s="40">
        <v>1</v>
      </c>
    </row>
    <row r="180" spans="2:6" x14ac:dyDescent="0.25">
      <c r="B180" t="s">
        <v>7911</v>
      </c>
      <c r="C180" t="s">
        <v>7358</v>
      </c>
      <c r="D180" t="s">
        <v>596</v>
      </c>
      <c r="E180" t="s">
        <v>597</v>
      </c>
      <c r="F180" s="40">
        <v>1</v>
      </c>
    </row>
    <row r="181" spans="2:6" x14ac:dyDescent="0.25">
      <c r="B181" t="s">
        <v>7885</v>
      </c>
      <c r="C181" t="s">
        <v>7358</v>
      </c>
      <c r="D181" t="s">
        <v>3568</v>
      </c>
      <c r="E181" t="s">
        <v>3569</v>
      </c>
      <c r="F181" s="40">
        <v>2</v>
      </c>
    </row>
    <row r="182" spans="2:6" x14ac:dyDescent="0.25">
      <c r="D182" t="s">
        <v>3574</v>
      </c>
      <c r="E182" t="s">
        <v>3575</v>
      </c>
      <c r="F182" s="40">
        <v>1</v>
      </c>
    </row>
    <row r="183" spans="2:6" x14ac:dyDescent="0.25">
      <c r="D183" t="s">
        <v>3580</v>
      </c>
      <c r="E183" t="s">
        <v>3581</v>
      </c>
      <c r="F183" s="40">
        <v>14</v>
      </c>
    </row>
    <row r="184" spans="2:6" x14ac:dyDescent="0.25">
      <c r="D184" t="s">
        <v>3472</v>
      </c>
      <c r="E184" t="s">
        <v>3473</v>
      </c>
      <c r="F184" s="40">
        <v>2</v>
      </c>
    </row>
    <row r="185" spans="2:6" x14ac:dyDescent="0.25">
      <c r="D185" t="s">
        <v>3559</v>
      </c>
      <c r="E185" t="s">
        <v>3560</v>
      </c>
      <c r="F185" s="40">
        <v>6</v>
      </c>
    </row>
    <row r="186" spans="2:6" x14ac:dyDescent="0.25">
      <c r="D186" t="s">
        <v>3601</v>
      </c>
      <c r="E186" t="s">
        <v>3602</v>
      </c>
      <c r="F186" s="40">
        <v>2</v>
      </c>
    </row>
    <row r="187" spans="2:6" x14ac:dyDescent="0.25">
      <c r="D187" t="s">
        <v>3598</v>
      </c>
      <c r="E187" t="s">
        <v>3599</v>
      </c>
      <c r="F187" s="40">
        <v>1</v>
      </c>
    </row>
    <row r="188" spans="2:6" x14ac:dyDescent="0.25">
      <c r="D188" t="s">
        <v>3551</v>
      </c>
      <c r="E188" t="s">
        <v>3552</v>
      </c>
      <c r="F188" s="40">
        <v>28</v>
      </c>
    </row>
    <row r="189" spans="2:6" x14ac:dyDescent="0.25">
      <c r="D189" t="s">
        <v>3571</v>
      </c>
      <c r="E189" t="s">
        <v>3572</v>
      </c>
      <c r="F189" s="40">
        <v>2</v>
      </c>
    </row>
    <row r="190" spans="2:6" x14ac:dyDescent="0.25">
      <c r="D190" t="s">
        <v>3555</v>
      </c>
      <c r="E190" t="s">
        <v>3556</v>
      </c>
      <c r="F190" s="40">
        <v>2</v>
      </c>
    </row>
    <row r="191" spans="2:6" x14ac:dyDescent="0.25">
      <c r="D191" t="s">
        <v>3396</v>
      </c>
      <c r="E191" t="s">
        <v>3397</v>
      </c>
      <c r="F191" s="40">
        <v>14</v>
      </c>
    </row>
    <row r="192" spans="2:6" x14ac:dyDescent="0.25">
      <c r="D192" t="s">
        <v>3577</v>
      </c>
      <c r="E192" t="s">
        <v>3578</v>
      </c>
      <c r="F192" s="40">
        <v>2</v>
      </c>
    </row>
    <row r="193" spans="2:6" x14ac:dyDescent="0.25">
      <c r="B193" t="s">
        <v>7896</v>
      </c>
      <c r="C193" t="s">
        <v>7358</v>
      </c>
      <c r="D193" t="s">
        <v>3507</v>
      </c>
      <c r="E193" t="s">
        <v>3508</v>
      </c>
      <c r="F193" s="40">
        <v>2</v>
      </c>
    </row>
    <row r="194" spans="2:6" x14ac:dyDescent="0.25">
      <c r="D194" t="s">
        <v>3551</v>
      </c>
      <c r="E194" t="s">
        <v>3552</v>
      </c>
      <c r="F194" s="40">
        <v>2</v>
      </c>
    </row>
    <row r="195" spans="2:6" x14ac:dyDescent="0.25">
      <c r="D195" t="s">
        <v>3396</v>
      </c>
      <c r="E195" t="s">
        <v>3397</v>
      </c>
      <c r="F195" s="40">
        <v>2</v>
      </c>
    </row>
    <row r="196" spans="2:6" x14ac:dyDescent="0.25">
      <c r="D196" t="s">
        <v>3504</v>
      </c>
      <c r="E196" t="s">
        <v>3505</v>
      </c>
      <c r="F196" s="40">
        <v>1</v>
      </c>
    </row>
    <row r="197" spans="2:6" x14ac:dyDescent="0.25">
      <c r="D197" t="s">
        <v>3501</v>
      </c>
      <c r="E197" t="s">
        <v>3502</v>
      </c>
      <c r="F197" s="40">
        <v>1</v>
      </c>
    </row>
    <row r="198" spans="2:6" x14ac:dyDescent="0.25">
      <c r="B198" t="s">
        <v>7897</v>
      </c>
      <c r="C198" t="s">
        <v>7358</v>
      </c>
      <c r="D198" t="s">
        <v>3498</v>
      </c>
      <c r="E198" t="s">
        <v>3499</v>
      </c>
      <c r="F198" s="40">
        <v>1</v>
      </c>
    </row>
    <row r="199" spans="2:6" x14ac:dyDescent="0.25">
      <c r="D199" t="s">
        <v>3495</v>
      </c>
      <c r="E199" t="s">
        <v>3496</v>
      </c>
      <c r="F199" s="40">
        <v>3</v>
      </c>
    </row>
    <row r="200" spans="2:6" x14ac:dyDescent="0.25">
      <c r="B200" t="s">
        <v>7893</v>
      </c>
      <c r="C200" t="s">
        <v>7358</v>
      </c>
      <c r="D200" t="s">
        <v>3518</v>
      </c>
      <c r="E200" t="s">
        <v>3519</v>
      </c>
      <c r="F200" s="40">
        <v>1</v>
      </c>
    </row>
    <row r="201" spans="2:6" x14ac:dyDescent="0.25">
      <c r="D201" t="s">
        <v>3507</v>
      </c>
      <c r="E201" t="s">
        <v>3508</v>
      </c>
      <c r="F201" s="40">
        <v>2</v>
      </c>
    </row>
    <row r="202" spans="2:6" x14ac:dyDescent="0.25">
      <c r="D202" t="s">
        <v>3504</v>
      </c>
      <c r="E202" t="s">
        <v>3505</v>
      </c>
      <c r="F202" s="40">
        <v>1</v>
      </c>
    </row>
    <row r="203" spans="2:6" x14ac:dyDescent="0.25">
      <c r="D203" t="s">
        <v>3501</v>
      </c>
      <c r="E203" t="s">
        <v>3502</v>
      </c>
      <c r="F203" s="40">
        <v>1</v>
      </c>
    </row>
    <row r="204" spans="2:6" x14ac:dyDescent="0.25">
      <c r="B204" t="s">
        <v>7894</v>
      </c>
      <c r="C204" t="s">
        <v>7358</v>
      </c>
      <c r="D204" t="s">
        <v>3498</v>
      </c>
      <c r="E204" t="s">
        <v>3499</v>
      </c>
      <c r="F204" s="40">
        <v>1</v>
      </c>
    </row>
    <row r="205" spans="2:6" x14ac:dyDescent="0.25">
      <c r="D205" t="s">
        <v>3495</v>
      </c>
      <c r="E205" t="s">
        <v>3496</v>
      </c>
      <c r="F205" s="40">
        <v>3</v>
      </c>
    </row>
    <row r="206" spans="2:6" x14ac:dyDescent="0.25">
      <c r="B206" t="s">
        <v>7895</v>
      </c>
      <c r="C206" t="s">
        <v>7358</v>
      </c>
      <c r="D206" t="s">
        <v>3535</v>
      </c>
      <c r="E206" t="s">
        <v>3536</v>
      </c>
      <c r="F206" s="40">
        <v>4</v>
      </c>
    </row>
    <row r="207" spans="2:6" x14ac:dyDescent="0.25">
      <c r="D207" t="s">
        <v>3532</v>
      </c>
      <c r="E207" t="s">
        <v>3533</v>
      </c>
      <c r="F207" s="40">
        <v>4</v>
      </c>
    </row>
    <row r="208" spans="2:6" x14ac:dyDescent="0.25">
      <c r="D208" t="s">
        <v>3450</v>
      </c>
      <c r="E208" t="s">
        <v>3451</v>
      </c>
      <c r="F208" s="40">
        <v>2</v>
      </c>
    </row>
    <row r="209" spans="2:6" x14ac:dyDescent="0.25">
      <c r="B209" t="s">
        <v>7886</v>
      </c>
      <c r="C209" t="s">
        <v>7358</v>
      </c>
      <c r="D209" t="s">
        <v>3408</v>
      </c>
      <c r="E209" t="s">
        <v>3409</v>
      </c>
      <c r="F209" s="40">
        <v>3</v>
      </c>
    </row>
    <row r="210" spans="2:6" x14ac:dyDescent="0.25">
      <c r="D210" t="s">
        <v>3411</v>
      </c>
      <c r="E210" t="s">
        <v>3412</v>
      </c>
      <c r="F210" s="40">
        <v>3</v>
      </c>
    </row>
    <row r="211" spans="2:6" x14ac:dyDescent="0.25">
      <c r="D211" t="s">
        <v>3414</v>
      </c>
      <c r="E211" t="s">
        <v>3415</v>
      </c>
      <c r="F211" s="40">
        <v>2</v>
      </c>
    </row>
    <row r="212" spans="2:6" x14ac:dyDescent="0.25">
      <c r="B212" t="s">
        <v>7887</v>
      </c>
      <c r="C212" t="s">
        <v>7358</v>
      </c>
      <c r="D212" t="s">
        <v>3396</v>
      </c>
      <c r="E212" t="s">
        <v>3397</v>
      </c>
      <c r="F212" s="40">
        <v>2</v>
      </c>
    </row>
    <row r="213" spans="2:6" x14ac:dyDescent="0.25">
      <c r="B213" t="s">
        <v>7888</v>
      </c>
      <c r="C213" t="s">
        <v>7358</v>
      </c>
      <c r="D213" t="s">
        <v>3396</v>
      </c>
      <c r="E213" t="s">
        <v>3397</v>
      </c>
      <c r="F213" s="40">
        <v>4</v>
      </c>
    </row>
    <row r="214" spans="2:6" x14ac:dyDescent="0.25">
      <c r="B214" t="s">
        <v>7889</v>
      </c>
      <c r="C214" t="s">
        <v>7358</v>
      </c>
      <c r="D214" t="s">
        <v>3428</v>
      </c>
      <c r="E214" t="s">
        <v>3429</v>
      </c>
      <c r="F214" s="40">
        <v>1</v>
      </c>
    </row>
    <row r="215" spans="2:6" x14ac:dyDescent="0.25">
      <c r="D215" t="s">
        <v>3425</v>
      </c>
      <c r="E215" t="s">
        <v>3426</v>
      </c>
      <c r="F215" s="40">
        <v>1</v>
      </c>
    </row>
    <row r="216" spans="2:6" x14ac:dyDescent="0.25">
      <c r="B216" t="s">
        <v>7890</v>
      </c>
      <c r="C216" t="s">
        <v>7358</v>
      </c>
      <c r="D216" t="s">
        <v>3475</v>
      </c>
      <c r="E216" t="s">
        <v>3476</v>
      </c>
      <c r="F216" s="40">
        <v>1</v>
      </c>
    </row>
    <row r="217" spans="2:6" x14ac:dyDescent="0.25">
      <c r="D217" t="s">
        <v>3472</v>
      </c>
      <c r="E217" t="s">
        <v>3473</v>
      </c>
      <c r="F217" s="40">
        <v>4</v>
      </c>
    </row>
    <row r="218" spans="2:6" x14ac:dyDescent="0.25">
      <c r="D218" t="s">
        <v>3458</v>
      </c>
      <c r="E218" t="s">
        <v>3459</v>
      </c>
      <c r="F218" s="40">
        <v>2</v>
      </c>
    </row>
    <row r="219" spans="2:6" x14ac:dyDescent="0.25">
      <c r="B219" t="s">
        <v>7891</v>
      </c>
      <c r="C219" t="s">
        <v>7358</v>
      </c>
      <c r="D219" t="s">
        <v>3396</v>
      </c>
      <c r="E219" t="s">
        <v>3397</v>
      </c>
      <c r="F219" s="40">
        <v>1</v>
      </c>
    </row>
    <row r="220" spans="2:6" x14ac:dyDescent="0.25">
      <c r="D220" t="s">
        <v>3447</v>
      </c>
      <c r="E220" t="s">
        <v>3448</v>
      </c>
      <c r="F220" s="40">
        <v>2</v>
      </c>
    </row>
    <row r="221" spans="2:6" x14ac:dyDescent="0.25">
      <c r="D221" t="s">
        <v>3450</v>
      </c>
      <c r="E221" t="s">
        <v>3451</v>
      </c>
      <c r="F221" s="40">
        <v>1</v>
      </c>
    </row>
    <row r="222" spans="2:6" x14ac:dyDescent="0.25">
      <c r="B222" t="s">
        <v>7892</v>
      </c>
      <c r="C222" t="s">
        <v>7358</v>
      </c>
      <c r="D222" t="s">
        <v>3396</v>
      </c>
      <c r="E222" t="s">
        <v>3397</v>
      </c>
      <c r="F222" s="40">
        <v>3</v>
      </c>
    </row>
    <row r="223" spans="2:6" x14ac:dyDescent="0.25">
      <c r="D223" t="s">
        <v>3447</v>
      </c>
      <c r="E223" t="s">
        <v>3448</v>
      </c>
      <c r="F223" s="40">
        <v>2</v>
      </c>
    </row>
    <row r="224" spans="2:6" x14ac:dyDescent="0.25">
      <c r="D224" t="s">
        <v>3450</v>
      </c>
      <c r="E224" t="s">
        <v>3451</v>
      </c>
      <c r="F224" s="40">
        <v>1</v>
      </c>
    </row>
    <row r="225" spans="2:6" x14ac:dyDescent="0.25">
      <c r="B225" t="s">
        <v>7898</v>
      </c>
      <c r="C225" t="s">
        <v>7358</v>
      </c>
      <c r="D225" t="s">
        <v>3447</v>
      </c>
      <c r="E225" t="s">
        <v>3448</v>
      </c>
      <c r="F225" s="40">
        <v>1</v>
      </c>
    </row>
    <row r="226" spans="2:6" x14ac:dyDescent="0.25">
      <c r="B226" t="s">
        <v>7899</v>
      </c>
      <c r="C226" t="s">
        <v>7358</v>
      </c>
      <c r="D226" t="s">
        <v>3447</v>
      </c>
      <c r="E226" t="s">
        <v>3448</v>
      </c>
      <c r="F226" s="40">
        <v>1</v>
      </c>
    </row>
    <row r="227" spans="2:6" x14ac:dyDescent="0.25">
      <c r="B227" t="s">
        <v>7900</v>
      </c>
      <c r="C227" t="s">
        <v>7358</v>
      </c>
      <c r="D227" t="s">
        <v>3666</v>
      </c>
      <c r="E227" t="s">
        <v>3667</v>
      </c>
      <c r="F227" s="40">
        <v>2</v>
      </c>
    </row>
    <row r="228" spans="2:6" x14ac:dyDescent="0.25">
      <c r="D228" t="s">
        <v>3663</v>
      </c>
      <c r="E228" t="s">
        <v>3664</v>
      </c>
      <c r="F228" s="40">
        <v>6</v>
      </c>
    </row>
    <row r="229" spans="2:6" x14ac:dyDescent="0.25">
      <c r="D229" t="s">
        <v>3669</v>
      </c>
      <c r="E229" t="s">
        <v>3670</v>
      </c>
      <c r="F229" s="40">
        <v>2</v>
      </c>
    </row>
    <row r="230" spans="2:6" x14ac:dyDescent="0.25">
      <c r="D230" t="s">
        <v>3661</v>
      </c>
      <c r="E230" t="s">
        <v>7811</v>
      </c>
      <c r="F230" s="40">
        <v>3</v>
      </c>
    </row>
    <row r="231" spans="2:6" x14ac:dyDescent="0.25">
      <c r="B231" t="s">
        <v>7901</v>
      </c>
      <c r="C231" t="s">
        <v>7358</v>
      </c>
      <c r="D231" t="s">
        <v>3629</v>
      </c>
      <c r="E231" t="s">
        <v>3630</v>
      </c>
      <c r="F231" s="40">
        <v>2</v>
      </c>
    </row>
    <row r="232" spans="2:6" x14ac:dyDescent="0.25">
      <c r="D232" t="s">
        <v>3621</v>
      </c>
      <c r="E232" t="s">
        <v>3622</v>
      </c>
      <c r="F232" s="40">
        <v>2</v>
      </c>
    </row>
    <row r="233" spans="2:6" x14ac:dyDescent="0.25">
      <c r="D233" t="s">
        <v>3551</v>
      </c>
      <c r="E233" t="s">
        <v>3552</v>
      </c>
      <c r="F233" s="40">
        <v>6</v>
      </c>
    </row>
    <row r="234" spans="2:6" x14ac:dyDescent="0.25">
      <c r="D234" t="s">
        <v>3396</v>
      </c>
      <c r="E234" t="s">
        <v>3397</v>
      </c>
      <c r="F234" s="40">
        <v>2</v>
      </c>
    </row>
    <row r="235" spans="2:6" x14ac:dyDescent="0.25">
      <c r="B235" t="s">
        <v>7902</v>
      </c>
      <c r="C235" t="s">
        <v>7358</v>
      </c>
      <c r="D235" t="s">
        <v>3629</v>
      </c>
      <c r="E235" t="s">
        <v>3630</v>
      </c>
      <c r="F235" s="40">
        <v>2</v>
      </c>
    </row>
    <row r="236" spans="2:6" x14ac:dyDescent="0.25">
      <c r="D236" t="s">
        <v>3621</v>
      </c>
      <c r="E236" t="s">
        <v>3622</v>
      </c>
      <c r="F236" s="40">
        <v>2</v>
      </c>
    </row>
    <row r="237" spans="2:6" x14ac:dyDescent="0.25">
      <c r="D237" t="s">
        <v>3551</v>
      </c>
      <c r="E237" t="s">
        <v>3552</v>
      </c>
      <c r="F237" s="40">
        <v>6</v>
      </c>
    </row>
    <row r="238" spans="2:6" x14ac:dyDescent="0.25">
      <c r="D238" t="s">
        <v>3396</v>
      </c>
      <c r="E238" t="s">
        <v>3397</v>
      </c>
      <c r="F238" s="40">
        <v>2</v>
      </c>
    </row>
    <row r="239" spans="2:6" x14ac:dyDescent="0.25">
      <c r="B239" t="s">
        <v>7907</v>
      </c>
      <c r="C239" t="s">
        <v>7358</v>
      </c>
      <c r="D239" t="s">
        <v>3747</v>
      </c>
      <c r="E239" t="s">
        <v>3748</v>
      </c>
      <c r="F239" s="40">
        <v>1</v>
      </c>
    </row>
    <row r="240" spans="2:6" x14ac:dyDescent="0.25">
      <c r="D240" t="s">
        <v>3739</v>
      </c>
      <c r="E240" t="s">
        <v>3740</v>
      </c>
      <c r="F240" s="40">
        <v>2</v>
      </c>
    </row>
    <row r="241" spans="2:6" x14ac:dyDescent="0.25">
      <c r="D241" t="s">
        <v>3669</v>
      </c>
      <c r="E241" t="s">
        <v>3670</v>
      </c>
      <c r="F241" s="40">
        <v>1</v>
      </c>
    </row>
    <row r="242" spans="2:6" x14ac:dyDescent="0.25">
      <c r="D242" t="s">
        <v>3743</v>
      </c>
      <c r="E242" t="s">
        <v>3744</v>
      </c>
      <c r="F242" s="40">
        <v>1</v>
      </c>
    </row>
    <row r="243" spans="2:6" x14ac:dyDescent="0.25">
      <c r="B243" t="s">
        <v>7908</v>
      </c>
      <c r="C243" t="s">
        <v>7358</v>
      </c>
      <c r="D243" t="s">
        <v>3747</v>
      </c>
      <c r="E243" t="s">
        <v>3748</v>
      </c>
      <c r="F243" s="40">
        <v>1</v>
      </c>
    </row>
    <row r="244" spans="2:6" x14ac:dyDescent="0.25">
      <c r="D244" t="s">
        <v>3739</v>
      </c>
      <c r="E244" t="s">
        <v>3740</v>
      </c>
      <c r="F244" s="40">
        <v>2</v>
      </c>
    </row>
    <row r="245" spans="2:6" x14ac:dyDescent="0.25">
      <c r="D245" t="s">
        <v>3669</v>
      </c>
      <c r="E245" t="s">
        <v>3670</v>
      </c>
      <c r="F245" s="40">
        <v>1</v>
      </c>
    </row>
    <row r="246" spans="2:6" x14ac:dyDescent="0.25">
      <c r="D246" t="s">
        <v>3743</v>
      </c>
      <c r="E246" t="s">
        <v>3744</v>
      </c>
      <c r="F246" s="40">
        <v>1</v>
      </c>
    </row>
    <row r="247" spans="2:6" x14ac:dyDescent="0.25">
      <c r="B247" t="s">
        <v>7909</v>
      </c>
      <c r="C247" t="s">
        <v>7358</v>
      </c>
      <c r="D247" t="s">
        <v>3773</v>
      </c>
      <c r="E247" t="s">
        <v>3774</v>
      </c>
      <c r="F247" s="40">
        <v>1</v>
      </c>
    </row>
    <row r="248" spans="2:6" x14ac:dyDescent="0.25">
      <c r="D248" t="s">
        <v>3739</v>
      </c>
      <c r="E248" t="s">
        <v>3740</v>
      </c>
      <c r="F248" s="40">
        <v>1</v>
      </c>
    </row>
    <row r="249" spans="2:6" x14ac:dyDescent="0.25">
      <c r="D249" t="s">
        <v>3669</v>
      </c>
      <c r="E249" t="s">
        <v>3670</v>
      </c>
      <c r="F249" s="40">
        <v>1</v>
      </c>
    </row>
    <row r="250" spans="2:6" x14ac:dyDescent="0.25">
      <c r="D250" t="s">
        <v>3743</v>
      </c>
      <c r="E250" t="s">
        <v>3744</v>
      </c>
      <c r="F250" s="40">
        <v>1</v>
      </c>
    </row>
    <row r="251" spans="2:6" x14ac:dyDescent="0.25">
      <c r="B251" t="s">
        <v>7910</v>
      </c>
      <c r="C251" t="s">
        <v>7358</v>
      </c>
      <c r="D251" t="s">
        <v>3773</v>
      </c>
      <c r="E251" t="s">
        <v>3774</v>
      </c>
      <c r="F251" s="40">
        <v>1</v>
      </c>
    </row>
    <row r="252" spans="2:6" x14ac:dyDescent="0.25">
      <c r="D252" t="s">
        <v>3739</v>
      </c>
      <c r="E252" t="s">
        <v>3740</v>
      </c>
      <c r="F252" s="40">
        <v>1</v>
      </c>
    </row>
    <row r="253" spans="2:6" x14ac:dyDescent="0.25">
      <c r="D253" t="s">
        <v>3669</v>
      </c>
      <c r="E253" t="s">
        <v>3670</v>
      </c>
      <c r="F253" s="40">
        <v>1</v>
      </c>
    </row>
    <row r="254" spans="2:6" x14ac:dyDescent="0.25">
      <c r="D254" t="s">
        <v>3743</v>
      </c>
      <c r="E254" t="s">
        <v>3744</v>
      </c>
      <c r="F254" s="40">
        <v>1</v>
      </c>
    </row>
    <row r="255" spans="2:6" x14ac:dyDescent="0.25">
      <c r="B255" t="s">
        <v>2668</v>
      </c>
      <c r="C255" t="s">
        <v>7308</v>
      </c>
      <c r="D255" t="s">
        <v>2688</v>
      </c>
      <c r="E255" t="s">
        <v>2689</v>
      </c>
      <c r="F255" s="40">
        <v>1</v>
      </c>
    </row>
    <row r="256" spans="2:6" x14ac:dyDescent="0.25">
      <c r="B256" t="s">
        <v>7962</v>
      </c>
      <c r="C256" t="s">
        <v>7302</v>
      </c>
      <c r="D256" t="s">
        <v>1025</v>
      </c>
      <c r="E256" t="s">
        <v>1026</v>
      </c>
      <c r="F256" s="40">
        <v>13</v>
      </c>
    </row>
    <row r="257" spans="3:6" x14ac:dyDescent="0.25">
      <c r="D257" t="s">
        <v>1008</v>
      </c>
      <c r="E257" t="s">
        <v>1009</v>
      </c>
      <c r="F257" s="40">
        <v>13</v>
      </c>
    </row>
    <row r="258" spans="3:6" x14ac:dyDescent="0.25">
      <c r="C258" t="s">
        <v>7303</v>
      </c>
      <c r="D258" t="s">
        <v>2651</v>
      </c>
      <c r="E258" t="s">
        <v>2652</v>
      </c>
      <c r="F258" s="40">
        <v>2</v>
      </c>
    </row>
    <row r="259" spans="3:6" x14ac:dyDescent="0.25">
      <c r="D259" t="s">
        <v>208</v>
      </c>
      <c r="E259" t="s">
        <v>209</v>
      </c>
      <c r="F259" s="40">
        <v>26</v>
      </c>
    </row>
    <row r="260" spans="3:6" x14ac:dyDescent="0.25">
      <c r="D260" t="s">
        <v>2659</v>
      </c>
      <c r="E260" t="s">
        <v>2660</v>
      </c>
      <c r="F260" s="40">
        <v>26</v>
      </c>
    </row>
    <row r="261" spans="3:6" x14ac:dyDescent="0.25">
      <c r="D261" t="s">
        <v>219</v>
      </c>
      <c r="E261" t="s">
        <v>220</v>
      </c>
      <c r="F261" s="40">
        <v>16</v>
      </c>
    </row>
    <row r="262" spans="3:6" x14ac:dyDescent="0.25">
      <c r="D262" t="s">
        <v>216</v>
      </c>
      <c r="E262" t="s">
        <v>217</v>
      </c>
      <c r="F262" s="40">
        <v>8</v>
      </c>
    </row>
    <row r="263" spans="3:6" x14ac:dyDescent="0.25">
      <c r="D263" t="s">
        <v>915</v>
      </c>
      <c r="E263" t="s">
        <v>916</v>
      </c>
      <c r="F263" s="40">
        <v>2</v>
      </c>
    </row>
    <row r="264" spans="3:6" x14ac:dyDescent="0.25">
      <c r="D264" t="s">
        <v>212</v>
      </c>
      <c r="E264" t="s">
        <v>213</v>
      </c>
      <c r="F264" s="40">
        <v>28</v>
      </c>
    </row>
    <row r="265" spans="3:6" x14ac:dyDescent="0.25">
      <c r="D265" t="s">
        <v>2647</v>
      </c>
      <c r="E265" t="s">
        <v>2648</v>
      </c>
      <c r="F265" s="40">
        <v>13</v>
      </c>
    </row>
    <row r="266" spans="3:6" x14ac:dyDescent="0.25">
      <c r="D266" t="s">
        <v>230</v>
      </c>
      <c r="E266" t="s">
        <v>231</v>
      </c>
      <c r="F266" s="40">
        <v>2</v>
      </c>
    </row>
    <row r="267" spans="3:6" x14ac:dyDescent="0.25">
      <c r="D267" t="s">
        <v>2662</v>
      </c>
      <c r="E267" t="s">
        <v>2663</v>
      </c>
      <c r="F267" s="40">
        <v>1</v>
      </c>
    </row>
    <row r="268" spans="3:6" x14ac:dyDescent="0.25">
      <c r="D268" t="s">
        <v>2635</v>
      </c>
      <c r="E268" t="s">
        <v>2636</v>
      </c>
      <c r="F268" s="40">
        <v>2</v>
      </c>
    </row>
    <row r="269" spans="3:6" x14ac:dyDescent="0.25">
      <c r="D269" t="s">
        <v>2643</v>
      </c>
      <c r="E269" t="s">
        <v>2644</v>
      </c>
      <c r="F269" s="40">
        <v>2</v>
      </c>
    </row>
    <row r="270" spans="3:6" x14ac:dyDescent="0.25">
      <c r="C270" t="s">
        <v>7308</v>
      </c>
      <c r="D270" t="s">
        <v>3186</v>
      </c>
      <c r="E270" t="s">
        <v>3187</v>
      </c>
      <c r="F270" s="40">
        <v>4</v>
      </c>
    </row>
    <row r="271" spans="3:6" x14ac:dyDescent="0.25">
      <c r="D271" t="s">
        <v>1025</v>
      </c>
      <c r="E271" t="s">
        <v>1026</v>
      </c>
      <c r="F271" s="40">
        <v>4</v>
      </c>
    </row>
    <row r="272" spans="3:6" x14ac:dyDescent="0.25">
      <c r="D272" t="s">
        <v>3041</v>
      </c>
      <c r="E272" t="s">
        <v>3042</v>
      </c>
      <c r="F272" s="40">
        <v>8</v>
      </c>
    </row>
    <row r="273" spans="1:6" x14ac:dyDescent="0.25">
      <c r="D273" t="s">
        <v>1008</v>
      </c>
      <c r="E273" t="s">
        <v>1009</v>
      </c>
      <c r="F273" s="40">
        <v>4</v>
      </c>
    </row>
    <row r="274" spans="1:6" x14ac:dyDescent="0.25">
      <c r="D274" t="s">
        <v>226</v>
      </c>
      <c r="E274" t="s">
        <v>227</v>
      </c>
      <c r="F274" s="40">
        <v>2</v>
      </c>
    </row>
    <row r="275" spans="1:6" x14ac:dyDescent="0.25">
      <c r="D275" t="s">
        <v>2588</v>
      </c>
      <c r="E275" t="s">
        <v>2589</v>
      </c>
      <c r="F275" s="40">
        <v>9</v>
      </c>
    </row>
    <row r="276" spans="1:6" x14ac:dyDescent="0.25">
      <c r="D276" t="s">
        <v>2592</v>
      </c>
      <c r="E276" t="s">
        <v>2593</v>
      </c>
      <c r="F276" s="40">
        <v>9</v>
      </c>
    </row>
    <row r="277" spans="1:6" x14ac:dyDescent="0.25">
      <c r="D277" t="s">
        <v>3176</v>
      </c>
      <c r="E277" t="s">
        <v>3177</v>
      </c>
      <c r="F277" s="40">
        <v>2</v>
      </c>
    </row>
    <row r="278" spans="1:6" x14ac:dyDescent="0.25">
      <c r="D278" t="s">
        <v>950</v>
      </c>
      <c r="E278" t="s">
        <v>951</v>
      </c>
      <c r="F278" s="40">
        <v>2</v>
      </c>
    </row>
    <row r="279" spans="1:6" x14ac:dyDescent="0.25">
      <c r="D279" t="s">
        <v>2590</v>
      </c>
      <c r="E279" t="s">
        <v>2591</v>
      </c>
      <c r="F279" s="40">
        <v>12</v>
      </c>
    </row>
    <row r="280" spans="1:6" x14ac:dyDescent="0.25">
      <c r="D280" t="s">
        <v>3182</v>
      </c>
      <c r="E280" t="s">
        <v>3183</v>
      </c>
      <c r="F280" s="40">
        <v>4</v>
      </c>
    </row>
    <row r="281" spans="1:6" x14ac:dyDescent="0.25">
      <c r="D281" t="s">
        <v>3373</v>
      </c>
      <c r="E281" t="s">
        <v>3374</v>
      </c>
      <c r="F281" s="40">
        <v>1</v>
      </c>
    </row>
    <row r="282" spans="1:6" x14ac:dyDescent="0.25">
      <c r="C282" t="s">
        <v>7358</v>
      </c>
      <c r="D282" t="s">
        <v>3425</v>
      </c>
      <c r="E282" t="s">
        <v>3426</v>
      </c>
      <c r="F282" s="40">
        <v>2</v>
      </c>
    </row>
    <row r="283" spans="1:6" x14ac:dyDescent="0.25">
      <c r="D283" t="s">
        <v>3621</v>
      </c>
      <c r="E283" t="s">
        <v>3622</v>
      </c>
      <c r="F283" s="40">
        <v>2</v>
      </c>
    </row>
    <row r="284" spans="1:6" x14ac:dyDescent="0.25">
      <c r="D284" t="s">
        <v>3551</v>
      </c>
      <c r="E284" t="s">
        <v>3552</v>
      </c>
      <c r="F284" s="40">
        <v>4</v>
      </c>
    </row>
    <row r="285" spans="1:6" x14ac:dyDescent="0.25">
      <c r="D285" t="s">
        <v>3555</v>
      </c>
      <c r="E285" t="s">
        <v>3556</v>
      </c>
      <c r="F285" s="40">
        <v>10</v>
      </c>
    </row>
    <row r="286" spans="1:6" x14ac:dyDescent="0.25">
      <c r="D286" t="s">
        <v>3396</v>
      </c>
      <c r="E286" t="s">
        <v>3397</v>
      </c>
      <c r="F286" s="40">
        <v>2</v>
      </c>
    </row>
    <row r="287" spans="1:6" x14ac:dyDescent="0.25">
      <c r="D287" t="s">
        <v>3681</v>
      </c>
      <c r="E287" t="s">
        <v>3682</v>
      </c>
      <c r="F287" s="40">
        <v>4</v>
      </c>
    </row>
    <row r="288" spans="1:6" x14ac:dyDescent="0.25">
      <c r="A288" t="s">
        <v>7849</v>
      </c>
      <c r="F288" s="40">
        <v>1437</v>
      </c>
    </row>
    <row r="289" spans="1:6" x14ac:dyDescent="0.25">
      <c r="A289" t="s">
        <v>7675</v>
      </c>
      <c r="B289" t="s">
        <v>614</v>
      </c>
      <c r="C289" t="s">
        <v>7431</v>
      </c>
      <c r="D289" t="s">
        <v>596</v>
      </c>
      <c r="E289" t="s">
        <v>597</v>
      </c>
      <c r="F289" s="40">
        <v>1</v>
      </c>
    </row>
    <row r="290" spans="1:6" x14ac:dyDescent="0.25">
      <c r="C290" t="s">
        <v>7573</v>
      </c>
      <c r="D290" t="s">
        <v>596</v>
      </c>
      <c r="E290" t="s">
        <v>597</v>
      </c>
      <c r="F290" s="40">
        <v>1</v>
      </c>
    </row>
    <row r="291" spans="1:6" x14ac:dyDescent="0.25">
      <c r="C291" t="s">
        <v>7515</v>
      </c>
      <c r="D291" t="s">
        <v>596</v>
      </c>
      <c r="E291" t="s">
        <v>597</v>
      </c>
      <c r="F291" s="40">
        <v>1</v>
      </c>
    </row>
    <row r="292" spans="1:6" x14ac:dyDescent="0.25">
      <c r="C292" t="s">
        <v>7489</v>
      </c>
      <c r="D292" t="s">
        <v>596</v>
      </c>
      <c r="E292" t="s">
        <v>597</v>
      </c>
      <c r="F292" s="40">
        <v>1</v>
      </c>
    </row>
    <row r="293" spans="1:6" x14ac:dyDescent="0.25">
      <c r="C293" t="s">
        <v>7518</v>
      </c>
      <c r="D293" t="s">
        <v>596</v>
      </c>
      <c r="E293" t="s">
        <v>597</v>
      </c>
      <c r="F293" s="40">
        <v>1</v>
      </c>
    </row>
    <row r="294" spans="1:6" x14ac:dyDescent="0.25">
      <c r="C294" t="s">
        <v>7541</v>
      </c>
      <c r="D294" t="s">
        <v>596</v>
      </c>
      <c r="E294" t="s">
        <v>597</v>
      </c>
      <c r="F294" s="40">
        <v>1</v>
      </c>
    </row>
    <row r="295" spans="1:6" x14ac:dyDescent="0.25">
      <c r="B295" t="s">
        <v>589</v>
      </c>
      <c r="C295" t="s">
        <v>7431</v>
      </c>
      <c r="D295" t="s">
        <v>592</v>
      </c>
      <c r="E295" t="s">
        <v>593</v>
      </c>
      <c r="F295" s="40">
        <v>2</v>
      </c>
    </row>
    <row r="296" spans="1:6" x14ac:dyDescent="0.25">
      <c r="D296" t="s">
        <v>596</v>
      </c>
      <c r="E296" t="s">
        <v>597</v>
      </c>
      <c r="F296" s="40">
        <v>1</v>
      </c>
    </row>
    <row r="297" spans="1:6" x14ac:dyDescent="0.25">
      <c r="B297" t="s">
        <v>4871</v>
      </c>
      <c r="C297" t="s">
        <v>7501</v>
      </c>
      <c r="D297" t="s">
        <v>516</v>
      </c>
      <c r="E297" t="s">
        <v>517</v>
      </c>
      <c r="F297" s="40">
        <v>1</v>
      </c>
    </row>
    <row r="298" spans="1:6" x14ac:dyDescent="0.25">
      <c r="B298" t="s">
        <v>4331</v>
      </c>
      <c r="C298" t="s">
        <v>7448</v>
      </c>
      <c r="D298" t="s">
        <v>4473</v>
      </c>
      <c r="E298" t="s">
        <v>4474</v>
      </c>
      <c r="F298" s="40">
        <v>1</v>
      </c>
    </row>
    <row r="299" spans="1:6" x14ac:dyDescent="0.25">
      <c r="D299" t="s">
        <v>4482</v>
      </c>
      <c r="E299" t="s">
        <v>4483</v>
      </c>
      <c r="F299" s="40">
        <v>1</v>
      </c>
    </row>
    <row r="300" spans="1:6" x14ac:dyDescent="0.25">
      <c r="D300" t="s">
        <v>4486</v>
      </c>
      <c r="E300" t="s">
        <v>4487</v>
      </c>
      <c r="F300" s="40">
        <v>1</v>
      </c>
    </row>
    <row r="301" spans="1:6" x14ac:dyDescent="0.25">
      <c r="D301" t="s">
        <v>219</v>
      </c>
      <c r="E301" t="s">
        <v>220</v>
      </c>
      <c r="F301" s="40">
        <v>2</v>
      </c>
    </row>
    <row r="302" spans="1:6" x14ac:dyDescent="0.25">
      <c r="D302" t="s">
        <v>445</v>
      </c>
      <c r="E302" t="s">
        <v>446</v>
      </c>
      <c r="F302" s="40">
        <v>1</v>
      </c>
    </row>
    <row r="303" spans="1:6" x14ac:dyDescent="0.25">
      <c r="D303" t="s">
        <v>4479</v>
      </c>
      <c r="E303" t="s">
        <v>4480</v>
      </c>
      <c r="F303" s="40">
        <v>1</v>
      </c>
    </row>
    <row r="304" spans="1:6" x14ac:dyDescent="0.25">
      <c r="D304" t="s">
        <v>2279</v>
      </c>
      <c r="E304" t="s">
        <v>2280</v>
      </c>
      <c r="F304" s="40">
        <v>1</v>
      </c>
    </row>
    <row r="305" spans="2:6" x14ac:dyDescent="0.25">
      <c r="D305" t="s">
        <v>932</v>
      </c>
      <c r="E305" t="s">
        <v>933</v>
      </c>
      <c r="F305" s="40">
        <v>1</v>
      </c>
    </row>
    <row r="306" spans="2:6" x14ac:dyDescent="0.25">
      <c r="D306" t="s">
        <v>439</v>
      </c>
      <c r="E306" t="s">
        <v>440</v>
      </c>
      <c r="F306" s="40">
        <v>1</v>
      </c>
    </row>
    <row r="307" spans="2:6" x14ac:dyDescent="0.25">
      <c r="D307" t="s">
        <v>265</v>
      </c>
      <c r="E307" t="s">
        <v>266</v>
      </c>
      <c r="F307" s="40">
        <v>10</v>
      </c>
    </row>
    <row r="308" spans="2:6" x14ac:dyDescent="0.25">
      <c r="D308" t="s">
        <v>1626</v>
      </c>
      <c r="E308" t="s">
        <v>1627</v>
      </c>
      <c r="F308" s="40">
        <v>1</v>
      </c>
    </row>
    <row r="309" spans="2:6" x14ac:dyDescent="0.25">
      <c r="D309" t="s">
        <v>4491</v>
      </c>
      <c r="E309" t="s">
        <v>4492</v>
      </c>
      <c r="F309" s="40">
        <v>1</v>
      </c>
    </row>
    <row r="310" spans="2:6" x14ac:dyDescent="0.25">
      <c r="D310" t="s">
        <v>4468</v>
      </c>
      <c r="E310" t="s">
        <v>4469</v>
      </c>
      <c r="F310" s="40">
        <v>10</v>
      </c>
    </row>
    <row r="311" spans="2:6" x14ac:dyDescent="0.25">
      <c r="D311" t="s">
        <v>2204</v>
      </c>
      <c r="E311" t="s">
        <v>2205</v>
      </c>
      <c r="F311" s="40">
        <v>1</v>
      </c>
    </row>
    <row r="312" spans="2:6" x14ac:dyDescent="0.25">
      <c r="B312" t="s">
        <v>7918</v>
      </c>
      <c r="C312" t="s">
        <v>7448</v>
      </c>
      <c r="D312" t="s">
        <v>4437</v>
      </c>
      <c r="E312" t="s">
        <v>4438</v>
      </c>
      <c r="F312" s="40">
        <v>3</v>
      </c>
    </row>
    <row r="313" spans="2:6" x14ac:dyDescent="0.25">
      <c r="D313" t="s">
        <v>1921</v>
      </c>
      <c r="E313" t="s">
        <v>1922</v>
      </c>
      <c r="F313" s="40">
        <v>3</v>
      </c>
    </row>
    <row r="314" spans="2:6" x14ac:dyDescent="0.25">
      <c r="D314" t="s">
        <v>442</v>
      </c>
      <c r="E314" t="s">
        <v>443</v>
      </c>
      <c r="F314" s="40">
        <v>3</v>
      </c>
    </row>
    <row r="315" spans="2:6" x14ac:dyDescent="0.25">
      <c r="D315" t="s">
        <v>915</v>
      </c>
      <c r="E315" t="s">
        <v>916</v>
      </c>
      <c r="F315" s="40">
        <v>3</v>
      </c>
    </row>
    <row r="316" spans="2:6" x14ac:dyDescent="0.25">
      <c r="D316" t="s">
        <v>268</v>
      </c>
      <c r="E316" t="s">
        <v>269</v>
      </c>
      <c r="F316" s="40">
        <v>2</v>
      </c>
    </row>
    <row r="317" spans="2:6" x14ac:dyDescent="0.25">
      <c r="D317" t="s">
        <v>439</v>
      </c>
      <c r="E317" t="s">
        <v>440</v>
      </c>
      <c r="F317" s="40">
        <v>6</v>
      </c>
    </row>
    <row r="318" spans="2:6" x14ac:dyDescent="0.25">
      <c r="D318" t="s">
        <v>222</v>
      </c>
      <c r="E318" t="s">
        <v>223</v>
      </c>
      <c r="F318" s="40">
        <v>5</v>
      </c>
    </row>
    <row r="319" spans="2:6" x14ac:dyDescent="0.25">
      <c r="D319" t="s">
        <v>460</v>
      </c>
      <c r="E319" t="s">
        <v>461</v>
      </c>
      <c r="F319" s="40">
        <v>2</v>
      </c>
    </row>
    <row r="320" spans="2:6" x14ac:dyDescent="0.25">
      <c r="D320" t="s">
        <v>4445</v>
      </c>
      <c r="E320" t="s">
        <v>4446</v>
      </c>
      <c r="F320" s="40">
        <v>3</v>
      </c>
    </row>
    <row r="321" spans="2:6" x14ac:dyDescent="0.25">
      <c r="D321" t="s">
        <v>4440</v>
      </c>
      <c r="E321" t="s">
        <v>4441</v>
      </c>
      <c r="F321" s="40">
        <v>1</v>
      </c>
    </row>
    <row r="322" spans="2:6" x14ac:dyDescent="0.25">
      <c r="B322" t="s">
        <v>7919</v>
      </c>
      <c r="C322" t="s">
        <v>7448</v>
      </c>
      <c r="D322" t="s">
        <v>1921</v>
      </c>
      <c r="E322" t="s">
        <v>1922</v>
      </c>
      <c r="F322" s="40">
        <v>2</v>
      </c>
    </row>
    <row r="323" spans="2:6" x14ac:dyDescent="0.25">
      <c r="D323" t="s">
        <v>4364</v>
      </c>
      <c r="E323" t="s">
        <v>4365</v>
      </c>
      <c r="F323" s="40">
        <v>1</v>
      </c>
    </row>
    <row r="324" spans="2:6" x14ac:dyDescent="0.25">
      <c r="D324" t="s">
        <v>4367</v>
      </c>
      <c r="E324" t="s">
        <v>4368</v>
      </c>
      <c r="F324" s="40">
        <v>1</v>
      </c>
    </row>
    <row r="325" spans="2:6" x14ac:dyDescent="0.25">
      <c r="D325" t="s">
        <v>439</v>
      </c>
      <c r="E325" t="s">
        <v>440</v>
      </c>
      <c r="F325" s="40">
        <v>2</v>
      </c>
    </row>
    <row r="326" spans="2:6" x14ac:dyDescent="0.25">
      <c r="D326" t="s">
        <v>4370</v>
      </c>
      <c r="E326" t="s">
        <v>4371</v>
      </c>
      <c r="F326" s="40">
        <v>1</v>
      </c>
    </row>
    <row r="327" spans="2:6" x14ac:dyDescent="0.25">
      <c r="D327" t="s">
        <v>4373</v>
      </c>
      <c r="E327" t="s">
        <v>4374</v>
      </c>
      <c r="F327" s="40">
        <v>1</v>
      </c>
    </row>
    <row r="328" spans="2:6" x14ac:dyDescent="0.25">
      <c r="B328" t="s">
        <v>7921</v>
      </c>
      <c r="C328" t="s">
        <v>7448</v>
      </c>
      <c r="D328" t="s">
        <v>4408</v>
      </c>
      <c r="E328" t="s">
        <v>4409</v>
      </c>
      <c r="F328" s="40">
        <v>1</v>
      </c>
    </row>
    <row r="329" spans="2:6" x14ac:dyDescent="0.25">
      <c r="B329" t="s">
        <v>7922</v>
      </c>
      <c r="C329" t="s">
        <v>7448</v>
      </c>
      <c r="D329" t="s">
        <v>4425</v>
      </c>
      <c r="E329" t="s">
        <v>4426</v>
      </c>
      <c r="F329" s="40">
        <v>1</v>
      </c>
    </row>
    <row r="330" spans="2:6" x14ac:dyDescent="0.25">
      <c r="B330" t="s">
        <v>5817</v>
      </c>
      <c r="C330" t="s">
        <v>7431</v>
      </c>
      <c r="D330" t="s">
        <v>5822</v>
      </c>
      <c r="E330" t="s">
        <v>5823</v>
      </c>
      <c r="F330" s="40">
        <v>1</v>
      </c>
    </row>
    <row r="331" spans="2:6" x14ac:dyDescent="0.25">
      <c r="D331" t="s">
        <v>5828</v>
      </c>
      <c r="E331" t="s">
        <v>5829</v>
      </c>
      <c r="F331" s="40">
        <v>2</v>
      </c>
    </row>
    <row r="332" spans="2:6" x14ac:dyDescent="0.25">
      <c r="D332" t="s">
        <v>1048</v>
      </c>
      <c r="E332" t="s">
        <v>1049</v>
      </c>
      <c r="F332" s="40">
        <v>2</v>
      </c>
    </row>
    <row r="333" spans="2:6" x14ac:dyDescent="0.25">
      <c r="D333" t="s">
        <v>932</v>
      </c>
      <c r="E333" t="s">
        <v>933</v>
      </c>
      <c r="F333" s="40">
        <v>2</v>
      </c>
    </row>
    <row r="334" spans="2:6" x14ac:dyDescent="0.25">
      <c r="D334" t="s">
        <v>1044</v>
      </c>
      <c r="E334" t="s">
        <v>1045</v>
      </c>
      <c r="F334" s="40">
        <v>1</v>
      </c>
    </row>
    <row r="335" spans="2:6" x14ac:dyDescent="0.25">
      <c r="B335" t="s">
        <v>7843</v>
      </c>
      <c r="C335" t="s">
        <v>7573</v>
      </c>
      <c r="D335" t="s">
        <v>670</v>
      </c>
      <c r="E335" t="s">
        <v>671</v>
      </c>
      <c r="F335" s="40">
        <v>1</v>
      </c>
    </row>
    <row r="336" spans="2:6" x14ac:dyDescent="0.25">
      <c r="B336" t="s">
        <v>5618</v>
      </c>
      <c r="C336" t="s">
        <v>7573</v>
      </c>
      <c r="D336" t="s">
        <v>5733</v>
      </c>
      <c r="E336" t="s">
        <v>5734</v>
      </c>
      <c r="F336" s="40">
        <v>2</v>
      </c>
    </row>
    <row r="337" spans="2:6" x14ac:dyDescent="0.25">
      <c r="D337" t="s">
        <v>5724</v>
      </c>
      <c r="E337" t="s">
        <v>5725</v>
      </c>
      <c r="F337" s="40">
        <v>1</v>
      </c>
    </row>
    <row r="338" spans="2:6" x14ac:dyDescent="0.25">
      <c r="D338" t="s">
        <v>586</v>
      </c>
      <c r="E338" t="s">
        <v>587</v>
      </c>
      <c r="F338" s="40">
        <v>2</v>
      </c>
    </row>
    <row r="339" spans="2:6" x14ac:dyDescent="0.25">
      <c r="D339" t="s">
        <v>442</v>
      </c>
      <c r="E339" t="s">
        <v>443</v>
      </c>
      <c r="F339" s="40">
        <v>4</v>
      </c>
    </row>
    <row r="340" spans="2:6" x14ac:dyDescent="0.25">
      <c r="D340" t="s">
        <v>5736</v>
      </c>
      <c r="E340" t="s">
        <v>5737</v>
      </c>
      <c r="F340" s="40">
        <v>2</v>
      </c>
    </row>
    <row r="341" spans="2:6" x14ac:dyDescent="0.25">
      <c r="D341" t="s">
        <v>4248</v>
      </c>
      <c r="E341" t="s">
        <v>4249</v>
      </c>
      <c r="F341" s="40">
        <v>4</v>
      </c>
    </row>
    <row r="342" spans="2:6" x14ac:dyDescent="0.25">
      <c r="D342" t="s">
        <v>609</v>
      </c>
      <c r="E342" t="s">
        <v>610</v>
      </c>
      <c r="F342" s="40">
        <v>6</v>
      </c>
    </row>
    <row r="343" spans="2:6" x14ac:dyDescent="0.25">
      <c r="D343" t="s">
        <v>5729</v>
      </c>
      <c r="E343" t="s">
        <v>5730</v>
      </c>
      <c r="F343" s="40">
        <v>4</v>
      </c>
    </row>
    <row r="344" spans="2:6" x14ac:dyDescent="0.25">
      <c r="D344" t="s">
        <v>5720</v>
      </c>
      <c r="E344" t="s">
        <v>5721</v>
      </c>
      <c r="F344" s="40">
        <v>2</v>
      </c>
    </row>
    <row r="345" spans="2:6" x14ac:dyDescent="0.25">
      <c r="D345" t="s">
        <v>5717</v>
      </c>
      <c r="E345" t="s">
        <v>5718</v>
      </c>
      <c r="F345" s="40">
        <v>1</v>
      </c>
    </row>
    <row r="346" spans="2:6" x14ac:dyDescent="0.25">
      <c r="B346" t="s">
        <v>7943</v>
      </c>
      <c r="C346" t="s">
        <v>7573</v>
      </c>
      <c r="D346" t="s">
        <v>5749</v>
      </c>
      <c r="E346" t="s">
        <v>5750</v>
      </c>
      <c r="F346" s="40">
        <v>2</v>
      </c>
    </row>
    <row r="347" spans="2:6" x14ac:dyDescent="0.25">
      <c r="D347" t="s">
        <v>268</v>
      </c>
      <c r="E347" t="s">
        <v>269</v>
      </c>
      <c r="F347" s="40">
        <v>2</v>
      </c>
    </row>
    <row r="348" spans="2:6" x14ac:dyDescent="0.25">
      <c r="B348" t="s">
        <v>7941</v>
      </c>
      <c r="C348" t="s">
        <v>7573</v>
      </c>
      <c r="D348" t="s">
        <v>4251</v>
      </c>
      <c r="E348" t="s">
        <v>4252</v>
      </c>
      <c r="F348" s="40">
        <v>1</v>
      </c>
    </row>
    <row r="349" spans="2:6" x14ac:dyDescent="0.25">
      <c r="D349" t="s">
        <v>268</v>
      </c>
      <c r="E349" t="s">
        <v>269</v>
      </c>
      <c r="F349" s="40">
        <v>2</v>
      </c>
    </row>
    <row r="350" spans="2:6" x14ac:dyDescent="0.25">
      <c r="D350" t="s">
        <v>439</v>
      </c>
      <c r="E350" t="s">
        <v>440</v>
      </c>
      <c r="F350" s="40">
        <v>3</v>
      </c>
    </row>
    <row r="351" spans="2:6" x14ac:dyDescent="0.25">
      <c r="D351" t="s">
        <v>265</v>
      </c>
      <c r="E351" t="s">
        <v>266</v>
      </c>
      <c r="F351" s="40">
        <v>1</v>
      </c>
    </row>
    <row r="352" spans="2:6" x14ac:dyDescent="0.25">
      <c r="B352" t="s">
        <v>7940</v>
      </c>
      <c r="C352" t="s">
        <v>7573</v>
      </c>
      <c r="D352" t="s">
        <v>4251</v>
      </c>
      <c r="E352" t="s">
        <v>4252</v>
      </c>
      <c r="F352" s="40">
        <v>1</v>
      </c>
    </row>
    <row r="353" spans="2:6" x14ac:dyDescent="0.25">
      <c r="D353" t="s">
        <v>5113</v>
      </c>
      <c r="E353" t="s">
        <v>5114</v>
      </c>
      <c r="F353" s="40">
        <v>4</v>
      </c>
    </row>
    <row r="354" spans="2:6" x14ac:dyDescent="0.25">
      <c r="D354" t="s">
        <v>268</v>
      </c>
      <c r="E354" t="s">
        <v>269</v>
      </c>
      <c r="F354" s="40">
        <v>6</v>
      </c>
    </row>
    <row r="355" spans="2:6" x14ac:dyDescent="0.25">
      <c r="D355" t="s">
        <v>439</v>
      </c>
      <c r="E355" t="s">
        <v>440</v>
      </c>
      <c r="F355" s="40">
        <v>7</v>
      </c>
    </row>
    <row r="356" spans="2:6" x14ac:dyDescent="0.25">
      <c r="B356" t="s">
        <v>7935</v>
      </c>
      <c r="C356" t="s">
        <v>7573</v>
      </c>
      <c r="D356" t="s">
        <v>5645</v>
      </c>
      <c r="E356" t="s">
        <v>5646</v>
      </c>
      <c r="F356" s="40">
        <v>1</v>
      </c>
    </row>
    <row r="357" spans="2:6" x14ac:dyDescent="0.25">
      <c r="D357" t="s">
        <v>5532</v>
      </c>
      <c r="E357" t="s">
        <v>5533</v>
      </c>
      <c r="F357" s="40">
        <v>1</v>
      </c>
    </row>
    <row r="358" spans="2:6" x14ac:dyDescent="0.25">
      <c r="D358" t="s">
        <v>2786</v>
      </c>
      <c r="E358" t="s">
        <v>2787</v>
      </c>
      <c r="F358" s="40">
        <v>1</v>
      </c>
    </row>
    <row r="359" spans="2:6" x14ac:dyDescent="0.25">
      <c r="D359" t="s">
        <v>5664</v>
      </c>
      <c r="E359" t="s">
        <v>5665</v>
      </c>
      <c r="F359" s="40">
        <v>2</v>
      </c>
    </row>
    <row r="360" spans="2:6" x14ac:dyDescent="0.25">
      <c r="D360" t="s">
        <v>5528</v>
      </c>
      <c r="E360" t="s">
        <v>5529</v>
      </c>
      <c r="F360" s="40">
        <v>2</v>
      </c>
    </row>
    <row r="361" spans="2:6" x14ac:dyDescent="0.25">
      <c r="D361" t="s">
        <v>609</v>
      </c>
      <c r="E361" t="s">
        <v>610</v>
      </c>
      <c r="F361" s="40">
        <v>4</v>
      </c>
    </row>
    <row r="362" spans="2:6" x14ac:dyDescent="0.25">
      <c r="D362" t="s">
        <v>1924</v>
      </c>
      <c r="E362" t="s">
        <v>1925</v>
      </c>
      <c r="F362" s="40">
        <v>7</v>
      </c>
    </row>
    <row r="363" spans="2:6" x14ac:dyDescent="0.25">
      <c r="B363" t="s">
        <v>7939</v>
      </c>
      <c r="C363" t="s">
        <v>7573</v>
      </c>
      <c r="D363" t="s">
        <v>5678</v>
      </c>
      <c r="E363" t="s">
        <v>5679</v>
      </c>
      <c r="F363" s="40">
        <v>1</v>
      </c>
    </row>
    <row r="364" spans="2:6" x14ac:dyDescent="0.25">
      <c r="B364" t="s">
        <v>7936</v>
      </c>
      <c r="C364" t="s">
        <v>7573</v>
      </c>
      <c r="D364" t="s">
        <v>439</v>
      </c>
      <c r="E364" t="s">
        <v>440</v>
      </c>
      <c r="F364" s="40">
        <v>7</v>
      </c>
    </row>
    <row r="365" spans="2:6" x14ac:dyDescent="0.25">
      <c r="B365" t="s">
        <v>7938</v>
      </c>
      <c r="C365" t="s">
        <v>7573</v>
      </c>
      <c r="D365" t="s">
        <v>268</v>
      </c>
      <c r="E365" t="s">
        <v>269</v>
      </c>
      <c r="F365" s="40">
        <v>2</v>
      </c>
    </row>
    <row r="366" spans="2:6" x14ac:dyDescent="0.25">
      <c r="B366" t="s">
        <v>7937</v>
      </c>
      <c r="C366" t="s">
        <v>7573</v>
      </c>
      <c r="D366" t="s">
        <v>5645</v>
      </c>
      <c r="E366" t="s">
        <v>5646</v>
      </c>
      <c r="F366" s="40">
        <v>1</v>
      </c>
    </row>
    <row r="367" spans="2:6" x14ac:dyDescent="0.25">
      <c r="B367" t="s">
        <v>7942</v>
      </c>
      <c r="C367" t="s">
        <v>7573</v>
      </c>
      <c r="D367" t="s">
        <v>1285</v>
      </c>
      <c r="E367" t="s">
        <v>1286</v>
      </c>
      <c r="F367" s="40">
        <v>1</v>
      </c>
    </row>
    <row r="368" spans="2:6" x14ac:dyDescent="0.25">
      <c r="D368" t="s">
        <v>5113</v>
      </c>
      <c r="E368" t="s">
        <v>5114</v>
      </c>
      <c r="F368" s="40">
        <v>1</v>
      </c>
    </row>
    <row r="369" spans="2:6" x14ac:dyDescent="0.25">
      <c r="B369" t="s">
        <v>5753</v>
      </c>
      <c r="C369" t="s">
        <v>7573</v>
      </c>
      <c r="D369" t="s">
        <v>265</v>
      </c>
      <c r="E369" t="s">
        <v>266</v>
      </c>
      <c r="F369" s="40">
        <v>1</v>
      </c>
    </row>
    <row r="370" spans="2:6" x14ac:dyDescent="0.25">
      <c r="B370" t="s">
        <v>5798</v>
      </c>
      <c r="C370" t="s">
        <v>7431</v>
      </c>
      <c r="D370" t="s">
        <v>5807</v>
      </c>
      <c r="E370" t="s">
        <v>5808</v>
      </c>
      <c r="F370" s="40">
        <v>1</v>
      </c>
    </row>
    <row r="371" spans="2:6" x14ac:dyDescent="0.25">
      <c r="D371" t="s">
        <v>1041</v>
      </c>
      <c r="E371" t="s">
        <v>1042</v>
      </c>
      <c r="F371" s="40">
        <v>2</v>
      </c>
    </row>
    <row r="372" spans="2:6" x14ac:dyDescent="0.25">
      <c r="D372" t="s">
        <v>1038</v>
      </c>
      <c r="E372" t="s">
        <v>1039</v>
      </c>
      <c r="F372" s="40">
        <v>1</v>
      </c>
    </row>
    <row r="373" spans="2:6" x14ac:dyDescent="0.25">
      <c r="D373" t="s">
        <v>1035</v>
      </c>
      <c r="E373" t="s">
        <v>1036</v>
      </c>
      <c r="F373" s="40">
        <v>1</v>
      </c>
    </row>
    <row r="374" spans="2:6" x14ac:dyDescent="0.25">
      <c r="D374" t="s">
        <v>1048</v>
      </c>
      <c r="E374" t="s">
        <v>1049</v>
      </c>
      <c r="F374" s="40">
        <v>2</v>
      </c>
    </row>
    <row r="375" spans="2:6" x14ac:dyDescent="0.25">
      <c r="D375" t="s">
        <v>932</v>
      </c>
      <c r="E375" t="s">
        <v>933</v>
      </c>
      <c r="F375" s="40">
        <v>2</v>
      </c>
    </row>
    <row r="376" spans="2:6" x14ac:dyDescent="0.25">
      <c r="D376" t="s">
        <v>1044</v>
      </c>
      <c r="E376" t="s">
        <v>1045</v>
      </c>
      <c r="F376" s="40">
        <v>1</v>
      </c>
    </row>
    <row r="377" spans="2:6" x14ac:dyDescent="0.25">
      <c r="B377" t="s">
        <v>4495</v>
      </c>
      <c r="C377" t="s">
        <v>7448</v>
      </c>
      <c r="D377" t="s">
        <v>4473</v>
      </c>
      <c r="E377" t="s">
        <v>4474</v>
      </c>
      <c r="F377" s="40">
        <v>1</v>
      </c>
    </row>
    <row r="378" spans="2:6" x14ac:dyDescent="0.25">
      <c r="D378" t="s">
        <v>4482</v>
      </c>
      <c r="E378" t="s">
        <v>4483</v>
      </c>
      <c r="F378" s="40">
        <v>1</v>
      </c>
    </row>
    <row r="379" spans="2:6" x14ac:dyDescent="0.25">
      <c r="D379" t="s">
        <v>4486</v>
      </c>
      <c r="E379" t="s">
        <v>4487</v>
      </c>
      <c r="F379" s="40">
        <v>1</v>
      </c>
    </row>
    <row r="380" spans="2:6" x14ac:dyDescent="0.25">
      <c r="D380" t="s">
        <v>219</v>
      </c>
      <c r="E380" t="s">
        <v>220</v>
      </c>
      <c r="F380" s="40">
        <v>2</v>
      </c>
    </row>
    <row r="381" spans="2:6" x14ac:dyDescent="0.25">
      <c r="D381" t="s">
        <v>445</v>
      </c>
      <c r="E381" t="s">
        <v>446</v>
      </c>
      <c r="F381" s="40">
        <v>1</v>
      </c>
    </row>
    <row r="382" spans="2:6" x14ac:dyDescent="0.25">
      <c r="D382" t="s">
        <v>4479</v>
      </c>
      <c r="E382" t="s">
        <v>4480</v>
      </c>
      <c r="F382" s="40">
        <v>1</v>
      </c>
    </row>
    <row r="383" spans="2:6" x14ac:dyDescent="0.25">
      <c r="D383" t="s">
        <v>2279</v>
      </c>
      <c r="E383" t="s">
        <v>2280</v>
      </c>
      <c r="F383" s="40">
        <v>1</v>
      </c>
    </row>
    <row r="384" spans="2:6" x14ac:dyDescent="0.25">
      <c r="D384" t="s">
        <v>932</v>
      </c>
      <c r="E384" t="s">
        <v>933</v>
      </c>
      <c r="F384" s="40">
        <v>1</v>
      </c>
    </row>
    <row r="385" spans="2:6" x14ac:dyDescent="0.25">
      <c r="D385" t="s">
        <v>4545</v>
      </c>
      <c r="E385" t="s">
        <v>4546</v>
      </c>
      <c r="F385" s="40">
        <v>4</v>
      </c>
    </row>
    <row r="386" spans="2:6" x14ac:dyDescent="0.25">
      <c r="D386" t="s">
        <v>439</v>
      </c>
      <c r="E386" t="s">
        <v>440</v>
      </c>
      <c r="F386" s="40">
        <v>1</v>
      </c>
    </row>
    <row r="387" spans="2:6" x14ac:dyDescent="0.25">
      <c r="D387" t="s">
        <v>265</v>
      </c>
      <c r="E387" t="s">
        <v>266</v>
      </c>
      <c r="F387" s="40">
        <v>7</v>
      </c>
    </row>
    <row r="388" spans="2:6" x14ac:dyDescent="0.25">
      <c r="D388" t="s">
        <v>1626</v>
      </c>
      <c r="E388" t="s">
        <v>1627</v>
      </c>
      <c r="F388" s="40">
        <v>1</v>
      </c>
    </row>
    <row r="389" spans="2:6" x14ac:dyDescent="0.25">
      <c r="D389" t="s">
        <v>4491</v>
      </c>
      <c r="E389" t="s">
        <v>4492</v>
      </c>
      <c r="F389" s="40">
        <v>1</v>
      </c>
    </row>
    <row r="390" spans="2:6" x14ac:dyDescent="0.25">
      <c r="D390" t="s">
        <v>4468</v>
      </c>
      <c r="E390" t="s">
        <v>4469</v>
      </c>
      <c r="F390" s="40">
        <v>3</v>
      </c>
    </row>
    <row r="391" spans="2:6" x14ac:dyDescent="0.25">
      <c r="D391" t="s">
        <v>2204</v>
      </c>
      <c r="E391" t="s">
        <v>2205</v>
      </c>
      <c r="F391" s="40">
        <v>1</v>
      </c>
    </row>
    <row r="392" spans="2:6" x14ac:dyDescent="0.25">
      <c r="B392" t="s">
        <v>7923</v>
      </c>
      <c r="C392" t="s">
        <v>7448</v>
      </c>
      <c r="D392" t="s">
        <v>4437</v>
      </c>
      <c r="E392" t="s">
        <v>4438</v>
      </c>
      <c r="F392" s="40">
        <v>1</v>
      </c>
    </row>
    <row r="393" spans="2:6" x14ac:dyDescent="0.25">
      <c r="D393" t="s">
        <v>915</v>
      </c>
      <c r="E393" t="s">
        <v>916</v>
      </c>
      <c r="F393" s="40">
        <v>3</v>
      </c>
    </row>
    <row r="394" spans="2:6" x14ac:dyDescent="0.25">
      <c r="D394" t="s">
        <v>439</v>
      </c>
      <c r="E394" t="s">
        <v>440</v>
      </c>
      <c r="F394" s="40">
        <v>1</v>
      </c>
    </row>
    <row r="395" spans="2:6" x14ac:dyDescent="0.25">
      <c r="D395" t="s">
        <v>222</v>
      </c>
      <c r="E395" t="s">
        <v>223</v>
      </c>
      <c r="F395" s="40">
        <v>5</v>
      </c>
    </row>
    <row r="396" spans="2:6" x14ac:dyDescent="0.25">
      <c r="D396" t="s">
        <v>2204</v>
      </c>
      <c r="E396" t="s">
        <v>2205</v>
      </c>
      <c r="F396" s="40">
        <v>1</v>
      </c>
    </row>
    <row r="397" spans="2:6" x14ac:dyDescent="0.25">
      <c r="D397" t="s">
        <v>4445</v>
      </c>
      <c r="E397" t="s">
        <v>4446</v>
      </c>
      <c r="F397" s="40">
        <v>1</v>
      </c>
    </row>
    <row r="398" spans="2:6" x14ac:dyDescent="0.25">
      <c r="D398" t="s">
        <v>1528</v>
      </c>
      <c r="E398" t="s">
        <v>1529</v>
      </c>
      <c r="F398" s="40">
        <v>1</v>
      </c>
    </row>
    <row r="399" spans="2:6" x14ac:dyDescent="0.25">
      <c r="D399" t="s">
        <v>4537</v>
      </c>
      <c r="E399" t="s">
        <v>7830</v>
      </c>
      <c r="F399" s="40">
        <v>1</v>
      </c>
    </row>
    <row r="400" spans="2:6" x14ac:dyDescent="0.25">
      <c r="D400" t="s">
        <v>2089</v>
      </c>
      <c r="E400" t="s">
        <v>2090</v>
      </c>
      <c r="F400" s="40">
        <v>1</v>
      </c>
    </row>
    <row r="401" spans="2:6" x14ac:dyDescent="0.25">
      <c r="D401" t="s">
        <v>4540</v>
      </c>
      <c r="E401" t="s">
        <v>4541</v>
      </c>
      <c r="F401" s="40">
        <v>1</v>
      </c>
    </row>
    <row r="402" spans="2:6" x14ac:dyDescent="0.25">
      <c r="D402" t="s">
        <v>4533</v>
      </c>
      <c r="E402" t="s">
        <v>4534</v>
      </c>
      <c r="F402" s="40">
        <v>1</v>
      </c>
    </row>
    <row r="403" spans="2:6" x14ac:dyDescent="0.25">
      <c r="D403" t="s">
        <v>4440</v>
      </c>
      <c r="E403" t="s">
        <v>4441</v>
      </c>
      <c r="F403" s="40">
        <v>2</v>
      </c>
    </row>
    <row r="404" spans="2:6" x14ac:dyDescent="0.25">
      <c r="B404" t="s">
        <v>4617</v>
      </c>
      <c r="C404" t="s">
        <v>7448</v>
      </c>
      <c r="D404" t="s">
        <v>2424</v>
      </c>
      <c r="E404" t="s">
        <v>2425</v>
      </c>
      <c r="F404" s="40">
        <v>1</v>
      </c>
    </row>
    <row r="405" spans="2:6" x14ac:dyDescent="0.25">
      <c r="B405" t="s">
        <v>5476</v>
      </c>
      <c r="C405" t="s">
        <v>7551</v>
      </c>
      <c r="D405" t="s">
        <v>5116</v>
      </c>
      <c r="E405" t="s">
        <v>5117</v>
      </c>
      <c r="F405" s="40">
        <v>1</v>
      </c>
    </row>
    <row r="406" spans="2:6" x14ac:dyDescent="0.25">
      <c r="D406" t="s">
        <v>5100</v>
      </c>
      <c r="E406" t="s">
        <v>5101</v>
      </c>
      <c r="F406" s="40">
        <v>1</v>
      </c>
    </row>
    <row r="407" spans="2:6" x14ac:dyDescent="0.25">
      <c r="B407" t="s">
        <v>5450</v>
      </c>
      <c r="C407" t="s">
        <v>7551</v>
      </c>
      <c r="D407" t="s">
        <v>583</v>
      </c>
      <c r="E407" t="s">
        <v>584</v>
      </c>
      <c r="F407" s="40">
        <v>8</v>
      </c>
    </row>
    <row r="408" spans="2:6" x14ac:dyDescent="0.25">
      <c r="D408" t="s">
        <v>4795</v>
      </c>
      <c r="E408" t="s">
        <v>4796</v>
      </c>
      <c r="F408" s="40">
        <v>4</v>
      </c>
    </row>
    <row r="409" spans="2:6" x14ac:dyDescent="0.25">
      <c r="D409" t="s">
        <v>460</v>
      </c>
      <c r="E409" t="s">
        <v>461</v>
      </c>
      <c r="F409" s="40">
        <v>16</v>
      </c>
    </row>
    <row r="410" spans="2:6" x14ac:dyDescent="0.25">
      <c r="B410" t="s">
        <v>7934</v>
      </c>
      <c r="C410" t="s">
        <v>7551</v>
      </c>
      <c r="D410" t="s">
        <v>596</v>
      </c>
      <c r="E410" t="s">
        <v>597</v>
      </c>
      <c r="F410" s="40">
        <v>1</v>
      </c>
    </row>
    <row r="411" spans="2:6" x14ac:dyDescent="0.25">
      <c r="B411" t="s">
        <v>5465</v>
      </c>
      <c r="C411" t="s">
        <v>7551</v>
      </c>
      <c r="D411" t="s">
        <v>5472</v>
      </c>
      <c r="E411" t="s">
        <v>5473</v>
      </c>
      <c r="F411" s="40">
        <v>1</v>
      </c>
    </row>
    <row r="412" spans="2:6" x14ac:dyDescent="0.25">
      <c r="D412" t="s">
        <v>4254</v>
      </c>
      <c r="E412" t="s">
        <v>4255</v>
      </c>
      <c r="F412" s="40">
        <v>1</v>
      </c>
    </row>
    <row r="413" spans="2:6" x14ac:dyDescent="0.25">
      <c r="B413" t="s">
        <v>5375</v>
      </c>
      <c r="C413" t="s">
        <v>7551</v>
      </c>
      <c r="D413" t="s">
        <v>5096</v>
      </c>
      <c r="E413" t="s">
        <v>5097</v>
      </c>
      <c r="F413" s="40">
        <v>2</v>
      </c>
    </row>
    <row r="414" spans="2:6" x14ac:dyDescent="0.25">
      <c r="D414" t="s">
        <v>5408</v>
      </c>
      <c r="E414" t="s">
        <v>5409</v>
      </c>
      <c r="F414" s="40">
        <v>1</v>
      </c>
    </row>
    <row r="415" spans="2:6" x14ac:dyDescent="0.25">
      <c r="D415" t="s">
        <v>5405</v>
      </c>
      <c r="E415" t="s">
        <v>5406</v>
      </c>
      <c r="F415" s="40">
        <v>1</v>
      </c>
    </row>
    <row r="416" spans="2:6" x14ac:dyDescent="0.25">
      <c r="D416" t="s">
        <v>4244</v>
      </c>
      <c r="E416" t="s">
        <v>4245</v>
      </c>
      <c r="F416" s="40">
        <v>1</v>
      </c>
    </row>
    <row r="417" spans="2:6" x14ac:dyDescent="0.25">
      <c r="D417" t="s">
        <v>3974</v>
      </c>
      <c r="E417" t="s">
        <v>3975</v>
      </c>
      <c r="F417" s="40">
        <v>2</v>
      </c>
    </row>
    <row r="418" spans="2:6" x14ac:dyDescent="0.25">
      <c r="D418" t="s">
        <v>580</v>
      </c>
      <c r="E418" t="s">
        <v>581</v>
      </c>
      <c r="F418" s="40">
        <v>2</v>
      </c>
    </row>
    <row r="419" spans="2:6" x14ac:dyDescent="0.25">
      <c r="D419" t="s">
        <v>442</v>
      </c>
      <c r="E419" t="s">
        <v>443</v>
      </c>
      <c r="F419" s="40">
        <v>4</v>
      </c>
    </row>
    <row r="420" spans="2:6" x14ac:dyDescent="0.25">
      <c r="D420" t="s">
        <v>4479</v>
      </c>
      <c r="E420" t="s">
        <v>4480</v>
      </c>
      <c r="F420" s="40">
        <v>2</v>
      </c>
    </row>
    <row r="421" spans="2:6" x14ac:dyDescent="0.25">
      <c r="D421" t="s">
        <v>5113</v>
      </c>
      <c r="E421" t="s">
        <v>5114</v>
      </c>
      <c r="F421" s="40">
        <v>2</v>
      </c>
    </row>
    <row r="422" spans="2:6" x14ac:dyDescent="0.25">
      <c r="D422" t="s">
        <v>2762</v>
      </c>
      <c r="E422" t="s">
        <v>2763</v>
      </c>
      <c r="F422" s="40">
        <v>2</v>
      </c>
    </row>
    <row r="423" spans="2:6" x14ac:dyDescent="0.25">
      <c r="D423" t="s">
        <v>5116</v>
      </c>
      <c r="E423" t="s">
        <v>5117</v>
      </c>
      <c r="F423" s="40">
        <v>1</v>
      </c>
    </row>
    <row r="424" spans="2:6" x14ac:dyDescent="0.25">
      <c r="D424" t="s">
        <v>5100</v>
      </c>
      <c r="E424" t="s">
        <v>5101</v>
      </c>
      <c r="F424" s="40">
        <v>1</v>
      </c>
    </row>
    <row r="425" spans="2:6" x14ac:dyDescent="0.25">
      <c r="D425" t="s">
        <v>5107</v>
      </c>
      <c r="E425" t="s">
        <v>5108</v>
      </c>
      <c r="F425" s="40">
        <v>1</v>
      </c>
    </row>
    <row r="426" spans="2:6" x14ac:dyDescent="0.25">
      <c r="D426" t="s">
        <v>5090</v>
      </c>
      <c r="E426" t="s">
        <v>5091</v>
      </c>
      <c r="F426" s="40">
        <v>4</v>
      </c>
    </row>
    <row r="427" spans="2:6" x14ac:dyDescent="0.25">
      <c r="B427" t="s">
        <v>7932</v>
      </c>
      <c r="C427" t="s">
        <v>7551</v>
      </c>
      <c r="D427" t="s">
        <v>5065</v>
      </c>
      <c r="E427" t="s">
        <v>5066</v>
      </c>
      <c r="F427" s="40">
        <v>1</v>
      </c>
    </row>
    <row r="428" spans="2:6" x14ac:dyDescent="0.25">
      <c r="D428" t="s">
        <v>5053</v>
      </c>
      <c r="E428" t="s">
        <v>5054</v>
      </c>
      <c r="F428" s="40">
        <v>1</v>
      </c>
    </row>
    <row r="429" spans="2:6" x14ac:dyDescent="0.25">
      <c r="B429" t="s">
        <v>7933</v>
      </c>
      <c r="C429" t="s">
        <v>7551</v>
      </c>
      <c r="D429" t="s">
        <v>268</v>
      </c>
      <c r="E429" t="s">
        <v>269</v>
      </c>
      <c r="F429" s="40">
        <v>4</v>
      </c>
    </row>
    <row r="430" spans="2:6" x14ac:dyDescent="0.25">
      <c r="B430" t="s">
        <v>7931</v>
      </c>
      <c r="C430" t="s">
        <v>7551</v>
      </c>
      <c r="D430" t="s">
        <v>5053</v>
      </c>
      <c r="E430" t="s">
        <v>5054</v>
      </c>
      <c r="F430" s="40">
        <v>1</v>
      </c>
    </row>
    <row r="431" spans="2:6" x14ac:dyDescent="0.25">
      <c r="D431" t="s">
        <v>265</v>
      </c>
      <c r="E431" t="s">
        <v>266</v>
      </c>
      <c r="F431" s="40">
        <v>8</v>
      </c>
    </row>
    <row r="432" spans="2:6" x14ac:dyDescent="0.25">
      <c r="B432" t="s">
        <v>5311</v>
      </c>
      <c r="C432" t="s">
        <v>7545</v>
      </c>
      <c r="D432" t="s">
        <v>5318</v>
      </c>
      <c r="E432" t="s">
        <v>5319</v>
      </c>
      <c r="F432" s="40">
        <v>1</v>
      </c>
    </row>
    <row r="433" spans="2:6" x14ac:dyDescent="0.25">
      <c r="D433" t="s">
        <v>4778</v>
      </c>
      <c r="E433" t="s">
        <v>4779</v>
      </c>
      <c r="F433" s="40">
        <v>2</v>
      </c>
    </row>
    <row r="434" spans="2:6" x14ac:dyDescent="0.25">
      <c r="D434" t="s">
        <v>4784</v>
      </c>
      <c r="E434" t="s">
        <v>4785</v>
      </c>
      <c r="F434" s="40">
        <v>1</v>
      </c>
    </row>
    <row r="435" spans="2:6" x14ac:dyDescent="0.25">
      <c r="D435" t="s">
        <v>4775</v>
      </c>
      <c r="E435" t="s">
        <v>4776</v>
      </c>
      <c r="F435" s="40">
        <v>2</v>
      </c>
    </row>
    <row r="436" spans="2:6" x14ac:dyDescent="0.25">
      <c r="D436" t="s">
        <v>4772</v>
      </c>
      <c r="E436" t="s">
        <v>4773</v>
      </c>
      <c r="F436" s="40">
        <v>2</v>
      </c>
    </row>
    <row r="437" spans="2:6" x14ac:dyDescent="0.25">
      <c r="B437" t="s">
        <v>4770</v>
      </c>
      <c r="C437" t="s">
        <v>7551</v>
      </c>
      <c r="D437" t="s">
        <v>4787</v>
      </c>
      <c r="E437" t="s">
        <v>4788</v>
      </c>
      <c r="F437" s="40">
        <v>1</v>
      </c>
    </row>
    <row r="438" spans="2:6" x14ac:dyDescent="0.25">
      <c r="D438" t="s">
        <v>4778</v>
      </c>
      <c r="E438" t="s">
        <v>4779</v>
      </c>
      <c r="F438" s="40">
        <v>1</v>
      </c>
    </row>
    <row r="439" spans="2:6" x14ac:dyDescent="0.25">
      <c r="D439" t="s">
        <v>4784</v>
      </c>
      <c r="E439" t="s">
        <v>4785</v>
      </c>
      <c r="F439" s="40">
        <v>1</v>
      </c>
    </row>
    <row r="440" spans="2:6" x14ac:dyDescent="0.25">
      <c r="D440" t="s">
        <v>4775</v>
      </c>
      <c r="E440" t="s">
        <v>4776</v>
      </c>
      <c r="F440" s="40">
        <v>1</v>
      </c>
    </row>
    <row r="441" spans="2:6" x14ac:dyDescent="0.25">
      <c r="D441" t="s">
        <v>4772</v>
      </c>
      <c r="E441" t="s">
        <v>4773</v>
      </c>
      <c r="F441" s="40">
        <v>1</v>
      </c>
    </row>
    <row r="442" spans="2:6" x14ac:dyDescent="0.25">
      <c r="C442" t="s">
        <v>7489</v>
      </c>
      <c r="D442" t="s">
        <v>4787</v>
      </c>
      <c r="E442" t="s">
        <v>4788</v>
      </c>
      <c r="F442" s="40">
        <v>1</v>
      </c>
    </row>
    <row r="443" spans="2:6" x14ac:dyDescent="0.25">
      <c r="D443" t="s">
        <v>4778</v>
      </c>
      <c r="E443" t="s">
        <v>4779</v>
      </c>
      <c r="F443" s="40">
        <v>1</v>
      </c>
    </row>
    <row r="444" spans="2:6" x14ac:dyDescent="0.25">
      <c r="D444" t="s">
        <v>4784</v>
      </c>
      <c r="E444" t="s">
        <v>4785</v>
      </c>
      <c r="F444" s="40">
        <v>1</v>
      </c>
    </row>
    <row r="445" spans="2:6" x14ac:dyDescent="0.25">
      <c r="D445" t="s">
        <v>4775</v>
      </c>
      <c r="E445" t="s">
        <v>4776</v>
      </c>
      <c r="F445" s="40">
        <v>1</v>
      </c>
    </row>
    <row r="446" spans="2:6" x14ac:dyDescent="0.25">
      <c r="D446" t="s">
        <v>4772</v>
      </c>
      <c r="E446" t="s">
        <v>4773</v>
      </c>
      <c r="F446" s="40">
        <v>1</v>
      </c>
    </row>
    <row r="447" spans="2:6" x14ac:dyDescent="0.25">
      <c r="C447" t="s">
        <v>7545</v>
      </c>
      <c r="D447" t="s">
        <v>4787</v>
      </c>
      <c r="E447" t="s">
        <v>4788</v>
      </c>
      <c r="F447" s="40">
        <v>1</v>
      </c>
    </row>
    <row r="448" spans="2:6" x14ac:dyDescent="0.25">
      <c r="D448" t="s">
        <v>4778</v>
      </c>
      <c r="E448" t="s">
        <v>4779</v>
      </c>
      <c r="F448" s="40">
        <v>1</v>
      </c>
    </row>
    <row r="449" spans="2:6" x14ac:dyDescent="0.25">
      <c r="D449" t="s">
        <v>4784</v>
      </c>
      <c r="E449" t="s">
        <v>4785</v>
      </c>
      <c r="F449" s="40">
        <v>1</v>
      </c>
    </row>
    <row r="450" spans="2:6" x14ac:dyDescent="0.25">
      <c r="D450" t="s">
        <v>4775</v>
      </c>
      <c r="E450" t="s">
        <v>4776</v>
      </c>
      <c r="F450" s="40">
        <v>1</v>
      </c>
    </row>
    <row r="451" spans="2:6" x14ac:dyDescent="0.25">
      <c r="D451" t="s">
        <v>4772</v>
      </c>
      <c r="E451" t="s">
        <v>4773</v>
      </c>
      <c r="F451" s="40">
        <v>1</v>
      </c>
    </row>
    <row r="452" spans="2:6" x14ac:dyDescent="0.25">
      <c r="B452" t="s">
        <v>1520</v>
      </c>
      <c r="C452" t="s">
        <v>7501</v>
      </c>
      <c r="D452" t="s">
        <v>1522</v>
      </c>
      <c r="E452" t="s">
        <v>1523</v>
      </c>
      <c r="F452" s="40">
        <v>1</v>
      </c>
    </row>
    <row r="453" spans="2:6" x14ac:dyDescent="0.25">
      <c r="B453" t="s">
        <v>4276</v>
      </c>
      <c r="C453" t="s">
        <v>7510</v>
      </c>
      <c r="D453" t="s">
        <v>1522</v>
      </c>
      <c r="E453" t="s">
        <v>1523</v>
      </c>
      <c r="F453" s="40">
        <v>1</v>
      </c>
    </row>
    <row r="454" spans="2:6" x14ac:dyDescent="0.25">
      <c r="C454" t="s">
        <v>7551</v>
      </c>
      <c r="D454" t="s">
        <v>1522</v>
      </c>
      <c r="E454" t="s">
        <v>1523</v>
      </c>
      <c r="F454" s="40">
        <v>1</v>
      </c>
    </row>
    <row r="455" spans="2:6" x14ac:dyDescent="0.25">
      <c r="C455" t="s">
        <v>7541</v>
      </c>
      <c r="D455" t="s">
        <v>1522</v>
      </c>
      <c r="E455" t="s">
        <v>1523</v>
      </c>
      <c r="F455" s="40">
        <v>1</v>
      </c>
    </row>
    <row r="456" spans="2:6" x14ac:dyDescent="0.25">
      <c r="C456" t="s">
        <v>7442</v>
      </c>
      <c r="D456" t="s">
        <v>1522</v>
      </c>
      <c r="E456" t="s">
        <v>1523</v>
      </c>
      <c r="F456" s="40">
        <v>1</v>
      </c>
    </row>
    <row r="457" spans="2:6" x14ac:dyDescent="0.25">
      <c r="B457" t="s">
        <v>4953</v>
      </c>
      <c r="C457" t="s">
        <v>7515</v>
      </c>
      <c r="D457" t="s">
        <v>1522</v>
      </c>
      <c r="E457" t="s">
        <v>1523</v>
      </c>
      <c r="F457" s="40">
        <v>1</v>
      </c>
    </row>
    <row r="458" spans="2:6" x14ac:dyDescent="0.25">
      <c r="B458" t="s">
        <v>4828</v>
      </c>
      <c r="C458" t="s">
        <v>7510</v>
      </c>
      <c r="D458" t="s">
        <v>1513</v>
      </c>
      <c r="E458" t="s">
        <v>1514</v>
      </c>
      <c r="F458" s="40">
        <v>1</v>
      </c>
    </row>
    <row r="459" spans="2:6" x14ac:dyDescent="0.25">
      <c r="C459" t="s">
        <v>7501</v>
      </c>
      <c r="D459" t="s">
        <v>1513</v>
      </c>
      <c r="E459" t="s">
        <v>1514</v>
      </c>
      <c r="F459" s="40">
        <v>1</v>
      </c>
    </row>
    <row r="460" spans="2:6" x14ac:dyDescent="0.25">
      <c r="B460" t="s">
        <v>1511</v>
      </c>
      <c r="C460" t="s">
        <v>7489</v>
      </c>
      <c r="D460" t="s">
        <v>1513</v>
      </c>
      <c r="E460" t="s">
        <v>1514</v>
      </c>
      <c r="F460" s="40">
        <v>1</v>
      </c>
    </row>
    <row r="461" spans="2:6" x14ac:dyDescent="0.25">
      <c r="B461" t="s">
        <v>4760</v>
      </c>
      <c r="C461" t="s">
        <v>7510</v>
      </c>
      <c r="D461" t="s">
        <v>1513</v>
      </c>
      <c r="E461" t="s">
        <v>1514</v>
      </c>
      <c r="F461" s="40">
        <v>1</v>
      </c>
    </row>
    <row r="462" spans="2:6" x14ac:dyDescent="0.25">
      <c r="C462" t="s">
        <v>7489</v>
      </c>
      <c r="D462" t="s">
        <v>1513</v>
      </c>
      <c r="E462" t="s">
        <v>1514</v>
      </c>
      <c r="F462" s="40">
        <v>1</v>
      </c>
    </row>
    <row r="463" spans="2:6" x14ac:dyDescent="0.25">
      <c r="B463" t="s">
        <v>5833</v>
      </c>
      <c r="C463" t="s">
        <v>7431</v>
      </c>
      <c r="D463" t="s">
        <v>2213</v>
      </c>
      <c r="E463" t="s">
        <v>2214</v>
      </c>
      <c r="F463" s="40">
        <v>1</v>
      </c>
    </row>
    <row r="464" spans="2:6" x14ac:dyDescent="0.25">
      <c r="D464" t="s">
        <v>2229</v>
      </c>
      <c r="E464" t="s">
        <v>2230</v>
      </c>
      <c r="F464" s="40">
        <v>1</v>
      </c>
    </row>
    <row r="465" spans="2:6" x14ac:dyDescent="0.25">
      <c r="D465" t="s">
        <v>2417</v>
      </c>
      <c r="E465" t="s">
        <v>2418</v>
      </c>
      <c r="F465" s="40">
        <v>1</v>
      </c>
    </row>
    <row r="466" spans="2:6" x14ac:dyDescent="0.25">
      <c r="B466" t="s">
        <v>7944</v>
      </c>
      <c r="C466" t="s">
        <v>7431</v>
      </c>
      <c r="D466" t="s">
        <v>2179</v>
      </c>
      <c r="E466" t="s">
        <v>1552</v>
      </c>
      <c r="F466" s="40">
        <v>2</v>
      </c>
    </row>
    <row r="467" spans="2:6" x14ac:dyDescent="0.25">
      <c r="B467" t="s">
        <v>7258</v>
      </c>
      <c r="C467" t="s">
        <v>7501</v>
      </c>
      <c r="D467" t="s">
        <v>2179</v>
      </c>
      <c r="E467" t="s">
        <v>1552</v>
      </c>
      <c r="F467" s="40">
        <v>2</v>
      </c>
    </row>
    <row r="468" spans="2:6" x14ac:dyDescent="0.25">
      <c r="B468" t="s">
        <v>7512</v>
      </c>
      <c r="C468" t="s">
        <v>7510</v>
      </c>
      <c r="D468" t="s">
        <v>2179</v>
      </c>
      <c r="E468" t="s">
        <v>1552</v>
      </c>
      <c r="F468" s="40">
        <v>2</v>
      </c>
    </row>
    <row r="469" spans="2:6" x14ac:dyDescent="0.25">
      <c r="B469" t="s">
        <v>7263</v>
      </c>
      <c r="C469" t="s">
        <v>7501</v>
      </c>
      <c r="D469" t="s">
        <v>360</v>
      </c>
      <c r="E469" t="s">
        <v>361</v>
      </c>
      <c r="F469" s="40">
        <v>2</v>
      </c>
    </row>
    <row r="470" spans="2:6" x14ac:dyDescent="0.25">
      <c r="B470" t="s">
        <v>7517</v>
      </c>
      <c r="C470" t="s">
        <v>7515</v>
      </c>
      <c r="D470" t="s">
        <v>2179</v>
      </c>
      <c r="E470" t="s">
        <v>1552</v>
      </c>
      <c r="F470" s="40">
        <v>1</v>
      </c>
    </row>
    <row r="471" spans="2:6" x14ac:dyDescent="0.25">
      <c r="D471" t="s">
        <v>1551</v>
      </c>
      <c r="E471" t="s">
        <v>1552</v>
      </c>
      <c r="F471" s="40">
        <v>1</v>
      </c>
    </row>
    <row r="472" spans="2:6" x14ac:dyDescent="0.25">
      <c r="B472" t="s">
        <v>7507</v>
      </c>
      <c r="C472" t="s">
        <v>7501</v>
      </c>
      <c r="D472" t="s">
        <v>2179</v>
      </c>
      <c r="E472" t="s">
        <v>1552</v>
      </c>
      <c r="F472" s="40">
        <v>2</v>
      </c>
    </row>
    <row r="473" spans="2:6" x14ac:dyDescent="0.25">
      <c r="B473" t="s">
        <v>7543</v>
      </c>
      <c r="C473" t="s">
        <v>7541</v>
      </c>
      <c r="D473" t="s">
        <v>1551</v>
      </c>
      <c r="E473" t="s">
        <v>1552</v>
      </c>
      <c r="F473" s="40">
        <v>1</v>
      </c>
    </row>
    <row r="474" spans="2:6" x14ac:dyDescent="0.25">
      <c r="B474" t="s">
        <v>7521</v>
      </c>
      <c r="C474" t="s">
        <v>7518</v>
      </c>
      <c r="D474" t="s">
        <v>1551</v>
      </c>
      <c r="E474" t="s">
        <v>1552</v>
      </c>
      <c r="F474" s="40">
        <v>3</v>
      </c>
    </row>
    <row r="475" spans="2:6" x14ac:dyDescent="0.25">
      <c r="B475" t="s">
        <v>7590</v>
      </c>
      <c r="C475" t="s">
        <v>7431</v>
      </c>
      <c r="D475" t="s">
        <v>3167</v>
      </c>
      <c r="E475" t="s">
        <v>3168</v>
      </c>
      <c r="F475" s="40">
        <v>1</v>
      </c>
    </row>
    <row r="476" spans="2:6" x14ac:dyDescent="0.25">
      <c r="B476" t="s">
        <v>5042</v>
      </c>
      <c r="C476" t="s">
        <v>7518</v>
      </c>
      <c r="D476" t="s">
        <v>5096</v>
      </c>
      <c r="E476" t="s">
        <v>5097</v>
      </c>
      <c r="F476" s="40">
        <v>2</v>
      </c>
    </row>
    <row r="477" spans="2:6" x14ac:dyDescent="0.25">
      <c r="D477" t="s">
        <v>4244</v>
      </c>
      <c r="E477" t="s">
        <v>4245</v>
      </c>
      <c r="F477" s="40">
        <v>1</v>
      </c>
    </row>
    <row r="478" spans="2:6" x14ac:dyDescent="0.25">
      <c r="D478" t="s">
        <v>580</v>
      </c>
      <c r="E478" t="s">
        <v>581</v>
      </c>
      <c r="F478" s="40">
        <v>4</v>
      </c>
    </row>
    <row r="479" spans="2:6" x14ac:dyDescent="0.25">
      <c r="D479" t="s">
        <v>442</v>
      </c>
      <c r="E479" t="s">
        <v>443</v>
      </c>
      <c r="F479" s="40">
        <v>4</v>
      </c>
    </row>
    <row r="480" spans="2:6" x14ac:dyDescent="0.25">
      <c r="D480" t="s">
        <v>4479</v>
      </c>
      <c r="E480" t="s">
        <v>4480</v>
      </c>
      <c r="F480" s="40">
        <v>2</v>
      </c>
    </row>
    <row r="481" spans="2:6" x14ac:dyDescent="0.25">
      <c r="D481" t="s">
        <v>5113</v>
      </c>
      <c r="E481" t="s">
        <v>5114</v>
      </c>
      <c r="F481" s="40">
        <v>2</v>
      </c>
    </row>
    <row r="482" spans="2:6" x14ac:dyDescent="0.25">
      <c r="D482" t="s">
        <v>2762</v>
      </c>
      <c r="E482" t="s">
        <v>2763</v>
      </c>
      <c r="F482" s="40">
        <v>2</v>
      </c>
    </row>
    <row r="483" spans="2:6" x14ac:dyDescent="0.25">
      <c r="D483" t="s">
        <v>5116</v>
      </c>
      <c r="E483" t="s">
        <v>5117</v>
      </c>
      <c r="F483" s="40">
        <v>1</v>
      </c>
    </row>
    <row r="484" spans="2:6" x14ac:dyDescent="0.25">
      <c r="D484" t="s">
        <v>5100</v>
      </c>
      <c r="E484" t="s">
        <v>5101</v>
      </c>
      <c r="F484" s="40">
        <v>1</v>
      </c>
    </row>
    <row r="485" spans="2:6" x14ac:dyDescent="0.25">
      <c r="D485" t="s">
        <v>5107</v>
      </c>
      <c r="E485" t="s">
        <v>5108</v>
      </c>
      <c r="F485" s="40">
        <v>1</v>
      </c>
    </row>
    <row r="486" spans="2:6" x14ac:dyDescent="0.25">
      <c r="D486" t="s">
        <v>5090</v>
      </c>
      <c r="E486" t="s">
        <v>5091</v>
      </c>
      <c r="F486" s="40">
        <v>4</v>
      </c>
    </row>
    <row r="487" spans="2:6" x14ac:dyDescent="0.25">
      <c r="D487" t="s">
        <v>5093</v>
      </c>
      <c r="E487" t="s">
        <v>5094</v>
      </c>
      <c r="F487" s="40">
        <v>1</v>
      </c>
    </row>
    <row r="488" spans="2:6" x14ac:dyDescent="0.25">
      <c r="B488" t="s">
        <v>7925</v>
      </c>
      <c r="C488" t="s">
        <v>7518</v>
      </c>
      <c r="D488" t="s">
        <v>5065</v>
      </c>
      <c r="E488" t="s">
        <v>5066</v>
      </c>
      <c r="F488" s="40">
        <v>1</v>
      </c>
    </row>
    <row r="489" spans="2:6" x14ac:dyDescent="0.25">
      <c r="D489" t="s">
        <v>5053</v>
      </c>
      <c r="E489" t="s">
        <v>5054</v>
      </c>
      <c r="F489" s="40">
        <v>1</v>
      </c>
    </row>
    <row r="490" spans="2:6" x14ac:dyDescent="0.25">
      <c r="B490" t="s">
        <v>7926</v>
      </c>
      <c r="C490" t="s">
        <v>7518</v>
      </c>
      <c r="D490" t="s">
        <v>268</v>
      </c>
      <c r="E490" t="s">
        <v>269</v>
      </c>
      <c r="F490" s="40">
        <v>4</v>
      </c>
    </row>
    <row r="491" spans="2:6" x14ac:dyDescent="0.25">
      <c r="B491" t="s">
        <v>7924</v>
      </c>
      <c r="C491" t="s">
        <v>7518</v>
      </c>
      <c r="D491" t="s">
        <v>5053</v>
      </c>
      <c r="E491" t="s">
        <v>5054</v>
      </c>
      <c r="F491" s="40">
        <v>1</v>
      </c>
    </row>
    <row r="492" spans="2:6" x14ac:dyDescent="0.25">
      <c r="D492" t="s">
        <v>265</v>
      </c>
      <c r="E492" t="s">
        <v>266</v>
      </c>
      <c r="F492" s="40">
        <v>8</v>
      </c>
    </row>
    <row r="493" spans="2:6" x14ac:dyDescent="0.25">
      <c r="B493" t="s">
        <v>7513</v>
      </c>
      <c r="C493" t="s">
        <v>7510</v>
      </c>
      <c r="D493" t="s">
        <v>1522</v>
      </c>
      <c r="E493" t="s">
        <v>1523</v>
      </c>
      <c r="F493" s="40">
        <v>1</v>
      </c>
    </row>
    <row r="494" spans="2:6" x14ac:dyDescent="0.25">
      <c r="E494" t="s">
        <v>4924</v>
      </c>
      <c r="F494" s="40">
        <v>1</v>
      </c>
    </row>
    <row r="495" spans="2:6" x14ac:dyDescent="0.25">
      <c r="D495" t="s">
        <v>4928</v>
      </c>
      <c r="E495" t="s">
        <v>4929</v>
      </c>
      <c r="F495" s="40">
        <v>1</v>
      </c>
    </row>
    <row r="496" spans="2:6" x14ac:dyDescent="0.25">
      <c r="B496" t="s">
        <v>4008</v>
      </c>
      <c r="C496" t="s">
        <v>7431</v>
      </c>
      <c r="D496" t="s">
        <v>4027</v>
      </c>
      <c r="E496" t="s">
        <v>4028</v>
      </c>
      <c r="F496" s="40">
        <v>3</v>
      </c>
    </row>
    <row r="497" spans="2:6" x14ac:dyDescent="0.25">
      <c r="D497" t="s">
        <v>442</v>
      </c>
      <c r="E497" t="s">
        <v>443</v>
      </c>
      <c r="F497" s="40">
        <v>6</v>
      </c>
    </row>
    <row r="498" spans="2:6" x14ac:dyDescent="0.25">
      <c r="D498" t="s">
        <v>445</v>
      </c>
      <c r="E498" t="s">
        <v>446</v>
      </c>
      <c r="F498" s="40">
        <v>6</v>
      </c>
    </row>
    <row r="499" spans="2:6" x14ac:dyDescent="0.25">
      <c r="D499" t="s">
        <v>439</v>
      </c>
      <c r="E499" t="s">
        <v>440</v>
      </c>
      <c r="F499" s="40">
        <v>6</v>
      </c>
    </row>
    <row r="500" spans="2:6" x14ac:dyDescent="0.25">
      <c r="B500" t="s">
        <v>7962</v>
      </c>
      <c r="C500" t="s">
        <v>7510</v>
      </c>
      <c r="D500" t="s">
        <v>941</v>
      </c>
      <c r="E500" t="s">
        <v>942</v>
      </c>
      <c r="F500" s="40">
        <v>2</v>
      </c>
    </row>
    <row r="501" spans="2:6" x14ac:dyDescent="0.25">
      <c r="D501" t="s">
        <v>519</v>
      </c>
      <c r="E501" t="s">
        <v>520</v>
      </c>
      <c r="F501" s="40">
        <v>2</v>
      </c>
    </row>
    <row r="502" spans="2:6" x14ac:dyDescent="0.25">
      <c r="D502" t="s">
        <v>1528</v>
      </c>
      <c r="E502" t="s">
        <v>1529</v>
      </c>
      <c r="F502" s="40">
        <v>4</v>
      </c>
    </row>
    <row r="503" spans="2:6" x14ac:dyDescent="0.25">
      <c r="D503" t="s">
        <v>2089</v>
      </c>
      <c r="E503" t="s">
        <v>2090</v>
      </c>
      <c r="F503" s="40">
        <v>4</v>
      </c>
    </row>
    <row r="504" spans="2:6" x14ac:dyDescent="0.25">
      <c r="D504" t="s">
        <v>4280</v>
      </c>
      <c r="E504" t="s">
        <v>4281</v>
      </c>
      <c r="F504" s="40">
        <v>4</v>
      </c>
    </row>
    <row r="505" spans="2:6" x14ac:dyDescent="0.25">
      <c r="D505" t="s">
        <v>4912</v>
      </c>
      <c r="E505" t="s">
        <v>4913</v>
      </c>
      <c r="F505" s="40">
        <v>1</v>
      </c>
    </row>
    <row r="506" spans="2:6" x14ac:dyDescent="0.25">
      <c r="D506" t="s">
        <v>366</v>
      </c>
      <c r="E506" t="s">
        <v>367</v>
      </c>
      <c r="F506" s="40">
        <v>1</v>
      </c>
    </row>
    <row r="507" spans="2:6" x14ac:dyDescent="0.25">
      <c r="C507" t="s">
        <v>7431</v>
      </c>
      <c r="D507" t="s">
        <v>5576</v>
      </c>
      <c r="E507" t="s">
        <v>5577</v>
      </c>
      <c r="F507" s="40">
        <v>1</v>
      </c>
    </row>
    <row r="508" spans="2:6" x14ac:dyDescent="0.25">
      <c r="D508" t="s">
        <v>586</v>
      </c>
      <c r="E508" t="s">
        <v>587</v>
      </c>
      <c r="F508" s="40">
        <v>4</v>
      </c>
    </row>
    <row r="509" spans="2:6" x14ac:dyDescent="0.25">
      <c r="D509" t="s">
        <v>4437</v>
      </c>
      <c r="E509" t="s">
        <v>4438</v>
      </c>
      <c r="F509" s="40">
        <v>4</v>
      </c>
    </row>
    <row r="510" spans="2:6" x14ac:dyDescent="0.25">
      <c r="D510" t="s">
        <v>236</v>
      </c>
      <c r="E510" t="s">
        <v>237</v>
      </c>
      <c r="F510" s="40">
        <v>12</v>
      </c>
    </row>
    <row r="511" spans="2:6" x14ac:dyDescent="0.25">
      <c r="D511" t="s">
        <v>233</v>
      </c>
      <c r="E511" t="s">
        <v>234</v>
      </c>
      <c r="F511" s="40">
        <v>4</v>
      </c>
    </row>
    <row r="512" spans="2:6" x14ac:dyDescent="0.25">
      <c r="D512" t="s">
        <v>580</v>
      </c>
      <c r="E512" t="s">
        <v>581</v>
      </c>
      <c r="F512" s="40">
        <v>2</v>
      </c>
    </row>
    <row r="513" spans="4:6" x14ac:dyDescent="0.25">
      <c r="D513" t="s">
        <v>219</v>
      </c>
      <c r="E513" t="s">
        <v>220</v>
      </c>
      <c r="F513" s="40">
        <v>4</v>
      </c>
    </row>
    <row r="514" spans="4:6" x14ac:dyDescent="0.25">
      <c r="D514" t="s">
        <v>442</v>
      </c>
      <c r="E514" t="s">
        <v>443</v>
      </c>
      <c r="F514" s="40">
        <v>4</v>
      </c>
    </row>
    <row r="515" spans="4:6" x14ac:dyDescent="0.25">
      <c r="D515" t="s">
        <v>941</v>
      </c>
      <c r="E515" t="s">
        <v>942</v>
      </c>
      <c r="F515" s="40">
        <v>2</v>
      </c>
    </row>
    <row r="516" spans="4:6" x14ac:dyDescent="0.25">
      <c r="D516" t="s">
        <v>5814</v>
      </c>
      <c r="E516" t="s">
        <v>5815</v>
      </c>
      <c r="F516" s="40">
        <v>2</v>
      </c>
    </row>
    <row r="517" spans="4:6" x14ac:dyDescent="0.25">
      <c r="D517" t="s">
        <v>445</v>
      </c>
      <c r="E517" t="s">
        <v>446</v>
      </c>
      <c r="F517" s="40">
        <v>2</v>
      </c>
    </row>
    <row r="518" spans="4:6" x14ac:dyDescent="0.25">
      <c r="D518" t="s">
        <v>4479</v>
      </c>
      <c r="E518" t="s">
        <v>4480</v>
      </c>
      <c r="F518" s="40">
        <v>2</v>
      </c>
    </row>
    <row r="519" spans="4:6" x14ac:dyDescent="0.25">
      <c r="D519" t="s">
        <v>569</v>
      </c>
      <c r="E519" t="s">
        <v>570</v>
      </c>
      <c r="F519" s="40">
        <v>1</v>
      </c>
    </row>
    <row r="520" spans="4:6" x14ac:dyDescent="0.25">
      <c r="D520" t="s">
        <v>563</v>
      </c>
      <c r="E520" t="s">
        <v>564</v>
      </c>
      <c r="F520" s="40">
        <v>11</v>
      </c>
    </row>
    <row r="521" spans="4:6" x14ac:dyDescent="0.25">
      <c r="D521" t="s">
        <v>910</v>
      </c>
      <c r="E521" t="s">
        <v>911</v>
      </c>
      <c r="F521" s="40">
        <v>2</v>
      </c>
    </row>
    <row r="522" spans="4:6" x14ac:dyDescent="0.25">
      <c r="D522" t="s">
        <v>4214</v>
      </c>
      <c r="E522" t="s">
        <v>4215</v>
      </c>
      <c r="F522" s="40">
        <v>6</v>
      </c>
    </row>
    <row r="523" spans="4:6" x14ac:dyDescent="0.25">
      <c r="D523" t="s">
        <v>583</v>
      </c>
      <c r="E523" t="s">
        <v>584</v>
      </c>
      <c r="F523" s="40">
        <v>4</v>
      </c>
    </row>
    <row r="524" spans="4:6" x14ac:dyDescent="0.25">
      <c r="D524" t="s">
        <v>932</v>
      </c>
      <c r="E524" t="s">
        <v>933</v>
      </c>
      <c r="F524" s="40">
        <v>4</v>
      </c>
    </row>
    <row r="525" spans="4:6" x14ac:dyDescent="0.25">
      <c r="D525" t="s">
        <v>5843</v>
      </c>
      <c r="E525" t="s">
        <v>5844</v>
      </c>
      <c r="F525" s="40">
        <v>2</v>
      </c>
    </row>
    <row r="526" spans="4:6" x14ac:dyDescent="0.25">
      <c r="D526" t="s">
        <v>226</v>
      </c>
      <c r="E526" t="s">
        <v>227</v>
      </c>
      <c r="F526" s="40">
        <v>8</v>
      </c>
    </row>
    <row r="527" spans="4:6" x14ac:dyDescent="0.25">
      <c r="D527" t="s">
        <v>212</v>
      </c>
      <c r="E527" t="s">
        <v>213</v>
      </c>
      <c r="F527" s="40">
        <v>2</v>
      </c>
    </row>
    <row r="528" spans="4:6" x14ac:dyDescent="0.25">
      <c r="D528" t="s">
        <v>5830</v>
      </c>
      <c r="E528" t="s">
        <v>5831</v>
      </c>
      <c r="F528" s="40">
        <v>4</v>
      </c>
    </row>
    <row r="529" spans="3:6" x14ac:dyDescent="0.25">
      <c r="D529" t="s">
        <v>460</v>
      </c>
      <c r="E529" t="s">
        <v>461</v>
      </c>
      <c r="F529" s="40">
        <v>4</v>
      </c>
    </row>
    <row r="530" spans="3:6" x14ac:dyDescent="0.25">
      <c r="D530" t="s">
        <v>5812</v>
      </c>
      <c r="E530" t="s">
        <v>5813</v>
      </c>
      <c r="F530" s="40">
        <v>4</v>
      </c>
    </row>
    <row r="531" spans="3:6" x14ac:dyDescent="0.25">
      <c r="D531" t="s">
        <v>464</v>
      </c>
      <c r="E531" t="s">
        <v>465</v>
      </c>
      <c r="F531" s="40">
        <v>2</v>
      </c>
    </row>
    <row r="532" spans="3:6" x14ac:dyDescent="0.25">
      <c r="D532" t="s">
        <v>230</v>
      </c>
      <c r="E532" t="s">
        <v>231</v>
      </c>
      <c r="F532" s="40">
        <v>6</v>
      </c>
    </row>
    <row r="533" spans="3:6" x14ac:dyDescent="0.25">
      <c r="D533" t="s">
        <v>1077</v>
      </c>
      <c r="E533" t="s">
        <v>1078</v>
      </c>
      <c r="F533" s="40">
        <v>3</v>
      </c>
    </row>
    <row r="534" spans="3:6" x14ac:dyDescent="0.25">
      <c r="C534" t="s">
        <v>7432</v>
      </c>
      <c r="D534" t="s">
        <v>2651</v>
      </c>
      <c r="E534" t="s">
        <v>2652</v>
      </c>
      <c r="F534" s="40">
        <v>1</v>
      </c>
    </row>
    <row r="535" spans="3:6" x14ac:dyDescent="0.25">
      <c r="D535" t="s">
        <v>208</v>
      </c>
      <c r="E535" t="s">
        <v>209</v>
      </c>
      <c r="F535" s="40">
        <v>75</v>
      </c>
    </row>
    <row r="536" spans="3:6" x14ac:dyDescent="0.25">
      <c r="D536" t="s">
        <v>4222</v>
      </c>
      <c r="E536" t="s">
        <v>4223</v>
      </c>
      <c r="F536" s="40">
        <v>1</v>
      </c>
    </row>
    <row r="537" spans="3:6" x14ac:dyDescent="0.25">
      <c r="D537" t="s">
        <v>233</v>
      </c>
      <c r="E537" t="s">
        <v>234</v>
      </c>
      <c r="F537" s="40">
        <v>48</v>
      </c>
    </row>
    <row r="538" spans="3:6" x14ac:dyDescent="0.25">
      <c r="D538" t="s">
        <v>219</v>
      </c>
      <c r="E538" t="s">
        <v>220</v>
      </c>
      <c r="F538" s="40">
        <v>29</v>
      </c>
    </row>
    <row r="539" spans="3:6" x14ac:dyDescent="0.25">
      <c r="D539" t="s">
        <v>216</v>
      </c>
      <c r="E539" t="s">
        <v>217</v>
      </c>
      <c r="F539" s="40">
        <v>32</v>
      </c>
    </row>
    <row r="540" spans="3:6" x14ac:dyDescent="0.25">
      <c r="D540" t="s">
        <v>519</v>
      </c>
      <c r="E540" t="s">
        <v>520</v>
      </c>
      <c r="F540" s="40">
        <v>3</v>
      </c>
    </row>
    <row r="541" spans="3:6" x14ac:dyDescent="0.25">
      <c r="D541" t="s">
        <v>4214</v>
      </c>
      <c r="E541" t="s">
        <v>4215</v>
      </c>
      <c r="F541" s="40">
        <v>5</v>
      </c>
    </row>
    <row r="542" spans="3:6" x14ac:dyDescent="0.25">
      <c r="D542" t="s">
        <v>226</v>
      </c>
      <c r="E542" t="s">
        <v>227</v>
      </c>
      <c r="F542" s="40">
        <v>79</v>
      </c>
    </row>
    <row r="543" spans="3:6" x14ac:dyDescent="0.25">
      <c r="D543" t="s">
        <v>212</v>
      </c>
      <c r="E543" t="s">
        <v>213</v>
      </c>
      <c r="F543" s="40">
        <v>36</v>
      </c>
    </row>
    <row r="544" spans="3:6" x14ac:dyDescent="0.25">
      <c r="D544" t="s">
        <v>439</v>
      </c>
      <c r="E544" t="s">
        <v>440</v>
      </c>
      <c r="F544" s="40">
        <v>4</v>
      </c>
    </row>
    <row r="545" spans="3:6" x14ac:dyDescent="0.25">
      <c r="D545" t="s">
        <v>265</v>
      </c>
      <c r="E545" t="s">
        <v>266</v>
      </c>
      <c r="F545" s="40">
        <v>13</v>
      </c>
    </row>
    <row r="546" spans="3:6" x14ac:dyDescent="0.25">
      <c r="D546" t="s">
        <v>222</v>
      </c>
      <c r="E546" t="s">
        <v>223</v>
      </c>
      <c r="F546" s="40">
        <v>66</v>
      </c>
    </row>
    <row r="547" spans="3:6" x14ac:dyDescent="0.25">
      <c r="D547" t="s">
        <v>230</v>
      </c>
      <c r="E547" t="s">
        <v>231</v>
      </c>
      <c r="F547" s="40">
        <v>70</v>
      </c>
    </row>
    <row r="548" spans="3:6" x14ac:dyDescent="0.25">
      <c r="C548" t="s">
        <v>7573</v>
      </c>
      <c r="D548">
        <v>462071004</v>
      </c>
      <c r="E548" t="s">
        <v>5778</v>
      </c>
      <c r="F548" s="40">
        <v>2</v>
      </c>
    </row>
    <row r="549" spans="3:6" x14ac:dyDescent="0.25">
      <c r="D549" t="s">
        <v>586</v>
      </c>
      <c r="E549" t="s">
        <v>587</v>
      </c>
      <c r="F549" s="40">
        <v>1</v>
      </c>
    </row>
    <row r="550" spans="3:6" x14ac:dyDescent="0.25">
      <c r="D550" t="s">
        <v>1048</v>
      </c>
      <c r="E550" t="s">
        <v>1049</v>
      </c>
      <c r="F550" s="40">
        <v>2</v>
      </c>
    </row>
    <row r="551" spans="3:6" x14ac:dyDescent="0.25">
      <c r="D551" t="s">
        <v>519</v>
      </c>
      <c r="E551" t="s">
        <v>520</v>
      </c>
      <c r="F551" s="40">
        <v>2</v>
      </c>
    </row>
    <row r="552" spans="3:6" x14ac:dyDescent="0.25">
      <c r="D552" t="s">
        <v>5775</v>
      </c>
      <c r="E552" t="s">
        <v>5776</v>
      </c>
      <c r="F552" s="40">
        <v>1</v>
      </c>
    </row>
    <row r="553" spans="3:6" x14ac:dyDescent="0.25">
      <c r="D553" t="s">
        <v>4795</v>
      </c>
      <c r="E553" t="s">
        <v>4796</v>
      </c>
      <c r="F553" s="40">
        <v>4</v>
      </c>
    </row>
    <row r="554" spans="3:6" x14ac:dyDescent="0.25">
      <c r="D554" t="s">
        <v>512</v>
      </c>
      <c r="E554" t="s">
        <v>513</v>
      </c>
      <c r="F554" s="40">
        <v>8</v>
      </c>
    </row>
    <row r="555" spans="3:6" x14ac:dyDescent="0.25">
      <c r="D555" t="s">
        <v>460</v>
      </c>
      <c r="E555" t="s">
        <v>461</v>
      </c>
      <c r="F555" s="40">
        <v>4</v>
      </c>
    </row>
    <row r="556" spans="3:6" x14ac:dyDescent="0.25">
      <c r="D556" t="s">
        <v>2527</v>
      </c>
      <c r="E556" t="s">
        <v>2528</v>
      </c>
      <c r="F556" s="40">
        <v>1</v>
      </c>
    </row>
    <row r="557" spans="3:6" x14ac:dyDescent="0.25">
      <c r="D557" t="s">
        <v>1798</v>
      </c>
      <c r="E557" t="s">
        <v>1799</v>
      </c>
      <c r="F557" s="40">
        <v>1</v>
      </c>
    </row>
    <row r="558" spans="3:6" x14ac:dyDescent="0.25">
      <c r="D558" t="s">
        <v>5602</v>
      </c>
      <c r="E558" t="s">
        <v>5603</v>
      </c>
      <c r="F558" s="40">
        <v>1</v>
      </c>
    </row>
    <row r="559" spans="3:6" x14ac:dyDescent="0.25">
      <c r="D559" t="s">
        <v>2093</v>
      </c>
      <c r="E559" t="s">
        <v>2094</v>
      </c>
      <c r="F559" s="40">
        <v>1</v>
      </c>
    </row>
    <row r="560" spans="3:6" x14ac:dyDescent="0.25">
      <c r="D560" t="s">
        <v>5611</v>
      </c>
      <c r="E560" t="s">
        <v>5612</v>
      </c>
      <c r="F560" s="40">
        <v>1</v>
      </c>
    </row>
    <row r="561" spans="3:6" x14ac:dyDescent="0.25">
      <c r="D561" t="s">
        <v>7982</v>
      </c>
      <c r="E561" t="s">
        <v>5780</v>
      </c>
      <c r="F561" s="40">
        <v>1</v>
      </c>
    </row>
    <row r="562" spans="3:6" x14ac:dyDescent="0.25">
      <c r="C562" t="s">
        <v>7551</v>
      </c>
      <c r="D562" t="s">
        <v>704</v>
      </c>
      <c r="E562" t="s">
        <v>705</v>
      </c>
      <c r="F562" s="40">
        <v>1</v>
      </c>
    </row>
    <row r="563" spans="3:6" x14ac:dyDescent="0.25">
      <c r="D563" t="s">
        <v>5348</v>
      </c>
      <c r="E563" t="s">
        <v>5349</v>
      </c>
      <c r="F563" s="40">
        <v>1</v>
      </c>
    </row>
    <row r="564" spans="3:6" x14ac:dyDescent="0.25">
      <c r="D564" t="s">
        <v>4437</v>
      </c>
      <c r="E564" t="s">
        <v>4438</v>
      </c>
      <c r="F564" s="40">
        <v>1</v>
      </c>
    </row>
    <row r="565" spans="3:6" x14ac:dyDescent="0.25">
      <c r="D565" t="s">
        <v>1541</v>
      </c>
      <c r="E565" t="s">
        <v>1542</v>
      </c>
      <c r="F565" s="40">
        <v>2</v>
      </c>
    </row>
    <row r="566" spans="3:6" x14ac:dyDescent="0.25">
      <c r="D566" t="s">
        <v>5361</v>
      </c>
      <c r="E566" t="s">
        <v>5362</v>
      </c>
      <c r="F566" s="40">
        <v>1</v>
      </c>
    </row>
    <row r="567" spans="3:6" x14ac:dyDescent="0.25">
      <c r="D567" t="s">
        <v>580</v>
      </c>
      <c r="E567" t="s">
        <v>581</v>
      </c>
      <c r="F567" s="40">
        <v>4</v>
      </c>
    </row>
    <row r="568" spans="3:6" x14ac:dyDescent="0.25">
      <c r="D568" t="s">
        <v>941</v>
      </c>
      <c r="E568" t="s">
        <v>942</v>
      </c>
      <c r="F568" s="40">
        <v>3</v>
      </c>
    </row>
    <row r="569" spans="3:6" x14ac:dyDescent="0.25">
      <c r="D569" t="s">
        <v>519</v>
      </c>
      <c r="E569" t="s">
        <v>520</v>
      </c>
      <c r="F569" s="40">
        <v>5</v>
      </c>
    </row>
    <row r="570" spans="3:6" x14ac:dyDescent="0.25">
      <c r="D570" t="s">
        <v>5446</v>
      </c>
      <c r="E570" t="s">
        <v>5447</v>
      </c>
      <c r="F570" s="40">
        <v>1</v>
      </c>
    </row>
    <row r="571" spans="3:6" x14ac:dyDescent="0.25">
      <c r="D571" t="s">
        <v>5259</v>
      </c>
      <c r="E571" t="s">
        <v>5260</v>
      </c>
      <c r="F571" s="40">
        <v>1</v>
      </c>
    </row>
    <row r="572" spans="3:6" x14ac:dyDescent="0.25">
      <c r="D572" t="s">
        <v>577</v>
      </c>
      <c r="E572" t="s">
        <v>578</v>
      </c>
      <c r="F572" s="40">
        <v>2</v>
      </c>
    </row>
    <row r="573" spans="3:6" x14ac:dyDescent="0.25">
      <c r="D573" t="s">
        <v>5442</v>
      </c>
      <c r="E573" t="s">
        <v>5443</v>
      </c>
      <c r="F573" s="40">
        <v>1</v>
      </c>
    </row>
    <row r="574" spans="3:6" x14ac:dyDescent="0.25">
      <c r="D574" t="s">
        <v>4867</v>
      </c>
      <c r="E574" t="s">
        <v>4868</v>
      </c>
      <c r="F574" s="40">
        <v>4</v>
      </c>
    </row>
    <row r="575" spans="3:6" x14ac:dyDescent="0.25">
      <c r="D575" t="s">
        <v>1528</v>
      </c>
      <c r="E575" t="s">
        <v>1529</v>
      </c>
      <c r="F575" s="40">
        <v>1</v>
      </c>
    </row>
    <row r="576" spans="3:6" x14ac:dyDescent="0.25">
      <c r="D576" t="s">
        <v>2089</v>
      </c>
      <c r="E576" t="s">
        <v>2090</v>
      </c>
      <c r="F576" s="40">
        <v>1</v>
      </c>
    </row>
    <row r="577" spans="3:6" x14ac:dyDescent="0.25">
      <c r="D577" t="s">
        <v>4280</v>
      </c>
      <c r="E577" t="s">
        <v>4281</v>
      </c>
      <c r="F577" s="40">
        <v>1</v>
      </c>
    </row>
    <row r="578" spans="3:6" x14ac:dyDescent="0.25">
      <c r="D578" t="s">
        <v>698</v>
      </c>
      <c r="E578" t="s">
        <v>699</v>
      </c>
      <c r="F578" s="40">
        <v>2</v>
      </c>
    </row>
    <row r="579" spans="3:6" x14ac:dyDescent="0.25">
      <c r="D579" t="s">
        <v>695</v>
      </c>
      <c r="E579" t="s">
        <v>696</v>
      </c>
      <c r="F579" s="40">
        <v>1</v>
      </c>
    </row>
    <row r="580" spans="3:6" x14ac:dyDescent="0.25">
      <c r="D580" t="s">
        <v>701</v>
      </c>
      <c r="E580" t="s">
        <v>702</v>
      </c>
      <c r="F580" s="40">
        <v>5</v>
      </c>
    </row>
    <row r="581" spans="3:6" x14ac:dyDescent="0.25">
      <c r="C581" t="s">
        <v>7562</v>
      </c>
      <c r="D581" t="s">
        <v>5539</v>
      </c>
      <c r="E581" t="s">
        <v>5540</v>
      </c>
      <c r="F581" s="40">
        <v>3</v>
      </c>
    </row>
    <row r="582" spans="3:6" x14ac:dyDescent="0.25">
      <c r="D582" t="s">
        <v>4251</v>
      </c>
      <c r="E582" t="s">
        <v>4252</v>
      </c>
      <c r="F582" s="40">
        <v>2</v>
      </c>
    </row>
    <row r="583" spans="3:6" x14ac:dyDescent="0.25">
      <c r="D583" t="s">
        <v>5532</v>
      </c>
      <c r="E583" t="s">
        <v>5533</v>
      </c>
      <c r="F583" s="40">
        <v>3</v>
      </c>
    </row>
    <row r="584" spans="3:6" x14ac:dyDescent="0.25">
      <c r="D584" t="s">
        <v>927</v>
      </c>
      <c r="E584" t="s">
        <v>928</v>
      </c>
      <c r="F584" s="40">
        <v>1</v>
      </c>
    </row>
    <row r="585" spans="3:6" x14ac:dyDescent="0.25">
      <c r="D585" t="s">
        <v>1154</v>
      </c>
      <c r="E585" t="s">
        <v>1155</v>
      </c>
      <c r="F585" s="40">
        <v>6</v>
      </c>
    </row>
    <row r="586" spans="3:6" x14ac:dyDescent="0.25">
      <c r="D586" t="s">
        <v>5536</v>
      </c>
      <c r="E586" t="s">
        <v>5537</v>
      </c>
      <c r="F586" s="40">
        <v>2</v>
      </c>
    </row>
    <row r="587" spans="3:6" x14ac:dyDescent="0.25">
      <c r="D587" t="s">
        <v>5528</v>
      </c>
      <c r="E587" t="s">
        <v>5529</v>
      </c>
      <c r="F587" s="40">
        <v>6</v>
      </c>
    </row>
    <row r="588" spans="3:6" x14ac:dyDescent="0.25">
      <c r="D588" t="s">
        <v>5524</v>
      </c>
      <c r="E588" t="s">
        <v>5525</v>
      </c>
      <c r="F588" s="40">
        <v>1</v>
      </c>
    </row>
    <row r="589" spans="3:6" x14ac:dyDescent="0.25">
      <c r="D589" t="s">
        <v>5515</v>
      </c>
      <c r="E589" t="s">
        <v>5516</v>
      </c>
      <c r="F589" s="40">
        <v>8</v>
      </c>
    </row>
    <row r="590" spans="3:6" x14ac:dyDescent="0.25">
      <c r="D590" t="s">
        <v>1626</v>
      </c>
      <c r="E590" t="s">
        <v>1627</v>
      </c>
      <c r="F590" s="40">
        <v>3</v>
      </c>
    </row>
    <row r="591" spans="3:6" x14ac:dyDescent="0.25">
      <c r="D591" t="s">
        <v>5521</v>
      </c>
      <c r="E591" t="s">
        <v>5522</v>
      </c>
      <c r="F591" s="40">
        <v>1</v>
      </c>
    </row>
    <row r="592" spans="3:6" x14ac:dyDescent="0.25">
      <c r="D592" t="s">
        <v>5518</v>
      </c>
      <c r="E592" t="s">
        <v>5519</v>
      </c>
      <c r="F592" s="40">
        <v>8</v>
      </c>
    </row>
    <row r="593" spans="3:6" x14ac:dyDescent="0.25">
      <c r="D593" t="s">
        <v>5498</v>
      </c>
      <c r="E593" t="s">
        <v>5499</v>
      </c>
      <c r="F593" s="40">
        <v>1</v>
      </c>
    </row>
    <row r="594" spans="3:6" x14ac:dyDescent="0.25">
      <c r="C594" t="s">
        <v>7571</v>
      </c>
      <c r="D594">
        <v>1938</v>
      </c>
      <c r="E594" t="s">
        <v>295</v>
      </c>
      <c r="F594" s="40">
        <v>1</v>
      </c>
    </row>
    <row r="595" spans="3:6" x14ac:dyDescent="0.25">
      <c r="D595" t="s">
        <v>2771</v>
      </c>
      <c r="E595" t="s">
        <v>2772</v>
      </c>
      <c r="F595" s="40">
        <v>2</v>
      </c>
    </row>
    <row r="596" spans="3:6" x14ac:dyDescent="0.25">
      <c r="D596" t="s">
        <v>2768</v>
      </c>
      <c r="E596" t="s">
        <v>2769</v>
      </c>
      <c r="F596" s="40">
        <v>2</v>
      </c>
    </row>
    <row r="597" spans="3:6" x14ac:dyDescent="0.25">
      <c r="D597" t="s">
        <v>265</v>
      </c>
      <c r="E597" t="s">
        <v>266</v>
      </c>
      <c r="F597" s="40">
        <v>2</v>
      </c>
    </row>
    <row r="598" spans="3:6" x14ac:dyDescent="0.25">
      <c r="D598" t="s">
        <v>310</v>
      </c>
      <c r="E598" t="s">
        <v>1581</v>
      </c>
      <c r="F598" s="40">
        <v>1</v>
      </c>
    </row>
    <row r="599" spans="3:6" x14ac:dyDescent="0.25">
      <c r="C599" t="s">
        <v>7488</v>
      </c>
      <c r="D599" t="s">
        <v>1274</v>
      </c>
      <c r="E599" t="s">
        <v>1275</v>
      </c>
      <c r="F599" s="40">
        <v>1</v>
      </c>
    </row>
    <row r="600" spans="3:6" x14ac:dyDescent="0.25">
      <c r="D600" t="s">
        <v>941</v>
      </c>
      <c r="E600" t="s">
        <v>942</v>
      </c>
      <c r="F600" s="40">
        <v>2</v>
      </c>
    </row>
    <row r="601" spans="3:6" x14ac:dyDescent="0.25">
      <c r="D601" t="s">
        <v>519</v>
      </c>
      <c r="E601" t="s">
        <v>520</v>
      </c>
      <c r="F601" s="40">
        <v>2</v>
      </c>
    </row>
    <row r="602" spans="3:6" x14ac:dyDescent="0.25">
      <c r="D602" t="s">
        <v>698</v>
      </c>
      <c r="E602" t="s">
        <v>699</v>
      </c>
      <c r="F602" s="40">
        <v>1</v>
      </c>
    </row>
    <row r="603" spans="3:6" x14ac:dyDescent="0.25">
      <c r="D603" t="s">
        <v>695</v>
      </c>
      <c r="E603" t="s">
        <v>696</v>
      </c>
      <c r="F603" s="40">
        <v>1</v>
      </c>
    </row>
    <row r="604" spans="3:6" x14ac:dyDescent="0.25">
      <c r="D604" t="s">
        <v>701</v>
      </c>
      <c r="E604" t="s">
        <v>702</v>
      </c>
      <c r="F604" s="40">
        <v>2</v>
      </c>
    </row>
    <row r="605" spans="3:6" x14ac:dyDescent="0.25">
      <c r="C605" t="s">
        <v>7515</v>
      </c>
      <c r="D605" t="s">
        <v>4848</v>
      </c>
      <c r="E605" t="s">
        <v>4849</v>
      </c>
      <c r="F605" s="40">
        <v>2</v>
      </c>
    </row>
    <row r="606" spans="3:6" x14ac:dyDescent="0.25">
      <c r="D606" t="s">
        <v>692</v>
      </c>
      <c r="E606" t="s">
        <v>693</v>
      </c>
      <c r="F606" s="40">
        <v>1</v>
      </c>
    </row>
    <row r="607" spans="3:6" x14ac:dyDescent="0.25">
      <c r="D607" t="s">
        <v>1541</v>
      </c>
      <c r="E607" t="s">
        <v>1542</v>
      </c>
      <c r="F607" s="40">
        <v>3</v>
      </c>
    </row>
    <row r="608" spans="3:6" x14ac:dyDescent="0.25">
      <c r="D608" t="s">
        <v>3974</v>
      </c>
      <c r="E608" t="s">
        <v>3975</v>
      </c>
      <c r="F608" s="40">
        <v>3</v>
      </c>
    </row>
    <row r="609" spans="3:6" x14ac:dyDescent="0.25">
      <c r="D609" t="s">
        <v>941</v>
      </c>
      <c r="E609" t="s">
        <v>942</v>
      </c>
      <c r="F609" s="40">
        <v>3</v>
      </c>
    </row>
    <row r="610" spans="3:6" x14ac:dyDescent="0.25">
      <c r="D610" t="s">
        <v>519</v>
      </c>
      <c r="E610" t="s">
        <v>520</v>
      </c>
      <c r="F610" s="40">
        <v>3</v>
      </c>
    </row>
    <row r="611" spans="3:6" x14ac:dyDescent="0.25">
      <c r="D611" t="s">
        <v>297</v>
      </c>
      <c r="E611" t="s">
        <v>298</v>
      </c>
      <c r="F611" s="40">
        <v>4</v>
      </c>
    </row>
    <row r="612" spans="3:6" x14ac:dyDescent="0.25">
      <c r="D612" t="s">
        <v>577</v>
      </c>
      <c r="E612" t="s">
        <v>578</v>
      </c>
      <c r="F612" s="40">
        <v>3</v>
      </c>
    </row>
    <row r="613" spans="3:6" x14ac:dyDescent="0.25">
      <c r="D613" t="s">
        <v>460</v>
      </c>
      <c r="E613" t="s">
        <v>461</v>
      </c>
      <c r="F613" s="40">
        <v>8</v>
      </c>
    </row>
    <row r="614" spans="3:6" x14ac:dyDescent="0.25">
      <c r="D614" t="s">
        <v>1528</v>
      </c>
      <c r="E614" t="s">
        <v>1529</v>
      </c>
      <c r="F614" s="40">
        <v>1</v>
      </c>
    </row>
    <row r="615" spans="3:6" x14ac:dyDescent="0.25">
      <c r="D615" t="s">
        <v>2089</v>
      </c>
      <c r="E615" t="s">
        <v>2090</v>
      </c>
      <c r="F615" s="40">
        <v>1</v>
      </c>
    </row>
    <row r="616" spans="3:6" x14ac:dyDescent="0.25">
      <c r="D616" t="s">
        <v>4280</v>
      </c>
      <c r="E616" t="s">
        <v>4281</v>
      </c>
      <c r="F616" s="40">
        <v>1</v>
      </c>
    </row>
    <row r="617" spans="3:6" x14ac:dyDescent="0.25">
      <c r="D617" t="s">
        <v>1428</v>
      </c>
      <c r="E617" t="s">
        <v>1429</v>
      </c>
      <c r="F617" s="40">
        <v>2</v>
      </c>
    </row>
    <row r="618" spans="3:6" x14ac:dyDescent="0.25">
      <c r="D618" t="s">
        <v>698</v>
      </c>
      <c r="E618" t="s">
        <v>699</v>
      </c>
      <c r="F618" s="40">
        <v>1</v>
      </c>
    </row>
    <row r="619" spans="3:6" x14ac:dyDescent="0.25">
      <c r="D619" t="s">
        <v>695</v>
      </c>
      <c r="E619" t="s">
        <v>696</v>
      </c>
      <c r="F619" s="40">
        <v>1</v>
      </c>
    </row>
    <row r="620" spans="3:6" x14ac:dyDescent="0.25">
      <c r="D620" t="s">
        <v>701</v>
      </c>
      <c r="E620" t="s">
        <v>702</v>
      </c>
      <c r="F620" s="40">
        <v>2</v>
      </c>
    </row>
    <row r="621" spans="3:6" x14ac:dyDescent="0.25">
      <c r="D621" t="s">
        <v>2213</v>
      </c>
      <c r="E621" t="s">
        <v>2214</v>
      </c>
      <c r="F621" s="40">
        <v>2</v>
      </c>
    </row>
    <row r="622" spans="3:6" x14ac:dyDescent="0.25">
      <c r="C622" t="s">
        <v>7537</v>
      </c>
      <c r="D622" t="s">
        <v>704</v>
      </c>
      <c r="E622" t="s">
        <v>705</v>
      </c>
      <c r="F622" s="40">
        <v>1</v>
      </c>
    </row>
    <row r="623" spans="3:6" x14ac:dyDescent="0.25">
      <c r="D623" t="s">
        <v>519</v>
      </c>
      <c r="E623" t="s">
        <v>520</v>
      </c>
      <c r="F623" s="40">
        <v>3</v>
      </c>
    </row>
    <row r="624" spans="3:6" x14ac:dyDescent="0.25">
      <c r="D624" t="s">
        <v>698</v>
      </c>
      <c r="E624" t="s">
        <v>699</v>
      </c>
      <c r="F624" s="40">
        <v>1</v>
      </c>
    </row>
    <row r="625" spans="3:6" x14ac:dyDescent="0.25">
      <c r="D625" t="s">
        <v>695</v>
      </c>
      <c r="E625" t="s">
        <v>696</v>
      </c>
      <c r="F625" s="40">
        <v>1</v>
      </c>
    </row>
    <row r="626" spans="3:6" x14ac:dyDescent="0.25">
      <c r="D626" t="s">
        <v>701</v>
      </c>
      <c r="E626" t="s">
        <v>702</v>
      </c>
      <c r="F626" s="40">
        <v>2</v>
      </c>
    </row>
    <row r="627" spans="3:6" x14ac:dyDescent="0.25">
      <c r="D627" t="s">
        <v>5016</v>
      </c>
      <c r="E627" t="s">
        <v>5017</v>
      </c>
      <c r="F627" s="40">
        <v>1</v>
      </c>
    </row>
    <row r="628" spans="3:6" x14ac:dyDescent="0.25">
      <c r="C628" t="s">
        <v>7489</v>
      </c>
      <c r="D628" t="s">
        <v>1541</v>
      </c>
      <c r="E628" t="s">
        <v>1542</v>
      </c>
      <c r="F628" s="40">
        <v>3</v>
      </c>
    </row>
    <row r="629" spans="3:6" x14ac:dyDescent="0.25">
      <c r="D629" t="s">
        <v>445</v>
      </c>
      <c r="E629" t="s">
        <v>446</v>
      </c>
      <c r="F629" s="40">
        <v>2</v>
      </c>
    </row>
    <row r="630" spans="3:6" x14ac:dyDescent="0.25">
      <c r="D630" t="s">
        <v>519</v>
      </c>
      <c r="E630" t="s">
        <v>520</v>
      </c>
      <c r="F630" s="40">
        <v>3</v>
      </c>
    </row>
    <row r="631" spans="3:6" x14ac:dyDescent="0.25">
      <c r="D631" t="s">
        <v>583</v>
      </c>
      <c r="E631" t="s">
        <v>584</v>
      </c>
      <c r="F631" s="40">
        <v>4</v>
      </c>
    </row>
    <row r="632" spans="3:6" x14ac:dyDescent="0.25">
      <c r="D632" t="s">
        <v>577</v>
      </c>
      <c r="E632" t="s">
        <v>578</v>
      </c>
      <c r="F632" s="40">
        <v>3</v>
      </c>
    </row>
    <row r="633" spans="3:6" x14ac:dyDescent="0.25">
      <c r="D633" t="s">
        <v>932</v>
      </c>
      <c r="E633" t="s">
        <v>933</v>
      </c>
      <c r="F633" s="40">
        <v>2</v>
      </c>
    </row>
    <row r="634" spans="3:6" x14ac:dyDescent="0.25">
      <c r="D634" t="s">
        <v>4795</v>
      </c>
      <c r="E634" t="s">
        <v>4796</v>
      </c>
      <c r="F634" s="40">
        <v>4</v>
      </c>
    </row>
    <row r="635" spans="3:6" x14ac:dyDescent="0.25">
      <c r="D635" t="s">
        <v>460</v>
      </c>
      <c r="E635" t="s">
        <v>461</v>
      </c>
      <c r="F635" s="40">
        <v>8</v>
      </c>
    </row>
    <row r="636" spans="3:6" x14ac:dyDescent="0.25">
      <c r="D636" t="s">
        <v>1528</v>
      </c>
      <c r="E636" t="s">
        <v>1529</v>
      </c>
      <c r="F636" s="40">
        <v>3</v>
      </c>
    </row>
    <row r="637" spans="3:6" x14ac:dyDescent="0.25">
      <c r="D637" t="s">
        <v>2089</v>
      </c>
      <c r="E637" t="s">
        <v>2090</v>
      </c>
      <c r="F637" s="40">
        <v>3</v>
      </c>
    </row>
    <row r="638" spans="3:6" x14ac:dyDescent="0.25">
      <c r="D638" t="s">
        <v>4280</v>
      </c>
      <c r="E638" t="s">
        <v>4281</v>
      </c>
      <c r="F638" s="40">
        <v>3</v>
      </c>
    </row>
    <row r="639" spans="3:6" x14ac:dyDescent="0.25">
      <c r="D639" t="s">
        <v>701</v>
      </c>
      <c r="E639" t="s">
        <v>702</v>
      </c>
      <c r="F639" s="40">
        <v>1</v>
      </c>
    </row>
    <row r="640" spans="3:6" x14ac:dyDescent="0.25">
      <c r="C640" t="s">
        <v>7545</v>
      </c>
      <c r="D640" t="s">
        <v>5294</v>
      </c>
      <c r="E640" t="s">
        <v>5295</v>
      </c>
      <c r="F640" s="40">
        <v>1</v>
      </c>
    </row>
    <row r="641" spans="3:6" x14ac:dyDescent="0.25">
      <c r="D641" t="s">
        <v>5300</v>
      </c>
      <c r="E641" t="s">
        <v>5301</v>
      </c>
      <c r="F641" s="40">
        <v>1</v>
      </c>
    </row>
    <row r="642" spans="3:6" x14ac:dyDescent="0.25">
      <c r="D642" t="s">
        <v>941</v>
      </c>
      <c r="E642" t="s">
        <v>942</v>
      </c>
      <c r="F642" s="40">
        <v>2</v>
      </c>
    </row>
    <row r="643" spans="3:6" x14ac:dyDescent="0.25">
      <c r="D643" t="s">
        <v>519</v>
      </c>
      <c r="E643" t="s">
        <v>520</v>
      </c>
      <c r="F643" s="40">
        <v>2</v>
      </c>
    </row>
    <row r="644" spans="3:6" x14ac:dyDescent="0.25">
      <c r="D644" t="s">
        <v>701</v>
      </c>
      <c r="E644" t="s">
        <v>702</v>
      </c>
      <c r="F644" s="40">
        <v>2</v>
      </c>
    </row>
    <row r="645" spans="3:6" x14ac:dyDescent="0.25">
      <c r="D645" t="s">
        <v>5297</v>
      </c>
      <c r="E645" t="s">
        <v>5298</v>
      </c>
      <c r="F645" s="40">
        <v>1</v>
      </c>
    </row>
    <row r="646" spans="3:6" x14ac:dyDescent="0.25">
      <c r="C646" t="s">
        <v>7518</v>
      </c>
      <c r="D646" t="s">
        <v>704</v>
      </c>
      <c r="E646" t="s">
        <v>705</v>
      </c>
      <c r="F646" s="40">
        <v>1</v>
      </c>
    </row>
    <row r="647" spans="3:6" x14ac:dyDescent="0.25">
      <c r="D647" t="s">
        <v>586</v>
      </c>
      <c r="E647" t="s">
        <v>587</v>
      </c>
      <c r="F647" s="40">
        <v>4</v>
      </c>
    </row>
    <row r="648" spans="3:6" x14ac:dyDescent="0.25">
      <c r="D648" t="s">
        <v>1541</v>
      </c>
      <c r="E648" t="s">
        <v>1542</v>
      </c>
      <c r="F648" s="40">
        <v>3</v>
      </c>
    </row>
    <row r="649" spans="3:6" x14ac:dyDescent="0.25">
      <c r="D649" t="s">
        <v>580</v>
      </c>
      <c r="E649" t="s">
        <v>581</v>
      </c>
      <c r="F649" s="40">
        <v>4</v>
      </c>
    </row>
    <row r="650" spans="3:6" x14ac:dyDescent="0.25">
      <c r="D650" t="s">
        <v>941</v>
      </c>
      <c r="E650" t="s">
        <v>942</v>
      </c>
      <c r="F650" s="40">
        <v>1</v>
      </c>
    </row>
    <row r="651" spans="3:6" x14ac:dyDescent="0.25">
      <c r="D651" t="s">
        <v>519</v>
      </c>
      <c r="E651" t="s">
        <v>520</v>
      </c>
      <c r="F651" s="40">
        <v>4</v>
      </c>
    </row>
    <row r="652" spans="3:6" x14ac:dyDescent="0.25">
      <c r="D652" t="s">
        <v>583</v>
      </c>
      <c r="E652" t="s">
        <v>584</v>
      </c>
      <c r="F652" s="40">
        <v>4</v>
      </c>
    </row>
    <row r="653" spans="3:6" x14ac:dyDescent="0.25">
      <c r="D653" t="s">
        <v>577</v>
      </c>
      <c r="E653" t="s">
        <v>578</v>
      </c>
      <c r="F653" s="40">
        <v>3</v>
      </c>
    </row>
    <row r="654" spans="3:6" x14ac:dyDescent="0.25">
      <c r="D654" t="s">
        <v>4867</v>
      </c>
      <c r="E654" t="s">
        <v>4868</v>
      </c>
      <c r="F654" s="40">
        <v>3</v>
      </c>
    </row>
    <row r="655" spans="3:6" x14ac:dyDescent="0.25">
      <c r="D655" t="s">
        <v>460</v>
      </c>
      <c r="E655" t="s">
        <v>461</v>
      </c>
      <c r="F655" s="40">
        <v>8</v>
      </c>
    </row>
    <row r="656" spans="3:6" x14ac:dyDescent="0.25">
      <c r="D656" t="s">
        <v>464</v>
      </c>
      <c r="E656" t="s">
        <v>465</v>
      </c>
      <c r="F656" s="40">
        <v>4</v>
      </c>
    </row>
    <row r="657" spans="3:6" x14ac:dyDescent="0.25">
      <c r="D657" t="s">
        <v>5136</v>
      </c>
      <c r="E657" t="s">
        <v>5137</v>
      </c>
      <c r="F657" s="40">
        <v>1</v>
      </c>
    </row>
    <row r="658" spans="3:6" x14ac:dyDescent="0.25">
      <c r="D658" t="s">
        <v>5139</v>
      </c>
      <c r="E658" t="s">
        <v>5140</v>
      </c>
      <c r="F658" s="40">
        <v>1</v>
      </c>
    </row>
    <row r="659" spans="3:6" x14ac:dyDescent="0.25">
      <c r="D659" t="s">
        <v>5142</v>
      </c>
      <c r="E659" t="s">
        <v>5143</v>
      </c>
      <c r="F659" s="40">
        <v>1</v>
      </c>
    </row>
    <row r="660" spans="3:6" x14ac:dyDescent="0.25">
      <c r="D660" t="s">
        <v>5123</v>
      </c>
      <c r="E660" t="s">
        <v>5124</v>
      </c>
      <c r="F660" s="40">
        <v>1</v>
      </c>
    </row>
    <row r="661" spans="3:6" x14ac:dyDescent="0.25">
      <c r="D661" t="s">
        <v>698</v>
      </c>
      <c r="E661" t="s">
        <v>699</v>
      </c>
      <c r="F661" s="40">
        <v>1</v>
      </c>
    </row>
    <row r="662" spans="3:6" x14ac:dyDescent="0.25">
      <c r="D662" t="s">
        <v>695</v>
      </c>
      <c r="E662" t="s">
        <v>696</v>
      </c>
      <c r="F662" s="40">
        <v>1</v>
      </c>
    </row>
    <row r="663" spans="3:6" x14ac:dyDescent="0.25">
      <c r="D663" t="s">
        <v>701</v>
      </c>
      <c r="E663" t="s">
        <v>702</v>
      </c>
      <c r="F663" s="40">
        <v>2</v>
      </c>
    </row>
    <row r="664" spans="3:6" x14ac:dyDescent="0.25">
      <c r="D664" t="s">
        <v>5133</v>
      </c>
      <c r="E664" t="s">
        <v>5134</v>
      </c>
      <c r="F664" s="40">
        <v>1</v>
      </c>
    </row>
    <row r="665" spans="3:6" x14ac:dyDescent="0.25">
      <c r="D665" t="s">
        <v>5016</v>
      </c>
      <c r="E665" t="s">
        <v>5017</v>
      </c>
      <c r="F665" s="40">
        <v>1</v>
      </c>
    </row>
    <row r="666" spans="3:6" x14ac:dyDescent="0.25">
      <c r="D666" t="s">
        <v>5010</v>
      </c>
      <c r="E666" t="s">
        <v>5011</v>
      </c>
      <c r="F666" s="40">
        <v>1</v>
      </c>
    </row>
    <row r="667" spans="3:6" x14ac:dyDescent="0.25">
      <c r="C667" t="s">
        <v>7501</v>
      </c>
      <c r="D667" t="s">
        <v>4848</v>
      </c>
      <c r="E667" t="s">
        <v>4849</v>
      </c>
      <c r="F667" s="40">
        <v>8</v>
      </c>
    </row>
    <row r="668" spans="3:6" x14ac:dyDescent="0.25">
      <c r="D668" t="s">
        <v>1541</v>
      </c>
      <c r="E668" t="s">
        <v>1542</v>
      </c>
      <c r="F668" s="40">
        <v>3</v>
      </c>
    </row>
    <row r="669" spans="3:6" x14ac:dyDescent="0.25">
      <c r="D669" t="s">
        <v>941</v>
      </c>
      <c r="E669" t="s">
        <v>942</v>
      </c>
      <c r="F669" s="40">
        <v>7</v>
      </c>
    </row>
    <row r="670" spans="3:6" x14ac:dyDescent="0.25">
      <c r="D670" t="s">
        <v>519</v>
      </c>
      <c r="E670" t="s">
        <v>520</v>
      </c>
      <c r="F670" s="40">
        <v>6</v>
      </c>
    </row>
    <row r="671" spans="3:6" x14ac:dyDescent="0.25">
      <c r="D671" t="s">
        <v>297</v>
      </c>
      <c r="E671" t="s">
        <v>298</v>
      </c>
      <c r="F671" s="40">
        <v>4</v>
      </c>
    </row>
    <row r="672" spans="3:6" x14ac:dyDescent="0.25">
      <c r="D672" t="s">
        <v>577</v>
      </c>
      <c r="E672" t="s">
        <v>578</v>
      </c>
      <c r="F672" s="40">
        <v>3</v>
      </c>
    </row>
    <row r="673" spans="3:6" x14ac:dyDescent="0.25">
      <c r="D673" t="s">
        <v>4867</v>
      </c>
      <c r="E673" t="s">
        <v>4868</v>
      </c>
      <c r="F673" s="40">
        <v>3</v>
      </c>
    </row>
    <row r="674" spans="3:6" x14ac:dyDescent="0.25">
      <c r="D674" t="s">
        <v>460</v>
      </c>
      <c r="E674" t="s">
        <v>461</v>
      </c>
      <c r="F674" s="40">
        <v>8</v>
      </c>
    </row>
    <row r="675" spans="3:6" x14ac:dyDescent="0.25">
      <c r="D675" t="s">
        <v>1528</v>
      </c>
      <c r="E675" t="s">
        <v>1529</v>
      </c>
      <c r="F675" s="40">
        <v>6</v>
      </c>
    </row>
    <row r="676" spans="3:6" x14ac:dyDescent="0.25">
      <c r="D676" t="s">
        <v>2089</v>
      </c>
      <c r="E676" t="s">
        <v>2090</v>
      </c>
      <c r="F676" s="40">
        <v>6</v>
      </c>
    </row>
    <row r="677" spans="3:6" x14ac:dyDescent="0.25">
      <c r="D677" t="s">
        <v>4280</v>
      </c>
      <c r="E677" t="s">
        <v>4281</v>
      </c>
      <c r="F677" s="40">
        <v>6</v>
      </c>
    </row>
    <row r="678" spans="3:6" x14ac:dyDescent="0.25">
      <c r="D678" t="s">
        <v>4841</v>
      </c>
      <c r="E678" t="s">
        <v>4842</v>
      </c>
      <c r="F678" s="40">
        <v>1</v>
      </c>
    </row>
    <row r="679" spans="3:6" x14ac:dyDescent="0.25">
      <c r="D679" t="s">
        <v>4844</v>
      </c>
      <c r="E679" t="s">
        <v>4845</v>
      </c>
      <c r="F679" s="40">
        <v>1</v>
      </c>
    </row>
    <row r="680" spans="3:6" x14ac:dyDescent="0.25">
      <c r="D680" t="s">
        <v>4838</v>
      </c>
      <c r="E680" t="s">
        <v>4839</v>
      </c>
      <c r="F680" s="40">
        <v>1</v>
      </c>
    </row>
    <row r="681" spans="3:6" x14ac:dyDescent="0.25">
      <c r="D681" t="s">
        <v>1428</v>
      </c>
      <c r="E681" t="s">
        <v>1429</v>
      </c>
      <c r="F681" s="40">
        <v>8</v>
      </c>
    </row>
    <row r="682" spans="3:6" x14ac:dyDescent="0.25">
      <c r="D682" t="s">
        <v>2213</v>
      </c>
      <c r="E682" t="s">
        <v>2214</v>
      </c>
      <c r="F682" s="40">
        <v>8</v>
      </c>
    </row>
    <row r="683" spans="3:6" x14ac:dyDescent="0.25">
      <c r="C683" t="s">
        <v>7541</v>
      </c>
      <c r="D683" t="s">
        <v>4437</v>
      </c>
      <c r="E683" t="s">
        <v>4438</v>
      </c>
      <c r="F683" s="40">
        <v>3</v>
      </c>
    </row>
    <row r="684" spans="3:6" x14ac:dyDescent="0.25">
      <c r="D684" t="s">
        <v>941</v>
      </c>
      <c r="E684" t="s">
        <v>942</v>
      </c>
      <c r="F684" s="40">
        <v>2</v>
      </c>
    </row>
    <row r="685" spans="3:6" x14ac:dyDescent="0.25">
      <c r="D685" t="s">
        <v>519</v>
      </c>
      <c r="E685" t="s">
        <v>520</v>
      </c>
      <c r="F685" s="40">
        <v>2</v>
      </c>
    </row>
    <row r="686" spans="3:6" x14ac:dyDescent="0.25">
      <c r="D686" t="s">
        <v>1285</v>
      </c>
      <c r="E686" t="s">
        <v>1286</v>
      </c>
      <c r="F686" s="40">
        <v>4</v>
      </c>
    </row>
    <row r="687" spans="3:6" x14ac:dyDescent="0.25">
      <c r="D687" t="s">
        <v>5259</v>
      </c>
      <c r="E687" t="s">
        <v>5260</v>
      </c>
      <c r="F687" s="40">
        <v>3</v>
      </c>
    </row>
    <row r="688" spans="3:6" x14ac:dyDescent="0.25">
      <c r="D688" t="s">
        <v>583</v>
      </c>
      <c r="E688" t="s">
        <v>584</v>
      </c>
      <c r="F688" s="40">
        <v>4</v>
      </c>
    </row>
    <row r="689" spans="3:6" x14ac:dyDescent="0.25">
      <c r="D689" t="s">
        <v>932</v>
      </c>
      <c r="E689" t="s">
        <v>933</v>
      </c>
      <c r="F689" s="40">
        <v>1</v>
      </c>
    </row>
    <row r="690" spans="3:6" x14ac:dyDescent="0.25">
      <c r="D690" t="s">
        <v>460</v>
      </c>
      <c r="E690" t="s">
        <v>461</v>
      </c>
      <c r="F690" s="40">
        <v>8</v>
      </c>
    </row>
    <row r="691" spans="3:6" x14ac:dyDescent="0.25">
      <c r="D691" t="s">
        <v>5247</v>
      </c>
      <c r="E691" t="s">
        <v>5248</v>
      </c>
      <c r="F691" s="40">
        <v>1</v>
      </c>
    </row>
    <row r="692" spans="3:6" x14ac:dyDescent="0.25">
      <c r="D692" t="s">
        <v>1528</v>
      </c>
      <c r="E692" t="s">
        <v>1529</v>
      </c>
      <c r="F692" s="40">
        <v>1</v>
      </c>
    </row>
    <row r="693" spans="3:6" x14ac:dyDescent="0.25">
      <c r="D693" t="s">
        <v>2089</v>
      </c>
      <c r="E693" t="s">
        <v>2090</v>
      </c>
      <c r="F693" s="40">
        <v>1</v>
      </c>
    </row>
    <row r="694" spans="3:6" x14ac:dyDescent="0.25">
      <c r="D694" t="s">
        <v>4280</v>
      </c>
      <c r="E694" t="s">
        <v>4281</v>
      </c>
      <c r="F694" s="40">
        <v>1</v>
      </c>
    </row>
    <row r="695" spans="3:6" x14ac:dyDescent="0.25">
      <c r="D695" t="s">
        <v>4844</v>
      </c>
      <c r="E695" t="s">
        <v>4845</v>
      </c>
      <c r="F695" s="40">
        <v>1</v>
      </c>
    </row>
    <row r="696" spans="3:6" x14ac:dyDescent="0.25">
      <c r="C696" t="s">
        <v>7539</v>
      </c>
      <c r="D696" t="s">
        <v>5212</v>
      </c>
      <c r="E696" t="s">
        <v>5213</v>
      </c>
      <c r="F696" s="40">
        <v>1</v>
      </c>
    </row>
    <row r="697" spans="3:6" x14ac:dyDescent="0.25">
      <c r="D697" t="s">
        <v>692</v>
      </c>
      <c r="E697" t="s">
        <v>693</v>
      </c>
      <c r="F697" s="40">
        <v>1</v>
      </c>
    </row>
    <row r="698" spans="3:6" x14ac:dyDescent="0.25">
      <c r="D698" t="s">
        <v>941</v>
      </c>
      <c r="E698" t="s">
        <v>942</v>
      </c>
      <c r="F698" s="40">
        <v>2</v>
      </c>
    </row>
    <row r="699" spans="3:6" x14ac:dyDescent="0.25">
      <c r="D699" t="s">
        <v>519</v>
      </c>
      <c r="E699" t="s">
        <v>520</v>
      </c>
      <c r="F699" s="40">
        <v>2</v>
      </c>
    </row>
    <row r="700" spans="3:6" x14ac:dyDescent="0.25">
      <c r="D700" t="s">
        <v>698</v>
      </c>
      <c r="E700" t="s">
        <v>699</v>
      </c>
      <c r="F700" s="40">
        <v>2</v>
      </c>
    </row>
    <row r="701" spans="3:6" x14ac:dyDescent="0.25">
      <c r="D701" t="s">
        <v>695</v>
      </c>
      <c r="E701" t="s">
        <v>696</v>
      </c>
      <c r="F701" s="40">
        <v>2</v>
      </c>
    </row>
    <row r="702" spans="3:6" x14ac:dyDescent="0.25">
      <c r="D702" t="s">
        <v>701</v>
      </c>
      <c r="E702" t="s">
        <v>702</v>
      </c>
      <c r="F702" s="40">
        <v>4</v>
      </c>
    </row>
    <row r="703" spans="3:6" x14ac:dyDescent="0.25">
      <c r="C703" t="s">
        <v>7538</v>
      </c>
      <c r="D703" t="s">
        <v>692</v>
      </c>
      <c r="E703" t="s">
        <v>693</v>
      </c>
      <c r="F703" s="40">
        <v>2</v>
      </c>
    </row>
    <row r="704" spans="3:6" x14ac:dyDescent="0.25">
      <c r="D704" t="s">
        <v>941</v>
      </c>
      <c r="E704" t="s">
        <v>942</v>
      </c>
      <c r="F704" s="40">
        <v>2</v>
      </c>
    </row>
    <row r="705" spans="3:6" x14ac:dyDescent="0.25">
      <c r="D705" t="s">
        <v>519</v>
      </c>
      <c r="E705" t="s">
        <v>520</v>
      </c>
      <c r="F705" s="40">
        <v>2</v>
      </c>
    </row>
    <row r="706" spans="3:6" x14ac:dyDescent="0.25">
      <c r="D706" t="s">
        <v>698</v>
      </c>
      <c r="E706" t="s">
        <v>699</v>
      </c>
      <c r="F706" s="40">
        <v>2</v>
      </c>
    </row>
    <row r="707" spans="3:6" x14ac:dyDescent="0.25">
      <c r="D707" t="s">
        <v>695</v>
      </c>
      <c r="E707" t="s">
        <v>696</v>
      </c>
      <c r="F707" s="40">
        <v>2</v>
      </c>
    </row>
    <row r="708" spans="3:6" x14ac:dyDescent="0.25">
      <c r="D708" t="s">
        <v>701</v>
      </c>
      <c r="E708" t="s">
        <v>702</v>
      </c>
      <c r="F708" s="40">
        <v>4</v>
      </c>
    </row>
    <row r="709" spans="3:6" x14ac:dyDescent="0.25">
      <c r="C709" t="s">
        <v>7445</v>
      </c>
      <c r="D709" t="s">
        <v>4214</v>
      </c>
      <c r="E709" t="s">
        <v>4215</v>
      </c>
      <c r="F709" s="40">
        <v>2</v>
      </c>
    </row>
    <row r="710" spans="3:6" x14ac:dyDescent="0.25">
      <c r="D710" t="s">
        <v>222</v>
      </c>
      <c r="E710" t="s">
        <v>223</v>
      </c>
      <c r="F710" s="40">
        <v>2</v>
      </c>
    </row>
    <row r="711" spans="3:6" x14ac:dyDescent="0.25">
      <c r="D711" t="s">
        <v>1774</v>
      </c>
      <c r="E711" t="s">
        <v>4305</v>
      </c>
      <c r="F711" s="40">
        <v>4</v>
      </c>
    </row>
    <row r="712" spans="3:6" x14ac:dyDescent="0.25">
      <c r="D712" t="s">
        <v>1795</v>
      </c>
      <c r="E712" t="s">
        <v>1796</v>
      </c>
      <c r="F712" s="40">
        <v>4</v>
      </c>
    </row>
    <row r="713" spans="3:6" x14ac:dyDescent="0.25">
      <c r="D713" t="s">
        <v>1798</v>
      </c>
      <c r="E713" t="s">
        <v>1799</v>
      </c>
      <c r="F713" s="40">
        <v>4</v>
      </c>
    </row>
    <row r="714" spans="3:6" x14ac:dyDescent="0.25">
      <c r="D714" t="s">
        <v>4301</v>
      </c>
      <c r="E714" t="s">
        <v>4302</v>
      </c>
      <c r="F714" s="40">
        <v>4</v>
      </c>
    </row>
    <row r="715" spans="3:6" x14ac:dyDescent="0.25">
      <c r="C715" t="s">
        <v>7435</v>
      </c>
      <c r="D715" t="s">
        <v>4251</v>
      </c>
      <c r="E715" t="s">
        <v>4252</v>
      </c>
      <c r="F715" s="40">
        <v>2</v>
      </c>
    </row>
    <row r="716" spans="3:6" x14ac:dyDescent="0.25">
      <c r="D716" t="s">
        <v>4244</v>
      </c>
      <c r="E716" t="s">
        <v>4245</v>
      </c>
      <c r="F716" s="40">
        <v>1</v>
      </c>
    </row>
    <row r="717" spans="3:6" x14ac:dyDescent="0.25">
      <c r="D717" t="s">
        <v>4260</v>
      </c>
      <c r="E717" t="s">
        <v>4261</v>
      </c>
      <c r="F717" s="40">
        <v>1</v>
      </c>
    </row>
    <row r="718" spans="3:6" x14ac:dyDescent="0.25">
      <c r="D718" t="s">
        <v>4248</v>
      </c>
      <c r="E718" t="s">
        <v>4249</v>
      </c>
      <c r="F718" s="40">
        <v>2</v>
      </c>
    </row>
    <row r="719" spans="3:6" x14ac:dyDescent="0.25">
      <c r="D719" t="s">
        <v>226</v>
      </c>
      <c r="E719" t="s">
        <v>227</v>
      </c>
      <c r="F719" s="40">
        <v>1</v>
      </c>
    </row>
    <row r="720" spans="3:6" x14ac:dyDescent="0.25">
      <c r="D720" t="s">
        <v>1551</v>
      </c>
      <c r="E720" t="s">
        <v>1552</v>
      </c>
      <c r="F720" s="40">
        <v>1</v>
      </c>
    </row>
    <row r="721" spans="3:6" x14ac:dyDescent="0.25">
      <c r="D721" t="s">
        <v>439</v>
      </c>
      <c r="E721" t="s">
        <v>440</v>
      </c>
      <c r="F721" s="40">
        <v>2</v>
      </c>
    </row>
    <row r="722" spans="3:6" x14ac:dyDescent="0.25">
      <c r="D722" t="s">
        <v>222</v>
      </c>
      <c r="E722" t="s">
        <v>223</v>
      </c>
      <c r="F722" s="40">
        <v>4</v>
      </c>
    </row>
    <row r="723" spans="3:6" x14ac:dyDescent="0.25">
      <c r="D723" t="s">
        <v>4254</v>
      </c>
      <c r="E723" t="s">
        <v>4255</v>
      </c>
      <c r="F723" s="40">
        <v>1</v>
      </c>
    </row>
    <row r="724" spans="3:6" x14ac:dyDescent="0.25">
      <c r="D724" t="s">
        <v>4257</v>
      </c>
      <c r="E724" t="s">
        <v>4258</v>
      </c>
      <c r="F724" s="40">
        <v>1</v>
      </c>
    </row>
    <row r="725" spans="3:6" x14ac:dyDescent="0.25">
      <c r="C725" t="s">
        <v>7442</v>
      </c>
      <c r="D725" t="s">
        <v>1528</v>
      </c>
      <c r="E725" t="s">
        <v>1529</v>
      </c>
      <c r="F725" s="40">
        <v>1</v>
      </c>
    </row>
    <row r="726" spans="3:6" x14ac:dyDescent="0.25">
      <c r="D726" t="s">
        <v>2089</v>
      </c>
      <c r="E726" t="s">
        <v>2090</v>
      </c>
      <c r="F726" s="40">
        <v>1</v>
      </c>
    </row>
    <row r="727" spans="3:6" x14ac:dyDescent="0.25">
      <c r="D727" t="s">
        <v>4280</v>
      </c>
      <c r="E727" t="s">
        <v>4281</v>
      </c>
      <c r="F727" s="40">
        <v>1</v>
      </c>
    </row>
    <row r="728" spans="3:6" x14ac:dyDescent="0.25">
      <c r="C728" t="s">
        <v>7448</v>
      </c>
      <c r="D728" t="s">
        <v>3518</v>
      </c>
      <c r="E728" t="s">
        <v>3519</v>
      </c>
      <c r="F728" s="40">
        <v>2</v>
      </c>
    </row>
    <row r="729" spans="3:6" x14ac:dyDescent="0.25">
      <c r="D729" t="s">
        <v>4703</v>
      </c>
      <c r="E729" t="s">
        <v>4704</v>
      </c>
      <c r="F729" s="40">
        <v>2</v>
      </c>
    </row>
    <row r="730" spans="3:6" x14ac:dyDescent="0.25">
      <c r="D730" t="s">
        <v>4628</v>
      </c>
      <c r="E730" t="s">
        <v>4629</v>
      </c>
      <c r="F730" s="40">
        <v>2</v>
      </c>
    </row>
    <row r="731" spans="3:6" x14ac:dyDescent="0.25">
      <c r="D731" t="s">
        <v>4692</v>
      </c>
      <c r="E731" t="s">
        <v>4693</v>
      </c>
      <c r="F731" s="40">
        <v>2</v>
      </c>
    </row>
    <row r="732" spans="3:6" x14ac:dyDescent="0.25">
      <c r="D732" t="s">
        <v>4631</v>
      </c>
      <c r="E732" t="s">
        <v>4632</v>
      </c>
      <c r="F732" s="40">
        <v>4</v>
      </c>
    </row>
    <row r="733" spans="3:6" x14ac:dyDescent="0.25">
      <c r="D733" t="s">
        <v>4625</v>
      </c>
      <c r="E733" t="s">
        <v>4626</v>
      </c>
      <c r="F733" s="40">
        <v>4</v>
      </c>
    </row>
    <row r="734" spans="3:6" x14ac:dyDescent="0.25">
      <c r="D734" t="s">
        <v>4678</v>
      </c>
      <c r="E734" t="s">
        <v>4679</v>
      </c>
      <c r="F734" s="40">
        <v>4</v>
      </c>
    </row>
    <row r="735" spans="3:6" x14ac:dyDescent="0.25">
      <c r="D735" t="s">
        <v>1025</v>
      </c>
      <c r="E735" t="s">
        <v>1026</v>
      </c>
      <c r="F735" s="40">
        <v>1</v>
      </c>
    </row>
    <row r="736" spans="3:6" x14ac:dyDescent="0.25">
      <c r="D736" t="s">
        <v>4437</v>
      </c>
      <c r="E736" t="s">
        <v>4438</v>
      </c>
      <c r="F736" s="40">
        <v>8</v>
      </c>
    </row>
    <row r="737" spans="4:6" x14ac:dyDescent="0.25">
      <c r="D737" t="s">
        <v>4662</v>
      </c>
      <c r="E737" t="s">
        <v>4663</v>
      </c>
      <c r="F737" s="40">
        <v>16</v>
      </c>
    </row>
    <row r="738" spans="4:6" x14ac:dyDescent="0.25">
      <c r="D738" t="s">
        <v>4670</v>
      </c>
      <c r="E738" t="s">
        <v>4671</v>
      </c>
      <c r="F738" s="40">
        <v>8</v>
      </c>
    </row>
    <row r="739" spans="4:6" x14ac:dyDescent="0.25">
      <c r="D739" t="s">
        <v>3974</v>
      </c>
      <c r="E739" t="s">
        <v>3975</v>
      </c>
      <c r="F739" s="40">
        <v>6</v>
      </c>
    </row>
    <row r="740" spans="4:6" x14ac:dyDescent="0.25">
      <c r="D740" t="s">
        <v>4681</v>
      </c>
      <c r="E740" t="s">
        <v>4682</v>
      </c>
      <c r="F740" s="40">
        <v>4</v>
      </c>
    </row>
    <row r="741" spans="4:6" x14ac:dyDescent="0.25">
      <c r="D741" t="s">
        <v>4652</v>
      </c>
      <c r="E741" t="s">
        <v>4653</v>
      </c>
      <c r="F741" s="40">
        <v>24</v>
      </c>
    </row>
    <row r="742" spans="4:6" x14ac:dyDescent="0.25">
      <c r="D742" t="s">
        <v>4684</v>
      </c>
      <c r="E742" t="s">
        <v>4685</v>
      </c>
      <c r="F742" s="40">
        <v>2</v>
      </c>
    </row>
    <row r="743" spans="4:6" x14ac:dyDescent="0.25">
      <c r="D743" t="s">
        <v>1309</v>
      </c>
      <c r="E743" t="s">
        <v>1310</v>
      </c>
      <c r="F743" s="40">
        <v>1</v>
      </c>
    </row>
    <row r="744" spans="4:6" x14ac:dyDescent="0.25">
      <c r="D744" t="s">
        <v>563</v>
      </c>
      <c r="E744" t="s">
        <v>564</v>
      </c>
      <c r="F744" s="40">
        <v>18</v>
      </c>
    </row>
    <row r="745" spans="4:6" x14ac:dyDescent="0.25">
      <c r="D745" t="s">
        <v>4699</v>
      </c>
      <c r="E745" t="s">
        <v>4700</v>
      </c>
      <c r="F745" s="40">
        <v>1</v>
      </c>
    </row>
    <row r="746" spans="4:6" x14ac:dyDescent="0.25">
      <c r="D746" t="s">
        <v>4646</v>
      </c>
      <c r="E746" t="s">
        <v>4647</v>
      </c>
      <c r="F746" s="40">
        <v>2</v>
      </c>
    </row>
    <row r="747" spans="4:6" x14ac:dyDescent="0.25">
      <c r="D747" t="s">
        <v>4665</v>
      </c>
      <c r="E747" t="s">
        <v>4666</v>
      </c>
      <c r="F747" s="40">
        <v>12</v>
      </c>
    </row>
    <row r="748" spans="4:6" x14ac:dyDescent="0.25">
      <c r="D748" t="s">
        <v>904</v>
      </c>
      <c r="E748" t="s">
        <v>905</v>
      </c>
      <c r="F748" s="40">
        <v>10</v>
      </c>
    </row>
    <row r="749" spans="4:6" x14ac:dyDescent="0.25">
      <c r="D749" t="s">
        <v>4649</v>
      </c>
      <c r="E749" t="s">
        <v>4650</v>
      </c>
      <c r="F749" s="40">
        <v>2</v>
      </c>
    </row>
    <row r="750" spans="4:6" x14ac:dyDescent="0.25">
      <c r="D750" t="s">
        <v>4655</v>
      </c>
      <c r="E750" t="s">
        <v>4656</v>
      </c>
      <c r="F750" s="40">
        <v>2</v>
      </c>
    </row>
    <row r="751" spans="4:6" x14ac:dyDescent="0.25">
      <c r="D751" t="s">
        <v>268</v>
      </c>
      <c r="E751" t="s">
        <v>269</v>
      </c>
      <c r="F751" s="40">
        <v>4</v>
      </c>
    </row>
    <row r="752" spans="4:6" x14ac:dyDescent="0.25">
      <c r="D752" t="s">
        <v>512</v>
      </c>
      <c r="E752" t="s">
        <v>513</v>
      </c>
      <c r="F752" s="40">
        <v>4</v>
      </c>
    </row>
    <row r="753" spans="1:6" x14ac:dyDescent="0.25">
      <c r="D753" t="s">
        <v>4689</v>
      </c>
      <c r="E753" t="s">
        <v>4690</v>
      </c>
      <c r="F753" s="40">
        <v>6</v>
      </c>
    </row>
    <row r="754" spans="1:6" x14ac:dyDescent="0.25">
      <c r="D754" t="s">
        <v>460</v>
      </c>
      <c r="E754" t="s">
        <v>461</v>
      </c>
      <c r="F754" s="40">
        <v>4</v>
      </c>
    </row>
    <row r="755" spans="1:6" x14ac:dyDescent="0.25">
      <c r="D755" t="s">
        <v>4658</v>
      </c>
      <c r="E755" t="s">
        <v>4659</v>
      </c>
      <c r="F755" s="40">
        <v>2</v>
      </c>
    </row>
    <row r="756" spans="1:6" x14ac:dyDescent="0.25">
      <c r="D756" t="s">
        <v>1011</v>
      </c>
      <c r="E756" t="s">
        <v>1012</v>
      </c>
      <c r="F756" s="40">
        <v>2</v>
      </c>
    </row>
    <row r="757" spans="1:6" x14ac:dyDescent="0.25">
      <c r="D757" t="s">
        <v>4634</v>
      </c>
      <c r="E757" t="s">
        <v>4635</v>
      </c>
      <c r="F757" s="40">
        <v>2</v>
      </c>
    </row>
    <row r="758" spans="1:6" x14ac:dyDescent="0.25">
      <c r="D758" t="s">
        <v>4696</v>
      </c>
      <c r="E758" t="s">
        <v>4697</v>
      </c>
      <c r="F758" s="40">
        <v>1</v>
      </c>
    </row>
    <row r="759" spans="1:6" x14ac:dyDescent="0.25">
      <c r="D759" t="s">
        <v>307</v>
      </c>
      <c r="E759" t="s">
        <v>308</v>
      </c>
      <c r="F759" s="40">
        <v>8</v>
      </c>
    </row>
    <row r="760" spans="1:6" x14ac:dyDescent="0.25">
      <c r="D760" t="s">
        <v>4640</v>
      </c>
      <c r="E760" t="s">
        <v>4641</v>
      </c>
      <c r="F760" s="40">
        <v>2</v>
      </c>
    </row>
    <row r="761" spans="1:6" x14ac:dyDescent="0.25">
      <c r="D761" t="s">
        <v>4643</v>
      </c>
      <c r="E761" t="s">
        <v>4644</v>
      </c>
      <c r="F761" s="40">
        <v>2</v>
      </c>
    </row>
    <row r="762" spans="1:6" x14ac:dyDescent="0.25">
      <c r="D762" t="s">
        <v>4637</v>
      </c>
      <c r="E762" t="s">
        <v>4638</v>
      </c>
      <c r="F762" s="40">
        <v>2</v>
      </c>
    </row>
    <row r="763" spans="1:6" x14ac:dyDescent="0.25">
      <c r="D763" t="s">
        <v>4326</v>
      </c>
      <c r="E763" t="s">
        <v>4327</v>
      </c>
      <c r="F763" s="40">
        <v>2</v>
      </c>
    </row>
    <row r="764" spans="1:6" x14ac:dyDescent="0.25">
      <c r="A764" t="s">
        <v>7850</v>
      </c>
      <c r="F764" s="40">
        <v>1651</v>
      </c>
    </row>
    <row r="765" spans="1:6" x14ac:dyDescent="0.25">
      <c r="A765" t="s">
        <v>7672</v>
      </c>
      <c r="B765" t="s">
        <v>7845</v>
      </c>
      <c r="C765" t="s">
        <v>7060</v>
      </c>
      <c r="D765">
        <v>1938</v>
      </c>
      <c r="E765" t="s">
        <v>295</v>
      </c>
      <c r="F765" s="40">
        <v>2</v>
      </c>
    </row>
    <row r="766" spans="1:6" x14ac:dyDescent="0.25">
      <c r="D766" t="s">
        <v>304</v>
      </c>
      <c r="E766" t="s">
        <v>305</v>
      </c>
      <c r="F766" s="40">
        <v>3</v>
      </c>
    </row>
    <row r="767" spans="1:6" x14ac:dyDescent="0.25">
      <c r="D767" t="s">
        <v>301</v>
      </c>
      <c r="E767" t="s">
        <v>302</v>
      </c>
      <c r="F767" s="40">
        <v>3</v>
      </c>
    </row>
    <row r="768" spans="1:6" x14ac:dyDescent="0.25">
      <c r="D768" t="s">
        <v>297</v>
      </c>
      <c r="E768" t="s">
        <v>298</v>
      </c>
      <c r="F768" s="40">
        <v>3</v>
      </c>
    </row>
    <row r="769" spans="2:6" x14ac:dyDescent="0.25">
      <c r="D769" t="s">
        <v>307</v>
      </c>
      <c r="E769" t="s">
        <v>308</v>
      </c>
      <c r="F769" s="40">
        <v>3</v>
      </c>
    </row>
    <row r="770" spans="2:6" x14ac:dyDescent="0.25">
      <c r="D770" t="s">
        <v>310</v>
      </c>
      <c r="E770" t="s">
        <v>311</v>
      </c>
      <c r="F770" s="40">
        <v>1</v>
      </c>
    </row>
    <row r="771" spans="2:6" x14ac:dyDescent="0.25">
      <c r="B771" t="s">
        <v>329</v>
      </c>
      <c r="C771" t="s">
        <v>7060</v>
      </c>
      <c r="D771">
        <v>1938</v>
      </c>
      <c r="E771" t="s">
        <v>295</v>
      </c>
      <c r="F771" s="40">
        <v>2</v>
      </c>
    </row>
    <row r="772" spans="2:6" x14ac:dyDescent="0.25">
      <c r="D772" t="s">
        <v>304</v>
      </c>
      <c r="E772" t="s">
        <v>305</v>
      </c>
      <c r="F772" s="40">
        <v>3</v>
      </c>
    </row>
    <row r="773" spans="2:6" x14ac:dyDescent="0.25">
      <c r="D773" t="s">
        <v>301</v>
      </c>
      <c r="E773" t="s">
        <v>302</v>
      </c>
      <c r="F773" s="40">
        <v>3</v>
      </c>
    </row>
    <row r="774" spans="2:6" x14ac:dyDescent="0.25">
      <c r="D774" t="s">
        <v>297</v>
      </c>
      <c r="E774" t="s">
        <v>298</v>
      </c>
      <c r="F774" s="40">
        <v>3</v>
      </c>
    </row>
    <row r="775" spans="2:6" x14ac:dyDescent="0.25">
      <c r="D775" t="s">
        <v>307</v>
      </c>
      <c r="E775" t="s">
        <v>308</v>
      </c>
      <c r="F775" s="40">
        <v>3</v>
      </c>
    </row>
    <row r="776" spans="2:6" x14ac:dyDescent="0.25">
      <c r="D776" t="s">
        <v>373</v>
      </c>
      <c r="E776" t="s">
        <v>374</v>
      </c>
      <c r="F776" s="40">
        <v>2</v>
      </c>
    </row>
    <row r="777" spans="2:6" x14ac:dyDescent="0.25">
      <c r="D777" t="s">
        <v>366</v>
      </c>
      <c r="E777" t="s">
        <v>367</v>
      </c>
      <c r="F777" s="40">
        <v>1</v>
      </c>
    </row>
    <row r="778" spans="2:6" x14ac:dyDescent="0.25">
      <c r="D778" t="s">
        <v>363</v>
      </c>
      <c r="E778" t="s">
        <v>364</v>
      </c>
      <c r="F778" s="40">
        <v>1</v>
      </c>
    </row>
    <row r="779" spans="2:6" x14ac:dyDescent="0.25">
      <c r="D779" t="s">
        <v>310</v>
      </c>
      <c r="E779" t="s">
        <v>311</v>
      </c>
      <c r="F779" s="40">
        <v>1</v>
      </c>
    </row>
    <row r="780" spans="2:6" x14ac:dyDescent="0.25">
      <c r="B780" t="s">
        <v>7846</v>
      </c>
      <c r="C780" t="s">
        <v>7060</v>
      </c>
      <c r="D780" t="s">
        <v>360</v>
      </c>
      <c r="E780" t="s">
        <v>361</v>
      </c>
      <c r="F780" s="40">
        <v>1</v>
      </c>
    </row>
    <row r="781" spans="2:6" x14ac:dyDescent="0.25">
      <c r="B781" t="s">
        <v>614</v>
      </c>
      <c r="C781" t="s">
        <v>7098</v>
      </c>
      <c r="D781" t="s">
        <v>596</v>
      </c>
      <c r="E781" t="s">
        <v>597</v>
      </c>
      <c r="F781" s="40">
        <v>1</v>
      </c>
    </row>
    <row r="782" spans="2:6" x14ac:dyDescent="0.25">
      <c r="B782" t="s">
        <v>1069</v>
      </c>
      <c r="C782" t="s">
        <v>7047</v>
      </c>
      <c r="D782" t="s">
        <v>516</v>
      </c>
      <c r="E782" t="s">
        <v>517</v>
      </c>
      <c r="F782" s="40">
        <v>1</v>
      </c>
    </row>
    <row r="783" spans="2:6" x14ac:dyDescent="0.25">
      <c r="B783" t="s">
        <v>589</v>
      </c>
      <c r="C783" t="s">
        <v>7098</v>
      </c>
      <c r="D783" t="s">
        <v>592</v>
      </c>
      <c r="E783" t="s">
        <v>593</v>
      </c>
      <c r="F783" s="40">
        <v>2</v>
      </c>
    </row>
    <row r="784" spans="2:6" x14ac:dyDescent="0.25">
      <c r="D784" t="s">
        <v>596</v>
      </c>
      <c r="E784" t="s">
        <v>597</v>
      </c>
      <c r="F784" s="40">
        <v>1</v>
      </c>
    </row>
    <row r="785" spans="2:6" x14ac:dyDescent="0.25">
      <c r="B785" t="s">
        <v>1109</v>
      </c>
      <c r="C785" t="s">
        <v>7047</v>
      </c>
      <c r="D785" t="s">
        <v>596</v>
      </c>
      <c r="E785" t="s">
        <v>597</v>
      </c>
      <c r="F785" s="40">
        <v>1</v>
      </c>
    </row>
    <row r="786" spans="2:6" x14ac:dyDescent="0.25">
      <c r="B786" t="s">
        <v>1173</v>
      </c>
      <c r="C786" t="s">
        <v>1162</v>
      </c>
      <c r="D786" t="s">
        <v>1274</v>
      </c>
      <c r="E786" t="s">
        <v>1275</v>
      </c>
      <c r="F786" s="40">
        <v>2</v>
      </c>
    </row>
    <row r="787" spans="2:6" x14ac:dyDescent="0.25">
      <c r="D787" t="s">
        <v>1262</v>
      </c>
      <c r="E787" t="s">
        <v>1263</v>
      </c>
      <c r="F787" s="40">
        <v>1</v>
      </c>
    </row>
    <row r="788" spans="2:6" x14ac:dyDescent="0.25">
      <c r="D788" t="s">
        <v>1271</v>
      </c>
      <c r="E788" t="s">
        <v>1272</v>
      </c>
      <c r="F788" s="40">
        <v>1</v>
      </c>
    </row>
    <row r="789" spans="2:6" x14ac:dyDescent="0.25">
      <c r="D789" t="s">
        <v>545</v>
      </c>
      <c r="E789" t="s">
        <v>546</v>
      </c>
      <c r="F789" s="40">
        <v>1</v>
      </c>
    </row>
    <row r="790" spans="2:6" x14ac:dyDescent="0.25">
      <c r="E790" t="s">
        <v>1251</v>
      </c>
      <c r="F790" s="40">
        <v>1</v>
      </c>
    </row>
    <row r="791" spans="2:6" x14ac:dyDescent="0.25">
      <c r="D791" t="s">
        <v>580</v>
      </c>
      <c r="E791" t="s">
        <v>581</v>
      </c>
      <c r="F791" s="40">
        <v>2</v>
      </c>
    </row>
    <row r="792" spans="2:6" x14ac:dyDescent="0.25">
      <c r="D792" t="s">
        <v>563</v>
      </c>
      <c r="E792" t="s">
        <v>564</v>
      </c>
      <c r="F792" s="40">
        <v>2</v>
      </c>
    </row>
    <row r="793" spans="2:6" x14ac:dyDescent="0.25">
      <c r="D793" t="s">
        <v>566</v>
      </c>
      <c r="E793" t="s">
        <v>567</v>
      </c>
      <c r="F793" s="40">
        <v>2</v>
      </c>
    </row>
    <row r="794" spans="2:6" x14ac:dyDescent="0.25">
      <c r="D794" t="s">
        <v>1288</v>
      </c>
      <c r="E794" t="s">
        <v>1289</v>
      </c>
      <c r="F794" s="40">
        <v>2</v>
      </c>
    </row>
    <row r="795" spans="2:6" x14ac:dyDescent="0.25">
      <c r="D795" t="s">
        <v>1285</v>
      </c>
      <c r="E795" t="s">
        <v>1286</v>
      </c>
      <c r="F795" s="40">
        <v>4</v>
      </c>
    </row>
    <row r="796" spans="2:6" x14ac:dyDescent="0.25">
      <c r="D796" t="s">
        <v>439</v>
      </c>
      <c r="E796" t="s">
        <v>440</v>
      </c>
      <c r="F796" s="40">
        <v>6</v>
      </c>
    </row>
    <row r="797" spans="2:6" x14ac:dyDescent="0.25">
      <c r="D797" t="s">
        <v>265</v>
      </c>
      <c r="E797" t="s">
        <v>266</v>
      </c>
      <c r="F797" s="40">
        <v>6</v>
      </c>
    </row>
    <row r="798" spans="2:6" x14ac:dyDescent="0.25">
      <c r="D798" t="s">
        <v>222</v>
      </c>
      <c r="E798" t="s">
        <v>223</v>
      </c>
      <c r="F798" s="40">
        <v>5</v>
      </c>
    </row>
    <row r="799" spans="2:6" x14ac:dyDescent="0.25">
      <c r="D799" t="s">
        <v>1254</v>
      </c>
      <c r="E799" t="s">
        <v>575</v>
      </c>
      <c r="F799" s="40">
        <v>1</v>
      </c>
    </row>
    <row r="800" spans="2:6" x14ac:dyDescent="0.25">
      <c r="D800" t="s">
        <v>698</v>
      </c>
      <c r="E800" t="s">
        <v>699</v>
      </c>
      <c r="F800" s="40">
        <v>2</v>
      </c>
    </row>
    <row r="801" spans="2:6" x14ac:dyDescent="0.25">
      <c r="D801" t="s">
        <v>695</v>
      </c>
      <c r="E801" t="s">
        <v>696</v>
      </c>
      <c r="F801" s="40">
        <v>2</v>
      </c>
    </row>
    <row r="802" spans="2:6" x14ac:dyDescent="0.25">
      <c r="D802" t="s">
        <v>701</v>
      </c>
      <c r="E802" t="s">
        <v>702</v>
      </c>
      <c r="F802" s="40">
        <v>4</v>
      </c>
    </row>
    <row r="803" spans="2:6" x14ac:dyDescent="0.25">
      <c r="B803" t="s">
        <v>7865</v>
      </c>
      <c r="C803" t="s">
        <v>1162</v>
      </c>
      <c r="D803" t="s">
        <v>596</v>
      </c>
      <c r="E803" t="s">
        <v>597</v>
      </c>
      <c r="F803" s="40">
        <v>1</v>
      </c>
    </row>
    <row r="804" spans="2:6" x14ac:dyDescent="0.25">
      <c r="B804" t="s">
        <v>7954</v>
      </c>
      <c r="C804" t="s">
        <v>1162</v>
      </c>
      <c r="D804" t="s">
        <v>360</v>
      </c>
      <c r="E804" t="s">
        <v>361</v>
      </c>
      <c r="F804" s="40">
        <v>1</v>
      </c>
    </row>
    <row r="805" spans="2:6" x14ac:dyDescent="0.25">
      <c r="B805" t="s">
        <v>7841</v>
      </c>
      <c r="C805" t="s">
        <v>7060</v>
      </c>
      <c r="D805" t="s">
        <v>268</v>
      </c>
      <c r="E805" t="s">
        <v>269</v>
      </c>
      <c r="F805" s="40">
        <v>4</v>
      </c>
    </row>
    <row r="806" spans="2:6" x14ac:dyDescent="0.25">
      <c r="D806" t="s">
        <v>265</v>
      </c>
      <c r="E806" t="s">
        <v>266</v>
      </c>
      <c r="F806" s="40">
        <v>19</v>
      </c>
    </row>
    <row r="807" spans="2:6" x14ac:dyDescent="0.25">
      <c r="B807" t="s">
        <v>7876</v>
      </c>
      <c r="C807" t="s">
        <v>1314</v>
      </c>
      <c r="D807">
        <v>1938</v>
      </c>
      <c r="E807" t="s">
        <v>295</v>
      </c>
      <c r="F807" s="40">
        <v>2</v>
      </c>
    </row>
    <row r="808" spans="2:6" x14ac:dyDescent="0.25">
      <c r="D808" t="s">
        <v>304</v>
      </c>
      <c r="E808" t="s">
        <v>305</v>
      </c>
      <c r="F808" s="40">
        <v>3</v>
      </c>
    </row>
    <row r="809" spans="2:6" x14ac:dyDescent="0.25">
      <c r="D809" t="s">
        <v>301</v>
      </c>
      <c r="E809" t="s">
        <v>302</v>
      </c>
      <c r="F809" s="40">
        <v>3</v>
      </c>
    </row>
    <row r="810" spans="2:6" x14ac:dyDescent="0.25">
      <c r="D810" t="s">
        <v>297</v>
      </c>
      <c r="E810" t="s">
        <v>298</v>
      </c>
      <c r="F810" s="40">
        <v>3</v>
      </c>
    </row>
    <row r="811" spans="2:6" x14ac:dyDescent="0.25">
      <c r="D811" t="s">
        <v>307</v>
      </c>
      <c r="E811" t="s">
        <v>308</v>
      </c>
      <c r="F811" s="40">
        <v>2</v>
      </c>
    </row>
    <row r="812" spans="2:6" x14ac:dyDescent="0.25">
      <c r="D812" t="s">
        <v>310</v>
      </c>
      <c r="E812" t="s">
        <v>1581</v>
      </c>
      <c r="F812" s="40">
        <v>1</v>
      </c>
    </row>
    <row r="813" spans="2:6" x14ac:dyDescent="0.25">
      <c r="B813" t="s">
        <v>1030</v>
      </c>
      <c r="C813" t="s">
        <v>7047</v>
      </c>
      <c r="D813" t="s">
        <v>1051</v>
      </c>
      <c r="E813" t="s">
        <v>1052</v>
      </c>
      <c r="F813" s="40">
        <v>1</v>
      </c>
    </row>
    <row r="814" spans="2:6" x14ac:dyDescent="0.25">
      <c r="D814" t="s">
        <v>1041</v>
      </c>
      <c r="E814" t="s">
        <v>1042</v>
      </c>
      <c r="F814" s="40">
        <v>2</v>
      </c>
    </row>
    <row r="815" spans="2:6" x14ac:dyDescent="0.25">
      <c r="D815" t="s">
        <v>1038</v>
      </c>
      <c r="E815" t="s">
        <v>1039</v>
      </c>
      <c r="F815" s="40">
        <v>1</v>
      </c>
    </row>
    <row r="816" spans="2:6" x14ac:dyDescent="0.25">
      <c r="D816" t="s">
        <v>1035</v>
      </c>
      <c r="E816" t="s">
        <v>1036</v>
      </c>
      <c r="F816" s="40">
        <v>1</v>
      </c>
    </row>
    <row r="817" spans="2:6" x14ac:dyDescent="0.25">
      <c r="D817" t="s">
        <v>1048</v>
      </c>
      <c r="E817" t="s">
        <v>1049</v>
      </c>
      <c r="F817" s="40">
        <v>2</v>
      </c>
    </row>
    <row r="818" spans="2:6" x14ac:dyDescent="0.25">
      <c r="D818" t="s">
        <v>932</v>
      </c>
      <c r="E818" t="s">
        <v>933</v>
      </c>
      <c r="F818" s="40">
        <v>2</v>
      </c>
    </row>
    <row r="819" spans="2:6" x14ac:dyDescent="0.25">
      <c r="D819" t="s">
        <v>1044</v>
      </c>
      <c r="E819" t="s">
        <v>1045</v>
      </c>
      <c r="F819" s="40">
        <v>1</v>
      </c>
    </row>
    <row r="820" spans="2:6" x14ac:dyDescent="0.25">
      <c r="B820" t="s">
        <v>1086</v>
      </c>
      <c r="C820" t="s">
        <v>7047</v>
      </c>
      <c r="D820" t="s">
        <v>1093</v>
      </c>
      <c r="E820" t="s">
        <v>1094</v>
      </c>
      <c r="F820" s="40">
        <v>1</v>
      </c>
    </row>
    <row r="821" spans="2:6" x14ac:dyDescent="0.25">
      <c r="D821" t="s">
        <v>1041</v>
      </c>
      <c r="E821" t="s">
        <v>1042</v>
      </c>
      <c r="F821" s="40">
        <v>2</v>
      </c>
    </row>
    <row r="822" spans="2:6" x14ac:dyDescent="0.25">
      <c r="D822" t="s">
        <v>1038</v>
      </c>
      <c r="E822" t="s">
        <v>1039</v>
      </c>
      <c r="F822" s="40">
        <v>1</v>
      </c>
    </row>
    <row r="823" spans="2:6" x14ac:dyDescent="0.25">
      <c r="B823" t="s">
        <v>7842</v>
      </c>
      <c r="C823" t="s">
        <v>7098</v>
      </c>
      <c r="D823" t="s">
        <v>268</v>
      </c>
      <c r="E823" t="s">
        <v>269</v>
      </c>
      <c r="F823" s="40">
        <v>5</v>
      </c>
    </row>
    <row r="824" spans="2:6" x14ac:dyDescent="0.25">
      <c r="D824" t="s">
        <v>265</v>
      </c>
      <c r="E824" t="s">
        <v>266</v>
      </c>
      <c r="F824" s="40">
        <v>12</v>
      </c>
    </row>
    <row r="825" spans="2:6" x14ac:dyDescent="0.25">
      <c r="B825" t="s">
        <v>971</v>
      </c>
      <c r="C825" t="s">
        <v>7140</v>
      </c>
      <c r="D825">
        <v>25</v>
      </c>
      <c r="E825" t="s">
        <v>973</v>
      </c>
      <c r="F825" s="40">
        <v>1</v>
      </c>
    </row>
    <row r="826" spans="2:6" x14ac:dyDescent="0.25">
      <c r="D826" t="s">
        <v>981</v>
      </c>
      <c r="E826" t="s">
        <v>982</v>
      </c>
      <c r="F826" s="40">
        <v>4</v>
      </c>
    </row>
    <row r="827" spans="2:6" x14ac:dyDescent="0.25">
      <c r="B827" t="s">
        <v>1466</v>
      </c>
      <c r="C827" t="s">
        <v>1314</v>
      </c>
      <c r="D827" t="s">
        <v>1531</v>
      </c>
      <c r="E827" t="s">
        <v>1532</v>
      </c>
      <c r="F827" s="40">
        <v>1</v>
      </c>
    </row>
    <row r="828" spans="2:6" x14ac:dyDescent="0.25">
      <c r="D828" t="s">
        <v>1541</v>
      </c>
      <c r="E828" t="s">
        <v>1542</v>
      </c>
      <c r="F828" s="40">
        <v>2</v>
      </c>
    </row>
    <row r="829" spans="2:6" x14ac:dyDescent="0.25">
      <c r="D829" t="s">
        <v>580</v>
      </c>
      <c r="E829" t="s">
        <v>581</v>
      </c>
      <c r="F829" s="40">
        <v>2</v>
      </c>
    </row>
    <row r="830" spans="2:6" x14ac:dyDescent="0.25">
      <c r="D830" t="s">
        <v>941</v>
      </c>
      <c r="E830" t="s">
        <v>942</v>
      </c>
      <c r="F830" s="40">
        <v>3</v>
      </c>
    </row>
    <row r="831" spans="2:6" x14ac:dyDescent="0.25">
      <c r="D831" t="s">
        <v>519</v>
      </c>
      <c r="E831" t="s">
        <v>520</v>
      </c>
      <c r="F831" s="40">
        <v>3</v>
      </c>
    </row>
    <row r="832" spans="2:6" x14ac:dyDescent="0.25">
      <c r="D832" t="s">
        <v>1555</v>
      </c>
      <c r="E832" t="s">
        <v>1556</v>
      </c>
      <c r="F832" s="40">
        <v>2</v>
      </c>
    </row>
    <row r="833" spans="2:6" x14ac:dyDescent="0.25">
      <c r="D833" t="s">
        <v>297</v>
      </c>
      <c r="E833" t="s">
        <v>298</v>
      </c>
      <c r="F833" s="40">
        <v>4</v>
      </c>
    </row>
    <row r="834" spans="2:6" x14ac:dyDescent="0.25">
      <c r="D834" t="s">
        <v>577</v>
      </c>
      <c r="E834" t="s">
        <v>578</v>
      </c>
      <c r="F834" s="40">
        <v>2</v>
      </c>
    </row>
    <row r="835" spans="2:6" x14ac:dyDescent="0.25">
      <c r="D835" t="s">
        <v>670</v>
      </c>
      <c r="E835" t="s">
        <v>671</v>
      </c>
      <c r="F835" s="40">
        <v>2</v>
      </c>
    </row>
    <row r="836" spans="2:6" x14ac:dyDescent="0.25">
      <c r="D836" t="s">
        <v>460</v>
      </c>
      <c r="E836" t="s">
        <v>461</v>
      </c>
      <c r="F836" s="40">
        <v>8</v>
      </c>
    </row>
    <row r="837" spans="2:6" x14ac:dyDescent="0.25">
      <c r="D837" t="s">
        <v>1534</v>
      </c>
      <c r="E837" t="s">
        <v>1535</v>
      </c>
      <c r="F837" s="40">
        <v>2</v>
      </c>
    </row>
    <row r="838" spans="2:6" x14ac:dyDescent="0.25">
      <c r="D838" t="s">
        <v>1528</v>
      </c>
      <c r="E838" t="s">
        <v>1529</v>
      </c>
      <c r="F838" s="40">
        <v>2</v>
      </c>
    </row>
    <row r="839" spans="2:6" x14ac:dyDescent="0.25">
      <c r="B839" t="s">
        <v>7875</v>
      </c>
      <c r="C839" t="s">
        <v>1314</v>
      </c>
      <c r="D839" t="s">
        <v>596</v>
      </c>
      <c r="E839" t="s">
        <v>597</v>
      </c>
      <c r="F839" s="40">
        <v>1</v>
      </c>
    </row>
    <row r="840" spans="2:6" x14ac:dyDescent="0.25">
      <c r="B840" t="s">
        <v>7874</v>
      </c>
      <c r="C840" t="s">
        <v>1314</v>
      </c>
      <c r="D840" t="s">
        <v>1522</v>
      </c>
      <c r="E840" t="s">
        <v>1523</v>
      </c>
      <c r="F840" s="40">
        <v>1</v>
      </c>
    </row>
    <row r="841" spans="2:6" x14ac:dyDescent="0.25">
      <c r="B841" t="s">
        <v>7873</v>
      </c>
      <c r="C841" t="s">
        <v>1314</v>
      </c>
      <c r="D841" t="s">
        <v>1513</v>
      </c>
      <c r="E841" t="s">
        <v>1514</v>
      </c>
      <c r="F841" s="40">
        <v>1</v>
      </c>
    </row>
    <row r="842" spans="2:6" x14ac:dyDescent="0.25">
      <c r="B842" t="s">
        <v>7957</v>
      </c>
      <c r="C842" t="s">
        <v>1314</v>
      </c>
      <c r="D842" t="s">
        <v>1551</v>
      </c>
      <c r="E842" t="s">
        <v>1552</v>
      </c>
      <c r="F842" s="40">
        <v>2</v>
      </c>
    </row>
    <row r="843" spans="2:6" x14ac:dyDescent="0.25">
      <c r="B843" t="s">
        <v>621</v>
      </c>
      <c r="C843" t="s">
        <v>7098</v>
      </c>
      <c r="D843" t="s">
        <v>667</v>
      </c>
      <c r="E843" t="s">
        <v>668</v>
      </c>
      <c r="F843" s="40">
        <v>4</v>
      </c>
    </row>
    <row r="844" spans="2:6" x14ac:dyDescent="0.25">
      <c r="D844" t="s">
        <v>670</v>
      </c>
      <c r="E844" t="s">
        <v>671</v>
      </c>
      <c r="F844" s="40">
        <v>4</v>
      </c>
    </row>
    <row r="845" spans="2:6" x14ac:dyDescent="0.25">
      <c r="B845" t="s">
        <v>725</v>
      </c>
      <c r="C845" t="s">
        <v>7098</v>
      </c>
      <c r="D845" t="s">
        <v>460</v>
      </c>
      <c r="E845" t="s">
        <v>461</v>
      </c>
      <c r="F845" s="40">
        <v>3</v>
      </c>
    </row>
    <row r="846" spans="2:6" x14ac:dyDescent="0.25">
      <c r="B846" t="s">
        <v>7853</v>
      </c>
      <c r="C846" t="s">
        <v>7098</v>
      </c>
      <c r="D846" t="s">
        <v>268</v>
      </c>
      <c r="E846" t="s">
        <v>269</v>
      </c>
      <c r="F846" s="40">
        <v>3</v>
      </c>
    </row>
    <row r="847" spans="2:6" x14ac:dyDescent="0.25">
      <c r="B847" t="s">
        <v>7858</v>
      </c>
      <c r="C847" t="s">
        <v>7098</v>
      </c>
      <c r="D847" t="s">
        <v>805</v>
      </c>
      <c r="E847" t="s">
        <v>806</v>
      </c>
      <c r="F847" s="40">
        <v>1</v>
      </c>
    </row>
    <row r="848" spans="2:6" x14ac:dyDescent="0.25">
      <c r="B848" t="s">
        <v>7855</v>
      </c>
      <c r="C848" t="s">
        <v>7098</v>
      </c>
      <c r="D848" t="s">
        <v>769</v>
      </c>
      <c r="E848" t="s">
        <v>770</v>
      </c>
      <c r="F848" s="40">
        <v>1</v>
      </c>
    </row>
    <row r="849" spans="2:6" x14ac:dyDescent="0.25">
      <c r="B849" t="s">
        <v>7856</v>
      </c>
      <c r="C849" t="s">
        <v>7098</v>
      </c>
      <c r="D849" t="s">
        <v>781</v>
      </c>
      <c r="E849" t="s">
        <v>782</v>
      </c>
      <c r="F849" s="40">
        <v>1</v>
      </c>
    </row>
    <row r="850" spans="2:6" x14ac:dyDescent="0.25">
      <c r="B850" t="s">
        <v>7857</v>
      </c>
      <c r="C850" t="s">
        <v>7098</v>
      </c>
      <c r="D850" t="s">
        <v>793</v>
      </c>
      <c r="E850" t="s">
        <v>794</v>
      </c>
      <c r="F850" s="40">
        <v>1</v>
      </c>
    </row>
    <row r="851" spans="2:6" x14ac:dyDescent="0.25">
      <c r="B851" t="s">
        <v>7854</v>
      </c>
      <c r="C851" t="s">
        <v>7098</v>
      </c>
      <c r="D851" t="s">
        <v>745</v>
      </c>
      <c r="E851" t="s">
        <v>746</v>
      </c>
      <c r="F851" s="40">
        <v>1</v>
      </c>
    </row>
    <row r="852" spans="2:6" x14ac:dyDescent="0.25">
      <c r="B852" t="s">
        <v>1333</v>
      </c>
      <c r="C852" t="s">
        <v>1314</v>
      </c>
      <c r="D852" t="s">
        <v>1420</v>
      </c>
      <c r="E852" t="s">
        <v>1421</v>
      </c>
      <c r="F852" s="40">
        <v>2</v>
      </c>
    </row>
    <row r="853" spans="2:6" x14ac:dyDescent="0.25">
      <c r="D853" t="s">
        <v>1417</v>
      </c>
      <c r="E853" t="s">
        <v>1418</v>
      </c>
      <c r="F853" s="40">
        <v>1</v>
      </c>
    </row>
    <row r="854" spans="2:6" x14ac:dyDescent="0.25">
      <c r="D854" t="s">
        <v>586</v>
      </c>
      <c r="E854" t="s">
        <v>587</v>
      </c>
      <c r="F854" s="40">
        <v>1</v>
      </c>
    </row>
    <row r="855" spans="2:6" x14ac:dyDescent="0.25">
      <c r="D855" t="s">
        <v>1425</v>
      </c>
      <c r="E855" t="s">
        <v>1426</v>
      </c>
      <c r="F855" s="40">
        <v>1</v>
      </c>
    </row>
    <row r="856" spans="2:6" x14ac:dyDescent="0.25">
      <c r="D856" t="s">
        <v>1435</v>
      </c>
      <c r="E856" t="s">
        <v>1436</v>
      </c>
      <c r="F856" s="40">
        <v>3</v>
      </c>
    </row>
    <row r="857" spans="2:6" x14ac:dyDescent="0.25">
      <c r="D857" t="s">
        <v>268</v>
      </c>
      <c r="E857" t="s">
        <v>269</v>
      </c>
      <c r="F857" s="40">
        <v>4</v>
      </c>
    </row>
    <row r="858" spans="2:6" x14ac:dyDescent="0.25">
      <c r="D858" t="s">
        <v>265</v>
      </c>
      <c r="E858" t="s">
        <v>266</v>
      </c>
      <c r="F858" s="40">
        <v>1</v>
      </c>
    </row>
    <row r="859" spans="2:6" x14ac:dyDescent="0.25">
      <c r="D859" t="s">
        <v>1428</v>
      </c>
      <c r="E859" t="s">
        <v>1429</v>
      </c>
      <c r="F859" s="40">
        <v>2</v>
      </c>
    </row>
    <row r="860" spans="2:6" x14ac:dyDescent="0.25">
      <c r="B860" t="s">
        <v>7871</v>
      </c>
      <c r="C860" t="s">
        <v>1314</v>
      </c>
      <c r="D860" t="s">
        <v>596</v>
      </c>
      <c r="E860" t="s">
        <v>597</v>
      </c>
      <c r="F860" s="40">
        <v>1</v>
      </c>
    </row>
    <row r="861" spans="2:6" x14ac:dyDescent="0.25">
      <c r="B861" t="s">
        <v>7956</v>
      </c>
      <c r="C861" t="s">
        <v>1314</v>
      </c>
      <c r="D861" t="s">
        <v>360</v>
      </c>
      <c r="E861" t="s">
        <v>361</v>
      </c>
      <c r="F861" s="40">
        <v>2</v>
      </c>
    </row>
    <row r="862" spans="2:6" x14ac:dyDescent="0.25">
      <c r="B862" t="s">
        <v>7955</v>
      </c>
      <c r="C862" t="s">
        <v>1314</v>
      </c>
      <c r="D862" t="s">
        <v>360</v>
      </c>
      <c r="E862" t="s">
        <v>361</v>
      </c>
      <c r="F862" s="40">
        <v>2</v>
      </c>
    </row>
    <row r="863" spans="2:6" x14ac:dyDescent="0.25">
      <c r="B863" t="s">
        <v>674</v>
      </c>
      <c r="C863" t="s">
        <v>7098</v>
      </c>
      <c r="D863" t="s">
        <v>704</v>
      </c>
      <c r="E863" t="s">
        <v>705</v>
      </c>
      <c r="F863" s="40">
        <v>1</v>
      </c>
    </row>
    <row r="864" spans="2:6" x14ac:dyDescent="0.25">
      <c r="D864" t="s">
        <v>692</v>
      </c>
      <c r="E864" t="s">
        <v>693</v>
      </c>
      <c r="F864" s="40">
        <v>1</v>
      </c>
    </row>
    <row r="865" spans="2:6" x14ac:dyDescent="0.25">
      <c r="D865" t="s">
        <v>698</v>
      </c>
      <c r="E865" t="s">
        <v>699</v>
      </c>
      <c r="F865" s="40">
        <v>2</v>
      </c>
    </row>
    <row r="866" spans="2:6" x14ac:dyDescent="0.25">
      <c r="D866" t="s">
        <v>695</v>
      </c>
      <c r="E866" t="s">
        <v>696</v>
      </c>
      <c r="F866" s="40">
        <v>2</v>
      </c>
    </row>
    <row r="867" spans="2:6" x14ac:dyDescent="0.25">
      <c r="D867" t="s">
        <v>701</v>
      </c>
      <c r="E867" t="s">
        <v>702</v>
      </c>
      <c r="F867" s="40">
        <v>4</v>
      </c>
    </row>
    <row r="868" spans="2:6" x14ac:dyDescent="0.25">
      <c r="D868" t="s">
        <v>255</v>
      </c>
      <c r="E868" t="s">
        <v>718</v>
      </c>
      <c r="F868" s="40">
        <v>1</v>
      </c>
    </row>
    <row r="869" spans="2:6" x14ac:dyDescent="0.25">
      <c r="D869" t="s">
        <v>707</v>
      </c>
      <c r="E869" t="s">
        <v>708</v>
      </c>
      <c r="F869" s="40">
        <v>1</v>
      </c>
    </row>
    <row r="870" spans="2:6" x14ac:dyDescent="0.25">
      <c r="B870" t="s">
        <v>7953</v>
      </c>
      <c r="C870" t="s">
        <v>7098</v>
      </c>
      <c r="D870" t="s">
        <v>360</v>
      </c>
      <c r="E870" t="s">
        <v>361</v>
      </c>
      <c r="F870" s="40">
        <v>2</v>
      </c>
    </row>
    <row r="871" spans="2:6" x14ac:dyDescent="0.25">
      <c r="B871" t="s">
        <v>989</v>
      </c>
      <c r="C871" t="s">
        <v>7140</v>
      </c>
      <c r="D871" t="s">
        <v>996</v>
      </c>
      <c r="E871" t="s">
        <v>997</v>
      </c>
      <c r="F871" s="40">
        <v>2</v>
      </c>
    </row>
    <row r="872" spans="2:6" x14ac:dyDescent="0.25">
      <c r="D872" t="s">
        <v>1005</v>
      </c>
      <c r="E872" t="s">
        <v>1006</v>
      </c>
      <c r="F872" s="40">
        <v>2</v>
      </c>
    </row>
    <row r="873" spans="2:6" x14ac:dyDescent="0.25">
      <c r="D873" t="s">
        <v>1002</v>
      </c>
      <c r="E873" t="s">
        <v>1003</v>
      </c>
      <c r="F873" s="40">
        <v>6</v>
      </c>
    </row>
    <row r="874" spans="2:6" x14ac:dyDescent="0.25">
      <c r="D874" t="s">
        <v>999</v>
      </c>
      <c r="E874" t="s">
        <v>1000</v>
      </c>
      <c r="F874" s="40">
        <v>2</v>
      </c>
    </row>
    <row r="875" spans="2:6" x14ac:dyDescent="0.25">
      <c r="B875" t="s">
        <v>1055</v>
      </c>
      <c r="C875" t="s">
        <v>7047</v>
      </c>
      <c r="D875" t="s">
        <v>1061</v>
      </c>
      <c r="E875" t="s">
        <v>1062</v>
      </c>
      <c r="F875" s="40">
        <v>1</v>
      </c>
    </row>
    <row r="876" spans="2:6" x14ac:dyDescent="0.25">
      <c r="D876" t="s">
        <v>1041</v>
      </c>
      <c r="E876" t="s">
        <v>1042</v>
      </c>
      <c r="F876" s="40">
        <v>2</v>
      </c>
    </row>
    <row r="877" spans="2:6" x14ac:dyDescent="0.25">
      <c r="D877" t="s">
        <v>1038</v>
      </c>
      <c r="E877" t="s">
        <v>1039</v>
      </c>
      <c r="F877" s="40">
        <v>1</v>
      </c>
    </row>
    <row r="878" spans="2:6" x14ac:dyDescent="0.25">
      <c r="D878" t="s">
        <v>1035</v>
      </c>
      <c r="E878" t="s">
        <v>1036</v>
      </c>
      <c r="F878" s="40">
        <v>1</v>
      </c>
    </row>
    <row r="879" spans="2:6" x14ac:dyDescent="0.25">
      <c r="B879" t="s">
        <v>1097</v>
      </c>
      <c r="C879" t="s">
        <v>7047</v>
      </c>
      <c r="D879" t="s">
        <v>1105</v>
      </c>
      <c r="E879" t="s">
        <v>1106</v>
      </c>
      <c r="F879" s="40">
        <v>4</v>
      </c>
    </row>
    <row r="880" spans="2:6" x14ac:dyDescent="0.25">
      <c r="D880" t="s">
        <v>1102</v>
      </c>
      <c r="E880" t="s">
        <v>1103</v>
      </c>
      <c r="F880" s="40">
        <v>3</v>
      </c>
    </row>
    <row r="881" spans="2:6" x14ac:dyDescent="0.25">
      <c r="B881" t="s">
        <v>1116</v>
      </c>
      <c r="C881" t="s">
        <v>7047</v>
      </c>
      <c r="D881" t="s">
        <v>1125</v>
      </c>
      <c r="E881" t="s">
        <v>1126</v>
      </c>
      <c r="F881" s="40">
        <v>1</v>
      </c>
    </row>
    <row r="882" spans="2:6" x14ac:dyDescent="0.25">
      <c r="D882" t="s">
        <v>1038</v>
      </c>
      <c r="E882" t="s">
        <v>1039</v>
      </c>
      <c r="F882" s="40">
        <v>1</v>
      </c>
    </row>
    <row r="883" spans="2:6" x14ac:dyDescent="0.25">
      <c r="D883" t="s">
        <v>1121</v>
      </c>
      <c r="E883" t="s">
        <v>1122</v>
      </c>
      <c r="F883" s="40">
        <v>1</v>
      </c>
    </row>
    <row r="884" spans="2:6" x14ac:dyDescent="0.25">
      <c r="B884" t="s">
        <v>420</v>
      </c>
      <c r="C884" t="s">
        <v>7060</v>
      </c>
      <c r="D884" t="s">
        <v>433</v>
      </c>
      <c r="E884" t="s">
        <v>434</v>
      </c>
      <c r="F884" s="40">
        <v>1</v>
      </c>
    </row>
    <row r="885" spans="2:6" x14ac:dyDescent="0.25">
      <c r="D885" t="s">
        <v>304</v>
      </c>
      <c r="E885" t="s">
        <v>305</v>
      </c>
      <c r="F885" s="40">
        <v>4</v>
      </c>
    </row>
    <row r="886" spans="2:6" x14ac:dyDescent="0.25">
      <c r="D886" t="s">
        <v>442</v>
      </c>
      <c r="E886" t="s">
        <v>443</v>
      </c>
      <c r="F886" s="40">
        <v>3</v>
      </c>
    </row>
    <row r="887" spans="2:6" x14ac:dyDescent="0.25">
      <c r="D887" t="s">
        <v>445</v>
      </c>
      <c r="E887" t="s">
        <v>446</v>
      </c>
      <c r="F887" s="40">
        <v>3</v>
      </c>
    </row>
    <row r="888" spans="2:6" x14ac:dyDescent="0.25">
      <c r="D888" t="s">
        <v>430</v>
      </c>
      <c r="E888" t="s">
        <v>431</v>
      </c>
      <c r="F888" s="40">
        <v>1</v>
      </c>
    </row>
    <row r="889" spans="2:6" x14ac:dyDescent="0.25">
      <c r="D889" t="s">
        <v>268</v>
      </c>
      <c r="E889" t="s">
        <v>269</v>
      </c>
      <c r="F889" s="40">
        <v>6</v>
      </c>
    </row>
    <row r="890" spans="2:6" x14ac:dyDescent="0.25">
      <c r="D890" t="s">
        <v>439</v>
      </c>
      <c r="E890" t="s">
        <v>440</v>
      </c>
      <c r="F890" s="40">
        <v>3</v>
      </c>
    </row>
    <row r="891" spans="2:6" x14ac:dyDescent="0.25">
      <c r="D891" t="s">
        <v>460</v>
      </c>
      <c r="E891" t="s">
        <v>461</v>
      </c>
      <c r="F891" s="40">
        <v>6</v>
      </c>
    </row>
    <row r="892" spans="2:6" x14ac:dyDescent="0.25">
      <c r="D892" t="s">
        <v>464</v>
      </c>
      <c r="E892" t="s">
        <v>465</v>
      </c>
      <c r="F892" s="40">
        <v>4</v>
      </c>
    </row>
    <row r="893" spans="2:6" x14ac:dyDescent="0.25">
      <c r="D893" t="s">
        <v>436</v>
      </c>
      <c r="E893" t="s">
        <v>437</v>
      </c>
      <c r="F893" s="40">
        <v>1</v>
      </c>
    </row>
    <row r="894" spans="2:6" x14ac:dyDescent="0.25">
      <c r="D894" t="s">
        <v>448</v>
      </c>
      <c r="E894" t="s">
        <v>449</v>
      </c>
      <c r="F894" s="40">
        <v>1</v>
      </c>
    </row>
    <row r="895" spans="2:6" x14ac:dyDescent="0.25">
      <c r="B895" t="s">
        <v>472</v>
      </c>
      <c r="C895" t="s">
        <v>7060</v>
      </c>
      <c r="D895" t="s">
        <v>304</v>
      </c>
      <c r="E895" t="s">
        <v>305</v>
      </c>
      <c r="F895" s="40">
        <v>4</v>
      </c>
    </row>
    <row r="896" spans="2:6" x14ac:dyDescent="0.25">
      <c r="D896" t="s">
        <v>360</v>
      </c>
      <c r="E896" t="s">
        <v>361</v>
      </c>
      <c r="F896" s="40">
        <v>1</v>
      </c>
    </row>
    <row r="897" spans="2:6" x14ac:dyDescent="0.25">
      <c r="D897" t="s">
        <v>268</v>
      </c>
      <c r="E897" t="s">
        <v>269</v>
      </c>
      <c r="F897" s="40">
        <v>5</v>
      </c>
    </row>
    <row r="898" spans="2:6" x14ac:dyDescent="0.25">
      <c r="D898" t="s">
        <v>460</v>
      </c>
      <c r="E898" t="s">
        <v>461</v>
      </c>
      <c r="F898" s="40">
        <v>5</v>
      </c>
    </row>
    <row r="899" spans="2:6" x14ac:dyDescent="0.25">
      <c r="D899" t="s">
        <v>464</v>
      </c>
      <c r="E899" t="s">
        <v>465</v>
      </c>
      <c r="F899" s="40">
        <v>4</v>
      </c>
    </row>
    <row r="900" spans="2:6" x14ac:dyDescent="0.25">
      <c r="D900" t="s">
        <v>487</v>
      </c>
      <c r="E900" t="s">
        <v>488</v>
      </c>
      <c r="F900" s="40">
        <v>1</v>
      </c>
    </row>
    <row r="901" spans="2:6" x14ac:dyDescent="0.25">
      <c r="D901" t="s">
        <v>436</v>
      </c>
      <c r="E901" t="s">
        <v>437</v>
      </c>
      <c r="F901" s="40">
        <v>1</v>
      </c>
    </row>
    <row r="902" spans="2:6" x14ac:dyDescent="0.25">
      <c r="D902" t="s">
        <v>448</v>
      </c>
      <c r="E902" t="s">
        <v>449</v>
      </c>
      <c r="F902" s="40">
        <v>1</v>
      </c>
    </row>
    <row r="903" spans="2:6" x14ac:dyDescent="0.25">
      <c r="D903" t="s">
        <v>366</v>
      </c>
      <c r="E903" t="s">
        <v>367</v>
      </c>
      <c r="F903" s="40">
        <v>1</v>
      </c>
    </row>
    <row r="904" spans="2:6" x14ac:dyDescent="0.25">
      <c r="D904" t="s">
        <v>491</v>
      </c>
      <c r="E904" t="s">
        <v>492</v>
      </c>
      <c r="F904" s="40">
        <v>1</v>
      </c>
    </row>
    <row r="905" spans="2:6" x14ac:dyDescent="0.25">
      <c r="D905" t="s">
        <v>482</v>
      </c>
      <c r="E905" t="s">
        <v>483</v>
      </c>
      <c r="F905" s="40">
        <v>1</v>
      </c>
    </row>
    <row r="906" spans="2:6" x14ac:dyDescent="0.25">
      <c r="B906" t="s">
        <v>7847</v>
      </c>
      <c r="C906" t="s">
        <v>7060</v>
      </c>
      <c r="D906">
        <v>1938</v>
      </c>
      <c r="E906" t="s">
        <v>295</v>
      </c>
      <c r="F906" s="40">
        <v>2</v>
      </c>
    </row>
    <row r="907" spans="2:6" x14ac:dyDescent="0.25">
      <c r="D907" t="s">
        <v>304</v>
      </c>
      <c r="E907" t="s">
        <v>305</v>
      </c>
      <c r="F907" s="40">
        <v>3</v>
      </c>
    </row>
    <row r="908" spans="2:6" x14ac:dyDescent="0.25">
      <c r="D908" t="s">
        <v>301</v>
      </c>
      <c r="E908" t="s">
        <v>302</v>
      </c>
      <c r="F908" s="40">
        <v>3</v>
      </c>
    </row>
    <row r="909" spans="2:6" x14ac:dyDescent="0.25">
      <c r="D909" t="s">
        <v>297</v>
      </c>
      <c r="E909" t="s">
        <v>298</v>
      </c>
      <c r="F909" s="40">
        <v>3</v>
      </c>
    </row>
    <row r="910" spans="2:6" x14ac:dyDescent="0.25">
      <c r="D910" t="s">
        <v>307</v>
      </c>
      <c r="E910" t="s">
        <v>308</v>
      </c>
      <c r="F910" s="40">
        <v>3</v>
      </c>
    </row>
    <row r="911" spans="2:6" x14ac:dyDescent="0.25">
      <c r="D911" t="s">
        <v>310</v>
      </c>
      <c r="E911" t="s">
        <v>311</v>
      </c>
      <c r="F911" s="40">
        <v>1</v>
      </c>
    </row>
    <row r="912" spans="2:6" x14ac:dyDescent="0.25">
      <c r="B912" t="s">
        <v>7962</v>
      </c>
      <c r="C912" t="s">
        <v>7047</v>
      </c>
      <c r="D912" t="s">
        <v>938</v>
      </c>
      <c r="E912" t="s">
        <v>939</v>
      </c>
      <c r="F912" s="40">
        <v>2</v>
      </c>
    </row>
    <row r="913" spans="4:6" x14ac:dyDescent="0.25">
      <c r="D913" t="s">
        <v>920</v>
      </c>
      <c r="E913" t="s">
        <v>921</v>
      </c>
      <c r="F913" s="40">
        <v>2</v>
      </c>
    </row>
    <row r="914" spans="4:6" x14ac:dyDescent="0.25">
      <c r="D914" t="s">
        <v>927</v>
      </c>
      <c r="E914" t="s">
        <v>928</v>
      </c>
      <c r="F914" s="40">
        <v>8</v>
      </c>
    </row>
    <row r="915" spans="4:6" x14ac:dyDescent="0.25">
      <c r="D915" t="s">
        <v>236</v>
      </c>
      <c r="E915" t="s">
        <v>237</v>
      </c>
      <c r="F915" s="40">
        <v>8</v>
      </c>
    </row>
    <row r="916" spans="4:6" x14ac:dyDescent="0.25">
      <c r="D916" t="s">
        <v>1145</v>
      </c>
      <c r="E916" t="s">
        <v>1146</v>
      </c>
      <c r="F916" s="40">
        <v>6</v>
      </c>
    </row>
    <row r="917" spans="4:6" x14ac:dyDescent="0.25">
      <c r="D917" t="s">
        <v>944</v>
      </c>
      <c r="E917" t="s">
        <v>945</v>
      </c>
      <c r="F917" s="40">
        <v>2</v>
      </c>
    </row>
    <row r="918" spans="4:6" x14ac:dyDescent="0.25">
      <c r="D918" t="s">
        <v>1157</v>
      </c>
      <c r="E918" t="s">
        <v>1158</v>
      </c>
      <c r="F918" s="40">
        <v>2</v>
      </c>
    </row>
    <row r="919" spans="4:6" x14ac:dyDescent="0.25">
      <c r="D919" t="s">
        <v>246</v>
      </c>
      <c r="E919" t="s">
        <v>247</v>
      </c>
      <c r="F919" s="40">
        <v>8</v>
      </c>
    </row>
    <row r="920" spans="4:6" x14ac:dyDescent="0.25">
      <c r="D920" t="s">
        <v>219</v>
      </c>
      <c r="E920" t="s">
        <v>220</v>
      </c>
      <c r="F920" s="40">
        <v>4</v>
      </c>
    </row>
    <row r="921" spans="4:6" x14ac:dyDescent="0.25">
      <c r="D921" t="s">
        <v>216</v>
      </c>
      <c r="E921" t="s">
        <v>217</v>
      </c>
      <c r="F921" s="40">
        <v>18</v>
      </c>
    </row>
    <row r="922" spans="4:6" x14ac:dyDescent="0.25">
      <c r="D922" t="s">
        <v>442</v>
      </c>
      <c r="E922" t="s">
        <v>443</v>
      </c>
      <c r="F922" s="40">
        <v>4</v>
      </c>
    </row>
    <row r="923" spans="4:6" x14ac:dyDescent="0.25">
      <c r="D923" t="s">
        <v>941</v>
      </c>
      <c r="E923" t="s">
        <v>942</v>
      </c>
      <c r="F923" s="40">
        <v>18</v>
      </c>
    </row>
    <row r="924" spans="4:6" x14ac:dyDescent="0.25">
      <c r="D924" t="s">
        <v>1154</v>
      </c>
      <c r="E924" t="s">
        <v>1155</v>
      </c>
      <c r="F924" s="40">
        <v>12</v>
      </c>
    </row>
    <row r="925" spans="4:6" x14ac:dyDescent="0.25">
      <c r="D925" t="s">
        <v>1136</v>
      </c>
      <c r="E925" t="s">
        <v>1137</v>
      </c>
      <c r="F925" s="40">
        <v>2</v>
      </c>
    </row>
    <row r="926" spans="4:6" x14ac:dyDescent="0.25">
      <c r="D926" t="s">
        <v>566</v>
      </c>
      <c r="E926" t="s">
        <v>567</v>
      </c>
      <c r="F926" s="40">
        <v>6</v>
      </c>
    </row>
    <row r="927" spans="4:6" x14ac:dyDescent="0.25">
      <c r="D927" t="s">
        <v>910</v>
      </c>
      <c r="E927" t="s">
        <v>911</v>
      </c>
      <c r="F927" s="40">
        <v>4</v>
      </c>
    </row>
    <row r="928" spans="4:6" x14ac:dyDescent="0.25">
      <c r="D928" t="s">
        <v>915</v>
      </c>
      <c r="E928" t="s">
        <v>916</v>
      </c>
      <c r="F928" s="40">
        <v>6</v>
      </c>
    </row>
    <row r="929" spans="4:6" x14ac:dyDescent="0.25">
      <c r="D929" t="s">
        <v>935</v>
      </c>
      <c r="E929" t="s">
        <v>936</v>
      </c>
      <c r="F929" s="40">
        <v>2</v>
      </c>
    </row>
    <row r="930" spans="4:6" x14ac:dyDescent="0.25">
      <c r="D930" t="s">
        <v>924</v>
      </c>
      <c r="E930" t="s">
        <v>925</v>
      </c>
      <c r="F930" s="40">
        <v>4</v>
      </c>
    </row>
    <row r="931" spans="4:6" x14ac:dyDescent="0.25">
      <c r="D931" t="s">
        <v>583</v>
      </c>
      <c r="E931" t="s">
        <v>584</v>
      </c>
      <c r="F931" s="40">
        <v>12</v>
      </c>
    </row>
    <row r="932" spans="4:6" x14ac:dyDescent="0.25">
      <c r="D932" t="s">
        <v>907</v>
      </c>
      <c r="E932" t="s">
        <v>908</v>
      </c>
      <c r="F932" s="40">
        <v>4</v>
      </c>
    </row>
    <row r="933" spans="4:6" x14ac:dyDescent="0.25">
      <c r="D933" t="s">
        <v>932</v>
      </c>
      <c r="E933" t="s">
        <v>933</v>
      </c>
      <c r="F933" s="40">
        <v>2</v>
      </c>
    </row>
    <row r="934" spans="4:6" x14ac:dyDescent="0.25">
      <c r="D934" t="s">
        <v>226</v>
      </c>
      <c r="E934" t="s">
        <v>227</v>
      </c>
      <c r="F934" s="40">
        <v>26</v>
      </c>
    </row>
    <row r="935" spans="4:6" x14ac:dyDescent="0.25">
      <c r="D935" t="s">
        <v>904</v>
      </c>
      <c r="E935" t="s">
        <v>905</v>
      </c>
      <c r="F935" s="40">
        <v>6</v>
      </c>
    </row>
    <row r="936" spans="4:6" x14ac:dyDescent="0.25">
      <c r="D936" t="s">
        <v>947</v>
      </c>
      <c r="E936" t="s">
        <v>948</v>
      </c>
      <c r="F936" s="40">
        <v>8</v>
      </c>
    </row>
    <row r="937" spans="4:6" x14ac:dyDescent="0.25">
      <c r="D937" t="s">
        <v>460</v>
      </c>
      <c r="E937" t="s">
        <v>461</v>
      </c>
      <c r="F937" s="40">
        <v>12</v>
      </c>
    </row>
    <row r="938" spans="4:6" x14ac:dyDescent="0.25">
      <c r="D938" t="s">
        <v>464</v>
      </c>
      <c r="E938" t="s">
        <v>465</v>
      </c>
      <c r="F938" s="40">
        <v>4</v>
      </c>
    </row>
    <row r="939" spans="4:6" x14ac:dyDescent="0.25">
      <c r="D939" t="s">
        <v>950</v>
      </c>
      <c r="E939" t="s">
        <v>951</v>
      </c>
      <c r="F939" s="40">
        <v>20</v>
      </c>
    </row>
    <row r="940" spans="4:6" x14ac:dyDescent="0.25">
      <c r="D940" t="s">
        <v>230</v>
      </c>
      <c r="E940" t="s">
        <v>231</v>
      </c>
      <c r="F940" s="40">
        <v>6</v>
      </c>
    </row>
    <row r="941" spans="4:6" x14ac:dyDescent="0.25">
      <c r="D941" t="s">
        <v>1077</v>
      </c>
      <c r="E941" t="s">
        <v>1078</v>
      </c>
      <c r="F941" s="40">
        <v>3</v>
      </c>
    </row>
    <row r="942" spans="4:6" x14ac:dyDescent="0.25">
      <c r="D942" t="s">
        <v>1080</v>
      </c>
      <c r="E942" t="s">
        <v>1081</v>
      </c>
      <c r="F942" s="40">
        <v>1</v>
      </c>
    </row>
    <row r="943" spans="4:6" x14ac:dyDescent="0.25">
      <c r="D943" t="s">
        <v>1065</v>
      </c>
      <c r="E943" t="s">
        <v>1066</v>
      </c>
      <c r="F943" s="40">
        <v>2</v>
      </c>
    </row>
    <row r="944" spans="4:6" x14ac:dyDescent="0.25">
      <c r="D944" t="s">
        <v>901</v>
      </c>
      <c r="E944" t="s">
        <v>902</v>
      </c>
      <c r="F944" s="40">
        <v>1</v>
      </c>
    </row>
    <row r="945" spans="3:6" x14ac:dyDescent="0.25">
      <c r="C945" t="s">
        <v>1162</v>
      </c>
      <c r="D945" t="s">
        <v>1025</v>
      </c>
      <c r="E945" t="s">
        <v>1026</v>
      </c>
      <c r="F945" s="40">
        <v>8</v>
      </c>
    </row>
    <row r="946" spans="3:6" x14ac:dyDescent="0.25">
      <c r="D946" t="s">
        <v>219</v>
      </c>
      <c r="E946" t="s">
        <v>220</v>
      </c>
      <c r="F946" s="40">
        <v>5</v>
      </c>
    </row>
    <row r="947" spans="3:6" x14ac:dyDescent="0.25">
      <c r="D947" t="s">
        <v>1309</v>
      </c>
      <c r="E947" t="s">
        <v>1310</v>
      </c>
      <c r="F947" s="40">
        <v>4</v>
      </c>
    </row>
    <row r="948" spans="3:6" x14ac:dyDescent="0.25">
      <c r="D948" t="s">
        <v>1008</v>
      </c>
      <c r="E948" t="s">
        <v>1009</v>
      </c>
      <c r="F948" s="40">
        <v>4</v>
      </c>
    </row>
    <row r="949" spans="3:6" x14ac:dyDescent="0.25">
      <c r="D949" t="s">
        <v>226</v>
      </c>
      <c r="E949" t="s">
        <v>227</v>
      </c>
      <c r="F949" s="40">
        <v>4</v>
      </c>
    </row>
    <row r="950" spans="3:6" x14ac:dyDescent="0.25">
      <c r="C950" t="s">
        <v>1314</v>
      </c>
      <c r="D950" t="s">
        <v>1590</v>
      </c>
      <c r="E950" t="s">
        <v>1591</v>
      </c>
      <c r="F950" s="40">
        <v>1</v>
      </c>
    </row>
    <row r="951" spans="3:6" x14ac:dyDescent="0.25">
      <c r="D951" t="s">
        <v>1157</v>
      </c>
      <c r="E951" t="s">
        <v>1158</v>
      </c>
      <c r="F951" s="40">
        <v>1</v>
      </c>
    </row>
    <row r="952" spans="3:6" x14ac:dyDescent="0.25">
      <c r="D952" t="s">
        <v>941</v>
      </c>
      <c r="E952" t="s">
        <v>942</v>
      </c>
      <c r="F952" s="40">
        <v>4</v>
      </c>
    </row>
    <row r="953" spans="3:6" x14ac:dyDescent="0.25">
      <c r="D953" t="s">
        <v>563</v>
      </c>
      <c r="E953" t="s">
        <v>564</v>
      </c>
      <c r="F953" s="40">
        <v>11</v>
      </c>
    </row>
    <row r="954" spans="3:6" x14ac:dyDescent="0.25">
      <c r="D954" t="s">
        <v>519</v>
      </c>
      <c r="E954" t="s">
        <v>520</v>
      </c>
      <c r="F954" s="40">
        <v>6</v>
      </c>
    </row>
    <row r="955" spans="3:6" x14ac:dyDescent="0.25">
      <c r="D955" t="s">
        <v>297</v>
      </c>
      <c r="E955" t="s">
        <v>298</v>
      </c>
      <c r="F955" s="40">
        <v>3</v>
      </c>
    </row>
    <row r="956" spans="3:6" x14ac:dyDescent="0.25">
      <c r="D956" t="s">
        <v>226</v>
      </c>
      <c r="E956" t="s">
        <v>227</v>
      </c>
      <c r="F956" s="40">
        <v>4</v>
      </c>
    </row>
    <row r="957" spans="3:6" x14ac:dyDescent="0.25">
      <c r="D957" t="s">
        <v>904</v>
      </c>
      <c r="E957" t="s">
        <v>905</v>
      </c>
      <c r="F957" s="40">
        <v>1</v>
      </c>
    </row>
    <row r="958" spans="3:6" x14ac:dyDescent="0.25">
      <c r="D958" t="s">
        <v>265</v>
      </c>
      <c r="E958" t="s">
        <v>266</v>
      </c>
      <c r="F958" s="40">
        <v>15</v>
      </c>
    </row>
    <row r="959" spans="3:6" x14ac:dyDescent="0.25">
      <c r="D959" t="s">
        <v>460</v>
      </c>
      <c r="E959" t="s">
        <v>461</v>
      </c>
      <c r="F959" s="40">
        <v>6</v>
      </c>
    </row>
    <row r="960" spans="3:6" x14ac:dyDescent="0.25">
      <c r="D960" t="s">
        <v>464</v>
      </c>
      <c r="E960" t="s">
        <v>465</v>
      </c>
      <c r="F960" s="40">
        <v>9</v>
      </c>
    </row>
    <row r="961" spans="3:6" x14ac:dyDescent="0.25">
      <c r="D961" t="s">
        <v>255</v>
      </c>
      <c r="E961" t="s">
        <v>1463</v>
      </c>
      <c r="F961" s="40">
        <v>1</v>
      </c>
    </row>
    <row r="962" spans="3:6" x14ac:dyDescent="0.25">
      <c r="C962" t="s">
        <v>7048</v>
      </c>
      <c r="D962" t="s">
        <v>239</v>
      </c>
      <c r="E962" t="s">
        <v>240</v>
      </c>
      <c r="F962" s="40">
        <v>64</v>
      </c>
    </row>
    <row r="963" spans="3:6" x14ac:dyDescent="0.25">
      <c r="D963" t="s">
        <v>208</v>
      </c>
      <c r="E963" t="s">
        <v>209</v>
      </c>
      <c r="F963" s="40">
        <v>77</v>
      </c>
    </row>
    <row r="964" spans="3:6" x14ac:dyDescent="0.25">
      <c r="D964" t="s">
        <v>236</v>
      </c>
      <c r="E964" t="s">
        <v>237</v>
      </c>
      <c r="F964" s="40">
        <v>9</v>
      </c>
    </row>
    <row r="965" spans="3:6" x14ac:dyDescent="0.25">
      <c r="D965" t="s">
        <v>233</v>
      </c>
      <c r="E965" t="s">
        <v>234</v>
      </c>
      <c r="F965" s="40">
        <v>16</v>
      </c>
    </row>
    <row r="966" spans="3:6" x14ac:dyDescent="0.25">
      <c r="D966" t="s">
        <v>246</v>
      </c>
      <c r="E966" t="s">
        <v>247</v>
      </c>
      <c r="F966" s="40">
        <v>4</v>
      </c>
    </row>
    <row r="967" spans="3:6" x14ac:dyDescent="0.25">
      <c r="D967" t="s">
        <v>219</v>
      </c>
      <c r="E967" t="s">
        <v>220</v>
      </c>
      <c r="F967" s="40">
        <v>4</v>
      </c>
    </row>
    <row r="968" spans="3:6" x14ac:dyDescent="0.25">
      <c r="D968" t="s">
        <v>216</v>
      </c>
      <c r="E968" t="s">
        <v>217</v>
      </c>
      <c r="F968" s="40">
        <v>35</v>
      </c>
    </row>
    <row r="969" spans="3:6" x14ac:dyDescent="0.25">
      <c r="D969" t="s">
        <v>226</v>
      </c>
      <c r="E969" t="s">
        <v>227</v>
      </c>
      <c r="F969" s="40">
        <v>64</v>
      </c>
    </row>
    <row r="970" spans="3:6" x14ac:dyDescent="0.25">
      <c r="D970" t="s">
        <v>212</v>
      </c>
      <c r="E970" t="s">
        <v>213</v>
      </c>
      <c r="F970" s="40">
        <v>24</v>
      </c>
    </row>
    <row r="971" spans="3:6" x14ac:dyDescent="0.25">
      <c r="D971" t="s">
        <v>222</v>
      </c>
      <c r="E971" t="s">
        <v>223</v>
      </c>
      <c r="F971" s="40">
        <v>10</v>
      </c>
    </row>
    <row r="972" spans="3:6" x14ac:dyDescent="0.25">
      <c r="D972" t="s">
        <v>230</v>
      </c>
      <c r="E972" t="s">
        <v>231</v>
      </c>
      <c r="F972" s="40">
        <v>27</v>
      </c>
    </row>
    <row r="973" spans="3:6" x14ac:dyDescent="0.25">
      <c r="C973" t="s">
        <v>7098</v>
      </c>
      <c r="D973" t="s">
        <v>545</v>
      </c>
      <c r="E973" t="s">
        <v>546</v>
      </c>
      <c r="F973" s="40">
        <v>1</v>
      </c>
    </row>
    <row r="974" spans="3:6" x14ac:dyDescent="0.25">
      <c r="D974" t="s">
        <v>304</v>
      </c>
      <c r="E974" t="s">
        <v>305</v>
      </c>
      <c r="F974" s="40">
        <v>3</v>
      </c>
    </row>
    <row r="975" spans="3:6" x14ac:dyDescent="0.25">
      <c r="D975" t="s">
        <v>586</v>
      </c>
      <c r="E975" t="s">
        <v>587</v>
      </c>
      <c r="F975" s="40">
        <v>8</v>
      </c>
    </row>
    <row r="976" spans="3:6" x14ac:dyDescent="0.25">
      <c r="D976" t="s">
        <v>301</v>
      </c>
      <c r="E976" t="s">
        <v>302</v>
      </c>
      <c r="F976" s="40">
        <v>2</v>
      </c>
    </row>
    <row r="977" spans="3:6" x14ac:dyDescent="0.25">
      <c r="D977" t="s">
        <v>580</v>
      </c>
      <c r="E977" t="s">
        <v>581</v>
      </c>
      <c r="F977" s="40">
        <v>6</v>
      </c>
    </row>
    <row r="978" spans="3:6" x14ac:dyDescent="0.25">
      <c r="D978" t="s">
        <v>569</v>
      </c>
      <c r="E978" t="s">
        <v>570</v>
      </c>
      <c r="F978" s="40">
        <v>4</v>
      </c>
    </row>
    <row r="979" spans="3:6" x14ac:dyDescent="0.25">
      <c r="D979" t="s">
        <v>563</v>
      </c>
      <c r="E979" t="s">
        <v>564</v>
      </c>
      <c r="F979" s="40">
        <v>3</v>
      </c>
    </row>
    <row r="980" spans="3:6" x14ac:dyDescent="0.25">
      <c r="D980" t="s">
        <v>566</v>
      </c>
      <c r="E980" t="s">
        <v>567</v>
      </c>
      <c r="F980" s="40">
        <v>5</v>
      </c>
    </row>
    <row r="981" spans="3:6" x14ac:dyDescent="0.25">
      <c r="D981" t="s">
        <v>583</v>
      </c>
      <c r="E981" t="s">
        <v>584</v>
      </c>
      <c r="F981" s="40">
        <v>8</v>
      </c>
    </row>
    <row r="982" spans="3:6" x14ac:dyDescent="0.25">
      <c r="D982" t="s">
        <v>577</v>
      </c>
      <c r="E982" t="s">
        <v>578</v>
      </c>
      <c r="F982" s="40">
        <v>3</v>
      </c>
    </row>
    <row r="983" spans="3:6" x14ac:dyDescent="0.25">
      <c r="D983" t="s">
        <v>609</v>
      </c>
      <c r="E983" t="s">
        <v>610</v>
      </c>
      <c r="F983" s="40">
        <v>3</v>
      </c>
    </row>
    <row r="984" spans="3:6" x14ac:dyDescent="0.25">
      <c r="D984" t="s">
        <v>460</v>
      </c>
      <c r="E984" t="s">
        <v>461</v>
      </c>
      <c r="F984" s="40">
        <v>8</v>
      </c>
    </row>
    <row r="985" spans="3:6" x14ac:dyDescent="0.25">
      <c r="D985" t="s">
        <v>572</v>
      </c>
      <c r="E985" t="s">
        <v>7808</v>
      </c>
      <c r="F985" s="40">
        <v>1</v>
      </c>
    </row>
    <row r="986" spans="3:6" x14ac:dyDescent="0.25">
      <c r="D986" t="s">
        <v>574</v>
      </c>
      <c r="E986" t="s">
        <v>575</v>
      </c>
      <c r="F986" s="40">
        <v>1</v>
      </c>
    </row>
    <row r="987" spans="3:6" x14ac:dyDescent="0.25">
      <c r="C987" t="s">
        <v>7060</v>
      </c>
      <c r="D987" t="s">
        <v>304</v>
      </c>
      <c r="E987" t="s">
        <v>305</v>
      </c>
      <c r="F987" s="40">
        <v>4</v>
      </c>
    </row>
    <row r="988" spans="3:6" x14ac:dyDescent="0.25">
      <c r="D988" t="s">
        <v>519</v>
      </c>
      <c r="E988" t="s">
        <v>520</v>
      </c>
      <c r="F988" s="40">
        <v>19</v>
      </c>
    </row>
    <row r="989" spans="3:6" x14ac:dyDescent="0.25">
      <c r="D989" t="s">
        <v>512</v>
      </c>
      <c r="E989" t="s">
        <v>513</v>
      </c>
      <c r="F989" s="40">
        <v>4</v>
      </c>
    </row>
    <row r="990" spans="3:6" x14ac:dyDescent="0.25">
      <c r="D990" t="s">
        <v>516</v>
      </c>
      <c r="E990" t="s">
        <v>517</v>
      </c>
      <c r="F990" s="40">
        <v>1</v>
      </c>
    </row>
    <row r="991" spans="3:6" x14ac:dyDescent="0.25">
      <c r="C991" t="s">
        <v>7140</v>
      </c>
      <c r="D991" t="s">
        <v>1025</v>
      </c>
      <c r="E991" t="s">
        <v>1026</v>
      </c>
      <c r="F991" s="40">
        <v>8</v>
      </c>
    </row>
    <row r="992" spans="3:6" x14ac:dyDescent="0.25">
      <c r="D992" t="s">
        <v>1022</v>
      </c>
      <c r="E992" t="s">
        <v>1023</v>
      </c>
      <c r="F992" s="40">
        <v>4</v>
      </c>
    </row>
    <row r="993" spans="1:6" x14ac:dyDescent="0.25">
      <c r="D993" t="s">
        <v>915</v>
      </c>
      <c r="E993" t="s">
        <v>916</v>
      </c>
      <c r="F993" s="40">
        <v>4</v>
      </c>
    </row>
    <row r="994" spans="1:6" x14ac:dyDescent="0.25">
      <c r="D994" t="s">
        <v>1008</v>
      </c>
      <c r="E994" t="s">
        <v>1009</v>
      </c>
      <c r="F994" s="40">
        <v>8</v>
      </c>
    </row>
    <row r="995" spans="1:6" x14ac:dyDescent="0.25">
      <c r="D995" t="s">
        <v>1011</v>
      </c>
      <c r="E995" t="s">
        <v>1012</v>
      </c>
      <c r="F995" s="40">
        <v>12</v>
      </c>
    </row>
    <row r="996" spans="1:6" x14ac:dyDescent="0.25">
      <c r="D996" t="s">
        <v>984</v>
      </c>
      <c r="E996" t="s">
        <v>985</v>
      </c>
      <c r="F996" s="40">
        <v>4</v>
      </c>
    </row>
    <row r="997" spans="1:6" x14ac:dyDescent="0.25">
      <c r="D997" t="s">
        <v>959</v>
      </c>
      <c r="E997" t="s">
        <v>960</v>
      </c>
      <c r="F997" s="40">
        <v>1</v>
      </c>
    </row>
    <row r="998" spans="1:6" x14ac:dyDescent="0.25">
      <c r="D998" t="s">
        <v>962</v>
      </c>
      <c r="E998" t="s">
        <v>960</v>
      </c>
      <c r="F998" s="40">
        <v>2</v>
      </c>
    </row>
    <row r="999" spans="1:6" x14ac:dyDescent="0.25">
      <c r="D999" t="s">
        <v>956</v>
      </c>
      <c r="E999" t="s">
        <v>957</v>
      </c>
      <c r="F999" s="40">
        <v>1</v>
      </c>
    </row>
    <row r="1000" spans="1:6" x14ac:dyDescent="0.25">
      <c r="A1000" t="s">
        <v>7848</v>
      </c>
      <c r="F1000" s="40">
        <v>1125</v>
      </c>
    </row>
    <row r="1001" spans="1:6" x14ac:dyDescent="0.25">
      <c r="A1001" t="s">
        <v>7676</v>
      </c>
      <c r="B1001" t="s">
        <v>614</v>
      </c>
      <c r="C1001" t="s">
        <v>7603</v>
      </c>
      <c r="D1001" t="s">
        <v>596</v>
      </c>
      <c r="E1001" t="s">
        <v>597</v>
      </c>
      <c r="F1001" s="40">
        <v>1</v>
      </c>
    </row>
    <row r="1002" spans="1:6" x14ac:dyDescent="0.25">
      <c r="C1002" t="s">
        <v>7648</v>
      </c>
      <c r="D1002" t="s">
        <v>596</v>
      </c>
      <c r="E1002" t="s">
        <v>597</v>
      </c>
      <c r="F1002" s="40">
        <v>1</v>
      </c>
    </row>
    <row r="1003" spans="1:6" x14ac:dyDescent="0.25">
      <c r="C1003" t="s">
        <v>7607</v>
      </c>
      <c r="D1003" t="s">
        <v>596</v>
      </c>
      <c r="E1003" t="s">
        <v>597</v>
      </c>
      <c r="F1003" s="40">
        <v>1</v>
      </c>
    </row>
    <row r="1004" spans="1:6" x14ac:dyDescent="0.25">
      <c r="C1004" t="s">
        <v>7611</v>
      </c>
      <c r="D1004" t="s">
        <v>596</v>
      </c>
      <c r="E1004" t="s">
        <v>597</v>
      </c>
      <c r="F1004" s="40">
        <v>1</v>
      </c>
    </row>
    <row r="1005" spans="1:6" x14ac:dyDescent="0.25">
      <c r="B1005" t="s">
        <v>589</v>
      </c>
      <c r="C1005" t="s">
        <v>7603</v>
      </c>
      <c r="D1005" t="s">
        <v>592</v>
      </c>
      <c r="E1005" t="s">
        <v>593</v>
      </c>
      <c r="F1005" s="40">
        <v>2</v>
      </c>
    </row>
    <row r="1006" spans="1:6" x14ac:dyDescent="0.25">
      <c r="D1006" t="s">
        <v>596</v>
      </c>
      <c r="E1006" t="s">
        <v>597</v>
      </c>
      <c r="F1006" s="40">
        <v>1</v>
      </c>
    </row>
    <row r="1007" spans="1:6" x14ac:dyDescent="0.25">
      <c r="B1007" t="s">
        <v>6922</v>
      </c>
      <c r="C1007" t="s">
        <v>7648</v>
      </c>
      <c r="D1007" t="s">
        <v>268</v>
      </c>
      <c r="E1007" t="s">
        <v>269</v>
      </c>
      <c r="F1007" s="40">
        <v>2</v>
      </c>
    </row>
    <row r="1008" spans="1:6" x14ac:dyDescent="0.25">
      <c r="D1008" t="s">
        <v>6928</v>
      </c>
      <c r="E1008" t="s">
        <v>6929</v>
      </c>
      <c r="F1008" s="40">
        <v>1</v>
      </c>
    </row>
    <row r="1009" spans="2:6" x14ac:dyDescent="0.25">
      <c r="D1009" t="s">
        <v>6925</v>
      </c>
      <c r="E1009" t="s">
        <v>6926</v>
      </c>
      <c r="F1009" s="40">
        <v>1</v>
      </c>
    </row>
    <row r="1010" spans="2:6" x14ac:dyDescent="0.25">
      <c r="D1010" t="s">
        <v>4373</v>
      </c>
      <c r="E1010" t="s">
        <v>4374</v>
      </c>
      <c r="F1010" s="40">
        <v>1</v>
      </c>
    </row>
    <row r="1011" spans="2:6" x14ac:dyDescent="0.25">
      <c r="B1011" t="s">
        <v>6834</v>
      </c>
      <c r="C1011" t="s">
        <v>7648</v>
      </c>
      <c r="D1011">
        <v>615250</v>
      </c>
      <c r="E1011" t="s">
        <v>6871</v>
      </c>
      <c r="F1011" s="40">
        <v>2</v>
      </c>
    </row>
    <row r="1012" spans="2:6" x14ac:dyDescent="0.25">
      <c r="D1012" t="s">
        <v>6910</v>
      </c>
      <c r="E1012" t="s">
        <v>6911</v>
      </c>
      <c r="F1012" s="40">
        <v>1</v>
      </c>
    </row>
    <row r="1013" spans="2:6" x14ac:dyDescent="0.25">
      <c r="D1013" t="s">
        <v>2586</v>
      </c>
      <c r="E1013" t="s">
        <v>2587</v>
      </c>
      <c r="F1013" s="40">
        <v>1</v>
      </c>
    </row>
    <row r="1014" spans="2:6" x14ac:dyDescent="0.25">
      <c r="D1014" t="s">
        <v>3974</v>
      </c>
      <c r="E1014" t="s">
        <v>3975</v>
      </c>
      <c r="F1014" s="40">
        <v>2</v>
      </c>
    </row>
    <row r="1015" spans="2:6" x14ac:dyDescent="0.25">
      <c r="D1015" t="s">
        <v>580</v>
      </c>
      <c r="E1015" t="s">
        <v>581</v>
      </c>
      <c r="F1015" s="40">
        <v>4</v>
      </c>
    </row>
    <row r="1016" spans="2:6" x14ac:dyDescent="0.25">
      <c r="D1016" t="s">
        <v>1921</v>
      </c>
      <c r="E1016" t="s">
        <v>1922</v>
      </c>
      <c r="F1016" s="40">
        <v>3</v>
      </c>
    </row>
    <row r="1017" spans="2:6" x14ac:dyDescent="0.25">
      <c r="D1017" t="s">
        <v>6893</v>
      </c>
      <c r="E1017" t="s">
        <v>6894</v>
      </c>
      <c r="F1017" s="40">
        <v>1</v>
      </c>
    </row>
    <row r="1018" spans="2:6" x14ac:dyDescent="0.25">
      <c r="D1018" t="s">
        <v>5749</v>
      </c>
      <c r="E1018" t="s">
        <v>5750</v>
      </c>
      <c r="F1018" s="40">
        <v>1</v>
      </c>
    </row>
    <row r="1019" spans="2:6" x14ac:dyDescent="0.25">
      <c r="D1019" t="s">
        <v>5814</v>
      </c>
      <c r="E1019" t="s">
        <v>5815</v>
      </c>
      <c r="F1019" s="40">
        <v>1</v>
      </c>
    </row>
    <row r="1020" spans="2:6" x14ac:dyDescent="0.25">
      <c r="D1020" t="s">
        <v>5843</v>
      </c>
      <c r="E1020" t="s">
        <v>5844</v>
      </c>
      <c r="F1020" s="40">
        <v>1</v>
      </c>
    </row>
    <row r="1021" spans="2:6" x14ac:dyDescent="0.25">
      <c r="D1021" t="s">
        <v>609</v>
      </c>
      <c r="E1021" t="s">
        <v>610</v>
      </c>
      <c r="F1021" s="40">
        <v>2</v>
      </c>
    </row>
    <row r="1022" spans="2:6" x14ac:dyDescent="0.25">
      <c r="D1022" t="s">
        <v>6903</v>
      </c>
      <c r="E1022" t="s">
        <v>6904</v>
      </c>
      <c r="F1022" s="40">
        <v>1</v>
      </c>
    </row>
    <row r="1023" spans="2:6" x14ac:dyDescent="0.25">
      <c r="D1023" t="s">
        <v>6888</v>
      </c>
      <c r="E1023" t="s">
        <v>6889</v>
      </c>
      <c r="F1023" s="40">
        <v>1</v>
      </c>
    </row>
    <row r="1024" spans="2:6" x14ac:dyDescent="0.25">
      <c r="D1024" t="s">
        <v>5107</v>
      </c>
      <c r="E1024" t="s">
        <v>5108</v>
      </c>
      <c r="F1024" s="40">
        <v>1</v>
      </c>
    </row>
    <row r="1025" spans="2:6" x14ac:dyDescent="0.25">
      <c r="D1025" t="s">
        <v>2204</v>
      </c>
      <c r="E1025" t="s">
        <v>2205</v>
      </c>
      <c r="F1025" s="40">
        <v>1</v>
      </c>
    </row>
    <row r="1026" spans="2:6" x14ac:dyDescent="0.25">
      <c r="D1026" t="s">
        <v>6876</v>
      </c>
      <c r="E1026" t="s">
        <v>6877</v>
      </c>
      <c r="F1026" s="40">
        <v>1</v>
      </c>
    </row>
    <row r="1027" spans="2:6" x14ac:dyDescent="0.25">
      <c r="D1027" t="s">
        <v>6873</v>
      </c>
      <c r="E1027" t="s">
        <v>6874</v>
      </c>
      <c r="F1027" s="40">
        <v>1</v>
      </c>
    </row>
    <row r="1028" spans="2:6" x14ac:dyDescent="0.25">
      <c r="D1028" t="s">
        <v>6896</v>
      </c>
      <c r="E1028" t="s">
        <v>6897</v>
      </c>
      <c r="F1028" s="40">
        <v>1</v>
      </c>
    </row>
    <row r="1029" spans="2:6" x14ac:dyDescent="0.25">
      <c r="B1029" t="s">
        <v>7949</v>
      </c>
      <c r="C1029" t="s">
        <v>7648</v>
      </c>
      <c r="D1029" t="s">
        <v>5053</v>
      </c>
      <c r="E1029" t="s">
        <v>5054</v>
      </c>
      <c r="F1029" s="40">
        <v>1</v>
      </c>
    </row>
    <row r="1030" spans="2:6" x14ac:dyDescent="0.25">
      <c r="D1030" t="s">
        <v>268</v>
      </c>
      <c r="E1030" t="s">
        <v>269</v>
      </c>
      <c r="F1030" s="40">
        <v>1</v>
      </c>
    </row>
    <row r="1031" spans="2:6" x14ac:dyDescent="0.25">
      <c r="B1031" t="s">
        <v>7951</v>
      </c>
      <c r="C1031" t="s">
        <v>7648</v>
      </c>
      <c r="D1031" t="s">
        <v>265</v>
      </c>
      <c r="E1031" t="s">
        <v>266</v>
      </c>
      <c r="F1031" s="40">
        <v>1</v>
      </c>
    </row>
    <row r="1032" spans="2:6" x14ac:dyDescent="0.25">
      <c r="B1032" t="s">
        <v>7950</v>
      </c>
      <c r="C1032" t="s">
        <v>7648</v>
      </c>
      <c r="D1032" t="s">
        <v>268</v>
      </c>
      <c r="E1032" t="s">
        <v>269</v>
      </c>
      <c r="F1032" s="40">
        <v>1</v>
      </c>
    </row>
    <row r="1033" spans="2:6" x14ac:dyDescent="0.25">
      <c r="D1033" t="s">
        <v>265</v>
      </c>
      <c r="E1033" t="s">
        <v>266</v>
      </c>
      <c r="F1033" s="40">
        <v>2</v>
      </c>
    </row>
    <row r="1034" spans="2:6" x14ac:dyDescent="0.25">
      <c r="B1034" t="s">
        <v>7948</v>
      </c>
      <c r="C1034" t="s">
        <v>7648</v>
      </c>
      <c r="D1034" t="s">
        <v>5053</v>
      </c>
      <c r="E1034" t="s">
        <v>5054</v>
      </c>
      <c r="F1034" s="40">
        <v>1</v>
      </c>
    </row>
    <row r="1035" spans="2:6" x14ac:dyDescent="0.25">
      <c r="D1035" t="s">
        <v>439</v>
      </c>
      <c r="E1035" t="s">
        <v>440</v>
      </c>
      <c r="F1035" s="40">
        <v>1</v>
      </c>
    </row>
    <row r="1036" spans="2:6" x14ac:dyDescent="0.25">
      <c r="D1036" t="s">
        <v>265</v>
      </c>
      <c r="E1036" t="s">
        <v>266</v>
      </c>
      <c r="F1036" s="40">
        <v>8</v>
      </c>
    </row>
    <row r="1037" spans="2:6" x14ac:dyDescent="0.25">
      <c r="B1037" t="s">
        <v>5941</v>
      </c>
      <c r="C1037" t="s">
        <v>7604</v>
      </c>
      <c r="D1037" t="s">
        <v>583</v>
      </c>
      <c r="E1037" t="s">
        <v>584</v>
      </c>
      <c r="F1037" s="40">
        <v>4</v>
      </c>
    </row>
    <row r="1038" spans="2:6" x14ac:dyDescent="0.25">
      <c r="D1038" t="s">
        <v>460</v>
      </c>
      <c r="E1038" t="s">
        <v>461</v>
      </c>
      <c r="F1038" s="40">
        <v>8</v>
      </c>
    </row>
    <row r="1039" spans="2:6" x14ac:dyDescent="0.25">
      <c r="B1039" t="s">
        <v>7945</v>
      </c>
      <c r="C1039" t="s">
        <v>7604</v>
      </c>
      <c r="D1039" t="s">
        <v>596</v>
      </c>
      <c r="E1039" t="s">
        <v>597</v>
      </c>
      <c r="F1039" s="40">
        <v>1</v>
      </c>
    </row>
    <row r="1040" spans="2:6" x14ac:dyDescent="0.25">
      <c r="B1040" t="s">
        <v>6985</v>
      </c>
      <c r="C1040" t="s">
        <v>7664</v>
      </c>
      <c r="D1040" t="s">
        <v>5724</v>
      </c>
      <c r="E1040" t="s">
        <v>5725</v>
      </c>
      <c r="F1040" s="40">
        <v>1</v>
      </c>
    </row>
    <row r="1041" spans="2:6" x14ac:dyDescent="0.25">
      <c r="D1041" t="s">
        <v>2586</v>
      </c>
      <c r="E1041" t="s">
        <v>2587</v>
      </c>
      <c r="F1041" s="40">
        <v>2</v>
      </c>
    </row>
    <row r="1042" spans="2:6" x14ac:dyDescent="0.25">
      <c r="D1042" t="s">
        <v>7018</v>
      </c>
      <c r="E1042" t="s">
        <v>911</v>
      </c>
      <c r="F1042" s="40">
        <v>5</v>
      </c>
    </row>
    <row r="1043" spans="2:6" x14ac:dyDescent="0.25">
      <c r="D1043" t="s">
        <v>7010</v>
      </c>
      <c r="E1043" t="s">
        <v>7011</v>
      </c>
      <c r="F1043" s="40">
        <v>1</v>
      </c>
    </row>
    <row r="1044" spans="2:6" x14ac:dyDescent="0.25">
      <c r="D1044" t="s">
        <v>7007</v>
      </c>
      <c r="E1044" t="s">
        <v>7008</v>
      </c>
      <c r="F1044" s="40">
        <v>2</v>
      </c>
    </row>
    <row r="1045" spans="2:6" x14ac:dyDescent="0.25">
      <c r="D1045" t="s">
        <v>6314</v>
      </c>
      <c r="E1045" t="s">
        <v>6315</v>
      </c>
      <c r="F1045" s="40">
        <v>2</v>
      </c>
    </row>
    <row r="1046" spans="2:6" x14ac:dyDescent="0.25">
      <c r="D1046" t="s">
        <v>7013</v>
      </c>
      <c r="E1046" t="s">
        <v>7014</v>
      </c>
      <c r="F1046" s="40">
        <v>1</v>
      </c>
    </row>
    <row r="1047" spans="2:6" x14ac:dyDescent="0.25">
      <c r="B1047" t="s">
        <v>6949</v>
      </c>
      <c r="C1047" t="s">
        <v>7664</v>
      </c>
      <c r="D1047" t="s">
        <v>442</v>
      </c>
      <c r="E1047" t="s">
        <v>443</v>
      </c>
      <c r="F1047" s="40">
        <v>2</v>
      </c>
    </row>
    <row r="1048" spans="2:6" x14ac:dyDescent="0.25">
      <c r="D1048" t="s">
        <v>6735</v>
      </c>
      <c r="E1048" t="s">
        <v>6736</v>
      </c>
      <c r="F1048" s="40">
        <v>1</v>
      </c>
    </row>
    <row r="1049" spans="2:6" x14ac:dyDescent="0.25">
      <c r="D1049" t="s">
        <v>5536</v>
      </c>
      <c r="E1049" t="s">
        <v>5537</v>
      </c>
      <c r="F1049" s="40">
        <v>2</v>
      </c>
    </row>
    <row r="1050" spans="2:6" x14ac:dyDescent="0.25">
      <c r="B1050" t="s">
        <v>7952</v>
      </c>
      <c r="C1050" t="s">
        <v>7664</v>
      </c>
      <c r="D1050" t="s">
        <v>4251</v>
      </c>
      <c r="E1050" t="s">
        <v>4252</v>
      </c>
      <c r="F1050" s="40">
        <v>2</v>
      </c>
    </row>
    <row r="1051" spans="2:6" x14ac:dyDescent="0.25">
      <c r="D1051" t="s">
        <v>439</v>
      </c>
      <c r="E1051" t="s">
        <v>440</v>
      </c>
      <c r="F1051" s="40">
        <v>2</v>
      </c>
    </row>
    <row r="1052" spans="2:6" x14ac:dyDescent="0.25">
      <c r="D1052" t="s">
        <v>265</v>
      </c>
      <c r="E1052" t="s">
        <v>266</v>
      </c>
      <c r="F1052" s="40">
        <v>1</v>
      </c>
    </row>
    <row r="1053" spans="2:6" x14ac:dyDescent="0.25">
      <c r="B1053" t="s">
        <v>6969</v>
      </c>
      <c r="C1053" t="s">
        <v>7664</v>
      </c>
      <c r="D1053" t="s">
        <v>4678</v>
      </c>
      <c r="E1053" t="s">
        <v>4679</v>
      </c>
      <c r="F1053" s="40">
        <v>1</v>
      </c>
    </row>
    <row r="1054" spans="2:6" x14ac:dyDescent="0.25">
      <c r="D1054" t="s">
        <v>4248</v>
      </c>
      <c r="E1054" t="s">
        <v>4249</v>
      </c>
      <c r="F1054" s="40">
        <v>2</v>
      </c>
    </row>
    <row r="1055" spans="2:6" x14ac:dyDescent="0.25">
      <c r="D1055" t="s">
        <v>5843</v>
      </c>
      <c r="E1055" t="s">
        <v>5844</v>
      </c>
      <c r="F1055" s="40">
        <v>1</v>
      </c>
    </row>
    <row r="1056" spans="2:6" x14ac:dyDescent="0.25">
      <c r="D1056" t="s">
        <v>6979</v>
      </c>
      <c r="E1056" t="s">
        <v>6980</v>
      </c>
      <c r="F1056" s="40">
        <v>1</v>
      </c>
    </row>
    <row r="1057" spans="2:6" x14ac:dyDescent="0.25">
      <c r="D1057" t="s">
        <v>268</v>
      </c>
      <c r="E1057" t="s">
        <v>269</v>
      </c>
      <c r="F1057" s="40">
        <v>1</v>
      </c>
    </row>
    <row r="1058" spans="2:6" x14ac:dyDescent="0.25">
      <c r="D1058" t="s">
        <v>439</v>
      </c>
      <c r="E1058" t="s">
        <v>440</v>
      </c>
      <c r="F1058" s="40">
        <v>2</v>
      </c>
    </row>
    <row r="1059" spans="2:6" x14ac:dyDescent="0.25">
      <c r="B1059" t="s">
        <v>7022</v>
      </c>
      <c r="C1059" t="s">
        <v>7664</v>
      </c>
      <c r="D1059" t="s">
        <v>907</v>
      </c>
      <c r="E1059" t="s">
        <v>908</v>
      </c>
      <c r="F1059" s="40">
        <v>5</v>
      </c>
    </row>
    <row r="1060" spans="2:6" x14ac:dyDescent="0.25">
      <c r="D1060" t="s">
        <v>5843</v>
      </c>
      <c r="E1060" t="s">
        <v>5844</v>
      </c>
      <c r="F1060" s="40">
        <v>2</v>
      </c>
    </row>
    <row r="1061" spans="2:6" x14ac:dyDescent="0.25">
      <c r="D1061" t="s">
        <v>6979</v>
      </c>
      <c r="E1061" t="s">
        <v>6980</v>
      </c>
      <c r="F1061" s="40">
        <v>1</v>
      </c>
    </row>
    <row r="1062" spans="2:6" x14ac:dyDescent="0.25">
      <c r="D1062" t="s">
        <v>268</v>
      </c>
      <c r="E1062" t="s">
        <v>269</v>
      </c>
      <c r="F1062" s="40">
        <v>1</v>
      </c>
    </row>
    <row r="1063" spans="2:6" x14ac:dyDescent="0.25">
      <c r="B1063" t="s">
        <v>6723</v>
      </c>
      <c r="C1063" t="s">
        <v>7643</v>
      </c>
      <c r="D1063" t="s">
        <v>583</v>
      </c>
      <c r="E1063" t="s">
        <v>584</v>
      </c>
      <c r="F1063" s="40">
        <v>4</v>
      </c>
    </row>
    <row r="1064" spans="2:6" x14ac:dyDescent="0.25">
      <c r="D1064" t="s">
        <v>460</v>
      </c>
      <c r="E1064" t="s">
        <v>461</v>
      </c>
      <c r="F1064" s="40">
        <v>8</v>
      </c>
    </row>
    <row r="1065" spans="2:6" x14ac:dyDescent="0.25">
      <c r="B1065" t="s">
        <v>7947</v>
      </c>
      <c r="C1065" t="s">
        <v>7643</v>
      </c>
      <c r="D1065" t="s">
        <v>596</v>
      </c>
      <c r="E1065" t="s">
        <v>597</v>
      </c>
      <c r="F1065" s="40">
        <v>1</v>
      </c>
    </row>
    <row r="1066" spans="2:6" x14ac:dyDescent="0.25">
      <c r="B1066" t="s">
        <v>6673</v>
      </c>
      <c r="C1066" t="s">
        <v>7633</v>
      </c>
      <c r="D1066" t="s">
        <v>583</v>
      </c>
      <c r="E1066" t="s">
        <v>584</v>
      </c>
      <c r="F1066" s="40">
        <v>4</v>
      </c>
    </row>
    <row r="1067" spans="2:6" x14ac:dyDescent="0.25">
      <c r="D1067" t="s">
        <v>460</v>
      </c>
      <c r="E1067" t="s">
        <v>461</v>
      </c>
      <c r="F1067" s="40">
        <v>8</v>
      </c>
    </row>
    <row r="1068" spans="2:6" x14ac:dyDescent="0.25">
      <c r="B1068" t="s">
        <v>7946</v>
      </c>
      <c r="C1068" t="s">
        <v>7633</v>
      </c>
      <c r="D1068" t="s">
        <v>596</v>
      </c>
      <c r="E1068" t="s">
        <v>597</v>
      </c>
      <c r="F1068" s="40">
        <v>1</v>
      </c>
    </row>
    <row r="1069" spans="2:6" x14ac:dyDescent="0.25">
      <c r="B1069" t="s">
        <v>7037</v>
      </c>
      <c r="C1069" t="s">
        <v>7603</v>
      </c>
      <c r="D1069" t="s">
        <v>5807</v>
      </c>
      <c r="E1069" t="s">
        <v>5808</v>
      </c>
      <c r="F1069" s="40">
        <v>1</v>
      </c>
    </row>
    <row r="1070" spans="2:6" x14ac:dyDescent="0.25">
      <c r="D1070" t="s">
        <v>1041</v>
      </c>
      <c r="E1070" t="s">
        <v>1042</v>
      </c>
      <c r="F1070" s="40">
        <v>2</v>
      </c>
    </row>
    <row r="1071" spans="2:6" x14ac:dyDescent="0.25">
      <c r="D1071" t="s">
        <v>1038</v>
      </c>
      <c r="E1071" t="s">
        <v>1039</v>
      </c>
      <c r="F1071" s="40">
        <v>1</v>
      </c>
    </row>
    <row r="1072" spans="2:6" x14ac:dyDescent="0.25">
      <c r="D1072" t="s">
        <v>1035</v>
      </c>
      <c r="E1072" t="s">
        <v>1036</v>
      </c>
      <c r="F1072" s="40">
        <v>1</v>
      </c>
    </row>
    <row r="1073" spans="2:6" x14ac:dyDescent="0.25">
      <c r="B1073" t="s">
        <v>7844</v>
      </c>
      <c r="C1073" t="s">
        <v>7630</v>
      </c>
      <c r="D1073" t="s">
        <v>5318</v>
      </c>
      <c r="E1073" t="s">
        <v>5319</v>
      </c>
      <c r="F1073" s="40">
        <v>1</v>
      </c>
    </row>
    <row r="1074" spans="2:6" x14ac:dyDescent="0.25">
      <c r="D1074" t="s">
        <v>4778</v>
      </c>
      <c r="E1074" t="s">
        <v>4779</v>
      </c>
      <c r="F1074" s="40">
        <v>1</v>
      </c>
    </row>
    <row r="1075" spans="2:6" x14ac:dyDescent="0.25">
      <c r="D1075" t="s">
        <v>4784</v>
      </c>
      <c r="E1075" t="s">
        <v>4785</v>
      </c>
      <c r="F1075" s="40">
        <v>1</v>
      </c>
    </row>
    <row r="1076" spans="2:6" x14ac:dyDescent="0.25">
      <c r="D1076" t="s">
        <v>4775</v>
      </c>
      <c r="E1076" t="s">
        <v>4776</v>
      </c>
      <c r="F1076" s="40">
        <v>1</v>
      </c>
    </row>
    <row r="1077" spans="2:6" x14ac:dyDescent="0.25">
      <c r="D1077" t="s">
        <v>4772</v>
      </c>
      <c r="E1077" t="s">
        <v>4773</v>
      </c>
      <c r="F1077" s="40">
        <v>1</v>
      </c>
    </row>
    <row r="1078" spans="2:6" x14ac:dyDescent="0.25">
      <c r="B1078" t="s">
        <v>4770</v>
      </c>
      <c r="C1078" t="s">
        <v>7648</v>
      </c>
      <c r="D1078" t="s">
        <v>4787</v>
      </c>
      <c r="E1078" t="s">
        <v>4788</v>
      </c>
      <c r="F1078" s="40">
        <v>1</v>
      </c>
    </row>
    <row r="1079" spans="2:6" x14ac:dyDescent="0.25">
      <c r="D1079" t="s">
        <v>4778</v>
      </c>
      <c r="E1079" t="s">
        <v>4779</v>
      </c>
      <c r="F1079" s="40">
        <v>1</v>
      </c>
    </row>
    <row r="1080" spans="2:6" x14ac:dyDescent="0.25">
      <c r="D1080" t="s">
        <v>4784</v>
      </c>
      <c r="E1080" t="s">
        <v>4785</v>
      </c>
      <c r="F1080" s="40">
        <v>1</v>
      </c>
    </row>
    <row r="1081" spans="2:6" x14ac:dyDescent="0.25">
      <c r="D1081" t="s">
        <v>4775</v>
      </c>
      <c r="E1081" t="s">
        <v>4776</v>
      </c>
      <c r="F1081" s="40">
        <v>1</v>
      </c>
    </row>
    <row r="1082" spans="2:6" x14ac:dyDescent="0.25">
      <c r="D1082" t="s">
        <v>4772</v>
      </c>
      <c r="E1082" t="s">
        <v>4773</v>
      </c>
      <c r="F1082" s="40">
        <v>1</v>
      </c>
    </row>
    <row r="1083" spans="2:6" x14ac:dyDescent="0.25">
      <c r="C1083" t="s">
        <v>7607</v>
      </c>
      <c r="D1083" t="s">
        <v>4787</v>
      </c>
      <c r="E1083" t="s">
        <v>4788</v>
      </c>
      <c r="F1083" s="40">
        <v>1</v>
      </c>
    </row>
    <row r="1084" spans="2:6" x14ac:dyDescent="0.25">
      <c r="D1084" t="s">
        <v>4778</v>
      </c>
      <c r="E1084" t="s">
        <v>4779</v>
      </c>
      <c r="F1084" s="40">
        <v>1</v>
      </c>
    </row>
    <row r="1085" spans="2:6" x14ac:dyDescent="0.25">
      <c r="D1085" t="s">
        <v>4784</v>
      </c>
      <c r="E1085" t="s">
        <v>4785</v>
      </c>
      <c r="F1085" s="40">
        <v>1</v>
      </c>
    </row>
    <row r="1086" spans="2:6" x14ac:dyDescent="0.25">
      <c r="D1086" t="s">
        <v>4775</v>
      </c>
      <c r="E1086" t="s">
        <v>4776</v>
      </c>
      <c r="F1086" s="40">
        <v>1</v>
      </c>
    </row>
    <row r="1087" spans="2:6" x14ac:dyDescent="0.25">
      <c r="D1087" t="s">
        <v>4772</v>
      </c>
      <c r="E1087" t="s">
        <v>4773</v>
      </c>
      <c r="F1087" s="40">
        <v>1</v>
      </c>
    </row>
    <row r="1088" spans="2:6" x14ac:dyDescent="0.25">
      <c r="B1088" t="s">
        <v>1520</v>
      </c>
      <c r="C1088" t="s">
        <v>7604</v>
      </c>
      <c r="D1088" t="s">
        <v>1522</v>
      </c>
      <c r="E1088" t="s">
        <v>1523</v>
      </c>
      <c r="F1088" s="40">
        <v>1</v>
      </c>
    </row>
    <row r="1089" spans="2:6" x14ac:dyDescent="0.25">
      <c r="B1089" t="s">
        <v>4276</v>
      </c>
      <c r="C1089" t="s">
        <v>7629</v>
      </c>
      <c r="D1089" t="s">
        <v>1522</v>
      </c>
      <c r="E1089" t="s">
        <v>1523</v>
      </c>
      <c r="F1089" s="40">
        <v>1</v>
      </c>
    </row>
    <row r="1090" spans="2:6" x14ac:dyDescent="0.25">
      <c r="C1090" t="s">
        <v>7628</v>
      </c>
      <c r="D1090" t="s">
        <v>1522</v>
      </c>
      <c r="E1090" t="s">
        <v>1523</v>
      </c>
      <c r="F1090" s="40">
        <v>1</v>
      </c>
    </row>
    <row r="1091" spans="2:6" x14ac:dyDescent="0.25">
      <c r="B1091" t="s">
        <v>4828</v>
      </c>
      <c r="C1091" t="s">
        <v>7610</v>
      </c>
      <c r="D1091" t="s">
        <v>1513</v>
      </c>
      <c r="E1091" t="s">
        <v>1514</v>
      </c>
      <c r="F1091" s="40">
        <v>1</v>
      </c>
    </row>
    <row r="1092" spans="2:6" x14ac:dyDescent="0.25">
      <c r="B1092" t="s">
        <v>1511</v>
      </c>
      <c r="C1092" t="s">
        <v>7604</v>
      </c>
      <c r="D1092" t="s">
        <v>1513</v>
      </c>
      <c r="E1092" t="s">
        <v>1514</v>
      </c>
      <c r="F1092" s="40">
        <v>1</v>
      </c>
    </row>
    <row r="1093" spans="2:6" x14ac:dyDescent="0.25">
      <c r="C1093" t="s">
        <v>7648</v>
      </c>
      <c r="D1093" t="s">
        <v>1513</v>
      </c>
      <c r="E1093" t="s">
        <v>1514</v>
      </c>
      <c r="F1093" s="40">
        <v>1</v>
      </c>
    </row>
    <row r="1094" spans="2:6" x14ac:dyDescent="0.25">
      <c r="B1094" t="s">
        <v>4760</v>
      </c>
      <c r="C1094" t="s">
        <v>7643</v>
      </c>
      <c r="D1094" t="s">
        <v>1513</v>
      </c>
      <c r="E1094" t="s">
        <v>1514</v>
      </c>
      <c r="F1094" s="40">
        <v>1</v>
      </c>
    </row>
    <row r="1095" spans="2:6" x14ac:dyDescent="0.25">
      <c r="B1095" t="s">
        <v>5876</v>
      </c>
      <c r="C1095" t="s">
        <v>7604</v>
      </c>
      <c r="D1095" t="s">
        <v>1541</v>
      </c>
      <c r="E1095" t="s">
        <v>1542</v>
      </c>
      <c r="F1095" s="40">
        <v>2</v>
      </c>
    </row>
    <row r="1096" spans="2:6" x14ac:dyDescent="0.25">
      <c r="D1096" t="s">
        <v>265</v>
      </c>
      <c r="E1096" t="s">
        <v>266</v>
      </c>
      <c r="F1096" s="40">
        <v>4</v>
      </c>
    </row>
    <row r="1097" spans="2:6" x14ac:dyDescent="0.25">
      <c r="D1097" t="s">
        <v>5919</v>
      </c>
      <c r="E1097" t="s">
        <v>5920</v>
      </c>
      <c r="F1097" s="40">
        <v>1</v>
      </c>
    </row>
    <row r="1098" spans="2:6" x14ac:dyDescent="0.25">
      <c r="B1098" t="s">
        <v>7634</v>
      </c>
      <c r="C1098" t="s">
        <v>7633</v>
      </c>
      <c r="D1098" t="s">
        <v>6632</v>
      </c>
      <c r="E1098" t="s">
        <v>6633</v>
      </c>
      <c r="F1098" s="40">
        <v>1</v>
      </c>
    </row>
    <row r="1099" spans="2:6" x14ac:dyDescent="0.25">
      <c r="D1099" t="s">
        <v>6635</v>
      </c>
      <c r="E1099" t="s">
        <v>6636</v>
      </c>
      <c r="F1099" s="40">
        <v>1</v>
      </c>
    </row>
    <row r="1100" spans="2:6" x14ac:dyDescent="0.25">
      <c r="D1100" t="s">
        <v>6629</v>
      </c>
      <c r="E1100" t="s">
        <v>6630</v>
      </c>
      <c r="F1100" s="40">
        <v>1</v>
      </c>
    </row>
    <row r="1101" spans="2:6" x14ac:dyDescent="0.25">
      <c r="B1101" t="s">
        <v>6299</v>
      </c>
      <c r="C1101" t="s">
        <v>7612</v>
      </c>
      <c r="D1101" t="s">
        <v>596</v>
      </c>
      <c r="E1101" t="s">
        <v>597</v>
      </c>
      <c r="F1101" s="40">
        <v>1</v>
      </c>
    </row>
    <row r="1102" spans="2:6" x14ac:dyDescent="0.25">
      <c r="B1102" t="s">
        <v>7652</v>
      </c>
      <c r="C1102" t="s">
        <v>7648</v>
      </c>
      <c r="D1102" t="s">
        <v>430</v>
      </c>
      <c r="E1102" t="s">
        <v>431</v>
      </c>
      <c r="F1102" s="40">
        <v>2</v>
      </c>
    </row>
    <row r="1103" spans="2:6" x14ac:dyDescent="0.25">
      <c r="B1103" t="s">
        <v>7653</v>
      </c>
      <c r="C1103" t="s">
        <v>7648</v>
      </c>
      <c r="D1103" t="s">
        <v>430</v>
      </c>
      <c r="E1103" t="s">
        <v>431</v>
      </c>
      <c r="F1103" s="40">
        <v>2</v>
      </c>
    </row>
    <row r="1104" spans="2:6" x14ac:dyDescent="0.25">
      <c r="D1104" t="s">
        <v>265</v>
      </c>
      <c r="E1104" t="s">
        <v>266</v>
      </c>
      <c r="F1104" s="40">
        <v>1</v>
      </c>
    </row>
    <row r="1105" spans="2:6" x14ac:dyDescent="0.25">
      <c r="B1105" t="s">
        <v>7639</v>
      </c>
      <c r="C1105" t="s">
        <v>7633</v>
      </c>
      <c r="D1105" t="s">
        <v>1551</v>
      </c>
      <c r="E1105" t="s">
        <v>1552</v>
      </c>
      <c r="F1105" s="40">
        <v>2</v>
      </c>
    </row>
    <row r="1106" spans="2:6" x14ac:dyDescent="0.25">
      <c r="B1106" t="s">
        <v>7640</v>
      </c>
      <c r="C1106" t="s">
        <v>7633</v>
      </c>
      <c r="D1106" t="s">
        <v>430</v>
      </c>
      <c r="E1106" t="s">
        <v>431</v>
      </c>
      <c r="F1106" s="40">
        <v>2</v>
      </c>
    </row>
    <row r="1107" spans="2:6" x14ac:dyDescent="0.25">
      <c r="B1107" t="s">
        <v>7647</v>
      </c>
      <c r="C1107" t="s">
        <v>7643</v>
      </c>
      <c r="D1107" t="s">
        <v>1551</v>
      </c>
      <c r="E1107" t="s">
        <v>1552</v>
      </c>
      <c r="F1107" s="40">
        <v>2</v>
      </c>
    </row>
    <row r="1108" spans="2:6" x14ac:dyDescent="0.25">
      <c r="B1108" t="s">
        <v>7517</v>
      </c>
      <c r="C1108" t="s">
        <v>7643</v>
      </c>
      <c r="D1108" t="s">
        <v>2179</v>
      </c>
      <c r="E1108" t="s">
        <v>1552</v>
      </c>
      <c r="F1108" s="40">
        <v>1</v>
      </c>
    </row>
    <row r="1109" spans="2:6" x14ac:dyDescent="0.25">
      <c r="D1109" t="s">
        <v>1551</v>
      </c>
      <c r="E1109" t="s">
        <v>1552</v>
      </c>
      <c r="F1109" s="40">
        <v>1</v>
      </c>
    </row>
    <row r="1110" spans="2:6" x14ac:dyDescent="0.25">
      <c r="B1110" t="s">
        <v>7646</v>
      </c>
      <c r="C1110" t="s">
        <v>7643</v>
      </c>
      <c r="D1110" t="s">
        <v>1551</v>
      </c>
      <c r="E1110" t="s">
        <v>1552</v>
      </c>
      <c r="F1110" s="40">
        <v>2</v>
      </c>
    </row>
    <row r="1111" spans="2:6" x14ac:dyDescent="0.25">
      <c r="B1111" t="s">
        <v>7638</v>
      </c>
      <c r="C1111" t="s">
        <v>7633</v>
      </c>
      <c r="D1111" t="s">
        <v>1551</v>
      </c>
      <c r="E1111" t="s">
        <v>1552</v>
      </c>
      <c r="F1111" s="40">
        <v>2</v>
      </c>
    </row>
    <row r="1112" spans="2:6" x14ac:dyDescent="0.25">
      <c r="B1112" t="s">
        <v>7608</v>
      </c>
      <c r="C1112" t="s">
        <v>7607</v>
      </c>
      <c r="D1112" t="s">
        <v>1551</v>
      </c>
      <c r="E1112" t="s">
        <v>1552</v>
      </c>
      <c r="F1112" s="40">
        <v>2</v>
      </c>
    </row>
    <row r="1113" spans="2:6" x14ac:dyDescent="0.25">
      <c r="C1113" t="s">
        <v>7611</v>
      </c>
      <c r="D1113" t="s">
        <v>1551</v>
      </c>
      <c r="E1113" t="s">
        <v>1552</v>
      </c>
      <c r="F1113" s="40">
        <v>2</v>
      </c>
    </row>
    <row r="1114" spans="2:6" x14ac:dyDescent="0.25">
      <c r="B1114" t="s">
        <v>7650</v>
      </c>
      <c r="C1114" t="s">
        <v>7648</v>
      </c>
      <c r="D1114" t="s">
        <v>6812</v>
      </c>
      <c r="E1114" t="s">
        <v>6813</v>
      </c>
      <c r="F1114" s="40">
        <v>2</v>
      </c>
    </row>
    <row r="1115" spans="2:6" x14ac:dyDescent="0.25">
      <c r="B1115" t="s">
        <v>6471</v>
      </c>
      <c r="C1115" t="s">
        <v>7625</v>
      </c>
      <c r="D1115" t="s">
        <v>4251</v>
      </c>
      <c r="E1115" t="s">
        <v>4252</v>
      </c>
      <c r="F1115" s="40">
        <v>1</v>
      </c>
    </row>
    <row r="1116" spans="2:6" x14ac:dyDescent="0.25">
      <c r="D1116" t="s">
        <v>5515</v>
      </c>
      <c r="E1116" t="s">
        <v>5516</v>
      </c>
      <c r="F1116" s="40">
        <v>1</v>
      </c>
    </row>
    <row r="1117" spans="2:6" x14ac:dyDescent="0.25">
      <c r="B1117" t="s">
        <v>7962</v>
      </c>
      <c r="C1117" t="s">
        <v>7629</v>
      </c>
      <c r="D1117" t="s">
        <v>941</v>
      </c>
      <c r="E1117" t="s">
        <v>942</v>
      </c>
      <c r="F1117" s="40">
        <v>2</v>
      </c>
    </row>
    <row r="1118" spans="2:6" x14ac:dyDescent="0.25">
      <c r="D1118" t="s">
        <v>563</v>
      </c>
      <c r="E1118" t="s">
        <v>564</v>
      </c>
      <c r="F1118" s="40">
        <v>2</v>
      </c>
    </row>
    <row r="1119" spans="2:6" x14ac:dyDescent="0.25">
      <c r="D1119" t="s">
        <v>1528</v>
      </c>
      <c r="E1119" t="s">
        <v>1529</v>
      </c>
      <c r="F1119" s="40">
        <v>1</v>
      </c>
    </row>
    <row r="1120" spans="2:6" x14ac:dyDescent="0.25">
      <c r="D1120" t="s">
        <v>1774</v>
      </c>
      <c r="E1120" t="s">
        <v>4305</v>
      </c>
      <c r="F1120" s="40">
        <v>4</v>
      </c>
    </row>
    <row r="1121" spans="3:6" x14ac:dyDescent="0.25">
      <c r="D1121" t="s">
        <v>2089</v>
      </c>
      <c r="E1121" t="s">
        <v>2090</v>
      </c>
      <c r="F1121" s="40">
        <v>1</v>
      </c>
    </row>
    <row r="1122" spans="3:6" x14ac:dyDescent="0.25">
      <c r="D1122" t="s">
        <v>1795</v>
      </c>
      <c r="E1122" t="s">
        <v>1796</v>
      </c>
      <c r="F1122" s="40">
        <v>4</v>
      </c>
    </row>
    <row r="1123" spans="3:6" x14ac:dyDescent="0.25">
      <c r="D1123" t="s">
        <v>1798</v>
      </c>
      <c r="E1123" t="s">
        <v>1799</v>
      </c>
      <c r="F1123" s="40">
        <v>4</v>
      </c>
    </row>
    <row r="1124" spans="3:6" x14ac:dyDescent="0.25">
      <c r="D1124" t="s">
        <v>4280</v>
      </c>
      <c r="E1124" t="s">
        <v>4281</v>
      </c>
      <c r="F1124" s="40">
        <v>1</v>
      </c>
    </row>
    <row r="1125" spans="3:6" x14ac:dyDescent="0.25">
      <c r="D1125" t="s">
        <v>4301</v>
      </c>
      <c r="E1125" t="s">
        <v>4302</v>
      </c>
      <c r="F1125" s="40">
        <v>4</v>
      </c>
    </row>
    <row r="1126" spans="3:6" x14ac:dyDescent="0.25">
      <c r="C1126" t="s">
        <v>7630</v>
      </c>
      <c r="D1126" t="s">
        <v>2748</v>
      </c>
      <c r="E1126" t="s">
        <v>2749</v>
      </c>
      <c r="F1126" s="40">
        <v>4</v>
      </c>
    </row>
    <row r="1127" spans="3:6" x14ac:dyDescent="0.25">
      <c r="D1127" t="s">
        <v>701</v>
      </c>
      <c r="E1127" t="s">
        <v>702</v>
      </c>
      <c r="F1127" s="40">
        <v>1</v>
      </c>
    </row>
    <row r="1128" spans="3:6" x14ac:dyDescent="0.25">
      <c r="D1128" t="s">
        <v>6592</v>
      </c>
      <c r="E1128" t="s">
        <v>6597</v>
      </c>
      <c r="F1128" s="40">
        <v>2</v>
      </c>
    </row>
    <row r="1129" spans="3:6" x14ac:dyDescent="0.25">
      <c r="E1129" t="s">
        <v>6593</v>
      </c>
      <c r="F1129" s="40">
        <v>2</v>
      </c>
    </row>
    <row r="1130" spans="3:6" x14ac:dyDescent="0.25">
      <c r="C1130" t="s">
        <v>7603</v>
      </c>
      <c r="D1130" t="s">
        <v>236</v>
      </c>
      <c r="E1130" t="s">
        <v>237</v>
      </c>
      <c r="F1130" s="40">
        <v>4</v>
      </c>
    </row>
    <row r="1131" spans="3:6" x14ac:dyDescent="0.25">
      <c r="D1131" t="s">
        <v>3167</v>
      </c>
      <c r="E1131" t="s">
        <v>3168</v>
      </c>
      <c r="F1131" s="40">
        <v>1</v>
      </c>
    </row>
    <row r="1132" spans="3:6" x14ac:dyDescent="0.25">
      <c r="D1132" t="s">
        <v>580</v>
      </c>
      <c r="E1132" t="s">
        <v>581</v>
      </c>
      <c r="F1132" s="40">
        <v>2</v>
      </c>
    </row>
    <row r="1133" spans="3:6" x14ac:dyDescent="0.25">
      <c r="D1133" t="s">
        <v>1157</v>
      </c>
      <c r="E1133" t="s">
        <v>1158</v>
      </c>
      <c r="F1133" s="40">
        <v>3</v>
      </c>
    </row>
    <row r="1134" spans="3:6" x14ac:dyDescent="0.25">
      <c r="D1134" t="s">
        <v>5814</v>
      </c>
      <c r="E1134" t="s">
        <v>5815</v>
      </c>
      <c r="F1134" s="40">
        <v>2</v>
      </c>
    </row>
    <row r="1135" spans="3:6" x14ac:dyDescent="0.25">
      <c r="D1135" t="s">
        <v>563</v>
      </c>
      <c r="E1135" t="s">
        <v>564</v>
      </c>
      <c r="F1135" s="40">
        <v>6</v>
      </c>
    </row>
    <row r="1136" spans="3:6" x14ac:dyDescent="0.25">
      <c r="D1136" t="s">
        <v>519</v>
      </c>
      <c r="E1136" t="s">
        <v>520</v>
      </c>
      <c r="F1136" s="40">
        <v>3</v>
      </c>
    </row>
    <row r="1137" spans="3:6" x14ac:dyDescent="0.25">
      <c r="D1137" t="s">
        <v>4214</v>
      </c>
      <c r="E1137" t="s">
        <v>4215</v>
      </c>
      <c r="F1137" s="40">
        <v>6</v>
      </c>
    </row>
    <row r="1138" spans="3:6" x14ac:dyDescent="0.25">
      <c r="D1138" t="s">
        <v>226</v>
      </c>
      <c r="E1138" t="s">
        <v>227</v>
      </c>
      <c r="F1138" s="40">
        <v>6</v>
      </c>
    </row>
    <row r="1139" spans="3:6" x14ac:dyDescent="0.25">
      <c r="D1139" t="s">
        <v>3176</v>
      </c>
      <c r="E1139" t="s">
        <v>3177</v>
      </c>
      <c r="F1139" s="40">
        <v>2</v>
      </c>
    </row>
    <row r="1140" spans="3:6" x14ac:dyDescent="0.25">
      <c r="D1140" t="s">
        <v>4795</v>
      </c>
      <c r="E1140" t="s">
        <v>4796</v>
      </c>
      <c r="F1140" s="40">
        <v>8</v>
      </c>
    </row>
    <row r="1141" spans="3:6" x14ac:dyDescent="0.25">
      <c r="D1141" t="s">
        <v>460</v>
      </c>
      <c r="E1141" t="s">
        <v>461</v>
      </c>
      <c r="F1141" s="40">
        <v>8</v>
      </c>
    </row>
    <row r="1142" spans="3:6" x14ac:dyDescent="0.25">
      <c r="D1142" t="s">
        <v>5812</v>
      </c>
      <c r="E1142" t="s">
        <v>5813</v>
      </c>
      <c r="F1142" s="40">
        <v>4</v>
      </c>
    </row>
    <row r="1143" spans="3:6" x14ac:dyDescent="0.25">
      <c r="D1143" t="s">
        <v>464</v>
      </c>
      <c r="E1143" t="s">
        <v>465</v>
      </c>
      <c r="F1143" s="40">
        <v>2</v>
      </c>
    </row>
    <row r="1144" spans="3:6" x14ac:dyDescent="0.25">
      <c r="D1144" t="s">
        <v>1077</v>
      </c>
      <c r="E1144" t="s">
        <v>1078</v>
      </c>
      <c r="F1144" s="40">
        <v>2</v>
      </c>
    </row>
    <row r="1145" spans="3:6" x14ac:dyDescent="0.25">
      <c r="D1145" t="s">
        <v>2213</v>
      </c>
      <c r="E1145" t="s">
        <v>2214</v>
      </c>
      <c r="F1145" s="40">
        <v>1</v>
      </c>
    </row>
    <row r="1146" spans="3:6" x14ac:dyDescent="0.25">
      <c r="C1146" t="s">
        <v>7606</v>
      </c>
      <c r="D1146" t="s">
        <v>2651</v>
      </c>
      <c r="E1146" t="s">
        <v>2652</v>
      </c>
      <c r="F1146" s="40">
        <v>3</v>
      </c>
    </row>
    <row r="1147" spans="3:6" x14ac:dyDescent="0.25">
      <c r="D1147" t="s">
        <v>208</v>
      </c>
      <c r="E1147" t="s">
        <v>209</v>
      </c>
      <c r="F1147" s="40">
        <v>87</v>
      </c>
    </row>
    <row r="1148" spans="3:6" x14ac:dyDescent="0.25">
      <c r="D1148" t="s">
        <v>4222</v>
      </c>
      <c r="E1148" t="s">
        <v>4223</v>
      </c>
      <c r="F1148" s="40">
        <v>3</v>
      </c>
    </row>
    <row r="1149" spans="3:6" x14ac:dyDescent="0.25">
      <c r="D1149" t="s">
        <v>233</v>
      </c>
      <c r="E1149" t="s">
        <v>234</v>
      </c>
      <c r="F1149" s="40">
        <v>52</v>
      </c>
    </row>
    <row r="1150" spans="3:6" x14ac:dyDescent="0.25">
      <c r="D1150" t="s">
        <v>219</v>
      </c>
      <c r="E1150" t="s">
        <v>220</v>
      </c>
      <c r="F1150" s="40">
        <v>35</v>
      </c>
    </row>
    <row r="1151" spans="3:6" x14ac:dyDescent="0.25">
      <c r="D1151" t="s">
        <v>216</v>
      </c>
      <c r="E1151" t="s">
        <v>217</v>
      </c>
      <c r="F1151" s="40">
        <v>33</v>
      </c>
    </row>
    <row r="1152" spans="3:6" x14ac:dyDescent="0.25">
      <c r="D1152" t="s">
        <v>519</v>
      </c>
      <c r="E1152" t="s">
        <v>520</v>
      </c>
      <c r="F1152" s="40">
        <v>3</v>
      </c>
    </row>
    <row r="1153" spans="3:6" x14ac:dyDescent="0.25">
      <c r="D1153" t="s">
        <v>4214</v>
      </c>
      <c r="E1153" t="s">
        <v>4215</v>
      </c>
      <c r="F1153" s="40">
        <v>5</v>
      </c>
    </row>
    <row r="1154" spans="3:6" x14ac:dyDescent="0.25">
      <c r="D1154" t="s">
        <v>226</v>
      </c>
      <c r="E1154" t="s">
        <v>227</v>
      </c>
      <c r="F1154" s="40">
        <v>89</v>
      </c>
    </row>
    <row r="1155" spans="3:6" x14ac:dyDescent="0.25">
      <c r="D1155" t="s">
        <v>212</v>
      </c>
      <c r="E1155" t="s">
        <v>213</v>
      </c>
      <c r="F1155" s="40">
        <v>33</v>
      </c>
    </row>
    <row r="1156" spans="3:6" x14ac:dyDescent="0.25">
      <c r="D1156" t="s">
        <v>268</v>
      </c>
      <c r="E1156" t="s">
        <v>269</v>
      </c>
      <c r="F1156" s="40">
        <v>8</v>
      </c>
    </row>
    <row r="1157" spans="3:6" x14ac:dyDescent="0.25">
      <c r="D1157" t="s">
        <v>265</v>
      </c>
      <c r="E1157" t="s">
        <v>266</v>
      </c>
      <c r="F1157" s="40">
        <v>18</v>
      </c>
    </row>
    <row r="1158" spans="3:6" x14ac:dyDescent="0.25">
      <c r="D1158" t="s">
        <v>222</v>
      </c>
      <c r="E1158" t="s">
        <v>223</v>
      </c>
      <c r="F1158" s="40">
        <v>55</v>
      </c>
    </row>
    <row r="1159" spans="3:6" x14ac:dyDescent="0.25">
      <c r="D1159" t="s">
        <v>230</v>
      </c>
      <c r="E1159" t="s">
        <v>231</v>
      </c>
      <c r="F1159" s="40">
        <v>73</v>
      </c>
    </row>
    <row r="1160" spans="3:6" x14ac:dyDescent="0.25">
      <c r="C1160" t="s">
        <v>7625</v>
      </c>
      <c r="D1160" t="s">
        <v>4251</v>
      </c>
      <c r="E1160" t="s">
        <v>4252</v>
      </c>
      <c r="F1160" s="40">
        <v>1</v>
      </c>
    </row>
    <row r="1161" spans="3:6" x14ac:dyDescent="0.25">
      <c r="D1161" t="s">
        <v>5532</v>
      </c>
      <c r="E1161" t="s">
        <v>5533</v>
      </c>
      <c r="F1161" s="40">
        <v>1</v>
      </c>
    </row>
    <row r="1162" spans="3:6" x14ac:dyDescent="0.25">
      <c r="D1162" t="s">
        <v>5733</v>
      </c>
      <c r="E1162" t="s">
        <v>5734</v>
      </c>
      <c r="F1162" s="40">
        <v>2</v>
      </c>
    </row>
    <row r="1163" spans="3:6" x14ac:dyDescent="0.25">
      <c r="D1163" t="s">
        <v>6498</v>
      </c>
      <c r="E1163" t="s">
        <v>6499</v>
      </c>
      <c r="F1163" s="40">
        <v>1</v>
      </c>
    </row>
    <row r="1164" spans="3:6" x14ac:dyDescent="0.25">
      <c r="D1164" t="s">
        <v>6495</v>
      </c>
      <c r="E1164" t="s">
        <v>6496</v>
      </c>
      <c r="F1164" s="40">
        <v>1</v>
      </c>
    </row>
    <row r="1165" spans="3:6" x14ac:dyDescent="0.25">
      <c r="D1165" t="s">
        <v>5749</v>
      </c>
      <c r="E1165" t="s">
        <v>5750</v>
      </c>
      <c r="F1165" s="40">
        <v>2</v>
      </c>
    </row>
    <row r="1166" spans="3:6" x14ac:dyDescent="0.25">
      <c r="D1166" t="s">
        <v>1154</v>
      </c>
      <c r="E1166" t="s">
        <v>1155</v>
      </c>
      <c r="F1166" s="40">
        <v>2</v>
      </c>
    </row>
    <row r="1167" spans="3:6" x14ac:dyDescent="0.25">
      <c r="D1167" t="s">
        <v>5814</v>
      </c>
      <c r="E1167" t="s">
        <v>5815</v>
      </c>
      <c r="F1167" s="40">
        <v>2</v>
      </c>
    </row>
    <row r="1168" spans="3:6" x14ac:dyDescent="0.25">
      <c r="D1168" t="s">
        <v>445</v>
      </c>
      <c r="E1168" t="s">
        <v>446</v>
      </c>
      <c r="F1168" s="40">
        <v>1</v>
      </c>
    </row>
    <row r="1169" spans="3:6" x14ac:dyDescent="0.25">
      <c r="D1169" t="s">
        <v>5446</v>
      </c>
      <c r="E1169" t="s">
        <v>5447</v>
      </c>
      <c r="F1169" s="40">
        <v>1</v>
      </c>
    </row>
    <row r="1170" spans="3:6" x14ac:dyDescent="0.25">
      <c r="D1170" t="s">
        <v>5528</v>
      </c>
      <c r="E1170" t="s">
        <v>5529</v>
      </c>
      <c r="F1170" s="40">
        <v>4</v>
      </c>
    </row>
    <row r="1171" spans="3:6" x14ac:dyDescent="0.25">
      <c r="D1171" t="s">
        <v>932</v>
      </c>
      <c r="E1171" t="s">
        <v>933</v>
      </c>
      <c r="F1171" s="40">
        <v>3</v>
      </c>
    </row>
    <row r="1172" spans="3:6" x14ac:dyDescent="0.25">
      <c r="D1172" t="s">
        <v>5524</v>
      </c>
      <c r="E1172" t="s">
        <v>5525</v>
      </c>
      <c r="F1172" s="40">
        <v>1</v>
      </c>
    </row>
    <row r="1173" spans="3:6" x14ac:dyDescent="0.25">
      <c r="D1173" t="s">
        <v>430</v>
      </c>
      <c r="E1173" t="s">
        <v>431</v>
      </c>
      <c r="F1173" s="40">
        <v>3</v>
      </c>
    </row>
    <row r="1174" spans="3:6" x14ac:dyDescent="0.25">
      <c r="D1174" t="s">
        <v>5472</v>
      </c>
      <c r="E1174" t="s">
        <v>5473</v>
      </c>
      <c r="F1174" s="40">
        <v>1</v>
      </c>
    </row>
    <row r="1175" spans="3:6" x14ac:dyDescent="0.25">
      <c r="D1175" t="s">
        <v>5515</v>
      </c>
      <c r="E1175" t="s">
        <v>5516</v>
      </c>
      <c r="F1175" s="40">
        <v>10</v>
      </c>
    </row>
    <row r="1176" spans="3:6" x14ac:dyDescent="0.25">
      <c r="D1176" t="s">
        <v>4254</v>
      </c>
      <c r="E1176" t="s">
        <v>4255</v>
      </c>
      <c r="F1176" s="40">
        <v>2</v>
      </c>
    </row>
    <row r="1177" spans="3:6" x14ac:dyDescent="0.25">
      <c r="D1177" t="s">
        <v>5521</v>
      </c>
      <c r="E1177" t="s">
        <v>5522</v>
      </c>
      <c r="F1177" s="40">
        <v>1</v>
      </c>
    </row>
    <row r="1178" spans="3:6" x14ac:dyDescent="0.25">
      <c r="D1178" t="s">
        <v>5518</v>
      </c>
      <c r="E1178" t="s">
        <v>5519</v>
      </c>
      <c r="F1178" s="40">
        <v>8</v>
      </c>
    </row>
    <row r="1179" spans="3:6" x14ac:dyDescent="0.25">
      <c r="D1179" t="s">
        <v>6488</v>
      </c>
      <c r="E1179" t="s">
        <v>5499</v>
      </c>
      <c r="F1179" s="40">
        <v>1</v>
      </c>
    </row>
    <row r="1180" spans="3:6" x14ac:dyDescent="0.25">
      <c r="C1180" t="s">
        <v>7628</v>
      </c>
      <c r="D1180" t="s">
        <v>519</v>
      </c>
      <c r="E1180" t="s">
        <v>520</v>
      </c>
      <c r="F1180" s="40">
        <v>2</v>
      </c>
    </row>
    <row r="1181" spans="3:6" x14ac:dyDescent="0.25">
      <c r="D1181" t="s">
        <v>1528</v>
      </c>
      <c r="E1181" t="s">
        <v>1529</v>
      </c>
      <c r="F1181" s="40">
        <v>1</v>
      </c>
    </row>
    <row r="1182" spans="3:6" x14ac:dyDescent="0.25">
      <c r="D1182" t="s">
        <v>2089</v>
      </c>
      <c r="E1182" t="s">
        <v>2090</v>
      </c>
      <c r="F1182" s="40">
        <v>1</v>
      </c>
    </row>
    <row r="1183" spans="3:6" x14ac:dyDescent="0.25">
      <c r="D1183" t="s">
        <v>4280</v>
      </c>
      <c r="E1183" t="s">
        <v>4281</v>
      </c>
      <c r="F1183" s="40">
        <v>1</v>
      </c>
    </row>
    <row r="1184" spans="3:6" x14ac:dyDescent="0.25">
      <c r="C1184" t="s">
        <v>7612</v>
      </c>
      <c r="D1184">
        <v>1938</v>
      </c>
      <c r="E1184" t="s">
        <v>295</v>
      </c>
      <c r="F1184" s="40">
        <v>2</v>
      </c>
    </row>
    <row r="1185" spans="4:6" x14ac:dyDescent="0.25">
      <c r="D1185">
        <v>634070</v>
      </c>
      <c r="E1185" t="s">
        <v>6324</v>
      </c>
      <c r="F1185" s="40">
        <v>1</v>
      </c>
    </row>
    <row r="1186" spans="4:6" x14ac:dyDescent="0.25">
      <c r="D1186" t="s">
        <v>6321</v>
      </c>
      <c r="E1186" t="s">
        <v>6322</v>
      </c>
      <c r="F1186" s="40">
        <v>1</v>
      </c>
    </row>
    <row r="1187" spans="4:6" x14ac:dyDescent="0.25">
      <c r="D1187" t="s">
        <v>6326</v>
      </c>
      <c r="E1187" t="s">
        <v>6327</v>
      </c>
      <c r="F1187" s="40">
        <v>1</v>
      </c>
    </row>
    <row r="1188" spans="4:6" x14ac:dyDescent="0.25">
      <c r="D1188" t="s">
        <v>920</v>
      </c>
      <c r="E1188" t="s">
        <v>921</v>
      </c>
      <c r="F1188" s="40">
        <v>1</v>
      </c>
    </row>
    <row r="1189" spans="4:6" x14ac:dyDescent="0.25">
      <c r="D1189" t="s">
        <v>304</v>
      </c>
      <c r="E1189" t="s">
        <v>305</v>
      </c>
      <c r="F1189" s="40">
        <v>11</v>
      </c>
    </row>
    <row r="1190" spans="4:6" x14ac:dyDescent="0.25">
      <c r="D1190" t="s">
        <v>586</v>
      </c>
      <c r="E1190" t="s">
        <v>587</v>
      </c>
      <c r="F1190" s="40">
        <v>8</v>
      </c>
    </row>
    <row r="1191" spans="4:6" x14ac:dyDescent="0.25">
      <c r="D1191" t="s">
        <v>6334</v>
      </c>
      <c r="E1191" t="s">
        <v>6335</v>
      </c>
      <c r="F1191" s="40">
        <v>2</v>
      </c>
    </row>
    <row r="1192" spans="4:6" x14ac:dyDescent="0.25">
      <c r="D1192" t="s">
        <v>4652</v>
      </c>
      <c r="E1192" t="s">
        <v>4653</v>
      </c>
      <c r="F1192" s="40">
        <v>2</v>
      </c>
    </row>
    <row r="1193" spans="4:6" x14ac:dyDescent="0.25">
      <c r="D1193" t="s">
        <v>2771</v>
      </c>
      <c r="E1193" t="s">
        <v>2772</v>
      </c>
      <c r="F1193" s="40">
        <v>2</v>
      </c>
    </row>
    <row r="1194" spans="4:6" x14ac:dyDescent="0.25">
      <c r="D1194" t="s">
        <v>360</v>
      </c>
      <c r="E1194" t="s">
        <v>361</v>
      </c>
      <c r="F1194" s="40">
        <v>1</v>
      </c>
    </row>
    <row r="1195" spans="4:6" x14ac:dyDescent="0.25">
      <c r="D1195" t="s">
        <v>2179</v>
      </c>
      <c r="E1195" t="s">
        <v>1552</v>
      </c>
      <c r="F1195" s="40">
        <v>2</v>
      </c>
    </row>
    <row r="1196" spans="4:6" x14ac:dyDescent="0.25">
      <c r="D1196" t="s">
        <v>268</v>
      </c>
      <c r="E1196" t="s">
        <v>269</v>
      </c>
      <c r="F1196" s="40">
        <v>15</v>
      </c>
    </row>
    <row r="1197" spans="4:6" x14ac:dyDescent="0.25">
      <c r="D1197" t="s">
        <v>6331</v>
      </c>
      <c r="E1197" t="s">
        <v>6332</v>
      </c>
      <c r="F1197" s="40">
        <v>1</v>
      </c>
    </row>
    <row r="1198" spans="4:6" x14ac:dyDescent="0.25">
      <c r="D1198" t="s">
        <v>6314</v>
      </c>
      <c r="E1198" t="s">
        <v>6315</v>
      </c>
      <c r="F1198" s="40">
        <v>2</v>
      </c>
    </row>
    <row r="1199" spans="4:6" x14ac:dyDescent="0.25">
      <c r="D1199" t="s">
        <v>6289</v>
      </c>
      <c r="E1199" t="s">
        <v>6290</v>
      </c>
      <c r="F1199" s="40">
        <v>1</v>
      </c>
    </row>
    <row r="1200" spans="4:6" x14ac:dyDescent="0.25">
      <c r="D1200" t="s">
        <v>6311</v>
      </c>
      <c r="E1200" t="s">
        <v>6312</v>
      </c>
      <c r="F1200" s="40">
        <v>1</v>
      </c>
    </row>
    <row r="1201" spans="3:6" x14ac:dyDescent="0.25">
      <c r="D1201" t="s">
        <v>6308</v>
      </c>
      <c r="E1201" t="s">
        <v>6309</v>
      </c>
      <c r="F1201" s="40">
        <v>1</v>
      </c>
    </row>
    <row r="1202" spans="3:6" x14ac:dyDescent="0.25">
      <c r="D1202" t="s">
        <v>310</v>
      </c>
      <c r="E1202" t="s">
        <v>1581</v>
      </c>
      <c r="F1202" s="40">
        <v>1</v>
      </c>
    </row>
    <row r="1203" spans="3:6" x14ac:dyDescent="0.25">
      <c r="C1203" t="s">
        <v>7621</v>
      </c>
      <c r="D1203" t="s">
        <v>1541</v>
      </c>
      <c r="E1203" t="s">
        <v>1542</v>
      </c>
      <c r="F1203" s="40">
        <v>2</v>
      </c>
    </row>
    <row r="1204" spans="3:6" x14ac:dyDescent="0.25">
      <c r="D1204" t="s">
        <v>265</v>
      </c>
      <c r="E1204" t="s">
        <v>266</v>
      </c>
      <c r="F1204" s="40">
        <v>4</v>
      </c>
    </row>
    <row r="1205" spans="3:6" x14ac:dyDescent="0.25">
      <c r="D1205" t="s">
        <v>5919</v>
      </c>
      <c r="E1205" t="s">
        <v>5920</v>
      </c>
      <c r="F1205" s="40">
        <v>1</v>
      </c>
    </row>
    <row r="1206" spans="3:6" x14ac:dyDescent="0.25">
      <c r="C1206" t="s">
        <v>7622</v>
      </c>
      <c r="D1206" t="s">
        <v>563</v>
      </c>
      <c r="E1206" t="s">
        <v>564</v>
      </c>
      <c r="F1206" s="40">
        <v>2</v>
      </c>
    </row>
    <row r="1207" spans="3:6" x14ac:dyDescent="0.25">
      <c r="C1207" t="s">
        <v>7623</v>
      </c>
      <c r="D1207" t="s">
        <v>941</v>
      </c>
      <c r="E1207" t="s">
        <v>942</v>
      </c>
      <c r="F1207" s="40">
        <v>2</v>
      </c>
    </row>
    <row r="1208" spans="3:6" x14ac:dyDescent="0.25">
      <c r="D1208" t="s">
        <v>566</v>
      </c>
      <c r="E1208" t="s">
        <v>567</v>
      </c>
      <c r="F1208" s="40">
        <v>2</v>
      </c>
    </row>
    <row r="1209" spans="3:6" x14ac:dyDescent="0.25">
      <c r="C1209" t="s">
        <v>7624</v>
      </c>
      <c r="D1209" t="s">
        <v>1914</v>
      </c>
      <c r="E1209" t="s">
        <v>1915</v>
      </c>
      <c r="F1209" s="40">
        <v>2</v>
      </c>
    </row>
    <row r="1210" spans="3:6" x14ac:dyDescent="0.25">
      <c r="D1210" t="s">
        <v>268</v>
      </c>
      <c r="E1210" t="s">
        <v>269</v>
      </c>
      <c r="F1210" s="40">
        <v>4</v>
      </c>
    </row>
    <row r="1211" spans="3:6" x14ac:dyDescent="0.25">
      <c r="D1211" t="s">
        <v>460</v>
      </c>
      <c r="E1211" t="s">
        <v>461</v>
      </c>
      <c r="F1211" s="40">
        <v>4</v>
      </c>
    </row>
    <row r="1212" spans="3:6" x14ac:dyDescent="0.25">
      <c r="C1212" t="s">
        <v>7604</v>
      </c>
      <c r="D1212" t="s">
        <v>1541</v>
      </c>
      <c r="E1212" t="s">
        <v>1542</v>
      </c>
      <c r="F1212" s="40">
        <v>3</v>
      </c>
    </row>
    <row r="1213" spans="3:6" x14ac:dyDescent="0.25">
      <c r="D1213" t="s">
        <v>1157</v>
      </c>
      <c r="E1213" t="s">
        <v>1158</v>
      </c>
      <c r="F1213" s="40">
        <v>2</v>
      </c>
    </row>
    <row r="1214" spans="3:6" x14ac:dyDescent="0.25">
      <c r="D1214" t="s">
        <v>941</v>
      </c>
      <c r="E1214" t="s">
        <v>942</v>
      </c>
      <c r="F1214" s="40">
        <v>1</v>
      </c>
    </row>
    <row r="1215" spans="3:6" x14ac:dyDescent="0.25">
      <c r="D1215" t="s">
        <v>519</v>
      </c>
      <c r="E1215" t="s">
        <v>520</v>
      </c>
      <c r="F1215" s="40">
        <v>3</v>
      </c>
    </row>
    <row r="1216" spans="3:6" x14ac:dyDescent="0.25">
      <c r="D1216" t="s">
        <v>577</v>
      </c>
      <c r="E1216" t="s">
        <v>578</v>
      </c>
      <c r="F1216" s="40">
        <v>3</v>
      </c>
    </row>
    <row r="1217" spans="3:6" x14ac:dyDescent="0.25">
      <c r="D1217" t="s">
        <v>904</v>
      </c>
      <c r="E1217" t="s">
        <v>905</v>
      </c>
      <c r="F1217" s="40">
        <v>1</v>
      </c>
    </row>
    <row r="1218" spans="3:6" x14ac:dyDescent="0.25">
      <c r="D1218" t="s">
        <v>4689</v>
      </c>
      <c r="E1218" t="s">
        <v>4690</v>
      </c>
      <c r="F1218" s="40">
        <v>3</v>
      </c>
    </row>
    <row r="1219" spans="3:6" x14ac:dyDescent="0.25">
      <c r="D1219" t="s">
        <v>1528</v>
      </c>
      <c r="E1219" t="s">
        <v>1529</v>
      </c>
      <c r="F1219" s="40">
        <v>3</v>
      </c>
    </row>
    <row r="1220" spans="3:6" x14ac:dyDescent="0.25">
      <c r="D1220" t="s">
        <v>2089</v>
      </c>
      <c r="E1220" t="s">
        <v>2090</v>
      </c>
      <c r="F1220" s="40">
        <v>3</v>
      </c>
    </row>
    <row r="1221" spans="3:6" x14ac:dyDescent="0.25">
      <c r="D1221" t="s">
        <v>4280</v>
      </c>
      <c r="E1221" t="s">
        <v>4281</v>
      </c>
      <c r="F1221" s="40">
        <v>3</v>
      </c>
    </row>
    <row r="1222" spans="3:6" x14ac:dyDescent="0.25">
      <c r="C1222" t="s">
        <v>7648</v>
      </c>
      <c r="D1222" t="s">
        <v>6792</v>
      </c>
      <c r="E1222" t="s">
        <v>6793</v>
      </c>
      <c r="F1222" s="40">
        <v>1</v>
      </c>
    </row>
    <row r="1223" spans="3:6" x14ac:dyDescent="0.25">
      <c r="D1223" t="s">
        <v>1541</v>
      </c>
      <c r="E1223" t="s">
        <v>1542</v>
      </c>
      <c r="F1223" s="40">
        <v>2</v>
      </c>
    </row>
    <row r="1224" spans="3:6" x14ac:dyDescent="0.25">
      <c r="D1224" t="s">
        <v>580</v>
      </c>
      <c r="E1224" t="s">
        <v>581</v>
      </c>
      <c r="F1224" s="40">
        <v>4</v>
      </c>
    </row>
    <row r="1225" spans="3:6" x14ac:dyDescent="0.25">
      <c r="D1225" t="s">
        <v>941</v>
      </c>
      <c r="E1225" t="s">
        <v>942</v>
      </c>
      <c r="F1225" s="40">
        <v>2</v>
      </c>
    </row>
    <row r="1226" spans="3:6" x14ac:dyDescent="0.25">
      <c r="D1226" t="s">
        <v>519</v>
      </c>
      <c r="E1226" t="s">
        <v>520</v>
      </c>
      <c r="F1226" s="40">
        <v>4</v>
      </c>
    </row>
    <row r="1227" spans="3:6" x14ac:dyDescent="0.25">
      <c r="D1227" t="s">
        <v>3046</v>
      </c>
      <c r="E1227" t="s">
        <v>3047</v>
      </c>
      <c r="F1227" s="40">
        <v>1</v>
      </c>
    </row>
    <row r="1228" spans="3:6" x14ac:dyDescent="0.25">
      <c r="D1228" t="s">
        <v>583</v>
      </c>
      <c r="E1228" t="s">
        <v>584</v>
      </c>
      <c r="F1228" s="40">
        <v>4</v>
      </c>
    </row>
    <row r="1229" spans="3:6" x14ac:dyDescent="0.25">
      <c r="D1229" t="s">
        <v>577</v>
      </c>
      <c r="E1229" t="s">
        <v>578</v>
      </c>
      <c r="F1229" s="40">
        <v>2</v>
      </c>
    </row>
    <row r="1230" spans="3:6" x14ac:dyDescent="0.25">
      <c r="D1230" t="s">
        <v>4795</v>
      </c>
      <c r="E1230" t="s">
        <v>4796</v>
      </c>
      <c r="F1230" s="40">
        <v>4</v>
      </c>
    </row>
    <row r="1231" spans="3:6" x14ac:dyDescent="0.25">
      <c r="D1231" t="s">
        <v>512</v>
      </c>
      <c r="E1231" t="s">
        <v>513</v>
      </c>
      <c r="F1231" s="40">
        <v>1</v>
      </c>
    </row>
    <row r="1232" spans="3:6" x14ac:dyDescent="0.25">
      <c r="D1232" t="s">
        <v>4867</v>
      </c>
      <c r="E1232" t="s">
        <v>4868</v>
      </c>
      <c r="F1232" s="40">
        <v>2</v>
      </c>
    </row>
    <row r="1233" spans="3:6" x14ac:dyDescent="0.25">
      <c r="D1233" t="s">
        <v>460</v>
      </c>
      <c r="E1233" t="s">
        <v>461</v>
      </c>
      <c r="F1233" s="40">
        <v>9</v>
      </c>
    </row>
    <row r="1234" spans="3:6" x14ac:dyDescent="0.25">
      <c r="D1234" t="s">
        <v>2527</v>
      </c>
      <c r="E1234" t="s">
        <v>2528</v>
      </c>
      <c r="F1234" s="40">
        <v>2</v>
      </c>
    </row>
    <row r="1235" spans="3:6" x14ac:dyDescent="0.25">
      <c r="D1235" t="s">
        <v>5090</v>
      </c>
      <c r="E1235" t="s">
        <v>5091</v>
      </c>
      <c r="F1235" s="40">
        <v>1</v>
      </c>
    </row>
    <row r="1236" spans="3:6" x14ac:dyDescent="0.25">
      <c r="D1236" t="s">
        <v>1528</v>
      </c>
      <c r="E1236" t="s">
        <v>1529</v>
      </c>
      <c r="F1236" s="40">
        <v>2</v>
      </c>
    </row>
    <row r="1237" spans="3:6" x14ac:dyDescent="0.25">
      <c r="D1237" t="s">
        <v>2089</v>
      </c>
      <c r="E1237" t="s">
        <v>2090</v>
      </c>
      <c r="F1237" s="40">
        <v>2</v>
      </c>
    </row>
    <row r="1238" spans="3:6" x14ac:dyDescent="0.25">
      <c r="D1238" t="s">
        <v>4540</v>
      </c>
      <c r="E1238" t="s">
        <v>4541</v>
      </c>
      <c r="F1238" s="40">
        <v>1</v>
      </c>
    </row>
    <row r="1239" spans="3:6" x14ac:dyDescent="0.25">
      <c r="D1239" t="s">
        <v>4280</v>
      </c>
      <c r="E1239" t="s">
        <v>4281</v>
      </c>
      <c r="F1239" s="40">
        <v>2</v>
      </c>
    </row>
    <row r="1240" spans="3:6" x14ac:dyDescent="0.25">
      <c r="D1240" t="s">
        <v>701</v>
      </c>
      <c r="E1240" t="s">
        <v>702</v>
      </c>
      <c r="F1240" s="40">
        <v>1</v>
      </c>
    </row>
    <row r="1241" spans="3:6" x14ac:dyDescent="0.25">
      <c r="C1241" t="s">
        <v>7610</v>
      </c>
      <c r="D1241" t="s">
        <v>563</v>
      </c>
      <c r="E1241" t="s">
        <v>564</v>
      </c>
      <c r="F1241" s="40">
        <v>2</v>
      </c>
    </row>
    <row r="1242" spans="3:6" x14ac:dyDescent="0.25">
      <c r="D1242" t="s">
        <v>1528</v>
      </c>
      <c r="E1242" t="s">
        <v>1529</v>
      </c>
      <c r="F1242" s="40">
        <v>1</v>
      </c>
    </row>
    <row r="1243" spans="3:6" x14ac:dyDescent="0.25">
      <c r="D1243" t="s">
        <v>2089</v>
      </c>
      <c r="E1243" t="s">
        <v>2090</v>
      </c>
      <c r="F1243" s="40">
        <v>1</v>
      </c>
    </row>
    <row r="1244" spans="3:6" x14ac:dyDescent="0.25">
      <c r="D1244" t="s">
        <v>4280</v>
      </c>
      <c r="E1244" t="s">
        <v>4281</v>
      </c>
      <c r="F1244" s="40">
        <v>1</v>
      </c>
    </row>
    <row r="1245" spans="3:6" x14ac:dyDescent="0.25">
      <c r="C1245" t="s">
        <v>7643</v>
      </c>
      <c r="D1245" t="s">
        <v>6713</v>
      </c>
      <c r="E1245" t="s">
        <v>6714</v>
      </c>
      <c r="F1245" s="40">
        <v>1</v>
      </c>
    </row>
    <row r="1246" spans="3:6" x14ac:dyDescent="0.25">
      <c r="D1246" t="s">
        <v>941</v>
      </c>
      <c r="E1246" t="s">
        <v>942</v>
      </c>
      <c r="F1246" s="40">
        <v>1</v>
      </c>
    </row>
    <row r="1247" spans="3:6" x14ac:dyDescent="0.25">
      <c r="D1247" t="s">
        <v>6735</v>
      </c>
      <c r="E1247" t="s">
        <v>6736</v>
      </c>
      <c r="F1247" s="40">
        <v>3</v>
      </c>
    </row>
    <row r="1248" spans="3:6" x14ac:dyDescent="0.25">
      <c r="D1248" t="s">
        <v>519</v>
      </c>
      <c r="E1248" t="s">
        <v>520</v>
      </c>
      <c r="F1248" s="40">
        <v>4</v>
      </c>
    </row>
    <row r="1249" spans="3:6" x14ac:dyDescent="0.25">
      <c r="D1249" t="s">
        <v>577</v>
      </c>
      <c r="E1249" t="s">
        <v>578</v>
      </c>
      <c r="F1249" s="40">
        <v>3</v>
      </c>
    </row>
    <row r="1250" spans="3:6" x14ac:dyDescent="0.25">
      <c r="D1250" t="s">
        <v>1528</v>
      </c>
      <c r="E1250" t="s">
        <v>1529</v>
      </c>
      <c r="F1250" s="40">
        <v>1</v>
      </c>
    </row>
    <row r="1251" spans="3:6" x14ac:dyDescent="0.25">
      <c r="D1251" t="s">
        <v>2089</v>
      </c>
      <c r="E1251" t="s">
        <v>2090</v>
      </c>
      <c r="F1251" s="40">
        <v>1</v>
      </c>
    </row>
    <row r="1252" spans="3:6" x14ac:dyDescent="0.25">
      <c r="D1252" t="s">
        <v>4540</v>
      </c>
      <c r="E1252" t="s">
        <v>4541</v>
      </c>
      <c r="F1252" s="40">
        <v>1</v>
      </c>
    </row>
    <row r="1253" spans="3:6" x14ac:dyDescent="0.25">
      <c r="D1253" t="s">
        <v>4280</v>
      </c>
      <c r="E1253" t="s">
        <v>4281</v>
      </c>
      <c r="F1253" s="40">
        <v>1</v>
      </c>
    </row>
    <row r="1254" spans="3:6" x14ac:dyDescent="0.25">
      <c r="D1254" t="s">
        <v>2213</v>
      </c>
      <c r="E1254" t="s">
        <v>2214</v>
      </c>
      <c r="F1254" s="40">
        <v>5</v>
      </c>
    </row>
    <row r="1255" spans="3:6" x14ac:dyDescent="0.25">
      <c r="D1255" t="s">
        <v>2229</v>
      </c>
      <c r="E1255" t="s">
        <v>2230</v>
      </c>
      <c r="F1255" s="40">
        <v>5</v>
      </c>
    </row>
    <row r="1256" spans="3:6" x14ac:dyDescent="0.25">
      <c r="C1256" t="s">
        <v>7607</v>
      </c>
      <c r="D1256" t="s">
        <v>704</v>
      </c>
      <c r="E1256" t="s">
        <v>705</v>
      </c>
      <c r="F1256" s="40">
        <v>1</v>
      </c>
    </row>
    <row r="1257" spans="3:6" x14ac:dyDescent="0.25">
      <c r="D1257" t="s">
        <v>692</v>
      </c>
      <c r="E1257" t="s">
        <v>693</v>
      </c>
      <c r="F1257" s="40">
        <v>1</v>
      </c>
    </row>
    <row r="1258" spans="3:6" x14ac:dyDescent="0.25">
      <c r="D1258" t="s">
        <v>1541</v>
      </c>
      <c r="E1258" t="s">
        <v>1542</v>
      </c>
      <c r="F1258" s="40">
        <v>1</v>
      </c>
    </row>
    <row r="1259" spans="3:6" x14ac:dyDescent="0.25">
      <c r="D1259" t="s">
        <v>941</v>
      </c>
      <c r="E1259" t="s">
        <v>942</v>
      </c>
      <c r="F1259" s="40">
        <v>1</v>
      </c>
    </row>
    <row r="1260" spans="3:6" x14ac:dyDescent="0.25">
      <c r="D1260" t="s">
        <v>519</v>
      </c>
      <c r="E1260" t="s">
        <v>520</v>
      </c>
      <c r="F1260" s="40">
        <v>2</v>
      </c>
    </row>
    <row r="1261" spans="3:6" x14ac:dyDescent="0.25">
      <c r="D1261" t="s">
        <v>297</v>
      </c>
      <c r="E1261" t="s">
        <v>298</v>
      </c>
      <c r="F1261" s="40">
        <v>3</v>
      </c>
    </row>
    <row r="1262" spans="3:6" x14ac:dyDescent="0.25">
      <c r="D1262" t="s">
        <v>3046</v>
      </c>
      <c r="E1262" t="s">
        <v>3047</v>
      </c>
      <c r="F1262" s="40">
        <v>2</v>
      </c>
    </row>
    <row r="1263" spans="3:6" x14ac:dyDescent="0.25">
      <c r="D1263" t="s">
        <v>577</v>
      </c>
      <c r="E1263" t="s">
        <v>578</v>
      </c>
      <c r="F1263" s="40">
        <v>1</v>
      </c>
    </row>
    <row r="1264" spans="3:6" x14ac:dyDescent="0.25">
      <c r="D1264" t="s">
        <v>4795</v>
      </c>
      <c r="E1264" t="s">
        <v>4796</v>
      </c>
      <c r="F1264" s="40">
        <v>5</v>
      </c>
    </row>
    <row r="1265" spans="3:6" x14ac:dyDescent="0.25">
      <c r="D1265" t="s">
        <v>460</v>
      </c>
      <c r="E1265" t="s">
        <v>461</v>
      </c>
      <c r="F1265" s="40">
        <v>8</v>
      </c>
    </row>
    <row r="1266" spans="3:6" x14ac:dyDescent="0.25">
      <c r="D1266" t="s">
        <v>5090</v>
      </c>
      <c r="E1266" t="s">
        <v>5091</v>
      </c>
      <c r="F1266" s="40">
        <v>2</v>
      </c>
    </row>
    <row r="1267" spans="3:6" x14ac:dyDescent="0.25">
      <c r="D1267" t="s">
        <v>6156</v>
      </c>
      <c r="E1267" t="s">
        <v>6157</v>
      </c>
      <c r="F1267" s="40">
        <v>2</v>
      </c>
    </row>
    <row r="1268" spans="3:6" x14ac:dyDescent="0.25">
      <c r="D1268" t="s">
        <v>4844</v>
      </c>
      <c r="E1268" t="s">
        <v>4845</v>
      </c>
      <c r="F1268" s="40">
        <v>2</v>
      </c>
    </row>
    <row r="1269" spans="3:6" x14ac:dyDescent="0.25">
      <c r="D1269" t="s">
        <v>698</v>
      </c>
      <c r="E1269" t="s">
        <v>699</v>
      </c>
      <c r="F1269" s="40">
        <v>2</v>
      </c>
    </row>
    <row r="1270" spans="3:6" x14ac:dyDescent="0.25">
      <c r="D1270" t="s">
        <v>695</v>
      </c>
      <c r="E1270" t="s">
        <v>696</v>
      </c>
      <c r="F1270" s="40">
        <v>2</v>
      </c>
    </row>
    <row r="1271" spans="3:6" x14ac:dyDescent="0.25">
      <c r="D1271" t="s">
        <v>701</v>
      </c>
      <c r="E1271" t="s">
        <v>702</v>
      </c>
      <c r="F1271" s="40">
        <v>6</v>
      </c>
    </row>
    <row r="1272" spans="3:6" x14ac:dyDescent="0.25">
      <c r="C1272" t="s">
        <v>7611</v>
      </c>
      <c r="D1272" t="s">
        <v>1274</v>
      </c>
      <c r="E1272" t="s">
        <v>1275</v>
      </c>
      <c r="F1272" s="40">
        <v>4</v>
      </c>
    </row>
    <row r="1273" spans="3:6" x14ac:dyDescent="0.25">
      <c r="D1273" t="s">
        <v>941</v>
      </c>
      <c r="E1273" t="s">
        <v>942</v>
      </c>
      <c r="F1273" s="40">
        <v>2</v>
      </c>
    </row>
    <row r="1274" spans="3:6" x14ac:dyDescent="0.25">
      <c r="D1274" t="s">
        <v>519</v>
      </c>
      <c r="E1274" t="s">
        <v>520</v>
      </c>
      <c r="F1274" s="40">
        <v>2</v>
      </c>
    </row>
    <row r="1275" spans="3:6" x14ac:dyDescent="0.25">
      <c r="D1275" t="s">
        <v>3046</v>
      </c>
      <c r="E1275" t="s">
        <v>3047</v>
      </c>
      <c r="F1275" s="40">
        <v>4</v>
      </c>
    </row>
    <row r="1276" spans="3:6" x14ac:dyDescent="0.25">
      <c r="D1276" t="s">
        <v>583</v>
      </c>
      <c r="E1276" t="s">
        <v>584</v>
      </c>
      <c r="F1276" s="40">
        <v>4</v>
      </c>
    </row>
    <row r="1277" spans="3:6" x14ac:dyDescent="0.25">
      <c r="D1277" t="s">
        <v>460</v>
      </c>
      <c r="E1277" t="s">
        <v>461</v>
      </c>
      <c r="F1277" s="40">
        <v>12</v>
      </c>
    </row>
    <row r="1278" spans="3:6" x14ac:dyDescent="0.25">
      <c r="D1278" t="s">
        <v>2527</v>
      </c>
      <c r="E1278" t="s">
        <v>2528</v>
      </c>
      <c r="F1278" s="40">
        <v>4</v>
      </c>
    </row>
    <row r="1279" spans="3:6" x14ac:dyDescent="0.25">
      <c r="D1279" t="s">
        <v>6156</v>
      </c>
      <c r="E1279" t="s">
        <v>6157</v>
      </c>
      <c r="F1279" s="40">
        <v>1</v>
      </c>
    </row>
    <row r="1280" spans="3:6" x14ac:dyDescent="0.25">
      <c r="D1280" t="s">
        <v>4844</v>
      </c>
      <c r="E1280" t="s">
        <v>4845</v>
      </c>
      <c r="F1280" s="40">
        <v>1</v>
      </c>
    </row>
    <row r="1281" spans="3:6" x14ac:dyDescent="0.25">
      <c r="D1281" t="s">
        <v>698</v>
      </c>
      <c r="E1281" t="s">
        <v>699</v>
      </c>
      <c r="F1281" s="40">
        <v>4</v>
      </c>
    </row>
    <row r="1282" spans="3:6" x14ac:dyDescent="0.25">
      <c r="D1282" t="s">
        <v>695</v>
      </c>
      <c r="E1282" t="s">
        <v>696</v>
      </c>
      <c r="F1282" s="40">
        <v>4</v>
      </c>
    </row>
    <row r="1283" spans="3:6" x14ac:dyDescent="0.25">
      <c r="D1283" t="s">
        <v>701</v>
      </c>
      <c r="E1283" t="s">
        <v>702</v>
      </c>
      <c r="F1283" s="40">
        <v>8</v>
      </c>
    </row>
    <row r="1284" spans="3:6" x14ac:dyDescent="0.25">
      <c r="C1284" t="s">
        <v>7633</v>
      </c>
      <c r="D1284" t="s">
        <v>4848</v>
      </c>
      <c r="E1284" t="s">
        <v>4849</v>
      </c>
      <c r="F1284" s="40">
        <v>1</v>
      </c>
    </row>
    <row r="1285" spans="3:6" x14ac:dyDescent="0.25">
      <c r="D1285" t="s">
        <v>6685</v>
      </c>
      <c r="E1285" t="s">
        <v>6686</v>
      </c>
      <c r="F1285" s="40">
        <v>1</v>
      </c>
    </row>
    <row r="1286" spans="3:6" x14ac:dyDescent="0.25">
      <c r="D1286" t="s">
        <v>941</v>
      </c>
      <c r="E1286" t="s">
        <v>942</v>
      </c>
      <c r="F1286" s="40">
        <v>8</v>
      </c>
    </row>
    <row r="1287" spans="3:6" x14ac:dyDescent="0.25">
      <c r="D1287" t="s">
        <v>4248</v>
      </c>
      <c r="E1287" t="s">
        <v>4249</v>
      </c>
      <c r="F1287" s="40">
        <v>2</v>
      </c>
    </row>
    <row r="1288" spans="3:6" x14ac:dyDescent="0.25">
      <c r="D1288" t="s">
        <v>519</v>
      </c>
      <c r="E1288" t="s">
        <v>520</v>
      </c>
      <c r="F1288" s="40">
        <v>8</v>
      </c>
    </row>
    <row r="1289" spans="3:6" x14ac:dyDescent="0.25">
      <c r="D1289" t="s">
        <v>3046</v>
      </c>
      <c r="E1289" t="s">
        <v>3047</v>
      </c>
      <c r="F1289" s="40">
        <v>4</v>
      </c>
    </row>
    <row r="1290" spans="3:6" x14ac:dyDescent="0.25">
      <c r="D1290" t="s">
        <v>932</v>
      </c>
      <c r="E1290" t="s">
        <v>933</v>
      </c>
      <c r="F1290" s="40">
        <v>2</v>
      </c>
    </row>
    <row r="1291" spans="3:6" x14ac:dyDescent="0.25">
      <c r="D1291" t="s">
        <v>460</v>
      </c>
      <c r="E1291" t="s">
        <v>461</v>
      </c>
      <c r="F1291" s="40">
        <v>4</v>
      </c>
    </row>
    <row r="1292" spans="3:6" x14ac:dyDescent="0.25">
      <c r="D1292" t="s">
        <v>2527</v>
      </c>
      <c r="E1292" t="s">
        <v>2528</v>
      </c>
      <c r="F1292" s="40">
        <v>4</v>
      </c>
    </row>
    <row r="1293" spans="3:6" x14ac:dyDescent="0.25">
      <c r="D1293" t="s">
        <v>6156</v>
      </c>
      <c r="E1293" t="s">
        <v>6157</v>
      </c>
      <c r="F1293" s="40">
        <v>2</v>
      </c>
    </row>
    <row r="1294" spans="3:6" x14ac:dyDescent="0.25">
      <c r="D1294" t="s">
        <v>6638</v>
      </c>
      <c r="E1294" t="s">
        <v>6639</v>
      </c>
      <c r="F1294" s="40">
        <v>1</v>
      </c>
    </row>
    <row r="1295" spans="3:6" x14ac:dyDescent="0.25">
      <c r="D1295" t="s">
        <v>1798</v>
      </c>
      <c r="E1295" t="s">
        <v>6688</v>
      </c>
      <c r="F1295" s="40">
        <v>1</v>
      </c>
    </row>
    <row r="1296" spans="3:6" x14ac:dyDescent="0.25">
      <c r="D1296" t="s">
        <v>4844</v>
      </c>
      <c r="E1296" t="s">
        <v>4845</v>
      </c>
      <c r="F1296" s="40">
        <v>2</v>
      </c>
    </row>
    <row r="1297" spans="1:6" x14ac:dyDescent="0.25">
      <c r="D1297" t="s">
        <v>2213</v>
      </c>
      <c r="E1297" t="s">
        <v>2214</v>
      </c>
      <c r="F1297" s="40">
        <v>1</v>
      </c>
    </row>
    <row r="1298" spans="1:6" x14ac:dyDescent="0.25">
      <c r="D1298" t="s">
        <v>2229</v>
      </c>
      <c r="E1298" t="s">
        <v>2230</v>
      </c>
      <c r="F1298" s="40">
        <v>1</v>
      </c>
    </row>
    <row r="1299" spans="1:6" x14ac:dyDescent="0.25">
      <c r="A1299" t="s">
        <v>7851</v>
      </c>
      <c r="F1299" s="40">
        <v>1154</v>
      </c>
    </row>
    <row r="1300" spans="1:6" x14ac:dyDescent="0.25">
      <c r="A1300" t="s">
        <v>7673</v>
      </c>
      <c r="B1300" t="s">
        <v>614</v>
      </c>
      <c r="C1300" t="s">
        <v>7231</v>
      </c>
      <c r="D1300" t="s">
        <v>596</v>
      </c>
      <c r="E1300" t="s">
        <v>597</v>
      </c>
      <c r="F1300" s="40">
        <v>1</v>
      </c>
    </row>
    <row r="1301" spans="1:6" x14ac:dyDescent="0.25">
      <c r="C1301" t="s">
        <v>7249</v>
      </c>
      <c r="D1301" t="s">
        <v>596</v>
      </c>
      <c r="E1301" t="s">
        <v>597</v>
      </c>
      <c r="F1301" s="40">
        <v>1</v>
      </c>
    </row>
    <row r="1302" spans="1:6" x14ac:dyDescent="0.25">
      <c r="C1302" t="s">
        <v>7254</v>
      </c>
      <c r="D1302" t="s">
        <v>596</v>
      </c>
      <c r="E1302" t="s">
        <v>597</v>
      </c>
      <c r="F1302" s="40">
        <v>1</v>
      </c>
    </row>
    <row r="1303" spans="1:6" x14ac:dyDescent="0.25">
      <c r="B1303" t="s">
        <v>589</v>
      </c>
      <c r="C1303" t="s">
        <v>7231</v>
      </c>
      <c r="D1303" t="s">
        <v>592</v>
      </c>
      <c r="E1303" t="s">
        <v>593</v>
      </c>
      <c r="F1303" s="40">
        <v>2</v>
      </c>
    </row>
    <row r="1304" spans="1:6" x14ac:dyDescent="0.25">
      <c r="D1304" t="s">
        <v>596</v>
      </c>
      <c r="E1304" t="s">
        <v>597</v>
      </c>
      <c r="F1304" s="40">
        <v>1</v>
      </c>
    </row>
    <row r="1305" spans="1:6" x14ac:dyDescent="0.25">
      <c r="B1305" t="s">
        <v>1293</v>
      </c>
      <c r="C1305" t="s">
        <v>7231</v>
      </c>
      <c r="D1305" t="s">
        <v>596</v>
      </c>
      <c r="E1305" t="s">
        <v>597</v>
      </c>
      <c r="F1305" s="40">
        <v>1</v>
      </c>
    </row>
    <row r="1306" spans="1:6" x14ac:dyDescent="0.25">
      <c r="B1306" t="s">
        <v>2261</v>
      </c>
      <c r="C1306" t="s">
        <v>7266</v>
      </c>
      <c r="D1306" t="s">
        <v>563</v>
      </c>
      <c r="E1306" t="s">
        <v>564</v>
      </c>
      <c r="F1306" s="40">
        <v>6</v>
      </c>
    </row>
    <row r="1307" spans="1:6" x14ac:dyDescent="0.25">
      <c r="D1307" t="s">
        <v>2279</v>
      </c>
      <c r="E1307" t="s">
        <v>2280</v>
      </c>
      <c r="F1307" s="40">
        <v>2</v>
      </c>
    </row>
    <row r="1308" spans="1:6" x14ac:dyDescent="0.25">
      <c r="D1308" t="s">
        <v>360</v>
      </c>
      <c r="E1308" t="s">
        <v>361</v>
      </c>
      <c r="F1308" s="40">
        <v>2</v>
      </c>
    </row>
    <row r="1309" spans="1:6" x14ac:dyDescent="0.25">
      <c r="D1309" t="s">
        <v>265</v>
      </c>
      <c r="E1309" t="s">
        <v>266</v>
      </c>
      <c r="F1309" s="40">
        <v>6</v>
      </c>
    </row>
    <row r="1310" spans="1:6" x14ac:dyDescent="0.25">
      <c r="D1310" t="s">
        <v>1626</v>
      </c>
      <c r="E1310" t="s">
        <v>1627</v>
      </c>
      <c r="F1310" s="40">
        <v>2</v>
      </c>
    </row>
    <row r="1311" spans="1:6" x14ac:dyDescent="0.25">
      <c r="D1311" t="s">
        <v>366</v>
      </c>
      <c r="E1311" t="s">
        <v>367</v>
      </c>
      <c r="F1311" s="40">
        <v>2</v>
      </c>
    </row>
    <row r="1312" spans="1:6" x14ac:dyDescent="0.25">
      <c r="D1312" t="s">
        <v>491</v>
      </c>
      <c r="E1312" t="s">
        <v>492</v>
      </c>
      <c r="F1312" s="40">
        <v>2</v>
      </c>
    </row>
    <row r="1313" spans="2:6" x14ac:dyDescent="0.25">
      <c r="D1313" t="s">
        <v>482</v>
      </c>
      <c r="E1313" t="s">
        <v>483</v>
      </c>
      <c r="F1313" s="40">
        <v>2</v>
      </c>
    </row>
    <row r="1314" spans="2:6" x14ac:dyDescent="0.25">
      <c r="B1314" t="s">
        <v>7879</v>
      </c>
      <c r="C1314" t="s">
        <v>7266</v>
      </c>
      <c r="D1314" t="s">
        <v>304</v>
      </c>
      <c r="E1314" t="s">
        <v>305</v>
      </c>
      <c r="F1314" s="40">
        <v>2</v>
      </c>
    </row>
    <row r="1315" spans="2:6" x14ac:dyDescent="0.25">
      <c r="D1315" t="s">
        <v>464</v>
      </c>
      <c r="E1315" t="s">
        <v>465</v>
      </c>
      <c r="F1315" s="40">
        <v>2</v>
      </c>
    </row>
    <row r="1316" spans="2:6" x14ac:dyDescent="0.25">
      <c r="B1316" t="s">
        <v>7877</v>
      </c>
      <c r="C1316" t="s">
        <v>7266</v>
      </c>
      <c r="D1316" t="s">
        <v>2386</v>
      </c>
      <c r="E1316" t="s">
        <v>2387</v>
      </c>
      <c r="F1316" s="40">
        <v>20</v>
      </c>
    </row>
    <row r="1317" spans="2:6" x14ac:dyDescent="0.25">
      <c r="B1317" t="s">
        <v>7878</v>
      </c>
      <c r="C1317" t="s">
        <v>7266</v>
      </c>
      <c r="D1317" t="s">
        <v>2410</v>
      </c>
      <c r="E1317" t="s">
        <v>2411</v>
      </c>
      <c r="F1317" s="40">
        <v>1</v>
      </c>
    </row>
    <row r="1318" spans="2:6" x14ac:dyDescent="0.25">
      <c r="D1318" t="s">
        <v>2413</v>
      </c>
      <c r="E1318" t="s">
        <v>2414</v>
      </c>
      <c r="F1318" s="40">
        <v>1</v>
      </c>
    </row>
    <row r="1319" spans="2:6" x14ac:dyDescent="0.25">
      <c r="D1319" t="s">
        <v>2427</v>
      </c>
      <c r="E1319" t="s">
        <v>2428</v>
      </c>
      <c r="F1319" s="40">
        <v>5</v>
      </c>
    </row>
    <row r="1320" spans="2:6" x14ac:dyDescent="0.25">
      <c r="D1320" t="s">
        <v>2431</v>
      </c>
      <c r="E1320" t="s">
        <v>2428</v>
      </c>
      <c r="F1320" s="40">
        <v>2</v>
      </c>
    </row>
    <row r="1321" spans="2:6" x14ac:dyDescent="0.25">
      <c r="D1321" t="s">
        <v>2434</v>
      </c>
      <c r="E1321" t="s">
        <v>2435</v>
      </c>
      <c r="F1321" s="40">
        <v>1</v>
      </c>
    </row>
    <row r="1322" spans="2:6" x14ac:dyDescent="0.25">
      <c r="D1322" t="s">
        <v>2213</v>
      </c>
      <c r="E1322" t="s">
        <v>2214</v>
      </c>
      <c r="F1322" s="40">
        <v>3</v>
      </c>
    </row>
    <row r="1323" spans="2:6" x14ac:dyDescent="0.25">
      <c r="D1323" t="s">
        <v>2229</v>
      </c>
      <c r="E1323" t="s">
        <v>2230</v>
      </c>
      <c r="F1323" s="40">
        <v>3</v>
      </c>
    </row>
    <row r="1324" spans="2:6" x14ac:dyDescent="0.25">
      <c r="D1324" t="s">
        <v>2417</v>
      </c>
      <c r="E1324" t="s">
        <v>2418</v>
      </c>
      <c r="F1324" s="40">
        <v>3</v>
      </c>
    </row>
    <row r="1325" spans="2:6" x14ac:dyDescent="0.25">
      <c r="D1325" t="s">
        <v>2424</v>
      </c>
      <c r="E1325" t="s">
        <v>2425</v>
      </c>
      <c r="F1325" s="40">
        <v>1</v>
      </c>
    </row>
    <row r="1326" spans="2:6" x14ac:dyDescent="0.25">
      <c r="D1326" t="s">
        <v>2404</v>
      </c>
      <c r="E1326" t="s">
        <v>2405</v>
      </c>
      <c r="F1326" s="40">
        <v>5</v>
      </c>
    </row>
    <row r="1327" spans="2:6" x14ac:dyDescent="0.25">
      <c r="D1327" t="s">
        <v>2398</v>
      </c>
      <c r="E1327" t="s">
        <v>2399</v>
      </c>
      <c r="F1327" s="40">
        <v>1</v>
      </c>
    </row>
    <row r="1328" spans="2:6" x14ac:dyDescent="0.25">
      <c r="D1328" t="s">
        <v>2407</v>
      </c>
      <c r="E1328" t="s">
        <v>2408</v>
      </c>
      <c r="F1328" s="40">
        <v>2</v>
      </c>
    </row>
    <row r="1329" spans="2:6" x14ac:dyDescent="0.25">
      <c r="D1329" t="s">
        <v>2401</v>
      </c>
      <c r="E1329" t="s">
        <v>2402</v>
      </c>
      <c r="F1329" s="40">
        <v>1</v>
      </c>
    </row>
    <row r="1330" spans="2:6" x14ac:dyDescent="0.25">
      <c r="D1330" t="s">
        <v>2421</v>
      </c>
      <c r="E1330" t="s">
        <v>2422</v>
      </c>
      <c r="F1330" s="40">
        <v>2</v>
      </c>
    </row>
    <row r="1331" spans="2:6" x14ac:dyDescent="0.25">
      <c r="B1331" t="s">
        <v>7960</v>
      </c>
      <c r="C1331" t="s">
        <v>7266</v>
      </c>
      <c r="D1331" t="s">
        <v>360</v>
      </c>
      <c r="E1331" t="s">
        <v>361</v>
      </c>
      <c r="F1331" s="40">
        <v>2</v>
      </c>
    </row>
    <row r="1332" spans="2:6" x14ac:dyDescent="0.25">
      <c r="B1332" t="s">
        <v>2493</v>
      </c>
      <c r="C1332" t="s">
        <v>7266</v>
      </c>
      <c r="D1332" t="s">
        <v>2523</v>
      </c>
      <c r="E1332" t="s">
        <v>2524</v>
      </c>
      <c r="F1332" s="40">
        <v>1</v>
      </c>
    </row>
    <row r="1333" spans="2:6" x14ac:dyDescent="0.25">
      <c r="D1333" t="s">
        <v>2511</v>
      </c>
      <c r="E1333" t="s">
        <v>2512</v>
      </c>
      <c r="F1333" s="40">
        <v>2</v>
      </c>
    </row>
    <row r="1334" spans="2:6" x14ac:dyDescent="0.25">
      <c r="D1334" t="s">
        <v>439</v>
      </c>
      <c r="E1334" t="s">
        <v>440</v>
      </c>
      <c r="F1334" s="40">
        <v>4</v>
      </c>
    </row>
    <row r="1335" spans="2:6" x14ac:dyDescent="0.25">
      <c r="D1335" t="s">
        <v>265</v>
      </c>
      <c r="E1335" t="s">
        <v>266</v>
      </c>
      <c r="F1335" s="40">
        <v>10</v>
      </c>
    </row>
    <row r="1336" spans="2:6" x14ac:dyDescent="0.25">
      <c r="D1336" t="s">
        <v>464</v>
      </c>
      <c r="E1336" t="s">
        <v>465</v>
      </c>
      <c r="F1336" s="40">
        <v>2</v>
      </c>
    </row>
    <row r="1337" spans="2:6" x14ac:dyDescent="0.25">
      <c r="D1337" t="s">
        <v>2527</v>
      </c>
      <c r="E1337" t="s">
        <v>2528</v>
      </c>
      <c r="F1337" s="40">
        <v>2</v>
      </c>
    </row>
    <row r="1338" spans="2:6" x14ac:dyDescent="0.25">
      <c r="D1338" t="s">
        <v>2532</v>
      </c>
      <c r="E1338" t="s">
        <v>2533</v>
      </c>
      <c r="F1338" s="40">
        <v>4</v>
      </c>
    </row>
    <row r="1339" spans="2:6" x14ac:dyDescent="0.25">
      <c r="D1339" t="s">
        <v>2508</v>
      </c>
      <c r="E1339" t="s">
        <v>2509</v>
      </c>
      <c r="F1339" s="40">
        <v>12</v>
      </c>
    </row>
    <row r="1340" spans="2:6" x14ac:dyDescent="0.25">
      <c r="D1340" t="s">
        <v>2514</v>
      </c>
      <c r="E1340" t="s">
        <v>2515</v>
      </c>
      <c r="F1340" s="40">
        <v>1</v>
      </c>
    </row>
    <row r="1341" spans="2:6" x14ac:dyDescent="0.25">
      <c r="D1341" t="s">
        <v>2517</v>
      </c>
      <c r="E1341" t="s">
        <v>2518</v>
      </c>
      <c r="F1341" s="40">
        <v>1</v>
      </c>
    </row>
    <row r="1342" spans="2:6" x14ac:dyDescent="0.25">
      <c r="D1342" t="s">
        <v>2520</v>
      </c>
      <c r="E1342" t="s">
        <v>2521</v>
      </c>
      <c r="F1342" s="40">
        <v>1</v>
      </c>
    </row>
    <row r="1343" spans="2:6" x14ac:dyDescent="0.25">
      <c r="B1343" t="s">
        <v>2193</v>
      </c>
      <c r="C1343" t="s">
        <v>7260</v>
      </c>
      <c r="D1343" t="s">
        <v>704</v>
      </c>
      <c r="E1343" t="s">
        <v>705</v>
      </c>
      <c r="F1343" s="40">
        <v>2</v>
      </c>
    </row>
    <row r="1344" spans="2:6" x14ac:dyDescent="0.25">
      <c r="D1344" t="s">
        <v>692</v>
      </c>
      <c r="E1344" t="s">
        <v>693</v>
      </c>
      <c r="F1344" s="40">
        <v>3</v>
      </c>
    </row>
    <row r="1345" spans="2:6" x14ac:dyDescent="0.25">
      <c r="D1345" t="s">
        <v>941</v>
      </c>
      <c r="E1345" t="s">
        <v>942</v>
      </c>
      <c r="F1345" s="40">
        <v>3</v>
      </c>
    </row>
    <row r="1346" spans="2:6" x14ac:dyDescent="0.25">
      <c r="D1346" t="s">
        <v>519</v>
      </c>
      <c r="E1346" t="s">
        <v>520</v>
      </c>
      <c r="F1346" s="40">
        <v>3</v>
      </c>
    </row>
    <row r="1347" spans="2:6" x14ac:dyDescent="0.25">
      <c r="D1347" t="s">
        <v>2204</v>
      </c>
      <c r="E1347" t="s">
        <v>2205</v>
      </c>
      <c r="F1347" s="40">
        <v>6</v>
      </c>
    </row>
    <row r="1348" spans="2:6" x14ac:dyDescent="0.25">
      <c r="D1348" t="s">
        <v>698</v>
      </c>
      <c r="E1348" t="s">
        <v>699</v>
      </c>
      <c r="F1348" s="40">
        <v>5</v>
      </c>
    </row>
    <row r="1349" spans="2:6" x14ac:dyDescent="0.25">
      <c r="D1349" t="s">
        <v>695</v>
      </c>
      <c r="E1349" t="s">
        <v>696</v>
      </c>
      <c r="F1349" s="40">
        <v>5</v>
      </c>
    </row>
    <row r="1350" spans="2:6" x14ac:dyDescent="0.25">
      <c r="D1350" t="s">
        <v>701</v>
      </c>
      <c r="E1350" t="s">
        <v>702</v>
      </c>
      <c r="F1350" s="40">
        <v>10</v>
      </c>
    </row>
    <row r="1351" spans="2:6" x14ac:dyDescent="0.25">
      <c r="D1351" t="s">
        <v>2213</v>
      </c>
      <c r="E1351" t="s">
        <v>2214</v>
      </c>
      <c r="F1351" s="40">
        <v>4</v>
      </c>
    </row>
    <row r="1352" spans="2:6" x14ac:dyDescent="0.25">
      <c r="D1352" t="s">
        <v>2229</v>
      </c>
      <c r="E1352" t="s">
        <v>2230</v>
      </c>
      <c r="F1352" s="40">
        <v>4</v>
      </c>
    </row>
    <row r="1353" spans="2:6" x14ac:dyDescent="0.25">
      <c r="B1353" t="s">
        <v>7958</v>
      </c>
      <c r="C1353" t="s">
        <v>7260</v>
      </c>
      <c r="D1353" t="s">
        <v>360</v>
      </c>
      <c r="E1353" t="s">
        <v>361</v>
      </c>
      <c r="F1353" s="40">
        <v>2</v>
      </c>
    </row>
    <row r="1354" spans="2:6" x14ac:dyDescent="0.25">
      <c r="B1354" t="s">
        <v>7959</v>
      </c>
      <c r="C1354" t="s">
        <v>7260</v>
      </c>
      <c r="D1354" t="s">
        <v>1551</v>
      </c>
      <c r="E1354" t="s">
        <v>1552</v>
      </c>
      <c r="F1354" s="40">
        <v>2</v>
      </c>
    </row>
    <row r="1355" spans="2:6" x14ac:dyDescent="0.25">
      <c r="B1355" t="s">
        <v>2238</v>
      </c>
      <c r="C1355" t="s">
        <v>7260</v>
      </c>
      <c r="D1355" t="s">
        <v>265</v>
      </c>
      <c r="E1355" t="s">
        <v>266</v>
      </c>
      <c r="F1355" s="40">
        <v>8</v>
      </c>
    </row>
    <row r="1356" spans="2:6" x14ac:dyDescent="0.25">
      <c r="B1356" t="s">
        <v>1520</v>
      </c>
      <c r="C1356" t="s">
        <v>7249</v>
      </c>
      <c r="D1356" t="s">
        <v>1522</v>
      </c>
      <c r="E1356" t="s">
        <v>1523</v>
      </c>
      <c r="F1356" s="40">
        <v>1</v>
      </c>
    </row>
    <row r="1357" spans="2:6" x14ac:dyDescent="0.25">
      <c r="B1357" t="s">
        <v>1619</v>
      </c>
      <c r="C1357" t="s">
        <v>7231</v>
      </c>
      <c r="D1357" t="s">
        <v>1626</v>
      </c>
      <c r="E1357" t="s">
        <v>1627</v>
      </c>
      <c r="F1357" s="40">
        <v>1</v>
      </c>
    </row>
    <row r="1358" spans="2:6" x14ac:dyDescent="0.25">
      <c r="B1358" t="s">
        <v>1630</v>
      </c>
      <c r="C1358" t="s">
        <v>7231</v>
      </c>
      <c r="D1358" t="s">
        <v>1626</v>
      </c>
      <c r="E1358" t="s">
        <v>1627</v>
      </c>
      <c r="F1358" s="40">
        <v>1</v>
      </c>
    </row>
    <row r="1359" spans="2:6" x14ac:dyDescent="0.25">
      <c r="B1359" t="s">
        <v>2019</v>
      </c>
      <c r="C1359" t="s">
        <v>7249</v>
      </c>
      <c r="D1359" t="s">
        <v>1534</v>
      </c>
      <c r="E1359" t="s">
        <v>1535</v>
      </c>
      <c r="F1359" s="40">
        <v>2</v>
      </c>
    </row>
    <row r="1360" spans="2:6" x14ac:dyDescent="0.25">
      <c r="D1360" t="s">
        <v>2018</v>
      </c>
      <c r="E1360" t="s">
        <v>2019</v>
      </c>
      <c r="F1360" s="40">
        <v>1</v>
      </c>
    </row>
    <row r="1361" spans="2:6" x14ac:dyDescent="0.25">
      <c r="D1361" t="s">
        <v>2022</v>
      </c>
      <c r="E1361" t="s">
        <v>2023</v>
      </c>
      <c r="F1361" s="40">
        <v>1</v>
      </c>
    </row>
    <row r="1362" spans="2:6" x14ac:dyDescent="0.25">
      <c r="D1362" t="s">
        <v>2026</v>
      </c>
      <c r="E1362" t="s">
        <v>2027</v>
      </c>
      <c r="F1362" s="40">
        <v>2</v>
      </c>
    </row>
    <row r="1363" spans="2:6" x14ac:dyDescent="0.25">
      <c r="D1363" t="s">
        <v>2030</v>
      </c>
      <c r="E1363" t="s">
        <v>2031</v>
      </c>
      <c r="F1363" s="40">
        <v>1</v>
      </c>
    </row>
    <row r="1364" spans="2:6" x14ac:dyDescent="0.25">
      <c r="D1364" t="s">
        <v>2034</v>
      </c>
      <c r="E1364" t="s">
        <v>2035</v>
      </c>
      <c r="F1364" s="40">
        <v>2</v>
      </c>
    </row>
    <row r="1365" spans="2:6" x14ac:dyDescent="0.25">
      <c r="D1365" t="s">
        <v>2038</v>
      </c>
      <c r="E1365" t="s">
        <v>2039</v>
      </c>
      <c r="F1365" s="40">
        <v>2</v>
      </c>
    </row>
    <row r="1366" spans="2:6" x14ac:dyDescent="0.25">
      <c r="D1366" t="s">
        <v>2042</v>
      </c>
      <c r="E1366" t="s">
        <v>2043</v>
      </c>
      <c r="F1366" s="40">
        <v>2</v>
      </c>
    </row>
    <row r="1367" spans="2:6" x14ac:dyDescent="0.25">
      <c r="D1367" t="s">
        <v>2046</v>
      </c>
      <c r="E1367" t="s">
        <v>2047</v>
      </c>
      <c r="F1367" s="40">
        <v>1</v>
      </c>
    </row>
    <row r="1368" spans="2:6" x14ac:dyDescent="0.25">
      <c r="B1368" t="s">
        <v>7237</v>
      </c>
      <c r="C1368" t="s">
        <v>7233</v>
      </c>
      <c r="D1368" t="s">
        <v>1784</v>
      </c>
      <c r="E1368" t="s">
        <v>1785</v>
      </c>
      <c r="F1368" s="40">
        <v>2</v>
      </c>
    </row>
    <row r="1369" spans="2:6" x14ac:dyDescent="0.25">
      <c r="B1369" t="s">
        <v>7239</v>
      </c>
      <c r="C1369" t="s">
        <v>7233</v>
      </c>
      <c r="D1369" t="s">
        <v>1784</v>
      </c>
      <c r="E1369" t="s">
        <v>1785</v>
      </c>
      <c r="F1369" s="40">
        <v>2</v>
      </c>
    </row>
    <row r="1370" spans="2:6" x14ac:dyDescent="0.25">
      <c r="B1370" t="s">
        <v>7258</v>
      </c>
      <c r="C1370" t="s">
        <v>7254</v>
      </c>
      <c r="D1370" t="s">
        <v>2179</v>
      </c>
      <c r="E1370" t="s">
        <v>1552</v>
      </c>
      <c r="F1370" s="40">
        <v>2</v>
      </c>
    </row>
    <row r="1371" spans="2:6" x14ac:dyDescent="0.25">
      <c r="B1371" t="s">
        <v>2052</v>
      </c>
      <c r="C1371" t="s">
        <v>7249</v>
      </c>
      <c r="D1371" t="s">
        <v>1534</v>
      </c>
      <c r="E1371" t="s">
        <v>1535</v>
      </c>
      <c r="F1371" s="40">
        <v>2</v>
      </c>
    </row>
    <row r="1372" spans="2:6" x14ac:dyDescent="0.25">
      <c r="B1372" t="s">
        <v>7962</v>
      </c>
      <c r="C1372" t="s">
        <v>7231</v>
      </c>
      <c r="D1372" t="s">
        <v>1262</v>
      </c>
      <c r="E1372" t="s">
        <v>1694</v>
      </c>
      <c r="F1372" s="40">
        <v>2</v>
      </c>
    </row>
    <row r="1373" spans="2:6" x14ac:dyDescent="0.25">
      <c r="D1373" t="s">
        <v>545</v>
      </c>
      <c r="E1373" t="s">
        <v>546</v>
      </c>
      <c r="F1373" s="40">
        <v>2</v>
      </c>
    </row>
    <row r="1374" spans="2:6" x14ac:dyDescent="0.25">
      <c r="E1374" t="s">
        <v>1251</v>
      </c>
      <c r="F1374" s="40">
        <v>2</v>
      </c>
    </row>
    <row r="1375" spans="2:6" x14ac:dyDescent="0.25">
      <c r="D1375" t="s">
        <v>1606</v>
      </c>
      <c r="E1375" t="s">
        <v>1607</v>
      </c>
      <c r="F1375" s="40">
        <v>2</v>
      </c>
    </row>
    <row r="1376" spans="2:6" x14ac:dyDescent="0.25">
      <c r="E1376" t="s">
        <v>1611</v>
      </c>
      <c r="F1376" s="40">
        <v>1</v>
      </c>
    </row>
    <row r="1377" spans="4:6" x14ac:dyDescent="0.25">
      <c r="D1377" t="s">
        <v>1610</v>
      </c>
      <c r="E1377" t="s">
        <v>1611</v>
      </c>
      <c r="F1377" s="40">
        <v>1</v>
      </c>
    </row>
    <row r="1378" spans="4:6" x14ac:dyDescent="0.25">
      <c r="D1378" t="s">
        <v>1025</v>
      </c>
      <c r="E1378" t="s">
        <v>1026</v>
      </c>
      <c r="F1378" s="40">
        <v>6</v>
      </c>
    </row>
    <row r="1379" spans="4:6" x14ac:dyDescent="0.25">
      <c r="D1379" t="s">
        <v>208</v>
      </c>
      <c r="E1379" t="s">
        <v>209</v>
      </c>
      <c r="F1379" s="40">
        <v>33</v>
      </c>
    </row>
    <row r="1380" spans="4:6" x14ac:dyDescent="0.25">
      <c r="D1380" t="s">
        <v>236</v>
      </c>
      <c r="E1380" t="s">
        <v>237</v>
      </c>
      <c r="F1380" s="40">
        <v>17</v>
      </c>
    </row>
    <row r="1381" spans="4:6" x14ac:dyDescent="0.25">
      <c r="D1381" t="s">
        <v>233</v>
      </c>
      <c r="E1381" t="s">
        <v>234</v>
      </c>
      <c r="F1381" s="40">
        <v>4</v>
      </c>
    </row>
    <row r="1382" spans="4:6" x14ac:dyDescent="0.25">
      <c r="D1382" t="s">
        <v>1145</v>
      </c>
      <c r="E1382" t="s">
        <v>1146</v>
      </c>
      <c r="F1382" s="40">
        <v>22</v>
      </c>
    </row>
    <row r="1383" spans="4:6" x14ac:dyDescent="0.25">
      <c r="D1383" t="s">
        <v>2586</v>
      </c>
      <c r="E1383" t="s">
        <v>2587</v>
      </c>
      <c r="F1383" s="40">
        <v>4</v>
      </c>
    </row>
    <row r="1384" spans="4:6" x14ac:dyDescent="0.25">
      <c r="D1384" t="s">
        <v>580</v>
      </c>
      <c r="E1384" t="s">
        <v>581</v>
      </c>
      <c r="F1384" s="40">
        <v>8</v>
      </c>
    </row>
    <row r="1385" spans="4:6" x14ac:dyDescent="0.25">
      <c r="D1385" t="s">
        <v>1921</v>
      </c>
      <c r="E1385" t="s">
        <v>1922</v>
      </c>
      <c r="F1385" s="40">
        <v>8</v>
      </c>
    </row>
    <row r="1386" spans="4:6" x14ac:dyDescent="0.25">
      <c r="D1386" t="s">
        <v>219</v>
      </c>
      <c r="E1386" t="s">
        <v>220</v>
      </c>
      <c r="F1386" s="40">
        <v>9</v>
      </c>
    </row>
    <row r="1387" spans="4:6" x14ac:dyDescent="0.25">
      <c r="D1387" t="s">
        <v>2549</v>
      </c>
      <c r="E1387" t="s">
        <v>2550</v>
      </c>
      <c r="F1387" s="40">
        <v>4</v>
      </c>
    </row>
    <row r="1388" spans="4:6" x14ac:dyDescent="0.25">
      <c r="D1388" t="s">
        <v>941</v>
      </c>
      <c r="E1388" t="s">
        <v>942</v>
      </c>
      <c r="F1388" s="40">
        <v>26</v>
      </c>
    </row>
    <row r="1389" spans="4:6" x14ac:dyDescent="0.25">
      <c r="D1389" t="s">
        <v>1309</v>
      </c>
      <c r="E1389" t="s">
        <v>1310</v>
      </c>
      <c r="F1389" s="40">
        <v>6</v>
      </c>
    </row>
    <row r="1390" spans="4:6" x14ac:dyDescent="0.25">
      <c r="D1390" t="s">
        <v>1154</v>
      </c>
      <c r="E1390" t="s">
        <v>1155</v>
      </c>
      <c r="F1390" s="40">
        <v>3</v>
      </c>
    </row>
    <row r="1391" spans="4:6" x14ac:dyDescent="0.25">
      <c r="D1391" t="s">
        <v>566</v>
      </c>
      <c r="E1391" t="s">
        <v>567</v>
      </c>
      <c r="F1391" s="40">
        <v>6</v>
      </c>
    </row>
    <row r="1392" spans="4:6" x14ac:dyDescent="0.25">
      <c r="D1392" t="s">
        <v>915</v>
      </c>
      <c r="E1392" t="s">
        <v>916</v>
      </c>
      <c r="F1392" s="40">
        <v>17</v>
      </c>
    </row>
    <row r="1393" spans="3:6" x14ac:dyDescent="0.25">
      <c r="D1393" t="s">
        <v>1008</v>
      </c>
      <c r="E1393" t="s">
        <v>1009</v>
      </c>
      <c r="F1393" s="40">
        <v>6</v>
      </c>
    </row>
    <row r="1394" spans="3:6" x14ac:dyDescent="0.25">
      <c r="D1394" t="s">
        <v>583</v>
      </c>
      <c r="E1394" t="s">
        <v>584</v>
      </c>
      <c r="F1394" s="40">
        <v>3</v>
      </c>
    </row>
    <row r="1395" spans="3:6" x14ac:dyDescent="0.25">
      <c r="D1395" t="s">
        <v>2583</v>
      </c>
      <c r="E1395" t="s">
        <v>2584</v>
      </c>
      <c r="F1395" s="40">
        <v>4</v>
      </c>
    </row>
    <row r="1396" spans="3:6" x14ac:dyDescent="0.25">
      <c r="D1396" t="s">
        <v>226</v>
      </c>
      <c r="E1396" t="s">
        <v>227</v>
      </c>
      <c r="F1396" s="40">
        <v>22</v>
      </c>
    </row>
    <row r="1397" spans="3:6" x14ac:dyDescent="0.25">
      <c r="D1397" t="s">
        <v>212</v>
      </c>
      <c r="E1397" t="s">
        <v>213</v>
      </c>
      <c r="F1397" s="40">
        <v>14</v>
      </c>
    </row>
    <row r="1398" spans="3:6" x14ac:dyDescent="0.25">
      <c r="D1398" t="s">
        <v>609</v>
      </c>
      <c r="E1398" t="s">
        <v>610</v>
      </c>
      <c r="F1398" s="40">
        <v>3</v>
      </c>
    </row>
    <row r="1399" spans="3:6" x14ac:dyDescent="0.25">
      <c r="D1399" t="s">
        <v>2542</v>
      </c>
      <c r="E1399" t="s">
        <v>2543</v>
      </c>
      <c r="F1399" s="40">
        <v>16</v>
      </c>
    </row>
    <row r="1400" spans="3:6" x14ac:dyDescent="0.25">
      <c r="D1400" t="s">
        <v>265</v>
      </c>
      <c r="E1400" t="s">
        <v>266</v>
      </c>
      <c r="F1400" s="40">
        <v>6</v>
      </c>
    </row>
    <row r="1401" spans="3:6" x14ac:dyDescent="0.25">
      <c r="D1401" t="s">
        <v>222</v>
      </c>
      <c r="E1401" t="s">
        <v>223</v>
      </c>
      <c r="F1401" s="40">
        <v>11</v>
      </c>
    </row>
    <row r="1402" spans="3:6" x14ac:dyDescent="0.25">
      <c r="D1402" t="s">
        <v>460</v>
      </c>
      <c r="E1402" t="s">
        <v>461</v>
      </c>
      <c r="F1402" s="40">
        <v>7</v>
      </c>
    </row>
    <row r="1403" spans="3:6" x14ac:dyDescent="0.25">
      <c r="D1403" t="s">
        <v>984</v>
      </c>
      <c r="E1403" t="s">
        <v>985</v>
      </c>
      <c r="F1403" s="40">
        <v>4</v>
      </c>
    </row>
    <row r="1404" spans="3:6" x14ac:dyDescent="0.25">
      <c r="D1404" t="s">
        <v>230</v>
      </c>
      <c r="E1404" t="s">
        <v>231</v>
      </c>
      <c r="F1404" s="40">
        <v>44</v>
      </c>
    </row>
    <row r="1405" spans="3:6" x14ac:dyDescent="0.25">
      <c r="D1405" t="s">
        <v>1077</v>
      </c>
      <c r="E1405" t="s">
        <v>1078</v>
      </c>
      <c r="F1405" s="40">
        <v>2</v>
      </c>
    </row>
    <row r="1406" spans="3:6" x14ac:dyDescent="0.25">
      <c r="D1406" t="s">
        <v>574</v>
      </c>
      <c r="E1406" t="s">
        <v>575</v>
      </c>
      <c r="F1406" s="40">
        <v>2</v>
      </c>
    </row>
    <row r="1407" spans="3:6" x14ac:dyDescent="0.25">
      <c r="D1407" t="s">
        <v>2571</v>
      </c>
      <c r="E1407" t="s">
        <v>2572</v>
      </c>
      <c r="F1407" s="40">
        <v>2</v>
      </c>
    </row>
    <row r="1408" spans="3:6" x14ac:dyDescent="0.25">
      <c r="C1408" t="s">
        <v>7249</v>
      </c>
      <c r="D1408" t="s">
        <v>2096</v>
      </c>
      <c r="E1408" t="s">
        <v>2097</v>
      </c>
      <c r="F1408" s="40">
        <v>1</v>
      </c>
    </row>
    <row r="1409" spans="3:6" x14ac:dyDescent="0.25">
      <c r="D1409" t="s">
        <v>580</v>
      </c>
      <c r="E1409" t="s">
        <v>581</v>
      </c>
      <c r="F1409" s="40">
        <v>3</v>
      </c>
    </row>
    <row r="1410" spans="3:6" x14ac:dyDescent="0.25">
      <c r="D1410" t="s">
        <v>941</v>
      </c>
      <c r="E1410" t="s">
        <v>942</v>
      </c>
      <c r="F1410" s="40">
        <v>3</v>
      </c>
    </row>
    <row r="1411" spans="3:6" x14ac:dyDescent="0.25">
      <c r="D1411" t="s">
        <v>563</v>
      </c>
      <c r="E1411" t="s">
        <v>564</v>
      </c>
      <c r="F1411" s="40">
        <v>1</v>
      </c>
    </row>
    <row r="1412" spans="3:6" x14ac:dyDescent="0.25">
      <c r="D1412" t="s">
        <v>566</v>
      </c>
      <c r="E1412" t="s">
        <v>567</v>
      </c>
      <c r="F1412" s="40">
        <v>2</v>
      </c>
    </row>
    <row r="1413" spans="3:6" x14ac:dyDescent="0.25">
      <c r="D1413" t="s">
        <v>904</v>
      </c>
      <c r="E1413" t="s">
        <v>905</v>
      </c>
      <c r="F1413" s="40">
        <v>3</v>
      </c>
    </row>
    <row r="1414" spans="3:6" x14ac:dyDescent="0.25">
      <c r="D1414" t="s">
        <v>268</v>
      </c>
      <c r="E1414" t="s">
        <v>269</v>
      </c>
      <c r="F1414" s="40">
        <v>2</v>
      </c>
    </row>
    <row r="1415" spans="3:6" x14ac:dyDescent="0.25">
      <c r="D1415" t="s">
        <v>265</v>
      </c>
      <c r="E1415" t="s">
        <v>266</v>
      </c>
      <c r="F1415" s="40">
        <v>3</v>
      </c>
    </row>
    <row r="1416" spans="3:6" x14ac:dyDescent="0.25">
      <c r="D1416" t="s">
        <v>1626</v>
      </c>
      <c r="E1416" t="s">
        <v>1627</v>
      </c>
      <c r="F1416" s="40">
        <v>1</v>
      </c>
    </row>
    <row r="1417" spans="3:6" x14ac:dyDescent="0.25">
      <c r="D1417" t="s">
        <v>460</v>
      </c>
      <c r="E1417" t="s">
        <v>461</v>
      </c>
      <c r="F1417" s="40">
        <v>2</v>
      </c>
    </row>
    <row r="1418" spans="3:6" x14ac:dyDescent="0.25">
      <c r="D1418" t="s">
        <v>2099</v>
      </c>
      <c r="E1418" t="s">
        <v>2100</v>
      </c>
      <c r="F1418" s="40">
        <v>3</v>
      </c>
    </row>
    <row r="1419" spans="3:6" x14ac:dyDescent="0.25">
      <c r="D1419" t="s">
        <v>1528</v>
      </c>
      <c r="E1419" t="s">
        <v>1529</v>
      </c>
      <c r="F1419" s="40">
        <v>1</v>
      </c>
    </row>
    <row r="1420" spans="3:6" x14ac:dyDescent="0.25">
      <c r="D1420" t="s">
        <v>2089</v>
      </c>
      <c r="E1420" t="s">
        <v>2090</v>
      </c>
      <c r="F1420" s="40">
        <v>1</v>
      </c>
    </row>
    <row r="1421" spans="3:6" x14ac:dyDescent="0.25">
      <c r="D1421" t="s">
        <v>2093</v>
      </c>
      <c r="E1421" t="s">
        <v>2094</v>
      </c>
      <c r="F1421" s="40">
        <v>1</v>
      </c>
    </row>
    <row r="1422" spans="3:6" x14ac:dyDescent="0.25">
      <c r="D1422" t="s">
        <v>1998</v>
      </c>
      <c r="E1422" t="s">
        <v>1999</v>
      </c>
      <c r="F1422" s="40">
        <v>1</v>
      </c>
    </row>
    <row r="1423" spans="3:6" x14ac:dyDescent="0.25">
      <c r="C1423" t="s">
        <v>7233</v>
      </c>
      <c r="D1423" t="s">
        <v>1766</v>
      </c>
      <c r="E1423" t="s">
        <v>1767</v>
      </c>
      <c r="F1423" s="40">
        <v>12</v>
      </c>
    </row>
    <row r="1424" spans="3:6" x14ac:dyDescent="0.25">
      <c r="D1424" t="s">
        <v>268</v>
      </c>
      <c r="E1424" t="s">
        <v>269</v>
      </c>
      <c r="F1424" s="40">
        <v>12</v>
      </c>
    </row>
    <row r="1425" spans="3:6" x14ac:dyDescent="0.25">
      <c r="D1425" t="s">
        <v>439</v>
      </c>
      <c r="E1425" t="s">
        <v>440</v>
      </c>
      <c r="F1425" s="40">
        <v>8</v>
      </c>
    </row>
    <row r="1426" spans="3:6" x14ac:dyDescent="0.25">
      <c r="D1426" t="s">
        <v>1774</v>
      </c>
      <c r="E1426" t="s">
        <v>1775</v>
      </c>
      <c r="F1426" s="40">
        <v>2</v>
      </c>
    </row>
    <row r="1427" spans="3:6" x14ac:dyDescent="0.25">
      <c r="D1427" t="s">
        <v>1795</v>
      </c>
      <c r="E1427" t="s">
        <v>1796</v>
      </c>
      <c r="F1427" s="40">
        <v>2</v>
      </c>
    </row>
    <row r="1428" spans="3:6" x14ac:dyDescent="0.25">
      <c r="D1428" t="s">
        <v>1798</v>
      </c>
      <c r="E1428" t="s">
        <v>1799</v>
      </c>
      <c r="F1428" s="40">
        <v>4</v>
      </c>
    </row>
    <row r="1429" spans="3:6" x14ac:dyDescent="0.25">
      <c r="D1429" t="s">
        <v>1801</v>
      </c>
      <c r="E1429" t="s">
        <v>1802</v>
      </c>
      <c r="F1429" s="40">
        <v>2</v>
      </c>
    </row>
    <row r="1430" spans="3:6" x14ac:dyDescent="0.25">
      <c r="D1430" t="s">
        <v>1771</v>
      </c>
      <c r="E1430" t="s">
        <v>1772</v>
      </c>
      <c r="F1430" s="40">
        <v>4</v>
      </c>
    </row>
    <row r="1431" spans="3:6" x14ac:dyDescent="0.25">
      <c r="C1431" t="s">
        <v>7243</v>
      </c>
      <c r="D1431" t="s">
        <v>1911</v>
      </c>
      <c r="E1431" t="s">
        <v>1912</v>
      </c>
      <c r="F1431" s="40">
        <v>1</v>
      </c>
    </row>
    <row r="1432" spans="3:6" x14ac:dyDescent="0.25">
      <c r="D1432" t="s">
        <v>1914</v>
      </c>
      <c r="E1432" t="s">
        <v>1915</v>
      </c>
      <c r="F1432" s="40">
        <v>3</v>
      </c>
    </row>
    <row r="1433" spans="3:6" x14ac:dyDescent="0.25">
      <c r="D1433" t="s">
        <v>1921</v>
      </c>
      <c r="E1433" t="s">
        <v>1922</v>
      </c>
      <c r="F1433" s="40">
        <v>1</v>
      </c>
    </row>
    <row r="1434" spans="3:6" x14ac:dyDescent="0.25">
      <c r="D1434" t="s">
        <v>1924</v>
      </c>
      <c r="E1434" t="s">
        <v>1925</v>
      </c>
      <c r="F1434" s="40">
        <v>2</v>
      </c>
    </row>
    <row r="1435" spans="3:6" x14ac:dyDescent="0.25">
      <c r="D1435" t="s">
        <v>268</v>
      </c>
      <c r="E1435" t="s">
        <v>269</v>
      </c>
      <c r="F1435" s="40">
        <v>3</v>
      </c>
    </row>
    <row r="1436" spans="3:6" x14ac:dyDescent="0.25">
      <c r="D1436" t="s">
        <v>439</v>
      </c>
      <c r="E1436" t="s">
        <v>440</v>
      </c>
      <c r="F1436" s="40">
        <v>1</v>
      </c>
    </row>
    <row r="1437" spans="3:6" x14ac:dyDescent="0.25">
      <c r="D1437" t="s">
        <v>265</v>
      </c>
      <c r="E1437" t="s">
        <v>266</v>
      </c>
      <c r="F1437" s="40">
        <v>3</v>
      </c>
    </row>
    <row r="1438" spans="3:6" x14ac:dyDescent="0.25">
      <c r="D1438" t="s">
        <v>460</v>
      </c>
      <c r="E1438" t="s">
        <v>461</v>
      </c>
      <c r="F1438" s="40">
        <v>3</v>
      </c>
    </row>
    <row r="1439" spans="3:6" x14ac:dyDescent="0.25">
      <c r="D1439" t="s">
        <v>1879</v>
      </c>
      <c r="E1439" t="s">
        <v>1880</v>
      </c>
      <c r="F1439" s="40">
        <v>2</v>
      </c>
    </row>
    <row r="1440" spans="3:6" x14ac:dyDescent="0.25">
      <c r="C1440" t="s">
        <v>7248</v>
      </c>
      <c r="D1440" t="s">
        <v>1911</v>
      </c>
      <c r="E1440" t="s">
        <v>1912</v>
      </c>
      <c r="F1440" s="40">
        <v>1</v>
      </c>
    </row>
    <row r="1441" spans="3:6" x14ac:dyDescent="0.25">
      <c r="D1441" t="s">
        <v>1914</v>
      </c>
      <c r="E1441" t="s">
        <v>1915</v>
      </c>
      <c r="F1441" s="40">
        <v>3</v>
      </c>
    </row>
    <row r="1442" spans="3:6" x14ac:dyDescent="0.25">
      <c r="D1442" t="s">
        <v>1921</v>
      </c>
      <c r="E1442" t="s">
        <v>1922</v>
      </c>
      <c r="F1442" s="40">
        <v>1</v>
      </c>
    </row>
    <row r="1443" spans="3:6" x14ac:dyDescent="0.25">
      <c r="D1443" t="s">
        <v>1924</v>
      </c>
      <c r="E1443" t="s">
        <v>1925</v>
      </c>
      <c r="F1443" s="40">
        <v>2</v>
      </c>
    </row>
    <row r="1444" spans="3:6" x14ac:dyDescent="0.25">
      <c r="D1444" t="s">
        <v>268</v>
      </c>
      <c r="E1444" t="s">
        <v>269</v>
      </c>
      <c r="F1444" s="40">
        <v>3</v>
      </c>
    </row>
    <row r="1445" spans="3:6" x14ac:dyDescent="0.25">
      <c r="D1445" t="s">
        <v>439</v>
      </c>
      <c r="E1445" t="s">
        <v>440</v>
      </c>
      <c r="F1445" s="40">
        <v>1</v>
      </c>
    </row>
    <row r="1446" spans="3:6" x14ac:dyDescent="0.25">
      <c r="D1446" t="s">
        <v>265</v>
      </c>
      <c r="E1446" t="s">
        <v>266</v>
      </c>
      <c r="F1446" s="40">
        <v>3</v>
      </c>
    </row>
    <row r="1447" spans="3:6" x14ac:dyDescent="0.25">
      <c r="D1447" t="s">
        <v>460</v>
      </c>
      <c r="E1447" t="s">
        <v>461</v>
      </c>
      <c r="F1447" s="40">
        <v>3</v>
      </c>
    </row>
    <row r="1448" spans="3:6" x14ac:dyDescent="0.25">
      <c r="D1448" t="s">
        <v>1927</v>
      </c>
      <c r="E1448" t="s">
        <v>1928</v>
      </c>
      <c r="F1448" s="40">
        <v>1</v>
      </c>
    </row>
    <row r="1449" spans="3:6" x14ac:dyDescent="0.25">
      <c r="D1449" t="s">
        <v>1879</v>
      </c>
      <c r="E1449" t="s">
        <v>1880</v>
      </c>
      <c r="F1449" s="40">
        <v>2</v>
      </c>
    </row>
    <row r="1450" spans="3:6" x14ac:dyDescent="0.25">
      <c r="C1450" t="s">
        <v>7254</v>
      </c>
      <c r="D1450" t="s">
        <v>704</v>
      </c>
      <c r="E1450" t="s">
        <v>705</v>
      </c>
      <c r="F1450" s="40">
        <v>1</v>
      </c>
    </row>
    <row r="1451" spans="3:6" x14ac:dyDescent="0.25">
      <c r="D1451" t="s">
        <v>692</v>
      </c>
      <c r="E1451" t="s">
        <v>693</v>
      </c>
      <c r="F1451" s="40">
        <v>1</v>
      </c>
    </row>
    <row r="1452" spans="3:6" x14ac:dyDescent="0.25">
      <c r="D1452" t="s">
        <v>941</v>
      </c>
      <c r="E1452" t="s">
        <v>942</v>
      </c>
      <c r="F1452" s="40">
        <v>2</v>
      </c>
    </row>
    <row r="1453" spans="3:6" x14ac:dyDescent="0.25">
      <c r="D1453" t="s">
        <v>563</v>
      </c>
      <c r="E1453" t="s">
        <v>564</v>
      </c>
      <c r="F1453" s="40">
        <v>1</v>
      </c>
    </row>
    <row r="1454" spans="3:6" x14ac:dyDescent="0.25">
      <c r="D1454" t="s">
        <v>566</v>
      </c>
      <c r="E1454" t="s">
        <v>567</v>
      </c>
      <c r="F1454" s="40">
        <v>2</v>
      </c>
    </row>
    <row r="1455" spans="3:6" x14ac:dyDescent="0.25">
      <c r="D1455" t="s">
        <v>2164</v>
      </c>
      <c r="E1455" t="s">
        <v>2165</v>
      </c>
      <c r="F1455" s="40">
        <v>2</v>
      </c>
    </row>
    <row r="1456" spans="3:6" x14ac:dyDescent="0.25">
      <c r="D1456" t="s">
        <v>268</v>
      </c>
      <c r="E1456" t="s">
        <v>269</v>
      </c>
      <c r="F1456" s="40">
        <v>2</v>
      </c>
    </row>
    <row r="1457" spans="1:6" x14ac:dyDescent="0.25">
      <c r="D1457" t="s">
        <v>265</v>
      </c>
      <c r="E1457" t="s">
        <v>266</v>
      </c>
      <c r="F1457" s="40">
        <v>3</v>
      </c>
    </row>
    <row r="1458" spans="1:6" x14ac:dyDescent="0.25">
      <c r="D1458" t="s">
        <v>1626</v>
      </c>
      <c r="E1458" t="s">
        <v>1627</v>
      </c>
      <c r="F1458" s="40">
        <v>1</v>
      </c>
    </row>
    <row r="1459" spans="1:6" x14ac:dyDescent="0.25">
      <c r="D1459" t="s">
        <v>460</v>
      </c>
      <c r="E1459" t="s">
        <v>461</v>
      </c>
      <c r="F1459" s="40">
        <v>2</v>
      </c>
    </row>
    <row r="1460" spans="1:6" x14ac:dyDescent="0.25">
      <c r="D1460" t="s">
        <v>698</v>
      </c>
      <c r="E1460" t="s">
        <v>699</v>
      </c>
      <c r="F1460" s="40">
        <v>2</v>
      </c>
    </row>
    <row r="1461" spans="1:6" x14ac:dyDescent="0.25">
      <c r="D1461" t="s">
        <v>695</v>
      </c>
      <c r="E1461" t="s">
        <v>696</v>
      </c>
      <c r="F1461" s="40">
        <v>2</v>
      </c>
    </row>
    <row r="1462" spans="1:6" x14ac:dyDescent="0.25">
      <c r="D1462" t="s">
        <v>701</v>
      </c>
      <c r="E1462" t="s">
        <v>702</v>
      </c>
      <c r="F1462" s="40">
        <v>4</v>
      </c>
    </row>
    <row r="1463" spans="1:6" x14ac:dyDescent="0.25">
      <c r="D1463" t="s">
        <v>2156</v>
      </c>
      <c r="E1463" t="s">
        <v>2157</v>
      </c>
      <c r="F1463" s="40">
        <v>1</v>
      </c>
    </row>
    <row r="1464" spans="1:6" x14ac:dyDescent="0.25">
      <c r="D1464" t="s">
        <v>255</v>
      </c>
      <c r="E1464" t="s">
        <v>718</v>
      </c>
      <c r="F1464" s="40">
        <v>1</v>
      </c>
    </row>
    <row r="1465" spans="1:6" x14ac:dyDescent="0.25">
      <c r="D1465" t="s">
        <v>707</v>
      </c>
      <c r="E1465" t="s">
        <v>708</v>
      </c>
      <c r="F1465" s="40">
        <v>1</v>
      </c>
    </row>
    <row r="1466" spans="1:6" x14ac:dyDescent="0.25">
      <c r="C1466" t="s">
        <v>7260</v>
      </c>
      <c r="D1466" t="s">
        <v>519</v>
      </c>
      <c r="E1466" t="s">
        <v>520</v>
      </c>
      <c r="F1466" s="40">
        <v>4</v>
      </c>
    </row>
    <row r="1467" spans="1:6" x14ac:dyDescent="0.25">
      <c r="C1467" t="s">
        <v>7266</v>
      </c>
      <c r="D1467" t="s">
        <v>580</v>
      </c>
      <c r="E1467" t="s">
        <v>581</v>
      </c>
      <c r="F1467" s="40">
        <v>5</v>
      </c>
    </row>
    <row r="1468" spans="1:6" x14ac:dyDescent="0.25">
      <c r="D1468" t="s">
        <v>941</v>
      </c>
      <c r="E1468" t="s">
        <v>942</v>
      </c>
      <c r="F1468" s="40">
        <v>5</v>
      </c>
    </row>
    <row r="1469" spans="1:6" x14ac:dyDescent="0.25">
      <c r="D1469" t="s">
        <v>2256</v>
      </c>
      <c r="E1469" t="s">
        <v>2257</v>
      </c>
      <c r="F1469" s="40">
        <v>4</v>
      </c>
    </row>
    <row r="1470" spans="1:6" x14ac:dyDescent="0.25">
      <c r="D1470" t="s">
        <v>904</v>
      </c>
      <c r="E1470" t="s">
        <v>905</v>
      </c>
      <c r="F1470" s="40">
        <v>5</v>
      </c>
    </row>
    <row r="1471" spans="1:6" x14ac:dyDescent="0.25">
      <c r="D1471" t="s">
        <v>1626</v>
      </c>
      <c r="E1471" t="s">
        <v>1627</v>
      </c>
      <c r="F1471" s="40">
        <v>8</v>
      </c>
    </row>
    <row r="1472" spans="1:6" x14ac:dyDescent="0.25">
      <c r="A1472" t="s">
        <v>7852</v>
      </c>
      <c r="F1472" s="40">
        <v>711</v>
      </c>
    </row>
    <row r="1473" spans="1:6" x14ac:dyDescent="0.25">
      <c r="A1473" t="s">
        <v>7969</v>
      </c>
      <c r="B1473" t="s">
        <v>7962</v>
      </c>
      <c r="C1473" t="s">
        <v>7046</v>
      </c>
      <c r="D1473" t="s">
        <v>2588</v>
      </c>
      <c r="E1473" t="s">
        <v>2589</v>
      </c>
      <c r="F1473" s="40">
        <v>2</v>
      </c>
    </row>
    <row r="1474" spans="1:6" x14ac:dyDescent="0.25">
      <c r="D1474" t="s">
        <v>2592</v>
      </c>
      <c r="E1474" t="s">
        <v>2593</v>
      </c>
      <c r="F1474" s="40">
        <v>2</v>
      </c>
    </row>
    <row r="1475" spans="1:6" x14ac:dyDescent="0.25">
      <c r="D1475" t="s">
        <v>2590</v>
      </c>
      <c r="E1475" t="s">
        <v>2591</v>
      </c>
      <c r="F1475" s="40">
        <v>4</v>
      </c>
    </row>
    <row r="1476" spans="1:6" x14ac:dyDescent="0.25">
      <c r="A1476" t="s">
        <v>7970</v>
      </c>
      <c r="F1476" s="40">
        <v>8</v>
      </c>
    </row>
    <row r="1477" spans="1:6" x14ac:dyDescent="0.25">
      <c r="A1477" t="s">
        <v>7753</v>
      </c>
      <c r="F1477" s="40">
        <v>6086</v>
      </c>
    </row>
  </sheetData>
  <mergeCells count="1">
    <mergeCell ref="C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81F3-4347-4E12-A350-A043BEF1C792}">
  <dimension ref="A1:D1494"/>
  <sheetViews>
    <sheetView workbookViewId="0">
      <selection activeCell="E16" sqref="E16"/>
    </sheetView>
  </sheetViews>
  <sheetFormatPr defaultRowHeight="15" x14ac:dyDescent="0.25"/>
  <cols>
    <col min="1" max="1" width="56.42578125" style="18" bestFit="1" customWidth="1"/>
    <col min="2" max="2" width="84.28515625" bestFit="1" customWidth="1"/>
    <col min="3" max="3" width="5.42578125" bestFit="1" customWidth="1"/>
    <col min="4" max="4" width="48.28515625" customWidth="1"/>
    <col min="5" max="5" width="5.42578125" bestFit="1" customWidth="1"/>
    <col min="6" max="6" width="5.140625" bestFit="1" customWidth="1"/>
    <col min="7" max="51" width="6.42578125" bestFit="1" customWidth="1"/>
    <col min="52" max="53" width="10.7109375" bestFit="1" customWidth="1"/>
  </cols>
  <sheetData>
    <row r="1" spans="1:4" x14ac:dyDescent="0.25">
      <c r="A1" s="7" t="s">
        <v>7965</v>
      </c>
      <c r="B1" s="31" t="s">
        <v>7755</v>
      </c>
      <c r="C1" s="34" t="s">
        <v>7980</v>
      </c>
      <c r="D1" s="35"/>
    </row>
    <row r="2" spans="1:4" ht="15.75" thickBot="1" x14ac:dyDescent="0.3">
      <c r="A2" s="7" t="s">
        <v>7671</v>
      </c>
      <c r="B2" t="s">
        <v>7755</v>
      </c>
      <c r="C2" s="36"/>
      <c r="D2" s="37"/>
    </row>
    <row r="3" spans="1:4" x14ac:dyDescent="0.25">
      <c r="A3" s="7" t="s">
        <v>7678</v>
      </c>
      <c r="B3" t="s">
        <v>7703</v>
      </c>
    </row>
    <row r="4" spans="1:4" x14ac:dyDescent="0.25">
      <c r="A4" s="7" t="s">
        <v>7966</v>
      </c>
      <c r="B4" t="s">
        <v>7755</v>
      </c>
    </row>
    <row r="5" spans="1:4" x14ac:dyDescent="0.25">
      <c r="A5" s="7" t="s">
        <v>7967</v>
      </c>
      <c r="B5" t="s">
        <v>7755</v>
      </c>
    </row>
    <row r="6" spans="1:4" x14ac:dyDescent="0.25">
      <c r="A6" s="7" t="s">
        <v>7968</v>
      </c>
      <c r="B6" t="s">
        <v>7755</v>
      </c>
    </row>
    <row r="7" spans="1:4" x14ac:dyDescent="0.25">
      <c r="A7"/>
    </row>
    <row r="8" spans="1:4" x14ac:dyDescent="0.25">
      <c r="A8" s="30" t="s">
        <v>7754</v>
      </c>
      <c r="B8" s="18"/>
    </row>
    <row r="9" spans="1:4" x14ac:dyDescent="0.25">
      <c r="A9" s="30" t="s">
        <v>2</v>
      </c>
      <c r="B9" s="7" t="s">
        <v>3</v>
      </c>
      <c r="C9" t="s">
        <v>7756</v>
      </c>
    </row>
    <row r="10" spans="1:4" x14ac:dyDescent="0.25">
      <c r="A10" s="18">
        <v>25</v>
      </c>
      <c r="B10" t="s">
        <v>973</v>
      </c>
      <c r="C10" s="40">
        <v>1</v>
      </c>
    </row>
    <row r="11" spans="1:4" x14ac:dyDescent="0.25">
      <c r="A11" s="18">
        <v>1938</v>
      </c>
      <c r="B11" t="s">
        <v>295</v>
      </c>
      <c r="C11" s="40">
        <v>11</v>
      </c>
    </row>
    <row r="12" spans="1:4" x14ac:dyDescent="0.25">
      <c r="A12" s="18">
        <v>615250</v>
      </c>
      <c r="B12" t="s">
        <v>6871</v>
      </c>
      <c r="C12" s="40">
        <v>2</v>
      </c>
    </row>
    <row r="13" spans="1:4" x14ac:dyDescent="0.25">
      <c r="A13" s="18">
        <v>634070</v>
      </c>
      <c r="B13" t="s">
        <v>6324</v>
      </c>
      <c r="C13" s="40">
        <v>1</v>
      </c>
    </row>
    <row r="14" spans="1:4" x14ac:dyDescent="0.25">
      <c r="A14" s="18">
        <v>2960812</v>
      </c>
      <c r="B14" t="s">
        <v>3966</v>
      </c>
      <c r="C14" s="40">
        <v>1</v>
      </c>
    </row>
    <row r="15" spans="1:4" x14ac:dyDescent="0.25">
      <c r="A15" s="18">
        <v>462071004</v>
      </c>
      <c r="B15" t="s">
        <v>5778</v>
      </c>
      <c r="C15" s="40">
        <v>2</v>
      </c>
    </row>
    <row r="16" spans="1:4" x14ac:dyDescent="0.25">
      <c r="A16" s="18" t="s">
        <v>4848</v>
      </c>
      <c r="B16" t="s">
        <v>4849</v>
      </c>
      <c r="C16" s="40">
        <v>11</v>
      </c>
    </row>
    <row r="17" spans="1:3" x14ac:dyDescent="0.25">
      <c r="A17" s="18" t="s">
        <v>592</v>
      </c>
      <c r="B17" t="s">
        <v>593</v>
      </c>
      <c r="C17" s="40">
        <v>8</v>
      </c>
    </row>
    <row r="18" spans="1:3" x14ac:dyDescent="0.25">
      <c r="A18" s="18" t="s">
        <v>704</v>
      </c>
      <c r="B18" t="s">
        <v>705</v>
      </c>
      <c r="C18" s="40">
        <v>8</v>
      </c>
    </row>
    <row r="19" spans="1:3" x14ac:dyDescent="0.25">
      <c r="A19" s="18" t="s">
        <v>5212</v>
      </c>
      <c r="B19" t="s">
        <v>5213</v>
      </c>
      <c r="C19" s="40">
        <v>1</v>
      </c>
    </row>
    <row r="20" spans="1:3" x14ac:dyDescent="0.25">
      <c r="A20" s="18" t="s">
        <v>2410</v>
      </c>
      <c r="B20" t="s">
        <v>2411</v>
      </c>
      <c r="C20" s="40">
        <v>1</v>
      </c>
    </row>
    <row r="21" spans="1:3" x14ac:dyDescent="0.25">
      <c r="A21" s="18" t="s">
        <v>692</v>
      </c>
      <c r="B21" t="s">
        <v>693</v>
      </c>
      <c r="C21" s="40">
        <v>10</v>
      </c>
    </row>
    <row r="22" spans="1:3" x14ac:dyDescent="0.25">
      <c r="A22" s="18" t="s">
        <v>1274</v>
      </c>
      <c r="B22" t="s">
        <v>1275</v>
      </c>
      <c r="C22" s="40">
        <v>8</v>
      </c>
    </row>
    <row r="23" spans="1:3" x14ac:dyDescent="0.25">
      <c r="A23" s="18" t="s">
        <v>5294</v>
      </c>
      <c r="B23" t="s">
        <v>5295</v>
      </c>
      <c r="C23" s="40">
        <v>1</v>
      </c>
    </row>
    <row r="24" spans="1:3" x14ac:dyDescent="0.25">
      <c r="A24" s="18" t="s">
        <v>4473</v>
      </c>
      <c r="B24" t="s">
        <v>4474</v>
      </c>
      <c r="C24" s="40">
        <v>2</v>
      </c>
    </row>
    <row r="25" spans="1:3" x14ac:dyDescent="0.25">
      <c r="A25" s="18" t="s">
        <v>2808</v>
      </c>
      <c r="B25" t="s">
        <v>2809</v>
      </c>
      <c r="C25" s="40">
        <v>1</v>
      </c>
    </row>
    <row r="26" spans="1:3" x14ac:dyDescent="0.25">
      <c r="A26" s="18" t="s">
        <v>1911</v>
      </c>
      <c r="B26" t="s">
        <v>1912</v>
      </c>
      <c r="C26" s="40">
        <v>2</v>
      </c>
    </row>
    <row r="27" spans="1:3" x14ac:dyDescent="0.25">
      <c r="A27" s="18" t="s">
        <v>5822</v>
      </c>
      <c r="B27" t="s">
        <v>5823</v>
      </c>
      <c r="C27" s="40">
        <v>1</v>
      </c>
    </row>
    <row r="28" spans="1:3" x14ac:dyDescent="0.25">
      <c r="A28" s="18" t="s">
        <v>5807</v>
      </c>
      <c r="B28" t="s">
        <v>5808</v>
      </c>
      <c r="C28" s="40">
        <v>2</v>
      </c>
    </row>
    <row r="29" spans="1:3" x14ac:dyDescent="0.25">
      <c r="A29" s="18" t="s">
        <v>1125</v>
      </c>
      <c r="B29" t="s">
        <v>1126</v>
      </c>
      <c r="C29" s="40">
        <v>1</v>
      </c>
    </row>
    <row r="30" spans="1:3" x14ac:dyDescent="0.25">
      <c r="A30" s="18" t="s">
        <v>2096</v>
      </c>
      <c r="B30" t="s">
        <v>2097</v>
      </c>
      <c r="C30" s="40">
        <v>1</v>
      </c>
    </row>
    <row r="31" spans="1:3" x14ac:dyDescent="0.25">
      <c r="A31" s="18" t="s">
        <v>6321</v>
      </c>
      <c r="B31" t="s">
        <v>6322</v>
      </c>
      <c r="C31" s="40">
        <v>1</v>
      </c>
    </row>
    <row r="32" spans="1:3" x14ac:dyDescent="0.25">
      <c r="A32" s="18" t="s">
        <v>1051</v>
      </c>
      <c r="B32" t="s">
        <v>1052</v>
      </c>
      <c r="C32" s="40">
        <v>1</v>
      </c>
    </row>
    <row r="33" spans="1:3" x14ac:dyDescent="0.25">
      <c r="A33" s="18" t="s">
        <v>1093</v>
      </c>
      <c r="B33" t="s">
        <v>1094</v>
      </c>
      <c r="C33" s="40">
        <v>1</v>
      </c>
    </row>
    <row r="34" spans="1:3" x14ac:dyDescent="0.25">
      <c r="A34" s="18" t="s">
        <v>1061</v>
      </c>
      <c r="B34" t="s">
        <v>1062</v>
      </c>
      <c r="C34" s="40">
        <v>1</v>
      </c>
    </row>
    <row r="35" spans="1:3" x14ac:dyDescent="0.25">
      <c r="A35" s="18" t="s">
        <v>4408</v>
      </c>
      <c r="B35" t="s">
        <v>4409</v>
      </c>
      <c r="C35" s="40">
        <v>1</v>
      </c>
    </row>
    <row r="36" spans="1:3" x14ac:dyDescent="0.25">
      <c r="A36" s="18" t="s">
        <v>4425</v>
      </c>
      <c r="B36" t="s">
        <v>4426</v>
      </c>
      <c r="C36" s="40">
        <v>1</v>
      </c>
    </row>
    <row r="37" spans="1:3" x14ac:dyDescent="0.25">
      <c r="A37" s="18" t="s">
        <v>5096</v>
      </c>
      <c r="B37" t="s">
        <v>5097</v>
      </c>
      <c r="C37" s="40">
        <v>4</v>
      </c>
    </row>
    <row r="38" spans="1:3" x14ac:dyDescent="0.25">
      <c r="A38" s="18" t="s">
        <v>996</v>
      </c>
      <c r="B38" t="s">
        <v>997</v>
      </c>
      <c r="C38" s="40">
        <v>2</v>
      </c>
    </row>
    <row r="39" spans="1:3" x14ac:dyDescent="0.25">
      <c r="A39" s="18" t="s">
        <v>2523</v>
      </c>
      <c r="B39" t="s">
        <v>2524</v>
      </c>
      <c r="C39" s="40">
        <v>1</v>
      </c>
    </row>
    <row r="40" spans="1:3" x14ac:dyDescent="0.25">
      <c r="A40" s="18" t="s">
        <v>2651</v>
      </c>
      <c r="B40" t="s">
        <v>2652</v>
      </c>
      <c r="C40" s="40">
        <v>6</v>
      </c>
    </row>
    <row r="41" spans="1:3" x14ac:dyDescent="0.25">
      <c r="A41" s="18" t="s">
        <v>433</v>
      </c>
      <c r="B41" t="s">
        <v>434</v>
      </c>
      <c r="C41" s="40">
        <v>1</v>
      </c>
    </row>
    <row r="42" spans="1:3" x14ac:dyDescent="0.25">
      <c r="A42" s="18" t="s">
        <v>1420</v>
      </c>
      <c r="B42" t="s">
        <v>1421</v>
      </c>
      <c r="C42" s="40">
        <v>2</v>
      </c>
    </row>
    <row r="43" spans="1:3" x14ac:dyDescent="0.25">
      <c r="A43" s="18" t="s">
        <v>2511</v>
      </c>
      <c r="B43" t="s">
        <v>2512</v>
      </c>
      <c r="C43" s="40">
        <v>2</v>
      </c>
    </row>
    <row r="44" spans="1:3" x14ac:dyDescent="0.25">
      <c r="A44" s="18" t="s">
        <v>6326</v>
      </c>
      <c r="B44" t="s">
        <v>6327</v>
      </c>
      <c r="C44" s="40">
        <v>1</v>
      </c>
    </row>
    <row r="45" spans="1:3" x14ac:dyDescent="0.25">
      <c r="A45" s="18" t="s">
        <v>1262</v>
      </c>
      <c r="B45" t="s">
        <v>1694</v>
      </c>
      <c r="C45" s="40">
        <v>2</v>
      </c>
    </row>
    <row r="46" spans="1:3" x14ac:dyDescent="0.25">
      <c r="B46" t="s">
        <v>1263</v>
      </c>
      <c r="C46" s="40">
        <v>1</v>
      </c>
    </row>
    <row r="47" spans="1:3" x14ac:dyDescent="0.25">
      <c r="A47" s="18" t="s">
        <v>1105</v>
      </c>
      <c r="B47" t="s">
        <v>1106</v>
      </c>
      <c r="C47" s="40">
        <v>4</v>
      </c>
    </row>
    <row r="48" spans="1:3" x14ac:dyDescent="0.25">
      <c r="A48" s="18" t="s">
        <v>1041</v>
      </c>
      <c r="B48" t="s">
        <v>1042</v>
      </c>
      <c r="C48" s="40">
        <v>10</v>
      </c>
    </row>
    <row r="49" spans="1:3" x14ac:dyDescent="0.25">
      <c r="A49" s="18" t="s">
        <v>5828</v>
      </c>
      <c r="B49" t="s">
        <v>5829</v>
      </c>
      <c r="C49" s="40">
        <v>2</v>
      </c>
    </row>
    <row r="50" spans="1:3" x14ac:dyDescent="0.25">
      <c r="A50" s="18" t="s">
        <v>1038</v>
      </c>
      <c r="B50" t="s">
        <v>1039</v>
      </c>
      <c r="C50" s="40">
        <v>6</v>
      </c>
    </row>
    <row r="51" spans="1:3" x14ac:dyDescent="0.25">
      <c r="A51" s="18" t="s">
        <v>1035</v>
      </c>
      <c r="B51" t="s">
        <v>1036</v>
      </c>
      <c r="C51" s="40">
        <v>4</v>
      </c>
    </row>
    <row r="52" spans="1:3" x14ac:dyDescent="0.25">
      <c r="A52" s="18" t="s">
        <v>2923</v>
      </c>
      <c r="B52" t="s">
        <v>2924</v>
      </c>
      <c r="C52" s="40">
        <v>4</v>
      </c>
    </row>
    <row r="53" spans="1:3" x14ac:dyDescent="0.25">
      <c r="A53" s="18" t="s">
        <v>1271</v>
      </c>
      <c r="B53" t="s">
        <v>1272</v>
      </c>
      <c r="C53" s="40">
        <v>1</v>
      </c>
    </row>
    <row r="54" spans="1:3" x14ac:dyDescent="0.25">
      <c r="A54" s="18" t="s">
        <v>3036</v>
      </c>
      <c r="B54" t="s">
        <v>3037</v>
      </c>
      <c r="C54" s="40">
        <v>6</v>
      </c>
    </row>
    <row r="55" spans="1:3" x14ac:dyDescent="0.25">
      <c r="A55" s="18" t="s">
        <v>5576</v>
      </c>
      <c r="B55" t="s">
        <v>5577</v>
      </c>
      <c r="C55" s="40">
        <v>1</v>
      </c>
    </row>
    <row r="56" spans="1:3" x14ac:dyDescent="0.25">
      <c r="A56" s="18" t="s">
        <v>1417</v>
      </c>
      <c r="B56" t="s">
        <v>1418</v>
      </c>
      <c r="C56" s="40">
        <v>1</v>
      </c>
    </row>
    <row r="57" spans="1:3" x14ac:dyDescent="0.25">
      <c r="A57" s="18" t="s">
        <v>5408</v>
      </c>
      <c r="B57" t="s">
        <v>5409</v>
      </c>
      <c r="C57" s="40">
        <v>1</v>
      </c>
    </row>
    <row r="58" spans="1:3" x14ac:dyDescent="0.25">
      <c r="A58" s="18" t="s">
        <v>5405</v>
      </c>
      <c r="B58" t="s">
        <v>5406</v>
      </c>
      <c r="C58" s="40">
        <v>1</v>
      </c>
    </row>
    <row r="59" spans="1:3" x14ac:dyDescent="0.25">
      <c r="A59" s="18" t="s">
        <v>5300</v>
      </c>
      <c r="B59" t="s">
        <v>5301</v>
      </c>
      <c r="C59" s="40">
        <v>1</v>
      </c>
    </row>
    <row r="60" spans="1:3" x14ac:dyDescent="0.25">
      <c r="A60" s="18" t="s">
        <v>6685</v>
      </c>
      <c r="B60" t="s">
        <v>6686</v>
      </c>
      <c r="C60" s="40">
        <v>1</v>
      </c>
    </row>
    <row r="61" spans="1:3" x14ac:dyDescent="0.25">
      <c r="A61" s="18" t="s">
        <v>3946</v>
      </c>
      <c r="B61" t="s">
        <v>3947</v>
      </c>
      <c r="C61" s="40">
        <v>1</v>
      </c>
    </row>
    <row r="62" spans="1:3" x14ac:dyDescent="0.25">
      <c r="A62" s="18" t="s">
        <v>2885</v>
      </c>
      <c r="B62" t="s">
        <v>2886</v>
      </c>
      <c r="C62" s="40">
        <v>1</v>
      </c>
    </row>
    <row r="63" spans="1:3" x14ac:dyDescent="0.25">
      <c r="A63" s="18" t="s">
        <v>1590</v>
      </c>
      <c r="B63" t="s">
        <v>1591</v>
      </c>
      <c r="C63" s="40">
        <v>1</v>
      </c>
    </row>
    <row r="64" spans="1:3" x14ac:dyDescent="0.25">
      <c r="A64" s="18" t="s">
        <v>3922</v>
      </c>
      <c r="B64" t="s">
        <v>3923</v>
      </c>
      <c r="C64" s="40">
        <v>4</v>
      </c>
    </row>
    <row r="65" spans="1:3" x14ac:dyDescent="0.25">
      <c r="A65" s="18" t="s">
        <v>3889</v>
      </c>
      <c r="B65" t="s">
        <v>3890</v>
      </c>
      <c r="C65" s="40">
        <v>1</v>
      </c>
    </row>
    <row r="66" spans="1:3" x14ac:dyDescent="0.25">
      <c r="A66" s="18" t="s">
        <v>3408</v>
      </c>
      <c r="B66" t="s">
        <v>3409</v>
      </c>
      <c r="C66" s="40">
        <v>3</v>
      </c>
    </row>
    <row r="67" spans="1:3" x14ac:dyDescent="0.25">
      <c r="A67" s="18" t="s">
        <v>3186</v>
      </c>
      <c r="B67" t="s">
        <v>3187</v>
      </c>
      <c r="C67" s="40">
        <v>4</v>
      </c>
    </row>
    <row r="68" spans="1:3" x14ac:dyDescent="0.25">
      <c r="A68" s="18" t="s">
        <v>3518</v>
      </c>
      <c r="B68" t="s">
        <v>3519</v>
      </c>
      <c r="C68" s="40">
        <v>4</v>
      </c>
    </row>
    <row r="69" spans="1:3" x14ac:dyDescent="0.25">
      <c r="A69" s="18" t="s">
        <v>2861</v>
      </c>
      <c r="B69" t="s">
        <v>2862</v>
      </c>
      <c r="C69" s="40">
        <v>1</v>
      </c>
    </row>
    <row r="70" spans="1:3" x14ac:dyDescent="0.25">
      <c r="A70" s="18" t="s">
        <v>5539</v>
      </c>
      <c r="B70" t="s">
        <v>5540</v>
      </c>
      <c r="C70" s="40">
        <v>3</v>
      </c>
    </row>
    <row r="71" spans="1:3" x14ac:dyDescent="0.25">
      <c r="A71" s="18" t="s">
        <v>3904</v>
      </c>
      <c r="B71" t="s">
        <v>3905</v>
      </c>
      <c r="C71" s="40">
        <v>2</v>
      </c>
    </row>
    <row r="72" spans="1:3" x14ac:dyDescent="0.25">
      <c r="A72" s="18" t="s">
        <v>4703</v>
      </c>
      <c r="B72" t="s">
        <v>4704</v>
      </c>
      <c r="C72" s="40">
        <v>2</v>
      </c>
    </row>
    <row r="73" spans="1:3" x14ac:dyDescent="0.25">
      <c r="A73" s="18" t="s">
        <v>4628</v>
      </c>
      <c r="B73" t="s">
        <v>4629</v>
      </c>
      <c r="C73" s="40">
        <v>2</v>
      </c>
    </row>
    <row r="74" spans="1:3" x14ac:dyDescent="0.25">
      <c r="A74" s="18" t="s">
        <v>2811</v>
      </c>
      <c r="B74" t="s">
        <v>2812</v>
      </c>
      <c r="C74" s="40">
        <v>1</v>
      </c>
    </row>
    <row r="75" spans="1:3" x14ac:dyDescent="0.25">
      <c r="A75" s="18" t="s">
        <v>2814</v>
      </c>
      <c r="B75" t="s">
        <v>2815</v>
      </c>
      <c r="C75" s="40">
        <v>1</v>
      </c>
    </row>
    <row r="76" spans="1:3" x14ac:dyDescent="0.25">
      <c r="A76" s="18" t="s">
        <v>3161</v>
      </c>
      <c r="B76" t="s">
        <v>3162</v>
      </c>
      <c r="C76" s="40">
        <v>2</v>
      </c>
    </row>
    <row r="77" spans="1:3" x14ac:dyDescent="0.25">
      <c r="A77" s="18" t="s">
        <v>2796</v>
      </c>
      <c r="B77" t="s">
        <v>2797</v>
      </c>
      <c r="C77" s="40">
        <v>2</v>
      </c>
    </row>
    <row r="78" spans="1:3" x14ac:dyDescent="0.25">
      <c r="A78" s="18" t="s">
        <v>3498</v>
      </c>
      <c r="B78" t="s">
        <v>3499</v>
      </c>
      <c r="C78" s="40">
        <v>2</v>
      </c>
    </row>
    <row r="79" spans="1:3" x14ac:dyDescent="0.25">
      <c r="A79" s="18" t="s">
        <v>2793</v>
      </c>
      <c r="B79" t="s">
        <v>2794</v>
      </c>
      <c r="C79" s="40">
        <v>2</v>
      </c>
    </row>
    <row r="80" spans="1:3" x14ac:dyDescent="0.25">
      <c r="A80" s="18" t="s">
        <v>5645</v>
      </c>
      <c r="B80" t="s">
        <v>5646</v>
      </c>
      <c r="C80" s="40">
        <v>2</v>
      </c>
    </row>
    <row r="81" spans="1:3" x14ac:dyDescent="0.25">
      <c r="A81" s="18" t="s">
        <v>4251</v>
      </c>
      <c r="B81" t="s">
        <v>4252</v>
      </c>
      <c r="C81" s="40">
        <v>10</v>
      </c>
    </row>
    <row r="82" spans="1:3" x14ac:dyDescent="0.25">
      <c r="A82" s="18" t="s">
        <v>5065</v>
      </c>
      <c r="B82" t="s">
        <v>5066</v>
      </c>
      <c r="C82" s="40">
        <v>2</v>
      </c>
    </row>
    <row r="83" spans="1:3" x14ac:dyDescent="0.25">
      <c r="A83" s="18" t="s">
        <v>6713</v>
      </c>
      <c r="B83" t="s">
        <v>6714</v>
      </c>
      <c r="C83" s="40">
        <v>1</v>
      </c>
    </row>
    <row r="84" spans="1:3" x14ac:dyDescent="0.25">
      <c r="A84" s="18" t="s">
        <v>5053</v>
      </c>
      <c r="B84" t="s">
        <v>5054</v>
      </c>
      <c r="C84" s="40">
        <v>6</v>
      </c>
    </row>
    <row r="85" spans="1:3" x14ac:dyDescent="0.25">
      <c r="A85" s="18" t="s">
        <v>6792</v>
      </c>
      <c r="B85" t="s">
        <v>6793</v>
      </c>
      <c r="C85" s="40">
        <v>1</v>
      </c>
    </row>
    <row r="86" spans="1:3" x14ac:dyDescent="0.25">
      <c r="A86" s="18" t="s">
        <v>5348</v>
      </c>
      <c r="B86" t="s">
        <v>5349</v>
      </c>
      <c r="C86" s="40">
        <v>1</v>
      </c>
    </row>
    <row r="87" spans="1:3" x14ac:dyDescent="0.25">
      <c r="A87" s="18" t="s">
        <v>4692</v>
      </c>
      <c r="B87" t="s">
        <v>4693</v>
      </c>
      <c r="C87" s="40">
        <v>2</v>
      </c>
    </row>
    <row r="88" spans="1:3" x14ac:dyDescent="0.25">
      <c r="A88" s="18" t="s">
        <v>4787</v>
      </c>
      <c r="B88" t="s">
        <v>4788</v>
      </c>
      <c r="C88" s="40">
        <v>5</v>
      </c>
    </row>
    <row r="89" spans="1:3" x14ac:dyDescent="0.25">
      <c r="A89" s="18" t="s">
        <v>5318</v>
      </c>
      <c r="B89" t="s">
        <v>5319</v>
      </c>
      <c r="C89" s="40">
        <v>2</v>
      </c>
    </row>
    <row r="90" spans="1:3" x14ac:dyDescent="0.25">
      <c r="A90" s="18" t="s">
        <v>2802</v>
      </c>
      <c r="B90" t="s">
        <v>2803</v>
      </c>
      <c r="C90" s="40">
        <v>1</v>
      </c>
    </row>
    <row r="91" spans="1:3" x14ac:dyDescent="0.25">
      <c r="A91" s="18" t="s">
        <v>2789</v>
      </c>
      <c r="B91" t="s">
        <v>2790</v>
      </c>
      <c r="C91" s="40">
        <v>1</v>
      </c>
    </row>
    <row r="92" spans="1:3" x14ac:dyDescent="0.25">
      <c r="A92" s="18" t="s">
        <v>3568</v>
      </c>
      <c r="B92" t="s">
        <v>3569</v>
      </c>
      <c r="C92" s="40">
        <v>2</v>
      </c>
    </row>
    <row r="93" spans="1:3" x14ac:dyDescent="0.25">
      <c r="A93" s="18" t="s">
        <v>3475</v>
      </c>
      <c r="B93" t="s">
        <v>3476</v>
      </c>
      <c r="C93" s="40">
        <v>1</v>
      </c>
    </row>
    <row r="94" spans="1:3" x14ac:dyDescent="0.25">
      <c r="A94" s="18" t="s">
        <v>3629</v>
      </c>
      <c r="B94" t="s">
        <v>3630</v>
      </c>
      <c r="C94" s="40">
        <v>4</v>
      </c>
    </row>
    <row r="95" spans="1:3" x14ac:dyDescent="0.25">
      <c r="A95" s="18" t="s">
        <v>3861</v>
      </c>
      <c r="B95" t="s">
        <v>3862</v>
      </c>
      <c r="C95" s="40">
        <v>1</v>
      </c>
    </row>
    <row r="96" spans="1:3" x14ac:dyDescent="0.25">
      <c r="A96" s="18" t="s">
        <v>1531</v>
      </c>
      <c r="B96" t="s">
        <v>1532</v>
      </c>
      <c r="C96" s="40">
        <v>1</v>
      </c>
    </row>
    <row r="97" spans="1:3" x14ac:dyDescent="0.25">
      <c r="A97" s="18" t="s">
        <v>938</v>
      </c>
      <c r="B97" t="s">
        <v>939</v>
      </c>
      <c r="C97" s="40">
        <v>2</v>
      </c>
    </row>
    <row r="98" spans="1:3" x14ac:dyDescent="0.25">
      <c r="A98" s="18" t="s">
        <v>4631</v>
      </c>
      <c r="B98" t="s">
        <v>4632</v>
      </c>
      <c r="C98" s="40">
        <v>4</v>
      </c>
    </row>
    <row r="99" spans="1:3" x14ac:dyDescent="0.25">
      <c r="A99" s="18" t="s">
        <v>4625</v>
      </c>
      <c r="B99" t="s">
        <v>4626</v>
      </c>
      <c r="C99" s="40">
        <v>4</v>
      </c>
    </row>
    <row r="100" spans="1:3" x14ac:dyDescent="0.25">
      <c r="A100" s="18" t="s">
        <v>545</v>
      </c>
      <c r="B100" t="s">
        <v>546</v>
      </c>
      <c r="C100" s="40">
        <v>4</v>
      </c>
    </row>
    <row r="101" spans="1:3" x14ac:dyDescent="0.25">
      <c r="B101" t="s">
        <v>1251</v>
      </c>
      <c r="C101" s="40">
        <v>3</v>
      </c>
    </row>
    <row r="102" spans="1:3" x14ac:dyDescent="0.25">
      <c r="A102" s="18" t="s">
        <v>5532</v>
      </c>
      <c r="B102" t="s">
        <v>5533</v>
      </c>
      <c r="C102" s="40">
        <v>5</v>
      </c>
    </row>
    <row r="103" spans="1:3" x14ac:dyDescent="0.25">
      <c r="A103" s="18" t="s">
        <v>5733</v>
      </c>
      <c r="B103" t="s">
        <v>5734</v>
      </c>
      <c r="C103" s="40">
        <v>4</v>
      </c>
    </row>
    <row r="104" spans="1:3" x14ac:dyDescent="0.25">
      <c r="A104" s="18" t="s">
        <v>920</v>
      </c>
      <c r="B104" t="s">
        <v>921</v>
      </c>
      <c r="C104" s="40">
        <v>8</v>
      </c>
    </row>
    <row r="105" spans="1:3" x14ac:dyDescent="0.25">
      <c r="A105" s="18" t="s">
        <v>4678</v>
      </c>
      <c r="B105" t="s">
        <v>4679</v>
      </c>
      <c r="C105" s="40">
        <v>5</v>
      </c>
    </row>
    <row r="106" spans="1:3" x14ac:dyDescent="0.25">
      <c r="A106" s="18" t="s">
        <v>4244</v>
      </c>
      <c r="B106" t="s">
        <v>4245</v>
      </c>
      <c r="C106" s="40">
        <v>3</v>
      </c>
    </row>
    <row r="107" spans="1:3" x14ac:dyDescent="0.25">
      <c r="A107" s="18" t="s">
        <v>2877</v>
      </c>
      <c r="B107" t="s">
        <v>2878</v>
      </c>
      <c r="C107" s="40">
        <v>2</v>
      </c>
    </row>
    <row r="108" spans="1:3" x14ac:dyDescent="0.25">
      <c r="A108" s="18" t="s">
        <v>4027</v>
      </c>
      <c r="B108" t="s">
        <v>4028</v>
      </c>
      <c r="C108" s="40">
        <v>3</v>
      </c>
    </row>
    <row r="109" spans="1:3" x14ac:dyDescent="0.25">
      <c r="A109" s="18" t="s">
        <v>6910</v>
      </c>
      <c r="B109" t="s">
        <v>6911</v>
      </c>
      <c r="C109" s="40">
        <v>1</v>
      </c>
    </row>
    <row r="110" spans="1:3" x14ac:dyDescent="0.25">
      <c r="A110" s="18" t="s">
        <v>5724</v>
      </c>
      <c r="B110" t="s">
        <v>5725</v>
      </c>
      <c r="C110" s="40">
        <v>2</v>
      </c>
    </row>
    <row r="111" spans="1:3" x14ac:dyDescent="0.25">
      <c r="A111" s="18" t="s">
        <v>2786</v>
      </c>
      <c r="B111" t="s">
        <v>2787</v>
      </c>
      <c r="C111" s="40">
        <v>3</v>
      </c>
    </row>
    <row r="112" spans="1:3" x14ac:dyDescent="0.25">
      <c r="A112" s="18" t="s">
        <v>6498</v>
      </c>
      <c r="B112" t="s">
        <v>6499</v>
      </c>
      <c r="C112" s="40">
        <v>1</v>
      </c>
    </row>
    <row r="113" spans="1:3" x14ac:dyDescent="0.25">
      <c r="A113" s="18" t="s">
        <v>6495</v>
      </c>
      <c r="B113" t="s">
        <v>6496</v>
      </c>
      <c r="C113" s="40">
        <v>1</v>
      </c>
    </row>
    <row r="114" spans="1:3" x14ac:dyDescent="0.25">
      <c r="A114" s="18" t="s">
        <v>1606</v>
      </c>
      <c r="B114" t="s">
        <v>1607</v>
      </c>
      <c r="C114" s="40">
        <v>2</v>
      </c>
    </row>
    <row r="115" spans="1:3" x14ac:dyDescent="0.25">
      <c r="B115" t="s">
        <v>1611</v>
      </c>
      <c r="C115" s="40">
        <v>1</v>
      </c>
    </row>
    <row r="116" spans="1:3" x14ac:dyDescent="0.25">
      <c r="A116" s="18" t="s">
        <v>1610</v>
      </c>
      <c r="B116" t="s">
        <v>1611</v>
      </c>
      <c r="C116" s="40">
        <v>1</v>
      </c>
    </row>
    <row r="117" spans="1:3" x14ac:dyDescent="0.25">
      <c r="A117" s="18" t="s">
        <v>2889</v>
      </c>
      <c r="B117" t="s">
        <v>2890</v>
      </c>
      <c r="C117" s="40">
        <v>1</v>
      </c>
    </row>
    <row r="118" spans="1:3" x14ac:dyDescent="0.25">
      <c r="A118" s="18" t="s">
        <v>1025</v>
      </c>
      <c r="B118" t="s">
        <v>1026</v>
      </c>
      <c r="C118" s="40">
        <v>46</v>
      </c>
    </row>
    <row r="119" spans="1:3" x14ac:dyDescent="0.25">
      <c r="A119" s="18" t="s">
        <v>4260</v>
      </c>
      <c r="B119" t="s">
        <v>4261</v>
      </c>
      <c r="C119" s="40">
        <v>1</v>
      </c>
    </row>
    <row r="120" spans="1:3" x14ac:dyDescent="0.25">
      <c r="A120" s="18" t="s">
        <v>3925</v>
      </c>
      <c r="B120" t="s">
        <v>3926</v>
      </c>
      <c r="C120" s="40">
        <v>4</v>
      </c>
    </row>
    <row r="121" spans="1:3" x14ac:dyDescent="0.25">
      <c r="A121" s="18" t="s">
        <v>927</v>
      </c>
      <c r="B121" t="s">
        <v>928</v>
      </c>
      <c r="C121" s="40">
        <v>9</v>
      </c>
    </row>
    <row r="122" spans="1:3" x14ac:dyDescent="0.25">
      <c r="A122" s="18" t="s">
        <v>4482</v>
      </c>
      <c r="B122" t="s">
        <v>4483</v>
      </c>
      <c r="C122" s="40">
        <v>2</v>
      </c>
    </row>
    <row r="123" spans="1:3" x14ac:dyDescent="0.25">
      <c r="A123" s="18" t="s">
        <v>4486</v>
      </c>
      <c r="B123" t="s">
        <v>4487</v>
      </c>
      <c r="C123" s="40">
        <v>2</v>
      </c>
    </row>
    <row r="124" spans="1:3" x14ac:dyDescent="0.25">
      <c r="A124" s="18" t="s">
        <v>239</v>
      </c>
      <c r="B124" t="s">
        <v>240</v>
      </c>
      <c r="C124" s="40">
        <v>85</v>
      </c>
    </row>
    <row r="125" spans="1:3" x14ac:dyDescent="0.25">
      <c r="A125" s="18" t="s">
        <v>208</v>
      </c>
      <c r="B125" t="s">
        <v>209</v>
      </c>
      <c r="C125" s="40">
        <v>400</v>
      </c>
    </row>
    <row r="126" spans="1:3" x14ac:dyDescent="0.25">
      <c r="A126" s="18" t="s">
        <v>2659</v>
      </c>
      <c r="B126" t="s">
        <v>2660</v>
      </c>
      <c r="C126" s="40">
        <v>52</v>
      </c>
    </row>
    <row r="127" spans="1:3" x14ac:dyDescent="0.25">
      <c r="A127" s="18" t="s">
        <v>304</v>
      </c>
      <c r="B127" t="s">
        <v>305</v>
      </c>
      <c r="C127" s="40">
        <v>40</v>
      </c>
    </row>
    <row r="128" spans="1:3" x14ac:dyDescent="0.25">
      <c r="A128" s="18" t="s">
        <v>586</v>
      </c>
      <c r="B128" t="s">
        <v>587</v>
      </c>
      <c r="C128" s="40">
        <v>30</v>
      </c>
    </row>
    <row r="129" spans="1:3" x14ac:dyDescent="0.25">
      <c r="A129" s="18" t="s">
        <v>4437</v>
      </c>
      <c r="B129" t="s">
        <v>4438</v>
      </c>
      <c r="C129" s="40">
        <v>20</v>
      </c>
    </row>
    <row r="130" spans="1:3" x14ac:dyDescent="0.25">
      <c r="A130" s="18" t="s">
        <v>4662</v>
      </c>
      <c r="B130" t="s">
        <v>4663</v>
      </c>
      <c r="C130" s="40">
        <v>16</v>
      </c>
    </row>
    <row r="131" spans="1:3" x14ac:dyDescent="0.25">
      <c r="A131" s="18" t="s">
        <v>4670</v>
      </c>
      <c r="B131" t="s">
        <v>4671</v>
      </c>
      <c r="C131" s="40">
        <v>8</v>
      </c>
    </row>
    <row r="132" spans="1:3" x14ac:dyDescent="0.25">
      <c r="A132" s="18" t="s">
        <v>1541</v>
      </c>
      <c r="B132" t="s">
        <v>1542</v>
      </c>
      <c r="C132" s="40">
        <v>26</v>
      </c>
    </row>
    <row r="133" spans="1:3" x14ac:dyDescent="0.25">
      <c r="A133" s="18" t="s">
        <v>4222</v>
      </c>
      <c r="B133" t="s">
        <v>4223</v>
      </c>
      <c r="C133" s="40">
        <v>4</v>
      </c>
    </row>
    <row r="134" spans="1:3" x14ac:dyDescent="0.25">
      <c r="A134" s="18" t="s">
        <v>236</v>
      </c>
      <c r="B134" t="s">
        <v>237</v>
      </c>
      <c r="C134" s="40">
        <v>78</v>
      </c>
    </row>
    <row r="135" spans="1:3" x14ac:dyDescent="0.25">
      <c r="A135" s="18" t="s">
        <v>233</v>
      </c>
      <c r="B135" t="s">
        <v>234</v>
      </c>
      <c r="C135" s="40">
        <v>127</v>
      </c>
    </row>
    <row r="136" spans="1:3" x14ac:dyDescent="0.25">
      <c r="A136" s="18" t="s">
        <v>2759</v>
      </c>
      <c r="B136" t="s">
        <v>2760</v>
      </c>
      <c r="C136" s="40">
        <v>1</v>
      </c>
    </row>
    <row r="137" spans="1:3" x14ac:dyDescent="0.25">
      <c r="A137" s="18" t="s">
        <v>1145</v>
      </c>
      <c r="B137" t="s">
        <v>1146</v>
      </c>
      <c r="C137" s="40">
        <v>28</v>
      </c>
    </row>
    <row r="138" spans="1:3" x14ac:dyDescent="0.25">
      <c r="A138" s="18" t="s">
        <v>944</v>
      </c>
      <c r="B138" t="s">
        <v>945</v>
      </c>
      <c r="C138" s="40">
        <v>2</v>
      </c>
    </row>
    <row r="139" spans="1:3" x14ac:dyDescent="0.25">
      <c r="A139" s="18" t="s">
        <v>3167</v>
      </c>
      <c r="B139" t="s">
        <v>3168</v>
      </c>
      <c r="C139" s="40">
        <v>16</v>
      </c>
    </row>
    <row r="140" spans="1:3" x14ac:dyDescent="0.25">
      <c r="A140" s="18" t="s">
        <v>1914</v>
      </c>
      <c r="B140" t="s">
        <v>1915</v>
      </c>
      <c r="C140" s="40">
        <v>8</v>
      </c>
    </row>
    <row r="141" spans="1:3" x14ac:dyDescent="0.25">
      <c r="A141" s="18" t="s">
        <v>2823</v>
      </c>
      <c r="B141" t="s">
        <v>2824</v>
      </c>
      <c r="C141" s="40">
        <v>1</v>
      </c>
    </row>
    <row r="142" spans="1:3" x14ac:dyDescent="0.25">
      <c r="A142" s="18" t="s">
        <v>3041</v>
      </c>
      <c r="B142" t="s">
        <v>3042</v>
      </c>
      <c r="C142" s="40">
        <v>12</v>
      </c>
    </row>
    <row r="143" spans="1:3" x14ac:dyDescent="0.25">
      <c r="A143" s="18" t="s">
        <v>6334</v>
      </c>
      <c r="B143" t="s">
        <v>6335</v>
      </c>
      <c r="C143" s="40">
        <v>2</v>
      </c>
    </row>
    <row r="144" spans="1:3" x14ac:dyDescent="0.25">
      <c r="A144" s="18" t="s">
        <v>301</v>
      </c>
      <c r="B144" t="s">
        <v>302</v>
      </c>
      <c r="C144" s="40">
        <v>14</v>
      </c>
    </row>
    <row r="145" spans="1:3" x14ac:dyDescent="0.25">
      <c r="A145" s="18" t="s">
        <v>2586</v>
      </c>
      <c r="B145" t="s">
        <v>2587</v>
      </c>
      <c r="C145" s="40">
        <v>7</v>
      </c>
    </row>
    <row r="146" spans="1:3" x14ac:dyDescent="0.25">
      <c r="A146" s="18" t="s">
        <v>5361</v>
      </c>
      <c r="B146" t="s">
        <v>5362</v>
      </c>
      <c r="C146" s="40">
        <v>1</v>
      </c>
    </row>
    <row r="147" spans="1:3" x14ac:dyDescent="0.25">
      <c r="A147" s="18" t="s">
        <v>1048</v>
      </c>
      <c r="B147" t="s">
        <v>1049</v>
      </c>
      <c r="C147" s="40">
        <v>8</v>
      </c>
    </row>
    <row r="148" spans="1:3" x14ac:dyDescent="0.25">
      <c r="A148" s="18" t="s">
        <v>3974</v>
      </c>
      <c r="B148" t="s">
        <v>3975</v>
      </c>
      <c r="C148" s="40">
        <v>17</v>
      </c>
    </row>
    <row r="149" spans="1:3" x14ac:dyDescent="0.25">
      <c r="A149" s="18" t="s">
        <v>580</v>
      </c>
      <c r="B149" t="s">
        <v>581</v>
      </c>
      <c r="C149" s="40">
        <v>52</v>
      </c>
    </row>
    <row r="150" spans="1:3" x14ac:dyDescent="0.25">
      <c r="A150" s="18" t="s">
        <v>1157</v>
      </c>
      <c r="B150" t="s">
        <v>1158</v>
      </c>
      <c r="C150" s="40">
        <v>8</v>
      </c>
    </row>
    <row r="151" spans="1:3" x14ac:dyDescent="0.25">
      <c r="A151" s="18" t="s">
        <v>246</v>
      </c>
      <c r="B151" t="s">
        <v>247</v>
      </c>
      <c r="C151" s="40">
        <v>12</v>
      </c>
    </row>
    <row r="152" spans="1:3" x14ac:dyDescent="0.25">
      <c r="A152" s="18" t="s">
        <v>1921</v>
      </c>
      <c r="B152" t="s">
        <v>1922</v>
      </c>
      <c r="C152" s="40">
        <v>18</v>
      </c>
    </row>
    <row r="153" spans="1:3" x14ac:dyDescent="0.25">
      <c r="A153" s="18" t="s">
        <v>219</v>
      </c>
      <c r="B153" t="s">
        <v>220</v>
      </c>
      <c r="C153" s="40">
        <v>120</v>
      </c>
    </row>
    <row r="154" spans="1:3" x14ac:dyDescent="0.25">
      <c r="A154" s="18" t="s">
        <v>216</v>
      </c>
      <c r="B154" t="s">
        <v>217</v>
      </c>
      <c r="C154" s="40">
        <v>133</v>
      </c>
    </row>
    <row r="155" spans="1:3" x14ac:dyDescent="0.25">
      <c r="A155" s="18" t="s">
        <v>2549</v>
      </c>
      <c r="B155" t="s">
        <v>2550</v>
      </c>
      <c r="C155" s="40">
        <v>4</v>
      </c>
    </row>
    <row r="156" spans="1:3" x14ac:dyDescent="0.25">
      <c r="A156" s="18" t="s">
        <v>6893</v>
      </c>
      <c r="B156" t="s">
        <v>6894</v>
      </c>
      <c r="C156" s="40">
        <v>1</v>
      </c>
    </row>
    <row r="157" spans="1:3" x14ac:dyDescent="0.25">
      <c r="A157" s="18" t="s">
        <v>2805</v>
      </c>
      <c r="B157" t="s">
        <v>2806</v>
      </c>
      <c r="C157" s="40">
        <v>2</v>
      </c>
    </row>
    <row r="158" spans="1:3" x14ac:dyDescent="0.25">
      <c r="A158" s="18" t="s">
        <v>4681</v>
      </c>
      <c r="B158" t="s">
        <v>4682</v>
      </c>
      <c r="C158" s="40">
        <v>4</v>
      </c>
    </row>
    <row r="159" spans="1:3" x14ac:dyDescent="0.25">
      <c r="A159" s="18" t="s">
        <v>442</v>
      </c>
      <c r="B159" t="s">
        <v>443</v>
      </c>
      <c r="C159" s="40">
        <v>40</v>
      </c>
    </row>
    <row r="160" spans="1:3" x14ac:dyDescent="0.25">
      <c r="A160" s="18" t="s">
        <v>4652</v>
      </c>
      <c r="B160" t="s">
        <v>4653</v>
      </c>
      <c r="C160" s="40">
        <v>26</v>
      </c>
    </row>
    <row r="161" spans="1:3" x14ac:dyDescent="0.25">
      <c r="A161" s="18" t="s">
        <v>941</v>
      </c>
      <c r="B161" t="s">
        <v>942</v>
      </c>
      <c r="C161" s="40">
        <v>111</v>
      </c>
    </row>
    <row r="162" spans="1:3" x14ac:dyDescent="0.25">
      <c r="A162" s="18" t="s">
        <v>4684</v>
      </c>
      <c r="B162" t="s">
        <v>4685</v>
      </c>
      <c r="C162" s="40">
        <v>2</v>
      </c>
    </row>
    <row r="163" spans="1:3" x14ac:dyDescent="0.25">
      <c r="A163" s="18" t="s">
        <v>2781</v>
      </c>
      <c r="B163" t="s">
        <v>2782</v>
      </c>
      <c r="C163" s="40">
        <v>1</v>
      </c>
    </row>
    <row r="164" spans="1:3" x14ac:dyDescent="0.25">
      <c r="A164" s="18" t="s">
        <v>1309</v>
      </c>
      <c r="B164" t="s">
        <v>1310</v>
      </c>
      <c r="C164" s="40">
        <v>13</v>
      </c>
    </row>
    <row r="165" spans="1:3" x14ac:dyDescent="0.25">
      <c r="A165" s="18" t="s">
        <v>4778</v>
      </c>
      <c r="B165" t="s">
        <v>4779</v>
      </c>
      <c r="C165" s="40">
        <v>8</v>
      </c>
    </row>
    <row r="166" spans="1:3" x14ac:dyDescent="0.25">
      <c r="A166" s="18" t="s">
        <v>3428</v>
      </c>
      <c r="B166" t="s">
        <v>3429</v>
      </c>
      <c r="C166" s="40">
        <v>3</v>
      </c>
    </row>
    <row r="167" spans="1:3" x14ac:dyDescent="0.25">
      <c r="A167" s="18" t="s">
        <v>1022</v>
      </c>
      <c r="B167" t="s">
        <v>1023</v>
      </c>
      <c r="C167" s="40">
        <v>4</v>
      </c>
    </row>
    <row r="168" spans="1:3" x14ac:dyDescent="0.25">
      <c r="A168" s="18" t="s">
        <v>667</v>
      </c>
      <c r="B168" t="s">
        <v>668</v>
      </c>
      <c r="C168" s="40">
        <v>4</v>
      </c>
    </row>
    <row r="169" spans="1:3" x14ac:dyDescent="0.25">
      <c r="A169" s="18" t="s">
        <v>5749</v>
      </c>
      <c r="B169" t="s">
        <v>5750</v>
      </c>
      <c r="C169" s="40">
        <v>5</v>
      </c>
    </row>
    <row r="170" spans="1:3" x14ac:dyDescent="0.25">
      <c r="A170" s="18" t="s">
        <v>5736</v>
      </c>
      <c r="B170" t="s">
        <v>5737</v>
      </c>
      <c r="C170" s="40">
        <v>2</v>
      </c>
    </row>
    <row r="171" spans="1:3" x14ac:dyDescent="0.25">
      <c r="A171" s="18" t="s">
        <v>1154</v>
      </c>
      <c r="B171" t="s">
        <v>1155</v>
      </c>
      <c r="C171" s="40">
        <v>27</v>
      </c>
    </row>
    <row r="172" spans="1:3" x14ac:dyDescent="0.25">
      <c r="A172" s="18" t="s">
        <v>5664</v>
      </c>
      <c r="B172" t="s">
        <v>5665</v>
      </c>
      <c r="C172" s="40">
        <v>2</v>
      </c>
    </row>
    <row r="173" spans="1:3" x14ac:dyDescent="0.25">
      <c r="A173" s="18" t="s">
        <v>5814</v>
      </c>
      <c r="B173" t="s">
        <v>5815</v>
      </c>
      <c r="C173" s="40">
        <v>7</v>
      </c>
    </row>
    <row r="174" spans="1:3" x14ac:dyDescent="0.25">
      <c r="A174" s="18" t="s">
        <v>445</v>
      </c>
      <c r="B174" t="s">
        <v>446</v>
      </c>
      <c r="C174" s="40">
        <v>22</v>
      </c>
    </row>
    <row r="175" spans="1:3" x14ac:dyDescent="0.25">
      <c r="A175" s="18" t="s">
        <v>4248</v>
      </c>
      <c r="B175" t="s">
        <v>4249</v>
      </c>
      <c r="C175" s="40">
        <v>10</v>
      </c>
    </row>
    <row r="176" spans="1:3" x14ac:dyDescent="0.25">
      <c r="A176" s="18" t="s">
        <v>4479</v>
      </c>
      <c r="B176" t="s">
        <v>4480</v>
      </c>
      <c r="C176" s="40">
        <v>8</v>
      </c>
    </row>
    <row r="177" spans="1:3" x14ac:dyDescent="0.25">
      <c r="A177" s="18" t="s">
        <v>6735</v>
      </c>
      <c r="B177" t="s">
        <v>6736</v>
      </c>
      <c r="C177" s="40">
        <v>4</v>
      </c>
    </row>
    <row r="178" spans="1:3" x14ac:dyDescent="0.25">
      <c r="A178" s="18" t="s">
        <v>569</v>
      </c>
      <c r="B178" t="s">
        <v>570</v>
      </c>
      <c r="C178" s="40">
        <v>5</v>
      </c>
    </row>
    <row r="179" spans="1:3" x14ac:dyDescent="0.25">
      <c r="A179" s="18" t="s">
        <v>563</v>
      </c>
      <c r="B179" t="s">
        <v>564</v>
      </c>
      <c r="C179" s="40">
        <v>69</v>
      </c>
    </row>
    <row r="180" spans="1:3" x14ac:dyDescent="0.25">
      <c r="A180" s="18" t="s">
        <v>519</v>
      </c>
      <c r="B180" t="s">
        <v>520</v>
      </c>
      <c r="C180" s="40">
        <v>107</v>
      </c>
    </row>
    <row r="181" spans="1:3" x14ac:dyDescent="0.25">
      <c r="A181" s="18" t="s">
        <v>1136</v>
      </c>
      <c r="B181" t="s">
        <v>1137</v>
      </c>
      <c r="C181" s="40">
        <v>2</v>
      </c>
    </row>
    <row r="182" spans="1:3" x14ac:dyDescent="0.25">
      <c r="A182" s="18" t="s">
        <v>566</v>
      </c>
      <c r="B182" t="s">
        <v>567</v>
      </c>
      <c r="C182" s="40">
        <v>25</v>
      </c>
    </row>
    <row r="183" spans="1:3" x14ac:dyDescent="0.25">
      <c r="A183" s="18" t="s">
        <v>910</v>
      </c>
      <c r="B183" t="s">
        <v>911</v>
      </c>
      <c r="C183" s="40">
        <v>6</v>
      </c>
    </row>
    <row r="184" spans="1:3" x14ac:dyDescent="0.25">
      <c r="A184" s="18" t="s">
        <v>7018</v>
      </c>
      <c r="B184" t="s">
        <v>911</v>
      </c>
      <c r="C184" s="40">
        <v>5</v>
      </c>
    </row>
    <row r="185" spans="1:3" x14ac:dyDescent="0.25">
      <c r="A185" s="18" t="s">
        <v>4214</v>
      </c>
      <c r="B185" t="s">
        <v>4215</v>
      </c>
      <c r="C185" s="40">
        <v>24</v>
      </c>
    </row>
    <row r="186" spans="1:3" x14ac:dyDescent="0.25">
      <c r="A186" s="18" t="s">
        <v>915</v>
      </c>
      <c r="B186" t="s">
        <v>916</v>
      </c>
      <c r="C186" s="40">
        <v>90</v>
      </c>
    </row>
    <row r="187" spans="1:3" x14ac:dyDescent="0.25">
      <c r="A187" s="18" t="s">
        <v>5536</v>
      </c>
      <c r="B187" t="s">
        <v>5537</v>
      </c>
      <c r="C187" s="40">
        <v>4</v>
      </c>
    </row>
    <row r="188" spans="1:3" x14ac:dyDescent="0.25">
      <c r="A188" s="18" t="s">
        <v>1288</v>
      </c>
      <c r="B188" t="s">
        <v>1289</v>
      </c>
      <c r="C188" s="40">
        <v>2</v>
      </c>
    </row>
    <row r="189" spans="1:3" x14ac:dyDescent="0.25">
      <c r="A189" s="18" t="s">
        <v>5446</v>
      </c>
      <c r="B189" t="s">
        <v>5447</v>
      </c>
      <c r="C189" s="40">
        <v>2</v>
      </c>
    </row>
    <row r="190" spans="1:3" x14ac:dyDescent="0.25">
      <c r="A190" s="18" t="s">
        <v>1285</v>
      </c>
      <c r="B190" t="s">
        <v>1286</v>
      </c>
      <c r="C190" s="40">
        <v>9</v>
      </c>
    </row>
    <row r="191" spans="1:3" x14ac:dyDescent="0.25">
      <c r="A191" s="18" t="s">
        <v>1425</v>
      </c>
      <c r="B191" t="s">
        <v>1426</v>
      </c>
      <c r="C191" s="40">
        <v>1</v>
      </c>
    </row>
    <row r="192" spans="1:3" x14ac:dyDescent="0.25">
      <c r="A192" s="18" t="s">
        <v>2279</v>
      </c>
      <c r="B192" t="s">
        <v>2280</v>
      </c>
      <c r="C192" s="40">
        <v>4</v>
      </c>
    </row>
    <row r="193" spans="1:3" x14ac:dyDescent="0.25">
      <c r="A193" s="18" t="s">
        <v>2256</v>
      </c>
      <c r="B193" t="s">
        <v>2257</v>
      </c>
      <c r="C193" s="40">
        <v>4</v>
      </c>
    </row>
    <row r="194" spans="1:3" x14ac:dyDescent="0.25">
      <c r="A194" s="18" t="s">
        <v>3801</v>
      </c>
      <c r="B194" t="s">
        <v>3802</v>
      </c>
      <c r="C194" s="40">
        <v>2</v>
      </c>
    </row>
    <row r="195" spans="1:3" x14ac:dyDescent="0.25">
      <c r="A195" s="18" t="s">
        <v>3574</v>
      </c>
      <c r="B195" t="s">
        <v>3575</v>
      </c>
      <c r="C195" s="40">
        <v>1</v>
      </c>
    </row>
    <row r="196" spans="1:3" x14ac:dyDescent="0.25">
      <c r="A196" s="18" t="s">
        <v>3425</v>
      </c>
      <c r="B196" t="s">
        <v>3426</v>
      </c>
      <c r="C196" s="40">
        <v>3</v>
      </c>
    </row>
    <row r="197" spans="1:3" x14ac:dyDescent="0.25">
      <c r="A197" s="18" t="s">
        <v>3773</v>
      </c>
      <c r="B197" t="s">
        <v>3774</v>
      </c>
      <c r="C197" s="40">
        <v>2</v>
      </c>
    </row>
    <row r="198" spans="1:3" x14ac:dyDescent="0.25">
      <c r="A198" s="18" t="s">
        <v>3747</v>
      </c>
      <c r="B198" t="s">
        <v>3748</v>
      </c>
      <c r="C198" s="40">
        <v>2</v>
      </c>
    </row>
    <row r="199" spans="1:3" x14ac:dyDescent="0.25">
      <c r="A199" s="18" t="s">
        <v>3580</v>
      </c>
      <c r="B199" t="s">
        <v>3581</v>
      </c>
      <c r="C199" s="40">
        <v>14</v>
      </c>
    </row>
    <row r="200" spans="1:3" x14ac:dyDescent="0.25">
      <c r="A200" s="18" t="s">
        <v>1008</v>
      </c>
      <c r="B200" t="s">
        <v>1009</v>
      </c>
      <c r="C200" s="40">
        <v>35</v>
      </c>
    </row>
    <row r="201" spans="1:3" x14ac:dyDescent="0.25">
      <c r="A201" s="18" t="s">
        <v>4699</v>
      </c>
      <c r="B201" t="s">
        <v>4700</v>
      </c>
      <c r="C201" s="40">
        <v>1</v>
      </c>
    </row>
    <row r="202" spans="1:3" x14ac:dyDescent="0.25">
      <c r="A202" s="18" t="s">
        <v>3153</v>
      </c>
      <c r="B202" t="s">
        <v>3154</v>
      </c>
      <c r="C202" s="40">
        <v>4</v>
      </c>
    </row>
    <row r="203" spans="1:3" x14ac:dyDescent="0.25">
      <c r="A203" s="18" t="s">
        <v>4646</v>
      </c>
      <c r="B203" t="s">
        <v>4647</v>
      </c>
      <c r="C203" s="40">
        <v>2</v>
      </c>
    </row>
    <row r="204" spans="1:3" x14ac:dyDescent="0.25">
      <c r="A204" s="18" t="s">
        <v>2748</v>
      </c>
      <c r="B204" t="s">
        <v>2749</v>
      </c>
      <c r="C204" s="40">
        <v>116</v>
      </c>
    </row>
    <row r="205" spans="1:3" x14ac:dyDescent="0.25">
      <c r="A205" s="18" t="s">
        <v>5775</v>
      </c>
      <c r="B205" t="s">
        <v>5776</v>
      </c>
      <c r="C205" s="40">
        <v>1</v>
      </c>
    </row>
    <row r="206" spans="1:3" x14ac:dyDescent="0.25">
      <c r="A206" s="18" t="s">
        <v>935</v>
      </c>
      <c r="B206" t="s">
        <v>936</v>
      </c>
      <c r="C206" s="40">
        <v>2</v>
      </c>
    </row>
    <row r="207" spans="1:3" x14ac:dyDescent="0.25">
      <c r="A207" s="18" t="s">
        <v>2765</v>
      </c>
      <c r="B207" t="s">
        <v>2766</v>
      </c>
      <c r="C207" s="40">
        <v>2</v>
      </c>
    </row>
    <row r="208" spans="1:3" x14ac:dyDescent="0.25">
      <c r="A208" s="18" t="s">
        <v>924</v>
      </c>
      <c r="B208" t="s">
        <v>925</v>
      </c>
      <c r="C208" s="40">
        <v>4</v>
      </c>
    </row>
    <row r="209" spans="1:3" x14ac:dyDescent="0.25">
      <c r="A209" s="18" t="s">
        <v>1555</v>
      </c>
      <c r="B209" t="s">
        <v>1556</v>
      </c>
      <c r="C209" s="40">
        <v>2</v>
      </c>
    </row>
    <row r="210" spans="1:3" x14ac:dyDescent="0.25">
      <c r="A210" s="18" t="s">
        <v>2756</v>
      </c>
      <c r="B210" t="s">
        <v>2757</v>
      </c>
      <c r="C210" s="40">
        <v>2</v>
      </c>
    </row>
    <row r="211" spans="1:3" x14ac:dyDescent="0.25">
      <c r="A211" s="18" t="s">
        <v>2771</v>
      </c>
      <c r="B211" t="s">
        <v>2772</v>
      </c>
      <c r="C211" s="40">
        <v>10</v>
      </c>
    </row>
    <row r="212" spans="1:3" x14ac:dyDescent="0.25">
      <c r="A212" s="18" t="s">
        <v>2164</v>
      </c>
      <c r="B212" t="s">
        <v>2165</v>
      </c>
      <c r="C212" s="40">
        <v>2</v>
      </c>
    </row>
    <row r="213" spans="1:3" x14ac:dyDescent="0.25">
      <c r="A213" s="18" t="s">
        <v>297</v>
      </c>
      <c r="B213" t="s">
        <v>298</v>
      </c>
      <c r="C213" s="40">
        <v>30</v>
      </c>
    </row>
    <row r="214" spans="1:3" x14ac:dyDescent="0.25">
      <c r="A214" s="18" t="s">
        <v>3046</v>
      </c>
      <c r="B214" t="s">
        <v>3047</v>
      </c>
      <c r="C214" s="40">
        <v>15</v>
      </c>
    </row>
    <row r="215" spans="1:3" x14ac:dyDescent="0.25">
      <c r="A215" s="18" t="s">
        <v>5259</v>
      </c>
      <c r="B215" t="s">
        <v>5260</v>
      </c>
      <c r="C215" s="40">
        <v>4</v>
      </c>
    </row>
    <row r="216" spans="1:3" x14ac:dyDescent="0.25">
      <c r="A216" s="18" t="s">
        <v>583</v>
      </c>
      <c r="B216" t="s">
        <v>584</v>
      </c>
      <c r="C216" s="40">
        <v>67</v>
      </c>
    </row>
    <row r="217" spans="1:3" x14ac:dyDescent="0.25">
      <c r="A217" s="18" t="s">
        <v>2583</v>
      </c>
      <c r="B217" t="s">
        <v>2584</v>
      </c>
      <c r="C217" s="40">
        <v>4</v>
      </c>
    </row>
    <row r="218" spans="1:3" x14ac:dyDescent="0.25">
      <c r="A218" s="18" t="s">
        <v>4665</v>
      </c>
      <c r="B218" t="s">
        <v>4666</v>
      </c>
      <c r="C218" s="40">
        <v>12</v>
      </c>
    </row>
    <row r="219" spans="1:3" x14ac:dyDescent="0.25">
      <c r="A219" s="18" t="s">
        <v>577</v>
      </c>
      <c r="B219" t="s">
        <v>578</v>
      </c>
      <c r="C219" s="40">
        <v>28</v>
      </c>
    </row>
    <row r="220" spans="1:3" x14ac:dyDescent="0.25">
      <c r="A220" s="18" t="s">
        <v>3739</v>
      </c>
      <c r="B220" t="s">
        <v>3740</v>
      </c>
      <c r="C220" s="40">
        <v>6</v>
      </c>
    </row>
    <row r="221" spans="1:3" x14ac:dyDescent="0.25">
      <c r="A221" s="18" t="s">
        <v>3900</v>
      </c>
      <c r="B221" t="s">
        <v>3901</v>
      </c>
      <c r="C221" s="40">
        <v>5</v>
      </c>
    </row>
    <row r="222" spans="1:3" x14ac:dyDescent="0.25">
      <c r="A222" s="18" t="s">
        <v>5113</v>
      </c>
      <c r="B222" t="s">
        <v>5114</v>
      </c>
      <c r="C222" s="40">
        <v>9</v>
      </c>
    </row>
    <row r="223" spans="1:3" x14ac:dyDescent="0.25">
      <c r="A223" s="18" t="s">
        <v>907</v>
      </c>
      <c r="B223" t="s">
        <v>908</v>
      </c>
      <c r="C223" s="40">
        <v>9</v>
      </c>
    </row>
    <row r="224" spans="1:3" x14ac:dyDescent="0.25">
      <c r="A224" s="18" t="s">
        <v>1005</v>
      </c>
      <c r="B224" t="s">
        <v>1006</v>
      </c>
      <c r="C224" s="40">
        <v>2</v>
      </c>
    </row>
    <row r="225" spans="1:3" x14ac:dyDescent="0.25">
      <c r="A225" s="18" t="s">
        <v>5528</v>
      </c>
      <c r="B225" t="s">
        <v>5529</v>
      </c>
      <c r="C225" s="40">
        <v>12</v>
      </c>
    </row>
    <row r="226" spans="1:3" x14ac:dyDescent="0.25">
      <c r="A226" s="18" t="s">
        <v>932</v>
      </c>
      <c r="B226" t="s">
        <v>933</v>
      </c>
      <c r="C226" s="40">
        <v>22</v>
      </c>
    </row>
    <row r="227" spans="1:3" x14ac:dyDescent="0.25">
      <c r="A227" s="18" t="s">
        <v>5843</v>
      </c>
      <c r="B227" t="s">
        <v>5844</v>
      </c>
      <c r="C227" s="40">
        <v>6</v>
      </c>
    </row>
    <row r="228" spans="1:3" x14ac:dyDescent="0.25">
      <c r="A228" s="18" t="s">
        <v>226</v>
      </c>
      <c r="B228" t="s">
        <v>227</v>
      </c>
      <c r="C228" s="40">
        <v>329</v>
      </c>
    </row>
    <row r="229" spans="1:3" x14ac:dyDescent="0.25">
      <c r="A229" s="18" t="s">
        <v>4784</v>
      </c>
      <c r="B229" t="s">
        <v>4785</v>
      </c>
      <c r="C229" s="40">
        <v>7</v>
      </c>
    </row>
    <row r="230" spans="1:3" x14ac:dyDescent="0.25">
      <c r="A230" s="18" t="s">
        <v>3411</v>
      </c>
      <c r="B230" t="s">
        <v>3412</v>
      </c>
      <c r="C230" s="40">
        <v>3</v>
      </c>
    </row>
    <row r="231" spans="1:3" x14ac:dyDescent="0.25">
      <c r="A231" s="18" t="s">
        <v>4775</v>
      </c>
      <c r="B231" t="s">
        <v>4776</v>
      </c>
      <c r="C231" s="40">
        <v>8</v>
      </c>
    </row>
    <row r="232" spans="1:3" x14ac:dyDescent="0.25">
      <c r="A232" s="18" t="s">
        <v>3507</v>
      </c>
      <c r="B232" t="s">
        <v>3508</v>
      </c>
      <c r="C232" s="40">
        <v>6</v>
      </c>
    </row>
    <row r="233" spans="1:3" x14ac:dyDescent="0.25">
      <c r="A233" s="18" t="s">
        <v>3621</v>
      </c>
      <c r="B233" t="s">
        <v>3622</v>
      </c>
      <c r="C233" s="40">
        <v>6</v>
      </c>
    </row>
    <row r="234" spans="1:3" x14ac:dyDescent="0.25">
      <c r="A234" s="18" t="s">
        <v>3666</v>
      </c>
      <c r="B234" t="s">
        <v>3667</v>
      </c>
      <c r="C234" s="40">
        <v>2</v>
      </c>
    </row>
    <row r="235" spans="1:3" x14ac:dyDescent="0.25">
      <c r="A235" s="18" t="s">
        <v>3706</v>
      </c>
      <c r="B235" t="s">
        <v>3707</v>
      </c>
      <c r="C235" s="40">
        <v>2</v>
      </c>
    </row>
    <row r="236" spans="1:3" x14ac:dyDescent="0.25">
      <c r="A236" s="18" t="s">
        <v>3535</v>
      </c>
      <c r="B236" t="s">
        <v>3536</v>
      </c>
      <c r="C236" s="40">
        <v>10</v>
      </c>
    </row>
    <row r="237" spans="1:3" x14ac:dyDescent="0.25">
      <c r="A237" s="18" t="s">
        <v>212</v>
      </c>
      <c r="B237" t="s">
        <v>213</v>
      </c>
      <c r="C237" s="40">
        <v>172</v>
      </c>
    </row>
    <row r="238" spans="1:3" x14ac:dyDescent="0.25">
      <c r="A238" s="18" t="s">
        <v>2647</v>
      </c>
      <c r="B238" t="s">
        <v>2648</v>
      </c>
      <c r="C238" s="40">
        <v>17</v>
      </c>
    </row>
    <row r="239" spans="1:3" x14ac:dyDescent="0.25">
      <c r="A239" s="18" t="s">
        <v>3472</v>
      </c>
      <c r="B239" t="s">
        <v>3473</v>
      </c>
      <c r="C239" s="40">
        <v>6</v>
      </c>
    </row>
    <row r="240" spans="1:3" x14ac:dyDescent="0.25">
      <c r="A240" s="18" t="s">
        <v>3866</v>
      </c>
      <c r="B240" t="s">
        <v>3867</v>
      </c>
      <c r="C240" s="40">
        <v>4</v>
      </c>
    </row>
    <row r="241" spans="1:3" x14ac:dyDescent="0.25">
      <c r="A241" s="18" t="s">
        <v>3912</v>
      </c>
      <c r="B241" t="s">
        <v>3913</v>
      </c>
      <c r="C241" s="40">
        <v>10</v>
      </c>
    </row>
    <row r="242" spans="1:3" x14ac:dyDescent="0.25">
      <c r="A242" s="18" t="s">
        <v>3495</v>
      </c>
      <c r="B242" t="s">
        <v>3496</v>
      </c>
      <c r="C242" s="40">
        <v>6</v>
      </c>
    </row>
    <row r="243" spans="1:3" x14ac:dyDescent="0.25">
      <c r="A243" s="18" t="s">
        <v>3559</v>
      </c>
      <c r="B243" t="s">
        <v>3560</v>
      </c>
      <c r="C243" s="40">
        <v>6</v>
      </c>
    </row>
    <row r="244" spans="1:3" x14ac:dyDescent="0.25">
      <c r="A244" s="18" t="s">
        <v>3458</v>
      </c>
      <c r="B244" t="s">
        <v>3459</v>
      </c>
      <c r="C244" s="40">
        <v>2</v>
      </c>
    </row>
    <row r="245" spans="1:3" x14ac:dyDescent="0.25">
      <c r="A245" s="18" t="s">
        <v>3414</v>
      </c>
      <c r="B245" t="s">
        <v>3415</v>
      </c>
      <c r="C245" s="40">
        <v>2</v>
      </c>
    </row>
    <row r="246" spans="1:3" x14ac:dyDescent="0.25">
      <c r="A246" s="18" t="s">
        <v>3796</v>
      </c>
      <c r="B246" t="s">
        <v>3797</v>
      </c>
      <c r="C246" s="40">
        <v>26</v>
      </c>
    </row>
    <row r="247" spans="1:3" x14ac:dyDescent="0.25">
      <c r="A247" s="18" t="s">
        <v>3793</v>
      </c>
      <c r="B247" t="s">
        <v>3794</v>
      </c>
      <c r="C247" s="40">
        <v>6</v>
      </c>
    </row>
    <row r="248" spans="1:3" x14ac:dyDescent="0.25">
      <c r="A248" s="18" t="s">
        <v>3788</v>
      </c>
      <c r="B248" t="s">
        <v>3789</v>
      </c>
      <c r="C248" s="40">
        <v>12</v>
      </c>
    </row>
    <row r="249" spans="1:3" x14ac:dyDescent="0.25">
      <c r="A249" s="18" t="s">
        <v>3601</v>
      </c>
      <c r="B249" t="s">
        <v>3602</v>
      </c>
      <c r="C249" s="40">
        <v>2</v>
      </c>
    </row>
    <row r="250" spans="1:3" x14ac:dyDescent="0.25">
      <c r="A250" s="18" t="s">
        <v>609</v>
      </c>
      <c r="B250" t="s">
        <v>610</v>
      </c>
      <c r="C250" s="40">
        <v>18</v>
      </c>
    </row>
    <row r="251" spans="1:3" x14ac:dyDescent="0.25">
      <c r="A251" s="18" t="s">
        <v>904</v>
      </c>
      <c r="B251" t="s">
        <v>905</v>
      </c>
      <c r="C251" s="40">
        <v>26</v>
      </c>
    </row>
    <row r="252" spans="1:3" x14ac:dyDescent="0.25">
      <c r="A252" s="18" t="s">
        <v>2762</v>
      </c>
      <c r="B252" t="s">
        <v>2763</v>
      </c>
      <c r="C252" s="40">
        <v>8</v>
      </c>
    </row>
    <row r="253" spans="1:3" x14ac:dyDescent="0.25">
      <c r="A253" s="18" t="s">
        <v>1002</v>
      </c>
      <c r="B253" t="s">
        <v>1003</v>
      </c>
      <c r="C253" s="40">
        <v>6</v>
      </c>
    </row>
    <row r="254" spans="1:3" x14ac:dyDescent="0.25">
      <c r="A254" s="18" t="s">
        <v>6979</v>
      </c>
      <c r="B254" t="s">
        <v>6980</v>
      </c>
      <c r="C254" s="40">
        <v>2</v>
      </c>
    </row>
    <row r="255" spans="1:3" x14ac:dyDescent="0.25">
      <c r="A255" s="18" t="s">
        <v>5524</v>
      </c>
      <c r="B255" t="s">
        <v>5525</v>
      </c>
      <c r="C255" s="40">
        <v>2</v>
      </c>
    </row>
    <row r="256" spans="1:3" x14ac:dyDescent="0.25">
      <c r="A256" s="18" t="s">
        <v>1766</v>
      </c>
      <c r="B256" t="s">
        <v>1767</v>
      </c>
      <c r="C256" s="40">
        <v>12</v>
      </c>
    </row>
    <row r="257" spans="1:3" x14ac:dyDescent="0.25">
      <c r="A257" s="18" t="s">
        <v>5678</v>
      </c>
      <c r="B257" t="s">
        <v>5679</v>
      </c>
      <c r="C257" s="40">
        <v>1</v>
      </c>
    </row>
    <row r="258" spans="1:3" x14ac:dyDescent="0.25">
      <c r="A258" s="18" t="s">
        <v>999</v>
      </c>
      <c r="B258" t="s">
        <v>1000</v>
      </c>
      <c r="C258" s="40">
        <v>2</v>
      </c>
    </row>
    <row r="259" spans="1:3" x14ac:dyDescent="0.25">
      <c r="A259" s="18" t="s">
        <v>2588</v>
      </c>
      <c r="B259" t="s">
        <v>2589</v>
      </c>
      <c r="C259" s="40">
        <v>15</v>
      </c>
    </row>
    <row r="260" spans="1:3" x14ac:dyDescent="0.25">
      <c r="A260" s="18" t="s">
        <v>947</v>
      </c>
      <c r="B260" t="s">
        <v>948</v>
      </c>
      <c r="C260" s="40">
        <v>8</v>
      </c>
    </row>
    <row r="261" spans="1:3" x14ac:dyDescent="0.25">
      <c r="A261" s="18" t="s">
        <v>360</v>
      </c>
      <c r="B261" t="s">
        <v>361</v>
      </c>
      <c r="C261" s="40">
        <v>18</v>
      </c>
    </row>
    <row r="262" spans="1:3" x14ac:dyDescent="0.25">
      <c r="A262" s="18" t="s">
        <v>1784</v>
      </c>
      <c r="B262" t="s">
        <v>1785</v>
      </c>
      <c r="C262" s="40">
        <v>4</v>
      </c>
    </row>
    <row r="263" spans="1:3" x14ac:dyDescent="0.25">
      <c r="A263" s="18" t="s">
        <v>430</v>
      </c>
      <c r="B263" t="s">
        <v>431</v>
      </c>
      <c r="C263" s="40">
        <v>10</v>
      </c>
    </row>
    <row r="264" spans="1:3" x14ac:dyDescent="0.25">
      <c r="A264" s="18" t="s">
        <v>5116</v>
      </c>
      <c r="B264" t="s">
        <v>5117</v>
      </c>
      <c r="C264" s="40">
        <v>3</v>
      </c>
    </row>
    <row r="265" spans="1:3" x14ac:dyDescent="0.25">
      <c r="A265" s="18" t="s">
        <v>2179</v>
      </c>
      <c r="B265" t="s">
        <v>1552</v>
      </c>
      <c r="C265" s="40">
        <v>14</v>
      </c>
    </row>
    <row r="266" spans="1:3" x14ac:dyDescent="0.25">
      <c r="A266" s="18" t="s">
        <v>1551</v>
      </c>
      <c r="B266" t="s">
        <v>1552</v>
      </c>
      <c r="C266" s="40">
        <v>23</v>
      </c>
    </row>
    <row r="267" spans="1:3" x14ac:dyDescent="0.25">
      <c r="A267" s="18" t="s">
        <v>6812</v>
      </c>
      <c r="B267" t="s">
        <v>6813</v>
      </c>
      <c r="C267" s="40">
        <v>2</v>
      </c>
    </row>
    <row r="268" spans="1:3" x14ac:dyDescent="0.25">
      <c r="A268" s="18" t="s">
        <v>5472</v>
      </c>
      <c r="B268" t="s">
        <v>5473</v>
      </c>
      <c r="C268" s="40">
        <v>2</v>
      </c>
    </row>
    <row r="269" spans="1:3" x14ac:dyDescent="0.25">
      <c r="A269" s="18" t="s">
        <v>2542</v>
      </c>
      <c r="B269" t="s">
        <v>2543</v>
      </c>
      <c r="C269" s="40">
        <v>16</v>
      </c>
    </row>
    <row r="270" spans="1:3" x14ac:dyDescent="0.25">
      <c r="A270" s="18" t="s">
        <v>4649</v>
      </c>
      <c r="B270" t="s">
        <v>4650</v>
      </c>
      <c r="C270" s="40">
        <v>2</v>
      </c>
    </row>
    <row r="271" spans="1:3" x14ac:dyDescent="0.25">
      <c r="A271" s="18" t="s">
        <v>6903</v>
      </c>
      <c r="B271" t="s">
        <v>6904</v>
      </c>
      <c r="C271" s="40">
        <v>1</v>
      </c>
    </row>
    <row r="272" spans="1:3" x14ac:dyDescent="0.25">
      <c r="A272" s="18" t="s">
        <v>670</v>
      </c>
      <c r="B272" t="s">
        <v>671</v>
      </c>
      <c r="C272" s="40">
        <v>9</v>
      </c>
    </row>
    <row r="273" spans="1:3" x14ac:dyDescent="0.25">
      <c r="A273" s="18" t="s">
        <v>2592</v>
      </c>
      <c r="B273" t="s">
        <v>2593</v>
      </c>
      <c r="C273" s="40">
        <v>20</v>
      </c>
    </row>
    <row r="274" spans="1:3" x14ac:dyDescent="0.25">
      <c r="A274" s="18" t="s">
        <v>4364</v>
      </c>
      <c r="B274" t="s">
        <v>4365</v>
      </c>
      <c r="C274" s="40">
        <v>1</v>
      </c>
    </row>
    <row r="275" spans="1:3" x14ac:dyDescent="0.25">
      <c r="A275" s="18" t="s">
        <v>4367</v>
      </c>
      <c r="B275" t="s">
        <v>4368</v>
      </c>
      <c r="C275" s="40">
        <v>1</v>
      </c>
    </row>
    <row r="276" spans="1:3" x14ac:dyDescent="0.25">
      <c r="A276" s="18" t="s">
        <v>2775</v>
      </c>
      <c r="B276" t="s">
        <v>2776</v>
      </c>
      <c r="C276" s="40">
        <v>4</v>
      </c>
    </row>
    <row r="277" spans="1:3" x14ac:dyDescent="0.25">
      <c r="A277" s="18" t="s">
        <v>2778</v>
      </c>
      <c r="B277" t="s">
        <v>2779</v>
      </c>
      <c r="C277" s="40">
        <v>1</v>
      </c>
    </row>
    <row r="278" spans="1:3" x14ac:dyDescent="0.25">
      <c r="A278" s="18" t="s">
        <v>981</v>
      </c>
      <c r="B278" t="s">
        <v>982</v>
      </c>
      <c r="C278" s="40">
        <v>4</v>
      </c>
    </row>
    <row r="279" spans="1:3" x14ac:dyDescent="0.25">
      <c r="A279" s="18" t="s">
        <v>1121</v>
      </c>
      <c r="B279" t="s">
        <v>1122</v>
      </c>
      <c r="C279" s="40">
        <v>1</v>
      </c>
    </row>
    <row r="280" spans="1:3" x14ac:dyDescent="0.25">
      <c r="A280" s="18" t="s">
        <v>3598</v>
      </c>
      <c r="B280" t="s">
        <v>3599</v>
      </c>
      <c r="C280" s="40">
        <v>1</v>
      </c>
    </row>
    <row r="281" spans="1:3" x14ac:dyDescent="0.25">
      <c r="A281" s="18" t="s">
        <v>6888</v>
      </c>
      <c r="B281" t="s">
        <v>6889</v>
      </c>
      <c r="C281" s="40">
        <v>1</v>
      </c>
    </row>
    <row r="282" spans="1:3" x14ac:dyDescent="0.25">
      <c r="A282" s="18" t="s">
        <v>1924</v>
      </c>
      <c r="B282" t="s">
        <v>1925</v>
      </c>
      <c r="C282" s="40">
        <v>11</v>
      </c>
    </row>
    <row r="283" spans="1:3" x14ac:dyDescent="0.25">
      <c r="A283" s="18" t="s">
        <v>4545</v>
      </c>
      <c r="B283" t="s">
        <v>4546</v>
      </c>
      <c r="C283" s="40">
        <v>4</v>
      </c>
    </row>
    <row r="284" spans="1:3" x14ac:dyDescent="0.25">
      <c r="A284" s="18" t="s">
        <v>5729</v>
      </c>
      <c r="B284" t="s">
        <v>5730</v>
      </c>
      <c r="C284" s="40">
        <v>4</v>
      </c>
    </row>
    <row r="285" spans="1:3" x14ac:dyDescent="0.25">
      <c r="A285" s="18" t="s">
        <v>3176</v>
      </c>
      <c r="B285" t="s">
        <v>3177</v>
      </c>
      <c r="C285" s="40">
        <v>4</v>
      </c>
    </row>
    <row r="286" spans="1:3" x14ac:dyDescent="0.25">
      <c r="A286" s="18" t="s">
        <v>3532</v>
      </c>
      <c r="B286" t="s">
        <v>3533</v>
      </c>
      <c r="C286" s="40">
        <v>8</v>
      </c>
    </row>
    <row r="287" spans="1:3" x14ac:dyDescent="0.25">
      <c r="A287" s="18" t="s">
        <v>1435</v>
      </c>
      <c r="B287" t="s">
        <v>1436</v>
      </c>
      <c r="C287" s="40">
        <v>3</v>
      </c>
    </row>
    <row r="288" spans="1:3" x14ac:dyDescent="0.25">
      <c r="A288" s="18" t="s">
        <v>4655</v>
      </c>
      <c r="B288" t="s">
        <v>4656</v>
      </c>
      <c r="C288" s="40">
        <v>2</v>
      </c>
    </row>
    <row r="289" spans="1:3" x14ac:dyDescent="0.25">
      <c r="A289" s="18" t="s">
        <v>2820</v>
      </c>
      <c r="B289" t="s">
        <v>2821</v>
      </c>
      <c r="C289" s="40">
        <v>1</v>
      </c>
    </row>
    <row r="290" spans="1:3" x14ac:dyDescent="0.25">
      <c r="A290" s="18" t="s">
        <v>2817</v>
      </c>
      <c r="B290" t="s">
        <v>2818</v>
      </c>
      <c r="C290" s="40">
        <v>1</v>
      </c>
    </row>
    <row r="291" spans="1:3" x14ac:dyDescent="0.25">
      <c r="A291" s="18" t="s">
        <v>2768</v>
      </c>
      <c r="B291" t="s">
        <v>2769</v>
      </c>
      <c r="C291" s="40">
        <v>8</v>
      </c>
    </row>
    <row r="292" spans="1:3" x14ac:dyDescent="0.25">
      <c r="A292" s="18" t="s">
        <v>268</v>
      </c>
      <c r="B292" t="s">
        <v>269</v>
      </c>
      <c r="C292" s="40">
        <v>112</v>
      </c>
    </row>
    <row r="293" spans="1:3" x14ac:dyDescent="0.25">
      <c r="A293" s="18" t="s">
        <v>5515</v>
      </c>
      <c r="B293" t="s">
        <v>5516</v>
      </c>
      <c r="C293" s="40">
        <v>19</v>
      </c>
    </row>
    <row r="294" spans="1:3" x14ac:dyDescent="0.25">
      <c r="A294" s="18" t="s">
        <v>439</v>
      </c>
      <c r="B294" t="s">
        <v>440</v>
      </c>
      <c r="C294" s="40">
        <v>74</v>
      </c>
    </row>
    <row r="295" spans="1:3" x14ac:dyDescent="0.25">
      <c r="A295" s="18" t="s">
        <v>265</v>
      </c>
      <c r="B295" t="s">
        <v>266</v>
      </c>
      <c r="C295" s="40">
        <v>192</v>
      </c>
    </row>
    <row r="296" spans="1:3" x14ac:dyDescent="0.25">
      <c r="A296" s="18" t="s">
        <v>222</v>
      </c>
      <c r="B296" t="s">
        <v>223</v>
      </c>
      <c r="C296" s="40">
        <v>231</v>
      </c>
    </row>
    <row r="297" spans="1:3" x14ac:dyDescent="0.25">
      <c r="A297" s="18" t="s">
        <v>1626</v>
      </c>
      <c r="B297" t="s">
        <v>1627</v>
      </c>
      <c r="C297" s="40">
        <v>23</v>
      </c>
    </row>
    <row r="298" spans="1:3" x14ac:dyDescent="0.25">
      <c r="A298" s="18" t="s">
        <v>3551</v>
      </c>
      <c r="B298" t="s">
        <v>3552</v>
      </c>
      <c r="C298" s="40">
        <v>48</v>
      </c>
    </row>
    <row r="299" spans="1:3" x14ac:dyDescent="0.25">
      <c r="A299" s="18" t="s">
        <v>3663</v>
      </c>
      <c r="B299" t="s">
        <v>3664</v>
      </c>
      <c r="C299" s="40">
        <v>26</v>
      </c>
    </row>
    <row r="300" spans="1:3" x14ac:dyDescent="0.25">
      <c r="A300" s="18" t="s">
        <v>3571</v>
      </c>
      <c r="B300" t="s">
        <v>3572</v>
      </c>
      <c r="C300" s="40">
        <v>14</v>
      </c>
    </row>
    <row r="301" spans="1:3" x14ac:dyDescent="0.25">
      <c r="A301" s="18" t="s">
        <v>3555</v>
      </c>
      <c r="B301" t="s">
        <v>3556</v>
      </c>
      <c r="C301" s="40">
        <v>23</v>
      </c>
    </row>
    <row r="302" spans="1:3" x14ac:dyDescent="0.25">
      <c r="A302" s="18" t="s">
        <v>3717</v>
      </c>
      <c r="B302" t="s">
        <v>3718</v>
      </c>
      <c r="C302" s="40">
        <v>4</v>
      </c>
    </row>
    <row r="303" spans="1:3" x14ac:dyDescent="0.25">
      <c r="A303" s="18" t="s">
        <v>5442</v>
      </c>
      <c r="B303" t="s">
        <v>5443</v>
      </c>
      <c r="C303" s="40">
        <v>1</v>
      </c>
    </row>
    <row r="304" spans="1:3" x14ac:dyDescent="0.25">
      <c r="A304" s="18" t="s">
        <v>4795</v>
      </c>
      <c r="B304" t="s">
        <v>4796</v>
      </c>
      <c r="C304" s="40">
        <v>29</v>
      </c>
    </row>
    <row r="305" spans="1:3" x14ac:dyDescent="0.25">
      <c r="A305" s="18" t="s">
        <v>512</v>
      </c>
      <c r="B305" t="s">
        <v>513</v>
      </c>
      <c r="C305" s="40">
        <v>17</v>
      </c>
    </row>
    <row r="306" spans="1:3" x14ac:dyDescent="0.25">
      <c r="A306" s="18" t="s">
        <v>4689</v>
      </c>
      <c r="B306" t="s">
        <v>4690</v>
      </c>
      <c r="C306" s="40">
        <v>9</v>
      </c>
    </row>
    <row r="307" spans="1:3" x14ac:dyDescent="0.25">
      <c r="A307" s="18" t="s">
        <v>4867</v>
      </c>
      <c r="B307" t="s">
        <v>4868</v>
      </c>
      <c r="C307" s="40">
        <v>12</v>
      </c>
    </row>
    <row r="308" spans="1:3" x14ac:dyDescent="0.25">
      <c r="A308" s="18" t="s">
        <v>5830</v>
      </c>
      <c r="B308" t="s">
        <v>5831</v>
      </c>
      <c r="C308" s="40">
        <v>4</v>
      </c>
    </row>
    <row r="309" spans="1:3" x14ac:dyDescent="0.25">
      <c r="A309" s="18" t="s">
        <v>3909</v>
      </c>
      <c r="B309" t="s">
        <v>3910</v>
      </c>
      <c r="C309" s="40">
        <v>10</v>
      </c>
    </row>
    <row r="310" spans="1:3" x14ac:dyDescent="0.25">
      <c r="A310" s="18" t="s">
        <v>3396</v>
      </c>
      <c r="B310" t="s">
        <v>3397</v>
      </c>
      <c r="C310" s="40">
        <v>34</v>
      </c>
    </row>
    <row r="311" spans="1:3" x14ac:dyDescent="0.25">
      <c r="A311" s="18" t="s">
        <v>3669</v>
      </c>
      <c r="B311" t="s">
        <v>3670</v>
      </c>
      <c r="C311" s="40">
        <v>32</v>
      </c>
    </row>
    <row r="312" spans="1:3" x14ac:dyDescent="0.25">
      <c r="A312" s="18" t="s">
        <v>3577</v>
      </c>
      <c r="B312" t="s">
        <v>3578</v>
      </c>
      <c r="C312" s="40">
        <v>14</v>
      </c>
    </row>
    <row r="313" spans="1:3" x14ac:dyDescent="0.25">
      <c r="A313" s="18" t="s">
        <v>3681</v>
      </c>
      <c r="B313" t="s">
        <v>3682</v>
      </c>
      <c r="C313" s="40">
        <v>9</v>
      </c>
    </row>
    <row r="314" spans="1:3" x14ac:dyDescent="0.25">
      <c r="A314" s="18" t="s">
        <v>3907</v>
      </c>
      <c r="B314" t="s">
        <v>7813</v>
      </c>
      <c r="C314" s="40">
        <v>2</v>
      </c>
    </row>
    <row r="315" spans="1:3" x14ac:dyDescent="0.25">
      <c r="A315" s="18" t="s">
        <v>460</v>
      </c>
      <c r="B315" t="s">
        <v>461</v>
      </c>
      <c r="C315" s="40">
        <v>208</v>
      </c>
    </row>
    <row r="316" spans="1:3" x14ac:dyDescent="0.25">
      <c r="A316" s="18" t="s">
        <v>5100</v>
      </c>
      <c r="B316" t="s">
        <v>5101</v>
      </c>
      <c r="C316" s="40">
        <v>3</v>
      </c>
    </row>
    <row r="317" spans="1:3" x14ac:dyDescent="0.25">
      <c r="A317" s="18" t="s">
        <v>4254</v>
      </c>
      <c r="B317" t="s">
        <v>4255</v>
      </c>
      <c r="C317" s="40">
        <v>4</v>
      </c>
    </row>
    <row r="318" spans="1:3" x14ac:dyDescent="0.25">
      <c r="A318" s="18" t="s">
        <v>3447</v>
      </c>
      <c r="B318" t="s">
        <v>3448</v>
      </c>
      <c r="C318" s="40">
        <v>6</v>
      </c>
    </row>
    <row r="319" spans="1:3" x14ac:dyDescent="0.25">
      <c r="A319" s="18" t="s">
        <v>3864</v>
      </c>
      <c r="B319" t="s">
        <v>3448</v>
      </c>
      <c r="C319" s="40">
        <v>4</v>
      </c>
    </row>
    <row r="320" spans="1:3" x14ac:dyDescent="0.25">
      <c r="A320" s="18" t="s">
        <v>3450</v>
      </c>
      <c r="B320" t="s">
        <v>3451</v>
      </c>
      <c r="C320" s="40">
        <v>4</v>
      </c>
    </row>
    <row r="321" spans="1:3" x14ac:dyDescent="0.25">
      <c r="A321" s="18" t="s">
        <v>4658</v>
      </c>
      <c r="B321" t="s">
        <v>4659</v>
      </c>
      <c r="C321" s="40">
        <v>2</v>
      </c>
    </row>
    <row r="322" spans="1:3" x14ac:dyDescent="0.25">
      <c r="A322" s="18" t="s">
        <v>5812</v>
      </c>
      <c r="B322" t="s">
        <v>5813</v>
      </c>
      <c r="C322" s="40">
        <v>8</v>
      </c>
    </row>
    <row r="323" spans="1:3" x14ac:dyDescent="0.25">
      <c r="A323" s="18" t="s">
        <v>464</v>
      </c>
      <c r="B323" t="s">
        <v>465</v>
      </c>
      <c r="C323" s="40">
        <v>35</v>
      </c>
    </row>
    <row r="324" spans="1:3" x14ac:dyDescent="0.25">
      <c r="A324" s="18" t="s">
        <v>487</v>
      </c>
      <c r="B324" t="s">
        <v>488</v>
      </c>
      <c r="C324" s="40">
        <v>1</v>
      </c>
    </row>
    <row r="325" spans="1:3" x14ac:dyDescent="0.25">
      <c r="A325" s="18" t="s">
        <v>3743</v>
      </c>
      <c r="B325" t="s">
        <v>3744</v>
      </c>
      <c r="C325" s="40">
        <v>4</v>
      </c>
    </row>
    <row r="326" spans="1:3" x14ac:dyDescent="0.25">
      <c r="A326" s="18" t="s">
        <v>2912</v>
      </c>
      <c r="B326" t="s">
        <v>2913</v>
      </c>
      <c r="C326" s="40">
        <v>2</v>
      </c>
    </row>
    <row r="327" spans="1:3" x14ac:dyDescent="0.25">
      <c r="A327" s="18" t="s">
        <v>1011</v>
      </c>
      <c r="B327" t="s">
        <v>1012</v>
      </c>
      <c r="C327" s="40">
        <v>14</v>
      </c>
    </row>
    <row r="328" spans="1:3" x14ac:dyDescent="0.25">
      <c r="A328" s="18" t="s">
        <v>5720</v>
      </c>
      <c r="B328" t="s">
        <v>5721</v>
      </c>
      <c r="C328" s="40">
        <v>2</v>
      </c>
    </row>
    <row r="329" spans="1:3" x14ac:dyDescent="0.25">
      <c r="A329" s="18" t="s">
        <v>2386</v>
      </c>
      <c r="B329" t="s">
        <v>2387</v>
      </c>
      <c r="C329" s="40">
        <v>20</v>
      </c>
    </row>
    <row r="330" spans="1:3" x14ac:dyDescent="0.25">
      <c r="A330" s="18" t="s">
        <v>3661</v>
      </c>
      <c r="B330" t="s">
        <v>7811</v>
      </c>
      <c r="C330" s="40">
        <v>3</v>
      </c>
    </row>
    <row r="331" spans="1:3" x14ac:dyDescent="0.25">
      <c r="A331" s="18" t="s">
        <v>5107</v>
      </c>
      <c r="B331" t="s">
        <v>5108</v>
      </c>
      <c r="C331" s="40">
        <v>3</v>
      </c>
    </row>
    <row r="332" spans="1:3" x14ac:dyDescent="0.25">
      <c r="A332" s="18" t="s">
        <v>4491</v>
      </c>
      <c r="B332" t="s">
        <v>4492</v>
      </c>
      <c r="C332" s="40">
        <v>2</v>
      </c>
    </row>
    <row r="333" spans="1:3" x14ac:dyDescent="0.25">
      <c r="A333" s="18" t="s">
        <v>4257</v>
      </c>
      <c r="B333" t="s">
        <v>4258</v>
      </c>
      <c r="C333" s="40">
        <v>1</v>
      </c>
    </row>
    <row r="334" spans="1:3" x14ac:dyDescent="0.25">
      <c r="A334" s="18" t="s">
        <v>2799</v>
      </c>
      <c r="B334" t="s">
        <v>2800</v>
      </c>
      <c r="C334" s="40">
        <v>1</v>
      </c>
    </row>
    <row r="335" spans="1:3" x14ac:dyDescent="0.25">
      <c r="A335" s="18" t="s">
        <v>2917</v>
      </c>
      <c r="B335" t="s">
        <v>2918</v>
      </c>
      <c r="C335" s="40">
        <v>2</v>
      </c>
    </row>
    <row r="336" spans="1:3" x14ac:dyDescent="0.25">
      <c r="A336" s="18" t="s">
        <v>3919</v>
      </c>
      <c r="B336" t="s">
        <v>3920</v>
      </c>
      <c r="C336" s="40">
        <v>1</v>
      </c>
    </row>
    <row r="337" spans="1:3" x14ac:dyDescent="0.25">
      <c r="A337" s="18" t="s">
        <v>5521</v>
      </c>
      <c r="B337" t="s">
        <v>5522</v>
      </c>
      <c r="C337" s="40">
        <v>2</v>
      </c>
    </row>
    <row r="338" spans="1:3" x14ac:dyDescent="0.25">
      <c r="A338" s="18" t="s">
        <v>5518</v>
      </c>
      <c r="B338" t="s">
        <v>5519</v>
      </c>
      <c r="C338" s="40">
        <v>16</v>
      </c>
    </row>
    <row r="339" spans="1:3" x14ac:dyDescent="0.25">
      <c r="A339" s="18" t="s">
        <v>2527</v>
      </c>
      <c r="B339" t="s">
        <v>2528</v>
      </c>
      <c r="C339" s="40">
        <v>13</v>
      </c>
    </row>
    <row r="340" spans="1:3" x14ac:dyDescent="0.25">
      <c r="A340" s="18" t="s">
        <v>5090</v>
      </c>
      <c r="B340" t="s">
        <v>5091</v>
      </c>
      <c r="C340" s="40">
        <v>11</v>
      </c>
    </row>
    <row r="341" spans="1:3" x14ac:dyDescent="0.25">
      <c r="A341" s="18" t="s">
        <v>2532</v>
      </c>
      <c r="B341" t="s">
        <v>2533</v>
      </c>
      <c r="C341" s="40">
        <v>4</v>
      </c>
    </row>
    <row r="342" spans="1:3" x14ac:dyDescent="0.25">
      <c r="A342" s="18" t="s">
        <v>4468</v>
      </c>
      <c r="B342" t="s">
        <v>4469</v>
      </c>
      <c r="C342" s="40">
        <v>13</v>
      </c>
    </row>
    <row r="343" spans="1:3" x14ac:dyDescent="0.25">
      <c r="A343" s="18" t="s">
        <v>2204</v>
      </c>
      <c r="B343" t="s">
        <v>2205</v>
      </c>
      <c r="C343" s="40">
        <v>14</v>
      </c>
    </row>
    <row r="344" spans="1:3" x14ac:dyDescent="0.25">
      <c r="A344" s="18" t="s">
        <v>950</v>
      </c>
      <c r="B344" t="s">
        <v>951</v>
      </c>
      <c r="C344" s="40">
        <v>41</v>
      </c>
    </row>
    <row r="345" spans="1:3" x14ac:dyDescent="0.25">
      <c r="A345" s="18" t="s">
        <v>2590</v>
      </c>
      <c r="B345" t="s">
        <v>2591</v>
      </c>
      <c r="C345" s="40">
        <v>24</v>
      </c>
    </row>
    <row r="346" spans="1:3" x14ac:dyDescent="0.25">
      <c r="A346" s="18" t="s">
        <v>4634</v>
      </c>
      <c r="B346" t="s">
        <v>4635</v>
      </c>
      <c r="C346" s="40">
        <v>2</v>
      </c>
    </row>
    <row r="347" spans="1:3" x14ac:dyDescent="0.25">
      <c r="A347" s="18" t="s">
        <v>984</v>
      </c>
      <c r="B347" t="s">
        <v>985</v>
      </c>
      <c r="C347" s="40">
        <v>8</v>
      </c>
    </row>
    <row r="348" spans="1:3" x14ac:dyDescent="0.25">
      <c r="A348" s="18" t="s">
        <v>2508</v>
      </c>
      <c r="B348" t="s">
        <v>2509</v>
      </c>
      <c r="C348" s="40">
        <v>12</v>
      </c>
    </row>
    <row r="349" spans="1:3" x14ac:dyDescent="0.25">
      <c r="A349" s="18" t="s">
        <v>230</v>
      </c>
      <c r="B349" t="s">
        <v>231</v>
      </c>
      <c r="C349" s="40">
        <v>299</v>
      </c>
    </row>
    <row r="350" spans="1:3" x14ac:dyDescent="0.25">
      <c r="A350" s="18" t="s">
        <v>3182</v>
      </c>
      <c r="B350" t="s">
        <v>3183</v>
      </c>
      <c r="C350" s="40">
        <v>4</v>
      </c>
    </row>
    <row r="351" spans="1:3" x14ac:dyDescent="0.25">
      <c r="A351" s="18" t="s">
        <v>4696</v>
      </c>
      <c r="B351" t="s">
        <v>4697</v>
      </c>
      <c r="C351" s="40">
        <v>1</v>
      </c>
    </row>
    <row r="352" spans="1:3" x14ac:dyDescent="0.25">
      <c r="A352" s="18" t="s">
        <v>4445</v>
      </c>
      <c r="B352" t="s">
        <v>4446</v>
      </c>
      <c r="C352" s="40">
        <v>4</v>
      </c>
    </row>
    <row r="353" spans="1:3" x14ac:dyDescent="0.25">
      <c r="A353" s="18" t="s">
        <v>3348</v>
      </c>
      <c r="B353" t="s">
        <v>7985</v>
      </c>
      <c r="C353" s="40">
        <v>2</v>
      </c>
    </row>
    <row r="354" spans="1:3" x14ac:dyDescent="0.25">
      <c r="A354" s="18" t="s">
        <v>2099</v>
      </c>
      <c r="B354" t="s">
        <v>2100</v>
      </c>
      <c r="C354" s="40">
        <v>3</v>
      </c>
    </row>
    <row r="355" spans="1:3" x14ac:dyDescent="0.25">
      <c r="A355" s="18" t="s">
        <v>1534</v>
      </c>
      <c r="B355" t="s">
        <v>1535</v>
      </c>
      <c r="C355" s="40">
        <v>6</v>
      </c>
    </row>
    <row r="356" spans="1:3" x14ac:dyDescent="0.25">
      <c r="A356" s="18" t="s">
        <v>307</v>
      </c>
      <c r="B356" t="s">
        <v>308</v>
      </c>
      <c r="C356" s="40">
        <v>19</v>
      </c>
    </row>
    <row r="357" spans="1:3" x14ac:dyDescent="0.25">
      <c r="A357" s="18" t="s">
        <v>3357</v>
      </c>
      <c r="B357" t="s">
        <v>3358</v>
      </c>
      <c r="C357" s="40">
        <v>2</v>
      </c>
    </row>
    <row r="358" spans="1:3" x14ac:dyDescent="0.25">
      <c r="A358" s="18" t="s">
        <v>516</v>
      </c>
      <c r="B358" t="s">
        <v>517</v>
      </c>
      <c r="C358" s="40">
        <v>3</v>
      </c>
    </row>
    <row r="359" spans="1:3" x14ac:dyDescent="0.25">
      <c r="A359" s="18" t="s">
        <v>5247</v>
      </c>
      <c r="B359" t="s">
        <v>5248</v>
      </c>
      <c r="C359" s="40">
        <v>1</v>
      </c>
    </row>
    <row r="360" spans="1:3" x14ac:dyDescent="0.25">
      <c r="A360" s="18" t="s">
        <v>6876</v>
      </c>
      <c r="B360" t="s">
        <v>6877</v>
      </c>
      <c r="C360" s="40">
        <v>1</v>
      </c>
    </row>
    <row r="361" spans="1:3" x14ac:dyDescent="0.25">
      <c r="A361" s="18" t="s">
        <v>6156</v>
      </c>
      <c r="B361" t="s">
        <v>6157</v>
      </c>
      <c r="C361" s="40">
        <v>5</v>
      </c>
    </row>
    <row r="362" spans="1:3" x14ac:dyDescent="0.25">
      <c r="A362" s="18" t="s">
        <v>6632</v>
      </c>
      <c r="B362" t="s">
        <v>6633</v>
      </c>
      <c r="C362" s="40">
        <v>1</v>
      </c>
    </row>
    <row r="363" spans="1:3" x14ac:dyDescent="0.25">
      <c r="A363" s="18" t="s">
        <v>6638</v>
      </c>
      <c r="B363" t="s">
        <v>6639</v>
      </c>
      <c r="C363" s="40">
        <v>1</v>
      </c>
    </row>
    <row r="364" spans="1:3" x14ac:dyDescent="0.25">
      <c r="A364" s="18" t="s">
        <v>6635</v>
      </c>
      <c r="B364" t="s">
        <v>6636</v>
      </c>
      <c r="C364" s="40">
        <v>1</v>
      </c>
    </row>
    <row r="365" spans="1:3" x14ac:dyDescent="0.25">
      <c r="A365" s="18" t="s">
        <v>1528</v>
      </c>
      <c r="B365" t="s">
        <v>1529</v>
      </c>
      <c r="C365" s="40">
        <v>30</v>
      </c>
    </row>
    <row r="366" spans="1:3" x14ac:dyDescent="0.25">
      <c r="A366" s="18" t="s">
        <v>5136</v>
      </c>
      <c r="B366" t="s">
        <v>5137</v>
      </c>
      <c r="C366" s="40">
        <v>1</v>
      </c>
    </row>
    <row r="367" spans="1:3" x14ac:dyDescent="0.25">
      <c r="A367" s="18" t="s">
        <v>4537</v>
      </c>
      <c r="B367" t="s">
        <v>7830</v>
      </c>
      <c r="C367" s="40">
        <v>1</v>
      </c>
    </row>
    <row r="368" spans="1:3" x14ac:dyDescent="0.25">
      <c r="A368" s="18" t="s">
        <v>1774</v>
      </c>
      <c r="B368" t="s">
        <v>1775</v>
      </c>
      <c r="C368" s="40">
        <v>2</v>
      </c>
    </row>
    <row r="369" spans="1:3" x14ac:dyDescent="0.25">
      <c r="B369" t="s">
        <v>4305</v>
      </c>
      <c r="C369" s="40">
        <v>8</v>
      </c>
    </row>
    <row r="370" spans="1:3" x14ac:dyDescent="0.25">
      <c r="A370" s="18" t="s">
        <v>2089</v>
      </c>
      <c r="B370" t="s">
        <v>2090</v>
      </c>
      <c r="C370" s="40">
        <v>28</v>
      </c>
    </row>
    <row r="371" spans="1:3" x14ac:dyDescent="0.25">
      <c r="A371" s="18" t="s">
        <v>5139</v>
      </c>
      <c r="B371" t="s">
        <v>5140</v>
      </c>
      <c r="C371" s="40">
        <v>1</v>
      </c>
    </row>
    <row r="372" spans="1:3" x14ac:dyDescent="0.25">
      <c r="A372" s="18" t="s">
        <v>1795</v>
      </c>
      <c r="B372" t="s">
        <v>1796</v>
      </c>
      <c r="C372" s="40">
        <v>10</v>
      </c>
    </row>
    <row r="373" spans="1:3" x14ac:dyDescent="0.25">
      <c r="A373" s="18" t="s">
        <v>1798</v>
      </c>
      <c r="B373" t="s">
        <v>1799</v>
      </c>
      <c r="C373" s="40">
        <v>13</v>
      </c>
    </row>
    <row r="374" spans="1:3" x14ac:dyDescent="0.25">
      <c r="B374" t="s">
        <v>6688</v>
      </c>
      <c r="C374" s="40">
        <v>1</v>
      </c>
    </row>
    <row r="375" spans="1:3" x14ac:dyDescent="0.25">
      <c r="A375" s="18" t="s">
        <v>4540</v>
      </c>
      <c r="B375" t="s">
        <v>4541</v>
      </c>
      <c r="C375" s="40">
        <v>3</v>
      </c>
    </row>
    <row r="376" spans="1:3" x14ac:dyDescent="0.25">
      <c r="A376" s="18" t="s">
        <v>5142</v>
      </c>
      <c r="B376" t="s">
        <v>5143</v>
      </c>
      <c r="C376" s="40">
        <v>1</v>
      </c>
    </row>
    <row r="377" spans="1:3" x14ac:dyDescent="0.25">
      <c r="A377" s="18" t="s">
        <v>4280</v>
      </c>
      <c r="B377" t="s">
        <v>4281</v>
      </c>
      <c r="C377" s="40">
        <v>26</v>
      </c>
    </row>
    <row r="378" spans="1:3" x14ac:dyDescent="0.25">
      <c r="A378" s="18" t="s">
        <v>1077</v>
      </c>
      <c r="B378" t="s">
        <v>1078</v>
      </c>
      <c r="C378" s="40">
        <v>10</v>
      </c>
    </row>
    <row r="379" spans="1:3" x14ac:dyDescent="0.25">
      <c r="A379" s="18" t="s">
        <v>3373</v>
      </c>
      <c r="B379" t="s">
        <v>3374</v>
      </c>
      <c r="C379" s="40">
        <v>1</v>
      </c>
    </row>
    <row r="380" spans="1:3" x14ac:dyDescent="0.25">
      <c r="A380" s="18" t="s">
        <v>959</v>
      </c>
      <c r="B380" t="s">
        <v>960</v>
      </c>
      <c r="C380" s="40">
        <v>1</v>
      </c>
    </row>
    <row r="381" spans="1:3" x14ac:dyDescent="0.25">
      <c r="A381" s="18" t="s">
        <v>962</v>
      </c>
      <c r="B381" t="s">
        <v>960</v>
      </c>
      <c r="C381" s="40">
        <v>2</v>
      </c>
    </row>
    <row r="382" spans="1:3" x14ac:dyDescent="0.25">
      <c r="A382" s="18" t="s">
        <v>7010</v>
      </c>
      <c r="B382" t="s">
        <v>7011</v>
      </c>
      <c r="C382" s="40">
        <v>1</v>
      </c>
    </row>
    <row r="383" spans="1:3" x14ac:dyDescent="0.25">
      <c r="A383" s="18" t="s">
        <v>4841</v>
      </c>
      <c r="B383" t="s">
        <v>4842</v>
      </c>
      <c r="C383" s="40">
        <v>1</v>
      </c>
    </row>
    <row r="384" spans="1:3" x14ac:dyDescent="0.25">
      <c r="A384" s="18" t="s">
        <v>4844</v>
      </c>
      <c r="B384" t="s">
        <v>4845</v>
      </c>
      <c r="C384" s="40">
        <v>7</v>
      </c>
    </row>
    <row r="385" spans="1:3" x14ac:dyDescent="0.25">
      <c r="A385" s="18" t="s">
        <v>4838</v>
      </c>
      <c r="B385" t="s">
        <v>4839</v>
      </c>
      <c r="C385" s="40">
        <v>1</v>
      </c>
    </row>
    <row r="386" spans="1:3" x14ac:dyDescent="0.25">
      <c r="A386" s="18" t="s">
        <v>5602</v>
      </c>
      <c r="B386" t="s">
        <v>5603</v>
      </c>
      <c r="C386" s="40">
        <v>1</v>
      </c>
    </row>
    <row r="387" spans="1:3" x14ac:dyDescent="0.25">
      <c r="A387" s="18" t="s">
        <v>2514</v>
      </c>
      <c r="B387" t="s">
        <v>2515</v>
      </c>
      <c r="C387" s="40">
        <v>1</v>
      </c>
    </row>
    <row r="388" spans="1:3" x14ac:dyDescent="0.25">
      <c r="A388" s="18" t="s">
        <v>2517</v>
      </c>
      <c r="B388" t="s">
        <v>2518</v>
      </c>
      <c r="C388" s="40">
        <v>1</v>
      </c>
    </row>
    <row r="389" spans="1:3" x14ac:dyDescent="0.25">
      <c r="A389" s="18" t="s">
        <v>1080</v>
      </c>
      <c r="B389" t="s">
        <v>1081</v>
      </c>
      <c r="C389" s="40">
        <v>1</v>
      </c>
    </row>
    <row r="390" spans="1:3" x14ac:dyDescent="0.25">
      <c r="A390" s="18" t="s">
        <v>7007</v>
      </c>
      <c r="B390" t="s">
        <v>7008</v>
      </c>
      <c r="C390" s="40">
        <v>2</v>
      </c>
    </row>
    <row r="391" spans="1:3" x14ac:dyDescent="0.25">
      <c r="A391" s="18" t="s">
        <v>596</v>
      </c>
      <c r="B391" t="s">
        <v>597</v>
      </c>
      <c r="C391" s="40">
        <v>30</v>
      </c>
    </row>
    <row r="392" spans="1:3" x14ac:dyDescent="0.25">
      <c r="A392" s="18" t="s">
        <v>6873</v>
      </c>
      <c r="B392" t="s">
        <v>6874</v>
      </c>
      <c r="C392" s="40">
        <v>1</v>
      </c>
    </row>
    <row r="393" spans="1:3" x14ac:dyDescent="0.25">
      <c r="A393" s="18" t="s">
        <v>5717</v>
      </c>
      <c r="B393" t="s">
        <v>5718</v>
      </c>
      <c r="C393" s="40">
        <v>1</v>
      </c>
    </row>
    <row r="394" spans="1:3" x14ac:dyDescent="0.25">
      <c r="A394" s="18" t="s">
        <v>4640</v>
      </c>
      <c r="B394" t="s">
        <v>4641</v>
      </c>
      <c r="C394" s="40">
        <v>2</v>
      </c>
    </row>
    <row r="395" spans="1:3" x14ac:dyDescent="0.25">
      <c r="A395" s="18" t="s">
        <v>4643</v>
      </c>
      <c r="B395" t="s">
        <v>4644</v>
      </c>
      <c r="C395" s="40">
        <v>2</v>
      </c>
    </row>
    <row r="396" spans="1:3" x14ac:dyDescent="0.25">
      <c r="A396" s="18" t="s">
        <v>4637</v>
      </c>
      <c r="B396" t="s">
        <v>4638</v>
      </c>
      <c r="C396" s="40">
        <v>2</v>
      </c>
    </row>
    <row r="397" spans="1:3" x14ac:dyDescent="0.25">
      <c r="A397" s="18" t="s">
        <v>4301</v>
      </c>
      <c r="B397" t="s">
        <v>4302</v>
      </c>
      <c r="C397" s="40">
        <v>8</v>
      </c>
    </row>
    <row r="398" spans="1:3" x14ac:dyDescent="0.25">
      <c r="A398" s="18" t="s">
        <v>4912</v>
      </c>
      <c r="B398" t="s">
        <v>4913</v>
      </c>
      <c r="C398" s="40">
        <v>1</v>
      </c>
    </row>
    <row r="399" spans="1:3" x14ac:dyDescent="0.25">
      <c r="A399" s="18" t="s">
        <v>373</v>
      </c>
      <c r="B399" t="s">
        <v>374</v>
      </c>
      <c r="C399" s="40">
        <v>2</v>
      </c>
    </row>
    <row r="400" spans="1:3" x14ac:dyDescent="0.25">
      <c r="A400" s="18" t="s">
        <v>572</v>
      </c>
      <c r="B400" t="s">
        <v>7808</v>
      </c>
      <c r="C400" s="40">
        <v>1</v>
      </c>
    </row>
    <row r="401" spans="1:3" x14ac:dyDescent="0.25">
      <c r="A401" s="18" t="s">
        <v>1254</v>
      </c>
      <c r="B401" t="s">
        <v>575</v>
      </c>
      <c r="C401" s="40">
        <v>1</v>
      </c>
    </row>
    <row r="402" spans="1:3" x14ac:dyDescent="0.25">
      <c r="A402" s="18" t="s">
        <v>574</v>
      </c>
      <c r="B402" t="s">
        <v>575</v>
      </c>
      <c r="C402" s="40">
        <v>3</v>
      </c>
    </row>
    <row r="403" spans="1:3" x14ac:dyDescent="0.25">
      <c r="A403" s="18" t="s">
        <v>2571</v>
      </c>
      <c r="B403" t="s">
        <v>2572</v>
      </c>
      <c r="C403" s="40">
        <v>2</v>
      </c>
    </row>
    <row r="404" spans="1:3" x14ac:dyDescent="0.25">
      <c r="A404" s="18" t="s">
        <v>6896</v>
      </c>
      <c r="B404" t="s">
        <v>6897</v>
      </c>
      <c r="C404" s="40">
        <v>1</v>
      </c>
    </row>
    <row r="405" spans="1:3" x14ac:dyDescent="0.25">
      <c r="A405" s="18" t="s">
        <v>3504</v>
      </c>
      <c r="B405" t="s">
        <v>3505</v>
      </c>
      <c r="C405" s="40">
        <v>2</v>
      </c>
    </row>
    <row r="406" spans="1:3" x14ac:dyDescent="0.25">
      <c r="A406" s="18" t="s">
        <v>3501</v>
      </c>
      <c r="B406" t="s">
        <v>3502</v>
      </c>
      <c r="C406" s="40">
        <v>2</v>
      </c>
    </row>
    <row r="407" spans="1:3" x14ac:dyDescent="0.25">
      <c r="A407" s="18" t="s">
        <v>5123</v>
      </c>
      <c r="B407" t="s">
        <v>5124</v>
      </c>
      <c r="C407" s="40">
        <v>1</v>
      </c>
    </row>
    <row r="408" spans="1:3" x14ac:dyDescent="0.25">
      <c r="A408" s="18" t="s">
        <v>436</v>
      </c>
      <c r="B408" t="s">
        <v>437</v>
      </c>
      <c r="C408" s="40">
        <v>2</v>
      </c>
    </row>
    <row r="409" spans="1:3" x14ac:dyDescent="0.25">
      <c r="A409" s="18" t="s">
        <v>1428</v>
      </c>
      <c r="B409" t="s">
        <v>1429</v>
      </c>
      <c r="C409" s="40">
        <v>12</v>
      </c>
    </row>
    <row r="410" spans="1:3" x14ac:dyDescent="0.25">
      <c r="A410" s="18" t="s">
        <v>698</v>
      </c>
      <c r="B410" t="s">
        <v>699</v>
      </c>
      <c r="C410" s="40">
        <v>28</v>
      </c>
    </row>
    <row r="411" spans="1:3" x14ac:dyDescent="0.25">
      <c r="A411" s="18" t="s">
        <v>695</v>
      </c>
      <c r="B411" t="s">
        <v>696</v>
      </c>
      <c r="C411" s="40">
        <v>27</v>
      </c>
    </row>
    <row r="412" spans="1:3" x14ac:dyDescent="0.25">
      <c r="A412" s="18" t="s">
        <v>2413</v>
      </c>
      <c r="B412" t="s">
        <v>2414</v>
      </c>
      <c r="C412" s="40">
        <v>1</v>
      </c>
    </row>
    <row r="413" spans="1:3" x14ac:dyDescent="0.25">
      <c r="A413" s="18" t="s">
        <v>701</v>
      </c>
      <c r="B413" t="s">
        <v>702</v>
      </c>
      <c r="C413" s="40">
        <v>64</v>
      </c>
    </row>
    <row r="414" spans="1:3" x14ac:dyDescent="0.25">
      <c r="A414" s="18" t="s">
        <v>6331</v>
      </c>
      <c r="B414" t="s">
        <v>6332</v>
      </c>
      <c r="C414" s="40">
        <v>1</v>
      </c>
    </row>
    <row r="415" spans="1:3" x14ac:dyDescent="0.25">
      <c r="A415" s="18" t="s">
        <v>3980</v>
      </c>
      <c r="B415" t="s">
        <v>3981</v>
      </c>
      <c r="C415" s="40">
        <v>1</v>
      </c>
    </row>
    <row r="416" spans="1:3" x14ac:dyDescent="0.25">
      <c r="A416" s="18" t="s">
        <v>3977</v>
      </c>
      <c r="B416" t="s">
        <v>3978</v>
      </c>
      <c r="C416" s="40">
        <v>1</v>
      </c>
    </row>
    <row r="417" spans="1:3" x14ac:dyDescent="0.25">
      <c r="A417" s="18" t="s">
        <v>2662</v>
      </c>
      <c r="B417" t="s">
        <v>2663</v>
      </c>
      <c r="C417" s="40">
        <v>1</v>
      </c>
    </row>
    <row r="418" spans="1:3" x14ac:dyDescent="0.25">
      <c r="A418" s="18" t="s">
        <v>2093</v>
      </c>
      <c r="B418" t="s">
        <v>2094</v>
      </c>
      <c r="C418" s="40">
        <v>2</v>
      </c>
    </row>
    <row r="419" spans="1:3" x14ac:dyDescent="0.25">
      <c r="A419" s="18" t="s">
        <v>3728</v>
      </c>
      <c r="B419" t="s">
        <v>3729</v>
      </c>
      <c r="C419" s="40">
        <v>2</v>
      </c>
    </row>
    <row r="420" spans="1:3" x14ac:dyDescent="0.25">
      <c r="A420" s="18" t="s">
        <v>3700</v>
      </c>
      <c r="B420" t="s">
        <v>3701</v>
      </c>
      <c r="C420" s="40">
        <v>2</v>
      </c>
    </row>
    <row r="421" spans="1:3" x14ac:dyDescent="0.25">
      <c r="A421" s="18" t="s">
        <v>3703</v>
      </c>
      <c r="B421" t="s">
        <v>3704</v>
      </c>
      <c r="C421" s="40">
        <v>2</v>
      </c>
    </row>
    <row r="422" spans="1:3" x14ac:dyDescent="0.25">
      <c r="A422" s="18" t="s">
        <v>5297</v>
      </c>
      <c r="B422" t="s">
        <v>5298</v>
      </c>
      <c r="C422" s="40">
        <v>1</v>
      </c>
    </row>
    <row r="423" spans="1:3" x14ac:dyDescent="0.25">
      <c r="A423" s="18" t="s">
        <v>3858</v>
      </c>
      <c r="B423" t="s">
        <v>3859</v>
      </c>
      <c r="C423" s="40">
        <v>2</v>
      </c>
    </row>
    <row r="424" spans="1:3" x14ac:dyDescent="0.25">
      <c r="A424" s="18" t="s">
        <v>448</v>
      </c>
      <c r="B424" t="s">
        <v>449</v>
      </c>
      <c r="C424" s="40">
        <v>2</v>
      </c>
    </row>
    <row r="425" spans="1:3" x14ac:dyDescent="0.25">
      <c r="A425" s="18" t="s">
        <v>6314</v>
      </c>
      <c r="B425" t="s">
        <v>6315</v>
      </c>
      <c r="C425" s="40">
        <v>4</v>
      </c>
    </row>
    <row r="426" spans="1:3" x14ac:dyDescent="0.25">
      <c r="A426" s="18" t="s">
        <v>4533</v>
      </c>
      <c r="B426" t="s">
        <v>4534</v>
      </c>
      <c r="C426" s="40">
        <v>1</v>
      </c>
    </row>
    <row r="427" spans="1:3" x14ac:dyDescent="0.25">
      <c r="A427" s="18" t="s">
        <v>6629</v>
      </c>
      <c r="B427" t="s">
        <v>6630</v>
      </c>
      <c r="C427" s="40">
        <v>1</v>
      </c>
    </row>
    <row r="428" spans="1:3" x14ac:dyDescent="0.25">
      <c r="A428" s="18" t="s">
        <v>5133</v>
      </c>
      <c r="B428" t="s">
        <v>5134</v>
      </c>
      <c r="C428" s="40">
        <v>1</v>
      </c>
    </row>
    <row r="429" spans="1:3" x14ac:dyDescent="0.25">
      <c r="A429" s="18" t="s">
        <v>3985</v>
      </c>
      <c r="B429" t="s">
        <v>3986</v>
      </c>
      <c r="C429" s="40">
        <v>1</v>
      </c>
    </row>
    <row r="430" spans="1:3" x14ac:dyDescent="0.25">
      <c r="A430" s="18" t="s">
        <v>5611</v>
      </c>
      <c r="B430" t="s">
        <v>5612</v>
      </c>
      <c r="C430" s="40">
        <v>1</v>
      </c>
    </row>
    <row r="431" spans="1:3" x14ac:dyDescent="0.25">
      <c r="A431" s="18" t="s">
        <v>1801</v>
      </c>
      <c r="B431" t="s">
        <v>1802</v>
      </c>
      <c r="C431" s="40">
        <v>2</v>
      </c>
    </row>
    <row r="432" spans="1:3" x14ac:dyDescent="0.25">
      <c r="A432" s="18" t="s">
        <v>5016</v>
      </c>
      <c r="B432" t="s">
        <v>5017</v>
      </c>
      <c r="C432" s="40">
        <v>2</v>
      </c>
    </row>
    <row r="433" spans="1:3" x14ac:dyDescent="0.25">
      <c r="A433" s="18" t="s">
        <v>2156</v>
      </c>
      <c r="B433" t="s">
        <v>2157</v>
      </c>
      <c r="C433" s="40">
        <v>1</v>
      </c>
    </row>
    <row r="434" spans="1:3" x14ac:dyDescent="0.25">
      <c r="A434" s="18" t="s">
        <v>255</v>
      </c>
      <c r="B434" t="s">
        <v>718</v>
      </c>
      <c r="C434" s="40">
        <v>2</v>
      </c>
    </row>
    <row r="435" spans="1:3" x14ac:dyDescent="0.25">
      <c r="B435" t="s">
        <v>1463</v>
      </c>
      <c r="C435" s="40">
        <v>1</v>
      </c>
    </row>
    <row r="436" spans="1:3" x14ac:dyDescent="0.25">
      <c r="A436" s="18" t="s">
        <v>2520</v>
      </c>
      <c r="B436" t="s">
        <v>2521</v>
      </c>
      <c r="C436" s="40">
        <v>1</v>
      </c>
    </row>
    <row r="437" spans="1:3" x14ac:dyDescent="0.25">
      <c r="A437" s="18" t="s">
        <v>1044</v>
      </c>
      <c r="B437" t="s">
        <v>1045</v>
      </c>
      <c r="C437" s="40">
        <v>3</v>
      </c>
    </row>
    <row r="438" spans="1:3" x14ac:dyDescent="0.25">
      <c r="A438" s="18" t="s">
        <v>2018</v>
      </c>
      <c r="B438" t="s">
        <v>2019</v>
      </c>
      <c r="C438" s="40">
        <v>1</v>
      </c>
    </row>
    <row r="439" spans="1:3" x14ac:dyDescent="0.25">
      <c r="A439" s="18" t="s">
        <v>2022</v>
      </c>
      <c r="B439" t="s">
        <v>2023</v>
      </c>
      <c r="C439" s="40">
        <v>1</v>
      </c>
    </row>
    <row r="440" spans="1:3" x14ac:dyDescent="0.25">
      <c r="A440" s="18" t="s">
        <v>2026</v>
      </c>
      <c r="B440" t="s">
        <v>2027</v>
      </c>
      <c r="C440" s="40">
        <v>2</v>
      </c>
    </row>
    <row r="441" spans="1:3" x14ac:dyDescent="0.25">
      <c r="A441" s="18" t="s">
        <v>2030</v>
      </c>
      <c r="B441" t="s">
        <v>2031</v>
      </c>
      <c r="C441" s="40">
        <v>1</v>
      </c>
    </row>
    <row r="442" spans="1:3" x14ac:dyDescent="0.25">
      <c r="A442" s="18" t="s">
        <v>2034</v>
      </c>
      <c r="B442" t="s">
        <v>2035</v>
      </c>
      <c r="C442" s="40">
        <v>2</v>
      </c>
    </row>
    <row r="443" spans="1:3" x14ac:dyDescent="0.25">
      <c r="A443" s="18" t="s">
        <v>2038</v>
      </c>
      <c r="B443" t="s">
        <v>2039</v>
      </c>
      <c r="C443" s="40">
        <v>2</v>
      </c>
    </row>
    <row r="444" spans="1:3" x14ac:dyDescent="0.25">
      <c r="A444" s="18" t="s">
        <v>2042</v>
      </c>
      <c r="B444" t="s">
        <v>2043</v>
      </c>
      <c r="C444" s="40">
        <v>2</v>
      </c>
    </row>
    <row r="445" spans="1:3" x14ac:dyDescent="0.25">
      <c r="A445" s="18" t="s">
        <v>2046</v>
      </c>
      <c r="B445" t="s">
        <v>2047</v>
      </c>
      <c r="C445" s="40">
        <v>1</v>
      </c>
    </row>
    <row r="446" spans="1:3" x14ac:dyDescent="0.25">
      <c r="A446" s="18" t="s">
        <v>1998</v>
      </c>
      <c r="B446" t="s">
        <v>1999</v>
      </c>
      <c r="C446" s="40">
        <v>1</v>
      </c>
    </row>
    <row r="447" spans="1:3" x14ac:dyDescent="0.25">
      <c r="A447" s="18" t="s">
        <v>1927</v>
      </c>
      <c r="B447" t="s">
        <v>1928</v>
      </c>
      <c r="C447" s="40">
        <v>1</v>
      </c>
    </row>
    <row r="448" spans="1:3" x14ac:dyDescent="0.25">
      <c r="A448" s="18" t="s">
        <v>1879</v>
      </c>
      <c r="B448" t="s">
        <v>1880</v>
      </c>
      <c r="C448" s="40">
        <v>4</v>
      </c>
    </row>
    <row r="449" spans="1:3" x14ac:dyDescent="0.25">
      <c r="A449" s="18" t="s">
        <v>2427</v>
      </c>
      <c r="B449" t="s">
        <v>2428</v>
      </c>
      <c r="C449" s="40">
        <v>5</v>
      </c>
    </row>
    <row r="450" spans="1:3" x14ac:dyDescent="0.25">
      <c r="A450" s="18" t="s">
        <v>2431</v>
      </c>
      <c r="B450" t="s">
        <v>2428</v>
      </c>
      <c r="C450" s="40">
        <v>2</v>
      </c>
    </row>
    <row r="451" spans="1:3" x14ac:dyDescent="0.25">
      <c r="A451" s="18" t="s">
        <v>2434</v>
      </c>
      <c r="B451" t="s">
        <v>2435</v>
      </c>
      <c r="C451" s="40">
        <v>1</v>
      </c>
    </row>
    <row r="452" spans="1:3" x14ac:dyDescent="0.25">
      <c r="A452" s="18" t="s">
        <v>805</v>
      </c>
      <c r="B452" t="s">
        <v>806</v>
      </c>
      <c r="C452" s="40">
        <v>1</v>
      </c>
    </row>
    <row r="453" spans="1:3" x14ac:dyDescent="0.25">
      <c r="A453" s="18" t="s">
        <v>769</v>
      </c>
      <c r="B453" t="s">
        <v>770</v>
      </c>
      <c r="C453" s="40">
        <v>1</v>
      </c>
    </row>
    <row r="454" spans="1:3" x14ac:dyDescent="0.25">
      <c r="A454" s="18" t="s">
        <v>781</v>
      </c>
      <c r="B454" t="s">
        <v>782</v>
      </c>
      <c r="C454" s="40">
        <v>1</v>
      </c>
    </row>
    <row r="455" spans="1:3" x14ac:dyDescent="0.25">
      <c r="A455" s="18" t="s">
        <v>793</v>
      </c>
      <c r="B455" t="s">
        <v>794</v>
      </c>
      <c r="C455" s="40">
        <v>1</v>
      </c>
    </row>
    <row r="456" spans="1:3" x14ac:dyDescent="0.25">
      <c r="A456" s="18" t="s">
        <v>745</v>
      </c>
      <c r="B456" t="s">
        <v>746</v>
      </c>
      <c r="C456" s="40">
        <v>1</v>
      </c>
    </row>
    <row r="457" spans="1:3" x14ac:dyDescent="0.25">
      <c r="A457" s="18" t="s">
        <v>2635</v>
      </c>
      <c r="B457" t="s">
        <v>2636</v>
      </c>
      <c r="C457" s="40">
        <v>2</v>
      </c>
    </row>
    <row r="458" spans="1:3" x14ac:dyDescent="0.25">
      <c r="A458" s="18" t="s">
        <v>2643</v>
      </c>
      <c r="B458" t="s">
        <v>2644</v>
      </c>
      <c r="C458" s="40">
        <v>2</v>
      </c>
    </row>
    <row r="459" spans="1:3" x14ac:dyDescent="0.25">
      <c r="A459" s="18" t="s">
        <v>2688</v>
      </c>
      <c r="B459" t="s">
        <v>2689</v>
      </c>
      <c r="C459" s="40">
        <v>1</v>
      </c>
    </row>
    <row r="460" spans="1:3" x14ac:dyDescent="0.25">
      <c r="A460" s="18" t="s">
        <v>5498</v>
      </c>
      <c r="B460" t="s">
        <v>5499</v>
      </c>
      <c r="C460" s="40">
        <v>1</v>
      </c>
    </row>
    <row r="461" spans="1:3" x14ac:dyDescent="0.25">
      <c r="A461" s="18" t="s">
        <v>4326</v>
      </c>
      <c r="B461" t="s">
        <v>4327</v>
      </c>
      <c r="C461" s="40">
        <v>2</v>
      </c>
    </row>
    <row r="462" spans="1:3" x14ac:dyDescent="0.25">
      <c r="A462" s="18" t="s">
        <v>6488</v>
      </c>
      <c r="B462" t="s">
        <v>5499</v>
      </c>
      <c r="C462" s="40">
        <v>1</v>
      </c>
    </row>
    <row r="463" spans="1:3" x14ac:dyDescent="0.25">
      <c r="A463" s="18" t="s">
        <v>6289</v>
      </c>
      <c r="B463" t="s">
        <v>6290</v>
      </c>
      <c r="C463" s="40">
        <v>1</v>
      </c>
    </row>
    <row r="464" spans="1:3" x14ac:dyDescent="0.25">
      <c r="A464" s="18" t="s">
        <v>6928</v>
      </c>
      <c r="B464" t="s">
        <v>6929</v>
      </c>
      <c r="C464" s="40">
        <v>1</v>
      </c>
    </row>
    <row r="465" spans="1:3" x14ac:dyDescent="0.25">
      <c r="A465" s="18" t="s">
        <v>4370</v>
      </c>
      <c r="B465" t="s">
        <v>4371</v>
      </c>
      <c r="C465" s="40">
        <v>1</v>
      </c>
    </row>
    <row r="466" spans="1:3" x14ac:dyDescent="0.25">
      <c r="A466" s="18" t="s">
        <v>6925</v>
      </c>
      <c r="B466" t="s">
        <v>6926</v>
      </c>
      <c r="C466" s="40">
        <v>1</v>
      </c>
    </row>
    <row r="467" spans="1:3" x14ac:dyDescent="0.25">
      <c r="A467" s="18" t="s">
        <v>4373</v>
      </c>
      <c r="B467" t="s">
        <v>4374</v>
      </c>
      <c r="C467" s="40">
        <v>2</v>
      </c>
    </row>
    <row r="468" spans="1:3" x14ac:dyDescent="0.25">
      <c r="A468" s="18" t="s">
        <v>2213</v>
      </c>
      <c r="B468" t="s">
        <v>2214</v>
      </c>
      <c r="C468" s="40">
        <v>25</v>
      </c>
    </row>
    <row r="469" spans="1:3" x14ac:dyDescent="0.25">
      <c r="A469" s="18" t="s">
        <v>2229</v>
      </c>
      <c r="B469" t="s">
        <v>2230</v>
      </c>
      <c r="C469" s="40">
        <v>14</v>
      </c>
    </row>
    <row r="470" spans="1:3" x14ac:dyDescent="0.25">
      <c r="A470" s="18" t="s">
        <v>2417</v>
      </c>
      <c r="B470" t="s">
        <v>2418</v>
      </c>
      <c r="C470" s="40">
        <v>4</v>
      </c>
    </row>
    <row r="471" spans="1:3" x14ac:dyDescent="0.25">
      <c r="A471" s="18" t="s">
        <v>1102</v>
      </c>
      <c r="B471" t="s">
        <v>1103</v>
      </c>
      <c r="C471" s="40">
        <v>3</v>
      </c>
    </row>
    <row r="472" spans="1:3" x14ac:dyDescent="0.25">
      <c r="A472" s="18" t="s">
        <v>707</v>
      </c>
      <c r="B472" t="s">
        <v>708</v>
      </c>
      <c r="C472" s="40">
        <v>2</v>
      </c>
    </row>
    <row r="473" spans="1:3" x14ac:dyDescent="0.25">
      <c r="A473" s="18" t="s">
        <v>4772</v>
      </c>
      <c r="B473" t="s">
        <v>4773</v>
      </c>
      <c r="C473" s="40">
        <v>8</v>
      </c>
    </row>
    <row r="474" spans="1:3" x14ac:dyDescent="0.25">
      <c r="A474" s="18" t="s">
        <v>4440</v>
      </c>
      <c r="B474" t="s">
        <v>4441</v>
      </c>
      <c r="C474" s="40">
        <v>3</v>
      </c>
    </row>
    <row r="475" spans="1:3" x14ac:dyDescent="0.25">
      <c r="A475" s="18" t="s">
        <v>956</v>
      </c>
      <c r="B475" t="s">
        <v>957</v>
      </c>
      <c r="C475" s="40">
        <v>1</v>
      </c>
    </row>
    <row r="476" spans="1:3" x14ac:dyDescent="0.25">
      <c r="A476" s="18" t="s">
        <v>366</v>
      </c>
      <c r="B476" t="s">
        <v>367</v>
      </c>
      <c r="C476" s="40">
        <v>5</v>
      </c>
    </row>
    <row r="477" spans="1:3" x14ac:dyDescent="0.25">
      <c r="A477" s="18" t="s">
        <v>491</v>
      </c>
      <c r="B477" t="s">
        <v>492</v>
      </c>
      <c r="C477" s="40">
        <v>3</v>
      </c>
    </row>
    <row r="478" spans="1:3" x14ac:dyDescent="0.25">
      <c r="A478" s="18" t="s">
        <v>1771</v>
      </c>
      <c r="B478" t="s">
        <v>1772</v>
      </c>
      <c r="C478" s="40">
        <v>4</v>
      </c>
    </row>
    <row r="479" spans="1:3" x14ac:dyDescent="0.25">
      <c r="A479" s="18" t="s">
        <v>482</v>
      </c>
      <c r="B479" t="s">
        <v>483</v>
      </c>
      <c r="C479" s="40">
        <v>3</v>
      </c>
    </row>
    <row r="480" spans="1:3" x14ac:dyDescent="0.25">
      <c r="A480" s="18" t="s">
        <v>363</v>
      </c>
      <c r="B480" t="s">
        <v>364</v>
      </c>
      <c r="C480" s="40">
        <v>1</v>
      </c>
    </row>
    <row r="481" spans="1:3" x14ac:dyDescent="0.25">
      <c r="A481" s="18" t="s">
        <v>5010</v>
      </c>
      <c r="B481" t="s">
        <v>5011</v>
      </c>
      <c r="C481" s="40">
        <v>1</v>
      </c>
    </row>
    <row r="482" spans="1:3" x14ac:dyDescent="0.25">
      <c r="A482" s="18" t="s">
        <v>5093</v>
      </c>
      <c r="B482" t="s">
        <v>5094</v>
      </c>
      <c r="C482" s="40">
        <v>1</v>
      </c>
    </row>
    <row r="483" spans="1:3" x14ac:dyDescent="0.25">
      <c r="A483" s="18" t="s">
        <v>2881</v>
      </c>
      <c r="B483" t="s">
        <v>2882</v>
      </c>
      <c r="C483" s="40">
        <v>1</v>
      </c>
    </row>
    <row r="484" spans="1:3" x14ac:dyDescent="0.25">
      <c r="A484" s="18" t="s">
        <v>6592</v>
      </c>
      <c r="B484" t="s">
        <v>6597</v>
      </c>
      <c r="C484" s="40">
        <v>2</v>
      </c>
    </row>
    <row r="485" spans="1:3" x14ac:dyDescent="0.25">
      <c r="B485" t="s">
        <v>6593</v>
      </c>
      <c r="C485" s="40">
        <v>2</v>
      </c>
    </row>
    <row r="486" spans="1:3" x14ac:dyDescent="0.25">
      <c r="A486" s="18" t="s">
        <v>7013</v>
      </c>
      <c r="B486" t="s">
        <v>7014</v>
      </c>
      <c r="C486" s="40">
        <v>1</v>
      </c>
    </row>
    <row r="487" spans="1:3" x14ac:dyDescent="0.25">
      <c r="A487" s="18" t="s">
        <v>1522</v>
      </c>
      <c r="B487" t="s">
        <v>1523</v>
      </c>
      <c r="C487" s="40">
        <v>12</v>
      </c>
    </row>
    <row r="488" spans="1:3" x14ac:dyDescent="0.25">
      <c r="B488" t="s">
        <v>4924</v>
      </c>
      <c r="C488" s="40">
        <v>1</v>
      </c>
    </row>
    <row r="489" spans="1:3" x14ac:dyDescent="0.25">
      <c r="A489" s="18" t="s">
        <v>2424</v>
      </c>
      <c r="B489" t="s">
        <v>2425</v>
      </c>
      <c r="C489" s="40">
        <v>2</v>
      </c>
    </row>
    <row r="490" spans="1:3" x14ac:dyDescent="0.25">
      <c r="A490" s="18" t="s">
        <v>1513</v>
      </c>
      <c r="B490" t="s">
        <v>1514</v>
      </c>
      <c r="C490" s="40">
        <v>10</v>
      </c>
    </row>
    <row r="491" spans="1:3" x14ac:dyDescent="0.25">
      <c r="A491" s="18" t="s">
        <v>6311</v>
      </c>
      <c r="B491" t="s">
        <v>6312</v>
      </c>
      <c r="C491" s="40">
        <v>1</v>
      </c>
    </row>
    <row r="492" spans="1:3" x14ac:dyDescent="0.25">
      <c r="A492" s="18" t="s">
        <v>6308</v>
      </c>
      <c r="B492" t="s">
        <v>6309</v>
      </c>
      <c r="C492" s="40">
        <v>1</v>
      </c>
    </row>
    <row r="493" spans="1:3" x14ac:dyDescent="0.25">
      <c r="A493" s="18" t="s">
        <v>4928</v>
      </c>
      <c r="B493" t="s">
        <v>4929</v>
      </c>
      <c r="C493" s="40">
        <v>1</v>
      </c>
    </row>
    <row r="494" spans="1:3" x14ac:dyDescent="0.25">
      <c r="A494" s="18" t="s">
        <v>2404</v>
      </c>
      <c r="B494" t="s">
        <v>2405</v>
      </c>
      <c r="C494" s="40">
        <v>5</v>
      </c>
    </row>
    <row r="495" spans="1:3" x14ac:dyDescent="0.25">
      <c r="A495" s="18" t="s">
        <v>2398</v>
      </c>
      <c r="B495" t="s">
        <v>2399</v>
      </c>
      <c r="C495" s="40">
        <v>1</v>
      </c>
    </row>
    <row r="496" spans="1:3" x14ac:dyDescent="0.25">
      <c r="A496" s="18" t="s">
        <v>2407</v>
      </c>
      <c r="B496" t="s">
        <v>2408</v>
      </c>
      <c r="C496" s="40">
        <v>2</v>
      </c>
    </row>
    <row r="497" spans="1:3" x14ac:dyDescent="0.25">
      <c r="A497" s="18" t="s">
        <v>2401</v>
      </c>
      <c r="B497" t="s">
        <v>2402</v>
      </c>
      <c r="C497" s="40">
        <v>1</v>
      </c>
    </row>
    <row r="498" spans="1:3" x14ac:dyDescent="0.25">
      <c r="A498" s="18" t="s">
        <v>1065</v>
      </c>
      <c r="B498" t="s">
        <v>1066</v>
      </c>
      <c r="C498" s="40">
        <v>2</v>
      </c>
    </row>
    <row r="499" spans="1:3" x14ac:dyDescent="0.25">
      <c r="A499" s="18" t="s">
        <v>2421</v>
      </c>
      <c r="B499" t="s">
        <v>2422</v>
      </c>
      <c r="C499" s="40">
        <v>2</v>
      </c>
    </row>
    <row r="500" spans="1:3" x14ac:dyDescent="0.25">
      <c r="A500" s="18" t="s">
        <v>310</v>
      </c>
      <c r="B500" t="s">
        <v>1581</v>
      </c>
      <c r="C500" s="40">
        <v>3</v>
      </c>
    </row>
    <row r="501" spans="1:3" x14ac:dyDescent="0.25">
      <c r="B501" t="s">
        <v>311</v>
      </c>
      <c r="C501" s="40">
        <v>3</v>
      </c>
    </row>
    <row r="502" spans="1:3" x14ac:dyDescent="0.25">
      <c r="A502" s="18" t="s">
        <v>5919</v>
      </c>
      <c r="B502" t="s">
        <v>5920</v>
      </c>
      <c r="C502" s="40">
        <v>2</v>
      </c>
    </row>
    <row r="503" spans="1:3" x14ac:dyDescent="0.25">
      <c r="A503" s="18" t="s">
        <v>901</v>
      </c>
      <c r="B503" t="s">
        <v>902</v>
      </c>
      <c r="C503" s="40">
        <v>1</v>
      </c>
    </row>
    <row r="504" spans="1:3" x14ac:dyDescent="0.25">
      <c r="A504" t="s">
        <v>7982</v>
      </c>
      <c r="B504" t="s">
        <v>5780</v>
      </c>
      <c r="C504" s="40">
        <v>1</v>
      </c>
    </row>
    <row r="505" spans="1:3" x14ac:dyDescent="0.25">
      <c r="A505" s="18" t="s">
        <v>7753</v>
      </c>
      <c r="B505" s="18"/>
      <c r="C505" s="40">
        <v>6086</v>
      </c>
    </row>
    <row r="506" spans="1:3" x14ac:dyDescent="0.25">
      <c r="A506"/>
    </row>
    <row r="507" spans="1:3" x14ac:dyDescent="0.25">
      <c r="A507"/>
    </row>
    <row r="508" spans="1:3" x14ac:dyDescent="0.25">
      <c r="A508"/>
    </row>
    <row r="509" spans="1:3" x14ac:dyDescent="0.25">
      <c r="A509"/>
    </row>
    <row r="510" spans="1:3" x14ac:dyDescent="0.25">
      <c r="A510"/>
    </row>
    <row r="511" spans="1:3" x14ac:dyDescent="0.25">
      <c r="A511"/>
    </row>
    <row r="512" spans="1:3"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row r="997" spans="1:1" x14ac:dyDescent="0.25">
      <c r="A997"/>
    </row>
    <row r="998" spans="1:1" x14ac:dyDescent="0.25">
      <c r="A998"/>
    </row>
    <row r="999" spans="1:1" x14ac:dyDescent="0.25">
      <c r="A999"/>
    </row>
    <row r="1000" spans="1:1" x14ac:dyDescent="0.25">
      <c r="A1000"/>
    </row>
    <row r="1001" spans="1:1" x14ac:dyDescent="0.25">
      <c r="A1001"/>
    </row>
    <row r="1002" spans="1:1" x14ac:dyDescent="0.25">
      <c r="A1002"/>
    </row>
    <row r="1003" spans="1:1" x14ac:dyDescent="0.25">
      <c r="A1003"/>
    </row>
    <row r="1004" spans="1:1" x14ac:dyDescent="0.25">
      <c r="A1004"/>
    </row>
    <row r="1005" spans="1:1" x14ac:dyDescent="0.25">
      <c r="A1005"/>
    </row>
    <row r="1006" spans="1:1" x14ac:dyDescent="0.25">
      <c r="A1006"/>
    </row>
    <row r="1007" spans="1:1" x14ac:dyDescent="0.25">
      <c r="A1007"/>
    </row>
    <row r="1008" spans="1:1" x14ac:dyDescent="0.25">
      <c r="A1008"/>
    </row>
    <row r="1009" spans="1:1" x14ac:dyDescent="0.25">
      <c r="A1009"/>
    </row>
    <row r="1010" spans="1:1" x14ac:dyDescent="0.25">
      <c r="A1010"/>
    </row>
    <row r="1011" spans="1:1" x14ac:dyDescent="0.25">
      <c r="A1011"/>
    </row>
    <row r="1012" spans="1:1" x14ac:dyDescent="0.25">
      <c r="A1012"/>
    </row>
    <row r="1013" spans="1:1" x14ac:dyDescent="0.25">
      <c r="A1013"/>
    </row>
    <row r="1014" spans="1:1" x14ac:dyDescent="0.25">
      <c r="A1014"/>
    </row>
    <row r="1015" spans="1:1" x14ac:dyDescent="0.25">
      <c r="A1015"/>
    </row>
    <row r="1016" spans="1:1" x14ac:dyDescent="0.25">
      <c r="A1016"/>
    </row>
    <row r="1017" spans="1:1" x14ac:dyDescent="0.25">
      <c r="A1017"/>
    </row>
    <row r="1018" spans="1:1" x14ac:dyDescent="0.25">
      <c r="A1018"/>
    </row>
    <row r="1019" spans="1:1" x14ac:dyDescent="0.25">
      <c r="A1019"/>
    </row>
    <row r="1020" spans="1:1" x14ac:dyDescent="0.25">
      <c r="A1020"/>
    </row>
    <row r="1021" spans="1:1" x14ac:dyDescent="0.25">
      <c r="A1021"/>
    </row>
    <row r="1022" spans="1:1" x14ac:dyDescent="0.25">
      <c r="A1022"/>
    </row>
    <row r="1023" spans="1:1" x14ac:dyDescent="0.25">
      <c r="A1023"/>
    </row>
    <row r="1024" spans="1:1" x14ac:dyDescent="0.25">
      <c r="A1024"/>
    </row>
    <row r="1025" spans="1:1" x14ac:dyDescent="0.25">
      <c r="A1025"/>
    </row>
    <row r="1026" spans="1:1" x14ac:dyDescent="0.25">
      <c r="A1026"/>
    </row>
    <row r="1027" spans="1:1" x14ac:dyDescent="0.25">
      <c r="A1027"/>
    </row>
    <row r="1028" spans="1:1" x14ac:dyDescent="0.25">
      <c r="A1028"/>
    </row>
    <row r="1029" spans="1:1" x14ac:dyDescent="0.25">
      <c r="A1029"/>
    </row>
    <row r="1030" spans="1:1" x14ac:dyDescent="0.25">
      <c r="A1030"/>
    </row>
    <row r="1031" spans="1:1" x14ac:dyDescent="0.25">
      <c r="A1031"/>
    </row>
    <row r="1032" spans="1:1" x14ac:dyDescent="0.25">
      <c r="A1032"/>
    </row>
    <row r="1033" spans="1:1" x14ac:dyDescent="0.25">
      <c r="A1033"/>
    </row>
    <row r="1034" spans="1:1" x14ac:dyDescent="0.25">
      <c r="A1034"/>
    </row>
    <row r="1035" spans="1:1" x14ac:dyDescent="0.25">
      <c r="A1035"/>
    </row>
    <row r="1036" spans="1:1" x14ac:dyDescent="0.25">
      <c r="A1036"/>
    </row>
    <row r="1037" spans="1:1" x14ac:dyDescent="0.25">
      <c r="A1037"/>
    </row>
    <row r="1038" spans="1:1" x14ac:dyDescent="0.25">
      <c r="A1038"/>
    </row>
    <row r="1039" spans="1:1" x14ac:dyDescent="0.25">
      <c r="A1039"/>
    </row>
    <row r="1040" spans="1:1" x14ac:dyDescent="0.25">
      <c r="A1040"/>
    </row>
    <row r="1041" spans="1:1" x14ac:dyDescent="0.25">
      <c r="A1041"/>
    </row>
    <row r="1042" spans="1:1" x14ac:dyDescent="0.25">
      <c r="A1042"/>
    </row>
    <row r="1043" spans="1:1" x14ac:dyDescent="0.25">
      <c r="A1043"/>
    </row>
    <row r="1044" spans="1:1" x14ac:dyDescent="0.25">
      <c r="A1044"/>
    </row>
    <row r="1045" spans="1:1" x14ac:dyDescent="0.25">
      <c r="A1045"/>
    </row>
    <row r="1046" spans="1:1" x14ac:dyDescent="0.25">
      <c r="A1046"/>
    </row>
    <row r="1047" spans="1:1" x14ac:dyDescent="0.25">
      <c r="A1047"/>
    </row>
    <row r="1048" spans="1:1" x14ac:dyDescent="0.25">
      <c r="A1048"/>
    </row>
    <row r="1049" spans="1:1" x14ac:dyDescent="0.25">
      <c r="A1049"/>
    </row>
    <row r="1050" spans="1:1" x14ac:dyDescent="0.25">
      <c r="A1050"/>
    </row>
    <row r="1051" spans="1:1" x14ac:dyDescent="0.25">
      <c r="A1051"/>
    </row>
    <row r="1052" spans="1:1" x14ac:dyDescent="0.25">
      <c r="A1052"/>
    </row>
    <row r="1053" spans="1:1" x14ac:dyDescent="0.25">
      <c r="A1053"/>
    </row>
    <row r="1054" spans="1:1" x14ac:dyDescent="0.25">
      <c r="A1054"/>
    </row>
    <row r="1055" spans="1:1" x14ac:dyDescent="0.25">
      <c r="A1055"/>
    </row>
    <row r="1056" spans="1:1" x14ac:dyDescent="0.25">
      <c r="A1056"/>
    </row>
    <row r="1057" spans="1:1" x14ac:dyDescent="0.25">
      <c r="A1057"/>
    </row>
    <row r="1058" spans="1:1" x14ac:dyDescent="0.25">
      <c r="A1058"/>
    </row>
    <row r="1059" spans="1:1" x14ac:dyDescent="0.25">
      <c r="A1059"/>
    </row>
    <row r="1060" spans="1:1" x14ac:dyDescent="0.25">
      <c r="A1060"/>
    </row>
    <row r="1061" spans="1:1" x14ac:dyDescent="0.25">
      <c r="A1061"/>
    </row>
    <row r="1062" spans="1:1" x14ac:dyDescent="0.25">
      <c r="A1062"/>
    </row>
    <row r="1063" spans="1:1" x14ac:dyDescent="0.25">
      <c r="A1063"/>
    </row>
    <row r="1064" spans="1:1" x14ac:dyDescent="0.25">
      <c r="A1064"/>
    </row>
    <row r="1065" spans="1:1" x14ac:dyDescent="0.25">
      <c r="A1065"/>
    </row>
    <row r="1066" spans="1:1" x14ac:dyDescent="0.25">
      <c r="A1066"/>
    </row>
    <row r="1067" spans="1:1" x14ac:dyDescent="0.25">
      <c r="A1067"/>
    </row>
    <row r="1068" spans="1:1" x14ac:dyDescent="0.25">
      <c r="A1068"/>
    </row>
    <row r="1069" spans="1:1" x14ac:dyDescent="0.25">
      <c r="A1069"/>
    </row>
    <row r="1070" spans="1:1" x14ac:dyDescent="0.25">
      <c r="A1070"/>
    </row>
    <row r="1071" spans="1:1" x14ac:dyDescent="0.25">
      <c r="A1071"/>
    </row>
    <row r="1072" spans="1:1" x14ac:dyDescent="0.25">
      <c r="A1072"/>
    </row>
    <row r="1073" spans="1:1" x14ac:dyDescent="0.25">
      <c r="A1073"/>
    </row>
    <row r="1074" spans="1:1" x14ac:dyDescent="0.25">
      <c r="A1074"/>
    </row>
    <row r="1075" spans="1:1" x14ac:dyDescent="0.25">
      <c r="A1075"/>
    </row>
    <row r="1076" spans="1:1" x14ac:dyDescent="0.25">
      <c r="A1076"/>
    </row>
    <row r="1077" spans="1:1" x14ac:dyDescent="0.25">
      <c r="A1077"/>
    </row>
    <row r="1078" spans="1:1" x14ac:dyDescent="0.25">
      <c r="A1078"/>
    </row>
    <row r="1079" spans="1:1" x14ac:dyDescent="0.25">
      <c r="A1079"/>
    </row>
    <row r="1080" spans="1:1" x14ac:dyDescent="0.25">
      <c r="A1080"/>
    </row>
    <row r="1081" spans="1:1" x14ac:dyDescent="0.25">
      <c r="A1081"/>
    </row>
    <row r="1082" spans="1:1" x14ac:dyDescent="0.25">
      <c r="A1082"/>
    </row>
    <row r="1083" spans="1:1" x14ac:dyDescent="0.25">
      <c r="A1083"/>
    </row>
    <row r="1084" spans="1:1" x14ac:dyDescent="0.25">
      <c r="A1084"/>
    </row>
    <row r="1085" spans="1:1" x14ac:dyDescent="0.25">
      <c r="A1085"/>
    </row>
    <row r="1086" spans="1:1" x14ac:dyDescent="0.25">
      <c r="A1086"/>
    </row>
    <row r="1087" spans="1:1" x14ac:dyDescent="0.25">
      <c r="A1087"/>
    </row>
    <row r="1088" spans="1:1" x14ac:dyDescent="0.25">
      <c r="A1088"/>
    </row>
    <row r="1089" spans="1:1" x14ac:dyDescent="0.25">
      <c r="A1089"/>
    </row>
    <row r="1090" spans="1:1" x14ac:dyDescent="0.25">
      <c r="A1090"/>
    </row>
    <row r="1091" spans="1:1" x14ac:dyDescent="0.25">
      <c r="A1091"/>
    </row>
    <row r="1092" spans="1:1" x14ac:dyDescent="0.25">
      <c r="A1092"/>
    </row>
    <row r="1093" spans="1:1" x14ac:dyDescent="0.25">
      <c r="A1093"/>
    </row>
    <row r="1094" spans="1:1" x14ac:dyDescent="0.25">
      <c r="A1094"/>
    </row>
    <row r="1095" spans="1:1" x14ac:dyDescent="0.25">
      <c r="A1095"/>
    </row>
    <row r="1096" spans="1:1" x14ac:dyDescent="0.25">
      <c r="A1096"/>
    </row>
    <row r="1097" spans="1:1" x14ac:dyDescent="0.25">
      <c r="A1097"/>
    </row>
    <row r="1098" spans="1:1" x14ac:dyDescent="0.25">
      <c r="A1098"/>
    </row>
    <row r="1099" spans="1:1" x14ac:dyDescent="0.25">
      <c r="A1099"/>
    </row>
    <row r="1100" spans="1:1" x14ac:dyDescent="0.25">
      <c r="A1100"/>
    </row>
    <row r="1101" spans="1:1" x14ac:dyDescent="0.25">
      <c r="A1101"/>
    </row>
    <row r="1102" spans="1:1" x14ac:dyDescent="0.25">
      <c r="A1102"/>
    </row>
    <row r="1103" spans="1:1" x14ac:dyDescent="0.25">
      <c r="A1103"/>
    </row>
    <row r="1104" spans="1:1" x14ac:dyDescent="0.25">
      <c r="A1104"/>
    </row>
    <row r="1105" spans="1:1" x14ac:dyDescent="0.25">
      <c r="A1105"/>
    </row>
    <row r="1106" spans="1:1" x14ac:dyDescent="0.25">
      <c r="A1106"/>
    </row>
    <row r="1107" spans="1:1" x14ac:dyDescent="0.25">
      <c r="A1107"/>
    </row>
    <row r="1108" spans="1:1" x14ac:dyDescent="0.25">
      <c r="A1108"/>
    </row>
    <row r="1109" spans="1:1" x14ac:dyDescent="0.25">
      <c r="A1109"/>
    </row>
    <row r="1110" spans="1:1" x14ac:dyDescent="0.25">
      <c r="A1110"/>
    </row>
    <row r="1111" spans="1:1" x14ac:dyDescent="0.25">
      <c r="A1111"/>
    </row>
    <row r="1112" spans="1:1" x14ac:dyDescent="0.25">
      <c r="A1112"/>
    </row>
    <row r="1113" spans="1:1" x14ac:dyDescent="0.25">
      <c r="A1113"/>
    </row>
    <row r="1114" spans="1:1" x14ac:dyDescent="0.25">
      <c r="A1114"/>
    </row>
    <row r="1115" spans="1:1" x14ac:dyDescent="0.25">
      <c r="A1115"/>
    </row>
    <row r="1116" spans="1:1" x14ac:dyDescent="0.25">
      <c r="A1116"/>
    </row>
    <row r="1117" spans="1:1" x14ac:dyDescent="0.25">
      <c r="A1117"/>
    </row>
    <row r="1118" spans="1:1" x14ac:dyDescent="0.25">
      <c r="A1118"/>
    </row>
    <row r="1119" spans="1:1" x14ac:dyDescent="0.25">
      <c r="A1119"/>
    </row>
    <row r="1120" spans="1:1" x14ac:dyDescent="0.25">
      <c r="A1120"/>
    </row>
    <row r="1121" spans="1:1" x14ac:dyDescent="0.25">
      <c r="A1121"/>
    </row>
    <row r="1122" spans="1:1" x14ac:dyDescent="0.25">
      <c r="A1122"/>
    </row>
    <row r="1123" spans="1:1" x14ac:dyDescent="0.25">
      <c r="A1123"/>
    </row>
    <row r="1124" spans="1:1" x14ac:dyDescent="0.25">
      <c r="A1124"/>
    </row>
    <row r="1125" spans="1:1" x14ac:dyDescent="0.25">
      <c r="A1125"/>
    </row>
    <row r="1126" spans="1:1" x14ac:dyDescent="0.25">
      <c r="A1126"/>
    </row>
    <row r="1127" spans="1:1" x14ac:dyDescent="0.25">
      <c r="A1127"/>
    </row>
    <row r="1128" spans="1:1" x14ac:dyDescent="0.25">
      <c r="A1128"/>
    </row>
    <row r="1129" spans="1:1" x14ac:dyDescent="0.25">
      <c r="A1129"/>
    </row>
    <row r="1130" spans="1:1" x14ac:dyDescent="0.25">
      <c r="A1130"/>
    </row>
    <row r="1131" spans="1:1" x14ac:dyDescent="0.25">
      <c r="A1131"/>
    </row>
    <row r="1132" spans="1:1" x14ac:dyDescent="0.25">
      <c r="A1132"/>
    </row>
    <row r="1133" spans="1:1" x14ac:dyDescent="0.25">
      <c r="A1133"/>
    </row>
    <row r="1134" spans="1:1" x14ac:dyDescent="0.25">
      <c r="A1134"/>
    </row>
    <row r="1135" spans="1:1" x14ac:dyDescent="0.25">
      <c r="A1135"/>
    </row>
    <row r="1136" spans="1:1" x14ac:dyDescent="0.25">
      <c r="A1136"/>
    </row>
    <row r="1137" spans="1:1" x14ac:dyDescent="0.25">
      <c r="A1137"/>
    </row>
    <row r="1138" spans="1:1" x14ac:dyDescent="0.25">
      <c r="A1138"/>
    </row>
    <row r="1139" spans="1:1" x14ac:dyDescent="0.25">
      <c r="A1139"/>
    </row>
    <row r="1140" spans="1:1" x14ac:dyDescent="0.25">
      <c r="A1140"/>
    </row>
    <row r="1141" spans="1:1" x14ac:dyDescent="0.25">
      <c r="A1141"/>
    </row>
    <row r="1142" spans="1:1" x14ac:dyDescent="0.25">
      <c r="A1142"/>
    </row>
    <row r="1143" spans="1:1" x14ac:dyDescent="0.25">
      <c r="A1143"/>
    </row>
    <row r="1144" spans="1:1" x14ac:dyDescent="0.25">
      <c r="A1144"/>
    </row>
    <row r="1145" spans="1:1" x14ac:dyDescent="0.25">
      <c r="A1145"/>
    </row>
    <row r="1146" spans="1:1" x14ac:dyDescent="0.25">
      <c r="A1146"/>
    </row>
    <row r="1147" spans="1:1" x14ac:dyDescent="0.25">
      <c r="A1147"/>
    </row>
    <row r="1148" spans="1:1" x14ac:dyDescent="0.25">
      <c r="A1148"/>
    </row>
    <row r="1149" spans="1:1" x14ac:dyDescent="0.25">
      <c r="A1149"/>
    </row>
    <row r="1150" spans="1:1" x14ac:dyDescent="0.25">
      <c r="A1150"/>
    </row>
    <row r="1151" spans="1:1" x14ac:dyDescent="0.25">
      <c r="A1151"/>
    </row>
    <row r="1152" spans="1:1" x14ac:dyDescent="0.25">
      <c r="A1152"/>
    </row>
    <row r="1153" spans="1:1" x14ac:dyDescent="0.25">
      <c r="A1153"/>
    </row>
    <row r="1154" spans="1:1" x14ac:dyDescent="0.25">
      <c r="A1154"/>
    </row>
    <row r="1155" spans="1:1" x14ac:dyDescent="0.25">
      <c r="A1155"/>
    </row>
    <row r="1156" spans="1:1" x14ac:dyDescent="0.25">
      <c r="A1156"/>
    </row>
    <row r="1157" spans="1:1" x14ac:dyDescent="0.25">
      <c r="A1157"/>
    </row>
    <row r="1158" spans="1:1" x14ac:dyDescent="0.25">
      <c r="A1158"/>
    </row>
    <row r="1159" spans="1:1" x14ac:dyDescent="0.25">
      <c r="A1159"/>
    </row>
    <row r="1160" spans="1:1" x14ac:dyDescent="0.25">
      <c r="A1160"/>
    </row>
    <row r="1161" spans="1:1" x14ac:dyDescent="0.25">
      <c r="A1161"/>
    </row>
    <row r="1162" spans="1:1" x14ac:dyDescent="0.25">
      <c r="A1162"/>
    </row>
    <row r="1163" spans="1:1" x14ac:dyDescent="0.25">
      <c r="A1163"/>
    </row>
    <row r="1164" spans="1:1" x14ac:dyDescent="0.25">
      <c r="A1164"/>
    </row>
    <row r="1165" spans="1:1" x14ac:dyDescent="0.25">
      <c r="A1165"/>
    </row>
    <row r="1166" spans="1:1" x14ac:dyDescent="0.25">
      <c r="A1166"/>
    </row>
    <row r="1167" spans="1:1" x14ac:dyDescent="0.25">
      <c r="A1167"/>
    </row>
    <row r="1168" spans="1:1" x14ac:dyDescent="0.25">
      <c r="A1168"/>
    </row>
    <row r="1169" spans="1:1" x14ac:dyDescent="0.25">
      <c r="A1169"/>
    </row>
    <row r="1170" spans="1:1" x14ac:dyDescent="0.25">
      <c r="A1170"/>
    </row>
    <row r="1171" spans="1:1" x14ac:dyDescent="0.25">
      <c r="A1171"/>
    </row>
    <row r="1172" spans="1:1" x14ac:dyDescent="0.25">
      <c r="A1172"/>
    </row>
    <row r="1173" spans="1:1" x14ac:dyDescent="0.25">
      <c r="A1173"/>
    </row>
    <row r="1174" spans="1:1" x14ac:dyDescent="0.25">
      <c r="A1174"/>
    </row>
    <row r="1175" spans="1:1" x14ac:dyDescent="0.25">
      <c r="A1175"/>
    </row>
    <row r="1176" spans="1:1" x14ac:dyDescent="0.25">
      <c r="A1176"/>
    </row>
    <row r="1177" spans="1:1" x14ac:dyDescent="0.25">
      <c r="A1177"/>
    </row>
    <row r="1178" spans="1:1" x14ac:dyDescent="0.25">
      <c r="A1178"/>
    </row>
    <row r="1179" spans="1:1" x14ac:dyDescent="0.25">
      <c r="A1179"/>
    </row>
    <row r="1180" spans="1:1" x14ac:dyDescent="0.25">
      <c r="A1180"/>
    </row>
    <row r="1181" spans="1:1" x14ac:dyDescent="0.25">
      <c r="A1181"/>
    </row>
    <row r="1182" spans="1:1" x14ac:dyDescent="0.25">
      <c r="A1182"/>
    </row>
    <row r="1183" spans="1:1" x14ac:dyDescent="0.25">
      <c r="A1183"/>
    </row>
    <row r="1184" spans="1:1" x14ac:dyDescent="0.25">
      <c r="A1184"/>
    </row>
    <row r="1185" spans="1:1" x14ac:dyDescent="0.25">
      <c r="A1185"/>
    </row>
    <row r="1186" spans="1:1" x14ac:dyDescent="0.25">
      <c r="A1186"/>
    </row>
    <row r="1187" spans="1:1" x14ac:dyDescent="0.25">
      <c r="A1187"/>
    </row>
    <row r="1188" spans="1:1" x14ac:dyDescent="0.25">
      <c r="A1188"/>
    </row>
    <row r="1189" spans="1:1" x14ac:dyDescent="0.25">
      <c r="A1189"/>
    </row>
    <row r="1190" spans="1:1" x14ac:dyDescent="0.25">
      <c r="A1190"/>
    </row>
    <row r="1191" spans="1:1" x14ac:dyDescent="0.25">
      <c r="A1191"/>
    </row>
    <row r="1192" spans="1:1" x14ac:dyDescent="0.25">
      <c r="A1192"/>
    </row>
    <row r="1193" spans="1:1" x14ac:dyDescent="0.25">
      <c r="A1193"/>
    </row>
    <row r="1194" spans="1:1" x14ac:dyDescent="0.25">
      <c r="A1194"/>
    </row>
    <row r="1195" spans="1:1" x14ac:dyDescent="0.25">
      <c r="A1195"/>
    </row>
    <row r="1196" spans="1:1" x14ac:dyDescent="0.25">
      <c r="A1196"/>
    </row>
    <row r="1197" spans="1:1" x14ac:dyDescent="0.25">
      <c r="A1197"/>
    </row>
    <row r="1198" spans="1:1" x14ac:dyDescent="0.25">
      <c r="A1198"/>
    </row>
    <row r="1199" spans="1:1" x14ac:dyDescent="0.25">
      <c r="A1199"/>
    </row>
    <row r="1200" spans="1:1" x14ac:dyDescent="0.25">
      <c r="A1200"/>
    </row>
    <row r="1201" spans="1:1" x14ac:dyDescent="0.25">
      <c r="A1201"/>
    </row>
    <row r="1202" spans="1:1" x14ac:dyDescent="0.25">
      <c r="A1202"/>
    </row>
    <row r="1203" spans="1:1" x14ac:dyDescent="0.25">
      <c r="A1203"/>
    </row>
    <row r="1204" spans="1:1" x14ac:dyDescent="0.25">
      <c r="A1204"/>
    </row>
    <row r="1205" spans="1:1" x14ac:dyDescent="0.25">
      <c r="A1205"/>
    </row>
    <row r="1206" spans="1:1" x14ac:dyDescent="0.25">
      <c r="A1206"/>
    </row>
    <row r="1207" spans="1:1" x14ac:dyDescent="0.25">
      <c r="A1207"/>
    </row>
    <row r="1208" spans="1:1" x14ac:dyDescent="0.25">
      <c r="A1208"/>
    </row>
    <row r="1209" spans="1:1" x14ac:dyDescent="0.25">
      <c r="A1209"/>
    </row>
    <row r="1210" spans="1:1" x14ac:dyDescent="0.25">
      <c r="A1210"/>
    </row>
    <row r="1211" spans="1:1" x14ac:dyDescent="0.25">
      <c r="A1211"/>
    </row>
    <row r="1212" spans="1:1" x14ac:dyDescent="0.25">
      <c r="A1212"/>
    </row>
    <row r="1213" spans="1:1" x14ac:dyDescent="0.25">
      <c r="A1213"/>
    </row>
    <row r="1214" spans="1:1" x14ac:dyDescent="0.25">
      <c r="A1214"/>
    </row>
    <row r="1215" spans="1:1" x14ac:dyDescent="0.25">
      <c r="A1215"/>
    </row>
    <row r="1216" spans="1:1" x14ac:dyDescent="0.25">
      <c r="A1216"/>
    </row>
    <row r="1217" spans="1:1" x14ac:dyDescent="0.25">
      <c r="A1217"/>
    </row>
    <row r="1218" spans="1:1" x14ac:dyDescent="0.25">
      <c r="A1218"/>
    </row>
    <row r="1219" spans="1:1" x14ac:dyDescent="0.25">
      <c r="A1219"/>
    </row>
    <row r="1220" spans="1:1" x14ac:dyDescent="0.25">
      <c r="A1220"/>
    </row>
    <row r="1221" spans="1:1" x14ac:dyDescent="0.25">
      <c r="A1221"/>
    </row>
    <row r="1222" spans="1:1" x14ac:dyDescent="0.25">
      <c r="A1222"/>
    </row>
    <row r="1223" spans="1:1" x14ac:dyDescent="0.25">
      <c r="A1223"/>
    </row>
    <row r="1224" spans="1:1" x14ac:dyDescent="0.25">
      <c r="A1224"/>
    </row>
    <row r="1225" spans="1:1" x14ac:dyDescent="0.25">
      <c r="A1225"/>
    </row>
    <row r="1226" spans="1:1" x14ac:dyDescent="0.25">
      <c r="A1226"/>
    </row>
    <row r="1227" spans="1:1" x14ac:dyDescent="0.25">
      <c r="A1227"/>
    </row>
    <row r="1228" spans="1:1" x14ac:dyDescent="0.25">
      <c r="A1228"/>
    </row>
    <row r="1229" spans="1:1" x14ac:dyDescent="0.25">
      <c r="A1229"/>
    </row>
    <row r="1230" spans="1:1" x14ac:dyDescent="0.25">
      <c r="A1230"/>
    </row>
    <row r="1231" spans="1:1" x14ac:dyDescent="0.25">
      <c r="A1231"/>
    </row>
    <row r="1232" spans="1:1" x14ac:dyDescent="0.25">
      <c r="A1232"/>
    </row>
    <row r="1233" spans="1:1" x14ac:dyDescent="0.25">
      <c r="A1233"/>
    </row>
    <row r="1234" spans="1:1" x14ac:dyDescent="0.25">
      <c r="A1234"/>
    </row>
    <row r="1235" spans="1:1" x14ac:dyDescent="0.25">
      <c r="A1235"/>
    </row>
    <row r="1236" spans="1:1" x14ac:dyDescent="0.25">
      <c r="A1236"/>
    </row>
    <row r="1237" spans="1:1" x14ac:dyDescent="0.25">
      <c r="A1237"/>
    </row>
    <row r="1238" spans="1:1" x14ac:dyDescent="0.25">
      <c r="A1238"/>
    </row>
    <row r="1239" spans="1:1" x14ac:dyDescent="0.25">
      <c r="A1239"/>
    </row>
    <row r="1240" spans="1:1" x14ac:dyDescent="0.25">
      <c r="A1240"/>
    </row>
    <row r="1241" spans="1:1" x14ac:dyDescent="0.25">
      <c r="A1241"/>
    </row>
    <row r="1242" spans="1:1" x14ac:dyDescent="0.25">
      <c r="A1242"/>
    </row>
    <row r="1243" spans="1:1" x14ac:dyDescent="0.25">
      <c r="A1243"/>
    </row>
    <row r="1244" spans="1:1" x14ac:dyDescent="0.25">
      <c r="A1244"/>
    </row>
    <row r="1245" spans="1:1" x14ac:dyDescent="0.25">
      <c r="A1245"/>
    </row>
    <row r="1246" spans="1:1" x14ac:dyDescent="0.25">
      <c r="A1246"/>
    </row>
    <row r="1247" spans="1:1" x14ac:dyDescent="0.25">
      <c r="A1247"/>
    </row>
    <row r="1248" spans="1:1" x14ac:dyDescent="0.25">
      <c r="A1248"/>
    </row>
    <row r="1249" spans="1:1" x14ac:dyDescent="0.25">
      <c r="A1249"/>
    </row>
    <row r="1250" spans="1:1" x14ac:dyDescent="0.25">
      <c r="A1250"/>
    </row>
    <row r="1251" spans="1:1" x14ac:dyDescent="0.25">
      <c r="A1251"/>
    </row>
    <row r="1252" spans="1:1" x14ac:dyDescent="0.25">
      <c r="A1252"/>
    </row>
    <row r="1253" spans="1:1" x14ac:dyDescent="0.25">
      <c r="A1253"/>
    </row>
    <row r="1254" spans="1:1" x14ac:dyDescent="0.25">
      <c r="A1254"/>
    </row>
    <row r="1255" spans="1:1" x14ac:dyDescent="0.25">
      <c r="A1255"/>
    </row>
    <row r="1256" spans="1:1" x14ac:dyDescent="0.25">
      <c r="A1256"/>
    </row>
    <row r="1257" spans="1:1" x14ac:dyDescent="0.25">
      <c r="A1257"/>
    </row>
    <row r="1258" spans="1:1" x14ac:dyDescent="0.25">
      <c r="A1258"/>
    </row>
    <row r="1259" spans="1:1" x14ac:dyDescent="0.25">
      <c r="A1259"/>
    </row>
    <row r="1260" spans="1:1" x14ac:dyDescent="0.25">
      <c r="A1260"/>
    </row>
    <row r="1261" spans="1:1" x14ac:dyDescent="0.25">
      <c r="A1261"/>
    </row>
    <row r="1262" spans="1:1" x14ac:dyDescent="0.25">
      <c r="A1262"/>
    </row>
    <row r="1263" spans="1:1" x14ac:dyDescent="0.25">
      <c r="A1263"/>
    </row>
    <row r="1264" spans="1:1" x14ac:dyDescent="0.25">
      <c r="A1264"/>
    </row>
    <row r="1265" spans="1:1" x14ac:dyDescent="0.25">
      <c r="A1265"/>
    </row>
    <row r="1266" spans="1:1" x14ac:dyDescent="0.25">
      <c r="A1266"/>
    </row>
    <row r="1267" spans="1:1" x14ac:dyDescent="0.25">
      <c r="A1267"/>
    </row>
    <row r="1268" spans="1:1" x14ac:dyDescent="0.25">
      <c r="A1268"/>
    </row>
    <row r="1269" spans="1:1" x14ac:dyDescent="0.25">
      <c r="A1269"/>
    </row>
    <row r="1270" spans="1:1" x14ac:dyDescent="0.25">
      <c r="A1270"/>
    </row>
    <row r="1271" spans="1:1" x14ac:dyDescent="0.25">
      <c r="A1271"/>
    </row>
    <row r="1272" spans="1:1" x14ac:dyDescent="0.25">
      <c r="A1272"/>
    </row>
    <row r="1273" spans="1:1" x14ac:dyDescent="0.25">
      <c r="A1273"/>
    </row>
    <row r="1274" spans="1:1" x14ac:dyDescent="0.25">
      <c r="A1274"/>
    </row>
    <row r="1275" spans="1:1" x14ac:dyDescent="0.25">
      <c r="A1275"/>
    </row>
    <row r="1276" spans="1:1" x14ac:dyDescent="0.25">
      <c r="A1276"/>
    </row>
    <row r="1277" spans="1:1" x14ac:dyDescent="0.25">
      <c r="A1277"/>
    </row>
    <row r="1278" spans="1:1" x14ac:dyDescent="0.25">
      <c r="A1278"/>
    </row>
    <row r="1279" spans="1:1" x14ac:dyDescent="0.25">
      <c r="A1279"/>
    </row>
    <row r="1280" spans="1:1" x14ac:dyDescent="0.25">
      <c r="A1280"/>
    </row>
    <row r="1281" spans="1:1" x14ac:dyDescent="0.25">
      <c r="A1281"/>
    </row>
    <row r="1282" spans="1:1" x14ac:dyDescent="0.25">
      <c r="A1282"/>
    </row>
    <row r="1283" spans="1:1" x14ac:dyDescent="0.25">
      <c r="A1283"/>
    </row>
    <row r="1284" spans="1:1" x14ac:dyDescent="0.25">
      <c r="A1284"/>
    </row>
    <row r="1285" spans="1:1" x14ac:dyDescent="0.25">
      <c r="A1285"/>
    </row>
    <row r="1286" spans="1:1" x14ac:dyDescent="0.25">
      <c r="A1286"/>
    </row>
    <row r="1287" spans="1:1" x14ac:dyDescent="0.25">
      <c r="A1287"/>
    </row>
    <row r="1288" spans="1:1" x14ac:dyDescent="0.25">
      <c r="A1288"/>
    </row>
    <row r="1289" spans="1:1" x14ac:dyDescent="0.25">
      <c r="A1289"/>
    </row>
    <row r="1290" spans="1:1" x14ac:dyDescent="0.25">
      <c r="A1290"/>
    </row>
    <row r="1291" spans="1:1" x14ac:dyDescent="0.25">
      <c r="A1291"/>
    </row>
    <row r="1292" spans="1:1" x14ac:dyDescent="0.25">
      <c r="A1292"/>
    </row>
    <row r="1293" spans="1:1" x14ac:dyDescent="0.25">
      <c r="A1293"/>
    </row>
    <row r="1294" spans="1:1" x14ac:dyDescent="0.25">
      <c r="A1294"/>
    </row>
    <row r="1295" spans="1:1" x14ac:dyDescent="0.25">
      <c r="A1295"/>
    </row>
    <row r="1296" spans="1:1" x14ac:dyDescent="0.25">
      <c r="A1296"/>
    </row>
    <row r="1297" spans="1:1" x14ac:dyDescent="0.25">
      <c r="A1297"/>
    </row>
    <row r="1298" spans="1:1" x14ac:dyDescent="0.25">
      <c r="A1298"/>
    </row>
    <row r="1299" spans="1:1" x14ac:dyDescent="0.25">
      <c r="A1299"/>
    </row>
    <row r="1300" spans="1:1" x14ac:dyDescent="0.25">
      <c r="A1300"/>
    </row>
    <row r="1301" spans="1:1" x14ac:dyDescent="0.25">
      <c r="A1301"/>
    </row>
    <row r="1302" spans="1:1" x14ac:dyDescent="0.25">
      <c r="A1302"/>
    </row>
    <row r="1303" spans="1:1" x14ac:dyDescent="0.25">
      <c r="A1303"/>
    </row>
    <row r="1304" spans="1:1" x14ac:dyDescent="0.25">
      <c r="A1304"/>
    </row>
    <row r="1305" spans="1:1" x14ac:dyDescent="0.25">
      <c r="A1305"/>
    </row>
    <row r="1306" spans="1:1" x14ac:dyDescent="0.25">
      <c r="A1306"/>
    </row>
    <row r="1307" spans="1:1" x14ac:dyDescent="0.25">
      <c r="A1307"/>
    </row>
    <row r="1308" spans="1:1" x14ac:dyDescent="0.25">
      <c r="A1308"/>
    </row>
    <row r="1309" spans="1:1" x14ac:dyDescent="0.25">
      <c r="A1309"/>
    </row>
    <row r="1310" spans="1:1" x14ac:dyDescent="0.25">
      <c r="A1310"/>
    </row>
    <row r="1311" spans="1:1" x14ac:dyDescent="0.25">
      <c r="A1311"/>
    </row>
    <row r="1312" spans="1:1" x14ac:dyDescent="0.25">
      <c r="A1312"/>
    </row>
    <row r="1313" spans="1:1" x14ac:dyDescent="0.25">
      <c r="A1313"/>
    </row>
    <row r="1314" spans="1:1" x14ac:dyDescent="0.25">
      <c r="A1314"/>
    </row>
    <row r="1315" spans="1:1" x14ac:dyDescent="0.25">
      <c r="A1315"/>
    </row>
    <row r="1316" spans="1:1" x14ac:dyDescent="0.25">
      <c r="A1316"/>
    </row>
    <row r="1317" spans="1:1" x14ac:dyDescent="0.25">
      <c r="A1317"/>
    </row>
    <row r="1318" spans="1:1" x14ac:dyDescent="0.25">
      <c r="A1318"/>
    </row>
    <row r="1319" spans="1:1" x14ac:dyDescent="0.25">
      <c r="A1319"/>
    </row>
    <row r="1320" spans="1:1" x14ac:dyDescent="0.25">
      <c r="A1320"/>
    </row>
    <row r="1321" spans="1:1" x14ac:dyDescent="0.25">
      <c r="A1321"/>
    </row>
    <row r="1322" spans="1:1" x14ac:dyDescent="0.25">
      <c r="A1322"/>
    </row>
    <row r="1323" spans="1:1" x14ac:dyDescent="0.25">
      <c r="A1323"/>
    </row>
    <row r="1324" spans="1:1" x14ac:dyDescent="0.25">
      <c r="A1324"/>
    </row>
    <row r="1325" spans="1:1" x14ac:dyDescent="0.25">
      <c r="A1325"/>
    </row>
    <row r="1326" spans="1:1" x14ac:dyDescent="0.25">
      <c r="A1326"/>
    </row>
    <row r="1327" spans="1:1" x14ac:dyDescent="0.25">
      <c r="A1327"/>
    </row>
    <row r="1328" spans="1:1" x14ac:dyDescent="0.25">
      <c r="A1328"/>
    </row>
    <row r="1329" spans="1:1" x14ac:dyDescent="0.25">
      <c r="A1329"/>
    </row>
    <row r="1330" spans="1:1" x14ac:dyDescent="0.25">
      <c r="A1330"/>
    </row>
    <row r="1331" spans="1:1" x14ac:dyDescent="0.25">
      <c r="A1331"/>
    </row>
    <row r="1332" spans="1:1" x14ac:dyDescent="0.25">
      <c r="A1332"/>
    </row>
    <row r="1333" spans="1:1" x14ac:dyDescent="0.25">
      <c r="A1333"/>
    </row>
    <row r="1334" spans="1:1" x14ac:dyDescent="0.25">
      <c r="A1334"/>
    </row>
    <row r="1335" spans="1:1" x14ac:dyDescent="0.25">
      <c r="A1335"/>
    </row>
    <row r="1336" spans="1:1" x14ac:dyDescent="0.25">
      <c r="A1336"/>
    </row>
    <row r="1337" spans="1:1" x14ac:dyDescent="0.25">
      <c r="A1337"/>
    </row>
    <row r="1338" spans="1:1" x14ac:dyDescent="0.25">
      <c r="A1338"/>
    </row>
    <row r="1339" spans="1:1" x14ac:dyDescent="0.25">
      <c r="A1339"/>
    </row>
    <row r="1340" spans="1:1" x14ac:dyDescent="0.25">
      <c r="A1340"/>
    </row>
    <row r="1341" spans="1:1" x14ac:dyDescent="0.25">
      <c r="A1341"/>
    </row>
    <row r="1342" spans="1:1" x14ac:dyDescent="0.25">
      <c r="A1342"/>
    </row>
    <row r="1343" spans="1:1" x14ac:dyDescent="0.25">
      <c r="A1343"/>
    </row>
    <row r="1344" spans="1:1" x14ac:dyDescent="0.25">
      <c r="A1344"/>
    </row>
    <row r="1345" spans="1:1" x14ac:dyDescent="0.25">
      <c r="A1345"/>
    </row>
    <row r="1346" spans="1:1" x14ac:dyDescent="0.25">
      <c r="A1346"/>
    </row>
    <row r="1347" spans="1:1" x14ac:dyDescent="0.25">
      <c r="A1347"/>
    </row>
    <row r="1348" spans="1:1" x14ac:dyDescent="0.25">
      <c r="A1348"/>
    </row>
    <row r="1349" spans="1:1" x14ac:dyDescent="0.25">
      <c r="A1349"/>
    </row>
    <row r="1350" spans="1:1" x14ac:dyDescent="0.25">
      <c r="A1350"/>
    </row>
    <row r="1351" spans="1:1" x14ac:dyDescent="0.25">
      <c r="A1351"/>
    </row>
    <row r="1352" spans="1:1" x14ac:dyDescent="0.25">
      <c r="A1352"/>
    </row>
    <row r="1353" spans="1:1" x14ac:dyDescent="0.25">
      <c r="A1353"/>
    </row>
    <row r="1354" spans="1:1" x14ac:dyDescent="0.25">
      <c r="A1354"/>
    </row>
    <row r="1355" spans="1:1" x14ac:dyDescent="0.25">
      <c r="A1355"/>
    </row>
    <row r="1356" spans="1:1" x14ac:dyDescent="0.25">
      <c r="A1356"/>
    </row>
    <row r="1357" spans="1:1" x14ac:dyDescent="0.25">
      <c r="A1357"/>
    </row>
    <row r="1358" spans="1:1" x14ac:dyDescent="0.25">
      <c r="A1358"/>
    </row>
    <row r="1359" spans="1:1" x14ac:dyDescent="0.25">
      <c r="A1359"/>
    </row>
    <row r="1360" spans="1:1" x14ac:dyDescent="0.25">
      <c r="A1360"/>
    </row>
    <row r="1361" spans="1:1" x14ac:dyDescent="0.25">
      <c r="A1361"/>
    </row>
    <row r="1362" spans="1:1" x14ac:dyDescent="0.25">
      <c r="A1362"/>
    </row>
    <row r="1363" spans="1:1" x14ac:dyDescent="0.25">
      <c r="A1363"/>
    </row>
    <row r="1364" spans="1:1" x14ac:dyDescent="0.25">
      <c r="A1364"/>
    </row>
    <row r="1365" spans="1:1" x14ac:dyDescent="0.25">
      <c r="A1365"/>
    </row>
    <row r="1366" spans="1:1" x14ac:dyDescent="0.25">
      <c r="A1366"/>
    </row>
    <row r="1367" spans="1:1" x14ac:dyDescent="0.25">
      <c r="A1367"/>
    </row>
    <row r="1368" spans="1:1" x14ac:dyDescent="0.25">
      <c r="A1368"/>
    </row>
    <row r="1369" spans="1:1" x14ac:dyDescent="0.25">
      <c r="A1369"/>
    </row>
    <row r="1370" spans="1:1" x14ac:dyDescent="0.25">
      <c r="A1370"/>
    </row>
    <row r="1371" spans="1:1" x14ac:dyDescent="0.25">
      <c r="A1371"/>
    </row>
    <row r="1372" spans="1:1" x14ac:dyDescent="0.25">
      <c r="A1372"/>
    </row>
    <row r="1373" spans="1:1" x14ac:dyDescent="0.25">
      <c r="A1373"/>
    </row>
    <row r="1374" spans="1:1" x14ac:dyDescent="0.25">
      <c r="A1374"/>
    </row>
    <row r="1375" spans="1:1" x14ac:dyDescent="0.25">
      <c r="A1375"/>
    </row>
    <row r="1376" spans="1:1" x14ac:dyDescent="0.25">
      <c r="A1376"/>
    </row>
    <row r="1377" spans="1:1" x14ac:dyDescent="0.25">
      <c r="A1377"/>
    </row>
    <row r="1378" spans="1:1" x14ac:dyDescent="0.25">
      <c r="A1378"/>
    </row>
    <row r="1379" spans="1:1" x14ac:dyDescent="0.25">
      <c r="A1379"/>
    </row>
    <row r="1380" spans="1:1" x14ac:dyDescent="0.25">
      <c r="A1380"/>
    </row>
    <row r="1381" spans="1:1" x14ac:dyDescent="0.25">
      <c r="A1381"/>
    </row>
    <row r="1382" spans="1:1" x14ac:dyDescent="0.25">
      <c r="A1382"/>
    </row>
    <row r="1383" spans="1:1" x14ac:dyDescent="0.25">
      <c r="A1383"/>
    </row>
    <row r="1384" spans="1:1" x14ac:dyDescent="0.25">
      <c r="A1384"/>
    </row>
    <row r="1385" spans="1:1" x14ac:dyDescent="0.25">
      <c r="A1385"/>
    </row>
    <row r="1386" spans="1:1" x14ac:dyDescent="0.25">
      <c r="A1386"/>
    </row>
    <row r="1387" spans="1:1" x14ac:dyDescent="0.25">
      <c r="A1387"/>
    </row>
    <row r="1388" spans="1:1" x14ac:dyDescent="0.25">
      <c r="A1388"/>
    </row>
    <row r="1389" spans="1:1" x14ac:dyDescent="0.25">
      <c r="A1389"/>
    </row>
    <row r="1390" spans="1:1" x14ac:dyDescent="0.25">
      <c r="A1390"/>
    </row>
    <row r="1391" spans="1:1" x14ac:dyDescent="0.25">
      <c r="A1391"/>
    </row>
    <row r="1392" spans="1:1" x14ac:dyDescent="0.25">
      <c r="A1392"/>
    </row>
    <row r="1393" spans="1:1" x14ac:dyDescent="0.25">
      <c r="A1393"/>
    </row>
    <row r="1394" spans="1:1" x14ac:dyDescent="0.25">
      <c r="A1394"/>
    </row>
    <row r="1395" spans="1:1" x14ac:dyDescent="0.25">
      <c r="A1395"/>
    </row>
    <row r="1396" spans="1:1" x14ac:dyDescent="0.25">
      <c r="A1396"/>
    </row>
    <row r="1397" spans="1:1" x14ac:dyDescent="0.25">
      <c r="A1397"/>
    </row>
    <row r="1398" spans="1:1" x14ac:dyDescent="0.25">
      <c r="A1398"/>
    </row>
    <row r="1399" spans="1:1" x14ac:dyDescent="0.25">
      <c r="A1399"/>
    </row>
    <row r="1400" spans="1:1" x14ac:dyDescent="0.25">
      <c r="A1400"/>
    </row>
    <row r="1401" spans="1:1" x14ac:dyDescent="0.25">
      <c r="A1401"/>
    </row>
    <row r="1402" spans="1:1" x14ac:dyDescent="0.25">
      <c r="A1402"/>
    </row>
    <row r="1403" spans="1:1" x14ac:dyDescent="0.25">
      <c r="A1403"/>
    </row>
    <row r="1404" spans="1:1" x14ac:dyDescent="0.25">
      <c r="A1404"/>
    </row>
    <row r="1405" spans="1:1" x14ac:dyDescent="0.25">
      <c r="A1405"/>
    </row>
    <row r="1406" spans="1:1" x14ac:dyDescent="0.25">
      <c r="A1406"/>
    </row>
    <row r="1407" spans="1:1" x14ac:dyDescent="0.25">
      <c r="A1407"/>
    </row>
    <row r="1408" spans="1:1" x14ac:dyDescent="0.25">
      <c r="A1408"/>
    </row>
    <row r="1409" spans="1:1" x14ac:dyDescent="0.25">
      <c r="A1409"/>
    </row>
    <row r="1410" spans="1:1" x14ac:dyDescent="0.25">
      <c r="A1410"/>
    </row>
    <row r="1411" spans="1:1" x14ac:dyDescent="0.25">
      <c r="A1411"/>
    </row>
    <row r="1412" spans="1:1" x14ac:dyDescent="0.25">
      <c r="A1412"/>
    </row>
    <row r="1413" spans="1:1" x14ac:dyDescent="0.25">
      <c r="A1413"/>
    </row>
    <row r="1414" spans="1:1" x14ac:dyDescent="0.25">
      <c r="A1414"/>
    </row>
    <row r="1415" spans="1:1" x14ac:dyDescent="0.25">
      <c r="A1415"/>
    </row>
    <row r="1416" spans="1:1" x14ac:dyDescent="0.25">
      <c r="A1416"/>
    </row>
    <row r="1417" spans="1:1" x14ac:dyDescent="0.25">
      <c r="A1417"/>
    </row>
    <row r="1418" spans="1:1" x14ac:dyDescent="0.25">
      <c r="A1418"/>
    </row>
    <row r="1419" spans="1:1" x14ac:dyDescent="0.25">
      <c r="A1419"/>
    </row>
    <row r="1420" spans="1:1" x14ac:dyDescent="0.25">
      <c r="A1420"/>
    </row>
    <row r="1421" spans="1:1" x14ac:dyDescent="0.25">
      <c r="A1421"/>
    </row>
    <row r="1422" spans="1:1" x14ac:dyDescent="0.25">
      <c r="A1422"/>
    </row>
    <row r="1423" spans="1:1" x14ac:dyDescent="0.25">
      <c r="A1423"/>
    </row>
    <row r="1424" spans="1:1" x14ac:dyDescent="0.25">
      <c r="A1424"/>
    </row>
    <row r="1425" spans="1:1" x14ac:dyDescent="0.25">
      <c r="A1425"/>
    </row>
    <row r="1426" spans="1:1" x14ac:dyDescent="0.25">
      <c r="A1426"/>
    </row>
    <row r="1427" spans="1:1" x14ac:dyDescent="0.25">
      <c r="A1427"/>
    </row>
    <row r="1428" spans="1:1" x14ac:dyDescent="0.25">
      <c r="A1428"/>
    </row>
    <row r="1429" spans="1:1" x14ac:dyDescent="0.25">
      <c r="A1429"/>
    </row>
    <row r="1430" spans="1:1" x14ac:dyDescent="0.25">
      <c r="A1430"/>
    </row>
    <row r="1431" spans="1:1" x14ac:dyDescent="0.25">
      <c r="A1431"/>
    </row>
    <row r="1432" spans="1:1" x14ac:dyDescent="0.25">
      <c r="A1432"/>
    </row>
    <row r="1433" spans="1:1" x14ac:dyDescent="0.25">
      <c r="A1433"/>
    </row>
    <row r="1434" spans="1:1" x14ac:dyDescent="0.25">
      <c r="A1434"/>
    </row>
    <row r="1435" spans="1:1" x14ac:dyDescent="0.25">
      <c r="A1435"/>
    </row>
    <row r="1436" spans="1:1" x14ac:dyDescent="0.25">
      <c r="A1436"/>
    </row>
    <row r="1437" spans="1:1" x14ac:dyDescent="0.25">
      <c r="A1437"/>
    </row>
    <row r="1438" spans="1:1" x14ac:dyDescent="0.25">
      <c r="A1438"/>
    </row>
    <row r="1439" spans="1:1" x14ac:dyDescent="0.25">
      <c r="A1439"/>
    </row>
    <row r="1440" spans="1:1" x14ac:dyDescent="0.25">
      <c r="A1440"/>
    </row>
    <row r="1441" spans="1:1" x14ac:dyDescent="0.25">
      <c r="A1441"/>
    </row>
    <row r="1442" spans="1:1" x14ac:dyDescent="0.25">
      <c r="A1442"/>
    </row>
    <row r="1443" spans="1:1" x14ac:dyDescent="0.25">
      <c r="A1443"/>
    </row>
    <row r="1444" spans="1:1" x14ac:dyDescent="0.25">
      <c r="A1444"/>
    </row>
    <row r="1445" spans="1:1" x14ac:dyDescent="0.25">
      <c r="A1445"/>
    </row>
    <row r="1446" spans="1:1" x14ac:dyDescent="0.25">
      <c r="A1446"/>
    </row>
    <row r="1447" spans="1:1" x14ac:dyDescent="0.25">
      <c r="A1447"/>
    </row>
    <row r="1448" spans="1:1" x14ac:dyDescent="0.25">
      <c r="A1448"/>
    </row>
    <row r="1449" spans="1:1" x14ac:dyDescent="0.25">
      <c r="A1449"/>
    </row>
    <row r="1450" spans="1:1" x14ac:dyDescent="0.25">
      <c r="A1450"/>
    </row>
    <row r="1451" spans="1:1" x14ac:dyDescent="0.25">
      <c r="A1451"/>
    </row>
    <row r="1452" spans="1:1" x14ac:dyDescent="0.25">
      <c r="A1452"/>
    </row>
    <row r="1453" spans="1:1" x14ac:dyDescent="0.25">
      <c r="A1453"/>
    </row>
    <row r="1454" spans="1:1" x14ac:dyDescent="0.25">
      <c r="A1454"/>
    </row>
    <row r="1455" spans="1:1" x14ac:dyDescent="0.25">
      <c r="A1455"/>
    </row>
    <row r="1456" spans="1:1" x14ac:dyDescent="0.25">
      <c r="A1456"/>
    </row>
    <row r="1457" spans="1:1" x14ac:dyDescent="0.25">
      <c r="A1457"/>
    </row>
    <row r="1458" spans="1:1" x14ac:dyDescent="0.25">
      <c r="A1458"/>
    </row>
    <row r="1459" spans="1:1" x14ac:dyDescent="0.25">
      <c r="A1459"/>
    </row>
    <row r="1460" spans="1:1" x14ac:dyDescent="0.25">
      <c r="A1460"/>
    </row>
    <row r="1461" spans="1:1" x14ac:dyDescent="0.25">
      <c r="A1461"/>
    </row>
    <row r="1462" spans="1:1" x14ac:dyDescent="0.25">
      <c r="A1462"/>
    </row>
    <row r="1463" spans="1:1" x14ac:dyDescent="0.25">
      <c r="A1463"/>
    </row>
    <row r="1464" spans="1:1" x14ac:dyDescent="0.25">
      <c r="A1464"/>
    </row>
    <row r="1465" spans="1:1" x14ac:dyDescent="0.25">
      <c r="A1465"/>
    </row>
    <row r="1466" spans="1:1" x14ac:dyDescent="0.25">
      <c r="A1466"/>
    </row>
    <row r="1467" spans="1:1" x14ac:dyDescent="0.25">
      <c r="A1467"/>
    </row>
    <row r="1468" spans="1:1" x14ac:dyDescent="0.25">
      <c r="A1468"/>
    </row>
    <row r="1469" spans="1:1" x14ac:dyDescent="0.25">
      <c r="A1469"/>
    </row>
    <row r="1470" spans="1:1" x14ac:dyDescent="0.25">
      <c r="A1470"/>
    </row>
    <row r="1471" spans="1:1" x14ac:dyDescent="0.25">
      <c r="A1471"/>
    </row>
    <row r="1472" spans="1:1" x14ac:dyDescent="0.25">
      <c r="A1472"/>
    </row>
    <row r="1473" spans="1:1" x14ac:dyDescent="0.25">
      <c r="A1473"/>
    </row>
    <row r="1474" spans="1:1" x14ac:dyDescent="0.25">
      <c r="A1474"/>
    </row>
    <row r="1475" spans="1:1" x14ac:dyDescent="0.25">
      <c r="A1475"/>
    </row>
    <row r="1476" spans="1:1" x14ac:dyDescent="0.25">
      <c r="A1476"/>
    </row>
    <row r="1477" spans="1:1" x14ac:dyDescent="0.25">
      <c r="A1477"/>
    </row>
    <row r="1478" spans="1:1" x14ac:dyDescent="0.25">
      <c r="A1478"/>
    </row>
    <row r="1479" spans="1:1" x14ac:dyDescent="0.25">
      <c r="A1479"/>
    </row>
    <row r="1480" spans="1:1" x14ac:dyDescent="0.25">
      <c r="A1480"/>
    </row>
    <row r="1481" spans="1:1" x14ac:dyDescent="0.25">
      <c r="A1481"/>
    </row>
    <row r="1482" spans="1:1" x14ac:dyDescent="0.25">
      <c r="A1482"/>
    </row>
    <row r="1483" spans="1:1" x14ac:dyDescent="0.25">
      <c r="A1483"/>
    </row>
    <row r="1484" spans="1:1" x14ac:dyDescent="0.25">
      <c r="A1484"/>
    </row>
    <row r="1485" spans="1:1" x14ac:dyDescent="0.25">
      <c r="A1485"/>
    </row>
    <row r="1486" spans="1:1" x14ac:dyDescent="0.25">
      <c r="A1486"/>
    </row>
    <row r="1487" spans="1:1" x14ac:dyDescent="0.25">
      <c r="A1487"/>
    </row>
    <row r="1488" spans="1:1" x14ac:dyDescent="0.25">
      <c r="A1488"/>
    </row>
    <row r="1489" spans="1:1" x14ac:dyDescent="0.25">
      <c r="A1489"/>
    </row>
    <row r="1490" spans="1:1" x14ac:dyDescent="0.25">
      <c r="A1490"/>
    </row>
    <row r="1491" spans="1:1" x14ac:dyDescent="0.25">
      <c r="A1491"/>
    </row>
    <row r="1492" spans="1:1" x14ac:dyDescent="0.25">
      <c r="A1492"/>
    </row>
    <row r="1493" spans="1:1" x14ac:dyDescent="0.25">
      <c r="A1493"/>
    </row>
    <row r="1494" spans="1:1" x14ac:dyDescent="0.25">
      <c r="A1494"/>
    </row>
  </sheetData>
  <mergeCells count="1">
    <mergeCell ref="C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2885"/>
  <sheetViews>
    <sheetView workbookViewId="0">
      <pane ySplit="1" topLeftCell="A2148" activePane="bottomLeft" state="frozen"/>
      <selection activeCell="I1" sqref="I1"/>
      <selection pane="bottomLeft" activeCell="S2175" sqref="S2175"/>
    </sheetView>
  </sheetViews>
  <sheetFormatPr defaultRowHeight="15" x14ac:dyDescent="0.25"/>
  <cols>
    <col min="1" max="1" width="10.5703125" bestFit="1" customWidth="1"/>
    <col min="2" max="2" width="17.85546875" customWidth="1"/>
    <col min="3" max="3" width="4.140625" bestFit="1" customWidth="1"/>
    <col min="4" max="4" width="51.42578125" bestFit="1" customWidth="1"/>
    <col min="5" max="5" width="79.85546875" customWidth="1"/>
    <col min="6" max="6" width="19.42578125" customWidth="1"/>
    <col min="7" max="7" width="61.42578125" customWidth="1"/>
    <col min="8" max="8" width="50.42578125" customWidth="1"/>
    <col min="9" max="9" width="10.5703125" customWidth="1"/>
    <col min="10" max="10" width="11.5703125" bestFit="1" customWidth="1"/>
    <col min="11" max="12" width="13.5703125" bestFit="1" customWidth="1"/>
    <col min="13" max="13" width="13.5703125" customWidth="1"/>
    <col min="14" max="14" width="19.5703125" customWidth="1"/>
    <col min="15" max="15" width="19.28515625" bestFit="1" customWidth="1"/>
    <col min="16" max="16" width="19.5703125" customWidth="1"/>
    <col min="17" max="17" width="13.7109375" bestFit="1" customWidth="1"/>
    <col min="18" max="18" width="5.7109375" customWidth="1"/>
    <col min="19" max="19" width="10.7109375" customWidth="1"/>
    <col min="20" max="20" width="11.85546875" customWidth="1"/>
    <col min="22" max="22" width="19.42578125" customWidth="1"/>
    <col min="23" max="23" width="14.7109375" customWidth="1"/>
    <col min="24" max="24" width="7.85546875" customWidth="1"/>
    <col min="25" max="25" width="16.5703125" customWidth="1"/>
    <col min="26" max="26" width="14.7109375" customWidth="1"/>
    <col min="29" max="29" width="11.85546875" bestFit="1" customWidth="1"/>
    <col min="30" max="30" width="16" bestFit="1" customWidth="1"/>
  </cols>
  <sheetData>
    <row r="1" spans="1:35" x14ac:dyDescent="0.25">
      <c r="A1" s="1" t="s">
        <v>7965</v>
      </c>
      <c r="B1" s="1" t="s">
        <v>0</v>
      </c>
      <c r="C1" s="1" t="s">
        <v>1</v>
      </c>
      <c r="D1" s="3" t="s">
        <v>7671</v>
      </c>
      <c r="E1" s="1" t="s">
        <v>7961</v>
      </c>
      <c r="F1" s="1" t="s">
        <v>2</v>
      </c>
      <c r="G1" s="1" t="s">
        <v>7966</v>
      </c>
      <c r="H1" s="1" t="s">
        <v>3</v>
      </c>
      <c r="I1" s="1" t="s">
        <v>4</v>
      </c>
      <c r="J1" s="4" t="s">
        <v>7678</v>
      </c>
      <c r="K1" s="4" t="s">
        <v>7967</v>
      </c>
      <c r="L1" s="4" t="s">
        <v>7968</v>
      </c>
      <c r="M1" s="4"/>
      <c r="N1" s="4" t="s">
        <v>7837</v>
      </c>
      <c r="O1" s="4" t="s">
        <v>7835</v>
      </c>
      <c r="P1" s="4" t="s">
        <v>7836</v>
      </c>
      <c r="Q1" s="4" t="s">
        <v>7839</v>
      </c>
      <c r="R1" s="6"/>
      <c r="S1" s="8" t="s">
        <v>7837</v>
      </c>
      <c r="T1" s="9" t="s">
        <v>7678</v>
      </c>
      <c r="U1" s="4"/>
      <c r="V1" s="8" t="s">
        <v>7835</v>
      </c>
      <c r="W1" s="9" t="s">
        <v>7679</v>
      </c>
      <c r="X1" s="4"/>
      <c r="Y1" s="8" t="s">
        <v>7836</v>
      </c>
      <c r="Z1" s="9" t="s">
        <v>7678</v>
      </c>
      <c r="AA1" s="4"/>
      <c r="AB1" s="4" t="s">
        <v>7680</v>
      </c>
      <c r="AC1" s="4" t="s">
        <v>7679</v>
      </c>
    </row>
    <row r="2" spans="1:35" hidden="1" x14ac:dyDescent="0.25">
      <c r="A2" t="s">
        <v>7969</v>
      </c>
      <c r="B2">
        <v>1</v>
      </c>
      <c r="C2">
        <v>1</v>
      </c>
      <c r="D2" t="s">
        <v>7046</v>
      </c>
      <c r="F2" t="s">
        <v>5</v>
      </c>
      <c r="G2" t="s">
        <v>7046</v>
      </c>
      <c r="H2" t="s">
        <v>6</v>
      </c>
      <c r="J2" t="s">
        <v>7742</v>
      </c>
      <c r="K2" t="s">
        <v>7826</v>
      </c>
      <c r="L2" t="s">
        <v>7826</v>
      </c>
      <c r="N2" t="str" cm="1">
        <f t="array" ref="N2">IFERROR(LOOKUP(2,1/SEARCH($S$2:$S$65,G2),$T$2:$T$65),"Misc")</f>
        <v>OH ASSY</v>
      </c>
      <c r="O2" t="str" cm="1">
        <f t="array" ref="O2">IFERROR(LOOKUP(2,1/SEARCH($V$2:$V$65,G2),$W$2:$W$65),"Misc")</f>
        <v>OH Part</v>
      </c>
      <c r="P2" t="str" cm="1">
        <f t="array" ref="P2">IFERROR(LOOKUP(2,1/SEARCH($Y$2:$Y$65,G2),$Z$2:$Z$65),"Not Defined")</f>
        <v>OH Part</v>
      </c>
      <c r="Q2" t="str" cm="1">
        <f t="array" ref="Q2">IFERROR(LOOKUP(2,1/SEARCH($S$2:$S$65,H2),$T$2:$T$65),"-")</f>
        <v>OH ASSY</v>
      </c>
      <c r="S2" s="10" t="s">
        <v>7712</v>
      </c>
      <c r="T2" s="11" t="s">
        <v>7703</v>
      </c>
      <c r="V2" s="10" t="s">
        <v>7683</v>
      </c>
      <c r="W2" s="11" t="s">
        <v>7684</v>
      </c>
      <c r="Y2" s="10" t="s">
        <v>7681</v>
      </c>
      <c r="Z2" s="11" t="s">
        <v>7826</v>
      </c>
      <c r="AB2" t="s">
        <v>701</v>
      </c>
      <c r="AC2" t="s">
        <v>7677</v>
      </c>
      <c r="AI2" t="s">
        <v>7738</v>
      </c>
    </row>
    <row r="3" spans="1:35" hidden="1" x14ac:dyDescent="0.25">
      <c r="A3" t="s">
        <v>7672</v>
      </c>
      <c r="B3">
        <v>1.1000000000000001</v>
      </c>
      <c r="C3">
        <v>1</v>
      </c>
      <c r="D3" t="s">
        <v>7047</v>
      </c>
      <c r="F3" t="s">
        <v>7</v>
      </c>
      <c r="G3" t="s">
        <v>7047</v>
      </c>
      <c r="H3" t="s">
        <v>8</v>
      </c>
      <c r="J3" t="s">
        <v>7742</v>
      </c>
      <c r="K3" t="s">
        <v>7826</v>
      </c>
      <c r="L3" t="s">
        <v>7826</v>
      </c>
      <c r="N3" t="str" cm="1">
        <f t="array" ref="N3">IFERROR(LOOKUP(2,1/SEARCH($S$2:$S$65,G3),$T$2:$T$65),"Misc")</f>
        <v>OH ASSY</v>
      </c>
      <c r="O3" t="str" cm="1">
        <f t="array" ref="O3">IFERROR(LOOKUP(2,1/SEARCH($V$2:$V$65,G3),$W$2:$W$65),"Misc")</f>
        <v>OH Part</v>
      </c>
      <c r="P3" t="str" cm="1">
        <f t="array" ref="P3">IFERROR(LOOKUP(2,1/SEARCH($Y$2:$Y$65,G3),$Z$2:$Z$65),"Not Defined")</f>
        <v>OH Part</v>
      </c>
      <c r="Q3" t="str" cm="1">
        <f t="array" ref="Q3">IFERROR(LOOKUP(2,1/SEARCH($S$2:$S$65,H3),$T$2:$T$65),"-")</f>
        <v>OH ASSY</v>
      </c>
      <c r="S3" s="10" t="s">
        <v>7683</v>
      </c>
      <c r="T3" s="11" t="s">
        <v>7703</v>
      </c>
      <c r="V3" s="10" t="s">
        <v>7685</v>
      </c>
      <c r="W3" s="11" t="s">
        <v>7684</v>
      </c>
      <c r="Y3" s="10" t="s">
        <v>7683</v>
      </c>
      <c r="Z3" s="11" t="s">
        <v>7683</v>
      </c>
      <c r="AB3" t="s">
        <v>698</v>
      </c>
      <c r="AC3" t="s">
        <v>7677</v>
      </c>
      <c r="AI3" t="s">
        <v>7687</v>
      </c>
    </row>
    <row r="4" spans="1:35" hidden="1" x14ac:dyDescent="0.25">
      <c r="A4" t="s">
        <v>7672</v>
      </c>
      <c r="B4" t="s">
        <v>9</v>
      </c>
      <c r="C4">
        <v>1</v>
      </c>
      <c r="D4" t="s">
        <v>7047</v>
      </c>
      <c r="F4" t="s">
        <v>10</v>
      </c>
      <c r="G4" t="s">
        <v>12</v>
      </c>
      <c r="H4" t="s">
        <v>11</v>
      </c>
      <c r="I4" t="s">
        <v>13</v>
      </c>
      <c r="J4" t="s">
        <v>7682</v>
      </c>
      <c r="K4" t="s">
        <v>7826</v>
      </c>
      <c r="L4" t="s">
        <v>7826</v>
      </c>
      <c r="N4" t="str" cm="1">
        <f t="array" ref="N4">IFERROR(LOOKUP(2,1/SEARCH($S$2:$S$65,G4),$T$2:$T$65),"Misc")</f>
        <v>OH P/N</v>
      </c>
      <c r="O4" t="str" cm="1">
        <f t="array" ref="O4">IFERROR(LOOKUP(2,1/SEARCH($V$2:$V$65,G4),$W$2:$W$65),"Misc")</f>
        <v>OH Part</v>
      </c>
      <c r="P4" t="str" cm="1">
        <f t="array" ref="P4">IFERROR(LOOKUP(2,1/SEARCH($Y$2:$Y$65,G4),$Z$2:$Z$65),"Not Defined")</f>
        <v>OH Part</v>
      </c>
      <c r="Q4" t="str" cm="1">
        <f t="array" ref="Q4">IFERROR(LOOKUP(2,1/SEARCH($S$2:$S$65,H4),$T$2:$T$65),"-")</f>
        <v>COTS</v>
      </c>
      <c r="S4" s="10" t="s">
        <v>7686</v>
      </c>
      <c r="T4" s="11" t="s">
        <v>7703</v>
      </c>
      <c r="V4" s="10" t="s">
        <v>7687</v>
      </c>
      <c r="W4" s="11" t="s">
        <v>7684</v>
      </c>
      <c r="Y4" s="10" t="s">
        <v>7686</v>
      </c>
      <c r="Z4" s="11" t="s">
        <v>7687</v>
      </c>
      <c r="AB4" t="s">
        <v>695</v>
      </c>
      <c r="AC4" t="s">
        <v>7677</v>
      </c>
      <c r="AI4" t="s">
        <v>7691</v>
      </c>
    </row>
    <row r="5" spans="1:35" hidden="1" x14ac:dyDescent="0.25">
      <c r="A5" t="s">
        <v>7672</v>
      </c>
      <c r="B5" t="s">
        <v>14</v>
      </c>
      <c r="C5">
        <v>1</v>
      </c>
      <c r="D5" t="s">
        <v>7047</v>
      </c>
      <c r="F5" t="s">
        <v>15</v>
      </c>
      <c r="G5" t="s">
        <v>17</v>
      </c>
      <c r="H5" t="s">
        <v>16</v>
      </c>
      <c r="I5" t="s">
        <v>13</v>
      </c>
      <c r="J5" t="s">
        <v>7682</v>
      </c>
      <c r="K5" t="s">
        <v>7826</v>
      </c>
      <c r="L5" t="s">
        <v>7826</v>
      </c>
      <c r="N5" t="str" cm="1">
        <f t="array" ref="N5">IFERROR(LOOKUP(2,1/SEARCH($S$2:$S$65,G5),$T$2:$T$65),"Misc")</f>
        <v>OH P/N</v>
      </c>
      <c r="O5" t="str" cm="1">
        <f t="array" ref="O5">IFERROR(LOOKUP(2,1/SEARCH($V$2:$V$65,G5),$W$2:$W$65),"Misc")</f>
        <v>OH Part</v>
      </c>
      <c r="P5" t="str" cm="1">
        <f t="array" ref="P5">IFERROR(LOOKUP(2,1/SEARCH($Y$2:$Y$65,G5),$Z$2:$Z$65),"Not Defined")</f>
        <v>OH Part</v>
      </c>
      <c r="Q5" t="str" cm="1">
        <f t="array" ref="Q5">IFERROR(LOOKUP(2,1/SEARCH($S$2:$S$65,H5),$T$2:$T$65),"-")</f>
        <v>COTS</v>
      </c>
      <c r="S5" s="10" t="s">
        <v>7687</v>
      </c>
      <c r="T5" s="11" t="s">
        <v>7703</v>
      </c>
      <c r="V5" s="10" t="s">
        <v>7688</v>
      </c>
      <c r="W5" s="11" t="s">
        <v>7689</v>
      </c>
      <c r="Y5" s="10" t="s">
        <v>7687</v>
      </c>
      <c r="Z5" s="11" t="s">
        <v>7687</v>
      </c>
      <c r="AB5" t="s">
        <v>7690</v>
      </c>
      <c r="AC5" t="s">
        <v>7677</v>
      </c>
      <c r="AI5" t="s">
        <v>7685</v>
      </c>
    </row>
    <row r="6" spans="1:35" hidden="1" x14ac:dyDescent="0.25">
      <c r="A6" t="s">
        <v>7672</v>
      </c>
      <c r="B6" t="s">
        <v>18</v>
      </c>
      <c r="C6">
        <v>1</v>
      </c>
      <c r="D6" t="s">
        <v>7047</v>
      </c>
      <c r="F6" t="s">
        <v>19</v>
      </c>
      <c r="G6" t="s">
        <v>21</v>
      </c>
      <c r="H6" t="s">
        <v>20</v>
      </c>
      <c r="I6" t="s">
        <v>13</v>
      </c>
      <c r="J6" t="s">
        <v>7682</v>
      </c>
      <c r="K6" t="s">
        <v>7826</v>
      </c>
      <c r="L6" t="s">
        <v>7826</v>
      </c>
      <c r="N6" t="str" cm="1">
        <f t="array" ref="N6">IFERROR(LOOKUP(2,1/SEARCH($S$2:$S$65,G6),$T$2:$T$65),"Misc")</f>
        <v>OH P/N</v>
      </c>
      <c r="O6" t="str" cm="1">
        <f t="array" ref="O6">IFERROR(LOOKUP(2,1/SEARCH($V$2:$V$65,G6),$W$2:$W$65),"Misc")</f>
        <v>OH Part</v>
      </c>
      <c r="P6" t="str" cm="1">
        <f t="array" ref="P6">IFERROR(LOOKUP(2,1/SEARCH($Y$2:$Y$65,G6),$Z$2:$Z$65),"Not Defined")</f>
        <v>OH Part</v>
      </c>
      <c r="Q6" t="str" cm="1">
        <f t="array" ref="Q6">IFERROR(LOOKUP(2,1/SEARCH($S$2:$S$65,H6),$T$2:$T$65),"-")</f>
        <v>COTS</v>
      </c>
      <c r="S6" s="10" t="s">
        <v>7688</v>
      </c>
      <c r="T6" s="11" t="s">
        <v>7703</v>
      </c>
      <c r="V6" s="10" t="s">
        <v>7691</v>
      </c>
      <c r="W6" s="11" t="s">
        <v>7684</v>
      </c>
      <c r="Y6" s="10" t="s">
        <v>7688</v>
      </c>
      <c r="Z6" s="11" t="s">
        <v>7688</v>
      </c>
      <c r="AB6" t="s">
        <v>7692</v>
      </c>
      <c r="AC6" t="s">
        <v>7677</v>
      </c>
      <c r="AI6" t="s">
        <v>7692</v>
      </c>
    </row>
    <row r="7" spans="1:35" hidden="1" x14ac:dyDescent="0.25">
      <c r="A7" t="s">
        <v>7672</v>
      </c>
      <c r="B7" t="s">
        <v>22</v>
      </c>
      <c r="C7">
        <v>1</v>
      </c>
      <c r="D7" t="s">
        <v>7047</v>
      </c>
      <c r="F7" t="s">
        <v>23</v>
      </c>
      <c r="G7" t="s">
        <v>25</v>
      </c>
      <c r="H7" t="s">
        <v>24</v>
      </c>
      <c r="I7" t="s">
        <v>26</v>
      </c>
      <c r="J7" t="s">
        <v>7682</v>
      </c>
      <c r="K7" t="s">
        <v>7826</v>
      </c>
      <c r="L7" t="s">
        <v>7826</v>
      </c>
      <c r="N7" t="str" cm="1">
        <f t="array" ref="N7">IFERROR(LOOKUP(2,1/SEARCH($S$2:$S$65,G7),$T$2:$T$65),"Misc")</f>
        <v>OH P/N</v>
      </c>
      <c r="O7" t="str" cm="1">
        <f t="array" ref="O7">IFERROR(LOOKUP(2,1/SEARCH($V$2:$V$65,G7),$W$2:$W$65),"Misc")</f>
        <v>OH Part</v>
      </c>
      <c r="P7" t="str" cm="1">
        <f t="array" ref="P7">IFERROR(LOOKUP(2,1/SEARCH($Y$2:$Y$65,G7),$Z$2:$Z$65),"Not Defined")</f>
        <v>OH Part</v>
      </c>
      <c r="Q7" t="str" cm="1">
        <f t="array" ref="Q7">IFERROR(LOOKUP(2,1/SEARCH($S$2:$S$65,H7),$T$2:$T$65),"-")</f>
        <v>-</v>
      </c>
      <c r="S7" s="10" t="s">
        <v>7691</v>
      </c>
      <c r="T7" s="11" t="s">
        <v>7703</v>
      </c>
      <c r="V7" s="10" t="s">
        <v>7693</v>
      </c>
      <c r="W7" s="11" t="s">
        <v>7684</v>
      </c>
      <c r="Y7" s="10" t="s">
        <v>7691</v>
      </c>
      <c r="Z7" s="11" t="s">
        <v>7691</v>
      </c>
      <c r="AI7" t="s">
        <v>7693</v>
      </c>
    </row>
    <row r="8" spans="1:35" hidden="1" x14ac:dyDescent="0.25">
      <c r="A8" t="s">
        <v>7672</v>
      </c>
      <c r="B8" t="s">
        <v>27</v>
      </c>
      <c r="C8">
        <v>1</v>
      </c>
      <c r="D8" t="s">
        <v>7047</v>
      </c>
      <c r="F8" t="s">
        <v>28</v>
      </c>
      <c r="G8" t="s">
        <v>30</v>
      </c>
      <c r="H8" t="s">
        <v>29</v>
      </c>
      <c r="I8" t="s">
        <v>26</v>
      </c>
      <c r="J8" t="s">
        <v>7682</v>
      </c>
      <c r="K8" t="s">
        <v>7826</v>
      </c>
      <c r="L8" t="s">
        <v>7826</v>
      </c>
      <c r="N8" t="str" cm="1">
        <f t="array" ref="N8">IFERROR(LOOKUP(2,1/SEARCH($S$2:$S$65,G8),$T$2:$T$65),"Misc")</f>
        <v>OH P/N</v>
      </c>
      <c r="O8" t="str" cm="1">
        <f t="array" ref="O8">IFERROR(LOOKUP(2,1/SEARCH($V$2:$V$65,G8),$W$2:$W$65),"Misc")</f>
        <v>OH Part</v>
      </c>
      <c r="P8" t="str" cm="1">
        <f t="array" ref="P8">IFERROR(LOOKUP(2,1/SEARCH($Y$2:$Y$65,G8),$Z$2:$Z$65),"Not Defined")</f>
        <v>OH Part</v>
      </c>
      <c r="Q8" t="str" cm="1">
        <f t="array" ref="Q8">IFERROR(LOOKUP(2,1/SEARCH($S$2:$S$65,H8),$T$2:$T$65),"-")</f>
        <v>-</v>
      </c>
      <c r="S8" s="10" t="s">
        <v>7693</v>
      </c>
      <c r="T8" s="11" t="s">
        <v>7703</v>
      </c>
      <c r="V8" s="10" t="s">
        <v>1522</v>
      </c>
      <c r="W8" s="11" t="s">
        <v>7677</v>
      </c>
      <c r="Y8" s="10" t="s">
        <v>7693</v>
      </c>
      <c r="Z8" s="11" t="s">
        <v>7693</v>
      </c>
      <c r="AI8" t="s">
        <v>7721</v>
      </c>
    </row>
    <row r="9" spans="1:35" hidden="1" x14ac:dyDescent="0.25">
      <c r="A9" t="s">
        <v>7672</v>
      </c>
      <c r="B9" t="s">
        <v>31</v>
      </c>
      <c r="C9">
        <v>1</v>
      </c>
      <c r="D9" t="s">
        <v>7048</v>
      </c>
      <c r="F9" t="s">
        <v>32</v>
      </c>
      <c r="G9" t="s">
        <v>7048</v>
      </c>
      <c r="H9" t="s">
        <v>33</v>
      </c>
      <c r="J9" t="s">
        <v>7742</v>
      </c>
      <c r="K9" t="s">
        <v>7826</v>
      </c>
      <c r="L9" t="s">
        <v>7826</v>
      </c>
      <c r="N9" t="str" cm="1">
        <f t="array" ref="N9">IFERROR(LOOKUP(2,1/SEARCH($S$2:$S$65,G9),$T$2:$T$65),"Misc")</f>
        <v>OH ASSY</v>
      </c>
      <c r="O9" t="str" cm="1">
        <f t="array" ref="O9">IFERROR(LOOKUP(2,1/SEARCH($V$2:$V$65,G9),$W$2:$W$65),"Misc")</f>
        <v>OH Part</v>
      </c>
      <c r="P9" t="str" cm="1">
        <f t="array" ref="P9">IFERROR(LOOKUP(2,1/SEARCH($Y$2:$Y$65,G9),$Z$2:$Z$65),"Not Defined")</f>
        <v>OH Part</v>
      </c>
      <c r="Q9" t="str" cm="1">
        <f t="array" ref="Q9">IFERROR(LOOKUP(2,1/SEARCH($S$2:$S$65,H9),$T$2:$T$65),"-")</f>
        <v>OH ASSY</v>
      </c>
      <c r="S9" s="10" t="s">
        <v>1522</v>
      </c>
      <c r="T9" s="11" t="s">
        <v>7703</v>
      </c>
      <c r="V9" s="10" t="s">
        <v>7694</v>
      </c>
      <c r="W9" s="11" t="s">
        <v>7684</v>
      </c>
      <c r="Y9" s="10" t="s">
        <v>1522</v>
      </c>
      <c r="Z9" s="11" t="s">
        <v>7677</v>
      </c>
      <c r="AI9" t="s">
        <v>7708</v>
      </c>
    </row>
    <row r="10" spans="1:35" hidden="1" x14ac:dyDescent="0.25">
      <c r="A10" t="s">
        <v>7672</v>
      </c>
      <c r="B10" t="s">
        <v>34</v>
      </c>
      <c r="C10">
        <v>1</v>
      </c>
      <c r="D10" t="s">
        <v>7048</v>
      </c>
      <c r="F10" t="s">
        <v>35</v>
      </c>
      <c r="G10" t="s">
        <v>37</v>
      </c>
      <c r="H10" t="s">
        <v>36</v>
      </c>
      <c r="I10" t="s">
        <v>38</v>
      </c>
      <c r="J10" t="s">
        <v>7682</v>
      </c>
      <c r="K10" t="s">
        <v>7826</v>
      </c>
      <c r="L10" t="s">
        <v>7826</v>
      </c>
      <c r="N10" t="str" cm="1">
        <f t="array" ref="N10">IFERROR(LOOKUP(2,1/SEARCH($S$2:$S$65,G10),$T$2:$T$65),"Misc")</f>
        <v>OH P/N</v>
      </c>
      <c r="O10" t="str" cm="1">
        <f t="array" ref="O10">IFERROR(LOOKUP(2,1/SEARCH($V$2:$V$65,G10),$W$2:$W$65),"Misc")</f>
        <v>OH Part</v>
      </c>
      <c r="P10" t="str" cm="1">
        <f t="array" ref="P10">IFERROR(LOOKUP(2,1/SEARCH($Y$2:$Y$65,G10),$Z$2:$Z$65),"Not Defined")</f>
        <v>OH Part</v>
      </c>
      <c r="Q10" t="str" cm="1">
        <f t="array" ref="Q10">IFERROR(LOOKUP(2,1/SEARCH($S$2:$S$65,H10),$T$2:$T$65),"-")</f>
        <v>-</v>
      </c>
      <c r="S10" s="10" t="s">
        <v>7694</v>
      </c>
      <c r="T10" s="11" t="s">
        <v>7703</v>
      </c>
      <c r="V10" s="10" t="s">
        <v>7695</v>
      </c>
      <c r="W10" s="11" t="s">
        <v>7684</v>
      </c>
      <c r="Y10" s="10" t="s">
        <v>7694</v>
      </c>
      <c r="Z10" s="11" t="s">
        <v>7692</v>
      </c>
      <c r="AI10" t="s">
        <v>7757</v>
      </c>
    </row>
    <row r="11" spans="1:35" hidden="1" x14ac:dyDescent="0.25">
      <c r="A11" t="s">
        <v>7672</v>
      </c>
      <c r="B11" t="s">
        <v>39</v>
      </c>
      <c r="C11">
        <v>1</v>
      </c>
      <c r="D11" t="s">
        <v>7048</v>
      </c>
      <c r="F11" t="s">
        <v>40</v>
      </c>
      <c r="G11" t="s">
        <v>42</v>
      </c>
      <c r="H11" t="s">
        <v>41</v>
      </c>
      <c r="I11" t="s">
        <v>38</v>
      </c>
      <c r="J11" t="s">
        <v>7682</v>
      </c>
      <c r="K11" t="s">
        <v>7826</v>
      </c>
      <c r="L11" t="s">
        <v>7826</v>
      </c>
      <c r="N11" t="str" cm="1">
        <f t="array" ref="N11">IFERROR(LOOKUP(2,1/SEARCH($S$2:$S$65,G11),$T$2:$T$65),"Misc")</f>
        <v>OH P/N</v>
      </c>
      <c r="O11" t="str" cm="1">
        <f t="array" ref="O11">IFERROR(LOOKUP(2,1/SEARCH($V$2:$V$65,G11),$W$2:$W$65),"Misc")</f>
        <v>OH Part</v>
      </c>
      <c r="P11" t="str" cm="1">
        <f t="array" ref="P11">IFERROR(LOOKUP(2,1/SEARCH($Y$2:$Y$65,G11),$Z$2:$Z$65),"Not Defined")</f>
        <v>OH Part</v>
      </c>
      <c r="Q11" t="str" cm="1">
        <f t="array" ref="Q11">IFERROR(LOOKUP(2,1/SEARCH($S$2:$S$65,H11),$T$2:$T$65),"-")</f>
        <v>-</v>
      </c>
      <c r="S11" s="10" t="s">
        <v>7695</v>
      </c>
      <c r="T11" s="11" t="s">
        <v>7703</v>
      </c>
      <c r="V11" s="10" t="s">
        <v>7697</v>
      </c>
      <c r="W11" s="11" t="s">
        <v>7698</v>
      </c>
      <c r="Y11" s="10" t="s">
        <v>7695</v>
      </c>
      <c r="Z11" s="11" t="s">
        <v>7696</v>
      </c>
      <c r="AI11" t="s">
        <v>7696</v>
      </c>
    </row>
    <row r="12" spans="1:35" hidden="1" x14ac:dyDescent="0.25">
      <c r="A12" t="s">
        <v>7672</v>
      </c>
      <c r="B12" t="s">
        <v>43</v>
      </c>
      <c r="C12">
        <v>1</v>
      </c>
      <c r="D12" t="s">
        <v>7048</v>
      </c>
      <c r="F12" t="s">
        <v>44</v>
      </c>
      <c r="G12" t="s">
        <v>46</v>
      </c>
      <c r="H12" t="s">
        <v>45</v>
      </c>
      <c r="I12" t="s">
        <v>38</v>
      </c>
      <c r="J12" t="s">
        <v>7682</v>
      </c>
      <c r="K12" t="s">
        <v>7826</v>
      </c>
      <c r="L12" t="s">
        <v>7826</v>
      </c>
      <c r="N12" t="str" cm="1">
        <f t="array" ref="N12">IFERROR(LOOKUP(2,1/SEARCH($S$2:$S$65,G12),$T$2:$T$65),"Misc")</f>
        <v>OH P/N</v>
      </c>
      <c r="O12" t="str" cm="1">
        <f t="array" ref="O12">IFERROR(LOOKUP(2,1/SEARCH($V$2:$V$65,G12),$W$2:$W$65),"Misc")</f>
        <v>OH Part</v>
      </c>
      <c r="P12" t="str" cm="1">
        <f t="array" ref="P12">IFERROR(LOOKUP(2,1/SEARCH($Y$2:$Y$65,G12),$Z$2:$Z$65),"Not Defined")</f>
        <v>OH Part</v>
      </c>
      <c r="Q12" t="str" cm="1">
        <f t="array" ref="Q12">IFERROR(LOOKUP(2,1/SEARCH($S$2:$S$65,H12),$T$2:$T$65),"-")</f>
        <v>-</v>
      </c>
      <c r="S12" s="10" t="s">
        <v>7697</v>
      </c>
      <c r="T12" s="11" t="s">
        <v>7703</v>
      </c>
      <c r="V12" s="10" t="s">
        <v>7677</v>
      </c>
      <c r="W12" s="11" t="s">
        <v>7677</v>
      </c>
      <c r="Y12" s="10" t="s">
        <v>7697</v>
      </c>
      <c r="Z12" s="11" t="s">
        <v>7699</v>
      </c>
      <c r="AI12" t="s">
        <v>7688</v>
      </c>
    </row>
    <row r="13" spans="1:35" hidden="1" x14ac:dyDescent="0.25">
      <c r="A13" t="s">
        <v>7672</v>
      </c>
      <c r="B13" t="s">
        <v>47</v>
      </c>
      <c r="C13">
        <v>1</v>
      </c>
      <c r="D13" t="s">
        <v>7048</v>
      </c>
      <c r="F13" t="s">
        <v>48</v>
      </c>
      <c r="G13" t="s">
        <v>50</v>
      </c>
      <c r="H13" t="s">
        <v>49</v>
      </c>
      <c r="I13" t="s">
        <v>38</v>
      </c>
      <c r="J13" t="s">
        <v>7682</v>
      </c>
      <c r="K13" t="s">
        <v>7826</v>
      </c>
      <c r="L13" t="s">
        <v>7826</v>
      </c>
      <c r="N13" t="str" cm="1">
        <f t="array" ref="N13">IFERROR(LOOKUP(2,1/SEARCH($S$2:$S$65,G13),$T$2:$T$65),"Misc")</f>
        <v>OH P/N</v>
      </c>
      <c r="O13" t="str" cm="1">
        <f t="array" ref="O13">IFERROR(LOOKUP(2,1/SEARCH($V$2:$V$65,G13),$W$2:$W$65),"Misc")</f>
        <v>OH Part</v>
      </c>
      <c r="P13" t="str" cm="1">
        <f t="array" ref="P13">IFERROR(LOOKUP(2,1/SEARCH($Y$2:$Y$65,G13),$Z$2:$Z$65),"Not Defined")</f>
        <v>OH Part</v>
      </c>
      <c r="Q13" t="str" cm="1">
        <f t="array" ref="Q13">IFERROR(LOOKUP(2,1/SEARCH($S$2:$S$65,H13),$T$2:$T$65),"-")</f>
        <v>-</v>
      </c>
      <c r="S13" s="10" t="s">
        <v>7677</v>
      </c>
      <c r="T13" s="11" t="s">
        <v>7703</v>
      </c>
      <c r="V13" s="10" t="s">
        <v>7700</v>
      </c>
      <c r="W13" s="11" t="s">
        <v>7684</v>
      </c>
      <c r="Y13" s="10" t="s">
        <v>7677</v>
      </c>
      <c r="Z13" s="11" t="s">
        <v>7677</v>
      </c>
      <c r="AI13" t="s">
        <v>7758</v>
      </c>
    </row>
    <row r="14" spans="1:35" hidden="1" x14ac:dyDescent="0.25">
      <c r="A14" t="s">
        <v>7672</v>
      </c>
      <c r="B14" t="s">
        <v>51</v>
      </c>
      <c r="C14">
        <v>1</v>
      </c>
      <c r="D14" t="s">
        <v>7048</v>
      </c>
      <c r="F14" t="s">
        <v>52</v>
      </c>
      <c r="G14" t="s">
        <v>54</v>
      </c>
      <c r="H14" t="s">
        <v>53</v>
      </c>
      <c r="I14" t="s">
        <v>38</v>
      </c>
      <c r="J14" t="s">
        <v>7682</v>
      </c>
      <c r="K14" t="s">
        <v>7826</v>
      </c>
      <c r="L14" t="s">
        <v>7826</v>
      </c>
      <c r="N14" t="str" cm="1">
        <f t="array" ref="N14">IFERROR(LOOKUP(2,1/SEARCH($S$2:$S$65,G14),$T$2:$T$65),"Misc")</f>
        <v>OH P/N</v>
      </c>
      <c r="O14" t="str" cm="1">
        <f t="array" ref="O14">IFERROR(LOOKUP(2,1/SEARCH($V$2:$V$65,G14),$W$2:$W$65),"Misc")</f>
        <v>OH Part</v>
      </c>
      <c r="P14" t="str" cm="1">
        <f t="array" ref="P14">IFERROR(LOOKUP(2,1/SEARCH($Y$2:$Y$65,G14),$Z$2:$Z$65),"Not Defined")</f>
        <v>OH Part</v>
      </c>
      <c r="Q14" t="str" cm="1">
        <f t="array" ref="Q14">IFERROR(LOOKUP(2,1/SEARCH($S$2:$S$65,H14),$T$2:$T$65),"-")</f>
        <v>-</v>
      </c>
      <c r="S14" s="10" t="s">
        <v>7700</v>
      </c>
      <c r="T14" s="11" t="s">
        <v>7703</v>
      </c>
      <c r="V14" s="10" t="s">
        <v>7701</v>
      </c>
      <c r="W14" s="11" t="s">
        <v>7684</v>
      </c>
      <c r="Y14" s="10" t="s">
        <v>7700</v>
      </c>
      <c r="Z14" s="11" t="s">
        <v>7700</v>
      </c>
      <c r="AI14" t="s">
        <v>7759</v>
      </c>
    </row>
    <row r="15" spans="1:35" hidden="1" x14ac:dyDescent="0.25">
      <c r="A15" t="s">
        <v>7672</v>
      </c>
      <c r="B15" t="s">
        <v>55</v>
      </c>
      <c r="C15">
        <v>1</v>
      </c>
      <c r="D15" t="s">
        <v>7048</v>
      </c>
      <c r="F15" t="s">
        <v>56</v>
      </c>
      <c r="G15" t="s">
        <v>58</v>
      </c>
      <c r="H15" t="s">
        <v>57</v>
      </c>
      <c r="I15" t="s">
        <v>38</v>
      </c>
      <c r="J15" t="s">
        <v>7682</v>
      </c>
      <c r="K15" t="s">
        <v>7826</v>
      </c>
      <c r="L15" t="s">
        <v>7826</v>
      </c>
      <c r="N15" t="str" cm="1">
        <f t="array" ref="N15">IFERROR(LOOKUP(2,1/SEARCH($S$2:$S$65,G15),$T$2:$T$65),"Misc")</f>
        <v>OH P/N</v>
      </c>
      <c r="O15" t="str" cm="1">
        <f t="array" ref="O15">IFERROR(LOOKUP(2,1/SEARCH($V$2:$V$65,G15),$W$2:$W$65),"Misc")</f>
        <v>OH Part</v>
      </c>
      <c r="P15" t="str" cm="1">
        <f t="array" ref="P15">IFERROR(LOOKUP(2,1/SEARCH($Y$2:$Y$65,G15),$Z$2:$Z$65),"Not Defined")</f>
        <v>OH Part</v>
      </c>
      <c r="Q15" t="str" cm="1">
        <f t="array" ref="Q15">IFERROR(LOOKUP(2,1/SEARCH($S$2:$S$65,H15),$T$2:$T$65),"-")</f>
        <v>-</v>
      </c>
      <c r="S15" s="10" t="s">
        <v>7701</v>
      </c>
      <c r="T15" s="11" t="s">
        <v>7703</v>
      </c>
      <c r="V15" s="10" t="s">
        <v>7702</v>
      </c>
      <c r="W15" s="11" t="s">
        <v>7814</v>
      </c>
      <c r="Y15" s="10" t="s">
        <v>7701</v>
      </c>
      <c r="Z15" s="11" t="s">
        <v>7693</v>
      </c>
      <c r="AB15" t="s">
        <v>7704</v>
      </c>
      <c r="AC15" t="s">
        <v>7705</v>
      </c>
      <c r="AI15" t="s">
        <v>7706</v>
      </c>
    </row>
    <row r="16" spans="1:35" hidden="1" x14ac:dyDescent="0.25">
      <c r="A16" t="s">
        <v>7672</v>
      </c>
      <c r="B16" t="s">
        <v>59</v>
      </c>
      <c r="C16">
        <v>1</v>
      </c>
      <c r="D16" t="s">
        <v>7048</v>
      </c>
      <c r="F16" t="s">
        <v>60</v>
      </c>
      <c r="G16" t="s">
        <v>62</v>
      </c>
      <c r="H16" t="s">
        <v>61</v>
      </c>
      <c r="I16" t="s">
        <v>38</v>
      </c>
      <c r="J16" t="s">
        <v>7682</v>
      </c>
      <c r="K16" t="s">
        <v>7826</v>
      </c>
      <c r="L16" t="s">
        <v>7826</v>
      </c>
      <c r="N16" t="str" cm="1">
        <f t="array" ref="N16">IFERROR(LOOKUP(2,1/SEARCH($S$2:$S$65,G16),$T$2:$T$65),"Misc")</f>
        <v>OH P/N</v>
      </c>
      <c r="O16" t="str" cm="1">
        <f t="array" ref="O16">IFERROR(LOOKUP(2,1/SEARCH($V$2:$V$65,G16),$W$2:$W$65),"Misc")</f>
        <v>OH Part</v>
      </c>
      <c r="P16" t="str" cm="1">
        <f t="array" ref="P16">IFERROR(LOOKUP(2,1/SEARCH($Y$2:$Y$65,G16),$Z$2:$Z$65),"Not Defined")</f>
        <v>OH Part</v>
      </c>
      <c r="Q16" t="str" cm="1">
        <f t="array" ref="Q16">IFERROR(LOOKUP(2,1/SEARCH($S$2:$S$65,H16),$T$2:$T$65),"-")</f>
        <v>-</v>
      </c>
      <c r="S16" s="10" t="s">
        <v>7702</v>
      </c>
      <c r="T16" s="11" t="s">
        <v>7703</v>
      </c>
      <c r="V16" s="10" t="s">
        <v>7706</v>
      </c>
      <c r="W16" s="11" t="s">
        <v>7684</v>
      </c>
      <c r="Y16" s="10" t="s">
        <v>7702</v>
      </c>
      <c r="Z16" s="11" t="s">
        <v>7702</v>
      </c>
      <c r="AB16" t="s">
        <v>7688</v>
      </c>
      <c r="AC16" t="s">
        <v>7689</v>
      </c>
      <c r="AI16" t="s">
        <v>7700</v>
      </c>
    </row>
    <row r="17" spans="1:35" hidden="1" x14ac:dyDescent="0.25">
      <c r="A17" t="s">
        <v>7672</v>
      </c>
      <c r="B17" t="s">
        <v>63</v>
      </c>
      <c r="C17">
        <v>1</v>
      </c>
      <c r="D17" t="s">
        <v>7048</v>
      </c>
      <c r="F17" t="s">
        <v>64</v>
      </c>
      <c r="G17" t="s">
        <v>66</v>
      </c>
      <c r="H17" t="s">
        <v>65</v>
      </c>
      <c r="I17" t="s">
        <v>38</v>
      </c>
      <c r="J17" t="s">
        <v>7682</v>
      </c>
      <c r="K17" t="s">
        <v>7826</v>
      </c>
      <c r="L17" t="s">
        <v>7826</v>
      </c>
      <c r="N17" t="str" cm="1">
        <f t="array" ref="N17">IFERROR(LOOKUP(2,1/SEARCH($S$2:$S$65,G17),$T$2:$T$65),"Misc")</f>
        <v>OH P/N</v>
      </c>
      <c r="O17" t="str" cm="1">
        <f t="array" ref="O17">IFERROR(LOOKUP(2,1/SEARCH($V$2:$V$65,G17),$W$2:$W$65),"Misc")</f>
        <v>OH Part</v>
      </c>
      <c r="P17" t="str" cm="1">
        <f t="array" ref="P17">IFERROR(LOOKUP(2,1/SEARCH($Y$2:$Y$65,G17),$Z$2:$Z$65),"Not Defined")</f>
        <v>OH Part</v>
      </c>
      <c r="Q17" t="str" cm="1">
        <f t="array" ref="Q17">IFERROR(LOOKUP(2,1/SEARCH($S$2:$S$65,H17),$T$2:$T$65),"-")</f>
        <v>-</v>
      </c>
      <c r="S17" s="10" t="s">
        <v>7706</v>
      </c>
      <c r="T17" s="11" t="s">
        <v>7703</v>
      </c>
      <c r="V17" s="10" t="s">
        <v>7704</v>
      </c>
      <c r="W17" s="11" t="s">
        <v>7705</v>
      </c>
      <c r="Y17" s="10" t="s">
        <v>7706</v>
      </c>
      <c r="Z17" s="11" t="s">
        <v>7706</v>
      </c>
      <c r="AB17" t="s">
        <v>7707</v>
      </c>
      <c r="AI17" t="s">
        <v>7760</v>
      </c>
    </row>
    <row r="18" spans="1:35" hidden="1" x14ac:dyDescent="0.25">
      <c r="A18" t="s">
        <v>7672</v>
      </c>
      <c r="B18" t="s">
        <v>67</v>
      </c>
      <c r="C18">
        <v>1</v>
      </c>
      <c r="D18" t="s">
        <v>7048</v>
      </c>
      <c r="F18" t="s">
        <v>68</v>
      </c>
      <c r="G18" t="s">
        <v>70</v>
      </c>
      <c r="H18" t="s">
        <v>69</v>
      </c>
      <c r="I18" t="s">
        <v>38</v>
      </c>
      <c r="J18" t="s">
        <v>7682</v>
      </c>
      <c r="K18" t="s">
        <v>7826</v>
      </c>
      <c r="L18" t="s">
        <v>7826</v>
      </c>
      <c r="N18" t="str" cm="1">
        <f t="array" ref="N18">IFERROR(LOOKUP(2,1/SEARCH($S$2:$S$65,G18),$T$2:$T$65),"Misc")</f>
        <v>OH P/N</v>
      </c>
      <c r="O18" t="str" cm="1">
        <f t="array" ref="O18">IFERROR(LOOKUP(2,1/SEARCH($V$2:$V$65,G18),$W$2:$W$65),"Misc")</f>
        <v>OH Part</v>
      </c>
      <c r="P18" t="str" cm="1">
        <f t="array" ref="P18">IFERROR(LOOKUP(2,1/SEARCH($Y$2:$Y$65,G18),$Z$2:$Z$65),"Not Defined")</f>
        <v>OH Part</v>
      </c>
      <c r="Q18" t="str" cm="1">
        <f t="array" ref="Q18">IFERROR(LOOKUP(2,1/SEARCH($S$2:$S$65,H18),$T$2:$T$65),"-")</f>
        <v>-</v>
      </c>
      <c r="S18" s="10" t="s">
        <v>7704</v>
      </c>
      <c r="T18" s="11" t="s">
        <v>7703</v>
      </c>
      <c r="V18" s="10" t="s">
        <v>1513</v>
      </c>
      <c r="W18" s="11" t="s">
        <v>7677</v>
      </c>
      <c r="Y18" s="10" t="s">
        <v>7704</v>
      </c>
      <c r="Z18" s="11" t="s">
        <v>7704</v>
      </c>
      <c r="AB18" t="s">
        <v>7708</v>
      </c>
      <c r="AC18" t="s">
        <v>7684</v>
      </c>
      <c r="AI18" t="s">
        <v>7761</v>
      </c>
    </row>
    <row r="19" spans="1:35" hidden="1" x14ac:dyDescent="0.25">
      <c r="A19" t="s">
        <v>7672</v>
      </c>
      <c r="B19" t="s">
        <v>71</v>
      </c>
      <c r="C19">
        <v>1</v>
      </c>
      <c r="D19" t="s">
        <v>7048</v>
      </c>
      <c r="F19" t="s">
        <v>72</v>
      </c>
      <c r="G19" t="s">
        <v>74</v>
      </c>
      <c r="H19" t="s">
        <v>73</v>
      </c>
      <c r="I19" t="s">
        <v>38</v>
      </c>
      <c r="J19" t="s">
        <v>7682</v>
      </c>
      <c r="K19" t="s">
        <v>7826</v>
      </c>
      <c r="L19" t="s">
        <v>7826</v>
      </c>
      <c r="N19" t="str" cm="1">
        <f t="array" ref="N19">IFERROR(LOOKUP(2,1/SEARCH($S$2:$S$65,G19),$T$2:$T$65),"Misc")</f>
        <v>OH P/N</v>
      </c>
      <c r="O19" t="str" cm="1">
        <f t="array" ref="O19">IFERROR(LOOKUP(2,1/SEARCH($V$2:$V$65,G19),$W$2:$W$65),"Misc")</f>
        <v>OH Part</v>
      </c>
      <c r="P19" t="str" cm="1">
        <f t="array" ref="P19">IFERROR(LOOKUP(2,1/SEARCH($Y$2:$Y$65,G19),$Z$2:$Z$65),"Not Defined")</f>
        <v>OH Part</v>
      </c>
      <c r="Q19" t="str" cm="1">
        <f t="array" ref="Q19">IFERROR(LOOKUP(2,1/SEARCH($S$2:$S$65,H19),$T$2:$T$65),"-")</f>
        <v>-</v>
      </c>
      <c r="S19" s="10" t="s">
        <v>1513</v>
      </c>
      <c r="T19" s="11" t="s">
        <v>7703</v>
      </c>
      <c r="V19" s="10" t="s">
        <v>7708</v>
      </c>
      <c r="W19" s="11" t="s">
        <v>7684</v>
      </c>
      <c r="Y19" s="10" t="s">
        <v>1513</v>
      </c>
      <c r="Z19" s="11" t="s">
        <v>7677</v>
      </c>
      <c r="AI19" t="s">
        <v>7731</v>
      </c>
    </row>
    <row r="20" spans="1:35" hidden="1" x14ac:dyDescent="0.25">
      <c r="A20" t="s">
        <v>7672</v>
      </c>
      <c r="B20" t="s">
        <v>75</v>
      </c>
      <c r="C20">
        <v>1</v>
      </c>
      <c r="D20" t="s">
        <v>7048</v>
      </c>
      <c r="F20" t="s">
        <v>76</v>
      </c>
      <c r="G20" t="s">
        <v>78</v>
      </c>
      <c r="H20" t="s">
        <v>77</v>
      </c>
      <c r="I20" t="s">
        <v>38</v>
      </c>
      <c r="J20" t="s">
        <v>7682</v>
      </c>
      <c r="K20" t="s">
        <v>7826</v>
      </c>
      <c r="L20" t="s">
        <v>7826</v>
      </c>
      <c r="N20" t="str" cm="1">
        <f t="array" ref="N20">IFERROR(LOOKUP(2,1/SEARCH($S$2:$S$65,G20),$T$2:$T$65),"Misc")</f>
        <v>OH P/N</v>
      </c>
      <c r="O20" t="str" cm="1">
        <f t="array" ref="O20">IFERROR(LOOKUP(2,1/SEARCH($V$2:$V$65,G20),$W$2:$W$65),"Misc")</f>
        <v>OH Part</v>
      </c>
      <c r="P20" t="str" cm="1">
        <f t="array" ref="P20">IFERROR(LOOKUP(2,1/SEARCH($Y$2:$Y$65,G20),$Z$2:$Z$65),"Not Defined")</f>
        <v>OH Part</v>
      </c>
      <c r="Q20" t="str" cm="1">
        <f t="array" ref="Q20">IFERROR(LOOKUP(2,1/SEARCH($S$2:$S$65,H20),$T$2:$T$65),"-")</f>
        <v>-</v>
      </c>
      <c r="S20" s="10" t="s">
        <v>7709</v>
      </c>
      <c r="T20" s="11" t="s">
        <v>7703</v>
      </c>
      <c r="V20" s="10" t="s">
        <v>7711</v>
      </c>
      <c r="W20" s="11" t="s">
        <v>7684</v>
      </c>
      <c r="Y20" s="10" t="s">
        <v>7709</v>
      </c>
      <c r="Z20" s="11" t="s">
        <v>7710</v>
      </c>
      <c r="AB20" t="s">
        <v>7712</v>
      </c>
      <c r="AI20" t="s">
        <v>7762</v>
      </c>
    </row>
    <row r="21" spans="1:35" hidden="1" x14ac:dyDescent="0.25">
      <c r="A21" t="s">
        <v>7672</v>
      </c>
      <c r="B21" t="s">
        <v>79</v>
      </c>
      <c r="C21">
        <v>1</v>
      </c>
      <c r="D21" t="s">
        <v>7048</v>
      </c>
      <c r="F21" t="s">
        <v>80</v>
      </c>
      <c r="G21" t="s">
        <v>82</v>
      </c>
      <c r="H21" t="s">
        <v>81</v>
      </c>
      <c r="I21" t="s">
        <v>38</v>
      </c>
      <c r="J21" t="s">
        <v>7682</v>
      </c>
      <c r="K21" t="s">
        <v>7826</v>
      </c>
      <c r="L21" t="s">
        <v>7826</v>
      </c>
      <c r="N21" t="str" cm="1">
        <f t="array" ref="N21">IFERROR(LOOKUP(2,1/SEARCH($S$2:$S$65,G21),$T$2:$T$65),"Misc")</f>
        <v>OH P/N</v>
      </c>
      <c r="O21" t="str" cm="1">
        <f t="array" ref="O21">IFERROR(LOOKUP(2,1/SEARCH($V$2:$V$65,G21),$W$2:$W$65),"Misc")</f>
        <v>OH Part</v>
      </c>
      <c r="P21" t="str" cm="1">
        <f t="array" ref="P21">IFERROR(LOOKUP(2,1/SEARCH($Y$2:$Y$65,G21),$Z$2:$Z$65),"Not Defined")</f>
        <v>OH Part</v>
      </c>
      <c r="Q21" t="str" cm="1">
        <f t="array" ref="Q21">IFERROR(LOOKUP(2,1/SEARCH($S$2:$S$65,H21),$T$2:$T$65),"-")</f>
        <v>-</v>
      </c>
      <c r="S21" s="10" t="s">
        <v>7708</v>
      </c>
      <c r="T21" s="11" t="s">
        <v>7703</v>
      </c>
      <c r="V21" s="10" t="s">
        <v>7707</v>
      </c>
      <c r="W21" s="11" t="s">
        <v>7698</v>
      </c>
      <c r="Y21" s="10" t="s">
        <v>7708</v>
      </c>
      <c r="Z21" s="11" t="s">
        <v>7708</v>
      </c>
      <c r="AB21" t="s">
        <v>7677</v>
      </c>
      <c r="AI21" t="s">
        <v>7763</v>
      </c>
    </row>
    <row r="22" spans="1:35" hidden="1" x14ac:dyDescent="0.25">
      <c r="A22" t="s">
        <v>7672</v>
      </c>
      <c r="B22" t="s">
        <v>83</v>
      </c>
      <c r="C22">
        <v>1</v>
      </c>
      <c r="D22" t="s">
        <v>7048</v>
      </c>
      <c r="F22" t="s">
        <v>84</v>
      </c>
      <c r="G22" t="s">
        <v>86</v>
      </c>
      <c r="H22" t="s">
        <v>85</v>
      </c>
      <c r="I22" t="s">
        <v>38</v>
      </c>
      <c r="J22" t="s">
        <v>7682</v>
      </c>
      <c r="K22" t="s">
        <v>7826</v>
      </c>
      <c r="L22" t="s">
        <v>7826</v>
      </c>
      <c r="N22" t="str" cm="1">
        <f t="array" ref="N22">IFERROR(LOOKUP(2,1/SEARCH($S$2:$S$65,G22),$T$2:$T$65),"Misc")</f>
        <v>OH P/N</v>
      </c>
      <c r="O22" t="str" cm="1">
        <f t="array" ref="O22">IFERROR(LOOKUP(2,1/SEARCH($V$2:$V$65,G22),$W$2:$W$65),"Misc")</f>
        <v>OH Part</v>
      </c>
      <c r="P22" t="str" cm="1">
        <f t="array" ref="P22">IFERROR(LOOKUP(2,1/SEARCH($Y$2:$Y$65,G22),$Z$2:$Z$65),"Not Defined")</f>
        <v>OH Part</v>
      </c>
      <c r="Q22" t="str" cm="1">
        <f t="array" ref="Q22">IFERROR(LOOKUP(2,1/SEARCH($S$2:$S$65,H22),$T$2:$T$65),"-")</f>
        <v>-</v>
      </c>
      <c r="S22" s="10" t="s">
        <v>7713</v>
      </c>
      <c r="T22" s="11" t="s">
        <v>7703</v>
      </c>
      <c r="V22" s="10" t="s">
        <v>7714</v>
      </c>
      <c r="W22" s="11" t="s">
        <v>7814</v>
      </c>
      <c r="Y22" s="10" t="s">
        <v>7713</v>
      </c>
      <c r="Z22" s="11" t="s">
        <v>7713</v>
      </c>
      <c r="AB22" t="s">
        <v>2748</v>
      </c>
      <c r="AC22" t="s">
        <v>7715</v>
      </c>
      <c r="AD22" t="s">
        <v>7716</v>
      </c>
      <c r="AI22" t="s">
        <v>7764</v>
      </c>
    </row>
    <row r="23" spans="1:35" hidden="1" x14ac:dyDescent="0.25">
      <c r="A23" t="s">
        <v>7672</v>
      </c>
      <c r="B23" t="s">
        <v>87</v>
      </c>
      <c r="C23">
        <v>1</v>
      </c>
      <c r="D23" t="s">
        <v>7048</v>
      </c>
      <c r="F23" t="s">
        <v>88</v>
      </c>
      <c r="G23" t="s">
        <v>90</v>
      </c>
      <c r="H23" t="s">
        <v>89</v>
      </c>
      <c r="I23" t="s">
        <v>38</v>
      </c>
      <c r="J23" t="s">
        <v>7682</v>
      </c>
      <c r="K23" t="s">
        <v>7826</v>
      </c>
      <c r="L23" t="s">
        <v>7826</v>
      </c>
      <c r="N23" t="str" cm="1">
        <f t="array" ref="N23">IFERROR(LOOKUP(2,1/SEARCH($S$2:$S$65,G23),$T$2:$T$65),"Misc")</f>
        <v>OH P/N</v>
      </c>
      <c r="O23" t="str" cm="1">
        <f t="array" ref="O23">IFERROR(LOOKUP(2,1/SEARCH($V$2:$V$65,G23),$W$2:$W$65),"Misc")</f>
        <v>OH Part</v>
      </c>
      <c r="P23" t="str" cm="1">
        <f t="array" ref="P23">IFERROR(LOOKUP(2,1/SEARCH($Y$2:$Y$65,G23),$Z$2:$Z$65),"Not Defined")</f>
        <v>OH Part</v>
      </c>
      <c r="Q23" t="str" cm="1">
        <f t="array" ref="Q23">IFERROR(LOOKUP(2,1/SEARCH($S$2:$S$65,H23),$T$2:$T$65),"-")</f>
        <v>-</v>
      </c>
      <c r="S23" s="10" t="s">
        <v>7717</v>
      </c>
      <c r="T23" s="11" t="s">
        <v>7717</v>
      </c>
      <c r="V23" s="10" t="s">
        <v>7718</v>
      </c>
      <c r="W23" s="11" t="s">
        <v>7814</v>
      </c>
      <c r="Y23" s="10" t="s">
        <v>7717</v>
      </c>
      <c r="Z23" s="11" t="s">
        <v>7717</v>
      </c>
      <c r="AB23" t="s">
        <v>2099</v>
      </c>
      <c r="AC23" t="s">
        <v>7703</v>
      </c>
      <c r="AD23" t="s">
        <v>7719</v>
      </c>
      <c r="AI23" t="s">
        <v>7712</v>
      </c>
    </row>
    <row r="24" spans="1:35" hidden="1" x14ac:dyDescent="0.25">
      <c r="A24" t="s">
        <v>7672</v>
      </c>
      <c r="B24" t="s">
        <v>91</v>
      </c>
      <c r="C24">
        <v>1</v>
      </c>
      <c r="D24" t="s">
        <v>7048</v>
      </c>
      <c r="F24" t="s">
        <v>92</v>
      </c>
      <c r="G24" t="s">
        <v>94</v>
      </c>
      <c r="H24" t="s">
        <v>93</v>
      </c>
      <c r="I24" t="s">
        <v>38</v>
      </c>
      <c r="J24" t="s">
        <v>7682</v>
      </c>
      <c r="K24" t="s">
        <v>7826</v>
      </c>
      <c r="L24" t="s">
        <v>7826</v>
      </c>
      <c r="N24" t="str" cm="1">
        <f t="array" ref="N24">IFERROR(LOOKUP(2,1/SEARCH($S$2:$S$65,G24),$T$2:$T$65),"Misc")</f>
        <v>OH P/N</v>
      </c>
      <c r="O24" t="str" cm="1">
        <f t="array" ref="O24">IFERROR(LOOKUP(2,1/SEARCH($V$2:$V$65,G24),$W$2:$W$65),"Misc")</f>
        <v>OH Part</v>
      </c>
      <c r="P24" t="str" cm="1">
        <f t="array" ref="P24">IFERROR(LOOKUP(2,1/SEARCH($Y$2:$Y$65,G24),$Z$2:$Z$65),"Not Defined")</f>
        <v>OH Part</v>
      </c>
      <c r="Q24" t="str" cm="1">
        <f t="array" ref="Q24">IFERROR(LOOKUP(2,1/SEARCH($S$2:$S$65,H24),$T$2:$T$65),"-")</f>
        <v>-</v>
      </c>
      <c r="S24" s="10" t="s">
        <v>7711</v>
      </c>
      <c r="T24" s="11" t="s">
        <v>7703</v>
      </c>
      <c r="V24" s="10" t="s">
        <v>7720</v>
      </c>
      <c r="W24" s="11" t="s">
        <v>7814</v>
      </c>
      <c r="Y24" s="10" t="s">
        <v>7711</v>
      </c>
      <c r="Z24" s="11" t="s">
        <v>7711</v>
      </c>
      <c r="AB24" t="s">
        <v>7721</v>
      </c>
      <c r="AI24" t="s">
        <v>7730</v>
      </c>
    </row>
    <row r="25" spans="1:35" hidden="1" x14ac:dyDescent="0.25">
      <c r="A25" t="s">
        <v>7672</v>
      </c>
      <c r="B25" t="s">
        <v>95</v>
      </c>
      <c r="C25">
        <v>1</v>
      </c>
      <c r="D25" t="s">
        <v>7048</v>
      </c>
      <c r="F25" t="s">
        <v>96</v>
      </c>
      <c r="G25" t="s">
        <v>98</v>
      </c>
      <c r="H25" t="s">
        <v>97</v>
      </c>
      <c r="I25" t="s">
        <v>38</v>
      </c>
      <c r="J25" t="s">
        <v>7682</v>
      </c>
      <c r="K25" t="s">
        <v>7826</v>
      </c>
      <c r="L25" t="s">
        <v>7826</v>
      </c>
      <c r="N25" t="str" cm="1">
        <f t="array" ref="N25">IFERROR(LOOKUP(2,1/SEARCH($S$2:$S$65,G25),$T$2:$T$65),"Misc")</f>
        <v>OH P/N</v>
      </c>
      <c r="O25" t="str" cm="1">
        <f t="array" ref="O25">IFERROR(LOOKUP(2,1/SEARCH($V$2:$V$65,G25),$W$2:$W$65),"Misc")</f>
        <v>OH Part</v>
      </c>
      <c r="P25" t="str" cm="1">
        <f t="array" ref="P25">IFERROR(LOOKUP(2,1/SEARCH($Y$2:$Y$65,G25),$Z$2:$Z$65),"Not Defined")</f>
        <v>OH Part</v>
      </c>
      <c r="Q25" t="str" cm="1">
        <f t="array" ref="Q25">IFERROR(LOOKUP(2,1/SEARCH($S$2:$S$65,H25),$T$2:$T$65),"-")</f>
        <v>-</v>
      </c>
      <c r="S25" s="10" t="s">
        <v>7707</v>
      </c>
      <c r="T25" s="11" t="s">
        <v>7703</v>
      </c>
      <c r="V25" s="10" t="s">
        <v>7721</v>
      </c>
      <c r="W25" s="11" t="s">
        <v>7684</v>
      </c>
      <c r="Y25" s="10" t="s">
        <v>7707</v>
      </c>
      <c r="Z25" s="11" t="s">
        <v>7707</v>
      </c>
      <c r="AI25" t="s">
        <v>7765</v>
      </c>
    </row>
    <row r="26" spans="1:35" hidden="1" x14ac:dyDescent="0.25">
      <c r="A26" t="s">
        <v>7672</v>
      </c>
      <c r="B26" t="s">
        <v>99</v>
      </c>
      <c r="C26">
        <v>1</v>
      </c>
      <c r="D26" t="s">
        <v>7048</v>
      </c>
      <c r="F26" t="s">
        <v>100</v>
      </c>
      <c r="G26" t="s">
        <v>102</v>
      </c>
      <c r="H26" t="s">
        <v>101</v>
      </c>
      <c r="I26" t="s">
        <v>38</v>
      </c>
      <c r="J26" t="s">
        <v>7682</v>
      </c>
      <c r="K26" t="s">
        <v>7826</v>
      </c>
      <c r="L26" t="s">
        <v>7826</v>
      </c>
      <c r="N26" t="str" cm="1">
        <f t="array" ref="N26">IFERROR(LOOKUP(2,1/SEARCH($S$2:$S$65,G26),$T$2:$T$65),"Misc")</f>
        <v>OH P/N</v>
      </c>
      <c r="O26" t="str" cm="1">
        <f t="array" ref="O26">IFERROR(LOOKUP(2,1/SEARCH($V$2:$V$65,G26),$W$2:$W$65),"Misc")</f>
        <v>OH Part</v>
      </c>
      <c r="P26" t="str" cm="1">
        <f t="array" ref="P26">IFERROR(LOOKUP(2,1/SEARCH($Y$2:$Y$65,G26),$Z$2:$Z$65),"Not Defined")</f>
        <v>OH Part</v>
      </c>
      <c r="Q26" t="str" cm="1">
        <f t="array" ref="Q26">IFERROR(LOOKUP(2,1/SEARCH($S$2:$S$65,H26),$T$2:$T$65),"-")</f>
        <v>-</v>
      </c>
      <c r="S26" s="10" t="s">
        <v>7714</v>
      </c>
      <c r="T26" s="11" t="s">
        <v>7703</v>
      </c>
      <c r="V26" s="10" t="s">
        <v>7722</v>
      </c>
      <c r="W26" s="11" t="s">
        <v>7722</v>
      </c>
      <c r="Y26" s="10" t="s">
        <v>7714</v>
      </c>
      <c r="Z26" s="11" t="s">
        <v>7721</v>
      </c>
      <c r="AI26" t="s">
        <v>7766</v>
      </c>
    </row>
    <row r="27" spans="1:35" hidden="1" x14ac:dyDescent="0.25">
      <c r="A27" t="s">
        <v>7672</v>
      </c>
      <c r="B27" t="s">
        <v>103</v>
      </c>
      <c r="C27">
        <v>1</v>
      </c>
      <c r="D27" t="s">
        <v>7048</v>
      </c>
      <c r="F27" t="s">
        <v>104</v>
      </c>
      <c r="G27" t="s">
        <v>106</v>
      </c>
      <c r="H27" t="s">
        <v>105</v>
      </c>
      <c r="I27" t="s">
        <v>38</v>
      </c>
      <c r="J27" t="s">
        <v>7682</v>
      </c>
      <c r="K27" t="s">
        <v>7826</v>
      </c>
      <c r="L27" t="s">
        <v>7826</v>
      </c>
      <c r="N27" t="str" cm="1">
        <f t="array" ref="N27">IFERROR(LOOKUP(2,1/SEARCH($S$2:$S$65,G27),$T$2:$T$65),"Misc")</f>
        <v>OH P/N</v>
      </c>
      <c r="O27" t="str" cm="1">
        <f t="array" ref="O27">IFERROR(LOOKUP(2,1/SEARCH($V$2:$V$65,G27),$W$2:$W$65),"Misc")</f>
        <v>OH Part</v>
      </c>
      <c r="P27" t="str" cm="1">
        <f t="array" ref="P27">IFERROR(LOOKUP(2,1/SEARCH($Y$2:$Y$65,G27),$Z$2:$Z$65),"Not Defined")</f>
        <v>OH Part</v>
      </c>
      <c r="Q27" t="str" cm="1">
        <f t="array" ref="Q27">IFERROR(LOOKUP(2,1/SEARCH($S$2:$S$65,H27),$T$2:$T$65),"-")</f>
        <v>-</v>
      </c>
      <c r="S27" s="10" t="s">
        <v>7718</v>
      </c>
      <c r="T27" s="11" t="s">
        <v>7703</v>
      </c>
      <c r="V27" s="10" t="s">
        <v>7723</v>
      </c>
      <c r="W27" s="11" t="s">
        <v>7814</v>
      </c>
      <c r="Y27" s="10" t="s">
        <v>7718</v>
      </c>
      <c r="Z27" s="11" t="s">
        <v>7718</v>
      </c>
      <c r="AI27" t="s">
        <v>7686</v>
      </c>
    </row>
    <row r="28" spans="1:35" hidden="1" x14ac:dyDescent="0.25">
      <c r="A28" t="s">
        <v>7672</v>
      </c>
      <c r="B28" t="s">
        <v>107</v>
      </c>
      <c r="C28">
        <v>1</v>
      </c>
      <c r="D28" t="s">
        <v>7048</v>
      </c>
      <c r="F28" t="s">
        <v>108</v>
      </c>
      <c r="G28" t="s">
        <v>110</v>
      </c>
      <c r="H28" t="s">
        <v>109</v>
      </c>
      <c r="I28" t="s">
        <v>38</v>
      </c>
      <c r="J28" t="s">
        <v>7682</v>
      </c>
      <c r="K28" t="s">
        <v>7826</v>
      </c>
      <c r="L28" t="s">
        <v>7826</v>
      </c>
      <c r="N28" t="str" cm="1">
        <f t="array" ref="N28">IFERROR(LOOKUP(2,1/SEARCH($S$2:$S$65,G28),$T$2:$T$65),"Misc")</f>
        <v>OH P/N</v>
      </c>
      <c r="O28" t="str" cm="1">
        <f t="array" ref="O28">IFERROR(LOOKUP(2,1/SEARCH($V$2:$V$65,G28),$W$2:$W$65),"Misc")</f>
        <v>OH Part</v>
      </c>
      <c r="P28" t="str" cm="1">
        <f t="array" ref="P28">IFERROR(LOOKUP(2,1/SEARCH($Y$2:$Y$65,G28),$Z$2:$Z$65),"Not Defined")</f>
        <v>OH Part</v>
      </c>
      <c r="Q28" t="str" cm="1">
        <f t="array" ref="Q28">IFERROR(LOOKUP(2,1/SEARCH($S$2:$S$65,H28),$T$2:$T$65),"-")</f>
        <v>-</v>
      </c>
      <c r="S28" s="10" t="s">
        <v>7720</v>
      </c>
      <c r="T28" s="11" t="s">
        <v>7703</v>
      </c>
      <c r="V28" s="10" t="s">
        <v>7724</v>
      </c>
      <c r="W28" s="11" t="s">
        <v>7684</v>
      </c>
      <c r="Y28" s="10" t="s">
        <v>7720</v>
      </c>
      <c r="Z28" s="11" t="s">
        <v>7720</v>
      </c>
      <c r="AI28" t="s">
        <v>7767</v>
      </c>
    </row>
    <row r="29" spans="1:35" hidden="1" x14ac:dyDescent="0.25">
      <c r="A29" t="s">
        <v>7672</v>
      </c>
      <c r="B29" t="s">
        <v>111</v>
      </c>
      <c r="C29">
        <v>1</v>
      </c>
      <c r="D29" t="s">
        <v>7048</v>
      </c>
      <c r="F29" t="s">
        <v>112</v>
      </c>
      <c r="G29" t="s">
        <v>114</v>
      </c>
      <c r="H29" t="s">
        <v>113</v>
      </c>
      <c r="I29" t="s">
        <v>38</v>
      </c>
      <c r="J29" t="s">
        <v>7682</v>
      </c>
      <c r="K29" t="s">
        <v>7826</v>
      </c>
      <c r="L29" t="s">
        <v>7826</v>
      </c>
      <c r="N29" t="str" cm="1">
        <f t="array" ref="N29">IFERROR(LOOKUP(2,1/SEARCH($S$2:$S$65,G29),$T$2:$T$65),"Misc")</f>
        <v>OH P/N</v>
      </c>
      <c r="O29" t="str" cm="1">
        <f t="array" ref="O29">IFERROR(LOOKUP(2,1/SEARCH($V$2:$V$65,G29),$W$2:$W$65),"Misc")</f>
        <v>OH Part</v>
      </c>
      <c r="P29" t="str" cm="1">
        <f t="array" ref="P29">IFERROR(LOOKUP(2,1/SEARCH($Y$2:$Y$65,G29),$Z$2:$Z$65),"Not Defined")</f>
        <v>OH Part</v>
      </c>
      <c r="Q29" t="str" cm="1">
        <f t="array" ref="Q29">IFERROR(LOOKUP(2,1/SEARCH($S$2:$S$65,H29),$T$2:$T$65),"-")</f>
        <v>-</v>
      </c>
      <c r="S29" s="10" t="s">
        <v>7725</v>
      </c>
      <c r="T29" s="11" t="s">
        <v>7703</v>
      </c>
      <c r="V29" s="10" t="s">
        <v>7726</v>
      </c>
      <c r="W29" s="11" t="s">
        <v>7814</v>
      </c>
      <c r="Y29" s="10" t="s">
        <v>7725</v>
      </c>
      <c r="Z29" s="11" t="s">
        <v>7710</v>
      </c>
      <c r="AI29" t="s">
        <v>7768</v>
      </c>
    </row>
    <row r="30" spans="1:35" hidden="1" x14ac:dyDescent="0.25">
      <c r="A30" t="s">
        <v>7672</v>
      </c>
      <c r="B30" t="s">
        <v>115</v>
      </c>
      <c r="C30">
        <v>1</v>
      </c>
      <c r="D30" t="s">
        <v>7048</v>
      </c>
      <c r="F30" t="s">
        <v>116</v>
      </c>
      <c r="G30" t="s">
        <v>118</v>
      </c>
      <c r="H30" t="s">
        <v>117</v>
      </c>
      <c r="I30" t="s">
        <v>38</v>
      </c>
      <c r="J30" t="s">
        <v>7682</v>
      </c>
      <c r="K30" t="s">
        <v>7826</v>
      </c>
      <c r="L30" t="s">
        <v>7826</v>
      </c>
      <c r="N30" t="str" cm="1">
        <f t="array" ref="N30">IFERROR(LOOKUP(2,1/SEARCH($S$2:$S$65,G30),$T$2:$T$65),"Misc")</f>
        <v>OH P/N</v>
      </c>
      <c r="O30" t="str" cm="1">
        <f t="array" ref="O30">IFERROR(LOOKUP(2,1/SEARCH($V$2:$V$65,G30),$W$2:$W$65),"Misc")</f>
        <v>OH Part</v>
      </c>
      <c r="P30" t="str" cm="1">
        <f t="array" ref="P30">IFERROR(LOOKUP(2,1/SEARCH($Y$2:$Y$65,G30),$Z$2:$Z$65),"Not Defined")</f>
        <v>OH Part</v>
      </c>
      <c r="Q30" t="str" cm="1">
        <f t="array" ref="Q30">IFERROR(LOOKUP(2,1/SEARCH($S$2:$S$65,H30),$T$2:$T$65),"-")</f>
        <v>-</v>
      </c>
      <c r="S30" s="10" t="s">
        <v>7721</v>
      </c>
      <c r="T30" s="11" t="s">
        <v>7703</v>
      </c>
      <c r="V30" s="10" t="s">
        <v>7727</v>
      </c>
      <c r="W30" s="11" t="s">
        <v>7677</v>
      </c>
      <c r="Y30" s="10" t="s">
        <v>7681</v>
      </c>
      <c r="Z30" s="11" t="s">
        <v>7826</v>
      </c>
      <c r="AI30" t="s">
        <v>7769</v>
      </c>
    </row>
    <row r="31" spans="1:35" hidden="1" x14ac:dyDescent="0.25">
      <c r="A31" t="s">
        <v>7672</v>
      </c>
      <c r="B31" t="s">
        <v>119</v>
      </c>
      <c r="C31">
        <v>1</v>
      </c>
      <c r="D31" t="s">
        <v>7048</v>
      </c>
      <c r="F31" t="s">
        <v>120</v>
      </c>
      <c r="G31" t="s">
        <v>122</v>
      </c>
      <c r="H31" t="s">
        <v>121</v>
      </c>
      <c r="I31" t="s">
        <v>13</v>
      </c>
      <c r="J31" t="s">
        <v>7682</v>
      </c>
      <c r="K31" t="s">
        <v>7826</v>
      </c>
      <c r="L31" t="s">
        <v>7826</v>
      </c>
      <c r="N31" t="str" cm="1">
        <f t="array" ref="N31">IFERROR(LOOKUP(2,1/SEARCH($S$2:$S$65,G31),$T$2:$T$65),"Misc")</f>
        <v>OH P/N</v>
      </c>
      <c r="O31" t="str" cm="1">
        <f t="array" ref="O31">IFERROR(LOOKUP(2,1/SEARCH($V$2:$V$65,G31),$W$2:$W$65),"Misc")</f>
        <v>OH Part</v>
      </c>
      <c r="P31" t="str" cm="1">
        <f t="array" ref="P31">IFERROR(LOOKUP(2,1/SEARCH($Y$2:$Y$65,G31),$Z$2:$Z$65),"Not Defined")</f>
        <v>OH Part</v>
      </c>
      <c r="Q31" t="str" cm="1">
        <f t="array" ref="Q31">IFERROR(LOOKUP(2,1/SEARCH($S$2:$S$65,H31),$T$2:$T$65),"-")</f>
        <v>-</v>
      </c>
      <c r="S31" s="10" t="s">
        <v>7722</v>
      </c>
      <c r="T31" s="11" t="s">
        <v>7703</v>
      </c>
      <c r="V31" s="10" t="s">
        <v>7728</v>
      </c>
      <c r="W31" s="11" t="s">
        <v>7729</v>
      </c>
      <c r="Y31" s="10" t="s">
        <v>7721</v>
      </c>
      <c r="Z31" s="11" t="s">
        <v>7721</v>
      </c>
      <c r="AI31" t="s">
        <v>7690</v>
      </c>
    </row>
    <row r="32" spans="1:35" hidden="1" x14ac:dyDescent="0.25">
      <c r="A32" t="s">
        <v>7672</v>
      </c>
      <c r="B32" t="s">
        <v>123</v>
      </c>
      <c r="C32">
        <v>2</v>
      </c>
      <c r="D32" t="s">
        <v>7048</v>
      </c>
      <c r="F32" t="s">
        <v>124</v>
      </c>
      <c r="G32" t="s">
        <v>126</v>
      </c>
      <c r="H32" t="s">
        <v>125</v>
      </c>
      <c r="I32" t="s">
        <v>13</v>
      </c>
      <c r="J32" t="s">
        <v>7682</v>
      </c>
      <c r="K32" t="s">
        <v>7826</v>
      </c>
      <c r="L32" t="s">
        <v>7826</v>
      </c>
      <c r="N32" t="str" cm="1">
        <f t="array" ref="N32">IFERROR(LOOKUP(2,1/SEARCH($S$2:$S$65,G32),$T$2:$T$65),"Misc")</f>
        <v>OH P/N</v>
      </c>
      <c r="O32" t="str" cm="1">
        <f t="array" ref="O32">IFERROR(LOOKUP(2,1/SEARCH($V$2:$V$65,G32),$W$2:$W$65),"Misc")</f>
        <v>OH Part</v>
      </c>
      <c r="P32" t="str" cm="1">
        <f t="array" ref="P32">IFERROR(LOOKUP(2,1/SEARCH($Y$2:$Y$65,G32),$Z$2:$Z$65),"Not Defined")</f>
        <v>OH Part</v>
      </c>
      <c r="Q32" t="str" cm="1">
        <f t="array" ref="Q32">IFERROR(LOOKUP(2,1/SEARCH($S$2:$S$65,H32),$T$2:$T$65),"-")</f>
        <v>-</v>
      </c>
      <c r="S32" s="10" t="s">
        <v>7723</v>
      </c>
      <c r="T32" s="11" t="s">
        <v>7703</v>
      </c>
      <c r="V32" s="10" t="s">
        <v>7730</v>
      </c>
      <c r="W32" s="11" t="s">
        <v>7814</v>
      </c>
      <c r="Y32" s="10" t="s">
        <v>7722</v>
      </c>
      <c r="Z32" s="11" t="s">
        <v>7722</v>
      </c>
      <c r="AB32" t="s">
        <v>2750</v>
      </c>
      <c r="AC32" t="s">
        <v>7703</v>
      </c>
      <c r="AD32" t="s">
        <v>7684</v>
      </c>
      <c r="AI32" t="s">
        <v>7770</v>
      </c>
    </row>
    <row r="33" spans="1:35" hidden="1" x14ac:dyDescent="0.25">
      <c r="A33" t="s">
        <v>7672</v>
      </c>
      <c r="B33" t="s">
        <v>127</v>
      </c>
      <c r="C33">
        <v>1</v>
      </c>
      <c r="D33" t="s">
        <v>7048</v>
      </c>
      <c r="F33" t="s">
        <v>128</v>
      </c>
      <c r="G33" t="s">
        <v>130</v>
      </c>
      <c r="H33" t="s">
        <v>129</v>
      </c>
      <c r="I33" t="s">
        <v>38</v>
      </c>
      <c r="J33" t="s">
        <v>7682</v>
      </c>
      <c r="K33" t="s">
        <v>7826</v>
      </c>
      <c r="L33" t="s">
        <v>7826</v>
      </c>
      <c r="N33" t="str" cm="1">
        <f t="array" ref="N33">IFERROR(LOOKUP(2,1/SEARCH($S$2:$S$65,G33),$T$2:$T$65),"Misc")</f>
        <v>OH P/N</v>
      </c>
      <c r="O33" t="str" cm="1">
        <f t="array" ref="O33">IFERROR(LOOKUP(2,1/SEARCH($V$2:$V$65,G33),$W$2:$W$65),"Misc")</f>
        <v>OH Part</v>
      </c>
      <c r="P33" t="str" cm="1">
        <f t="array" ref="P33">IFERROR(LOOKUP(2,1/SEARCH($Y$2:$Y$65,G33),$Z$2:$Z$65),"Not Defined")</f>
        <v>OH Part</v>
      </c>
      <c r="Q33" t="str" cm="1">
        <f t="array" ref="Q33">IFERROR(LOOKUP(2,1/SEARCH($S$2:$S$65,H33),$T$2:$T$65),"-")</f>
        <v>-</v>
      </c>
      <c r="S33" s="10" t="s">
        <v>7732</v>
      </c>
      <c r="T33" s="11" t="s">
        <v>7703</v>
      </c>
      <c r="V33" s="10" t="s">
        <v>7731</v>
      </c>
      <c r="W33" s="11" t="s">
        <v>7684</v>
      </c>
      <c r="Y33" s="10" t="s">
        <v>7723</v>
      </c>
      <c r="Z33" s="11" t="s">
        <v>7723</v>
      </c>
      <c r="AB33" t="s">
        <v>2101</v>
      </c>
      <c r="AC33" t="s">
        <v>7703</v>
      </c>
      <c r="AD33" t="s">
        <v>7719</v>
      </c>
      <c r="AI33" t="s">
        <v>7739</v>
      </c>
    </row>
    <row r="34" spans="1:35" hidden="1" x14ac:dyDescent="0.25">
      <c r="A34" t="s">
        <v>7672</v>
      </c>
      <c r="B34" t="s">
        <v>131</v>
      </c>
      <c r="C34">
        <v>1</v>
      </c>
      <c r="D34" t="s">
        <v>7048</v>
      </c>
      <c r="F34" t="s">
        <v>132</v>
      </c>
      <c r="G34" t="s">
        <v>134</v>
      </c>
      <c r="H34" t="s">
        <v>133</v>
      </c>
      <c r="I34" t="s">
        <v>38</v>
      </c>
      <c r="J34" t="s">
        <v>7682</v>
      </c>
      <c r="K34" t="s">
        <v>7826</v>
      </c>
      <c r="L34" t="s">
        <v>7826</v>
      </c>
      <c r="N34" t="str" cm="1">
        <f t="array" ref="N34">IFERROR(LOOKUP(2,1/SEARCH($S$2:$S$65,G34),$T$2:$T$65),"Misc")</f>
        <v>OH P/N</v>
      </c>
      <c r="O34" t="str" cm="1">
        <f t="array" ref="O34">IFERROR(LOOKUP(2,1/SEARCH($V$2:$V$65,G34),$W$2:$W$65),"Misc")</f>
        <v>OH Part</v>
      </c>
      <c r="P34" t="str" cm="1">
        <f t="array" ref="P34">IFERROR(LOOKUP(2,1/SEARCH($Y$2:$Y$65,G34),$Z$2:$Z$65),"Not Defined")</f>
        <v>OH Part</v>
      </c>
      <c r="Q34" t="str" cm="1">
        <f t="array" ref="Q34">IFERROR(LOOKUP(2,1/SEARCH($S$2:$S$65,H34),$T$2:$T$65),"-")</f>
        <v>-</v>
      </c>
      <c r="S34" s="10" t="s">
        <v>7735</v>
      </c>
      <c r="T34" s="11" t="s">
        <v>7703</v>
      </c>
      <c r="V34" s="10" t="s">
        <v>7733</v>
      </c>
      <c r="W34" s="11" t="s">
        <v>7677</v>
      </c>
      <c r="Y34" s="10" t="s">
        <v>7732</v>
      </c>
      <c r="Z34" s="11" t="s">
        <v>7710</v>
      </c>
      <c r="AB34" t="s">
        <v>7734</v>
      </c>
      <c r="AC34" t="s">
        <v>7703</v>
      </c>
      <c r="AD34" t="s">
        <v>7684</v>
      </c>
      <c r="AI34" t="s">
        <v>7771</v>
      </c>
    </row>
    <row r="35" spans="1:35" hidden="1" x14ac:dyDescent="0.25">
      <c r="A35" t="s">
        <v>7672</v>
      </c>
      <c r="B35" t="s">
        <v>135</v>
      </c>
      <c r="C35">
        <v>1</v>
      </c>
      <c r="D35" t="s">
        <v>7048</v>
      </c>
      <c r="F35" t="s">
        <v>136</v>
      </c>
      <c r="G35" t="s">
        <v>138</v>
      </c>
      <c r="H35" t="s">
        <v>137</v>
      </c>
      <c r="I35" t="s">
        <v>38</v>
      </c>
      <c r="J35" t="s">
        <v>7682</v>
      </c>
      <c r="K35" t="s">
        <v>7826</v>
      </c>
      <c r="L35" t="s">
        <v>7826</v>
      </c>
      <c r="N35" t="str" cm="1">
        <f t="array" ref="N35">IFERROR(LOOKUP(2,1/SEARCH($S$2:$S$65,G35),$T$2:$T$65),"Misc")</f>
        <v>OH P/N</v>
      </c>
      <c r="O35" t="str" cm="1">
        <f t="array" ref="O35">IFERROR(LOOKUP(2,1/SEARCH($V$2:$V$65,G35),$W$2:$W$65),"Misc")</f>
        <v>OH Part</v>
      </c>
      <c r="P35" t="str" cm="1">
        <f t="array" ref="P35">IFERROR(LOOKUP(2,1/SEARCH($Y$2:$Y$65,G35),$Z$2:$Z$65),"Not Defined")</f>
        <v>OH Part</v>
      </c>
      <c r="Q35" t="str" cm="1">
        <f t="array" ref="Q35">IFERROR(LOOKUP(2,1/SEARCH($S$2:$S$65,H35),$T$2:$T$65),"-")</f>
        <v>-</v>
      </c>
      <c r="S35" s="10" t="s">
        <v>7726</v>
      </c>
      <c r="T35" s="11" t="s">
        <v>7703</v>
      </c>
      <c r="V35" s="10" t="s">
        <v>7686</v>
      </c>
      <c r="W35" s="11" t="s">
        <v>7684</v>
      </c>
      <c r="Y35" s="10" t="s">
        <v>7735</v>
      </c>
      <c r="Z35" s="11" t="s">
        <v>7736</v>
      </c>
      <c r="AB35" t="s">
        <v>2750</v>
      </c>
      <c r="AI35" t="s">
        <v>7772</v>
      </c>
    </row>
    <row r="36" spans="1:35" hidden="1" x14ac:dyDescent="0.25">
      <c r="A36" t="s">
        <v>7672</v>
      </c>
      <c r="B36" t="s">
        <v>139</v>
      </c>
      <c r="C36">
        <v>1</v>
      </c>
      <c r="D36" t="s">
        <v>7048</v>
      </c>
      <c r="F36" t="s">
        <v>140</v>
      </c>
      <c r="G36" t="s">
        <v>142</v>
      </c>
      <c r="H36" t="s">
        <v>141</v>
      </c>
      <c r="I36" t="s">
        <v>38</v>
      </c>
      <c r="J36" t="s">
        <v>7682</v>
      </c>
      <c r="K36" t="s">
        <v>7826</v>
      </c>
      <c r="L36" t="s">
        <v>7826</v>
      </c>
      <c r="N36" t="str" cm="1">
        <f t="array" ref="N36">IFERROR(LOOKUP(2,1/SEARCH($S$2:$S$65,G36),$T$2:$T$65),"Misc")</f>
        <v>OH P/N</v>
      </c>
      <c r="O36" t="str" cm="1">
        <f t="array" ref="O36">IFERROR(LOOKUP(2,1/SEARCH($V$2:$V$65,G36),$W$2:$W$65),"Misc")</f>
        <v>OH Part</v>
      </c>
      <c r="P36" t="str" cm="1">
        <f t="array" ref="P36">IFERROR(LOOKUP(2,1/SEARCH($Y$2:$Y$65,G36),$Z$2:$Z$65),"Not Defined")</f>
        <v>OH Part</v>
      </c>
      <c r="Q36" t="str" cm="1">
        <f t="array" ref="Q36">IFERROR(LOOKUP(2,1/SEARCH($S$2:$S$65,H36),$T$2:$T$65),"-")</f>
        <v>-</v>
      </c>
      <c r="S36" s="10" t="s">
        <v>7737</v>
      </c>
      <c r="T36" s="11" t="s">
        <v>7703</v>
      </c>
      <c r="V36" s="10" t="s">
        <v>7713</v>
      </c>
      <c r="W36" s="11" t="s">
        <v>7713</v>
      </c>
      <c r="Y36" s="10" t="s">
        <v>7726</v>
      </c>
      <c r="Z36" s="11" t="s">
        <v>7726</v>
      </c>
      <c r="AB36" t="s">
        <v>2783</v>
      </c>
      <c r="AC36" t="s">
        <v>7703</v>
      </c>
      <c r="AD36" t="s">
        <v>7684</v>
      </c>
      <c r="AI36" t="s">
        <v>7773</v>
      </c>
    </row>
    <row r="37" spans="1:35" hidden="1" x14ac:dyDescent="0.25">
      <c r="A37" t="s">
        <v>7672</v>
      </c>
      <c r="B37" t="s">
        <v>143</v>
      </c>
      <c r="C37">
        <v>1</v>
      </c>
      <c r="D37" t="s">
        <v>7048</v>
      </c>
      <c r="F37" t="s">
        <v>144</v>
      </c>
      <c r="G37" t="s">
        <v>146</v>
      </c>
      <c r="H37" t="s">
        <v>145</v>
      </c>
      <c r="I37" t="s">
        <v>38</v>
      </c>
      <c r="J37" t="s">
        <v>7682</v>
      </c>
      <c r="K37" t="s">
        <v>7826</v>
      </c>
      <c r="L37" t="s">
        <v>7826</v>
      </c>
      <c r="N37" t="str" cm="1">
        <f t="array" ref="N37">IFERROR(LOOKUP(2,1/SEARCH($S$2:$S$65,G37),$T$2:$T$65),"Misc")</f>
        <v>OH P/N</v>
      </c>
      <c r="O37" t="str" cm="1">
        <f t="array" ref="O37">IFERROR(LOOKUP(2,1/SEARCH($V$2:$V$65,G37),$W$2:$W$65),"Misc")</f>
        <v>OH Part</v>
      </c>
      <c r="P37" t="str" cm="1">
        <f t="array" ref="P37">IFERROR(LOOKUP(2,1/SEARCH($Y$2:$Y$65,G37),$Z$2:$Z$65),"Not Defined")</f>
        <v>OH Part</v>
      </c>
      <c r="Q37" t="str" cm="1">
        <f t="array" ref="Q37">IFERROR(LOOKUP(2,1/SEARCH($S$2:$S$65,H37),$T$2:$T$65),"-")</f>
        <v>-</v>
      </c>
      <c r="S37" s="10" t="s">
        <v>7733</v>
      </c>
      <c r="T37" s="11" t="s">
        <v>7703</v>
      </c>
      <c r="V37" s="10" t="s">
        <v>7717</v>
      </c>
      <c r="W37" s="11" t="s">
        <v>7717</v>
      </c>
      <c r="Y37" s="10" t="s">
        <v>7737</v>
      </c>
      <c r="Z37" s="11" t="s">
        <v>7677</v>
      </c>
      <c r="AB37" t="s">
        <v>2750</v>
      </c>
      <c r="AI37" t="s">
        <v>7774</v>
      </c>
    </row>
    <row r="38" spans="1:35" hidden="1" x14ac:dyDescent="0.25">
      <c r="A38" t="s">
        <v>7672</v>
      </c>
      <c r="B38" t="s">
        <v>147</v>
      </c>
      <c r="C38">
        <v>1</v>
      </c>
      <c r="D38" t="s">
        <v>7048</v>
      </c>
      <c r="F38" t="s">
        <v>148</v>
      </c>
      <c r="G38" t="s">
        <v>150</v>
      </c>
      <c r="H38" t="s">
        <v>149</v>
      </c>
      <c r="I38" t="s">
        <v>38</v>
      </c>
      <c r="J38" t="s">
        <v>7682</v>
      </c>
      <c r="K38" t="s">
        <v>7826</v>
      </c>
      <c r="L38" t="s">
        <v>7826</v>
      </c>
      <c r="N38" t="str" cm="1">
        <f t="array" ref="N38">IFERROR(LOOKUP(2,1/SEARCH($S$2:$S$65,G38),$T$2:$T$65),"Misc")</f>
        <v>OH P/N</v>
      </c>
      <c r="O38" t="str" cm="1">
        <f t="array" ref="O38">IFERROR(LOOKUP(2,1/SEARCH($V$2:$V$65,G38),$W$2:$W$65),"Misc")</f>
        <v>OH Part</v>
      </c>
      <c r="P38" t="str" cm="1">
        <f t="array" ref="P38">IFERROR(LOOKUP(2,1/SEARCH($Y$2:$Y$65,G38),$Z$2:$Z$65),"Not Defined")</f>
        <v>OH Part</v>
      </c>
      <c r="Q38" t="str" cm="1">
        <f t="array" ref="Q38">IFERROR(LOOKUP(2,1/SEARCH($S$2:$S$65,H38),$T$2:$T$65),"-")</f>
        <v>-</v>
      </c>
      <c r="S38" s="10" t="s">
        <v>7730</v>
      </c>
      <c r="T38" s="11" t="s">
        <v>7703</v>
      </c>
      <c r="V38" s="10" t="s">
        <v>7738</v>
      </c>
      <c r="W38" s="11" t="s">
        <v>7684</v>
      </c>
      <c r="Y38" s="10" t="s">
        <v>7733</v>
      </c>
      <c r="Z38" s="11" t="s">
        <v>7677</v>
      </c>
      <c r="AB38" t="s">
        <v>3184</v>
      </c>
      <c r="AC38" t="s">
        <v>7703</v>
      </c>
      <c r="AD38" t="s">
        <v>7684</v>
      </c>
      <c r="AI38" t="s">
        <v>7775</v>
      </c>
    </row>
    <row r="39" spans="1:35" hidden="1" x14ac:dyDescent="0.25">
      <c r="A39" t="s">
        <v>7672</v>
      </c>
      <c r="B39" t="s">
        <v>151</v>
      </c>
      <c r="C39">
        <v>1</v>
      </c>
      <c r="D39" t="s">
        <v>7048</v>
      </c>
      <c r="F39" t="s">
        <v>152</v>
      </c>
      <c r="G39" t="s">
        <v>154</v>
      </c>
      <c r="H39" t="s">
        <v>153</v>
      </c>
      <c r="I39" t="s">
        <v>38</v>
      </c>
      <c r="J39" t="s">
        <v>7682</v>
      </c>
      <c r="K39" t="s">
        <v>7826</v>
      </c>
      <c r="L39" t="s">
        <v>7826</v>
      </c>
      <c r="N39" t="str" cm="1">
        <f t="array" ref="N39">IFERROR(LOOKUP(2,1/SEARCH($S$2:$S$65,G39),$T$2:$T$65),"Misc")</f>
        <v>OH P/N</v>
      </c>
      <c r="O39" t="str" cm="1">
        <f t="array" ref="O39">IFERROR(LOOKUP(2,1/SEARCH($V$2:$V$65,G39),$W$2:$W$65),"Misc")</f>
        <v>OH Part</v>
      </c>
      <c r="P39" t="str" cm="1">
        <f t="array" ref="P39">IFERROR(LOOKUP(2,1/SEARCH($Y$2:$Y$65,G39),$Z$2:$Z$65),"Not Defined")</f>
        <v>OH Part</v>
      </c>
      <c r="Q39" t="str" cm="1">
        <f t="array" ref="Q39">IFERROR(LOOKUP(2,1/SEARCH($S$2:$S$65,H39),$T$2:$T$65),"-")</f>
        <v>-</v>
      </c>
      <c r="S39" s="10" t="s">
        <v>7731</v>
      </c>
      <c r="T39" s="11" t="s">
        <v>7703</v>
      </c>
      <c r="V39" s="10" t="s">
        <v>7739</v>
      </c>
      <c r="W39" s="11" t="s">
        <v>7684</v>
      </c>
      <c r="Y39" s="10" t="s">
        <v>7730</v>
      </c>
      <c r="Z39" s="11" t="s">
        <v>7730</v>
      </c>
      <c r="AI39" t="s">
        <v>7699</v>
      </c>
    </row>
    <row r="40" spans="1:35" hidden="1" x14ac:dyDescent="0.25">
      <c r="A40" t="s">
        <v>7672</v>
      </c>
      <c r="B40" t="s">
        <v>155</v>
      </c>
      <c r="C40">
        <v>1</v>
      </c>
      <c r="D40" t="s">
        <v>7048</v>
      </c>
      <c r="F40" t="s">
        <v>156</v>
      </c>
      <c r="G40" t="s">
        <v>158</v>
      </c>
      <c r="H40" t="s">
        <v>157</v>
      </c>
      <c r="I40" t="s">
        <v>38</v>
      </c>
      <c r="J40" t="s">
        <v>7682</v>
      </c>
      <c r="K40" t="s">
        <v>7826</v>
      </c>
      <c r="L40" t="s">
        <v>7826</v>
      </c>
      <c r="N40" t="str" cm="1">
        <f t="array" ref="N40">IFERROR(LOOKUP(2,1/SEARCH($S$2:$S$65,G40),$T$2:$T$65),"Misc")</f>
        <v>OH P/N</v>
      </c>
      <c r="O40" t="str" cm="1">
        <f t="array" ref="O40">IFERROR(LOOKUP(2,1/SEARCH($V$2:$V$65,G40),$W$2:$W$65),"Misc")</f>
        <v>OH Part</v>
      </c>
      <c r="P40" t="str" cm="1">
        <f t="array" ref="P40">IFERROR(LOOKUP(2,1/SEARCH($Y$2:$Y$65,G40),$Z$2:$Z$65),"Not Defined")</f>
        <v>OH Part</v>
      </c>
      <c r="Q40" t="str" cm="1">
        <f t="array" ref="Q40">IFERROR(LOOKUP(2,1/SEARCH($S$2:$S$65,H40),$T$2:$T$65),"-")</f>
        <v>-</v>
      </c>
      <c r="S40" s="10" t="s">
        <v>2586</v>
      </c>
      <c r="T40" s="11" t="s">
        <v>7703</v>
      </c>
      <c r="V40" s="10" t="s">
        <v>7740</v>
      </c>
      <c r="W40" s="11" t="s">
        <v>7684</v>
      </c>
      <c r="Y40" s="10" t="s">
        <v>7731</v>
      </c>
      <c r="Z40" s="11" t="s">
        <v>7731</v>
      </c>
      <c r="AI40" t="s">
        <v>7776</v>
      </c>
    </row>
    <row r="41" spans="1:35" hidden="1" x14ac:dyDescent="0.25">
      <c r="A41" t="s">
        <v>7672</v>
      </c>
      <c r="B41" t="s">
        <v>159</v>
      </c>
      <c r="C41">
        <v>1</v>
      </c>
      <c r="D41" t="s">
        <v>7048</v>
      </c>
      <c r="F41" t="s">
        <v>160</v>
      </c>
      <c r="G41" t="s">
        <v>162</v>
      </c>
      <c r="H41" t="s">
        <v>161</v>
      </c>
      <c r="I41" t="s">
        <v>13</v>
      </c>
      <c r="J41" t="s">
        <v>7682</v>
      </c>
      <c r="K41" t="s">
        <v>7826</v>
      </c>
      <c r="L41" t="s">
        <v>7826</v>
      </c>
      <c r="N41" t="str" cm="1">
        <f t="array" ref="N41">IFERROR(LOOKUP(2,1/SEARCH($S$2:$S$65,G41),$T$2:$T$65),"Misc")</f>
        <v>OH P/N</v>
      </c>
      <c r="O41" t="str" cm="1">
        <f t="array" ref="O41">IFERROR(LOOKUP(2,1/SEARCH($V$2:$V$65,G41),$W$2:$W$65),"Misc")</f>
        <v>OH Part</v>
      </c>
      <c r="P41" t="str" cm="1">
        <f t="array" ref="P41">IFERROR(LOOKUP(2,1/SEARCH($Y$2:$Y$65,G41),$Z$2:$Z$65),"Not Defined")</f>
        <v>OH Part</v>
      </c>
      <c r="Q41" t="str" cm="1">
        <f t="array" ref="Q41">IFERROR(LOOKUP(2,1/SEARCH($S$2:$S$65,H41),$T$2:$T$65),"-")</f>
        <v>COTS</v>
      </c>
      <c r="S41" s="10" t="s">
        <v>2586</v>
      </c>
      <c r="T41" s="11" t="s">
        <v>7703</v>
      </c>
      <c r="V41" s="10" t="s">
        <v>7712</v>
      </c>
      <c r="W41" s="11" t="s">
        <v>7684</v>
      </c>
      <c r="Y41" s="10" t="s">
        <v>2586</v>
      </c>
      <c r="Z41" s="11" t="s">
        <v>7691</v>
      </c>
      <c r="AI41" t="s">
        <v>7777</v>
      </c>
    </row>
    <row r="42" spans="1:35" hidden="1" x14ac:dyDescent="0.25">
      <c r="A42" t="s">
        <v>7672</v>
      </c>
      <c r="B42" t="s">
        <v>163</v>
      </c>
      <c r="C42">
        <v>1</v>
      </c>
      <c r="D42" t="s">
        <v>7048</v>
      </c>
      <c r="F42" t="s">
        <v>164</v>
      </c>
      <c r="G42" t="s">
        <v>166</v>
      </c>
      <c r="H42" t="s">
        <v>165</v>
      </c>
      <c r="I42" t="s">
        <v>13</v>
      </c>
      <c r="J42" t="s">
        <v>7682</v>
      </c>
      <c r="K42" t="s">
        <v>7826</v>
      </c>
      <c r="L42" t="s">
        <v>7826</v>
      </c>
      <c r="N42" t="str" cm="1">
        <f t="array" ref="N42">IFERROR(LOOKUP(2,1/SEARCH($S$2:$S$65,G42),$T$2:$T$65),"Misc")</f>
        <v>OH P/N</v>
      </c>
      <c r="O42" t="str" cm="1">
        <f t="array" ref="O42">IFERROR(LOOKUP(2,1/SEARCH($V$2:$V$65,G42),$W$2:$W$65),"Misc")</f>
        <v>OH Part</v>
      </c>
      <c r="P42" t="str" cm="1">
        <f t="array" ref="P42">IFERROR(LOOKUP(2,1/SEARCH($Y$2:$Y$65,G42),$Z$2:$Z$65),"Not Defined")</f>
        <v>OH Part</v>
      </c>
      <c r="Q42" t="str" cm="1">
        <f t="array" ref="Q42">IFERROR(LOOKUP(2,1/SEARCH($S$2:$S$65,H42),$T$2:$T$65),"-")</f>
        <v>COTS</v>
      </c>
      <c r="S42" s="10" t="s">
        <v>7838</v>
      </c>
      <c r="T42" s="11" t="s">
        <v>7703</v>
      </c>
      <c r="V42" s="10" t="s">
        <v>7692</v>
      </c>
      <c r="W42" s="11" t="s">
        <v>7684</v>
      </c>
      <c r="Y42" s="10" t="s">
        <v>7741</v>
      </c>
      <c r="Z42" s="11" t="s">
        <v>7826</v>
      </c>
      <c r="AI42" t="s">
        <v>7778</v>
      </c>
    </row>
    <row r="43" spans="1:35" hidden="1" x14ac:dyDescent="0.25">
      <c r="A43" t="s">
        <v>7672</v>
      </c>
      <c r="B43" t="s">
        <v>167</v>
      </c>
      <c r="C43">
        <v>1</v>
      </c>
      <c r="D43" t="s">
        <v>7048</v>
      </c>
      <c r="F43" t="s">
        <v>168</v>
      </c>
      <c r="G43" t="s">
        <v>170</v>
      </c>
      <c r="H43" t="s">
        <v>169</v>
      </c>
      <c r="I43" t="s">
        <v>13</v>
      </c>
      <c r="J43" t="s">
        <v>7682</v>
      </c>
      <c r="K43" t="s">
        <v>7826</v>
      </c>
      <c r="L43" t="s">
        <v>7826</v>
      </c>
      <c r="N43" t="str" cm="1">
        <f t="array" ref="N43">IFERROR(LOOKUP(2,1/SEARCH($S$2:$S$65,G43),$T$2:$T$65),"Misc")</f>
        <v>OH P/N</v>
      </c>
      <c r="O43" t="str" cm="1">
        <f t="array" ref="O43">IFERROR(LOOKUP(2,1/SEARCH($V$2:$V$65,G43),$W$2:$W$65),"Misc")</f>
        <v>OH Part</v>
      </c>
      <c r="P43" t="str" cm="1">
        <f t="array" ref="P43">IFERROR(LOOKUP(2,1/SEARCH($Y$2:$Y$65,G43),$Z$2:$Z$65),"Not Defined")</f>
        <v>OH Part</v>
      </c>
      <c r="Q43" t="str" cm="1">
        <f t="array" ref="Q43">IFERROR(LOOKUP(2,1/SEARCH($S$2:$S$65,H43),$T$2:$T$65),"-")</f>
        <v>COTS</v>
      </c>
      <c r="S43" s="10" t="s">
        <v>7685</v>
      </c>
      <c r="T43" s="11" t="s">
        <v>7703</v>
      </c>
      <c r="V43" s="10" t="s">
        <v>7745</v>
      </c>
      <c r="W43" s="11" t="s">
        <v>7745</v>
      </c>
      <c r="Y43" s="10" t="s">
        <v>7743</v>
      </c>
      <c r="Z43" s="11" t="s">
        <v>7826</v>
      </c>
      <c r="AI43" t="s">
        <v>7779</v>
      </c>
    </row>
    <row r="44" spans="1:35" hidden="1" x14ac:dyDescent="0.25">
      <c r="A44" t="s">
        <v>7672</v>
      </c>
      <c r="B44" t="s">
        <v>171</v>
      </c>
      <c r="C44">
        <v>1</v>
      </c>
      <c r="D44" t="s">
        <v>7048</v>
      </c>
      <c r="F44" t="s">
        <v>172</v>
      </c>
      <c r="G44" t="s">
        <v>174</v>
      </c>
      <c r="H44" t="s">
        <v>173</v>
      </c>
      <c r="I44" t="s">
        <v>13</v>
      </c>
      <c r="J44" t="s">
        <v>7682</v>
      </c>
      <c r="K44" t="s">
        <v>7826</v>
      </c>
      <c r="L44" t="s">
        <v>7826</v>
      </c>
      <c r="N44" t="str" cm="1">
        <f t="array" ref="N44">IFERROR(LOOKUP(2,1/SEARCH($S$2:$S$65,G44),$T$2:$T$65),"Misc")</f>
        <v>OH P/N</v>
      </c>
      <c r="O44" t="str" cm="1">
        <f t="array" ref="O44">IFERROR(LOOKUP(2,1/SEARCH($V$2:$V$65,G44),$W$2:$W$65),"Misc")</f>
        <v>OH Part</v>
      </c>
      <c r="P44" t="str" cm="1">
        <f t="array" ref="P44">IFERROR(LOOKUP(2,1/SEARCH($Y$2:$Y$65,G44),$Z$2:$Z$65),"Not Defined")</f>
        <v>OH Part</v>
      </c>
      <c r="Q44" t="str" cm="1">
        <f t="array" ref="Q44">IFERROR(LOOKUP(2,1/SEARCH($S$2:$S$65,H44),$T$2:$T$65),"-")</f>
        <v>COTS</v>
      </c>
      <c r="S44" s="10" t="s">
        <v>7738</v>
      </c>
      <c r="T44" s="11" t="s">
        <v>7703</v>
      </c>
      <c r="V44" s="10" t="s">
        <v>7746</v>
      </c>
      <c r="W44" s="11" t="s">
        <v>7684</v>
      </c>
      <c r="Y44" s="10" t="s">
        <v>7685</v>
      </c>
      <c r="Z44" s="11" t="s">
        <v>7685</v>
      </c>
      <c r="AI44" t="s">
        <v>7780</v>
      </c>
    </row>
    <row r="45" spans="1:35" hidden="1" x14ac:dyDescent="0.25">
      <c r="A45" t="s">
        <v>7672</v>
      </c>
      <c r="B45" t="s">
        <v>175</v>
      </c>
      <c r="C45">
        <v>1</v>
      </c>
      <c r="D45" t="s">
        <v>7048</v>
      </c>
      <c r="F45" t="s">
        <v>176</v>
      </c>
      <c r="G45" t="s">
        <v>178</v>
      </c>
      <c r="H45" t="s">
        <v>177</v>
      </c>
      <c r="I45" t="s">
        <v>38</v>
      </c>
      <c r="J45" t="s">
        <v>7682</v>
      </c>
      <c r="K45" t="s">
        <v>7826</v>
      </c>
      <c r="L45" t="s">
        <v>7826</v>
      </c>
      <c r="N45" t="str" cm="1">
        <f t="array" ref="N45">IFERROR(LOOKUP(2,1/SEARCH($S$2:$S$65,G45),$T$2:$T$65),"Misc")</f>
        <v>OH P/N</v>
      </c>
      <c r="O45" t="str" cm="1">
        <f t="array" ref="O45">IFERROR(LOOKUP(2,1/SEARCH($V$2:$V$65,G45),$W$2:$W$65),"Misc")</f>
        <v>OH Part</v>
      </c>
      <c r="P45" t="str" cm="1">
        <f t="array" ref="P45">IFERROR(LOOKUP(2,1/SEARCH($Y$2:$Y$65,G45),$Z$2:$Z$65),"Not Defined")</f>
        <v>OH Part</v>
      </c>
      <c r="Q45" t="str" cm="1">
        <f t="array" ref="Q45">IFERROR(LOOKUP(2,1/SEARCH($S$2:$S$65,H45),$T$2:$T$65),"-")</f>
        <v>-</v>
      </c>
      <c r="S45" s="10" t="s">
        <v>7739</v>
      </c>
      <c r="T45" s="11" t="s">
        <v>7703</v>
      </c>
      <c r="V45" s="10" t="s">
        <v>7690</v>
      </c>
      <c r="W45" s="11" t="s">
        <v>7814</v>
      </c>
      <c r="Y45" s="10" t="s">
        <v>7738</v>
      </c>
      <c r="Z45" s="11" t="s">
        <v>7738</v>
      </c>
      <c r="AI45" t="s">
        <v>7781</v>
      </c>
    </row>
    <row r="46" spans="1:35" hidden="1" x14ac:dyDescent="0.25">
      <c r="A46" t="s">
        <v>7672</v>
      </c>
      <c r="B46" t="s">
        <v>179</v>
      </c>
      <c r="C46">
        <v>1</v>
      </c>
      <c r="D46" t="s">
        <v>7048</v>
      </c>
      <c r="F46" t="s">
        <v>180</v>
      </c>
      <c r="G46" t="s">
        <v>182</v>
      </c>
      <c r="H46" t="s">
        <v>181</v>
      </c>
      <c r="I46" t="s">
        <v>13</v>
      </c>
      <c r="J46" t="s">
        <v>7682</v>
      </c>
      <c r="K46" t="s">
        <v>7826</v>
      </c>
      <c r="L46" t="s">
        <v>7826</v>
      </c>
      <c r="N46" t="str" cm="1">
        <f t="array" ref="N46">IFERROR(LOOKUP(2,1/SEARCH($S$2:$S$65,G46),$T$2:$T$65),"Misc")</f>
        <v>OH P/N</v>
      </c>
      <c r="O46" t="str" cm="1">
        <f t="array" ref="O46">IFERROR(LOOKUP(2,1/SEARCH($V$2:$V$65,G46),$W$2:$W$65),"Misc")</f>
        <v>OH Part</v>
      </c>
      <c r="P46" t="str" cm="1">
        <f t="array" ref="P46">IFERROR(LOOKUP(2,1/SEARCH($Y$2:$Y$65,G46),$Z$2:$Z$65),"Not Defined")</f>
        <v>OH Part</v>
      </c>
      <c r="Q46" t="str" cm="1">
        <f t="array" ref="Q46">IFERROR(LOOKUP(2,1/SEARCH($S$2:$S$65,H46),$T$2:$T$65),"-")</f>
        <v>COTS</v>
      </c>
      <c r="S46" s="10" t="s">
        <v>7748</v>
      </c>
      <c r="T46" s="11" t="s">
        <v>7703</v>
      </c>
      <c r="V46" s="14" t="s">
        <v>4912</v>
      </c>
      <c r="W46" s="11" t="s">
        <v>7747</v>
      </c>
      <c r="Y46" s="10" t="s">
        <v>7739</v>
      </c>
      <c r="Z46" s="11" t="s">
        <v>7739</v>
      </c>
      <c r="AI46" t="s">
        <v>7782</v>
      </c>
    </row>
    <row r="47" spans="1:35" hidden="1" x14ac:dyDescent="0.25">
      <c r="A47" t="s">
        <v>7672</v>
      </c>
      <c r="B47" t="s">
        <v>183</v>
      </c>
      <c r="C47">
        <v>3</v>
      </c>
      <c r="D47" t="s">
        <v>7048</v>
      </c>
      <c r="F47" t="s">
        <v>184</v>
      </c>
      <c r="G47" t="s">
        <v>186</v>
      </c>
      <c r="H47" t="s">
        <v>185</v>
      </c>
      <c r="I47" t="s">
        <v>13</v>
      </c>
      <c r="J47" t="s">
        <v>7682</v>
      </c>
      <c r="K47" t="s">
        <v>7826</v>
      </c>
      <c r="L47" t="s">
        <v>7826</v>
      </c>
      <c r="N47" t="str" cm="1">
        <f t="array" ref="N47">IFERROR(LOOKUP(2,1/SEARCH($S$2:$S$65,G47),$T$2:$T$65),"Misc")</f>
        <v>OH P/N</v>
      </c>
      <c r="O47" t="str" cm="1">
        <f t="array" ref="O47">IFERROR(LOOKUP(2,1/SEARCH($V$2:$V$65,G47),$W$2:$W$65),"Misc")</f>
        <v>OH Part</v>
      </c>
      <c r="P47" t="str" cm="1">
        <f t="array" ref="P47">IFERROR(LOOKUP(2,1/SEARCH($Y$2:$Y$65,G47),$Z$2:$Z$65),"Not Defined")</f>
        <v>OH Part</v>
      </c>
      <c r="Q47" t="str" cm="1">
        <f t="array" ref="Q47">IFERROR(LOOKUP(2,1/SEARCH($S$2:$S$65,H47),$T$2:$T$65),"-")</f>
        <v>COTS</v>
      </c>
      <c r="S47" s="10" t="s">
        <v>7750</v>
      </c>
      <c r="T47" s="11" t="s">
        <v>7703</v>
      </c>
      <c r="V47" s="10" t="s">
        <v>4925</v>
      </c>
      <c r="W47" s="11" t="s">
        <v>7749</v>
      </c>
      <c r="Y47" s="10" t="s">
        <v>7748</v>
      </c>
      <c r="Z47" s="11" t="s">
        <v>7749</v>
      </c>
      <c r="AI47" t="s">
        <v>7783</v>
      </c>
    </row>
    <row r="48" spans="1:35" hidden="1" x14ac:dyDescent="0.25">
      <c r="A48" t="s">
        <v>7672</v>
      </c>
      <c r="B48" t="s">
        <v>187</v>
      </c>
      <c r="C48">
        <v>2</v>
      </c>
      <c r="D48" t="s">
        <v>7048</v>
      </c>
      <c r="F48" t="s">
        <v>188</v>
      </c>
      <c r="G48" t="s">
        <v>190</v>
      </c>
      <c r="H48" t="s">
        <v>189</v>
      </c>
      <c r="I48" t="s">
        <v>13</v>
      </c>
      <c r="J48" t="s">
        <v>7682</v>
      </c>
      <c r="K48" t="s">
        <v>7826</v>
      </c>
      <c r="L48" t="s">
        <v>7826</v>
      </c>
      <c r="N48" t="str" cm="1">
        <f t="array" ref="N48">IFERROR(LOOKUP(2,1/SEARCH($S$2:$S$65,G48),$T$2:$T$65),"Misc")</f>
        <v>OH P/N</v>
      </c>
      <c r="O48" t="str" cm="1">
        <f t="array" ref="O48">IFERROR(LOOKUP(2,1/SEARCH($V$2:$V$65,G48),$W$2:$W$65),"Misc")</f>
        <v>OH Part</v>
      </c>
      <c r="P48" t="str" cm="1">
        <f t="array" ref="P48">IFERROR(LOOKUP(2,1/SEARCH($Y$2:$Y$65,G48),$Z$2:$Z$65),"Not Defined")</f>
        <v>OH Part</v>
      </c>
      <c r="Q48" t="str" cm="1">
        <f t="array" ref="Q48">IFERROR(LOOKUP(2,1/SEARCH($S$2:$S$65,H48),$T$2:$T$65),"-")</f>
        <v>COTS</v>
      </c>
      <c r="S48" s="10" t="s">
        <v>7751</v>
      </c>
      <c r="T48" s="11" t="s">
        <v>7703</v>
      </c>
      <c r="V48" s="10" t="s">
        <v>7751</v>
      </c>
      <c r="W48" s="11" t="s">
        <v>7677</v>
      </c>
      <c r="Y48" s="10" t="s">
        <v>7750</v>
      </c>
      <c r="Z48" s="11" t="s">
        <v>7747</v>
      </c>
      <c r="AI48" t="s">
        <v>7784</v>
      </c>
    </row>
    <row r="49" spans="1:35" hidden="1" x14ac:dyDescent="0.25">
      <c r="A49" t="s">
        <v>7672</v>
      </c>
      <c r="B49" t="s">
        <v>191</v>
      </c>
      <c r="C49">
        <v>1</v>
      </c>
      <c r="D49" t="s">
        <v>7048</v>
      </c>
      <c r="F49" t="s">
        <v>192</v>
      </c>
      <c r="G49" t="s">
        <v>194</v>
      </c>
      <c r="H49" t="s">
        <v>193</v>
      </c>
      <c r="I49" t="s">
        <v>38</v>
      </c>
      <c r="J49" t="s">
        <v>7682</v>
      </c>
      <c r="K49" t="s">
        <v>7826</v>
      </c>
      <c r="L49" t="s">
        <v>7826</v>
      </c>
      <c r="N49" t="str" cm="1">
        <f t="array" ref="N49">IFERROR(LOOKUP(2,1/SEARCH($S$2:$S$65,G49),$T$2:$T$65),"Misc")</f>
        <v>OH P/N</v>
      </c>
      <c r="O49" t="str" cm="1">
        <f t="array" ref="O49">IFERROR(LOOKUP(2,1/SEARCH($V$2:$V$65,G49),$W$2:$W$65),"Misc")</f>
        <v>OH Part</v>
      </c>
      <c r="P49" t="str" cm="1">
        <f t="array" ref="P49">IFERROR(LOOKUP(2,1/SEARCH($Y$2:$Y$65,G49),$Z$2:$Z$65),"Not Defined")</f>
        <v>OH Part</v>
      </c>
      <c r="Q49" t="str" cm="1">
        <f t="array" ref="Q49">IFERROR(LOOKUP(2,1/SEARCH($S$2:$S$65,H49),$T$2:$T$65),"-")</f>
        <v>-</v>
      </c>
      <c r="S49" s="10" t="s">
        <v>7752</v>
      </c>
      <c r="T49" s="11" t="s">
        <v>7703</v>
      </c>
      <c r="V49" s="10" t="s">
        <v>7752</v>
      </c>
      <c r="W49" s="11" t="s">
        <v>7683</v>
      </c>
      <c r="Y49" s="10" t="s">
        <v>7751</v>
      </c>
      <c r="Z49" s="11" t="s">
        <v>7677</v>
      </c>
      <c r="AI49" t="s">
        <v>7785</v>
      </c>
    </row>
    <row r="50" spans="1:35" hidden="1" x14ac:dyDescent="0.25">
      <c r="A50" t="s">
        <v>7672</v>
      </c>
      <c r="B50" t="s">
        <v>195</v>
      </c>
      <c r="C50">
        <v>1</v>
      </c>
      <c r="D50" t="s">
        <v>7048</v>
      </c>
      <c r="F50" t="s">
        <v>196</v>
      </c>
      <c r="G50" t="s">
        <v>198</v>
      </c>
      <c r="H50" t="s">
        <v>197</v>
      </c>
      <c r="I50" t="s">
        <v>13</v>
      </c>
      <c r="J50" t="s">
        <v>7682</v>
      </c>
      <c r="K50" t="s">
        <v>7826</v>
      </c>
      <c r="L50" t="s">
        <v>7826</v>
      </c>
      <c r="N50" t="str" cm="1">
        <f t="array" ref="N50">IFERROR(LOOKUP(2,1/SEARCH($S$2:$S$65,G50),$T$2:$T$65),"Misc")</f>
        <v>OH P/N</v>
      </c>
      <c r="O50" t="str" cm="1">
        <f t="array" ref="O50">IFERROR(LOOKUP(2,1/SEARCH($V$2:$V$65,G50),$W$2:$W$65),"Misc")</f>
        <v>OH Part</v>
      </c>
      <c r="P50" t="str" cm="1">
        <f t="array" ref="P50">IFERROR(LOOKUP(2,1/SEARCH($Y$2:$Y$65,G50),$Z$2:$Z$65),"Not Defined")</f>
        <v>OH Part</v>
      </c>
      <c r="Q50" t="str" cm="1">
        <f t="array" ref="Q50">IFERROR(LOOKUP(2,1/SEARCH($S$2:$S$65,H50),$T$2:$T$65),"-")</f>
        <v>COTS</v>
      </c>
      <c r="S50" s="10" t="s">
        <v>7816</v>
      </c>
      <c r="T50" s="11" t="s">
        <v>7703</v>
      </c>
      <c r="V50" s="10" t="s">
        <v>7683</v>
      </c>
      <c r="W50" s="11" t="s">
        <v>7683</v>
      </c>
      <c r="Y50" s="10" t="s">
        <v>7752</v>
      </c>
      <c r="Z50" s="11" t="s">
        <v>7683</v>
      </c>
      <c r="AI50" t="s">
        <v>7786</v>
      </c>
    </row>
    <row r="51" spans="1:35" hidden="1" x14ac:dyDescent="0.25">
      <c r="A51" t="s">
        <v>7672</v>
      </c>
      <c r="B51" t="s">
        <v>199</v>
      </c>
      <c r="C51">
        <v>3</v>
      </c>
      <c r="D51" t="s">
        <v>7048</v>
      </c>
      <c r="F51" t="s">
        <v>200</v>
      </c>
      <c r="G51" t="s">
        <v>202</v>
      </c>
      <c r="H51" t="s">
        <v>201</v>
      </c>
      <c r="I51" t="s">
        <v>13</v>
      </c>
      <c r="J51" t="s">
        <v>7682</v>
      </c>
      <c r="K51" t="s">
        <v>7826</v>
      </c>
      <c r="L51" t="s">
        <v>7826</v>
      </c>
      <c r="N51" t="str" cm="1">
        <f t="array" ref="N51">IFERROR(LOOKUP(2,1/SEARCH($S$2:$S$65,G51),$T$2:$T$65),"Misc")</f>
        <v>OH P/N</v>
      </c>
      <c r="O51" t="str" cm="1">
        <f t="array" ref="O51">IFERROR(LOOKUP(2,1/SEARCH($V$2:$V$65,G51),$W$2:$W$65),"Misc")</f>
        <v>OH Part</v>
      </c>
      <c r="P51" t="str" cm="1">
        <f t="array" ref="P51">IFERROR(LOOKUP(2,1/SEARCH($Y$2:$Y$65,G51),$Z$2:$Z$65),"Not Defined")</f>
        <v>OH Part</v>
      </c>
      <c r="Q51" t="str" cm="1">
        <f t="array" ref="Q51">IFERROR(LOOKUP(2,1/SEARCH($S$2:$S$65,H51),$T$2:$T$65),"-")</f>
        <v>COTS</v>
      </c>
      <c r="S51" s="10" t="s">
        <v>7819</v>
      </c>
      <c r="T51" s="11" t="s">
        <v>7703</v>
      </c>
      <c r="V51" s="10" t="s">
        <v>7817</v>
      </c>
      <c r="W51" s="11" t="s">
        <v>7818</v>
      </c>
      <c r="Y51" s="10" t="s">
        <v>7816</v>
      </c>
      <c r="Z51" s="11" t="s">
        <v>7818</v>
      </c>
      <c r="AI51" t="s">
        <v>7787</v>
      </c>
    </row>
    <row r="52" spans="1:35" hidden="1" x14ac:dyDescent="0.25">
      <c r="A52" t="s">
        <v>7672</v>
      </c>
      <c r="B52" t="s">
        <v>203</v>
      </c>
      <c r="C52">
        <v>2</v>
      </c>
      <c r="D52" t="s">
        <v>7048</v>
      </c>
      <c r="F52" t="s">
        <v>204</v>
      </c>
      <c r="G52" t="s">
        <v>206</v>
      </c>
      <c r="H52" t="s">
        <v>205</v>
      </c>
      <c r="I52" t="s">
        <v>13</v>
      </c>
      <c r="J52" t="s">
        <v>7682</v>
      </c>
      <c r="K52" t="s">
        <v>7826</v>
      </c>
      <c r="L52" t="s">
        <v>7826</v>
      </c>
      <c r="N52" t="str" cm="1">
        <f t="array" ref="N52">IFERROR(LOOKUP(2,1/SEARCH($S$2:$S$65,G52),$T$2:$T$65),"Misc")</f>
        <v>OH P/N</v>
      </c>
      <c r="O52" t="str" cm="1">
        <f t="array" ref="O52">IFERROR(LOOKUP(2,1/SEARCH($V$2:$V$65,G52),$W$2:$W$65),"Misc")</f>
        <v>OH Part</v>
      </c>
      <c r="P52" t="str" cm="1">
        <f t="array" ref="P52">IFERROR(LOOKUP(2,1/SEARCH($Y$2:$Y$65,G52),$Z$2:$Z$65),"Not Defined")</f>
        <v>OH Part</v>
      </c>
      <c r="Q52" t="str" cm="1">
        <f t="array" ref="Q52">IFERROR(LOOKUP(2,1/SEARCH($S$2:$S$65,H52),$T$2:$T$65),"-")</f>
        <v>COTS</v>
      </c>
      <c r="S52" s="10" t="s">
        <v>7820</v>
      </c>
      <c r="T52" s="11" t="s">
        <v>7703</v>
      </c>
      <c r="V52" s="10" t="s">
        <v>7819</v>
      </c>
      <c r="W52" s="11" t="s">
        <v>7684</v>
      </c>
      <c r="Y52" s="10" t="s">
        <v>7819</v>
      </c>
      <c r="Z52" s="11" t="s">
        <v>7819</v>
      </c>
      <c r="AI52" t="s">
        <v>7788</v>
      </c>
    </row>
    <row r="53" spans="1:35" hidden="1" x14ac:dyDescent="0.25">
      <c r="A53" t="s">
        <v>7672</v>
      </c>
      <c r="B53" t="s">
        <v>207</v>
      </c>
      <c r="C53">
        <v>77</v>
      </c>
      <c r="D53" t="s">
        <v>7048</v>
      </c>
      <c r="F53" t="s">
        <v>208</v>
      </c>
      <c r="G53" t="s">
        <v>7049</v>
      </c>
      <c r="H53" t="s">
        <v>209</v>
      </c>
      <c r="I53" t="s">
        <v>210</v>
      </c>
      <c r="J53" t="s">
        <v>7703</v>
      </c>
      <c r="K53" t="s">
        <v>7684</v>
      </c>
      <c r="L53" t="s">
        <v>7738</v>
      </c>
      <c r="N53" t="str" cm="1">
        <f t="array" ref="N53">IFERROR(LOOKUP(2,1/SEARCH($S$2:$S$65,G53),$T$2:$T$65),"Misc")</f>
        <v>COTS</v>
      </c>
      <c r="O53" t="str" cm="1">
        <f t="array" ref="O53">IFERROR(LOOKUP(2,1/SEARCH($V$2:$V$65,G53),$W$2:$W$65),"Misc")</f>
        <v>Fasteners</v>
      </c>
      <c r="P53" t="str" cm="1">
        <f t="array" ref="P53">IFERROR(LOOKUP(2,1/SEARCH($Y$2:$Y$65,G53),$Z$2:$Z$65),"Not Defined")</f>
        <v>FHWS</v>
      </c>
      <c r="Q53" t="str" cm="1">
        <f t="array" ref="Q53">IFERROR(LOOKUP(2,1/SEARCH($S$2:$S$65,H53),$T$2:$T$65),"-")</f>
        <v>COTS</v>
      </c>
      <c r="S53" s="10" t="s">
        <v>7822</v>
      </c>
      <c r="T53" s="11" t="s">
        <v>7703</v>
      </c>
      <c r="V53" s="10" t="s">
        <v>7820</v>
      </c>
      <c r="W53" s="11" t="s">
        <v>7684</v>
      </c>
      <c r="Y53" s="10" t="s">
        <v>7820</v>
      </c>
      <c r="Z53" s="11" t="s">
        <v>7820</v>
      </c>
      <c r="AI53" t="s">
        <v>7789</v>
      </c>
    </row>
    <row r="54" spans="1:35" hidden="1" x14ac:dyDescent="0.25">
      <c r="A54" t="s">
        <v>7672</v>
      </c>
      <c r="B54" t="s">
        <v>211</v>
      </c>
      <c r="C54">
        <v>24</v>
      </c>
      <c r="D54" t="s">
        <v>7048</v>
      </c>
      <c r="F54" t="s">
        <v>212</v>
      </c>
      <c r="G54" t="s">
        <v>7050</v>
      </c>
      <c r="H54" t="s">
        <v>213</v>
      </c>
      <c r="I54" t="s">
        <v>214</v>
      </c>
      <c r="J54" t="s">
        <v>7703</v>
      </c>
      <c r="K54" t="s">
        <v>7684</v>
      </c>
      <c r="L54" t="s">
        <v>7707</v>
      </c>
      <c r="N54" t="str" cm="1">
        <f t="array" ref="N54">IFERROR(LOOKUP(2,1/SEARCH($S$2:$S$65,G54),$T$2:$T$65),"Misc")</f>
        <v>COTS</v>
      </c>
      <c r="O54" t="str" cm="1">
        <f t="array" ref="O54">IFERROR(LOOKUP(2,1/SEARCH($V$2:$V$65,G54),$W$2:$W$65),"Misc")</f>
        <v>Fasteners</v>
      </c>
      <c r="P54" t="str" cm="1">
        <f t="array" ref="P54">IFERROR(LOOKUP(2,1/SEARCH($Y$2:$Y$65,G54),$Z$2:$Z$65),"Not Defined")</f>
        <v>PIN</v>
      </c>
      <c r="Q54" t="str" cm="1">
        <f t="array" ref="Q54">IFERROR(LOOKUP(2,1/SEARCH($S$2:$S$65,H54),$T$2:$T$65),"-")</f>
        <v>COTS</v>
      </c>
      <c r="S54" s="10" t="s">
        <v>7821</v>
      </c>
      <c r="T54" s="11" t="s">
        <v>7703</v>
      </c>
      <c r="V54" s="10" t="s">
        <v>7822</v>
      </c>
      <c r="W54" s="11" t="s">
        <v>7822</v>
      </c>
      <c r="Y54" s="10" t="s">
        <v>7822</v>
      </c>
      <c r="Z54" s="11" t="s">
        <v>7822</v>
      </c>
      <c r="AI54" t="s">
        <v>7790</v>
      </c>
    </row>
    <row r="55" spans="1:35" hidden="1" x14ac:dyDescent="0.25">
      <c r="A55" t="s">
        <v>7672</v>
      </c>
      <c r="B55" t="s">
        <v>215</v>
      </c>
      <c r="C55">
        <v>35</v>
      </c>
      <c r="D55" t="s">
        <v>7048</v>
      </c>
      <c r="F55" t="s">
        <v>216</v>
      </c>
      <c r="G55" t="s">
        <v>7051</v>
      </c>
      <c r="H55" t="s">
        <v>217</v>
      </c>
      <c r="I55" t="s">
        <v>210</v>
      </c>
      <c r="J55" t="s">
        <v>7703</v>
      </c>
      <c r="K55" t="s">
        <v>7684</v>
      </c>
      <c r="L55" t="s">
        <v>7691</v>
      </c>
      <c r="N55" t="str" cm="1">
        <f t="array" ref="N55">IFERROR(LOOKUP(2,1/SEARCH($S$2:$S$65,G55),$T$2:$T$65),"Misc")</f>
        <v>COTS</v>
      </c>
      <c r="O55" t="str" cm="1">
        <f t="array" ref="O55">IFERROR(LOOKUP(2,1/SEARCH($V$2:$V$65,G55),$W$2:$W$65),"Misc")</f>
        <v>Fasteners</v>
      </c>
      <c r="P55" t="str" cm="1">
        <f t="array" ref="P55">IFERROR(LOOKUP(2,1/SEARCH($Y$2:$Y$65,G55),$Z$2:$Z$65),"Not Defined")</f>
        <v>FHS</v>
      </c>
      <c r="Q55" t="str" cm="1">
        <f t="array" ref="Q55">IFERROR(LOOKUP(2,1/SEARCH($S$2:$S$65,H55),$T$2:$T$65),"-")</f>
        <v>COTS</v>
      </c>
      <c r="S55" s="10" t="s">
        <v>7818</v>
      </c>
      <c r="T55" s="11" t="s">
        <v>7703</v>
      </c>
      <c r="V55" s="10" t="s">
        <v>7821</v>
      </c>
      <c r="W55" s="11" t="s">
        <v>7814</v>
      </c>
      <c r="Y55" s="10" t="s">
        <v>7821</v>
      </c>
      <c r="Z55" s="11" t="s">
        <v>7821</v>
      </c>
      <c r="AI55" t="s">
        <v>7724</v>
      </c>
    </row>
    <row r="56" spans="1:35" hidden="1" x14ac:dyDescent="0.25">
      <c r="A56" t="s">
        <v>7672</v>
      </c>
      <c r="B56" t="s">
        <v>218</v>
      </c>
      <c r="C56">
        <v>4</v>
      </c>
      <c r="D56" t="s">
        <v>7048</v>
      </c>
      <c r="F56" t="s">
        <v>219</v>
      </c>
      <c r="G56" t="s">
        <v>7052</v>
      </c>
      <c r="H56" t="s">
        <v>220</v>
      </c>
      <c r="I56" t="s">
        <v>210</v>
      </c>
      <c r="J56" t="s">
        <v>7703</v>
      </c>
      <c r="K56" t="s">
        <v>7684</v>
      </c>
      <c r="L56" t="s">
        <v>7691</v>
      </c>
      <c r="N56" t="str" cm="1">
        <f t="array" ref="N56">IFERROR(LOOKUP(2,1/SEARCH($S$2:$S$65,G56),$T$2:$T$65),"Misc")</f>
        <v>COTS</v>
      </c>
      <c r="O56" t="str" cm="1">
        <f t="array" ref="O56">IFERROR(LOOKUP(2,1/SEARCH($V$2:$V$65,G56),$W$2:$W$65),"Misc")</f>
        <v>Fasteners</v>
      </c>
      <c r="P56" t="str" cm="1">
        <f t="array" ref="P56">IFERROR(LOOKUP(2,1/SEARCH($Y$2:$Y$65,G56),$Z$2:$Z$65),"Not Defined")</f>
        <v>FHS</v>
      </c>
      <c r="Q56" t="str" cm="1">
        <f t="array" ref="Q56">IFERROR(LOOKUP(2,1/SEARCH($S$2:$S$65,H56),$T$2:$T$65),"-")</f>
        <v>COTS</v>
      </c>
      <c r="S56" s="10" t="s">
        <v>7823</v>
      </c>
      <c r="T56" s="11" t="s">
        <v>7703</v>
      </c>
      <c r="V56" s="10" t="s">
        <v>7818</v>
      </c>
      <c r="W56" s="11" t="s">
        <v>7818</v>
      </c>
      <c r="Y56" s="10" t="s">
        <v>7818</v>
      </c>
      <c r="Z56" s="11" t="s">
        <v>7818</v>
      </c>
      <c r="AI56" t="s">
        <v>7791</v>
      </c>
    </row>
    <row r="57" spans="1:35" hidden="1" x14ac:dyDescent="0.25">
      <c r="A57" t="s">
        <v>7672</v>
      </c>
      <c r="B57" t="s">
        <v>221</v>
      </c>
      <c r="C57">
        <v>10</v>
      </c>
      <c r="D57" t="s">
        <v>7048</v>
      </c>
      <c r="F57" t="s">
        <v>222</v>
      </c>
      <c r="G57" t="s">
        <v>7053</v>
      </c>
      <c r="H57" t="s">
        <v>223</v>
      </c>
      <c r="I57" t="s">
        <v>224</v>
      </c>
      <c r="J57" t="s">
        <v>7703</v>
      </c>
      <c r="K57" t="s">
        <v>7684</v>
      </c>
      <c r="L57" t="s">
        <v>7687</v>
      </c>
      <c r="N57" t="str" cm="1">
        <f t="array" ref="N57">IFERROR(LOOKUP(2,1/SEARCH($S$2:$S$65,G57),$T$2:$T$65),"Misc")</f>
        <v>COTS</v>
      </c>
      <c r="O57" t="str" cm="1">
        <f t="array" ref="O57">IFERROR(LOOKUP(2,1/SEARCH($V$2:$V$65,G57),$W$2:$W$65),"Misc")</f>
        <v>Fasteners</v>
      </c>
      <c r="P57" t="str" cm="1">
        <f t="array" ref="P57">IFERROR(LOOKUP(2,1/SEARCH($Y$2:$Y$65,G57),$Z$2:$Z$65),"Not Defined")</f>
        <v>INSERT</v>
      </c>
      <c r="Q57" t="str" cm="1">
        <f t="array" ref="Q57">IFERROR(LOOKUP(2,1/SEARCH($S$2:$S$65,H57),$T$2:$T$65),"-")</f>
        <v>COTS</v>
      </c>
      <c r="S57" s="10" t="s">
        <v>7824</v>
      </c>
      <c r="T57" s="11" t="s">
        <v>7703</v>
      </c>
      <c r="V57" s="10" t="s">
        <v>7823</v>
      </c>
      <c r="W57" s="11" t="s">
        <v>7814</v>
      </c>
      <c r="Y57" s="10" t="s">
        <v>7823</v>
      </c>
      <c r="Z57" s="11" t="s">
        <v>7823</v>
      </c>
      <c r="AI57" t="s">
        <v>7792</v>
      </c>
    </row>
    <row r="58" spans="1:35" hidden="1" x14ac:dyDescent="0.25">
      <c r="A58" t="s">
        <v>7672</v>
      </c>
      <c r="B58" t="s">
        <v>225</v>
      </c>
      <c r="C58">
        <v>64</v>
      </c>
      <c r="D58" t="s">
        <v>7048</v>
      </c>
      <c r="F58" t="s">
        <v>226</v>
      </c>
      <c r="G58" t="s">
        <v>7054</v>
      </c>
      <c r="H58" t="s">
        <v>227</v>
      </c>
      <c r="I58" t="s">
        <v>228</v>
      </c>
      <c r="J58" t="s">
        <v>7703</v>
      </c>
      <c r="K58" t="s">
        <v>7684</v>
      </c>
      <c r="L58" t="s">
        <v>7685</v>
      </c>
      <c r="N58" t="str" cm="1">
        <f t="array" ref="N58">IFERROR(LOOKUP(2,1/SEARCH($S$2:$S$65,G58),$T$2:$T$65),"Misc")</f>
        <v>COTS</v>
      </c>
      <c r="O58" t="str" cm="1">
        <f t="array" ref="O58">IFERROR(LOOKUP(2,1/SEARCH($V$2:$V$65,G58),$W$2:$W$65),"Misc")</f>
        <v>Fasteners</v>
      </c>
      <c r="P58" t="str" cm="1">
        <f t="array" ref="P58">IFERROR(LOOKUP(2,1/SEARCH($Y$2:$Y$65,G58),$Z$2:$Z$65),"Not Defined")</f>
        <v>NUT</v>
      </c>
      <c r="Q58" t="str" cm="1">
        <f t="array" ref="Q58">IFERROR(LOOKUP(2,1/SEARCH($S$2:$S$65,H58),$T$2:$T$65),"-")</f>
        <v>COTS</v>
      </c>
      <c r="S58" s="10" t="s">
        <v>7736</v>
      </c>
      <c r="T58" s="11" t="s">
        <v>7703</v>
      </c>
      <c r="V58" s="10" t="s">
        <v>7824</v>
      </c>
      <c r="W58" s="11" t="s">
        <v>7814</v>
      </c>
      <c r="Y58" s="10" t="s">
        <v>7824</v>
      </c>
      <c r="Z58" s="11" t="s">
        <v>7824</v>
      </c>
      <c r="AI58" t="s">
        <v>7793</v>
      </c>
    </row>
    <row r="59" spans="1:35" hidden="1" x14ac:dyDescent="0.25">
      <c r="A59" t="s">
        <v>7672</v>
      </c>
      <c r="B59" t="s">
        <v>229</v>
      </c>
      <c r="C59">
        <v>27</v>
      </c>
      <c r="D59" t="s">
        <v>7048</v>
      </c>
      <c r="F59" t="s">
        <v>230</v>
      </c>
      <c r="G59" t="s">
        <v>7055</v>
      </c>
      <c r="H59" t="s">
        <v>231</v>
      </c>
      <c r="I59" t="s">
        <v>210</v>
      </c>
      <c r="J59" t="s">
        <v>7703</v>
      </c>
      <c r="K59" t="s">
        <v>7684</v>
      </c>
      <c r="L59" t="s">
        <v>7692</v>
      </c>
      <c r="N59" t="str" cm="1">
        <f t="array" ref="N59">IFERROR(LOOKUP(2,1/SEARCH($S$2:$S$65,G59),$T$2:$T$65),"Misc")</f>
        <v>COTS</v>
      </c>
      <c r="O59" t="str" cm="1">
        <f t="array" ref="O59">IFERROR(LOOKUP(2,1/SEARCH($V$2:$V$65,G59),$W$2:$W$65),"Misc")</f>
        <v>Fasteners</v>
      </c>
      <c r="P59" t="str" cm="1">
        <f t="array" ref="P59">IFERROR(LOOKUP(2,1/SEARCH($Y$2:$Y$65,G59),$Z$2:$Z$65),"Not Defined")</f>
        <v>WASHER</v>
      </c>
      <c r="Q59" t="str" cm="1">
        <f t="array" ref="Q59">IFERROR(LOOKUP(2,1/SEARCH($S$2:$S$65,H59),$T$2:$T$65),"-")</f>
        <v>COTS</v>
      </c>
      <c r="S59" s="10" t="s">
        <v>7773</v>
      </c>
      <c r="T59" s="11" t="s">
        <v>7703</v>
      </c>
      <c r="V59" s="10" t="s">
        <v>7681</v>
      </c>
      <c r="W59" s="11" t="s">
        <v>7826</v>
      </c>
      <c r="Y59" s="10" t="s">
        <v>7736</v>
      </c>
      <c r="Z59" s="11" t="s">
        <v>7736</v>
      </c>
      <c r="AI59" t="s">
        <v>7794</v>
      </c>
    </row>
    <row r="60" spans="1:35" hidden="1" x14ac:dyDescent="0.25">
      <c r="A60" t="s">
        <v>7672</v>
      </c>
      <c r="B60" t="s">
        <v>232</v>
      </c>
      <c r="C60">
        <v>16</v>
      </c>
      <c r="D60" t="s">
        <v>7048</v>
      </c>
      <c r="F60" t="s">
        <v>233</v>
      </c>
      <c r="G60" t="s">
        <v>7056</v>
      </c>
      <c r="H60" t="s">
        <v>234</v>
      </c>
      <c r="I60" t="s">
        <v>210</v>
      </c>
      <c r="J60" t="s">
        <v>7703</v>
      </c>
      <c r="K60" t="s">
        <v>7684</v>
      </c>
      <c r="L60" t="s">
        <v>7693</v>
      </c>
      <c r="N60" t="str" cm="1">
        <f t="array" ref="N60">IFERROR(LOOKUP(2,1/SEARCH($S$2:$S$65,G60),$T$2:$T$65),"Misc")</f>
        <v>COTS</v>
      </c>
      <c r="O60" t="str" cm="1">
        <f t="array" ref="O60">IFERROR(LOOKUP(2,1/SEARCH($V$2:$V$65,G60),$W$2:$W$65),"Misc")</f>
        <v>Fasteners</v>
      </c>
      <c r="P60" t="str" cm="1">
        <f t="array" ref="P60">IFERROR(LOOKUP(2,1/SEARCH($Y$2:$Y$65,G60),$Z$2:$Z$65),"Not Defined")</f>
        <v>PHS</v>
      </c>
      <c r="Q60" t="str" cm="1">
        <f t="array" ref="Q60">IFERROR(LOOKUP(2,1/SEARCH($S$2:$S$65,H60),$T$2:$T$65),"-")</f>
        <v>COTS</v>
      </c>
      <c r="S60" s="10" t="s">
        <v>7681</v>
      </c>
      <c r="T60" s="11" t="s">
        <v>7682</v>
      </c>
      <c r="V60" s="10" t="s">
        <v>7736</v>
      </c>
      <c r="W60" s="11" t="s">
        <v>7736</v>
      </c>
      <c r="Y60" s="10" t="s">
        <v>7773</v>
      </c>
      <c r="Z60" s="11" t="s">
        <v>7719</v>
      </c>
      <c r="AI60" t="s">
        <v>7795</v>
      </c>
    </row>
    <row r="61" spans="1:35" hidden="1" x14ac:dyDescent="0.25">
      <c r="A61" t="s">
        <v>7672</v>
      </c>
      <c r="B61" t="s">
        <v>235</v>
      </c>
      <c r="C61">
        <v>9</v>
      </c>
      <c r="D61" t="s">
        <v>7048</v>
      </c>
      <c r="F61" t="s">
        <v>236</v>
      </c>
      <c r="G61" t="s">
        <v>7057</v>
      </c>
      <c r="H61" t="s">
        <v>237</v>
      </c>
      <c r="I61" t="s">
        <v>210</v>
      </c>
      <c r="J61" t="s">
        <v>7703</v>
      </c>
      <c r="K61" t="s">
        <v>7684</v>
      </c>
      <c r="L61" t="s">
        <v>7693</v>
      </c>
      <c r="N61" t="str" cm="1">
        <f t="array" ref="N61">IFERROR(LOOKUP(2,1/SEARCH($S$2:$S$65,G61),$T$2:$T$65),"Misc")</f>
        <v>COTS</v>
      </c>
      <c r="O61" t="str" cm="1">
        <f t="array" ref="O61">IFERROR(LOOKUP(2,1/SEARCH($V$2:$V$65,G61),$W$2:$W$65),"Misc")</f>
        <v>Fasteners</v>
      </c>
      <c r="P61" t="str" cm="1">
        <f t="array" ref="P61">IFERROR(LOOKUP(2,1/SEARCH($Y$2:$Y$65,G61),$Z$2:$Z$65),"Not Defined")</f>
        <v>PHS</v>
      </c>
      <c r="Q61" t="str" cm="1">
        <f t="array" ref="Q61">IFERROR(LOOKUP(2,1/SEARCH($S$2:$S$65,H61),$T$2:$T$65),"-")</f>
        <v>COTS</v>
      </c>
      <c r="S61" s="10" t="s">
        <v>7741</v>
      </c>
      <c r="T61" s="11" t="s">
        <v>7742</v>
      </c>
      <c r="V61" s="10" t="s">
        <v>3505</v>
      </c>
      <c r="W61" s="11" t="s">
        <v>7822</v>
      </c>
      <c r="Y61" s="10" t="s">
        <v>7840</v>
      </c>
      <c r="Z61" s="11" t="s">
        <v>7717</v>
      </c>
      <c r="AI61" t="s">
        <v>7710</v>
      </c>
    </row>
    <row r="62" spans="1:35" hidden="1" x14ac:dyDescent="0.25">
      <c r="A62" t="s">
        <v>7672</v>
      </c>
      <c r="B62" t="s">
        <v>238</v>
      </c>
      <c r="C62">
        <v>64</v>
      </c>
      <c r="D62" t="s">
        <v>7048</v>
      </c>
      <c r="F62" t="s">
        <v>239</v>
      </c>
      <c r="G62" t="s">
        <v>7058</v>
      </c>
      <c r="H62" t="s">
        <v>240</v>
      </c>
      <c r="I62" t="s">
        <v>210</v>
      </c>
      <c r="J62" t="s">
        <v>7703</v>
      </c>
      <c r="K62" t="s">
        <v>7684</v>
      </c>
      <c r="L62" t="s">
        <v>7738</v>
      </c>
      <c r="N62" t="str" cm="1">
        <f t="array" ref="N62">IFERROR(LOOKUP(2,1/SEARCH($S$2:$S$65,G62),$T$2:$T$65),"Misc")</f>
        <v>COTS</v>
      </c>
      <c r="O62" t="str" cm="1">
        <f t="array" ref="O62">IFERROR(LOOKUP(2,1/SEARCH($V$2:$V$65,G62),$W$2:$W$65),"Misc")</f>
        <v>Fasteners</v>
      </c>
      <c r="P62" t="str" cm="1">
        <f t="array" ref="P62">IFERROR(LOOKUP(2,1/SEARCH($Y$2:$Y$65,G62),$Z$2:$Z$65),"Not Defined")</f>
        <v>FHWS</v>
      </c>
      <c r="Q62" t="str" cm="1">
        <f t="array" ref="Q62">IFERROR(LOOKUP(2,1/SEARCH($S$2:$S$65,H62),$T$2:$T$65),"-")</f>
        <v>COTS</v>
      </c>
      <c r="S62" s="10" t="s">
        <v>7743</v>
      </c>
      <c r="T62" s="11" t="s">
        <v>7744</v>
      </c>
      <c r="V62" s="10" t="s">
        <v>7773</v>
      </c>
      <c r="W62" s="11" t="s">
        <v>7814</v>
      </c>
      <c r="Y62" s="10" t="s">
        <v>5904</v>
      </c>
      <c r="Z62" s="11" t="s">
        <v>7717</v>
      </c>
      <c r="AI62" t="s">
        <v>7796</v>
      </c>
    </row>
    <row r="63" spans="1:35" hidden="1" x14ac:dyDescent="0.25">
      <c r="A63" t="s">
        <v>7672</v>
      </c>
      <c r="B63" t="s">
        <v>241</v>
      </c>
      <c r="C63">
        <v>2</v>
      </c>
      <c r="D63" t="s">
        <v>7048</v>
      </c>
      <c r="F63" t="s">
        <v>242</v>
      </c>
      <c r="G63" t="s">
        <v>244</v>
      </c>
      <c r="H63" t="s">
        <v>243</v>
      </c>
      <c r="I63" t="s">
        <v>13</v>
      </c>
      <c r="J63" t="s">
        <v>7682</v>
      </c>
      <c r="K63" t="s">
        <v>7826</v>
      </c>
      <c r="L63" t="s">
        <v>7826</v>
      </c>
      <c r="N63" t="str" cm="1">
        <f t="array" ref="N63">IFERROR(LOOKUP(2,1/SEARCH($S$2:$S$65,G63),$T$2:$T$65),"Misc")</f>
        <v>OH P/N</v>
      </c>
      <c r="O63" t="str" cm="1">
        <f t="array" ref="O63">IFERROR(LOOKUP(2,1/SEARCH($V$2:$V$65,G63),$W$2:$W$65),"Misc")</f>
        <v>OH Part</v>
      </c>
      <c r="P63" t="str" cm="1">
        <f t="array" ref="P63">IFERROR(LOOKUP(2,1/SEARCH($Y$2:$Y$65,G63),$Z$2:$Z$65),"Not Defined")</f>
        <v>OH Part</v>
      </c>
      <c r="Q63" t="str" cm="1">
        <f t="array" ref="Q63">IFERROR(LOOKUP(2,1/SEARCH($S$2:$S$65,H63),$T$2:$T$65),"-")</f>
        <v>COTS</v>
      </c>
      <c r="S63" s="10" t="s">
        <v>7793</v>
      </c>
      <c r="T63" s="11" t="s">
        <v>7703</v>
      </c>
      <c r="V63" s="10" t="s">
        <v>7793</v>
      </c>
      <c r="W63" s="11" t="s">
        <v>7814</v>
      </c>
      <c r="Y63" s="10" t="s">
        <v>7793</v>
      </c>
      <c r="Z63" s="11" t="s">
        <v>7814</v>
      </c>
      <c r="AI63" t="s">
        <v>7797</v>
      </c>
    </row>
    <row r="64" spans="1:35" hidden="1" x14ac:dyDescent="0.25">
      <c r="A64" t="s">
        <v>7672</v>
      </c>
      <c r="B64" t="s">
        <v>245</v>
      </c>
      <c r="C64">
        <v>4</v>
      </c>
      <c r="D64" t="s">
        <v>7048</v>
      </c>
      <c r="F64" t="s">
        <v>246</v>
      </c>
      <c r="G64" t="s">
        <v>7059</v>
      </c>
      <c r="H64" t="s">
        <v>247</v>
      </c>
      <c r="I64" t="s">
        <v>210</v>
      </c>
      <c r="J64" t="s">
        <v>7703</v>
      </c>
      <c r="K64" t="s">
        <v>7684</v>
      </c>
      <c r="L64" t="s">
        <v>7691</v>
      </c>
      <c r="N64" t="str" cm="1">
        <f t="array" ref="N64">IFERROR(LOOKUP(2,1/SEARCH($S$2:$S$65,G64),$T$2:$T$65),"Misc")</f>
        <v>COTS</v>
      </c>
      <c r="O64" t="str" cm="1">
        <f t="array" ref="O64">IFERROR(LOOKUP(2,1/SEARCH($V$2:$V$65,G64),$W$2:$W$65),"Misc")</f>
        <v>Fasteners</v>
      </c>
      <c r="P64" t="str" cm="1">
        <f t="array" ref="P64">IFERROR(LOOKUP(2,1/SEARCH($Y$2:$Y$65,G64),$Z$2:$Z$65),"Not Defined")</f>
        <v>FHS</v>
      </c>
      <c r="Q64" t="str" cm="1">
        <f t="array" ref="Q64">IFERROR(LOOKUP(2,1/SEARCH($S$2:$S$65,H64),$T$2:$T$65),"-")</f>
        <v>COTS</v>
      </c>
      <c r="S64" s="10" t="s">
        <v>7825</v>
      </c>
      <c r="T64" s="11" t="s">
        <v>7825</v>
      </c>
      <c r="V64" s="10" t="s">
        <v>7825</v>
      </c>
      <c r="W64" s="11" t="s">
        <v>7825</v>
      </c>
      <c r="Y64" s="10" t="s">
        <v>7825</v>
      </c>
      <c r="Z64" s="11" t="s">
        <v>7825</v>
      </c>
      <c r="AI64" t="s">
        <v>7798</v>
      </c>
    </row>
    <row r="65" spans="1:35" ht="15.75" hidden="1" thickBot="1" x14ac:dyDescent="0.3">
      <c r="A65" t="s">
        <v>7672</v>
      </c>
      <c r="B65" t="s">
        <v>248</v>
      </c>
      <c r="C65">
        <v>1</v>
      </c>
      <c r="D65" t="s">
        <v>7060</v>
      </c>
      <c r="F65" t="s">
        <v>249</v>
      </c>
      <c r="G65" t="s">
        <v>7060</v>
      </c>
      <c r="H65" t="s">
        <v>250</v>
      </c>
      <c r="J65" t="s">
        <v>7742</v>
      </c>
      <c r="K65" t="s">
        <v>7826</v>
      </c>
      <c r="L65" t="s">
        <v>7826</v>
      </c>
      <c r="N65" t="str" cm="1">
        <f t="array" ref="N65">IFERROR(LOOKUP(2,1/SEARCH($S$2:$S$65,G65),$T$2:$T$65),"Misc")</f>
        <v>OH ASSY</v>
      </c>
      <c r="O65" t="str" cm="1">
        <f t="array" ref="O65">IFERROR(LOOKUP(2,1/SEARCH($V$2:$V$65,G65),$W$2:$W$65),"Misc")</f>
        <v>OH Part</v>
      </c>
      <c r="P65" t="str" cm="1">
        <f t="array" ref="P65">IFERROR(LOOKUP(2,1/SEARCH($Y$2:$Y$65,G65),$Z$2:$Z$65),"Not Defined")</f>
        <v>OH Part</v>
      </c>
      <c r="Q65" t="str" cm="1">
        <f t="array" ref="Q65">IFERROR(LOOKUP(2,1/SEARCH($S$2:$S$65,H65),$T$2:$T$65),"-")</f>
        <v>OH ASSY</v>
      </c>
      <c r="S65" s="12" t="s">
        <v>7825</v>
      </c>
      <c r="T65" s="13" t="s">
        <v>7825</v>
      </c>
      <c r="V65" s="12" t="s">
        <v>7825</v>
      </c>
      <c r="W65" s="13" t="s">
        <v>7825</v>
      </c>
      <c r="Y65" s="12" t="s">
        <v>7825</v>
      </c>
      <c r="Z65" s="13" t="s">
        <v>7825</v>
      </c>
      <c r="AI65" t="s">
        <v>7799</v>
      </c>
    </row>
    <row r="66" spans="1:35" hidden="1" x14ac:dyDescent="0.25">
      <c r="A66" t="s">
        <v>7672</v>
      </c>
      <c r="B66" t="s">
        <v>251</v>
      </c>
      <c r="C66">
        <v>1</v>
      </c>
      <c r="D66" t="s">
        <v>7060</v>
      </c>
      <c r="F66" t="s">
        <v>252</v>
      </c>
      <c r="G66" t="s">
        <v>254</v>
      </c>
      <c r="H66" t="s">
        <v>253</v>
      </c>
      <c r="I66" t="s">
        <v>255</v>
      </c>
      <c r="J66" t="s">
        <v>7682</v>
      </c>
      <c r="K66" t="s">
        <v>7826</v>
      </c>
      <c r="L66" t="s">
        <v>7826</v>
      </c>
      <c r="N66" t="str" cm="1">
        <f t="array" ref="N66">IFERROR(LOOKUP(2,1/SEARCH($S$2:$S$65,G66),$T$2:$T$65),"Misc")</f>
        <v>OH P/N</v>
      </c>
      <c r="O66" t="str" cm="1">
        <f t="array" ref="O66">IFERROR(LOOKUP(2,1/SEARCH($V$2:$V$65,G66),$W$2:$W$65),"Misc")</f>
        <v>OH Part</v>
      </c>
      <c r="P66" t="str" cm="1">
        <f t="array" ref="P66">IFERROR(LOOKUP(2,1/SEARCH($Y$2:$Y$65,G66),$Z$2:$Z$65),"Not Defined")</f>
        <v>OH Part</v>
      </c>
      <c r="Q66" t="str" cm="1">
        <f t="array" ref="Q66">IFERROR(LOOKUP(2,1/SEARCH($S$2:$S$65,H66),$T$2:$T$65),"-")</f>
        <v>-</v>
      </c>
      <c r="AI66" t="s">
        <v>7718</v>
      </c>
    </row>
    <row r="67" spans="1:35" hidden="1" x14ac:dyDescent="0.25">
      <c r="A67" t="s">
        <v>7672</v>
      </c>
      <c r="B67" t="s">
        <v>256</v>
      </c>
      <c r="C67">
        <v>1</v>
      </c>
      <c r="D67" t="s">
        <v>7060</v>
      </c>
      <c r="E67" t="s">
        <v>7841</v>
      </c>
      <c r="F67" t="s">
        <v>257</v>
      </c>
      <c r="G67" t="s">
        <v>259</v>
      </c>
      <c r="H67" t="s">
        <v>258</v>
      </c>
      <c r="J67" t="s">
        <v>7742</v>
      </c>
      <c r="K67" t="s">
        <v>7826</v>
      </c>
      <c r="L67" t="s">
        <v>7826</v>
      </c>
      <c r="N67" t="str" cm="1">
        <f t="array" ref="N67">IFERROR(LOOKUP(2,1/SEARCH($S$2:$S$65,G67),$T$2:$T$65),"Misc")</f>
        <v>OH ASSY</v>
      </c>
      <c r="O67" t="str" cm="1">
        <f t="array" ref="O67">IFERROR(LOOKUP(2,1/SEARCH($V$2:$V$65,G67),$W$2:$W$65),"Misc")</f>
        <v>OH Part</v>
      </c>
      <c r="P67" t="str" cm="1">
        <f t="array" ref="P67">IFERROR(LOOKUP(2,1/SEARCH($Y$2:$Y$65,G67),$Z$2:$Z$65),"Not Defined")</f>
        <v>OH Part</v>
      </c>
      <c r="Q67" t="str" cm="1">
        <f t="array" ref="Q67">IFERROR(LOOKUP(2,1/SEARCH($S$2:$S$65,H67),$T$2:$T$65),"-")</f>
        <v>OH ASSY</v>
      </c>
      <c r="AI67" t="s">
        <v>7800</v>
      </c>
    </row>
    <row r="68" spans="1:35" hidden="1" x14ac:dyDescent="0.25">
      <c r="A68" t="s">
        <v>7672</v>
      </c>
      <c r="B68" t="s">
        <v>260</v>
      </c>
      <c r="C68">
        <v>1</v>
      </c>
      <c r="D68" t="s">
        <v>7060</v>
      </c>
      <c r="E68" t="s">
        <v>7841</v>
      </c>
      <c r="F68" t="s">
        <v>261</v>
      </c>
      <c r="G68" t="s">
        <v>263</v>
      </c>
      <c r="H68" t="s">
        <v>262</v>
      </c>
      <c r="I68" t="s">
        <v>13</v>
      </c>
      <c r="J68" t="s">
        <v>7682</v>
      </c>
      <c r="K68" t="s">
        <v>7826</v>
      </c>
      <c r="L68" t="s">
        <v>7826</v>
      </c>
      <c r="N68" t="str" cm="1">
        <f t="array" ref="N68">IFERROR(LOOKUP(2,1/SEARCH($S$2:$S$65,G68),$T$2:$T$65),"Misc")</f>
        <v>OH P/N</v>
      </c>
      <c r="O68" t="str" cm="1">
        <f t="array" ref="O68">IFERROR(LOOKUP(2,1/SEARCH($V$2:$V$65,G68),$W$2:$W$65),"Misc")</f>
        <v>OH Part</v>
      </c>
      <c r="P68" t="str" cm="1">
        <f t="array" ref="P68">IFERROR(LOOKUP(2,1/SEARCH($Y$2:$Y$65,G68),$Z$2:$Z$65),"Not Defined")</f>
        <v>OH Part</v>
      </c>
      <c r="Q68" t="str" cm="1">
        <f t="array" ref="Q68">IFERROR(LOOKUP(2,1/SEARCH($S$2:$S$65,H68),$T$2:$T$65),"-")</f>
        <v>-</v>
      </c>
      <c r="AI68" t="s">
        <v>7720</v>
      </c>
    </row>
    <row r="69" spans="1:35" hidden="1" x14ac:dyDescent="0.25">
      <c r="A69" t="s">
        <v>7672</v>
      </c>
      <c r="B69" t="s">
        <v>264</v>
      </c>
      <c r="C69">
        <v>19</v>
      </c>
      <c r="D69" t="s">
        <v>7060</v>
      </c>
      <c r="E69" t="s">
        <v>7841</v>
      </c>
      <c r="F69" t="s">
        <v>265</v>
      </c>
      <c r="G69" t="s">
        <v>7099</v>
      </c>
      <c r="H69" t="s">
        <v>266</v>
      </c>
      <c r="I69" t="s">
        <v>224</v>
      </c>
      <c r="J69" t="s">
        <v>7703</v>
      </c>
      <c r="K69" t="s">
        <v>7684</v>
      </c>
      <c r="L69" t="s">
        <v>7687</v>
      </c>
      <c r="N69" t="str" cm="1">
        <f t="array" ref="N69">IFERROR(LOOKUP(2,1/SEARCH($S$2:$S$65,G69),$T$2:$T$65),"Misc")</f>
        <v>COTS</v>
      </c>
      <c r="O69" t="str" cm="1">
        <f t="array" ref="O69">IFERROR(LOOKUP(2,1/SEARCH($V$2:$V$65,G69),$W$2:$W$65),"Misc")</f>
        <v>Fasteners</v>
      </c>
      <c r="P69" t="str" cm="1">
        <f t="array" ref="P69">IFERROR(LOOKUP(2,1/SEARCH($Y$2:$Y$65,G69),$Z$2:$Z$65),"Not Defined")</f>
        <v>INSERT</v>
      </c>
      <c r="Q69" t="str" cm="1">
        <f t="array" ref="Q69">IFERROR(LOOKUP(2,1/SEARCH($S$2:$S$65,H69),$T$2:$T$65),"-")</f>
        <v>COTS</v>
      </c>
      <c r="AI69" t="s">
        <v>7801</v>
      </c>
    </row>
    <row r="70" spans="1:35" hidden="1" x14ac:dyDescent="0.25">
      <c r="A70" t="s">
        <v>7672</v>
      </c>
      <c r="B70" t="s">
        <v>267</v>
      </c>
      <c r="C70">
        <v>4</v>
      </c>
      <c r="D70" t="s">
        <v>7060</v>
      </c>
      <c r="E70" t="s">
        <v>7841</v>
      </c>
      <c r="F70" t="s">
        <v>268</v>
      </c>
      <c r="G70" t="s">
        <v>7061</v>
      </c>
      <c r="H70" t="s">
        <v>269</v>
      </c>
      <c r="I70" t="s">
        <v>224</v>
      </c>
      <c r="J70" t="s">
        <v>7703</v>
      </c>
      <c r="K70" t="s">
        <v>7684</v>
      </c>
      <c r="L70" t="s">
        <v>7687</v>
      </c>
      <c r="N70" t="str" cm="1">
        <f t="array" ref="N70">IFERROR(LOOKUP(2,1/SEARCH($S$2:$S$65,G70),$T$2:$T$65),"Misc")</f>
        <v>COTS</v>
      </c>
      <c r="O70" t="str" cm="1">
        <f t="array" ref="O70">IFERROR(LOOKUP(2,1/SEARCH($V$2:$V$65,G70),$W$2:$W$65),"Misc")</f>
        <v>Fasteners</v>
      </c>
      <c r="P70" t="str" cm="1">
        <f t="array" ref="P70">IFERROR(LOOKUP(2,1/SEARCH($Y$2:$Y$65,G70),$Z$2:$Z$65),"Not Defined")</f>
        <v>INSERT</v>
      </c>
      <c r="Q70" t="str" cm="1">
        <f t="array" ref="Q70">IFERROR(LOOKUP(2,1/SEARCH($S$2:$S$65,H70),$T$2:$T$65),"-")</f>
        <v>COTS</v>
      </c>
      <c r="AI70" t="s">
        <v>7802</v>
      </c>
    </row>
    <row r="71" spans="1:35" hidden="1" x14ac:dyDescent="0.25">
      <c r="A71" t="s">
        <v>7672</v>
      </c>
      <c r="B71" t="s">
        <v>270</v>
      </c>
      <c r="C71">
        <v>1</v>
      </c>
      <c r="D71" t="s">
        <v>7060</v>
      </c>
      <c r="E71" t="s">
        <v>272</v>
      </c>
      <c r="F71" t="s">
        <v>271</v>
      </c>
      <c r="G71" t="s">
        <v>7062</v>
      </c>
      <c r="H71" t="s">
        <v>272</v>
      </c>
      <c r="J71" t="s">
        <v>7682</v>
      </c>
      <c r="K71" t="s">
        <v>7826</v>
      </c>
      <c r="L71" t="s">
        <v>7826</v>
      </c>
      <c r="N71" t="str" cm="1">
        <f t="array" ref="N71">IFERROR(LOOKUP(2,1/SEARCH($S$2:$S$65,G71),$T$2:$T$65),"Misc")</f>
        <v>OH P/N</v>
      </c>
      <c r="O71" t="str" cm="1">
        <f t="array" ref="O71">IFERROR(LOOKUP(2,1/SEARCH($V$2:$V$65,G71),$W$2:$W$65),"Misc")</f>
        <v>OH Part</v>
      </c>
      <c r="P71" t="str" cm="1">
        <f t="array" ref="P71">IFERROR(LOOKUP(2,1/SEARCH($Y$2:$Y$65,G71),$Z$2:$Z$65),"Not Defined")</f>
        <v>OH Part</v>
      </c>
      <c r="Q71" t="str" cm="1">
        <f t="array" ref="Q71">IFERROR(LOOKUP(2,1/SEARCH($S$2:$S$65,H71),$T$2:$T$65),"-")</f>
        <v>-</v>
      </c>
      <c r="AI71" t="s">
        <v>7803</v>
      </c>
    </row>
    <row r="72" spans="1:35" hidden="1" x14ac:dyDescent="0.25">
      <c r="A72" t="s">
        <v>7672</v>
      </c>
      <c r="B72" t="s">
        <v>273</v>
      </c>
      <c r="C72">
        <v>1</v>
      </c>
      <c r="D72" t="s">
        <v>7060</v>
      </c>
      <c r="E72" t="s">
        <v>272</v>
      </c>
      <c r="F72" t="s">
        <v>274</v>
      </c>
      <c r="G72" t="s">
        <v>276</v>
      </c>
      <c r="H72" t="s">
        <v>275</v>
      </c>
      <c r="I72" t="s">
        <v>13</v>
      </c>
      <c r="J72" t="s">
        <v>7682</v>
      </c>
      <c r="K72" t="s">
        <v>7826</v>
      </c>
      <c r="L72" t="s">
        <v>7826</v>
      </c>
      <c r="N72" t="str" cm="1">
        <f t="array" ref="N72">IFERROR(LOOKUP(2,1/SEARCH($S$2:$S$65,G72),$T$2:$T$65),"Misc")</f>
        <v>OH P/N</v>
      </c>
      <c r="O72" t="str" cm="1">
        <f t="array" ref="O72">IFERROR(LOOKUP(2,1/SEARCH($V$2:$V$65,G72),$W$2:$W$65),"Misc")</f>
        <v>OH Part</v>
      </c>
      <c r="P72" t="str" cm="1">
        <f t="array" ref="P72">IFERROR(LOOKUP(2,1/SEARCH($Y$2:$Y$65,G72),$Z$2:$Z$65),"Not Defined")</f>
        <v>OH Part</v>
      </c>
      <c r="Q72" t="str" cm="1">
        <f t="array" ref="Q72">IFERROR(LOOKUP(2,1/SEARCH($S$2:$S$65,H72),$T$2:$T$65),"-")</f>
        <v>-</v>
      </c>
      <c r="AI72" t="s">
        <v>7804</v>
      </c>
    </row>
    <row r="73" spans="1:35" hidden="1" x14ac:dyDescent="0.25">
      <c r="A73" t="s">
        <v>7672</v>
      </c>
      <c r="B73" t="s">
        <v>277</v>
      </c>
      <c r="C73">
        <v>1</v>
      </c>
      <c r="D73" t="s">
        <v>7060</v>
      </c>
      <c r="E73" t="s">
        <v>272</v>
      </c>
      <c r="F73" t="s">
        <v>278</v>
      </c>
      <c r="G73" t="s">
        <v>280</v>
      </c>
      <c r="H73" t="s">
        <v>279</v>
      </c>
      <c r="I73" t="s">
        <v>281</v>
      </c>
      <c r="J73" t="s">
        <v>7682</v>
      </c>
      <c r="K73" t="s">
        <v>7826</v>
      </c>
      <c r="L73" t="s">
        <v>7826</v>
      </c>
      <c r="N73" t="str" cm="1">
        <f t="array" ref="N73">IFERROR(LOOKUP(2,1/SEARCH($S$2:$S$65,G73),$T$2:$T$65),"Misc")</f>
        <v>OH P/N</v>
      </c>
      <c r="O73" t="str" cm="1">
        <f t="array" ref="O73">IFERROR(LOOKUP(2,1/SEARCH($V$2:$V$65,G73),$W$2:$W$65),"Misc")</f>
        <v>OH Part</v>
      </c>
      <c r="P73" t="str" cm="1">
        <f t="array" ref="P73">IFERROR(LOOKUP(2,1/SEARCH($Y$2:$Y$65,G73),$Z$2:$Z$65),"Not Defined")</f>
        <v>OH Part</v>
      </c>
      <c r="Q73" t="str" cm="1">
        <f t="array" ref="Q73">IFERROR(LOOKUP(2,1/SEARCH($S$2:$S$65,H73),$T$2:$T$65),"-")</f>
        <v>-</v>
      </c>
      <c r="AI73" t="s">
        <v>7805</v>
      </c>
    </row>
    <row r="74" spans="1:35" hidden="1" x14ac:dyDescent="0.25">
      <c r="A74" t="s">
        <v>7672</v>
      </c>
      <c r="B74" t="s">
        <v>282</v>
      </c>
      <c r="C74">
        <v>1</v>
      </c>
      <c r="D74" t="s">
        <v>7060</v>
      </c>
      <c r="E74" t="s">
        <v>7845</v>
      </c>
      <c r="F74" t="s">
        <v>283</v>
      </c>
      <c r="G74" t="s">
        <v>7063</v>
      </c>
      <c r="H74" t="s">
        <v>284</v>
      </c>
      <c r="J74" t="s">
        <v>7744</v>
      </c>
      <c r="K74" t="s">
        <v>7826</v>
      </c>
      <c r="L74" t="s">
        <v>7826</v>
      </c>
      <c r="N74" t="str" cm="1">
        <f t="array" ref="N74">IFERROR(LOOKUP(2,1/SEARCH($S$2:$S$65,G74),$T$2:$T$65),"Misc")</f>
        <v>OH Common</v>
      </c>
      <c r="O74" t="str" cm="1">
        <f t="array" ref="O74">IFERROR(LOOKUP(2,1/SEARCH($V$2:$V$65,G74),$W$2:$W$65),"Misc")</f>
        <v>OH Part</v>
      </c>
      <c r="P74" t="str" cm="1">
        <f t="array" ref="P74">IFERROR(LOOKUP(2,1/SEARCH($Y$2:$Y$65,G74),$Z$2:$Z$65),"Not Defined")</f>
        <v>OH Part</v>
      </c>
      <c r="Q74" t="str" cm="1">
        <f t="array" ref="Q74">IFERROR(LOOKUP(2,1/SEARCH($S$2:$S$65,H74),$T$2:$T$65),"-")</f>
        <v>OH ASSY</v>
      </c>
      <c r="AI74" t="s">
        <v>7806</v>
      </c>
    </row>
    <row r="75" spans="1:35" hidden="1" x14ac:dyDescent="0.25">
      <c r="A75" t="s">
        <v>7672</v>
      </c>
      <c r="B75" t="s">
        <v>285</v>
      </c>
      <c r="C75">
        <v>1</v>
      </c>
      <c r="D75" t="s">
        <v>7060</v>
      </c>
      <c r="E75" t="s">
        <v>7845</v>
      </c>
      <c r="F75" t="s">
        <v>286</v>
      </c>
      <c r="G75" t="s">
        <v>288</v>
      </c>
      <c r="H75" t="s">
        <v>287</v>
      </c>
      <c r="I75" t="s">
        <v>13</v>
      </c>
      <c r="J75" t="s">
        <v>7744</v>
      </c>
      <c r="K75" t="s">
        <v>7826</v>
      </c>
      <c r="L75" t="s">
        <v>7826</v>
      </c>
      <c r="N75" t="str" cm="1">
        <f t="array" ref="N75">IFERROR(LOOKUP(2,1/SEARCH($S$2:$S$65,G75),$T$2:$T$65),"Misc")</f>
        <v>OH Common</v>
      </c>
      <c r="O75" t="str" cm="1">
        <f t="array" ref="O75">IFERROR(LOOKUP(2,1/SEARCH($V$2:$V$65,G75),$W$2:$W$65),"Misc")</f>
        <v>OH Part</v>
      </c>
      <c r="P75" t="str" cm="1">
        <f t="array" ref="P75">IFERROR(LOOKUP(2,1/SEARCH($Y$2:$Y$65,G75),$Z$2:$Z$65),"Not Defined")</f>
        <v>OH Part</v>
      </c>
      <c r="Q75" t="str" cm="1">
        <f t="array" ref="Q75">IFERROR(LOOKUP(2,1/SEARCH($S$2:$S$65,H75),$T$2:$T$65),"-")</f>
        <v>-</v>
      </c>
      <c r="AI75" t="s">
        <v>7807</v>
      </c>
    </row>
    <row r="76" spans="1:35" hidden="1" x14ac:dyDescent="0.25">
      <c r="A76" t="s">
        <v>7672</v>
      </c>
      <c r="B76" t="s">
        <v>289</v>
      </c>
      <c r="C76">
        <v>1</v>
      </c>
      <c r="D76" t="s">
        <v>7060</v>
      </c>
      <c r="E76" t="s">
        <v>7845</v>
      </c>
      <c r="F76" t="s">
        <v>290</v>
      </c>
      <c r="G76" t="s">
        <v>292</v>
      </c>
      <c r="H76" t="s">
        <v>291</v>
      </c>
      <c r="I76" t="s">
        <v>293</v>
      </c>
      <c r="J76" t="s">
        <v>7744</v>
      </c>
      <c r="K76" t="s">
        <v>7826</v>
      </c>
      <c r="L76" t="s">
        <v>7826</v>
      </c>
      <c r="N76" t="str" cm="1">
        <f t="array" ref="N76">IFERROR(LOOKUP(2,1/SEARCH($S$2:$S$65,G76),$T$2:$T$65),"Misc")</f>
        <v>OH Common</v>
      </c>
      <c r="O76" t="str" cm="1">
        <f t="array" ref="O76">IFERROR(LOOKUP(2,1/SEARCH($V$2:$V$65,G76),$W$2:$W$65),"Misc")</f>
        <v>OH Part</v>
      </c>
      <c r="P76" t="str" cm="1">
        <f t="array" ref="P76">IFERROR(LOOKUP(2,1/SEARCH($Y$2:$Y$65,G76),$Z$2:$Z$65),"Not Defined")</f>
        <v>OH Part</v>
      </c>
      <c r="Q76" t="str" cm="1">
        <f t="array" ref="Q76">IFERROR(LOOKUP(2,1/SEARCH($S$2:$S$65,H76),$T$2:$T$65),"-")</f>
        <v>-</v>
      </c>
    </row>
    <row r="77" spans="1:35" hidden="1" x14ac:dyDescent="0.25">
      <c r="A77" t="s">
        <v>7672</v>
      </c>
      <c r="B77" t="s">
        <v>294</v>
      </c>
      <c r="C77">
        <v>2</v>
      </c>
      <c r="D77" t="s">
        <v>7060</v>
      </c>
      <c r="E77" t="s">
        <v>7845</v>
      </c>
      <c r="F77">
        <v>1938</v>
      </c>
      <c r="G77" t="s">
        <v>7064</v>
      </c>
      <c r="H77" t="s">
        <v>295</v>
      </c>
      <c r="I77" t="s">
        <v>255</v>
      </c>
      <c r="J77" t="s">
        <v>7703</v>
      </c>
      <c r="K77" t="s">
        <v>7814</v>
      </c>
      <c r="L77" t="s">
        <v>7718</v>
      </c>
      <c r="N77" t="str" cm="1">
        <f t="array" ref="N77">IFERROR(LOOKUP(2,1/SEARCH($S$2:$S$65,G77),$T$2:$T$65),"Misc")</f>
        <v>COTS</v>
      </c>
      <c r="O77" t="str" cm="1">
        <f t="array" ref="O77">IFERROR(LOOKUP(2,1/SEARCH($V$2:$V$65,G77),$W$2:$W$65),"Misc")</f>
        <v>Misc</v>
      </c>
      <c r="P77" t="str" cm="1">
        <f t="array" ref="P77">IFERROR(LOOKUP(2,1/SEARCH($Y$2:$Y$65,G77),$Z$2:$Z$65),"Not Defined")</f>
        <v>LED</v>
      </c>
      <c r="Q77" t="str" cm="1">
        <f t="array" ref="Q77">IFERROR(LOOKUP(2,1/SEARCH($S$2:$S$65,H77),$T$2:$T$65),"-")</f>
        <v>COTS</v>
      </c>
    </row>
    <row r="78" spans="1:35" hidden="1" x14ac:dyDescent="0.25">
      <c r="A78" t="s">
        <v>7672</v>
      </c>
      <c r="B78" t="s">
        <v>296</v>
      </c>
      <c r="C78">
        <v>3</v>
      </c>
      <c r="D78" t="s">
        <v>7060</v>
      </c>
      <c r="E78" t="s">
        <v>7845</v>
      </c>
      <c r="F78" t="s">
        <v>297</v>
      </c>
      <c r="G78" t="s">
        <v>7065</v>
      </c>
      <c r="H78" t="s">
        <v>298</v>
      </c>
      <c r="I78" t="s">
        <v>299</v>
      </c>
      <c r="J78" t="s">
        <v>7703</v>
      </c>
      <c r="K78" t="s">
        <v>7684</v>
      </c>
      <c r="L78" t="s">
        <v>7708</v>
      </c>
      <c r="N78" t="str" cm="1">
        <f t="array" ref="N78">IFERROR(LOOKUP(2,1/SEARCH($S$2:$S$65,G78),$T$2:$T$65),"Misc")</f>
        <v>COTS</v>
      </c>
      <c r="O78" t="str" cm="1">
        <f t="array" ref="O78">IFERROR(LOOKUP(2,1/SEARCH($V$2:$V$65,G78),$W$2:$W$65),"Misc")</f>
        <v>Fasteners</v>
      </c>
      <c r="P78" t="str" cm="1">
        <f t="array" ref="P78">IFERROR(LOOKUP(2,1/SEARCH($Y$2:$Y$65,G78),$Z$2:$Z$65),"Not Defined")</f>
        <v>STANDOFF</v>
      </c>
      <c r="Q78" t="str" cm="1">
        <f t="array" ref="Q78">IFERROR(LOOKUP(2,1/SEARCH($S$2:$S$65,H78),$T$2:$T$65),"-")</f>
        <v>COTS</v>
      </c>
    </row>
    <row r="79" spans="1:35" hidden="1" x14ac:dyDescent="0.25">
      <c r="A79" t="s">
        <v>7672</v>
      </c>
      <c r="B79" t="s">
        <v>300</v>
      </c>
      <c r="C79">
        <v>3</v>
      </c>
      <c r="D79" t="s">
        <v>7060</v>
      </c>
      <c r="E79" t="s">
        <v>7845</v>
      </c>
      <c r="F79" t="s">
        <v>301</v>
      </c>
      <c r="G79" t="s">
        <v>7066</v>
      </c>
      <c r="H79" t="s">
        <v>302</v>
      </c>
      <c r="I79" t="s">
        <v>210</v>
      </c>
      <c r="J79" t="s">
        <v>7703</v>
      </c>
      <c r="K79" t="s">
        <v>7684</v>
      </c>
      <c r="L79" t="s">
        <v>7691</v>
      </c>
      <c r="N79" t="str" cm="1">
        <f t="array" ref="N79">IFERROR(LOOKUP(2,1/SEARCH($S$2:$S$65,G79),$T$2:$T$65),"Misc")</f>
        <v>COTS</v>
      </c>
      <c r="O79" t="str" cm="1">
        <f t="array" ref="O79">IFERROR(LOOKUP(2,1/SEARCH($V$2:$V$65,G79),$W$2:$W$65),"Misc")</f>
        <v>Fasteners</v>
      </c>
      <c r="P79" t="str" cm="1">
        <f t="array" ref="P79">IFERROR(LOOKUP(2,1/SEARCH($Y$2:$Y$65,G79),$Z$2:$Z$65),"Not Defined")</f>
        <v>FHS</v>
      </c>
      <c r="Q79" t="str" cm="1">
        <f t="array" ref="Q79">IFERROR(LOOKUP(2,1/SEARCH($S$2:$S$65,H79),$T$2:$T$65),"-")</f>
        <v>COTS</v>
      </c>
    </row>
    <row r="80" spans="1:35" hidden="1" x14ac:dyDescent="0.25">
      <c r="A80" t="s">
        <v>7672</v>
      </c>
      <c r="B80" t="s">
        <v>303</v>
      </c>
      <c r="C80">
        <v>3</v>
      </c>
      <c r="D80" t="s">
        <v>7060</v>
      </c>
      <c r="E80" t="s">
        <v>7845</v>
      </c>
      <c r="F80" t="s">
        <v>304</v>
      </c>
      <c r="G80" t="s">
        <v>7067</v>
      </c>
      <c r="H80" t="s">
        <v>305</v>
      </c>
      <c r="I80" t="s">
        <v>210</v>
      </c>
      <c r="J80" t="s">
        <v>7703</v>
      </c>
      <c r="K80" t="s">
        <v>7684</v>
      </c>
      <c r="L80" t="s">
        <v>7693</v>
      </c>
      <c r="N80" t="str" cm="1">
        <f t="array" ref="N80">IFERROR(LOOKUP(2,1/SEARCH($S$2:$S$65,G80),$T$2:$T$65),"Misc")</f>
        <v>COTS</v>
      </c>
      <c r="O80" t="str" cm="1">
        <f t="array" ref="O80">IFERROR(LOOKUP(2,1/SEARCH($V$2:$V$65,G80),$W$2:$W$65),"Misc")</f>
        <v>Fasteners</v>
      </c>
      <c r="P80" t="str" cm="1">
        <f t="array" ref="P80">IFERROR(LOOKUP(2,1/SEARCH($Y$2:$Y$65,G80),$Z$2:$Z$65),"Not Defined")</f>
        <v>PHS</v>
      </c>
      <c r="Q80" t="str" cm="1">
        <f t="array" ref="Q80">IFERROR(LOOKUP(2,1/SEARCH($S$2:$S$65,H80),$T$2:$T$65),"-")</f>
        <v>COTS</v>
      </c>
    </row>
    <row r="81" spans="1:17" hidden="1" x14ac:dyDescent="0.25">
      <c r="A81" t="s">
        <v>7672</v>
      </c>
      <c r="B81" t="s">
        <v>306</v>
      </c>
      <c r="C81">
        <v>3</v>
      </c>
      <c r="D81" t="s">
        <v>7060</v>
      </c>
      <c r="E81" t="s">
        <v>7845</v>
      </c>
      <c r="F81" t="s">
        <v>307</v>
      </c>
      <c r="G81" t="s">
        <v>7068</v>
      </c>
      <c r="H81" t="s">
        <v>308</v>
      </c>
      <c r="I81" t="s">
        <v>228</v>
      </c>
      <c r="J81" t="s">
        <v>7703</v>
      </c>
      <c r="K81" t="s">
        <v>7684</v>
      </c>
      <c r="L81" t="s">
        <v>7693</v>
      </c>
      <c r="N81" t="str" cm="1">
        <f t="array" ref="N81">IFERROR(LOOKUP(2,1/SEARCH($S$2:$S$65,G81),$T$2:$T$65),"Misc")</f>
        <v>COTS</v>
      </c>
      <c r="O81" t="str" cm="1">
        <f t="array" ref="O81">IFERROR(LOOKUP(2,1/SEARCH($V$2:$V$65,G81),$W$2:$W$65),"Misc")</f>
        <v>Fasteners</v>
      </c>
      <c r="P81" t="str" cm="1">
        <f t="array" ref="P81">IFERROR(LOOKUP(2,1/SEARCH($Y$2:$Y$65,G81),$Z$2:$Z$65),"Not Defined")</f>
        <v>PHS</v>
      </c>
      <c r="Q81" t="str" cm="1">
        <f t="array" ref="Q81">IFERROR(LOOKUP(2,1/SEARCH($S$2:$S$65,H81),$T$2:$T$65),"-")</f>
        <v>COTS</v>
      </c>
    </row>
    <row r="82" spans="1:17" hidden="1" x14ac:dyDescent="0.25">
      <c r="A82" t="s">
        <v>7672</v>
      </c>
      <c r="B82" t="s">
        <v>309</v>
      </c>
      <c r="C82">
        <v>1</v>
      </c>
      <c r="D82" t="s">
        <v>7060</v>
      </c>
      <c r="E82" t="s">
        <v>7845</v>
      </c>
      <c r="F82" t="s">
        <v>310</v>
      </c>
      <c r="G82" t="s">
        <v>7069</v>
      </c>
      <c r="H82" t="s">
        <v>311</v>
      </c>
      <c r="I82" t="s">
        <v>255</v>
      </c>
      <c r="J82" t="s">
        <v>7703</v>
      </c>
      <c r="K82" t="s">
        <v>7814</v>
      </c>
      <c r="L82" t="s">
        <v>7723</v>
      </c>
      <c r="N82" t="str" cm="1">
        <f t="array" ref="N82">IFERROR(LOOKUP(2,1/SEARCH($S$2:$S$65,G82),$T$2:$T$65),"Misc")</f>
        <v>COTS</v>
      </c>
      <c r="O82" t="str" cm="1">
        <f t="array" ref="O82">IFERROR(LOOKUP(2,1/SEARCH($V$2:$V$65,G82),$W$2:$W$65),"Misc")</f>
        <v>Misc</v>
      </c>
      <c r="P82" t="str" cm="1">
        <f t="array" ref="P82">IFERROR(LOOKUP(2,1/SEARCH($Y$2:$Y$65,G82),$Z$2:$Z$65),"Not Defined")</f>
        <v>MICROSTEPPER</v>
      </c>
      <c r="Q82" t="str" cm="1">
        <f t="array" ref="Q82">IFERROR(LOOKUP(2,1/SEARCH($S$2:$S$65,H82),$T$2:$T$65),"-")</f>
        <v>COTS</v>
      </c>
    </row>
    <row r="83" spans="1:17" hidden="1" x14ac:dyDescent="0.25">
      <c r="A83" t="s">
        <v>7672</v>
      </c>
      <c r="B83" t="s">
        <v>312</v>
      </c>
      <c r="C83">
        <v>1</v>
      </c>
      <c r="D83" t="s">
        <v>7060</v>
      </c>
      <c r="E83" t="s">
        <v>7845</v>
      </c>
      <c r="F83" t="s">
        <v>313</v>
      </c>
      <c r="G83" t="s">
        <v>7070</v>
      </c>
      <c r="H83" t="s">
        <v>314</v>
      </c>
      <c r="I83" t="s">
        <v>255</v>
      </c>
      <c r="J83" t="s">
        <v>7744</v>
      </c>
      <c r="K83" t="s">
        <v>7826</v>
      </c>
      <c r="L83" t="s">
        <v>7826</v>
      </c>
      <c r="N83" t="str" cm="1">
        <f t="array" ref="N83">IFERROR(LOOKUP(2,1/SEARCH($S$2:$S$65,G83),$T$2:$T$65),"Misc")</f>
        <v>OH Common</v>
      </c>
      <c r="O83" t="str" cm="1">
        <f t="array" ref="O83">IFERROR(LOOKUP(2,1/SEARCH($V$2:$V$65,G83),$W$2:$W$65),"Misc")</f>
        <v>OH Part</v>
      </c>
      <c r="P83" t="str" cm="1">
        <f t="array" ref="P83">IFERROR(LOOKUP(2,1/SEARCH($Y$2:$Y$65,G83),$Z$2:$Z$65),"Not Defined")</f>
        <v>OH Part</v>
      </c>
      <c r="Q83" t="str" cm="1">
        <f t="array" ref="Q83">IFERROR(LOOKUP(2,1/SEARCH($S$2:$S$65,H83),$T$2:$T$65),"-")</f>
        <v>COTS</v>
      </c>
    </row>
    <row r="84" spans="1:17" hidden="1" x14ac:dyDescent="0.25">
      <c r="A84" t="s">
        <v>7672</v>
      </c>
      <c r="B84" t="s">
        <v>315</v>
      </c>
      <c r="C84">
        <v>1</v>
      </c>
      <c r="D84" t="s">
        <v>7060</v>
      </c>
      <c r="E84" t="s">
        <v>7845</v>
      </c>
      <c r="F84" t="s">
        <v>316</v>
      </c>
      <c r="G84" t="s">
        <v>7071</v>
      </c>
      <c r="H84" t="s">
        <v>317</v>
      </c>
      <c r="I84" t="s">
        <v>255</v>
      </c>
      <c r="J84" t="s">
        <v>7744</v>
      </c>
      <c r="K84" t="s">
        <v>7826</v>
      </c>
      <c r="L84" t="s">
        <v>7826</v>
      </c>
      <c r="N84" t="str" cm="1">
        <f t="array" ref="N84">IFERROR(LOOKUP(2,1/SEARCH($S$2:$S$65,G84),$T$2:$T$65),"Misc")</f>
        <v>OH Common</v>
      </c>
      <c r="O84" t="str" cm="1">
        <f t="array" ref="O84">IFERROR(LOOKUP(2,1/SEARCH($V$2:$V$65,G84),$W$2:$W$65),"Misc")</f>
        <v>OH Part</v>
      </c>
      <c r="P84" t="str" cm="1">
        <f t="array" ref="P84">IFERROR(LOOKUP(2,1/SEARCH($Y$2:$Y$65,G84),$Z$2:$Z$65),"Not Defined")</f>
        <v>OH Part</v>
      </c>
      <c r="Q84" t="str" cm="1">
        <f t="array" ref="Q84">IFERROR(LOOKUP(2,1/SEARCH($S$2:$S$65,H84),$T$2:$T$65),"-")</f>
        <v>-</v>
      </c>
    </row>
    <row r="85" spans="1:17" hidden="1" x14ac:dyDescent="0.25">
      <c r="A85" t="s">
        <v>7672</v>
      </c>
      <c r="B85" t="s">
        <v>318</v>
      </c>
      <c r="C85">
        <v>1</v>
      </c>
      <c r="D85" t="s">
        <v>7060</v>
      </c>
      <c r="E85" t="s">
        <v>272</v>
      </c>
      <c r="F85" t="s">
        <v>319</v>
      </c>
      <c r="G85" t="s">
        <v>7072</v>
      </c>
      <c r="H85" t="s">
        <v>320</v>
      </c>
      <c r="I85" t="s">
        <v>293</v>
      </c>
      <c r="J85" t="s">
        <v>7744</v>
      </c>
      <c r="K85" t="s">
        <v>7826</v>
      </c>
      <c r="L85" t="s">
        <v>7826</v>
      </c>
      <c r="N85" t="str" cm="1">
        <f t="array" ref="N85">IFERROR(LOOKUP(2,1/SEARCH($S$2:$S$65,G85),$T$2:$T$65),"Misc")</f>
        <v>OH Common</v>
      </c>
      <c r="O85" t="str" cm="1">
        <f t="array" ref="O85">IFERROR(LOOKUP(2,1/SEARCH($V$2:$V$65,G85),$W$2:$W$65),"Misc")</f>
        <v>OH Part</v>
      </c>
      <c r="P85" t="str" cm="1">
        <f t="array" ref="P85">IFERROR(LOOKUP(2,1/SEARCH($Y$2:$Y$65,G85),$Z$2:$Z$65),"Not Defined")</f>
        <v>OH Part</v>
      </c>
      <c r="Q85" t="str" cm="1">
        <f t="array" ref="Q85">IFERROR(LOOKUP(2,1/SEARCH($S$2:$S$65,H85),$T$2:$T$65),"-")</f>
        <v>-</v>
      </c>
    </row>
    <row r="86" spans="1:17" hidden="1" x14ac:dyDescent="0.25">
      <c r="A86" t="s">
        <v>7672</v>
      </c>
      <c r="B86" t="s">
        <v>321</v>
      </c>
      <c r="C86">
        <v>1</v>
      </c>
      <c r="D86" t="s">
        <v>7060</v>
      </c>
      <c r="E86" t="s">
        <v>272</v>
      </c>
      <c r="F86" t="s">
        <v>322</v>
      </c>
      <c r="G86" t="s">
        <v>7073</v>
      </c>
      <c r="H86" t="s">
        <v>323</v>
      </c>
      <c r="I86" t="s">
        <v>13</v>
      </c>
      <c r="J86" t="s">
        <v>7744</v>
      </c>
      <c r="K86" t="s">
        <v>7826</v>
      </c>
      <c r="L86" t="s">
        <v>7826</v>
      </c>
      <c r="N86" t="str" cm="1">
        <f t="array" ref="N86">IFERROR(LOOKUP(2,1/SEARCH($S$2:$S$65,G86),$T$2:$T$65),"Misc")</f>
        <v>OH Common</v>
      </c>
      <c r="O86" t="str" cm="1">
        <f t="array" ref="O86">IFERROR(LOOKUP(2,1/SEARCH($V$2:$V$65,G86),$W$2:$W$65),"Misc")</f>
        <v>OH Part</v>
      </c>
      <c r="P86" t="str" cm="1">
        <f t="array" ref="P86">IFERROR(LOOKUP(2,1/SEARCH($Y$2:$Y$65,G86),$Z$2:$Z$65),"Not Defined")</f>
        <v>OH Part</v>
      </c>
      <c r="Q86" t="str" cm="1">
        <f t="array" ref="Q86">IFERROR(LOOKUP(2,1/SEARCH($S$2:$S$65,H86),$T$2:$T$65),"-")</f>
        <v>COTS</v>
      </c>
    </row>
    <row r="87" spans="1:17" hidden="1" x14ac:dyDescent="0.25">
      <c r="A87" t="s">
        <v>7672</v>
      </c>
      <c r="B87" t="s">
        <v>324</v>
      </c>
      <c r="C87">
        <v>1</v>
      </c>
      <c r="D87" t="s">
        <v>7060</v>
      </c>
      <c r="E87" t="s">
        <v>272</v>
      </c>
      <c r="F87" t="s">
        <v>325</v>
      </c>
      <c r="G87" t="s">
        <v>7074</v>
      </c>
      <c r="H87" t="s">
        <v>326</v>
      </c>
      <c r="I87" t="s">
        <v>293</v>
      </c>
      <c r="J87" t="s">
        <v>7744</v>
      </c>
      <c r="K87" t="s">
        <v>7826</v>
      </c>
      <c r="L87" t="s">
        <v>7826</v>
      </c>
      <c r="N87" t="str" cm="1">
        <f t="array" ref="N87">IFERROR(LOOKUP(2,1/SEARCH($S$2:$S$65,G87),$T$2:$T$65),"Misc")</f>
        <v>OH Common</v>
      </c>
      <c r="O87" t="str" cm="1">
        <f t="array" ref="O87">IFERROR(LOOKUP(2,1/SEARCH($V$2:$V$65,G87),$W$2:$W$65),"Misc")</f>
        <v>OH Part</v>
      </c>
      <c r="P87" t="str" cm="1">
        <f t="array" ref="P87">IFERROR(LOOKUP(2,1/SEARCH($Y$2:$Y$65,G87),$Z$2:$Z$65),"Not Defined")</f>
        <v>OH Part</v>
      </c>
      <c r="Q87" t="str" cm="1">
        <f t="array" ref="Q87">IFERROR(LOOKUP(2,1/SEARCH($S$2:$S$65,H87),$T$2:$T$65),"-")</f>
        <v>-</v>
      </c>
    </row>
    <row r="88" spans="1:17" hidden="1" x14ac:dyDescent="0.25">
      <c r="A88" t="s">
        <v>7672</v>
      </c>
      <c r="B88" t="s">
        <v>327</v>
      </c>
      <c r="C88">
        <v>1</v>
      </c>
      <c r="D88" t="s">
        <v>7060</v>
      </c>
      <c r="E88" t="s">
        <v>329</v>
      </c>
      <c r="F88" t="s">
        <v>328</v>
      </c>
      <c r="G88" t="s">
        <v>7075</v>
      </c>
      <c r="H88" t="s">
        <v>329</v>
      </c>
      <c r="J88" t="s">
        <v>7682</v>
      </c>
      <c r="K88" t="s">
        <v>7826</v>
      </c>
      <c r="L88" t="s">
        <v>7826</v>
      </c>
      <c r="N88" t="str" cm="1">
        <f t="array" ref="N88">IFERROR(LOOKUP(2,1/SEARCH($S$2:$S$65,G88),$T$2:$T$65),"Misc")</f>
        <v>OH P/N</v>
      </c>
      <c r="O88" t="str" cm="1">
        <f t="array" ref="O88">IFERROR(LOOKUP(2,1/SEARCH($V$2:$V$65,G88),$W$2:$W$65),"Misc")</f>
        <v>OH Part</v>
      </c>
      <c r="P88" t="str" cm="1">
        <f t="array" ref="P88">IFERROR(LOOKUP(2,1/SEARCH($Y$2:$Y$65,G88),$Z$2:$Z$65),"Not Defined")</f>
        <v>OH Part</v>
      </c>
      <c r="Q88" t="str" cm="1">
        <f t="array" ref="Q88">IFERROR(LOOKUP(2,1/SEARCH($S$2:$S$65,H88),$T$2:$T$65),"-")</f>
        <v>-</v>
      </c>
    </row>
    <row r="89" spans="1:17" hidden="1" x14ac:dyDescent="0.25">
      <c r="A89" t="s">
        <v>7672</v>
      </c>
      <c r="B89" t="s">
        <v>330</v>
      </c>
      <c r="C89">
        <v>1</v>
      </c>
      <c r="D89" t="s">
        <v>7060</v>
      </c>
      <c r="E89" t="s">
        <v>329</v>
      </c>
      <c r="F89" t="s">
        <v>331</v>
      </c>
      <c r="G89" t="s">
        <v>333</v>
      </c>
      <c r="H89" t="s">
        <v>332</v>
      </c>
      <c r="I89" t="s">
        <v>13</v>
      </c>
      <c r="J89" t="s">
        <v>7682</v>
      </c>
      <c r="K89" t="s">
        <v>7826</v>
      </c>
      <c r="L89" t="s">
        <v>7826</v>
      </c>
      <c r="N89" t="str" cm="1">
        <f t="array" ref="N89">IFERROR(LOOKUP(2,1/SEARCH($S$2:$S$65,G89),$T$2:$T$65),"Misc")</f>
        <v>OH P/N</v>
      </c>
      <c r="O89" t="str" cm="1">
        <f t="array" ref="O89">IFERROR(LOOKUP(2,1/SEARCH($V$2:$V$65,G89),$W$2:$W$65),"Misc")</f>
        <v>OH Part</v>
      </c>
      <c r="P89" t="str" cm="1">
        <f t="array" ref="P89">IFERROR(LOOKUP(2,1/SEARCH($Y$2:$Y$65,G89),$Z$2:$Z$65),"Not Defined")</f>
        <v>OH Part</v>
      </c>
      <c r="Q89" t="str" cm="1">
        <f t="array" ref="Q89">IFERROR(LOOKUP(2,1/SEARCH($S$2:$S$65,H89),$T$2:$T$65),"-")</f>
        <v>-</v>
      </c>
    </row>
    <row r="90" spans="1:17" hidden="1" x14ac:dyDescent="0.25">
      <c r="A90" t="s">
        <v>7672</v>
      </c>
      <c r="B90" t="s">
        <v>334</v>
      </c>
      <c r="C90">
        <v>1</v>
      </c>
      <c r="D90" t="s">
        <v>7060</v>
      </c>
      <c r="E90" t="s">
        <v>329</v>
      </c>
      <c r="F90" t="s">
        <v>335</v>
      </c>
      <c r="G90" t="s">
        <v>337</v>
      </c>
      <c r="H90" t="s">
        <v>336</v>
      </c>
      <c r="I90" t="s">
        <v>281</v>
      </c>
      <c r="J90" t="s">
        <v>7682</v>
      </c>
      <c r="K90" t="s">
        <v>7826</v>
      </c>
      <c r="L90" t="s">
        <v>7826</v>
      </c>
      <c r="N90" t="str" cm="1">
        <f t="array" ref="N90">IFERROR(LOOKUP(2,1/SEARCH($S$2:$S$65,G90),$T$2:$T$65),"Misc")</f>
        <v>OH P/N</v>
      </c>
      <c r="O90" t="str" cm="1">
        <f t="array" ref="O90">IFERROR(LOOKUP(2,1/SEARCH($V$2:$V$65,G90),$W$2:$W$65),"Misc")</f>
        <v>OH Part</v>
      </c>
      <c r="P90" t="str" cm="1">
        <f t="array" ref="P90">IFERROR(LOOKUP(2,1/SEARCH($Y$2:$Y$65,G90),$Z$2:$Z$65),"Not Defined")</f>
        <v>OH Part</v>
      </c>
      <c r="Q90" t="str" cm="1">
        <f t="array" ref="Q90">IFERROR(LOOKUP(2,1/SEARCH($S$2:$S$65,H90),$T$2:$T$65),"-")</f>
        <v>-</v>
      </c>
    </row>
    <row r="91" spans="1:17" hidden="1" x14ac:dyDescent="0.25">
      <c r="A91" t="s">
        <v>7672</v>
      </c>
      <c r="B91" t="s">
        <v>338</v>
      </c>
      <c r="C91">
        <v>1</v>
      </c>
      <c r="D91" t="s">
        <v>7060</v>
      </c>
      <c r="E91" t="s">
        <v>329</v>
      </c>
      <c r="F91" t="s">
        <v>339</v>
      </c>
      <c r="G91" t="s">
        <v>341</v>
      </c>
      <c r="H91" t="s">
        <v>340</v>
      </c>
      <c r="I91" t="s">
        <v>13</v>
      </c>
      <c r="J91" t="s">
        <v>7682</v>
      </c>
      <c r="K91" t="s">
        <v>7826</v>
      </c>
      <c r="L91" t="s">
        <v>7826</v>
      </c>
      <c r="N91" t="str" cm="1">
        <f t="array" ref="N91">IFERROR(LOOKUP(2,1/SEARCH($S$2:$S$65,G91),$T$2:$T$65),"Misc")</f>
        <v>OH P/N</v>
      </c>
      <c r="O91" t="str" cm="1">
        <f t="array" ref="O91">IFERROR(LOOKUP(2,1/SEARCH($V$2:$V$65,G91),$W$2:$W$65),"Misc")</f>
        <v>OH Part</v>
      </c>
      <c r="P91" t="str" cm="1">
        <f t="array" ref="P91">IFERROR(LOOKUP(2,1/SEARCH($Y$2:$Y$65,G91),$Z$2:$Z$65),"Not Defined")</f>
        <v>OH Part</v>
      </c>
      <c r="Q91" t="str" cm="1">
        <f t="array" ref="Q91">IFERROR(LOOKUP(2,1/SEARCH($S$2:$S$65,H91),$T$2:$T$65),"-")</f>
        <v>-</v>
      </c>
    </row>
    <row r="92" spans="1:17" hidden="1" x14ac:dyDescent="0.25">
      <c r="A92" t="s">
        <v>7672</v>
      </c>
      <c r="B92" t="s">
        <v>342</v>
      </c>
      <c r="C92">
        <v>1</v>
      </c>
      <c r="D92" t="s">
        <v>7060</v>
      </c>
      <c r="E92" t="s">
        <v>329</v>
      </c>
      <c r="F92" t="s">
        <v>343</v>
      </c>
      <c r="G92" t="s">
        <v>345</v>
      </c>
      <c r="H92" t="s">
        <v>344</v>
      </c>
      <c r="I92" t="s">
        <v>293</v>
      </c>
      <c r="J92" t="s">
        <v>7682</v>
      </c>
      <c r="K92" t="s">
        <v>7826</v>
      </c>
      <c r="L92" t="s">
        <v>7826</v>
      </c>
      <c r="N92" t="str" cm="1">
        <f t="array" ref="N92">IFERROR(LOOKUP(2,1/SEARCH($S$2:$S$65,G92),$T$2:$T$65),"Misc")</f>
        <v>OH P/N</v>
      </c>
      <c r="O92" t="str" cm="1">
        <f t="array" ref="O92">IFERROR(LOOKUP(2,1/SEARCH($V$2:$V$65,G92),$W$2:$W$65),"Misc")</f>
        <v>OH Part</v>
      </c>
      <c r="P92" t="str" cm="1">
        <f t="array" ref="P92">IFERROR(LOOKUP(2,1/SEARCH($Y$2:$Y$65,G92),$Z$2:$Z$65),"Not Defined")</f>
        <v>OH Part</v>
      </c>
      <c r="Q92" t="str" cm="1">
        <f t="array" ref="Q92">IFERROR(LOOKUP(2,1/SEARCH($S$2:$S$65,H92),$T$2:$T$65),"-")</f>
        <v>-</v>
      </c>
    </row>
    <row r="93" spans="1:17" hidden="1" x14ac:dyDescent="0.25">
      <c r="A93" t="s">
        <v>7672</v>
      </c>
      <c r="B93" t="s">
        <v>346</v>
      </c>
      <c r="C93">
        <v>1</v>
      </c>
      <c r="D93" t="s">
        <v>7060</v>
      </c>
      <c r="E93" t="s">
        <v>329</v>
      </c>
      <c r="F93" t="s">
        <v>347</v>
      </c>
      <c r="G93" t="s">
        <v>349</v>
      </c>
      <c r="H93" t="s">
        <v>348</v>
      </c>
      <c r="I93" t="s">
        <v>293</v>
      </c>
      <c r="J93" t="s">
        <v>7682</v>
      </c>
      <c r="K93" t="s">
        <v>7826</v>
      </c>
      <c r="L93" t="s">
        <v>7826</v>
      </c>
      <c r="N93" t="str" cm="1">
        <f t="array" ref="N93">IFERROR(LOOKUP(2,1/SEARCH($S$2:$S$65,G93),$T$2:$T$65),"Misc")</f>
        <v>OH P/N</v>
      </c>
      <c r="O93" t="str" cm="1">
        <f t="array" ref="O93">IFERROR(LOOKUP(2,1/SEARCH($V$2:$V$65,G93),$W$2:$W$65),"Misc")</f>
        <v>OH Part</v>
      </c>
      <c r="P93" t="str" cm="1">
        <f t="array" ref="P93">IFERROR(LOOKUP(2,1/SEARCH($Y$2:$Y$65,G93),$Z$2:$Z$65),"Not Defined")</f>
        <v>OH Part</v>
      </c>
      <c r="Q93" t="str" cm="1">
        <f t="array" ref="Q93">IFERROR(LOOKUP(2,1/SEARCH($S$2:$S$65,H93),$T$2:$T$65),"-")</f>
        <v>-</v>
      </c>
    </row>
    <row r="94" spans="1:17" hidden="1" x14ac:dyDescent="0.25">
      <c r="A94" t="s">
        <v>7672</v>
      </c>
      <c r="B94" t="s">
        <v>350</v>
      </c>
      <c r="C94">
        <v>1</v>
      </c>
      <c r="D94" t="s">
        <v>7060</v>
      </c>
      <c r="E94" t="s">
        <v>7846</v>
      </c>
      <c r="F94" t="s">
        <v>351</v>
      </c>
      <c r="G94" t="s">
        <v>353</v>
      </c>
      <c r="H94" t="s">
        <v>352</v>
      </c>
      <c r="J94" t="s">
        <v>7742</v>
      </c>
      <c r="K94" t="s">
        <v>7826</v>
      </c>
      <c r="L94" t="s">
        <v>7826</v>
      </c>
      <c r="N94" t="str" cm="1">
        <f t="array" ref="N94">IFERROR(LOOKUP(2,1/SEARCH($S$2:$S$65,G94),$T$2:$T$65),"Misc")</f>
        <v>OH ASSY</v>
      </c>
      <c r="O94" t="str" cm="1">
        <f t="array" ref="O94">IFERROR(LOOKUP(2,1/SEARCH($V$2:$V$65,G94),$W$2:$W$65),"Misc")</f>
        <v>OH Part</v>
      </c>
      <c r="P94" t="str" cm="1">
        <f t="array" ref="P94">IFERROR(LOOKUP(2,1/SEARCH($Y$2:$Y$65,G94),$Z$2:$Z$65),"Not Defined")</f>
        <v>OH Part</v>
      </c>
      <c r="Q94" t="str" cm="1">
        <f t="array" ref="Q94">IFERROR(LOOKUP(2,1/SEARCH($S$2:$S$65,H94),$T$2:$T$65),"-")</f>
        <v>OH ASSY</v>
      </c>
    </row>
    <row r="95" spans="1:17" hidden="1" x14ac:dyDescent="0.25">
      <c r="A95" t="s">
        <v>7672</v>
      </c>
      <c r="B95" t="s">
        <v>354</v>
      </c>
      <c r="C95">
        <v>1</v>
      </c>
      <c r="D95" t="s">
        <v>7060</v>
      </c>
      <c r="E95" t="s">
        <v>7846</v>
      </c>
      <c r="F95" t="s">
        <v>355</v>
      </c>
      <c r="G95" t="s">
        <v>357</v>
      </c>
      <c r="H95" t="s">
        <v>356</v>
      </c>
      <c r="I95" t="s">
        <v>358</v>
      </c>
      <c r="J95" t="s">
        <v>7682</v>
      </c>
      <c r="K95" t="s">
        <v>7826</v>
      </c>
      <c r="L95" t="s">
        <v>7826</v>
      </c>
      <c r="N95" t="str" cm="1">
        <f t="array" ref="N95">IFERROR(LOOKUP(2,1/SEARCH($S$2:$S$65,G95),$T$2:$T$65),"Misc")</f>
        <v>OH P/N</v>
      </c>
      <c r="O95" t="str" cm="1">
        <f t="array" ref="O95">IFERROR(LOOKUP(2,1/SEARCH($V$2:$V$65,G95),$W$2:$W$65),"Misc")</f>
        <v>OH Part</v>
      </c>
      <c r="P95" t="str" cm="1">
        <f t="array" ref="P95">IFERROR(LOOKUP(2,1/SEARCH($Y$2:$Y$65,G95),$Z$2:$Z$65),"Not Defined")</f>
        <v>OH Part</v>
      </c>
      <c r="Q95" t="str" cm="1">
        <f t="array" ref="Q95">IFERROR(LOOKUP(2,1/SEARCH($S$2:$S$65,H95),$T$2:$T$65),"-")</f>
        <v>-</v>
      </c>
    </row>
    <row r="96" spans="1:17" hidden="1" x14ac:dyDescent="0.25">
      <c r="A96" t="s">
        <v>7672</v>
      </c>
      <c r="B96" t="s">
        <v>359</v>
      </c>
      <c r="C96">
        <v>1</v>
      </c>
      <c r="D96" t="s">
        <v>7060</v>
      </c>
      <c r="E96" t="s">
        <v>7846</v>
      </c>
      <c r="F96" t="s">
        <v>360</v>
      </c>
      <c r="G96" t="s">
        <v>7076</v>
      </c>
      <c r="H96" t="s">
        <v>361</v>
      </c>
      <c r="I96" t="s">
        <v>228</v>
      </c>
      <c r="J96" t="s">
        <v>7703</v>
      </c>
      <c r="K96" t="s">
        <v>7684</v>
      </c>
      <c r="L96" t="s">
        <v>7721</v>
      </c>
      <c r="N96" t="str" cm="1">
        <f t="array" ref="N96">IFERROR(LOOKUP(2,1/SEARCH($S$2:$S$65,G96),$T$2:$T$65),"Misc")</f>
        <v>COTS</v>
      </c>
      <c r="O96" t="str" cm="1">
        <f t="array" ref="O96">IFERROR(LOOKUP(2,1/SEARCH($V$2:$V$65,G96),$W$2:$W$65),"Misc")</f>
        <v>Fasteners</v>
      </c>
      <c r="P96" t="str" cm="1">
        <f t="array" ref="P96">IFERROR(LOOKUP(2,1/SEARCH($Y$2:$Y$65,G96),$Z$2:$Z$65),"Not Defined")</f>
        <v>SET SCREW</v>
      </c>
      <c r="Q96" t="str" cm="1">
        <f t="array" ref="Q96">IFERROR(LOOKUP(2,1/SEARCH($S$2:$S$65,H96),$T$2:$T$65),"-")</f>
        <v>COTS</v>
      </c>
    </row>
    <row r="97" spans="1:17" hidden="1" x14ac:dyDescent="0.25">
      <c r="A97" t="s">
        <v>7672</v>
      </c>
      <c r="B97" t="s">
        <v>362</v>
      </c>
      <c r="C97">
        <v>1</v>
      </c>
      <c r="D97" t="s">
        <v>7060</v>
      </c>
      <c r="E97" t="s">
        <v>329</v>
      </c>
      <c r="F97" t="s">
        <v>363</v>
      </c>
      <c r="G97" t="s">
        <v>7077</v>
      </c>
      <c r="H97" t="s">
        <v>364</v>
      </c>
      <c r="I97" t="s">
        <v>255</v>
      </c>
      <c r="J97" t="s">
        <v>7703</v>
      </c>
      <c r="K97" t="s">
        <v>7677</v>
      </c>
      <c r="L97" t="s">
        <v>7677</v>
      </c>
      <c r="N97" t="str" cm="1">
        <f t="array" ref="N97">IFERROR(LOOKUP(2,1/SEARCH($S$2:$S$65,G97),$T$2:$T$65),"Misc")</f>
        <v>COTS</v>
      </c>
      <c r="O97" t="str" cm="1">
        <f t="array" ref="O97">IFERROR(LOOKUP(2,1/SEARCH($V$2:$V$65,G97),$W$2:$W$65),"Misc")</f>
        <v>SWITCH</v>
      </c>
      <c r="P97" t="str" cm="1">
        <f t="array" ref="P97">IFERROR(LOOKUP(2,1/SEARCH($Y$2:$Y$65,G97),$Z$2:$Z$65),"Not Defined")</f>
        <v>SWITCH</v>
      </c>
      <c r="Q97" t="str" cm="1">
        <f t="array" ref="Q97">IFERROR(LOOKUP(2,1/SEARCH($S$2:$S$65,H97),$T$2:$T$65),"-")</f>
        <v>COTS</v>
      </c>
    </row>
    <row r="98" spans="1:17" hidden="1" x14ac:dyDescent="0.25">
      <c r="A98" t="s">
        <v>7672</v>
      </c>
      <c r="B98" t="s">
        <v>365</v>
      </c>
      <c r="C98">
        <v>1</v>
      </c>
      <c r="D98" t="s">
        <v>7060</v>
      </c>
      <c r="E98" t="s">
        <v>329</v>
      </c>
      <c r="F98" t="s">
        <v>366</v>
      </c>
      <c r="G98" t="s">
        <v>7078</v>
      </c>
      <c r="H98" t="s">
        <v>367</v>
      </c>
      <c r="I98" t="s">
        <v>255</v>
      </c>
      <c r="J98" t="s">
        <v>7703</v>
      </c>
      <c r="K98" t="s">
        <v>7677</v>
      </c>
      <c r="L98" t="s">
        <v>7685</v>
      </c>
      <c r="N98" t="str" cm="1">
        <f t="array" ref="N98">IFERROR(LOOKUP(2,1/SEARCH($S$2:$S$65,G98),$T$2:$T$65),"Misc")</f>
        <v>COTS</v>
      </c>
      <c r="O98" t="str" cm="1">
        <f t="array" ref="O98">IFERROR(LOOKUP(2,1/SEARCH($V$2:$V$65,G98),$W$2:$W$65),"Misc")</f>
        <v>SWITCH</v>
      </c>
      <c r="P98" t="str" cm="1">
        <f t="array" ref="P98">IFERROR(LOOKUP(2,1/SEARCH($Y$2:$Y$65,G98),$Z$2:$Z$65),"Not Defined")</f>
        <v>NUT</v>
      </c>
      <c r="Q98" t="str" cm="1">
        <f t="array" ref="Q98">IFERROR(LOOKUP(2,1/SEARCH($S$2:$S$65,H98),$T$2:$T$65),"-")</f>
        <v>COTS</v>
      </c>
    </row>
    <row r="99" spans="1:17" hidden="1" x14ac:dyDescent="0.25">
      <c r="A99" t="s">
        <v>7672</v>
      </c>
      <c r="B99" t="s">
        <v>368</v>
      </c>
      <c r="C99">
        <v>3</v>
      </c>
      <c r="D99" t="s">
        <v>7060</v>
      </c>
      <c r="E99" t="s">
        <v>329</v>
      </c>
      <c r="F99" t="s">
        <v>297</v>
      </c>
      <c r="G99" t="s">
        <v>7065</v>
      </c>
      <c r="H99" t="s">
        <v>298</v>
      </c>
      <c r="I99" t="s">
        <v>299</v>
      </c>
      <c r="J99" t="s">
        <v>7703</v>
      </c>
      <c r="K99" t="s">
        <v>7684</v>
      </c>
      <c r="L99" t="s">
        <v>7708</v>
      </c>
      <c r="N99" t="str" cm="1">
        <f t="array" ref="N99">IFERROR(LOOKUP(2,1/SEARCH($S$2:$S$65,G99),$T$2:$T$65),"Misc")</f>
        <v>COTS</v>
      </c>
      <c r="O99" t="str" cm="1">
        <f t="array" ref="O99">IFERROR(LOOKUP(2,1/SEARCH($V$2:$V$65,G99),$W$2:$W$65),"Misc")</f>
        <v>Fasteners</v>
      </c>
      <c r="P99" t="str" cm="1">
        <f t="array" ref="P99">IFERROR(LOOKUP(2,1/SEARCH($Y$2:$Y$65,G99),$Z$2:$Z$65),"Not Defined")</f>
        <v>STANDOFF</v>
      </c>
      <c r="Q99" t="str" cm="1">
        <f t="array" ref="Q99">IFERROR(LOOKUP(2,1/SEARCH($S$2:$S$65,H99),$T$2:$T$65),"-")</f>
        <v>COTS</v>
      </c>
    </row>
    <row r="100" spans="1:17" hidden="1" x14ac:dyDescent="0.25">
      <c r="A100" t="s">
        <v>7672</v>
      </c>
      <c r="B100" t="s">
        <v>369</v>
      </c>
      <c r="C100">
        <v>3</v>
      </c>
      <c r="D100" t="s">
        <v>7060</v>
      </c>
      <c r="E100" t="s">
        <v>329</v>
      </c>
      <c r="F100" t="s">
        <v>301</v>
      </c>
      <c r="G100" t="s">
        <v>7066</v>
      </c>
      <c r="H100" t="s">
        <v>302</v>
      </c>
      <c r="I100" t="s">
        <v>210</v>
      </c>
      <c r="J100" t="s">
        <v>7703</v>
      </c>
      <c r="K100" t="s">
        <v>7684</v>
      </c>
      <c r="L100" t="s">
        <v>7691</v>
      </c>
      <c r="N100" t="str" cm="1">
        <f t="array" ref="N100">IFERROR(LOOKUP(2,1/SEARCH($S$2:$S$65,G100),$T$2:$T$65),"Misc")</f>
        <v>COTS</v>
      </c>
      <c r="O100" t="str" cm="1">
        <f t="array" ref="O100">IFERROR(LOOKUP(2,1/SEARCH($V$2:$V$65,G100),$W$2:$W$65),"Misc")</f>
        <v>Fasteners</v>
      </c>
      <c r="P100" t="str" cm="1">
        <f t="array" ref="P100">IFERROR(LOOKUP(2,1/SEARCH($Y$2:$Y$65,G100),$Z$2:$Z$65),"Not Defined")</f>
        <v>FHS</v>
      </c>
      <c r="Q100" t="str" cm="1">
        <f t="array" ref="Q100">IFERROR(LOOKUP(2,1/SEARCH($S$2:$S$65,H100),$T$2:$T$65),"-")</f>
        <v>COTS</v>
      </c>
    </row>
    <row r="101" spans="1:17" hidden="1" x14ac:dyDescent="0.25">
      <c r="A101" t="s">
        <v>7672</v>
      </c>
      <c r="B101" t="s">
        <v>370</v>
      </c>
      <c r="C101">
        <v>3</v>
      </c>
      <c r="D101" t="s">
        <v>7060</v>
      </c>
      <c r="E101" t="s">
        <v>329</v>
      </c>
      <c r="F101" t="s">
        <v>307</v>
      </c>
      <c r="G101" t="s">
        <v>7068</v>
      </c>
      <c r="H101" t="s">
        <v>308</v>
      </c>
      <c r="I101" t="s">
        <v>228</v>
      </c>
      <c r="J101" t="s">
        <v>7703</v>
      </c>
      <c r="K101" t="s">
        <v>7684</v>
      </c>
      <c r="L101" t="s">
        <v>7693</v>
      </c>
      <c r="N101" t="str" cm="1">
        <f t="array" ref="N101">IFERROR(LOOKUP(2,1/SEARCH($S$2:$S$65,G101),$T$2:$T$65),"Misc")</f>
        <v>COTS</v>
      </c>
      <c r="O101" t="str" cm="1">
        <f t="array" ref="O101">IFERROR(LOOKUP(2,1/SEARCH($V$2:$V$65,G101),$W$2:$W$65),"Misc")</f>
        <v>Fasteners</v>
      </c>
      <c r="P101" t="str" cm="1">
        <f t="array" ref="P101">IFERROR(LOOKUP(2,1/SEARCH($Y$2:$Y$65,G101),$Z$2:$Z$65),"Not Defined")</f>
        <v>PHS</v>
      </c>
      <c r="Q101" t="str" cm="1">
        <f t="array" ref="Q101">IFERROR(LOOKUP(2,1/SEARCH($S$2:$S$65,H101),$T$2:$T$65),"-")</f>
        <v>COTS</v>
      </c>
    </row>
    <row r="102" spans="1:17" hidden="1" x14ac:dyDescent="0.25">
      <c r="A102" t="s">
        <v>7672</v>
      </c>
      <c r="B102" t="s">
        <v>371</v>
      </c>
      <c r="C102">
        <v>2</v>
      </c>
      <c r="D102" t="s">
        <v>7060</v>
      </c>
      <c r="E102" t="s">
        <v>329</v>
      </c>
      <c r="F102">
        <v>1938</v>
      </c>
      <c r="G102" t="s">
        <v>7064</v>
      </c>
      <c r="H102" t="s">
        <v>295</v>
      </c>
      <c r="I102" t="s">
        <v>255</v>
      </c>
      <c r="J102" t="s">
        <v>7703</v>
      </c>
      <c r="K102" t="s">
        <v>7814</v>
      </c>
      <c r="L102" t="s">
        <v>7718</v>
      </c>
      <c r="N102" t="str" cm="1">
        <f t="array" ref="N102">IFERROR(LOOKUP(2,1/SEARCH($S$2:$S$65,G102),$T$2:$T$65),"Misc")</f>
        <v>COTS</v>
      </c>
      <c r="O102" t="str" cm="1">
        <f t="array" ref="O102">IFERROR(LOOKUP(2,1/SEARCH($V$2:$V$65,G102),$W$2:$W$65),"Misc")</f>
        <v>Misc</v>
      </c>
      <c r="P102" t="str" cm="1">
        <f t="array" ref="P102">IFERROR(LOOKUP(2,1/SEARCH($Y$2:$Y$65,G102),$Z$2:$Z$65),"Not Defined")</f>
        <v>LED</v>
      </c>
      <c r="Q102" t="str" cm="1">
        <f t="array" ref="Q102">IFERROR(LOOKUP(2,1/SEARCH($S$2:$S$65,H102),$T$2:$T$65),"-")</f>
        <v>COTS</v>
      </c>
    </row>
    <row r="103" spans="1:17" hidden="1" x14ac:dyDescent="0.25">
      <c r="A103" t="s">
        <v>7672</v>
      </c>
      <c r="B103" t="s">
        <v>372</v>
      </c>
      <c r="C103">
        <v>2</v>
      </c>
      <c r="D103" t="s">
        <v>7060</v>
      </c>
      <c r="E103" t="s">
        <v>329</v>
      </c>
      <c r="F103" t="s">
        <v>373</v>
      </c>
      <c r="G103" t="s">
        <v>7079</v>
      </c>
      <c r="H103" t="s">
        <v>374</v>
      </c>
      <c r="I103" t="s">
        <v>255</v>
      </c>
      <c r="J103" t="s">
        <v>7703</v>
      </c>
      <c r="K103" t="s">
        <v>7814</v>
      </c>
      <c r="L103" t="s">
        <v>7718</v>
      </c>
      <c r="N103" t="str" cm="1">
        <f t="array" ref="N103">IFERROR(LOOKUP(2,1/SEARCH($S$2:$S$65,G103),$T$2:$T$65),"Misc")</f>
        <v>COTS</v>
      </c>
      <c r="O103" t="str" cm="1">
        <f t="array" ref="O103">IFERROR(LOOKUP(2,1/SEARCH($V$2:$V$65,G103),$W$2:$W$65),"Misc")</f>
        <v>Misc</v>
      </c>
      <c r="P103" t="str" cm="1">
        <f t="array" ref="P103">IFERROR(LOOKUP(2,1/SEARCH($Y$2:$Y$65,G103),$Z$2:$Z$65),"Not Defined")</f>
        <v>LED</v>
      </c>
      <c r="Q103" t="str" cm="1">
        <f t="array" ref="Q103">IFERROR(LOOKUP(2,1/SEARCH($S$2:$S$65,H103),$T$2:$T$65),"-")</f>
        <v>COTS</v>
      </c>
    </row>
    <row r="104" spans="1:17" hidden="1" x14ac:dyDescent="0.25">
      <c r="A104" t="s">
        <v>7672</v>
      </c>
      <c r="B104" t="s">
        <v>375</v>
      </c>
      <c r="C104">
        <v>3</v>
      </c>
      <c r="D104" t="s">
        <v>7060</v>
      </c>
      <c r="E104" t="s">
        <v>329</v>
      </c>
      <c r="F104" t="s">
        <v>304</v>
      </c>
      <c r="G104" t="s">
        <v>7067</v>
      </c>
      <c r="H104" t="s">
        <v>305</v>
      </c>
      <c r="I104" t="s">
        <v>210</v>
      </c>
      <c r="J104" t="s">
        <v>7703</v>
      </c>
      <c r="K104" t="s">
        <v>7684</v>
      </c>
      <c r="L104" t="s">
        <v>7693</v>
      </c>
      <c r="N104" t="str" cm="1">
        <f t="array" ref="N104">IFERROR(LOOKUP(2,1/SEARCH($S$2:$S$65,G104),$T$2:$T$65),"Misc")</f>
        <v>COTS</v>
      </c>
      <c r="O104" t="str" cm="1">
        <f t="array" ref="O104">IFERROR(LOOKUP(2,1/SEARCH($V$2:$V$65,G104),$W$2:$W$65),"Misc")</f>
        <v>Fasteners</v>
      </c>
      <c r="P104" t="str" cm="1">
        <f t="array" ref="P104">IFERROR(LOOKUP(2,1/SEARCH($Y$2:$Y$65,G104),$Z$2:$Z$65),"Not Defined")</f>
        <v>PHS</v>
      </c>
      <c r="Q104" t="str" cm="1">
        <f t="array" ref="Q104">IFERROR(LOOKUP(2,1/SEARCH($S$2:$S$65,H104),$T$2:$T$65),"-")</f>
        <v>COTS</v>
      </c>
    </row>
    <row r="105" spans="1:17" hidden="1" x14ac:dyDescent="0.25">
      <c r="A105" t="s">
        <v>7672</v>
      </c>
      <c r="B105" t="s">
        <v>376</v>
      </c>
      <c r="C105">
        <v>1</v>
      </c>
      <c r="D105" t="s">
        <v>7060</v>
      </c>
      <c r="E105" t="s">
        <v>329</v>
      </c>
      <c r="F105" t="s">
        <v>310</v>
      </c>
      <c r="G105" t="s">
        <v>7069</v>
      </c>
      <c r="H105" t="s">
        <v>311</v>
      </c>
      <c r="I105" t="s">
        <v>255</v>
      </c>
      <c r="J105" t="s">
        <v>7703</v>
      </c>
      <c r="K105" t="s">
        <v>7814</v>
      </c>
      <c r="L105" t="s">
        <v>7723</v>
      </c>
      <c r="N105" t="str" cm="1">
        <f t="array" ref="N105">IFERROR(LOOKUP(2,1/SEARCH($S$2:$S$65,G105),$T$2:$T$65),"Misc")</f>
        <v>COTS</v>
      </c>
      <c r="O105" t="str" cm="1">
        <f t="array" ref="O105">IFERROR(LOOKUP(2,1/SEARCH($V$2:$V$65,G105),$W$2:$W$65),"Misc")</f>
        <v>Misc</v>
      </c>
      <c r="P105" t="str" cm="1">
        <f t="array" ref="P105">IFERROR(LOOKUP(2,1/SEARCH($Y$2:$Y$65,G105),$Z$2:$Z$65),"Not Defined")</f>
        <v>MICROSTEPPER</v>
      </c>
      <c r="Q105" t="str" cm="1">
        <f t="array" ref="Q105">IFERROR(LOOKUP(2,1/SEARCH($S$2:$S$65,H105),$T$2:$T$65),"-")</f>
        <v>COTS</v>
      </c>
    </row>
    <row r="106" spans="1:17" hidden="1" x14ac:dyDescent="0.25">
      <c r="A106" t="s">
        <v>7672</v>
      </c>
      <c r="B106" t="s">
        <v>377</v>
      </c>
      <c r="C106">
        <v>1</v>
      </c>
      <c r="D106" t="s">
        <v>7060</v>
      </c>
      <c r="E106" t="s">
        <v>329</v>
      </c>
      <c r="F106" t="s">
        <v>378</v>
      </c>
      <c r="G106" t="s">
        <v>7080</v>
      </c>
      <c r="H106" t="s">
        <v>379</v>
      </c>
      <c r="I106" t="s">
        <v>255</v>
      </c>
      <c r="J106" t="s">
        <v>7682</v>
      </c>
      <c r="K106" t="s">
        <v>7826</v>
      </c>
      <c r="L106" t="s">
        <v>7826</v>
      </c>
      <c r="N106" t="str" cm="1">
        <f t="array" ref="N106">IFERROR(LOOKUP(2,1/SEARCH($S$2:$S$65,G106),$T$2:$T$65),"Misc")</f>
        <v>OH P/N</v>
      </c>
      <c r="O106" t="str" cm="1">
        <f t="array" ref="O106">IFERROR(LOOKUP(2,1/SEARCH($V$2:$V$65,G106),$W$2:$W$65),"Misc")</f>
        <v>OH Part</v>
      </c>
      <c r="P106" t="str" cm="1">
        <f t="array" ref="P106">IFERROR(LOOKUP(2,1/SEARCH($Y$2:$Y$65,G106),$Z$2:$Z$65),"Not Defined")</f>
        <v>OH Part</v>
      </c>
      <c r="Q106" t="str" cm="1">
        <f t="array" ref="Q106">IFERROR(LOOKUP(2,1/SEARCH($S$2:$S$65,H106),$T$2:$T$65),"-")</f>
        <v>-</v>
      </c>
    </row>
    <row r="107" spans="1:17" hidden="1" x14ac:dyDescent="0.25">
      <c r="A107" t="s">
        <v>7672</v>
      </c>
      <c r="B107" t="s">
        <v>380</v>
      </c>
      <c r="C107">
        <v>1</v>
      </c>
      <c r="D107" t="s">
        <v>7060</v>
      </c>
      <c r="E107" t="s">
        <v>329</v>
      </c>
      <c r="F107" t="s">
        <v>319</v>
      </c>
      <c r="G107" t="s">
        <v>7072</v>
      </c>
      <c r="H107" t="s">
        <v>320</v>
      </c>
      <c r="I107" t="s">
        <v>293</v>
      </c>
      <c r="J107" t="s">
        <v>7744</v>
      </c>
      <c r="K107" t="s">
        <v>7826</v>
      </c>
      <c r="L107" t="s">
        <v>7826</v>
      </c>
      <c r="N107" t="str" cm="1">
        <f t="array" ref="N107">IFERROR(LOOKUP(2,1/SEARCH($S$2:$S$65,G107),$T$2:$T$65),"Misc")</f>
        <v>OH Common</v>
      </c>
      <c r="O107" t="str" cm="1">
        <f t="array" ref="O107">IFERROR(LOOKUP(2,1/SEARCH($V$2:$V$65,G107),$W$2:$W$65),"Misc")</f>
        <v>OH Part</v>
      </c>
      <c r="P107" t="str" cm="1">
        <f t="array" ref="P107">IFERROR(LOOKUP(2,1/SEARCH($Y$2:$Y$65,G107),$Z$2:$Z$65),"Not Defined")</f>
        <v>OH Part</v>
      </c>
      <c r="Q107" t="str" cm="1">
        <f t="array" ref="Q107">IFERROR(LOOKUP(2,1/SEARCH($S$2:$S$65,H107),$T$2:$T$65),"-")</f>
        <v>-</v>
      </c>
    </row>
    <row r="108" spans="1:17" hidden="1" x14ac:dyDescent="0.25">
      <c r="A108" t="s">
        <v>7672</v>
      </c>
      <c r="B108" t="s">
        <v>381</v>
      </c>
      <c r="C108">
        <v>1</v>
      </c>
      <c r="D108" t="s">
        <v>7060</v>
      </c>
      <c r="E108" t="s">
        <v>329</v>
      </c>
      <c r="F108" t="s">
        <v>322</v>
      </c>
      <c r="G108" t="s">
        <v>7073</v>
      </c>
      <c r="H108" t="s">
        <v>323</v>
      </c>
      <c r="I108" t="s">
        <v>13</v>
      </c>
      <c r="J108" t="s">
        <v>7744</v>
      </c>
      <c r="K108" t="s">
        <v>7826</v>
      </c>
      <c r="L108" t="s">
        <v>7826</v>
      </c>
      <c r="N108" t="str" cm="1">
        <f t="array" ref="N108">IFERROR(LOOKUP(2,1/SEARCH($S$2:$S$65,G108),$T$2:$T$65),"Misc")</f>
        <v>OH Common</v>
      </c>
      <c r="O108" t="str" cm="1">
        <f t="array" ref="O108">IFERROR(LOOKUP(2,1/SEARCH($V$2:$V$65,G108),$W$2:$W$65),"Misc")</f>
        <v>OH Part</v>
      </c>
      <c r="P108" t="str" cm="1">
        <f t="array" ref="P108">IFERROR(LOOKUP(2,1/SEARCH($Y$2:$Y$65,G108),$Z$2:$Z$65),"Not Defined")</f>
        <v>OH Part</v>
      </c>
      <c r="Q108" t="str" cm="1">
        <f t="array" ref="Q108">IFERROR(LOOKUP(2,1/SEARCH($S$2:$S$65,H108),$T$2:$T$65),"-")</f>
        <v>COTS</v>
      </c>
    </row>
    <row r="109" spans="1:17" hidden="1" x14ac:dyDescent="0.25">
      <c r="A109" t="s">
        <v>7672</v>
      </c>
      <c r="B109" t="s">
        <v>382</v>
      </c>
      <c r="C109">
        <v>1</v>
      </c>
      <c r="D109" t="s">
        <v>7060</v>
      </c>
      <c r="E109" t="s">
        <v>329</v>
      </c>
      <c r="F109" t="s">
        <v>383</v>
      </c>
      <c r="G109" t="s">
        <v>385</v>
      </c>
      <c r="H109" t="s">
        <v>384</v>
      </c>
      <c r="I109" t="s">
        <v>293</v>
      </c>
      <c r="J109" t="s">
        <v>7682</v>
      </c>
      <c r="K109" t="s">
        <v>7826</v>
      </c>
      <c r="L109" t="s">
        <v>7826</v>
      </c>
      <c r="N109" t="str" cm="1">
        <f t="array" ref="N109">IFERROR(LOOKUP(2,1/SEARCH($S$2:$S$65,G109),$T$2:$T$65),"Misc")</f>
        <v>OH P/N</v>
      </c>
      <c r="O109" t="str" cm="1">
        <f t="array" ref="O109">IFERROR(LOOKUP(2,1/SEARCH($V$2:$V$65,G109),$W$2:$W$65),"Misc")</f>
        <v>OH Part</v>
      </c>
      <c r="P109" t="str" cm="1">
        <f t="array" ref="P109">IFERROR(LOOKUP(2,1/SEARCH($Y$2:$Y$65,G109),$Z$2:$Z$65),"Not Defined")</f>
        <v>OH Part</v>
      </c>
      <c r="Q109" t="str" cm="1">
        <f t="array" ref="Q109">IFERROR(LOOKUP(2,1/SEARCH($S$2:$S$65,H109),$T$2:$T$65),"-")</f>
        <v>COTS</v>
      </c>
    </row>
    <row r="110" spans="1:17" hidden="1" x14ac:dyDescent="0.25">
      <c r="A110" t="s">
        <v>7672</v>
      </c>
      <c r="B110" t="s">
        <v>386</v>
      </c>
      <c r="C110">
        <v>1</v>
      </c>
      <c r="D110" t="s">
        <v>7060</v>
      </c>
      <c r="E110" t="s">
        <v>329</v>
      </c>
      <c r="F110" t="s">
        <v>387</v>
      </c>
      <c r="G110" t="s">
        <v>389</v>
      </c>
      <c r="H110" t="s">
        <v>388</v>
      </c>
      <c r="I110" t="s">
        <v>293</v>
      </c>
      <c r="J110" t="s">
        <v>7682</v>
      </c>
      <c r="K110" t="s">
        <v>7826</v>
      </c>
      <c r="L110" t="s">
        <v>7826</v>
      </c>
      <c r="N110" t="str" cm="1">
        <f t="array" ref="N110">IFERROR(LOOKUP(2,1/SEARCH($S$2:$S$65,G110),$T$2:$T$65),"Misc")</f>
        <v>OH P/N</v>
      </c>
      <c r="O110" t="str" cm="1">
        <f t="array" ref="O110">IFERROR(LOOKUP(2,1/SEARCH($V$2:$V$65,G110),$W$2:$W$65),"Misc")</f>
        <v>OH Part</v>
      </c>
      <c r="P110" t="str" cm="1">
        <f t="array" ref="P110">IFERROR(LOOKUP(2,1/SEARCH($Y$2:$Y$65,G110),$Z$2:$Z$65),"Not Defined")</f>
        <v>OH Part</v>
      </c>
      <c r="Q110" t="str" cm="1">
        <f t="array" ref="Q110">IFERROR(LOOKUP(2,1/SEARCH($S$2:$S$65,H110),$T$2:$T$65),"-")</f>
        <v>COTS</v>
      </c>
    </row>
    <row r="111" spans="1:17" hidden="1" x14ac:dyDescent="0.25">
      <c r="A111" t="s">
        <v>7672</v>
      </c>
      <c r="B111" t="s">
        <v>390</v>
      </c>
      <c r="C111">
        <v>1</v>
      </c>
      <c r="D111" t="s">
        <v>7060</v>
      </c>
      <c r="E111" t="s">
        <v>329</v>
      </c>
      <c r="F111" t="s">
        <v>313</v>
      </c>
      <c r="G111" t="s">
        <v>7070</v>
      </c>
      <c r="H111" t="s">
        <v>314</v>
      </c>
      <c r="I111" t="s">
        <v>255</v>
      </c>
      <c r="J111" t="s">
        <v>7744</v>
      </c>
      <c r="K111" t="s">
        <v>7826</v>
      </c>
      <c r="L111" t="s">
        <v>7826</v>
      </c>
      <c r="N111" t="str" cm="1">
        <f t="array" ref="N111">IFERROR(LOOKUP(2,1/SEARCH($S$2:$S$65,G111),$T$2:$T$65),"Misc")</f>
        <v>OH Common</v>
      </c>
      <c r="O111" t="str" cm="1">
        <f t="array" ref="O111">IFERROR(LOOKUP(2,1/SEARCH($V$2:$V$65,G111),$W$2:$W$65),"Misc")</f>
        <v>OH Part</v>
      </c>
      <c r="P111" t="str" cm="1">
        <f t="array" ref="P111">IFERROR(LOOKUP(2,1/SEARCH($Y$2:$Y$65,G111),$Z$2:$Z$65),"Not Defined")</f>
        <v>OH Part</v>
      </c>
      <c r="Q111" t="str" cm="1">
        <f t="array" ref="Q111">IFERROR(LOOKUP(2,1/SEARCH($S$2:$S$65,H111),$T$2:$T$65),"-")</f>
        <v>COTS</v>
      </c>
    </row>
    <row r="112" spans="1:17" hidden="1" x14ac:dyDescent="0.25">
      <c r="A112" t="s">
        <v>7672</v>
      </c>
      <c r="B112" t="s">
        <v>391</v>
      </c>
      <c r="C112">
        <v>1</v>
      </c>
      <c r="D112" t="s">
        <v>7060</v>
      </c>
      <c r="E112" t="s">
        <v>393</v>
      </c>
      <c r="F112" t="s">
        <v>392</v>
      </c>
      <c r="G112" t="s">
        <v>7081</v>
      </c>
      <c r="H112" t="s">
        <v>393</v>
      </c>
      <c r="J112" t="s">
        <v>7682</v>
      </c>
      <c r="K112" t="s">
        <v>7826</v>
      </c>
      <c r="L112" t="s">
        <v>7826</v>
      </c>
      <c r="N112" t="str" cm="1">
        <f t="array" ref="N112">IFERROR(LOOKUP(2,1/SEARCH($S$2:$S$65,G112),$T$2:$T$65),"Misc")</f>
        <v>OH P/N</v>
      </c>
      <c r="O112" t="str" cm="1">
        <f t="array" ref="O112">IFERROR(LOOKUP(2,1/SEARCH($V$2:$V$65,G112),$W$2:$W$65),"Misc")</f>
        <v>OH Part</v>
      </c>
      <c r="P112" t="str" cm="1">
        <f t="array" ref="P112">IFERROR(LOOKUP(2,1/SEARCH($Y$2:$Y$65,G112),$Z$2:$Z$65),"Not Defined")</f>
        <v>OH Part</v>
      </c>
      <c r="Q112" t="str" cm="1">
        <f t="array" ref="Q112">IFERROR(LOOKUP(2,1/SEARCH($S$2:$S$65,H112),$T$2:$T$65),"-")</f>
        <v>-</v>
      </c>
    </row>
    <row r="113" spans="1:17" hidden="1" x14ac:dyDescent="0.25">
      <c r="A113" t="s">
        <v>7672</v>
      </c>
      <c r="B113" t="s">
        <v>394</v>
      </c>
      <c r="C113">
        <v>1</v>
      </c>
      <c r="D113" t="s">
        <v>7060</v>
      </c>
      <c r="E113" t="s">
        <v>393</v>
      </c>
      <c r="F113" t="s">
        <v>395</v>
      </c>
      <c r="G113" t="s">
        <v>397</v>
      </c>
      <c r="H113" t="s">
        <v>396</v>
      </c>
      <c r="I113" t="s">
        <v>13</v>
      </c>
      <c r="J113" t="s">
        <v>7682</v>
      </c>
      <c r="K113" t="s">
        <v>7826</v>
      </c>
      <c r="L113" t="s">
        <v>7826</v>
      </c>
      <c r="N113" t="str" cm="1">
        <f t="array" ref="N113">IFERROR(LOOKUP(2,1/SEARCH($S$2:$S$65,G113),$T$2:$T$65),"Misc")</f>
        <v>OH P/N</v>
      </c>
      <c r="O113" t="str" cm="1">
        <f t="array" ref="O113">IFERROR(LOOKUP(2,1/SEARCH($V$2:$V$65,G113),$W$2:$W$65),"Misc")</f>
        <v>OH Part</v>
      </c>
      <c r="P113" t="str" cm="1">
        <f t="array" ref="P113">IFERROR(LOOKUP(2,1/SEARCH($Y$2:$Y$65,G113),$Z$2:$Z$65),"Not Defined")</f>
        <v>OH Part</v>
      </c>
      <c r="Q113" t="str" cm="1">
        <f t="array" ref="Q113">IFERROR(LOOKUP(2,1/SEARCH($S$2:$S$65,H113),$T$2:$T$65),"-")</f>
        <v>-</v>
      </c>
    </row>
    <row r="114" spans="1:17" hidden="1" x14ac:dyDescent="0.25">
      <c r="A114" t="s">
        <v>7672</v>
      </c>
      <c r="B114" t="s">
        <v>398</v>
      </c>
      <c r="C114">
        <v>1</v>
      </c>
      <c r="D114" t="s">
        <v>7060</v>
      </c>
      <c r="E114" t="s">
        <v>393</v>
      </c>
      <c r="F114" t="s">
        <v>399</v>
      </c>
      <c r="G114" t="s">
        <v>401</v>
      </c>
      <c r="H114" t="s">
        <v>400</v>
      </c>
      <c r="I114" t="s">
        <v>281</v>
      </c>
      <c r="J114" t="s">
        <v>7682</v>
      </c>
      <c r="K114" t="s">
        <v>7826</v>
      </c>
      <c r="L114" t="s">
        <v>7826</v>
      </c>
      <c r="N114" t="str" cm="1">
        <f t="array" ref="N114">IFERROR(LOOKUP(2,1/SEARCH($S$2:$S$65,G114),$T$2:$T$65),"Misc")</f>
        <v>OH P/N</v>
      </c>
      <c r="O114" t="str" cm="1">
        <f t="array" ref="O114">IFERROR(LOOKUP(2,1/SEARCH($V$2:$V$65,G114),$W$2:$W$65),"Misc")</f>
        <v>OH Part</v>
      </c>
      <c r="P114" t="str" cm="1">
        <f t="array" ref="P114">IFERROR(LOOKUP(2,1/SEARCH($Y$2:$Y$65,G114),$Z$2:$Z$65),"Not Defined")</f>
        <v>OH Part</v>
      </c>
      <c r="Q114" t="str" cm="1">
        <f t="array" ref="Q114">IFERROR(LOOKUP(2,1/SEARCH($S$2:$S$65,H114),$T$2:$T$65),"-")</f>
        <v>-</v>
      </c>
    </row>
    <row r="115" spans="1:17" hidden="1" x14ac:dyDescent="0.25">
      <c r="A115" t="s">
        <v>7672</v>
      </c>
      <c r="B115" t="s">
        <v>402</v>
      </c>
      <c r="C115">
        <v>1</v>
      </c>
      <c r="D115" t="s">
        <v>7060</v>
      </c>
      <c r="E115" t="s">
        <v>393</v>
      </c>
      <c r="F115" t="s">
        <v>319</v>
      </c>
      <c r="G115" t="s">
        <v>7072</v>
      </c>
      <c r="H115" t="s">
        <v>320</v>
      </c>
      <c r="I115" t="s">
        <v>293</v>
      </c>
      <c r="J115" t="s">
        <v>7744</v>
      </c>
      <c r="K115" t="s">
        <v>7826</v>
      </c>
      <c r="L115" t="s">
        <v>7826</v>
      </c>
      <c r="N115" t="str" cm="1">
        <f t="array" ref="N115">IFERROR(LOOKUP(2,1/SEARCH($S$2:$S$65,G115),$T$2:$T$65),"Misc")</f>
        <v>OH Common</v>
      </c>
      <c r="O115" t="str" cm="1">
        <f t="array" ref="O115">IFERROR(LOOKUP(2,1/SEARCH($V$2:$V$65,G115),$W$2:$W$65),"Misc")</f>
        <v>OH Part</v>
      </c>
      <c r="P115" t="str" cm="1">
        <f t="array" ref="P115">IFERROR(LOOKUP(2,1/SEARCH($Y$2:$Y$65,G115),$Z$2:$Z$65),"Not Defined")</f>
        <v>OH Part</v>
      </c>
      <c r="Q115" t="str" cm="1">
        <f t="array" ref="Q115">IFERROR(LOOKUP(2,1/SEARCH($S$2:$S$65,H115),$T$2:$T$65),"-")</f>
        <v>-</v>
      </c>
    </row>
    <row r="116" spans="1:17" hidden="1" x14ac:dyDescent="0.25">
      <c r="A116" t="s">
        <v>7672</v>
      </c>
      <c r="B116" t="s">
        <v>403</v>
      </c>
      <c r="C116">
        <v>1</v>
      </c>
      <c r="D116" t="s">
        <v>7060</v>
      </c>
      <c r="E116" t="s">
        <v>393</v>
      </c>
      <c r="F116" t="s">
        <v>322</v>
      </c>
      <c r="G116" t="s">
        <v>7073</v>
      </c>
      <c r="H116" t="s">
        <v>323</v>
      </c>
      <c r="I116" t="s">
        <v>13</v>
      </c>
      <c r="J116" t="s">
        <v>7744</v>
      </c>
      <c r="K116" t="s">
        <v>7826</v>
      </c>
      <c r="L116" t="s">
        <v>7826</v>
      </c>
      <c r="N116" t="str" cm="1">
        <f t="array" ref="N116">IFERROR(LOOKUP(2,1/SEARCH($S$2:$S$65,G116),$T$2:$T$65),"Misc")</f>
        <v>OH Common</v>
      </c>
      <c r="O116" t="str" cm="1">
        <f t="array" ref="O116">IFERROR(LOOKUP(2,1/SEARCH($V$2:$V$65,G116),$W$2:$W$65),"Misc")</f>
        <v>OH Part</v>
      </c>
      <c r="P116" t="str" cm="1">
        <f t="array" ref="P116">IFERROR(LOOKUP(2,1/SEARCH($Y$2:$Y$65,G116),$Z$2:$Z$65),"Not Defined")</f>
        <v>OH Part</v>
      </c>
      <c r="Q116" t="str" cm="1">
        <f t="array" ref="Q116">IFERROR(LOOKUP(2,1/SEARCH($S$2:$S$65,H116),$T$2:$T$65),"-")</f>
        <v>COTS</v>
      </c>
    </row>
    <row r="117" spans="1:17" hidden="1" x14ac:dyDescent="0.25">
      <c r="A117" t="s">
        <v>7672</v>
      </c>
      <c r="B117" t="s">
        <v>404</v>
      </c>
      <c r="C117">
        <v>1</v>
      </c>
      <c r="D117" t="s">
        <v>7060</v>
      </c>
      <c r="E117" t="s">
        <v>7847</v>
      </c>
      <c r="F117" t="s">
        <v>283</v>
      </c>
      <c r="G117" t="s">
        <v>7063</v>
      </c>
      <c r="H117" t="s">
        <v>284</v>
      </c>
      <c r="J117" t="s">
        <v>7744</v>
      </c>
      <c r="K117" t="s">
        <v>7826</v>
      </c>
      <c r="L117" t="s">
        <v>7826</v>
      </c>
      <c r="N117" t="str" cm="1">
        <f t="array" ref="N117">IFERROR(LOOKUP(2,1/SEARCH($S$2:$S$65,G117),$T$2:$T$65),"Misc")</f>
        <v>OH Common</v>
      </c>
      <c r="O117" t="str" cm="1">
        <f t="array" ref="O117">IFERROR(LOOKUP(2,1/SEARCH($V$2:$V$65,G117),$W$2:$W$65),"Misc")</f>
        <v>OH Part</v>
      </c>
      <c r="P117" t="str" cm="1">
        <f t="array" ref="P117">IFERROR(LOOKUP(2,1/SEARCH($Y$2:$Y$65,G117),$Z$2:$Z$65),"Not Defined")</f>
        <v>OH Part</v>
      </c>
      <c r="Q117" t="str" cm="1">
        <f t="array" ref="Q117">IFERROR(LOOKUP(2,1/SEARCH($S$2:$S$65,H117),$T$2:$T$65),"-")</f>
        <v>OH ASSY</v>
      </c>
    </row>
    <row r="118" spans="1:17" hidden="1" x14ac:dyDescent="0.25">
      <c r="A118" t="s">
        <v>7672</v>
      </c>
      <c r="B118" t="s">
        <v>405</v>
      </c>
      <c r="C118">
        <v>1</v>
      </c>
      <c r="D118" t="s">
        <v>7060</v>
      </c>
      <c r="E118" t="s">
        <v>7847</v>
      </c>
      <c r="F118" t="s">
        <v>286</v>
      </c>
      <c r="G118" t="s">
        <v>288</v>
      </c>
      <c r="H118" t="s">
        <v>287</v>
      </c>
      <c r="I118" t="s">
        <v>13</v>
      </c>
      <c r="J118" t="s">
        <v>7744</v>
      </c>
      <c r="K118" t="s">
        <v>7826</v>
      </c>
      <c r="L118" t="s">
        <v>7826</v>
      </c>
      <c r="N118" t="str" cm="1">
        <f t="array" ref="N118">IFERROR(LOOKUP(2,1/SEARCH($S$2:$S$65,G118),$T$2:$T$65),"Misc")</f>
        <v>OH Common</v>
      </c>
      <c r="O118" t="str" cm="1">
        <f t="array" ref="O118">IFERROR(LOOKUP(2,1/SEARCH($V$2:$V$65,G118),$W$2:$W$65),"Misc")</f>
        <v>OH Part</v>
      </c>
      <c r="P118" t="str" cm="1">
        <f t="array" ref="P118">IFERROR(LOOKUP(2,1/SEARCH($Y$2:$Y$65,G118),$Z$2:$Z$65),"Not Defined")</f>
        <v>OH Part</v>
      </c>
      <c r="Q118" t="str" cm="1">
        <f t="array" ref="Q118">IFERROR(LOOKUP(2,1/SEARCH($S$2:$S$65,H118),$T$2:$T$65),"-")</f>
        <v>-</v>
      </c>
    </row>
    <row r="119" spans="1:17" hidden="1" x14ac:dyDescent="0.25">
      <c r="A119" t="s">
        <v>7672</v>
      </c>
      <c r="B119" t="s">
        <v>406</v>
      </c>
      <c r="C119">
        <v>1</v>
      </c>
      <c r="D119" t="s">
        <v>7060</v>
      </c>
      <c r="E119" t="s">
        <v>7847</v>
      </c>
      <c r="F119" t="s">
        <v>290</v>
      </c>
      <c r="G119" t="s">
        <v>292</v>
      </c>
      <c r="H119" t="s">
        <v>291</v>
      </c>
      <c r="I119" t="s">
        <v>293</v>
      </c>
      <c r="J119" t="s">
        <v>7744</v>
      </c>
      <c r="K119" t="s">
        <v>7826</v>
      </c>
      <c r="L119" t="s">
        <v>7826</v>
      </c>
      <c r="N119" t="str" cm="1">
        <f t="array" ref="N119">IFERROR(LOOKUP(2,1/SEARCH($S$2:$S$65,G119),$T$2:$T$65),"Misc")</f>
        <v>OH Common</v>
      </c>
      <c r="O119" t="str" cm="1">
        <f t="array" ref="O119">IFERROR(LOOKUP(2,1/SEARCH($V$2:$V$65,G119),$W$2:$W$65),"Misc")</f>
        <v>OH Part</v>
      </c>
      <c r="P119" t="str" cm="1">
        <f t="array" ref="P119">IFERROR(LOOKUP(2,1/SEARCH($Y$2:$Y$65,G119),$Z$2:$Z$65),"Not Defined")</f>
        <v>OH Part</v>
      </c>
      <c r="Q119" t="str" cm="1">
        <f t="array" ref="Q119">IFERROR(LOOKUP(2,1/SEARCH($S$2:$S$65,H119),$T$2:$T$65),"-")</f>
        <v>-</v>
      </c>
    </row>
    <row r="120" spans="1:17" hidden="1" x14ac:dyDescent="0.25">
      <c r="A120" t="s">
        <v>7672</v>
      </c>
      <c r="B120" t="s">
        <v>407</v>
      </c>
      <c r="C120">
        <v>2</v>
      </c>
      <c r="D120" t="s">
        <v>7060</v>
      </c>
      <c r="E120" t="s">
        <v>7847</v>
      </c>
      <c r="F120">
        <v>1938</v>
      </c>
      <c r="G120" t="s">
        <v>7064</v>
      </c>
      <c r="H120" t="s">
        <v>295</v>
      </c>
      <c r="I120" t="s">
        <v>255</v>
      </c>
      <c r="J120" t="s">
        <v>7703</v>
      </c>
      <c r="K120" t="s">
        <v>7814</v>
      </c>
      <c r="L120" t="s">
        <v>7718</v>
      </c>
      <c r="N120" t="str" cm="1">
        <f t="array" ref="N120">IFERROR(LOOKUP(2,1/SEARCH($S$2:$S$65,G120),$T$2:$T$65),"Misc")</f>
        <v>COTS</v>
      </c>
      <c r="O120" t="str" cm="1">
        <f t="array" ref="O120">IFERROR(LOOKUP(2,1/SEARCH($V$2:$V$65,G120),$W$2:$W$65),"Misc")</f>
        <v>Misc</v>
      </c>
      <c r="P120" t="str" cm="1">
        <f t="array" ref="P120">IFERROR(LOOKUP(2,1/SEARCH($Y$2:$Y$65,G120),$Z$2:$Z$65),"Not Defined")</f>
        <v>LED</v>
      </c>
      <c r="Q120" t="str" cm="1">
        <f t="array" ref="Q120">IFERROR(LOOKUP(2,1/SEARCH($S$2:$S$65,H120),$T$2:$T$65),"-")</f>
        <v>COTS</v>
      </c>
    </row>
    <row r="121" spans="1:17" hidden="1" x14ac:dyDescent="0.25">
      <c r="A121" t="s">
        <v>7672</v>
      </c>
      <c r="B121" t="s">
        <v>408</v>
      </c>
      <c r="C121">
        <v>3</v>
      </c>
      <c r="D121" t="s">
        <v>7060</v>
      </c>
      <c r="E121" t="s">
        <v>7847</v>
      </c>
      <c r="F121" t="s">
        <v>297</v>
      </c>
      <c r="G121" t="s">
        <v>7065</v>
      </c>
      <c r="H121" t="s">
        <v>298</v>
      </c>
      <c r="I121" t="s">
        <v>299</v>
      </c>
      <c r="J121" t="s">
        <v>7703</v>
      </c>
      <c r="K121" t="s">
        <v>7684</v>
      </c>
      <c r="L121" t="s">
        <v>7708</v>
      </c>
      <c r="N121" t="str" cm="1">
        <f t="array" ref="N121">IFERROR(LOOKUP(2,1/SEARCH($S$2:$S$65,G121),$T$2:$T$65),"Misc")</f>
        <v>COTS</v>
      </c>
      <c r="O121" t="str" cm="1">
        <f t="array" ref="O121">IFERROR(LOOKUP(2,1/SEARCH($V$2:$V$65,G121),$W$2:$W$65),"Misc")</f>
        <v>Fasteners</v>
      </c>
      <c r="P121" t="str" cm="1">
        <f t="array" ref="P121">IFERROR(LOOKUP(2,1/SEARCH($Y$2:$Y$65,G121),$Z$2:$Z$65),"Not Defined")</f>
        <v>STANDOFF</v>
      </c>
      <c r="Q121" t="str" cm="1">
        <f t="array" ref="Q121">IFERROR(LOOKUP(2,1/SEARCH($S$2:$S$65,H121),$T$2:$T$65),"-")</f>
        <v>COTS</v>
      </c>
    </row>
    <row r="122" spans="1:17" hidden="1" x14ac:dyDescent="0.25">
      <c r="A122" t="s">
        <v>7672</v>
      </c>
      <c r="B122" t="s">
        <v>409</v>
      </c>
      <c r="C122">
        <v>3</v>
      </c>
      <c r="D122" t="s">
        <v>7060</v>
      </c>
      <c r="E122" t="s">
        <v>7847</v>
      </c>
      <c r="F122" t="s">
        <v>301</v>
      </c>
      <c r="G122" t="s">
        <v>7066</v>
      </c>
      <c r="H122" t="s">
        <v>302</v>
      </c>
      <c r="I122" t="s">
        <v>210</v>
      </c>
      <c r="J122" t="s">
        <v>7703</v>
      </c>
      <c r="K122" t="s">
        <v>7684</v>
      </c>
      <c r="L122" t="s">
        <v>7691</v>
      </c>
      <c r="N122" t="str" cm="1">
        <f t="array" ref="N122">IFERROR(LOOKUP(2,1/SEARCH($S$2:$S$65,G122),$T$2:$T$65),"Misc")</f>
        <v>COTS</v>
      </c>
      <c r="O122" t="str" cm="1">
        <f t="array" ref="O122">IFERROR(LOOKUP(2,1/SEARCH($V$2:$V$65,G122),$W$2:$W$65),"Misc")</f>
        <v>Fasteners</v>
      </c>
      <c r="P122" t="str" cm="1">
        <f t="array" ref="P122">IFERROR(LOOKUP(2,1/SEARCH($Y$2:$Y$65,G122),$Z$2:$Z$65),"Not Defined")</f>
        <v>FHS</v>
      </c>
      <c r="Q122" t="str" cm="1">
        <f t="array" ref="Q122">IFERROR(LOOKUP(2,1/SEARCH($S$2:$S$65,H122),$T$2:$T$65),"-")</f>
        <v>COTS</v>
      </c>
    </row>
    <row r="123" spans="1:17" hidden="1" x14ac:dyDescent="0.25">
      <c r="A123" t="s">
        <v>7672</v>
      </c>
      <c r="B123" t="s">
        <v>410</v>
      </c>
      <c r="C123">
        <v>3</v>
      </c>
      <c r="D123" t="s">
        <v>7060</v>
      </c>
      <c r="E123" t="s">
        <v>7847</v>
      </c>
      <c r="F123" t="s">
        <v>304</v>
      </c>
      <c r="G123" t="s">
        <v>7067</v>
      </c>
      <c r="H123" t="s">
        <v>305</v>
      </c>
      <c r="I123" t="s">
        <v>210</v>
      </c>
      <c r="J123" t="s">
        <v>7703</v>
      </c>
      <c r="K123" t="s">
        <v>7684</v>
      </c>
      <c r="L123" t="s">
        <v>7693</v>
      </c>
      <c r="N123" t="str" cm="1">
        <f t="array" ref="N123">IFERROR(LOOKUP(2,1/SEARCH($S$2:$S$65,G123),$T$2:$T$65),"Misc")</f>
        <v>COTS</v>
      </c>
      <c r="O123" t="str" cm="1">
        <f t="array" ref="O123">IFERROR(LOOKUP(2,1/SEARCH($V$2:$V$65,G123),$W$2:$W$65),"Misc")</f>
        <v>Fasteners</v>
      </c>
      <c r="P123" t="str" cm="1">
        <f t="array" ref="P123">IFERROR(LOOKUP(2,1/SEARCH($Y$2:$Y$65,G123),$Z$2:$Z$65),"Not Defined")</f>
        <v>PHS</v>
      </c>
      <c r="Q123" t="str" cm="1">
        <f t="array" ref="Q123">IFERROR(LOOKUP(2,1/SEARCH($S$2:$S$65,H123),$T$2:$T$65),"-")</f>
        <v>COTS</v>
      </c>
    </row>
    <row r="124" spans="1:17" hidden="1" x14ac:dyDescent="0.25">
      <c r="A124" t="s">
        <v>7672</v>
      </c>
      <c r="B124" t="s">
        <v>411</v>
      </c>
      <c r="C124">
        <v>3</v>
      </c>
      <c r="D124" t="s">
        <v>7060</v>
      </c>
      <c r="E124" t="s">
        <v>7847</v>
      </c>
      <c r="F124" t="s">
        <v>307</v>
      </c>
      <c r="G124" t="s">
        <v>7068</v>
      </c>
      <c r="H124" t="s">
        <v>308</v>
      </c>
      <c r="I124" t="s">
        <v>228</v>
      </c>
      <c r="J124" t="s">
        <v>7703</v>
      </c>
      <c r="K124" t="s">
        <v>7684</v>
      </c>
      <c r="L124" t="s">
        <v>7693</v>
      </c>
      <c r="N124" t="str" cm="1">
        <f t="array" ref="N124">IFERROR(LOOKUP(2,1/SEARCH($S$2:$S$65,G124),$T$2:$T$65),"Misc")</f>
        <v>COTS</v>
      </c>
      <c r="O124" t="str" cm="1">
        <f t="array" ref="O124">IFERROR(LOOKUP(2,1/SEARCH($V$2:$V$65,G124),$W$2:$W$65),"Misc")</f>
        <v>Fasteners</v>
      </c>
      <c r="P124" t="str" cm="1">
        <f t="array" ref="P124">IFERROR(LOOKUP(2,1/SEARCH($Y$2:$Y$65,G124),$Z$2:$Z$65),"Not Defined")</f>
        <v>PHS</v>
      </c>
      <c r="Q124" t="str" cm="1">
        <f t="array" ref="Q124">IFERROR(LOOKUP(2,1/SEARCH($S$2:$S$65,H124),$T$2:$T$65),"-")</f>
        <v>COTS</v>
      </c>
    </row>
    <row r="125" spans="1:17" hidden="1" x14ac:dyDescent="0.25">
      <c r="A125" t="s">
        <v>7672</v>
      </c>
      <c r="B125" t="s">
        <v>412</v>
      </c>
      <c r="C125">
        <v>1</v>
      </c>
      <c r="D125" t="s">
        <v>7060</v>
      </c>
      <c r="E125" t="s">
        <v>7847</v>
      </c>
      <c r="F125" t="s">
        <v>310</v>
      </c>
      <c r="G125" t="s">
        <v>7069</v>
      </c>
      <c r="H125" t="s">
        <v>311</v>
      </c>
      <c r="I125" t="s">
        <v>255</v>
      </c>
      <c r="J125" t="s">
        <v>7703</v>
      </c>
      <c r="K125" t="s">
        <v>7814</v>
      </c>
      <c r="L125" t="s">
        <v>7723</v>
      </c>
      <c r="N125" t="str" cm="1">
        <f t="array" ref="N125">IFERROR(LOOKUP(2,1/SEARCH($S$2:$S$65,G125),$T$2:$T$65),"Misc")</f>
        <v>COTS</v>
      </c>
      <c r="O125" t="str" cm="1">
        <f t="array" ref="O125">IFERROR(LOOKUP(2,1/SEARCH($V$2:$V$65,G125),$W$2:$W$65),"Misc")</f>
        <v>Misc</v>
      </c>
      <c r="P125" t="str" cm="1">
        <f t="array" ref="P125">IFERROR(LOOKUP(2,1/SEARCH($Y$2:$Y$65,G125),$Z$2:$Z$65),"Not Defined")</f>
        <v>MICROSTEPPER</v>
      </c>
      <c r="Q125" t="str" cm="1">
        <f t="array" ref="Q125">IFERROR(LOOKUP(2,1/SEARCH($S$2:$S$65,H125),$T$2:$T$65),"-")</f>
        <v>COTS</v>
      </c>
    </row>
    <row r="126" spans="1:17" hidden="1" x14ac:dyDescent="0.25">
      <c r="A126" t="s">
        <v>7672</v>
      </c>
      <c r="B126" t="s">
        <v>413</v>
      </c>
      <c r="C126">
        <v>1</v>
      </c>
      <c r="D126" t="s">
        <v>7060</v>
      </c>
      <c r="E126" t="s">
        <v>7847</v>
      </c>
      <c r="F126" t="s">
        <v>313</v>
      </c>
      <c r="G126" t="s">
        <v>7070</v>
      </c>
      <c r="H126" t="s">
        <v>314</v>
      </c>
      <c r="I126" t="s">
        <v>255</v>
      </c>
      <c r="J126" t="s">
        <v>7744</v>
      </c>
      <c r="K126" t="s">
        <v>7826</v>
      </c>
      <c r="L126" t="s">
        <v>7826</v>
      </c>
      <c r="N126" t="str" cm="1">
        <f t="array" ref="N126">IFERROR(LOOKUP(2,1/SEARCH($S$2:$S$65,G126),$T$2:$T$65),"Misc")</f>
        <v>OH Common</v>
      </c>
      <c r="O126" t="str" cm="1">
        <f t="array" ref="O126">IFERROR(LOOKUP(2,1/SEARCH($V$2:$V$65,G126),$W$2:$W$65),"Misc")</f>
        <v>OH Part</v>
      </c>
      <c r="P126" t="str" cm="1">
        <f t="array" ref="P126">IFERROR(LOOKUP(2,1/SEARCH($Y$2:$Y$65,G126),$Z$2:$Z$65),"Not Defined")</f>
        <v>OH Part</v>
      </c>
      <c r="Q126" t="str" cm="1">
        <f t="array" ref="Q126">IFERROR(LOOKUP(2,1/SEARCH($S$2:$S$65,H126),$T$2:$T$65),"-")</f>
        <v>COTS</v>
      </c>
    </row>
    <row r="127" spans="1:17" hidden="1" x14ac:dyDescent="0.25">
      <c r="A127" t="s">
        <v>7672</v>
      </c>
      <c r="B127" t="s">
        <v>414</v>
      </c>
      <c r="C127">
        <v>1</v>
      </c>
      <c r="D127" t="s">
        <v>7060</v>
      </c>
      <c r="E127" t="s">
        <v>7847</v>
      </c>
      <c r="F127" t="s">
        <v>316</v>
      </c>
      <c r="G127" t="s">
        <v>7071</v>
      </c>
      <c r="H127" t="s">
        <v>317</v>
      </c>
      <c r="I127" t="s">
        <v>255</v>
      </c>
      <c r="J127" t="s">
        <v>7744</v>
      </c>
      <c r="K127" t="s">
        <v>7826</v>
      </c>
      <c r="L127" t="s">
        <v>7826</v>
      </c>
      <c r="N127" t="str" cm="1">
        <f t="array" ref="N127">IFERROR(LOOKUP(2,1/SEARCH($S$2:$S$65,G127),$T$2:$T$65),"Misc")</f>
        <v>OH Common</v>
      </c>
      <c r="O127" t="str" cm="1">
        <f t="array" ref="O127">IFERROR(LOOKUP(2,1/SEARCH($V$2:$V$65,G127),$W$2:$W$65),"Misc")</f>
        <v>OH Part</v>
      </c>
      <c r="P127" t="str" cm="1">
        <f t="array" ref="P127">IFERROR(LOOKUP(2,1/SEARCH($Y$2:$Y$65,G127),$Z$2:$Z$65),"Not Defined")</f>
        <v>OH Part</v>
      </c>
      <c r="Q127" t="str" cm="1">
        <f t="array" ref="Q127">IFERROR(LOOKUP(2,1/SEARCH($S$2:$S$65,H127),$T$2:$T$65),"-")</f>
        <v>-</v>
      </c>
    </row>
    <row r="128" spans="1:17" hidden="1" x14ac:dyDescent="0.25">
      <c r="A128" t="s">
        <v>7672</v>
      </c>
      <c r="B128" t="s">
        <v>415</v>
      </c>
      <c r="C128">
        <v>1</v>
      </c>
      <c r="D128" t="s">
        <v>7060</v>
      </c>
      <c r="E128" t="s">
        <v>393</v>
      </c>
      <c r="F128" t="s">
        <v>325</v>
      </c>
      <c r="G128" t="s">
        <v>7074</v>
      </c>
      <c r="H128" t="s">
        <v>326</v>
      </c>
      <c r="I128" t="s">
        <v>293</v>
      </c>
      <c r="J128" t="s">
        <v>7744</v>
      </c>
      <c r="K128" t="s">
        <v>7826</v>
      </c>
      <c r="L128" t="s">
        <v>7826</v>
      </c>
      <c r="N128" t="str" cm="1">
        <f t="array" ref="N128">IFERROR(LOOKUP(2,1/SEARCH($S$2:$S$65,G128),$T$2:$T$65),"Misc")</f>
        <v>OH Common</v>
      </c>
      <c r="O128" t="str" cm="1">
        <f t="array" ref="O128">IFERROR(LOOKUP(2,1/SEARCH($V$2:$V$65,G128),$W$2:$W$65),"Misc")</f>
        <v>OH Part</v>
      </c>
      <c r="P128" t="str" cm="1">
        <f t="array" ref="P128">IFERROR(LOOKUP(2,1/SEARCH($Y$2:$Y$65,G128),$Z$2:$Z$65),"Not Defined")</f>
        <v>OH Part</v>
      </c>
      <c r="Q128" t="str" cm="1">
        <f t="array" ref="Q128">IFERROR(LOOKUP(2,1/SEARCH($S$2:$S$65,H128),$T$2:$T$65),"-")</f>
        <v>-</v>
      </c>
    </row>
    <row r="129" spans="1:17" hidden="1" x14ac:dyDescent="0.25">
      <c r="A129" t="s">
        <v>7672</v>
      </c>
      <c r="B129" t="s">
        <v>416</v>
      </c>
      <c r="C129">
        <v>1</v>
      </c>
      <c r="D129" t="s">
        <v>7060</v>
      </c>
      <c r="E129" t="s">
        <v>393</v>
      </c>
      <c r="F129" t="s">
        <v>395</v>
      </c>
      <c r="G129" t="s">
        <v>417</v>
      </c>
      <c r="H129" t="s">
        <v>396</v>
      </c>
      <c r="I129" t="s">
        <v>13</v>
      </c>
      <c r="J129" t="s">
        <v>7682</v>
      </c>
      <c r="K129" t="s">
        <v>7826</v>
      </c>
      <c r="L129" t="s">
        <v>7826</v>
      </c>
      <c r="N129" t="str" cm="1">
        <f t="array" ref="N129">IFERROR(LOOKUP(2,1/SEARCH($S$2:$S$65,G129),$T$2:$T$65),"Misc")</f>
        <v>OH P/N</v>
      </c>
      <c r="O129" t="str" cm="1">
        <f t="array" ref="O129">IFERROR(LOOKUP(2,1/SEARCH($V$2:$V$65,G129),$W$2:$W$65),"Misc")</f>
        <v>OH Part</v>
      </c>
      <c r="P129" t="str" cm="1">
        <f t="array" ref="P129">IFERROR(LOOKUP(2,1/SEARCH($Y$2:$Y$65,G129),$Z$2:$Z$65),"Not Defined")</f>
        <v>OH Part</v>
      </c>
      <c r="Q129" t="str" cm="1">
        <f t="array" ref="Q129">IFERROR(LOOKUP(2,1/SEARCH($S$2:$S$65,H129),$T$2:$T$65),"-")</f>
        <v>-</v>
      </c>
    </row>
    <row r="130" spans="1:17" hidden="1" x14ac:dyDescent="0.25">
      <c r="A130" t="s">
        <v>7672</v>
      </c>
      <c r="B130" t="s">
        <v>418</v>
      </c>
      <c r="C130">
        <v>1</v>
      </c>
      <c r="D130" t="s">
        <v>7060</v>
      </c>
      <c r="E130" t="s">
        <v>420</v>
      </c>
      <c r="F130" t="s">
        <v>419</v>
      </c>
      <c r="G130" t="s">
        <v>7082</v>
      </c>
      <c r="H130" t="s">
        <v>420</v>
      </c>
      <c r="J130" t="s">
        <v>7682</v>
      </c>
      <c r="K130" t="s">
        <v>7826</v>
      </c>
      <c r="L130" t="s">
        <v>7826</v>
      </c>
      <c r="N130" t="str" cm="1">
        <f t="array" ref="N130">IFERROR(LOOKUP(2,1/SEARCH($S$2:$S$65,G130),$T$2:$T$65),"Misc")</f>
        <v>OH P/N</v>
      </c>
      <c r="O130" t="str" cm="1">
        <f t="array" ref="O130">IFERROR(LOOKUP(2,1/SEARCH($V$2:$V$65,G130),$W$2:$W$65),"Misc")</f>
        <v>OH Part</v>
      </c>
      <c r="P130" t="str" cm="1">
        <f t="array" ref="P130">IFERROR(LOOKUP(2,1/SEARCH($Y$2:$Y$65,G130),$Z$2:$Z$65),"Not Defined")</f>
        <v>OH Part</v>
      </c>
      <c r="Q130" t="str" cm="1">
        <f t="array" ref="Q130">IFERROR(LOOKUP(2,1/SEARCH($S$2:$S$65,H130),$T$2:$T$65),"-")</f>
        <v>-</v>
      </c>
    </row>
    <row r="131" spans="1:17" hidden="1" x14ac:dyDescent="0.25">
      <c r="A131" t="s">
        <v>7672</v>
      </c>
      <c r="B131" t="s">
        <v>421</v>
      </c>
      <c r="C131">
        <v>1</v>
      </c>
      <c r="D131" t="s">
        <v>7060</v>
      </c>
      <c r="E131" t="s">
        <v>420</v>
      </c>
      <c r="F131" t="s">
        <v>422</v>
      </c>
      <c r="G131" t="s">
        <v>424</v>
      </c>
      <c r="H131" t="s">
        <v>423</v>
      </c>
      <c r="I131" t="s">
        <v>13</v>
      </c>
      <c r="J131" t="s">
        <v>7682</v>
      </c>
      <c r="K131" t="s">
        <v>7826</v>
      </c>
      <c r="L131" t="s">
        <v>7826</v>
      </c>
      <c r="N131" t="str" cm="1">
        <f t="array" ref="N131">IFERROR(LOOKUP(2,1/SEARCH($S$2:$S$65,G131),$T$2:$T$65),"Misc")</f>
        <v>OH P/N</v>
      </c>
      <c r="O131" t="str" cm="1">
        <f t="array" ref="O131">IFERROR(LOOKUP(2,1/SEARCH($V$2:$V$65,G131),$W$2:$W$65),"Misc")</f>
        <v>OH Part</v>
      </c>
      <c r="P131" t="str" cm="1">
        <f t="array" ref="P131">IFERROR(LOOKUP(2,1/SEARCH($Y$2:$Y$65,G131),$Z$2:$Z$65),"Not Defined")</f>
        <v>OH Part</v>
      </c>
      <c r="Q131" t="str" cm="1">
        <f t="array" ref="Q131">IFERROR(LOOKUP(2,1/SEARCH($S$2:$S$65,H131),$T$2:$T$65),"-")</f>
        <v>-</v>
      </c>
    </row>
    <row r="132" spans="1:17" hidden="1" x14ac:dyDescent="0.25">
      <c r="A132" t="s">
        <v>7672</v>
      </c>
      <c r="B132" t="s">
        <v>425</v>
      </c>
      <c r="C132">
        <v>1</v>
      </c>
      <c r="D132" t="s">
        <v>7060</v>
      </c>
      <c r="E132" t="s">
        <v>420</v>
      </c>
      <c r="F132" t="s">
        <v>426</v>
      </c>
      <c r="G132" t="s">
        <v>428</v>
      </c>
      <c r="H132" t="s">
        <v>427</v>
      </c>
      <c r="I132" t="s">
        <v>358</v>
      </c>
      <c r="J132" t="s">
        <v>7682</v>
      </c>
      <c r="K132" t="s">
        <v>7826</v>
      </c>
      <c r="L132" t="s">
        <v>7826</v>
      </c>
      <c r="N132" t="str" cm="1">
        <f t="array" ref="N132">IFERROR(LOOKUP(2,1/SEARCH($S$2:$S$65,G132),$T$2:$T$65),"Misc")</f>
        <v>OH P/N</v>
      </c>
      <c r="O132" t="str" cm="1">
        <f t="array" ref="O132">IFERROR(LOOKUP(2,1/SEARCH($V$2:$V$65,G132),$W$2:$W$65),"Misc")</f>
        <v>OH Part</v>
      </c>
      <c r="P132" t="str" cm="1">
        <f t="array" ref="P132">IFERROR(LOOKUP(2,1/SEARCH($Y$2:$Y$65,G132),$Z$2:$Z$65),"Not Defined")</f>
        <v>OH Part</v>
      </c>
      <c r="Q132" t="str" cm="1">
        <f t="array" ref="Q132">IFERROR(LOOKUP(2,1/SEARCH($S$2:$S$65,H132),$T$2:$T$65),"-")</f>
        <v>-</v>
      </c>
    </row>
    <row r="133" spans="1:17" hidden="1" x14ac:dyDescent="0.25">
      <c r="A133" t="s">
        <v>7672</v>
      </c>
      <c r="B133" t="s">
        <v>429</v>
      </c>
      <c r="C133">
        <v>1</v>
      </c>
      <c r="D133" t="s">
        <v>7060</v>
      </c>
      <c r="E133" t="s">
        <v>420</v>
      </c>
      <c r="F133" t="s">
        <v>430</v>
      </c>
      <c r="G133" t="s">
        <v>7083</v>
      </c>
      <c r="H133" t="s">
        <v>431</v>
      </c>
      <c r="I133" t="s">
        <v>228</v>
      </c>
      <c r="J133" t="s">
        <v>7703</v>
      </c>
      <c r="K133" t="s">
        <v>7684</v>
      </c>
      <c r="L133" t="s">
        <v>7721</v>
      </c>
      <c r="N133" t="str" cm="1">
        <f t="array" ref="N133">IFERROR(LOOKUP(2,1/SEARCH($S$2:$S$65,G133),$T$2:$T$65),"Misc")</f>
        <v>COTS</v>
      </c>
      <c r="O133" t="str" cm="1">
        <f t="array" ref="O133">IFERROR(LOOKUP(2,1/SEARCH($V$2:$V$65,G133),$W$2:$W$65),"Misc")</f>
        <v>Fasteners</v>
      </c>
      <c r="P133" t="str" cm="1">
        <f t="array" ref="P133">IFERROR(LOOKUP(2,1/SEARCH($Y$2:$Y$65,G133),$Z$2:$Z$65),"Not Defined")</f>
        <v>SET SCREW</v>
      </c>
      <c r="Q133" t="str" cm="1">
        <f t="array" ref="Q133">IFERROR(LOOKUP(2,1/SEARCH($S$2:$S$65,H133),$T$2:$T$65),"-")</f>
        <v>COTS</v>
      </c>
    </row>
    <row r="134" spans="1:17" hidden="1" x14ac:dyDescent="0.25">
      <c r="A134" t="s">
        <v>7672</v>
      </c>
      <c r="B134" t="s">
        <v>432</v>
      </c>
      <c r="C134">
        <v>1</v>
      </c>
      <c r="D134" t="s">
        <v>7060</v>
      </c>
      <c r="E134" t="s">
        <v>420</v>
      </c>
      <c r="F134" t="s">
        <v>433</v>
      </c>
      <c r="G134" t="s">
        <v>7084</v>
      </c>
      <c r="H134" t="s">
        <v>434</v>
      </c>
      <c r="I134" t="s">
        <v>255</v>
      </c>
      <c r="J134" t="s">
        <v>7703</v>
      </c>
      <c r="K134" t="s">
        <v>7722</v>
      </c>
      <c r="L134" t="s">
        <v>7722</v>
      </c>
      <c r="N134" t="str" cm="1">
        <f t="array" ref="N134">IFERROR(LOOKUP(2,1/SEARCH($S$2:$S$65,G134),$T$2:$T$65),"Misc")</f>
        <v>COTS</v>
      </c>
      <c r="O134" t="str" cm="1">
        <f t="array" ref="O134">IFERROR(LOOKUP(2,1/SEARCH($V$2:$V$65,G134),$W$2:$W$65),"Misc")</f>
        <v>POT</v>
      </c>
      <c r="P134" t="str" cm="1">
        <f t="array" ref="P134">IFERROR(LOOKUP(2,1/SEARCH($Y$2:$Y$65,G134),$Z$2:$Z$65),"Not Defined")</f>
        <v>POT</v>
      </c>
      <c r="Q134" t="str" cm="1">
        <f t="array" ref="Q134">IFERROR(LOOKUP(2,1/SEARCH($S$2:$S$65,H134),$T$2:$T$65),"-")</f>
        <v>COTS</v>
      </c>
    </row>
    <row r="135" spans="1:17" hidden="1" x14ac:dyDescent="0.25">
      <c r="A135" t="s">
        <v>7672</v>
      </c>
      <c r="B135" t="s">
        <v>435</v>
      </c>
      <c r="C135">
        <v>1</v>
      </c>
      <c r="D135" t="s">
        <v>7060</v>
      </c>
      <c r="E135" t="s">
        <v>420</v>
      </c>
      <c r="F135" t="s">
        <v>436</v>
      </c>
      <c r="G135" t="s">
        <v>7085</v>
      </c>
      <c r="H135" t="s">
        <v>437</v>
      </c>
      <c r="I135" t="s">
        <v>255</v>
      </c>
      <c r="J135" t="s">
        <v>7703</v>
      </c>
      <c r="K135" t="str" cm="1">
        <f t="array" ref="K135">IFERROR(LOOKUP(2,1/SEARCH($V$2:$V$65,C135),$W$2:$W$65),"Misc")</f>
        <v>Misc</v>
      </c>
      <c r="L135" t="s">
        <v>7736</v>
      </c>
      <c r="N135" t="str" cm="1">
        <f t="array" ref="N135">IFERROR(LOOKUP(2,1/SEARCH($S$2:$S$65,G135),$T$2:$T$65),"Misc")</f>
        <v>COTS</v>
      </c>
      <c r="O135" t="str" cm="1">
        <f t="array" ref="O135">IFERROR(LOOKUP(2,1/SEARCH($V$2:$V$65,G135),$W$2:$W$65),"Misc")</f>
        <v>Misc</v>
      </c>
      <c r="P135" t="str" cm="1">
        <f t="array" ref="P135">IFERROR(LOOKUP(2,1/SEARCH($Y$2:$Y$65,G135),$Z$2:$Z$65),"Not Defined")</f>
        <v>DISPLAY</v>
      </c>
      <c r="Q135" t="str" cm="1">
        <f t="array" ref="Q135">IFERROR(LOOKUP(2,1/SEARCH($S$2:$S$65,H135),$T$2:$T$65),"-")</f>
        <v>-</v>
      </c>
    </row>
    <row r="136" spans="1:17" hidden="1" x14ac:dyDescent="0.25">
      <c r="A136" t="s">
        <v>7672</v>
      </c>
      <c r="B136" t="s">
        <v>438</v>
      </c>
      <c r="C136">
        <v>3</v>
      </c>
      <c r="D136" t="s">
        <v>7060</v>
      </c>
      <c r="E136" t="s">
        <v>420</v>
      </c>
      <c r="F136" t="s">
        <v>439</v>
      </c>
      <c r="G136" t="s">
        <v>7086</v>
      </c>
      <c r="H136" t="s">
        <v>440</v>
      </c>
      <c r="I136" t="s">
        <v>224</v>
      </c>
      <c r="J136" t="s">
        <v>7703</v>
      </c>
      <c r="K136" t="s">
        <v>7684</v>
      </c>
      <c r="L136" t="s">
        <v>7687</v>
      </c>
      <c r="N136" t="str" cm="1">
        <f t="array" ref="N136">IFERROR(LOOKUP(2,1/SEARCH($S$2:$S$65,G136),$T$2:$T$65),"Misc")</f>
        <v>COTS</v>
      </c>
      <c r="O136" t="str" cm="1">
        <f t="array" ref="O136">IFERROR(LOOKUP(2,1/SEARCH($V$2:$V$65,G136),$W$2:$W$65),"Misc")</f>
        <v>Fasteners</v>
      </c>
      <c r="P136" t="str" cm="1">
        <f t="array" ref="P136">IFERROR(LOOKUP(2,1/SEARCH($Y$2:$Y$65,G136),$Z$2:$Z$65),"Not Defined")</f>
        <v>INSERT</v>
      </c>
      <c r="Q136" t="str" cm="1">
        <f t="array" ref="Q136">IFERROR(LOOKUP(2,1/SEARCH($S$2:$S$65,H136),$T$2:$T$65),"-")</f>
        <v>COTS</v>
      </c>
    </row>
    <row r="137" spans="1:17" hidden="1" x14ac:dyDescent="0.25">
      <c r="A137" t="s">
        <v>7672</v>
      </c>
      <c r="B137" t="s">
        <v>441</v>
      </c>
      <c r="C137">
        <v>3</v>
      </c>
      <c r="D137" t="s">
        <v>7060</v>
      </c>
      <c r="E137" t="s">
        <v>420</v>
      </c>
      <c r="F137" t="s">
        <v>442</v>
      </c>
      <c r="G137" t="s">
        <v>7087</v>
      </c>
      <c r="H137" t="s">
        <v>443</v>
      </c>
      <c r="I137" t="s">
        <v>228</v>
      </c>
      <c r="J137" t="s">
        <v>7703</v>
      </c>
      <c r="K137" t="s">
        <v>7684</v>
      </c>
      <c r="L137" t="s">
        <v>7692</v>
      </c>
      <c r="N137" t="str" cm="1">
        <f t="array" ref="N137">IFERROR(LOOKUP(2,1/SEARCH($S$2:$S$65,G137),$T$2:$T$65),"Misc")</f>
        <v>COTS</v>
      </c>
      <c r="O137" t="str" cm="1">
        <f t="array" ref="O137">IFERROR(LOOKUP(2,1/SEARCH($V$2:$V$65,G137),$W$2:$W$65),"Misc")</f>
        <v>Fasteners</v>
      </c>
      <c r="P137" t="str" cm="1">
        <f t="array" ref="P137">IFERROR(LOOKUP(2,1/SEARCH($Y$2:$Y$65,G137),$Z$2:$Z$65),"Not Defined")</f>
        <v>WASHER</v>
      </c>
      <c r="Q137" t="str" cm="1">
        <f t="array" ref="Q137">IFERROR(LOOKUP(2,1/SEARCH($S$2:$S$65,H137),$T$2:$T$65),"-")</f>
        <v>COTS</v>
      </c>
    </row>
    <row r="138" spans="1:17" hidden="1" x14ac:dyDescent="0.25">
      <c r="A138" t="s">
        <v>7672</v>
      </c>
      <c r="B138" t="s">
        <v>444</v>
      </c>
      <c r="C138">
        <v>3</v>
      </c>
      <c r="D138" t="s">
        <v>7060</v>
      </c>
      <c r="E138" t="s">
        <v>420</v>
      </c>
      <c r="F138" t="s">
        <v>445</v>
      </c>
      <c r="G138" t="s">
        <v>7088</v>
      </c>
      <c r="H138" t="s">
        <v>446</v>
      </c>
      <c r="I138" t="s">
        <v>228</v>
      </c>
      <c r="J138" t="s">
        <v>7703</v>
      </c>
      <c r="K138" t="s">
        <v>7684</v>
      </c>
      <c r="L138" t="s">
        <v>7693</v>
      </c>
      <c r="N138" t="str" cm="1">
        <f t="array" ref="N138">IFERROR(LOOKUP(2,1/SEARCH($S$2:$S$65,G138),$T$2:$T$65),"Misc")</f>
        <v>COTS</v>
      </c>
      <c r="O138" t="str" cm="1">
        <f t="array" ref="O138">IFERROR(LOOKUP(2,1/SEARCH($V$2:$V$65,G138),$W$2:$W$65),"Misc")</f>
        <v>Fasteners</v>
      </c>
      <c r="P138" t="str" cm="1">
        <f t="array" ref="P138">IFERROR(LOOKUP(2,1/SEARCH($Y$2:$Y$65,G138),$Z$2:$Z$65),"Not Defined")</f>
        <v>PHS</v>
      </c>
      <c r="Q138" t="str" cm="1">
        <f t="array" ref="Q138">IFERROR(LOOKUP(2,1/SEARCH($S$2:$S$65,H138),$T$2:$T$65),"-")</f>
        <v>COTS</v>
      </c>
    </row>
    <row r="139" spans="1:17" hidden="1" x14ac:dyDescent="0.25">
      <c r="A139" t="s">
        <v>7672</v>
      </c>
      <c r="B139" t="s">
        <v>447</v>
      </c>
      <c r="C139">
        <v>1</v>
      </c>
      <c r="D139" t="s">
        <v>7060</v>
      </c>
      <c r="E139" t="s">
        <v>420</v>
      </c>
      <c r="F139" t="s">
        <v>448</v>
      </c>
      <c r="G139" t="s">
        <v>7089</v>
      </c>
      <c r="H139" t="s">
        <v>449</v>
      </c>
      <c r="I139" t="s">
        <v>255</v>
      </c>
      <c r="J139" t="s">
        <v>7703</v>
      </c>
      <c r="K139" t="s">
        <v>7814</v>
      </c>
      <c r="L139" t="s">
        <v>7834</v>
      </c>
      <c r="N139" t="str" cm="1">
        <f t="array" ref="N139">IFERROR(LOOKUP(2,1/SEARCH($S$2:$S$65,G139),$T$2:$T$65),"Misc")</f>
        <v>Misc</v>
      </c>
      <c r="O139" t="str" cm="1">
        <f t="array" ref="O139">IFERROR(LOOKUP(2,1/SEARCH($V$2:$V$65,G139),$W$2:$W$65),"Misc")</f>
        <v>Misc</v>
      </c>
      <c r="P139" t="str" cm="1">
        <f t="array" ref="P139">IFERROR(LOOKUP(2,1/SEARCH($Y$2:$Y$65,G139),$Z$2:$Z$65),"Not Defined")</f>
        <v>Not Defined</v>
      </c>
      <c r="Q139" t="str" cm="1">
        <f t="array" ref="Q139">IFERROR(LOOKUP(2,1/SEARCH($S$2:$S$65,H139),$T$2:$T$65),"-")</f>
        <v>-</v>
      </c>
    </row>
    <row r="140" spans="1:17" hidden="1" x14ac:dyDescent="0.25">
      <c r="A140" t="s">
        <v>7672</v>
      </c>
      <c r="B140" t="s">
        <v>450</v>
      </c>
      <c r="C140">
        <v>1</v>
      </c>
      <c r="D140" t="s">
        <v>7060</v>
      </c>
      <c r="E140" t="s">
        <v>420</v>
      </c>
      <c r="F140" t="s">
        <v>451</v>
      </c>
      <c r="G140" t="s">
        <v>453</v>
      </c>
      <c r="H140" t="s">
        <v>452</v>
      </c>
      <c r="I140" t="s">
        <v>13</v>
      </c>
      <c r="J140" t="s">
        <v>7682</v>
      </c>
      <c r="K140" t="s">
        <v>7826</v>
      </c>
      <c r="L140" t="s">
        <v>7826</v>
      </c>
      <c r="N140" t="str" cm="1">
        <f t="array" ref="N140">IFERROR(LOOKUP(2,1/SEARCH($S$2:$S$65,G140),$T$2:$T$65),"Misc")</f>
        <v>OH P/N</v>
      </c>
      <c r="O140" t="str" cm="1">
        <f t="array" ref="O140">IFERROR(LOOKUP(2,1/SEARCH($V$2:$V$65,G140),$W$2:$W$65),"Misc")</f>
        <v>OH Part</v>
      </c>
      <c r="P140" t="str" cm="1">
        <f t="array" ref="P140">IFERROR(LOOKUP(2,1/SEARCH($Y$2:$Y$65,G140),$Z$2:$Z$65),"Not Defined")</f>
        <v>OH Part</v>
      </c>
      <c r="Q140" t="str" cm="1">
        <f t="array" ref="Q140">IFERROR(LOOKUP(2,1/SEARCH($S$2:$S$65,H140),$T$2:$T$65),"-")</f>
        <v>COTS</v>
      </c>
    </row>
    <row r="141" spans="1:17" hidden="1" x14ac:dyDescent="0.25">
      <c r="A141" t="s">
        <v>7672</v>
      </c>
      <c r="B141" t="s">
        <v>454</v>
      </c>
      <c r="C141">
        <v>1</v>
      </c>
      <c r="D141" t="s">
        <v>7060</v>
      </c>
      <c r="E141" t="s">
        <v>420</v>
      </c>
      <c r="F141" t="s">
        <v>455</v>
      </c>
      <c r="G141" t="s">
        <v>457</v>
      </c>
      <c r="H141" t="s">
        <v>456</v>
      </c>
      <c r="I141" t="s">
        <v>13</v>
      </c>
      <c r="J141" t="s">
        <v>7682</v>
      </c>
      <c r="K141" t="s">
        <v>7826</v>
      </c>
      <c r="L141" t="s">
        <v>7826</v>
      </c>
      <c r="N141" t="str" cm="1">
        <f t="array" ref="N141">IFERROR(LOOKUP(2,1/SEARCH($S$2:$S$65,G141),$T$2:$T$65),"Misc")</f>
        <v>OH P/N</v>
      </c>
      <c r="O141" t="str" cm="1">
        <f t="array" ref="O141">IFERROR(LOOKUP(2,1/SEARCH($V$2:$V$65,G141),$W$2:$W$65),"Misc")</f>
        <v>OH Part</v>
      </c>
      <c r="P141" t="str" cm="1">
        <f t="array" ref="P141">IFERROR(LOOKUP(2,1/SEARCH($Y$2:$Y$65,G141),$Z$2:$Z$65),"Not Defined")</f>
        <v>OH Part</v>
      </c>
      <c r="Q141" t="str" cm="1">
        <f t="array" ref="Q141">IFERROR(LOOKUP(2,1/SEARCH($S$2:$S$65,H141),$T$2:$T$65),"-")</f>
        <v>COTS</v>
      </c>
    </row>
    <row r="142" spans="1:17" hidden="1" x14ac:dyDescent="0.25">
      <c r="A142" t="s">
        <v>7672</v>
      </c>
      <c r="B142" t="s">
        <v>458</v>
      </c>
      <c r="C142">
        <v>6</v>
      </c>
      <c r="D142" t="s">
        <v>7060</v>
      </c>
      <c r="E142" t="s">
        <v>420</v>
      </c>
      <c r="F142" t="s">
        <v>268</v>
      </c>
      <c r="G142" t="s">
        <v>7061</v>
      </c>
      <c r="H142" t="s">
        <v>269</v>
      </c>
      <c r="I142" t="s">
        <v>224</v>
      </c>
      <c r="J142" t="s">
        <v>7703</v>
      </c>
      <c r="K142" t="s">
        <v>7684</v>
      </c>
      <c r="L142" t="s">
        <v>7687</v>
      </c>
      <c r="N142" t="str" cm="1">
        <f t="array" ref="N142">IFERROR(LOOKUP(2,1/SEARCH($S$2:$S$65,G142),$T$2:$T$65),"Misc")</f>
        <v>COTS</v>
      </c>
      <c r="O142" t="str" cm="1">
        <f t="array" ref="O142">IFERROR(LOOKUP(2,1/SEARCH($V$2:$V$65,G142),$W$2:$W$65),"Misc")</f>
        <v>Fasteners</v>
      </c>
      <c r="P142" t="str" cm="1">
        <f t="array" ref="P142">IFERROR(LOOKUP(2,1/SEARCH($Y$2:$Y$65,G142),$Z$2:$Z$65),"Not Defined")</f>
        <v>INSERT</v>
      </c>
      <c r="Q142" t="str" cm="1">
        <f t="array" ref="Q142">IFERROR(LOOKUP(2,1/SEARCH($S$2:$S$65,H142),$T$2:$T$65),"-")</f>
        <v>COTS</v>
      </c>
    </row>
    <row r="143" spans="1:17" hidden="1" x14ac:dyDescent="0.25">
      <c r="A143" t="s">
        <v>7672</v>
      </c>
      <c r="B143" t="s">
        <v>459</v>
      </c>
      <c r="C143">
        <v>6</v>
      </c>
      <c r="D143" t="s">
        <v>7060</v>
      </c>
      <c r="E143" t="s">
        <v>420</v>
      </c>
      <c r="F143" t="s">
        <v>460</v>
      </c>
      <c r="G143" t="s">
        <v>7090</v>
      </c>
      <c r="H143" t="s">
        <v>461</v>
      </c>
      <c r="I143" t="s">
        <v>224</v>
      </c>
      <c r="J143" t="s">
        <v>7703</v>
      </c>
      <c r="K143" t="s">
        <v>7684</v>
      </c>
      <c r="L143" t="s">
        <v>7693</v>
      </c>
      <c r="N143" t="str" cm="1">
        <f t="array" ref="N143">IFERROR(LOOKUP(2,1/SEARCH($S$2:$S$65,G143),$T$2:$T$65),"Misc")</f>
        <v>COTS</v>
      </c>
      <c r="O143" t="str" cm="1">
        <f t="array" ref="O143">IFERROR(LOOKUP(2,1/SEARCH($V$2:$V$65,G143),$W$2:$W$65),"Misc")</f>
        <v>Fasteners</v>
      </c>
      <c r="P143" t="str" cm="1">
        <f t="array" ref="P143">IFERROR(LOOKUP(2,1/SEARCH($Y$2:$Y$65,G143),$Z$2:$Z$65),"Not Defined")</f>
        <v>PHS</v>
      </c>
      <c r="Q143" t="str" cm="1">
        <f t="array" ref="Q143">IFERROR(LOOKUP(2,1/SEARCH($S$2:$S$65,H143),$T$2:$T$65),"-")</f>
        <v>COTS</v>
      </c>
    </row>
    <row r="144" spans="1:17" hidden="1" x14ac:dyDescent="0.25">
      <c r="A144" t="s">
        <v>7672</v>
      </c>
      <c r="B144" t="s">
        <v>462</v>
      </c>
      <c r="C144">
        <v>4</v>
      </c>
      <c r="D144" t="s">
        <v>7060</v>
      </c>
      <c r="E144" t="s">
        <v>420</v>
      </c>
      <c r="F144" t="s">
        <v>304</v>
      </c>
      <c r="G144" t="s">
        <v>7067</v>
      </c>
      <c r="H144" t="s">
        <v>305</v>
      </c>
      <c r="I144" t="s">
        <v>210</v>
      </c>
      <c r="J144" t="s">
        <v>7703</v>
      </c>
      <c r="K144" t="s">
        <v>7684</v>
      </c>
      <c r="L144" t="s">
        <v>7693</v>
      </c>
      <c r="N144" t="str" cm="1">
        <f t="array" ref="N144">IFERROR(LOOKUP(2,1/SEARCH($S$2:$S$65,G144),$T$2:$T$65),"Misc")</f>
        <v>COTS</v>
      </c>
      <c r="O144" t="str" cm="1">
        <f t="array" ref="O144">IFERROR(LOOKUP(2,1/SEARCH($V$2:$V$65,G144),$W$2:$W$65),"Misc")</f>
        <v>Fasteners</v>
      </c>
      <c r="P144" t="str" cm="1">
        <f t="array" ref="P144">IFERROR(LOOKUP(2,1/SEARCH($Y$2:$Y$65,G144),$Z$2:$Z$65),"Not Defined")</f>
        <v>PHS</v>
      </c>
      <c r="Q144" t="str" cm="1">
        <f t="array" ref="Q144">IFERROR(LOOKUP(2,1/SEARCH($S$2:$S$65,H144),$T$2:$T$65),"-")</f>
        <v>COTS</v>
      </c>
    </row>
    <row r="145" spans="1:17" hidden="1" x14ac:dyDescent="0.25">
      <c r="A145" t="s">
        <v>7672</v>
      </c>
      <c r="B145" t="s">
        <v>463</v>
      </c>
      <c r="C145">
        <v>4</v>
      </c>
      <c r="D145" t="s">
        <v>7060</v>
      </c>
      <c r="E145" t="s">
        <v>420</v>
      </c>
      <c r="F145" t="s">
        <v>464</v>
      </c>
      <c r="G145" t="s">
        <v>7091</v>
      </c>
      <c r="H145" t="s">
        <v>465</v>
      </c>
      <c r="I145" t="s">
        <v>224</v>
      </c>
      <c r="J145" t="s">
        <v>7703</v>
      </c>
      <c r="K145" t="s">
        <v>7684</v>
      </c>
      <c r="L145" t="s">
        <v>7685</v>
      </c>
      <c r="N145" t="str" cm="1">
        <f t="array" ref="N145">IFERROR(LOOKUP(2,1/SEARCH($S$2:$S$65,G145),$T$2:$T$65),"Misc")</f>
        <v>COTS</v>
      </c>
      <c r="O145" t="str" cm="1">
        <f t="array" ref="O145">IFERROR(LOOKUP(2,1/SEARCH($V$2:$V$65,G145),$W$2:$W$65),"Misc")</f>
        <v>Fasteners</v>
      </c>
      <c r="P145" t="str" cm="1">
        <f t="array" ref="P145">IFERROR(LOOKUP(2,1/SEARCH($Y$2:$Y$65,G145),$Z$2:$Z$65),"Not Defined")</f>
        <v>NUT</v>
      </c>
      <c r="Q145" t="str" cm="1">
        <f t="array" ref="Q145">IFERROR(LOOKUP(2,1/SEARCH($S$2:$S$65,H145),$T$2:$T$65),"-")</f>
        <v>COTS</v>
      </c>
    </row>
    <row r="146" spans="1:17" hidden="1" x14ac:dyDescent="0.25">
      <c r="A146" t="s">
        <v>7672</v>
      </c>
      <c r="B146" t="s">
        <v>466</v>
      </c>
      <c r="C146">
        <v>1</v>
      </c>
      <c r="D146" t="s">
        <v>7060</v>
      </c>
      <c r="E146" t="s">
        <v>420</v>
      </c>
      <c r="F146" t="s">
        <v>467</v>
      </c>
      <c r="G146" t="s">
        <v>469</v>
      </c>
      <c r="H146" t="s">
        <v>468</v>
      </c>
      <c r="I146" t="s">
        <v>281</v>
      </c>
      <c r="J146" t="s">
        <v>7682</v>
      </c>
      <c r="K146" t="s">
        <v>7826</v>
      </c>
      <c r="L146" t="s">
        <v>7826</v>
      </c>
      <c r="N146" t="str" cm="1">
        <f t="array" ref="N146">IFERROR(LOOKUP(2,1/SEARCH($S$2:$S$65,G146),$T$2:$T$65),"Misc")</f>
        <v>OH P/N</v>
      </c>
      <c r="O146" t="str" cm="1">
        <f t="array" ref="O146">IFERROR(LOOKUP(2,1/SEARCH($V$2:$V$65,G146),$W$2:$W$65),"Misc")</f>
        <v>OH Part</v>
      </c>
      <c r="P146" t="str" cm="1">
        <f t="array" ref="P146">IFERROR(LOOKUP(2,1/SEARCH($Y$2:$Y$65,G146),$Z$2:$Z$65),"Not Defined")</f>
        <v>OH Part</v>
      </c>
      <c r="Q146" t="str" cm="1">
        <f t="array" ref="Q146">IFERROR(LOOKUP(2,1/SEARCH($S$2:$S$65,H146),$T$2:$T$65),"-")</f>
        <v>-</v>
      </c>
    </row>
    <row r="147" spans="1:17" hidden="1" x14ac:dyDescent="0.25">
      <c r="A147" t="s">
        <v>7672</v>
      </c>
      <c r="B147" t="s">
        <v>470</v>
      </c>
      <c r="C147">
        <v>1</v>
      </c>
      <c r="D147" t="s">
        <v>7060</v>
      </c>
      <c r="E147" t="s">
        <v>472</v>
      </c>
      <c r="F147" t="s">
        <v>471</v>
      </c>
      <c r="G147" t="s">
        <v>7092</v>
      </c>
      <c r="H147" t="s">
        <v>472</v>
      </c>
      <c r="J147" t="s">
        <v>7682</v>
      </c>
      <c r="K147" t="s">
        <v>7826</v>
      </c>
      <c r="L147" t="s">
        <v>7826</v>
      </c>
      <c r="N147" t="str" cm="1">
        <f t="array" ref="N147">IFERROR(LOOKUP(2,1/SEARCH($S$2:$S$65,G147),$T$2:$T$65),"Misc")</f>
        <v>OH P/N</v>
      </c>
      <c r="O147" t="str" cm="1">
        <f t="array" ref="O147">IFERROR(LOOKUP(2,1/SEARCH($V$2:$V$65,G147),$W$2:$W$65),"Misc")</f>
        <v>OH Part</v>
      </c>
      <c r="P147" t="str" cm="1">
        <f t="array" ref="P147">IFERROR(LOOKUP(2,1/SEARCH($Y$2:$Y$65,G147),$Z$2:$Z$65),"Not Defined")</f>
        <v>OH Part</v>
      </c>
      <c r="Q147" t="str" cm="1">
        <f t="array" ref="Q147">IFERROR(LOOKUP(2,1/SEARCH($S$2:$S$65,H147),$T$2:$T$65),"-")</f>
        <v>-</v>
      </c>
    </row>
    <row r="148" spans="1:17" hidden="1" x14ac:dyDescent="0.25">
      <c r="A148" t="s">
        <v>7672</v>
      </c>
      <c r="B148" t="s">
        <v>473</v>
      </c>
      <c r="C148">
        <v>1</v>
      </c>
      <c r="D148" t="s">
        <v>7060</v>
      </c>
      <c r="E148" t="s">
        <v>472</v>
      </c>
      <c r="F148" t="s">
        <v>474</v>
      </c>
      <c r="G148" t="s">
        <v>476</v>
      </c>
      <c r="H148" t="s">
        <v>475</v>
      </c>
      <c r="I148" t="s">
        <v>13</v>
      </c>
      <c r="J148" t="s">
        <v>7682</v>
      </c>
      <c r="K148" t="s">
        <v>7826</v>
      </c>
      <c r="L148" t="s">
        <v>7826</v>
      </c>
      <c r="N148" t="str" cm="1">
        <f t="array" ref="N148">IFERROR(LOOKUP(2,1/SEARCH($S$2:$S$65,G148),$T$2:$T$65),"Misc")</f>
        <v>OH P/N</v>
      </c>
      <c r="O148" t="str" cm="1">
        <f t="array" ref="O148">IFERROR(LOOKUP(2,1/SEARCH($V$2:$V$65,G148),$W$2:$W$65),"Misc")</f>
        <v>OH Part</v>
      </c>
      <c r="P148" t="str" cm="1">
        <f t="array" ref="P148">IFERROR(LOOKUP(2,1/SEARCH($Y$2:$Y$65,G148),$Z$2:$Z$65),"Not Defined")</f>
        <v>OH Part</v>
      </c>
      <c r="Q148" t="str" cm="1">
        <f t="array" ref="Q148">IFERROR(LOOKUP(2,1/SEARCH($S$2:$S$65,H148),$T$2:$T$65),"-")</f>
        <v>-</v>
      </c>
    </row>
    <row r="149" spans="1:17" hidden="1" x14ac:dyDescent="0.25">
      <c r="A149" t="s">
        <v>7672</v>
      </c>
      <c r="B149" t="s">
        <v>477</v>
      </c>
      <c r="C149">
        <v>1</v>
      </c>
      <c r="D149" t="s">
        <v>7060</v>
      </c>
      <c r="E149" t="s">
        <v>472</v>
      </c>
      <c r="F149" t="s">
        <v>478</v>
      </c>
      <c r="G149" t="s">
        <v>480</v>
      </c>
      <c r="H149" t="s">
        <v>479</v>
      </c>
      <c r="I149" t="s">
        <v>358</v>
      </c>
      <c r="J149" t="s">
        <v>7682</v>
      </c>
      <c r="K149" t="s">
        <v>7826</v>
      </c>
      <c r="L149" t="s">
        <v>7826</v>
      </c>
      <c r="N149" t="str" cm="1">
        <f t="array" ref="N149">IFERROR(LOOKUP(2,1/SEARCH($S$2:$S$65,G149),$T$2:$T$65),"Misc")</f>
        <v>OH P/N</v>
      </c>
      <c r="O149" t="str" cm="1">
        <f t="array" ref="O149">IFERROR(LOOKUP(2,1/SEARCH($V$2:$V$65,G149),$W$2:$W$65),"Misc")</f>
        <v>OH Part</v>
      </c>
      <c r="P149" t="str" cm="1">
        <f t="array" ref="P149">IFERROR(LOOKUP(2,1/SEARCH($Y$2:$Y$65,G149),$Z$2:$Z$65),"Not Defined")</f>
        <v>OH Part</v>
      </c>
      <c r="Q149" t="str" cm="1">
        <f t="array" ref="Q149">IFERROR(LOOKUP(2,1/SEARCH($S$2:$S$65,H149),$T$2:$T$65),"-")</f>
        <v>-</v>
      </c>
    </row>
    <row r="150" spans="1:17" hidden="1" x14ac:dyDescent="0.25">
      <c r="A150" t="s">
        <v>7672</v>
      </c>
      <c r="B150" t="s">
        <v>481</v>
      </c>
      <c r="C150">
        <v>1</v>
      </c>
      <c r="D150" t="s">
        <v>7060</v>
      </c>
      <c r="E150" t="s">
        <v>472</v>
      </c>
      <c r="F150" t="s">
        <v>482</v>
      </c>
      <c r="G150" t="s">
        <v>7093</v>
      </c>
      <c r="H150" t="s">
        <v>483</v>
      </c>
      <c r="I150" t="s">
        <v>484</v>
      </c>
      <c r="J150" t="s">
        <v>7703</v>
      </c>
      <c r="K150" t="s">
        <v>7677</v>
      </c>
      <c r="L150" t="s">
        <v>7677</v>
      </c>
      <c r="N150" t="str" cm="1">
        <f t="array" ref="N150">IFERROR(LOOKUP(2,1/SEARCH($S$2:$S$65,G150),$T$2:$T$65),"Misc")</f>
        <v>COTS</v>
      </c>
      <c r="O150" t="str" cm="1">
        <f t="array" ref="O150">IFERROR(LOOKUP(2,1/SEARCH($V$2:$V$65,G150),$W$2:$W$65),"Misc")</f>
        <v>SWITCH</v>
      </c>
      <c r="P150" t="str" cm="1">
        <f t="array" ref="P150">IFERROR(LOOKUP(2,1/SEARCH($Y$2:$Y$65,G150),$Z$2:$Z$65),"Not Defined")</f>
        <v>SWITCH</v>
      </c>
      <c r="Q150" t="str" cm="1">
        <f t="array" ref="Q150">IFERROR(LOOKUP(2,1/SEARCH($S$2:$S$65,H150),$T$2:$T$65),"-")</f>
        <v>COTS</v>
      </c>
    </row>
    <row r="151" spans="1:17" hidden="1" x14ac:dyDescent="0.25">
      <c r="A151" t="s">
        <v>7672</v>
      </c>
      <c r="B151" t="s">
        <v>485</v>
      </c>
      <c r="C151">
        <v>1</v>
      </c>
      <c r="D151" t="s">
        <v>7060</v>
      </c>
      <c r="E151" t="s">
        <v>472</v>
      </c>
      <c r="F151" t="s">
        <v>360</v>
      </c>
      <c r="G151" t="s">
        <v>7076</v>
      </c>
      <c r="H151" t="s">
        <v>361</v>
      </c>
      <c r="I151" t="s">
        <v>228</v>
      </c>
      <c r="J151" t="s">
        <v>7703</v>
      </c>
      <c r="K151" t="s">
        <v>7684</v>
      </c>
      <c r="L151" t="s">
        <v>7721</v>
      </c>
      <c r="N151" t="str" cm="1">
        <f t="array" ref="N151">IFERROR(LOOKUP(2,1/SEARCH($S$2:$S$65,G151),$T$2:$T$65),"Misc")</f>
        <v>COTS</v>
      </c>
      <c r="O151" t="str" cm="1">
        <f t="array" ref="O151">IFERROR(LOOKUP(2,1/SEARCH($V$2:$V$65,G151),$W$2:$W$65),"Misc")</f>
        <v>Fasteners</v>
      </c>
      <c r="P151" t="str" cm="1">
        <f t="array" ref="P151">IFERROR(LOOKUP(2,1/SEARCH($Y$2:$Y$65,G151),$Z$2:$Z$65),"Not Defined")</f>
        <v>SET SCREW</v>
      </c>
      <c r="Q151" t="str" cm="1">
        <f t="array" ref="Q151">IFERROR(LOOKUP(2,1/SEARCH($S$2:$S$65,H151),$T$2:$T$65),"-")</f>
        <v>COTS</v>
      </c>
    </row>
    <row r="152" spans="1:17" hidden="1" x14ac:dyDescent="0.25">
      <c r="A152" t="s">
        <v>7672</v>
      </c>
      <c r="B152" t="s">
        <v>486</v>
      </c>
      <c r="C152">
        <v>1</v>
      </c>
      <c r="D152" t="s">
        <v>7060</v>
      </c>
      <c r="E152" t="s">
        <v>472</v>
      </c>
      <c r="F152" t="s">
        <v>487</v>
      </c>
      <c r="G152" t="s">
        <v>7094</v>
      </c>
      <c r="H152" t="s">
        <v>488</v>
      </c>
      <c r="I152" t="s">
        <v>255</v>
      </c>
      <c r="J152" t="s">
        <v>7703</v>
      </c>
      <c r="K152" t="s">
        <v>7677</v>
      </c>
      <c r="L152" t="s">
        <v>7677</v>
      </c>
      <c r="N152" t="str" cm="1">
        <f t="array" ref="N152">IFERROR(LOOKUP(2,1/SEARCH($S$2:$S$65,G152),$T$2:$T$65),"Misc")</f>
        <v>COTS</v>
      </c>
      <c r="O152" t="str" cm="1">
        <f t="array" ref="O152">IFERROR(LOOKUP(2,1/SEARCH($V$2:$V$65,G152),$W$2:$W$65),"Misc")</f>
        <v>SWITCH</v>
      </c>
      <c r="P152" t="str" cm="1">
        <f t="array" ref="P152">IFERROR(LOOKUP(2,1/SEARCH($Y$2:$Y$65,G152),$Z$2:$Z$65),"Not Defined")</f>
        <v>SWITCH</v>
      </c>
      <c r="Q152" t="str" cm="1">
        <f t="array" ref="Q152">IFERROR(LOOKUP(2,1/SEARCH($S$2:$S$65,H152),$T$2:$T$65),"-")</f>
        <v>COTS</v>
      </c>
    </row>
    <row r="153" spans="1:17" hidden="1" x14ac:dyDescent="0.25">
      <c r="A153" t="s">
        <v>7672</v>
      </c>
      <c r="B153" t="s">
        <v>489</v>
      </c>
      <c r="C153">
        <v>1</v>
      </c>
      <c r="D153" t="s">
        <v>7060</v>
      </c>
      <c r="E153" t="s">
        <v>472</v>
      </c>
      <c r="F153" t="s">
        <v>366</v>
      </c>
      <c r="G153" t="s">
        <v>7078</v>
      </c>
      <c r="H153" t="s">
        <v>367</v>
      </c>
      <c r="I153" t="s">
        <v>255</v>
      </c>
      <c r="J153" t="s">
        <v>7703</v>
      </c>
      <c r="K153" t="s">
        <v>7677</v>
      </c>
      <c r="L153" t="s">
        <v>7685</v>
      </c>
      <c r="N153" t="str" cm="1">
        <f t="array" ref="N153">IFERROR(LOOKUP(2,1/SEARCH($S$2:$S$65,G153),$T$2:$T$65),"Misc")</f>
        <v>COTS</v>
      </c>
      <c r="O153" t="str" cm="1">
        <f t="array" ref="O153">IFERROR(LOOKUP(2,1/SEARCH($V$2:$V$65,G153),$W$2:$W$65),"Misc")</f>
        <v>SWITCH</v>
      </c>
      <c r="P153" t="str" cm="1">
        <f t="array" ref="P153">IFERROR(LOOKUP(2,1/SEARCH($Y$2:$Y$65,G153),$Z$2:$Z$65),"Not Defined")</f>
        <v>NUT</v>
      </c>
      <c r="Q153" t="str" cm="1">
        <f t="array" ref="Q153">IFERROR(LOOKUP(2,1/SEARCH($S$2:$S$65,H153),$T$2:$T$65),"-")</f>
        <v>COTS</v>
      </c>
    </row>
    <row r="154" spans="1:17" hidden="1" x14ac:dyDescent="0.25">
      <c r="A154" t="s">
        <v>7672</v>
      </c>
      <c r="B154" t="s">
        <v>490</v>
      </c>
      <c r="C154">
        <v>1</v>
      </c>
      <c r="D154" t="s">
        <v>7060</v>
      </c>
      <c r="E154" t="s">
        <v>472</v>
      </c>
      <c r="F154" t="s">
        <v>491</v>
      </c>
      <c r="G154" t="s">
        <v>7095</v>
      </c>
      <c r="H154" t="s">
        <v>492</v>
      </c>
      <c r="I154" t="s">
        <v>255</v>
      </c>
      <c r="J154" t="s">
        <v>7703</v>
      </c>
      <c r="K154" t="s">
        <v>7684</v>
      </c>
      <c r="L154" t="s">
        <v>7677</v>
      </c>
      <c r="N154" t="str" cm="1">
        <f t="array" ref="N154">IFERROR(LOOKUP(2,1/SEARCH($S$2:$S$65,G154),$T$2:$T$65),"Misc")</f>
        <v>COTS</v>
      </c>
      <c r="O154" t="str" cm="1">
        <f t="array" ref="O154">IFERROR(LOOKUP(2,1/SEARCH($V$2:$V$65,G154),$W$2:$W$65),"Misc")</f>
        <v>Fasteners</v>
      </c>
      <c r="P154" t="str" cm="1">
        <f t="array" ref="P154">IFERROR(LOOKUP(2,1/SEARCH($Y$2:$Y$65,G154),$Z$2:$Z$65),"Not Defined")</f>
        <v>SWITCH</v>
      </c>
      <c r="Q154" t="str" cm="1">
        <f t="array" ref="Q154">IFERROR(LOOKUP(2,1/SEARCH($S$2:$S$65,H154),$T$2:$T$65),"-")</f>
        <v>COTS</v>
      </c>
    </row>
    <row r="155" spans="1:17" hidden="1" x14ac:dyDescent="0.25">
      <c r="A155" t="s">
        <v>7672</v>
      </c>
      <c r="B155" t="s">
        <v>493</v>
      </c>
      <c r="C155">
        <v>1</v>
      </c>
      <c r="D155" t="s">
        <v>7060</v>
      </c>
      <c r="E155" t="s">
        <v>472</v>
      </c>
      <c r="F155" t="s">
        <v>494</v>
      </c>
      <c r="G155" t="s">
        <v>496</v>
      </c>
      <c r="H155" t="s">
        <v>495</v>
      </c>
      <c r="I155" t="s">
        <v>13</v>
      </c>
      <c r="J155" t="s">
        <v>7682</v>
      </c>
      <c r="K155" t="s">
        <v>7826</v>
      </c>
      <c r="L155" t="s">
        <v>7826</v>
      </c>
      <c r="N155" t="str" cm="1">
        <f t="array" ref="N155">IFERROR(LOOKUP(2,1/SEARCH($S$2:$S$65,G155),$T$2:$T$65),"Misc")</f>
        <v>OH P/N</v>
      </c>
      <c r="O155" t="str" cm="1">
        <f t="array" ref="O155">IFERROR(LOOKUP(2,1/SEARCH($V$2:$V$65,G155),$W$2:$W$65),"Misc")</f>
        <v>OH Part</v>
      </c>
      <c r="P155" t="str" cm="1">
        <f t="array" ref="P155">IFERROR(LOOKUP(2,1/SEARCH($Y$2:$Y$65,G155),$Z$2:$Z$65),"Not Defined")</f>
        <v>OH Part</v>
      </c>
      <c r="Q155" t="str" cm="1">
        <f t="array" ref="Q155">IFERROR(LOOKUP(2,1/SEARCH($S$2:$S$65,H155),$T$2:$T$65),"-")</f>
        <v>COTS</v>
      </c>
    </row>
    <row r="156" spans="1:17" hidden="1" x14ac:dyDescent="0.25">
      <c r="A156" t="s">
        <v>7672</v>
      </c>
      <c r="B156" t="s">
        <v>497</v>
      </c>
      <c r="C156">
        <v>1</v>
      </c>
      <c r="D156" t="s">
        <v>7060</v>
      </c>
      <c r="E156" t="s">
        <v>472</v>
      </c>
      <c r="F156" t="s">
        <v>498</v>
      </c>
      <c r="G156" t="s">
        <v>500</v>
      </c>
      <c r="H156" t="s">
        <v>499</v>
      </c>
      <c r="I156" t="s">
        <v>13</v>
      </c>
      <c r="J156" t="s">
        <v>7682</v>
      </c>
      <c r="K156" t="s">
        <v>7826</v>
      </c>
      <c r="L156" t="s">
        <v>7826</v>
      </c>
      <c r="N156" t="str" cm="1">
        <f t="array" ref="N156">IFERROR(LOOKUP(2,1/SEARCH($S$2:$S$65,G156),$T$2:$T$65),"Misc")</f>
        <v>OH P/N</v>
      </c>
      <c r="O156" t="str" cm="1">
        <f t="array" ref="O156">IFERROR(LOOKUP(2,1/SEARCH($V$2:$V$65,G156),$W$2:$W$65),"Misc")</f>
        <v>OH Part</v>
      </c>
      <c r="P156" t="str" cm="1">
        <f t="array" ref="P156">IFERROR(LOOKUP(2,1/SEARCH($Y$2:$Y$65,G156),$Z$2:$Z$65),"Not Defined")</f>
        <v>OH Part</v>
      </c>
      <c r="Q156" t="str" cm="1">
        <f t="array" ref="Q156">IFERROR(LOOKUP(2,1/SEARCH($S$2:$S$65,H156),$T$2:$T$65),"-")</f>
        <v>COTS</v>
      </c>
    </row>
    <row r="157" spans="1:17" hidden="1" x14ac:dyDescent="0.25">
      <c r="A157" t="s">
        <v>7672</v>
      </c>
      <c r="B157" t="s">
        <v>501</v>
      </c>
      <c r="C157">
        <v>1</v>
      </c>
      <c r="D157" t="s">
        <v>7060</v>
      </c>
      <c r="E157" t="s">
        <v>472</v>
      </c>
      <c r="F157" t="s">
        <v>436</v>
      </c>
      <c r="G157" t="s">
        <v>7085</v>
      </c>
      <c r="H157" t="s">
        <v>437</v>
      </c>
      <c r="I157" t="s">
        <v>255</v>
      </c>
      <c r="J157" t="s">
        <v>7703</v>
      </c>
      <c r="K157" t="str" cm="1">
        <f t="array" ref="K157">IFERROR(LOOKUP(2,1/SEARCH($V$2:$V$65,C157),$W$2:$W$65),"Misc")</f>
        <v>Misc</v>
      </c>
      <c r="L157" t="s">
        <v>7736</v>
      </c>
      <c r="N157" t="str" cm="1">
        <f t="array" ref="N157">IFERROR(LOOKUP(2,1/SEARCH($S$2:$S$65,G157),$T$2:$T$65),"Misc")</f>
        <v>COTS</v>
      </c>
      <c r="O157" t="str" cm="1">
        <f t="array" ref="O157">IFERROR(LOOKUP(2,1/SEARCH($V$2:$V$65,G157),$W$2:$W$65),"Misc")</f>
        <v>Misc</v>
      </c>
      <c r="P157" t="str" cm="1">
        <f t="array" ref="P157">IFERROR(LOOKUP(2,1/SEARCH($Y$2:$Y$65,G157),$Z$2:$Z$65),"Not Defined")</f>
        <v>DISPLAY</v>
      </c>
      <c r="Q157" t="str" cm="1">
        <f t="array" ref="Q157">IFERROR(LOOKUP(2,1/SEARCH($S$2:$S$65,H157),$T$2:$T$65),"-")</f>
        <v>-</v>
      </c>
    </row>
    <row r="158" spans="1:17" hidden="1" x14ac:dyDescent="0.25">
      <c r="A158" t="s">
        <v>7672</v>
      </c>
      <c r="B158" t="s">
        <v>502</v>
      </c>
      <c r="C158">
        <v>1</v>
      </c>
      <c r="D158" t="s">
        <v>7060</v>
      </c>
      <c r="E158" t="s">
        <v>472</v>
      </c>
      <c r="F158" t="s">
        <v>448</v>
      </c>
      <c r="G158" t="s">
        <v>7089</v>
      </c>
      <c r="H158" t="s">
        <v>449</v>
      </c>
      <c r="I158" t="s">
        <v>255</v>
      </c>
      <c r="J158" t="s">
        <v>7703</v>
      </c>
      <c r="K158" t="s">
        <v>7814</v>
      </c>
      <c r="L158" t="s">
        <v>7834</v>
      </c>
      <c r="N158" t="str" cm="1">
        <f t="array" ref="N158">IFERROR(LOOKUP(2,1/SEARCH($S$2:$S$65,G158),$T$2:$T$65),"Misc")</f>
        <v>Misc</v>
      </c>
      <c r="O158" t="str" cm="1">
        <f t="array" ref="O158">IFERROR(LOOKUP(2,1/SEARCH($V$2:$V$65,G158),$W$2:$W$65),"Misc")</f>
        <v>Misc</v>
      </c>
      <c r="P158" t="str" cm="1">
        <f t="array" ref="P158">IFERROR(LOOKUP(2,1/SEARCH($Y$2:$Y$65,G158),$Z$2:$Z$65),"Not Defined")</f>
        <v>Not Defined</v>
      </c>
      <c r="Q158" t="str" cm="1">
        <f t="array" ref="Q158">IFERROR(LOOKUP(2,1/SEARCH($S$2:$S$65,H158),$T$2:$T$65),"-")</f>
        <v>-</v>
      </c>
    </row>
    <row r="159" spans="1:17" hidden="1" x14ac:dyDescent="0.25">
      <c r="A159" t="s">
        <v>7672</v>
      </c>
      <c r="B159" t="s">
        <v>503</v>
      </c>
      <c r="C159">
        <v>1</v>
      </c>
      <c r="D159" t="s">
        <v>7060</v>
      </c>
      <c r="E159" t="s">
        <v>472</v>
      </c>
      <c r="F159" t="s">
        <v>504</v>
      </c>
      <c r="G159" t="s">
        <v>506</v>
      </c>
      <c r="H159" t="s">
        <v>505</v>
      </c>
      <c r="I159" t="s">
        <v>281</v>
      </c>
      <c r="J159" t="s">
        <v>7682</v>
      </c>
      <c r="K159" t="s">
        <v>7826</v>
      </c>
      <c r="L159" t="s">
        <v>7826</v>
      </c>
      <c r="N159" t="str" cm="1">
        <f t="array" ref="N159">IFERROR(LOOKUP(2,1/SEARCH($S$2:$S$65,G159),$T$2:$T$65),"Misc")</f>
        <v>OH P/N</v>
      </c>
      <c r="O159" t="str" cm="1">
        <f t="array" ref="O159">IFERROR(LOOKUP(2,1/SEARCH($V$2:$V$65,G159),$W$2:$W$65),"Misc")</f>
        <v>OH Part</v>
      </c>
      <c r="P159" t="str" cm="1">
        <f t="array" ref="P159">IFERROR(LOOKUP(2,1/SEARCH($Y$2:$Y$65,G159),$Z$2:$Z$65),"Not Defined")</f>
        <v>OH Part</v>
      </c>
      <c r="Q159" t="str" cm="1">
        <f t="array" ref="Q159">IFERROR(LOOKUP(2,1/SEARCH($S$2:$S$65,H159),$T$2:$T$65),"-")</f>
        <v>-</v>
      </c>
    </row>
    <row r="160" spans="1:17" hidden="1" x14ac:dyDescent="0.25">
      <c r="A160" t="s">
        <v>7672</v>
      </c>
      <c r="B160" t="s">
        <v>507</v>
      </c>
      <c r="C160">
        <v>5</v>
      </c>
      <c r="D160" t="s">
        <v>7060</v>
      </c>
      <c r="E160" t="s">
        <v>472</v>
      </c>
      <c r="F160" t="s">
        <v>268</v>
      </c>
      <c r="G160" t="s">
        <v>7061</v>
      </c>
      <c r="H160" t="s">
        <v>269</v>
      </c>
      <c r="I160" t="s">
        <v>224</v>
      </c>
      <c r="J160" t="s">
        <v>7703</v>
      </c>
      <c r="K160" t="s">
        <v>7684</v>
      </c>
      <c r="L160" t="s">
        <v>7687</v>
      </c>
      <c r="N160" t="str" cm="1">
        <f t="array" ref="N160">IFERROR(LOOKUP(2,1/SEARCH($S$2:$S$65,G160),$T$2:$T$65),"Misc")</f>
        <v>COTS</v>
      </c>
      <c r="O160" t="str" cm="1">
        <f t="array" ref="O160">IFERROR(LOOKUP(2,1/SEARCH($V$2:$V$65,G160),$W$2:$W$65),"Misc")</f>
        <v>Fasteners</v>
      </c>
      <c r="P160" t="str" cm="1">
        <f t="array" ref="P160">IFERROR(LOOKUP(2,1/SEARCH($Y$2:$Y$65,G160),$Z$2:$Z$65),"Not Defined")</f>
        <v>INSERT</v>
      </c>
      <c r="Q160" t="str" cm="1">
        <f t="array" ref="Q160">IFERROR(LOOKUP(2,1/SEARCH($S$2:$S$65,H160),$T$2:$T$65),"-")</f>
        <v>COTS</v>
      </c>
    </row>
    <row r="161" spans="1:17" hidden="1" x14ac:dyDescent="0.25">
      <c r="A161" t="s">
        <v>7672</v>
      </c>
      <c r="B161" t="s">
        <v>508</v>
      </c>
      <c r="C161">
        <v>5</v>
      </c>
      <c r="D161" t="s">
        <v>7060</v>
      </c>
      <c r="E161" t="s">
        <v>472</v>
      </c>
      <c r="F161" t="s">
        <v>460</v>
      </c>
      <c r="G161" t="s">
        <v>7090</v>
      </c>
      <c r="H161" t="s">
        <v>461</v>
      </c>
      <c r="I161" t="s">
        <v>224</v>
      </c>
      <c r="J161" t="s">
        <v>7703</v>
      </c>
      <c r="K161" t="s">
        <v>7684</v>
      </c>
      <c r="L161" t="s">
        <v>7693</v>
      </c>
      <c r="N161" t="str" cm="1">
        <f t="array" ref="N161">IFERROR(LOOKUP(2,1/SEARCH($S$2:$S$65,G161),$T$2:$T$65),"Misc")</f>
        <v>COTS</v>
      </c>
      <c r="O161" t="str" cm="1">
        <f t="array" ref="O161">IFERROR(LOOKUP(2,1/SEARCH($V$2:$V$65,G161),$W$2:$W$65),"Misc")</f>
        <v>Fasteners</v>
      </c>
      <c r="P161" t="str" cm="1">
        <f t="array" ref="P161">IFERROR(LOOKUP(2,1/SEARCH($Y$2:$Y$65,G161),$Z$2:$Z$65),"Not Defined")</f>
        <v>PHS</v>
      </c>
      <c r="Q161" t="str" cm="1">
        <f t="array" ref="Q161">IFERROR(LOOKUP(2,1/SEARCH($S$2:$S$65,H161),$T$2:$T$65),"-")</f>
        <v>COTS</v>
      </c>
    </row>
    <row r="162" spans="1:17" hidden="1" x14ac:dyDescent="0.25">
      <c r="A162" t="s">
        <v>7672</v>
      </c>
      <c r="B162" t="s">
        <v>509</v>
      </c>
      <c r="C162">
        <v>4</v>
      </c>
      <c r="D162" t="s">
        <v>7060</v>
      </c>
      <c r="E162" t="s">
        <v>472</v>
      </c>
      <c r="F162" t="s">
        <v>304</v>
      </c>
      <c r="G162" t="s">
        <v>7067</v>
      </c>
      <c r="H162" t="s">
        <v>305</v>
      </c>
      <c r="I162" t="s">
        <v>210</v>
      </c>
      <c r="J162" t="s">
        <v>7703</v>
      </c>
      <c r="K162" t="s">
        <v>7684</v>
      </c>
      <c r="L162" t="s">
        <v>7693</v>
      </c>
      <c r="N162" t="str" cm="1">
        <f t="array" ref="N162">IFERROR(LOOKUP(2,1/SEARCH($S$2:$S$65,G162),$T$2:$T$65),"Misc")</f>
        <v>COTS</v>
      </c>
      <c r="O162" t="str" cm="1">
        <f t="array" ref="O162">IFERROR(LOOKUP(2,1/SEARCH($V$2:$V$65,G162),$W$2:$W$65),"Misc")</f>
        <v>Fasteners</v>
      </c>
      <c r="P162" t="str" cm="1">
        <f t="array" ref="P162">IFERROR(LOOKUP(2,1/SEARCH($Y$2:$Y$65,G162),$Z$2:$Z$65),"Not Defined")</f>
        <v>PHS</v>
      </c>
      <c r="Q162" t="str" cm="1">
        <f t="array" ref="Q162">IFERROR(LOOKUP(2,1/SEARCH($S$2:$S$65,H162),$T$2:$T$65),"-")</f>
        <v>COTS</v>
      </c>
    </row>
    <row r="163" spans="1:17" hidden="1" x14ac:dyDescent="0.25">
      <c r="A163" t="s">
        <v>7672</v>
      </c>
      <c r="B163" t="s">
        <v>510</v>
      </c>
      <c r="C163">
        <v>4</v>
      </c>
      <c r="D163" t="s">
        <v>7060</v>
      </c>
      <c r="E163" t="s">
        <v>472</v>
      </c>
      <c r="F163" t="s">
        <v>464</v>
      </c>
      <c r="G163" t="s">
        <v>7091</v>
      </c>
      <c r="H163" t="s">
        <v>465</v>
      </c>
      <c r="I163" t="s">
        <v>224</v>
      </c>
      <c r="J163" t="s">
        <v>7703</v>
      </c>
      <c r="K163" t="s">
        <v>7684</v>
      </c>
      <c r="L163" t="s">
        <v>7685</v>
      </c>
      <c r="N163" t="str" cm="1">
        <f t="array" ref="N163">IFERROR(LOOKUP(2,1/SEARCH($S$2:$S$65,G163),$T$2:$T$65),"Misc")</f>
        <v>COTS</v>
      </c>
      <c r="O163" t="str" cm="1">
        <f t="array" ref="O163">IFERROR(LOOKUP(2,1/SEARCH($V$2:$V$65,G163),$W$2:$W$65),"Misc")</f>
        <v>Fasteners</v>
      </c>
      <c r="P163" t="str" cm="1">
        <f t="array" ref="P163">IFERROR(LOOKUP(2,1/SEARCH($Y$2:$Y$65,G163),$Z$2:$Z$65),"Not Defined")</f>
        <v>NUT</v>
      </c>
      <c r="Q163" t="str" cm="1">
        <f t="array" ref="Q163">IFERROR(LOOKUP(2,1/SEARCH($S$2:$S$65,H163),$T$2:$T$65),"-")</f>
        <v>COTS</v>
      </c>
    </row>
    <row r="164" spans="1:17" hidden="1" x14ac:dyDescent="0.25">
      <c r="A164" t="s">
        <v>7672</v>
      </c>
      <c r="B164" t="s">
        <v>511</v>
      </c>
      <c r="C164">
        <v>4</v>
      </c>
      <c r="D164" t="s">
        <v>7060</v>
      </c>
      <c r="F164" t="s">
        <v>512</v>
      </c>
      <c r="G164" t="s">
        <v>7096</v>
      </c>
      <c r="H164" t="s">
        <v>513</v>
      </c>
      <c r="I164" t="s">
        <v>299</v>
      </c>
      <c r="J164" t="s">
        <v>7703</v>
      </c>
      <c r="K164" t="s">
        <v>7684</v>
      </c>
      <c r="L164" t="s">
        <v>7708</v>
      </c>
      <c r="N164" t="str" cm="1">
        <f t="array" ref="N164">IFERROR(LOOKUP(2,1/SEARCH($S$2:$S$65,G164),$T$2:$T$65),"Misc")</f>
        <v>COTS</v>
      </c>
      <c r="O164" t="str" cm="1">
        <f t="array" ref="O164">IFERROR(LOOKUP(2,1/SEARCH($V$2:$V$65,G164),$W$2:$W$65),"Misc")</f>
        <v>Fasteners</v>
      </c>
      <c r="P164" t="str" cm="1">
        <f t="array" ref="P164">IFERROR(LOOKUP(2,1/SEARCH($Y$2:$Y$65,G164),$Z$2:$Z$65),"Not Defined")</f>
        <v>STANDOFF</v>
      </c>
      <c r="Q164" t="str" cm="1">
        <f t="array" ref="Q164">IFERROR(LOOKUP(2,1/SEARCH($S$2:$S$65,H164),$T$2:$T$65),"-")</f>
        <v>COTS</v>
      </c>
    </row>
    <row r="165" spans="1:17" hidden="1" x14ac:dyDescent="0.25">
      <c r="A165" t="s">
        <v>7672</v>
      </c>
      <c r="B165" t="s">
        <v>514</v>
      </c>
      <c r="C165">
        <v>4</v>
      </c>
      <c r="D165" t="s">
        <v>7060</v>
      </c>
      <c r="F165" t="s">
        <v>304</v>
      </c>
      <c r="G165" t="s">
        <v>7067</v>
      </c>
      <c r="H165" t="s">
        <v>305</v>
      </c>
      <c r="I165" t="s">
        <v>210</v>
      </c>
      <c r="J165" t="s">
        <v>7703</v>
      </c>
      <c r="K165" t="s">
        <v>7684</v>
      </c>
      <c r="L165" t="s">
        <v>7693</v>
      </c>
      <c r="N165" t="str" cm="1">
        <f t="array" ref="N165">IFERROR(LOOKUP(2,1/SEARCH($S$2:$S$65,G165),$T$2:$T$65),"Misc")</f>
        <v>COTS</v>
      </c>
      <c r="O165" t="str" cm="1">
        <f t="array" ref="O165">IFERROR(LOOKUP(2,1/SEARCH($V$2:$V$65,G165),$W$2:$W$65),"Misc")</f>
        <v>Fasteners</v>
      </c>
      <c r="P165" t="str" cm="1">
        <f t="array" ref="P165">IFERROR(LOOKUP(2,1/SEARCH($Y$2:$Y$65,G165),$Z$2:$Z$65),"Not Defined")</f>
        <v>PHS</v>
      </c>
      <c r="Q165" t="str" cm="1">
        <f t="array" ref="Q165">IFERROR(LOOKUP(2,1/SEARCH($S$2:$S$65,H165),$T$2:$T$65),"-")</f>
        <v>COTS</v>
      </c>
    </row>
    <row r="166" spans="1:17" hidden="1" x14ac:dyDescent="0.25">
      <c r="A166" t="s">
        <v>7672</v>
      </c>
      <c r="B166" t="s">
        <v>515</v>
      </c>
      <c r="C166">
        <v>1</v>
      </c>
      <c r="D166" t="s">
        <v>7060</v>
      </c>
      <c r="F166" t="s">
        <v>516</v>
      </c>
      <c r="G166" t="s">
        <v>1075</v>
      </c>
      <c r="H166" t="s">
        <v>517</v>
      </c>
      <c r="I166" t="s">
        <v>255</v>
      </c>
      <c r="J166" t="s">
        <v>7703</v>
      </c>
      <c r="K166" t="s">
        <v>7713</v>
      </c>
      <c r="L166" t="s">
        <v>7713</v>
      </c>
      <c r="N166" t="str" cm="1">
        <f t="array" ref="N166">IFERROR(LOOKUP(2,1/SEARCH($S$2:$S$65,G166),$T$2:$T$65),"Misc")</f>
        <v>COTS</v>
      </c>
      <c r="O166" t="str" cm="1">
        <f t="array" ref="O166">IFERROR(LOOKUP(2,1/SEARCH($V$2:$V$65,G166),$W$2:$W$65),"Misc")</f>
        <v>ARDUINO</v>
      </c>
      <c r="P166" t="str" cm="1">
        <f t="array" ref="P166">IFERROR(LOOKUP(2,1/SEARCH($Y$2:$Y$65,G166),$Z$2:$Z$65),"Not Defined")</f>
        <v>ARDUINO</v>
      </c>
      <c r="Q166" t="str" cm="1">
        <f t="array" ref="Q166">IFERROR(LOOKUP(2,1/SEARCH($S$2:$S$65,H166),$T$2:$T$65),"-")</f>
        <v>COTS</v>
      </c>
    </row>
    <row r="167" spans="1:17" hidden="1" x14ac:dyDescent="0.25">
      <c r="A167" t="s">
        <v>7672</v>
      </c>
      <c r="B167" t="s">
        <v>518</v>
      </c>
      <c r="C167">
        <v>19</v>
      </c>
      <c r="D167" t="s">
        <v>7060</v>
      </c>
      <c r="F167" t="s">
        <v>519</v>
      </c>
      <c r="G167" t="s">
        <v>7097</v>
      </c>
      <c r="H167" t="s">
        <v>520</v>
      </c>
      <c r="I167" t="s">
        <v>228</v>
      </c>
      <c r="J167" t="s">
        <v>7703</v>
      </c>
      <c r="K167" t="s">
        <v>7684</v>
      </c>
      <c r="L167" t="s">
        <v>7693</v>
      </c>
      <c r="N167" t="str" cm="1">
        <f t="array" ref="N167">IFERROR(LOOKUP(2,1/SEARCH($S$2:$S$65,G167),$T$2:$T$65),"Misc")</f>
        <v>COTS</v>
      </c>
      <c r="O167" t="str" cm="1">
        <f t="array" ref="O167">IFERROR(LOOKUP(2,1/SEARCH($V$2:$V$65,G167),$W$2:$W$65),"Misc")</f>
        <v>Fasteners</v>
      </c>
      <c r="P167" t="str" cm="1">
        <f t="array" ref="P167">IFERROR(LOOKUP(2,1/SEARCH($Y$2:$Y$65,G167),$Z$2:$Z$65),"Not Defined")</f>
        <v>PHS</v>
      </c>
      <c r="Q167" t="str" cm="1">
        <f t="array" ref="Q167">IFERROR(LOOKUP(2,1/SEARCH($S$2:$S$65,H167),$T$2:$T$65),"-")</f>
        <v>COTS</v>
      </c>
    </row>
    <row r="168" spans="1:17" hidden="1" x14ac:dyDescent="0.25">
      <c r="A168" t="s">
        <v>7672</v>
      </c>
      <c r="B168" s="2" t="s">
        <v>521</v>
      </c>
      <c r="C168">
        <v>1</v>
      </c>
      <c r="D168" t="s">
        <v>7098</v>
      </c>
      <c r="E168" t="s">
        <v>523</v>
      </c>
      <c r="F168" t="s">
        <v>522</v>
      </c>
      <c r="G168" s="2" t="s">
        <v>7098</v>
      </c>
      <c r="H168" t="s">
        <v>523</v>
      </c>
      <c r="J168" t="s">
        <v>7742</v>
      </c>
      <c r="K168" t="s">
        <v>7826</v>
      </c>
      <c r="L168" t="s">
        <v>7826</v>
      </c>
      <c r="N168" t="str" cm="1">
        <f t="array" ref="N168">IFERROR(LOOKUP(2,1/SEARCH($S$2:$S$65,G168),$T$2:$T$65),"Misc")</f>
        <v>OH ASSY</v>
      </c>
      <c r="O168" t="str" cm="1">
        <f t="array" ref="O168">IFERROR(LOOKUP(2,1/SEARCH($V$2:$V$65,G168),$W$2:$W$65),"Misc")</f>
        <v>OH Part</v>
      </c>
      <c r="P168" t="str" cm="1">
        <f t="array" ref="P168">IFERROR(LOOKUP(2,1/SEARCH($Y$2:$Y$65,G168),$Z$2:$Z$65),"Not Defined")</f>
        <v>OH Part</v>
      </c>
      <c r="Q168" t="str" cm="1">
        <f t="array" ref="Q168">IFERROR(LOOKUP(2,1/SEARCH($S$2:$S$65,H168),$T$2:$T$65),"-")</f>
        <v>OH ASSY</v>
      </c>
    </row>
    <row r="169" spans="1:17" hidden="1" x14ac:dyDescent="0.25">
      <c r="A169" t="s">
        <v>7672</v>
      </c>
      <c r="B169" t="s">
        <v>524</v>
      </c>
      <c r="C169">
        <v>1</v>
      </c>
      <c r="D169" t="s">
        <v>7098</v>
      </c>
      <c r="E169" t="s">
        <v>526</v>
      </c>
      <c r="F169" t="s">
        <v>525</v>
      </c>
      <c r="G169" t="s">
        <v>527</v>
      </c>
      <c r="H169" t="s">
        <v>526</v>
      </c>
      <c r="J169" t="s">
        <v>7742</v>
      </c>
      <c r="K169" t="s">
        <v>7826</v>
      </c>
      <c r="L169" t="s">
        <v>7826</v>
      </c>
      <c r="N169" t="str" cm="1">
        <f t="array" ref="N169">IFERROR(LOOKUP(2,1/SEARCH($S$2:$S$65,G169),$T$2:$T$65),"Misc")</f>
        <v>OH ASSY</v>
      </c>
      <c r="O169" t="str" cm="1">
        <f t="array" ref="O169">IFERROR(LOOKUP(2,1/SEARCH($V$2:$V$65,G169),$W$2:$W$65),"Misc")</f>
        <v>OH Part</v>
      </c>
      <c r="P169" t="str" cm="1">
        <f t="array" ref="P169">IFERROR(LOOKUP(2,1/SEARCH($Y$2:$Y$65,G169),$Z$2:$Z$65),"Not Defined")</f>
        <v>OH Part</v>
      </c>
      <c r="Q169" t="str" cm="1">
        <f t="array" ref="Q169">IFERROR(LOOKUP(2,1/SEARCH($S$2:$S$65,H169),$T$2:$T$65),"-")</f>
        <v>OH ASSY</v>
      </c>
    </row>
    <row r="170" spans="1:17" hidden="1" x14ac:dyDescent="0.25">
      <c r="A170" t="s">
        <v>7672</v>
      </c>
      <c r="B170" t="s">
        <v>528</v>
      </c>
      <c r="C170">
        <v>1</v>
      </c>
      <c r="D170" t="s">
        <v>7098</v>
      </c>
      <c r="E170" t="s">
        <v>526</v>
      </c>
      <c r="F170" t="s">
        <v>529</v>
      </c>
      <c r="G170" t="s">
        <v>531</v>
      </c>
      <c r="H170" t="s">
        <v>530</v>
      </c>
      <c r="I170" t="s">
        <v>281</v>
      </c>
      <c r="J170" t="s">
        <v>7682</v>
      </c>
      <c r="K170" t="s">
        <v>7826</v>
      </c>
      <c r="L170" t="s">
        <v>7826</v>
      </c>
      <c r="N170" t="str" cm="1">
        <f t="array" ref="N170">IFERROR(LOOKUP(2,1/SEARCH($S$2:$S$65,G170),$T$2:$T$65),"Misc")</f>
        <v>OH P/N</v>
      </c>
      <c r="O170" t="str" cm="1">
        <f t="array" ref="O170">IFERROR(LOOKUP(2,1/SEARCH($V$2:$V$65,G170),$W$2:$W$65),"Misc")</f>
        <v>OH Part</v>
      </c>
      <c r="P170" t="str" cm="1">
        <f t="array" ref="P170">IFERROR(LOOKUP(2,1/SEARCH($Y$2:$Y$65,G170),$Z$2:$Z$65),"Not Defined")</f>
        <v>OH Part</v>
      </c>
      <c r="Q170" t="str" cm="1">
        <f t="array" ref="Q170">IFERROR(LOOKUP(2,1/SEARCH($S$2:$S$65,H170),$T$2:$T$65),"-")</f>
        <v>-</v>
      </c>
    </row>
    <row r="171" spans="1:17" hidden="1" x14ac:dyDescent="0.25">
      <c r="A171" t="s">
        <v>7672</v>
      </c>
      <c r="B171" t="s">
        <v>532</v>
      </c>
      <c r="C171">
        <v>1</v>
      </c>
      <c r="D171" t="s">
        <v>7098</v>
      </c>
      <c r="E171" t="s">
        <v>526</v>
      </c>
      <c r="F171" t="s">
        <v>533</v>
      </c>
      <c r="G171" t="s">
        <v>535</v>
      </c>
      <c r="H171" t="s">
        <v>534</v>
      </c>
      <c r="I171" t="s">
        <v>293</v>
      </c>
      <c r="J171" t="s">
        <v>7682</v>
      </c>
      <c r="K171" t="s">
        <v>7826</v>
      </c>
      <c r="L171" t="s">
        <v>7826</v>
      </c>
      <c r="N171" t="str" cm="1">
        <f t="array" ref="N171">IFERROR(LOOKUP(2,1/SEARCH($S$2:$S$65,G171),$T$2:$T$65),"Misc")</f>
        <v>OH P/N</v>
      </c>
      <c r="O171" t="str" cm="1">
        <f t="array" ref="O171">IFERROR(LOOKUP(2,1/SEARCH($V$2:$V$65,G171),$W$2:$W$65),"Misc")</f>
        <v>OH Part</v>
      </c>
      <c r="P171" t="str" cm="1">
        <f t="array" ref="P171">IFERROR(LOOKUP(2,1/SEARCH($Y$2:$Y$65,G171),$Z$2:$Z$65),"Not Defined")</f>
        <v>OH Part</v>
      </c>
      <c r="Q171" t="str" cm="1">
        <f t="array" ref="Q171">IFERROR(LOOKUP(2,1/SEARCH($S$2:$S$65,H171),$T$2:$T$65),"-")</f>
        <v>-</v>
      </c>
    </row>
    <row r="172" spans="1:17" hidden="1" x14ac:dyDescent="0.25">
      <c r="A172" t="s">
        <v>7672</v>
      </c>
      <c r="B172" t="s">
        <v>536</v>
      </c>
      <c r="C172">
        <v>1</v>
      </c>
      <c r="D172" t="s">
        <v>7098</v>
      </c>
      <c r="E172" t="s">
        <v>526</v>
      </c>
      <c r="F172" t="s">
        <v>537</v>
      </c>
      <c r="G172" t="s">
        <v>539</v>
      </c>
      <c r="H172" t="s">
        <v>538</v>
      </c>
      <c r="I172" t="s">
        <v>293</v>
      </c>
      <c r="J172" t="s">
        <v>7682</v>
      </c>
      <c r="K172" t="s">
        <v>7826</v>
      </c>
      <c r="L172" t="s">
        <v>7826</v>
      </c>
      <c r="N172" t="str" cm="1">
        <f t="array" ref="N172">IFERROR(LOOKUP(2,1/SEARCH($S$2:$S$65,G172),$T$2:$T$65),"Misc")</f>
        <v>OH P/N</v>
      </c>
      <c r="O172" t="str" cm="1">
        <f t="array" ref="O172">IFERROR(LOOKUP(2,1/SEARCH($V$2:$V$65,G172),$W$2:$W$65),"Misc")</f>
        <v>OH Part</v>
      </c>
      <c r="P172" t="str" cm="1">
        <f t="array" ref="P172">IFERROR(LOOKUP(2,1/SEARCH($Y$2:$Y$65,G172),$Z$2:$Z$65),"Not Defined")</f>
        <v>OH Part</v>
      </c>
      <c r="Q172" t="str" cm="1">
        <f t="array" ref="Q172">IFERROR(LOOKUP(2,1/SEARCH($S$2:$S$65,H172),$T$2:$T$65),"-")</f>
        <v>-</v>
      </c>
    </row>
    <row r="173" spans="1:17" hidden="1" x14ac:dyDescent="0.25">
      <c r="A173" t="s">
        <v>7672</v>
      </c>
      <c r="B173" t="s">
        <v>540</v>
      </c>
      <c r="C173">
        <v>1</v>
      </c>
      <c r="D173" t="s">
        <v>7098</v>
      </c>
      <c r="E173" t="s">
        <v>526</v>
      </c>
      <c r="F173" t="s">
        <v>541</v>
      </c>
      <c r="G173" t="s">
        <v>543</v>
      </c>
      <c r="H173" t="s">
        <v>542</v>
      </c>
      <c r="I173" t="s">
        <v>255</v>
      </c>
      <c r="J173" t="s">
        <v>7682</v>
      </c>
      <c r="K173" t="s">
        <v>7826</v>
      </c>
      <c r="L173" t="s">
        <v>7826</v>
      </c>
      <c r="N173" t="str" cm="1">
        <f t="array" ref="N173">IFERROR(LOOKUP(2,1/SEARCH($S$2:$S$65,G173),$T$2:$T$65),"Misc")</f>
        <v>OH P/N</v>
      </c>
      <c r="O173" t="str" cm="1">
        <f t="array" ref="O173">IFERROR(LOOKUP(2,1/SEARCH($V$2:$V$65,G173),$W$2:$W$65),"Misc")</f>
        <v>OH Part</v>
      </c>
      <c r="P173" t="str" cm="1">
        <f t="array" ref="P173">IFERROR(LOOKUP(2,1/SEARCH($Y$2:$Y$65,G173),$Z$2:$Z$65),"Not Defined")</f>
        <v>OH Part</v>
      </c>
      <c r="Q173" t="str" cm="1">
        <f t="array" ref="Q173">IFERROR(LOOKUP(2,1/SEARCH($S$2:$S$65,H173),$T$2:$T$65),"-")</f>
        <v>-</v>
      </c>
    </row>
    <row r="174" spans="1:17" hidden="1" x14ac:dyDescent="0.25">
      <c r="A174" t="s">
        <v>7672</v>
      </c>
      <c r="B174" t="s">
        <v>544</v>
      </c>
      <c r="C174">
        <v>1</v>
      </c>
      <c r="D174" t="s">
        <v>7098</v>
      </c>
      <c r="F174" t="s">
        <v>545</v>
      </c>
      <c r="G174" t="s">
        <v>547</v>
      </c>
      <c r="H174" t="s">
        <v>546</v>
      </c>
      <c r="I174" t="s">
        <v>255</v>
      </c>
      <c r="J174" t="s">
        <v>7703</v>
      </c>
      <c r="K174" t="s">
        <v>7814</v>
      </c>
      <c r="L174" t="s">
        <v>7730</v>
      </c>
      <c r="N174" t="str" cm="1">
        <f t="array" ref="N174">IFERROR(LOOKUP(2,1/SEARCH($S$2:$S$65,G174),$T$2:$T$65),"Misc")</f>
        <v>COTS</v>
      </c>
      <c r="O174" t="str" cm="1">
        <f t="array" ref="O174">IFERROR(LOOKUP(2,1/SEARCH($V$2:$V$65,G174),$W$2:$W$65),"Misc")</f>
        <v>Misc</v>
      </c>
      <c r="P174" t="str" cm="1">
        <f t="array" ref="P174">IFERROR(LOOKUP(2,1/SEARCH($Y$2:$Y$65,G174),$Z$2:$Z$65),"Not Defined")</f>
        <v>TAPE</v>
      </c>
      <c r="Q174" t="str" cm="1">
        <f t="array" ref="Q174">IFERROR(LOOKUP(2,1/SEARCH($S$2:$S$65,H174),$T$2:$T$65),"-")</f>
        <v>COTS</v>
      </c>
    </row>
    <row r="175" spans="1:17" hidden="1" x14ac:dyDescent="0.25">
      <c r="A175" t="s">
        <v>7672</v>
      </c>
      <c r="B175" t="s">
        <v>548</v>
      </c>
      <c r="C175">
        <v>1</v>
      </c>
      <c r="D175" t="s">
        <v>7098</v>
      </c>
      <c r="F175" t="s">
        <v>549</v>
      </c>
      <c r="G175" t="s">
        <v>551</v>
      </c>
      <c r="H175" t="s">
        <v>550</v>
      </c>
      <c r="I175" t="s">
        <v>13</v>
      </c>
      <c r="J175" t="s">
        <v>7682</v>
      </c>
      <c r="K175" t="s">
        <v>7826</v>
      </c>
      <c r="L175" t="s">
        <v>7826</v>
      </c>
      <c r="N175" t="str" cm="1">
        <f t="array" ref="N175">IFERROR(LOOKUP(2,1/SEARCH($S$2:$S$65,G175),$T$2:$T$65),"Misc")</f>
        <v>OH P/N</v>
      </c>
      <c r="O175" t="str" cm="1">
        <f t="array" ref="O175">IFERROR(LOOKUP(2,1/SEARCH($V$2:$V$65,G175),$W$2:$W$65),"Misc")</f>
        <v>OH Part</v>
      </c>
      <c r="P175" t="str" cm="1">
        <f t="array" ref="P175">IFERROR(LOOKUP(2,1/SEARCH($Y$2:$Y$65,G175),$Z$2:$Z$65),"Not Defined")</f>
        <v>OH Part</v>
      </c>
      <c r="Q175" t="str" cm="1">
        <f t="array" ref="Q175">IFERROR(LOOKUP(2,1/SEARCH($S$2:$S$65,H175),$T$2:$T$65),"-")</f>
        <v>-</v>
      </c>
    </row>
    <row r="176" spans="1:17" hidden="1" x14ac:dyDescent="0.25">
      <c r="A176" t="s">
        <v>7672</v>
      </c>
      <c r="B176" t="s">
        <v>552</v>
      </c>
      <c r="C176">
        <v>1</v>
      </c>
      <c r="D176" t="s">
        <v>7098</v>
      </c>
      <c r="E176" t="s">
        <v>7842</v>
      </c>
      <c r="F176" t="s">
        <v>553</v>
      </c>
      <c r="G176" t="s">
        <v>555</v>
      </c>
      <c r="H176" t="s">
        <v>554</v>
      </c>
      <c r="J176" t="s">
        <v>7742</v>
      </c>
      <c r="K176" t="s">
        <v>7826</v>
      </c>
      <c r="L176" t="s">
        <v>7826</v>
      </c>
      <c r="N176" t="str" cm="1">
        <f t="array" ref="N176">IFERROR(LOOKUP(2,1/SEARCH($S$2:$S$65,G176),$T$2:$T$65),"Misc")</f>
        <v>OH ASSY</v>
      </c>
      <c r="O176" t="str" cm="1">
        <f t="array" ref="O176">IFERROR(LOOKUP(2,1/SEARCH($V$2:$V$65,G176),$W$2:$W$65),"Misc")</f>
        <v>OH Part</v>
      </c>
      <c r="P176" t="str" cm="1">
        <f t="array" ref="P176">IFERROR(LOOKUP(2,1/SEARCH($Y$2:$Y$65,G176),$Z$2:$Z$65),"Not Defined")</f>
        <v>OH Part</v>
      </c>
      <c r="Q176" t="str" cm="1">
        <f t="array" ref="Q176">IFERROR(LOOKUP(2,1/SEARCH($S$2:$S$65,H176),$T$2:$T$65),"-")</f>
        <v>OH ASSY</v>
      </c>
    </row>
    <row r="177" spans="1:17" hidden="1" x14ac:dyDescent="0.25">
      <c r="A177" t="s">
        <v>7672</v>
      </c>
      <c r="B177" t="s">
        <v>556</v>
      </c>
      <c r="C177">
        <v>1</v>
      </c>
      <c r="D177" t="s">
        <v>7098</v>
      </c>
      <c r="E177" t="s">
        <v>7842</v>
      </c>
      <c r="F177" t="s">
        <v>557</v>
      </c>
      <c r="G177" t="s">
        <v>559</v>
      </c>
      <c r="H177" t="s">
        <v>558</v>
      </c>
      <c r="I177" t="s">
        <v>13</v>
      </c>
      <c r="J177" t="s">
        <v>7682</v>
      </c>
      <c r="K177" t="s">
        <v>7826</v>
      </c>
      <c r="L177" t="s">
        <v>7826</v>
      </c>
      <c r="N177" t="str" cm="1">
        <f t="array" ref="N177">IFERROR(LOOKUP(2,1/SEARCH($S$2:$S$65,G177),$T$2:$T$65),"Misc")</f>
        <v>OH P/N</v>
      </c>
      <c r="O177" t="str" cm="1">
        <f t="array" ref="O177">IFERROR(LOOKUP(2,1/SEARCH($V$2:$V$65,G177),$W$2:$W$65),"Misc")</f>
        <v>OH Part</v>
      </c>
      <c r="P177" t="str" cm="1">
        <f t="array" ref="P177">IFERROR(LOOKUP(2,1/SEARCH($Y$2:$Y$65,G177),$Z$2:$Z$65),"Not Defined")</f>
        <v>OH Part</v>
      </c>
      <c r="Q177" t="str" cm="1">
        <f t="array" ref="Q177">IFERROR(LOOKUP(2,1/SEARCH($S$2:$S$65,H177),$T$2:$T$65),"-")</f>
        <v>-</v>
      </c>
    </row>
    <row r="178" spans="1:17" hidden="1" x14ac:dyDescent="0.25">
      <c r="A178" t="s">
        <v>7672</v>
      </c>
      <c r="B178" t="s">
        <v>560</v>
      </c>
      <c r="C178">
        <v>12</v>
      </c>
      <c r="D178" t="s">
        <v>7098</v>
      </c>
      <c r="E178" t="s">
        <v>7842</v>
      </c>
      <c r="F178" t="s">
        <v>265</v>
      </c>
      <c r="G178" t="s">
        <v>7099</v>
      </c>
      <c r="H178" t="s">
        <v>266</v>
      </c>
      <c r="I178" t="s">
        <v>224</v>
      </c>
      <c r="J178" t="s">
        <v>7703</v>
      </c>
      <c r="K178" t="s">
        <v>7684</v>
      </c>
      <c r="L178" t="s">
        <v>7687</v>
      </c>
      <c r="N178" t="str" cm="1">
        <f t="array" ref="N178">IFERROR(LOOKUP(2,1/SEARCH($S$2:$S$65,G178),$T$2:$T$65),"Misc")</f>
        <v>COTS</v>
      </c>
      <c r="O178" t="str" cm="1">
        <f t="array" ref="O178">IFERROR(LOOKUP(2,1/SEARCH($V$2:$V$65,G178),$W$2:$W$65),"Misc")</f>
        <v>Fasteners</v>
      </c>
      <c r="P178" t="str" cm="1">
        <f t="array" ref="P178">IFERROR(LOOKUP(2,1/SEARCH($Y$2:$Y$65,G178),$Z$2:$Z$65),"Not Defined")</f>
        <v>INSERT</v>
      </c>
      <c r="Q178" t="str" cm="1">
        <f t="array" ref="Q178">IFERROR(LOOKUP(2,1/SEARCH($S$2:$S$65,H178),$T$2:$T$65),"-")</f>
        <v>COTS</v>
      </c>
    </row>
    <row r="179" spans="1:17" hidden="1" x14ac:dyDescent="0.25">
      <c r="A179" t="s">
        <v>7672</v>
      </c>
      <c r="B179" t="s">
        <v>561</v>
      </c>
      <c r="C179">
        <v>5</v>
      </c>
      <c r="D179" t="s">
        <v>7098</v>
      </c>
      <c r="E179" t="s">
        <v>7842</v>
      </c>
      <c r="F179" t="s">
        <v>268</v>
      </c>
      <c r="G179" t="s">
        <v>7061</v>
      </c>
      <c r="H179" t="s">
        <v>269</v>
      </c>
      <c r="I179" t="s">
        <v>224</v>
      </c>
      <c r="J179" t="s">
        <v>7703</v>
      </c>
      <c r="K179" t="s">
        <v>7684</v>
      </c>
      <c r="L179" t="s">
        <v>7687</v>
      </c>
      <c r="N179" t="str" cm="1">
        <f t="array" ref="N179">IFERROR(LOOKUP(2,1/SEARCH($S$2:$S$65,G179),$T$2:$T$65),"Misc")</f>
        <v>COTS</v>
      </c>
      <c r="O179" t="str" cm="1">
        <f t="array" ref="O179">IFERROR(LOOKUP(2,1/SEARCH($V$2:$V$65,G179),$W$2:$W$65),"Misc")</f>
        <v>Fasteners</v>
      </c>
      <c r="P179" t="str" cm="1">
        <f t="array" ref="P179">IFERROR(LOOKUP(2,1/SEARCH($Y$2:$Y$65,G179),$Z$2:$Z$65),"Not Defined")</f>
        <v>INSERT</v>
      </c>
      <c r="Q179" t="str" cm="1">
        <f t="array" ref="Q179">IFERROR(LOOKUP(2,1/SEARCH($S$2:$S$65,H179),$T$2:$T$65),"-")</f>
        <v>COTS</v>
      </c>
    </row>
    <row r="180" spans="1:17" hidden="1" x14ac:dyDescent="0.25">
      <c r="A180" t="s">
        <v>7672</v>
      </c>
      <c r="B180" t="s">
        <v>562</v>
      </c>
      <c r="C180">
        <v>3</v>
      </c>
      <c r="D180" t="s">
        <v>7098</v>
      </c>
      <c r="F180" t="s">
        <v>563</v>
      </c>
      <c r="G180" t="s">
        <v>7100</v>
      </c>
      <c r="H180" t="s">
        <v>564</v>
      </c>
      <c r="I180" t="s">
        <v>228</v>
      </c>
      <c r="J180" t="s">
        <v>7703</v>
      </c>
      <c r="K180" t="s">
        <v>7684</v>
      </c>
      <c r="L180" t="s">
        <v>7693</v>
      </c>
      <c r="N180" t="str" cm="1">
        <f t="array" ref="N180">IFERROR(LOOKUP(2,1/SEARCH($S$2:$S$65,G180),$T$2:$T$65),"Misc")</f>
        <v>COTS</v>
      </c>
      <c r="O180" t="str" cm="1">
        <f t="array" ref="O180">IFERROR(LOOKUP(2,1/SEARCH($V$2:$V$65,G180),$W$2:$W$65),"Misc")</f>
        <v>Fasteners</v>
      </c>
      <c r="P180" t="str" cm="1">
        <f t="array" ref="P180">IFERROR(LOOKUP(2,1/SEARCH($Y$2:$Y$65,G180),$Z$2:$Z$65),"Not Defined")</f>
        <v>PHS</v>
      </c>
      <c r="Q180" t="str" cm="1">
        <f t="array" ref="Q180">IFERROR(LOOKUP(2,1/SEARCH($S$2:$S$65,H180),$T$2:$T$65),"-")</f>
        <v>COTS</v>
      </c>
    </row>
    <row r="181" spans="1:17" hidden="1" x14ac:dyDescent="0.25">
      <c r="A181" t="s">
        <v>7672</v>
      </c>
      <c r="B181" t="s">
        <v>565</v>
      </c>
      <c r="C181">
        <v>5</v>
      </c>
      <c r="D181" t="s">
        <v>7098</v>
      </c>
      <c r="F181" t="s">
        <v>566</v>
      </c>
      <c r="G181" t="s">
        <v>7101</v>
      </c>
      <c r="H181" t="s">
        <v>567</v>
      </c>
      <c r="I181" t="s">
        <v>228</v>
      </c>
      <c r="J181" t="s">
        <v>7703</v>
      </c>
      <c r="K181" t="s">
        <v>7684</v>
      </c>
      <c r="L181" t="s">
        <v>7693</v>
      </c>
      <c r="N181" t="str" cm="1">
        <f t="array" ref="N181">IFERROR(LOOKUP(2,1/SEARCH($S$2:$S$65,G181),$T$2:$T$65),"Misc")</f>
        <v>COTS</v>
      </c>
      <c r="O181" t="str" cm="1">
        <f t="array" ref="O181">IFERROR(LOOKUP(2,1/SEARCH($V$2:$V$65,G181),$W$2:$W$65),"Misc")</f>
        <v>Fasteners</v>
      </c>
      <c r="P181" t="str" cm="1">
        <f t="array" ref="P181">IFERROR(LOOKUP(2,1/SEARCH($Y$2:$Y$65,G181),$Z$2:$Z$65),"Not Defined")</f>
        <v>PHS</v>
      </c>
      <c r="Q181" t="str" cm="1">
        <f t="array" ref="Q181">IFERROR(LOOKUP(2,1/SEARCH($S$2:$S$65,H181),$T$2:$T$65),"-")</f>
        <v>COTS</v>
      </c>
    </row>
    <row r="182" spans="1:17" hidden="1" x14ac:dyDescent="0.25">
      <c r="A182" t="s">
        <v>7672</v>
      </c>
      <c r="B182" t="s">
        <v>568</v>
      </c>
      <c r="C182">
        <v>4</v>
      </c>
      <c r="D182" t="s">
        <v>7098</v>
      </c>
      <c r="F182" t="s">
        <v>569</v>
      </c>
      <c r="G182" t="s">
        <v>7102</v>
      </c>
      <c r="H182" t="s">
        <v>570</v>
      </c>
      <c r="I182" t="s">
        <v>228</v>
      </c>
      <c r="J182" t="s">
        <v>7703</v>
      </c>
      <c r="K182" t="s">
        <v>7684</v>
      </c>
      <c r="L182" t="s">
        <v>7693</v>
      </c>
      <c r="N182" t="str" cm="1">
        <f t="array" ref="N182">IFERROR(LOOKUP(2,1/SEARCH($S$2:$S$65,G182),$T$2:$T$65),"Misc")</f>
        <v>COTS</v>
      </c>
      <c r="O182" t="str" cm="1">
        <f t="array" ref="O182">IFERROR(LOOKUP(2,1/SEARCH($V$2:$V$65,G182),$W$2:$W$65),"Misc")</f>
        <v>Fasteners</v>
      </c>
      <c r="P182" t="str" cm="1">
        <f t="array" ref="P182">IFERROR(LOOKUP(2,1/SEARCH($Y$2:$Y$65,G182),$Z$2:$Z$65),"Not Defined")</f>
        <v>PHS</v>
      </c>
      <c r="Q182" t="str" cm="1">
        <f t="array" ref="Q182">IFERROR(LOOKUP(2,1/SEARCH($S$2:$S$65,H182),$T$2:$T$65),"-")</f>
        <v>COTS</v>
      </c>
    </row>
    <row r="183" spans="1:17" hidden="1" x14ac:dyDescent="0.25">
      <c r="A183" t="s">
        <v>7672</v>
      </c>
      <c r="B183" t="s">
        <v>571</v>
      </c>
      <c r="C183">
        <v>1</v>
      </c>
      <c r="D183" t="s">
        <v>7098</v>
      </c>
      <c r="F183" t="s">
        <v>572</v>
      </c>
      <c r="G183" t="s">
        <v>7809</v>
      </c>
      <c r="H183" t="s">
        <v>7808</v>
      </c>
      <c r="J183" t="s">
        <v>7703</v>
      </c>
      <c r="K183" t="s">
        <v>7736</v>
      </c>
      <c r="L183" t="s">
        <v>7736</v>
      </c>
      <c r="N183" t="str" cm="1">
        <f t="array" ref="N183">IFERROR(LOOKUP(2,1/SEARCH($S$2:$S$65,G183),$T$2:$T$65),"Misc")</f>
        <v>COTS</v>
      </c>
      <c r="O183" t="str" cm="1">
        <f t="array" ref="O183">IFERROR(LOOKUP(2,1/SEARCH($V$2:$V$65,G183),$W$2:$W$65),"Misc")</f>
        <v>DISPLAY</v>
      </c>
      <c r="P183" t="str" cm="1">
        <f t="array" ref="P183">IFERROR(LOOKUP(2,1/SEARCH($Y$2:$Y$65,G183),$Z$2:$Z$65),"Not Defined")</f>
        <v>DISPLAY</v>
      </c>
      <c r="Q183" t="str" cm="1">
        <f t="array" ref="Q183">IFERROR(LOOKUP(2,1/SEARCH($S$2:$S$65,H183),$T$2:$T$65),"-")</f>
        <v>COTS</v>
      </c>
    </row>
    <row r="184" spans="1:17" hidden="1" x14ac:dyDescent="0.25">
      <c r="A184" t="s">
        <v>7672</v>
      </c>
      <c r="B184" t="s">
        <v>573</v>
      </c>
      <c r="C184">
        <v>1</v>
      </c>
      <c r="D184" t="s">
        <v>7098</v>
      </c>
      <c r="F184" t="s">
        <v>574</v>
      </c>
      <c r="G184" t="s">
        <v>7103</v>
      </c>
      <c r="H184" t="s">
        <v>575</v>
      </c>
      <c r="I184" t="s">
        <v>255</v>
      </c>
      <c r="J184" t="s">
        <v>7703</v>
      </c>
      <c r="K184" t="str" cm="1">
        <f t="array" ref="K184">IFERROR(LOOKUP(2,1/SEARCH($V$2:$V$65,C184),$W$2:$W$65),"Misc")</f>
        <v>Misc</v>
      </c>
      <c r="L184" t="s">
        <v>7736</v>
      </c>
      <c r="N184" t="str" cm="1">
        <f t="array" ref="N184">IFERROR(LOOKUP(2,1/SEARCH($S$2:$S$65,G184),$T$2:$T$65),"Misc")</f>
        <v>COTS</v>
      </c>
      <c r="O184" t="str" cm="1">
        <f t="array" ref="O184">IFERROR(LOOKUP(2,1/SEARCH($V$2:$V$65,G184),$W$2:$W$65),"Misc")</f>
        <v>Misc</v>
      </c>
      <c r="P184" t="str" cm="1">
        <f t="array" ref="P184">IFERROR(LOOKUP(2,1/SEARCH($Y$2:$Y$65,G184),$Z$2:$Z$65),"Not Defined")</f>
        <v>DISPLAY</v>
      </c>
      <c r="Q184" t="str" cm="1">
        <f t="array" ref="Q184">IFERROR(LOOKUP(2,1/SEARCH($S$2:$S$65,H184),$T$2:$T$65),"-")</f>
        <v>-</v>
      </c>
    </row>
    <row r="185" spans="1:17" hidden="1" x14ac:dyDescent="0.25">
      <c r="A185" t="s">
        <v>7672</v>
      </c>
      <c r="B185" t="s">
        <v>576</v>
      </c>
      <c r="C185">
        <v>3</v>
      </c>
      <c r="D185" t="s">
        <v>7098</v>
      </c>
      <c r="F185" t="s">
        <v>577</v>
      </c>
      <c r="G185" t="s">
        <v>7104</v>
      </c>
      <c r="H185" t="s">
        <v>578</v>
      </c>
      <c r="I185" t="s">
        <v>299</v>
      </c>
      <c r="J185" t="s">
        <v>7703</v>
      </c>
      <c r="K185" t="s">
        <v>7684</v>
      </c>
      <c r="L185" t="s">
        <v>7708</v>
      </c>
      <c r="N185" t="str" cm="1">
        <f t="array" ref="N185">IFERROR(LOOKUP(2,1/SEARCH($S$2:$S$65,G185),$T$2:$T$65),"Misc")</f>
        <v>COTS</v>
      </c>
      <c r="O185" t="str" cm="1">
        <f t="array" ref="O185">IFERROR(LOOKUP(2,1/SEARCH($V$2:$V$65,G185),$W$2:$W$65),"Misc")</f>
        <v>Fasteners</v>
      </c>
      <c r="P185" t="str" cm="1">
        <f t="array" ref="P185">IFERROR(LOOKUP(2,1/SEARCH($Y$2:$Y$65,G185),$Z$2:$Z$65),"Not Defined")</f>
        <v>STANDOFF</v>
      </c>
      <c r="Q185" t="str" cm="1">
        <f t="array" ref="Q185">IFERROR(LOOKUP(2,1/SEARCH($S$2:$S$65,H185),$T$2:$T$65),"-")</f>
        <v>COTS</v>
      </c>
    </row>
    <row r="186" spans="1:17" hidden="1" x14ac:dyDescent="0.25">
      <c r="A186" t="s">
        <v>7672</v>
      </c>
      <c r="B186" t="s">
        <v>579</v>
      </c>
      <c r="C186">
        <v>6</v>
      </c>
      <c r="D186" t="s">
        <v>7098</v>
      </c>
      <c r="F186" t="s">
        <v>580</v>
      </c>
      <c r="G186" t="s">
        <v>7105</v>
      </c>
      <c r="H186" t="s">
        <v>581</v>
      </c>
      <c r="I186" t="s">
        <v>210</v>
      </c>
      <c r="J186" t="s">
        <v>7703</v>
      </c>
      <c r="K186" t="s">
        <v>7684</v>
      </c>
      <c r="L186" t="s">
        <v>7691</v>
      </c>
      <c r="N186" t="str" cm="1">
        <f t="array" ref="N186">IFERROR(LOOKUP(2,1/SEARCH($S$2:$S$65,G186),$T$2:$T$65),"Misc")</f>
        <v>COTS</v>
      </c>
      <c r="O186" t="str" cm="1">
        <f t="array" ref="O186">IFERROR(LOOKUP(2,1/SEARCH($V$2:$V$65,G186),$W$2:$W$65),"Misc")</f>
        <v>Fasteners</v>
      </c>
      <c r="P186" t="str" cm="1">
        <f t="array" ref="P186">IFERROR(LOOKUP(2,1/SEARCH($Y$2:$Y$65,G186),$Z$2:$Z$65),"Not Defined")</f>
        <v>FHS</v>
      </c>
      <c r="Q186" t="str" cm="1">
        <f t="array" ref="Q186">IFERROR(LOOKUP(2,1/SEARCH($S$2:$S$65,H186),$T$2:$T$65),"-")</f>
        <v>COTS</v>
      </c>
    </row>
    <row r="187" spans="1:17" hidden="1" x14ac:dyDescent="0.25">
      <c r="A187" t="s">
        <v>7672</v>
      </c>
      <c r="B187" t="s">
        <v>582</v>
      </c>
      <c r="C187">
        <v>8</v>
      </c>
      <c r="D187" t="s">
        <v>7098</v>
      </c>
      <c r="F187" t="s">
        <v>583</v>
      </c>
      <c r="G187" t="s">
        <v>7106</v>
      </c>
      <c r="H187" t="s">
        <v>584</v>
      </c>
      <c r="I187" t="s">
        <v>299</v>
      </c>
      <c r="J187" t="s">
        <v>7703</v>
      </c>
      <c r="K187" t="s">
        <v>7684</v>
      </c>
      <c r="L187" t="s">
        <v>7708</v>
      </c>
      <c r="N187" t="str" cm="1">
        <f t="array" ref="N187">IFERROR(LOOKUP(2,1/SEARCH($S$2:$S$65,G187),$T$2:$T$65),"Misc")</f>
        <v>COTS</v>
      </c>
      <c r="O187" t="str" cm="1">
        <f t="array" ref="O187">IFERROR(LOOKUP(2,1/SEARCH($V$2:$V$65,G187),$W$2:$W$65),"Misc")</f>
        <v>Fasteners</v>
      </c>
      <c r="P187" t="str" cm="1">
        <f t="array" ref="P187">IFERROR(LOOKUP(2,1/SEARCH($Y$2:$Y$65,G187),$Z$2:$Z$65),"Not Defined")</f>
        <v>STANDOFF</v>
      </c>
      <c r="Q187" t="str" cm="1">
        <f t="array" ref="Q187">IFERROR(LOOKUP(2,1/SEARCH($S$2:$S$65,H187),$T$2:$T$65),"-")</f>
        <v>COTS</v>
      </c>
    </row>
    <row r="188" spans="1:17" hidden="1" x14ac:dyDescent="0.25">
      <c r="A188" t="s">
        <v>7672</v>
      </c>
      <c r="B188" t="s">
        <v>585</v>
      </c>
      <c r="C188">
        <v>8</v>
      </c>
      <c r="D188" t="s">
        <v>7098</v>
      </c>
      <c r="F188" t="s">
        <v>586</v>
      </c>
      <c r="G188" t="s">
        <v>7107</v>
      </c>
      <c r="H188" t="s">
        <v>587</v>
      </c>
      <c r="I188" t="s">
        <v>210</v>
      </c>
      <c r="J188" t="s">
        <v>7703</v>
      </c>
      <c r="K188" t="s">
        <v>7684</v>
      </c>
      <c r="L188" t="s">
        <v>7693</v>
      </c>
      <c r="N188" t="str" cm="1">
        <f t="array" ref="N188">IFERROR(LOOKUP(2,1/SEARCH($S$2:$S$65,G188),$T$2:$T$65),"Misc")</f>
        <v>COTS</v>
      </c>
      <c r="O188" t="str" cm="1">
        <f t="array" ref="O188">IFERROR(LOOKUP(2,1/SEARCH($V$2:$V$65,G188),$W$2:$W$65),"Misc")</f>
        <v>Fasteners</v>
      </c>
      <c r="P188" t="str" cm="1">
        <f t="array" ref="P188">IFERROR(LOOKUP(2,1/SEARCH($Y$2:$Y$65,G188),$Z$2:$Z$65),"Not Defined")</f>
        <v>PHS</v>
      </c>
      <c r="Q188" t="str" cm="1">
        <f t="array" ref="Q188">IFERROR(LOOKUP(2,1/SEARCH($S$2:$S$65,H188),$T$2:$T$65),"-")</f>
        <v>COTS</v>
      </c>
    </row>
    <row r="189" spans="1:17" hidden="1" x14ac:dyDescent="0.25">
      <c r="A189" t="s">
        <v>7672</v>
      </c>
      <c r="B189" t="s">
        <v>588</v>
      </c>
      <c r="C189">
        <v>1</v>
      </c>
      <c r="D189" t="s">
        <v>7098</v>
      </c>
      <c r="E189" t="s">
        <v>7987</v>
      </c>
      <c r="F189" t="s">
        <v>7988</v>
      </c>
      <c r="G189" t="s">
        <v>7990</v>
      </c>
      <c r="H189" t="s">
        <v>7987</v>
      </c>
      <c r="I189" t="s">
        <v>255</v>
      </c>
      <c r="J189" t="s">
        <v>7815</v>
      </c>
      <c r="K189" t="s">
        <v>7717</v>
      </c>
      <c r="L189" t="s">
        <v>7717</v>
      </c>
      <c r="N189" t="str" cm="1">
        <f t="array" ref="N189">IFERROR(LOOKUP(2,1/SEARCH($S$2:$S$65,G189),$T$2:$T$65),"Misc")</f>
        <v>OH ASSY</v>
      </c>
      <c r="O189" t="str" cm="1">
        <f t="array" ref="O189">IFERROR(LOOKUP(2,1/SEARCH($V$2:$V$65,G189),$W$2:$W$65),"Misc")</f>
        <v>ABSIS</v>
      </c>
      <c r="P189" t="str" cm="1">
        <f t="array" ref="P189">IFERROR(LOOKUP(2,1/SEARCH($Y$2:$Y$65,G189),$Z$2:$Z$65),"Not Defined")</f>
        <v>ABSIS</v>
      </c>
      <c r="Q189" t="str" cm="1">
        <f t="array" ref="Q189">IFERROR(LOOKUP(2,1/SEARCH($S$2:$S$65,H189),$T$2:$T$65),"-")</f>
        <v>OH ASSY</v>
      </c>
    </row>
    <row r="190" spans="1:17" hidden="1" x14ac:dyDescent="0.25">
      <c r="A190" t="s">
        <v>7672</v>
      </c>
      <c r="B190" t="s">
        <v>590</v>
      </c>
      <c r="C190">
        <v>1</v>
      </c>
      <c r="D190" t="s">
        <v>7098</v>
      </c>
      <c r="E190" t="s">
        <v>7987</v>
      </c>
      <c r="F190" t="s">
        <v>7989</v>
      </c>
      <c r="G190" t="s">
        <v>7991</v>
      </c>
      <c r="H190" t="s">
        <v>7992</v>
      </c>
      <c r="I190" t="s">
        <v>255</v>
      </c>
      <c r="J190" t="s">
        <v>7717</v>
      </c>
      <c r="K190" t="s">
        <v>7717</v>
      </c>
      <c r="L190" t="s">
        <v>7717</v>
      </c>
      <c r="N190" t="str" cm="1">
        <f t="array" ref="N190">IFERROR(LOOKUP(2,1/SEARCH($S$2:$S$65,G190),$T$2:$T$65),"Misc")</f>
        <v>ABSIS</v>
      </c>
      <c r="O190" t="str" cm="1">
        <f t="array" ref="O190">IFERROR(LOOKUP(2,1/SEARCH($V$2:$V$65,G190),$W$2:$W$65),"Misc")</f>
        <v>ABSIS</v>
      </c>
      <c r="P190" t="str" cm="1">
        <f t="array" ref="P190">IFERROR(LOOKUP(2,1/SEARCH($Y$2:$Y$65,G190),$Z$2:$Z$65),"Not Defined")</f>
        <v>ABSIS</v>
      </c>
      <c r="Q190" t="str" cm="1">
        <f t="array" ref="Q190">IFERROR(LOOKUP(2,1/SEARCH($S$2:$S$65,H190),$T$2:$T$65),"-")</f>
        <v>ABSIS</v>
      </c>
    </row>
    <row r="191" spans="1:17" hidden="1" x14ac:dyDescent="0.25">
      <c r="A191" t="s">
        <v>7672</v>
      </c>
      <c r="B191" t="s">
        <v>591</v>
      </c>
      <c r="C191">
        <v>2</v>
      </c>
      <c r="D191" t="s">
        <v>7098</v>
      </c>
      <c r="E191" t="s">
        <v>589</v>
      </c>
      <c r="F191" t="s">
        <v>592</v>
      </c>
      <c r="G191" t="s">
        <v>594</v>
      </c>
      <c r="H191" t="s">
        <v>593</v>
      </c>
      <c r="I191" t="s">
        <v>255</v>
      </c>
      <c r="J191" t="s">
        <v>7703</v>
      </c>
      <c r="K191" t="s">
        <v>7698</v>
      </c>
      <c r="L191" t="s">
        <v>7707</v>
      </c>
      <c r="N191" t="str" cm="1">
        <f t="array" ref="N191">IFERROR(LOOKUP(2,1/SEARCH($S$2:$S$65,G191),$T$2:$T$65),"Misc")</f>
        <v>COTS</v>
      </c>
      <c r="O191" t="str" cm="1">
        <f t="array" ref="O191">IFERROR(LOOKUP(2,1/SEARCH($V$2:$V$65,G191),$W$2:$W$65),"Misc")</f>
        <v>Pins</v>
      </c>
      <c r="P191" t="str" cm="1">
        <f t="array" ref="P191">IFERROR(LOOKUP(2,1/SEARCH($Y$2:$Y$65,G191),$Z$2:$Z$65),"Not Defined")</f>
        <v>PIN</v>
      </c>
      <c r="Q191" t="str" cm="1">
        <f t="array" ref="Q191">IFERROR(LOOKUP(2,1/SEARCH($S$2:$S$65,H191),$T$2:$T$65),"-")</f>
        <v>COTS</v>
      </c>
    </row>
    <row r="192" spans="1:17" hidden="1" x14ac:dyDescent="0.25">
      <c r="A192" t="s">
        <v>7672</v>
      </c>
      <c r="B192" t="s">
        <v>595</v>
      </c>
      <c r="C192">
        <v>1</v>
      </c>
      <c r="D192" t="s">
        <v>7098</v>
      </c>
      <c r="E192" t="s">
        <v>589</v>
      </c>
      <c r="F192" t="s">
        <v>596</v>
      </c>
      <c r="G192" t="s">
        <v>7108</v>
      </c>
      <c r="H192" t="s">
        <v>597</v>
      </c>
      <c r="I192" t="s">
        <v>255</v>
      </c>
      <c r="J192" t="s">
        <v>7703</v>
      </c>
      <c r="K192" t="s">
        <v>7713</v>
      </c>
      <c r="L192" t="s">
        <v>7713</v>
      </c>
      <c r="N192" t="str" cm="1">
        <f t="array" ref="N192">IFERROR(LOOKUP(2,1/SEARCH($S$2:$S$65,G192),$T$2:$T$65),"Misc")</f>
        <v>COTS</v>
      </c>
      <c r="O192" t="str" cm="1">
        <f t="array" ref="O192">IFERROR(LOOKUP(2,1/SEARCH($V$2:$V$65,G192),$W$2:$W$65),"Misc")</f>
        <v>ARDUINO</v>
      </c>
      <c r="P192" t="str" cm="1">
        <f t="array" ref="P192">IFERROR(LOOKUP(2,1/SEARCH($Y$2:$Y$65,G192),$Z$2:$Z$65),"Not Defined")</f>
        <v>ARDUINO</v>
      </c>
      <c r="Q192" t="str" cm="1">
        <f t="array" ref="Q192">IFERROR(LOOKUP(2,1/SEARCH($S$2:$S$65,H192),$T$2:$T$65),"-")</f>
        <v>COTS</v>
      </c>
    </row>
    <row r="193" spans="1:17" hidden="1" x14ac:dyDescent="0.25">
      <c r="A193" t="s">
        <v>7672</v>
      </c>
      <c r="B193" t="s">
        <v>598</v>
      </c>
      <c r="C193">
        <v>8</v>
      </c>
      <c r="D193" t="s">
        <v>7098</v>
      </c>
      <c r="F193" t="s">
        <v>460</v>
      </c>
      <c r="G193" t="s">
        <v>7090</v>
      </c>
      <c r="H193" t="s">
        <v>461</v>
      </c>
      <c r="I193" t="s">
        <v>224</v>
      </c>
      <c r="J193" t="s">
        <v>7703</v>
      </c>
      <c r="K193" t="s">
        <v>7684</v>
      </c>
      <c r="L193" t="s">
        <v>7693</v>
      </c>
      <c r="N193" t="str" cm="1">
        <f t="array" ref="N193">IFERROR(LOOKUP(2,1/SEARCH($S$2:$S$65,G193),$T$2:$T$65),"Misc")</f>
        <v>COTS</v>
      </c>
      <c r="O193" t="str" cm="1">
        <f t="array" ref="O193">IFERROR(LOOKUP(2,1/SEARCH($V$2:$V$65,G193),$W$2:$W$65),"Misc")</f>
        <v>Fasteners</v>
      </c>
      <c r="P193" t="str" cm="1">
        <f t="array" ref="P193">IFERROR(LOOKUP(2,1/SEARCH($Y$2:$Y$65,G193),$Z$2:$Z$65),"Not Defined")</f>
        <v>PHS</v>
      </c>
      <c r="Q193" t="str" cm="1">
        <f t="array" ref="Q193">IFERROR(LOOKUP(2,1/SEARCH($S$2:$S$65,H193),$T$2:$T$65),"-")</f>
        <v>COTS</v>
      </c>
    </row>
    <row r="194" spans="1:17" hidden="1" x14ac:dyDescent="0.25">
      <c r="A194" t="s">
        <v>7672</v>
      </c>
      <c r="B194" t="s">
        <v>599</v>
      </c>
      <c r="C194">
        <v>1</v>
      </c>
      <c r="D194" t="s">
        <v>7098</v>
      </c>
      <c r="F194" t="s">
        <v>600</v>
      </c>
      <c r="G194" t="s">
        <v>602</v>
      </c>
      <c r="H194" t="s">
        <v>601</v>
      </c>
      <c r="I194" t="s">
        <v>13</v>
      </c>
      <c r="J194" t="s">
        <v>7682</v>
      </c>
      <c r="K194" t="s">
        <v>7826</v>
      </c>
      <c r="L194" t="s">
        <v>7826</v>
      </c>
      <c r="N194" t="str" cm="1">
        <f t="array" ref="N194">IFERROR(LOOKUP(2,1/SEARCH($S$2:$S$65,G194),$T$2:$T$65),"Misc")</f>
        <v>OH P/N</v>
      </c>
      <c r="O194" t="str" cm="1">
        <f t="array" ref="O194">IFERROR(LOOKUP(2,1/SEARCH($V$2:$V$65,G194),$W$2:$W$65),"Misc")</f>
        <v>OH Part</v>
      </c>
      <c r="P194" t="str" cm="1">
        <f t="array" ref="P194">IFERROR(LOOKUP(2,1/SEARCH($Y$2:$Y$65,G194),$Z$2:$Z$65),"Not Defined")</f>
        <v>OH Part</v>
      </c>
      <c r="Q194" t="str" cm="1">
        <f t="array" ref="Q194">IFERROR(LOOKUP(2,1/SEARCH($S$2:$S$65,H194),$T$2:$T$65),"-")</f>
        <v>-</v>
      </c>
    </row>
    <row r="195" spans="1:17" hidden="1" x14ac:dyDescent="0.25">
      <c r="A195" t="s">
        <v>7672</v>
      </c>
      <c r="B195" t="s">
        <v>603</v>
      </c>
      <c r="C195">
        <v>1</v>
      </c>
      <c r="D195" t="s">
        <v>7098</v>
      </c>
      <c r="F195" t="s">
        <v>604</v>
      </c>
      <c r="G195" t="s">
        <v>606</v>
      </c>
      <c r="H195" t="s">
        <v>605</v>
      </c>
      <c r="I195" t="s">
        <v>13</v>
      </c>
      <c r="J195" t="s">
        <v>7682</v>
      </c>
      <c r="K195" t="s">
        <v>7826</v>
      </c>
      <c r="L195" t="s">
        <v>7826</v>
      </c>
      <c r="N195" t="str" cm="1">
        <f t="array" ref="N195">IFERROR(LOOKUP(2,1/SEARCH($S$2:$S$65,G195),$T$2:$T$65),"Misc")</f>
        <v>OH P/N</v>
      </c>
      <c r="O195" t="str" cm="1">
        <f t="array" ref="O195">IFERROR(LOOKUP(2,1/SEARCH($V$2:$V$65,G195),$W$2:$W$65),"Misc")</f>
        <v>OH Part</v>
      </c>
      <c r="P195" t="str" cm="1">
        <f t="array" ref="P195">IFERROR(LOOKUP(2,1/SEARCH($Y$2:$Y$65,G195),$Z$2:$Z$65),"Not Defined")</f>
        <v>OH Part</v>
      </c>
      <c r="Q195" t="str" cm="1">
        <f t="array" ref="Q195">IFERROR(LOOKUP(2,1/SEARCH($S$2:$S$65,H195),$T$2:$T$65),"-")</f>
        <v>-</v>
      </c>
    </row>
    <row r="196" spans="1:17" hidden="1" x14ac:dyDescent="0.25">
      <c r="A196" t="s">
        <v>7672</v>
      </c>
      <c r="B196" t="s">
        <v>607</v>
      </c>
      <c r="C196">
        <v>2</v>
      </c>
      <c r="D196" t="s">
        <v>7098</v>
      </c>
      <c r="F196" t="s">
        <v>301</v>
      </c>
      <c r="G196" t="s">
        <v>7066</v>
      </c>
      <c r="H196" t="s">
        <v>302</v>
      </c>
      <c r="I196" t="s">
        <v>210</v>
      </c>
      <c r="J196" t="s">
        <v>7703</v>
      </c>
      <c r="K196" t="s">
        <v>7684</v>
      </c>
      <c r="L196" t="s">
        <v>7691</v>
      </c>
      <c r="N196" t="str" cm="1">
        <f t="array" ref="N196">IFERROR(LOOKUP(2,1/SEARCH($S$2:$S$65,G196),$T$2:$T$65),"Misc")</f>
        <v>COTS</v>
      </c>
      <c r="O196" t="str" cm="1">
        <f t="array" ref="O196">IFERROR(LOOKUP(2,1/SEARCH($V$2:$V$65,G196),$W$2:$W$65),"Misc")</f>
        <v>Fasteners</v>
      </c>
      <c r="P196" t="str" cm="1">
        <f t="array" ref="P196">IFERROR(LOOKUP(2,1/SEARCH($Y$2:$Y$65,G196),$Z$2:$Z$65),"Not Defined")</f>
        <v>FHS</v>
      </c>
      <c r="Q196" t="str" cm="1">
        <f t="array" ref="Q196">IFERROR(LOOKUP(2,1/SEARCH($S$2:$S$65,H196),$T$2:$T$65),"-")</f>
        <v>COTS</v>
      </c>
    </row>
    <row r="197" spans="1:17" hidden="1" x14ac:dyDescent="0.25">
      <c r="A197" t="s">
        <v>7672</v>
      </c>
      <c r="B197" t="s">
        <v>608</v>
      </c>
      <c r="C197">
        <v>3</v>
      </c>
      <c r="D197" t="s">
        <v>7098</v>
      </c>
      <c r="F197" t="s">
        <v>609</v>
      </c>
      <c r="G197" t="s">
        <v>7109</v>
      </c>
      <c r="H197" t="s">
        <v>610</v>
      </c>
      <c r="I197" t="s">
        <v>228</v>
      </c>
      <c r="J197" t="s">
        <v>7703</v>
      </c>
      <c r="K197" t="s">
        <v>7684</v>
      </c>
      <c r="L197" t="s">
        <v>7692</v>
      </c>
      <c r="N197" t="str" cm="1">
        <f t="array" ref="N197">IFERROR(LOOKUP(2,1/SEARCH($S$2:$S$65,G197),$T$2:$T$65),"Misc")</f>
        <v>COTS</v>
      </c>
      <c r="O197" t="str" cm="1">
        <f t="array" ref="O197">IFERROR(LOOKUP(2,1/SEARCH($V$2:$V$65,G197),$W$2:$W$65),"Misc")</f>
        <v>Fasteners</v>
      </c>
      <c r="P197" t="str" cm="1">
        <f t="array" ref="P197">IFERROR(LOOKUP(2,1/SEARCH($Y$2:$Y$65,G197),$Z$2:$Z$65),"Not Defined")</f>
        <v>WASHER</v>
      </c>
      <c r="Q197" t="str" cm="1">
        <f t="array" ref="Q197">IFERROR(LOOKUP(2,1/SEARCH($S$2:$S$65,H197),$T$2:$T$65),"-")</f>
        <v>COTS</v>
      </c>
    </row>
    <row r="198" spans="1:17" hidden="1" x14ac:dyDescent="0.25">
      <c r="A198" t="s">
        <v>7672</v>
      </c>
      <c r="B198" t="s">
        <v>611</v>
      </c>
      <c r="C198">
        <v>3</v>
      </c>
      <c r="D198" t="s">
        <v>7098</v>
      </c>
      <c r="F198" t="s">
        <v>304</v>
      </c>
      <c r="G198" t="s">
        <v>7067</v>
      </c>
      <c r="H198" t="s">
        <v>305</v>
      </c>
      <c r="I198" t="s">
        <v>210</v>
      </c>
      <c r="J198" t="s">
        <v>7703</v>
      </c>
      <c r="K198" t="s">
        <v>7684</v>
      </c>
      <c r="L198" t="s">
        <v>7693</v>
      </c>
      <c r="N198" t="str" cm="1">
        <f t="array" ref="N198">IFERROR(LOOKUP(2,1/SEARCH($S$2:$S$65,G198),$T$2:$T$65),"Misc")</f>
        <v>COTS</v>
      </c>
      <c r="O198" t="str" cm="1">
        <f t="array" ref="O198">IFERROR(LOOKUP(2,1/SEARCH($V$2:$V$65,G198),$W$2:$W$65),"Misc")</f>
        <v>Fasteners</v>
      </c>
      <c r="P198" t="str" cm="1">
        <f t="array" ref="P198">IFERROR(LOOKUP(2,1/SEARCH($Y$2:$Y$65,G198),$Z$2:$Z$65),"Not Defined")</f>
        <v>PHS</v>
      </c>
      <c r="Q198" t="str" cm="1">
        <f t="array" ref="Q198">IFERROR(LOOKUP(2,1/SEARCH($S$2:$S$65,H198),$T$2:$T$65),"-")</f>
        <v>COTS</v>
      </c>
    </row>
    <row r="199" spans="1:17" hidden="1" x14ac:dyDescent="0.25">
      <c r="A199" t="s">
        <v>7672</v>
      </c>
      <c r="B199" t="s">
        <v>612</v>
      </c>
      <c r="C199">
        <v>1</v>
      </c>
      <c r="D199" t="s">
        <v>7098</v>
      </c>
      <c r="E199" t="s">
        <v>614</v>
      </c>
      <c r="F199" t="s">
        <v>613</v>
      </c>
      <c r="G199" t="s">
        <v>7110</v>
      </c>
      <c r="H199" t="s">
        <v>614</v>
      </c>
      <c r="I199" t="s">
        <v>255</v>
      </c>
      <c r="J199" t="s">
        <v>7815</v>
      </c>
      <c r="K199" t="s">
        <v>7717</v>
      </c>
      <c r="L199" t="s">
        <v>7717</v>
      </c>
      <c r="N199" t="str" cm="1">
        <f t="array" ref="N199">IFERROR(LOOKUP(2,1/SEARCH($S$2:$S$65,G199),$T$2:$T$65),"Misc")</f>
        <v>OH ASSY</v>
      </c>
      <c r="O199" t="str" cm="1">
        <f t="array" ref="O199">IFERROR(LOOKUP(2,1/SEARCH($V$2:$V$65,G199),$W$2:$W$65),"Misc")</f>
        <v>ABSIS</v>
      </c>
      <c r="P199" t="str" cm="1">
        <f t="array" ref="P199">IFERROR(LOOKUP(2,1/SEARCH($Y$2:$Y$65,G199),$Z$2:$Z$65),"Not Defined")</f>
        <v>ABSIS</v>
      </c>
      <c r="Q199" t="str" cm="1">
        <f t="array" ref="Q199">IFERROR(LOOKUP(2,1/SEARCH($S$2:$S$65,H199),$T$2:$T$65),"-")</f>
        <v>OH ASSY</v>
      </c>
    </row>
    <row r="200" spans="1:17" hidden="1" x14ac:dyDescent="0.25">
      <c r="A200" t="s">
        <v>7672</v>
      </c>
      <c r="B200" t="s">
        <v>615</v>
      </c>
      <c r="C200">
        <v>1</v>
      </c>
      <c r="D200" t="s">
        <v>7098</v>
      </c>
      <c r="E200" t="s">
        <v>614</v>
      </c>
      <c r="F200" t="s">
        <v>616</v>
      </c>
      <c r="G200" t="s">
        <v>7111</v>
      </c>
      <c r="H200" t="s">
        <v>617</v>
      </c>
      <c r="I200" t="s">
        <v>255</v>
      </c>
      <c r="J200" t="s">
        <v>7717</v>
      </c>
      <c r="K200" t="s">
        <v>7717</v>
      </c>
      <c r="L200" t="s">
        <v>7717</v>
      </c>
      <c r="N200" t="str" cm="1">
        <f t="array" ref="N200">IFERROR(LOOKUP(2,1/SEARCH($S$2:$S$65,G200),$T$2:$T$65),"Misc")</f>
        <v>ABSIS</v>
      </c>
      <c r="O200" t="str" cm="1">
        <f t="array" ref="O200">IFERROR(LOOKUP(2,1/SEARCH($V$2:$V$65,G200),$W$2:$W$65),"Misc")</f>
        <v>ABSIS</v>
      </c>
      <c r="P200" t="str" cm="1">
        <f t="array" ref="P200">IFERROR(LOOKUP(2,1/SEARCH($Y$2:$Y$65,G200),$Z$2:$Z$65),"Not Defined")</f>
        <v>ABSIS</v>
      </c>
      <c r="Q200" t="str" cm="1">
        <f t="array" ref="Q200">IFERROR(LOOKUP(2,1/SEARCH($S$2:$S$65,H200),$T$2:$T$65),"-")</f>
        <v>ABSIS</v>
      </c>
    </row>
    <row r="201" spans="1:17" hidden="1" x14ac:dyDescent="0.25">
      <c r="A201" t="s">
        <v>7672</v>
      </c>
      <c r="B201" t="s">
        <v>618</v>
      </c>
      <c r="C201">
        <v>1</v>
      </c>
      <c r="D201" t="s">
        <v>7098</v>
      </c>
      <c r="E201" t="s">
        <v>614</v>
      </c>
      <c r="F201" t="s">
        <v>596</v>
      </c>
      <c r="G201" t="s">
        <v>7108</v>
      </c>
      <c r="H201" t="s">
        <v>597</v>
      </c>
      <c r="I201" t="s">
        <v>255</v>
      </c>
      <c r="J201" t="s">
        <v>7703</v>
      </c>
      <c r="K201" t="s">
        <v>7713</v>
      </c>
      <c r="L201" t="s">
        <v>7713</v>
      </c>
      <c r="N201" t="str" cm="1">
        <f t="array" ref="N201">IFERROR(LOOKUP(2,1/SEARCH($S$2:$S$65,G201),$T$2:$T$65),"Misc")</f>
        <v>COTS</v>
      </c>
      <c r="O201" t="str" cm="1">
        <f t="array" ref="O201">IFERROR(LOOKUP(2,1/SEARCH($V$2:$V$65,G201),$W$2:$W$65),"Misc")</f>
        <v>ARDUINO</v>
      </c>
      <c r="P201" t="str" cm="1">
        <f t="array" ref="P201">IFERROR(LOOKUP(2,1/SEARCH($Y$2:$Y$65,G201),$Z$2:$Z$65),"Not Defined")</f>
        <v>ARDUINO</v>
      </c>
      <c r="Q201" t="str" cm="1">
        <f t="array" ref="Q201">IFERROR(LOOKUP(2,1/SEARCH($S$2:$S$65,H201),$T$2:$T$65),"-")</f>
        <v>COTS</v>
      </c>
    </row>
    <row r="202" spans="1:17" hidden="1" x14ac:dyDescent="0.25">
      <c r="A202" t="s">
        <v>7672</v>
      </c>
      <c r="B202" t="s">
        <v>619</v>
      </c>
      <c r="C202">
        <v>1</v>
      </c>
      <c r="D202" t="s">
        <v>7098</v>
      </c>
      <c r="E202" t="s">
        <v>621</v>
      </c>
      <c r="F202" t="s">
        <v>620</v>
      </c>
      <c r="G202" s="2" t="s">
        <v>7112</v>
      </c>
      <c r="H202" t="s">
        <v>621</v>
      </c>
      <c r="J202" t="s">
        <v>7742</v>
      </c>
      <c r="K202" t="s">
        <v>7826</v>
      </c>
      <c r="L202" t="s">
        <v>7826</v>
      </c>
      <c r="N202" t="str" cm="1">
        <f t="array" ref="N202">IFERROR(LOOKUP(2,1/SEARCH($S$2:$S$65,G202),$T$2:$T$65),"Misc")</f>
        <v>OH ASSY</v>
      </c>
      <c r="O202" t="str" cm="1">
        <f t="array" ref="O202">IFERROR(LOOKUP(2,1/SEARCH($V$2:$V$65,G202),$W$2:$W$65),"Misc")</f>
        <v>OH Part</v>
      </c>
      <c r="P202" t="str" cm="1">
        <f t="array" ref="P202">IFERROR(LOOKUP(2,1/SEARCH($Y$2:$Y$65,G202),$Z$2:$Z$65),"Not Defined")</f>
        <v>OH Part</v>
      </c>
      <c r="Q202" t="str" cm="1">
        <f t="array" ref="Q202">IFERROR(LOOKUP(2,1/SEARCH($S$2:$S$65,H202),$T$2:$T$65),"-")</f>
        <v>OH ASSY</v>
      </c>
    </row>
    <row r="203" spans="1:17" hidden="1" x14ac:dyDescent="0.25">
      <c r="A203" t="s">
        <v>7672</v>
      </c>
      <c r="B203" t="s">
        <v>622</v>
      </c>
      <c r="C203">
        <v>1</v>
      </c>
      <c r="D203" t="s">
        <v>7098</v>
      </c>
      <c r="E203" t="s">
        <v>621</v>
      </c>
      <c r="F203" t="s">
        <v>623</v>
      </c>
      <c r="G203" t="s">
        <v>625</v>
      </c>
      <c r="H203" t="s">
        <v>624</v>
      </c>
      <c r="I203" t="s">
        <v>293</v>
      </c>
      <c r="J203" t="s">
        <v>7682</v>
      </c>
      <c r="K203" t="s">
        <v>7826</v>
      </c>
      <c r="L203" t="s">
        <v>7826</v>
      </c>
      <c r="N203" t="str" cm="1">
        <f t="array" ref="N203">IFERROR(LOOKUP(2,1/SEARCH($S$2:$S$65,G203),$T$2:$T$65),"Misc")</f>
        <v>OH P/N</v>
      </c>
      <c r="O203" t="str" cm="1">
        <f t="array" ref="O203">IFERROR(LOOKUP(2,1/SEARCH($V$2:$V$65,G203),$W$2:$W$65),"Misc")</f>
        <v>OH Part</v>
      </c>
      <c r="P203" t="str" cm="1">
        <f t="array" ref="P203">IFERROR(LOOKUP(2,1/SEARCH($Y$2:$Y$65,G203),$Z$2:$Z$65),"Not Defined")</f>
        <v>OH Part</v>
      </c>
      <c r="Q203" t="str" cm="1">
        <f t="array" ref="Q203">IFERROR(LOOKUP(2,1/SEARCH($S$2:$S$65,H203),$T$2:$T$65),"-")</f>
        <v>-</v>
      </c>
    </row>
    <row r="204" spans="1:17" hidden="1" x14ac:dyDescent="0.25">
      <c r="A204" t="s">
        <v>7672</v>
      </c>
      <c r="B204" t="s">
        <v>626</v>
      </c>
      <c r="C204">
        <v>1</v>
      </c>
      <c r="D204" t="s">
        <v>7098</v>
      </c>
      <c r="E204" t="s">
        <v>621</v>
      </c>
      <c r="F204" t="s">
        <v>627</v>
      </c>
      <c r="G204" t="s">
        <v>629</v>
      </c>
      <c r="H204" t="s">
        <v>628</v>
      </c>
      <c r="I204" t="s">
        <v>293</v>
      </c>
      <c r="J204" t="s">
        <v>7682</v>
      </c>
      <c r="K204" t="s">
        <v>7826</v>
      </c>
      <c r="L204" t="s">
        <v>7826</v>
      </c>
      <c r="N204" t="str" cm="1">
        <f t="array" ref="N204">IFERROR(LOOKUP(2,1/SEARCH($S$2:$S$65,G204),$T$2:$T$65),"Misc")</f>
        <v>OH P/N</v>
      </c>
      <c r="O204" t="str" cm="1">
        <f t="array" ref="O204">IFERROR(LOOKUP(2,1/SEARCH($V$2:$V$65,G204),$W$2:$W$65),"Misc")</f>
        <v>OH Part</v>
      </c>
      <c r="P204" t="str" cm="1">
        <f t="array" ref="P204">IFERROR(LOOKUP(2,1/SEARCH($Y$2:$Y$65,G204),$Z$2:$Z$65),"Not Defined")</f>
        <v>OH Part</v>
      </c>
      <c r="Q204" t="str" cm="1">
        <f t="array" ref="Q204">IFERROR(LOOKUP(2,1/SEARCH($S$2:$S$65,H204),$T$2:$T$65),"-")</f>
        <v>-</v>
      </c>
    </row>
    <row r="205" spans="1:17" hidden="1" x14ac:dyDescent="0.25">
      <c r="A205" t="s">
        <v>7672</v>
      </c>
      <c r="B205" t="s">
        <v>630</v>
      </c>
      <c r="C205">
        <v>1</v>
      </c>
      <c r="D205" t="s">
        <v>7098</v>
      </c>
      <c r="E205" t="s">
        <v>621</v>
      </c>
      <c r="F205" t="s">
        <v>631</v>
      </c>
      <c r="G205" t="s">
        <v>633</v>
      </c>
      <c r="H205" t="s">
        <v>632</v>
      </c>
      <c r="I205" t="s">
        <v>281</v>
      </c>
      <c r="J205" t="s">
        <v>7682</v>
      </c>
      <c r="K205" t="s">
        <v>7826</v>
      </c>
      <c r="L205" t="s">
        <v>7826</v>
      </c>
      <c r="N205" t="str" cm="1">
        <f t="array" ref="N205">IFERROR(LOOKUP(2,1/SEARCH($S$2:$S$65,G205),$T$2:$T$65),"Misc")</f>
        <v>OH P/N</v>
      </c>
      <c r="O205" t="str" cm="1">
        <f t="array" ref="O205">IFERROR(LOOKUP(2,1/SEARCH($V$2:$V$65,G205),$W$2:$W$65),"Misc")</f>
        <v>OH Part</v>
      </c>
      <c r="P205" t="str" cm="1">
        <f t="array" ref="P205">IFERROR(LOOKUP(2,1/SEARCH($Y$2:$Y$65,G205),$Z$2:$Z$65),"Not Defined")</f>
        <v>OH Part</v>
      </c>
      <c r="Q205" t="str" cm="1">
        <f t="array" ref="Q205">IFERROR(LOOKUP(2,1/SEARCH($S$2:$S$65,H205),$T$2:$T$65),"-")</f>
        <v>-</v>
      </c>
    </row>
    <row r="206" spans="1:17" hidden="1" x14ac:dyDescent="0.25">
      <c r="A206" t="s">
        <v>7672</v>
      </c>
      <c r="B206" t="s">
        <v>634</v>
      </c>
      <c r="C206">
        <v>1</v>
      </c>
      <c r="D206" t="s">
        <v>7098</v>
      </c>
      <c r="E206" t="s">
        <v>621</v>
      </c>
      <c r="F206" t="s">
        <v>635</v>
      </c>
      <c r="G206" t="s">
        <v>637</v>
      </c>
      <c r="H206" t="s">
        <v>636</v>
      </c>
      <c r="I206" t="s">
        <v>358</v>
      </c>
      <c r="J206" t="s">
        <v>7682</v>
      </c>
      <c r="K206" t="s">
        <v>7826</v>
      </c>
      <c r="L206" t="s">
        <v>7826</v>
      </c>
      <c r="N206" t="str" cm="1">
        <f t="array" ref="N206">IFERROR(LOOKUP(2,1/SEARCH($S$2:$S$65,G206),$T$2:$T$65),"Misc")</f>
        <v>OH P/N</v>
      </c>
      <c r="O206" t="str" cm="1">
        <f t="array" ref="O206">IFERROR(LOOKUP(2,1/SEARCH($V$2:$V$65,G206),$W$2:$W$65),"Misc")</f>
        <v>OH Part</v>
      </c>
      <c r="P206" t="str" cm="1">
        <f t="array" ref="P206">IFERROR(LOOKUP(2,1/SEARCH($Y$2:$Y$65,G206),$Z$2:$Z$65),"Not Defined")</f>
        <v>OH Part</v>
      </c>
      <c r="Q206" t="str" cm="1">
        <f t="array" ref="Q206">IFERROR(LOOKUP(2,1/SEARCH($S$2:$S$65,H206),$T$2:$T$65),"-")</f>
        <v>-</v>
      </c>
    </row>
    <row r="207" spans="1:17" hidden="1" x14ac:dyDescent="0.25">
      <c r="A207" t="s">
        <v>7672</v>
      </c>
      <c r="B207" t="s">
        <v>638</v>
      </c>
      <c r="C207">
        <v>1</v>
      </c>
      <c r="D207" t="s">
        <v>7098</v>
      </c>
      <c r="E207" t="s">
        <v>621</v>
      </c>
      <c r="F207" t="s">
        <v>639</v>
      </c>
      <c r="G207" t="s">
        <v>641</v>
      </c>
      <c r="H207" t="s">
        <v>640</v>
      </c>
      <c r="I207" t="s">
        <v>281</v>
      </c>
      <c r="J207" t="s">
        <v>7682</v>
      </c>
      <c r="K207" t="s">
        <v>7826</v>
      </c>
      <c r="L207" t="s">
        <v>7826</v>
      </c>
      <c r="N207" t="str" cm="1">
        <f t="array" ref="N207">IFERROR(LOOKUP(2,1/SEARCH($S$2:$S$65,G207),$T$2:$T$65),"Misc")</f>
        <v>OH P/N</v>
      </c>
      <c r="O207" t="str" cm="1">
        <f t="array" ref="O207">IFERROR(LOOKUP(2,1/SEARCH($V$2:$V$65,G207),$W$2:$W$65),"Misc")</f>
        <v>OH Part</v>
      </c>
      <c r="P207" t="str" cm="1">
        <f t="array" ref="P207">IFERROR(LOOKUP(2,1/SEARCH($Y$2:$Y$65,G207),$Z$2:$Z$65),"Not Defined")</f>
        <v>OH Part</v>
      </c>
      <c r="Q207" t="str" cm="1">
        <f t="array" ref="Q207">IFERROR(LOOKUP(2,1/SEARCH($S$2:$S$65,H207),$T$2:$T$65),"-")</f>
        <v>-</v>
      </c>
    </row>
    <row r="208" spans="1:17" hidden="1" x14ac:dyDescent="0.25">
      <c r="A208" t="s">
        <v>7672</v>
      </c>
      <c r="B208" t="s">
        <v>642</v>
      </c>
      <c r="C208">
        <v>6</v>
      </c>
      <c r="D208" t="s">
        <v>7098</v>
      </c>
      <c r="E208" t="s">
        <v>621</v>
      </c>
      <c r="F208" t="s">
        <v>643</v>
      </c>
      <c r="G208" t="s">
        <v>645</v>
      </c>
      <c r="H208" t="s">
        <v>644</v>
      </c>
      <c r="I208" t="s">
        <v>358</v>
      </c>
      <c r="J208" t="s">
        <v>7682</v>
      </c>
      <c r="K208" t="s">
        <v>7826</v>
      </c>
      <c r="L208" t="s">
        <v>7826</v>
      </c>
      <c r="N208" t="str" cm="1">
        <f t="array" ref="N208">IFERROR(LOOKUP(2,1/SEARCH($S$2:$S$65,G208),$T$2:$T$65),"Misc")</f>
        <v>OH P/N</v>
      </c>
      <c r="O208" t="str" cm="1">
        <f t="array" ref="O208">IFERROR(LOOKUP(2,1/SEARCH($V$2:$V$65,G208),$W$2:$W$65),"Misc")</f>
        <v>OH Part</v>
      </c>
      <c r="P208" t="str" cm="1">
        <f t="array" ref="P208">IFERROR(LOOKUP(2,1/SEARCH($Y$2:$Y$65,G208),$Z$2:$Z$65),"Not Defined")</f>
        <v>OH Part</v>
      </c>
      <c r="Q208" t="str" cm="1">
        <f t="array" ref="Q208">IFERROR(LOOKUP(2,1/SEARCH($S$2:$S$65,H208),$T$2:$T$65),"-")</f>
        <v>-</v>
      </c>
    </row>
    <row r="209" spans="1:17" hidden="1" x14ac:dyDescent="0.25">
      <c r="A209" t="s">
        <v>7672</v>
      </c>
      <c r="B209" t="s">
        <v>646</v>
      </c>
      <c r="C209">
        <v>1</v>
      </c>
      <c r="D209" t="s">
        <v>7098</v>
      </c>
      <c r="E209" t="s">
        <v>621</v>
      </c>
      <c r="F209" t="s">
        <v>647</v>
      </c>
      <c r="G209" t="s">
        <v>649</v>
      </c>
      <c r="H209" t="s">
        <v>648</v>
      </c>
      <c r="I209" t="s">
        <v>255</v>
      </c>
      <c r="J209" t="s">
        <v>7682</v>
      </c>
      <c r="K209" t="s">
        <v>7826</v>
      </c>
      <c r="L209" t="s">
        <v>7826</v>
      </c>
      <c r="N209" t="str" cm="1">
        <f t="array" ref="N209">IFERROR(LOOKUP(2,1/SEARCH($S$2:$S$65,G209),$T$2:$T$65),"Misc")</f>
        <v>OH P/N</v>
      </c>
      <c r="O209" t="str" cm="1">
        <f t="array" ref="O209">IFERROR(LOOKUP(2,1/SEARCH($V$2:$V$65,G209),$W$2:$W$65),"Misc")</f>
        <v>OH Part</v>
      </c>
      <c r="P209" t="str" cm="1">
        <f t="array" ref="P209">IFERROR(LOOKUP(2,1/SEARCH($Y$2:$Y$65,G209),$Z$2:$Z$65),"Not Defined")</f>
        <v>OH Part</v>
      </c>
      <c r="Q209" t="str" cm="1">
        <f t="array" ref="Q209">IFERROR(LOOKUP(2,1/SEARCH($S$2:$S$65,H209),$T$2:$T$65),"-")</f>
        <v>-</v>
      </c>
    </row>
    <row r="210" spans="1:17" hidden="1" x14ac:dyDescent="0.25">
      <c r="A210" t="s">
        <v>7672</v>
      </c>
      <c r="B210" t="s">
        <v>650</v>
      </c>
      <c r="C210">
        <v>1</v>
      </c>
      <c r="D210" t="s">
        <v>7098</v>
      </c>
      <c r="E210" t="s">
        <v>621</v>
      </c>
      <c r="F210" t="s">
        <v>651</v>
      </c>
      <c r="G210" t="s">
        <v>653</v>
      </c>
      <c r="H210" t="s">
        <v>652</v>
      </c>
      <c r="I210" t="s">
        <v>281</v>
      </c>
      <c r="J210" t="s">
        <v>7682</v>
      </c>
      <c r="K210" t="s">
        <v>7826</v>
      </c>
      <c r="L210" t="s">
        <v>7826</v>
      </c>
      <c r="N210" t="str" cm="1">
        <f t="array" ref="N210">IFERROR(LOOKUP(2,1/SEARCH($S$2:$S$65,G210),$T$2:$T$65),"Misc")</f>
        <v>OH P/N</v>
      </c>
      <c r="O210" t="str" cm="1">
        <f t="array" ref="O210">IFERROR(LOOKUP(2,1/SEARCH($V$2:$V$65,G210),$W$2:$W$65),"Misc")</f>
        <v>OH Part</v>
      </c>
      <c r="P210" t="str" cm="1">
        <f t="array" ref="P210">IFERROR(LOOKUP(2,1/SEARCH($Y$2:$Y$65,G210),$Z$2:$Z$65),"Not Defined")</f>
        <v>OH Part</v>
      </c>
      <c r="Q210" t="str" cm="1">
        <f t="array" ref="Q210">IFERROR(LOOKUP(2,1/SEARCH($S$2:$S$65,H210),$T$2:$T$65),"-")</f>
        <v>-</v>
      </c>
    </row>
    <row r="211" spans="1:17" hidden="1" x14ac:dyDescent="0.25">
      <c r="A211" t="s">
        <v>7672</v>
      </c>
      <c r="B211" t="s">
        <v>654</v>
      </c>
      <c r="C211">
        <v>2</v>
      </c>
      <c r="D211" t="s">
        <v>7098</v>
      </c>
      <c r="E211" t="s">
        <v>621</v>
      </c>
      <c r="F211" t="s">
        <v>655</v>
      </c>
      <c r="G211" t="s">
        <v>657</v>
      </c>
      <c r="H211" t="s">
        <v>656</v>
      </c>
      <c r="I211" t="s">
        <v>281</v>
      </c>
      <c r="J211" t="s">
        <v>7682</v>
      </c>
      <c r="K211" t="s">
        <v>7826</v>
      </c>
      <c r="L211" t="s">
        <v>7826</v>
      </c>
      <c r="N211" t="str" cm="1">
        <f t="array" ref="N211">IFERROR(LOOKUP(2,1/SEARCH($S$2:$S$65,G211),$T$2:$T$65),"Misc")</f>
        <v>OH P/N</v>
      </c>
      <c r="O211" t="str" cm="1">
        <f t="array" ref="O211">IFERROR(LOOKUP(2,1/SEARCH($V$2:$V$65,G211),$W$2:$W$65),"Misc")</f>
        <v>OH Part</v>
      </c>
      <c r="P211" t="str" cm="1">
        <f t="array" ref="P211">IFERROR(LOOKUP(2,1/SEARCH($Y$2:$Y$65,G211),$Z$2:$Z$65),"Not Defined")</f>
        <v>OH Part</v>
      </c>
      <c r="Q211" t="str" cm="1">
        <f t="array" ref="Q211">IFERROR(LOOKUP(2,1/SEARCH($S$2:$S$65,H211),$T$2:$T$65),"-")</f>
        <v>-</v>
      </c>
    </row>
    <row r="212" spans="1:17" hidden="1" x14ac:dyDescent="0.25">
      <c r="A212" t="s">
        <v>7672</v>
      </c>
      <c r="B212" t="s">
        <v>658</v>
      </c>
      <c r="C212">
        <v>1</v>
      </c>
      <c r="D212" t="s">
        <v>7098</v>
      </c>
      <c r="E212" t="s">
        <v>621</v>
      </c>
      <c r="F212" t="s">
        <v>659</v>
      </c>
      <c r="G212" t="s">
        <v>661</v>
      </c>
      <c r="H212" t="s">
        <v>660</v>
      </c>
      <c r="I212" t="s">
        <v>281</v>
      </c>
      <c r="J212" t="s">
        <v>7682</v>
      </c>
      <c r="K212" t="s">
        <v>7826</v>
      </c>
      <c r="L212" t="s">
        <v>7826</v>
      </c>
      <c r="N212" t="str" cm="1">
        <f t="array" ref="N212">IFERROR(LOOKUP(2,1/SEARCH($S$2:$S$65,G212),$T$2:$T$65),"Misc")</f>
        <v>OH P/N</v>
      </c>
      <c r="O212" t="str" cm="1">
        <f t="array" ref="O212">IFERROR(LOOKUP(2,1/SEARCH($V$2:$V$65,G212),$W$2:$W$65),"Misc")</f>
        <v>OH Part</v>
      </c>
      <c r="P212" t="str" cm="1">
        <f t="array" ref="P212">IFERROR(LOOKUP(2,1/SEARCH($Y$2:$Y$65,G212),$Z$2:$Z$65),"Not Defined")</f>
        <v>OH Part</v>
      </c>
      <c r="Q212" t="str" cm="1">
        <f t="array" ref="Q212">IFERROR(LOOKUP(2,1/SEARCH($S$2:$S$65,H212),$T$2:$T$65),"-")</f>
        <v>-</v>
      </c>
    </row>
    <row r="213" spans="1:17" hidden="1" x14ac:dyDescent="0.25">
      <c r="A213" t="s">
        <v>7672</v>
      </c>
      <c r="B213" t="s">
        <v>662</v>
      </c>
      <c r="C213">
        <v>1</v>
      </c>
      <c r="D213" t="s">
        <v>7098</v>
      </c>
      <c r="E213" t="s">
        <v>621</v>
      </c>
      <c r="F213" t="s">
        <v>663</v>
      </c>
      <c r="G213" t="s">
        <v>665</v>
      </c>
      <c r="H213" t="s">
        <v>664</v>
      </c>
      <c r="I213" t="s">
        <v>281</v>
      </c>
      <c r="J213" t="s">
        <v>7682</v>
      </c>
      <c r="K213" t="s">
        <v>7826</v>
      </c>
      <c r="L213" t="s">
        <v>7826</v>
      </c>
      <c r="N213" t="str" cm="1">
        <f t="array" ref="N213">IFERROR(LOOKUP(2,1/SEARCH($S$2:$S$65,G213),$T$2:$T$65),"Misc")</f>
        <v>OH P/N</v>
      </c>
      <c r="O213" t="str" cm="1">
        <f t="array" ref="O213">IFERROR(LOOKUP(2,1/SEARCH($V$2:$V$65,G213),$W$2:$W$65),"Misc")</f>
        <v>OH Part</v>
      </c>
      <c r="P213" t="str" cm="1">
        <f t="array" ref="P213">IFERROR(LOOKUP(2,1/SEARCH($Y$2:$Y$65,G213),$Z$2:$Z$65),"Not Defined")</f>
        <v>OH Part</v>
      </c>
      <c r="Q213" t="str" cm="1">
        <f t="array" ref="Q213">IFERROR(LOOKUP(2,1/SEARCH($S$2:$S$65,H213),$T$2:$T$65),"-")</f>
        <v>-</v>
      </c>
    </row>
    <row r="214" spans="1:17" hidden="1" x14ac:dyDescent="0.25">
      <c r="A214" t="s">
        <v>7672</v>
      </c>
      <c r="B214" t="s">
        <v>666</v>
      </c>
      <c r="C214">
        <v>4</v>
      </c>
      <c r="D214" t="s">
        <v>7098</v>
      </c>
      <c r="E214" t="s">
        <v>621</v>
      </c>
      <c r="F214" t="s">
        <v>667</v>
      </c>
      <c r="G214" t="s">
        <v>7113</v>
      </c>
      <c r="H214" t="s">
        <v>668</v>
      </c>
      <c r="I214" t="s">
        <v>228</v>
      </c>
      <c r="J214" t="s">
        <v>7703</v>
      </c>
      <c r="K214" t="s">
        <v>7684</v>
      </c>
      <c r="L214" t="s">
        <v>7693</v>
      </c>
      <c r="N214" t="str" cm="1">
        <f t="array" ref="N214">IFERROR(LOOKUP(2,1/SEARCH($S$2:$S$65,G214),$T$2:$T$65),"Misc")</f>
        <v>COTS</v>
      </c>
      <c r="O214" t="str" cm="1">
        <f t="array" ref="O214">IFERROR(LOOKUP(2,1/SEARCH($V$2:$V$65,G214),$W$2:$W$65),"Misc")</f>
        <v>Fasteners</v>
      </c>
      <c r="P214" t="str" cm="1">
        <f t="array" ref="P214">IFERROR(LOOKUP(2,1/SEARCH($Y$2:$Y$65,G214),$Z$2:$Z$65),"Not Defined")</f>
        <v>PHS</v>
      </c>
      <c r="Q214" t="str" cm="1">
        <f t="array" ref="Q214">IFERROR(LOOKUP(2,1/SEARCH($S$2:$S$65,H214),$T$2:$T$65),"-")</f>
        <v>COTS</v>
      </c>
    </row>
    <row r="215" spans="1:17" hidden="1" x14ac:dyDescent="0.25">
      <c r="A215" t="s">
        <v>7672</v>
      </c>
      <c r="B215" t="s">
        <v>669</v>
      </c>
      <c r="C215">
        <v>4</v>
      </c>
      <c r="D215" t="s">
        <v>7098</v>
      </c>
      <c r="E215" t="s">
        <v>621</v>
      </c>
      <c r="F215" t="s">
        <v>670</v>
      </c>
      <c r="G215" t="s">
        <v>7114</v>
      </c>
      <c r="H215" t="s">
        <v>671</v>
      </c>
      <c r="I215" t="s">
        <v>224</v>
      </c>
      <c r="J215" t="s">
        <v>7703</v>
      </c>
      <c r="K215" t="s">
        <v>7684</v>
      </c>
      <c r="L215" t="s">
        <v>7685</v>
      </c>
      <c r="N215" t="str" cm="1">
        <f t="array" ref="N215">IFERROR(LOOKUP(2,1/SEARCH($S$2:$S$65,G215),$T$2:$T$65),"Misc")</f>
        <v>COTS</v>
      </c>
      <c r="O215" t="str" cm="1">
        <f t="array" ref="O215">IFERROR(LOOKUP(2,1/SEARCH($V$2:$V$65,G215),$W$2:$W$65),"Misc")</f>
        <v>Fasteners</v>
      </c>
      <c r="P215" t="str" cm="1">
        <f t="array" ref="P215">IFERROR(LOOKUP(2,1/SEARCH($Y$2:$Y$65,G215),$Z$2:$Z$65),"Not Defined")</f>
        <v>NUT</v>
      </c>
      <c r="Q215" t="str" cm="1">
        <f t="array" ref="Q215">IFERROR(LOOKUP(2,1/SEARCH($S$2:$S$65,H215),$T$2:$T$65),"-")</f>
        <v>COTS</v>
      </c>
    </row>
    <row r="216" spans="1:17" hidden="1" x14ac:dyDescent="0.25">
      <c r="A216" t="s">
        <v>7672</v>
      </c>
      <c r="B216" s="2" t="s">
        <v>672</v>
      </c>
      <c r="C216">
        <v>1</v>
      </c>
      <c r="D216" t="s">
        <v>7098</v>
      </c>
      <c r="E216" t="s">
        <v>674</v>
      </c>
      <c r="F216" t="s">
        <v>673</v>
      </c>
      <c r="G216" s="2" t="s">
        <v>7115</v>
      </c>
      <c r="H216" t="s">
        <v>674</v>
      </c>
      <c r="J216" t="s">
        <v>7742</v>
      </c>
      <c r="K216" t="s">
        <v>7826</v>
      </c>
      <c r="L216" t="s">
        <v>7826</v>
      </c>
      <c r="N216" t="str" cm="1">
        <f t="array" ref="N216">IFERROR(LOOKUP(2,1/SEARCH($S$2:$S$65,G216),$T$2:$T$65),"Misc")</f>
        <v>OH ASSY</v>
      </c>
      <c r="O216" t="str" cm="1">
        <f t="array" ref="O216">IFERROR(LOOKUP(2,1/SEARCH($V$2:$V$65,G216),$W$2:$W$65),"Misc")</f>
        <v>OH Part</v>
      </c>
      <c r="P216" t="str" cm="1">
        <f t="array" ref="P216">IFERROR(LOOKUP(2,1/SEARCH($Y$2:$Y$65,G216),$Z$2:$Z$65),"Not Defined")</f>
        <v>OH Part</v>
      </c>
      <c r="Q216" t="str" cm="1">
        <f t="array" ref="Q216">IFERROR(LOOKUP(2,1/SEARCH($S$2:$S$65,H216),$T$2:$T$65),"-")</f>
        <v>OH ASSY</v>
      </c>
    </row>
    <row r="217" spans="1:17" hidden="1" x14ac:dyDescent="0.25">
      <c r="A217" t="s">
        <v>7672</v>
      </c>
      <c r="B217" t="s">
        <v>675</v>
      </c>
      <c r="C217">
        <v>1</v>
      </c>
      <c r="D217" t="s">
        <v>7098</v>
      </c>
      <c r="E217" t="s">
        <v>674</v>
      </c>
      <c r="F217" t="s">
        <v>676</v>
      </c>
      <c r="G217" t="s">
        <v>678</v>
      </c>
      <c r="H217" t="s">
        <v>677</v>
      </c>
      <c r="I217" t="s">
        <v>293</v>
      </c>
      <c r="J217" t="s">
        <v>7682</v>
      </c>
      <c r="K217" t="s">
        <v>7826</v>
      </c>
      <c r="L217" t="s">
        <v>7826</v>
      </c>
      <c r="N217" t="str" cm="1">
        <f t="array" ref="N217">IFERROR(LOOKUP(2,1/SEARCH($S$2:$S$65,G217),$T$2:$T$65),"Misc")</f>
        <v>OH P/N</v>
      </c>
      <c r="O217" t="str" cm="1">
        <f t="array" ref="O217">IFERROR(LOOKUP(2,1/SEARCH($V$2:$V$65,G217),$W$2:$W$65),"Misc")</f>
        <v>OH Part</v>
      </c>
      <c r="P217" t="str" cm="1">
        <f t="array" ref="P217">IFERROR(LOOKUP(2,1/SEARCH($Y$2:$Y$65,G217),$Z$2:$Z$65),"Not Defined")</f>
        <v>OH Part</v>
      </c>
      <c r="Q217" t="str" cm="1">
        <f t="array" ref="Q217">IFERROR(LOOKUP(2,1/SEARCH($S$2:$S$65,H217),$T$2:$T$65),"-")</f>
        <v>-</v>
      </c>
    </row>
    <row r="218" spans="1:17" hidden="1" x14ac:dyDescent="0.25">
      <c r="A218" t="s">
        <v>7672</v>
      </c>
      <c r="B218" t="s">
        <v>679</v>
      </c>
      <c r="C218">
        <v>1</v>
      </c>
      <c r="D218" t="s">
        <v>7098</v>
      </c>
      <c r="E218" t="s">
        <v>674</v>
      </c>
      <c r="F218" t="s">
        <v>680</v>
      </c>
      <c r="G218" t="s">
        <v>682</v>
      </c>
      <c r="H218" t="s">
        <v>681</v>
      </c>
      <c r="I218" t="s">
        <v>293</v>
      </c>
      <c r="J218" t="s">
        <v>7682</v>
      </c>
      <c r="K218" t="s">
        <v>7826</v>
      </c>
      <c r="L218" t="s">
        <v>7826</v>
      </c>
      <c r="N218" t="str" cm="1">
        <f t="array" ref="N218">IFERROR(LOOKUP(2,1/SEARCH($S$2:$S$65,G218),$T$2:$T$65),"Misc")</f>
        <v>OH P/N</v>
      </c>
      <c r="O218" t="str" cm="1">
        <f t="array" ref="O218">IFERROR(LOOKUP(2,1/SEARCH($V$2:$V$65,G218),$W$2:$W$65),"Misc")</f>
        <v>OH Part</v>
      </c>
      <c r="P218" t="str" cm="1">
        <f t="array" ref="P218">IFERROR(LOOKUP(2,1/SEARCH($Y$2:$Y$65,G218),$Z$2:$Z$65),"Not Defined")</f>
        <v>OH Part</v>
      </c>
      <c r="Q218" t="str" cm="1">
        <f t="array" ref="Q218">IFERROR(LOOKUP(2,1/SEARCH($S$2:$S$65,H218),$T$2:$T$65),"-")</f>
        <v>-</v>
      </c>
    </row>
    <row r="219" spans="1:17" hidden="1" x14ac:dyDescent="0.25">
      <c r="A219" t="s">
        <v>7672</v>
      </c>
      <c r="B219" t="s">
        <v>683</v>
      </c>
      <c r="C219">
        <v>1</v>
      </c>
      <c r="D219" t="s">
        <v>7098</v>
      </c>
      <c r="E219" t="s">
        <v>674</v>
      </c>
      <c r="F219" t="s">
        <v>684</v>
      </c>
      <c r="G219" t="s">
        <v>686</v>
      </c>
      <c r="H219" t="s">
        <v>685</v>
      </c>
      <c r="I219" t="s">
        <v>281</v>
      </c>
      <c r="J219" t="s">
        <v>7682</v>
      </c>
      <c r="K219" t="s">
        <v>7826</v>
      </c>
      <c r="L219" t="s">
        <v>7826</v>
      </c>
      <c r="N219" t="str" cm="1">
        <f t="array" ref="N219">IFERROR(LOOKUP(2,1/SEARCH($S$2:$S$65,G219),$T$2:$T$65),"Misc")</f>
        <v>OH P/N</v>
      </c>
      <c r="O219" t="str" cm="1">
        <f t="array" ref="O219">IFERROR(LOOKUP(2,1/SEARCH($V$2:$V$65,G219),$W$2:$W$65),"Misc")</f>
        <v>OH Part</v>
      </c>
      <c r="P219" t="str" cm="1">
        <f t="array" ref="P219">IFERROR(LOOKUP(2,1/SEARCH($Y$2:$Y$65,G219),$Z$2:$Z$65),"Not Defined")</f>
        <v>OH Part</v>
      </c>
      <c r="Q219" t="str" cm="1">
        <f t="array" ref="Q219">IFERROR(LOOKUP(2,1/SEARCH($S$2:$S$65,H219),$T$2:$T$65),"-")</f>
        <v>-</v>
      </c>
    </row>
    <row r="220" spans="1:17" hidden="1" x14ac:dyDescent="0.25">
      <c r="A220" t="s">
        <v>7672</v>
      </c>
      <c r="B220" t="s">
        <v>687</v>
      </c>
      <c r="C220">
        <v>1</v>
      </c>
      <c r="D220" t="s">
        <v>7098</v>
      </c>
      <c r="E220" t="s">
        <v>674</v>
      </c>
      <c r="F220" t="s">
        <v>688</v>
      </c>
      <c r="G220" t="s">
        <v>690</v>
      </c>
      <c r="H220" t="s">
        <v>689</v>
      </c>
      <c r="I220" t="s">
        <v>255</v>
      </c>
      <c r="J220" t="s">
        <v>7682</v>
      </c>
      <c r="K220" t="s">
        <v>7826</v>
      </c>
      <c r="L220" t="s">
        <v>7826</v>
      </c>
      <c r="N220" t="str" cm="1">
        <f t="array" ref="N220">IFERROR(LOOKUP(2,1/SEARCH($S$2:$S$65,G220),$T$2:$T$65),"Misc")</f>
        <v>OH P/N</v>
      </c>
      <c r="O220" t="str" cm="1">
        <f t="array" ref="O220">IFERROR(LOOKUP(2,1/SEARCH($V$2:$V$65,G220),$W$2:$W$65),"Misc")</f>
        <v>OH Part</v>
      </c>
      <c r="P220" t="str" cm="1">
        <f t="array" ref="P220">IFERROR(LOOKUP(2,1/SEARCH($Y$2:$Y$65,G220),$Z$2:$Z$65),"Not Defined")</f>
        <v>OH Part</v>
      </c>
      <c r="Q220" t="str" cm="1">
        <f t="array" ref="Q220">IFERROR(LOOKUP(2,1/SEARCH($S$2:$S$65,H220),$T$2:$T$65),"-")</f>
        <v>-</v>
      </c>
    </row>
    <row r="221" spans="1:17" hidden="1" x14ac:dyDescent="0.25">
      <c r="A221" t="s">
        <v>7672</v>
      </c>
      <c r="B221" t="s">
        <v>691</v>
      </c>
      <c r="C221">
        <v>1</v>
      </c>
      <c r="D221" t="s">
        <v>7098</v>
      </c>
      <c r="E221" t="s">
        <v>674</v>
      </c>
      <c r="F221" t="s">
        <v>692</v>
      </c>
      <c r="G221" t="s">
        <v>7116</v>
      </c>
      <c r="H221" t="s">
        <v>693</v>
      </c>
      <c r="I221" t="s">
        <v>255</v>
      </c>
      <c r="J221" t="s">
        <v>7703</v>
      </c>
      <c r="K221" t="s">
        <v>7677</v>
      </c>
      <c r="L221" t="s">
        <v>7677</v>
      </c>
      <c r="N221" t="str" cm="1">
        <f t="array" ref="N221">IFERROR(LOOKUP(2,1/SEARCH($S$2:$S$65,G221),$T$2:$T$65),"Misc")</f>
        <v>COTS</v>
      </c>
      <c r="O221" t="str" cm="1">
        <f t="array" ref="O221">IFERROR(LOOKUP(2,1/SEARCH($V$2:$V$65,G221),$W$2:$W$65),"Misc")</f>
        <v>SWITCH</v>
      </c>
      <c r="P221" t="str" cm="1">
        <f t="array" ref="P221">IFERROR(LOOKUP(2,1/SEARCH($Y$2:$Y$65,G221),$Z$2:$Z$65),"Not Defined")</f>
        <v>SWITCH</v>
      </c>
      <c r="Q221" t="str" cm="1">
        <f t="array" ref="Q221">IFERROR(LOOKUP(2,1/SEARCH($S$2:$S$65,H221),$T$2:$T$65),"-")</f>
        <v>COTS</v>
      </c>
    </row>
    <row r="222" spans="1:17" hidden="1" x14ac:dyDescent="0.25">
      <c r="A222" t="s">
        <v>7672</v>
      </c>
      <c r="B222" t="s">
        <v>694</v>
      </c>
      <c r="C222">
        <v>2</v>
      </c>
      <c r="D222" t="s">
        <v>7098</v>
      </c>
      <c r="E222" t="s">
        <v>674</v>
      </c>
      <c r="F222" t="s">
        <v>695</v>
      </c>
      <c r="G222" t="s">
        <v>7117</v>
      </c>
      <c r="H222" t="s">
        <v>696</v>
      </c>
      <c r="I222" t="s">
        <v>255</v>
      </c>
      <c r="J222" t="s">
        <v>7703</v>
      </c>
      <c r="K222" t="s">
        <v>7719</v>
      </c>
      <c r="L222" t="s">
        <v>7719</v>
      </c>
      <c r="N222" t="str" cm="1">
        <f t="array" ref="N222">IFERROR(LOOKUP(2,1/SEARCH($S$2:$S$65,G222),$T$2:$T$65),"Misc")</f>
        <v>COTS</v>
      </c>
      <c r="O222" t="str" cm="1">
        <f t="array" ref="O222">IFERROR(LOOKUP(2,1/SEARCH($V$2:$V$65,G222),$W$2:$W$65),"Misc")</f>
        <v>Misc</v>
      </c>
      <c r="P222" t="str" cm="1">
        <f t="array" ref="P222">IFERROR(LOOKUP(2,1/SEARCH($Y$2:$Y$65,G222),$Z$2:$Z$65),"Not Defined")</f>
        <v>Retaining Rings</v>
      </c>
      <c r="Q222" t="str" cm="1">
        <f t="array" ref="Q222">IFERROR(LOOKUP(2,1/SEARCH($S$2:$S$65,H222),$T$2:$T$65),"-")</f>
        <v>COTS</v>
      </c>
    </row>
    <row r="223" spans="1:17" hidden="1" x14ac:dyDescent="0.25">
      <c r="A223" t="s">
        <v>7672</v>
      </c>
      <c r="B223" t="s">
        <v>697</v>
      </c>
      <c r="C223">
        <v>2</v>
      </c>
      <c r="D223" t="s">
        <v>7098</v>
      </c>
      <c r="E223" t="s">
        <v>674</v>
      </c>
      <c r="F223" t="s">
        <v>698</v>
      </c>
      <c r="G223" t="s">
        <v>7118</v>
      </c>
      <c r="H223" t="s">
        <v>699</v>
      </c>
      <c r="I223" t="s">
        <v>255</v>
      </c>
      <c r="J223" t="s">
        <v>7703</v>
      </c>
      <c r="K223" t="s">
        <v>7684</v>
      </c>
      <c r="L223" t="s">
        <v>7692</v>
      </c>
      <c r="N223" t="str" cm="1">
        <f t="array" ref="N223">IFERROR(LOOKUP(2,1/SEARCH($S$2:$S$65,G223),$T$2:$T$65),"Misc")</f>
        <v>COTS</v>
      </c>
      <c r="O223" t="str" cm="1">
        <f t="array" ref="O223">IFERROR(LOOKUP(2,1/SEARCH($V$2:$V$65,G223),$W$2:$W$65),"Misc")</f>
        <v>Fasteners</v>
      </c>
      <c r="P223" t="str" cm="1">
        <f t="array" ref="P223">IFERROR(LOOKUP(2,1/SEARCH($Y$2:$Y$65,G223),$Z$2:$Z$65),"Not Defined")</f>
        <v>WASHER</v>
      </c>
      <c r="Q223" t="str" cm="1">
        <f t="array" ref="Q223">IFERROR(LOOKUP(2,1/SEARCH($S$2:$S$65,H223),$T$2:$T$65),"-")</f>
        <v>COTS</v>
      </c>
    </row>
    <row r="224" spans="1:17" hidden="1" x14ac:dyDescent="0.25">
      <c r="A224" t="s">
        <v>7672</v>
      </c>
      <c r="B224" t="s">
        <v>700</v>
      </c>
      <c r="C224">
        <v>4</v>
      </c>
      <c r="D224" t="s">
        <v>7098</v>
      </c>
      <c r="E224" t="s">
        <v>674</v>
      </c>
      <c r="F224" t="s">
        <v>701</v>
      </c>
      <c r="G224" t="s">
        <v>7119</v>
      </c>
      <c r="H224" t="s">
        <v>702</v>
      </c>
      <c r="I224" t="s">
        <v>255</v>
      </c>
      <c r="J224" t="s">
        <v>7703</v>
      </c>
      <c r="K224" t="s">
        <v>7684</v>
      </c>
      <c r="L224" t="s">
        <v>7685</v>
      </c>
      <c r="N224" t="str" cm="1">
        <f t="array" ref="N224">IFERROR(LOOKUP(2,1/SEARCH($S$2:$S$65,G224),$T$2:$T$65),"Misc")</f>
        <v>COTS</v>
      </c>
      <c r="O224" t="str" cm="1">
        <f t="array" ref="O224">IFERROR(LOOKUP(2,1/SEARCH($V$2:$V$65,G224),$W$2:$W$65),"Misc")</f>
        <v>Fasteners</v>
      </c>
      <c r="P224" t="str" cm="1">
        <f t="array" ref="P224">IFERROR(LOOKUP(2,1/SEARCH($Y$2:$Y$65,G224),$Z$2:$Z$65),"Not Defined")</f>
        <v>NUT</v>
      </c>
      <c r="Q224" t="str" cm="1">
        <f t="array" ref="Q224">IFERROR(LOOKUP(2,1/SEARCH($S$2:$S$65,H224),$T$2:$T$65),"-")</f>
        <v>COTS</v>
      </c>
    </row>
    <row r="225" spans="1:17" hidden="1" x14ac:dyDescent="0.25">
      <c r="A225" t="s">
        <v>7672</v>
      </c>
      <c r="B225" t="s">
        <v>703</v>
      </c>
      <c r="C225">
        <v>1</v>
      </c>
      <c r="D225" t="s">
        <v>7098</v>
      </c>
      <c r="E225" t="s">
        <v>674</v>
      </c>
      <c r="F225" t="s">
        <v>704</v>
      </c>
      <c r="G225" t="s">
        <v>7120</v>
      </c>
      <c r="H225" t="s">
        <v>705</v>
      </c>
      <c r="I225" t="s">
        <v>255</v>
      </c>
      <c r="J225" t="s">
        <v>7703</v>
      </c>
      <c r="K225" t="s">
        <v>7677</v>
      </c>
      <c r="L225" t="s">
        <v>7677</v>
      </c>
      <c r="N225" t="str" cm="1">
        <f t="array" ref="N225">IFERROR(LOOKUP(2,1/SEARCH($S$2:$S$65,G225),$T$2:$T$65),"Misc")</f>
        <v>COTS</v>
      </c>
      <c r="O225" t="str" cm="1">
        <f t="array" ref="O225">IFERROR(LOOKUP(2,1/SEARCH($V$2:$V$65,G225),$W$2:$W$65),"Misc")</f>
        <v>SWITCH</v>
      </c>
      <c r="P225" t="str" cm="1">
        <f t="array" ref="P225">IFERROR(LOOKUP(2,1/SEARCH($Y$2:$Y$65,G225),$Z$2:$Z$65),"Not Defined")</f>
        <v>SWITCH</v>
      </c>
      <c r="Q225" t="str" cm="1">
        <f t="array" ref="Q225">IFERROR(LOOKUP(2,1/SEARCH($S$2:$S$65,H225),$T$2:$T$65),"-")</f>
        <v>COTS</v>
      </c>
    </row>
    <row r="226" spans="1:17" hidden="1" x14ac:dyDescent="0.25">
      <c r="A226" t="s">
        <v>7672</v>
      </c>
      <c r="B226" t="s">
        <v>706</v>
      </c>
      <c r="C226">
        <v>1</v>
      </c>
      <c r="D226" t="s">
        <v>7098</v>
      </c>
      <c r="E226" t="s">
        <v>674</v>
      </c>
      <c r="F226" t="s">
        <v>707</v>
      </c>
      <c r="G226" t="s">
        <v>7121</v>
      </c>
      <c r="H226" t="s">
        <v>708</v>
      </c>
      <c r="I226" t="s">
        <v>255</v>
      </c>
      <c r="J226" t="s">
        <v>7703</v>
      </c>
      <c r="K226" t="s">
        <v>7722</v>
      </c>
      <c r="L226" t="s">
        <v>7722</v>
      </c>
      <c r="N226" t="str" cm="1">
        <f t="array" ref="N226">IFERROR(LOOKUP(2,1/SEARCH($S$2:$S$65,G226),$T$2:$T$65),"Misc")</f>
        <v>COTS</v>
      </c>
      <c r="O226" t="str" cm="1">
        <f t="array" ref="O226">IFERROR(LOOKUP(2,1/SEARCH($V$2:$V$65,G226),$W$2:$W$65),"Misc")</f>
        <v>POT</v>
      </c>
      <c r="P226" t="str" cm="1">
        <f t="array" ref="P226">IFERROR(LOOKUP(2,1/SEARCH($Y$2:$Y$65,G226),$Z$2:$Z$65),"Not Defined")</f>
        <v>POT</v>
      </c>
      <c r="Q226" t="str" cm="1">
        <f t="array" ref="Q226">IFERROR(LOOKUP(2,1/SEARCH($S$2:$S$65,H226),$T$2:$T$65),"-")</f>
        <v>COTS</v>
      </c>
    </row>
    <row r="227" spans="1:17" hidden="1" x14ac:dyDescent="0.25">
      <c r="A227" t="s">
        <v>7672</v>
      </c>
      <c r="B227" t="s">
        <v>709</v>
      </c>
      <c r="C227">
        <v>1</v>
      </c>
      <c r="D227" t="s">
        <v>7098</v>
      </c>
      <c r="E227" t="s">
        <v>7953</v>
      </c>
      <c r="F227" t="s">
        <v>710</v>
      </c>
      <c r="G227" t="s">
        <v>7122</v>
      </c>
      <c r="H227" t="s">
        <v>711</v>
      </c>
      <c r="J227" t="s">
        <v>7744</v>
      </c>
      <c r="K227" t="s">
        <v>7826</v>
      </c>
      <c r="L227" t="s">
        <v>7826</v>
      </c>
      <c r="N227" t="str" cm="1">
        <f t="array" ref="N227">IFERROR(LOOKUP(2,1/SEARCH($S$2:$S$65,G227),$T$2:$T$65),"Misc")</f>
        <v>OH Common</v>
      </c>
      <c r="O227" t="str" cm="1">
        <f t="array" ref="O227">IFERROR(LOOKUP(2,1/SEARCH($V$2:$V$65,G227),$W$2:$W$65),"Misc")</f>
        <v>OH Part</v>
      </c>
      <c r="P227" t="str" cm="1">
        <f t="array" ref="P227">IFERROR(LOOKUP(2,1/SEARCH($Y$2:$Y$65,G227),$Z$2:$Z$65),"Not Defined")</f>
        <v>OH Part</v>
      </c>
      <c r="Q227" t="str" cm="1">
        <f t="array" ref="Q227">IFERROR(LOOKUP(2,1/SEARCH($S$2:$S$65,H227),$T$2:$T$65),"-")</f>
        <v>OH ASSY</v>
      </c>
    </row>
    <row r="228" spans="1:17" hidden="1" x14ac:dyDescent="0.25">
      <c r="A228" t="s">
        <v>7672</v>
      </c>
      <c r="B228" t="s">
        <v>712</v>
      </c>
      <c r="C228">
        <v>1</v>
      </c>
      <c r="D228" t="s">
        <v>7098</v>
      </c>
      <c r="E228" t="s">
        <v>7953</v>
      </c>
      <c r="F228" t="s">
        <v>713</v>
      </c>
      <c r="G228" t="s">
        <v>715</v>
      </c>
      <c r="H228" t="s">
        <v>714</v>
      </c>
      <c r="I228" t="s">
        <v>358</v>
      </c>
      <c r="J228" t="s">
        <v>7744</v>
      </c>
      <c r="K228" t="s">
        <v>7826</v>
      </c>
      <c r="L228" t="s">
        <v>7826</v>
      </c>
      <c r="N228" t="str" cm="1">
        <f t="array" ref="N228">IFERROR(LOOKUP(2,1/SEARCH($S$2:$S$65,G228),$T$2:$T$65),"Misc")</f>
        <v>OH Common</v>
      </c>
      <c r="O228" t="str" cm="1">
        <f t="array" ref="O228">IFERROR(LOOKUP(2,1/SEARCH($V$2:$V$65,G228),$W$2:$W$65),"Misc")</f>
        <v>OH Part</v>
      </c>
      <c r="P228" t="str" cm="1">
        <f t="array" ref="P228">IFERROR(LOOKUP(2,1/SEARCH($Y$2:$Y$65,G228),$Z$2:$Z$65),"Not Defined")</f>
        <v>OH Part</v>
      </c>
      <c r="Q228" t="str" cm="1">
        <f t="array" ref="Q228">IFERROR(LOOKUP(2,1/SEARCH($S$2:$S$65,H228),$T$2:$T$65),"-")</f>
        <v>-</v>
      </c>
    </row>
    <row r="229" spans="1:17" hidden="1" x14ac:dyDescent="0.25">
      <c r="A229" t="s">
        <v>7672</v>
      </c>
      <c r="B229" t="s">
        <v>716</v>
      </c>
      <c r="C229">
        <v>2</v>
      </c>
      <c r="D229" t="s">
        <v>7098</v>
      </c>
      <c r="E229" t="s">
        <v>7953</v>
      </c>
      <c r="F229" t="s">
        <v>360</v>
      </c>
      <c r="G229" t="s">
        <v>7076</v>
      </c>
      <c r="H229" t="s">
        <v>361</v>
      </c>
      <c r="I229" t="s">
        <v>228</v>
      </c>
      <c r="J229" t="s">
        <v>7703</v>
      </c>
      <c r="K229" t="s">
        <v>7684</v>
      </c>
      <c r="L229" t="s">
        <v>7721</v>
      </c>
      <c r="N229" t="str" cm="1">
        <f t="array" ref="N229">IFERROR(LOOKUP(2,1/SEARCH($S$2:$S$65,G229),$T$2:$T$65),"Misc")</f>
        <v>COTS</v>
      </c>
      <c r="O229" t="str" cm="1">
        <f t="array" ref="O229">IFERROR(LOOKUP(2,1/SEARCH($V$2:$V$65,G229),$W$2:$W$65),"Misc")</f>
        <v>Fasteners</v>
      </c>
      <c r="P229" t="str" cm="1">
        <f t="array" ref="P229">IFERROR(LOOKUP(2,1/SEARCH($Y$2:$Y$65,G229),$Z$2:$Z$65),"Not Defined")</f>
        <v>SET SCREW</v>
      </c>
      <c r="Q229" t="str" cm="1">
        <f t="array" ref="Q229">IFERROR(LOOKUP(2,1/SEARCH($S$2:$S$65,H229),$T$2:$T$65),"-")</f>
        <v>COTS</v>
      </c>
    </row>
    <row r="230" spans="1:17" hidden="1" x14ac:dyDescent="0.25">
      <c r="A230" t="s">
        <v>7672</v>
      </c>
      <c r="B230" t="s">
        <v>717</v>
      </c>
      <c r="C230">
        <v>1</v>
      </c>
      <c r="D230" t="s">
        <v>7098</v>
      </c>
      <c r="E230" t="s">
        <v>674</v>
      </c>
      <c r="F230" t="s">
        <v>255</v>
      </c>
      <c r="G230" t="s">
        <v>7123</v>
      </c>
      <c r="H230" t="s">
        <v>718</v>
      </c>
      <c r="I230" t="s">
        <v>210</v>
      </c>
      <c r="J230" t="s">
        <v>7703</v>
      </c>
      <c r="K230" t="s">
        <v>7684</v>
      </c>
      <c r="L230" t="s">
        <v>7685</v>
      </c>
      <c r="N230" t="str" cm="1">
        <f t="array" ref="N230">IFERROR(LOOKUP(2,1/SEARCH($S$2:$S$65,G230),$T$2:$T$65),"Misc")</f>
        <v>COTS</v>
      </c>
      <c r="O230" t="str" cm="1">
        <f t="array" ref="O230">IFERROR(LOOKUP(2,1/SEARCH($V$2:$V$65,G230),$W$2:$W$65),"Misc")</f>
        <v>Fasteners</v>
      </c>
      <c r="P230" t="str" cm="1">
        <f t="array" ref="P230">IFERROR(LOOKUP(2,1/SEARCH($Y$2:$Y$65,G230),$Z$2:$Z$65),"Not Defined")</f>
        <v>NUT</v>
      </c>
      <c r="Q230" t="str" cm="1">
        <f t="array" ref="Q230">IFERROR(LOOKUP(2,1/SEARCH($S$2:$S$65,H230),$T$2:$T$65),"-")</f>
        <v>COTS</v>
      </c>
    </row>
    <row r="231" spans="1:17" hidden="1" x14ac:dyDescent="0.25">
      <c r="A231" t="s">
        <v>7672</v>
      </c>
      <c r="B231" t="s">
        <v>719</v>
      </c>
      <c r="C231">
        <v>1</v>
      </c>
      <c r="D231" t="s">
        <v>7098</v>
      </c>
      <c r="E231" t="s">
        <v>674</v>
      </c>
      <c r="F231" t="s">
        <v>720</v>
      </c>
      <c r="G231" t="s">
        <v>722</v>
      </c>
      <c r="H231" t="s">
        <v>721</v>
      </c>
      <c r="I231" t="s">
        <v>13</v>
      </c>
      <c r="J231" t="s">
        <v>7682</v>
      </c>
      <c r="K231" t="s">
        <v>7826</v>
      </c>
      <c r="L231" t="s">
        <v>7826</v>
      </c>
      <c r="N231" t="str" cm="1">
        <f t="array" ref="N231">IFERROR(LOOKUP(2,1/SEARCH($S$2:$S$65,G231),$T$2:$T$65),"Misc")</f>
        <v>OH P/N</v>
      </c>
      <c r="O231" t="str" cm="1">
        <f t="array" ref="O231">IFERROR(LOOKUP(2,1/SEARCH($V$2:$V$65,G231),$W$2:$W$65),"Misc")</f>
        <v>OH Part</v>
      </c>
      <c r="P231" t="str" cm="1">
        <f t="array" ref="P231">IFERROR(LOOKUP(2,1/SEARCH($Y$2:$Y$65,G231),$Z$2:$Z$65),"Not Defined")</f>
        <v>OH Part</v>
      </c>
      <c r="Q231" t="str" cm="1">
        <f t="array" ref="Q231">IFERROR(LOOKUP(2,1/SEARCH($S$2:$S$65,H231),$T$2:$T$65),"-")</f>
        <v>COTS</v>
      </c>
    </row>
    <row r="232" spans="1:17" hidden="1" x14ac:dyDescent="0.25">
      <c r="A232" t="s">
        <v>7672</v>
      </c>
      <c r="B232" s="2" t="s">
        <v>723</v>
      </c>
      <c r="C232">
        <v>1</v>
      </c>
      <c r="D232" t="s">
        <v>7098</v>
      </c>
      <c r="E232" t="s">
        <v>725</v>
      </c>
      <c r="F232" t="s">
        <v>724</v>
      </c>
      <c r="G232" s="2" t="s">
        <v>7124</v>
      </c>
      <c r="H232" t="s">
        <v>725</v>
      </c>
      <c r="J232" t="s">
        <v>7742</v>
      </c>
      <c r="K232" t="s">
        <v>7826</v>
      </c>
      <c r="L232" t="s">
        <v>7826</v>
      </c>
      <c r="N232" t="str" cm="1">
        <f t="array" ref="N232">IFERROR(LOOKUP(2,1/SEARCH($S$2:$S$65,G232),$T$2:$T$65),"Misc")</f>
        <v>OH ASSY</v>
      </c>
      <c r="O232" t="str" cm="1">
        <f t="array" ref="O232">IFERROR(LOOKUP(2,1/SEARCH($V$2:$V$65,G232),$W$2:$W$65),"Misc")</f>
        <v>OH Part</v>
      </c>
      <c r="P232" t="str" cm="1">
        <f t="array" ref="P232">IFERROR(LOOKUP(2,1/SEARCH($Y$2:$Y$65,G232),$Z$2:$Z$65),"Not Defined")</f>
        <v>OH Part</v>
      </c>
      <c r="Q232" t="str" cm="1">
        <f t="array" ref="Q232">IFERROR(LOOKUP(2,1/SEARCH($S$2:$S$65,H232),$T$2:$T$65),"-")</f>
        <v>OH ASSY</v>
      </c>
    </row>
    <row r="233" spans="1:17" hidden="1" x14ac:dyDescent="0.25">
      <c r="A233" t="s">
        <v>7672</v>
      </c>
      <c r="B233" t="s">
        <v>726</v>
      </c>
      <c r="C233">
        <v>1</v>
      </c>
      <c r="D233" t="s">
        <v>7098</v>
      </c>
      <c r="E233" t="s">
        <v>725</v>
      </c>
      <c r="F233" t="s">
        <v>727</v>
      </c>
      <c r="G233" t="s">
        <v>729</v>
      </c>
      <c r="H233" t="s">
        <v>728</v>
      </c>
      <c r="I233" t="s">
        <v>13</v>
      </c>
      <c r="J233" t="s">
        <v>7682</v>
      </c>
      <c r="K233" t="s">
        <v>7826</v>
      </c>
      <c r="L233" t="s">
        <v>7826</v>
      </c>
      <c r="N233" t="str" cm="1">
        <f t="array" ref="N233">IFERROR(LOOKUP(2,1/SEARCH($S$2:$S$65,G233),$T$2:$T$65),"Misc")</f>
        <v>OH P/N</v>
      </c>
      <c r="O233" t="str" cm="1">
        <f t="array" ref="O233">IFERROR(LOOKUP(2,1/SEARCH($V$2:$V$65,G233),$W$2:$W$65),"Misc")</f>
        <v>OH Part</v>
      </c>
      <c r="P233" t="str" cm="1">
        <f t="array" ref="P233">IFERROR(LOOKUP(2,1/SEARCH($Y$2:$Y$65,G233),$Z$2:$Z$65),"Not Defined")</f>
        <v>OH Part</v>
      </c>
      <c r="Q233" t="str" cm="1">
        <f t="array" ref="Q233">IFERROR(LOOKUP(2,1/SEARCH($S$2:$S$65,H233),$T$2:$T$65),"-")</f>
        <v>-</v>
      </c>
    </row>
    <row r="234" spans="1:17" hidden="1" x14ac:dyDescent="0.25">
      <c r="A234" t="s">
        <v>7672</v>
      </c>
      <c r="B234" t="s">
        <v>730</v>
      </c>
      <c r="C234">
        <v>1</v>
      </c>
      <c r="D234" t="s">
        <v>7098</v>
      </c>
      <c r="E234" t="s">
        <v>7853</v>
      </c>
      <c r="F234" t="s">
        <v>731</v>
      </c>
      <c r="G234" t="s">
        <v>733</v>
      </c>
      <c r="H234" t="s">
        <v>732</v>
      </c>
      <c r="J234" t="s">
        <v>7742</v>
      </c>
      <c r="K234" t="s">
        <v>7826</v>
      </c>
      <c r="L234" t="s">
        <v>7826</v>
      </c>
      <c r="N234" t="str" cm="1">
        <f t="array" ref="N234">IFERROR(LOOKUP(2,1/SEARCH($S$2:$S$65,G234),$T$2:$T$65),"Misc")</f>
        <v>OH ASSY</v>
      </c>
      <c r="O234" t="str" cm="1">
        <f t="array" ref="O234">IFERROR(LOOKUP(2,1/SEARCH($V$2:$V$65,G234),$W$2:$W$65),"Misc")</f>
        <v>OH Part</v>
      </c>
      <c r="P234" t="str" cm="1">
        <f t="array" ref="P234">IFERROR(LOOKUP(2,1/SEARCH($Y$2:$Y$65,G234),$Z$2:$Z$65),"Not Defined")</f>
        <v>OH Part</v>
      </c>
      <c r="Q234" t="str" cm="1">
        <f t="array" ref="Q234">IFERROR(LOOKUP(2,1/SEARCH($S$2:$S$65,H234),$T$2:$T$65),"-")</f>
        <v>OH ASSY</v>
      </c>
    </row>
    <row r="235" spans="1:17" hidden="1" x14ac:dyDescent="0.25">
      <c r="A235" t="s">
        <v>7672</v>
      </c>
      <c r="B235" t="s">
        <v>734</v>
      </c>
      <c r="C235">
        <v>1</v>
      </c>
      <c r="D235" t="s">
        <v>7098</v>
      </c>
      <c r="E235" t="s">
        <v>7853</v>
      </c>
      <c r="F235" t="s">
        <v>735</v>
      </c>
      <c r="G235" t="s">
        <v>737</v>
      </c>
      <c r="H235" t="s">
        <v>736</v>
      </c>
      <c r="I235" t="s">
        <v>13</v>
      </c>
      <c r="J235" t="s">
        <v>7682</v>
      </c>
      <c r="K235" t="s">
        <v>7826</v>
      </c>
      <c r="L235" t="s">
        <v>7826</v>
      </c>
      <c r="N235" t="str" cm="1">
        <f t="array" ref="N235">IFERROR(LOOKUP(2,1/SEARCH($S$2:$S$65,G235),$T$2:$T$65),"Misc")</f>
        <v>OH P/N</v>
      </c>
      <c r="O235" t="str" cm="1">
        <f t="array" ref="O235">IFERROR(LOOKUP(2,1/SEARCH($V$2:$V$65,G235),$W$2:$W$65),"Misc")</f>
        <v>OH Part</v>
      </c>
      <c r="P235" t="str" cm="1">
        <f t="array" ref="P235">IFERROR(LOOKUP(2,1/SEARCH($Y$2:$Y$65,G235),$Z$2:$Z$65),"Not Defined")</f>
        <v>OH Part</v>
      </c>
      <c r="Q235" t="str" cm="1">
        <f t="array" ref="Q235">IFERROR(LOOKUP(2,1/SEARCH($S$2:$S$65,H235),$T$2:$T$65),"-")</f>
        <v>-</v>
      </c>
    </row>
    <row r="236" spans="1:17" hidden="1" x14ac:dyDescent="0.25">
      <c r="A236" t="s">
        <v>7672</v>
      </c>
      <c r="B236" t="s">
        <v>738</v>
      </c>
      <c r="C236">
        <v>3</v>
      </c>
      <c r="D236" t="s">
        <v>7098</v>
      </c>
      <c r="E236" t="s">
        <v>7853</v>
      </c>
      <c r="F236" t="s">
        <v>268</v>
      </c>
      <c r="G236" t="s">
        <v>7061</v>
      </c>
      <c r="H236" t="s">
        <v>269</v>
      </c>
      <c r="I236" t="s">
        <v>224</v>
      </c>
      <c r="J236" t="s">
        <v>7703</v>
      </c>
      <c r="K236" t="s">
        <v>7684</v>
      </c>
      <c r="L236" t="s">
        <v>7687</v>
      </c>
      <c r="N236" t="str" cm="1">
        <f t="array" ref="N236">IFERROR(LOOKUP(2,1/SEARCH($S$2:$S$65,G236),$T$2:$T$65),"Misc")</f>
        <v>COTS</v>
      </c>
      <c r="O236" t="str" cm="1">
        <f t="array" ref="O236">IFERROR(LOOKUP(2,1/SEARCH($V$2:$V$65,G236),$W$2:$W$65),"Misc")</f>
        <v>Fasteners</v>
      </c>
      <c r="P236" t="str" cm="1">
        <f t="array" ref="P236">IFERROR(LOOKUP(2,1/SEARCH($Y$2:$Y$65,G236),$Z$2:$Z$65),"Not Defined")</f>
        <v>INSERT</v>
      </c>
      <c r="Q236" t="str" cm="1">
        <f t="array" ref="Q236">IFERROR(LOOKUP(2,1/SEARCH($S$2:$S$65,H236),$T$2:$T$65),"-")</f>
        <v>COTS</v>
      </c>
    </row>
    <row r="237" spans="1:17" hidden="1" x14ac:dyDescent="0.25">
      <c r="A237" t="s">
        <v>7672</v>
      </c>
      <c r="B237" t="s">
        <v>739</v>
      </c>
      <c r="C237">
        <v>1</v>
      </c>
      <c r="D237" t="s">
        <v>7098</v>
      </c>
      <c r="E237" t="s">
        <v>725</v>
      </c>
      <c r="F237" t="s">
        <v>740</v>
      </c>
      <c r="G237" t="s">
        <v>742</v>
      </c>
      <c r="H237" t="s">
        <v>741</v>
      </c>
      <c r="I237" t="s">
        <v>255</v>
      </c>
      <c r="J237" t="s">
        <v>7682</v>
      </c>
      <c r="K237" t="s">
        <v>7826</v>
      </c>
      <c r="L237" t="s">
        <v>7826</v>
      </c>
      <c r="N237" t="str" cm="1">
        <f t="array" ref="N237">IFERROR(LOOKUP(2,1/SEARCH($S$2:$S$65,G237),$T$2:$T$65),"Misc")</f>
        <v>OH P/N</v>
      </c>
      <c r="O237" t="str" cm="1">
        <f t="array" ref="O237">IFERROR(LOOKUP(2,1/SEARCH($V$2:$V$65,G237),$W$2:$W$65),"Misc")</f>
        <v>OH Part</v>
      </c>
      <c r="P237" t="str" cm="1">
        <f t="array" ref="P237">IFERROR(LOOKUP(2,1/SEARCH($Y$2:$Y$65,G237),$Z$2:$Z$65),"Not Defined")</f>
        <v>OH Part</v>
      </c>
      <c r="Q237" t="str" cm="1">
        <f t="array" ref="Q237">IFERROR(LOOKUP(2,1/SEARCH($S$2:$S$65,H237),$T$2:$T$65),"-")</f>
        <v>-</v>
      </c>
    </row>
    <row r="238" spans="1:17" hidden="1" x14ac:dyDescent="0.25">
      <c r="A238" t="s">
        <v>7672</v>
      </c>
      <c r="B238" t="s">
        <v>743</v>
      </c>
      <c r="C238">
        <v>3</v>
      </c>
      <c r="D238" t="s">
        <v>7098</v>
      </c>
      <c r="E238" t="s">
        <v>725</v>
      </c>
      <c r="F238" t="s">
        <v>460</v>
      </c>
      <c r="G238" t="s">
        <v>7090</v>
      </c>
      <c r="H238" t="s">
        <v>461</v>
      </c>
      <c r="I238" t="s">
        <v>224</v>
      </c>
      <c r="J238" t="s">
        <v>7703</v>
      </c>
      <c r="K238" t="s">
        <v>7684</v>
      </c>
      <c r="L238" t="s">
        <v>7693</v>
      </c>
      <c r="N238" t="str" cm="1">
        <f t="array" ref="N238">IFERROR(LOOKUP(2,1/SEARCH($S$2:$S$65,G238),$T$2:$T$65),"Misc")</f>
        <v>COTS</v>
      </c>
      <c r="O238" t="str" cm="1">
        <f t="array" ref="O238">IFERROR(LOOKUP(2,1/SEARCH($V$2:$V$65,G238),$W$2:$W$65),"Misc")</f>
        <v>Fasteners</v>
      </c>
      <c r="P238" t="str" cm="1">
        <f t="array" ref="P238">IFERROR(LOOKUP(2,1/SEARCH($Y$2:$Y$65,G238),$Z$2:$Z$65),"Not Defined")</f>
        <v>PHS</v>
      </c>
      <c r="Q238" t="str" cm="1">
        <f t="array" ref="Q238">IFERROR(LOOKUP(2,1/SEARCH($S$2:$S$65,H238),$T$2:$T$65),"-")</f>
        <v>COTS</v>
      </c>
    </row>
    <row r="239" spans="1:17" hidden="1" x14ac:dyDescent="0.25">
      <c r="A239" t="s">
        <v>7672</v>
      </c>
      <c r="B239" t="s">
        <v>744</v>
      </c>
      <c r="C239">
        <v>1</v>
      </c>
      <c r="D239" t="s">
        <v>7098</v>
      </c>
      <c r="E239" t="s">
        <v>7854</v>
      </c>
      <c r="F239" t="s">
        <v>745</v>
      </c>
      <c r="G239" t="s">
        <v>747</v>
      </c>
      <c r="H239" t="s">
        <v>746</v>
      </c>
      <c r="J239" t="s">
        <v>7703</v>
      </c>
      <c r="K239" t="s">
        <v>7826</v>
      </c>
      <c r="L239" t="s">
        <v>7677</v>
      </c>
      <c r="N239" t="str" cm="1">
        <f t="array" ref="N239">IFERROR(LOOKUP(2,1/SEARCH($S$2:$S$65,G239),$T$2:$T$65),"Misc")</f>
        <v>OH ASSY</v>
      </c>
      <c r="O239" t="str" cm="1">
        <f t="array" ref="O239">IFERROR(LOOKUP(2,1/SEARCH($V$2:$V$65,G239),$W$2:$W$65),"Misc")</f>
        <v>OH Part</v>
      </c>
      <c r="P239" t="str" cm="1">
        <f t="array" ref="P239">IFERROR(LOOKUP(2,1/SEARCH($Y$2:$Y$65,G239),$Z$2:$Z$65),"Not Defined")</f>
        <v>SWITCH</v>
      </c>
      <c r="Q239" t="str" cm="1">
        <f t="array" ref="Q239">IFERROR(LOOKUP(2,1/SEARCH($S$2:$S$65,H239),$T$2:$T$65),"-")</f>
        <v>OH ASSY</v>
      </c>
    </row>
    <row r="240" spans="1:17" hidden="1" x14ac:dyDescent="0.25">
      <c r="A240" t="s">
        <v>7672</v>
      </c>
      <c r="B240" t="s">
        <v>748</v>
      </c>
      <c r="C240">
        <v>1</v>
      </c>
      <c r="D240" t="s">
        <v>7098</v>
      </c>
      <c r="E240" t="s">
        <v>7854</v>
      </c>
      <c r="F240" t="s">
        <v>749</v>
      </c>
      <c r="G240" t="s">
        <v>751</v>
      </c>
      <c r="H240" t="s">
        <v>750</v>
      </c>
      <c r="I240" t="s">
        <v>358</v>
      </c>
      <c r="J240" t="s">
        <v>7682</v>
      </c>
      <c r="K240" t="s">
        <v>7826</v>
      </c>
      <c r="L240" t="s">
        <v>7826</v>
      </c>
      <c r="N240" t="str" cm="1">
        <f t="array" ref="N240">IFERROR(LOOKUP(2,1/SEARCH($S$2:$S$65,G240),$T$2:$T$65),"Misc")</f>
        <v>OH P/N</v>
      </c>
      <c r="O240" t="str" cm="1">
        <f t="array" ref="O240">IFERROR(LOOKUP(2,1/SEARCH($V$2:$V$65,G240),$W$2:$W$65),"Misc")</f>
        <v>OH Part</v>
      </c>
      <c r="P240" t="str" cm="1">
        <f t="array" ref="P240">IFERROR(LOOKUP(2,1/SEARCH($Y$2:$Y$65,G240),$Z$2:$Z$65),"Not Defined")</f>
        <v>OH Part</v>
      </c>
      <c r="Q240" t="str" cm="1">
        <f t="array" ref="Q240">IFERROR(LOOKUP(2,1/SEARCH($S$2:$S$65,H240),$T$2:$T$65),"-")</f>
        <v>-</v>
      </c>
    </row>
    <row r="241" spans="1:17" hidden="1" x14ac:dyDescent="0.25">
      <c r="A241" t="s">
        <v>7672</v>
      </c>
      <c r="B241" t="s">
        <v>752</v>
      </c>
      <c r="C241">
        <v>1</v>
      </c>
      <c r="D241" t="s">
        <v>7098</v>
      </c>
      <c r="E241" t="s">
        <v>7854</v>
      </c>
      <c r="F241" t="s">
        <v>753</v>
      </c>
      <c r="G241" t="s">
        <v>755</v>
      </c>
      <c r="H241" t="s">
        <v>754</v>
      </c>
      <c r="I241" t="s">
        <v>293</v>
      </c>
      <c r="J241" t="s">
        <v>7682</v>
      </c>
      <c r="K241" t="s">
        <v>7826</v>
      </c>
      <c r="L241" t="s">
        <v>7826</v>
      </c>
      <c r="N241" t="str" cm="1">
        <f t="array" ref="N241">IFERROR(LOOKUP(2,1/SEARCH($S$2:$S$65,G241),$T$2:$T$65),"Misc")</f>
        <v>OH P/N</v>
      </c>
      <c r="O241" t="str" cm="1">
        <f t="array" ref="O241">IFERROR(LOOKUP(2,1/SEARCH($V$2:$V$65,G241),$W$2:$W$65),"Misc")</f>
        <v>OH Part</v>
      </c>
      <c r="P241" t="str" cm="1">
        <f t="array" ref="P241">IFERROR(LOOKUP(2,1/SEARCH($Y$2:$Y$65,G241),$Z$2:$Z$65),"Not Defined")</f>
        <v>OH Part</v>
      </c>
      <c r="Q241" t="str" cm="1">
        <f t="array" ref="Q241">IFERROR(LOOKUP(2,1/SEARCH($S$2:$S$65,H241),$T$2:$T$65),"-")</f>
        <v>-</v>
      </c>
    </row>
    <row r="242" spans="1:17" hidden="1" x14ac:dyDescent="0.25">
      <c r="A242" t="s">
        <v>7672</v>
      </c>
      <c r="B242" t="s">
        <v>756</v>
      </c>
      <c r="C242">
        <v>1</v>
      </c>
      <c r="D242" t="s">
        <v>7098</v>
      </c>
      <c r="E242" t="s">
        <v>7854</v>
      </c>
      <c r="F242" t="s">
        <v>757</v>
      </c>
      <c r="G242" t="s">
        <v>759</v>
      </c>
      <c r="H242" t="s">
        <v>758</v>
      </c>
      <c r="I242" t="s">
        <v>293</v>
      </c>
      <c r="J242" t="s">
        <v>7682</v>
      </c>
      <c r="K242" t="s">
        <v>7826</v>
      </c>
      <c r="L242" t="s">
        <v>7826</v>
      </c>
      <c r="N242" t="str" cm="1">
        <f t="array" ref="N242">IFERROR(LOOKUP(2,1/SEARCH($S$2:$S$65,G242),$T$2:$T$65),"Misc")</f>
        <v>OH P/N</v>
      </c>
      <c r="O242" t="str" cm="1">
        <f t="array" ref="O242">IFERROR(LOOKUP(2,1/SEARCH($V$2:$V$65,G242),$W$2:$W$65),"Misc")</f>
        <v>OH Part</v>
      </c>
      <c r="P242" t="str" cm="1">
        <f t="array" ref="P242">IFERROR(LOOKUP(2,1/SEARCH($Y$2:$Y$65,G242),$Z$2:$Z$65),"Not Defined")</f>
        <v>OH Part</v>
      </c>
      <c r="Q242" t="str" cm="1">
        <f t="array" ref="Q242">IFERROR(LOOKUP(2,1/SEARCH($S$2:$S$65,H242),$T$2:$T$65),"-")</f>
        <v>-</v>
      </c>
    </row>
    <row r="243" spans="1:17" hidden="1" x14ac:dyDescent="0.25">
      <c r="A243" t="s">
        <v>7672</v>
      </c>
      <c r="B243" t="s">
        <v>760</v>
      </c>
      <c r="C243">
        <v>1</v>
      </c>
      <c r="D243" t="s">
        <v>7098</v>
      </c>
      <c r="E243" t="s">
        <v>7854</v>
      </c>
      <c r="F243" t="s">
        <v>761</v>
      </c>
      <c r="G243" t="s">
        <v>763</v>
      </c>
      <c r="H243" t="s">
        <v>762</v>
      </c>
      <c r="I243" t="s">
        <v>358</v>
      </c>
      <c r="J243" t="s">
        <v>7682</v>
      </c>
      <c r="K243" t="s">
        <v>7826</v>
      </c>
      <c r="L243" t="s">
        <v>7826</v>
      </c>
      <c r="N243" t="str" cm="1">
        <f t="array" ref="N243">IFERROR(LOOKUP(2,1/SEARCH($S$2:$S$65,G243),$T$2:$T$65),"Misc")</f>
        <v>OH P/N</v>
      </c>
      <c r="O243" t="str" cm="1">
        <f t="array" ref="O243">IFERROR(LOOKUP(2,1/SEARCH($V$2:$V$65,G243),$W$2:$W$65),"Misc")</f>
        <v>OH Part</v>
      </c>
      <c r="P243" t="str" cm="1">
        <f t="array" ref="P243">IFERROR(LOOKUP(2,1/SEARCH($Y$2:$Y$65,G243),$Z$2:$Z$65),"Not Defined")</f>
        <v>OH Part</v>
      </c>
      <c r="Q243" t="str" cm="1">
        <f t="array" ref="Q243">IFERROR(LOOKUP(2,1/SEARCH($S$2:$S$65,H243),$T$2:$T$65),"-")</f>
        <v>-</v>
      </c>
    </row>
    <row r="244" spans="1:17" hidden="1" x14ac:dyDescent="0.25">
      <c r="A244" t="s">
        <v>7672</v>
      </c>
      <c r="B244" t="s">
        <v>764</v>
      </c>
      <c r="C244">
        <v>1</v>
      </c>
      <c r="D244" t="s">
        <v>7098</v>
      </c>
      <c r="E244" t="s">
        <v>7854</v>
      </c>
      <c r="F244" t="s">
        <v>765</v>
      </c>
      <c r="G244" t="s">
        <v>767</v>
      </c>
      <c r="H244" t="s">
        <v>766</v>
      </c>
      <c r="I244" t="s">
        <v>293</v>
      </c>
      <c r="J244" t="s">
        <v>7682</v>
      </c>
      <c r="K244" t="s">
        <v>7826</v>
      </c>
      <c r="L244" t="s">
        <v>7826</v>
      </c>
      <c r="N244" t="str" cm="1">
        <f t="array" ref="N244">IFERROR(LOOKUP(2,1/SEARCH($S$2:$S$65,G244),$T$2:$T$65),"Misc")</f>
        <v>OH P/N</v>
      </c>
      <c r="O244" t="str" cm="1">
        <f t="array" ref="O244">IFERROR(LOOKUP(2,1/SEARCH($V$2:$V$65,G244),$W$2:$W$65),"Misc")</f>
        <v>OH Part</v>
      </c>
      <c r="P244" t="str" cm="1">
        <f t="array" ref="P244">IFERROR(LOOKUP(2,1/SEARCH($Y$2:$Y$65,G244),$Z$2:$Z$65),"Not Defined")</f>
        <v>OH Part</v>
      </c>
      <c r="Q244" t="str" cm="1">
        <f t="array" ref="Q244">IFERROR(LOOKUP(2,1/SEARCH($S$2:$S$65,H244),$T$2:$T$65),"-")</f>
        <v>-</v>
      </c>
    </row>
    <row r="245" spans="1:17" hidden="1" x14ac:dyDescent="0.25">
      <c r="A245" t="s">
        <v>7672</v>
      </c>
      <c r="B245" t="s">
        <v>768</v>
      </c>
      <c r="C245">
        <v>1</v>
      </c>
      <c r="D245" t="s">
        <v>7098</v>
      </c>
      <c r="E245" t="s">
        <v>7855</v>
      </c>
      <c r="F245" t="s">
        <v>769</v>
      </c>
      <c r="G245" t="s">
        <v>771</v>
      </c>
      <c r="H245" t="s">
        <v>770</v>
      </c>
      <c r="J245" t="s">
        <v>7703</v>
      </c>
      <c r="K245" t="s">
        <v>7826</v>
      </c>
      <c r="L245" t="s">
        <v>7677</v>
      </c>
      <c r="N245" t="str" cm="1">
        <f t="array" ref="N245">IFERROR(LOOKUP(2,1/SEARCH($S$2:$S$65,G245),$T$2:$T$65),"Misc")</f>
        <v>OH ASSY</v>
      </c>
      <c r="O245" t="str" cm="1">
        <f t="array" ref="O245">IFERROR(LOOKUP(2,1/SEARCH($V$2:$V$65,G245),$W$2:$W$65),"Misc")</f>
        <v>OH Part</v>
      </c>
      <c r="P245" t="str" cm="1">
        <f t="array" ref="P245">IFERROR(LOOKUP(2,1/SEARCH($Y$2:$Y$65,G245),$Z$2:$Z$65),"Not Defined")</f>
        <v>SWITCH</v>
      </c>
      <c r="Q245" t="str" cm="1">
        <f t="array" ref="Q245">IFERROR(LOOKUP(2,1/SEARCH($S$2:$S$65,H245),$T$2:$T$65),"-")</f>
        <v>OH ASSY</v>
      </c>
    </row>
    <row r="246" spans="1:17" hidden="1" x14ac:dyDescent="0.25">
      <c r="A246" t="s">
        <v>7672</v>
      </c>
      <c r="B246" t="s">
        <v>772</v>
      </c>
      <c r="C246">
        <v>1</v>
      </c>
      <c r="D246" t="s">
        <v>7098</v>
      </c>
      <c r="E246" t="s">
        <v>7855</v>
      </c>
      <c r="F246" t="s">
        <v>749</v>
      </c>
      <c r="G246" t="s">
        <v>751</v>
      </c>
      <c r="H246" t="s">
        <v>750</v>
      </c>
      <c r="I246" t="s">
        <v>358</v>
      </c>
      <c r="J246" t="s">
        <v>7682</v>
      </c>
      <c r="K246" t="s">
        <v>7826</v>
      </c>
      <c r="L246" t="s">
        <v>7826</v>
      </c>
      <c r="N246" t="str" cm="1">
        <f t="array" ref="N246">IFERROR(LOOKUP(2,1/SEARCH($S$2:$S$65,G246),$T$2:$T$65),"Misc")</f>
        <v>OH P/N</v>
      </c>
      <c r="O246" t="str" cm="1">
        <f t="array" ref="O246">IFERROR(LOOKUP(2,1/SEARCH($V$2:$V$65,G246),$W$2:$W$65),"Misc")</f>
        <v>OH Part</v>
      </c>
      <c r="P246" t="str" cm="1">
        <f t="array" ref="P246">IFERROR(LOOKUP(2,1/SEARCH($Y$2:$Y$65,G246),$Z$2:$Z$65),"Not Defined")</f>
        <v>OH Part</v>
      </c>
      <c r="Q246" t="str" cm="1">
        <f t="array" ref="Q246">IFERROR(LOOKUP(2,1/SEARCH($S$2:$S$65,H246),$T$2:$T$65),"-")</f>
        <v>-</v>
      </c>
    </row>
    <row r="247" spans="1:17" hidden="1" x14ac:dyDescent="0.25">
      <c r="A247" t="s">
        <v>7672</v>
      </c>
      <c r="B247" t="s">
        <v>773</v>
      </c>
      <c r="C247">
        <v>1</v>
      </c>
      <c r="D247" t="s">
        <v>7098</v>
      </c>
      <c r="E247" t="s">
        <v>7855</v>
      </c>
      <c r="F247" t="s">
        <v>774</v>
      </c>
      <c r="G247" t="s">
        <v>776</v>
      </c>
      <c r="H247" t="s">
        <v>775</v>
      </c>
      <c r="I247" t="s">
        <v>293</v>
      </c>
      <c r="J247" t="s">
        <v>7682</v>
      </c>
      <c r="K247" t="s">
        <v>7826</v>
      </c>
      <c r="L247" t="s">
        <v>7826</v>
      </c>
      <c r="N247" t="str" cm="1">
        <f t="array" ref="N247">IFERROR(LOOKUP(2,1/SEARCH($S$2:$S$65,G247),$T$2:$T$65),"Misc")</f>
        <v>OH P/N</v>
      </c>
      <c r="O247" t="str" cm="1">
        <f t="array" ref="O247">IFERROR(LOOKUP(2,1/SEARCH($V$2:$V$65,G247),$W$2:$W$65),"Misc")</f>
        <v>OH Part</v>
      </c>
      <c r="P247" t="str" cm="1">
        <f t="array" ref="P247">IFERROR(LOOKUP(2,1/SEARCH($Y$2:$Y$65,G247),$Z$2:$Z$65),"Not Defined")</f>
        <v>OH Part</v>
      </c>
      <c r="Q247" t="str" cm="1">
        <f t="array" ref="Q247">IFERROR(LOOKUP(2,1/SEARCH($S$2:$S$65,H247),$T$2:$T$65),"-")</f>
        <v>-</v>
      </c>
    </row>
    <row r="248" spans="1:17" hidden="1" x14ac:dyDescent="0.25">
      <c r="A248" t="s">
        <v>7672</v>
      </c>
      <c r="B248" t="s">
        <v>777</v>
      </c>
      <c r="C248">
        <v>1</v>
      </c>
      <c r="D248" t="s">
        <v>7098</v>
      </c>
      <c r="E248" t="s">
        <v>7855</v>
      </c>
      <c r="F248" t="s">
        <v>757</v>
      </c>
      <c r="G248" t="s">
        <v>759</v>
      </c>
      <c r="H248" t="s">
        <v>758</v>
      </c>
      <c r="I248" t="s">
        <v>293</v>
      </c>
      <c r="J248" t="s">
        <v>7682</v>
      </c>
      <c r="K248" t="s">
        <v>7826</v>
      </c>
      <c r="L248" t="s">
        <v>7826</v>
      </c>
      <c r="N248" t="str" cm="1">
        <f t="array" ref="N248">IFERROR(LOOKUP(2,1/SEARCH($S$2:$S$65,G248),$T$2:$T$65),"Misc")</f>
        <v>OH P/N</v>
      </c>
      <c r="O248" t="str" cm="1">
        <f t="array" ref="O248">IFERROR(LOOKUP(2,1/SEARCH($V$2:$V$65,G248),$W$2:$W$65),"Misc")</f>
        <v>OH Part</v>
      </c>
      <c r="P248" t="str" cm="1">
        <f t="array" ref="P248">IFERROR(LOOKUP(2,1/SEARCH($Y$2:$Y$65,G248),$Z$2:$Z$65),"Not Defined")</f>
        <v>OH Part</v>
      </c>
      <c r="Q248" t="str" cm="1">
        <f t="array" ref="Q248">IFERROR(LOOKUP(2,1/SEARCH($S$2:$S$65,H248),$T$2:$T$65),"-")</f>
        <v>-</v>
      </c>
    </row>
    <row r="249" spans="1:17" hidden="1" x14ac:dyDescent="0.25">
      <c r="A249" t="s">
        <v>7672</v>
      </c>
      <c r="B249" t="s">
        <v>778</v>
      </c>
      <c r="C249">
        <v>1</v>
      </c>
      <c r="D249" t="s">
        <v>7098</v>
      </c>
      <c r="E249" t="s">
        <v>7855</v>
      </c>
      <c r="F249" t="s">
        <v>761</v>
      </c>
      <c r="G249" t="s">
        <v>763</v>
      </c>
      <c r="H249" t="s">
        <v>762</v>
      </c>
      <c r="I249" t="s">
        <v>358</v>
      </c>
      <c r="J249" t="s">
        <v>7682</v>
      </c>
      <c r="K249" t="s">
        <v>7826</v>
      </c>
      <c r="L249" t="s">
        <v>7826</v>
      </c>
      <c r="N249" t="str" cm="1">
        <f t="array" ref="N249">IFERROR(LOOKUP(2,1/SEARCH($S$2:$S$65,G249),$T$2:$T$65),"Misc")</f>
        <v>OH P/N</v>
      </c>
      <c r="O249" t="str" cm="1">
        <f t="array" ref="O249">IFERROR(LOOKUP(2,1/SEARCH($V$2:$V$65,G249),$W$2:$W$65),"Misc")</f>
        <v>OH Part</v>
      </c>
      <c r="P249" t="str" cm="1">
        <f t="array" ref="P249">IFERROR(LOOKUP(2,1/SEARCH($Y$2:$Y$65,G249),$Z$2:$Z$65),"Not Defined")</f>
        <v>OH Part</v>
      </c>
      <c r="Q249" t="str" cm="1">
        <f t="array" ref="Q249">IFERROR(LOOKUP(2,1/SEARCH($S$2:$S$65,H249),$T$2:$T$65),"-")</f>
        <v>-</v>
      </c>
    </row>
    <row r="250" spans="1:17" hidden="1" x14ac:dyDescent="0.25">
      <c r="A250" t="s">
        <v>7672</v>
      </c>
      <c r="B250" t="s">
        <v>779</v>
      </c>
      <c r="C250">
        <v>1</v>
      </c>
      <c r="D250" t="s">
        <v>7098</v>
      </c>
      <c r="E250" t="s">
        <v>7855</v>
      </c>
      <c r="F250" t="s">
        <v>765</v>
      </c>
      <c r="G250" t="s">
        <v>767</v>
      </c>
      <c r="H250" t="s">
        <v>766</v>
      </c>
      <c r="I250" t="s">
        <v>293</v>
      </c>
      <c r="J250" t="s">
        <v>7682</v>
      </c>
      <c r="K250" t="s">
        <v>7826</v>
      </c>
      <c r="L250" t="s">
        <v>7826</v>
      </c>
      <c r="N250" t="str" cm="1">
        <f t="array" ref="N250">IFERROR(LOOKUP(2,1/SEARCH($S$2:$S$65,G250),$T$2:$T$65),"Misc")</f>
        <v>OH P/N</v>
      </c>
      <c r="O250" t="str" cm="1">
        <f t="array" ref="O250">IFERROR(LOOKUP(2,1/SEARCH($V$2:$V$65,G250),$W$2:$W$65),"Misc")</f>
        <v>OH Part</v>
      </c>
      <c r="P250" t="str" cm="1">
        <f t="array" ref="P250">IFERROR(LOOKUP(2,1/SEARCH($Y$2:$Y$65,G250),$Z$2:$Z$65),"Not Defined")</f>
        <v>OH Part</v>
      </c>
      <c r="Q250" t="str" cm="1">
        <f t="array" ref="Q250">IFERROR(LOOKUP(2,1/SEARCH($S$2:$S$65,H250),$T$2:$T$65),"-")</f>
        <v>-</v>
      </c>
    </row>
    <row r="251" spans="1:17" hidden="1" x14ac:dyDescent="0.25">
      <c r="A251" t="s">
        <v>7672</v>
      </c>
      <c r="B251" t="s">
        <v>780</v>
      </c>
      <c r="C251">
        <v>1</v>
      </c>
      <c r="D251" t="s">
        <v>7098</v>
      </c>
      <c r="E251" t="s">
        <v>7856</v>
      </c>
      <c r="F251" t="s">
        <v>781</v>
      </c>
      <c r="G251" t="s">
        <v>783</v>
      </c>
      <c r="H251" t="s">
        <v>782</v>
      </c>
      <c r="J251" t="s">
        <v>7703</v>
      </c>
      <c r="K251" t="s">
        <v>7826</v>
      </c>
      <c r="L251" t="s">
        <v>7677</v>
      </c>
      <c r="N251" t="str" cm="1">
        <f t="array" ref="N251">IFERROR(LOOKUP(2,1/SEARCH($S$2:$S$65,G251),$T$2:$T$65),"Misc")</f>
        <v>OH ASSY</v>
      </c>
      <c r="O251" t="str" cm="1">
        <f t="array" ref="O251">IFERROR(LOOKUP(2,1/SEARCH($V$2:$V$65,G251),$W$2:$W$65),"Misc")</f>
        <v>OH Part</v>
      </c>
      <c r="P251" t="str" cm="1">
        <f t="array" ref="P251">IFERROR(LOOKUP(2,1/SEARCH($Y$2:$Y$65,G251),$Z$2:$Z$65),"Not Defined")</f>
        <v>SWITCH</v>
      </c>
      <c r="Q251" t="str" cm="1">
        <f t="array" ref="Q251">IFERROR(LOOKUP(2,1/SEARCH($S$2:$S$65,H251),$T$2:$T$65),"-")</f>
        <v>OH ASSY</v>
      </c>
    </row>
    <row r="252" spans="1:17" hidden="1" x14ac:dyDescent="0.25">
      <c r="A252" t="s">
        <v>7672</v>
      </c>
      <c r="B252" t="s">
        <v>784</v>
      </c>
      <c r="C252">
        <v>1</v>
      </c>
      <c r="D252" t="s">
        <v>7098</v>
      </c>
      <c r="E252" t="s">
        <v>7856</v>
      </c>
      <c r="F252" t="s">
        <v>785</v>
      </c>
      <c r="G252" t="s">
        <v>787</v>
      </c>
      <c r="H252" t="s">
        <v>786</v>
      </c>
      <c r="I252" t="s">
        <v>293</v>
      </c>
      <c r="J252" t="s">
        <v>7682</v>
      </c>
      <c r="K252" t="s">
        <v>7826</v>
      </c>
      <c r="L252" t="s">
        <v>7826</v>
      </c>
      <c r="N252" t="str" cm="1">
        <f t="array" ref="N252">IFERROR(LOOKUP(2,1/SEARCH($S$2:$S$65,G252),$T$2:$T$65),"Misc")</f>
        <v>OH P/N</v>
      </c>
      <c r="O252" t="str" cm="1">
        <f t="array" ref="O252">IFERROR(LOOKUP(2,1/SEARCH($V$2:$V$65,G252),$W$2:$W$65),"Misc")</f>
        <v>OH Part</v>
      </c>
      <c r="P252" t="str" cm="1">
        <f t="array" ref="P252">IFERROR(LOOKUP(2,1/SEARCH($Y$2:$Y$65,G252),$Z$2:$Z$65),"Not Defined")</f>
        <v>OH Part</v>
      </c>
      <c r="Q252" t="str" cm="1">
        <f t="array" ref="Q252">IFERROR(LOOKUP(2,1/SEARCH($S$2:$S$65,H252),$T$2:$T$65),"-")</f>
        <v>-</v>
      </c>
    </row>
    <row r="253" spans="1:17" hidden="1" x14ac:dyDescent="0.25">
      <c r="A253" t="s">
        <v>7672</v>
      </c>
      <c r="B253" t="s">
        <v>788</v>
      </c>
      <c r="C253">
        <v>1</v>
      </c>
      <c r="D253" t="s">
        <v>7098</v>
      </c>
      <c r="E253" t="s">
        <v>7856</v>
      </c>
      <c r="F253" t="s">
        <v>749</v>
      </c>
      <c r="G253" t="s">
        <v>751</v>
      </c>
      <c r="H253" t="s">
        <v>750</v>
      </c>
      <c r="I253" t="s">
        <v>358</v>
      </c>
      <c r="J253" t="s">
        <v>7682</v>
      </c>
      <c r="K253" t="s">
        <v>7826</v>
      </c>
      <c r="L253" t="s">
        <v>7826</v>
      </c>
      <c r="N253" t="str" cm="1">
        <f t="array" ref="N253">IFERROR(LOOKUP(2,1/SEARCH($S$2:$S$65,G253),$T$2:$T$65),"Misc")</f>
        <v>OH P/N</v>
      </c>
      <c r="O253" t="str" cm="1">
        <f t="array" ref="O253">IFERROR(LOOKUP(2,1/SEARCH($V$2:$V$65,G253),$W$2:$W$65),"Misc")</f>
        <v>OH Part</v>
      </c>
      <c r="P253" t="str" cm="1">
        <f t="array" ref="P253">IFERROR(LOOKUP(2,1/SEARCH($Y$2:$Y$65,G253),$Z$2:$Z$65),"Not Defined")</f>
        <v>OH Part</v>
      </c>
      <c r="Q253" t="str" cm="1">
        <f t="array" ref="Q253">IFERROR(LOOKUP(2,1/SEARCH($S$2:$S$65,H253),$T$2:$T$65),"-")</f>
        <v>-</v>
      </c>
    </row>
    <row r="254" spans="1:17" hidden="1" x14ac:dyDescent="0.25">
      <c r="A254" t="s">
        <v>7672</v>
      </c>
      <c r="B254" t="s">
        <v>789</v>
      </c>
      <c r="C254">
        <v>1</v>
      </c>
      <c r="D254" t="s">
        <v>7098</v>
      </c>
      <c r="E254" t="s">
        <v>7856</v>
      </c>
      <c r="F254" t="s">
        <v>757</v>
      </c>
      <c r="G254" t="s">
        <v>759</v>
      </c>
      <c r="H254" t="s">
        <v>758</v>
      </c>
      <c r="I254" t="s">
        <v>293</v>
      </c>
      <c r="J254" t="s">
        <v>7682</v>
      </c>
      <c r="K254" t="s">
        <v>7826</v>
      </c>
      <c r="L254" t="s">
        <v>7826</v>
      </c>
      <c r="N254" t="str" cm="1">
        <f t="array" ref="N254">IFERROR(LOOKUP(2,1/SEARCH($S$2:$S$65,G254),$T$2:$T$65),"Misc")</f>
        <v>OH P/N</v>
      </c>
      <c r="O254" t="str" cm="1">
        <f t="array" ref="O254">IFERROR(LOOKUP(2,1/SEARCH($V$2:$V$65,G254),$W$2:$W$65),"Misc")</f>
        <v>OH Part</v>
      </c>
      <c r="P254" t="str" cm="1">
        <f t="array" ref="P254">IFERROR(LOOKUP(2,1/SEARCH($Y$2:$Y$65,G254),$Z$2:$Z$65),"Not Defined")</f>
        <v>OH Part</v>
      </c>
      <c r="Q254" t="str" cm="1">
        <f t="array" ref="Q254">IFERROR(LOOKUP(2,1/SEARCH($S$2:$S$65,H254),$T$2:$T$65),"-")</f>
        <v>-</v>
      </c>
    </row>
    <row r="255" spans="1:17" hidden="1" x14ac:dyDescent="0.25">
      <c r="A255" t="s">
        <v>7672</v>
      </c>
      <c r="B255" t="s">
        <v>790</v>
      </c>
      <c r="C255">
        <v>1</v>
      </c>
      <c r="D255" t="s">
        <v>7098</v>
      </c>
      <c r="E255" t="s">
        <v>7856</v>
      </c>
      <c r="F255" t="s">
        <v>765</v>
      </c>
      <c r="G255" t="s">
        <v>767</v>
      </c>
      <c r="H255" t="s">
        <v>766</v>
      </c>
      <c r="I255" t="s">
        <v>293</v>
      </c>
      <c r="J255" t="s">
        <v>7682</v>
      </c>
      <c r="K255" t="s">
        <v>7826</v>
      </c>
      <c r="L255" t="s">
        <v>7826</v>
      </c>
      <c r="N255" t="str" cm="1">
        <f t="array" ref="N255">IFERROR(LOOKUP(2,1/SEARCH($S$2:$S$65,G255),$T$2:$T$65),"Misc")</f>
        <v>OH P/N</v>
      </c>
      <c r="O255" t="str" cm="1">
        <f t="array" ref="O255">IFERROR(LOOKUP(2,1/SEARCH($V$2:$V$65,G255),$W$2:$W$65),"Misc")</f>
        <v>OH Part</v>
      </c>
      <c r="P255" t="str" cm="1">
        <f t="array" ref="P255">IFERROR(LOOKUP(2,1/SEARCH($Y$2:$Y$65,G255),$Z$2:$Z$65),"Not Defined")</f>
        <v>OH Part</v>
      </c>
      <c r="Q255" t="str" cm="1">
        <f t="array" ref="Q255">IFERROR(LOOKUP(2,1/SEARCH($S$2:$S$65,H255),$T$2:$T$65),"-")</f>
        <v>-</v>
      </c>
    </row>
    <row r="256" spans="1:17" hidden="1" x14ac:dyDescent="0.25">
      <c r="A256" t="s">
        <v>7672</v>
      </c>
      <c r="B256" t="s">
        <v>791</v>
      </c>
      <c r="C256">
        <v>1</v>
      </c>
      <c r="D256" t="s">
        <v>7098</v>
      </c>
      <c r="E256" t="s">
        <v>7856</v>
      </c>
      <c r="F256" t="s">
        <v>761</v>
      </c>
      <c r="G256" t="s">
        <v>763</v>
      </c>
      <c r="H256" t="s">
        <v>762</v>
      </c>
      <c r="I256" t="s">
        <v>358</v>
      </c>
      <c r="J256" t="s">
        <v>7682</v>
      </c>
      <c r="K256" t="s">
        <v>7826</v>
      </c>
      <c r="L256" t="s">
        <v>7826</v>
      </c>
      <c r="N256" t="str" cm="1">
        <f t="array" ref="N256">IFERROR(LOOKUP(2,1/SEARCH($S$2:$S$65,G256),$T$2:$T$65),"Misc")</f>
        <v>OH P/N</v>
      </c>
      <c r="O256" t="str" cm="1">
        <f t="array" ref="O256">IFERROR(LOOKUP(2,1/SEARCH($V$2:$V$65,G256),$W$2:$W$65),"Misc")</f>
        <v>OH Part</v>
      </c>
      <c r="P256" t="str" cm="1">
        <f t="array" ref="P256">IFERROR(LOOKUP(2,1/SEARCH($Y$2:$Y$65,G256),$Z$2:$Z$65),"Not Defined")</f>
        <v>OH Part</v>
      </c>
      <c r="Q256" t="str" cm="1">
        <f t="array" ref="Q256">IFERROR(LOOKUP(2,1/SEARCH($S$2:$S$65,H256),$T$2:$T$65),"-")</f>
        <v>-</v>
      </c>
    </row>
    <row r="257" spans="1:17" hidden="1" x14ac:dyDescent="0.25">
      <c r="A257" t="s">
        <v>7672</v>
      </c>
      <c r="B257" t="s">
        <v>792</v>
      </c>
      <c r="C257">
        <v>1</v>
      </c>
      <c r="D257" t="s">
        <v>7098</v>
      </c>
      <c r="E257" t="s">
        <v>7857</v>
      </c>
      <c r="F257" t="s">
        <v>793</v>
      </c>
      <c r="G257" t="s">
        <v>795</v>
      </c>
      <c r="H257" t="s">
        <v>794</v>
      </c>
      <c r="J257" t="s">
        <v>7703</v>
      </c>
      <c r="K257" t="s">
        <v>7826</v>
      </c>
      <c r="L257" t="s">
        <v>7677</v>
      </c>
      <c r="N257" t="str" cm="1">
        <f t="array" ref="N257">IFERROR(LOOKUP(2,1/SEARCH($S$2:$S$65,G257),$T$2:$T$65),"Misc")</f>
        <v>OH ASSY</v>
      </c>
      <c r="O257" t="str" cm="1">
        <f t="array" ref="O257">IFERROR(LOOKUP(2,1/SEARCH($V$2:$V$65,G257),$W$2:$W$65),"Misc")</f>
        <v>OH Part</v>
      </c>
      <c r="P257" t="str" cm="1">
        <f t="array" ref="P257">IFERROR(LOOKUP(2,1/SEARCH($Y$2:$Y$65,G257),$Z$2:$Z$65),"Not Defined")</f>
        <v>SWITCH</v>
      </c>
      <c r="Q257" t="str" cm="1">
        <f t="array" ref="Q257">IFERROR(LOOKUP(2,1/SEARCH($S$2:$S$65,H257),$T$2:$T$65),"-")</f>
        <v>OH ASSY</v>
      </c>
    </row>
    <row r="258" spans="1:17" hidden="1" x14ac:dyDescent="0.25">
      <c r="A258" t="s">
        <v>7672</v>
      </c>
      <c r="B258" t="s">
        <v>796</v>
      </c>
      <c r="C258">
        <v>1</v>
      </c>
      <c r="D258" t="s">
        <v>7098</v>
      </c>
      <c r="E258" t="s">
        <v>7857</v>
      </c>
      <c r="F258" t="s">
        <v>797</v>
      </c>
      <c r="G258" t="s">
        <v>799</v>
      </c>
      <c r="H258" t="s">
        <v>798</v>
      </c>
      <c r="I258" t="s">
        <v>293</v>
      </c>
      <c r="J258" t="s">
        <v>7682</v>
      </c>
      <c r="K258" t="s">
        <v>7826</v>
      </c>
      <c r="L258" t="s">
        <v>7826</v>
      </c>
      <c r="N258" t="str" cm="1">
        <f t="array" ref="N258">IFERROR(LOOKUP(2,1/SEARCH($S$2:$S$65,G258),$T$2:$T$65),"Misc")</f>
        <v>OH P/N</v>
      </c>
      <c r="O258" t="str" cm="1">
        <f t="array" ref="O258">IFERROR(LOOKUP(2,1/SEARCH($V$2:$V$65,G258),$W$2:$W$65),"Misc")</f>
        <v>OH Part</v>
      </c>
      <c r="P258" t="str" cm="1">
        <f t="array" ref="P258">IFERROR(LOOKUP(2,1/SEARCH($Y$2:$Y$65,G258),$Z$2:$Z$65),"Not Defined")</f>
        <v>OH Part</v>
      </c>
      <c r="Q258" t="str" cm="1">
        <f t="array" ref="Q258">IFERROR(LOOKUP(2,1/SEARCH($S$2:$S$65,H258),$T$2:$T$65),"-")</f>
        <v>-</v>
      </c>
    </row>
    <row r="259" spans="1:17" hidden="1" x14ac:dyDescent="0.25">
      <c r="A259" t="s">
        <v>7672</v>
      </c>
      <c r="B259" t="s">
        <v>800</v>
      </c>
      <c r="C259">
        <v>1</v>
      </c>
      <c r="D259" t="s">
        <v>7098</v>
      </c>
      <c r="E259" t="s">
        <v>7857</v>
      </c>
      <c r="F259" t="s">
        <v>761</v>
      </c>
      <c r="G259" t="s">
        <v>763</v>
      </c>
      <c r="H259" t="s">
        <v>762</v>
      </c>
      <c r="I259" t="s">
        <v>358</v>
      </c>
      <c r="J259" t="s">
        <v>7682</v>
      </c>
      <c r="K259" t="s">
        <v>7826</v>
      </c>
      <c r="L259" t="s">
        <v>7826</v>
      </c>
      <c r="N259" t="str" cm="1">
        <f t="array" ref="N259">IFERROR(LOOKUP(2,1/SEARCH($S$2:$S$65,G259),$T$2:$T$65),"Misc")</f>
        <v>OH P/N</v>
      </c>
      <c r="O259" t="str" cm="1">
        <f t="array" ref="O259">IFERROR(LOOKUP(2,1/SEARCH($V$2:$V$65,G259),$W$2:$W$65),"Misc")</f>
        <v>OH Part</v>
      </c>
      <c r="P259" t="str" cm="1">
        <f t="array" ref="P259">IFERROR(LOOKUP(2,1/SEARCH($Y$2:$Y$65,G259),$Z$2:$Z$65),"Not Defined")</f>
        <v>OH Part</v>
      </c>
      <c r="Q259" t="str" cm="1">
        <f t="array" ref="Q259">IFERROR(LOOKUP(2,1/SEARCH($S$2:$S$65,H259),$T$2:$T$65),"-")</f>
        <v>-</v>
      </c>
    </row>
    <row r="260" spans="1:17" hidden="1" x14ac:dyDescent="0.25">
      <c r="A260" t="s">
        <v>7672</v>
      </c>
      <c r="B260" t="s">
        <v>801</v>
      </c>
      <c r="C260">
        <v>1</v>
      </c>
      <c r="D260" t="s">
        <v>7098</v>
      </c>
      <c r="E260" t="s">
        <v>7857</v>
      </c>
      <c r="F260" t="s">
        <v>749</v>
      </c>
      <c r="G260" t="s">
        <v>751</v>
      </c>
      <c r="H260" t="s">
        <v>750</v>
      </c>
      <c r="I260" t="s">
        <v>358</v>
      </c>
      <c r="J260" t="s">
        <v>7682</v>
      </c>
      <c r="K260" t="s">
        <v>7826</v>
      </c>
      <c r="L260" t="s">
        <v>7826</v>
      </c>
      <c r="N260" t="str" cm="1">
        <f t="array" ref="N260">IFERROR(LOOKUP(2,1/SEARCH($S$2:$S$65,G260),$T$2:$T$65),"Misc")</f>
        <v>OH P/N</v>
      </c>
      <c r="O260" t="str" cm="1">
        <f t="array" ref="O260">IFERROR(LOOKUP(2,1/SEARCH($V$2:$V$65,G260),$W$2:$W$65),"Misc")</f>
        <v>OH Part</v>
      </c>
      <c r="P260" t="str" cm="1">
        <f t="array" ref="P260">IFERROR(LOOKUP(2,1/SEARCH($Y$2:$Y$65,G260),$Z$2:$Z$65),"Not Defined")</f>
        <v>OH Part</v>
      </c>
      <c r="Q260" t="str" cm="1">
        <f t="array" ref="Q260">IFERROR(LOOKUP(2,1/SEARCH($S$2:$S$65,H260),$T$2:$T$65),"-")</f>
        <v>-</v>
      </c>
    </row>
    <row r="261" spans="1:17" hidden="1" x14ac:dyDescent="0.25">
      <c r="A261" t="s">
        <v>7672</v>
      </c>
      <c r="B261" t="s">
        <v>802</v>
      </c>
      <c r="C261">
        <v>1</v>
      </c>
      <c r="D261" t="s">
        <v>7098</v>
      </c>
      <c r="E261" t="s">
        <v>7857</v>
      </c>
      <c r="F261" t="s">
        <v>757</v>
      </c>
      <c r="G261" t="s">
        <v>759</v>
      </c>
      <c r="H261" t="s">
        <v>758</v>
      </c>
      <c r="I261" t="s">
        <v>293</v>
      </c>
      <c r="J261" t="s">
        <v>7682</v>
      </c>
      <c r="K261" t="s">
        <v>7826</v>
      </c>
      <c r="L261" t="s">
        <v>7826</v>
      </c>
      <c r="N261" t="str" cm="1">
        <f t="array" ref="N261">IFERROR(LOOKUP(2,1/SEARCH($S$2:$S$65,G261),$T$2:$T$65),"Misc")</f>
        <v>OH P/N</v>
      </c>
      <c r="O261" t="str" cm="1">
        <f t="array" ref="O261">IFERROR(LOOKUP(2,1/SEARCH($V$2:$V$65,G261),$W$2:$W$65),"Misc")</f>
        <v>OH Part</v>
      </c>
      <c r="P261" t="str" cm="1">
        <f t="array" ref="P261">IFERROR(LOOKUP(2,1/SEARCH($Y$2:$Y$65,G261),$Z$2:$Z$65),"Not Defined")</f>
        <v>OH Part</v>
      </c>
      <c r="Q261" t="str" cm="1">
        <f t="array" ref="Q261">IFERROR(LOOKUP(2,1/SEARCH($S$2:$S$65,H261),$T$2:$T$65),"-")</f>
        <v>-</v>
      </c>
    </row>
    <row r="262" spans="1:17" hidden="1" x14ac:dyDescent="0.25">
      <c r="A262" t="s">
        <v>7672</v>
      </c>
      <c r="B262" t="s">
        <v>803</v>
      </c>
      <c r="C262">
        <v>1</v>
      </c>
      <c r="D262" t="s">
        <v>7098</v>
      </c>
      <c r="E262" t="s">
        <v>7857</v>
      </c>
      <c r="F262" t="s">
        <v>765</v>
      </c>
      <c r="G262" t="s">
        <v>767</v>
      </c>
      <c r="H262" t="s">
        <v>766</v>
      </c>
      <c r="I262" t="s">
        <v>293</v>
      </c>
      <c r="J262" t="s">
        <v>7682</v>
      </c>
      <c r="K262" t="s">
        <v>7826</v>
      </c>
      <c r="L262" t="s">
        <v>7826</v>
      </c>
      <c r="N262" t="str" cm="1">
        <f t="array" ref="N262">IFERROR(LOOKUP(2,1/SEARCH($S$2:$S$65,G262),$T$2:$T$65),"Misc")</f>
        <v>OH P/N</v>
      </c>
      <c r="O262" t="str" cm="1">
        <f t="array" ref="O262">IFERROR(LOOKUP(2,1/SEARCH($V$2:$V$65,G262),$W$2:$W$65),"Misc")</f>
        <v>OH Part</v>
      </c>
      <c r="P262" t="str" cm="1">
        <f t="array" ref="P262">IFERROR(LOOKUP(2,1/SEARCH($Y$2:$Y$65,G262),$Z$2:$Z$65),"Not Defined")</f>
        <v>OH Part</v>
      </c>
      <c r="Q262" t="str" cm="1">
        <f t="array" ref="Q262">IFERROR(LOOKUP(2,1/SEARCH($S$2:$S$65,H262),$T$2:$T$65),"-")</f>
        <v>-</v>
      </c>
    </row>
    <row r="263" spans="1:17" hidden="1" x14ac:dyDescent="0.25">
      <c r="A263" t="s">
        <v>7672</v>
      </c>
      <c r="B263" t="s">
        <v>804</v>
      </c>
      <c r="C263">
        <v>1</v>
      </c>
      <c r="D263" t="s">
        <v>7098</v>
      </c>
      <c r="E263" t="s">
        <v>7858</v>
      </c>
      <c r="F263" t="s">
        <v>805</v>
      </c>
      <c r="G263" t="s">
        <v>807</v>
      </c>
      <c r="H263" t="s">
        <v>806</v>
      </c>
      <c r="J263" t="s">
        <v>7703</v>
      </c>
      <c r="K263" t="s">
        <v>7826</v>
      </c>
      <c r="L263" t="s">
        <v>7677</v>
      </c>
      <c r="N263" t="str" cm="1">
        <f t="array" ref="N263">IFERROR(LOOKUP(2,1/SEARCH($S$2:$S$65,G263),$T$2:$T$65),"Misc")</f>
        <v>OH ASSY</v>
      </c>
      <c r="O263" t="str" cm="1">
        <f t="array" ref="O263">IFERROR(LOOKUP(2,1/SEARCH($V$2:$V$65,G263),$W$2:$W$65),"Misc")</f>
        <v>OH Part</v>
      </c>
      <c r="P263" t="str" cm="1">
        <f t="array" ref="P263">IFERROR(LOOKUP(2,1/SEARCH($Y$2:$Y$65,G263),$Z$2:$Z$65),"Not Defined")</f>
        <v>SWITCH</v>
      </c>
      <c r="Q263" t="str" cm="1">
        <f t="array" ref="Q263">IFERROR(LOOKUP(2,1/SEARCH($S$2:$S$65,H263),$T$2:$T$65),"-")</f>
        <v>OH ASSY</v>
      </c>
    </row>
    <row r="264" spans="1:17" hidden="1" x14ac:dyDescent="0.25">
      <c r="A264" t="s">
        <v>7672</v>
      </c>
      <c r="B264" t="s">
        <v>808</v>
      </c>
      <c r="C264">
        <v>1</v>
      </c>
      <c r="D264" t="s">
        <v>7098</v>
      </c>
      <c r="E264" t="s">
        <v>7858</v>
      </c>
      <c r="F264" t="s">
        <v>809</v>
      </c>
      <c r="G264" t="s">
        <v>811</v>
      </c>
      <c r="H264" t="s">
        <v>810</v>
      </c>
      <c r="I264" t="s">
        <v>293</v>
      </c>
      <c r="J264" t="s">
        <v>7682</v>
      </c>
      <c r="K264" t="s">
        <v>7826</v>
      </c>
      <c r="L264" t="s">
        <v>7826</v>
      </c>
      <c r="N264" t="str" cm="1">
        <f t="array" ref="N264">IFERROR(LOOKUP(2,1/SEARCH($S$2:$S$65,G264),$T$2:$T$65),"Misc")</f>
        <v>OH P/N</v>
      </c>
      <c r="O264" t="str" cm="1">
        <f t="array" ref="O264">IFERROR(LOOKUP(2,1/SEARCH($V$2:$V$65,G264),$W$2:$W$65),"Misc")</f>
        <v>OH Part</v>
      </c>
      <c r="P264" t="str" cm="1">
        <f t="array" ref="P264">IFERROR(LOOKUP(2,1/SEARCH($Y$2:$Y$65,G264),$Z$2:$Z$65),"Not Defined")</f>
        <v>OH Part</v>
      </c>
      <c r="Q264" t="str" cm="1">
        <f t="array" ref="Q264">IFERROR(LOOKUP(2,1/SEARCH($S$2:$S$65,H264),$T$2:$T$65),"-")</f>
        <v>-</v>
      </c>
    </row>
    <row r="265" spans="1:17" hidden="1" x14ac:dyDescent="0.25">
      <c r="A265" t="s">
        <v>7672</v>
      </c>
      <c r="B265" t="s">
        <v>812</v>
      </c>
      <c r="C265">
        <v>1</v>
      </c>
      <c r="D265" t="s">
        <v>7098</v>
      </c>
      <c r="E265" t="s">
        <v>7858</v>
      </c>
      <c r="F265" t="s">
        <v>761</v>
      </c>
      <c r="G265" t="s">
        <v>763</v>
      </c>
      <c r="H265" t="s">
        <v>762</v>
      </c>
      <c r="I265" t="s">
        <v>358</v>
      </c>
      <c r="J265" t="s">
        <v>7682</v>
      </c>
      <c r="K265" t="s">
        <v>7826</v>
      </c>
      <c r="L265" t="s">
        <v>7826</v>
      </c>
      <c r="N265" t="str" cm="1">
        <f t="array" ref="N265">IFERROR(LOOKUP(2,1/SEARCH($S$2:$S$65,G265),$T$2:$T$65),"Misc")</f>
        <v>OH P/N</v>
      </c>
      <c r="O265" t="str" cm="1">
        <f t="array" ref="O265">IFERROR(LOOKUP(2,1/SEARCH($V$2:$V$65,G265),$W$2:$W$65),"Misc")</f>
        <v>OH Part</v>
      </c>
      <c r="P265" t="str" cm="1">
        <f t="array" ref="P265">IFERROR(LOOKUP(2,1/SEARCH($Y$2:$Y$65,G265),$Z$2:$Z$65),"Not Defined")</f>
        <v>OH Part</v>
      </c>
      <c r="Q265" t="str" cm="1">
        <f t="array" ref="Q265">IFERROR(LOOKUP(2,1/SEARCH($S$2:$S$65,H265),$T$2:$T$65),"-")</f>
        <v>-</v>
      </c>
    </row>
    <row r="266" spans="1:17" hidden="1" x14ac:dyDescent="0.25">
      <c r="A266" t="s">
        <v>7672</v>
      </c>
      <c r="B266" t="s">
        <v>813</v>
      </c>
      <c r="C266">
        <v>1</v>
      </c>
      <c r="D266" t="s">
        <v>7098</v>
      </c>
      <c r="E266" t="s">
        <v>7858</v>
      </c>
      <c r="F266" t="s">
        <v>757</v>
      </c>
      <c r="G266" t="s">
        <v>759</v>
      </c>
      <c r="H266" t="s">
        <v>758</v>
      </c>
      <c r="I266" t="s">
        <v>293</v>
      </c>
      <c r="J266" t="s">
        <v>7682</v>
      </c>
      <c r="K266" t="s">
        <v>7826</v>
      </c>
      <c r="L266" t="s">
        <v>7826</v>
      </c>
      <c r="N266" t="str" cm="1">
        <f t="array" ref="N266">IFERROR(LOOKUP(2,1/SEARCH($S$2:$S$65,G266),$T$2:$T$65),"Misc")</f>
        <v>OH P/N</v>
      </c>
      <c r="O266" t="str" cm="1">
        <f t="array" ref="O266">IFERROR(LOOKUP(2,1/SEARCH($V$2:$V$65,G266),$W$2:$W$65),"Misc")</f>
        <v>OH Part</v>
      </c>
      <c r="P266" t="str" cm="1">
        <f t="array" ref="P266">IFERROR(LOOKUP(2,1/SEARCH($Y$2:$Y$65,G266),$Z$2:$Z$65),"Not Defined")</f>
        <v>OH Part</v>
      </c>
      <c r="Q266" t="str" cm="1">
        <f t="array" ref="Q266">IFERROR(LOOKUP(2,1/SEARCH($S$2:$S$65,H266),$T$2:$T$65),"-")</f>
        <v>-</v>
      </c>
    </row>
    <row r="267" spans="1:17" hidden="1" x14ac:dyDescent="0.25">
      <c r="A267" t="s">
        <v>7672</v>
      </c>
      <c r="B267" t="s">
        <v>814</v>
      </c>
      <c r="C267">
        <v>1</v>
      </c>
      <c r="D267" t="s">
        <v>7098</v>
      </c>
      <c r="E267" t="s">
        <v>7858</v>
      </c>
      <c r="F267" t="s">
        <v>749</v>
      </c>
      <c r="G267" t="s">
        <v>751</v>
      </c>
      <c r="H267" t="s">
        <v>750</v>
      </c>
      <c r="I267" t="s">
        <v>358</v>
      </c>
      <c r="J267" t="s">
        <v>7682</v>
      </c>
      <c r="K267" t="s">
        <v>7826</v>
      </c>
      <c r="L267" t="s">
        <v>7826</v>
      </c>
      <c r="N267" t="str" cm="1">
        <f t="array" ref="N267">IFERROR(LOOKUP(2,1/SEARCH($S$2:$S$65,G267),$T$2:$T$65),"Misc")</f>
        <v>OH P/N</v>
      </c>
      <c r="O267" t="str" cm="1">
        <f t="array" ref="O267">IFERROR(LOOKUP(2,1/SEARCH($V$2:$V$65,G267),$W$2:$W$65),"Misc")</f>
        <v>OH Part</v>
      </c>
      <c r="P267" t="str" cm="1">
        <f t="array" ref="P267">IFERROR(LOOKUP(2,1/SEARCH($Y$2:$Y$65,G267),$Z$2:$Z$65),"Not Defined")</f>
        <v>OH Part</v>
      </c>
      <c r="Q267" t="str" cm="1">
        <f t="array" ref="Q267">IFERROR(LOOKUP(2,1/SEARCH($S$2:$S$65,H267),$T$2:$T$65),"-")</f>
        <v>-</v>
      </c>
    </row>
    <row r="268" spans="1:17" hidden="1" x14ac:dyDescent="0.25">
      <c r="A268" t="s">
        <v>7672</v>
      </c>
      <c r="B268" t="s">
        <v>815</v>
      </c>
      <c r="C268">
        <v>1</v>
      </c>
      <c r="D268" t="s">
        <v>7098</v>
      </c>
      <c r="E268" t="s">
        <v>7858</v>
      </c>
      <c r="F268" t="s">
        <v>765</v>
      </c>
      <c r="G268" t="s">
        <v>767</v>
      </c>
      <c r="H268" t="s">
        <v>766</v>
      </c>
      <c r="I268" t="s">
        <v>293</v>
      </c>
      <c r="J268" t="s">
        <v>7682</v>
      </c>
      <c r="K268" t="s">
        <v>7826</v>
      </c>
      <c r="L268" t="s">
        <v>7826</v>
      </c>
      <c r="N268" t="str" cm="1">
        <f t="array" ref="N268">IFERROR(LOOKUP(2,1/SEARCH($S$2:$S$65,G268),$T$2:$T$65),"Misc")</f>
        <v>OH P/N</v>
      </c>
      <c r="O268" t="str" cm="1">
        <f t="array" ref="O268">IFERROR(LOOKUP(2,1/SEARCH($V$2:$V$65,G268),$W$2:$W$65),"Misc")</f>
        <v>OH Part</v>
      </c>
      <c r="P268" t="str" cm="1">
        <f t="array" ref="P268">IFERROR(LOOKUP(2,1/SEARCH($Y$2:$Y$65,G268),$Z$2:$Z$65),"Not Defined")</f>
        <v>OH Part</v>
      </c>
      <c r="Q268" t="str" cm="1">
        <f t="array" ref="Q268">IFERROR(LOOKUP(2,1/SEARCH($S$2:$S$65,H268),$T$2:$T$65),"-")</f>
        <v>-</v>
      </c>
    </row>
    <row r="269" spans="1:17" hidden="1" x14ac:dyDescent="0.25">
      <c r="A269" t="s">
        <v>7672</v>
      </c>
      <c r="B269" t="s">
        <v>816</v>
      </c>
      <c r="C269">
        <v>1</v>
      </c>
      <c r="D269" t="s">
        <v>7098</v>
      </c>
      <c r="E269" t="s">
        <v>7859</v>
      </c>
      <c r="F269" t="s">
        <v>817</v>
      </c>
      <c r="G269" t="s">
        <v>819</v>
      </c>
      <c r="H269" t="s">
        <v>818</v>
      </c>
      <c r="J269" t="s">
        <v>7742</v>
      </c>
      <c r="K269" t="s">
        <v>7826</v>
      </c>
      <c r="L269" t="s">
        <v>7826</v>
      </c>
      <c r="N269" t="str" cm="1">
        <f t="array" ref="N269">IFERROR(LOOKUP(2,1/SEARCH($S$2:$S$65,G269),$T$2:$T$65),"Misc")</f>
        <v>OH ASSY</v>
      </c>
      <c r="O269" t="str" cm="1">
        <f t="array" ref="O269">IFERROR(LOOKUP(2,1/SEARCH($V$2:$V$65,G269),$W$2:$W$65),"Misc")</f>
        <v>OH Part</v>
      </c>
      <c r="P269" t="str" cm="1">
        <f t="array" ref="P269">IFERROR(LOOKUP(2,1/SEARCH($Y$2:$Y$65,G269),$Z$2:$Z$65),"Not Defined")</f>
        <v>OH Part</v>
      </c>
      <c r="Q269" t="str" cm="1">
        <f t="array" ref="Q269">IFERROR(LOOKUP(2,1/SEARCH($S$2:$S$65,H269),$T$2:$T$65),"-")</f>
        <v>OH ASSY</v>
      </c>
    </row>
    <row r="270" spans="1:17" hidden="1" x14ac:dyDescent="0.25">
      <c r="A270" t="s">
        <v>7672</v>
      </c>
      <c r="B270" t="s">
        <v>820</v>
      </c>
      <c r="C270">
        <v>1</v>
      </c>
      <c r="D270" t="s">
        <v>7098</v>
      </c>
      <c r="E270" t="s">
        <v>7859</v>
      </c>
      <c r="F270" t="s">
        <v>821</v>
      </c>
      <c r="G270" t="s">
        <v>823</v>
      </c>
      <c r="H270" t="s">
        <v>822</v>
      </c>
      <c r="I270" t="s">
        <v>293</v>
      </c>
      <c r="J270" t="s">
        <v>7682</v>
      </c>
      <c r="K270" t="s">
        <v>7826</v>
      </c>
      <c r="L270" t="s">
        <v>7826</v>
      </c>
      <c r="N270" t="str" cm="1">
        <f t="array" ref="N270">IFERROR(LOOKUP(2,1/SEARCH($S$2:$S$65,G270),$T$2:$T$65),"Misc")</f>
        <v>OH P/N</v>
      </c>
      <c r="O270" t="str" cm="1">
        <f t="array" ref="O270">IFERROR(LOOKUP(2,1/SEARCH($V$2:$V$65,G270),$W$2:$W$65),"Misc")</f>
        <v>OH Part</v>
      </c>
      <c r="P270" t="str" cm="1">
        <f t="array" ref="P270">IFERROR(LOOKUP(2,1/SEARCH($Y$2:$Y$65,G270),$Z$2:$Z$65),"Not Defined")</f>
        <v>OH Part</v>
      </c>
      <c r="Q270" t="str" cm="1">
        <f t="array" ref="Q270">IFERROR(LOOKUP(2,1/SEARCH($S$2:$S$65,H270),$T$2:$T$65),"-")</f>
        <v>-</v>
      </c>
    </row>
    <row r="271" spans="1:17" hidden="1" x14ac:dyDescent="0.25">
      <c r="A271" t="s">
        <v>7672</v>
      </c>
      <c r="B271" t="s">
        <v>824</v>
      </c>
      <c r="C271">
        <v>1</v>
      </c>
      <c r="D271" t="s">
        <v>7098</v>
      </c>
      <c r="E271" t="s">
        <v>7859</v>
      </c>
      <c r="F271" t="s">
        <v>825</v>
      </c>
      <c r="G271" t="s">
        <v>827</v>
      </c>
      <c r="H271" t="s">
        <v>826</v>
      </c>
      <c r="I271" t="s">
        <v>293</v>
      </c>
      <c r="J271" t="s">
        <v>7682</v>
      </c>
      <c r="K271" t="s">
        <v>7826</v>
      </c>
      <c r="L271" t="s">
        <v>7826</v>
      </c>
      <c r="N271" t="str" cm="1">
        <f t="array" ref="N271">IFERROR(LOOKUP(2,1/SEARCH($S$2:$S$65,G271),$T$2:$T$65),"Misc")</f>
        <v>OH P/N</v>
      </c>
      <c r="O271" t="str" cm="1">
        <f t="array" ref="O271">IFERROR(LOOKUP(2,1/SEARCH($V$2:$V$65,G271),$W$2:$W$65),"Misc")</f>
        <v>OH Part</v>
      </c>
      <c r="P271" t="str" cm="1">
        <f t="array" ref="P271">IFERROR(LOOKUP(2,1/SEARCH($Y$2:$Y$65,G271),$Z$2:$Z$65),"Not Defined")</f>
        <v>OH Part</v>
      </c>
      <c r="Q271" t="str" cm="1">
        <f t="array" ref="Q271">IFERROR(LOOKUP(2,1/SEARCH($S$2:$S$65,H271),$T$2:$T$65),"-")</f>
        <v>-</v>
      </c>
    </row>
    <row r="272" spans="1:17" hidden="1" x14ac:dyDescent="0.25">
      <c r="A272" t="s">
        <v>7672</v>
      </c>
      <c r="B272" t="s">
        <v>828</v>
      </c>
      <c r="C272">
        <v>1</v>
      </c>
      <c r="D272" t="s">
        <v>7098</v>
      </c>
      <c r="E272" t="s">
        <v>7859</v>
      </c>
      <c r="F272" t="s">
        <v>829</v>
      </c>
      <c r="G272" t="s">
        <v>831</v>
      </c>
      <c r="H272" t="s">
        <v>830</v>
      </c>
      <c r="I272" t="s">
        <v>293</v>
      </c>
      <c r="J272" t="s">
        <v>7682</v>
      </c>
      <c r="K272" t="s">
        <v>7826</v>
      </c>
      <c r="L272" t="s">
        <v>7826</v>
      </c>
      <c r="N272" t="str" cm="1">
        <f t="array" ref="N272">IFERROR(LOOKUP(2,1/SEARCH($S$2:$S$65,G272),$T$2:$T$65),"Misc")</f>
        <v>OH P/N</v>
      </c>
      <c r="O272" t="str" cm="1">
        <f t="array" ref="O272">IFERROR(LOOKUP(2,1/SEARCH($V$2:$V$65,G272),$W$2:$W$65),"Misc")</f>
        <v>OH Part</v>
      </c>
      <c r="P272" t="str" cm="1">
        <f t="array" ref="P272">IFERROR(LOOKUP(2,1/SEARCH($Y$2:$Y$65,G272),$Z$2:$Z$65),"Not Defined")</f>
        <v>OH Part</v>
      </c>
      <c r="Q272" t="str" cm="1">
        <f t="array" ref="Q272">IFERROR(LOOKUP(2,1/SEARCH($S$2:$S$65,H272),$T$2:$T$65),"-")</f>
        <v>-</v>
      </c>
    </row>
    <row r="273" spans="1:17" hidden="1" x14ac:dyDescent="0.25">
      <c r="A273" t="s">
        <v>7672</v>
      </c>
      <c r="B273" t="s">
        <v>832</v>
      </c>
      <c r="C273">
        <v>1</v>
      </c>
      <c r="D273" t="s">
        <v>7098</v>
      </c>
      <c r="E273" t="s">
        <v>7859</v>
      </c>
      <c r="F273" t="s">
        <v>833</v>
      </c>
      <c r="G273" t="s">
        <v>835</v>
      </c>
      <c r="H273" t="s">
        <v>834</v>
      </c>
      <c r="I273" t="s">
        <v>358</v>
      </c>
      <c r="J273" t="s">
        <v>7682</v>
      </c>
      <c r="K273" t="s">
        <v>7826</v>
      </c>
      <c r="L273" t="s">
        <v>7826</v>
      </c>
      <c r="N273" t="str" cm="1">
        <f t="array" ref="N273">IFERROR(LOOKUP(2,1/SEARCH($S$2:$S$65,G273),$T$2:$T$65),"Misc")</f>
        <v>OH P/N</v>
      </c>
      <c r="O273" t="str" cm="1">
        <f t="array" ref="O273">IFERROR(LOOKUP(2,1/SEARCH($V$2:$V$65,G273),$W$2:$W$65),"Misc")</f>
        <v>OH Part</v>
      </c>
      <c r="P273" t="str" cm="1">
        <f t="array" ref="P273">IFERROR(LOOKUP(2,1/SEARCH($Y$2:$Y$65,G273),$Z$2:$Z$65),"Not Defined")</f>
        <v>OH Part</v>
      </c>
      <c r="Q273" t="str" cm="1">
        <f t="array" ref="Q273">IFERROR(LOOKUP(2,1/SEARCH($S$2:$S$65,H273),$T$2:$T$65),"-")</f>
        <v>COTS</v>
      </c>
    </row>
    <row r="274" spans="1:17" hidden="1" x14ac:dyDescent="0.25">
      <c r="A274" t="s">
        <v>7672</v>
      </c>
      <c r="B274" t="s">
        <v>836</v>
      </c>
      <c r="C274">
        <v>1</v>
      </c>
      <c r="D274" t="s">
        <v>7098</v>
      </c>
      <c r="E274" t="s">
        <v>7859</v>
      </c>
      <c r="F274" t="s">
        <v>837</v>
      </c>
      <c r="G274" t="s">
        <v>839</v>
      </c>
      <c r="H274" t="s">
        <v>838</v>
      </c>
      <c r="I274" t="s">
        <v>358</v>
      </c>
      <c r="J274" t="s">
        <v>7682</v>
      </c>
      <c r="K274" t="s">
        <v>7826</v>
      </c>
      <c r="L274" t="s">
        <v>7826</v>
      </c>
      <c r="N274" t="str" cm="1">
        <f t="array" ref="N274">IFERROR(LOOKUP(2,1/SEARCH($S$2:$S$65,G274),$T$2:$T$65),"Misc")</f>
        <v>OH P/N</v>
      </c>
      <c r="O274" t="str" cm="1">
        <f t="array" ref="O274">IFERROR(LOOKUP(2,1/SEARCH($V$2:$V$65,G274),$W$2:$W$65),"Misc")</f>
        <v>OH Part</v>
      </c>
      <c r="P274" t="str" cm="1">
        <f t="array" ref="P274">IFERROR(LOOKUP(2,1/SEARCH($Y$2:$Y$65,G274),$Z$2:$Z$65),"Not Defined")</f>
        <v>OH Part</v>
      </c>
      <c r="Q274" t="str" cm="1">
        <f t="array" ref="Q274">IFERROR(LOOKUP(2,1/SEARCH($S$2:$S$65,H274),$T$2:$T$65),"-")</f>
        <v>-</v>
      </c>
    </row>
    <row r="275" spans="1:17" hidden="1" x14ac:dyDescent="0.25">
      <c r="A275" t="s">
        <v>7672</v>
      </c>
      <c r="B275" t="s">
        <v>840</v>
      </c>
      <c r="C275">
        <v>1</v>
      </c>
      <c r="D275" t="s">
        <v>7098</v>
      </c>
      <c r="E275" t="s">
        <v>7860</v>
      </c>
      <c r="F275" t="s">
        <v>841</v>
      </c>
      <c r="G275" t="s">
        <v>843</v>
      </c>
      <c r="H275" t="s">
        <v>842</v>
      </c>
      <c r="J275" t="s">
        <v>7742</v>
      </c>
      <c r="K275" t="s">
        <v>7826</v>
      </c>
      <c r="L275" t="s">
        <v>7826</v>
      </c>
      <c r="N275" t="str" cm="1">
        <f t="array" ref="N275">IFERROR(LOOKUP(2,1/SEARCH($S$2:$S$65,G275),$T$2:$T$65),"Misc")</f>
        <v>OH ASSY</v>
      </c>
      <c r="O275" t="str" cm="1">
        <f t="array" ref="O275">IFERROR(LOOKUP(2,1/SEARCH($V$2:$V$65,G275),$W$2:$W$65),"Misc")</f>
        <v>OH Part</v>
      </c>
      <c r="P275" t="str" cm="1">
        <f t="array" ref="P275">IFERROR(LOOKUP(2,1/SEARCH($Y$2:$Y$65,G275),$Z$2:$Z$65),"Not Defined")</f>
        <v>OH Part</v>
      </c>
      <c r="Q275" t="str" cm="1">
        <f t="array" ref="Q275">IFERROR(LOOKUP(2,1/SEARCH($S$2:$S$65,H275),$T$2:$T$65),"-")</f>
        <v>OH ASSY</v>
      </c>
    </row>
    <row r="276" spans="1:17" hidden="1" x14ac:dyDescent="0.25">
      <c r="A276" t="s">
        <v>7672</v>
      </c>
      <c r="B276" t="s">
        <v>844</v>
      </c>
      <c r="C276">
        <v>1</v>
      </c>
      <c r="D276" t="s">
        <v>7098</v>
      </c>
      <c r="E276" t="s">
        <v>7860</v>
      </c>
      <c r="F276" t="s">
        <v>845</v>
      </c>
      <c r="G276" t="s">
        <v>847</v>
      </c>
      <c r="H276" t="s">
        <v>846</v>
      </c>
      <c r="I276" t="s">
        <v>293</v>
      </c>
      <c r="J276" t="s">
        <v>7682</v>
      </c>
      <c r="K276" t="s">
        <v>7826</v>
      </c>
      <c r="L276" t="s">
        <v>7826</v>
      </c>
      <c r="N276" t="str" cm="1">
        <f t="array" ref="N276">IFERROR(LOOKUP(2,1/SEARCH($S$2:$S$65,G276),$T$2:$T$65),"Misc")</f>
        <v>OH P/N</v>
      </c>
      <c r="O276" t="str" cm="1">
        <f t="array" ref="O276">IFERROR(LOOKUP(2,1/SEARCH($V$2:$V$65,G276),$W$2:$W$65),"Misc")</f>
        <v>OH Part</v>
      </c>
      <c r="P276" t="str" cm="1">
        <f t="array" ref="P276">IFERROR(LOOKUP(2,1/SEARCH($Y$2:$Y$65,G276),$Z$2:$Z$65),"Not Defined")</f>
        <v>OH Part</v>
      </c>
      <c r="Q276" t="str" cm="1">
        <f t="array" ref="Q276">IFERROR(LOOKUP(2,1/SEARCH($S$2:$S$65,H276),$T$2:$T$65),"-")</f>
        <v>-</v>
      </c>
    </row>
    <row r="277" spans="1:17" hidden="1" x14ac:dyDescent="0.25">
      <c r="A277" t="s">
        <v>7672</v>
      </c>
      <c r="B277" t="s">
        <v>848</v>
      </c>
      <c r="C277">
        <v>1</v>
      </c>
      <c r="D277" t="s">
        <v>7098</v>
      </c>
      <c r="E277" t="s">
        <v>7860</v>
      </c>
      <c r="F277" t="s">
        <v>833</v>
      </c>
      <c r="G277" t="s">
        <v>835</v>
      </c>
      <c r="H277" t="s">
        <v>834</v>
      </c>
      <c r="I277" t="s">
        <v>358</v>
      </c>
      <c r="J277" t="s">
        <v>7682</v>
      </c>
      <c r="K277" t="s">
        <v>7826</v>
      </c>
      <c r="L277" t="s">
        <v>7826</v>
      </c>
      <c r="N277" t="str" cm="1">
        <f t="array" ref="N277">IFERROR(LOOKUP(2,1/SEARCH($S$2:$S$65,G277),$T$2:$T$65),"Misc")</f>
        <v>OH P/N</v>
      </c>
      <c r="O277" t="str" cm="1">
        <f t="array" ref="O277">IFERROR(LOOKUP(2,1/SEARCH($V$2:$V$65,G277),$W$2:$W$65),"Misc")</f>
        <v>OH Part</v>
      </c>
      <c r="P277" t="str" cm="1">
        <f t="array" ref="P277">IFERROR(LOOKUP(2,1/SEARCH($Y$2:$Y$65,G277),$Z$2:$Z$65),"Not Defined")</f>
        <v>OH Part</v>
      </c>
      <c r="Q277" t="str" cm="1">
        <f t="array" ref="Q277">IFERROR(LOOKUP(2,1/SEARCH($S$2:$S$65,H277),$T$2:$T$65),"-")</f>
        <v>COTS</v>
      </c>
    </row>
    <row r="278" spans="1:17" hidden="1" x14ac:dyDescent="0.25">
      <c r="A278" t="s">
        <v>7672</v>
      </c>
      <c r="B278" t="s">
        <v>849</v>
      </c>
      <c r="C278">
        <v>1</v>
      </c>
      <c r="D278" t="s">
        <v>7098</v>
      </c>
      <c r="E278" t="s">
        <v>7860</v>
      </c>
      <c r="F278" t="s">
        <v>829</v>
      </c>
      <c r="G278" t="s">
        <v>831</v>
      </c>
      <c r="H278" t="s">
        <v>830</v>
      </c>
      <c r="I278" t="s">
        <v>293</v>
      </c>
      <c r="J278" t="s">
        <v>7682</v>
      </c>
      <c r="K278" t="s">
        <v>7826</v>
      </c>
      <c r="L278" t="s">
        <v>7826</v>
      </c>
      <c r="N278" t="str" cm="1">
        <f t="array" ref="N278">IFERROR(LOOKUP(2,1/SEARCH($S$2:$S$65,G278),$T$2:$T$65),"Misc")</f>
        <v>OH P/N</v>
      </c>
      <c r="O278" t="str" cm="1">
        <f t="array" ref="O278">IFERROR(LOOKUP(2,1/SEARCH($V$2:$V$65,G278),$W$2:$W$65),"Misc")</f>
        <v>OH Part</v>
      </c>
      <c r="P278" t="str" cm="1">
        <f t="array" ref="P278">IFERROR(LOOKUP(2,1/SEARCH($Y$2:$Y$65,G278),$Z$2:$Z$65),"Not Defined")</f>
        <v>OH Part</v>
      </c>
      <c r="Q278" t="str" cm="1">
        <f t="array" ref="Q278">IFERROR(LOOKUP(2,1/SEARCH($S$2:$S$65,H278),$T$2:$T$65),"-")</f>
        <v>-</v>
      </c>
    </row>
    <row r="279" spans="1:17" hidden="1" x14ac:dyDescent="0.25">
      <c r="A279" t="s">
        <v>7672</v>
      </c>
      <c r="B279" t="s">
        <v>850</v>
      </c>
      <c r="C279">
        <v>1</v>
      </c>
      <c r="D279" t="s">
        <v>7098</v>
      </c>
      <c r="E279" t="s">
        <v>7860</v>
      </c>
      <c r="F279" t="s">
        <v>821</v>
      </c>
      <c r="G279" t="s">
        <v>823</v>
      </c>
      <c r="H279" t="s">
        <v>822</v>
      </c>
      <c r="I279" t="s">
        <v>293</v>
      </c>
      <c r="J279" t="s">
        <v>7682</v>
      </c>
      <c r="K279" t="s">
        <v>7826</v>
      </c>
      <c r="L279" t="s">
        <v>7826</v>
      </c>
      <c r="N279" t="str" cm="1">
        <f t="array" ref="N279">IFERROR(LOOKUP(2,1/SEARCH($S$2:$S$65,G279),$T$2:$T$65),"Misc")</f>
        <v>OH P/N</v>
      </c>
      <c r="O279" t="str" cm="1">
        <f t="array" ref="O279">IFERROR(LOOKUP(2,1/SEARCH($V$2:$V$65,G279),$W$2:$W$65),"Misc")</f>
        <v>OH Part</v>
      </c>
      <c r="P279" t="str" cm="1">
        <f t="array" ref="P279">IFERROR(LOOKUP(2,1/SEARCH($Y$2:$Y$65,G279),$Z$2:$Z$65),"Not Defined")</f>
        <v>OH Part</v>
      </c>
      <c r="Q279" t="str" cm="1">
        <f t="array" ref="Q279">IFERROR(LOOKUP(2,1/SEARCH($S$2:$S$65,H279),$T$2:$T$65),"-")</f>
        <v>-</v>
      </c>
    </row>
    <row r="280" spans="1:17" hidden="1" x14ac:dyDescent="0.25">
      <c r="A280" t="s">
        <v>7672</v>
      </c>
      <c r="B280" t="s">
        <v>851</v>
      </c>
      <c r="C280">
        <v>1</v>
      </c>
      <c r="D280" t="s">
        <v>7098</v>
      </c>
      <c r="E280" t="s">
        <v>7860</v>
      </c>
      <c r="F280" t="s">
        <v>837</v>
      </c>
      <c r="G280" t="s">
        <v>839</v>
      </c>
      <c r="H280" t="s">
        <v>838</v>
      </c>
      <c r="I280" t="s">
        <v>358</v>
      </c>
      <c r="J280" t="s">
        <v>7682</v>
      </c>
      <c r="K280" t="s">
        <v>7826</v>
      </c>
      <c r="L280" t="s">
        <v>7826</v>
      </c>
      <c r="N280" t="str" cm="1">
        <f t="array" ref="N280">IFERROR(LOOKUP(2,1/SEARCH($S$2:$S$65,G280),$T$2:$T$65),"Misc")</f>
        <v>OH P/N</v>
      </c>
      <c r="O280" t="str" cm="1">
        <f t="array" ref="O280">IFERROR(LOOKUP(2,1/SEARCH($V$2:$V$65,G280),$W$2:$W$65),"Misc")</f>
        <v>OH Part</v>
      </c>
      <c r="P280" t="str" cm="1">
        <f t="array" ref="P280">IFERROR(LOOKUP(2,1/SEARCH($Y$2:$Y$65,G280),$Z$2:$Z$65),"Not Defined")</f>
        <v>OH Part</v>
      </c>
      <c r="Q280" t="str" cm="1">
        <f t="array" ref="Q280">IFERROR(LOOKUP(2,1/SEARCH($S$2:$S$65,H280),$T$2:$T$65),"-")</f>
        <v>-</v>
      </c>
    </row>
    <row r="281" spans="1:17" hidden="1" x14ac:dyDescent="0.25">
      <c r="A281" t="s">
        <v>7672</v>
      </c>
      <c r="B281" t="s">
        <v>852</v>
      </c>
      <c r="C281">
        <v>1</v>
      </c>
      <c r="D281" t="s">
        <v>7098</v>
      </c>
      <c r="E281" t="s">
        <v>7861</v>
      </c>
      <c r="F281" t="s">
        <v>853</v>
      </c>
      <c r="G281" t="s">
        <v>855</v>
      </c>
      <c r="H281" t="s">
        <v>854</v>
      </c>
      <c r="J281" t="s">
        <v>7742</v>
      </c>
      <c r="K281" t="s">
        <v>7826</v>
      </c>
      <c r="L281" t="s">
        <v>7826</v>
      </c>
      <c r="N281" t="str" cm="1">
        <f t="array" ref="N281">IFERROR(LOOKUP(2,1/SEARCH($S$2:$S$65,G281),$T$2:$T$65),"Misc")</f>
        <v>OH ASSY</v>
      </c>
      <c r="O281" t="str" cm="1">
        <f t="array" ref="O281">IFERROR(LOOKUP(2,1/SEARCH($V$2:$V$65,G281),$W$2:$W$65),"Misc")</f>
        <v>OH Part</v>
      </c>
      <c r="P281" t="str" cm="1">
        <f t="array" ref="P281">IFERROR(LOOKUP(2,1/SEARCH($Y$2:$Y$65,G281),$Z$2:$Z$65),"Not Defined")</f>
        <v>OH Part</v>
      </c>
      <c r="Q281" t="str" cm="1">
        <f t="array" ref="Q281">IFERROR(LOOKUP(2,1/SEARCH($S$2:$S$65,H281),$T$2:$T$65),"-")</f>
        <v>OH ASSY</v>
      </c>
    </row>
    <row r="282" spans="1:17" hidden="1" x14ac:dyDescent="0.25">
      <c r="A282" t="s">
        <v>7672</v>
      </c>
      <c r="B282" t="s">
        <v>856</v>
      </c>
      <c r="C282">
        <v>1</v>
      </c>
      <c r="D282" t="s">
        <v>7098</v>
      </c>
      <c r="E282" t="s">
        <v>7861</v>
      </c>
      <c r="F282" t="s">
        <v>857</v>
      </c>
      <c r="G282" t="s">
        <v>859</v>
      </c>
      <c r="H282" t="s">
        <v>858</v>
      </c>
      <c r="I282" t="s">
        <v>293</v>
      </c>
      <c r="J282" t="s">
        <v>7682</v>
      </c>
      <c r="K282" t="s">
        <v>7826</v>
      </c>
      <c r="L282" t="s">
        <v>7826</v>
      </c>
      <c r="N282" t="str" cm="1">
        <f t="array" ref="N282">IFERROR(LOOKUP(2,1/SEARCH($S$2:$S$65,G282),$T$2:$T$65),"Misc")</f>
        <v>OH P/N</v>
      </c>
      <c r="O282" t="str" cm="1">
        <f t="array" ref="O282">IFERROR(LOOKUP(2,1/SEARCH($V$2:$V$65,G282),$W$2:$W$65),"Misc")</f>
        <v>OH Part</v>
      </c>
      <c r="P282" t="str" cm="1">
        <f t="array" ref="P282">IFERROR(LOOKUP(2,1/SEARCH($Y$2:$Y$65,G282),$Z$2:$Z$65),"Not Defined")</f>
        <v>OH Part</v>
      </c>
      <c r="Q282" t="str" cm="1">
        <f t="array" ref="Q282">IFERROR(LOOKUP(2,1/SEARCH($S$2:$S$65,H282),$T$2:$T$65),"-")</f>
        <v>-</v>
      </c>
    </row>
    <row r="283" spans="1:17" hidden="1" x14ac:dyDescent="0.25">
      <c r="A283" t="s">
        <v>7672</v>
      </c>
      <c r="B283" t="s">
        <v>860</v>
      </c>
      <c r="C283">
        <v>1</v>
      </c>
      <c r="D283" t="s">
        <v>7098</v>
      </c>
      <c r="E283" t="s">
        <v>7861</v>
      </c>
      <c r="F283" t="s">
        <v>833</v>
      </c>
      <c r="G283" t="s">
        <v>835</v>
      </c>
      <c r="H283" t="s">
        <v>834</v>
      </c>
      <c r="I283" t="s">
        <v>358</v>
      </c>
      <c r="J283" t="s">
        <v>7682</v>
      </c>
      <c r="K283" t="s">
        <v>7826</v>
      </c>
      <c r="L283" t="s">
        <v>7826</v>
      </c>
      <c r="N283" t="str" cm="1">
        <f t="array" ref="N283">IFERROR(LOOKUP(2,1/SEARCH($S$2:$S$65,G283),$T$2:$T$65),"Misc")</f>
        <v>OH P/N</v>
      </c>
      <c r="O283" t="str" cm="1">
        <f t="array" ref="O283">IFERROR(LOOKUP(2,1/SEARCH($V$2:$V$65,G283),$W$2:$W$65),"Misc")</f>
        <v>OH Part</v>
      </c>
      <c r="P283" t="str" cm="1">
        <f t="array" ref="P283">IFERROR(LOOKUP(2,1/SEARCH($Y$2:$Y$65,G283),$Z$2:$Z$65),"Not Defined")</f>
        <v>OH Part</v>
      </c>
      <c r="Q283" t="str" cm="1">
        <f t="array" ref="Q283">IFERROR(LOOKUP(2,1/SEARCH($S$2:$S$65,H283),$T$2:$T$65),"-")</f>
        <v>COTS</v>
      </c>
    </row>
    <row r="284" spans="1:17" hidden="1" x14ac:dyDescent="0.25">
      <c r="A284" t="s">
        <v>7672</v>
      </c>
      <c r="B284" t="s">
        <v>861</v>
      </c>
      <c r="C284">
        <v>1</v>
      </c>
      <c r="D284" t="s">
        <v>7098</v>
      </c>
      <c r="E284" t="s">
        <v>7861</v>
      </c>
      <c r="F284" t="s">
        <v>837</v>
      </c>
      <c r="G284" t="s">
        <v>839</v>
      </c>
      <c r="H284" t="s">
        <v>838</v>
      </c>
      <c r="I284" t="s">
        <v>358</v>
      </c>
      <c r="J284" t="s">
        <v>7682</v>
      </c>
      <c r="K284" t="s">
        <v>7826</v>
      </c>
      <c r="L284" t="s">
        <v>7826</v>
      </c>
      <c r="N284" t="str" cm="1">
        <f t="array" ref="N284">IFERROR(LOOKUP(2,1/SEARCH($S$2:$S$65,G284),$T$2:$T$65),"Misc")</f>
        <v>OH P/N</v>
      </c>
      <c r="O284" t="str" cm="1">
        <f t="array" ref="O284">IFERROR(LOOKUP(2,1/SEARCH($V$2:$V$65,G284),$W$2:$W$65),"Misc")</f>
        <v>OH Part</v>
      </c>
      <c r="P284" t="str" cm="1">
        <f t="array" ref="P284">IFERROR(LOOKUP(2,1/SEARCH($Y$2:$Y$65,G284),$Z$2:$Z$65),"Not Defined")</f>
        <v>OH Part</v>
      </c>
      <c r="Q284" t="str" cm="1">
        <f t="array" ref="Q284">IFERROR(LOOKUP(2,1/SEARCH($S$2:$S$65,H284),$T$2:$T$65),"-")</f>
        <v>-</v>
      </c>
    </row>
    <row r="285" spans="1:17" hidden="1" x14ac:dyDescent="0.25">
      <c r="A285" t="s">
        <v>7672</v>
      </c>
      <c r="B285" t="s">
        <v>862</v>
      </c>
      <c r="C285">
        <v>1</v>
      </c>
      <c r="D285" t="s">
        <v>7098</v>
      </c>
      <c r="E285" t="s">
        <v>7861</v>
      </c>
      <c r="F285" t="s">
        <v>829</v>
      </c>
      <c r="G285" t="s">
        <v>831</v>
      </c>
      <c r="H285" t="s">
        <v>830</v>
      </c>
      <c r="I285" t="s">
        <v>293</v>
      </c>
      <c r="J285" t="s">
        <v>7682</v>
      </c>
      <c r="K285" t="s">
        <v>7826</v>
      </c>
      <c r="L285" t="s">
        <v>7826</v>
      </c>
      <c r="N285" t="str" cm="1">
        <f t="array" ref="N285">IFERROR(LOOKUP(2,1/SEARCH($S$2:$S$65,G285),$T$2:$T$65),"Misc")</f>
        <v>OH P/N</v>
      </c>
      <c r="O285" t="str" cm="1">
        <f t="array" ref="O285">IFERROR(LOOKUP(2,1/SEARCH($V$2:$V$65,G285),$W$2:$W$65),"Misc")</f>
        <v>OH Part</v>
      </c>
      <c r="P285" t="str" cm="1">
        <f t="array" ref="P285">IFERROR(LOOKUP(2,1/SEARCH($Y$2:$Y$65,G285),$Z$2:$Z$65),"Not Defined")</f>
        <v>OH Part</v>
      </c>
      <c r="Q285" t="str" cm="1">
        <f t="array" ref="Q285">IFERROR(LOOKUP(2,1/SEARCH($S$2:$S$65,H285),$T$2:$T$65),"-")</f>
        <v>-</v>
      </c>
    </row>
    <row r="286" spans="1:17" hidden="1" x14ac:dyDescent="0.25">
      <c r="A286" t="s">
        <v>7672</v>
      </c>
      <c r="B286" t="s">
        <v>863</v>
      </c>
      <c r="C286">
        <v>1</v>
      </c>
      <c r="D286" t="s">
        <v>7098</v>
      </c>
      <c r="E286" t="s">
        <v>7861</v>
      </c>
      <c r="F286" t="s">
        <v>821</v>
      </c>
      <c r="G286" t="s">
        <v>823</v>
      </c>
      <c r="H286" t="s">
        <v>822</v>
      </c>
      <c r="I286" t="s">
        <v>293</v>
      </c>
      <c r="J286" t="s">
        <v>7682</v>
      </c>
      <c r="K286" t="s">
        <v>7826</v>
      </c>
      <c r="L286" t="s">
        <v>7826</v>
      </c>
      <c r="N286" t="str" cm="1">
        <f t="array" ref="N286">IFERROR(LOOKUP(2,1/SEARCH($S$2:$S$65,G286),$T$2:$T$65),"Misc")</f>
        <v>OH P/N</v>
      </c>
      <c r="O286" t="str" cm="1">
        <f t="array" ref="O286">IFERROR(LOOKUP(2,1/SEARCH($V$2:$V$65,G286),$W$2:$W$65),"Misc")</f>
        <v>OH Part</v>
      </c>
      <c r="P286" t="str" cm="1">
        <f t="array" ref="P286">IFERROR(LOOKUP(2,1/SEARCH($Y$2:$Y$65,G286),$Z$2:$Z$65),"Not Defined")</f>
        <v>OH Part</v>
      </c>
      <c r="Q286" t="str" cm="1">
        <f t="array" ref="Q286">IFERROR(LOOKUP(2,1/SEARCH($S$2:$S$65,H286),$T$2:$T$65),"-")</f>
        <v>-</v>
      </c>
    </row>
    <row r="287" spans="1:17" hidden="1" x14ac:dyDescent="0.25">
      <c r="A287" t="s">
        <v>7672</v>
      </c>
      <c r="B287" t="s">
        <v>864</v>
      </c>
      <c r="C287">
        <v>1</v>
      </c>
      <c r="D287" t="s">
        <v>7098</v>
      </c>
      <c r="E287" t="s">
        <v>7862</v>
      </c>
      <c r="F287" t="s">
        <v>865</v>
      </c>
      <c r="G287" t="s">
        <v>867</v>
      </c>
      <c r="H287" t="s">
        <v>866</v>
      </c>
      <c r="J287" t="s">
        <v>7742</v>
      </c>
      <c r="K287" t="s">
        <v>7826</v>
      </c>
      <c r="L287" t="s">
        <v>7826</v>
      </c>
      <c r="N287" t="str" cm="1">
        <f t="array" ref="N287">IFERROR(LOOKUP(2,1/SEARCH($S$2:$S$65,G287),$T$2:$T$65),"Misc")</f>
        <v>OH ASSY</v>
      </c>
      <c r="O287" t="str" cm="1">
        <f t="array" ref="O287">IFERROR(LOOKUP(2,1/SEARCH($V$2:$V$65,G287),$W$2:$W$65),"Misc")</f>
        <v>OH Part</v>
      </c>
      <c r="P287" t="str" cm="1">
        <f t="array" ref="P287">IFERROR(LOOKUP(2,1/SEARCH($Y$2:$Y$65,G287),$Z$2:$Z$65),"Not Defined")</f>
        <v>OH Part</v>
      </c>
      <c r="Q287" t="str" cm="1">
        <f t="array" ref="Q287">IFERROR(LOOKUP(2,1/SEARCH($S$2:$S$65,H287),$T$2:$T$65),"-")</f>
        <v>OH ASSY</v>
      </c>
    </row>
    <row r="288" spans="1:17" hidden="1" x14ac:dyDescent="0.25">
      <c r="A288" t="s">
        <v>7672</v>
      </c>
      <c r="B288" t="s">
        <v>868</v>
      </c>
      <c r="C288">
        <v>1</v>
      </c>
      <c r="D288" t="s">
        <v>7098</v>
      </c>
      <c r="E288" t="s">
        <v>7862</v>
      </c>
      <c r="F288" t="s">
        <v>869</v>
      </c>
      <c r="G288" t="s">
        <v>871</v>
      </c>
      <c r="H288" t="s">
        <v>870</v>
      </c>
      <c r="I288" t="s">
        <v>293</v>
      </c>
      <c r="J288" t="s">
        <v>7682</v>
      </c>
      <c r="K288" t="s">
        <v>7826</v>
      </c>
      <c r="L288" t="s">
        <v>7826</v>
      </c>
      <c r="N288" t="str" cm="1">
        <f t="array" ref="N288">IFERROR(LOOKUP(2,1/SEARCH($S$2:$S$65,G288),$T$2:$T$65),"Misc")</f>
        <v>OH P/N</v>
      </c>
      <c r="O288" t="str" cm="1">
        <f t="array" ref="O288">IFERROR(LOOKUP(2,1/SEARCH($V$2:$V$65,G288),$W$2:$W$65),"Misc")</f>
        <v>OH Part</v>
      </c>
      <c r="P288" t="str" cm="1">
        <f t="array" ref="P288">IFERROR(LOOKUP(2,1/SEARCH($Y$2:$Y$65,G288),$Z$2:$Z$65),"Not Defined")</f>
        <v>OH Part</v>
      </c>
      <c r="Q288" t="str" cm="1">
        <f t="array" ref="Q288">IFERROR(LOOKUP(2,1/SEARCH($S$2:$S$65,H288),$T$2:$T$65),"-")</f>
        <v>-</v>
      </c>
    </row>
    <row r="289" spans="1:17" hidden="1" x14ac:dyDescent="0.25">
      <c r="A289" t="s">
        <v>7672</v>
      </c>
      <c r="B289" t="s">
        <v>872</v>
      </c>
      <c r="C289">
        <v>1</v>
      </c>
      <c r="D289" t="s">
        <v>7098</v>
      </c>
      <c r="E289" t="s">
        <v>7862</v>
      </c>
      <c r="F289" t="s">
        <v>833</v>
      </c>
      <c r="G289" t="s">
        <v>835</v>
      </c>
      <c r="H289" t="s">
        <v>834</v>
      </c>
      <c r="I289" t="s">
        <v>358</v>
      </c>
      <c r="J289" t="s">
        <v>7682</v>
      </c>
      <c r="K289" t="s">
        <v>7826</v>
      </c>
      <c r="L289" t="s">
        <v>7826</v>
      </c>
      <c r="N289" t="str" cm="1">
        <f t="array" ref="N289">IFERROR(LOOKUP(2,1/SEARCH($S$2:$S$65,G289),$T$2:$T$65),"Misc")</f>
        <v>OH P/N</v>
      </c>
      <c r="O289" t="str" cm="1">
        <f t="array" ref="O289">IFERROR(LOOKUP(2,1/SEARCH($V$2:$V$65,G289),$W$2:$W$65),"Misc")</f>
        <v>OH Part</v>
      </c>
      <c r="P289" t="str" cm="1">
        <f t="array" ref="P289">IFERROR(LOOKUP(2,1/SEARCH($Y$2:$Y$65,G289),$Z$2:$Z$65),"Not Defined")</f>
        <v>OH Part</v>
      </c>
      <c r="Q289" t="str" cm="1">
        <f t="array" ref="Q289">IFERROR(LOOKUP(2,1/SEARCH($S$2:$S$65,H289),$T$2:$T$65),"-")</f>
        <v>COTS</v>
      </c>
    </row>
    <row r="290" spans="1:17" hidden="1" x14ac:dyDescent="0.25">
      <c r="A290" t="s">
        <v>7672</v>
      </c>
      <c r="B290" t="s">
        <v>873</v>
      </c>
      <c r="C290">
        <v>1</v>
      </c>
      <c r="D290" t="s">
        <v>7098</v>
      </c>
      <c r="E290" t="s">
        <v>7862</v>
      </c>
      <c r="F290" t="s">
        <v>837</v>
      </c>
      <c r="G290" t="s">
        <v>839</v>
      </c>
      <c r="H290" t="s">
        <v>838</v>
      </c>
      <c r="I290" t="s">
        <v>358</v>
      </c>
      <c r="J290" t="s">
        <v>7682</v>
      </c>
      <c r="K290" t="s">
        <v>7826</v>
      </c>
      <c r="L290" t="s">
        <v>7826</v>
      </c>
      <c r="N290" t="str" cm="1">
        <f t="array" ref="N290">IFERROR(LOOKUP(2,1/SEARCH($S$2:$S$65,G290),$T$2:$T$65),"Misc")</f>
        <v>OH P/N</v>
      </c>
      <c r="O290" t="str" cm="1">
        <f t="array" ref="O290">IFERROR(LOOKUP(2,1/SEARCH($V$2:$V$65,G290),$W$2:$W$65),"Misc")</f>
        <v>OH Part</v>
      </c>
      <c r="P290" t="str" cm="1">
        <f t="array" ref="P290">IFERROR(LOOKUP(2,1/SEARCH($Y$2:$Y$65,G290),$Z$2:$Z$65),"Not Defined")</f>
        <v>OH Part</v>
      </c>
      <c r="Q290" t="str" cm="1">
        <f t="array" ref="Q290">IFERROR(LOOKUP(2,1/SEARCH($S$2:$S$65,H290),$T$2:$T$65),"-")</f>
        <v>-</v>
      </c>
    </row>
    <row r="291" spans="1:17" hidden="1" x14ac:dyDescent="0.25">
      <c r="A291" t="s">
        <v>7672</v>
      </c>
      <c r="B291" t="s">
        <v>874</v>
      </c>
      <c r="C291">
        <v>1</v>
      </c>
      <c r="D291" t="s">
        <v>7098</v>
      </c>
      <c r="E291" t="s">
        <v>7862</v>
      </c>
      <c r="F291" t="s">
        <v>829</v>
      </c>
      <c r="G291" t="s">
        <v>831</v>
      </c>
      <c r="H291" t="s">
        <v>830</v>
      </c>
      <c r="I291" t="s">
        <v>293</v>
      </c>
      <c r="J291" t="s">
        <v>7682</v>
      </c>
      <c r="K291" t="s">
        <v>7826</v>
      </c>
      <c r="L291" t="s">
        <v>7826</v>
      </c>
      <c r="N291" t="str" cm="1">
        <f t="array" ref="N291">IFERROR(LOOKUP(2,1/SEARCH($S$2:$S$65,G291),$T$2:$T$65),"Misc")</f>
        <v>OH P/N</v>
      </c>
      <c r="O291" t="str" cm="1">
        <f t="array" ref="O291">IFERROR(LOOKUP(2,1/SEARCH($V$2:$V$65,G291),$W$2:$W$65),"Misc")</f>
        <v>OH Part</v>
      </c>
      <c r="P291" t="str" cm="1">
        <f t="array" ref="P291">IFERROR(LOOKUP(2,1/SEARCH($Y$2:$Y$65,G291),$Z$2:$Z$65),"Not Defined")</f>
        <v>OH Part</v>
      </c>
      <c r="Q291" t="str" cm="1">
        <f t="array" ref="Q291">IFERROR(LOOKUP(2,1/SEARCH($S$2:$S$65,H291),$T$2:$T$65),"-")</f>
        <v>-</v>
      </c>
    </row>
    <row r="292" spans="1:17" hidden="1" x14ac:dyDescent="0.25">
      <c r="A292" t="s">
        <v>7672</v>
      </c>
      <c r="B292" t="s">
        <v>875</v>
      </c>
      <c r="C292">
        <v>1</v>
      </c>
      <c r="D292" t="s">
        <v>7098</v>
      </c>
      <c r="E292" t="s">
        <v>7862</v>
      </c>
      <c r="F292" t="s">
        <v>821</v>
      </c>
      <c r="G292" t="s">
        <v>823</v>
      </c>
      <c r="H292" t="s">
        <v>822</v>
      </c>
      <c r="I292" t="s">
        <v>293</v>
      </c>
      <c r="J292" t="s">
        <v>7682</v>
      </c>
      <c r="K292" t="s">
        <v>7826</v>
      </c>
      <c r="L292" t="s">
        <v>7826</v>
      </c>
      <c r="N292" t="str" cm="1">
        <f t="array" ref="N292">IFERROR(LOOKUP(2,1/SEARCH($S$2:$S$65,G292),$T$2:$T$65),"Misc")</f>
        <v>OH P/N</v>
      </c>
      <c r="O292" t="str" cm="1">
        <f t="array" ref="O292">IFERROR(LOOKUP(2,1/SEARCH($V$2:$V$65,G292),$W$2:$W$65),"Misc")</f>
        <v>OH Part</v>
      </c>
      <c r="P292" t="str" cm="1">
        <f t="array" ref="P292">IFERROR(LOOKUP(2,1/SEARCH($Y$2:$Y$65,G292),$Z$2:$Z$65),"Not Defined")</f>
        <v>OH Part</v>
      </c>
      <c r="Q292" t="str" cm="1">
        <f t="array" ref="Q292">IFERROR(LOOKUP(2,1/SEARCH($S$2:$S$65,H292),$T$2:$T$65),"-")</f>
        <v>-</v>
      </c>
    </row>
    <row r="293" spans="1:17" hidden="1" x14ac:dyDescent="0.25">
      <c r="A293" t="s">
        <v>7672</v>
      </c>
      <c r="B293" t="s">
        <v>876</v>
      </c>
      <c r="C293">
        <v>1</v>
      </c>
      <c r="D293" t="s">
        <v>7098</v>
      </c>
      <c r="E293" t="s">
        <v>7863</v>
      </c>
      <c r="F293" t="s">
        <v>877</v>
      </c>
      <c r="G293" t="s">
        <v>879</v>
      </c>
      <c r="H293" t="s">
        <v>878</v>
      </c>
      <c r="J293" t="s">
        <v>7742</v>
      </c>
      <c r="K293" t="s">
        <v>7826</v>
      </c>
      <c r="L293" t="s">
        <v>7826</v>
      </c>
      <c r="N293" t="str" cm="1">
        <f t="array" ref="N293">IFERROR(LOOKUP(2,1/SEARCH($S$2:$S$65,G293),$T$2:$T$65),"Misc")</f>
        <v>OH ASSY</v>
      </c>
      <c r="O293" t="str" cm="1">
        <f t="array" ref="O293">IFERROR(LOOKUP(2,1/SEARCH($V$2:$V$65,G293),$W$2:$W$65),"Misc")</f>
        <v>OH Part</v>
      </c>
      <c r="P293" t="str" cm="1">
        <f t="array" ref="P293">IFERROR(LOOKUP(2,1/SEARCH($Y$2:$Y$65,G293),$Z$2:$Z$65),"Not Defined")</f>
        <v>OH Part</v>
      </c>
      <c r="Q293" t="str" cm="1">
        <f t="array" ref="Q293">IFERROR(LOOKUP(2,1/SEARCH($S$2:$S$65,H293),$T$2:$T$65),"-")</f>
        <v>OH ASSY</v>
      </c>
    </row>
    <row r="294" spans="1:17" hidden="1" x14ac:dyDescent="0.25">
      <c r="A294" t="s">
        <v>7672</v>
      </c>
      <c r="B294" t="s">
        <v>880</v>
      </c>
      <c r="C294">
        <v>1</v>
      </c>
      <c r="D294" t="s">
        <v>7098</v>
      </c>
      <c r="E294" t="s">
        <v>7863</v>
      </c>
      <c r="F294" t="s">
        <v>881</v>
      </c>
      <c r="G294" t="s">
        <v>883</v>
      </c>
      <c r="H294" t="s">
        <v>882</v>
      </c>
      <c r="I294" t="s">
        <v>293</v>
      </c>
      <c r="J294" t="s">
        <v>7682</v>
      </c>
      <c r="K294" t="s">
        <v>7826</v>
      </c>
      <c r="L294" t="s">
        <v>7826</v>
      </c>
      <c r="N294" t="str" cm="1">
        <f t="array" ref="N294">IFERROR(LOOKUP(2,1/SEARCH($S$2:$S$65,G294),$T$2:$T$65),"Misc")</f>
        <v>OH P/N</v>
      </c>
      <c r="O294" t="str" cm="1">
        <f t="array" ref="O294">IFERROR(LOOKUP(2,1/SEARCH($V$2:$V$65,G294),$W$2:$W$65),"Misc")</f>
        <v>OH Part</v>
      </c>
      <c r="P294" t="str" cm="1">
        <f t="array" ref="P294">IFERROR(LOOKUP(2,1/SEARCH($Y$2:$Y$65,G294),$Z$2:$Z$65),"Not Defined")</f>
        <v>OH Part</v>
      </c>
      <c r="Q294" t="str" cm="1">
        <f t="array" ref="Q294">IFERROR(LOOKUP(2,1/SEARCH($S$2:$S$65,H294),$T$2:$T$65),"-")</f>
        <v>-</v>
      </c>
    </row>
    <row r="295" spans="1:17" hidden="1" x14ac:dyDescent="0.25">
      <c r="A295" t="s">
        <v>7672</v>
      </c>
      <c r="B295" t="s">
        <v>884</v>
      </c>
      <c r="C295">
        <v>1</v>
      </c>
      <c r="D295" t="s">
        <v>7098</v>
      </c>
      <c r="E295" t="s">
        <v>7863</v>
      </c>
      <c r="F295" t="s">
        <v>833</v>
      </c>
      <c r="G295" t="s">
        <v>835</v>
      </c>
      <c r="H295" t="s">
        <v>834</v>
      </c>
      <c r="I295" t="s">
        <v>358</v>
      </c>
      <c r="J295" t="s">
        <v>7682</v>
      </c>
      <c r="K295" t="s">
        <v>7826</v>
      </c>
      <c r="L295" t="s">
        <v>7826</v>
      </c>
      <c r="N295" t="str" cm="1">
        <f t="array" ref="N295">IFERROR(LOOKUP(2,1/SEARCH($S$2:$S$65,G295),$T$2:$T$65),"Misc")</f>
        <v>OH P/N</v>
      </c>
      <c r="O295" t="str" cm="1">
        <f t="array" ref="O295">IFERROR(LOOKUP(2,1/SEARCH($V$2:$V$65,G295),$W$2:$W$65),"Misc")</f>
        <v>OH Part</v>
      </c>
      <c r="P295" t="str" cm="1">
        <f t="array" ref="P295">IFERROR(LOOKUP(2,1/SEARCH($Y$2:$Y$65,G295),$Z$2:$Z$65),"Not Defined")</f>
        <v>OH Part</v>
      </c>
      <c r="Q295" t="str" cm="1">
        <f t="array" ref="Q295">IFERROR(LOOKUP(2,1/SEARCH($S$2:$S$65,H295),$T$2:$T$65),"-")</f>
        <v>COTS</v>
      </c>
    </row>
    <row r="296" spans="1:17" hidden="1" x14ac:dyDescent="0.25">
      <c r="A296" t="s">
        <v>7672</v>
      </c>
      <c r="B296" t="s">
        <v>885</v>
      </c>
      <c r="C296">
        <v>1</v>
      </c>
      <c r="D296" t="s">
        <v>7098</v>
      </c>
      <c r="E296" t="s">
        <v>7863</v>
      </c>
      <c r="F296" t="s">
        <v>837</v>
      </c>
      <c r="G296" t="s">
        <v>839</v>
      </c>
      <c r="H296" t="s">
        <v>838</v>
      </c>
      <c r="I296" t="s">
        <v>358</v>
      </c>
      <c r="J296" t="s">
        <v>7682</v>
      </c>
      <c r="K296" t="s">
        <v>7826</v>
      </c>
      <c r="L296" t="s">
        <v>7826</v>
      </c>
      <c r="N296" t="str" cm="1">
        <f t="array" ref="N296">IFERROR(LOOKUP(2,1/SEARCH($S$2:$S$65,G296),$T$2:$T$65),"Misc")</f>
        <v>OH P/N</v>
      </c>
      <c r="O296" t="str" cm="1">
        <f t="array" ref="O296">IFERROR(LOOKUP(2,1/SEARCH($V$2:$V$65,G296),$W$2:$W$65),"Misc")</f>
        <v>OH Part</v>
      </c>
      <c r="P296" t="str" cm="1">
        <f t="array" ref="P296">IFERROR(LOOKUP(2,1/SEARCH($Y$2:$Y$65,G296),$Z$2:$Z$65),"Not Defined")</f>
        <v>OH Part</v>
      </c>
      <c r="Q296" t="str" cm="1">
        <f t="array" ref="Q296">IFERROR(LOOKUP(2,1/SEARCH($S$2:$S$65,H296),$T$2:$T$65),"-")</f>
        <v>-</v>
      </c>
    </row>
    <row r="297" spans="1:17" hidden="1" x14ac:dyDescent="0.25">
      <c r="A297" t="s">
        <v>7672</v>
      </c>
      <c r="B297" t="s">
        <v>886</v>
      </c>
      <c r="C297">
        <v>1</v>
      </c>
      <c r="D297" t="s">
        <v>7098</v>
      </c>
      <c r="E297" t="s">
        <v>7863</v>
      </c>
      <c r="F297" t="s">
        <v>821</v>
      </c>
      <c r="G297" t="s">
        <v>823</v>
      </c>
      <c r="H297" t="s">
        <v>822</v>
      </c>
      <c r="I297" t="s">
        <v>293</v>
      </c>
      <c r="J297" t="s">
        <v>7682</v>
      </c>
      <c r="K297" t="s">
        <v>7826</v>
      </c>
      <c r="L297" t="s">
        <v>7826</v>
      </c>
      <c r="N297" t="str" cm="1">
        <f t="array" ref="N297">IFERROR(LOOKUP(2,1/SEARCH($S$2:$S$65,G297),$T$2:$T$65),"Misc")</f>
        <v>OH P/N</v>
      </c>
      <c r="O297" t="str" cm="1">
        <f t="array" ref="O297">IFERROR(LOOKUP(2,1/SEARCH($V$2:$V$65,G297),$W$2:$W$65),"Misc")</f>
        <v>OH Part</v>
      </c>
      <c r="P297" t="str" cm="1">
        <f t="array" ref="P297">IFERROR(LOOKUP(2,1/SEARCH($Y$2:$Y$65,G297),$Z$2:$Z$65),"Not Defined")</f>
        <v>OH Part</v>
      </c>
      <c r="Q297" t="str" cm="1">
        <f t="array" ref="Q297">IFERROR(LOOKUP(2,1/SEARCH($S$2:$S$65,H297),$T$2:$T$65),"-")</f>
        <v>-</v>
      </c>
    </row>
    <row r="298" spans="1:17" hidden="1" x14ac:dyDescent="0.25">
      <c r="A298" t="s">
        <v>7672</v>
      </c>
      <c r="B298" t="s">
        <v>887</v>
      </c>
      <c r="C298">
        <v>1</v>
      </c>
      <c r="D298" t="s">
        <v>7098</v>
      </c>
      <c r="E298" t="s">
        <v>7863</v>
      </c>
      <c r="F298" t="s">
        <v>829</v>
      </c>
      <c r="G298" t="s">
        <v>831</v>
      </c>
      <c r="H298" t="s">
        <v>830</v>
      </c>
      <c r="I298" t="s">
        <v>293</v>
      </c>
      <c r="J298" t="s">
        <v>7682</v>
      </c>
      <c r="K298" t="s">
        <v>7826</v>
      </c>
      <c r="L298" t="s">
        <v>7826</v>
      </c>
      <c r="N298" t="str" cm="1">
        <f t="array" ref="N298">IFERROR(LOOKUP(2,1/SEARCH($S$2:$S$65,G298),$T$2:$T$65),"Misc")</f>
        <v>OH P/N</v>
      </c>
      <c r="O298" t="str" cm="1">
        <f t="array" ref="O298">IFERROR(LOOKUP(2,1/SEARCH($V$2:$V$65,G298),$W$2:$W$65),"Misc")</f>
        <v>OH Part</v>
      </c>
      <c r="P298" t="str" cm="1">
        <f t="array" ref="P298">IFERROR(LOOKUP(2,1/SEARCH($Y$2:$Y$65,G298),$Z$2:$Z$65),"Not Defined")</f>
        <v>OH Part</v>
      </c>
      <c r="Q298" t="str" cm="1">
        <f t="array" ref="Q298">IFERROR(LOOKUP(2,1/SEARCH($S$2:$S$65,H298),$T$2:$T$65),"-")</f>
        <v>-</v>
      </c>
    </row>
    <row r="299" spans="1:17" hidden="1" x14ac:dyDescent="0.25">
      <c r="A299" t="s">
        <v>7672</v>
      </c>
      <c r="B299" t="s">
        <v>888</v>
      </c>
      <c r="C299">
        <v>1</v>
      </c>
      <c r="D299" t="s">
        <v>7098</v>
      </c>
      <c r="E299" t="s">
        <v>7864</v>
      </c>
      <c r="F299" t="s">
        <v>889</v>
      </c>
      <c r="G299" t="s">
        <v>891</v>
      </c>
      <c r="H299" t="s">
        <v>890</v>
      </c>
      <c r="J299" t="s">
        <v>7742</v>
      </c>
      <c r="K299" t="s">
        <v>7826</v>
      </c>
      <c r="L299" t="s">
        <v>7826</v>
      </c>
      <c r="N299" t="str" cm="1">
        <f t="array" ref="N299">IFERROR(LOOKUP(2,1/SEARCH($S$2:$S$65,G299),$T$2:$T$65),"Misc")</f>
        <v>OH ASSY</v>
      </c>
      <c r="O299" t="str" cm="1">
        <f t="array" ref="O299">IFERROR(LOOKUP(2,1/SEARCH($V$2:$V$65,G299),$W$2:$W$65),"Misc")</f>
        <v>OH Part</v>
      </c>
      <c r="P299" t="str" cm="1">
        <f t="array" ref="P299">IFERROR(LOOKUP(2,1/SEARCH($Y$2:$Y$65,G299),$Z$2:$Z$65),"Not Defined")</f>
        <v>OH Part</v>
      </c>
      <c r="Q299" t="str" cm="1">
        <f t="array" ref="Q299">IFERROR(LOOKUP(2,1/SEARCH($S$2:$S$65,H299),$T$2:$T$65),"-")</f>
        <v>OH ASSY</v>
      </c>
    </row>
    <row r="300" spans="1:17" hidden="1" x14ac:dyDescent="0.25">
      <c r="A300" t="s">
        <v>7672</v>
      </c>
      <c r="B300" t="s">
        <v>892</v>
      </c>
      <c r="C300">
        <v>1</v>
      </c>
      <c r="D300" t="s">
        <v>7098</v>
      </c>
      <c r="E300" t="s">
        <v>7864</v>
      </c>
      <c r="F300" t="s">
        <v>893</v>
      </c>
      <c r="G300" t="s">
        <v>895</v>
      </c>
      <c r="H300" t="s">
        <v>894</v>
      </c>
      <c r="I300" t="s">
        <v>293</v>
      </c>
      <c r="J300" t="s">
        <v>7682</v>
      </c>
      <c r="K300" t="s">
        <v>7826</v>
      </c>
      <c r="L300" t="s">
        <v>7826</v>
      </c>
      <c r="N300" t="str" cm="1">
        <f t="array" ref="N300">IFERROR(LOOKUP(2,1/SEARCH($S$2:$S$65,G300),$T$2:$T$65),"Misc")</f>
        <v>OH P/N</v>
      </c>
      <c r="O300" t="str" cm="1">
        <f t="array" ref="O300">IFERROR(LOOKUP(2,1/SEARCH($V$2:$V$65,G300),$W$2:$W$65),"Misc")</f>
        <v>OH Part</v>
      </c>
      <c r="P300" t="str" cm="1">
        <f t="array" ref="P300">IFERROR(LOOKUP(2,1/SEARCH($Y$2:$Y$65,G300),$Z$2:$Z$65),"Not Defined")</f>
        <v>OH Part</v>
      </c>
      <c r="Q300" t="str" cm="1">
        <f t="array" ref="Q300">IFERROR(LOOKUP(2,1/SEARCH($S$2:$S$65,H300),$T$2:$T$65),"-")</f>
        <v>-</v>
      </c>
    </row>
    <row r="301" spans="1:17" hidden="1" x14ac:dyDescent="0.25">
      <c r="A301" t="s">
        <v>7672</v>
      </c>
      <c r="B301" t="s">
        <v>896</v>
      </c>
      <c r="C301">
        <v>1</v>
      </c>
      <c r="D301" t="s">
        <v>7098</v>
      </c>
      <c r="E301" t="s">
        <v>7864</v>
      </c>
      <c r="F301" t="s">
        <v>833</v>
      </c>
      <c r="G301" t="s">
        <v>835</v>
      </c>
      <c r="H301" t="s">
        <v>834</v>
      </c>
      <c r="I301" t="s">
        <v>358</v>
      </c>
      <c r="J301" t="s">
        <v>7682</v>
      </c>
      <c r="K301" t="s">
        <v>7826</v>
      </c>
      <c r="L301" t="s">
        <v>7826</v>
      </c>
      <c r="N301" t="str" cm="1">
        <f t="array" ref="N301">IFERROR(LOOKUP(2,1/SEARCH($S$2:$S$65,G301),$T$2:$T$65),"Misc")</f>
        <v>OH P/N</v>
      </c>
      <c r="O301" t="str" cm="1">
        <f t="array" ref="O301">IFERROR(LOOKUP(2,1/SEARCH($V$2:$V$65,G301),$W$2:$W$65),"Misc")</f>
        <v>OH Part</v>
      </c>
      <c r="P301" t="str" cm="1">
        <f t="array" ref="P301">IFERROR(LOOKUP(2,1/SEARCH($Y$2:$Y$65,G301),$Z$2:$Z$65),"Not Defined")</f>
        <v>OH Part</v>
      </c>
      <c r="Q301" t="str" cm="1">
        <f t="array" ref="Q301">IFERROR(LOOKUP(2,1/SEARCH($S$2:$S$65,H301),$T$2:$T$65),"-")</f>
        <v>COTS</v>
      </c>
    </row>
    <row r="302" spans="1:17" hidden="1" x14ac:dyDescent="0.25">
      <c r="A302" t="s">
        <v>7672</v>
      </c>
      <c r="B302" t="s">
        <v>897</v>
      </c>
      <c r="C302">
        <v>1</v>
      </c>
      <c r="D302" t="s">
        <v>7098</v>
      </c>
      <c r="E302" t="s">
        <v>7864</v>
      </c>
      <c r="F302" t="s">
        <v>837</v>
      </c>
      <c r="G302" t="s">
        <v>839</v>
      </c>
      <c r="H302" t="s">
        <v>838</v>
      </c>
      <c r="I302" t="s">
        <v>358</v>
      </c>
      <c r="J302" t="s">
        <v>7682</v>
      </c>
      <c r="K302" t="s">
        <v>7826</v>
      </c>
      <c r="L302" t="s">
        <v>7826</v>
      </c>
      <c r="N302" t="str" cm="1">
        <f t="array" ref="N302">IFERROR(LOOKUP(2,1/SEARCH($S$2:$S$65,G302),$T$2:$T$65),"Misc")</f>
        <v>OH P/N</v>
      </c>
      <c r="O302" t="str" cm="1">
        <f t="array" ref="O302">IFERROR(LOOKUP(2,1/SEARCH($V$2:$V$65,G302),$W$2:$W$65),"Misc")</f>
        <v>OH Part</v>
      </c>
      <c r="P302" t="str" cm="1">
        <f t="array" ref="P302">IFERROR(LOOKUP(2,1/SEARCH($Y$2:$Y$65,G302),$Z$2:$Z$65),"Not Defined")</f>
        <v>OH Part</v>
      </c>
      <c r="Q302" t="str" cm="1">
        <f t="array" ref="Q302">IFERROR(LOOKUP(2,1/SEARCH($S$2:$S$65,H302),$T$2:$T$65),"-")</f>
        <v>-</v>
      </c>
    </row>
    <row r="303" spans="1:17" hidden="1" x14ac:dyDescent="0.25">
      <c r="A303" t="s">
        <v>7672</v>
      </c>
      <c r="B303" t="s">
        <v>898</v>
      </c>
      <c r="C303">
        <v>1</v>
      </c>
      <c r="D303" t="s">
        <v>7098</v>
      </c>
      <c r="E303" t="s">
        <v>7864</v>
      </c>
      <c r="F303" t="s">
        <v>821</v>
      </c>
      <c r="G303" t="s">
        <v>823</v>
      </c>
      <c r="H303" t="s">
        <v>822</v>
      </c>
      <c r="I303" t="s">
        <v>293</v>
      </c>
      <c r="J303" t="s">
        <v>7682</v>
      </c>
      <c r="K303" t="s">
        <v>7826</v>
      </c>
      <c r="L303" t="s">
        <v>7826</v>
      </c>
      <c r="N303" t="str" cm="1">
        <f t="array" ref="N303">IFERROR(LOOKUP(2,1/SEARCH($S$2:$S$65,G303),$T$2:$T$65),"Misc")</f>
        <v>OH P/N</v>
      </c>
      <c r="O303" t="str" cm="1">
        <f t="array" ref="O303">IFERROR(LOOKUP(2,1/SEARCH($V$2:$V$65,G303),$W$2:$W$65),"Misc")</f>
        <v>OH Part</v>
      </c>
      <c r="P303" t="str" cm="1">
        <f t="array" ref="P303">IFERROR(LOOKUP(2,1/SEARCH($Y$2:$Y$65,G303),$Z$2:$Z$65),"Not Defined")</f>
        <v>OH Part</v>
      </c>
      <c r="Q303" t="str" cm="1">
        <f t="array" ref="Q303">IFERROR(LOOKUP(2,1/SEARCH($S$2:$S$65,H303),$T$2:$T$65),"-")</f>
        <v>-</v>
      </c>
    </row>
    <row r="304" spans="1:17" hidden="1" x14ac:dyDescent="0.25">
      <c r="A304" t="s">
        <v>7672</v>
      </c>
      <c r="B304" t="s">
        <v>899</v>
      </c>
      <c r="C304">
        <v>1</v>
      </c>
      <c r="D304" t="s">
        <v>7098</v>
      </c>
      <c r="E304" t="s">
        <v>7864</v>
      </c>
      <c r="F304" t="s">
        <v>829</v>
      </c>
      <c r="G304" t="s">
        <v>831</v>
      </c>
      <c r="H304" t="s">
        <v>830</v>
      </c>
      <c r="I304" t="s">
        <v>293</v>
      </c>
      <c r="J304" t="s">
        <v>7682</v>
      </c>
      <c r="K304" t="s">
        <v>7826</v>
      </c>
      <c r="L304" t="s">
        <v>7826</v>
      </c>
      <c r="N304" t="str" cm="1">
        <f t="array" ref="N304">IFERROR(LOOKUP(2,1/SEARCH($S$2:$S$65,G304),$T$2:$T$65),"Misc")</f>
        <v>OH P/N</v>
      </c>
      <c r="O304" t="str" cm="1">
        <f t="array" ref="O304">IFERROR(LOOKUP(2,1/SEARCH($V$2:$V$65,G304),$W$2:$W$65),"Misc")</f>
        <v>OH Part</v>
      </c>
      <c r="P304" t="str" cm="1">
        <f t="array" ref="P304">IFERROR(LOOKUP(2,1/SEARCH($Y$2:$Y$65,G304),$Z$2:$Z$65),"Not Defined")</f>
        <v>OH Part</v>
      </c>
      <c r="Q304" t="str" cm="1">
        <f t="array" ref="Q304">IFERROR(LOOKUP(2,1/SEARCH($S$2:$S$65,H304),$T$2:$T$65),"-")</f>
        <v>-</v>
      </c>
    </row>
    <row r="305" spans="1:17" hidden="1" x14ac:dyDescent="0.25">
      <c r="A305" t="s">
        <v>7672</v>
      </c>
      <c r="B305" t="s">
        <v>900</v>
      </c>
      <c r="C305">
        <v>1</v>
      </c>
      <c r="D305" t="s">
        <v>7047</v>
      </c>
      <c r="F305" t="s">
        <v>901</v>
      </c>
      <c r="G305" t="s">
        <v>7125</v>
      </c>
      <c r="H305" t="s">
        <v>902</v>
      </c>
      <c r="J305" t="s">
        <v>7703</v>
      </c>
      <c r="K305" t="s">
        <v>7814</v>
      </c>
      <c r="L305" t="s">
        <v>7834</v>
      </c>
      <c r="N305" t="str" cm="1">
        <f t="array" ref="N305">IFERROR(LOOKUP(2,1/SEARCH($S$2:$S$65,G305),$T$2:$T$65),"Misc")</f>
        <v>Misc</v>
      </c>
      <c r="O305" t="str" cm="1">
        <f t="array" ref="O305">IFERROR(LOOKUP(2,1/SEARCH($V$2:$V$65,G305),$W$2:$W$65),"Misc")</f>
        <v>Misc</v>
      </c>
      <c r="P305" t="str" cm="1">
        <f t="array" ref="P305">IFERROR(LOOKUP(2,1/SEARCH($Y$2:$Y$65,G305),$Z$2:$Z$65),"Not Defined")</f>
        <v>Not Defined</v>
      </c>
      <c r="Q305" t="str" cm="1">
        <f t="array" ref="Q305">IFERROR(LOOKUP(2,1/SEARCH($S$2:$S$65,H305),$T$2:$T$65),"-")</f>
        <v>-</v>
      </c>
    </row>
    <row r="306" spans="1:17" hidden="1" x14ac:dyDescent="0.25">
      <c r="A306" t="s">
        <v>7672</v>
      </c>
      <c r="B306" t="s">
        <v>903</v>
      </c>
      <c r="C306">
        <v>6</v>
      </c>
      <c r="D306" t="s">
        <v>7047</v>
      </c>
      <c r="F306" t="s">
        <v>904</v>
      </c>
      <c r="G306" t="s">
        <v>7126</v>
      </c>
      <c r="H306" t="s">
        <v>905</v>
      </c>
      <c r="I306" t="s">
        <v>228</v>
      </c>
      <c r="J306" t="s">
        <v>7703</v>
      </c>
      <c r="K306" t="s">
        <v>7684</v>
      </c>
      <c r="L306" t="s">
        <v>7692</v>
      </c>
      <c r="N306" t="str" cm="1">
        <f t="array" ref="N306">IFERROR(LOOKUP(2,1/SEARCH($S$2:$S$65,G306),$T$2:$T$65),"Misc")</f>
        <v>COTS</v>
      </c>
      <c r="O306" t="str" cm="1">
        <f t="array" ref="O306">IFERROR(LOOKUP(2,1/SEARCH($V$2:$V$65,G306),$W$2:$W$65),"Misc")</f>
        <v>Fasteners</v>
      </c>
      <c r="P306" t="str" cm="1">
        <f t="array" ref="P306">IFERROR(LOOKUP(2,1/SEARCH($Y$2:$Y$65,G306),$Z$2:$Z$65),"Not Defined")</f>
        <v>WASHER</v>
      </c>
      <c r="Q306" t="str" cm="1">
        <f t="array" ref="Q306">IFERROR(LOOKUP(2,1/SEARCH($S$2:$S$65,H306),$T$2:$T$65),"-")</f>
        <v>COTS</v>
      </c>
    </row>
    <row r="307" spans="1:17" hidden="1" x14ac:dyDescent="0.25">
      <c r="A307" t="s">
        <v>7672</v>
      </c>
      <c r="B307" t="s">
        <v>906</v>
      </c>
      <c r="C307">
        <v>4</v>
      </c>
      <c r="D307" t="s">
        <v>7047</v>
      </c>
      <c r="F307" t="s">
        <v>907</v>
      </c>
      <c r="G307" t="s">
        <v>7127</v>
      </c>
      <c r="H307" t="s">
        <v>908</v>
      </c>
      <c r="J307" t="s">
        <v>7703</v>
      </c>
      <c r="K307" t="s">
        <v>7684</v>
      </c>
      <c r="L307" t="s">
        <v>7685</v>
      </c>
      <c r="N307" t="str" cm="1">
        <f t="array" ref="N307">IFERROR(LOOKUP(2,1/SEARCH($S$2:$S$65,G307),$T$2:$T$65),"Misc")</f>
        <v>COTS</v>
      </c>
      <c r="O307" t="str" cm="1">
        <f t="array" ref="O307">IFERROR(LOOKUP(2,1/SEARCH($V$2:$V$65,G307),$W$2:$W$65),"Misc")</f>
        <v>Fasteners</v>
      </c>
      <c r="P307" t="str" cm="1">
        <f t="array" ref="P307">IFERROR(LOOKUP(2,1/SEARCH($Y$2:$Y$65,G307),$Z$2:$Z$65),"Not Defined")</f>
        <v>NUT</v>
      </c>
      <c r="Q307" t="str" cm="1">
        <f t="array" ref="Q307">IFERROR(LOOKUP(2,1/SEARCH($S$2:$S$65,H307),$T$2:$T$65),"-")</f>
        <v>COTS</v>
      </c>
    </row>
    <row r="308" spans="1:17" hidden="1" x14ac:dyDescent="0.25">
      <c r="A308" t="s">
        <v>7672</v>
      </c>
      <c r="B308" t="s">
        <v>909</v>
      </c>
      <c r="C308">
        <v>4</v>
      </c>
      <c r="D308" t="s">
        <v>7047</v>
      </c>
      <c r="F308" t="s">
        <v>910</v>
      </c>
      <c r="G308" t="s">
        <v>7128</v>
      </c>
      <c r="H308" t="s">
        <v>911</v>
      </c>
      <c r="I308" t="s">
        <v>228</v>
      </c>
      <c r="J308" t="s">
        <v>7703</v>
      </c>
      <c r="K308" t="s">
        <v>7684</v>
      </c>
      <c r="L308" t="s">
        <v>7693</v>
      </c>
      <c r="N308" t="str" cm="1">
        <f t="array" ref="N308">IFERROR(LOOKUP(2,1/SEARCH($S$2:$S$65,G308),$T$2:$T$65),"Misc")</f>
        <v>COTS</v>
      </c>
      <c r="O308" t="str" cm="1">
        <f t="array" ref="O308">IFERROR(LOOKUP(2,1/SEARCH($V$2:$V$65,G308),$W$2:$W$65),"Misc")</f>
        <v>Fasteners</v>
      </c>
      <c r="P308" t="str" cm="1">
        <f t="array" ref="P308">IFERROR(LOOKUP(2,1/SEARCH($Y$2:$Y$65,G308),$Z$2:$Z$65),"Not Defined")</f>
        <v>PHS</v>
      </c>
      <c r="Q308" t="str" cm="1">
        <f t="array" ref="Q308">IFERROR(LOOKUP(2,1/SEARCH($S$2:$S$65,H308),$T$2:$T$65),"-")</f>
        <v>COTS</v>
      </c>
    </row>
    <row r="309" spans="1:17" hidden="1" x14ac:dyDescent="0.25">
      <c r="A309" t="s">
        <v>7672</v>
      </c>
      <c r="B309" t="s">
        <v>912</v>
      </c>
      <c r="C309">
        <v>18</v>
      </c>
      <c r="D309" t="s">
        <v>7047</v>
      </c>
      <c r="F309" t="s">
        <v>216</v>
      </c>
      <c r="G309" t="s">
        <v>7051</v>
      </c>
      <c r="H309" t="s">
        <v>217</v>
      </c>
      <c r="I309" t="s">
        <v>210</v>
      </c>
      <c r="J309" t="s">
        <v>7703</v>
      </c>
      <c r="K309" t="s">
        <v>7684</v>
      </c>
      <c r="L309" t="s">
        <v>7691</v>
      </c>
      <c r="N309" t="str" cm="1">
        <f t="array" ref="N309">IFERROR(LOOKUP(2,1/SEARCH($S$2:$S$65,G309),$T$2:$T$65),"Misc")</f>
        <v>COTS</v>
      </c>
      <c r="O309" t="str" cm="1">
        <f t="array" ref="O309">IFERROR(LOOKUP(2,1/SEARCH($V$2:$V$65,G309),$W$2:$W$65),"Misc")</f>
        <v>Fasteners</v>
      </c>
      <c r="P309" t="str" cm="1">
        <f t="array" ref="P309">IFERROR(LOOKUP(2,1/SEARCH($Y$2:$Y$65,G309),$Z$2:$Z$65),"Not Defined")</f>
        <v>FHS</v>
      </c>
      <c r="Q309" t="str" cm="1">
        <f t="array" ref="Q309">IFERROR(LOOKUP(2,1/SEARCH($S$2:$S$65,H309),$T$2:$T$65),"-")</f>
        <v>COTS</v>
      </c>
    </row>
    <row r="310" spans="1:17" hidden="1" x14ac:dyDescent="0.25">
      <c r="A310" t="s">
        <v>7672</v>
      </c>
      <c r="B310" t="s">
        <v>913</v>
      </c>
      <c r="C310">
        <v>26</v>
      </c>
      <c r="D310" t="s">
        <v>7047</v>
      </c>
      <c r="F310" t="s">
        <v>226</v>
      </c>
      <c r="G310" t="s">
        <v>7054</v>
      </c>
      <c r="H310" t="s">
        <v>227</v>
      </c>
      <c r="I310" t="s">
        <v>228</v>
      </c>
      <c r="J310" t="s">
        <v>7703</v>
      </c>
      <c r="K310" t="s">
        <v>7684</v>
      </c>
      <c r="L310" t="s">
        <v>7685</v>
      </c>
      <c r="N310" t="str" cm="1">
        <f t="array" ref="N310">IFERROR(LOOKUP(2,1/SEARCH($S$2:$S$65,G310),$T$2:$T$65),"Misc")</f>
        <v>COTS</v>
      </c>
      <c r="O310" t="str" cm="1">
        <f t="array" ref="O310">IFERROR(LOOKUP(2,1/SEARCH($V$2:$V$65,G310),$W$2:$W$65),"Misc")</f>
        <v>Fasteners</v>
      </c>
      <c r="P310" t="str" cm="1">
        <f t="array" ref="P310">IFERROR(LOOKUP(2,1/SEARCH($Y$2:$Y$65,G310),$Z$2:$Z$65),"Not Defined")</f>
        <v>NUT</v>
      </c>
      <c r="Q310" t="str" cm="1">
        <f t="array" ref="Q310">IFERROR(LOOKUP(2,1/SEARCH($S$2:$S$65,H310),$T$2:$T$65),"-")</f>
        <v>COTS</v>
      </c>
    </row>
    <row r="311" spans="1:17" hidden="1" x14ac:dyDescent="0.25">
      <c r="A311" t="s">
        <v>7672</v>
      </c>
      <c r="B311" t="s">
        <v>914</v>
      </c>
      <c r="C311">
        <v>6</v>
      </c>
      <c r="D311" t="s">
        <v>7047</v>
      </c>
      <c r="F311" t="s">
        <v>915</v>
      </c>
      <c r="G311" t="s">
        <v>7129</v>
      </c>
      <c r="H311" t="s">
        <v>916</v>
      </c>
      <c r="I311" t="s">
        <v>228</v>
      </c>
      <c r="J311" t="s">
        <v>7703</v>
      </c>
      <c r="K311" t="s">
        <v>7684</v>
      </c>
      <c r="L311" t="s">
        <v>7693</v>
      </c>
      <c r="N311" t="str" cm="1">
        <f t="array" ref="N311">IFERROR(LOOKUP(2,1/SEARCH($S$2:$S$65,G311),$T$2:$T$65),"Misc")</f>
        <v>COTS</v>
      </c>
      <c r="O311" t="str" cm="1">
        <f t="array" ref="O311">IFERROR(LOOKUP(2,1/SEARCH($V$2:$V$65,G311),$W$2:$W$65),"Misc")</f>
        <v>Fasteners</v>
      </c>
      <c r="P311" t="str" cm="1">
        <f t="array" ref="P311">IFERROR(LOOKUP(2,1/SEARCH($Y$2:$Y$65,G311),$Z$2:$Z$65),"Not Defined")</f>
        <v>PHS</v>
      </c>
      <c r="Q311" t="str" cm="1">
        <f t="array" ref="Q311">IFERROR(LOOKUP(2,1/SEARCH($S$2:$S$65,H311),$T$2:$T$65),"-")</f>
        <v>COTS</v>
      </c>
    </row>
    <row r="312" spans="1:17" hidden="1" x14ac:dyDescent="0.25">
      <c r="A312" t="s">
        <v>7672</v>
      </c>
      <c r="B312" t="s">
        <v>917</v>
      </c>
      <c r="C312">
        <v>6</v>
      </c>
      <c r="D312" t="s">
        <v>7047</v>
      </c>
      <c r="F312" t="s">
        <v>230</v>
      </c>
      <c r="G312" t="s">
        <v>7055</v>
      </c>
      <c r="H312" t="s">
        <v>231</v>
      </c>
      <c r="I312" t="s">
        <v>210</v>
      </c>
      <c r="J312" t="s">
        <v>7703</v>
      </c>
      <c r="K312" t="s">
        <v>7684</v>
      </c>
      <c r="L312" t="s">
        <v>7692</v>
      </c>
      <c r="N312" t="str" cm="1">
        <f t="array" ref="N312">IFERROR(LOOKUP(2,1/SEARCH($S$2:$S$65,G312),$T$2:$T$65),"Misc")</f>
        <v>COTS</v>
      </c>
      <c r="O312" t="str" cm="1">
        <f t="array" ref="O312">IFERROR(LOOKUP(2,1/SEARCH($V$2:$V$65,G312),$W$2:$W$65),"Misc")</f>
        <v>Fasteners</v>
      </c>
      <c r="P312" t="str" cm="1">
        <f t="array" ref="P312">IFERROR(LOOKUP(2,1/SEARCH($Y$2:$Y$65,G312),$Z$2:$Z$65),"Not Defined")</f>
        <v>WASHER</v>
      </c>
      <c r="Q312" t="str" cm="1">
        <f t="array" ref="Q312">IFERROR(LOOKUP(2,1/SEARCH($S$2:$S$65,H312),$T$2:$T$65),"-")</f>
        <v>COTS</v>
      </c>
    </row>
    <row r="313" spans="1:17" hidden="1" x14ac:dyDescent="0.25">
      <c r="A313" t="s">
        <v>7672</v>
      </c>
      <c r="B313" t="s">
        <v>918</v>
      </c>
      <c r="C313">
        <v>4</v>
      </c>
      <c r="D313" t="s">
        <v>7047</v>
      </c>
      <c r="F313" t="s">
        <v>219</v>
      </c>
      <c r="G313" t="s">
        <v>7052</v>
      </c>
      <c r="H313" t="s">
        <v>220</v>
      </c>
      <c r="I313" t="s">
        <v>210</v>
      </c>
      <c r="J313" t="s">
        <v>7703</v>
      </c>
      <c r="K313" t="s">
        <v>7684</v>
      </c>
      <c r="L313" t="s">
        <v>7691</v>
      </c>
      <c r="N313" t="str" cm="1">
        <f t="array" ref="N313">IFERROR(LOOKUP(2,1/SEARCH($S$2:$S$65,G313),$T$2:$T$65),"Misc")</f>
        <v>COTS</v>
      </c>
      <c r="O313" t="str" cm="1">
        <f t="array" ref="O313">IFERROR(LOOKUP(2,1/SEARCH($V$2:$V$65,G313),$W$2:$W$65),"Misc")</f>
        <v>Fasteners</v>
      </c>
      <c r="P313" t="str" cm="1">
        <f t="array" ref="P313">IFERROR(LOOKUP(2,1/SEARCH($Y$2:$Y$65,G313),$Z$2:$Z$65),"Not Defined")</f>
        <v>FHS</v>
      </c>
      <c r="Q313" t="str" cm="1">
        <f t="array" ref="Q313">IFERROR(LOOKUP(2,1/SEARCH($S$2:$S$65,H313),$T$2:$T$65),"-")</f>
        <v>COTS</v>
      </c>
    </row>
    <row r="314" spans="1:17" hidden="1" x14ac:dyDescent="0.25">
      <c r="A314" t="s">
        <v>7672</v>
      </c>
      <c r="B314" t="s">
        <v>919</v>
      </c>
      <c r="C314">
        <v>2</v>
      </c>
      <c r="D314" t="s">
        <v>7047</v>
      </c>
      <c r="F314" t="s">
        <v>920</v>
      </c>
      <c r="G314" t="s">
        <v>7130</v>
      </c>
      <c r="H314" t="s">
        <v>921</v>
      </c>
      <c r="I314" t="s">
        <v>255</v>
      </c>
      <c r="J314" t="s">
        <v>7703</v>
      </c>
      <c r="K314" t="s">
        <v>7677</v>
      </c>
      <c r="L314" t="s">
        <v>7677</v>
      </c>
      <c r="N314" t="str" cm="1">
        <f t="array" ref="N314">IFERROR(LOOKUP(2,1/SEARCH($S$2:$S$65,G314),$T$2:$T$65),"Misc")</f>
        <v>COTS</v>
      </c>
      <c r="O314" t="str" cm="1">
        <f t="array" ref="O314">IFERROR(LOOKUP(2,1/SEARCH($V$2:$V$65,G314),$W$2:$W$65),"Misc")</f>
        <v>SWITCH</v>
      </c>
      <c r="P314" t="str" cm="1">
        <f t="array" ref="P314">IFERROR(LOOKUP(2,1/SEARCH($Y$2:$Y$65,G314),$Z$2:$Z$65),"Not Defined")</f>
        <v>SWITCH</v>
      </c>
      <c r="Q314" t="str" cm="1">
        <f t="array" ref="Q314">IFERROR(LOOKUP(2,1/SEARCH($S$2:$S$65,H314),$T$2:$T$65),"-")</f>
        <v>COTS</v>
      </c>
    </row>
    <row r="315" spans="1:17" hidden="1" x14ac:dyDescent="0.25">
      <c r="A315" t="s">
        <v>7672</v>
      </c>
      <c r="B315" t="s">
        <v>922</v>
      </c>
      <c r="C315">
        <v>4</v>
      </c>
      <c r="D315" t="s">
        <v>7047</v>
      </c>
      <c r="F315" t="s">
        <v>464</v>
      </c>
      <c r="G315" t="s">
        <v>7091</v>
      </c>
      <c r="H315" t="s">
        <v>465</v>
      </c>
      <c r="I315" t="s">
        <v>224</v>
      </c>
      <c r="J315" t="s">
        <v>7703</v>
      </c>
      <c r="K315" t="s">
        <v>7684</v>
      </c>
      <c r="L315" t="s">
        <v>7685</v>
      </c>
      <c r="N315" t="str" cm="1">
        <f t="array" ref="N315">IFERROR(LOOKUP(2,1/SEARCH($S$2:$S$65,G315),$T$2:$T$65),"Misc")</f>
        <v>COTS</v>
      </c>
      <c r="O315" t="str" cm="1">
        <f t="array" ref="O315">IFERROR(LOOKUP(2,1/SEARCH($V$2:$V$65,G315),$W$2:$W$65),"Misc")</f>
        <v>Fasteners</v>
      </c>
      <c r="P315" t="str" cm="1">
        <f t="array" ref="P315">IFERROR(LOOKUP(2,1/SEARCH($Y$2:$Y$65,G315),$Z$2:$Z$65),"Not Defined")</f>
        <v>NUT</v>
      </c>
      <c r="Q315" t="str" cm="1">
        <f t="array" ref="Q315">IFERROR(LOOKUP(2,1/SEARCH($S$2:$S$65,H315),$T$2:$T$65),"-")</f>
        <v>COTS</v>
      </c>
    </row>
    <row r="316" spans="1:17" hidden="1" x14ac:dyDescent="0.25">
      <c r="A316" t="s">
        <v>7672</v>
      </c>
      <c r="B316" t="s">
        <v>923</v>
      </c>
      <c r="C316">
        <v>4</v>
      </c>
      <c r="D316" t="s">
        <v>7047</v>
      </c>
      <c r="F316" t="s">
        <v>924</v>
      </c>
      <c r="G316" t="s">
        <v>7131</v>
      </c>
      <c r="H316" t="s">
        <v>925</v>
      </c>
      <c r="I316" t="s">
        <v>228</v>
      </c>
      <c r="J316" t="s">
        <v>7703</v>
      </c>
      <c r="K316" t="s">
        <v>7684</v>
      </c>
      <c r="L316" t="s">
        <v>7691</v>
      </c>
      <c r="N316" t="str" cm="1">
        <f t="array" ref="N316">IFERROR(LOOKUP(2,1/SEARCH($S$2:$S$65,G316),$T$2:$T$65),"Misc")</f>
        <v>COTS</v>
      </c>
      <c r="O316" t="str" cm="1">
        <f t="array" ref="O316">IFERROR(LOOKUP(2,1/SEARCH($V$2:$V$65,G316),$W$2:$W$65),"Misc")</f>
        <v>Fasteners</v>
      </c>
      <c r="P316" t="str" cm="1">
        <f t="array" ref="P316">IFERROR(LOOKUP(2,1/SEARCH($Y$2:$Y$65,G316),$Z$2:$Z$65),"Not Defined")</f>
        <v>FHS</v>
      </c>
      <c r="Q316" t="str" cm="1">
        <f t="array" ref="Q316">IFERROR(LOOKUP(2,1/SEARCH($S$2:$S$65,H316),$T$2:$T$65),"-")</f>
        <v>COTS</v>
      </c>
    </row>
    <row r="317" spans="1:17" hidden="1" x14ac:dyDescent="0.25">
      <c r="A317" t="s">
        <v>7672</v>
      </c>
      <c r="B317" t="s">
        <v>926</v>
      </c>
      <c r="C317">
        <v>8</v>
      </c>
      <c r="D317" t="s">
        <v>7047</v>
      </c>
      <c r="F317" t="s">
        <v>927</v>
      </c>
      <c r="G317" t="s">
        <v>7132</v>
      </c>
      <c r="H317" t="s">
        <v>928</v>
      </c>
      <c r="I317" t="s">
        <v>929</v>
      </c>
      <c r="J317" t="s">
        <v>7703</v>
      </c>
      <c r="K317" t="s">
        <v>7684</v>
      </c>
      <c r="L317" t="s">
        <v>7696</v>
      </c>
      <c r="N317" t="str" cm="1">
        <f t="array" ref="N317">IFERROR(LOOKUP(2,1/SEARCH($S$2:$S$65,G317),$T$2:$T$65),"Misc")</f>
        <v>COTS</v>
      </c>
      <c r="O317" t="str" cm="1">
        <f t="array" ref="O317">IFERROR(LOOKUP(2,1/SEARCH($V$2:$V$65,G317),$W$2:$W$65),"Misc")</f>
        <v>Fasteners</v>
      </c>
      <c r="P317" t="str" cm="1">
        <f t="array" ref="P317">IFERROR(LOOKUP(2,1/SEARCH($Y$2:$Y$65,G317),$Z$2:$Z$65),"Not Defined")</f>
        <v>SPACER</v>
      </c>
      <c r="Q317" t="str" cm="1">
        <f t="array" ref="Q317">IFERROR(LOOKUP(2,1/SEARCH($S$2:$S$65,H317),$T$2:$T$65),"-")</f>
        <v>COTS</v>
      </c>
    </row>
    <row r="318" spans="1:17" hidden="1" x14ac:dyDescent="0.25">
      <c r="A318" t="s">
        <v>7672</v>
      </c>
      <c r="B318" t="s">
        <v>930</v>
      </c>
      <c r="C318">
        <v>4</v>
      </c>
      <c r="D318" t="s">
        <v>7047</v>
      </c>
      <c r="F318" t="s">
        <v>442</v>
      </c>
      <c r="G318" t="s">
        <v>7087</v>
      </c>
      <c r="H318" t="s">
        <v>443</v>
      </c>
      <c r="I318" t="s">
        <v>228</v>
      </c>
      <c r="J318" t="s">
        <v>7703</v>
      </c>
      <c r="K318" t="s">
        <v>7684</v>
      </c>
      <c r="L318" t="s">
        <v>7692</v>
      </c>
      <c r="N318" t="str" cm="1">
        <f t="array" ref="N318">IFERROR(LOOKUP(2,1/SEARCH($S$2:$S$65,G318),$T$2:$T$65),"Misc")</f>
        <v>COTS</v>
      </c>
      <c r="O318" t="str" cm="1">
        <f t="array" ref="O318">IFERROR(LOOKUP(2,1/SEARCH($V$2:$V$65,G318),$W$2:$W$65),"Misc")</f>
        <v>Fasteners</v>
      </c>
      <c r="P318" t="str" cm="1">
        <f t="array" ref="P318">IFERROR(LOOKUP(2,1/SEARCH($Y$2:$Y$65,G318),$Z$2:$Z$65),"Not Defined")</f>
        <v>WASHER</v>
      </c>
      <c r="Q318" t="str" cm="1">
        <f t="array" ref="Q318">IFERROR(LOOKUP(2,1/SEARCH($S$2:$S$65,H318),$T$2:$T$65),"-")</f>
        <v>COTS</v>
      </c>
    </row>
    <row r="319" spans="1:17" hidden="1" x14ac:dyDescent="0.25">
      <c r="A319" t="s">
        <v>7672</v>
      </c>
      <c r="B319" t="s">
        <v>931</v>
      </c>
      <c r="C319">
        <v>2</v>
      </c>
      <c r="D319" t="s">
        <v>7047</v>
      </c>
      <c r="F319" t="s">
        <v>932</v>
      </c>
      <c r="G319" t="s">
        <v>7133</v>
      </c>
      <c r="H319" t="s">
        <v>933</v>
      </c>
      <c r="I319" t="s">
        <v>210</v>
      </c>
      <c r="J319" t="s">
        <v>7703</v>
      </c>
      <c r="K319" t="s">
        <v>7684</v>
      </c>
      <c r="L319" t="s">
        <v>7685</v>
      </c>
      <c r="N319" t="str" cm="1">
        <f t="array" ref="N319">IFERROR(LOOKUP(2,1/SEARCH($S$2:$S$65,G319),$T$2:$T$65),"Misc")</f>
        <v>COTS</v>
      </c>
      <c r="O319" t="str" cm="1">
        <f t="array" ref="O319">IFERROR(LOOKUP(2,1/SEARCH($V$2:$V$65,G319),$W$2:$W$65),"Misc")</f>
        <v>Fasteners</v>
      </c>
      <c r="P319" t="str" cm="1">
        <f t="array" ref="P319">IFERROR(LOOKUP(2,1/SEARCH($Y$2:$Y$65,G319),$Z$2:$Z$65),"Not Defined")</f>
        <v>NUT</v>
      </c>
      <c r="Q319" t="str" cm="1">
        <f t="array" ref="Q319">IFERROR(LOOKUP(2,1/SEARCH($S$2:$S$65,H319),$T$2:$T$65),"-")</f>
        <v>COTS</v>
      </c>
    </row>
    <row r="320" spans="1:17" hidden="1" x14ac:dyDescent="0.25">
      <c r="A320" t="s">
        <v>7672</v>
      </c>
      <c r="B320" t="s">
        <v>934</v>
      </c>
      <c r="C320">
        <v>2</v>
      </c>
      <c r="D320" t="s">
        <v>7047</v>
      </c>
      <c r="F320" t="s">
        <v>935</v>
      </c>
      <c r="G320" t="s">
        <v>7134</v>
      </c>
      <c r="H320" t="s">
        <v>936</v>
      </c>
      <c r="I320" t="s">
        <v>228</v>
      </c>
      <c r="J320" t="s">
        <v>7703</v>
      </c>
      <c r="K320" t="s">
        <v>7684</v>
      </c>
      <c r="L320" t="s">
        <v>7691</v>
      </c>
      <c r="N320" t="str" cm="1">
        <f t="array" ref="N320">IFERROR(LOOKUP(2,1/SEARCH($S$2:$S$65,G320),$T$2:$T$65),"Misc")</f>
        <v>COTS</v>
      </c>
      <c r="O320" t="str" cm="1">
        <f t="array" ref="O320">IFERROR(LOOKUP(2,1/SEARCH($V$2:$V$65,G320),$W$2:$W$65),"Misc")</f>
        <v>Fasteners</v>
      </c>
      <c r="P320" t="str" cm="1">
        <f t="array" ref="P320">IFERROR(LOOKUP(2,1/SEARCH($Y$2:$Y$65,G320),$Z$2:$Z$65),"Not Defined")</f>
        <v>FHS</v>
      </c>
      <c r="Q320" t="str" cm="1">
        <f t="array" ref="Q320">IFERROR(LOOKUP(2,1/SEARCH($S$2:$S$65,H320),$T$2:$T$65),"-")</f>
        <v>COTS</v>
      </c>
    </row>
    <row r="321" spans="1:17" hidden="1" x14ac:dyDescent="0.25">
      <c r="A321" t="s">
        <v>7672</v>
      </c>
      <c r="B321" t="s">
        <v>937</v>
      </c>
      <c r="C321">
        <v>2</v>
      </c>
      <c r="D321" t="s">
        <v>7047</v>
      </c>
      <c r="F321" t="s">
        <v>938</v>
      </c>
      <c r="G321" t="s">
        <v>7135</v>
      </c>
      <c r="H321" t="s">
        <v>939</v>
      </c>
      <c r="I321" t="s">
        <v>210</v>
      </c>
      <c r="J321" t="s">
        <v>7703</v>
      </c>
      <c r="K321" t="s">
        <v>7719</v>
      </c>
      <c r="L321" t="s">
        <v>7688</v>
      </c>
      <c r="N321" t="str" cm="1">
        <f t="array" ref="N321">IFERROR(LOOKUP(2,1/SEARCH($S$2:$S$65,G321),$T$2:$T$65),"Misc")</f>
        <v>COTS</v>
      </c>
      <c r="O321" t="str" cm="1">
        <f t="array" ref="O321">IFERROR(LOOKUP(2,1/SEARCH($V$2:$V$65,G321),$W$2:$W$65),"Misc")</f>
        <v>Misc</v>
      </c>
      <c r="P321" t="str" cm="1">
        <f t="array" ref="P321">IFERROR(LOOKUP(2,1/SEARCH($Y$2:$Y$65,G321),$Z$2:$Z$65),"Not Defined")</f>
        <v>SPRING</v>
      </c>
      <c r="Q321" t="str" cm="1">
        <f t="array" ref="Q321">IFERROR(LOOKUP(2,1/SEARCH($S$2:$S$65,H321),$T$2:$T$65),"-")</f>
        <v>COTS</v>
      </c>
    </row>
    <row r="322" spans="1:17" hidden="1" x14ac:dyDescent="0.25">
      <c r="A322" t="s">
        <v>7672</v>
      </c>
      <c r="B322" t="s">
        <v>940</v>
      </c>
      <c r="C322">
        <v>18</v>
      </c>
      <c r="D322" t="s">
        <v>7047</v>
      </c>
      <c r="F322" t="s">
        <v>941</v>
      </c>
      <c r="G322" t="s">
        <v>7136</v>
      </c>
      <c r="H322" t="s">
        <v>942</v>
      </c>
      <c r="I322" t="s">
        <v>210</v>
      </c>
      <c r="J322" t="s">
        <v>7703</v>
      </c>
      <c r="K322" t="s">
        <v>7684</v>
      </c>
      <c r="L322" t="s">
        <v>7685</v>
      </c>
      <c r="N322" t="str" cm="1">
        <f t="array" ref="N322">IFERROR(LOOKUP(2,1/SEARCH($S$2:$S$65,G322),$T$2:$T$65),"Misc")</f>
        <v>COTS</v>
      </c>
      <c r="O322" t="str" cm="1">
        <f t="array" ref="O322">IFERROR(LOOKUP(2,1/SEARCH($V$2:$V$65,G322),$W$2:$W$65),"Misc")</f>
        <v>Fasteners</v>
      </c>
      <c r="P322" t="str" cm="1">
        <f t="array" ref="P322">IFERROR(LOOKUP(2,1/SEARCH($Y$2:$Y$65,G322),$Z$2:$Z$65),"Not Defined")</f>
        <v>NUT</v>
      </c>
      <c r="Q322" t="str" cm="1">
        <f t="array" ref="Q322">IFERROR(LOOKUP(2,1/SEARCH($S$2:$S$65,H322),$T$2:$T$65),"-")</f>
        <v>COTS</v>
      </c>
    </row>
    <row r="323" spans="1:17" hidden="1" x14ac:dyDescent="0.25">
      <c r="A323" t="s">
        <v>7672</v>
      </c>
      <c r="B323" t="s">
        <v>943</v>
      </c>
      <c r="C323">
        <v>2</v>
      </c>
      <c r="D323" t="s">
        <v>7047</v>
      </c>
      <c r="F323" t="s">
        <v>944</v>
      </c>
      <c r="G323" t="s">
        <v>7137</v>
      </c>
      <c r="H323" t="s">
        <v>945</v>
      </c>
      <c r="I323" t="s">
        <v>210</v>
      </c>
      <c r="J323" t="s">
        <v>7703</v>
      </c>
      <c r="K323" t="s">
        <v>7684</v>
      </c>
      <c r="L323" t="s">
        <v>7691</v>
      </c>
      <c r="N323" t="str" cm="1">
        <f t="array" ref="N323">IFERROR(LOOKUP(2,1/SEARCH($S$2:$S$65,G323),$T$2:$T$65),"Misc")</f>
        <v>COTS</v>
      </c>
      <c r="O323" t="str" cm="1">
        <f t="array" ref="O323">IFERROR(LOOKUP(2,1/SEARCH($V$2:$V$65,G323),$W$2:$W$65),"Misc")</f>
        <v>Fasteners</v>
      </c>
      <c r="P323" t="str" cm="1">
        <f t="array" ref="P323">IFERROR(LOOKUP(2,1/SEARCH($Y$2:$Y$65,G323),$Z$2:$Z$65),"Not Defined")</f>
        <v>FHS</v>
      </c>
      <c r="Q323" t="str" cm="1">
        <f t="array" ref="Q323">IFERROR(LOOKUP(2,1/SEARCH($S$2:$S$65,H323),$T$2:$T$65),"-")</f>
        <v>COTS</v>
      </c>
    </row>
    <row r="324" spans="1:17" hidden="1" x14ac:dyDescent="0.25">
      <c r="A324" t="s">
        <v>7672</v>
      </c>
      <c r="B324" t="s">
        <v>946</v>
      </c>
      <c r="C324">
        <v>8</v>
      </c>
      <c r="D324" t="s">
        <v>7047</v>
      </c>
      <c r="F324" t="s">
        <v>947</v>
      </c>
      <c r="G324" t="s">
        <v>7138</v>
      </c>
      <c r="H324" t="s">
        <v>948</v>
      </c>
      <c r="I324" t="s">
        <v>228</v>
      </c>
      <c r="J324" t="s">
        <v>7703</v>
      </c>
      <c r="K324" t="s">
        <v>7684</v>
      </c>
      <c r="L324" t="s">
        <v>7700</v>
      </c>
      <c r="N324" t="str" cm="1">
        <f t="array" ref="N324">IFERROR(LOOKUP(2,1/SEARCH($S$2:$S$65,G324),$T$2:$T$65),"Misc")</f>
        <v>COTS</v>
      </c>
      <c r="O324" t="str" cm="1">
        <f t="array" ref="O324">IFERROR(LOOKUP(2,1/SEARCH($V$2:$V$65,G324),$W$2:$W$65),"Misc")</f>
        <v>Fasteners</v>
      </c>
      <c r="P324" t="str" cm="1">
        <f t="array" ref="P324">IFERROR(LOOKUP(2,1/SEARCH($Y$2:$Y$65,G324),$Z$2:$Z$65),"Not Defined")</f>
        <v>SHCS</v>
      </c>
      <c r="Q324" t="str" cm="1">
        <f t="array" ref="Q324">IFERROR(LOOKUP(2,1/SEARCH($S$2:$S$65,H324),$T$2:$T$65),"-")</f>
        <v>COTS</v>
      </c>
    </row>
    <row r="325" spans="1:17" hidden="1" x14ac:dyDescent="0.25">
      <c r="A325" t="s">
        <v>7672</v>
      </c>
      <c r="B325" t="s">
        <v>949</v>
      </c>
      <c r="C325">
        <v>20</v>
      </c>
      <c r="D325" t="s">
        <v>7047</v>
      </c>
      <c r="F325" t="s">
        <v>950</v>
      </c>
      <c r="G325" t="s">
        <v>7139</v>
      </c>
      <c r="H325" t="s">
        <v>951</v>
      </c>
      <c r="I325" t="s">
        <v>228</v>
      </c>
      <c r="J325" t="s">
        <v>7703</v>
      </c>
      <c r="K325" t="s">
        <v>7684</v>
      </c>
      <c r="L325" t="s">
        <v>7692</v>
      </c>
      <c r="N325" t="str" cm="1">
        <f t="array" ref="N325">IFERROR(LOOKUP(2,1/SEARCH($S$2:$S$65,G325),$T$2:$T$65),"Misc")</f>
        <v>COTS</v>
      </c>
      <c r="O325" t="str" cm="1">
        <f t="array" ref="O325">IFERROR(LOOKUP(2,1/SEARCH($V$2:$V$65,G325),$W$2:$W$65),"Misc")</f>
        <v>Fasteners</v>
      </c>
      <c r="P325" t="str" cm="1">
        <f t="array" ref="P325">IFERROR(LOOKUP(2,1/SEARCH($Y$2:$Y$65,G325),$Z$2:$Z$65),"Not Defined")</f>
        <v>WASHER</v>
      </c>
      <c r="Q325" t="str" cm="1">
        <f t="array" ref="Q325">IFERROR(LOOKUP(2,1/SEARCH($S$2:$S$65,H325),$T$2:$T$65),"-")</f>
        <v>COTS</v>
      </c>
    </row>
    <row r="326" spans="1:17" hidden="1" x14ac:dyDescent="0.25">
      <c r="A326" t="s">
        <v>7672</v>
      </c>
      <c r="B326" s="2" t="s">
        <v>952</v>
      </c>
      <c r="C326">
        <v>1</v>
      </c>
      <c r="D326" t="s">
        <v>7140</v>
      </c>
      <c r="F326" t="s">
        <v>953</v>
      </c>
      <c r="G326" t="s">
        <v>7140</v>
      </c>
      <c r="H326" t="s">
        <v>954</v>
      </c>
      <c r="J326" t="s">
        <v>7742</v>
      </c>
      <c r="K326" t="s">
        <v>7826</v>
      </c>
      <c r="L326" t="s">
        <v>7826</v>
      </c>
      <c r="N326" t="str" cm="1">
        <f t="array" ref="N326">IFERROR(LOOKUP(2,1/SEARCH($S$2:$S$65,G326),$T$2:$T$65),"Misc")</f>
        <v>OH ASSY</v>
      </c>
      <c r="O326" t="str" cm="1">
        <f t="array" ref="O326">IFERROR(LOOKUP(2,1/SEARCH($V$2:$V$65,G326),$W$2:$W$65),"Misc")</f>
        <v>OH Part</v>
      </c>
      <c r="P326" t="str" cm="1">
        <f t="array" ref="P326">IFERROR(LOOKUP(2,1/SEARCH($Y$2:$Y$65,G326),$Z$2:$Z$65),"Not Defined")</f>
        <v>OH Part</v>
      </c>
      <c r="Q326" t="str" cm="1">
        <f t="array" ref="Q326">IFERROR(LOOKUP(2,1/SEARCH($S$2:$S$65,H326),$T$2:$T$65),"-")</f>
        <v>OH ASSY</v>
      </c>
    </row>
    <row r="327" spans="1:17" hidden="1" x14ac:dyDescent="0.25">
      <c r="A327" t="s">
        <v>7672</v>
      </c>
      <c r="B327" t="s">
        <v>955</v>
      </c>
      <c r="C327">
        <v>1</v>
      </c>
      <c r="D327" t="s">
        <v>7140</v>
      </c>
      <c r="F327" t="s">
        <v>956</v>
      </c>
      <c r="G327" t="s">
        <v>7141</v>
      </c>
      <c r="H327" t="s">
        <v>957</v>
      </c>
      <c r="I327" t="s">
        <v>484</v>
      </c>
      <c r="J327" t="s">
        <v>7703</v>
      </c>
      <c r="K327" t="s">
        <v>7814</v>
      </c>
      <c r="L327" t="s">
        <v>7834</v>
      </c>
      <c r="N327" t="str" cm="1">
        <f t="array" ref="N327">IFERROR(LOOKUP(2,1/SEARCH($S$2:$S$65,G327),$T$2:$T$65),"Misc")</f>
        <v>Misc</v>
      </c>
      <c r="O327" t="str" cm="1">
        <f t="array" ref="O327">IFERROR(LOOKUP(2,1/SEARCH($V$2:$V$65,G327),$W$2:$W$65),"Misc")</f>
        <v>Misc</v>
      </c>
      <c r="P327" t="str" cm="1">
        <f t="array" ref="P327">IFERROR(LOOKUP(2,1/SEARCH($Y$2:$Y$65,G327),$Z$2:$Z$65),"Not Defined")</f>
        <v>Not Defined</v>
      </c>
      <c r="Q327" t="str" cm="1">
        <f t="array" ref="Q327">IFERROR(LOOKUP(2,1/SEARCH($S$2:$S$65,H327),$T$2:$T$65),"-")</f>
        <v>-</v>
      </c>
    </row>
    <row r="328" spans="1:17" hidden="1" x14ac:dyDescent="0.25">
      <c r="A328" t="s">
        <v>7672</v>
      </c>
      <c r="B328" t="s">
        <v>958</v>
      </c>
      <c r="C328">
        <v>1</v>
      </c>
      <c r="D328" t="s">
        <v>7140</v>
      </c>
      <c r="F328" t="s">
        <v>959</v>
      </c>
      <c r="G328" t="s">
        <v>7142</v>
      </c>
      <c r="H328" t="s">
        <v>960</v>
      </c>
      <c r="I328" t="s">
        <v>210</v>
      </c>
      <c r="J328" t="s">
        <v>7703</v>
      </c>
      <c r="K328" t="str" cm="1">
        <f t="array" ref="K328">IFERROR(LOOKUP(2,1/SEARCH($V$2:$V$65,C328),$W$2:$W$65),"Misc")</f>
        <v>Misc</v>
      </c>
      <c r="L328" t="s">
        <v>7834</v>
      </c>
      <c r="N328" t="str" cm="1">
        <f t="array" ref="N328">IFERROR(LOOKUP(2,1/SEARCH($S$2:$S$65,G328),$T$2:$T$65),"Misc")</f>
        <v>COTS</v>
      </c>
      <c r="O328" t="str" cm="1">
        <f t="array" ref="O328">IFERROR(LOOKUP(2,1/SEARCH($V$2:$V$65,G328),$W$2:$W$65),"Misc")</f>
        <v>Misc</v>
      </c>
      <c r="P328" t="str" cm="1">
        <f t="array" ref="P328">IFERROR(LOOKUP(2,1/SEARCH($Y$2:$Y$65,G328),$Z$2:$Z$65),"Not Defined")</f>
        <v>Not Defined</v>
      </c>
      <c r="Q328" t="str" cm="1">
        <f t="array" ref="Q328">IFERROR(LOOKUP(2,1/SEARCH($S$2:$S$65,H328),$T$2:$T$65),"-")</f>
        <v>COTS</v>
      </c>
    </row>
    <row r="329" spans="1:17" hidden="1" x14ac:dyDescent="0.25">
      <c r="A329" t="s">
        <v>7672</v>
      </c>
      <c r="B329" t="s">
        <v>961</v>
      </c>
      <c r="C329">
        <v>2</v>
      </c>
      <c r="D329" t="s">
        <v>7140</v>
      </c>
      <c r="F329" t="s">
        <v>962</v>
      </c>
      <c r="G329" t="s">
        <v>7143</v>
      </c>
      <c r="H329" t="s">
        <v>960</v>
      </c>
      <c r="I329" t="s">
        <v>210</v>
      </c>
      <c r="J329" t="s">
        <v>7703</v>
      </c>
      <c r="K329" t="str" cm="1">
        <f t="array" ref="K329">IFERROR(LOOKUP(2,1/SEARCH($V$2:$V$65,C329),$W$2:$W$65),"Misc")</f>
        <v>Misc</v>
      </c>
      <c r="L329" t="s">
        <v>7834</v>
      </c>
      <c r="N329" t="str" cm="1">
        <f t="array" ref="N329">IFERROR(LOOKUP(2,1/SEARCH($S$2:$S$65,G329),$T$2:$T$65),"Misc")</f>
        <v>COTS</v>
      </c>
      <c r="O329" t="str" cm="1">
        <f t="array" ref="O329">IFERROR(LOOKUP(2,1/SEARCH($V$2:$V$65,G329),$W$2:$W$65),"Misc")</f>
        <v>Misc</v>
      </c>
      <c r="P329" t="str" cm="1">
        <f t="array" ref="P329">IFERROR(LOOKUP(2,1/SEARCH($Y$2:$Y$65,G329),$Z$2:$Z$65),"Not Defined")</f>
        <v>Not Defined</v>
      </c>
      <c r="Q329" t="str" cm="1">
        <f t="array" ref="Q329">IFERROR(LOOKUP(2,1/SEARCH($S$2:$S$65,H329),$T$2:$T$65),"-")</f>
        <v>COTS</v>
      </c>
    </row>
    <row r="330" spans="1:17" hidden="1" x14ac:dyDescent="0.25">
      <c r="A330" t="s">
        <v>7672</v>
      </c>
      <c r="B330" t="s">
        <v>963</v>
      </c>
      <c r="C330">
        <v>2</v>
      </c>
      <c r="D330" t="s">
        <v>7140</v>
      </c>
      <c r="F330" t="s">
        <v>964</v>
      </c>
      <c r="G330" t="s">
        <v>7144</v>
      </c>
      <c r="H330" t="s">
        <v>965</v>
      </c>
      <c r="I330" t="s">
        <v>299</v>
      </c>
      <c r="J330" t="s">
        <v>7682</v>
      </c>
      <c r="K330" t="s">
        <v>7826</v>
      </c>
      <c r="L330" t="s">
        <v>7826</v>
      </c>
      <c r="N330" t="str" cm="1">
        <f t="array" ref="N330">IFERROR(LOOKUP(2,1/SEARCH($S$2:$S$65,G330),$T$2:$T$65),"Misc")</f>
        <v>OH P/N</v>
      </c>
      <c r="O330" t="str" cm="1">
        <f t="array" ref="O330">IFERROR(LOOKUP(2,1/SEARCH($V$2:$V$65,G330),$W$2:$W$65),"Misc")</f>
        <v>OH Part</v>
      </c>
      <c r="P330" t="str" cm="1">
        <f t="array" ref="P330">IFERROR(LOOKUP(2,1/SEARCH($Y$2:$Y$65,G330),$Z$2:$Z$65),"Not Defined")</f>
        <v>OH Part</v>
      </c>
      <c r="Q330" t="str" cm="1">
        <f t="array" ref="Q330">IFERROR(LOOKUP(2,1/SEARCH($S$2:$S$65,H330),$T$2:$T$65),"-")</f>
        <v>-</v>
      </c>
    </row>
    <row r="331" spans="1:17" hidden="1" x14ac:dyDescent="0.25">
      <c r="A331" t="s">
        <v>7672</v>
      </c>
      <c r="B331" t="s">
        <v>966</v>
      </c>
      <c r="C331">
        <v>1</v>
      </c>
      <c r="D331" t="s">
        <v>7140</v>
      </c>
      <c r="F331" t="s">
        <v>967</v>
      </c>
      <c r="G331" t="s">
        <v>7145</v>
      </c>
      <c r="H331" t="s">
        <v>968</v>
      </c>
      <c r="I331" t="s">
        <v>299</v>
      </c>
      <c r="J331" t="s">
        <v>7682</v>
      </c>
      <c r="K331" t="s">
        <v>7826</v>
      </c>
      <c r="L331" t="s">
        <v>7826</v>
      </c>
      <c r="N331" t="str" cm="1">
        <f t="array" ref="N331">IFERROR(LOOKUP(2,1/SEARCH($S$2:$S$65,G331),$T$2:$T$65),"Misc")</f>
        <v>OH P/N</v>
      </c>
      <c r="O331" t="str" cm="1">
        <f t="array" ref="O331">IFERROR(LOOKUP(2,1/SEARCH($V$2:$V$65,G331),$W$2:$W$65),"Misc")</f>
        <v>OH Part</v>
      </c>
      <c r="P331" t="str" cm="1">
        <f t="array" ref="P331">IFERROR(LOOKUP(2,1/SEARCH($Y$2:$Y$65,G331),$Z$2:$Z$65),"Not Defined")</f>
        <v>OH Part</v>
      </c>
      <c r="Q331" t="str" cm="1">
        <f t="array" ref="Q331">IFERROR(LOOKUP(2,1/SEARCH($S$2:$S$65,H331),$T$2:$T$65),"-")</f>
        <v>-</v>
      </c>
    </row>
    <row r="332" spans="1:17" hidden="1" x14ac:dyDescent="0.25">
      <c r="A332" t="s">
        <v>7672</v>
      </c>
      <c r="B332" t="s">
        <v>969</v>
      </c>
      <c r="C332">
        <v>1</v>
      </c>
      <c r="D332" t="s">
        <v>7140</v>
      </c>
      <c r="E332" t="s">
        <v>971</v>
      </c>
      <c r="F332" t="s">
        <v>970</v>
      </c>
      <c r="G332" t="s">
        <v>7146</v>
      </c>
      <c r="H332" t="s">
        <v>971</v>
      </c>
      <c r="J332" t="s">
        <v>7742</v>
      </c>
      <c r="K332" t="s">
        <v>7826</v>
      </c>
      <c r="L332" t="s">
        <v>7826</v>
      </c>
      <c r="N332" t="str" cm="1">
        <f t="array" ref="N332">IFERROR(LOOKUP(2,1/SEARCH($S$2:$S$65,G332),$T$2:$T$65),"Misc")</f>
        <v>OH ASSY</v>
      </c>
      <c r="O332" t="str" cm="1">
        <f t="array" ref="O332">IFERROR(LOOKUP(2,1/SEARCH($V$2:$V$65,G332),$W$2:$W$65),"Misc")</f>
        <v>OH Part</v>
      </c>
      <c r="P332" t="str" cm="1">
        <f t="array" ref="P332">IFERROR(LOOKUP(2,1/SEARCH($Y$2:$Y$65,G332),$Z$2:$Z$65),"Not Defined")</f>
        <v>OH Part</v>
      </c>
      <c r="Q332" t="str" cm="1">
        <f t="array" ref="Q332">IFERROR(LOOKUP(2,1/SEARCH($S$2:$S$65,H332),$T$2:$T$65),"-")</f>
        <v>OH ASSY</v>
      </c>
    </row>
    <row r="333" spans="1:17" hidden="1" x14ac:dyDescent="0.25">
      <c r="A333" t="s">
        <v>7672</v>
      </c>
      <c r="B333" t="s">
        <v>972</v>
      </c>
      <c r="C333">
        <v>1</v>
      </c>
      <c r="D333" t="s">
        <v>7140</v>
      </c>
      <c r="E333" t="s">
        <v>971</v>
      </c>
      <c r="F333">
        <v>25</v>
      </c>
      <c r="G333" t="s">
        <v>7147</v>
      </c>
      <c r="H333" t="s">
        <v>973</v>
      </c>
      <c r="I333" t="s">
        <v>255</v>
      </c>
      <c r="J333" t="s">
        <v>7703</v>
      </c>
      <c r="K333" t="s">
        <v>7814</v>
      </c>
      <c r="L333" t="s">
        <v>7834</v>
      </c>
      <c r="N333" t="str" cm="1">
        <f t="array" ref="N333">IFERROR(LOOKUP(2,1/SEARCH($S$2:$S$65,G333),$T$2:$T$65),"Misc")</f>
        <v>Misc</v>
      </c>
      <c r="O333" t="str" cm="1">
        <f t="array" ref="O333">IFERROR(LOOKUP(2,1/SEARCH($V$2:$V$65,G333),$W$2:$W$65),"Misc")</f>
        <v>Misc</v>
      </c>
      <c r="P333" t="str" cm="1">
        <f t="array" ref="P333">IFERROR(LOOKUP(2,1/SEARCH($Y$2:$Y$65,G333),$Z$2:$Z$65),"Not Defined")</f>
        <v>Not Defined</v>
      </c>
      <c r="Q333" t="str" cm="1">
        <f t="array" ref="Q333">IFERROR(LOOKUP(2,1/SEARCH($S$2:$S$65,H333),$T$2:$T$65),"-")</f>
        <v>-</v>
      </c>
    </row>
    <row r="334" spans="1:17" hidden="1" x14ac:dyDescent="0.25">
      <c r="A334" t="s">
        <v>7672</v>
      </c>
      <c r="B334" t="s">
        <v>974</v>
      </c>
      <c r="C334">
        <v>1</v>
      </c>
      <c r="D334" t="s">
        <v>7140</v>
      </c>
      <c r="E334" t="s">
        <v>971</v>
      </c>
      <c r="F334" t="s">
        <v>975</v>
      </c>
      <c r="G334" t="s">
        <v>7148</v>
      </c>
      <c r="H334" t="s">
        <v>976</v>
      </c>
      <c r="I334" t="s">
        <v>13</v>
      </c>
      <c r="J334" t="s">
        <v>7682</v>
      </c>
      <c r="K334" t="s">
        <v>7826</v>
      </c>
      <c r="L334" t="s">
        <v>7826</v>
      </c>
      <c r="N334" t="str" cm="1">
        <f t="array" ref="N334">IFERROR(LOOKUP(2,1/SEARCH($S$2:$S$65,G334),$T$2:$T$65),"Misc")</f>
        <v>OH P/N</v>
      </c>
      <c r="O334" t="str" cm="1">
        <f t="array" ref="O334">IFERROR(LOOKUP(2,1/SEARCH($V$2:$V$65,G334),$W$2:$W$65),"Misc")</f>
        <v>OH Part</v>
      </c>
      <c r="P334" t="str" cm="1">
        <f t="array" ref="P334">IFERROR(LOOKUP(2,1/SEARCH($Y$2:$Y$65,G334),$Z$2:$Z$65),"Not Defined")</f>
        <v>OH Part</v>
      </c>
      <c r="Q334" t="str" cm="1">
        <f t="array" ref="Q334">IFERROR(LOOKUP(2,1/SEARCH($S$2:$S$65,H334),$T$2:$T$65),"-")</f>
        <v>-</v>
      </c>
    </row>
    <row r="335" spans="1:17" hidden="1" x14ac:dyDescent="0.25">
      <c r="A335" t="s">
        <v>7672</v>
      </c>
      <c r="B335" t="s">
        <v>977</v>
      </c>
      <c r="C335">
        <v>1</v>
      </c>
      <c r="D335" t="s">
        <v>7140</v>
      </c>
      <c r="E335" t="s">
        <v>971</v>
      </c>
      <c r="F335" t="s">
        <v>978</v>
      </c>
      <c r="G335" t="s">
        <v>7149</v>
      </c>
      <c r="H335" t="s">
        <v>979</v>
      </c>
      <c r="I335" t="s">
        <v>13</v>
      </c>
      <c r="J335" t="s">
        <v>7682</v>
      </c>
      <c r="K335" t="s">
        <v>7826</v>
      </c>
      <c r="L335" t="s">
        <v>7826</v>
      </c>
      <c r="N335" t="str" cm="1">
        <f t="array" ref="N335">IFERROR(LOOKUP(2,1/SEARCH($S$2:$S$65,G335),$T$2:$T$65),"Misc")</f>
        <v>OH P/N</v>
      </c>
      <c r="O335" t="str" cm="1">
        <f t="array" ref="O335">IFERROR(LOOKUP(2,1/SEARCH($V$2:$V$65,G335),$W$2:$W$65),"Misc")</f>
        <v>OH Part</v>
      </c>
      <c r="P335" t="str" cm="1">
        <f t="array" ref="P335">IFERROR(LOOKUP(2,1/SEARCH($Y$2:$Y$65,G335),$Z$2:$Z$65),"Not Defined")</f>
        <v>OH Part</v>
      </c>
      <c r="Q335" t="str" cm="1">
        <f t="array" ref="Q335">IFERROR(LOOKUP(2,1/SEARCH($S$2:$S$65,H335),$T$2:$T$65),"-")</f>
        <v>-</v>
      </c>
    </row>
    <row r="336" spans="1:17" hidden="1" x14ac:dyDescent="0.25">
      <c r="A336" t="s">
        <v>7672</v>
      </c>
      <c r="B336" t="s">
        <v>980</v>
      </c>
      <c r="C336">
        <v>4</v>
      </c>
      <c r="D336" t="s">
        <v>7140</v>
      </c>
      <c r="E336" t="s">
        <v>971</v>
      </c>
      <c r="F336" t="s">
        <v>981</v>
      </c>
      <c r="G336" t="s">
        <v>7150</v>
      </c>
      <c r="H336" t="s">
        <v>982</v>
      </c>
      <c r="I336" t="s">
        <v>228</v>
      </c>
      <c r="J336" t="s">
        <v>7703</v>
      </c>
      <c r="K336" t="s">
        <v>7684</v>
      </c>
      <c r="L336" t="s">
        <v>7700</v>
      </c>
      <c r="N336" t="str" cm="1">
        <f t="array" ref="N336">IFERROR(LOOKUP(2,1/SEARCH($S$2:$S$65,G336),$T$2:$T$65),"Misc")</f>
        <v>COTS</v>
      </c>
      <c r="O336" t="str" cm="1">
        <f t="array" ref="O336">IFERROR(LOOKUP(2,1/SEARCH($V$2:$V$65,G336),$W$2:$W$65),"Misc")</f>
        <v>Fasteners</v>
      </c>
      <c r="P336" t="str" cm="1">
        <f t="array" ref="P336">IFERROR(LOOKUP(2,1/SEARCH($Y$2:$Y$65,G336),$Z$2:$Z$65),"Not Defined")</f>
        <v>SHCS</v>
      </c>
      <c r="Q336" t="str" cm="1">
        <f t="array" ref="Q336">IFERROR(LOOKUP(2,1/SEARCH($S$2:$S$65,H336),$T$2:$T$65),"-")</f>
        <v>COTS</v>
      </c>
    </row>
    <row r="337" spans="1:17" hidden="1" x14ac:dyDescent="0.25">
      <c r="A337" t="s">
        <v>7672</v>
      </c>
      <c r="B337" t="s">
        <v>983</v>
      </c>
      <c r="C337">
        <v>4</v>
      </c>
      <c r="D337" t="s">
        <v>7140</v>
      </c>
      <c r="F337" t="s">
        <v>984</v>
      </c>
      <c r="G337" t="s">
        <v>7151</v>
      </c>
      <c r="H337" t="s">
        <v>985</v>
      </c>
      <c r="I337" t="s">
        <v>210</v>
      </c>
      <c r="J337" t="s">
        <v>7703</v>
      </c>
      <c r="K337" t="s">
        <v>7684</v>
      </c>
      <c r="L337" t="s">
        <v>7692</v>
      </c>
      <c r="N337" t="str" cm="1">
        <f t="array" ref="N337">IFERROR(LOOKUP(2,1/SEARCH($S$2:$S$65,G337),$T$2:$T$65),"Misc")</f>
        <v>COTS</v>
      </c>
      <c r="O337" t="str" cm="1">
        <f t="array" ref="O337">IFERROR(LOOKUP(2,1/SEARCH($V$2:$V$65,G337),$W$2:$W$65),"Misc")</f>
        <v>Fasteners</v>
      </c>
      <c r="P337" t="str" cm="1">
        <f t="array" ref="P337">IFERROR(LOOKUP(2,1/SEARCH($Y$2:$Y$65,G337),$Z$2:$Z$65),"Not Defined")</f>
        <v>WASHER</v>
      </c>
      <c r="Q337" t="str" cm="1">
        <f t="array" ref="Q337">IFERROR(LOOKUP(2,1/SEARCH($S$2:$S$65,H337),$T$2:$T$65),"-")</f>
        <v>COTS</v>
      </c>
    </row>
    <row r="338" spans="1:17" hidden="1" x14ac:dyDescent="0.25">
      <c r="A338" t="s">
        <v>7672</v>
      </c>
      <c r="B338" t="s">
        <v>986</v>
      </c>
      <c r="C338">
        <v>4</v>
      </c>
      <c r="D338" t="s">
        <v>7140</v>
      </c>
      <c r="F338" t="s">
        <v>915</v>
      </c>
      <c r="G338" t="s">
        <v>7129</v>
      </c>
      <c r="H338" t="s">
        <v>916</v>
      </c>
      <c r="I338" t="s">
        <v>228</v>
      </c>
      <c r="J338" t="s">
        <v>7703</v>
      </c>
      <c r="K338" t="s">
        <v>7684</v>
      </c>
      <c r="L338" t="s">
        <v>7693</v>
      </c>
      <c r="N338" t="str" cm="1">
        <f t="array" ref="N338">IFERROR(LOOKUP(2,1/SEARCH($S$2:$S$65,G338),$T$2:$T$65),"Misc")</f>
        <v>COTS</v>
      </c>
      <c r="O338" t="str" cm="1">
        <f t="array" ref="O338">IFERROR(LOOKUP(2,1/SEARCH($V$2:$V$65,G338),$W$2:$W$65),"Misc")</f>
        <v>Fasteners</v>
      </c>
      <c r="P338" t="str" cm="1">
        <f t="array" ref="P338">IFERROR(LOOKUP(2,1/SEARCH($Y$2:$Y$65,G338),$Z$2:$Z$65),"Not Defined")</f>
        <v>PHS</v>
      </c>
      <c r="Q338" t="str" cm="1">
        <f t="array" ref="Q338">IFERROR(LOOKUP(2,1/SEARCH($S$2:$S$65,H338),$T$2:$T$65),"-")</f>
        <v>COTS</v>
      </c>
    </row>
    <row r="339" spans="1:17" hidden="1" x14ac:dyDescent="0.25">
      <c r="A339" t="s">
        <v>7672</v>
      </c>
      <c r="B339" t="s">
        <v>987</v>
      </c>
      <c r="C339">
        <v>1</v>
      </c>
      <c r="D339" t="s">
        <v>7140</v>
      </c>
      <c r="E339" t="s">
        <v>989</v>
      </c>
      <c r="F339" t="s">
        <v>988</v>
      </c>
      <c r="G339" t="s">
        <v>7152</v>
      </c>
      <c r="H339" t="s">
        <v>989</v>
      </c>
      <c r="J339" t="s">
        <v>7742</v>
      </c>
      <c r="K339" t="s">
        <v>7826</v>
      </c>
      <c r="L339" t="s">
        <v>7826</v>
      </c>
      <c r="N339" t="str" cm="1">
        <f t="array" ref="N339">IFERROR(LOOKUP(2,1/SEARCH($S$2:$S$65,G339),$T$2:$T$65),"Misc")</f>
        <v>OH ASSY</v>
      </c>
      <c r="O339" t="str" cm="1">
        <f t="array" ref="O339">IFERROR(LOOKUP(2,1/SEARCH($V$2:$V$65,G339),$W$2:$W$65),"Misc")</f>
        <v>OH Part</v>
      </c>
      <c r="P339" t="str" cm="1">
        <f t="array" ref="P339">IFERROR(LOOKUP(2,1/SEARCH($Y$2:$Y$65,G339),$Z$2:$Z$65),"Not Defined")</f>
        <v>OH Part</v>
      </c>
      <c r="Q339" t="str" cm="1">
        <f t="array" ref="Q339">IFERROR(LOOKUP(2,1/SEARCH($S$2:$S$65,H339),$T$2:$T$65),"-")</f>
        <v>OH ASSY</v>
      </c>
    </row>
    <row r="340" spans="1:17" hidden="1" x14ac:dyDescent="0.25">
      <c r="A340" t="s">
        <v>7672</v>
      </c>
      <c r="B340" t="s">
        <v>990</v>
      </c>
      <c r="C340">
        <v>1</v>
      </c>
      <c r="D340" t="s">
        <v>7140</v>
      </c>
      <c r="E340" t="s">
        <v>989</v>
      </c>
      <c r="F340" t="s">
        <v>991</v>
      </c>
      <c r="G340" t="s">
        <v>993</v>
      </c>
      <c r="H340" t="s">
        <v>992</v>
      </c>
      <c r="I340" t="s">
        <v>994</v>
      </c>
      <c r="J340" t="s">
        <v>7682</v>
      </c>
      <c r="K340" t="s">
        <v>7826</v>
      </c>
      <c r="L340" t="s">
        <v>7826</v>
      </c>
      <c r="N340" t="str" cm="1">
        <f t="array" ref="N340">IFERROR(LOOKUP(2,1/SEARCH($S$2:$S$65,G340),$T$2:$T$65),"Misc")</f>
        <v>OH P/N</v>
      </c>
      <c r="O340" t="str" cm="1">
        <f t="array" ref="O340">IFERROR(LOOKUP(2,1/SEARCH($V$2:$V$65,G340),$W$2:$W$65),"Misc")</f>
        <v>OH Part</v>
      </c>
      <c r="P340" t="str" cm="1">
        <f t="array" ref="P340">IFERROR(LOOKUP(2,1/SEARCH($Y$2:$Y$65,G340),$Z$2:$Z$65),"Not Defined")</f>
        <v>OH Part</v>
      </c>
      <c r="Q340" t="str" cm="1">
        <f t="array" ref="Q340">IFERROR(LOOKUP(2,1/SEARCH($S$2:$S$65,H340),$T$2:$T$65),"-")</f>
        <v>COTS</v>
      </c>
    </row>
    <row r="341" spans="1:17" hidden="1" x14ac:dyDescent="0.25">
      <c r="A341" t="s">
        <v>7672</v>
      </c>
      <c r="B341" t="s">
        <v>995</v>
      </c>
      <c r="C341">
        <v>1</v>
      </c>
      <c r="D341" t="s">
        <v>7140</v>
      </c>
      <c r="E341" t="s">
        <v>989</v>
      </c>
      <c r="F341" t="s">
        <v>996</v>
      </c>
      <c r="G341" t="s">
        <v>7153</v>
      </c>
      <c r="H341" t="s">
        <v>997</v>
      </c>
      <c r="J341" t="s">
        <v>7703</v>
      </c>
      <c r="K341" t="s">
        <v>7814</v>
      </c>
      <c r="L341" t="s">
        <v>7726</v>
      </c>
      <c r="N341" t="str" cm="1">
        <f t="array" ref="N341">IFERROR(LOOKUP(2,1/SEARCH($S$2:$S$65,G341),$T$2:$T$65),"Misc")</f>
        <v>COTS</v>
      </c>
      <c r="O341" t="str" cm="1">
        <f t="array" ref="O341">IFERROR(LOOKUP(2,1/SEARCH($V$2:$V$65,G341),$W$2:$W$65),"Misc")</f>
        <v>Misc</v>
      </c>
      <c r="P341" t="str" cm="1">
        <f t="array" ref="P341">IFERROR(LOOKUP(2,1/SEARCH($Y$2:$Y$65,G341),$Z$2:$Z$65),"Not Defined")</f>
        <v>RUBBER</v>
      </c>
      <c r="Q341" t="str" cm="1">
        <f t="array" ref="Q341">IFERROR(LOOKUP(2,1/SEARCH($S$2:$S$65,H341),$T$2:$T$65),"-")</f>
        <v>COTS</v>
      </c>
    </row>
    <row r="342" spans="1:17" hidden="1" x14ac:dyDescent="0.25">
      <c r="A342" t="s">
        <v>7672</v>
      </c>
      <c r="B342" t="s">
        <v>998</v>
      </c>
      <c r="C342">
        <v>1</v>
      </c>
      <c r="D342" t="s">
        <v>7140</v>
      </c>
      <c r="E342" t="s">
        <v>989</v>
      </c>
      <c r="F342" t="s">
        <v>999</v>
      </c>
      <c r="G342" t="s">
        <v>7154</v>
      </c>
      <c r="H342" t="s">
        <v>1000</v>
      </c>
      <c r="I342" t="s">
        <v>228</v>
      </c>
      <c r="J342" t="s">
        <v>7703</v>
      </c>
      <c r="K342" t="s">
        <v>7684</v>
      </c>
      <c r="L342" t="s">
        <v>7700</v>
      </c>
      <c r="N342" t="str" cm="1">
        <f t="array" ref="N342">IFERROR(LOOKUP(2,1/SEARCH($S$2:$S$65,G342),$T$2:$T$65),"Misc")</f>
        <v>COTS</v>
      </c>
      <c r="O342" t="str" cm="1">
        <f t="array" ref="O342">IFERROR(LOOKUP(2,1/SEARCH($V$2:$V$65,G342),$W$2:$W$65),"Misc")</f>
        <v>Fasteners</v>
      </c>
      <c r="P342" t="str" cm="1">
        <f t="array" ref="P342">IFERROR(LOOKUP(2,1/SEARCH($Y$2:$Y$65,G342),$Z$2:$Z$65),"Not Defined")</f>
        <v>SHCS</v>
      </c>
      <c r="Q342" t="str" cm="1">
        <f t="array" ref="Q342">IFERROR(LOOKUP(2,1/SEARCH($S$2:$S$65,H342),$T$2:$T$65),"-")</f>
        <v>COTS</v>
      </c>
    </row>
    <row r="343" spans="1:17" hidden="1" x14ac:dyDescent="0.25">
      <c r="A343" t="s">
        <v>7672</v>
      </c>
      <c r="B343" t="s">
        <v>1001</v>
      </c>
      <c r="C343">
        <v>3</v>
      </c>
      <c r="D343" t="s">
        <v>7140</v>
      </c>
      <c r="E343" t="s">
        <v>989</v>
      </c>
      <c r="F343" t="s">
        <v>1002</v>
      </c>
      <c r="G343" t="s">
        <v>7155</v>
      </c>
      <c r="H343" t="s">
        <v>1003</v>
      </c>
      <c r="I343" t="s">
        <v>228</v>
      </c>
      <c r="J343" t="s">
        <v>7703</v>
      </c>
      <c r="K343" t="s">
        <v>7684</v>
      </c>
      <c r="L343" t="s">
        <v>7692</v>
      </c>
      <c r="N343" t="str" cm="1">
        <f t="array" ref="N343">IFERROR(LOOKUP(2,1/SEARCH($S$2:$S$65,G343),$T$2:$T$65),"Misc")</f>
        <v>COTS</v>
      </c>
      <c r="O343" t="str" cm="1">
        <f t="array" ref="O343">IFERROR(LOOKUP(2,1/SEARCH($V$2:$V$65,G343),$W$2:$W$65),"Misc")</f>
        <v>Fasteners</v>
      </c>
      <c r="P343" t="str" cm="1">
        <f t="array" ref="P343">IFERROR(LOOKUP(2,1/SEARCH($Y$2:$Y$65,G343),$Z$2:$Z$65),"Not Defined")</f>
        <v>WASHER</v>
      </c>
      <c r="Q343" t="str" cm="1">
        <f t="array" ref="Q343">IFERROR(LOOKUP(2,1/SEARCH($S$2:$S$65,H343),$T$2:$T$65),"-")</f>
        <v>COTS</v>
      </c>
    </row>
    <row r="344" spans="1:17" hidden="1" x14ac:dyDescent="0.25">
      <c r="A344" t="s">
        <v>7672</v>
      </c>
      <c r="B344" t="s">
        <v>1004</v>
      </c>
      <c r="C344">
        <v>1</v>
      </c>
      <c r="D344" t="s">
        <v>7140</v>
      </c>
      <c r="E344" t="s">
        <v>989</v>
      </c>
      <c r="F344" t="s">
        <v>1005</v>
      </c>
      <c r="G344" t="s">
        <v>7156</v>
      </c>
      <c r="H344" t="s">
        <v>1006</v>
      </c>
      <c r="J344" t="s">
        <v>7703</v>
      </c>
      <c r="K344" t="s">
        <v>7684</v>
      </c>
      <c r="L344" t="s">
        <v>7685</v>
      </c>
      <c r="N344" t="str" cm="1">
        <f t="array" ref="N344">IFERROR(LOOKUP(2,1/SEARCH($S$2:$S$65,G344),$T$2:$T$65),"Misc")</f>
        <v>COTS</v>
      </c>
      <c r="O344" t="str" cm="1">
        <f t="array" ref="O344">IFERROR(LOOKUP(2,1/SEARCH($V$2:$V$65,G344),$W$2:$W$65),"Misc")</f>
        <v>Fasteners</v>
      </c>
      <c r="P344" t="str" cm="1">
        <f t="array" ref="P344">IFERROR(LOOKUP(2,1/SEARCH($Y$2:$Y$65,G344),$Z$2:$Z$65),"Not Defined")</f>
        <v>NUT</v>
      </c>
      <c r="Q344" t="str" cm="1">
        <f t="array" ref="Q344">IFERROR(LOOKUP(2,1/SEARCH($S$2:$S$65,H344),$T$2:$T$65),"-")</f>
        <v>COTS</v>
      </c>
    </row>
    <row r="345" spans="1:17" hidden="1" x14ac:dyDescent="0.25">
      <c r="A345" t="s">
        <v>7672</v>
      </c>
      <c r="B345" t="s">
        <v>1007</v>
      </c>
      <c r="C345">
        <v>8</v>
      </c>
      <c r="D345" t="s">
        <v>7140</v>
      </c>
      <c r="F345" t="s">
        <v>1008</v>
      </c>
      <c r="G345" t="s">
        <v>7157</v>
      </c>
      <c r="H345" t="s">
        <v>1009</v>
      </c>
      <c r="I345" t="s">
        <v>210</v>
      </c>
      <c r="J345" t="s">
        <v>7703</v>
      </c>
      <c r="K345" t="s">
        <v>7684</v>
      </c>
      <c r="L345" t="s">
        <v>7706</v>
      </c>
      <c r="N345" t="str" cm="1">
        <f t="array" ref="N345">IFERROR(LOOKUP(2,1/SEARCH($S$2:$S$65,G345),$T$2:$T$65),"Misc")</f>
        <v>COTS</v>
      </c>
      <c r="O345" t="str" cm="1">
        <f t="array" ref="O345">IFERROR(LOOKUP(2,1/SEARCH($V$2:$V$65,G345),$W$2:$W$65),"Misc")</f>
        <v>Fasteners</v>
      </c>
      <c r="P345" t="str" cm="1">
        <f t="array" ref="P345">IFERROR(LOOKUP(2,1/SEARCH($Y$2:$Y$65,G345),$Z$2:$Z$65),"Not Defined")</f>
        <v>HHCS</v>
      </c>
      <c r="Q345" t="str" cm="1">
        <f t="array" ref="Q345">IFERROR(LOOKUP(2,1/SEARCH($S$2:$S$65,H345),$T$2:$T$65),"-")</f>
        <v>COTS</v>
      </c>
    </row>
    <row r="346" spans="1:17" hidden="1" x14ac:dyDescent="0.25">
      <c r="A346" t="s">
        <v>7672</v>
      </c>
      <c r="B346" t="s">
        <v>1010</v>
      </c>
      <c r="C346">
        <v>12</v>
      </c>
      <c r="D346" t="s">
        <v>7140</v>
      </c>
      <c r="F346" t="s">
        <v>1011</v>
      </c>
      <c r="G346" t="s">
        <v>7158</v>
      </c>
      <c r="H346" t="s">
        <v>1012</v>
      </c>
      <c r="J346" t="s">
        <v>7703</v>
      </c>
      <c r="K346" t="s">
        <v>7684</v>
      </c>
      <c r="L346" t="s">
        <v>7685</v>
      </c>
      <c r="N346" t="str" cm="1">
        <f t="array" ref="N346">IFERROR(LOOKUP(2,1/SEARCH($S$2:$S$65,G346),$T$2:$T$65),"Misc")</f>
        <v>COTS</v>
      </c>
      <c r="O346" t="str" cm="1">
        <f t="array" ref="O346">IFERROR(LOOKUP(2,1/SEARCH($V$2:$V$65,G346),$W$2:$W$65),"Misc")</f>
        <v>Fasteners</v>
      </c>
      <c r="P346" t="str" cm="1">
        <f t="array" ref="P346">IFERROR(LOOKUP(2,1/SEARCH($Y$2:$Y$65,G346),$Z$2:$Z$65),"Not Defined")</f>
        <v>NUT</v>
      </c>
      <c r="Q346" t="str" cm="1">
        <f t="array" ref="Q346">IFERROR(LOOKUP(2,1/SEARCH($S$2:$S$65,H346),$T$2:$T$65),"-")</f>
        <v>COTS</v>
      </c>
    </row>
    <row r="347" spans="1:17" hidden="1" x14ac:dyDescent="0.25">
      <c r="A347" t="s">
        <v>7672</v>
      </c>
      <c r="B347" t="s">
        <v>1013</v>
      </c>
      <c r="C347">
        <v>1</v>
      </c>
      <c r="D347" t="s">
        <v>7140</v>
      </c>
      <c r="E347" t="s">
        <v>989</v>
      </c>
      <c r="F347" t="s">
        <v>1014</v>
      </c>
      <c r="G347" t="s">
        <v>7159</v>
      </c>
      <c r="H347" t="s">
        <v>989</v>
      </c>
      <c r="J347" t="s">
        <v>7742</v>
      </c>
      <c r="K347" t="s">
        <v>7826</v>
      </c>
      <c r="L347" t="s">
        <v>7826</v>
      </c>
      <c r="N347" t="str" cm="1">
        <f t="array" ref="N347">IFERROR(LOOKUP(2,1/SEARCH($S$2:$S$65,G347),$T$2:$T$65),"Misc")</f>
        <v>OH ASSY</v>
      </c>
      <c r="O347" t="str" cm="1">
        <f t="array" ref="O347">IFERROR(LOOKUP(2,1/SEARCH($V$2:$V$65,G347),$W$2:$W$65),"Misc")</f>
        <v>OH Part</v>
      </c>
      <c r="P347" t="str" cm="1">
        <f t="array" ref="P347">IFERROR(LOOKUP(2,1/SEARCH($Y$2:$Y$65,G347),$Z$2:$Z$65),"Not Defined")</f>
        <v>OH Part</v>
      </c>
      <c r="Q347" t="str" cm="1">
        <f t="array" ref="Q347">IFERROR(LOOKUP(2,1/SEARCH($S$2:$S$65,H347),$T$2:$T$65),"-")</f>
        <v>OH ASSY</v>
      </c>
    </row>
    <row r="348" spans="1:17" hidden="1" x14ac:dyDescent="0.25">
      <c r="A348" t="s">
        <v>7672</v>
      </c>
      <c r="B348" t="s">
        <v>1015</v>
      </c>
      <c r="C348">
        <v>1</v>
      </c>
      <c r="D348" t="s">
        <v>7140</v>
      </c>
      <c r="E348" t="s">
        <v>989</v>
      </c>
      <c r="F348" t="s">
        <v>991</v>
      </c>
      <c r="G348" t="s">
        <v>1016</v>
      </c>
      <c r="H348" t="s">
        <v>992</v>
      </c>
      <c r="I348" t="s">
        <v>994</v>
      </c>
      <c r="J348" t="s">
        <v>7682</v>
      </c>
      <c r="K348" t="s">
        <v>7826</v>
      </c>
      <c r="L348" t="s">
        <v>7826</v>
      </c>
      <c r="N348" t="str" cm="1">
        <f t="array" ref="N348">IFERROR(LOOKUP(2,1/SEARCH($S$2:$S$65,G348),$T$2:$T$65),"Misc")</f>
        <v>OH P/N</v>
      </c>
      <c r="O348" t="str" cm="1">
        <f t="array" ref="O348">IFERROR(LOOKUP(2,1/SEARCH($V$2:$V$65,G348),$W$2:$W$65),"Misc")</f>
        <v>OH Part</v>
      </c>
      <c r="P348" t="str" cm="1">
        <f t="array" ref="P348">IFERROR(LOOKUP(2,1/SEARCH($Y$2:$Y$65,G348),$Z$2:$Z$65),"Not Defined")</f>
        <v>OH Part</v>
      </c>
      <c r="Q348" t="str" cm="1">
        <f t="array" ref="Q348">IFERROR(LOOKUP(2,1/SEARCH($S$2:$S$65,H348),$T$2:$T$65),"-")</f>
        <v>COTS</v>
      </c>
    </row>
    <row r="349" spans="1:17" hidden="1" x14ac:dyDescent="0.25">
      <c r="A349" t="s">
        <v>7672</v>
      </c>
      <c r="B349" t="s">
        <v>1017</v>
      </c>
      <c r="C349">
        <v>1</v>
      </c>
      <c r="D349" t="s">
        <v>7140</v>
      </c>
      <c r="E349" t="s">
        <v>989</v>
      </c>
      <c r="F349" t="s">
        <v>996</v>
      </c>
      <c r="G349" t="s">
        <v>7153</v>
      </c>
      <c r="H349" t="s">
        <v>997</v>
      </c>
      <c r="J349" t="s">
        <v>7703</v>
      </c>
      <c r="K349" t="s">
        <v>7814</v>
      </c>
      <c r="L349" t="s">
        <v>7726</v>
      </c>
      <c r="N349" t="str" cm="1">
        <f t="array" ref="N349">IFERROR(LOOKUP(2,1/SEARCH($S$2:$S$65,G349),$T$2:$T$65),"Misc")</f>
        <v>COTS</v>
      </c>
      <c r="O349" t="str" cm="1">
        <f t="array" ref="O349">IFERROR(LOOKUP(2,1/SEARCH($V$2:$V$65,G349),$W$2:$W$65),"Misc")</f>
        <v>Misc</v>
      </c>
      <c r="P349" t="str" cm="1">
        <f t="array" ref="P349">IFERROR(LOOKUP(2,1/SEARCH($Y$2:$Y$65,G349),$Z$2:$Z$65),"Not Defined")</f>
        <v>RUBBER</v>
      </c>
      <c r="Q349" t="str" cm="1">
        <f t="array" ref="Q349">IFERROR(LOOKUP(2,1/SEARCH($S$2:$S$65,H349),$T$2:$T$65),"-")</f>
        <v>COTS</v>
      </c>
    </row>
    <row r="350" spans="1:17" hidden="1" x14ac:dyDescent="0.25">
      <c r="A350" t="s">
        <v>7672</v>
      </c>
      <c r="B350" t="s">
        <v>1018</v>
      </c>
      <c r="C350">
        <v>1</v>
      </c>
      <c r="D350" t="s">
        <v>7140</v>
      </c>
      <c r="E350" t="s">
        <v>989</v>
      </c>
      <c r="F350" t="s">
        <v>999</v>
      </c>
      <c r="G350" t="s">
        <v>7154</v>
      </c>
      <c r="H350" t="s">
        <v>1000</v>
      </c>
      <c r="I350" t="s">
        <v>228</v>
      </c>
      <c r="J350" t="s">
        <v>7703</v>
      </c>
      <c r="K350" t="s">
        <v>7684</v>
      </c>
      <c r="L350" t="s">
        <v>7700</v>
      </c>
      <c r="N350" t="str" cm="1">
        <f t="array" ref="N350">IFERROR(LOOKUP(2,1/SEARCH($S$2:$S$65,G350),$T$2:$T$65),"Misc")</f>
        <v>COTS</v>
      </c>
      <c r="O350" t="str" cm="1">
        <f t="array" ref="O350">IFERROR(LOOKUP(2,1/SEARCH($V$2:$V$65,G350),$W$2:$W$65),"Misc")</f>
        <v>Fasteners</v>
      </c>
      <c r="P350" t="str" cm="1">
        <f t="array" ref="P350">IFERROR(LOOKUP(2,1/SEARCH($Y$2:$Y$65,G350),$Z$2:$Z$65),"Not Defined")</f>
        <v>SHCS</v>
      </c>
      <c r="Q350" t="str" cm="1">
        <f t="array" ref="Q350">IFERROR(LOOKUP(2,1/SEARCH($S$2:$S$65,H350),$T$2:$T$65),"-")</f>
        <v>COTS</v>
      </c>
    </row>
    <row r="351" spans="1:17" hidden="1" x14ac:dyDescent="0.25">
      <c r="A351" t="s">
        <v>7672</v>
      </c>
      <c r="B351" t="s">
        <v>1019</v>
      </c>
      <c r="C351">
        <v>3</v>
      </c>
      <c r="D351" t="s">
        <v>7140</v>
      </c>
      <c r="E351" t="s">
        <v>989</v>
      </c>
      <c r="F351" t="s">
        <v>1002</v>
      </c>
      <c r="G351" t="s">
        <v>7155</v>
      </c>
      <c r="H351" t="s">
        <v>1003</v>
      </c>
      <c r="I351" t="s">
        <v>228</v>
      </c>
      <c r="J351" t="s">
        <v>7703</v>
      </c>
      <c r="K351" t="s">
        <v>7684</v>
      </c>
      <c r="L351" t="s">
        <v>7692</v>
      </c>
      <c r="N351" t="str" cm="1">
        <f t="array" ref="N351">IFERROR(LOOKUP(2,1/SEARCH($S$2:$S$65,G351),$T$2:$T$65),"Misc")</f>
        <v>COTS</v>
      </c>
      <c r="O351" t="str" cm="1">
        <f t="array" ref="O351">IFERROR(LOOKUP(2,1/SEARCH($V$2:$V$65,G351),$W$2:$W$65),"Misc")</f>
        <v>Fasteners</v>
      </c>
      <c r="P351" t="str" cm="1">
        <f t="array" ref="P351">IFERROR(LOOKUP(2,1/SEARCH($Y$2:$Y$65,G351),$Z$2:$Z$65),"Not Defined")</f>
        <v>WASHER</v>
      </c>
      <c r="Q351" t="str" cm="1">
        <f t="array" ref="Q351">IFERROR(LOOKUP(2,1/SEARCH($S$2:$S$65,H351),$T$2:$T$65),"-")</f>
        <v>COTS</v>
      </c>
    </row>
    <row r="352" spans="1:17" hidden="1" x14ac:dyDescent="0.25">
      <c r="A352" t="s">
        <v>7672</v>
      </c>
      <c r="B352" t="s">
        <v>1020</v>
      </c>
      <c r="C352">
        <v>1</v>
      </c>
      <c r="D352" t="s">
        <v>7140</v>
      </c>
      <c r="E352" t="s">
        <v>989</v>
      </c>
      <c r="F352" t="s">
        <v>1005</v>
      </c>
      <c r="G352" t="s">
        <v>7156</v>
      </c>
      <c r="H352" t="s">
        <v>1006</v>
      </c>
      <c r="J352" t="s">
        <v>7703</v>
      </c>
      <c r="K352" t="s">
        <v>7684</v>
      </c>
      <c r="L352" t="s">
        <v>7685</v>
      </c>
      <c r="N352" t="str" cm="1">
        <f t="array" ref="N352">IFERROR(LOOKUP(2,1/SEARCH($S$2:$S$65,G352),$T$2:$T$65),"Misc")</f>
        <v>COTS</v>
      </c>
      <c r="O352" t="str" cm="1">
        <f t="array" ref="O352">IFERROR(LOOKUP(2,1/SEARCH($V$2:$V$65,G352),$W$2:$W$65),"Misc")</f>
        <v>Fasteners</v>
      </c>
      <c r="P352" t="str" cm="1">
        <f t="array" ref="P352">IFERROR(LOOKUP(2,1/SEARCH($Y$2:$Y$65,G352),$Z$2:$Z$65),"Not Defined")</f>
        <v>NUT</v>
      </c>
      <c r="Q352" t="str" cm="1">
        <f t="array" ref="Q352">IFERROR(LOOKUP(2,1/SEARCH($S$2:$S$65,H352),$T$2:$T$65),"-")</f>
        <v>COTS</v>
      </c>
    </row>
    <row r="353" spans="1:17" hidden="1" x14ac:dyDescent="0.25">
      <c r="A353" t="s">
        <v>7672</v>
      </c>
      <c r="B353" t="s">
        <v>1021</v>
      </c>
      <c r="C353">
        <v>4</v>
      </c>
      <c r="D353" t="s">
        <v>7140</v>
      </c>
      <c r="F353" t="s">
        <v>1022</v>
      </c>
      <c r="G353" t="s">
        <v>7160</v>
      </c>
      <c r="H353" t="s">
        <v>1023</v>
      </c>
      <c r="I353" t="s">
        <v>210</v>
      </c>
      <c r="J353" t="s">
        <v>7703</v>
      </c>
      <c r="K353" t="s">
        <v>7684</v>
      </c>
      <c r="L353" t="s">
        <v>7706</v>
      </c>
      <c r="N353" t="str" cm="1">
        <f t="array" ref="N353">IFERROR(LOOKUP(2,1/SEARCH($S$2:$S$65,G353),$T$2:$T$65),"Misc")</f>
        <v>COTS</v>
      </c>
      <c r="O353" t="str" cm="1">
        <f t="array" ref="O353">IFERROR(LOOKUP(2,1/SEARCH($V$2:$V$65,G353),$W$2:$W$65),"Misc")</f>
        <v>Fasteners</v>
      </c>
      <c r="P353" t="str" cm="1">
        <f t="array" ref="P353">IFERROR(LOOKUP(2,1/SEARCH($Y$2:$Y$65,G353),$Z$2:$Z$65),"Not Defined")</f>
        <v>HHCS</v>
      </c>
      <c r="Q353" t="str" cm="1">
        <f t="array" ref="Q353">IFERROR(LOOKUP(2,1/SEARCH($S$2:$S$65,H353),$T$2:$T$65),"-")</f>
        <v>COTS</v>
      </c>
    </row>
    <row r="354" spans="1:17" hidden="1" x14ac:dyDescent="0.25">
      <c r="A354" t="s">
        <v>7672</v>
      </c>
      <c r="B354" t="s">
        <v>1024</v>
      </c>
      <c r="C354">
        <v>8</v>
      </c>
      <c r="D354" t="s">
        <v>7140</v>
      </c>
      <c r="F354" t="s">
        <v>1025</v>
      </c>
      <c r="G354" t="s">
        <v>7161</v>
      </c>
      <c r="H354" t="s">
        <v>1026</v>
      </c>
      <c r="I354" t="s">
        <v>210</v>
      </c>
      <c r="J354" t="s">
        <v>7703</v>
      </c>
      <c r="K354" t="s">
        <v>7684</v>
      </c>
      <c r="L354" t="s">
        <v>7692</v>
      </c>
      <c r="N354" t="str" cm="1">
        <f t="array" ref="N354">IFERROR(LOOKUP(2,1/SEARCH($S$2:$S$65,G354),$T$2:$T$65),"Misc")</f>
        <v>COTS</v>
      </c>
      <c r="O354" t="str" cm="1">
        <f t="array" ref="O354">IFERROR(LOOKUP(2,1/SEARCH($V$2:$V$65,G354),$W$2:$W$65),"Misc")</f>
        <v>Fasteners</v>
      </c>
      <c r="P354" t="str" cm="1">
        <f t="array" ref="P354">IFERROR(LOOKUP(2,1/SEARCH($Y$2:$Y$65,G354),$Z$2:$Z$65),"Not Defined")</f>
        <v>WASHER</v>
      </c>
      <c r="Q354" t="str" cm="1">
        <f t="array" ref="Q354">IFERROR(LOOKUP(2,1/SEARCH($S$2:$S$65,H354),$T$2:$T$65),"-")</f>
        <v>COTS</v>
      </c>
    </row>
    <row r="355" spans="1:17" hidden="1" x14ac:dyDescent="0.25">
      <c r="A355" t="s">
        <v>7672</v>
      </c>
      <c r="B355" s="2" t="s">
        <v>1027</v>
      </c>
      <c r="C355">
        <v>8</v>
      </c>
      <c r="D355" t="s">
        <v>7047</v>
      </c>
      <c r="F355" t="s">
        <v>246</v>
      </c>
      <c r="G355" t="s">
        <v>7059</v>
      </c>
      <c r="H355" t="s">
        <v>247</v>
      </c>
      <c r="I355" t="s">
        <v>210</v>
      </c>
      <c r="J355" t="s">
        <v>7703</v>
      </c>
      <c r="K355" t="s">
        <v>7684</v>
      </c>
      <c r="L355" t="s">
        <v>7691</v>
      </c>
      <c r="N355" t="str" cm="1">
        <f t="array" ref="N355">IFERROR(LOOKUP(2,1/SEARCH($S$2:$S$65,G355),$T$2:$T$65),"Misc")</f>
        <v>COTS</v>
      </c>
      <c r="O355" t="str" cm="1">
        <f t="array" ref="O355">IFERROR(LOOKUP(2,1/SEARCH($V$2:$V$65,G355),$W$2:$W$65),"Misc")</f>
        <v>Fasteners</v>
      </c>
      <c r="P355" t="str" cm="1">
        <f t="array" ref="P355">IFERROR(LOOKUP(2,1/SEARCH($Y$2:$Y$65,G355),$Z$2:$Z$65),"Not Defined")</f>
        <v>FHS</v>
      </c>
      <c r="Q355" t="str" cm="1">
        <f t="array" ref="Q355">IFERROR(LOOKUP(2,1/SEARCH($S$2:$S$65,H355),$T$2:$T$65),"-")</f>
        <v>COTS</v>
      </c>
    </row>
    <row r="356" spans="1:17" hidden="1" x14ac:dyDescent="0.25">
      <c r="A356" t="s">
        <v>7672</v>
      </c>
      <c r="B356" t="s">
        <v>1028</v>
      </c>
      <c r="C356">
        <v>1</v>
      </c>
      <c r="D356" t="s">
        <v>7047</v>
      </c>
      <c r="E356" t="s">
        <v>1030</v>
      </c>
      <c r="F356" t="s">
        <v>1029</v>
      </c>
      <c r="G356" t="s">
        <v>7162</v>
      </c>
      <c r="H356" t="s">
        <v>1030</v>
      </c>
      <c r="J356" t="s">
        <v>7744</v>
      </c>
      <c r="K356" t="s">
        <v>7826</v>
      </c>
      <c r="L356" t="s">
        <v>7826</v>
      </c>
      <c r="N356" t="str" cm="1">
        <f t="array" ref="N356">IFERROR(LOOKUP(2,1/SEARCH($S$2:$S$65,G356),$T$2:$T$65),"Misc")</f>
        <v>OH Common</v>
      </c>
      <c r="O356" t="str" cm="1">
        <f t="array" ref="O356">IFERROR(LOOKUP(2,1/SEARCH($V$2:$V$65,G356),$W$2:$W$65),"Misc")</f>
        <v>OH Part</v>
      </c>
      <c r="P356" t="str" cm="1">
        <f t="array" ref="P356">IFERROR(LOOKUP(2,1/SEARCH($Y$2:$Y$65,G356),$Z$2:$Z$65),"Not Defined")</f>
        <v>OH Part</v>
      </c>
      <c r="Q356" t="str" cm="1">
        <f t="array" ref="Q356">IFERROR(LOOKUP(2,1/SEARCH($S$2:$S$65,H356),$T$2:$T$65),"-")</f>
        <v>OH ASSY</v>
      </c>
    </row>
    <row r="357" spans="1:17" hidden="1" x14ac:dyDescent="0.25">
      <c r="A357" t="s">
        <v>7672</v>
      </c>
      <c r="B357" t="s">
        <v>1031</v>
      </c>
      <c r="C357">
        <v>1</v>
      </c>
      <c r="D357" t="s">
        <v>7047</v>
      </c>
      <c r="E357" t="s">
        <v>1030</v>
      </c>
      <c r="F357" t="s">
        <v>1032</v>
      </c>
      <c r="G357" t="s">
        <v>7163</v>
      </c>
      <c r="H357" t="s">
        <v>1033</v>
      </c>
      <c r="I357" t="s">
        <v>281</v>
      </c>
      <c r="J357" t="s">
        <v>7744</v>
      </c>
      <c r="K357" t="s">
        <v>7826</v>
      </c>
      <c r="L357" t="s">
        <v>7826</v>
      </c>
      <c r="N357" t="str" cm="1">
        <f t="array" ref="N357">IFERROR(LOOKUP(2,1/SEARCH($S$2:$S$65,G357),$T$2:$T$65),"Misc")</f>
        <v>OH Common</v>
      </c>
      <c r="O357" t="str" cm="1">
        <f t="array" ref="O357">IFERROR(LOOKUP(2,1/SEARCH($V$2:$V$65,G357),$W$2:$W$65),"Misc")</f>
        <v>OH Part</v>
      </c>
      <c r="P357" t="str" cm="1">
        <f t="array" ref="P357">IFERROR(LOOKUP(2,1/SEARCH($Y$2:$Y$65,G357),$Z$2:$Z$65),"Not Defined")</f>
        <v>OH Part</v>
      </c>
      <c r="Q357" t="str" cm="1">
        <f t="array" ref="Q357">IFERROR(LOOKUP(2,1/SEARCH($S$2:$S$65,H357),$T$2:$T$65),"-")</f>
        <v>-</v>
      </c>
    </row>
    <row r="358" spans="1:17" hidden="1" x14ac:dyDescent="0.25">
      <c r="A358" t="s">
        <v>7672</v>
      </c>
      <c r="B358" t="s">
        <v>1034</v>
      </c>
      <c r="C358">
        <v>1</v>
      </c>
      <c r="D358" t="s">
        <v>7047</v>
      </c>
      <c r="E358" t="s">
        <v>1030</v>
      </c>
      <c r="F358" t="s">
        <v>1035</v>
      </c>
      <c r="G358" t="s">
        <v>7164</v>
      </c>
      <c r="H358" t="s">
        <v>1036</v>
      </c>
      <c r="I358" t="s">
        <v>255</v>
      </c>
      <c r="J358" t="s">
        <v>7703</v>
      </c>
      <c r="K358" t="s">
        <v>7818</v>
      </c>
      <c r="L358" t="s">
        <v>7818</v>
      </c>
      <c r="N358" t="str" cm="1">
        <f t="array" ref="N358">IFERROR(LOOKUP(2,1/SEARCH($S$2:$S$65,G358),$T$2:$T$65),"Misc")</f>
        <v>COTS</v>
      </c>
      <c r="O358" t="str" cm="1">
        <f t="array" ref="O358">IFERROR(LOOKUP(2,1/SEARCH($V$2:$V$65,G358),$W$2:$W$65),"Misc")</f>
        <v>Connector</v>
      </c>
      <c r="P358" t="str" cm="1">
        <f t="array" ref="P358">IFERROR(LOOKUP(2,1/SEARCH($Y$2:$Y$65,G358),$Z$2:$Z$65),"Not Defined")</f>
        <v>Connector</v>
      </c>
      <c r="Q358" t="str" cm="1">
        <f t="array" ref="Q358">IFERROR(LOOKUP(2,1/SEARCH($S$2:$S$65,H358),$T$2:$T$65),"-")</f>
        <v>COTS</v>
      </c>
    </row>
    <row r="359" spans="1:17" hidden="1" x14ac:dyDescent="0.25">
      <c r="A359" t="s">
        <v>7672</v>
      </c>
      <c r="B359" t="s">
        <v>1037</v>
      </c>
      <c r="C359">
        <v>1</v>
      </c>
      <c r="D359" t="s">
        <v>7047</v>
      </c>
      <c r="E359" t="s">
        <v>1030</v>
      </c>
      <c r="F359" t="s">
        <v>1038</v>
      </c>
      <c r="G359" t="s">
        <v>7165</v>
      </c>
      <c r="H359" t="s">
        <v>1039</v>
      </c>
      <c r="I359" t="s">
        <v>255</v>
      </c>
      <c r="J359" t="s">
        <v>7703</v>
      </c>
      <c r="K359" t="s">
        <v>7818</v>
      </c>
      <c r="L359" t="s">
        <v>7818</v>
      </c>
      <c r="N359" t="str" cm="1">
        <f t="array" ref="N359">IFERROR(LOOKUP(2,1/SEARCH($S$2:$S$65,G359),$T$2:$T$65),"Misc")</f>
        <v>COTS</v>
      </c>
      <c r="O359" t="str" cm="1">
        <f t="array" ref="O359">IFERROR(LOOKUP(2,1/SEARCH($V$2:$V$65,G359),$W$2:$W$65),"Misc")</f>
        <v>Connector</v>
      </c>
      <c r="P359" t="str" cm="1">
        <f t="array" ref="P359">IFERROR(LOOKUP(2,1/SEARCH($Y$2:$Y$65,G359),$Z$2:$Z$65),"Not Defined")</f>
        <v>Connector</v>
      </c>
      <c r="Q359" t="str" cm="1">
        <f t="array" ref="Q359">IFERROR(LOOKUP(2,1/SEARCH($S$2:$S$65,H359),$T$2:$T$65),"-")</f>
        <v>COTS</v>
      </c>
    </row>
    <row r="360" spans="1:17" hidden="1" x14ac:dyDescent="0.25">
      <c r="A360" t="s">
        <v>7672</v>
      </c>
      <c r="B360" t="s">
        <v>1040</v>
      </c>
      <c r="C360">
        <v>2</v>
      </c>
      <c r="D360" t="s">
        <v>7047</v>
      </c>
      <c r="E360" t="s">
        <v>1030</v>
      </c>
      <c r="F360" t="s">
        <v>1041</v>
      </c>
      <c r="G360" t="s">
        <v>7166</v>
      </c>
      <c r="H360" t="s">
        <v>1042</v>
      </c>
      <c r="I360" t="s">
        <v>255</v>
      </c>
      <c r="J360" t="s">
        <v>7703</v>
      </c>
      <c r="K360" t="s">
        <v>7818</v>
      </c>
      <c r="L360" t="s">
        <v>7818</v>
      </c>
      <c r="N360" t="str" cm="1">
        <f t="array" ref="N360">IFERROR(LOOKUP(2,1/SEARCH($S$2:$S$65,G360),$T$2:$T$65),"Misc")</f>
        <v>COTS</v>
      </c>
      <c r="O360" t="str" cm="1">
        <f t="array" ref="O360">IFERROR(LOOKUP(2,1/SEARCH($V$2:$V$65,G360),$W$2:$W$65),"Misc")</f>
        <v>Connector</v>
      </c>
      <c r="P360" t="str" cm="1">
        <f t="array" ref="P360">IFERROR(LOOKUP(2,1/SEARCH($Y$2:$Y$65,G360),$Z$2:$Z$65),"Not Defined")</f>
        <v>Connector</v>
      </c>
      <c r="Q360" t="str" cm="1">
        <f t="array" ref="Q360">IFERROR(LOOKUP(2,1/SEARCH($S$2:$S$65,H360),$T$2:$T$65),"-")</f>
        <v>COTS</v>
      </c>
    </row>
    <row r="361" spans="1:17" hidden="1" x14ac:dyDescent="0.25">
      <c r="A361" t="s">
        <v>7672</v>
      </c>
      <c r="B361" t="s">
        <v>1043</v>
      </c>
      <c r="C361">
        <v>1</v>
      </c>
      <c r="D361" t="s">
        <v>7047</v>
      </c>
      <c r="E361" t="s">
        <v>1030</v>
      </c>
      <c r="F361" t="s">
        <v>1044</v>
      </c>
      <c r="G361" t="s">
        <v>7167</v>
      </c>
      <c r="H361" t="s">
        <v>1045</v>
      </c>
      <c r="I361" t="s">
        <v>255</v>
      </c>
      <c r="J361" t="s">
        <v>7703</v>
      </c>
      <c r="K361" t="s">
        <v>7818</v>
      </c>
      <c r="L361" t="s">
        <v>7818</v>
      </c>
      <c r="N361" t="str" cm="1">
        <f t="array" ref="N361">IFERROR(LOOKUP(2,1/SEARCH($S$2:$S$65,G361),$T$2:$T$65),"Misc")</f>
        <v>COTS</v>
      </c>
      <c r="O361" t="str" cm="1">
        <f t="array" ref="O361">IFERROR(LOOKUP(2,1/SEARCH($V$2:$V$65,G361),$W$2:$W$65),"Misc")</f>
        <v>Connector</v>
      </c>
      <c r="P361" t="str" cm="1">
        <f t="array" ref="P361">IFERROR(LOOKUP(2,1/SEARCH($Y$2:$Y$65,G361),$Z$2:$Z$65),"Not Defined")</f>
        <v>Connector</v>
      </c>
      <c r="Q361" t="str" cm="1">
        <f t="array" ref="Q361">IFERROR(LOOKUP(2,1/SEARCH($S$2:$S$65,H361),$T$2:$T$65),"-")</f>
        <v>COTS</v>
      </c>
    </row>
    <row r="362" spans="1:17" hidden="1" x14ac:dyDescent="0.25">
      <c r="A362" t="s">
        <v>7672</v>
      </c>
      <c r="B362" t="s">
        <v>1046</v>
      </c>
      <c r="C362">
        <v>2</v>
      </c>
      <c r="D362" t="s">
        <v>7047</v>
      </c>
      <c r="E362" t="s">
        <v>1030</v>
      </c>
      <c r="F362" t="s">
        <v>932</v>
      </c>
      <c r="G362" t="s">
        <v>7133</v>
      </c>
      <c r="H362" t="s">
        <v>933</v>
      </c>
      <c r="I362" t="s">
        <v>210</v>
      </c>
      <c r="J362" t="s">
        <v>7703</v>
      </c>
      <c r="K362" t="s">
        <v>7684</v>
      </c>
      <c r="L362" t="s">
        <v>7685</v>
      </c>
      <c r="N362" t="str" cm="1">
        <f t="array" ref="N362">IFERROR(LOOKUP(2,1/SEARCH($S$2:$S$65,G362),$T$2:$T$65),"Misc")</f>
        <v>COTS</v>
      </c>
      <c r="O362" t="str" cm="1">
        <f t="array" ref="O362">IFERROR(LOOKUP(2,1/SEARCH($V$2:$V$65,G362),$W$2:$W$65),"Misc")</f>
        <v>Fasteners</v>
      </c>
      <c r="P362" t="str" cm="1">
        <f t="array" ref="P362">IFERROR(LOOKUP(2,1/SEARCH($Y$2:$Y$65,G362),$Z$2:$Z$65),"Not Defined")</f>
        <v>NUT</v>
      </c>
      <c r="Q362" t="str" cm="1">
        <f t="array" ref="Q362">IFERROR(LOOKUP(2,1/SEARCH($S$2:$S$65,H362),$T$2:$T$65),"-")</f>
        <v>COTS</v>
      </c>
    </row>
    <row r="363" spans="1:17" hidden="1" x14ac:dyDescent="0.25">
      <c r="A363" t="s">
        <v>7672</v>
      </c>
      <c r="B363" t="s">
        <v>1047</v>
      </c>
      <c r="C363">
        <v>2</v>
      </c>
      <c r="D363" t="s">
        <v>7047</v>
      </c>
      <c r="E363" t="s">
        <v>1030</v>
      </c>
      <c r="F363" t="s">
        <v>1048</v>
      </c>
      <c r="G363" t="s">
        <v>7168</v>
      </c>
      <c r="H363" t="s">
        <v>1049</v>
      </c>
      <c r="I363" t="s">
        <v>210</v>
      </c>
      <c r="J363" t="s">
        <v>7703</v>
      </c>
      <c r="K363" t="s">
        <v>7684</v>
      </c>
      <c r="L363" t="s">
        <v>7691</v>
      </c>
      <c r="N363" t="str" cm="1">
        <f t="array" ref="N363">IFERROR(LOOKUP(2,1/SEARCH($S$2:$S$65,G363),$T$2:$T$65),"Misc")</f>
        <v>COTS</v>
      </c>
      <c r="O363" t="str" cm="1">
        <f t="array" ref="O363">IFERROR(LOOKUP(2,1/SEARCH($V$2:$V$65,G363),$W$2:$W$65),"Misc")</f>
        <v>Fasteners</v>
      </c>
      <c r="P363" t="str" cm="1">
        <f t="array" ref="P363">IFERROR(LOOKUP(2,1/SEARCH($Y$2:$Y$65,G363),$Z$2:$Z$65),"Not Defined")</f>
        <v>FHS</v>
      </c>
      <c r="Q363" t="str" cm="1">
        <f t="array" ref="Q363">IFERROR(LOOKUP(2,1/SEARCH($S$2:$S$65,H363),$T$2:$T$65),"-")</f>
        <v>COTS</v>
      </c>
    </row>
    <row r="364" spans="1:17" hidden="1" x14ac:dyDescent="0.25">
      <c r="A364" t="s">
        <v>7672</v>
      </c>
      <c r="B364" t="s">
        <v>1050</v>
      </c>
      <c r="C364">
        <v>1</v>
      </c>
      <c r="D364" t="s">
        <v>7047</v>
      </c>
      <c r="E364" t="s">
        <v>1030</v>
      </c>
      <c r="F364" t="s">
        <v>1051</v>
      </c>
      <c r="G364" t="s">
        <v>7169</v>
      </c>
      <c r="H364" t="s">
        <v>1052</v>
      </c>
      <c r="I364" t="s">
        <v>484</v>
      </c>
      <c r="J364" t="s">
        <v>7703</v>
      </c>
      <c r="K364" t="s">
        <v>7814</v>
      </c>
      <c r="L364" t="s">
        <v>7823</v>
      </c>
      <c r="N364" t="str" cm="1">
        <f t="array" ref="N364">IFERROR(LOOKUP(2,1/SEARCH($S$2:$S$65,G364),$T$2:$T$65),"Misc")</f>
        <v>COTS</v>
      </c>
      <c r="O364" t="str" cm="1">
        <f t="array" ref="O364">IFERROR(LOOKUP(2,1/SEARCH($V$2:$V$65,G364),$W$2:$W$65),"Misc")</f>
        <v>Misc</v>
      </c>
      <c r="P364" t="str" cm="1">
        <f t="array" ref="P364">IFERROR(LOOKUP(2,1/SEARCH($Y$2:$Y$65,G364),$Z$2:$Z$65),"Not Defined")</f>
        <v>Cable</v>
      </c>
      <c r="Q364" t="str" cm="1">
        <f t="array" ref="Q364">IFERROR(LOOKUP(2,1/SEARCH($S$2:$S$65,H364),$T$2:$T$65),"-")</f>
        <v>COTS</v>
      </c>
    </row>
    <row r="365" spans="1:17" hidden="1" x14ac:dyDescent="0.25">
      <c r="A365" t="s">
        <v>7672</v>
      </c>
      <c r="B365" t="s">
        <v>1053</v>
      </c>
      <c r="C365">
        <v>1</v>
      </c>
      <c r="D365" t="s">
        <v>7047</v>
      </c>
      <c r="E365" t="s">
        <v>1055</v>
      </c>
      <c r="F365" t="s">
        <v>1054</v>
      </c>
      <c r="G365" t="s">
        <v>7170</v>
      </c>
      <c r="H365" t="s">
        <v>1055</v>
      </c>
      <c r="J365" t="s">
        <v>7744</v>
      </c>
      <c r="K365" t="s">
        <v>7826</v>
      </c>
      <c r="L365" t="s">
        <v>7826</v>
      </c>
      <c r="N365" t="str" cm="1">
        <f t="array" ref="N365">IFERROR(LOOKUP(2,1/SEARCH($S$2:$S$65,G365),$T$2:$T$65),"Misc")</f>
        <v>OH Common</v>
      </c>
      <c r="O365" t="str" cm="1">
        <f t="array" ref="O365">IFERROR(LOOKUP(2,1/SEARCH($V$2:$V$65,G365),$W$2:$W$65),"Misc")</f>
        <v>OH Part</v>
      </c>
      <c r="P365" t="str" cm="1">
        <f t="array" ref="P365">IFERROR(LOOKUP(2,1/SEARCH($Y$2:$Y$65,G365),$Z$2:$Z$65),"Not Defined")</f>
        <v>OH Part</v>
      </c>
      <c r="Q365" t="str" cm="1">
        <f t="array" ref="Q365">IFERROR(LOOKUP(2,1/SEARCH($S$2:$S$65,H365),$T$2:$T$65),"-")</f>
        <v>OH ASSY</v>
      </c>
    </row>
    <row r="366" spans="1:17" hidden="1" x14ac:dyDescent="0.25">
      <c r="A366" t="s">
        <v>7672</v>
      </c>
      <c r="B366" t="s">
        <v>1056</v>
      </c>
      <c r="C366">
        <v>1</v>
      </c>
      <c r="D366" t="s">
        <v>7047</v>
      </c>
      <c r="E366" t="s">
        <v>1055</v>
      </c>
      <c r="F366" t="s">
        <v>1032</v>
      </c>
      <c r="G366" t="s">
        <v>7163</v>
      </c>
      <c r="H366" t="s">
        <v>1033</v>
      </c>
      <c r="I366" t="s">
        <v>281</v>
      </c>
      <c r="J366" t="s">
        <v>7744</v>
      </c>
      <c r="K366" t="s">
        <v>7826</v>
      </c>
      <c r="L366" t="s">
        <v>7826</v>
      </c>
      <c r="N366" t="str" cm="1">
        <f t="array" ref="N366">IFERROR(LOOKUP(2,1/SEARCH($S$2:$S$65,G366),$T$2:$T$65),"Misc")</f>
        <v>OH Common</v>
      </c>
      <c r="O366" t="str" cm="1">
        <f t="array" ref="O366">IFERROR(LOOKUP(2,1/SEARCH($V$2:$V$65,G366),$W$2:$W$65),"Misc")</f>
        <v>OH Part</v>
      </c>
      <c r="P366" t="str" cm="1">
        <f t="array" ref="P366">IFERROR(LOOKUP(2,1/SEARCH($Y$2:$Y$65,G366),$Z$2:$Z$65),"Not Defined")</f>
        <v>OH Part</v>
      </c>
      <c r="Q366" t="str" cm="1">
        <f t="array" ref="Q366">IFERROR(LOOKUP(2,1/SEARCH($S$2:$S$65,H366),$T$2:$T$65),"-")</f>
        <v>-</v>
      </c>
    </row>
    <row r="367" spans="1:17" hidden="1" x14ac:dyDescent="0.25">
      <c r="A367" t="s">
        <v>7672</v>
      </c>
      <c r="B367" t="s">
        <v>1057</v>
      </c>
      <c r="C367">
        <v>1</v>
      </c>
      <c r="D367" t="s">
        <v>7047</v>
      </c>
      <c r="E367" t="s">
        <v>1055</v>
      </c>
      <c r="F367" t="s">
        <v>1035</v>
      </c>
      <c r="G367" t="s">
        <v>7164</v>
      </c>
      <c r="H367" t="s">
        <v>1036</v>
      </c>
      <c r="I367" t="s">
        <v>255</v>
      </c>
      <c r="J367" t="s">
        <v>7703</v>
      </c>
      <c r="K367" t="s">
        <v>7818</v>
      </c>
      <c r="L367" t="s">
        <v>7818</v>
      </c>
      <c r="N367" t="str" cm="1">
        <f t="array" ref="N367">IFERROR(LOOKUP(2,1/SEARCH($S$2:$S$65,G367),$T$2:$T$65),"Misc")</f>
        <v>COTS</v>
      </c>
      <c r="O367" t="str" cm="1">
        <f t="array" ref="O367">IFERROR(LOOKUP(2,1/SEARCH($V$2:$V$65,G367),$W$2:$W$65),"Misc")</f>
        <v>Connector</v>
      </c>
      <c r="P367" t="str" cm="1">
        <f t="array" ref="P367">IFERROR(LOOKUP(2,1/SEARCH($Y$2:$Y$65,G367),$Z$2:$Z$65),"Not Defined")</f>
        <v>Connector</v>
      </c>
      <c r="Q367" t="str" cm="1">
        <f t="array" ref="Q367">IFERROR(LOOKUP(2,1/SEARCH($S$2:$S$65,H367),$T$2:$T$65),"-")</f>
        <v>COTS</v>
      </c>
    </row>
    <row r="368" spans="1:17" hidden="1" x14ac:dyDescent="0.25">
      <c r="A368" t="s">
        <v>7672</v>
      </c>
      <c r="B368" t="s">
        <v>1058</v>
      </c>
      <c r="C368">
        <v>1</v>
      </c>
      <c r="D368" t="s">
        <v>7047</v>
      </c>
      <c r="E368" t="s">
        <v>1055</v>
      </c>
      <c r="F368" t="s">
        <v>1038</v>
      </c>
      <c r="G368" t="s">
        <v>7165</v>
      </c>
      <c r="H368" t="s">
        <v>1039</v>
      </c>
      <c r="I368" t="s">
        <v>255</v>
      </c>
      <c r="J368" t="s">
        <v>7703</v>
      </c>
      <c r="K368" t="s">
        <v>7818</v>
      </c>
      <c r="L368" t="s">
        <v>7818</v>
      </c>
      <c r="N368" t="str" cm="1">
        <f t="array" ref="N368">IFERROR(LOOKUP(2,1/SEARCH($S$2:$S$65,G368),$T$2:$T$65),"Misc")</f>
        <v>COTS</v>
      </c>
      <c r="O368" t="str" cm="1">
        <f t="array" ref="O368">IFERROR(LOOKUP(2,1/SEARCH($V$2:$V$65,G368),$W$2:$W$65),"Misc")</f>
        <v>Connector</v>
      </c>
      <c r="P368" t="str" cm="1">
        <f t="array" ref="P368">IFERROR(LOOKUP(2,1/SEARCH($Y$2:$Y$65,G368),$Z$2:$Z$65),"Not Defined")</f>
        <v>Connector</v>
      </c>
      <c r="Q368" t="str" cm="1">
        <f t="array" ref="Q368">IFERROR(LOOKUP(2,1/SEARCH($S$2:$S$65,H368),$T$2:$T$65),"-")</f>
        <v>COTS</v>
      </c>
    </row>
    <row r="369" spans="1:17" hidden="1" x14ac:dyDescent="0.25">
      <c r="A369" t="s">
        <v>7672</v>
      </c>
      <c r="B369" t="s">
        <v>1059</v>
      </c>
      <c r="C369">
        <v>2</v>
      </c>
      <c r="D369" t="s">
        <v>7047</v>
      </c>
      <c r="E369" t="s">
        <v>1055</v>
      </c>
      <c r="F369" t="s">
        <v>1041</v>
      </c>
      <c r="G369" t="s">
        <v>7166</v>
      </c>
      <c r="H369" t="s">
        <v>1042</v>
      </c>
      <c r="I369" t="s">
        <v>255</v>
      </c>
      <c r="J369" t="s">
        <v>7703</v>
      </c>
      <c r="K369" t="s">
        <v>7818</v>
      </c>
      <c r="L369" t="s">
        <v>7818</v>
      </c>
      <c r="N369" t="str" cm="1">
        <f t="array" ref="N369">IFERROR(LOOKUP(2,1/SEARCH($S$2:$S$65,G369),$T$2:$T$65),"Misc")</f>
        <v>COTS</v>
      </c>
      <c r="O369" t="str" cm="1">
        <f t="array" ref="O369">IFERROR(LOOKUP(2,1/SEARCH($V$2:$V$65,G369),$W$2:$W$65),"Misc")</f>
        <v>Connector</v>
      </c>
      <c r="P369" t="str" cm="1">
        <f t="array" ref="P369">IFERROR(LOOKUP(2,1/SEARCH($Y$2:$Y$65,G369),$Z$2:$Z$65),"Not Defined")</f>
        <v>Connector</v>
      </c>
      <c r="Q369" t="str" cm="1">
        <f t="array" ref="Q369">IFERROR(LOOKUP(2,1/SEARCH($S$2:$S$65,H369),$T$2:$T$65),"-")</f>
        <v>COTS</v>
      </c>
    </row>
    <row r="370" spans="1:17" hidden="1" x14ac:dyDescent="0.25">
      <c r="A370" t="s">
        <v>7672</v>
      </c>
      <c r="B370" t="s">
        <v>1060</v>
      </c>
      <c r="C370">
        <v>1</v>
      </c>
      <c r="D370" t="s">
        <v>7047</v>
      </c>
      <c r="E370" t="s">
        <v>1055</v>
      </c>
      <c r="F370" t="s">
        <v>1061</v>
      </c>
      <c r="G370" t="s">
        <v>7171</v>
      </c>
      <c r="H370" t="s">
        <v>1062</v>
      </c>
      <c r="I370" t="s">
        <v>255</v>
      </c>
      <c r="J370" t="s">
        <v>7703</v>
      </c>
      <c r="K370" t="s">
        <v>7814</v>
      </c>
      <c r="L370" t="s">
        <v>7823</v>
      </c>
      <c r="N370" t="str" cm="1">
        <f t="array" ref="N370">IFERROR(LOOKUP(2,1/SEARCH($S$2:$S$65,G370),$T$2:$T$65),"Misc")</f>
        <v>COTS</v>
      </c>
      <c r="O370" t="str" cm="1">
        <f t="array" ref="O370">IFERROR(LOOKUP(2,1/SEARCH($V$2:$V$65,G370),$W$2:$W$65),"Misc")</f>
        <v>Misc</v>
      </c>
      <c r="P370" t="str" cm="1">
        <f t="array" ref="P370">IFERROR(LOOKUP(2,1/SEARCH($Y$2:$Y$65,G370),$Z$2:$Z$65),"Not Defined")</f>
        <v>Cable</v>
      </c>
      <c r="Q370" t="str" cm="1">
        <f t="array" ref="Q370">IFERROR(LOOKUP(2,1/SEARCH($S$2:$S$65,H370),$T$2:$T$65),"-")</f>
        <v>COTS</v>
      </c>
    </row>
    <row r="371" spans="1:17" hidden="1" x14ac:dyDescent="0.25">
      <c r="A371" t="s">
        <v>7672</v>
      </c>
      <c r="B371" t="s">
        <v>1063</v>
      </c>
      <c r="C371">
        <v>8</v>
      </c>
      <c r="D371" t="s">
        <v>7047</v>
      </c>
      <c r="F371" t="s">
        <v>236</v>
      </c>
      <c r="G371" t="s">
        <v>7057</v>
      </c>
      <c r="H371" t="s">
        <v>237</v>
      </c>
      <c r="I371" t="s">
        <v>210</v>
      </c>
      <c r="J371" t="s">
        <v>7703</v>
      </c>
      <c r="K371" t="s">
        <v>7684</v>
      </c>
      <c r="L371" t="s">
        <v>7693</v>
      </c>
      <c r="N371" t="str" cm="1">
        <f t="array" ref="N371">IFERROR(LOOKUP(2,1/SEARCH($S$2:$S$65,G371),$T$2:$T$65),"Misc")</f>
        <v>COTS</v>
      </c>
      <c r="O371" t="str" cm="1">
        <f t="array" ref="O371">IFERROR(LOOKUP(2,1/SEARCH($V$2:$V$65,G371),$W$2:$W$65),"Misc")</f>
        <v>Fasteners</v>
      </c>
      <c r="P371" t="str" cm="1">
        <f t="array" ref="P371">IFERROR(LOOKUP(2,1/SEARCH($Y$2:$Y$65,G371),$Z$2:$Z$65),"Not Defined")</f>
        <v>PHS</v>
      </c>
      <c r="Q371" t="str" cm="1">
        <f t="array" ref="Q371">IFERROR(LOOKUP(2,1/SEARCH($S$2:$S$65,H371),$T$2:$T$65),"-")</f>
        <v>COTS</v>
      </c>
    </row>
    <row r="372" spans="1:17" hidden="1" x14ac:dyDescent="0.25">
      <c r="A372" t="s">
        <v>7672</v>
      </c>
      <c r="B372" t="s">
        <v>1064</v>
      </c>
      <c r="C372">
        <v>2</v>
      </c>
      <c r="D372" t="s">
        <v>7047</v>
      </c>
      <c r="F372" t="s">
        <v>1065</v>
      </c>
      <c r="G372" t="s">
        <v>7172</v>
      </c>
      <c r="H372" t="s">
        <v>1066</v>
      </c>
      <c r="I372" t="s">
        <v>255</v>
      </c>
      <c r="J372" t="s">
        <v>7703</v>
      </c>
      <c r="K372" t="s">
        <v>7814</v>
      </c>
      <c r="L372" t="s">
        <v>7834</v>
      </c>
      <c r="N372" t="str" cm="1">
        <f t="array" ref="N372">IFERROR(LOOKUP(2,1/SEARCH($S$2:$S$65,G372),$T$2:$T$65),"Misc")</f>
        <v>Misc</v>
      </c>
      <c r="O372" t="str" cm="1">
        <f t="array" ref="O372">IFERROR(LOOKUP(2,1/SEARCH($V$2:$V$65,G372),$W$2:$W$65),"Misc")</f>
        <v>Misc</v>
      </c>
      <c r="P372" t="str" cm="1">
        <f t="array" ref="P372">IFERROR(LOOKUP(2,1/SEARCH($Y$2:$Y$65,G372),$Z$2:$Z$65),"Not Defined")</f>
        <v>Not Defined</v>
      </c>
      <c r="Q372" t="str" cm="1">
        <f t="array" ref="Q372">IFERROR(LOOKUP(2,1/SEARCH($S$2:$S$65,H372),$T$2:$T$65),"-")</f>
        <v>-</v>
      </c>
    </row>
    <row r="373" spans="1:17" hidden="1" x14ac:dyDescent="0.25">
      <c r="A373" t="s">
        <v>7672</v>
      </c>
      <c r="B373" t="s">
        <v>1067</v>
      </c>
      <c r="C373">
        <v>1</v>
      </c>
      <c r="D373" t="s">
        <v>7047</v>
      </c>
      <c r="E373" t="s">
        <v>1069</v>
      </c>
      <c r="F373" t="s">
        <v>1068</v>
      </c>
      <c r="G373" t="s">
        <v>7173</v>
      </c>
      <c r="H373" t="s">
        <v>1069</v>
      </c>
      <c r="I373" t="s">
        <v>255</v>
      </c>
      <c r="J373" t="s">
        <v>7815</v>
      </c>
      <c r="K373" t="s">
        <v>7717</v>
      </c>
      <c r="L373" t="s">
        <v>7717</v>
      </c>
      <c r="N373" t="str" cm="1">
        <f t="array" ref="N373">IFERROR(LOOKUP(2,1/SEARCH($S$2:$S$65,G373),$T$2:$T$65),"Misc")</f>
        <v>OH ASSY</v>
      </c>
      <c r="O373" t="str" cm="1">
        <f t="array" ref="O373">IFERROR(LOOKUP(2,1/SEARCH($V$2:$V$65,G373),$W$2:$W$65),"Misc")</f>
        <v>ABSIS</v>
      </c>
      <c r="P373" t="str" cm="1">
        <f t="array" ref="P373">IFERROR(LOOKUP(2,1/SEARCH($Y$2:$Y$65,G373),$Z$2:$Z$65),"Not Defined")</f>
        <v>ABSIS</v>
      </c>
      <c r="Q373" t="str" cm="1">
        <f t="array" ref="Q373">IFERROR(LOOKUP(2,1/SEARCH($S$2:$S$65,H373),$T$2:$T$65),"-")</f>
        <v>OH ASSY</v>
      </c>
    </row>
    <row r="374" spans="1:17" hidden="1" x14ac:dyDescent="0.25">
      <c r="A374" t="s">
        <v>7672</v>
      </c>
      <c r="B374" t="s">
        <v>1070</v>
      </c>
      <c r="C374">
        <v>1</v>
      </c>
      <c r="D374" t="s">
        <v>7047</v>
      </c>
      <c r="E374" t="s">
        <v>1069</v>
      </c>
      <c r="F374" t="s">
        <v>1071</v>
      </c>
      <c r="G374" t="s">
        <v>1073</v>
      </c>
      <c r="H374" t="s">
        <v>1072</v>
      </c>
      <c r="I374" t="s">
        <v>255</v>
      </c>
      <c r="J374" t="s">
        <v>7717</v>
      </c>
      <c r="K374" t="s">
        <v>7717</v>
      </c>
      <c r="L374" t="s">
        <v>7717</v>
      </c>
      <c r="N374" t="str" cm="1">
        <f t="array" ref="N374">IFERROR(LOOKUP(2,1/SEARCH($S$2:$S$65,G374),$T$2:$T$65),"Misc")</f>
        <v>ABSIS</v>
      </c>
      <c r="O374" t="str" cm="1">
        <f t="array" ref="O374">IFERROR(LOOKUP(2,1/SEARCH($V$2:$V$65,G374),$W$2:$W$65),"Misc")</f>
        <v>ABSIS</v>
      </c>
      <c r="P374" t="str" cm="1">
        <f t="array" ref="P374">IFERROR(LOOKUP(2,1/SEARCH($Y$2:$Y$65,G374),$Z$2:$Z$65),"Not Defined")</f>
        <v>ABSIS</v>
      </c>
      <c r="Q374" t="str" cm="1">
        <f t="array" ref="Q374">IFERROR(LOOKUP(2,1/SEARCH($S$2:$S$65,H374),$T$2:$T$65),"-")</f>
        <v>ABSIS</v>
      </c>
    </row>
    <row r="375" spans="1:17" hidden="1" x14ac:dyDescent="0.25">
      <c r="A375" t="s">
        <v>7672</v>
      </c>
      <c r="B375" t="s">
        <v>1074</v>
      </c>
      <c r="C375">
        <v>1</v>
      </c>
      <c r="D375" t="s">
        <v>7047</v>
      </c>
      <c r="E375" t="s">
        <v>1069</v>
      </c>
      <c r="F375" t="s">
        <v>516</v>
      </c>
      <c r="G375" t="s">
        <v>1075</v>
      </c>
      <c r="H375" t="s">
        <v>517</v>
      </c>
      <c r="I375" t="s">
        <v>255</v>
      </c>
      <c r="J375" t="s">
        <v>7703</v>
      </c>
      <c r="K375" t="s">
        <v>7713</v>
      </c>
      <c r="L375" t="s">
        <v>7713</v>
      </c>
      <c r="N375" t="str" cm="1">
        <f t="array" ref="N375">IFERROR(LOOKUP(2,1/SEARCH($S$2:$S$65,G375),$T$2:$T$65),"Misc")</f>
        <v>COTS</v>
      </c>
      <c r="O375" t="str" cm="1">
        <f t="array" ref="O375">IFERROR(LOOKUP(2,1/SEARCH($V$2:$V$65,G375),$W$2:$W$65),"Misc")</f>
        <v>ARDUINO</v>
      </c>
      <c r="P375" t="str" cm="1">
        <f t="array" ref="P375">IFERROR(LOOKUP(2,1/SEARCH($Y$2:$Y$65,G375),$Z$2:$Z$65),"Not Defined")</f>
        <v>ARDUINO</v>
      </c>
      <c r="Q375" t="str" cm="1">
        <f t="array" ref="Q375">IFERROR(LOOKUP(2,1/SEARCH($S$2:$S$65,H375),$T$2:$T$65),"-")</f>
        <v>COTS</v>
      </c>
    </row>
    <row r="376" spans="1:17" hidden="1" x14ac:dyDescent="0.25">
      <c r="A376" t="s">
        <v>7672</v>
      </c>
      <c r="B376" t="s">
        <v>1076</v>
      </c>
      <c r="C376">
        <v>3</v>
      </c>
      <c r="D376" t="s">
        <v>7047</v>
      </c>
      <c r="F376" t="s">
        <v>1077</v>
      </c>
      <c r="G376" t="s">
        <v>7174</v>
      </c>
      <c r="H376" t="s">
        <v>1078</v>
      </c>
      <c r="I376" t="s">
        <v>255</v>
      </c>
      <c r="J376" t="s">
        <v>7703</v>
      </c>
      <c r="K376" t="s">
        <v>7814</v>
      </c>
      <c r="L376" t="s">
        <v>7824</v>
      </c>
      <c r="N376" t="str" cm="1">
        <f t="array" ref="N376">IFERROR(LOOKUP(2,1/SEARCH($S$2:$S$65,G376),$T$2:$T$65),"Misc")</f>
        <v>COTS</v>
      </c>
      <c r="O376" t="str" cm="1">
        <f t="array" ref="O376">IFERROR(LOOKUP(2,1/SEARCH($V$2:$V$65,G376),$W$2:$W$65),"Misc")</f>
        <v>Misc</v>
      </c>
      <c r="P376" t="str" cm="1">
        <f t="array" ref="P376">IFERROR(LOOKUP(2,1/SEARCH($Y$2:$Y$65,G376),$Z$2:$Z$65),"Not Defined")</f>
        <v>Hub</v>
      </c>
      <c r="Q376" t="str" cm="1">
        <f t="array" ref="Q376">IFERROR(LOOKUP(2,1/SEARCH($S$2:$S$65,H376),$T$2:$T$65),"-")</f>
        <v>COTS</v>
      </c>
    </row>
    <row r="377" spans="1:17" hidden="1" x14ac:dyDescent="0.25">
      <c r="A377" t="s">
        <v>7672</v>
      </c>
      <c r="B377" t="s">
        <v>1079</v>
      </c>
      <c r="C377">
        <v>1</v>
      </c>
      <c r="D377" t="s">
        <v>7047</v>
      </c>
      <c r="F377" t="s">
        <v>1080</v>
      </c>
      <c r="G377" t="s">
        <v>7175</v>
      </c>
      <c r="H377" t="s">
        <v>1081</v>
      </c>
      <c r="I377" t="s">
        <v>255</v>
      </c>
      <c r="J377" t="s">
        <v>7703</v>
      </c>
      <c r="K377" t="s">
        <v>7814</v>
      </c>
      <c r="L377" t="s">
        <v>7834</v>
      </c>
      <c r="N377" t="str" cm="1">
        <f t="array" ref="N377">IFERROR(LOOKUP(2,1/SEARCH($S$2:$S$65,G377),$T$2:$T$65),"Misc")</f>
        <v>Misc</v>
      </c>
      <c r="O377" t="str" cm="1">
        <f t="array" ref="O377">IFERROR(LOOKUP(2,1/SEARCH($V$2:$V$65,G377),$W$2:$W$65),"Misc")</f>
        <v>Misc</v>
      </c>
      <c r="P377" t="str" cm="1">
        <f t="array" ref="P377">IFERROR(LOOKUP(2,1/SEARCH($Y$2:$Y$65,G377),$Z$2:$Z$65),"Not Defined")</f>
        <v>Not Defined</v>
      </c>
      <c r="Q377" t="str" cm="1">
        <f t="array" ref="Q377">IFERROR(LOOKUP(2,1/SEARCH($S$2:$S$65,H377),$T$2:$T$65),"-")</f>
        <v>-</v>
      </c>
    </row>
    <row r="378" spans="1:17" hidden="1" x14ac:dyDescent="0.25">
      <c r="A378" t="s">
        <v>7672</v>
      </c>
      <c r="B378" t="s">
        <v>1082</v>
      </c>
      <c r="C378">
        <v>1</v>
      </c>
      <c r="D378" t="s">
        <v>7047</v>
      </c>
      <c r="F378" t="s">
        <v>1068</v>
      </c>
      <c r="G378" t="s">
        <v>7176</v>
      </c>
      <c r="H378" t="s">
        <v>1083</v>
      </c>
      <c r="I378" t="s">
        <v>255</v>
      </c>
      <c r="J378" t="s">
        <v>7717</v>
      </c>
      <c r="K378" t="s">
        <v>7717</v>
      </c>
      <c r="L378" t="s">
        <v>7717</v>
      </c>
      <c r="N378" t="str" cm="1">
        <f t="array" ref="N378">IFERROR(LOOKUP(2,1/SEARCH($S$2:$S$65,G378),$T$2:$T$65),"Misc")</f>
        <v>ABSIS</v>
      </c>
      <c r="O378" t="str" cm="1">
        <f t="array" ref="O378">IFERROR(LOOKUP(2,1/SEARCH($V$2:$V$65,G378),$W$2:$W$65),"Misc")</f>
        <v>ABSIS</v>
      </c>
      <c r="P378" t="str" cm="1">
        <f t="array" ref="P378">IFERROR(LOOKUP(2,1/SEARCH($Y$2:$Y$65,G378),$Z$2:$Z$65),"Not Defined")</f>
        <v>ABSIS</v>
      </c>
      <c r="Q378" t="str" cm="1">
        <f t="array" ref="Q378">IFERROR(LOOKUP(2,1/SEARCH($S$2:$S$65,H378),$T$2:$T$65),"-")</f>
        <v>-</v>
      </c>
    </row>
    <row r="379" spans="1:17" hidden="1" x14ac:dyDescent="0.25">
      <c r="A379" t="s">
        <v>7672</v>
      </c>
      <c r="B379" t="s">
        <v>1084</v>
      </c>
      <c r="C379">
        <v>1</v>
      </c>
      <c r="D379" t="s">
        <v>7047</v>
      </c>
      <c r="E379" t="s">
        <v>1086</v>
      </c>
      <c r="F379" t="s">
        <v>1085</v>
      </c>
      <c r="G379" t="s">
        <v>7177</v>
      </c>
      <c r="H379" t="s">
        <v>1086</v>
      </c>
      <c r="J379" t="s">
        <v>7744</v>
      </c>
      <c r="K379" t="s">
        <v>7826</v>
      </c>
      <c r="L379" t="s">
        <v>7826</v>
      </c>
      <c r="N379" t="str" cm="1">
        <f t="array" ref="N379">IFERROR(LOOKUP(2,1/SEARCH($S$2:$S$65,G379),$T$2:$T$65),"Misc")</f>
        <v>OH Common</v>
      </c>
      <c r="O379" t="str" cm="1">
        <f t="array" ref="O379">IFERROR(LOOKUP(2,1/SEARCH($V$2:$V$65,G379),$W$2:$W$65),"Misc")</f>
        <v>OH Part</v>
      </c>
      <c r="P379" t="str" cm="1">
        <f t="array" ref="P379">IFERROR(LOOKUP(2,1/SEARCH($Y$2:$Y$65,G379),$Z$2:$Z$65),"Not Defined")</f>
        <v>OH Part</v>
      </c>
      <c r="Q379" t="str" cm="1">
        <f t="array" ref="Q379">IFERROR(LOOKUP(2,1/SEARCH($S$2:$S$65,H379),$T$2:$T$65),"-")</f>
        <v>OH ASSY</v>
      </c>
    </row>
    <row r="380" spans="1:17" hidden="1" x14ac:dyDescent="0.25">
      <c r="A380" t="s">
        <v>7672</v>
      </c>
      <c r="B380" t="s">
        <v>1087</v>
      </c>
      <c r="C380">
        <v>1</v>
      </c>
      <c r="D380" t="s">
        <v>7047</v>
      </c>
      <c r="E380" t="s">
        <v>1086</v>
      </c>
      <c r="F380" t="s">
        <v>1088</v>
      </c>
      <c r="G380" t="s">
        <v>7178</v>
      </c>
      <c r="H380" t="s">
        <v>1089</v>
      </c>
      <c r="I380" t="s">
        <v>281</v>
      </c>
      <c r="J380" t="s">
        <v>7744</v>
      </c>
      <c r="K380" t="s">
        <v>7826</v>
      </c>
      <c r="L380" t="s">
        <v>7826</v>
      </c>
      <c r="N380" t="str" cm="1">
        <f t="array" ref="N380">IFERROR(LOOKUP(2,1/SEARCH($S$2:$S$65,G380),$T$2:$T$65),"Misc")</f>
        <v>OH Common</v>
      </c>
      <c r="O380" t="str" cm="1">
        <f t="array" ref="O380">IFERROR(LOOKUP(2,1/SEARCH($V$2:$V$65,G380),$W$2:$W$65),"Misc")</f>
        <v>OH Part</v>
      </c>
      <c r="P380" t="str" cm="1">
        <f t="array" ref="P380">IFERROR(LOOKUP(2,1/SEARCH($Y$2:$Y$65,G380),$Z$2:$Z$65),"Not Defined")</f>
        <v>OH Part</v>
      </c>
      <c r="Q380" t="str" cm="1">
        <f t="array" ref="Q380">IFERROR(LOOKUP(2,1/SEARCH($S$2:$S$65,H380),$T$2:$T$65),"-")</f>
        <v>-</v>
      </c>
    </row>
    <row r="381" spans="1:17" hidden="1" x14ac:dyDescent="0.25">
      <c r="A381" t="s">
        <v>7672</v>
      </c>
      <c r="B381" t="s">
        <v>1090</v>
      </c>
      <c r="C381">
        <v>2</v>
      </c>
      <c r="D381" t="s">
        <v>7047</v>
      </c>
      <c r="E381" t="s">
        <v>1086</v>
      </c>
      <c r="F381" t="s">
        <v>1041</v>
      </c>
      <c r="G381" t="s">
        <v>7166</v>
      </c>
      <c r="H381" t="s">
        <v>1042</v>
      </c>
      <c r="I381" t="s">
        <v>255</v>
      </c>
      <c r="J381" t="s">
        <v>7703</v>
      </c>
      <c r="K381" t="s">
        <v>7818</v>
      </c>
      <c r="L381" t="s">
        <v>7818</v>
      </c>
      <c r="N381" t="str" cm="1">
        <f t="array" ref="N381">IFERROR(LOOKUP(2,1/SEARCH($S$2:$S$65,G381),$T$2:$T$65),"Misc")</f>
        <v>COTS</v>
      </c>
      <c r="O381" t="str" cm="1">
        <f t="array" ref="O381">IFERROR(LOOKUP(2,1/SEARCH($V$2:$V$65,G381),$W$2:$W$65),"Misc")</f>
        <v>Connector</v>
      </c>
      <c r="P381" t="str" cm="1">
        <f t="array" ref="P381">IFERROR(LOOKUP(2,1/SEARCH($Y$2:$Y$65,G381),$Z$2:$Z$65),"Not Defined")</f>
        <v>Connector</v>
      </c>
      <c r="Q381" t="str" cm="1">
        <f t="array" ref="Q381">IFERROR(LOOKUP(2,1/SEARCH($S$2:$S$65,H381),$T$2:$T$65),"-")</f>
        <v>COTS</v>
      </c>
    </row>
    <row r="382" spans="1:17" hidden="1" x14ac:dyDescent="0.25">
      <c r="A382" t="s">
        <v>7672</v>
      </c>
      <c r="B382" t="s">
        <v>1091</v>
      </c>
      <c r="C382">
        <v>1</v>
      </c>
      <c r="D382" t="s">
        <v>7047</v>
      </c>
      <c r="E382" t="s">
        <v>1086</v>
      </c>
      <c r="F382" t="s">
        <v>1038</v>
      </c>
      <c r="G382" t="s">
        <v>7165</v>
      </c>
      <c r="H382" t="s">
        <v>1039</v>
      </c>
      <c r="I382" t="s">
        <v>255</v>
      </c>
      <c r="J382" t="s">
        <v>7703</v>
      </c>
      <c r="K382" t="s">
        <v>7818</v>
      </c>
      <c r="L382" t="s">
        <v>7818</v>
      </c>
      <c r="N382" t="str" cm="1">
        <f t="array" ref="N382">IFERROR(LOOKUP(2,1/SEARCH($S$2:$S$65,G382),$T$2:$T$65),"Misc")</f>
        <v>COTS</v>
      </c>
      <c r="O382" t="str" cm="1">
        <f t="array" ref="O382">IFERROR(LOOKUP(2,1/SEARCH($V$2:$V$65,G382),$W$2:$W$65),"Misc")</f>
        <v>Connector</v>
      </c>
      <c r="P382" t="str" cm="1">
        <f t="array" ref="P382">IFERROR(LOOKUP(2,1/SEARCH($Y$2:$Y$65,G382),$Z$2:$Z$65),"Not Defined")</f>
        <v>Connector</v>
      </c>
      <c r="Q382" t="str" cm="1">
        <f t="array" ref="Q382">IFERROR(LOOKUP(2,1/SEARCH($S$2:$S$65,H382),$T$2:$T$65),"-")</f>
        <v>COTS</v>
      </c>
    </row>
    <row r="383" spans="1:17" hidden="1" x14ac:dyDescent="0.25">
      <c r="A383" t="s">
        <v>7672</v>
      </c>
      <c r="B383" t="s">
        <v>1092</v>
      </c>
      <c r="C383">
        <v>1</v>
      </c>
      <c r="D383" t="s">
        <v>7047</v>
      </c>
      <c r="E383" t="s">
        <v>1086</v>
      </c>
      <c r="F383" t="s">
        <v>1093</v>
      </c>
      <c r="G383" t="s">
        <v>7179</v>
      </c>
      <c r="H383" t="s">
        <v>1094</v>
      </c>
      <c r="I383" t="s">
        <v>484</v>
      </c>
      <c r="J383" t="s">
        <v>7703</v>
      </c>
      <c r="K383" t="s">
        <v>7814</v>
      </c>
      <c r="L383" t="s">
        <v>7823</v>
      </c>
      <c r="N383" t="str" cm="1">
        <f t="array" ref="N383">IFERROR(LOOKUP(2,1/SEARCH($S$2:$S$65,G383),$T$2:$T$65),"Misc")</f>
        <v>COTS</v>
      </c>
      <c r="O383" t="str" cm="1">
        <f t="array" ref="O383">IFERROR(LOOKUP(2,1/SEARCH($V$2:$V$65,G383),$W$2:$W$65),"Misc")</f>
        <v>Misc</v>
      </c>
      <c r="P383" t="str" cm="1">
        <f t="array" ref="P383">IFERROR(LOOKUP(2,1/SEARCH($Y$2:$Y$65,G383),$Z$2:$Z$65),"Not Defined")</f>
        <v>Cable</v>
      </c>
      <c r="Q383" t="str" cm="1">
        <f t="array" ref="Q383">IFERROR(LOOKUP(2,1/SEARCH($S$2:$S$65,H383),$T$2:$T$65),"-")</f>
        <v>COTS</v>
      </c>
    </row>
    <row r="384" spans="1:17" hidden="1" x14ac:dyDescent="0.25">
      <c r="A384" t="s">
        <v>7672</v>
      </c>
      <c r="B384" t="s">
        <v>1095</v>
      </c>
      <c r="C384">
        <v>1</v>
      </c>
      <c r="D384" t="s">
        <v>7047</v>
      </c>
      <c r="E384" t="s">
        <v>1097</v>
      </c>
      <c r="F384" t="s">
        <v>1096</v>
      </c>
      <c r="G384" t="s">
        <v>7180</v>
      </c>
      <c r="H384" t="s">
        <v>1097</v>
      </c>
      <c r="J384" t="s">
        <v>7744</v>
      </c>
      <c r="K384" t="s">
        <v>7826</v>
      </c>
      <c r="L384" t="s">
        <v>7826</v>
      </c>
      <c r="N384" t="str" cm="1">
        <f t="array" ref="N384">IFERROR(LOOKUP(2,1/SEARCH($S$2:$S$65,G384),$T$2:$T$65),"Misc")</f>
        <v>OH Common</v>
      </c>
      <c r="O384" t="str" cm="1">
        <f t="array" ref="O384">IFERROR(LOOKUP(2,1/SEARCH($V$2:$V$65,G384),$W$2:$W$65),"Misc")</f>
        <v>OH Part</v>
      </c>
      <c r="P384" t="str" cm="1">
        <f t="array" ref="P384">IFERROR(LOOKUP(2,1/SEARCH($Y$2:$Y$65,G384),$Z$2:$Z$65),"Not Defined")</f>
        <v>OH Part</v>
      </c>
      <c r="Q384" t="str" cm="1">
        <f t="array" ref="Q384">IFERROR(LOOKUP(2,1/SEARCH($S$2:$S$65,H384),$T$2:$T$65),"-")</f>
        <v>OH ASSY</v>
      </c>
    </row>
    <row r="385" spans="1:17" hidden="1" x14ac:dyDescent="0.25">
      <c r="A385" t="s">
        <v>7672</v>
      </c>
      <c r="B385" t="s">
        <v>1098</v>
      </c>
      <c r="C385">
        <v>1</v>
      </c>
      <c r="D385" t="s">
        <v>7047</v>
      </c>
      <c r="E385" t="s">
        <v>1097</v>
      </c>
      <c r="F385" t="s">
        <v>1099</v>
      </c>
      <c r="G385" t="s">
        <v>7181</v>
      </c>
      <c r="H385" t="s">
        <v>1100</v>
      </c>
      <c r="I385" t="s">
        <v>281</v>
      </c>
      <c r="J385" t="s">
        <v>7744</v>
      </c>
      <c r="K385" t="s">
        <v>7826</v>
      </c>
      <c r="L385" t="s">
        <v>7826</v>
      </c>
      <c r="N385" t="str" cm="1">
        <f t="array" ref="N385">IFERROR(LOOKUP(2,1/SEARCH($S$2:$S$65,G385),$T$2:$T$65),"Misc")</f>
        <v>OH Common</v>
      </c>
      <c r="O385" t="str" cm="1">
        <f t="array" ref="O385">IFERROR(LOOKUP(2,1/SEARCH($V$2:$V$65,G385),$W$2:$W$65),"Misc")</f>
        <v>OH Part</v>
      </c>
      <c r="P385" t="str" cm="1">
        <f t="array" ref="P385">IFERROR(LOOKUP(2,1/SEARCH($Y$2:$Y$65,G385),$Z$2:$Z$65),"Not Defined")</f>
        <v>OH Part</v>
      </c>
      <c r="Q385" t="str" cm="1">
        <f t="array" ref="Q385">IFERROR(LOOKUP(2,1/SEARCH($S$2:$S$65,H385),$T$2:$T$65),"-")</f>
        <v>-</v>
      </c>
    </row>
    <row r="386" spans="1:17" hidden="1" x14ac:dyDescent="0.25">
      <c r="A386" t="s">
        <v>7672</v>
      </c>
      <c r="B386" t="s">
        <v>1101</v>
      </c>
      <c r="C386">
        <v>3</v>
      </c>
      <c r="D386" t="s">
        <v>7047</v>
      </c>
      <c r="E386" t="s">
        <v>1097</v>
      </c>
      <c r="F386" t="s">
        <v>1102</v>
      </c>
      <c r="G386" t="s">
        <v>7182</v>
      </c>
      <c r="H386" t="s">
        <v>1103</v>
      </c>
      <c r="I386" t="s">
        <v>255</v>
      </c>
      <c r="J386" t="s">
        <v>7703</v>
      </c>
      <c r="K386" t="s">
        <v>7814</v>
      </c>
      <c r="L386" t="s">
        <v>7834</v>
      </c>
      <c r="N386" t="str" cm="1">
        <f t="array" ref="N386">IFERROR(LOOKUP(2,1/SEARCH($S$2:$S$65,G386),$T$2:$T$65),"Misc")</f>
        <v>Misc</v>
      </c>
      <c r="O386" t="str" cm="1">
        <f t="array" ref="O386">IFERROR(LOOKUP(2,1/SEARCH($V$2:$V$65,G386),$W$2:$W$65),"Misc")</f>
        <v>Misc</v>
      </c>
      <c r="P386" t="str" cm="1">
        <f t="array" ref="P386">IFERROR(LOOKUP(2,1/SEARCH($Y$2:$Y$65,G386),$Z$2:$Z$65),"Not Defined")</f>
        <v>Not Defined</v>
      </c>
      <c r="Q386" t="str" cm="1">
        <f t="array" ref="Q386">IFERROR(LOOKUP(2,1/SEARCH($S$2:$S$65,H386),$T$2:$T$65),"-")</f>
        <v>-</v>
      </c>
    </row>
    <row r="387" spans="1:17" hidden="1" x14ac:dyDescent="0.25">
      <c r="A387" t="s">
        <v>7672</v>
      </c>
      <c r="B387" t="s">
        <v>1104</v>
      </c>
      <c r="C387">
        <v>4</v>
      </c>
      <c r="D387" t="s">
        <v>7047</v>
      </c>
      <c r="E387" t="s">
        <v>1097</v>
      </c>
      <c r="F387" t="s">
        <v>1105</v>
      </c>
      <c r="G387" t="s">
        <v>7183</v>
      </c>
      <c r="H387" t="s">
        <v>1106</v>
      </c>
      <c r="I387" t="s">
        <v>929</v>
      </c>
      <c r="J387" t="s">
        <v>7703</v>
      </c>
      <c r="K387" t="s">
        <v>7818</v>
      </c>
      <c r="L387" t="s">
        <v>7818</v>
      </c>
      <c r="N387" t="str" cm="1">
        <f t="array" ref="N387">IFERROR(LOOKUP(2,1/SEARCH($S$2:$S$65,G387),$T$2:$T$65),"Misc")</f>
        <v>COTS</v>
      </c>
      <c r="O387" t="str" cm="1">
        <f t="array" ref="O387">IFERROR(LOOKUP(2,1/SEARCH($V$2:$V$65,G387),$W$2:$W$65),"Misc")</f>
        <v>Connector</v>
      </c>
      <c r="P387" t="str" cm="1">
        <f t="array" ref="P387">IFERROR(LOOKUP(2,1/SEARCH($Y$2:$Y$65,G387),$Z$2:$Z$65),"Not Defined")</f>
        <v>Connector</v>
      </c>
      <c r="Q387" t="str" cm="1">
        <f t="array" ref="Q387">IFERROR(LOOKUP(2,1/SEARCH($S$2:$S$65,H387),$T$2:$T$65),"-")</f>
        <v>COTS</v>
      </c>
    </row>
    <row r="388" spans="1:17" hidden="1" x14ac:dyDescent="0.25">
      <c r="A388" t="s">
        <v>7672</v>
      </c>
      <c r="B388" t="s">
        <v>1107</v>
      </c>
      <c r="C388">
        <v>1</v>
      </c>
      <c r="D388" t="s">
        <v>7047</v>
      </c>
      <c r="E388" t="s">
        <v>1109</v>
      </c>
      <c r="F388" t="s">
        <v>1108</v>
      </c>
      <c r="G388" t="s">
        <v>7184</v>
      </c>
      <c r="H388" t="s">
        <v>1109</v>
      </c>
      <c r="I388" t="s">
        <v>255</v>
      </c>
      <c r="J388" t="s">
        <v>7815</v>
      </c>
      <c r="K388" t="s">
        <v>7717</v>
      </c>
      <c r="L388" t="s">
        <v>7717</v>
      </c>
      <c r="N388" t="str" cm="1">
        <f t="array" ref="N388">IFERROR(LOOKUP(2,1/SEARCH($S$2:$S$65,G388),$T$2:$T$65),"Misc")</f>
        <v>OH ASSY</v>
      </c>
      <c r="O388" t="str" cm="1">
        <f t="array" ref="O388">IFERROR(LOOKUP(2,1/SEARCH($V$2:$V$65,G388),$W$2:$W$65),"Misc")</f>
        <v>ABSIS</v>
      </c>
      <c r="P388" t="str" cm="1">
        <f t="array" ref="P388">IFERROR(LOOKUP(2,1/SEARCH($Y$2:$Y$65,G388),$Z$2:$Z$65),"Not Defined")</f>
        <v>ABSIS</v>
      </c>
      <c r="Q388" t="str" cm="1">
        <f t="array" ref="Q388">IFERROR(LOOKUP(2,1/SEARCH($S$2:$S$65,H388),$T$2:$T$65),"-")</f>
        <v>OH ASSY</v>
      </c>
    </row>
    <row r="389" spans="1:17" hidden="1" x14ac:dyDescent="0.25">
      <c r="A389" t="s">
        <v>7672</v>
      </c>
      <c r="B389" t="s">
        <v>1110</v>
      </c>
      <c r="C389">
        <v>1</v>
      </c>
      <c r="D389" t="s">
        <v>7047</v>
      </c>
      <c r="E389" t="s">
        <v>1109</v>
      </c>
      <c r="F389" t="s">
        <v>1111</v>
      </c>
      <c r="G389" t="s">
        <v>7185</v>
      </c>
      <c r="H389" t="s">
        <v>1112</v>
      </c>
      <c r="I389" t="s">
        <v>255</v>
      </c>
      <c r="J389" t="s">
        <v>7717</v>
      </c>
      <c r="K389" t="s">
        <v>7717</v>
      </c>
      <c r="L389" t="s">
        <v>7717</v>
      </c>
      <c r="N389" t="str" cm="1">
        <f t="array" ref="N389">IFERROR(LOOKUP(2,1/SEARCH($S$2:$S$65,G389),$T$2:$T$65),"Misc")</f>
        <v>ABSIS</v>
      </c>
      <c r="O389" t="str" cm="1">
        <f t="array" ref="O389">IFERROR(LOOKUP(2,1/SEARCH($V$2:$V$65,G389),$W$2:$W$65),"Misc")</f>
        <v>ABSIS</v>
      </c>
      <c r="P389" t="str" cm="1">
        <f t="array" ref="P389">IFERROR(LOOKUP(2,1/SEARCH($Y$2:$Y$65,G389),$Z$2:$Z$65),"Not Defined")</f>
        <v>ABSIS</v>
      </c>
      <c r="Q389" t="str" cm="1">
        <f t="array" ref="Q389">IFERROR(LOOKUP(2,1/SEARCH($S$2:$S$65,H389),$T$2:$T$65),"-")</f>
        <v>ABSIS</v>
      </c>
    </row>
    <row r="390" spans="1:17" hidden="1" x14ac:dyDescent="0.25">
      <c r="A390" t="s">
        <v>7672</v>
      </c>
      <c r="B390" t="s">
        <v>1113</v>
      </c>
      <c r="C390">
        <v>1</v>
      </c>
      <c r="D390" t="s">
        <v>7047</v>
      </c>
      <c r="E390" t="s">
        <v>1109</v>
      </c>
      <c r="F390" t="s">
        <v>596</v>
      </c>
      <c r="G390" t="s">
        <v>7108</v>
      </c>
      <c r="H390" t="s">
        <v>597</v>
      </c>
      <c r="I390" t="s">
        <v>255</v>
      </c>
      <c r="J390" t="s">
        <v>7703</v>
      </c>
      <c r="K390" t="s">
        <v>7713</v>
      </c>
      <c r="L390" t="s">
        <v>7713</v>
      </c>
      <c r="N390" t="str" cm="1">
        <f t="array" ref="N390">IFERROR(LOOKUP(2,1/SEARCH($S$2:$S$65,G390),$T$2:$T$65),"Misc")</f>
        <v>COTS</v>
      </c>
      <c r="O390" t="str" cm="1">
        <f t="array" ref="O390">IFERROR(LOOKUP(2,1/SEARCH($V$2:$V$65,G390),$W$2:$W$65),"Misc")</f>
        <v>ARDUINO</v>
      </c>
      <c r="P390" t="str" cm="1">
        <f t="array" ref="P390">IFERROR(LOOKUP(2,1/SEARCH($Y$2:$Y$65,G390),$Z$2:$Z$65),"Not Defined")</f>
        <v>ARDUINO</v>
      </c>
      <c r="Q390" t="str" cm="1">
        <f t="array" ref="Q390">IFERROR(LOOKUP(2,1/SEARCH($S$2:$S$65,H390),$T$2:$T$65),"-")</f>
        <v>COTS</v>
      </c>
    </row>
    <row r="391" spans="1:17" hidden="1" x14ac:dyDescent="0.25">
      <c r="A391" t="s">
        <v>7672</v>
      </c>
      <c r="B391" t="s">
        <v>1114</v>
      </c>
      <c r="C391">
        <v>1</v>
      </c>
      <c r="D391" t="s">
        <v>7047</v>
      </c>
      <c r="E391" t="s">
        <v>1116</v>
      </c>
      <c r="F391" t="s">
        <v>1115</v>
      </c>
      <c r="G391" t="s">
        <v>7186</v>
      </c>
      <c r="H391" t="s">
        <v>1116</v>
      </c>
      <c r="J391" t="s">
        <v>7744</v>
      </c>
      <c r="K391" t="s">
        <v>7826</v>
      </c>
      <c r="L391" t="s">
        <v>7826</v>
      </c>
      <c r="N391" t="str" cm="1">
        <f t="array" ref="N391">IFERROR(LOOKUP(2,1/SEARCH($S$2:$S$65,G391),$T$2:$T$65),"Misc")</f>
        <v>OH Common</v>
      </c>
      <c r="O391" t="str" cm="1">
        <f t="array" ref="O391">IFERROR(LOOKUP(2,1/SEARCH($V$2:$V$65,G391),$W$2:$W$65),"Misc")</f>
        <v>OH Part</v>
      </c>
      <c r="P391" t="str" cm="1">
        <f t="array" ref="P391">IFERROR(LOOKUP(2,1/SEARCH($Y$2:$Y$65,G391),$Z$2:$Z$65),"Not Defined")</f>
        <v>OH Part</v>
      </c>
      <c r="Q391" t="str" cm="1">
        <f t="array" ref="Q391">IFERROR(LOOKUP(2,1/SEARCH($S$2:$S$65,H391),$T$2:$T$65),"-")</f>
        <v>OH ASSY</v>
      </c>
    </row>
    <row r="392" spans="1:17" hidden="1" x14ac:dyDescent="0.25">
      <c r="A392" t="s">
        <v>7672</v>
      </c>
      <c r="B392" t="s">
        <v>1117</v>
      </c>
      <c r="C392">
        <v>1</v>
      </c>
      <c r="D392" t="s">
        <v>7047</v>
      </c>
      <c r="E392" t="s">
        <v>1116</v>
      </c>
      <c r="F392" t="s">
        <v>1118</v>
      </c>
      <c r="G392" t="s">
        <v>7187</v>
      </c>
      <c r="H392" t="s">
        <v>1119</v>
      </c>
      <c r="I392" t="s">
        <v>281</v>
      </c>
      <c r="J392" t="s">
        <v>7744</v>
      </c>
      <c r="K392" t="s">
        <v>7826</v>
      </c>
      <c r="L392" t="s">
        <v>7826</v>
      </c>
      <c r="N392" t="str" cm="1">
        <f t="array" ref="N392">IFERROR(LOOKUP(2,1/SEARCH($S$2:$S$65,G392),$T$2:$T$65),"Misc")</f>
        <v>OH Common</v>
      </c>
      <c r="O392" t="str" cm="1">
        <f t="array" ref="O392">IFERROR(LOOKUP(2,1/SEARCH($V$2:$V$65,G392),$W$2:$W$65),"Misc")</f>
        <v>OH Part</v>
      </c>
      <c r="P392" t="str" cm="1">
        <f t="array" ref="P392">IFERROR(LOOKUP(2,1/SEARCH($Y$2:$Y$65,G392),$Z$2:$Z$65),"Not Defined")</f>
        <v>OH Part</v>
      </c>
      <c r="Q392" t="str" cm="1">
        <f t="array" ref="Q392">IFERROR(LOOKUP(2,1/SEARCH($S$2:$S$65,H392),$T$2:$T$65),"-")</f>
        <v>-</v>
      </c>
    </row>
    <row r="393" spans="1:17" hidden="1" x14ac:dyDescent="0.25">
      <c r="A393" t="s">
        <v>7672</v>
      </c>
      <c r="B393" t="s">
        <v>1120</v>
      </c>
      <c r="C393">
        <v>1</v>
      </c>
      <c r="D393" t="s">
        <v>7047</v>
      </c>
      <c r="E393" t="s">
        <v>1116</v>
      </c>
      <c r="F393" t="s">
        <v>1121</v>
      </c>
      <c r="G393" t="s">
        <v>1121</v>
      </c>
      <c r="H393" t="s">
        <v>1122</v>
      </c>
      <c r="I393" t="s">
        <v>255</v>
      </c>
      <c r="J393" t="s">
        <v>7703</v>
      </c>
      <c r="K393" t="s">
        <v>7814</v>
      </c>
      <c r="L393" t="s">
        <v>7834</v>
      </c>
      <c r="N393" t="str" cm="1">
        <f t="array" ref="N393">IFERROR(LOOKUP(2,1/SEARCH($S$2:$S$65,G393),$T$2:$T$65),"Misc")</f>
        <v>Misc</v>
      </c>
      <c r="O393" t="str" cm="1">
        <f t="array" ref="O393">IFERROR(LOOKUP(2,1/SEARCH($V$2:$V$65,G393),$W$2:$W$65),"Misc")</f>
        <v>Misc</v>
      </c>
      <c r="P393" t="str" cm="1">
        <f t="array" ref="P393">IFERROR(LOOKUP(2,1/SEARCH($Y$2:$Y$65,G393),$Z$2:$Z$65),"Not Defined")</f>
        <v>Not Defined</v>
      </c>
      <c r="Q393" t="str" cm="1">
        <f t="array" ref="Q393">IFERROR(LOOKUP(2,1/SEARCH($S$2:$S$65,H393),$T$2:$T$65),"-")</f>
        <v>COTS</v>
      </c>
    </row>
    <row r="394" spans="1:17" hidden="1" x14ac:dyDescent="0.25">
      <c r="A394" t="s">
        <v>7672</v>
      </c>
      <c r="B394" t="s">
        <v>1123</v>
      </c>
      <c r="C394">
        <v>1</v>
      </c>
      <c r="D394" t="s">
        <v>7047</v>
      </c>
      <c r="E394" t="s">
        <v>1116</v>
      </c>
      <c r="F394" t="s">
        <v>1038</v>
      </c>
      <c r="G394" t="s">
        <v>7165</v>
      </c>
      <c r="H394" t="s">
        <v>1039</v>
      </c>
      <c r="I394" t="s">
        <v>255</v>
      </c>
      <c r="J394" t="s">
        <v>7703</v>
      </c>
      <c r="K394" t="s">
        <v>7818</v>
      </c>
      <c r="L394" t="s">
        <v>7818</v>
      </c>
      <c r="N394" t="str" cm="1">
        <f t="array" ref="N394">IFERROR(LOOKUP(2,1/SEARCH($S$2:$S$65,G394),$T$2:$T$65),"Misc")</f>
        <v>COTS</v>
      </c>
      <c r="O394" t="str" cm="1">
        <f t="array" ref="O394">IFERROR(LOOKUP(2,1/SEARCH($V$2:$V$65,G394),$W$2:$W$65),"Misc")</f>
        <v>Connector</v>
      </c>
      <c r="P394" t="str" cm="1">
        <f t="array" ref="P394">IFERROR(LOOKUP(2,1/SEARCH($Y$2:$Y$65,G394),$Z$2:$Z$65),"Not Defined")</f>
        <v>Connector</v>
      </c>
      <c r="Q394" t="str" cm="1">
        <f t="array" ref="Q394">IFERROR(LOOKUP(2,1/SEARCH($S$2:$S$65,H394),$T$2:$T$65),"-")</f>
        <v>COTS</v>
      </c>
    </row>
    <row r="395" spans="1:17" hidden="1" x14ac:dyDescent="0.25">
      <c r="A395" t="s">
        <v>7672</v>
      </c>
      <c r="B395" t="s">
        <v>1124</v>
      </c>
      <c r="C395">
        <v>1</v>
      </c>
      <c r="D395" t="s">
        <v>7047</v>
      </c>
      <c r="E395" t="s">
        <v>1116</v>
      </c>
      <c r="F395" t="s">
        <v>1125</v>
      </c>
      <c r="G395" t="s">
        <v>7188</v>
      </c>
      <c r="H395" t="s">
        <v>1126</v>
      </c>
      <c r="J395" t="s">
        <v>7703</v>
      </c>
      <c r="K395" t="s">
        <v>7814</v>
      </c>
      <c r="L395" t="s">
        <v>7823</v>
      </c>
      <c r="N395" t="str" cm="1">
        <f t="array" ref="N395">IFERROR(LOOKUP(2,1/SEARCH($S$2:$S$65,G395),$T$2:$T$65),"Misc")</f>
        <v>COTS</v>
      </c>
      <c r="O395" t="str" cm="1">
        <f t="array" ref="O395">IFERROR(LOOKUP(2,1/SEARCH($V$2:$V$65,G395),$W$2:$W$65),"Misc")</f>
        <v>Misc</v>
      </c>
      <c r="P395" t="str" cm="1">
        <f t="array" ref="P395">IFERROR(LOOKUP(2,1/SEARCH($Y$2:$Y$65,G395),$Z$2:$Z$65),"Not Defined")</f>
        <v>Cable</v>
      </c>
      <c r="Q395" t="str" cm="1">
        <f t="array" ref="Q395">IFERROR(LOOKUP(2,1/SEARCH($S$2:$S$65,H395),$T$2:$T$65),"-")</f>
        <v>COTS</v>
      </c>
    </row>
    <row r="396" spans="1:17" hidden="1" x14ac:dyDescent="0.25">
      <c r="A396" t="s">
        <v>7672</v>
      </c>
      <c r="B396" t="s">
        <v>1127</v>
      </c>
      <c r="C396">
        <v>1</v>
      </c>
      <c r="D396" t="s">
        <v>7047</v>
      </c>
      <c r="F396" t="s">
        <v>1128</v>
      </c>
      <c r="G396" t="s">
        <v>1130</v>
      </c>
      <c r="H396" t="s">
        <v>1129</v>
      </c>
      <c r="I396" t="s">
        <v>13</v>
      </c>
      <c r="J396" t="s">
        <v>7682</v>
      </c>
      <c r="K396" t="s">
        <v>7826</v>
      </c>
      <c r="L396" t="s">
        <v>7826</v>
      </c>
      <c r="N396" t="str" cm="1">
        <f t="array" ref="N396">IFERROR(LOOKUP(2,1/SEARCH($S$2:$S$65,G396),$T$2:$T$65),"Misc")</f>
        <v>OH P/N</v>
      </c>
      <c r="O396" t="str" cm="1">
        <f t="array" ref="O396">IFERROR(LOOKUP(2,1/SEARCH($V$2:$V$65,G396),$W$2:$W$65),"Misc")</f>
        <v>OH Part</v>
      </c>
      <c r="P396" t="str" cm="1">
        <f t="array" ref="P396">IFERROR(LOOKUP(2,1/SEARCH($Y$2:$Y$65,G396),$Z$2:$Z$65),"Not Defined")</f>
        <v>OH Part</v>
      </c>
      <c r="Q396" t="str" cm="1">
        <f t="array" ref="Q396">IFERROR(LOOKUP(2,1/SEARCH($S$2:$S$65,H396),$T$2:$T$65),"-")</f>
        <v>COTS</v>
      </c>
    </row>
    <row r="397" spans="1:17" hidden="1" x14ac:dyDescent="0.25">
      <c r="A397" t="s">
        <v>7672</v>
      </c>
      <c r="B397" t="s">
        <v>1131</v>
      </c>
      <c r="C397">
        <v>1</v>
      </c>
      <c r="D397" t="s">
        <v>7047</v>
      </c>
      <c r="F397" t="s">
        <v>1132</v>
      </c>
      <c r="G397" t="s">
        <v>1134</v>
      </c>
      <c r="H397" t="s">
        <v>1133</v>
      </c>
      <c r="I397" t="s">
        <v>13</v>
      </c>
      <c r="J397" t="s">
        <v>7682</v>
      </c>
      <c r="K397" t="s">
        <v>7826</v>
      </c>
      <c r="L397" t="s">
        <v>7826</v>
      </c>
      <c r="N397" t="str" cm="1">
        <f t="array" ref="N397">IFERROR(LOOKUP(2,1/SEARCH($S$2:$S$65,G397),$T$2:$T$65),"Misc")</f>
        <v>OH P/N</v>
      </c>
      <c r="O397" t="str" cm="1">
        <f t="array" ref="O397">IFERROR(LOOKUP(2,1/SEARCH($V$2:$V$65,G397),$W$2:$W$65),"Misc")</f>
        <v>OH Part</v>
      </c>
      <c r="P397" t="str" cm="1">
        <f t="array" ref="P397">IFERROR(LOOKUP(2,1/SEARCH($Y$2:$Y$65,G397),$Z$2:$Z$65),"Not Defined")</f>
        <v>OH Part</v>
      </c>
      <c r="Q397" t="str" cm="1">
        <f t="array" ref="Q397">IFERROR(LOOKUP(2,1/SEARCH($S$2:$S$65,H397),$T$2:$T$65),"-")</f>
        <v>COTS</v>
      </c>
    </row>
    <row r="398" spans="1:17" hidden="1" x14ac:dyDescent="0.25">
      <c r="A398" t="s">
        <v>7672</v>
      </c>
      <c r="B398" t="s">
        <v>1135</v>
      </c>
      <c r="C398">
        <v>2</v>
      </c>
      <c r="D398" t="s">
        <v>7047</v>
      </c>
      <c r="F398" t="s">
        <v>1136</v>
      </c>
      <c r="G398" t="s">
        <v>7189</v>
      </c>
      <c r="H398" t="s">
        <v>1137</v>
      </c>
      <c r="I398" t="s">
        <v>228</v>
      </c>
      <c r="J398" t="s">
        <v>7703</v>
      </c>
      <c r="K398" t="s">
        <v>7684</v>
      </c>
      <c r="L398" t="s">
        <v>7693</v>
      </c>
      <c r="N398" t="str" cm="1">
        <f t="array" ref="N398">IFERROR(LOOKUP(2,1/SEARCH($S$2:$S$65,G398),$T$2:$T$65),"Misc")</f>
        <v>COTS</v>
      </c>
      <c r="O398" t="str" cm="1">
        <f t="array" ref="O398">IFERROR(LOOKUP(2,1/SEARCH($V$2:$V$65,G398),$W$2:$W$65),"Misc")</f>
        <v>Fasteners</v>
      </c>
      <c r="P398" t="str" cm="1">
        <f t="array" ref="P398">IFERROR(LOOKUP(2,1/SEARCH($Y$2:$Y$65,G398),$Z$2:$Z$65),"Not Defined")</f>
        <v>PHS</v>
      </c>
      <c r="Q398" t="str" cm="1">
        <f t="array" ref="Q398">IFERROR(LOOKUP(2,1/SEARCH($S$2:$S$65,H398),$T$2:$T$65),"-")</f>
        <v>COTS</v>
      </c>
    </row>
    <row r="399" spans="1:17" hidden="1" x14ac:dyDescent="0.25">
      <c r="A399" t="s">
        <v>7672</v>
      </c>
      <c r="B399" t="s">
        <v>1138</v>
      </c>
      <c r="C399">
        <v>12</v>
      </c>
      <c r="D399" t="s">
        <v>7047</v>
      </c>
      <c r="F399" t="s">
        <v>583</v>
      </c>
      <c r="G399" t="s">
        <v>7106</v>
      </c>
      <c r="H399" t="s">
        <v>584</v>
      </c>
      <c r="I399" t="s">
        <v>299</v>
      </c>
      <c r="J399" t="s">
        <v>7703</v>
      </c>
      <c r="K399" t="s">
        <v>7684</v>
      </c>
      <c r="L399" t="s">
        <v>7708</v>
      </c>
      <c r="N399" t="str" cm="1">
        <f t="array" ref="N399">IFERROR(LOOKUP(2,1/SEARCH($S$2:$S$65,G399),$T$2:$T$65),"Misc")</f>
        <v>COTS</v>
      </c>
      <c r="O399" t="str" cm="1">
        <f t="array" ref="O399">IFERROR(LOOKUP(2,1/SEARCH($V$2:$V$65,G399),$W$2:$W$65),"Misc")</f>
        <v>Fasteners</v>
      </c>
      <c r="P399" t="str" cm="1">
        <f t="array" ref="P399">IFERROR(LOOKUP(2,1/SEARCH($Y$2:$Y$65,G399),$Z$2:$Z$65),"Not Defined")</f>
        <v>STANDOFF</v>
      </c>
      <c r="Q399" t="str" cm="1">
        <f t="array" ref="Q399">IFERROR(LOOKUP(2,1/SEARCH($S$2:$S$65,H399),$T$2:$T$65),"-")</f>
        <v>COTS</v>
      </c>
    </row>
    <row r="400" spans="1:17" hidden="1" x14ac:dyDescent="0.25">
      <c r="A400" t="s">
        <v>7672</v>
      </c>
      <c r="B400" t="s">
        <v>1139</v>
      </c>
      <c r="C400">
        <v>12</v>
      </c>
      <c r="D400" t="s">
        <v>7047</v>
      </c>
      <c r="F400" t="s">
        <v>460</v>
      </c>
      <c r="G400" t="s">
        <v>7090</v>
      </c>
      <c r="H400" t="s">
        <v>461</v>
      </c>
      <c r="I400" t="s">
        <v>224</v>
      </c>
      <c r="J400" t="s">
        <v>7703</v>
      </c>
      <c r="K400" t="s">
        <v>7684</v>
      </c>
      <c r="L400" t="s">
        <v>7693</v>
      </c>
      <c r="N400" t="str" cm="1">
        <f t="array" ref="N400">IFERROR(LOOKUP(2,1/SEARCH($S$2:$S$65,G400),$T$2:$T$65),"Misc")</f>
        <v>COTS</v>
      </c>
      <c r="O400" t="str" cm="1">
        <f t="array" ref="O400">IFERROR(LOOKUP(2,1/SEARCH($V$2:$V$65,G400),$W$2:$W$65),"Misc")</f>
        <v>Fasteners</v>
      </c>
      <c r="P400" t="str" cm="1">
        <f t="array" ref="P400">IFERROR(LOOKUP(2,1/SEARCH($Y$2:$Y$65,G400),$Z$2:$Z$65),"Not Defined")</f>
        <v>PHS</v>
      </c>
      <c r="Q400" t="str" cm="1">
        <f t="array" ref="Q400">IFERROR(LOOKUP(2,1/SEARCH($S$2:$S$65,H400),$T$2:$T$65),"-")</f>
        <v>COTS</v>
      </c>
    </row>
    <row r="401" spans="1:17" hidden="1" x14ac:dyDescent="0.25">
      <c r="A401" t="s">
        <v>7672</v>
      </c>
      <c r="B401" t="s">
        <v>1140</v>
      </c>
      <c r="C401">
        <v>6</v>
      </c>
      <c r="D401" t="s">
        <v>7047</v>
      </c>
      <c r="F401" t="s">
        <v>566</v>
      </c>
      <c r="G401" t="s">
        <v>7101</v>
      </c>
      <c r="H401" t="s">
        <v>567</v>
      </c>
      <c r="I401" t="s">
        <v>228</v>
      </c>
      <c r="J401" t="s">
        <v>7703</v>
      </c>
      <c r="K401" t="s">
        <v>7684</v>
      </c>
      <c r="L401" t="s">
        <v>7693</v>
      </c>
      <c r="N401" t="str" cm="1">
        <f t="array" ref="N401">IFERROR(LOOKUP(2,1/SEARCH($S$2:$S$65,G401),$T$2:$T$65),"Misc")</f>
        <v>COTS</v>
      </c>
      <c r="O401" t="str" cm="1">
        <f t="array" ref="O401">IFERROR(LOOKUP(2,1/SEARCH($V$2:$V$65,G401),$W$2:$W$65),"Misc")</f>
        <v>Fasteners</v>
      </c>
      <c r="P401" t="str" cm="1">
        <f t="array" ref="P401">IFERROR(LOOKUP(2,1/SEARCH($Y$2:$Y$65,G401),$Z$2:$Z$65),"Not Defined")</f>
        <v>PHS</v>
      </c>
      <c r="Q401" t="str" cm="1">
        <f t="array" ref="Q401">IFERROR(LOOKUP(2,1/SEARCH($S$2:$S$65,H401),$T$2:$T$65),"-")</f>
        <v>COTS</v>
      </c>
    </row>
    <row r="402" spans="1:17" hidden="1" x14ac:dyDescent="0.25">
      <c r="A402" t="s">
        <v>7672</v>
      </c>
      <c r="B402" t="s">
        <v>1141</v>
      </c>
      <c r="C402">
        <v>1</v>
      </c>
      <c r="D402" t="s">
        <v>7047</v>
      </c>
      <c r="F402" t="s">
        <v>1142</v>
      </c>
      <c r="G402" t="s">
        <v>7190</v>
      </c>
      <c r="H402" t="s">
        <v>1143</v>
      </c>
      <c r="I402" t="s">
        <v>13</v>
      </c>
      <c r="J402" t="s">
        <v>7682</v>
      </c>
      <c r="K402" t="s">
        <v>7826</v>
      </c>
      <c r="L402" t="s">
        <v>7826</v>
      </c>
      <c r="N402" t="str" cm="1">
        <f t="array" ref="N402">IFERROR(LOOKUP(2,1/SEARCH($S$2:$S$65,G402),$T$2:$T$65),"Misc")</f>
        <v>OH P/N</v>
      </c>
      <c r="O402" t="str" cm="1">
        <f t="array" ref="O402">IFERROR(LOOKUP(2,1/SEARCH($V$2:$V$65,G402),$W$2:$W$65),"Misc")</f>
        <v>OH Part</v>
      </c>
      <c r="P402" t="str" cm="1">
        <f t="array" ref="P402">IFERROR(LOOKUP(2,1/SEARCH($Y$2:$Y$65,G402),$Z$2:$Z$65),"Not Defined")</f>
        <v>OH Part</v>
      </c>
      <c r="Q402" t="str" cm="1">
        <f t="array" ref="Q402">IFERROR(LOOKUP(2,1/SEARCH($S$2:$S$65,H402),$T$2:$T$65),"-")</f>
        <v>COTS</v>
      </c>
    </row>
    <row r="403" spans="1:17" hidden="1" x14ac:dyDescent="0.25">
      <c r="A403" t="s">
        <v>7672</v>
      </c>
      <c r="B403" t="s">
        <v>1144</v>
      </c>
      <c r="C403">
        <v>6</v>
      </c>
      <c r="D403" t="s">
        <v>7047</v>
      </c>
      <c r="F403" t="s">
        <v>1145</v>
      </c>
      <c r="G403" t="s">
        <v>7191</v>
      </c>
      <c r="H403" t="s">
        <v>1146</v>
      </c>
      <c r="I403" t="s">
        <v>210</v>
      </c>
      <c r="J403" t="s">
        <v>7703</v>
      </c>
      <c r="K403" t="s">
        <v>7684</v>
      </c>
      <c r="L403" t="s">
        <v>7691</v>
      </c>
      <c r="N403" t="str" cm="1">
        <f t="array" ref="N403">IFERROR(LOOKUP(2,1/SEARCH($S$2:$S$65,G403),$T$2:$T$65),"Misc")</f>
        <v>COTS</v>
      </c>
      <c r="O403" t="str" cm="1">
        <f t="array" ref="O403">IFERROR(LOOKUP(2,1/SEARCH($V$2:$V$65,G403),$W$2:$W$65),"Misc")</f>
        <v>Fasteners</v>
      </c>
      <c r="P403" t="str" cm="1">
        <f t="array" ref="P403">IFERROR(LOOKUP(2,1/SEARCH($Y$2:$Y$65,G403),$Z$2:$Z$65),"Not Defined")</f>
        <v>FHS</v>
      </c>
      <c r="Q403" t="str" cm="1">
        <f t="array" ref="Q403">IFERROR(LOOKUP(2,1/SEARCH($S$2:$S$65,H403),$T$2:$T$65),"-")</f>
        <v>COTS</v>
      </c>
    </row>
    <row r="404" spans="1:17" hidden="1" x14ac:dyDescent="0.25">
      <c r="A404" t="s">
        <v>7672</v>
      </c>
      <c r="B404" t="s">
        <v>1147</v>
      </c>
      <c r="C404">
        <v>1</v>
      </c>
      <c r="D404" t="s">
        <v>7047</v>
      </c>
      <c r="F404" t="s">
        <v>1148</v>
      </c>
      <c r="G404" t="s">
        <v>7192</v>
      </c>
      <c r="H404" t="s">
        <v>1149</v>
      </c>
      <c r="I404" t="s">
        <v>13</v>
      </c>
      <c r="J404" t="s">
        <v>7682</v>
      </c>
      <c r="K404" t="s">
        <v>7826</v>
      </c>
      <c r="L404" t="s">
        <v>7826</v>
      </c>
      <c r="N404" t="str" cm="1">
        <f t="array" ref="N404">IFERROR(LOOKUP(2,1/SEARCH($S$2:$S$65,G404),$T$2:$T$65),"Misc")</f>
        <v>OH P/N</v>
      </c>
      <c r="O404" t="str" cm="1">
        <f t="array" ref="O404">IFERROR(LOOKUP(2,1/SEARCH($V$2:$V$65,G404),$W$2:$W$65),"Misc")</f>
        <v>OH Part</v>
      </c>
      <c r="P404" t="str" cm="1">
        <f t="array" ref="P404">IFERROR(LOOKUP(2,1/SEARCH($Y$2:$Y$65,G404),$Z$2:$Z$65),"Not Defined")</f>
        <v>OH Part</v>
      </c>
      <c r="Q404" t="str" cm="1">
        <f t="array" ref="Q404">IFERROR(LOOKUP(2,1/SEARCH($S$2:$S$65,H404),$T$2:$T$65),"-")</f>
        <v>COTS</v>
      </c>
    </row>
    <row r="405" spans="1:17" hidden="1" x14ac:dyDescent="0.25">
      <c r="A405" t="s">
        <v>7672</v>
      </c>
      <c r="B405" t="s">
        <v>1150</v>
      </c>
      <c r="C405">
        <v>2</v>
      </c>
      <c r="D405" t="s">
        <v>7047</v>
      </c>
      <c r="F405" t="s">
        <v>1151</v>
      </c>
      <c r="G405" t="s">
        <v>7193</v>
      </c>
      <c r="H405" t="s">
        <v>1152</v>
      </c>
      <c r="I405" t="s">
        <v>13</v>
      </c>
      <c r="J405" t="s">
        <v>7682</v>
      </c>
      <c r="K405" t="s">
        <v>7826</v>
      </c>
      <c r="L405" t="s">
        <v>7826</v>
      </c>
      <c r="N405" t="str" cm="1">
        <f t="array" ref="N405">IFERROR(LOOKUP(2,1/SEARCH($S$2:$S$65,G405),$T$2:$T$65),"Misc")</f>
        <v>OH P/N</v>
      </c>
      <c r="O405" t="str" cm="1">
        <f t="array" ref="O405">IFERROR(LOOKUP(2,1/SEARCH($V$2:$V$65,G405),$W$2:$W$65),"Misc")</f>
        <v>OH Part</v>
      </c>
      <c r="P405" t="str" cm="1">
        <f t="array" ref="P405">IFERROR(LOOKUP(2,1/SEARCH($Y$2:$Y$65,G405),$Z$2:$Z$65),"Not Defined")</f>
        <v>OH Part</v>
      </c>
      <c r="Q405" t="str" cm="1">
        <f t="array" ref="Q405">IFERROR(LOOKUP(2,1/SEARCH($S$2:$S$65,H405),$T$2:$T$65),"-")</f>
        <v>COTS</v>
      </c>
    </row>
    <row r="406" spans="1:17" hidden="1" x14ac:dyDescent="0.25">
      <c r="A406" t="s">
        <v>7672</v>
      </c>
      <c r="B406" t="s">
        <v>1153</v>
      </c>
      <c r="C406">
        <v>12</v>
      </c>
      <c r="D406" t="s">
        <v>7047</v>
      </c>
      <c r="F406" t="s">
        <v>1154</v>
      </c>
      <c r="G406" t="s">
        <v>7194</v>
      </c>
      <c r="H406" t="s">
        <v>1155</v>
      </c>
      <c r="I406" t="s">
        <v>228</v>
      </c>
      <c r="J406" t="s">
        <v>7703</v>
      </c>
      <c r="K406" t="s">
        <v>7684</v>
      </c>
      <c r="L406" t="s">
        <v>7693</v>
      </c>
      <c r="N406" t="str" cm="1">
        <f t="array" ref="N406">IFERROR(LOOKUP(2,1/SEARCH($S$2:$S$65,G406),$T$2:$T$65),"Misc")</f>
        <v>COTS</v>
      </c>
      <c r="O406" t="str" cm="1">
        <f t="array" ref="O406">IFERROR(LOOKUP(2,1/SEARCH($V$2:$V$65,G406),$W$2:$W$65),"Misc")</f>
        <v>Fasteners</v>
      </c>
      <c r="P406" t="str" cm="1">
        <f t="array" ref="P406">IFERROR(LOOKUP(2,1/SEARCH($Y$2:$Y$65,G406),$Z$2:$Z$65),"Not Defined")</f>
        <v>PHS</v>
      </c>
      <c r="Q406" t="str" cm="1">
        <f t="array" ref="Q406">IFERROR(LOOKUP(2,1/SEARCH($S$2:$S$65,H406),$T$2:$T$65),"-")</f>
        <v>COTS</v>
      </c>
    </row>
    <row r="407" spans="1:17" hidden="1" x14ac:dyDescent="0.25">
      <c r="A407" t="s">
        <v>7672</v>
      </c>
      <c r="B407" t="s">
        <v>1156</v>
      </c>
      <c r="C407">
        <v>2</v>
      </c>
      <c r="D407" t="s">
        <v>7047</v>
      </c>
      <c r="F407" t="s">
        <v>1157</v>
      </c>
      <c r="G407" t="s">
        <v>7195</v>
      </c>
      <c r="H407" t="s">
        <v>1158</v>
      </c>
      <c r="I407" t="s">
        <v>210</v>
      </c>
      <c r="J407" t="s">
        <v>7703</v>
      </c>
      <c r="K407" t="s">
        <v>7684</v>
      </c>
      <c r="L407" t="s">
        <v>7691</v>
      </c>
      <c r="N407" t="str" cm="1">
        <f t="array" ref="N407">IFERROR(LOOKUP(2,1/SEARCH($S$2:$S$65,G407),$T$2:$T$65),"Misc")</f>
        <v>COTS</v>
      </c>
      <c r="O407" t="str" cm="1">
        <f t="array" ref="O407">IFERROR(LOOKUP(2,1/SEARCH($V$2:$V$65,G407),$W$2:$W$65),"Misc")</f>
        <v>Fasteners</v>
      </c>
      <c r="P407" t="str" cm="1">
        <f t="array" ref="P407">IFERROR(LOOKUP(2,1/SEARCH($Y$2:$Y$65,G407),$Z$2:$Z$65),"Not Defined")</f>
        <v>FHS</v>
      </c>
      <c r="Q407" t="str" cm="1">
        <f t="array" ref="Q407">IFERROR(LOOKUP(2,1/SEARCH($S$2:$S$65,H407),$T$2:$T$65),"-")</f>
        <v>COTS</v>
      </c>
    </row>
    <row r="408" spans="1:17" hidden="1" x14ac:dyDescent="0.25">
      <c r="A408" t="s">
        <v>7672</v>
      </c>
      <c r="B408" s="2" t="s">
        <v>1159</v>
      </c>
      <c r="C408">
        <v>1</v>
      </c>
      <c r="D408" t="s">
        <v>1162</v>
      </c>
      <c r="F408" t="s">
        <v>1160</v>
      </c>
      <c r="G408" s="2" t="s">
        <v>1162</v>
      </c>
      <c r="H408" t="s">
        <v>1161</v>
      </c>
      <c r="J408" t="s">
        <v>7742</v>
      </c>
      <c r="K408" t="s">
        <v>7826</v>
      </c>
      <c r="L408" t="s">
        <v>7826</v>
      </c>
      <c r="N408" t="str" cm="1">
        <f t="array" ref="N408">IFERROR(LOOKUP(2,1/SEARCH($S$2:$S$65,G408),$T$2:$T$65),"Misc")</f>
        <v>OH ASSY</v>
      </c>
      <c r="O408" t="str" cm="1">
        <f t="array" ref="O408">IFERROR(LOOKUP(2,1/SEARCH($V$2:$V$65,G408),$W$2:$W$65),"Misc")</f>
        <v>OH Part</v>
      </c>
      <c r="P408" t="str" cm="1">
        <f t="array" ref="P408">IFERROR(LOOKUP(2,1/SEARCH($Y$2:$Y$65,G408),$Z$2:$Z$65),"Not Defined")</f>
        <v>OH Part</v>
      </c>
      <c r="Q408" t="str" cm="1">
        <f t="array" ref="Q408">IFERROR(LOOKUP(2,1/SEARCH($S$2:$S$65,H408),$T$2:$T$65),"-")</f>
        <v>OH ASSY</v>
      </c>
    </row>
    <row r="409" spans="1:17" hidden="1" x14ac:dyDescent="0.25">
      <c r="A409" t="s">
        <v>7672</v>
      </c>
      <c r="B409" t="s">
        <v>1163</v>
      </c>
      <c r="C409">
        <v>1</v>
      </c>
      <c r="D409" t="s">
        <v>1162</v>
      </c>
      <c r="F409" t="s">
        <v>1164</v>
      </c>
      <c r="G409" t="s">
        <v>1166</v>
      </c>
      <c r="H409" t="s">
        <v>1165</v>
      </c>
      <c r="I409" t="s">
        <v>13</v>
      </c>
      <c r="J409" t="s">
        <v>7682</v>
      </c>
      <c r="K409" t="s">
        <v>7826</v>
      </c>
      <c r="L409" t="s">
        <v>7826</v>
      </c>
      <c r="N409" t="str" cm="1">
        <f t="array" ref="N409">IFERROR(LOOKUP(2,1/SEARCH($S$2:$S$65,G409),$T$2:$T$65),"Misc")</f>
        <v>OH P/N</v>
      </c>
      <c r="O409" t="str" cm="1">
        <f t="array" ref="O409">IFERROR(LOOKUP(2,1/SEARCH($V$2:$V$65,G409),$W$2:$W$65),"Misc")</f>
        <v>OH Part</v>
      </c>
      <c r="P409" t="str" cm="1">
        <f t="array" ref="P409">IFERROR(LOOKUP(2,1/SEARCH($Y$2:$Y$65,G409),$Z$2:$Z$65),"Not Defined")</f>
        <v>OH Part</v>
      </c>
      <c r="Q409" t="str" cm="1">
        <f t="array" ref="Q409">IFERROR(LOOKUP(2,1/SEARCH($S$2:$S$65,H409),$T$2:$T$65),"-")</f>
        <v>-</v>
      </c>
    </row>
    <row r="410" spans="1:17" hidden="1" x14ac:dyDescent="0.25">
      <c r="A410" t="s">
        <v>7672</v>
      </c>
      <c r="B410" t="s">
        <v>1167</v>
      </c>
      <c r="C410">
        <v>1</v>
      </c>
      <c r="D410" t="s">
        <v>1162</v>
      </c>
      <c r="F410" t="s">
        <v>1168</v>
      </c>
      <c r="G410" t="s">
        <v>1170</v>
      </c>
      <c r="H410" t="s">
        <v>1169</v>
      </c>
      <c r="I410" t="s">
        <v>13</v>
      </c>
      <c r="J410" t="s">
        <v>7682</v>
      </c>
      <c r="K410" t="s">
        <v>7826</v>
      </c>
      <c r="L410" t="s">
        <v>7826</v>
      </c>
      <c r="N410" t="str" cm="1">
        <f t="array" ref="N410">IFERROR(LOOKUP(2,1/SEARCH($S$2:$S$65,G410),$T$2:$T$65),"Misc")</f>
        <v>OH P/N</v>
      </c>
      <c r="O410" t="str" cm="1">
        <f t="array" ref="O410">IFERROR(LOOKUP(2,1/SEARCH($V$2:$V$65,G410),$W$2:$W$65),"Misc")</f>
        <v>OH Part</v>
      </c>
      <c r="P410" t="str" cm="1">
        <f t="array" ref="P410">IFERROR(LOOKUP(2,1/SEARCH($Y$2:$Y$65,G410),$Z$2:$Z$65),"Not Defined")</f>
        <v>OH Part</v>
      </c>
      <c r="Q410" t="str" cm="1">
        <f t="array" ref="Q410">IFERROR(LOOKUP(2,1/SEARCH($S$2:$S$65,H410),$T$2:$T$65),"-")</f>
        <v>-</v>
      </c>
    </row>
    <row r="411" spans="1:17" hidden="1" x14ac:dyDescent="0.25">
      <c r="A411" t="s">
        <v>7672</v>
      </c>
      <c r="B411" s="2" t="s">
        <v>1171</v>
      </c>
      <c r="C411">
        <v>1</v>
      </c>
      <c r="D411" t="s">
        <v>1162</v>
      </c>
      <c r="E411" t="s">
        <v>1173</v>
      </c>
      <c r="F411" t="s">
        <v>1172</v>
      </c>
      <c r="G411" s="2" t="s">
        <v>7196</v>
      </c>
      <c r="H411" t="s">
        <v>1173</v>
      </c>
      <c r="J411" t="s">
        <v>7742</v>
      </c>
      <c r="K411" t="s">
        <v>7826</v>
      </c>
      <c r="L411" t="s">
        <v>7826</v>
      </c>
      <c r="N411" t="str" cm="1">
        <f t="array" ref="N411">IFERROR(LOOKUP(2,1/SEARCH($S$2:$S$65,G411),$T$2:$T$65),"Misc")</f>
        <v>OH ASSY</v>
      </c>
      <c r="O411" t="str" cm="1">
        <f t="array" ref="O411">IFERROR(LOOKUP(2,1/SEARCH($V$2:$V$65,G411),$W$2:$W$65),"Misc")</f>
        <v>OH Part</v>
      </c>
      <c r="P411" t="str" cm="1">
        <f t="array" ref="P411">IFERROR(LOOKUP(2,1/SEARCH($Y$2:$Y$65,G411),$Z$2:$Z$65),"Not Defined")</f>
        <v>OH Part</v>
      </c>
      <c r="Q411" t="str" cm="1">
        <f t="array" ref="Q411">IFERROR(LOOKUP(2,1/SEARCH($S$2:$S$65,H411),$T$2:$T$65),"-")</f>
        <v>OH ASSY</v>
      </c>
    </row>
    <row r="412" spans="1:17" hidden="1" x14ac:dyDescent="0.25">
      <c r="A412" t="s">
        <v>7672</v>
      </c>
      <c r="B412" t="s">
        <v>1174</v>
      </c>
      <c r="C412">
        <v>1</v>
      </c>
      <c r="D412" t="s">
        <v>1162</v>
      </c>
      <c r="E412" t="s">
        <v>1173</v>
      </c>
      <c r="F412" t="s">
        <v>1175</v>
      </c>
      <c r="G412" t="s">
        <v>1177</v>
      </c>
      <c r="H412" t="s">
        <v>1176</v>
      </c>
      <c r="I412" t="s">
        <v>13</v>
      </c>
      <c r="J412" t="s">
        <v>7682</v>
      </c>
      <c r="K412" t="s">
        <v>7826</v>
      </c>
      <c r="L412" t="s">
        <v>7826</v>
      </c>
      <c r="N412" t="str" cm="1">
        <f t="array" ref="N412">IFERROR(LOOKUP(2,1/SEARCH($S$2:$S$65,G412),$T$2:$T$65),"Misc")</f>
        <v>OH P/N</v>
      </c>
      <c r="O412" t="str" cm="1">
        <f t="array" ref="O412">IFERROR(LOOKUP(2,1/SEARCH($V$2:$V$65,G412),$W$2:$W$65),"Misc")</f>
        <v>OH Part</v>
      </c>
      <c r="P412" t="str" cm="1">
        <f t="array" ref="P412">IFERROR(LOOKUP(2,1/SEARCH($Y$2:$Y$65,G412),$Z$2:$Z$65),"Not Defined")</f>
        <v>OH Part</v>
      </c>
      <c r="Q412" t="str" cm="1">
        <f t="array" ref="Q412">IFERROR(LOOKUP(2,1/SEARCH($S$2:$S$65,H412),$T$2:$T$65),"-")</f>
        <v>-</v>
      </c>
    </row>
    <row r="413" spans="1:17" hidden="1" x14ac:dyDescent="0.25">
      <c r="A413" t="s">
        <v>7672</v>
      </c>
      <c r="B413" t="s">
        <v>1178</v>
      </c>
      <c r="C413">
        <v>1</v>
      </c>
      <c r="D413" t="s">
        <v>1162</v>
      </c>
      <c r="E413" t="s">
        <v>1173</v>
      </c>
      <c r="F413" t="s">
        <v>1179</v>
      </c>
      <c r="G413" t="s">
        <v>1181</v>
      </c>
      <c r="H413" t="s">
        <v>1180</v>
      </c>
      <c r="I413" t="s">
        <v>13</v>
      </c>
      <c r="J413" t="s">
        <v>7682</v>
      </c>
      <c r="K413" t="s">
        <v>7826</v>
      </c>
      <c r="L413" t="s">
        <v>7826</v>
      </c>
      <c r="N413" t="str" cm="1">
        <f t="array" ref="N413">IFERROR(LOOKUP(2,1/SEARCH($S$2:$S$65,G413),$T$2:$T$65),"Misc")</f>
        <v>OH P/N</v>
      </c>
      <c r="O413" t="str" cm="1">
        <f t="array" ref="O413">IFERROR(LOOKUP(2,1/SEARCH($V$2:$V$65,G413),$W$2:$W$65),"Misc")</f>
        <v>OH Part</v>
      </c>
      <c r="P413" t="str" cm="1">
        <f t="array" ref="P413">IFERROR(LOOKUP(2,1/SEARCH($Y$2:$Y$65,G413),$Z$2:$Z$65),"Not Defined")</f>
        <v>OH Part</v>
      </c>
      <c r="Q413" t="str" cm="1">
        <f t="array" ref="Q413">IFERROR(LOOKUP(2,1/SEARCH($S$2:$S$65,H413),$T$2:$T$65),"-")</f>
        <v>COTS</v>
      </c>
    </row>
    <row r="414" spans="1:17" hidden="1" x14ac:dyDescent="0.25">
      <c r="A414" t="s">
        <v>7672</v>
      </c>
      <c r="B414" t="s">
        <v>1182</v>
      </c>
      <c r="C414">
        <v>1</v>
      </c>
      <c r="D414" t="s">
        <v>1162</v>
      </c>
      <c r="E414" t="s">
        <v>1173</v>
      </c>
      <c r="F414" t="s">
        <v>1183</v>
      </c>
      <c r="G414" t="s">
        <v>1185</v>
      </c>
      <c r="H414" t="s">
        <v>1184</v>
      </c>
      <c r="I414" t="s">
        <v>293</v>
      </c>
      <c r="J414" t="s">
        <v>7682</v>
      </c>
      <c r="K414" t="s">
        <v>7826</v>
      </c>
      <c r="L414" t="s">
        <v>7826</v>
      </c>
      <c r="N414" t="str" cm="1">
        <f t="array" ref="N414">IFERROR(LOOKUP(2,1/SEARCH($S$2:$S$65,G414),$T$2:$T$65),"Misc")</f>
        <v>OH P/N</v>
      </c>
      <c r="O414" t="str" cm="1">
        <f t="array" ref="O414">IFERROR(LOOKUP(2,1/SEARCH($V$2:$V$65,G414),$W$2:$W$65),"Misc")</f>
        <v>OH Part</v>
      </c>
      <c r="P414" t="str" cm="1">
        <f t="array" ref="P414">IFERROR(LOOKUP(2,1/SEARCH($Y$2:$Y$65,G414),$Z$2:$Z$65),"Not Defined")</f>
        <v>OH Part</v>
      </c>
      <c r="Q414" t="str" cm="1">
        <f t="array" ref="Q414">IFERROR(LOOKUP(2,1/SEARCH($S$2:$S$65,H414),$T$2:$T$65),"-")</f>
        <v>COTS</v>
      </c>
    </row>
    <row r="415" spans="1:17" hidden="1" x14ac:dyDescent="0.25">
      <c r="A415" t="s">
        <v>7672</v>
      </c>
      <c r="B415" t="s">
        <v>1186</v>
      </c>
      <c r="C415">
        <v>1</v>
      </c>
      <c r="D415" t="s">
        <v>1162</v>
      </c>
      <c r="E415" t="s">
        <v>1173</v>
      </c>
      <c r="F415" t="s">
        <v>1187</v>
      </c>
      <c r="G415" t="s">
        <v>1189</v>
      </c>
      <c r="H415" t="s">
        <v>1188</v>
      </c>
      <c r="I415" t="s">
        <v>281</v>
      </c>
      <c r="J415" t="s">
        <v>7682</v>
      </c>
      <c r="K415" t="s">
        <v>7826</v>
      </c>
      <c r="L415" t="s">
        <v>7826</v>
      </c>
      <c r="N415" t="str" cm="1">
        <f t="array" ref="N415">IFERROR(LOOKUP(2,1/SEARCH($S$2:$S$65,G415),$T$2:$T$65),"Misc")</f>
        <v>OH P/N</v>
      </c>
      <c r="O415" t="str" cm="1">
        <f t="array" ref="O415">IFERROR(LOOKUP(2,1/SEARCH($V$2:$V$65,G415),$W$2:$W$65),"Misc")</f>
        <v>OH Part</v>
      </c>
      <c r="P415" t="str" cm="1">
        <f t="array" ref="P415">IFERROR(LOOKUP(2,1/SEARCH($Y$2:$Y$65,G415),$Z$2:$Z$65),"Not Defined")</f>
        <v>OH Part</v>
      </c>
      <c r="Q415" t="str" cm="1">
        <f t="array" ref="Q415">IFERROR(LOOKUP(2,1/SEARCH($S$2:$S$65,H415),$T$2:$T$65),"-")</f>
        <v>COTS</v>
      </c>
    </row>
    <row r="416" spans="1:17" hidden="1" x14ac:dyDescent="0.25">
      <c r="A416" t="s">
        <v>7672</v>
      </c>
      <c r="B416" t="s">
        <v>1190</v>
      </c>
      <c r="C416">
        <v>1</v>
      </c>
      <c r="D416" t="s">
        <v>1162</v>
      </c>
      <c r="E416" t="s">
        <v>1173</v>
      </c>
      <c r="F416" t="s">
        <v>1191</v>
      </c>
      <c r="G416" t="s">
        <v>1193</v>
      </c>
      <c r="H416" t="s">
        <v>1192</v>
      </c>
      <c r="I416" t="s">
        <v>13</v>
      </c>
      <c r="J416" t="s">
        <v>7682</v>
      </c>
      <c r="K416" t="s">
        <v>7826</v>
      </c>
      <c r="L416" t="s">
        <v>7826</v>
      </c>
      <c r="N416" t="str" cm="1">
        <f t="array" ref="N416">IFERROR(LOOKUP(2,1/SEARCH($S$2:$S$65,G416),$T$2:$T$65),"Misc")</f>
        <v>OH P/N</v>
      </c>
      <c r="O416" t="str" cm="1">
        <f t="array" ref="O416">IFERROR(LOOKUP(2,1/SEARCH($V$2:$V$65,G416),$W$2:$W$65),"Misc")</f>
        <v>OH Part</v>
      </c>
      <c r="P416" t="str" cm="1">
        <f t="array" ref="P416">IFERROR(LOOKUP(2,1/SEARCH($Y$2:$Y$65,G416),$Z$2:$Z$65),"Not Defined")</f>
        <v>OH Part</v>
      </c>
      <c r="Q416" t="str" cm="1">
        <f t="array" ref="Q416">IFERROR(LOOKUP(2,1/SEARCH($S$2:$S$65,H416),$T$2:$T$65),"-")</f>
        <v>-</v>
      </c>
    </row>
    <row r="417" spans="1:17" hidden="1" x14ac:dyDescent="0.25">
      <c r="A417" t="s">
        <v>7672</v>
      </c>
      <c r="B417" t="s">
        <v>1194</v>
      </c>
      <c r="C417">
        <v>18</v>
      </c>
      <c r="D417" t="s">
        <v>1162</v>
      </c>
      <c r="E417" t="s">
        <v>1173</v>
      </c>
      <c r="F417" t="s">
        <v>1195</v>
      </c>
      <c r="G417" t="s">
        <v>1197</v>
      </c>
      <c r="H417" t="s">
        <v>1196</v>
      </c>
      <c r="I417" t="s">
        <v>13</v>
      </c>
      <c r="J417" t="s">
        <v>7682</v>
      </c>
      <c r="K417" t="s">
        <v>7826</v>
      </c>
      <c r="L417" t="s">
        <v>7826</v>
      </c>
      <c r="N417" t="str" cm="1">
        <f t="array" ref="N417">IFERROR(LOOKUP(2,1/SEARCH($S$2:$S$65,G417),$T$2:$T$65),"Misc")</f>
        <v>OH P/N</v>
      </c>
      <c r="O417" t="str" cm="1">
        <f t="array" ref="O417">IFERROR(LOOKUP(2,1/SEARCH($V$2:$V$65,G417),$W$2:$W$65),"Misc")</f>
        <v>OH Part</v>
      </c>
      <c r="P417" t="str" cm="1">
        <f t="array" ref="P417">IFERROR(LOOKUP(2,1/SEARCH($Y$2:$Y$65,G417),$Z$2:$Z$65),"Not Defined")</f>
        <v>OH Part</v>
      </c>
      <c r="Q417" t="str" cm="1">
        <f t="array" ref="Q417">IFERROR(LOOKUP(2,1/SEARCH($S$2:$S$65,H417),$T$2:$T$65),"-")</f>
        <v>-</v>
      </c>
    </row>
    <row r="418" spans="1:17" hidden="1" x14ac:dyDescent="0.25">
      <c r="A418" t="s">
        <v>7672</v>
      </c>
      <c r="B418" t="s">
        <v>1198</v>
      </c>
      <c r="C418">
        <v>4</v>
      </c>
      <c r="D418" t="s">
        <v>1162</v>
      </c>
      <c r="E418" t="s">
        <v>1173</v>
      </c>
      <c r="F418" t="s">
        <v>1199</v>
      </c>
      <c r="G418" t="s">
        <v>1201</v>
      </c>
      <c r="H418" t="s">
        <v>1200</v>
      </c>
      <c r="I418" t="s">
        <v>13</v>
      </c>
      <c r="J418" t="s">
        <v>7682</v>
      </c>
      <c r="K418" t="s">
        <v>7826</v>
      </c>
      <c r="L418" t="s">
        <v>7826</v>
      </c>
      <c r="N418" t="str" cm="1">
        <f t="array" ref="N418">IFERROR(LOOKUP(2,1/SEARCH($S$2:$S$65,G418),$T$2:$T$65),"Misc")</f>
        <v>OH P/N</v>
      </c>
      <c r="O418" t="str" cm="1">
        <f t="array" ref="O418">IFERROR(LOOKUP(2,1/SEARCH($V$2:$V$65,G418),$W$2:$W$65),"Misc")</f>
        <v>OH Part</v>
      </c>
      <c r="P418" t="str" cm="1">
        <f t="array" ref="P418">IFERROR(LOOKUP(2,1/SEARCH($Y$2:$Y$65,G418),$Z$2:$Z$65),"Not Defined")</f>
        <v>OH Part</v>
      </c>
      <c r="Q418" t="str" cm="1">
        <f t="array" ref="Q418">IFERROR(LOOKUP(2,1/SEARCH($S$2:$S$65,H418),$T$2:$T$65),"-")</f>
        <v>-</v>
      </c>
    </row>
    <row r="419" spans="1:17" hidden="1" x14ac:dyDescent="0.25">
      <c r="A419" t="s">
        <v>7672</v>
      </c>
      <c r="B419" t="s">
        <v>1202</v>
      </c>
      <c r="C419">
        <v>1</v>
      </c>
      <c r="D419" t="s">
        <v>1162</v>
      </c>
      <c r="E419" t="s">
        <v>1173</v>
      </c>
      <c r="F419" t="s">
        <v>1203</v>
      </c>
      <c r="G419" t="s">
        <v>1205</v>
      </c>
      <c r="H419" t="s">
        <v>1204</v>
      </c>
      <c r="I419" t="s">
        <v>13</v>
      </c>
      <c r="J419" t="s">
        <v>7682</v>
      </c>
      <c r="K419" t="s">
        <v>7826</v>
      </c>
      <c r="L419" t="s">
        <v>7826</v>
      </c>
      <c r="N419" t="str" cm="1">
        <f t="array" ref="N419">IFERROR(LOOKUP(2,1/SEARCH($S$2:$S$65,G419),$T$2:$T$65),"Misc")</f>
        <v>OH P/N</v>
      </c>
      <c r="O419" t="str" cm="1">
        <f t="array" ref="O419">IFERROR(LOOKUP(2,1/SEARCH($V$2:$V$65,G419),$W$2:$W$65),"Misc")</f>
        <v>OH Part</v>
      </c>
      <c r="P419" t="str" cm="1">
        <f t="array" ref="P419">IFERROR(LOOKUP(2,1/SEARCH($Y$2:$Y$65,G419),$Z$2:$Z$65),"Not Defined")</f>
        <v>OH Part</v>
      </c>
      <c r="Q419" t="str" cm="1">
        <f t="array" ref="Q419">IFERROR(LOOKUP(2,1/SEARCH($S$2:$S$65,H419),$T$2:$T$65),"-")</f>
        <v>-</v>
      </c>
    </row>
    <row r="420" spans="1:17" hidden="1" x14ac:dyDescent="0.25">
      <c r="A420" t="s">
        <v>7672</v>
      </c>
      <c r="B420" t="s">
        <v>1206</v>
      </c>
      <c r="C420">
        <v>20</v>
      </c>
      <c r="D420" t="s">
        <v>1162</v>
      </c>
      <c r="E420" t="s">
        <v>1173</v>
      </c>
      <c r="F420" t="s">
        <v>1207</v>
      </c>
      <c r="G420" t="s">
        <v>1209</v>
      </c>
      <c r="H420" t="s">
        <v>1208</v>
      </c>
      <c r="I420" t="s">
        <v>358</v>
      </c>
      <c r="J420" t="s">
        <v>7682</v>
      </c>
      <c r="K420" t="s">
        <v>7826</v>
      </c>
      <c r="L420" t="s">
        <v>7826</v>
      </c>
      <c r="N420" t="str" cm="1">
        <f t="array" ref="N420">IFERROR(LOOKUP(2,1/SEARCH($S$2:$S$65,G420),$T$2:$T$65),"Misc")</f>
        <v>OH P/N</v>
      </c>
      <c r="O420" t="str" cm="1">
        <f t="array" ref="O420">IFERROR(LOOKUP(2,1/SEARCH($V$2:$V$65,G420),$W$2:$W$65),"Misc")</f>
        <v>OH Part</v>
      </c>
      <c r="P420" t="str" cm="1">
        <f t="array" ref="P420">IFERROR(LOOKUP(2,1/SEARCH($Y$2:$Y$65,G420),$Z$2:$Z$65),"Not Defined")</f>
        <v>OH Part</v>
      </c>
      <c r="Q420" t="str" cm="1">
        <f t="array" ref="Q420">IFERROR(LOOKUP(2,1/SEARCH($S$2:$S$65,H420),$T$2:$T$65),"-")</f>
        <v>-</v>
      </c>
    </row>
    <row r="421" spans="1:17" hidden="1" x14ac:dyDescent="0.25">
      <c r="A421" t="s">
        <v>7672</v>
      </c>
      <c r="B421" t="s">
        <v>1210</v>
      </c>
      <c r="C421">
        <v>20</v>
      </c>
      <c r="D421" t="s">
        <v>1162</v>
      </c>
      <c r="E421" t="s">
        <v>1173</v>
      </c>
      <c r="F421" t="s">
        <v>1211</v>
      </c>
      <c r="G421" t="s">
        <v>1213</v>
      </c>
      <c r="H421" t="s">
        <v>1212</v>
      </c>
      <c r="I421" t="s">
        <v>358</v>
      </c>
      <c r="J421" t="s">
        <v>7682</v>
      </c>
      <c r="K421" t="s">
        <v>7826</v>
      </c>
      <c r="L421" t="s">
        <v>7826</v>
      </c>
      <c r="N421" t="str" cm="1">
        <f t="array" ref="N421">IFERROR(LOOKUP(2,1/SEARCH($S$2:$S$65,G421),$T$2:$T$65),"Misc")</f>
        <v>OH P/N</v>
      </c>
      <c r="O421" t="str" cm="1">
        <f t="array" ref="O421">IFERROR(LOOKUP(2,1/SEARCH($V$2:$V$65,G421),$W$2:$W$65),"Misc")</f>
        <v>OH Part</v>
      </c>
      <c r="P421" t="str" cm="1">
        <f t="array" ref="P421">IFERROR(LOOKUP(2,1/SEARCH($Y$2:$Y$65,G421),$Z$2:$Z$65),"Not Defined")</f>
        <v>OH Part</v>
      </c>
      <c r="Q421" t="str" cm="1">
        <f t="array" ref="Q421">IFERROR(LOOKUP(2,1/SEARCH($S$2:$S$65,H421),$T$2:$T$65),"-")</f>
        <v>COTS</v>
      </c>
    </row>
    <row r="422" spans="1:17" hidden="1" x14ac:dyDescent="0.25">
      <c r="A422" t="s">
        <v>7672</v>
      </c>
      <c r="B422" t="s">
        <v>1214</v>
      </c>
      <c r="C422">
        <v>4</v>
      </c>
      <c r="D422" t="s">
        <v>1162</v>
      </c>
      <c r="E422" t="s">
        <v>1173</v>
      </c>
      <c r="F422" t="s">
        <v>1215</v>
      </c>
      <c r="G422" t="s">
        <v>1217</v>
      </c>
      <c r="H422" t="s">
        <v>1216</v>
      </c>
      <c r="I422" t="s">
        <v>358</v>
      </c>
      <c r="J422" t="s">
        <v>7682</v>
      </c>
      <c r="K422" t="s">
        <v>7826</v>
      </c>
      <c r="L422" t="s">
        <v>7826</v>
      </c>
      <c r="N422" t="str" cm="1">
        <f t="array" ref="N422">IFERROR(LOOKUP(2,1/SEARCH($S$2:$S$65,G422),$T$2:$T$65),"Misc")</f>
        <v>OH P/N</v>
      </c>
      <c r="O422" t="str" cm="1">
        <f t="array" ref="O422">IFERROR(LOOKUP(2,1/SEARCH($V$2:$V$65,G422),$W$2:$W$65),"Misc")</f>
        <v>OH Part</v>
      </c>
      <c r="P422" t="str" cm="1">
        <f t="array" ref="P422">IFERROR(LOOKUP(2,1/SEARCH($Y$2:$Y$65,G422),$Z$2:$Z$65),"Not Defined")</f>
        <v>OH Part</v>
      </c>
      <c r="Q422" t="str" cm="1">
        <f t="array" ref="Q422">IFERROR(LOOKUP(2,1/SEARCH($S$2:$S$65,H422),$T$2:$T$65),"-")</f>
        <v>-</v>
      </c>
    </row>
    <row r="423" spans="1:17" hidden="1" x14ac:dyDescent="0.25">
      <c r="A423" t="s">
        <v>7672</v>
      </c>
      <c r="B423" t="s">
        <v>1218</v>
      </c>
      <c r="C423">
        <v>8</v>
      </c>
      <c r="D423" t="s">
        <v>1162</v>
      </c>
      <c r="E423" t="s">
        <v>1173</v>
      </c>
      <c r="F423" t="s">
        <v>1219</v>
      </c>
      <c r="G423" t="s">
        <v>1221</v>
      </c>
      <c r="H423" t="s">
        <v>1220</v>
      </c>
      <c r="I423" t="s">
        <v>358</v>
      </c>
      <c r="J423" t="s">
        <v>7682</v>
      </c>
      <c r="K423" t="s">
        <v>7826</v>
      </c>
      <c r="L423" t="s">
        <v>7826</v>
      </c>
      <c r="N423" t="str" cm="1">
        <f t="array" ref="N423">IFERROR(LOOKUP(2,1/SEARCH($S$2:$S$65,G423),$T$2:$T$65),"Misc")</f>
        <v>OH P/N</v>
      </c>
      <c r="O423" t="str" cm="1">
        <f t="array" ref="O423">IFERROR(LOOKUP(2,1/SEARCH($V$2:$V$65,G423),$W$2:$W$65),"Misc")</f>
        <v>OH Part</v>
      </c>
      <c r="P423" t="str" cm="1">
        <f t="array" ref="P423">IFERROR(LOOKUP(2,1/SEARCH($Y$2:$Y$65,G423),$Z$2:$Z$65),"Not Defined")</f>
        <v>OH Part</v>
      </c>
      <c r="Q423" t="str" cm="1">
        <f t="array" ref="Q423">IFERROR(LOOKUP(2,1/SEARCH($S$2:$S$65,H423),$T$2:$T$65),"-")</f>
        <v>COTS</v>
      </c>
    </row>
    <row r="424" spans="1:17" hidden="1" x14ac:dyDescent="0.25">
      <c r="A424" t="s">
        <v>7672</v>
      </c>
      <c r="B424" t="s">
        <v>1222</v>
      </c>
      <c r="C424">
        <v>1</v>
      </c>
      <c r="D424" t="s">
        <v>1162</v>
      </c>
      <c r="E424" t="s">
        <v>1173</v>
      </c>
      <c r="F424" t="s">
        <v>1223</v>
      </c>
      <c r="G424" t="s">
        <v>1225</v>
      </c>
      <c r="H424" t="s">
        <v>1224</v>
      </c>
      <c r="I424" t="s">
        <v>281</v>
      </c>
      <c r="J424" t="s">
        <v>7682</v>
      </c>
      <c r="K424" t="s">
        <v>7826</v>
      </c>
      <c r="L424" t="s">
        <v>7826</v>
      </c>
      <c r="N424" t="str" cm="1">
        <f t="array" ref="N424">IFERROR(LOOKUP(2,1/SEARCH($S$2:$S$65,G424),$T$2:$T$65),"Misc")</f>
        <v>OH P/N</v>
      </c>
      <c r="O424" t="str" cm="1">
        <f t="array" ref="O424">IFERROR(LOOKUP(2,1/SEARCH($V$2:$V$65,G424),$W$2:$W$65),"Misc")</f>
        <v>OH Part</v>
      </c>
      <c r="P424" t="str" cm="1">
        <f t="array" ref="P424">IFERROR(LOOKUP(2,1/SEARCH($Y$2:$Y$65,G424),$Z$2:$Z$65),"Not Defined")</f>
        <v>OH Part</v>
      </c>
      <c r="Q424" t="str" cm="1">
        <f t="array" ref="Q424">IFERROR(LOOKUP(2,1/SEARCH($S$2:$S$65,H424),$T$2:$T$65),"-")</f>
        <v>-</v>
      </c>
    </row>
    <row r="425" spans="1:17" hidden="1" x14ac:dyDescent="0.25">
      <c r="A425" t="s">
        <v>7672</v>
      </c>
      <c r="B425" t="s">
        <v>1226</v>
      </c>
      <c r="C425">
        <v>1</v>
      </c>
      <c r="D425" t="s">
        <v>1162</v>
      </c>
      <c r="E425" t="s">
        <v>1173</v>
      </c>
      <c r="F425" t="s">
        <v>1227</v>
      </c>
      <c r="G425" t="s">
        <v>1229</v>
      </c>
      <c r="H425" t="s">
        <v>1228</v>
      </c>
      <c r="I425" t="s">
        <v>281</v>
      </c>
      <c r="J425" t="s">
        <v>7682</v>
      </c>
      <c r="K425" t="s">
        <v>7826</v>
      </c>
      <c r="L425" t="s">
        <v>7826</v>
      </c>
      <c r="N425" t="str" cm="1">
        <f t="array" ref="N425">IFERROR(LOOKUP(2,1/SEARCH($S$2:$S$65,G425),$T$2:$T$65),"Misc")</f>
        <v>OH P/N</v>
      </c>
      <c r="O425" t="str" cm="1">
        <f t="array" ref="O425">IFERROR(LOOKUP(2,1/SEARCH($V$2:$V$65,G425),$W$2:$W$65),"Misc")</f>
        <v>OH Part</v>
      </c>
      <c r="P425" t="str" cm="1">
        <f t="array" ref="P425">IFERROR(LOOKUP(2,1/SEARCH($Y$2:$Y$65,G425),$Z$2:$Z$65),"Not Defined")</f>
        <v>OH Part</v>
      </c>
      <c r="Q425" t="str" cm="1">
        <f t="array" ref="Q425">IFERROR(LOOKUP(2,1/SEARCH($S$2:$S$65,H425),$T$2:$T$65),"-")</f>
        <v>-</v>
      </c>
    </row>
    <row r="426" spans="1:17" hidden="1" x14ac:dyDescent="0.25">
      <c r="A426" t="s">
        <v>7672</v>
      </c>
      <c r="B426" t="s">
        <v>1230</v>
      </c>
      <c r="C426">
        <v>1</v>
      </c>
      <c r="D426" t="s">
        <v>1162</v>
      </c>
      <c r="E426" t="s">
        <v>1173</v>
      </c>
      <c r="F426" t="s">
        <v>1231</v>
      </c>
      <c r="G426" t="s">
        <v>1233</v>
      </c>
      <c r="H426" t="s">
        <v>1232</v>
      </c>
      <c r="I426" t="s">
        <v>281</v>
      </c>
      <c r="J426" t="s">
        <v>7682</v>
      </c>
      <c r="K426" t="s">
        <v>7826</v>
      </c>
      <c r="L426" t="s">
        <v>7826</v>
      </c>
      <c r="N426" t="str" cm="1">
        <f t="array" ref="N426">IFERROR(LOOKUP(2,1/SEARCH($S$2:$S$65,G426),$T$2:$T$65),"Misc")</f>
        <v>OH P/N</v>
      </c>
      <c r="O426" t="str" cm="1">
        <f t="array" ref="O426">IFERROR(LOOKUP(2,1/SEARCH($V$2:$V$65,G426),$W$2:$W$65),"Misc")</f>
        <v>OH Part</v>
      </c>
      <c r="P426" t="str" cm="1">
        <f t="array" ref="P426">IFERROR(LOOKUP(2,1/SEARCH($Y$2:$Y$65,G426),$Z$2:$Z$65),"Not Defined")</f>
        <v>OH Part</v>
      </c>
      <c r="Q426" t="str" cm="1">
        <f t="array" ref="Q426">IFERROR(LOOKUP(2,1/SEARCH($S$2:$S$65,H426),$T$2:$T$65),"-")</f>
        <v>-</v>
      </c>
    </row>
    <row r="427" spans="1:17" hidden="1" x14ac:dyDescent="0.25">
      <c r="A427" t="s">
        <v>7672</v>
      </c>
      <c r="B427" t="s">
        <v>1234</v>
      </c>
      <c r="C427">
        <v>1</v>
      </c>
      <c r="D427" t="s">
        <v>1162</v>
      </c>
      <c r="E427" t="s">
        <v>1173</v>
      </c>
      <c r="F427" t="s">
        <v>1235</v>
      </c>
      <c r="G427" t="s">
        <v>1237</v>
      </c>
      <c r="H427" t="s">
        <v>1236</v>
      </c>
      <c r="I427" t="s">
        <v>281</v>
      </c>
      <c r="J427" t="s">
        <v>7682</v>
      </c>
      <c r="K427" t="s">
        <v>7826</v>
      </c>
      <c r="L427" t="s">
        <v>7826</v>
      </c>
      <c r="N427" t="str" cm="1">
        <f t="array" ref="N427">IFERROR(LOOKUP(2,1/SEARCH($S$2:$S$65,G427),$T$2:$T$65),"Misc")</f>
        <v>OH P/N</v>
      </c>
      <c r="O427" t="str" cm="1">
        <f t="array" ref="O427">IFERROR(LOOKUP(2,1/SEARCH($V$2:$V$65,G427),$W$2:$W$65),"Misc")</f>
        <v>OH Part</v>
      </c>
      <c r="P427" t="str" cm="1">
        <f t="array" ref="P427">IFERROR(LOOKUP(2,1/SEARCH($Y$2:$Y$65,G427),$Z$2:$Z$65),"Not Defined")</f>
        <v>OH Part</v>
      </c>
      <c r="Q427" t="str" cm="1">
        <f t="array" ref="Q427">IFERROR(LOOKUP(2,1/SEARCH($S$2:$S$65,H427),$T$2:$T$65),"-")</f>
        <v>-</v>
      </c>
    </row>
    <row r="428" spans="1:17" hidden="1" x14ac:dyDescent="0.25">
      <c r="A428" t="s">
        <v>7672</v>
      </c>
      <c r="B428" t="s">
        <v>1238</v>
      </c>
      <c r="C428">
        <v>1</v>
      </c>
      <c r="D428" t="s">
        <v>1162</v>
      </c>
      <c r="E428" t="s">
        <v>1173</v>
      </c>
      <c r="F428" t="s">
        <v>1239</v>
      </c>
      <c r="G428" t="s">
        <v>1241</v>
      </c>
      <c r="H428" t="s">
        <v>1240</v>
      </c>
      <c r="I428" t="s">
        <v>281</v>
      </c>
      <c r="J428" t="s">
        <v>7682</v>
      </c>
      <c r="K428" t="s">
        <v>7826</v>
      </c>
      <c r="L428" t="s">
        <v>7826</v>
      </c>
      <c r="N428" t="str" cm="1">
        <f t="array" ref="N428">IFERROR(LOOKUP(2,1/SEARCH($S$2:$S$65,G428),$T$2:$T$65),"Misc")</f>
        <v>OH P/N</v>
      </c>
      <c r="O428" t="str" cm="1">
        <f t="array" ref="O428">IFERROR(LOOKUP(2,1/SEARCH($V$2:$V$65,G428),$W$2:$W$65),"Misc")</f>
        <v>OH Part</v>
      </c>
      <c r="P428" t="str" cm="1">
        <f t="array" ref="P428">IFERROR(LOOKUP(2,1/SEARCH($Y$2:$Y$65,G428),$Z$2:$Z$65),"Not Defined")</f>
        <v>OH Part</v>
      </c>
      <c r="Q428" t="str" cm="1">
        <f t="array" ref="Q428">IFERROR(LOOKUP(2,1/SEARCH($S$2:$S$65,H428),$T$2:$T$65),"-")</f>
        <v>-</v>
      </c>
    </row>
    <row r="429" spans="1:17" hidden="1" x14ac:dyDescent="0.25">
      <c r="A429" t="s">
        <v>7672</v>
      </c>
      <c r="B429" t="s">
        <v>1242</v>
      </c>
      <c r="C429">
        <v>1</v>
      </c>
      <c r="D429" t="s">
        <v>1162</v>
      </c>
      <c r="E429" t="s">
        <v>1173</v>
      </c>
      <c r="F429" t="s">
        <v>1243</v>
      </c>
      <c r="G429" t="s">
        <v>1245</v>
      </c>
      <c r="H429" t="s">
        <v>1244</v>
      </c>
      <c r="I429" t="s">
        <v>281</v>
      </c>
      <c r="J429" t="s">
        <v>7682</v>
      </c>
      <c r="K429" t="s">
        <v>7826</v>
      </c>
      <c r="L429" t="s">
        <v>7826</v>
      </c>
      <c r="N429" t="str" cm="1">
        <f t="array" ref="N429">IFERROR(LOOKUP(2,1/SEARCH($S$2:$S$65,G429),$T$2:$T$65),"Misc")</f>
        <v>OH P/N</v>
      </c>
      <c r="O429" t="str" cm="1">
        <f t="array" ref="O429">IFERROR(LOOKUP(2,1/SEARCH($V$2:$V$65,G429),$W$2:$W$65),"Misc")</f>
        <v>OH Part</v>
      </c>
      <c r="P429" t="str" cm="1">
        <f t="array" ref="P429">IFERROR(LOOKUP(2,1/SEARCH($Y$2:$Y$65,G429),$Z$2:$Z$65),"Not Defined")</f>
        <v>OH Part</v>
      </c>
      <c r="Q429" t="str" cm="1">
        <f t="array" ref="Q429">IFERROR(LOOKUP(2,1/SEARCH($S$2:$S$65,H429),$T$2:$T$65),"-")</f>
        <v>-</v>
      </c>
    </row>
    <row r="430" spans="1:17" hidden="1" x14ac:dyDescent="0.25">
      <c r="A430" t="s">
        <v>7672</v>
      </c>
      <c r="B430" t="s">
        <v>1246</v>
      </c>
      <c r="C430">
        <v>1</v>
      </c>
      <c r="D430" t="s">
        <v>1162</v>
      </c>
      <c r="E430" t="s">
        <v>1173</v>
      </c>
      <c r="F430" t="s">
        <v>1247</v>
      </c>
      <c r="G430" t="s">
        <v>1249</v>
      </c>
      <c r="H430" t="s">
        <v>1248</v>
      </c>
      <c r="I430" t="s">
        <v>281</v>
      </c>
      <c r="J430" t="s">
        <v>7682</v>
      </c>
      <c r="K430" t="s">
        <v>7826</v>
      </c>
      <c r="L430" t="s">
        <v>7826</v>
      </c>
      <c r="N430" t="str" cm="1">
        <f t="array" ref="N430">IFERROR(LOOKUP(2,1/SEARCH($S$2:$S$65,G430),$T$2:$T$65),"Misc")</f>
        <v>OH P/N</v>
      </c>
      <c r="O430" t="str" cm="1">
        <f t="array" ref="O430">IFERROR(LOOKUP(2,1/SEARCH($V$2:$V$65,G430),$W$2:$W$65),"Misc")</f>
        <v>OH Part</v>
      </c>
      <c r="P430" t="str" cm="1">
        <f t="array" ref="P430">IFERROR(LOOKUP(2,1/SEARCH($Y$2:$Y$65,G430),$Z$2:$Z$65),"Not Defined")</f>
        <v>OH Part</v>
      </c>
      <c r="Q430" t="str" cm="1">
        <f t="array" ref="Q430">IFERROR(LOOKUP(2,1/SEARCH($S$2:$S$65,H430),$T$2:$T$65),"-")</f>
        <v>-</v>
      </c>
    </row>
    <row r="431" spans="1:17" hidden="1" x14ac:dyDescent="0.25">
      <c r="A431" t="s">
        <v>7672</v>
      </c>
      <c r="B431" t="s">
        <v>1250</v>
      </c>
      <c r="C431">
        <v>1</v>
      </c>
      <c r="D431" t="s">
        <v>1162</v>
      </c>
      <c r="E431" t="s">
        <v>1173</v>
      </c>
      <c r="F431" t="s">
        <v>545</v>
      </c>
      <c r="G431" t="s">
        <v>1252</v>
      </c>
      <c r="H431" t="s">
        <v>1251</v>
      </c>
      <c r="I431" t="s">
        <v>255</v>
      </c>
      <c r="J431" t="s">
        <v>7703</v>
      </c>
      <c r="K431" t="s">
        <v>7814</v>
      </c>
      <c r="L431" t="s">
        <v>7730</v>
      </c>
      <c r="N431" t="str" cm="1">
        <f t="array" ref="N431">IFERROR(LOOKUP(2,1/SEARCH($S$2:$S$65,G431),$T$2:$T$65),"Misc")</f>
        <v>COTS</v>
      </c>
      <c r="O431" t="str" cm="1">
        <f t="array" ref="O431">IFERROR(LOOKUP(2,1/SEARCH($V$2:$V$65,G431),$W$2:$W$65),"Misc")</f>
        <v>Misc</v>
      </c>
      <c r="P431" t="str" cm="1">
        <f t="array" ref="P431">IFERROR(LOOKUP(2,1/SEARCH($Y$2:$Y$65,G431),$Z$2:$Z$65),"Not Defined")</f>
        <v>TAPE</v>
      </c>
      <c r="Q431" t="str" cm="1">
        <f t="array" ref="Q431">IFERROR(LOOKUP(2,1/SEARCH($S$2:$S$65,H431),$T$2:$T$65),"-")</f>
        <v>COTS</v>
      </c>
    </row>
    <row r="432" spans="1:17" hidden="1" x14ac:dyDescent="0.25">
      <c r="A432" t="s">
        <v>7672</v>
      </c>
      <c r="B432" t="s">
        <v>1253</v>
      </c>
      <c r="C432">
        <v>1</v>
      </c>
      <c r="D432" t="s">
        <v>1162</v>
      </c>
      <c r="E432" t="s">
        <v>1173</v>
      </c>
      <c r="F432" t="s">
        <v>1254</v>
      </c>
      <c r="G432" t="s">
        <v>1255</v>
      </c>
      <c r="H432" t="s">
        <v>575</v>
      </c>
      <c r="I432" t="s">
        <v>255</v>
      </c>
      <c r="J432" t="s">
        <v>7703</v>
      </c>
      <c r="K432" t="str" cm="1">
        <f t="array" ref="K432">IFERROR(LOOKUP(2,1/SEARCH($V$2:$V$65,C432),$W$2:$W$65),"Misc")</f>
        <v>Misc</v>
      </c>
      <c r="L432" t="s">
        <v>7736</v>
      </c>
      <c r="N432" t="str" cm="1">
        <f t="array" ref="N432">IFERROR(LOOKUP(2,1/SEARCH($S$2:$S$65,G432),$T$2:$T$65),"Misc")</f>
        <v>COTS</v>
      </c>
      <c r="O432" t="str" cm="1">
        <f t="array" ref="O432">IFERROR(LOOKUP(2,1/SEARCH($V$2:$V$65,G432),$W$2:$W$65),"Misc")</f>
        <v>Misc</v>
      </c>
      <c r="P432" t="str" cm="1">
        <f t="array" ref="P432">IFERROR(LOOKUP(2,1/SEARCH($Y$2:$Y$65,G432),$Z$2:$Z$65),"Not Defined")</f>
        <v>DISPLAY</v>
      </c>
      <c r="Q432" t="str" cm="1">
        <f t="array" ref="Q432">IFERROR(LOOKUP(2,1/SEARCH($S$2:$S$65,H432),$T$2:$T$65),"-")</f>
        <v>-</v>
      </c>
    </row>
    <row r="433" spans="1:17" hidden="1" x14ac:dyDescent="0.25">
      <c r="A433" t="s">
        <v>7672</v>
      </c>
      <c r="B433" t="s">
        <v>1256</v>
      </c>
      <c r="C433">
        <v>1</v>
      </c>
      <c r="D433" t="s">
        <v>1162</v>
      </c>
      <c r="E433" t="s">
        <v>1173</v>
      </c>
      <c r="F433" t="s">
        <v>545</v>
      </c>
      <c r="G433" t="s">
        <v>547</v>
      </c>
      <c r="H433" t="s">
        <v>546</v>
      </c>
      <c r="I433" t="s">
        <v>255</v>
      </c>
      <c r="J433" t="s">
        <v>7703</v>
      </c>
      <c r="K433" t="s">
        <v>7814</v>
      </c>
      <c r="L433" t="s">
        <v>7730</v>
      </c>
      <c r="N433" t="str" cm="1">
        <f t="array" ref="N433">IFERROR(LOOKUP(2,1/SEARCH($S$2:$S$65,G433),$T$2:$T$65),"Misc")</f>
        <v>COTS</v>
      </c>
      <c r="O433" t="str" cm="1">
        <f t="array" ref="O433">IFERROR(LOOKUP(2,1/SEARCH($V$2:$V$65,G433),$W$2:$W$65),"Misc")</f>
        <v>Misc</v>
      </c>
      <c r="P433" t="str" cm="1">
        <f t="array" ref="P433">IFERROR(LOOKUP(2,1/SEARCH($Y$2:$Y$65,G433),$Z$2:$Z$65),"Not Defined")</f>
        <v>TAPE</v>
      </c>
      <c r="Q433" t="str" cm="1">
        <f t="array" ref="Q433">IFERROR(LOOKUP(2,1/SEARCH($S$2:$S$65,H433),$T$2:$T$65),"-")</f>
        <v>COTS</v>
      </c>
    </row>
    <row r="434" spans="1:17" hidden="1" x14ac:dyDescent="0.25">
      <c r="A434" t="s">
        <v>7672</v>
      </c>
      <c r="B434" t="s">
        <v>1257</v>
      </c>
      <c r="C434">
        <v>1</v>
      </c>
      <c r="D434" t="s">
        <v>1162</v>
      </c>
      <c r="E434" t="s">
        <v>1173</v>
      </c>
      <c r="F434" t="s">
        <v>1258</v>
      </c>
      <c r="G434" t="s">
        <v>1260</v>
      </c>
      <c r="H434" t="s">
        <v>1259</v>
      </c>
      <c r="I434" t="s">
        <v>13</v>
      </c>
      <c r="J434" t="s">
        <v>7682</v>
      </c>
      <c r="K434" t="s">
        <v>7826</v>
      </c>
      <c r="L434" t="s">
        <v>7826</v>
      </c>
      <c r="N434" t="str" cm="1">
        <f t="array" ref="N434">IFERROR(LOOKUP(2,1/SEARCH($S$2:$S$65,G434),$T$2:$T$65),"Misc")</f>
        <v>OH P/N</v>
      </c>
      <c r="O434" t="str" cm="1">
        <f t="array" ref="O434">IFERROR(LOOKUP(2,1/SEARCH($V$2:$V$65,G434),$W$2:$W$65),"Misc")</f>
        <v>OH Part</v>
      </c>
      <c r="P434" t="str" cm="1">
        <f t="array" ref="P434">IFERROR(LOOKUP(2,1/SEARCH($Y$2:$Y$65,G434),$Z$2:$Z$65),"Not Defined")</f>
        <v>OH Part</v>
      </c>
      <c r="Q434" t="str" cm="1">
        <f t="array" ref="Q434">IFERROR(LOOKUP(2,1/SEARCH($S$2:$S$65,H434),$T$2:$T$65),"-")</f>
        <v>-</v>
      </c>
    </row>
    <row r="435" spans="1:17" hidden="1" x14ac:dyDescent="0.25">
      <c r="A435" t="s">
        <v>7672</v>
      </c>
      <c r="B435" t="s">
        <v>1261</v>
      </c>
      <c r="C435">
        <v>1</v>
      </c>
      <c r="D435" t="s">
        <v>1162</v>
      </c>
      <c r="E435" t="s">
        <v>1173</v>
      </c>
      <c r="F435" t="s">
        <v>1262</v>
      </c>
      <c r="G435" t="s">
        <v>1264</v>
      </c>
      <c r="H435" t="s">
        <v>1263</v>
      </c>
      <c r="I435" t="s">
        <v>1265</v>
      </c>
      <c r="J435" t="s">
        <v>7703</v>
      </c>
      <c r="K435" t="s">
        <v>7814</v>
      </c>
      <c r="L435" t="s">
        <v>7834</v>
      </c>
      <c r="N435" t="str" cm="1">
        <f t="array" ref="N435">IFERROR(LOOKUP(2,1/SEARCH($S$2:$S$65,G435),$T$2:$T$65),"Misc")</f>
        <v>Misc</v>
      </c>
      <c r="O435" t="str" cm="1">
        <f t="array" ref="O435">IFERROR(LOOKUP(2,1/SEARCH($V$2:$V$65,G435),$W$2:$W$65),"Misc")</f>
        <v>Misc</v>
      </c>
      <c r="P435" t="str" cm="1">
        <f t="array" ref="P435">IFERROR(LOOKUP(2,1/SEARCH($Y$2:$Y$65,G435),$Z$2:$Z$65),"Not Defined")</f>
        <v>Not Defined</v>
      </c>
      <c r="Q435" t="str" cm="1">
        <f t="array" ref="Q435">IFERROR(LOOKUP(2,1/SEARCH($S$2:$S$65,H435),$T$2:$T$65),"-")</f>
        <v>-</v>
      </c>
    </row>
    <row r="436" spans="1:17" hidden="1" x14ac:dyDescent="0.25">
      <c r="A436" t="s">
        <v>7672</v>
      </c>
      <c r="B436" t="s">
        <v>1266</v>
      </c>
      <c r="C436">
        <v>1</v>
      </c>
      <c r="D436" t="s">
        <v>1162</v>
      </c>
      <c r="E436" t="s">
        <v>1173</v>
      </c>
      <c r="F436" t="s">
        <v>1267</v>
      </c>
      <c r="G436" t="s">
        <v>1269</v>
      </c>
      <c r="H436" t="s">
        <v>1268</v>
      </c>
      <c r="I436" t="s">
        <v>13</v>
      </c>
      <c r="J436" t="s">
        <v>7682</v>
      </c>
      <c r="K436" t="s">
        <v>7826</v>
      </c>
      <c r="L436" t="s">
        <v>7826</v>
      </c>
      <c r="N436" t="str" cm="1">
        <f t="array" ref="N436">IFERROR(LOOKUP(2,1/SEARCH($S$2:$S$65,G436),$T$2:$T$65),"Misc")</f>
        <v>OH P/N</v>
      </c>
      <c r="O436" t="str" cm="1">
        <f t="array" ref="O436">IFERROR(LOOKUP(2,1/SEARCH($V$2:$V$65,G436),$W$2:$W$65),"Misc")</f>
        <v>OH Part</v>
      </c>
      <c r="P436" t="str" cm="1">
        <f t="array" ref="P436">IFERROR(LOOKUP(2,1/SEARCH($Y$2:$Y$65,G436),$Z$2:$Z$65),"Not Defined")</f>
        <v>OH Part</v>
      </c>
      <c r="Q436" t="str" cm="1">
        <f t="array" ref="Q436">IFERROR(LOOKUP(2,1/SEARCH($S$2:$S$65,H436),$T$2:$T$65),"-")</f>
        <v>-</v>
      </c>
    </row>
    <row r="437" spans="1:17" hidden="1" x14ac:dyDescent="0.25">
      <c r="A437" t="s">
        <v>7672</v>
      </c>
      <c r="B437" t="s">
        <v>1270</v>
      </c>
      <c r="C437">
        <v>1</v>
      </c>
      <c r="D437" t="s">
        <v>1162</v>
      </c>
      <c r="E437" t="s">
        <v>1173</v>
      </c>
      <c r="F437" t="s">
        <v>1271</v>
      </c>
      <c r="G437" t="s">
        <v>7197</v>
      </c>
      <c r="H437" t="s">
        <v>1272</v>
      </c>
      <c r="I437" t="s">
        <v>255</v>
      </c>
      <c r="J437" t="s">
        <v>7703</v>
      </c>
      <c r="K437" t="s">
        <v>7722</v>
      </c>
      <c r="L437" t="s">
        <v>7722</v>
      </c>
      <c r="N437" t="str" cm="1">
        <f t="array" ref="N437">IFERROR(LOOKUP(2,1/SEARCH($S$2:$S$65,G437),$T$2:$T$65),"Misc")</f>
        <v>COTS</v>
      </c>
      <c r="O437" t="str" cm="1">
        <f t="array" ref="O437">IFERROR(LOOKUP(2,1/SEARCH($V$2:$V$65,G437),$W$2:$W$65),"Misc")</f>
        <v>POT</v>
      </c>
      <c r="P437" t="str" cm="1">
        <f t="array" ref="P437">IFERROR(LOOKUP(2,1/SEARCH($Y$2:$Y$65,G437),$Z$2:$Z$65),"Not Defined")</f>
        <v>POT</v>
      </c>
      <c r="Q437" t="str" cm="1">
        <f t="array" ref="Q437">IFERROR(LOOKUP(2,1/SEARCH($S$2:$S$65,H437),$T$2:$T$65),"-")</f>
        <v>COTS</v>
      </c>
    </row>
    <row r="438" spans="1:17" hidden="1" x14ac:dyDescent="0.25">
      <c r="A438" t="s">
        <v>7672</v>
      </c>
      <c r="B438" t="s">
        <v>1273</v>
      </c>
      <c r="C438">
        <v>2</v>
      </c>
      <c r="D438" t="s">
        <v>1162</v>
      </c>
      <c r="E438" t="s">
        <v>1173</v>
      </c>
      <c r="F438" t="s">
        <v>1274</v>
      </c>
      <c r="G438" t="s">
        <v>7198</v>
      </c>
      <c r="H438" t="s">
        <v>1275</v>
      </c>
      <c r="I438" t="s">
        <v>255</v>
      </c>
      <c r="J438" t="s">
        <v>7703</v>
      </c>
      <c r="K438" t="s">
        <v>7677</v>
      </c>
      <c r="L438" t="s">
        <v>7677</v>
      </c>
      <c r="N438" t="str" cm="1">
        <f t="array" ref="N438">IFERROR(LOOKUP(2,1/SEARCH($S$2:$S$65,G438),$T$2:$T$65),"Misc")</f>
        <v>COTS</v>
      </c>
      <c r="O438" t="str" cm="1">
        <f t="array" ref="O438">IFERROR(LOOKUP(2,1/SEARCH($V$2:$V$65,G438),$W$2:$W$65),"Misc")</f>
        <v>SWITCH</v>
      </c>
      <c r="P438" t="str" cm="1">
        <f t="array" ref="P438">IFERROR(LOOKUP(2,1/SEARCH($Y$2:$Y$65,G438),$Z$2:$Z$65),"Not Defined")</f>
        <v>SWITCH</v>
      </c>
      <c r="Q438" t="str" cm="1">
        <f t="array" ref="Q438">IFERROR(LOOKUP(2,1/SEARCH($S$2:$S$65,H438),$T$2:$T$65),"-")</f>
        <v>COTS</v>
      </c>
    </row>
    <row r="439" spans="1:17" hidden="1" x14ac:dyDescent="0.25">
      <c r="A439" t="s">
        <v>7672</v>
      </c>
      <c r="B439" t="s">
        <v>1276</v>
      </c>
      <c r="C439">
        <v>4</v>
      </c>
      <c r="D439" t="s">
        <v>1162</v>
      </c>
      <c r="E439" t="s">
        <v>1173</v>
      </c>
      <c r="F439" t="s">
        <v>701</v>
      </c>
      <c r="G439" t="s">
        <v>7119</v>
      </c>
      <c r="H439" t="s">
        <v>702</v>
      </c>
      <c r="I439" t="s">
        <v>255</v>
      </c>
      <c r="J439" t="s">
        <v>7703</v>
      </c>
      <c r="K439" t="s">
        <v>7684</v>
      </c>
      <c r="L439" t="s">
        <v>7685</v>
      </c>
      <c r="N439" t="str" cm="1">
        <f t="array" ref="N439">IFERROR(LOOKUP(2,1/SEARCH($S$2:$S$65,G439),$T$2:$T$65),"Misc")</f>
        <v>COTS</v>
      </c>
      <c r="O439" t="str" cm="1">
        <f t="array" ref="O439">IFERROR(LOOKUP(2,1/SEARCH($V$2:$V$65,G439),$W$2:$W$65),"Misc")</f>
        <v>Fasteners</v>
      </c>
      <c r="P439" t="str" cm="1">
        <f t="array" ref="P439">IFERROR(LOOKUP(2,1/SEARCH($Y$2:$Y$65,G439),$Z$2:$Z$65),"Not Defined")</f>
        <v>NUT</v>
      </c>
      <c r="Q439" t="str" cm="1">
        <f t="array" ref="Q439">IFERROR(LOOKUP(2,1/SEARCH($S$2:$S$65,H439),$T$2:$T$65),"-")</f>
        <v>COTS</v>
      </c>
    </row>
    <row r="440" spans="1:17" hidden="1" x14ac:dyDescent="0.25">
      <c r="A440" t="s">
        <v>7672</v>
      </c>
      <c r="B440" t="s">
        <v>1277</v>
      </c>
      <c r="C440">
        <v>2</v>
      </c>
      <c r="D440" t="s">
        <v>1162</v>
      </c>
      <c r="E440" t="s">
        <v>1173</v>
      </c>
      <c r="F440" t="s">
        <v>698</v>
      </c>
      <c r="G440" t="s">
        <v>7118</v>
      </c>
      <c r="H440" t="s">
        <v>699</v>
      </c>
      <c r="I440" t="s">
        <v>255</v>
      </c>
      <c r="J440" t="s">
        <v>7703</v>
      </c>
      <c r="K440" t="s">
        <v>7684</v>
      </c>
      <c r="L440" t="s">
        <v>7692</v>
      </c>
      <c r="N440" t="str" cm="1">
        <f t="array" ref="N440">IFERROR(LOOKUP(2,1/SEARCH($S$2:$S$65,G440),$T$2:$T$65),"Misc")</f>
        <v>COTS</v>
      </c>
      <c r="O440" t="str" cm="1">
        <f t="array" ref="O440">IFERROR(LOOKUP(2,1/SEARCH($V$2:$V$65,G440),$W$2:$W$65),"Misc")</f>
        <v>Fasteners</v>
      </c>
      <c r="P440" t="str" cm="1">
        <f t="array" ref="P440">IFERROR(LOOKUP(2,1/SEARCH($Y$2:$Y$65,G440),$Z$2:$Z$65),"Not Defined")</f>
        <v>WASHER</v>
      </c>
      <c r="Q440" t="str" cm="1">
        <f t="array" ref="Q440">IFERROR(LOOKUP(2,1/SEARCH($S$2:$S$65,H440),$T$2:$T$65),"-")</f>
        <v>COTS</v>
      </c>
    </row>
    <row r="441" spans="1:17" hidden="1" x14ac:dyDescent="0.25">
      <c r="A441" t="s">
        <v>7672</v>
      </c>
      <c r="B441" t="s">
        <v>1278</v>
      </c>
      <c r="C441">
        <v>2</v>
      </c>
      <c r="D441" t="s">
        <v>1162</v>
      </c>
      <c r="E441" t="s">
        <v>1173</v>
      </c>
      <c r="F441" t="s">
        <v>695</v>
      </c>
      <c r="G441" t="s">
        <v>7117</v>
      </c>
      <c r="H441" t="s">
        <v>696</v>
      </c>
      <c r="I441" t="s">
        <v>255</v>
      </c>
      <c r="J441" t="s">
        <v>7703</v>
      </c>
      <c r="K441" t="s">
        <v>7719</v>
      </c>
      <c r="L441" t="s">
        <v>7719</v>
      </c>
      <c r="N441" t="str" cm="1">
        <f t="array" ref="N441">IFERROR(LOOKUP(2,1/SEARCH($S$2:$S$65,G441),$T$2:$T$65),"Misc")</f>
        <v>COTS</v>
      </c>
      <c r="O441" t="str" cm="1">
        <f t="array" ref="O441">IFERROR(LOOKUP(2,1/SEARCH($V$2:$V$65,G441),$W$2:$W$65),"Misc")</f>
        <v>Misc</v>
      </c>
      <c r="P441" t="str" cm="1">
        <f t="array" ref="P441">IFERROR(LOOKUP(2,1/SEARCH($Y$2:$Y$65,G441),$Z$2:$Z$65),"Not Defined")</f>
        <v>Retaining Rings</v>
      </c>
      <c r="Q441" t="str" cm="1">
        <f t="array" ref="Q441">IFERROR(LOOKUP(2,1/SEARCH($S$2:$S$65,H441),$T$2:$T$65),"-")</f>
        <v>COTS</v>
      </c>
    </row>
    <row r="442" spans="1:17" hidden="1" x14ac:dyDescent="0.25">
      <c r="A442" t="s">
        <v>7672</v>
      </c>
      <c r="B442" t="s">
        <v>1279</v>
      </c>
      <c r="C442">
        <v>6</v>
      </c>
      <c r="D442" t="s">
        <v>1162</v>
      </c>
      <c r="E442" t="s">
        <v>1173</v>
      </c>
      <c r="F442" t="s">
        <v>265</v>
      </c>
      <c r="G442" t="s">
        <v>7099</v>
      </c>
      <c r="H442" t="s">
        <v>266</v>
      </c>
      <c r="I442" t="s">
        <v>224</v>
      </c>
      <c r="J442" t="s">
        <v>7703</v>
      </c>
      <c r="K442" t="s">
        <v>7684</v>
      </c>
      <c r="L442" t="s">
        <v>7687</v>
      </c>
      <c r="N442" t="str" cm="1">
        <f t="array" ref="N442">IFERROR(LOOKUP(2,1/SEARCH($S$2:$S$65,G442),$T$2:$T$65),"Misc")</f>
        <v>COTS</v>
      </c>
      <c r="O442" t="str" cm="1">
        <f t="array" ref="O442">IFERROR(LOOKUP(2,1/SEARCH($V$2:$V$65,G442),$W$2:$W$65),"Misc")</f>
        <v>Fasteners</v>
      </c>
      <c r="P442" t="str" cm="1">
        <f t="array" ref="P442">IFERROR(LOOKUP(2,1/SEARCH($Y$2:$Y$65,G442),$Z$2:$Z$65),"Not Defined")</f>
        <v>INSERT</v>
      </c>
      <c r="Q442" t="str" cm="1">
        <f t="array" ref="Q442">IFERROR(LOOKUP(2,1/SEARCH($S$2:$S$65,H442),$T$2:$T$65),"-")</f>
        <v>COTS</v>
      </c>
    </row>
    <row r="443" spans="1:17" hidden="1" x14ac:dyDescent="0.25">
      <c r="A443" t="s">
        <v>7672</v>
      </c>
      <c r="B443" t="s">
        <v>1280</v>
      </c>
      <c r="C443">
        <v>2</v>
      </c>
      <c r="D443" t="s">
        <v>1162</v>
      </c>
      <c r="E443" t="s">
        <v>1173</v>
      </c>
      <c r="F443" t="s">
        <v>580</v>
      </c>
      <c r="G443" t="s">
        <v>7105</v>
      </c>
      <c r="H443" t="s">
        <v>581</v>
      </c>
      <c r="I443" t="s">
        <v>210</v>
      </c>
      <c r="J443" t="s">
        <v>7703</v>
      </c>
      <c r="K443" t="s">
        <v>7684</v>
      </c>
      <c r="L443" t="s">
        <v>7691</v>
      </c>
      <c r="N443" t="str" cm="1">
        <f t="array" ref="N443">IFERROR(LOOKUP(2,1/SEARCH($S$2:$S$65,G443),$T$2:$T$65),"Misc")</f>
        <v>COTS</v>
      </c>
      <c r="O443" t="str" cm="1">
        <f t="array" ref="O443">IFERROR(LOOKUP(2,1/SEARCH($V$2:$V$65,G443),$W$2:$W$65),"Misc")</f>
        <v>Fasteners</v>
      </c>
      <c r="P443" t="str" cm="1">
        <f t="array" ref="P443">IFERROR(LOOKUP(2,1/SEARCH($Y$2:$Y$65,G443),$Z$2:$Z$65),"Not Defined")</f>
        <v>FHS</v>
      </c>
      <c r="Q443" t="str" cm="1">
        <f t="array" ref="Q443">IFERROR(LOOKUP(2,1/SEARCH($S$2:$S$65,H443),$T$2:$T$65),"-")</f>
        <v>COTS</v>
      </c>
    </row>
    <row r="444" spans="1:17" hidden="1" x14ac:dyDescent="0.25">
      <c r="A444" t="s">
        <v>7672</v>
      </c>
      <c r="B444" t="s">
        <v>1281</v>
      </c>
      <c r="C444">
        <v>2</v>
      </c>
      <c r="D444" t="s">
        <v>1162</v>
      </c>
      <c r="E444" t="s">
        <v>1173</v>
      </c>
      <c r="F444" t="s">
        <v>566</v>
      </c>
      <c r="G444" t="s">
        <v>7101</v>
      </c>
      <c r="H444" t="s">
        <v>567</v>
      </c>
      <c r="I444" t="s">
        <v>228</v>
      </c>
      <c r="J444" t="s">
        <v>7703</v>
      </c>
      <c r="K444" t="s">
        <v>7684</v>
      </c>
      <c r="L444" t="s">
        <v>7693</v>
      </c>
      <c r="N444" t="str" cm="1">
        <f t="array" ref="N444">IFERROR(LOOKUP(2,1/SEARCH($S$2:$S$65,G444),$T$2:$T$65),"Misc")</f>
        <v>COTS</v>
      </c>
      <c r="O444" t="str" cm="1">
        <f t="array" ref="O444">IFERROR(LOOKUP(2,1/SEARCH($V$2:$V$65,G444),$W$2:$W$65),"Misc")</f>
        <v>Fasteners</v>
      </c>
      <c r="P444" t="str" cm="1">
        <f t="array" ref="P444">IFERROR(LOOKUP(2,1/SEARCH($Y$2:$Y$65,G444),$Z$2:$Z$65),"Not Defined")</f>
        <v>PHS</v>
      </c>
      <c r="Q444" t="str" cm="1">
        <f t="array" ref="Q444">IFERROR(LOOKUP(2,1/SEARCH($S$2:$S$65,H444),$T$2:$T$65),"-")</f>
        <v>COTS</v>
      </c>
    </row>
    <row r="445" spans="1:17" hidden="1" x14ac:dyDescent="0.25">
      <c r="A445" t="s">
        <v>7672</v>
      </c>
      <c r="B445" t="s">
        <v>1282</v>
      </c>
      <c r="C445">
        <v>2</v>
      </c>
      <c r="D445" t="s">
        <v>1162</v>
      </c>
      <c r="E445" t="s">
        <v>1173</v>
      </c>
      <c r="F445" t="s">
        <v>563</v>
      </c>
      <c r="G445" t="s">
        <v>7100</v>
      </c>
      <c r="H445" t="s">
        <v>564</v>
      </c>
      <c r="I445" t="s">
        <v>228</v>
      </c>
      <c r="J445" t="s">
        <v>7703</v>
      </c>
      <c r="K445" t="s">
        <v>7684</v>
      </c>
      <c r="L445" t="s">
        <v>7693</v>
      </c>
      <c r="N445" t="str" cm="1">
        <f t="array" ref="N445">IFERROR(LOOKUP(2,1/SEARCH($S$2:$S$65,G445),$T$2:$T$65),"Misc")</f>
        <v>COTS</v>
      </c>
      <c r="O445" t="str" cm="1">
        <f t="array" ref="O445">IFERROR(LOOKUP(2,1/SEARCH($V$2:$V$65,G445),$W$2:$W$65),"Misc")</f>
        <v>Fasteners</v>
      </c>
      <c r="P445" t="str" cm="1">
        <f t="array" ref="P445">IFERROR(LOOKUP(2,1/SEARCH($Y$2:$Y$65,G445),$Z$2:$Z$65),"Not Defined")</f>
        <v>PHS</v>
      </c>
      <c r="Q445" t="str" cm="1">
        <f t="array" ref="Q445">IFERROR(LOOKUP(2,1/SEARCH($S$2:$S$65,H445),$T$2:$T$65),"-")</f>
        <v>COTS</v>
      </c>
    </row>
    <row r="446" spans="1:17" hidden="1" x14ac:dyDescent="0.25">
      <c r="A446" t="s">
        <v>7672</v>
      </c>
      <c r="B446" t="s">
        <v>1283</v>
      </c>
      <c r="C446">
        <v>6</v>
      </c>
      <c r="D446" t="s">
        <v>1162</v>
      </c>
      <c r="E446" t="s">
        <v>1173</v>
      </c>
      <c r="F446" t="s">
        <v>439</v>
      </c>
      <c r="G446" t="s">
        <v>7086</v>
      </c>
      <c r="H446" t="s">
        <v>440</v>
      </c>
      <c r="I446" t="s">
        <v>224</v>
      </c>
      <c r="J446" t="s">
        <v>7703</v>
      </c>
      <c r="K446" t="s">
        <v>7684</v>
      </c>
      <c r="L446" t="s">
        <v>7687</v>
      </c>
      <c r="N446" t="str" cm="1">
        <f t="array" ref="N446">IFERROR(LOOKUP(2,1/SEARCH($S$2:$S$65,G446),$T$2:$T$65),"Misc")</f>
        <v>COTS</v>
      </c>
      <c r="O446" t="str" cm="1">
        <f t="array" ref="O446">IFERROR(LOOKUP(2,1/SEARCH($V$2:$V$65,G446),$W$2:$W$65),"Misc")</f>
        <v>Fasteners</v>
      </c>
      <c r="P446" t="str" cm="1">
        <f t="array" ref="P446">IFERROR(LOOKUP(2,1/SEARCH($Y$2:$Y$65,G446),$Z$2:$Z$65),"Not Defined")</f>
        <v>INSERT</v>
      </c>
      <c r="Q446" t="str" cm="1">
        <f t="array" ref="Q446">IFERROR(LOOKUP(2,1/SEARCH($S$2:$S$65,H446),$T$2:$T$65),"-")</f>
        <v>COTS</v>
      </c>
    </row>
    <row r="447" spans="1:17" hidden="1" x14ac:dyDescent="0.25">
      <c r="A447" t="s">
        <v>7672</v>
      </c>
      <c r="B447" t="s">
        <v>1284</v>
      </c>
      <c r="C447">
        <v>4</v>
      </c>
      <c r="D447" t="s">
        <v>1162</v>
      </c>
      <c r="E447" t="s">
        <v>1173</v>
      </c>
      <c r="F447" t="s">
        <v>1285</v>
      </c>
      <c r="G447" t="s">
        <v>7199</v>
      </c>
      <c r="H447" t="s">
        <v>1286</v>
      </c>
      <c r="I447" t="s">
        <v>210</v>
      </c>
      <c r="J447" t="s">
        <v>7703</v>
      </c>
      <c r="K447" t="s">
        <v>7684</v>
      </c>
      <c r="L447" t="s">
        <v>7700</v>
      </c>
      <c r="N447" t="str" cm="1">
        <f t="array" ref="N447">IFERROR(LOOKUP(2,1/SEARCH($S$2:$S$65,G447),$T$2:$T$65),"Misc")</f>
        <v>COTS</v>
      </c>
      <c r="O447" t="str" cm="1">
        <f t="array" ref="O447">IFERROR(LOOKUP(2,1/SEARCH($V$2:$V$65,G447),$W$2:$W$65),"Misc")</f>
        <v>Fasteners</v>
      </c>
      <c r="P447" t="str" cm="1">
        <f t="array" ref="P447">IFERROR(LOOKUP(2,1/SEARCH($Y$2:$Y$65,G447),$Z$2:$Z$65),"Not Defined")</f>
        <v>SHCS</v>
      </c>
      <c r="Q447" t="str" cm="1">
        <f t="array" ref="Q447">IFERROR(LOOKUP(2,1/SEARCH($S$2:$S$65,H447),$T$2:$T$65),"-")</f>
        <v>COTS</v>
      </c>
    </row>
    <row r="448" spans="1:17" hidden="1" x14ac:dyDescent="0.25">
      <c r="A448" t="s">
        <v>7672</v>
      </c>
      <c r="B448" t="s">
        <v>1287</v>
      </c>
      <c r="C448">
        <v>2</v>
      </c>
      <c r="D448" t="s">
        <v>1162</v>
      </c>
      <c r="E448" t="s">
        <v>1173</v>
      </c>
      <c r="F448" t="s">
        <v>1288</v>
      </c>
      <c r="G448" t="s">
        <v>7200</v>
      </c>
      <c r="H448" t="s">
        <v>1289</v>
      </c>
      <c r="I448" t="s">
        <v>210</v>
      </c>
      <c r="J448" t="s">
        <v>7703</v>
      </c>
      <c r="K448" t="s">
        <v>7684</v>
      </c>
      <c r="L448" t="s">
        <v>7700</v>
      </c>
      <c r="N448" t="str" cm="1">
        <f t="array" ref="N448">IFERROR(LOOKUP(2,1/SEARCH($S$2:$S$65,G448),$T$2:$T$65),"Misc")</f>
        <v>COTS</v>
      </c>
      <c r="O448" t="str" cm="1">
        <f t="array" ref="O448">IFERROR(LOOKUP(2,1/SEARCH($V$2:$V$65,G448),$W$2:$W$65),"Misc")</f>
        <v>Fasteners</v>
      </c>
      <c r="P448" t="str" cm="1">
        <f t="array" ref="P448">IFERROR(LOOKUP(2,1/SEARCH($Y$2:$Y$65,G448),$Z$2:$Z$65),"Not Defined")</f>
        <v>SHCS</v>
      </c>
      <c r="Q448" t="str" cm="1">
        <f t="array" ref="Q448">IFERROR(LOOKUP(2,1/SEARCH($S$2:$S$65,H448),$T$2:$T$65),"-")</f>
        <v>COTS</v>
      </c>
    </row>
    <row r="449" spans="1:17" hidden="1" x14ac:dyDescent="0.25">
      <c r="A449" t="s">
        <v>7672</v>
      </c>
      <c r="B449" t="s">
        <v>1290</v>
      </c>
      <c r="C449">
        <v>5</v>
      </c>
      <c r="D449" t="s">
        <v>1162</v>
      </c>
      <c r="E449" t="s">
        <v>1173</v>
      </c>
      <c r="F449" t="s">
        <v>222</v>
      </c>
      <c r="G449" t="s">
        <v>7053</v>
      </c>
      <c r="H449" t="s">
        <v>223</v>
      </c>
      <c r="I449" t="s">
        <v>224</v>
      </c>
      <c r="J449" t="s">
        <v>7703</v>
      </c>
      <c r="K449" t="s">
        <v>7684</v>
      </c>
      <c r="L449" t="s">
        <v>7687</v>
      </c>
      <c r="N449" t="str" cm="1">
        <f t="array" ref="N449">IFERROR(LOOKUP(2,1/SEARCH($S$2:$S$65,G449),$T$2:$T$65),"Misc")</f>
        <v>COTS</v>
      </c>
      <c r="O449" t="str" cm="1">
        <f t="array" ref="O449">IFERROR(LOOKUP(2,1/SEARCH($V$2:$V$65,G449),$W$2:$W$65),"Misc")</f>
        <v>Fasteners</v>
      </c>
      <c r="P449" t="str" cm="1">
        <f t="array" ref="P449">IFERROR(LOOKUP(2,1/SEARCH($Y$2:$Y$65,G449),$Z$2:$Z$65),"Not Defined")</f>
        <v>INSERT</v>
      </c>
      <c r="Q449" t="str" cm="1">
        <f t="array" ref="Q449">IFERROR(LOOKUP(2,1/SEARCH($S$2:$S$65,H449),$T$2:$T$65),"-")</f>
        <v>COTS</v>
      </c>
    </row>
    <row r="450" spans="1:17" hidden="1" x14ac:dyDescent="0.25">
      <c r="A450" t="s">
        <v>7672</v>
      </c>
      <c r="B450" t="s">
        <v>1291</v>
      </c>
      <c r="C450">
        <v>1</v>
      </c>
      <c r="D450" t="s">
        <v>1162</v>
      </c>
      <c r="E450" t="s">
        <v>7865</v>
      </c>
      <c r="F450" t="s">
        <v>1292</v>
      </c>
      <c r="G450" t="s">
        <v>7201</v>
      </c>
      <c r="H450" t="s">
        <v>1293</v>
      </c>
      <c r="I450" t="s">
        <v>255</v>
      </c>
      <c r="J450" t="s">
        <v>7744</v>
      </c>
      <c r="K450" t="s">
        <v>7826</v>
      </c>
      <c r="L450" t="s">
        <v>7826</v>
      </c>
      <c r="N450" t="str" cm="1">
        <f t="array" ref="N450">IFERROR(LOOKUP(2,1/SEARCH($S$2:$S$65,G450),$T$2:$T$65),"Misc")</f>
        <v>OH Common</v>
      </c>
      <c r="O450" t="str" cm="1">
        <f t="array" ref="O450">IFERROR(LOOKUP(2,1/SEARCH($V$2:$V$65,G450),$W$2:$W$65),"Misc")</f>
        <v>OH Part</v>
      </c>
      <c r="P450" t="str" cm="1">
        <f t="array" ref="P450">IFERROR(LOOKUP(2,1/SEARCH($Y$2:$Y$65,G450),$Z$2:$Z$65),"Not Defined")</f>
        <v>OH Part</v>
      </c>
      <c r="Q450" t="str" cm="1">
        <f t="array" ref="Q450">IFERROR(LOOKUP(2,1/SEARCH($S$2:$S$65,H450),$T$2:$T$65),"-")</f>
        <v>OH ASSY</v>
      </c>
    </row>
    <row r="451" spans="1:17" hidden="1" x14ac:dyDescent="0.25">
      <c r="A451" t="s">
        <v>7672</v>
      </c>
      <c r="B451" t="s">
        <v>1294</v>
      </c>
      <c r="C451">
        <v>1</v>
      </c>
      <c r="D451" t="s">
        <v>1162</v>
      </c>
      <c r="E451" t="s">
        <v>7865</v>
      </c>
      <c r="F451" t="s">
        <v>1295</v>
      </c>
      <c r="G451" t="s">
        <v>7202</v>
      </c>
      <c r="H451" t="s">
        <v>1296</v>
      </c>
      <c r="I451" t="s">
        <v>255</v>
      </c>
      <c r="J451" t="s">
        <v>7744</v>
      </c>
      <c r="K451" t="s">
        <v>7826</v>
      </c>
      <c r="L451" t="s">
        <v>7826</v>
      </c>
      <c r="N451" t="str" cm="1">
        <f t="array" ref="N451">IFERROR(LOOKUP(2,1/SEARCH($S$2:$S$65,G451),$T$2:$T$65),"Misc")</f>
        <v>OH Common</v>
      </c>
      <c r="O451" t="str" cm="1">
        <f t="array" ref="O451">IFERROR(LOOKUP(2,1/SEARCH($V$2:$V$65,G451),$W$2:$W$65),"Misc")</f>
        <v>OH Part</v>
      </c>
      <c r="P451" t="str" cm="1">
        <f t="array" ref="P451">IFERROR(LOOKUP(2,1/SEARCH($Y$2:$Y$65,G451),$Z$2:$Z$65),"Not Defined")</f>
        <v>OH Part</v>
      </c>
      <c r="Q451" t="str" cm="1">
        <f t="array" ref="Q451">IFERROR(LOOKUP(2,1/SEARCH($S$2:$S$65,H451),$T$2:$T$65),"-")</f>
        <v>-</v>
      </c>
    </row>
    <row r="452" spans="1:17" hidden="1" x14ac:dyDescent="0.25">
      <c r="A452" t="s">
        <v>7672</v>
      </c>
      <c r="B452" t="s">
        <v>1297</v>
      </c>
      <c r="C452">
        <v>1</v>
      </c>
      <c r="D452" t="s">
        <v>1162</v>
      </c>
      <c r="E452" t="s">
        <v>7865</v>
      </c>
      <c r="F452" t="s">
        <v>596</v>
      </c>
      <c r="G452" t="s">
        <v>7108</v>
      </c>
      <c r="H452" t="s">
        <v>597</v>
      </c>
      <c r="I452" t="s">
        <v>255</v>
      </c>
      <c r="J452" t="s">
        <v>7703</v>
      </c>
      <c r="K452" t="s">
        <v>7713</v>
      </c>
      <c r="L452" t="s">
        <v>7713</v>
      </c>
      <c r="N452" t="str" cm="1">
        <f t="array" ref="N452">IFERROR(LOOKUP(2,1/SEARCH($S$2:$S$65,G452),$T$2:$T$65),"Misc")</f>
        <v>COTS</v>
      </c>
      <c r="O452" t="str" cm="1">
        <f t="array" ref="O452">IFERROR(LOOKUP(2,1/SEARCH($V$2:$V$65,G452),$W$2:$W$65),"Misc")</f>
        <v>ARDUINO</v>
      </c>
      <c r="P452" t="str" cm="1">
        <f t="array" ref="P452">IFERROR(LOOKUP(2,1/SEARCH($Y$2:$Y$65,G452),$Z$2:$Z$65),"Not Defined")</f>
        <v>ARDUINO</v>
      </c>
      <c r="Q452" t="str" cm="1">
        <f t="array" ref="Q452">IFERROR(LOOKUP(2,1/SEARCH($S$2:$S$65,H452),$T$2:$T$65),"-")</f>
        <v>COTS</v>
      </c>
    </row>
    <row r="453" spans="1:17" hidden="1" x14ac:dyDescent="0.25">
      <c r="A453" t="s">
        <v>7672</v>
      </c>
      <c r="B453" t="s">
        <v>1298</v>
      </c>
      <c r="C453">
        <v>1</v>
      </c>
      <c r="D453" t="s">
        <v>1162</v>
      </c>
      <c r="E453" t="s">
        <v>7954</v>
      </c>
      <c r="F453" t="s">
        <v>1299</v>
      </c>
      <c r="G453" t="s">
        <v>1303</v>
      </c>
      <c r="H453" t="s">
        <v>1300</v>
      </c>
      <c r="J453" t="s">
        <v>7744</v>
      </c>
      <c r="K453" t="s">
        <v>7826</v>
      </c>
      <c r="L453" t="s">
        <v>7826</v>
      </c>
      <c r="N453" t="str" cm="1">
        <f t="array" ref="N453">IFERROR(LOOKUP(2,1/SEARCH($S$2:$S$65,G453),$T$2:$T$65),"Misc")</f>
        <v>OH Common</v>
      </c>
      <c r="O453" t="str" cm="1">
        <f t="array" ref="O453">IFERROR(LOOKUP(2,1/SEARCH($V$2:$V$65,G453),$W$2:$W$65),"Misc")</f>
        <v>OH Part</v>
      </c>
      <c r="P453" t="str" cm="1">
        <f t="array" ref="P453">IFERROR(LOOKUP(2,1/SEARCH($Y$2:$Y$65,G453),$Z$2:$Z$65),"Not Defined")</f>
        <v>OH Part</v>
      </c>
      <c r="Q453" t="str" cm="1">
        <f t="array" ref="Q453">IFERROR(LOOKUP(2,1/SEARCH($S$2:$S$65,H453),$T$2:$T$65),"-")</f>
        <v>OH ASSY</v>
      </c>
    </row>
    <row r="454" spans="1:17" hidden="1" x14ac:dyDescent="0.25">
      <c r="A454" t="s">
        <v>7672</v>
      </c>
      <c r="B454" t="s">
        <v>1301</v>
      </c>
      <c r="C454">
        <v>1</v>
      </c>
      <c r="D454" t="s">
        <v>1162</v>
      </c>
      <c r="E454" t="s">
        <v>7954</v>
      </c>
      <c r="F454" t="s">
        <v>360</v>
      </c>
      <c r="G454" t="s">
        <v>7076</v>
      </c>
      <c r="H454" t="s">
        <v>361</v>
      </c>
      <c r="I454" t="s">
        <v>228</v>
      </c>
      <c r="J454" t="s">
        <v>7703</v>
      </c>
      <c r="K454" t="s">
        <v>7684</v>
      </c>
      <c r="L454" t="s">
        <v>7721</v>
      </c>
      <c r="N454" t="str" cm="1">
        <f t="array" ref="N454">IFERROR(LOOKUP(2,1/SEARCH($S$2:$S$65,G454),$T$2:$T$65),"Misc")</f>
        <v>COTS</v>
      </c>
      <c r="O454" t="str" cm="1">
        <f t="array" ref="O454">IFERROR(LOOKUP(2,1/SEARCH($V$2:$V$65,G454),$W$2:$W$65),"Misc")</f>
        <v>Fasteners</v>
      </c>
      <c r="P454" t="str" cm="1">
        <f t="array" ref="P454">IFERROR(LOOKUP(2,1/SEARCH($Y$2:$Y$65,G454),$Z$2:$Z$65),"Not Defined")</f>
        <v>SET SCREW</v>
      </c>
      <c r="Q454" t="str" cm="1">
        <f t="array" ref="Q454">IFERROR(LOOKUP(2,1/SEARCH($S$2:$S$65,H454),$T$2:$T$65),"-")</f>
        <v>COTS</v>
      </c>
    </row>
    <row r="455" spans="1:17" hidden="1" x14ac:dyDescent="0.25">
      <c r="A455" t="s">
        <v>7672</v>
      </c>
      <c r="B455" t="s">
        <v>1302</v>
      </c>
      <c r="C455">
        <v>1</v>
      </c>
      <c r="D455" t="s">
        <v>1162</v>
      </c>
      <c r="E455" t="s">
        <v>7954</v>
      </c>
      <c r="F455" t="s">
        <v>1299</v>
      </c>
      <c r="G455" t="s">
        <v>1303</v>
      </c>
      <c r="H455" t="s">
        <v>1300</v>
      </c>
      <c r="I455" t="s">
        <v>358</v>
      </c>
      <c r="J455" t="s">
        <v>7744</v>
      </c>
      <c r="K455" t="s">
        <v>7826</v>
      </c>
      <c r="L455" t="s">
        <v>7826</v>
      </c>
      <c r="N455" t="str" cm="1">
        <f t="array" ref="N455">IFERROR(LOOKUP(2,1/SEARCH($S$2:$S$65,G455),$T$2:$T$65),"Misc")</f>
        <v>OH Common</v>
      </c>
      <c r="O455" t="str" cm="1">
        <f t="array" ref="O455">IFERROR(LOOKUP(2,1/SEARCH($V$2:$V$65,G455),$W$2:$W$65),"Misc")</f>
        <v>OH Part</v>
      </c>
      <c r="P455" t="str" cm="1">
        <f t="array" ref="P455">IFERROR(LOOKUP(2,1/SEARCH($Y$2:$Y$65,G455),$Z$2:$Z$65),"Not Defined")</f>
        <v>OH Part</v>
      </c>
      <c r="Q455" t="str" cm="1">
        <f t="array" ref="Q455">IFERROR(LOOKUP(2,1/SEARCH($S$2:$S$65,H455),$T$2:$T$65),"-")</f>
        <v>OH ASSY</v>
      </c>
    </row>
    <row r="456" spans="1:17" hidden="1" x14ac:dyDescent="0.25">
      <c r="A456" t="s">
        <v>7672</v>
      </c>
      <c r="B456" t="s">
        <v>1304</v>
      </c>
      <c r="C456">
        <v>4</v>
      </c>
      <c r="D456" t="s">
        <v>1162</v>
      </c>
      <c r="F456" t="s">
        <v>226</v>
      </c>
      <c r="G456" t="s">
        <v>7054</v>
      </c>
      <c r="H456" t="s">
        <v>227</v>
      </c>
      <c r="I456" t="s">
        <v>228</v>
      </c>
      <c r="J456" t="s">
        <v>7703</v>
      </c>
      <c r="K456" t="s">
        <v>7684</v>
      </c>
      <c r="L456" t="s">
        <v>7685</v>
      </c>
      <c r="N456" t="str" cm="1">
        <f t="array" ref="N456">IFERROR(LOOKUP(2,1/SEARCH($S$2:$S$65,G456),$T$2:$T$65),"Misc")</f>
        <v>COTS</v>
      </c>
      <c r="O456" t="str" cm="1">
        <f t="array" ref="O456">IFERROR(LOOKUP(2,1/SEARCH($V$2:$V$65,G456),$W$2:$W$65),"Misc")</f>
        <v>Fasteners</v>
      </c>
      <c r="P456" t="str" cm="1">
        <f t="array" ref="P456">IFERROR(LOOKUP(2,1/SEARCH($Y$2:$Y$65,G456),$Z$2:$Z$65),"Not Defined")</f>
        <v>NUT</v>
      </c>
      <c r="Q456" t="str" cm="1">
        <f t="array" ref="Q456">IFERROR(LOOKUP(2,1/SEARCH($S$2:$S$65,H456),$T$2:$T$65),"-")</f>
        <v>COTS</v>
      </c>
    </row>
    <row r="457" spans="1:17" hidden="1" x14ac:dyDescent="0.25">
      <c r="A457" t="s">
        <v>7672</v>
      </c>
      <c r="B457" t="s">
        <v>1305</v>
      </c>
      <c r="C457">
        <v>5</v>
      </c>
      <c r="D457" t="s">
        <v>1162</v>
      </c>
      <c r="F457" t="s">
        <v>219</v>
      </c>
      <c r="G457" t="s">
        <v>7052</v>
      </c>
      <c r="H457" t="s">
        <v>220</v>
      </c>
      <c r="I457" t="s">
        <v>210</v>
      </c>
      <c r="J457" t="s">
        <v>7703</v>
      </c>
      <c r="K457" t="s">
        <v>7684</v>
      </c>
      <c r="L457" t="s">
        <v>7691</v>
      </c>
      <c r="N457" t="str" cm="1">
        <f t="array" ref="N457">IFERROR(LOOKUP(2,1/SEARCH($S$2:$S$65,G457),$T$2:$T$65),"Misc")</f>
        <v>COTS</v>
      </c>
      <c r="O457" t="str" cm="1">
        <f t="array" ref="O457">IFERROR(LOOKUP(2,1/SEARCH($V$2:$V$65,G457),$W$2:$W$65),"Misc")</f>
        <v>Fasteners</v>
      </c>
      <c r="P457" t="str" cm="1">
        <f t="array" ref="P457">IFERROR(LOOKUP(2,1/SEARCH($Y$2:$Y$65,G457),$Z$2:$Z$65),"Not Defined")</f>
        <v>FHS</v>
      </c>
      <c r="Q457" t="str" cm="1">
        <f t="array" ref="Q457">IFERROR(LOOKUP(2,1/SEARCH($S$2:$S$65,H457),$T$2:$T$65),"-")</f>
        <v>COTS</v>
      </c>
    </row>
    <row r="458" spans="1:17" hidden="1" x14ac:dyDescent="0.25">
      <c r="A458" t="s">
        <v>7672</v>
      </c>
      <c r="B458" t="s">
        <v>1306</v>
      </c>
      <c r="C458">
        <v>4</v>
      </c>
      <c r="D458" t="s">
        <v>1162</v>
      </c>
      <c r="F458" t="s">
        <v>1008</v>
      </c>
      <c r="G458" t="s">
        <v>7157</v>
      </c>
      <c r="H458" t="s">
        <v>1009</v>
      </c>
      <c r="I458" t="s">
        <v>210</v>
      </c>
      <c r="J458" t="s">
        <v>7703</v>
      </c>
      <c r="K458" t="s">
        <v>7684</v>
      </c>
      <c r="L458" t="s">
        <v>7706</v>
      </c>
      <c r="N458" t="str" cm="1">
        <f t="array" ref="N458">IFERROR(LOOKUP(2,1/SEARCH($S$2:$S$65,G458),$T$2:$T$65),"Misc")</f>
        <v>COTS</v>
      </c>
      <c r="O458" t="str" cm="1">
        <f t="array" ref="O458">IFERROR(LOOKUP(2,1/SEARCH($V$2:$V$65,G458),$W$2:$W$65),"Misc")</f>
        <v>Fasteners</v>
      </c>
      <c r="P458" t="str" cm="1">
        <f t="array" ref="P458">IFERROR(LOOKUP(2,1/SEARCH($Y$2:$Y$65,G458),$Z$2:$Z$65),"Not Defined")</f>
        <v>HHCS</v>
      </c>
      <c r="Q458" t="str" cm="1">
        <f t="array" ref="Q458">IFERROR(LOOKUP(2,1/SEARCH($S$2:$S$65,H458),$T$2:$T$65),"-")</f>
        <v>COTS</v>
      </c>
    </row>
    <row r="459" spans="1:17" hidden="1" x14ac:dyDescent="0.25">
      <c r="A459" t="s">
        <v>7672</v>
      </c>
      <c r="B459" t="s">
        <v>1307</v>
      </c>
      <c r="C459">
        <v>8</v>
      </c>
      <c r="D459" t="s">
        <v>1162</v>
      </c>
      <c r="F459" t="s">
        <v>1025</v>
      </c>
      <c r="G459" t="s">
        <v>7161</v>
      </c>
      <c r="H459" t="s">
        <v>1026</v>
      </c>
      <c r="I459" t="s">
        <v>210</v>
      </c>
      <c r="J459" t="s">
        <v>7703</v>
      </c>
      <c r="K459" t="s">
        <v>7684</v>
      </c>
      <c r="L459" t="s">
        <v>7692</v>
      </c>
      <c r="N459" t="str" cm="1">
        <f t="array" ref="N459">IFERROR(LOOKUP(2,1/SEARCH($S$2:$S$65,G459),$T$2:$T$65),"Misc")</f>
        <v>COTS</v>
      </c>
      <c r="O459" t="str" cm="1">
        <f t="array" ref="O459">IFERROR(LOOKUP(2,1/SEARCH($V$2:$V$65,G459),$W$2:$W$65),"Misc")</f>
        <v>Fasteners</v>
      </c>
      <c r="P459" t="str" cm="1">
        <f t="array" ref="P459">IFERROR(LOOKUP(2,1/SEARCH($Y$2:$Y$65,G459),$Z$2:$Z$65),"Not Defined")</f>
        <v>WASHER</v>
      </c>
      <c r="Q459" t="str" cm="1">
        <f t="array" ref="Q459">IFERROR(LOOKUP(2,1/SEARCH($S$2:$S$65,H459),$T$2:$T$65),"-")</f>
        <v>COTS</v>
      </c>
    </row>
    <row r="460" spans="1:17" hidden="1" x14ac:dyDescent="0.25">
      <c r="A460" t="s">
        <v>7672</v>
      </c>
      <c r="B460" t="s">
        <v>1308</v>
      </c>
      <c r="C460">
        <v>4</v>
      </c>
      <c r="D460" t="s">
        <v>1162</v>
      </c>
      <c r="F460" t="s">
        <v>1309</v>
      </c>
      <c r="G460" t="s">
        <v>7203</v>
      </c>
      <c r="H460" t="s">
        <v>1310</v>
      </c>
      <c r="I460" t="s">
        <v>210</v>
      </c>
      <c r="J460" t="s">
        <v>7703</v>
      </c>
      <c r="K460" t="s">
        <v>7684</v>
      </c>
      <c r="L460" t="s">
        <v>7685</v>
      </c>
      <c r="N460" t="str" cm="1">
        <f t="array" ref="N460">IFERROR(LOOKUP(2,1/SEARCH($S$2:$S$65,G460),$T$2:$T$65),"Misc")</f>
        <v>COTS</v>
      </c>
      <c r="O460" t="str" cm="1">
        <f t="array" ref="O460">IFERROR(LOOKUP(2,1/SEARCH($V$2:$V$65,G460),$W$2:$W$65),"Misc")</f>
        <v>Fasteners</v>
      </c>
      <c r="P460" t="str" cm="1">
        <f t="array" ref="P460">IFERROR(LOOKUP(2,1/SEARCH($Y$2:$Y$65,G460),$Z$2:$Z$65),"Not Defined")</f>
        <v>NUT</v>
      </c>
      <c r="Q460" t="str" cm="1">
        <f t="array" ref="Q460">IFERROR(LOOKUP(2,1/SEARCH($S$2:$S$65,H460),$T$2:$T$65),"-")</f>
        <v>COTS</v>
      </c>
    </row>
    <row r="461" spans="1:17" hidden="1" x14ac:dyDescent="0.25">
      <c r="A461" t="s">
        <v>7672</v>
      </c>
      <c r="B461" s="2" t="s">
        <v>1311</v>
      </c>
      <c r="C461">
        <v>1</v>
      </c>
      <c r="D461" t="s">
        <v>1314</v>
      </c>
      <c r="E461" t="s">
        <v>1313</v>
      </c>
      <c r="F461" t="s">
        <v>1312</v>
      </c>
      <c r="G461" t="s">
        <v>1314</v>
      </c>
      <c r="H461" t="s">
        <v>1313</v>
      </c>
      <c r="J461" t="s">
        <v>7742</v>
      </c>
      <c r="K461" t="s">
        <v>7826</v>
      </c>
      <c r="L461" t="s">
        <v>7826</v>
      </c>
      <c r="N461" t="str" cm="1">
        <f t="array" ref="N461">IFERROR(LOOKUP(2,1/SEARCH($S$2:$S$65,G461),$T$2:$T$65),"Misc")</f>
        <v>OH ASSY</v>
      </c>
      <c r="O461" t="str" cm="1">
        <f t="array" ref="O461">IFERROR(LOOKUP(2,1/SEARCH($V$2:$V$65,G461),$W$2:$W$65),"Misc")</f>
        <v>OH Part</v>
      </c>
      <c r="P461" t="str" cm="1">
        <f t="array" ref="P461">IFERROR(LOOKUP(2,1/SEARCH($Y$2:$Y$65,G461),$Z$2:$Z$65),"Not Defined")</f>
        <v>OH Part</v>
      </c>
      <c r="Q461" t="str" cm="1">
        <f t="array" ref="Q461">IFERROR(LOOKUP(2,1/SEARCH($S$2:$S$65,H461),$T$2:$T$65),"-")</f>
        <v>OH ASSY</v>
      </c>
    </row>
    <row r="462" spans="1:17" hidden="1" x14ac:dyDescent="0.25">
      <c r="A462" t="s">
        <v>7672</v>
      </c>
      <c r="B462" t="s">
        <v>1315</v>
      </c>
      <c r="C462">
        <v>1</v>
      </c>
      <c r="D462" t="s">
        <v>1314</v>
      </c>
      <c r="F462" t="s">
        <v>1316</v>
      </c>
      <c r="G462" t="s">
        <v>1318</v>
      </c>
      <c r="H462" t="s">
        <v>1317</v>
      </c>
      <c r="I462" t="s">
        <v>13</v>
      </c>
      <c r="J462" t="s">
        <v>7682</v>
      </c>
      <c r="K462" t="s">
        <v>7826</v>
      </c>
      <c r="L462" t="s">
        <v>7826</v>
      </c>
      <c r="N462" t="str" cm="1">
        <f t="array" ref="N462">IFERROR(LOOKUP(2,1/SEARCH($S$2:$S$65,G462),$T$2:$T$65),"Misc")</f>
        <v>OH P/N</v>
      </c>
      <c r="O462" t="str" cm="1">
        <f t="array" ref="O462">IFERROR(LOOKUP(2,1/SEARCH($V$2:$V$65,G462),$W$2:$W$65),"Misc")</f>
        <v>OH Part</v>
      </c>
      <c r="P462" t="str" cm="1">
        <f t="array" ref="P462">IFERROR(LOOKUP(2,1/SEARCH($Y$2:$Y$65,G462),$Z$2:$Z$65),"Not Defined")</f>
        <v>OH Part</v>
      </c>
      <c r="Q462" t="str" cm="1">
        <f t="array" ref="Q462">IFERROR(LOOKUP(2,1/SEARCH($S$2:$S$65,H462),$T$2:$T$65),"-")</f>
        <v>-</v>
      </c>
    </row>
    <row r="463" spans="1:17" hidden="1" x14ac:dyDescent="0.25">
      <c r="A463" t="s">
        <v>7672</v>
      </c>
      <c r="B463" t="s">
        <v>1319</v>
      </c>
      <c r="C463">
        <v>1</v>
      </c>
      <c r="D463" t="s">
        <v>1314</v>
      </c>
      <c r="F463" t="s">
        <v>1320</v>
      </c>
      <c r="G463" t="s">
        <v>1322</v>
      </c>
      <c r="H463" t="s">
        <v>1321</v>
      </c>
      <c r="I463" t="s">
        <v>13</v>
      </c>
      <c r="J463" t="s">
        <v>7682</v>
      </c>
      <c r="K463" t="s">
        <v>7826</v>
      </c>
      <c r="L463" t="s">
        <v>7826</v>
      </c>
      <c r="N463" t="str" cm="1">
        <f t="array" ref="N463">IFERROR(LOOKUP(2,1/SEARCH($S$2:$S$65,G463),$T$2:$T$65),"Misc")</f>
        <v>OH P/N</v>
      </c>
      <c r="O463" t="str" cm="1">
        <f t="array" ref="O463">IFERROR(LOOKUP(2,1/SEARCH($V$2:$V$65,G463),$W$2:$W$65),"Misc")</f>
        <v>OH Part</v>
      </c>
      <c r="P463" t="str" cm="1">
        <f t="array" ref="P463">IFERROR(LOOKUP(2,1/SEARCH($Y$2:$Y$65,G463),$Z$2:$Z$65),"Not Defined")</f>
        <v>OH Part</v>
      </c>
      <c r="Q463" t="str" cm="1">
        <f t="array" ref="Q463">IFERROR(LOOKUP(2,1/SEARCH($S$2:$S$65,H463),$T$2:$T$65),"-")</f>
        <v>-</v>
      </c>
    </row>
    <row r="464" spans="1:17" hidden="1" x14ac:dyDescent="0.25">
      <c r="A464" t="s">
        <v>7672</v>
      </c>
      <c r="B464" t="s">
        <v>1323</v>
      </c>
      <c r="C464">
        <v>1</v>
      </c>
      <c r="D464" t="s">
        <v>1314</v>
      </c>
      <c r="F464" t="s">
        <v>1324</v>
      </c>
      <c r="G464" t="s">
        <v>1326</v>
      </c>
      <c r="H464" t="s">
        <v>1325</v>
      </c>
      <c r="I464" t="s">
        <v>13</v>
      </c>
      <c r="J464" t="s">
        <v>7682</v>
      </c>
      <c r="K464" t="s">
        <v>7826</v>
      </c>
      <c r="L464" t="s">
        <v>7826</v>
      </c>
      <c r="N464" t="str" cm="1">
        <f t="array" ref="N464">IFERROR(LOOKUP(2,1/SEARCH($S$2:$S$65,G464),$T$2:$T$65),"Misc")</f>
        <v>OH P/N</v>
      </c>
      <c r="O464" t="str" cm="1">
        <f t="array" ref="O464">IFERROR(LOOKUP(2,1/SEARCH($V$2:$V$65,G464),$W$2:$W$65),"Misc")</f>
        <v>OH Part</v>
      </c>
      <c r="P464" t="str" cm="1">
        <f t="array" ref="P464">IFERROR(LOOKUP(2,1/SEARCH($Y$2:$Y$65,G464),$Z$2:$Z$65),"Not Defined")</f>
        <v>OH Part</v>
      </c>
      <c r="Q464" t="str" cm="1">
        <f t="array" ref="Q464">IFERROR(LOOKUP(2,1/SEARCH($S$2:$S$65,H464),$T$2:$T$65),"-")</f>
        <v>-</v>
      </c>
    </row>
    <row r="465" spans="1:17" hidden="1" x14ac:dyDescent="0.25">
      <c r="A465" t="s">
        <v>7672</v>
      </c>
      <c r="B465" t="s">
        <v>1327</v>
      </c>
      <c r="C465">
        <v>1</v>
      </c>
      <c r="D465" t="s">
        <v>1314</v>
      </c>
      <c r="F465" t="s">
        <v>1328</v>
      </c>
      <c r="G465" t="s">
        <v>1330</v>
      </c>
      <c r="H465" t="s">
        <v>1329</v>
      </c>
      <c r="I465" t="s">
        <v>293</v>
      </c>
      <c r="J465" t="s">
        <v>7682</v>
      </c>
      <c r="K465" t="s">
        <v>7826</v>
      </c>
      <c r="L465" t="s">
        <v>7826</v>
      </c>
      <c r="N465" t="str" cm="1">
        <f t="array" ref="N465">IFERROR(LOOKUP(2,1/SEARCH($S$2:$S$65,G465),$T$2:$T$65),"Misc")</f>
        <v>OH P/N</v>
      </c>
      <c r="O465" t="str" cm="1">
        <f t="array" ref="O465">IFERROR(LOOKUP(2,1/SEARCH($V$2:$V$65,G465),$W$2:$W$65),"Misc")</f>
        <v>OH Part</v>
      </c>
      <c r="P465" t="str" cm="1">
        <f t="array" ref="P465">IFERROR(LOOKUP(2,1/SEARCH($Y$2:$Y$65,G465),$Z$2:$Z$65),"Not Defined")</f>
        <v>OH Part</v>
      </c>
      <c r="Q465" t="str" cm="1">
        <f t="array" ref="Q465">IFERROR(LOOKUP(2,1/SEARCH($S$2:$S$65,H465),$T$2:$T$65),"-")</f>
        <v>-</v>
      </c>
    </row>
    <row r="466" spans="1:17" hidden="1" x14ac:dyDescent="0.25">
      <c r="A466" t="s">
        <v>7672</v>
      </c>
      <c r="B466" s="2" t="s">
        <v>1331</v>
      </c>
      <c r="C466">
        <v>1</v>
      </c>
      <c r="D466" t="s">
        <v>1314</v>
      </c>
      <c r="E466" t="s">
        <v>1333</v>
      </c>
      <c r="F466" t="s">
        <v>1332</v>
      </c>
      <c r="G466" t="s">
        <v>7204</v>
      </c>
      <c r="H466" t="s">
        <v>1333</v>
      </c>
      <c r="J466" t="s">
        <v>7742</v>
      </c>
      <c r="K466" t="s">
        <v>7826</v>
      </c>
      <c r="L466" t="s">
        <v>7826</v>
      </c>
      <c r="N466" t="str" cm="1">
        <f t="array" ref="N466">IFERROR(LOOKUP(2,1/SEARCH($S$2:$S$65,G466),$T$2:$T$65),"Misc")</f>
        <v>OH ASSY</v>
      </c>
      <c r="O466" t="str" cm="1">
        <f t="array" ref="O466">IFERROR(LOOKUP(2,1/SEARCH($V$2:$V$65,G466),$W$2:$W$65),"Misc")</f>
        <v>OH Part</v>
      </c>
      <c r="P466" t="str" cm="1">
        <f t="array" ref="P466">IFERROR(LOOKUP(2,1/SEARCH($Y$2:$Y$65,G466),$Z$2:$Z$65),"Not Defined")</f>
        <v>OH Part</v>
      </c>
      <c r="Q466" t="str" cm="1">
        <f t="array" ref="Q466">IFERROR(LOOKUP(2,1/SEARCH($S$2:$S$65,H466),$T$2:$T$65),"-")</f>
        <v>OH ASSY</v>
      </c>
    </row>
    <row r="467" spans="1:17" hidden="1" x14ac:dyDescent="0.25">
      <c r="A467" t="s">
        <v>7672</v>
      </c>
      <c r="B467" t="s">
        <v>1334</v>
      </c>
      <c r="C467">
        <v>1</v>
      </c>
      <c r="D467" t="s">
        <v>1314</v>
      </c>
      <c r="E467" t="s">
        <v>1333</v>
      </c>
      <c r="F467" t="s">
        <v>1335</v>
      </c>
      <c r="G467" t="s">
        <v>1337</v>
      </c>
      <c r="H467" t="s">
        <v>1336</v>
      </c>
      <c r="I467" t="s">
        <v>13</v>
      </c>
      <c r="J467" t="s">
        <v>7682</v>
      </c>
      <c r="K467" t="s">
        <v>7826</v>
      </c>
      <c r="L467" t="s">
        <v>7826</v>
      </c>
      <c r="N467" t="str" cm="1">
        <f t="array" ref="N467">IFERROR(LOOKUP(2,1/SEARCH($S$2:$S$65,G467),$T$2:$T$65),"Misc")</f>
        <v>OH P/N</v>
      </c>
      <c r="O467" t="str" cm="1">
        <f t="array" ref="O467">IFERROR(LOOKUP(2,1/SEARCH($V$2:$V$65,G467),$W$2:$W$65),"Misc")</f>
        <v>OH Part</v>
      </c>
      <c r="P467" t="str" cm="1">
        <f t="array" ref="P467">IFERROR(LOOKUP(2,1/SEARCH($Y$2:$Y$65,G467),$Z$2:$Z$65),"Not Defined")</f>
        <v>OH Part</v>
      </c>
      <c r="Q467" t="str" cm="1">
        <f t="array" ref="Q467">IFERROR(LOOKUP(2,1/SEARCH($S$2:$S$65,H467),$T$2:$T$65),"-")</f>
        <v>-</v>
      </c>
    </row>
    <row r="468" spans="1:17" hidden="1" x14ac:dyDescent="0.25">
      <c r="A468" t="s">
        <v>7672</v>
      </c>
      <c r="B468" t="s">
        <v>1338</v>
      </c>
      <c r="C468">
        <v>1</v>
      </c>
      <c r="D468" t="s">
        <v>1314</v>
      </c>
      <c r="E468" t="s">
        <v>1333</v>
      </c>
      <c r="F468" t="s">
        <v>1339</v>
      </c>
      <c r="G468" t="s">
        <v>1341</v>
      </c>
      <c r="H468" t="s">
        <v>1340</v>
      </c>
      <c r="I468" t="s">
        <v>281</v>
      </c>
      <c r="J468" t="s">
        <v>7682</v>
      </c>
      <c r="K468" t="s">
        <v>7826</v>
      </c>
      <c r="L468" t="s">
        <v>7826</v>
      </c>
      <c r="N468" t="str" cm="1">
        <f t="array" ref="N468">IFERROR(LOOKUP(2,1/SEARCH($S$2:$S$65,G468),$T$2:$T$65),"Misc")</f>
        <v>OH P/N</v>
      </c>
      <c r="O468" t="str" cm="1">
        <f t="array" ref="O468">IFERROR(LOOKUP(2,1/SEARCH($V$2:$V$65,G468),$W$2:$W$65),"Misc")</f>
        <v>OH Part</v>
      </c>
      <c r="P468" t="str" cm="1">
        <f t="array" ref="P468">IFERROR(LOOKUP(2,1/SEARCH($Y$2:$Y$65,G468),$Z$2:$Z$65),"Not Defined")</f>
        <v>OH Part</v>
      </c>
      <c r="Q468" t="str" cm="1">
        <f t="array" ref="Q468">IFERROR(LOOKUP(2,1/SEARCH($S$2:$S$65,H468),$T$2:$T$65),"-")</f>
        <v>-</v>
      </c>
    </row>
    <row r="469" spans="1:17" hidden="1" x14ac:dyDescent="0.25">
      <c r="A469" t="s">
        <v>7672</v>
      </c>
      <c r="B469" t="s">
        <v>1342</v>
      </c>
      <c r="C469">
        <v>1</v>
      </c>
      <c r="D469" t="s">
        <v>1314</v>
      </c>
      <c r="E469" t="s">
        <v>1333</v>
      </c>
      <c r="F469" t="s">
        <v>1343</v>
      </c>
      <c r="G469" t="s">
        <v>1345</v>
      </c>
      <c r="H469" t="s">
        <v>1344</v>
      </c>
      <c r="I469" t="s">
        <v>13</v>
      </c>
      <c r="J469" t="s">
        <v>7682</v>
      </c>
      <c r="K469" t="s">
        <v>7826</v>
      </c>
      <c r="L469" t="s">
        <v>7826</v>
      </c>
      <c r="N469" t="str" cm="1">
        <f t="array" ref="N469">IFERROR(LOOKUP(2,1/SEARCH($S$2:$S$65,G469),$T$2:$T$65),"Misc")</f>
        <v>OH P/N</v>
      </c>
      <c r="O469" t="str" cm="1">
        <f t="array" ref="O469">IFERROR(LOOKUP(2,1/SEARCH($V$2:$V$65,G469),$W$2:$W$65),"Misc")</f>
        <v>OH Part</v>
      </c>
      <c r="P469" t="str" cm="1">
        <f t="array" ref="P469">IFERROR(LOOKUP(2,1/SEARCH($Y$2:$Y$65,G469),$Z$2:$Z$65),"Not Defined")</f>
        <v>OH Part</v>
      </c>
      <c r="Q469" t="str" cm="1">
        <f t="array" ref="Q469">IFERROR(LOOKUP(2,1/SEARCH($S$2:$S$65,H469),$T$2:$T$65),"-")</f>
        <v>-</v>
      </c>
    </row>
    <row r="470" spans="1:17" hidden="1" x14ac:dyDescent="0.25">
      <c r="A470" t="s">
        <v>7672</v>
      </c>
      <c r="B470" t="s">
        <v>1346</v>
      </c>
      <c r="C470">
        <v>1</v>
      </c>
      <c r="D470" t="s">
        <v>1314</v>
      </c>
      <c r="E470" t="s">
        <v>7866</v>
      </c>
      <c r="F470" t="s">
        <v>1347</v>
      </c>
      <c r="G470" t="s">
        <v>1349</v>
      </c>
      <c r="H470" t="s">
        <v>1348</v>
      </c>
      <c r="J470" t="s">
        <v>7682</v>
      </c>
      <c r="K470" t="s">
        <v>7826</v>
      </c>
      <c r="L470" t="s">
        <v>7826</v>
      </c>
      <c r="N470" t="str" cm="1">
        <f t="array" ref="N470">IFERROR(LOOKUP(2,1/SEARCH($S$2:$S$65,G470),$T$2:$T$65),"Misc")</f>
        <v>OH P/N</v>
      </c>
      <c r="O470" t="str" cm="1">
        <f t="array" ref="O470">IFERROR(LOOKUP(2,1/SEARCH($V$2:$V$65,G470),$W$2:$W$65),"Misc")</f>
        <v>OH Part</v>
      </c>
      <c r="P470" t="str" cm="1">
        <f t="array" ref="P470">IFERROR(LOOKUP(2,1/SEARCH($Y$2:$Y$65,G470),$Z$2:$Z$65),"Not Defined")</f>
        <v>OH Part</v>
      </c>
      <c r="Q470" t="str" cm="1">
        <f t="array" ref="Q470">IFERROR(LOOKUP(2,1/SEARCH($S$2:$S$65,H470),$T$2:$T$65),"-")</f>
        <v>-</v>
      </c>
    </row>
    <row r="471" spans="1:17" hidden="1" x14ac:dyDescent="0.25">
      <c r="A471" t="s">
        <v>7672</v>
      </c>
      <c r="B471" t="s">
        <v>1350</v>
      </c>
      <c r="C471">
        <v>1</v>
      </c>
      <c r="D471" t="s">
        <v>1314</v>
      </c>
      <c r="E471" t="s">
        <v>7866</v>
      </c>
      <c r="F471" t="s">
        <v>749</v>
      </c>
      <c r="G471" t="s">
        <v>751</v>
      </c>
      <c r="H471" t="s">
        <v>750</v>
      </c>
      <c r="I471" t="s">
        <v>358</v>
      </c>
      <c r="J471" t="s">
        <v>7682</v>
      </c>
      <c r="K471" t="s">
        <v>7826</v>
      </c>
      <c r="L471" t="s">
        <v>7826</v>
      </c>
      <c r="N471" t="str" cm="1">
        <f t="array" ref="N471">IFERROR(LOOKUP(2,1/SEARCH($S$2:$S$65,G471),$T$2:$T$65),"Misc")</f>
        <v>OH P/N</v>
      </c>
      <c r="O471" t="str" cm="1">
        <f t="array" ref="O471">IFERROR(LOOKUP(2,1/SEARCH($V$2:$V$65,G471),$W$2:$W$65),"Misc")</f>
        <v>OH Part</v>
      </c>
      <c r="P471" t="str" cm="1">
        <f t="array" ref="P471">IFERROR(LOOKUP(2,1/SEARCH($Y$2:$Y$65,G471),$Z$2:$Z$65),"Not Defined")</f>
        <v>OH Part</v>
      </c>
      <c r="Q471" t="str" cm="1">
        <f t="array" ref="Q471">IFERROR(LOOKUP(2,1/SEARCH($S$2:$S$65,H471),$T$2:$T$65),"-")</f>
        <v>-</v>
      </c>
    </row>
    <row r="472" spans="1:17" hidden="1" x14ac:dyDescent="0.25">
      <c r="A472" t="s">
        <v>7672</v>
      </c>
      <c r="B472" t="s">
        <v>1351</v>
      </c>
      <c r="C472">
        <v>1</v>
      </c>
      <c r="D472" t="s">
        <v>1314</v>
      </c>
      <c r="E472" t="s">
        <v>7866</v>
      </c>
      <c r="F472" t="s">
        <v>1352</v>
      </c>
      <c r="G472" t="s">
        <v>1354</v>
      </c>
      <c r="H472" t="s">
        <v>1353</v>
      </c>
      <c r="I472" t="s">
        <v>293</v>
      </c>
      <c r="J472" t="s">
        <v>7682</v>
      </c>
      <c r="K472" t="s">
        <v>7826</v>
      </c>
      <c r="L472" t="s">
        <v>7826</v>
      </c>
      <c r="N472" t="str" cm="1">
        <f t="array" ref="N472">IFERROR(LOOKUP(2,1/SEARCH($S$2:$S$65,G472),$T$2:$T$65),"Misc")</f>
        <v>OH P/N</v>
      </c>
      <c r="O472" t="str" cm="1">
        <f t="array" ref="O472">IFERROR(LOOKUP(2,1/SEARCH($V$2:$V$65,G472),$W$2:$W$65),"Misc")</f>
        <v>OH Part</v>
      </c>
      <c r="P472" t="str" cm="1">
        <f t="array" ref="P472">IFERROR(LOOKUP(2,1/SEARCH($Y$2:$Y$65,G472),$Z$2:$Z$65),"Not Defined")</f>
        <v>OH Part</v>
      </c>
      <c r="Q472" t="str" cm="1">
        <f t="array" ref="Q472">IFERROR(LOOKUP(2,1/SEARCH($S$2:$S$65,H472),$T$2:$T$65),"-")</f>
        <v>-</v>
      </c>
    </row>
    <row r="473" spans="1:17" hidden="1" x14ac:dyDescent="0.25">
      <c r="A473" t="s">
        <v>7672</v>
      </c>
      <c r="B473" t="s">
        <v>1355</v>
      </c>
      <c r="C473">
        <v>1</v>
      </c>
      <c r="D473" t="s">
        <v>1314</v>
      </c>
      <c r="E473" t="s">
        <v>7866</v>
      </c>
      <c r="F473" t="s">
        <v>1356</v>
      </c>
      <c r="G473" t="s">
        <v>1358</v>
      </c>
      <c r="H473" t="s">
        <v>1357</v>
      </c>
      <c r="I473" t="s">
        <v>281</v>
      </c>
      <c r="J473" t="s">
        <v>7682</v>
      </c>
      <c r="K473" t="s">
        <v>7826</v>
      </c>
      <c r="L473" t="s">
        <v>7826</v>
      </c>
      <c r="N473" t="str" cm="1">
        <f t="array" ref="N473">IFERROR(LOOKUP(2,1/SEARCH($S$2:$S$65,G473),$T$2:$T$65),"Misc")</f>
        <v>OH P/N</v>
      </c>
      <c r="O473" t="str" cm="1">
        <f t="array" ref="O473">IFERROR(LOOKUP(2,1/SEARCH($V$2:$V$65,G473),$W$2:$W$65),"Misc")</f>
        <v>OH Part</v>
      </c>
      <c r="P473" t="str" cm="1">
        <f t="array" ref="P473">IFERROR(LOOKUP(2,1/SEARCH($Y$2:$Y$65,G473),$Z$2:$Z$65),"Not Defined")</f>
        <v>OH Part</v>
      </c>
      <c r="Q473" t="str" cm="1">
        <f t="array" ref="Q473">IFERROR(LOOKUP(2,1/SEARCH($S$2:$S$65,H473),$T$2:$T$65),"-")</f>
        <v>-</v>
      </c>
    </row>
    <row r="474" spans="1:17" hidden="1" x14ac:dyDescent="0.25">
      <c r="A474" t="s">
        <v>7672</v>
      </c>
      <c r="B474" t="s">
        <v>1359</v>
      </c>
      <c r="C474">
        <v>1</v>
      </c>
      <c r="D474" t="s">
        <v>1314</v>
      </c>
      <c r="E474" t="s">
        <v>7866</v>
      </c>
      <c r="F474" t="s">
        <v>761</v>
      </c>
      <c r="G474" t="s">
        <v>763</v>
      </c>
      <c r="H474" t="s">
        <v>762</v>
      </c>
      <c r="I474" t="s">
        <v>358</v>
      </c>
      <c r="J474" t="s">
        <v>7682</v>
      </c>
      <c r="K474" t="s">
        <v>7826</v>
      </c>
      <c r="L474" t="s">
        <v>7826</v>
      </c>
      <c r="N474" t="str" cm="1">
        <f t="array" ref="N474">IFERROR(LOOKUP(2,1/SEARCH($S$2:$S$65,G474),$T$2:$T$65),"Misc")</f>
        <v>OH P/N</v>
      </c>
      <c r="O474" t="str" cm="1">
        <f t="array" ref="O474">IFERROR(LOOKUP(2,1/SEARCH($V$2:$V$65,G474),$W$2:$W$65),"Misc")</f>
        <v>OH Part</v>
      </c>
      <c r="P474" t="str" cm="1">
        <f t="array" ref="P474">IFERROR(LOOKUP(2,1/SEARCH($Y$2:$Y$65,G474),$Z$2:$Z$65),"Not Defined")</f>
        <v>OH Part</v>
      </c>
      <c r="Q474" t="str" cm="1">
        <f t="array" ref="Q474">IFERROR(LOOKUP(2,1/SEARCH($S$2:$S$65,H474),$T$2:$T$65),"-")</f>
        <v>-</v>
      </c>
    </row>
    <row r="475" spans="1:17" hidden="1" x14ac:dyDescent="0.25">
      <c r="A475" t="s">
        <v>7672</v>
      </c>
      <c r="B475" t="s">
        <v>1360</v>
      </c>
      <c r="C475">
        <v>2</v>
      </c>
      <c r="D475" t="s">
        <v>1314</v>
      </c>
      <c r="E475" t="s">
        <v>7866</v>
      </c>
      <c r="F475" t="s">
        <v>765</v>
      </c>
      <c r="G475" t="s">
        <v>767</v>
      </c>
      <c r="H475" t="s">
        <v>766</v>
      </c>
      <c r="I475" t="s">
        <v>358</v>
      </c>
      <c r="J475" t="s">
        <v>7682</v>
      </c>
      <c r="K475" t="s">
        <v>7826</v>
      </c>
      <c r="L475" t="s">
        <v>7826</v>
      </c>
      <c r="N475" t="str" cm="1">
        <f t="array" ref="N475">IFERROR(LOOKUP(2,1/SEARCH($S$2:$S$65,G475),$T$2:$T$65),"Misc")</f>
        <v>OH P/N</v>
      </c>
      <c r="O475" t="str" cm="1">
        <f t="array" ref="O475">IFERROR(LOOKUP(2,1/SEARCH($V$2:$V$65,G475),$W$2:$W$65),"Misc")</f>
        <v>OH Part</v>
      </c>
      <c r="P475" t="str" cm="1">
        <f t="array" ref="P475">IFERROR(LOOKUP(2,1/SEARCH($Y$2:$Y$65,G475),$Z$2:$Z$65),"Not Defined")</f>
        <v>OH Part</v>
      </c>
      <c r="Q475" t="str" cm="1">
        <f t="array" ref="Q475">IFERROR(LOOKUP(2,1/SEARCH($S$2:$S$65,H475),$T$2:$T$65),"-")</f>
        <v>-</v>
      </c>
    </row>
    <row r="476" spans="1:17" hidden="1" x14ac:dyDescent="0.25">
      <c r="A476" t="s">
        <v>7672</v>
      </c>
      <c r="B476" t="s">
        <v>1361</v>
      </c>
      <c r="C476">
        <v>1</v>
      </c>
      <c r="D476" t="s">
        <v>1314</v>
      </c>
      <c r="E476" t="s">
        <v>7867</v>
      </c>
      <c r="F476" t="s">
        <v>1362</v>
      </c>
      <c r="G476" t="s">
        <v>1364</v>
      </c>
      <c r="H476" t="s">
        <v>1363</v>
      </c>
      <c r="J476" t="s">
        <v>7682</v>
      </c>
      <c r="K476" t="s">
        <v>7826</v>
      </c>
      <c r="L476" t="s">
        <v>7826</v>
      </c>
      <c r="N476" t="str" cm="1">
        <f t="array" ref="N476">IFERROR(LOOKUP(2,1/SEARCH($S$2:$S$65,G476),$T$2:$T$65),"Misc")</f>
        <v>OH P/N</v>
      </c>
      <c r="O476" t="str" cm="1">
        <f t="array" ref="O476">IFERROR(LOOKUP(2,1/SEARCH($V$2:$V$65,G476),$W$2:$W$65),"Misc")</f>
        <v>OH Part</v>
      </c>
      <c r="P476" t="str" cm="1">
        <f t="array" ref="P476">IFERROR(LOOKUP(2,1/SEARCH($Y$2:$Y$65,G476),$Z$2:$Z$65),"Not Defined")</f>
        <v>OH Part</v>
      </c>
      <c r="Q476" t="str" cm="1">
        <f t="array" ref="Q476">IFERROR(LOOKUP(2,1/SEARCH($S$2:$S$65,H476),$T$2:$T$65),"-")</f>
        <v>-</v>
      </c>
    </row>
    <row r="477" spans="1:17" hidden="1" x14ac:dyDescent="0.25">
      <c r="A477" t="s">
        <v>7672</v>
      </c>
      <c r="B477" t="s">
        <v>1365</v>
      </c>
      <c r="C477">
        <v>1</v>
      </c>
      <c r="D477" t="s">
        <v>1314</v>
      </c>
      <c r="E477" t="s">
        <v>7867</v>
      </c>
      <c r="F477" t="s">
        <v>749</v>
      </c>
      <c r="G477" t="s">
        <v>751</v>
      </c>
      <c r="H477" t="s">
        <v>750</v>
      </c>
      <c r="I477" t="s">
        <v>358</v>
      </c>
      <c r="J477" t="s">
        <v>7682</v>
      </c>
      <c r="K477" t="s">
        <v>7826</v>
      </c>
      <c r="L477" t="s">
        <v>7826</v>
      </c>
      <c r="N477" t="str" cm="1">
        <f t="array" ref="N477">IFERROR(LOOKUP(2,1/SEARCH($S$2:$S$65,G477),$T$2:$T$65),"Misc")</f>
        <v>OH P/N</v>
      </c>
      <c r="O477" t="str" cm="1">
        <f t="array" ref="O477">IFERROR(LOOKUP(2,1/SEARCH($V$2:$V$65,G477),$W$2:$W$65),"Misc")</f>
        <v>OH Part</v>
      </c>
      <c r="P477" t="str" cm="1">
        <f t="array" ref="P477">IFERROR(LOOKUP(2,1/SEARCH($Y$2:$Y$65,G477),$Z$2:$Z$65),"Not Defined")</f>
        <v>OH Part</v>
      </c>
      <c r="Q477" t="str" cm="1">
        <f t="array" ref="Q477">IFERROR(LOOKUP(2,1/SEARCH($S$2:$S$65,H477),$T$2:$T$65),"-")</f>
        <v>-</v>
      </c>
    </row>
    <row r="478" spans="1:17" hidden="1" x14ac:dyDescent="0.25">
      <c r="A478" t="s">
        <v>7672</v>
      </c>
      <c r="B478" t="s">
        <v>1366</v>
      </c>
      <c r="C478">
        <v>1</v>
      </c>
      <c r="D478" t="s">
        <v>1314</v>
      </c>
      <c r="E478" t="s">
        <v>7867</v>
      </c>
      <c r="F478" t="s">
        <v>1352</v>
      </c>
      <c r="G478" t="s">
        <v>1354</v>
      </c>
      <c r="H478" t="s">
        <v>1353</v>
      </c>
      <c r="I478" t="s">
        <v>293</v>
      </c>
      <c r="J478" t="s">
        <v>7682</v>
      </c>
      <c r="K478" t="s">
        <v>7826</v>
      </c>
      <c r="L478" t="s">
        <v>7826</v>
      </c>
      <c r="N478" t="str" cm="1">
        <f t="array" ref="N478">IFERROR(LOOKUP(2,1/SEARCH($S$2:$S$65,G478),$T$2:$T$65),"Misc")</f>
        <v>OH P/N</v>
      </c>
      <c r="O478" t="str" cm="1">
        <f t="array" ref="O478">IFERROR(LOOKUP(2,1/SEARCH($V$2:$V$65,G478),$W$2:$W$65),"Misc")</f>
        <v>OH Part</v>
      </c>
      <c r="P478" t="str" cm="1">
        <f t="array" ref="P478">IFERROR(LOOKUP(2,1/SEARCH($Y$2:$Y$65,G478),$Z$2:$Z$65),"Not Defined")</f>
        <v>OH Part</v>
      </c>
      <c r="Q478" t="str" cm="1">
        <f t="array" ref="Q478">IFERROR(LOOKUP(2,1/SEARCH($S$2:$S$65,H478),$T$2:$T$65),"-")</f>
        <v>-</v>
      </c>
    </row>
    <row r="479" spans="1:17" hidden="1" x14ac:dyDescent="0.25">
      <c r="A479" t="s">
        <v>7672</v>
      </c>
      <c r="B479" t="s">
        <v>1367</v>
      </c>
      <c r="C479">
        <v>1</v>
      </c>
      <c r="D479" t="s">
        <v>1314</v>
      </c>
      <c r="E479" t="s">
        <v>7867</v>
      </c>
      <c r="F479" t="s">
        <v>1368</v>
      </c>
      <c r="G479" t="s">
        <v>1370</v>
      </c>
      <c r="H479" t="s">
        <v>1369</v>
      </c>
      <c r="I479" t="s">
        <v>281</v>
      </c>
      <c r="J479" t="s">
        <v>7682</v>
      </c>
      <c r="K479" t="s">
        <v>7826</v>
      </c>
      <c r="L479" t="s">
        <v>7826</v>
      </c>
      <c r="N479" t="str" cm="1">
        <f t="array" ref="N479">IFERROR(LOOKUP(2,1/SEARCH($S$2:$S$65,G479),$T$2:$T$65),"Misc")</f>
        <v>OH P/N</v>
      </c>
      <c r="O479" t="str" cm="1">
        <f t="array" ref="O479">IFERROR(LOOKUP(2,1/SEARCH($V$2:$V$65,G479),$W$2:$W$65),"Misc")</f>
        <v>OH Part</v>
      </c>
      <c r="P479" t="str" cm="1">
        <f t="array" ref="P479">IFERROR(LOOKUP(2,1/SEARCH($Y$2:$Y$65,G479),$Z$2:$Z$65),"Not Defined")</f>
        <v>OH Part</v>
      </c>
      <c r="Q479" t="str" cm="1">
        <f t="array" ref="Q479">IFERROR(LOOKUP(2,1/SEARCH($S$2:$S$65,H479),$T$2:$T$65),"-")</f>
        <v>-</v>
      </c>
    </row>
    <row r="480" spans="1:17" hidden="1" x14ac:dyDescent="0.25">
      <c r="A480" t="s">
        <v>7672</v>
      </c>
      <c r="B480" t="s">
        <v>1371</v>
      </c>
      <c r="C480">
        <v>1</v>
      </c>
      <c r="D480" t="s">
        <v>1314</v>
      </c>
      <c r="E480" t="s">
        <v>7867</v>
      </c>
      <c r="F480" t="s">
        <v>761</v>
      </c>
      <c r="G480" t="s">
        <v>763</v>
      </c>
      <c r="H480" t="s">
        <v>762</v>
      </c>
      <c r="I480" t="s">
        <v>358</v>
      </c>
      <c r="J480" t="s">
        <v>7682</v>
      </c>
      <c r="K480" t="s">
        <v>7826</v>
      </c>
      <c r="L480" t="s">
        <v>7826</v>
      </c>
      <c r="N480" t="str" cm="1">
        <f t="array" ref="N480">IFERROR(LOOKUP(2,1/SEARCH($S$2:$S$65,G480),$T$2:$T$65),"Misc")</f>
        <v>OH P/N</v>
      </c>
      <c r="O480" t="str" cm="1">
        <f t="array" ref="O480">IFERROR(LOOKUP(2,1/SEARCH($V$2:$V$65,G480),$W$2:$W$65),"Misc")</f>
        <v>OH Part</v>
      </c>
      <c r="P480" t="str" cm="1">
        <f t="array" ref="P480">IFERROR(LOOKUP(2,1/SEARCH($Y$2:$Y$65,G480),$Z$2:$Z$65),"Not Defined")</f>
        <v>OH Part</v>
      </c>
      <c r="Q480" t="str" cm="1">
        <f t="array" ref="Q480">IFERROR(LOOKUP(2,1/SEARCH($S$2:$S$65,H480),$T$2:$T$65),"-")</f>
        <v>-</v>
      </c>
    </row>
    <row r="481" spans="1:17" hidden="1" x14ac:dyDescent="0.25">
      <c r="A481" t="s">
        <v>7672</v>
      </c>
      <c r="B481" t="s">
        <v>1372</v>
      </c>
      <c r="C481">
        <v>2</v>
      </c>
      <c r="D481" t="s">
        <v>1314</v>
      </c>
      <c r="E481" t="s">
        <v>7867</v>
      </c>
      <c r="F481" t="s">
        <v>765</v>
      </c>
      <c r="G481" t="s">
        <v>767</v>
      </c>
      <c r="H481" t="s">
        <v>766</v>
      </c>
      <c r="I481" t="s">
        <v>358</v>
      </c>
      <c r="J481" t="s">
        <v>7682</v>
      </c>
      <c r="K481" t="s">
        <v>7826</v>
      </c>
      <c r="L481" t="s">
        <v>7826</v>
      </c>
      <c r="N481" t="str" cm="1">
        <f t="array" ref="N481">IFERROR(LOOKUP(2,1/SEARCH($S$2:$S$65,G481),$T$2:$T$65),"Misc")</f>
        <v>OH P/N</v>
      </c>
      <c r="O481" t="str" cm="1">
        <f t="array" ref="O481">IFERROR(LOOKUP(2,1/SEARCH($V$2:$V$65,G481),$W$2:$W$65),"Misc")</f>
        <v>OH Part</v>
      </c>
      <c r="P481" t="str" cm="1">
        <f t="array" ref="P481">IFERROR(LOOKUP(2,1/SEARCH($Y$2:$Y$65,G481),$Z$2:$Z$65),"Not Defined")</f>
        <v>OH Part</v>
      </c>
      <c r="Q481" t="str" cm="1">
        <f t="array" ref="Q481">IFERROR(LOOKUP(2,1/SEARCH($S$2:$S$65,H481),$T$2:$T$65),"-")</f>
        <v>-</v>
      </c>
    </row>
    <row r="482" spans="1:17" hidden="1" x14ac:dyDescent="0.25">
      <c r="A482" t="s">
        <v>7672</v>
      </c>
      <c r="B482" t="s">
        <v>1373</v>
      </c>
      <c r="C482">
        <v>1</v>
      </c>
      <c r="D482" t="s">
        <v>1314</v>
      </c>
      <c r="E482" t="s">
        <v>7868</v>
      </c>
      <c r="F482" t="s">
        <v>1374</v>
      </c>
      <c r="G482" t="s">
        <v>1376</v>
      </c>
      <c r="H482" t="s">
        <v>1375</v>
      </c>
      <c r="J482" t="s">
        <v>7682</v>
      </c>
      <c r="K482" t="s">
        <v>7826</v>
      </c>
      <c r="L482" t="s">
        <v>7826</v>
      </c>
      <c r="N482" t="str" cm="1">
        <f t="array" ref="N482">IFERROR(LOOKUP(2,1/SEARCH($S$2:$S$65,G482),$T$2:$T$65),"Misc")</f>
        <v>OH P/N</v>
      </c>
      <c r="O482" t="str" cm="1">
        <f t="array" ref="O482">IFERROR(LOOKUP(2,1/SEARCH($V$2:$V$65,G482),$W$2:$W$65),"Misc")</f>
        <v>OH Part</v>
      </c>
      <c r="P482" t="str" cm="1">
        <f t="array" ref="P482">IFERROR(LOOKUP(2,1/SEARCH($Y$2:$Y$65,G482),$Z$2:$Z$65),"Not Defined")</f>
        <v>OH Part</v>
      </c>
      <c r="Q482" t="str" cm="1">
        <f t="array" ref="Q482">IFERROR(LOOKUP(2,1/SEARCH($S$2:$S$65,H482),$T$2:$T$65),"-")</f>
        <v>-</v>
      </c>
    </row>
    <row r="483" spans="1:17" hidden="1" x14ac:dyDescent="0.25">
      <c r="A483" t="s">
        <v>7672</v>
      </c>
      <c r="B483" t="s">
        <v>1377</v>
      </c>
      <c r="C483">
        <v>1</v>
      </c>
      <c r="D483" t="s">
        <v>1314</v>
      </c>
      <c r="E483" t="s">
        <v>7868</v>
      </c>
      <c r="F483" t="s">
        <v>749</v>
      </c>
      <c r="G483" t="s">
        <v>751</v>
      </c>
      <c r="H483" t="s">
        <v>750</v>
      </c>
      <c r="I483" t="s">
        <v>358</v>
      </c>
      <c r="J483" t="s">
        <v>7682</v>
      </c>
      <c r="K483" t="s">
        <v>7826</v>
      </c>
      <c r="L483" t="s">
        <v>7826</v>
      </c>
      <c r="N483" t="str" cm="1">
        <f t="array" ref="N483">IFERROR(LOOKUP(2,1/SEARCH($S$2:$S$65,G483),$T$2:$T$65),"Misc")</f>
        <v>OH P/N</v>
      </c>
      <c r="O483" t="str" cm="1">
        <f t="array" ref="O483">IFERROR(LOOKUP(2,1/SEARCH($V$2:$V$65,G483),$W$2:$W$65),"Misc")</f>
        <v>OH Part</v>
      </c>
      <c r="P483" t="str" cm="1">
        <f t="array" ref="P483">IFERROR(LOOKUP(2,1/SEARCH($Y$2:$Y$65,G483),$Z$2:$Z$65),"Not Defined")</f>
        <v>OH Part</v>
      </c>
      <c r="Q483" t="str" cm="1">
        <f t="array" ref="Q483">IFERROR(LOOKUP(2,1/SEARCH($S$2:$S$65,H483),$T$2:$T$65),"-")</f>
        <v>-</v>
      </c>
    </row>
    <row r="484" spans="1:17" hidden="1" x14ac:dyDescent="0.25">
      <c r="A484" t="s">
        <v>7672</v>
      </c>
      <c r="B484" t="s">
        <v>1378</v>
      </c>
      <c r="C484">
        <v>1</v>
      </c>
      <c r="D484" t="s">
        <v>1314</v>
      </c>
      <c r="E484" t="s">
        <v>7868</v>
      </c>
      <c r="F484" t="s">
        <v>1352</v>
      </c>
      <c r="G484" t="s">
        <v>1354</v>
      </c>
      <c r="H484" t="s">
        <v>1353</v>
      </c>
      <c r="I484" t="s">
        <v>293</v>
      </c>
      <c r="J484" t="s">
        <v>7682</v>
      </c>
      <c r="K484" t="s">
        <v>7826</v>
      </c>
      <c r="L484" t="s">
        <v>7826</v>
      </c>
      <c r="N484" t="str" cm="1">
        <f t="array" ref="N484">IFERROR(LOOKUP(2,1/SEARCH($S$2:$S$65,G484),$T$2:$T$65),"Misc")</f>
        <v>OH P/N</v>
      </c>
      <c r="O484" t="str" cm="1">
        <f t="array" ref="O484">IFERROR(LOOKUP(2,1/SEARCH($V$2:$V$65,G484),$W$2:$W$65),"Misc")</f>
        <v>OH Part</v>
      </c>
      <c r="P484" t="str" cm="1">
        <f t="array" ref="P484">IFERROR(LOOKUP(2,1/SEARCH($Y$2:$Y$65,G484),$Z$2:$Z$65),"Not Defined")</f>
        <v>OH Part</v>
      </c>
      <c r="Q484" t="str" cm="1">
        <f t="array" ref="Q484">IFERROR(LOOKUP(2,1/SEARCH($S$2:$S$65,H484),$T$2:$T$65),"-")</f>
        <v>-</v>
      </c>
    </row>
    <row r="485" spans="1:17" hidden="1" x14ac:dyDescent="0.25">
      <c r="A485" t="s">
        <v>7672</v>
      </c>
      <c r="B485" t="s">
        <v>1379</v>
      </c>
      <c r="C485">
        <v>1</v>
      </c>
      <c r="D485" t="s">
        <v>1314</v>
      </c>
      <c r="E485" t="s">
        <v>7868</v>
      </c>
      <c r="F485" t="s">
        <v>1380</v>
      </c>
      <c r="G485" t="s">
        <v>1382</v>
      </c>
      <c r="H485" t="s">
        <v>1381</v>
      </c>
      <c r="I485" t="s">
        <v>281</v>
      </c>
      <c r="J485" t="s">
        <v>7682</v>
      </c>
      <c r="K485" t="s">
        <v>7826</v>
      </c>
      <c r="L485" t="s">
        <v>7826</v>
      </c>
      <c r="N485" t="str" cm="1">
        <f t="array" ref="N485">IFERROR(LOOKUP(2,1/SEARCH($S$2:$S$65,G485),$T$2:$T$65),"Misc")</f>
        <v>OH P/N</v>
      </c>
      <c r="O485" t="str" cm="1">
        <f t="array" ref="O485">IFERROR(LOOKUP(2,1/SEARCH($V$2:$V$65,G485),$W$2:$W$65),"Misc")</f>
        <v>OH Part</v>
      </c>
      <c r="P485" t="str" cm="1">
        <f t="array" ref="P485">IFERROR(LOOKUP(2,1/SEARCH($Y$2:$Y$65,G485),$Z$2:$Z$65),"Not Defined")</f>
        <v>OH Part</v>
      </c>
      <c r="Q485" t="str" cm="1">
        <f t="array" ref="Q485">IFERROR(LOOKUP(2,1/SEARCH($S$2:$S$65,H485),$T$2:$T$65),"-")</f>
        <v>-</v>
      </c>
    </row>
    <row r="486" spans="1:17" hidden="1" x14ac:dyDescent="0.25">
      <c r="A486" t="s">
        <v>7672</v>
      </c>
      <c r="B486" t="s">
        <v>1383</v>
      </c>
      <c r="C486">
        <v>1</v>
      </c>
      <c r="D486" t="s">
        <v>1314</v>
      </c>
      <c r="E486" t="s">
        <v>7868</v>
      </c>
      <c r="F486" t="s">
        <v>761</v>
      </c>
      <c r="G486" t="s">
        <v>763</v>
      </c>
      <c r="H486" t="s">
        <v>762</v>
      </c>
      <c r="I486" t="s">
        <v>358</v>
      </c>
      <c r="J486" t="s">
        <v>7682</v>
      </c>
      <c r="K486" t="s">
        <v>7826</v>
      </c>
      <c r="L486" t="s">
        <v>7826</v>
      </c>
      <c r="N486" t="str" cm="1">
        <f t="array" ref="N486">IFERROR(LOOKUP(2,1/SEARCH($S$2:$S$65,G486),$T$2:$T$65),"Misc")</f>
        <v>OH P/N</v>
      </c>
      <c r="O486" t="str" cm="1">
        <f t="array" ref="O486">IFERROR(LOOKUP(2,1/SEARCH($V$2:$V$65,G486),$W$2:$W$65),"Misc")</f>
        <v>OH Part</v>
      </c>
      <c r="P486" t="str" cm="1">
        <f t="array" ref="P486">IFERROR(LOOKUP(2,1/SEARCH($Y$2:$Y$65,G486),$Z$2:$Z$65),"Not Defined")</f>
        <v>OH Part</v>
      </c>
      <c r="Q486" t="str" cm="1">
        <f t="array" ref="Q486">IFERROR(LOOKUP(2,1/SEARCH($S$2:$S$65,H486),$T$2:$T$65),"-")</f>
        <v>-</v>
      </c>
    </row>
    <row r="487" spans="1:17" hidden="1" x14ac:dyDescent="0.25">
      <c r="A487" t="s">
        <v>7672</v>
      </c>
      <c r="B487" t="s">
        <v>1384</v>
      </c>
      <c r="C487">
        <v>2</v>
      </c>
      <c r="D487" t="s">
        <v>1314</v>
      </c>
      <c r="E487" t="s">
        <v>7868</v>
      </c>
      <c r="F487" t="s">
        <v>765</v>
      </c>
      <c r="G487" t="s">
        <v>767</v>
      </c>
      <c r="H487" t="s">
        <v>766</v>
      </c>
      <c r="I487" t="s">
        <v>358</v>
      </c>
      <c r="J487" t="s">
        <v>7682</v>
      </c>
      <c r="K487" t="s">
        <v>7826</v>
      </c>
      <c r="L487" t="s">
        <v>7826</v>
      </c>
      <c r="N487" t="str" cm="1">
        <f t="array" ref="N487">IFERROR(LOOKUP(2,1/SEARCH($S$2:$S$65,G487),$T$2:$T$65),"Misc")</f>
        <v>OH P/N</v>
      </c>
      <c r="O487" t="str" cm="1">
        <f t="array" ref="O487">IFERROR(LOOKUP(2,1/SEARCH($V$2:$V$65,G487),$W$2:$W$65),"Misc")</f>
        <v>OH Part</v>
      </c>
      <c r="P487" t="str" cm="1">
        <f t="array" ref="P487">IFERROR(LOOKUP(2,1/SEARCH($Y$2:$Y$65,G487),$Z$2:$Z$65),"Not Defined")</f>
        <v>OH Part</v>
      </c>
      <c r="Q487" t="str" cm="1">
        <f t="array" ref="Q487">IFERROR(LOOKUP(2,1/SEARCH($S$2:$S$65,H487),$T$2:$T$65),"-")</f>
        <v>-</v>
      </c>
    </row>
    <row r="488" spans="1:17" hidden="1" x14ac:dyDescent="0.25">
      <c r="A488" t="s">
        <v>7672</v>
      </c>
      <c r="B488" t="s">
        <v>1385</v>
      </c>
      <c r="C488">
        <v>1</v>
      </c>
      <c r="D488" t="s">
        <v>1314</v>
      </c>
      <c r="E488" t="s">
        <v>7869</v>
      </c>
      <c r="F488" t="s">
        <v>1386</v>
      </c>
      <c r="G488" t="s">
        <v>1388</v>
      </c>
      <c r="H488" t="s">
        <v>1387</v>
      </c>
      <c r="J488" t="s">
        <v>7682</v>
      </c>
      <c r="K488" t="s">
        <v>7826</v>
      </c>
      <c r="L488" t="s">
        <v>7826</v>
      </c>
      <c r="N488" t="str" cm="1">
        <f t="array" ref="N488">IFERROR(LOOKUP(2,1/SEARCH($S$2:$S$65,G488),$T$2:$T$65),"Misc")</f>
        <v>OH P/N</v>
      </c>
      <c r="O488" t="str" cm="1">
        <f t="array" ref="O488">IFERROR(LOOKUP(2,1/SEARCH($V$2:$V$65,G488),$W$2:$W$65),"Misc")</f>
        <v>OH Part</v>
      </c>
      <c r="P488" t="str" cm="1">
        <f t="array" ref="P488">IFERROR(LOOKUP(2,1/SEARCH($Y$2:$Y$65,G488),$Z$2:$Z$65),"Not Defined")</f>
        <v>OH Part</v>
      </c>
      <c r="Q488" t="str" cm="1">
        <f t="array" ref="Q488">IFERROR(LOOKUP(2,1/SEARCH($S$2:$S$65,H488),$T$2:$T$65),"-")</f>
        <v>-</v>
      </c>
    </row>
    <row r="489" spans="1:17" hidden="1" x14ac:dyDescent="0.25">
      <c r="A489" t="s">
        <v>7672</v>
      </c>
      <c r="B489" t="s">
        <v>1389</v>
      </c>
      <c r="C489">
        <v>1</v>
      </c>
      <c r="D489" t="s">
        <v>1314</v>
      </c>
      <c r="E489" t="s">
        <v>7869</v>
      </c>
      <c r="F489" t="s">
        <v>749</v>
      </c>
      <c r="G489" t="s">
        <v>751</v>
      </c>
      <c r="H489" t="s">
        <v>750</v>
      </c>
      <c r="I489" t="s">
        <v>358</v>
      </c>
      <c r="J489" t="s">
        <v>7682</v>
      </c>
      <c r="K489" t="s">
        <v>7826</v>
      </c>
      <c r="L489" t="s">
        <v>7826</v>
      </c>
      <c r="N489" t="str" cm="1">
        <f t="array" ref="N489">IFERROR(LOOKUP(2,1/SEARCH($S$2:$S$65,G489),$T$2:$T$65),"Misc")</f>
        <v>OH P/N</v>
      </c>
      <c r="O489" t="str" cm="1">
        <f t="array" ref="O489">IFERROR(LOOKUP(2,1/SEARCH($V$2:$V$65,G489),$W$2:$W$65),"Misc")</f>
        <v>OH Part</v>
      </c>
      <c r="P489" t="str" cm="1">
        <f t="array" ref="P489">IFERROR(LOOKUP(2,1/SEARCH($Y$2:$Y$65,G489),$Z$2:$Z$65),"Not Defined")</f>
        <v>OH Part</v>
      </c>
      <c r="Q489" t="str" cm="1">
        <f t="array" ref="Q489">IFERROR(LOOKUP(2,1/SEARCH($S$2:$S$65,H489),$T$2:$T$65),"-")</f>
        <v>-</v>
      </c>
    </row>
    <row r="490" spans="1:17" hidden="1" x14ac:dyDescent="0.25">
      <c r="A490" t="s">
        <v>7672</v>
      </c>
      <c r="B490" t="s">
        <v>1390</v>
      </c>
      <c r="C490">
        <v>1</v>
      </c>
      <c r="D490" t="s">
        <v>1314</v>
      </c>
      <c r="E490" t="s">
        <v>7869</v>
      </c>
      <c r="F490" t="s">
        <v>1352</v>
      </c>
      <c r="G490" t="s">
        <v>1354</v>
      </c>
      <c r="H490" t="s">
        <v>1353</v>
      </c>
      <c r="I490" t="s">
        <v>293</v>
      </c>
      <c r="J490" t="s">
        <v>7682</v>
      </c>
      <c r="K490" t="s">
        <v>7826</v>
      </c>
      <c r="L490" t="s">
        <v>7826</v>
      </c>
      <c r="N490" t="str" cm="1">
        <f t="array" ref="N490">IFERROR(LOOKUP(2,1/SEARCH($S$2:$S$65,G490),$T$2:$T$65),"Misc")</f>
        <v>OH P/N</v>
      </c>
      <c r="O490" t="str" cm="1">
        <f t="array" ref="O490">IFERROR(LOOKUP(2,1/SEARCH($V$2:$V$65,G490),$W$2:$W$65),"Misc")</f>
        <v>OH Part</v>
      </c>
      <c r="P490" t="str" cm="1">
        <f t="array" ref="P490">IFERROR(LOOKUP(2,1/SEARCH($Y$2:$Y$65,G490),$Z$2:$Z$65),"Not Defined")</f>
        <v>OH Part</v>
      </c>
      <c r="Q490" t="str" cm="1">
        <f t="array" ref="Q490">IFERROR(LOOKUP(2,1/SEARCH($S$2:$S$65,H490),$T$2:$T$65),"-")</f>
        <v>-</v>
      </c>
    </row>
    <row r="491" spans="1:17" hidden="1" x14ac:dyDescent="0.25">
      <c r="A491" t="s">
        <v>7672</v>
      </c>
      <c r="B491" t="s">
        <v>1391</v>
      </c>
      <c r="C491">
        <v>1</v>
      </c>
      <c r="D491" t="s">
        <v>1314</v>
      </c>
      <c r="E491" t="s">
        <v>7869</v>
      </c>
      <c r="F491" t="s">
        <v>1392</v>
      </c>
      <c r="G491" t="s">
        <v>1394</v>
      </c>
      <c r="H491" t="s">
        <v>1393</v>
      </c>
      <c r="I491" t="s">
        <v>281</v>
      </c>
      <c r="J491" t="s">
        <v>7682</v>
      </c>
      <c r="K491" t="s">
        <v>7826</v>
      </c>
      <c r="L491" t="s">
        <v>7826</v>
      </c>
      <c r="N491" t="str" cm="1">
        <f t="array" ref="N491">IFERROR(LOOKUP(2,1/SEARCH($S$2:$S$65,G491),$T$2:$T$65),"Misc")</f>
        <v>OH P/N</v>
      </c>
      <c r="O491" t="str" cm="1">
        <f t="array" ref="O491">IFERROR(LOOKUP(2,1/SEARCH($V$2:$V$65,G491),$W$2:$W$65),"Misc")</f>
        <v>OH Part</v>
      </c>
      <c r="P491" t="str" cm="1">
        <f t="array" ref="P491">IFERROR(LOOKUP(2,1/SEARCH($Y$2:$Y$65,G491),$Z$2:$Z$65),"Not Defined")</f>
        <v>OH Part</v>
      </c>
      <c r="Q491" t="str" cm="1">
        <f t="array" ref="Q491">IFERROR(LOOKUP(2,1/SEARCH($S$2:$S$65,H491),$T$2:$T$65),"-")</f>
        <v>-</v>
      </c>
    </row>
    <row r="492" spans="1:17" hidden="1" x14ac:dyDescent="0.25">
      <c r="A492" t="s">
        <v>7672</v>
      </c>
      <c r="B492" t="s">
        <v>1395</v>
      </c>
      <c r="C492">
        <v>1</v>
      </c>
      <c r="D492" t="s">
        <v>1314</v>
      </c>
      <c r="E492" t="s">
        <v>7869</v>
      </c>
      <c r="F492" t="s">
        <v>761</v>
      </c>
      <c r="G492" t="s">
        <v>763</v>
      </c>
      <c r="H492" t="s">
        <v>762</v>
      </c>
      <c r="I492" t="s">
        <v>358</v>
      </c>
      <c r="J492" t="s">
        <v>7682</v>
      </c>
      <c r="K492" t="s">
        <v>7826</v>
      </c>
      <c r="L492" t="s">
        <v>7826</v>
      </c>
      <c r="N492" t="str" cm="1">
        <f t="array" ref="N492">IFERROR(LOOKUP(2,1/SEARCH($S$2:$S$65,G492),$T$2:$T$65),"Misc")</f>
        <v>OH P/N</v>
      </c>
      <c r="O492" t="str" cm="1">
        <f t="array" ref="O492">IFERROR(LOOKUP(2,1/SEARCH($V$2:$V$65,G492),$W$2:$W$65),"Misc")</f>
        <v>OH Part</v>
      </c>
      <c r="P492" t="str" cm="1">
        <f t="array" ref="P492">IFERROR(LOOKUP(2,1/SEARCH($Y$2:$Y$65,G492),$Z$2:$Z$65),"Not Defined")</f>
        <v>OH Part</v>
      </c>
      <c r="Q492" t="str" cm="1">
        <f t="array" ref="Q492">IFERROR(LOOKUP(2,1/SEARCH($S$2:$S$65,H492),$T$2:$T$65),"-")</f>
        <v>-</v>
      </c>
    </row>
    <row r="493" spans="1:17" hidden="1" x14ac:dyDescent="0.25">
      <c r="A493" t="s">
        <v>7672</v>
      </c>
      <c r="B493" t="s">
        <v>1396</v>
      </c>
      <c r="C493">
        <v>2</v>
      </c>
      <c r="D493" t="s">
        <v>1314</v>
      </c>
      <c r="E493" t="s">
        <v>7869</v>
      </c>
      <c r="F493" t="s">
        <v>765</v>
      </c>
      <c r="G493" t="s">
        <v>767</v>
      </c>
      <c r="H493" t="s">
        <v>766</v>
      </c>
      <c r="I493" t="s">
        <v>358</v>
      </c>
      <c r="J493" t="s">
        <v>7682</v>
      </c>
      <c r="K493" t="s">
        <v>7826</v>
      </c>
      <c r="L493" t="s">
        <v>7826</v>
      </c>
      <c r="N493" t="str" cm="1">
        <f t="array" ref="N493">IFERROR(LOOKUP(2,1/SEARCH($S$2:$S$65,G493),$T$2:$T$65),"Misc")</f>
        <v>OH P/N</v>
      </c>
      <c r="O493" t="str" cm="1">
        <f t="array" ref="O493">IFERROR(LOOKUP(2,1/SEARCH($V$2:$V$65,G493),$W$2:$W$65),"Misc")</f>
        <v>OH Part</v>
      </c>
      <c r="P493" t="str" cm="1">
        <f t="array" ref="P493">IFERROR(LOOKUP(2,1/SEARCH($Y$2:$Y$65,G493),$Z$2:$Z$65),"Not Defined")</f>
        <v>OH Part</v>
      </c>
      <c r="Q493" t="str" cm="1">
        <f t="array" ref="Q493">IFERROR(LOOKUP(2,1/SEARCH($S$2:$S$65,H493),$T$2:$T$65),"-")</f>
        <v>-</v>
      </c>
    </row>
    <row r="494" spans="1:17" hidden="1" x14ac:dyDescent="0.25">
      <c r="A494" t="s">
        <v>7672</v>
      </c>
      <c r="B494" t="s">
        <v>1397</v>
      </c>
      <c r="C494">
        <v>1</v>
      </c>
      <c r="D494" t="s">
        <v>1314</v>
      </c>
      <c r="E494" t="s">
        <v>7870</v>
      </c>
      <c r="F494" t="s">
        <v>1398</v>
      </c>
      <c r="G494" t="s">
        <v>1400</v>
      </c>
      <c r="H494" t="s">
        <v>1399</v>
      </c>
      <c r="J494" t="s">
        <v>7682</v>
      </c>
      <c r="K494" t="s">
        <v>7826</v>
      </c>
      <c r="L494" t="s">
        <v>7826</v>
      </c>
      <c r="N494" t="str" cm="1">
        <f t="array" ref="N494">IFERROR(LOOKUP(2,1/SEARCH($S$2:$S$65,G494),$T$2:$T$65),"Misc")</f>
        <v>OH P/N</v>
      </c>
      <c r="O494" t="str" cm="1">
        <f t="array" ref="O494">IFERROR(LOOKUP(2,1/SEARCH($V$2:$V$65,G494),$W$2:$W$65),"Misc")</f>
        <v>OH Part</v>
      </c>
      <c r="P494" t="str" cm="1">
        <f t="array" ref="P494">IFERROR(LOOKUP(2,1/SEARCH($Y$2:$Y$65,G494),$Z$2:$Z$65),"Not Defined")</f>
        <v>OH Part</v>
      </c>
      <c r="Q494" t="str" cm="1">
        <f t="array" ref="Q494">IFERROR(LOOKUP(2,1/SEARCH($S$2:$S$65,H494),$T$2:$T$65),"-")</f>
        <v>-</v>
      </c>
    </row>
    <row r="495" spans="1:17" hidden="1" x14ac:dyDescent="0.25">
      <c r="A495" t="s">
        <v>7672</v>
      </c>
      <c r="B495" t="s">
        <v>1401</v>
      </c>
      <c r="C495">
        <v>1</v>
      </c>
      <c r="D495" t="s">
        <v>1314</v>
      </c>
      <c r="E495" t="s">
        <v>7870</v>
      </c>
      <c r="F495" t="s">
        <v>749</v>
      </c>
      <c r="G495" t="s">
        <v>751</v>
      </c>
      <c r="H495" t="s">
        <v>750</v>
      </c>
      <c r="I495" t="s">
        <v>358</v>
      </c>
      <c r="J495" t="s">
        <v>7682</v>
      </c>
      <c r="K495" t="s">
        <v>7826</v>
      </c>
      <c r="L495" t="s">
        <v>7826</v>
      </c>
      <c r="N495" t="str" cm="1">
        <f t="array" ref="N495">IFERROR(LOOKUP(2,1/SEARCH($S$2:$S$65,G495),$T$2:$T$65),"Misc")</f>
        <v>OH P/N</v>
      </c>
      <c r="O495" t="str" cm="1">
        <f t="array" ref="O495">IFERROR(LOOKUP(2,1/SEARCH($V$2:$V$65,G495),$W$2:$W$65),"Misc")</f>
        <v>OH Part</v>
      </c>
      <c r="P495" t="str" cm="1">
        <f t="array" ref="P495">IFERROR(LOOKUP(2,1/SEARCH($Y$2:$Y$65,G495),$Z$2:$Z$65),"Not Defined")</f>
        <v>OH Part</v>
      </c>
      <c r="Q495" t="str" cm="1">
        <f t="array" ref="Q495">IFERROR(LOOKUP(2,1/SEARCH($S$2:$S$65,H495),$T$2:$T$65),"-")</f>
        <v>-</v>
      </c>
    </row>
    <row r="496" spans="1:17" hidden="1" x14ac:dyDescent="0.25">
      <c r="A496" t="s">
        <v>7672</v>
      </c>
      <c r="B496" t="s">
        <v>1402</v>
      </c>
      <c r="C496">
        <v>1</v>
      </c>
      <c r="D496" t="s">
        <v>1314</v>
      </c>
      <c r="E496" t="s">
        <v>7870</v>
      </c>
      <c r="F496" t="s">
        <v>1403</v>
      </c>
      <c r="G496" t="s">
        <v>1405</v>
      </c>
      <c r="H496" t="s">
        <v>1404</v>
      </c>
      <c r="I496" t="s">
        <v>293</v>
      </c>
      <c r="J496" t="s">
        <v>7682</v>
      </c>
      <c r="K496" t="s">
        <v>7826</v>
      </c>
      <c r="L496" t="s">
        <v>7826</v>
      </c>
      <c r="N496" t="str" cm="1">
        <f t="array" ref="N496">IFERROR(LOOKUP(2,1/SEARCH($S$2:$S$65,G496),$T$2:$T$65),"Misc")</f>
        <v>OH P/N</v>
      </c>
      <c r="O496" t="str" cm="1">
        <f t="array" ref="O496">IFERROR(LOOKUP(2,1/SEARCH($V$2:$V$65,G496),$W$2:$W$65),"Misc")</f>
        <v>OH Part</v>
      </c>
      <c r="P496" t="str" cm="1">
        <f t="array" ref="P496">IFERROR(LOOKUP(2,1/SEARCH($Y$2:$Y$65,G496),$Z$2:$Z$65),"Not Defined")</f>
        <v>OH Part</v>
      </c>
      <c r="Q496" t="str" cm="1">
        <f t="array" ref="Q496">IFERROR(LOOKUP(2,1/SEARCH($S$2:$S$65,H496),$T$2:$T$65),"-")</f>
        <v>-</v>
      </c>
    </row>
    <row r="497" spans="1:17" hidden="1" x14ac:dyDescent="0.25">
      <c r="A497" t="s">
        <v>7672</v>
      </c>
      <c r="B497" t="s">
        <v>1406</v>
      </c>
      <c r="C497">
        <v>1</v>
      </c>
      <c r="D497" t="s">
        <v>1314</v>
      </c>
      <c r="E497" t="s">
        <v>7870</v>
      </c>
      <c r="F497" t="s">
        <v>1407</v>
      </c>
      <c r="G497" t="s">
        <v>1409</v>
      </c>
      <c r="H497" t="s">
        <v>1408</v>
      </c>
      <c r="I497" t="s">
        <v>281</v>
      </c>
      <c r="J497" t="s">
        <v>7682</v>
      </c>
      <c r="K497" t="s">
        <v>7826</v>
      </c>
      <c r="L497" t="s">
        <v>7826</v>
      </c>
      <c r="N497" t="str" cm="1">
        <f t="array" ref="N497">IFERROR(LOOKUP(2,1/SEARCH($S$2:$S$65,G497),$T$2:$T$65),"Misc")</f>
        <v>OH P/N</v>
      </c>
      <c r="O497" t="str" cm="1">
        <f t="array" ref="O497">IFERROR(LOOKUP(2,1/SEARCH($V$2:$V$65,G497),$W$2:$W$65),"Misc")</f>
        <v>OH Part</v>
      </c>
      <c r="P497" t="str" cm="1">
        <f t="array" ref="P497">IFERROR(LOOKUP(2,1/SEARCH($Y$2:$Y$65,G497),$Z$2:$Z$65),"Not Defined")</f>
        <v>OH Part</v>
      </c>
      <c r="Q497" t="str" cm="1">
        <f t="array" ref="Q497">IFERROR(LOOKUP(2,1/SEARCH($S$2:$S$65,H497),$T$2:$T$65),"-")</f>
        <v>-</v>
      </c>
    </row>
    <row r="498" spans="1:17" hidden="1" x14ac:dyDescent="0.25">
      <c r="A498" t="s">
        <v>7672</v>
      </c>
      <c r="B498" t="s">
        <v>1410</v>
      </c>
      <c r="C498">
        <v>1</v>
      </c>
      <c r="D498" t="s">
        <v>1314</v>
      </c>
      <c r="E498" t="s">
        <v>7870</v>
      </c>
      <c r="F498" t="s">
        <v>761</v>
      </c>
      <c r="G498" t="s">
        <v>763</v>
      </c>
      <c r="H498" t="s">
        <v>762</v>
      </c>
      <c r="I498" t="s">
        <v>358</v>
      </c>
      <c r="J498" t="s">
        <v>7682</v>
      </c>
      <c r="K498" t="s">
        <v>7826</v>
      </c>
      <c r="L498" t="s">
        <v>7826</v>
      </c>
      <c r="N498" t="str" cm="1">
        <f t="array" ref="N498">IFERROR(LOOKUP(2,1/SEARCH($S$2:$S$65,G498),$T$2:$T$65),"Misc")</f>
        <v>OH P/N</v>
      </c>
      <c r="O498" t="str" cm="1">
        <f t="array" ref="O498">IFERROR(LOOKUP(2,1/SEARCH($V$2:$V$65,G498),$W$2:$W$65),"Misc")</f>
        <v>OH Part</v>
      </c>
      <c r="P498" t="str" cm="1">
        <f t="array" ref="P498">IFERROR(LOOKUP(2,1/SEARCH($Y$2:$Y$65,G498),$Z$2:$Z$65),"Not Defined")</f>
        <v>OH Part</v>
      </c>
      <c r="Q498" t="str" cm="1">
        <f t="array" ref="Q498">IFERROR(LOOKUP(2,1/SEARCH($S$2:$S$65,H498),$T$2:$T$65),"-")</f>
        <v>-</v>
      </c>
    </row>
    <row r="499" spans="1:17" hidden="1" x14ac:dyDescent="0.25">
      <c r="A499" t="s">
        <v>7672</v>
      </c>
      <c r="B499" t="s">
        <v>1411</v>
      </c>
      <c r="C499">
        <v>2</v>
      </c>
      <c r="D499" t="s">
        <v>1314</v>
      </c>
      <c r="E499" t="s">
        <v>7870</v>
      </c>
      <c r="F499" t="s">
        <v>765</v>
      </c>
      <c r="G499" t="s">
        <v>767</v>
      </c>
      <c r="H499" t="s">
        <v>766</v>
      </c>
      <c r="I499" t="s">
        <v>358</v>
      </c>
      <c r="J499" t="s">
        <v>7682</v>
      </c>
      <c r="K499" t="s">
        <v>7826</v>
      </c>
      <c r="L499" t="s">
        <v>7826</v>
      </c>
      <c r="N499" t="str" cm="1">
        <f t="array" ref="N499">IFERROR(LOOKUP(2,1/SEARCH($S$2:$S$65,G499),$T$2:$T$65),"Misc")</f>
        <v>OH P/N</v>
      </c>
      <c r="O499" t="str" cm="1">
        <f t="array" ref="O499">IFERROR(LOOKUP(2,1/SEARCH($V$2:$V$65,G499),$W$2:$W$65),"Misc")</f>
        <v>OH Part</v>
      </c>
      <c r="P499" t="str" cm="1">
        <f t="array" ref="P499">IFERROR(LOOKUP(2,1/SEARCH($Y$2:$Y$65,G499),$Z$2:$Z$65),"Not Defined")</f>
        <v>OH Part</v>
      </c>
      <c r="Q499" t="str" cm="1">
        <f t="array" ref="Q499">IFERROR(LOOKUP(2,1/SEARCH($S$2:$S$65,H499),$T$2:$T$65),"-")</f>
        <v>-</v>
      </c>
    </row>
    <row r="500" spans="1:17" hidden="1" x14ac:dyDescent="0.25">
      <c r="A500" t="s">
        <v>7672</v>
      </c>
      <c r="B500" t="s">
        <v>1412</v>
      </c>
      <c r="C500">
        <v>1</v>
      </c>
      <c r="D500" t="s">
        <v>1314</v>
      </c>
      <c r="E500" t="s">
        <v>1333</v>
      </c>
      <c r="F500" t="s">
        <v>1413</v>
      </c>
      <c r="G500" t="s">
        <v>1415</v>
      </c>
      <c r="H500" t="s">
        <v>1414</v>
      </c>
      <c r="I500" t="s">
        <v>255</v>
      </c>
      <c r="J500" t="s">
        <v>7682</v>
      </c>
      <c r="K500" t="s">
        <v>7826</v>
      </c>
      <c r="L500" t="s">
        <v>7826</v>
      </c>
      <c r="N500" t="str" cm="1">
        <f t="array" ref="N500">IFERROR(LOOKUP(2,1/SEARCH($S$2:$S$65,G500),$T$2:$T$65),"Misc")</f>
        <v>OH P/N</v>
      </c>
      <c r="O500" t="str" cm="1">
        <f t="array" ref="O500">IFERROR(LOOKUP(2,1/SEARCH($V$2:$V$65,G500),$W$2:$W$65),"Misc")</f>
        <v>OH Part</v>
      </c>
      <c r="P500" t="str" cm="1">
        <f t="array" ref="P500">IFERROR(LOOKUP(2,1/SEARCH($Y$2:$Y$65,G500),$Z$2:$Z$65),"Not Defined")</f>
        <v>OH Part</v>
      </c>
      <c r="Q500" t="str" cm="1">
        <f t="array" ref="Q500">IFERROR(LOOKUP(2,1/SEARCH($S$2:$S$65,H500),$T$2:$T$65),"-")</f>
        <v>-</v>
      </c>
    </row>
    <row r="501" spans="1:17" hidden="1" x14ac:dyDescent="0.25">
      <c r="A501" t="s">
        <v>7672</v>
      </c>
      <c r="B501" t="s">
        <v>1416</v>
      </c>
      <c r="C501">
        <v>1</v>
      </c>
      <c r="D501" t="s">
        <v>1314</v>
      </c>
      <c r="E501" t="s">
        <v>1333</v>
      </c>
      <c r="F501" t="s">
        <v>1417</v>
      </c>
      <c r="G501" t="s">
        <v>7205</v>
      </c>
      <c r="H501" t="s">
        <v>1418</v>
      </c>
      <c r="I501" t="s">
        <v>255</v>
      </c>
      <c r="J501" t="s">
        <v>7703</v>
      </c>
      <c r="K501" t="s">
        <v>7677</v>
      </c>
      <c r="L501" t="s">
        <v>7677</v>
      </c>
      <c r="N501" t="str" cm="1">
        <f t="array" ref="N501">IFERROR(LOOKUP(2,1/SEARCH($S$2:$S$65,G501),$T$2:$T$65),"Misc")</f>
        <v>COTS</v>
      </c>
      <c r="O501" t="str" cm="1">
        <f t="array" ref="O501">IFERROR(LOOKUP(2,1/SEARCH($V$2:$V$65,G501),$W$2:$W$65),"Misc")</f>
        <v>SWITCH</v>
      </c>
      <c r="P501" t="str" cm="1">
        <f t="array" ref="P501">IFERROR(LOOKUP(2,1/SEARCH($Y$2:$Y$65,G501),$Z$2:$Z$65),"Not Defined")</f>
        <v>SWITCH</v>
      </c>
      <c r="Q501" t="str" cm="1">
        <f t="array" ref="Q501">IFERROR(LOOKUP(2,1/SEARCH($S$2:$S$65,H501),$T$2:$T$65),"-")</f>
        <v>COTS</v>
      </c>
    </row>
    <row r="502" spans="1:17" hidden="1" x14ac:dyDescent="0.25">
      <c r="A502" t="s">
        <v>7672</v>
      </c>
      <c r="B502" t="s">
        <v>1419</v>
      </c>
      <c r="C502">
        <v>2</v>
      </c>
      <c r="D502" t="s">
        <v>1314</v>
      </c>
      <c r="E502" t="s">
        <v>1333</v>
      </c>
      <c r="F502" t="s">
        <v>1420</v>
      </c>
      <c r="G502" t="s">
        <v>7206</v>
      </c>
      <c r="H502" t="s">
        <v>1421</v>
      </c>
      <c r="I502" t="s">
        <v>255</v>
      </c>
      <c r="J502" t="s">
        <v>7703</v>
      </c>
      <c r="K502" t="s">
        <v>7722</v>
      </c>
      <c r="L502" t="s">
        <v>7722</v>
      </c>
      <c r="N502" t="str" cm="1">
        <f t="array" ref="N502">IFERROR(LOOKUP(2,1/SEARCH($S$2:$S$65,G502),$T$2:$T$65),"Misc")</f>
        <v>COTS</v>
      </c>
      <c r="O502" t="str" cm="1">
        <f t="array" ref="O502">IFERROR(LOOKUP(2,1/SEARCH($V$2:$V$65,G502),$W$2:$W$65),"Misc")</f>
        <v>POT</v>
      </c>
      <c r="P502" t="str" cm="1">
        <f t="array" ref="P502">IFERROR(LOOKUP(2,1/SEARCH($Y$2:$Y$65,G502),$Z$2:$Z$65),"Not Defined")</f>
        <v>POT</v>
      </c>
      <c r="Q502" t="str" cm="1">
        <f t="array" ref="Q502">IFERROR(LOOKUP(2,1/SEARCH($S$2:$S$65,H502),$T$2:$T$65),"-")</f>
        <v>COTS</v>
      </c>
    </row>
    <row r="503" spans="1:17" hidden="1" x14ac:dyDescent="0.25">
      <c r="A503" t="s">
        <v>7672</v>
      </c>
      <c r="B503" t="s">
        <v>1422</v>
      </c>
      <c r="C503">
        <v>4</v>
      </c>
      <c r="D503" t="s">
        <v>1314</v>
      </c>
      <c r="E503" t="s">
        <v>1333</v>
      </c>
      <c r="F503" t="s">
        <v>268</v>
      </c>
      <c r="G503" t="s">
        <v>7061</v>
      </c>
      <c r="H503" t="s">
        <v>269</v>
      </c>
      <c r="I503" t="s">
        <v>224</v>
      </c>
      <c r="J503" t="s">
        <v>7703</v>
      </c>
      <c r="K503" t="s">
        <v>7684</v>
      </c>
      <c r="L503" t="s">
        <v>7687</v>
      </c>
      <c r="N503" t="str" cm="1">
        <f t="array" ref="N503">IFERROR(LOOKUP(2,1/SEARCH($S$2:$S$65,G503),$T$2:$T$65),"Misc")</f>
        <v>COTS</v>
      </c>
      <c r="O503" t="str" cm="1">
        <f t="array" ref="O503">IFERROR(LOOKUP(2,1/SEARCH($V$2:$V$65,G503),$W$2:$W$65),"Misc")</f>
        <v>Fasteners</v>
      </c>
      <c r="P503" t="str" cm="1">
        <f t="array" ref="P503">IFERROR(LOOKUP(2,1/SEARCH($Y$2:$Y$65,G503),$Z$2:$Z$65),"Not Defined")</f>
        <v>INSERT</v>
      </c>
      <c r="Q503" t="str" cm="1">
        <f t="array" ref="Q503">IFERROR(LOOKUP(2,1/SEARCH($S$2:$S$65,H503),$T$2:$T$65),"-")</f>
        <v>COTS</v>
      </c>
    </row>
    <row r="504" spans="1:17" hidden="1" x14ac:dyDescent="0.25">
      <c r="A504" t="s">
        <v>7672</v>
      </c>
      <c r="B504" t="s">
        <v>1423</v>
      </c>
      <c r="C504">
        <v>1</v>
      </c>
      <c r="D504" t="s">
        <v>1314</v>
      </c>
      <c r="E504" t="s">
        <v>1333</v>
      </c>
      <c r="F504" t="s">
        <v>265</v>
      </c>
      <c r="G504" t="s">
        <v>7099</v>
      </c>
      <c r="H504" t="s">
        <v>266</v>
      </c>
      <c r="I504" t="s">
        <v>224</v>
      </c>
      <c r="J504" t="s">
        <v>7703</v>
      </c>
      <c r="K504" t="s">
        <v>7684</v>
      </c>
      <c r="L504" t="s">
        <v>7687</v>
      </c>
      <c r="N504" t="str" cm="1">
        <f t="array" ref="N504">IFERROR(LOOKUP(2,1/SEARCH($S$2:$S$65,G504),$T$2:$T$65),"Misc")</f>
        <v>COTS</v>
      </c>
      <c r="O504" t="str" cm="1">
        <f t="array" ref="O504">IFERROR(LOOKUP(2,1/SEARCH($V$2:$V$65,G504),$W$2:$W$65),"Misc")</f>
        <v>Fasteners</v>
      </c>
      <c r="P504" t="str" cm="1">
        <f t="array" ref="P504">IFERROR(LOOKUP(2,1/SEARCH($Y$2:$Y$65,G504),$Z$2:$Z$65),"Not Defined")</f>
        <v>INSERT</v>
      </c>
      <c r="Q504" t="str" cm="1">
        <f t="array" ref="Q504">IFERROR(LOOKUP(2,1/SEARCH($S$2:$S$65,H504),$T$2:$T$65),"-")</f>
        <v>COTS</v>
      </c>
    </row>
    <row r="505" spans="1:17" hidden="1" x14ac:dyDescent="0.25">
      <c r="A505" t="s">
        <v>7672</v>
      </c>
      <c r="B505" t="s">
        <v>1424</v>
      </c>
      <c r="C505">
        <v>1</v>
      </c>
      <c r="D505" t="s">
        <v>1314</v>
      </c>
      <c r="E505" t="s">
        <v>1333</v>
      </c>
      <c r="F505" t="s">
        <v>1425</v>
      </c>
      <c r="G505" t="s">
        <v>7207</v>
      </c>
      <c r="H505" t="s">
        <v>1426</v>
      </c>
      <c r="I505" t="s">
        <v>210</v>
      </c>
      <c r="J505" t="s">
        <v>7703</v>
      </c>
      <c r="K505" t="s">
        <v>7684</v>
      </c>
      <c r="L505" t="s">
        <v>7700</v>
      </c>
      <c r="N505" t="str" cm="1">
        <f t="array" ref="N505">IFERROR(LOOKUP(2,1/SEARCH($S$2:$S$65,G505),$T$2:$T$65),"Misc")</f>
        <v>COTS</v>
      </c>
      <c r="O505" t="str" cm="1">
        <f t="array" ref="O505">IFERROR(LOOKUP(2,1/SEARCH($V$2:$V$65,G505),$W$2:$W$65),"Misc")</f>
        <v>Fasteners</v>
      </c>
      <c r="P505" t="str" cm="1">
        <f t="array" ref="P505">IFERROR(LOOKUP(2,1/SEARCH($Y$2:$Y$65,G505),$Z$2:$Z$65),"Not Defined")</f>
        <v>SHCS</v>
      </c>
      <c r="Q505" t="str" cm="1">
        <f t="array" ref="Q505">IFERROR(LOOKUP(2,1/SEARCH($S$2:$S$65,H505),$T$2:$T$65),"-")</f>
        <v>COTS</v>
      </c>
    </row>
    <row r="506" spans="1:17" hidden="1" x14ac:dyDescent="0.25">
      <c r="A506" t="s">
        <v>7672</v>
      </c>
      <c r="B506" t="s">
        <v>1427</v>
      </c>
      <c r="C506">
        <v>2</v>
      </c>
      <c r="D506" t="s">
        <v>1314</v>
      </c>
      <c r="E506" t="s">
        <v>1333</v>
      </c>
      <c r="F506" t="s">
        <v>1428</v>
      </c>
      <c r="G506" t="s">
        <v>7208</v>
      </c>
      <c r="H506" t="s">
        <v>1429</v>
      </c>
      <c r="I506" t="s">
        <v>224</v>
      </c>
      <c r="J506" t="s">
        <v>7703</v>
      </c>
      <c r="K506" t="s">
        <v>7722</v>
      </c>
      <c r="L506" t="s">
        <v>7685</v>
      </c>
      <c r="N506" t="str" cm="1">
        <f t="array" ref="N506">IFERROR(LOOKUP(2,1/SEARCH($S$2:$S$65,G506),$T$2:$T$65),"Misc")</f>
        <v>COTS</v>
      </c>
      <c r="O506" t="str" cm="1">
        <f t="array" ref="O506">IFERROR(LOOKUP(2,1/SEARCH($V$2:$V$65,G506),$W$2:$W$65),"Misc")</f>
        <v>POT</v>
      </c>
      <c r="P506" t="str" cm="1">
        <f t="array" ref="P506">IFERROR(LOOKUP(2,1/SEARCH($Y$2:$Y$65,G506),$Z$2:$Z$65),"Not Defined")</f>
        <v>NUT</v>
      </c>
      <c r="Q506" t="str" cm="1">
        <f t="array" ref="Q506">IFERROR(LOOKUP(2,1/SEARCH($S$2:$S$65,H506),$T$2:$T$65),"-")</f>
        <v>COTS</v>
      </c>
    </row>
    <row r="507" spans="1:17" hidden="1" x14ac:dyDescent="0.25">
      <c r="A507" t="s">
        <v>7672</v>
      </c>
      <c r="B507" t="s">
        <v>1430</v>
      </c>
      <c r="C507">
        <v>1</v>
      </c>
      <c r="D507" t="s">
        <v>1314</v>
      </c>
      <c r="E507" t="s">
        <v>1333</v>
      </c>
      <c r="F507" t="s">
        <v>1431</v>
      </c>
      <c r="G507" t="s">
        <v>1433</v>
      </c>
      <c r="H507" t="s">
        <v>1432</v>
      </c>
      <c r="I507" t="s">
        <v>293</v>
      </c>
      <c r="J507" t="s">
        <v>7682</v>
      </c>
      <c r="K507" t="s">
        <v>7826</v>
      </c>
      <c r="L507" t="s">
        <v>7826</v>
      </c>
      <c r="N507" t="str" cm="1">
        <f t="array" ref="N507">IFERROR(LOOKUP(2,1/SEARCH($S$2:$S$65,G507),$T$2:$T$65),"Misc")</f>
        <v>OH P/N</v>
      </c>
      <c r="O507" t="str" cm="1">
        <f t="array" ref="O507">IFERROR(LOOKUP(2,1/SEARCH($V$2:$V$65,G507),$W$2:$W$65),"Misc")</f>
        <v>OH Part</v>
      </c>
      <c r="P507" t="str" cm="1">
        <f t="array" ref="P507">IFERROR(LOOKUP(2,1/SEARCH($Y$2:$Y$65,G507),$Z$2:$Z$65),"Not Defined")</f>
        <v>OH Part</v>
      </c>
      <c r="Q507" t="str" cm="1">
        <f t="array" ref="Q507">IFERROR(LOOKUP(2,1/SEARCH($S$2:$S$65,H507),$T$2:$T$65),"-")</f>
        <v>-</v>
      </c>
    </row>
    <row r="508" spans="1:17" hidden="1" x14ac:dyDescent="0.25">
      <c r="A508" t="s">
        <v>7672</v>
      </c>
      <c r="B508" t="s">
        <v>1434</v>
      </c>
      <c r="C508">
        <v>3</v>
      </c>
      <c r="D508" t="s">
        <v>1314</v>
      </c>
      <c r="E508" t="s">
        <v>1333</v>
      </c>
      <c r="F508" t="s">
        <v>1435</v>
      </c>
      <c r="G508" t="s">
        <v>7209</v>
      </c>
      <c r="H508" t="s">
        <v>1436</v>
      </c>
      <c r="I508" t="s">
        <v>299</v>
      </c>
      <c r="J508" t="s">
        <v>7703</v>
      </c>
      <c r="K508" t="s">
        <v>7684</v>
      </c>
      <c r="L508" t="s">
        <v>7834</v>
      </c>
      <c r="N508" t="str" cm="1">
        <f t="array" ref="N508">IFERROR(LOOKUP(2,1/SEARCH($S$2:$S$65,G508),$T$2:$T$65),"Misc")</f>
        <v>COTS</v>
      </c>
      <c r="O508" t="str" cm="1">
        <f t="array" ref="O508">IFERROR(LOOKUP(2,1/SEARCH($V$2:$V$65,G508),$W$2:$W$65),"Misc")</f>
        <v>Fasteners</v>
      </c>
      <c r="P508" t="str" cm="1">
        <f t="array" ref="P508">IFERROR(LOOKUP(2,1/SEARCH($Y$2:$Y$65,G508),$Z$2:$Z$65),"Not Defined")</f>
        <v>Not Defined</v>
      </c>
      <c r="Q508" t="str" cm="1">
        <f t="array" ref="Q508">IFERROR(LOOKUP(2,1/SEARCH($S$2:$S$65,H508),$T$2:$T$65),"-")</f>
        <v>COTS</v>
      </c>
    </row>
    <row r="509" spans="1:17" hidden="1" x14ac:dyDescent="0.25">
      <c r="A509" t="s">
        <v>7672</v>
      </c>
      <c r="B509" t="s">
        <v>1437</v>
      </c>
      <c r="C509">
        <v>1</v>
      </c>
      <c r="D509" t="s">
        <v>1314</v>
      </c>
      <c r="E509" t="s">
        <v>1333</v>
      </c>
      <c r="F509" t="s">
        <v>586</v>
      </c>
      <c r="G509" t="s">
        <v>7107</v>
      </c>
      <c r="H509" t="s">
        <v>587</v>
      </c>
      <c r="I509" t="s">
        <v>210</v>
      </c>
      <c r="J509" t="s">
        <v>7703</v>
      </c>
      <c r="K509" t="s">
        <v>7684</v>
      </c>
      <c r="L509" t="s">
        <v>7693</v>
      </c>
      <c r="N509" t="str" cm="1">
        <f t="array" ref="N509">IFERROR(LOOKUP(2,1/SEARCH($S$2:$S$65,G509),$T$2:$T$65),"Misc")</f>
        <v>COTS</v>
      </c>
      <c r="O509" t="str" cm="1">
        <f t="array" ref="O509">IFERROR(LOOKUP(2,1/SEARCH($V$2:$V$65,G509),$W$2:$W$65),"Misc")</f>
        <v>Fasteners</v>
      </c>
      <c r="P509" t="str" cm="1">
        <f t="array" ref="P509">IFERROR(LOOKUP(2,1/SEARCH($Y$2:$Y$65,G509),$Z$2:$Z$65),"Not Defined")</f>
        <v>PHS</v>
      </c>
      <c r="Q509" t="str" cm="1">
        <f t="array" ref="Q509">IFERROR(LOOKUP(2,1/SEARCH($S$2:$S$65,H509),$T$2:$T$65),"-")</f>
        <v>COTS</v>
      </c>
    </row>
    <row r="510" spans="1:17" hidden="1" x14ac:dyDescent="0.25">
      <c r="A510" t="s">
        <v>7672</v>
      </c>
      <c r="B510" t="s">
        <v>1438</v>
      </c>
      <c r="C510">
        <v>1</v>
      </c>
      <c r="D510" t="s">
        <v>1314</v>
      </c>
      <c r="E510" t="s">
        <v>7871</v>
      </c>
      <c r="F510" t="s">
        <v>613</v>
      </c>
      <c r="G510" t="s">
        <v>7110</v>
      </c>
      <c r="H510" t="s">
        <v>614</v>
      </c>
      <c r="I510" t="s">
        <v>255</v>
      </c>
      <c r="J510" t="s">
        <v>7815</v>
      </c>
      <c r="K510" t="s">
        <v>7717</v>
      </c>
      <c r="L510" t="s">
        <v>7717</v>
      </c>
      <c r="N510" t="str" cm="1">
        <f t="array" ref="N510">IFERROR(LOOKUP(2,1/SEARCH($S$2:$S$65,G510),$T$2:$T$65),"Misc")</f>
        <v>OH ASSY</v>
      </c>
      <c r="O510" t="str" cm="1">
        <f t="array" ref="O510">IFERROR(LOOKUP(2,1/SEARCH($V$2:$V$65,G510),$W$2:$W$65),"Misc")</f>
        <v>ABSIS</v>
      </c>
      <c r="P510" t="str" cm="1">
        <f t="array" ref="P510">IFERROR(LOOKUP(2,1/SEARCH($Y$2:$Y$65,G510),$Z$2:$Z$65),"Not Defined")</f>
        <v>ABSIS</v>
      </c>
      <c r="Q510" t="str" cm="1">
        <f t="array" ref="Q510">IFERROR(LOOKUP(2,1/SEARCH($S$2:$S$65,H510),$T$2:$T$65),"-")</f>
        <v>OH ASSY</v>
      </c>
    </row>
    <row r="511" spans="1:17" hidden="1" x14ac:dyDescent="0.25">
      <c r="A511" t="s">
        <v>7672</v>
      </c>
      <c r="B511" t="s">
        <v>1439</v>
      </c>
      <c r="C511">
        <v>1</v>
      </c>
      <c r="D511" t="s">
        <v>1314</v>
      </c>
      <c r="E511" t="s">
        <v>7871</v>
      </c>
      <c r="F511" t="s">
        <v>616</v>
      </c>
      <c r="G511" t="s">
        <v>7111</v>
      </c>
      <c r="H511" t="s">
        <v>617</v>
      </c>
      <c r="I511" t="s">
        <v>255</v>
      </c>
      <c r="J511" t="s">
        <v>7717</v>
      </c>
      <c r="K511" t="s">
        <v>7717</v>
      </c>
      <c r="L511" t="s">
        <v>7717</v>
      </c>
      <c r="N511" t="str" cm="1">
        <f t="array" ref="N511">IFERROR(LOOKUP(2,1/SEARCH($S$2:$S$65,G511),$T$2:$T$65),"Misc")</f>
        <v>ABSIS</v>
      </c>
      <c r="O511" t="str" cm="1">
        <f t="array" ref="O511">IFERROR(LOOKUP(2,1/SEARCH($V$2:$V$65,G511),$W$2:$W$65),"Misc")</f>
        <v>ABSIS</v>
      </c>
      <c r="P511" t="str" cm="1">
        <f t="array" ref="P511">IFERROR(LOOKUP(2,1/SEARCH($Y$2:$Y$65,G511),$Z$2:$Z$65),"Not Defined")</f>
        <v>ABSIS</v>
      </c>
      <c r="Q511" t="str" cm="1">
        <f t="array" ref="Q511">IFERROR(LOOKUP(2,1/SEARCH($S$2:$S$65,H511),$T$2:$T$65),"-")</f>
        <v>ABSIS</v>
      </c>
    </row>
    <row r="512" spans="1:17" hidden="1" x14ac:dyDescent="0.25">
      <c r="A512" t="s">
        <v>7672</v>
      </c>
      <c r="B512" t="s">
        <v>1440</v>
      </c>
      <c r="C512">
        <v>1</v>
      </c>
      <c r="D512" t="s">
        <v>1314</v>
      </c>
      <c r="E512" t="s">
        <v>7871</v>
      </c>
      <c r="F512" t="s">
        <v>596</v>
      </c>
      <c r="G512" t="s">
        <v>7108</v>
      </c>
      <c r="H512" t="s">
        <v>597</v>
      </c>
      <c r="I512" t="s">
        <v>255</v>
      </c>
      <c r="J512" t="s">
        <v>7703</v>
      </c>
      <c r="K512" t="s">
        <v>7713</v>
      </c>
      <c r="L512" t="s">
        <v>7713</v>
      </c>
      <c r="N512" t="str" cm="1">
        <f t="array" ref="N512">IFERROR(LOOKUP(2,1/SEARCH($S$2:$S$65,G512),$T$2:$T$65),"Misc")</f>
        <v>COTS</v>
      </c>
      <c r="O512" t="str" cm="1">
        <f t="array" ref="O512">IFERROR(LOOKUP(2,1/SEARCH($V$2:$V$65,G512),$W$2:$W$65),"Misc")</f>
        <v>ARDUINO</v>
      </c>
      <c r="P512" t="str" cm="1">
        <f t="array" ref="P512">IFERROR(LOOKUP(2,1/SEARCH($Y$2:$Y$65,G512),$Z$2:$Z$65),"Not Defined")</f>
        <v>ARDUINO</v>
      </c>
      <c r="Q512" t="str" cm="1">
        <f t="array" ref="Q512">IFERROR(LOOKUP(2,1/SEARCH($S$2:$S$65,H512),$T$2:$T$65),"-")</f>
        <v>COTS</v>
      </c>
    </row>
    <row r="513" spans="1:17" hidden="1" x14ac:dyDescent="0.25">
      <c r="A513" t="s">
        <v>7672</v>
      </c>
      <c r="B513" t="s">
        <v>1441</v>
      </c>
      <c r="C513">
        <v>9</v>
      </c>
      <c r="D513" t="s">
        <v>1314</v>
      </c>
      <c r="F513" t="s">
        <v>464</v>
      </c>
      <c r="G513" t="s">
        <v>7091</v>
      </c>
      <c r="H513" t="s">
        <v>465</v>
      </c>
      <c r="I513" t="s">
        <v>224</v>
      </c>
      <c r="J513" t="s">
        <v>7703</v>
      </c>
      <c r="K513" t="s">
        <v>7684</v>
      </c>
      <c r="L513" t="s">
        <v>7685</v>
      </c>
      <c r="N513" t="str" cm="1">
        <f t="array" ref="N513">IFERROR(LOOKUP(2,1/SEARCH($S$2:$S$65,G513),$T$2:$T$65),"Misc")</f>
        <v>COTS</v>
      </c>
      <c r="O513" t="str" cm="1">
        <f t="array" ref="O513">IFERROR(LOOKUP(2,1/SEARCH($V$2:$V$65,G513),$W$2:$W$65),"Misc")</f>
        <v>Fasteners</v>
      </c>
      <c r="P513" t="str" cm="1">
        <f t="array" ref="P513">IFERROR(LOOKUP(2,1/SEARCH($Y$2:$Y$65,G513),$Z$2:$Z$65),"Not Defined")</f>
        <v>NUT</v>
      </c>
      <c r="Q513" t="str" cm="1">
        <f t="array" ref="Q513">IFERROR(LOOKUP(2,1/SEARCH($S$2:$S$65,H513),$T$2:$T$65),"-")</f>
        <v>COTS</v>
      </c>
    </row>
    <row r="514" spans="1:17" hidden="1" x14ac:dyDescent="0.25">
      <c r="A514" t="s">
        <v>7672</v>
      </c>
      <c r="B514" t="s">
        <v>1442</v>
      </c>
      <c r="C514">
        <v>1</v>
      </c>
      <c r="D514" t="s">
        <v>1314</v>
      </c>
      <c r="F514" t="s">
        <v>1443</v>
      </c>
      <c r="G514" t="s">
        <v>1445</v>
      </c>
      <c r="H514" t="s">
        <v>1444</v>
      </c>
      <c r="I514" t="s">
        <v>293</v>
      </c>
      <c r="J514" t="s">
        <v>7682</v>
      </c>
      <c r="K514" t="s">
        <v>7826</v>
      </c>
      <c r="L514" t="s">
        <v>7826</v>
      </c>
      <c r="N514" t="str" cm="1">
        <f t="array" ref="N514">IFERROR(LOOKUP(2,1/SEARCH($S$2:$S$65,G514),$T$2:$T$65),"Misc")</f>
        <v>OH P/N</v>
      </c>
      <c r="O514" t="str" cm="1">
        <f t="array" ref="O514">IFERROR(LOOKUP(2,1/SEARCH($V$2:$V$65,G514),$W$2:$W$65),"Misc")</f>
        <v>OH Part</v>
      </c>
      <c r="P514" t="str" cm="1">
        <f t="array" ref="P514">IFERROR(LOOKUP(2,1/SEARCH($Y$2:$Y$65,G514),$Z$2:$Z$65),"Not Defined")</f>
        <v>OH Part</v>
      </c>
      <c r="Q514" t="str" cm="1">
        <f t="array" ref="Q514">IFERROR(LOOKUP(2,1/SEARCH($S$2:$S$65,H514),$T$2:$T$65),"-")</f>
        <v>ABSIS</v>
      </c>
    </row>
    <row r="515" spans="1:17" hidden="1" x14ac:dyDescent="0.25">
      <c r="A515" t="s">
        <v>7672</v>
      </c>
      <c r="B515" t="s">
        <v>1446</v>
      </c>
      <c r="C515">
        <v>3</v>
      </c>
      <c r="D515" t="s">
        <v>1314</v>
      </c>
      <c r="F515" t="s">
        <v>297</v>
      </c>
      <c r="G515" t="s">
        <v>7065</v>
      </c>
      <c r="H515" t="s">
        <v>298</v>
      </c>
      <c r="I515" t="s">
        <v>299</v>
      </c>
      <c r="J515" t="s">
        <v>7703</v>
      </c>
      <c r="K515" t="s">
        <v>7684</v>
      </c>
      <c r="L515" t="s">
        <v>7708</v>
      </c>
      <c r="N515" t="str" cm="1">
        <f t="array" ref="N515">IFERROR(LOOKUP(2,1/SEARCH($S$2:$S$65,G515),$T$2:$T$65),"Misc")</f>
        <v>COTS</v>
      </c>
      <c r="O515" t="str" cm="1">
        <f t="array" ref="O515">IFERROR(LOOKUP(2,1/SEARCH($V$2:$V$65,G515),$W$2:$W$65),"Misc")</f>
        <v>Fasteners</v>
      </c>
      <c r="P515" t="str" cm="1">
        <f t="array" ref="P515">IFERROR(LOOKUP(2,1/SEARCH($Y$2:$Y$65,G515),$Z$2:$Z$65),"Not Defined")</f>
        <v>STANDOFF</v>
      </c>
      <c r="Q515" t="str" cm="1">
        <f t="array" ref="Q515">IFERROR(LOOKUP(2,1/SEARCH($S$2:$S$65,H515),$T$2:$T$65),"-")</f>
        <v>COTS</v>
      </c>
    </row>
    <row r="516" spans="1:17" hidden="1" x14ac:dyDescent="0.25">
      <c r="A516" t="s">
        <v>7672</v>
      </c>
      <c r="B516" t="s">
        <v>1447</v>
      </c>
      <c r="C516">
        <v>6</v>
      </c>
      <c r="D516" t="s">
        <v>1314</v>
      </c>
      <c r="F516" t="s">
        <v>460</v>
      </c>
      <c r="G516" t="s">
        <v>7090</v>
      </c>
      <c r="H516" t="s">
        <v>461</v>
      </c>
      <c r="I516" t="s">
        <v>224</v>
      </c>
      <c r="J516" t="s">
        <v>7703</v>
      </c>
      <c r="K516" t="s">
        <v>7684</v>
      </c>
      <c r="L516" t="s">
        <v>7693</v>
      </c>
      <c r="N516" t="str" cm="1">
        <f t="array" ref="N516">IFERROR(LOOKUP(2,1/SEARCH($S$2:$S$65,G516),$T$2:$T$65),"Misc")</f>
        <v>COTS</v>
      </c>
      <c r="O516" t="str" cm="1">
        <f t="array" ref="O516">IFERROR(LOOKUP(2,1/SEARCH($V$2:$V$65,G516),$W$2:$W$65),"Misc")</f>
        <v>Fasteners</v>
      </c>
      <c r="P516" t="str" cm="1">
        <f t="array" ref="P516">IFERROR(LOOKUP(2,1/SEARCH($Y$2:$Y$65,G516),$Z$2:$Z$65),"Not Defined")</f>
        <v>PHS</v>
      </c>
      <c r="Q516" t="str" cm="1">
        <f t="array" ref="Q516">IFERROR(LOOKUP(2,1/SEARCH($S$2:$S$65,H516),$T$2:$T$65),"-")</f>
        <v>COTS</v>
      </c>
    </row>
    <row r="517" spans="1:17" hidden="1" x14ac:dyDescent="0.25">
      <c r="A517" t="s">
        <v>7672</v>
      </c>
      <c r="B517" s="17" t="s">
        <v>1448</v>
      </c>
      <c r="C517">
        <v>1</v>
      </c>
      <c r="D517" t="s">
        <v>1314</v>
      </c>
      <c r="E517" t="s">
        <v>7955</v>
      </c>
      <c r="F517" t="s">
        <v>1449</v>
      </c>
      <c r="G517" t="s">
        <v>7210</v>
      </c>
      <c r="H517" t="s">
        <v>1450</v>
      </c>
      <c r="J517" t="s">
        <v>7744</v>
      </c>
      <c r="K517" t="s">
        <v>7826</v>
      </c>
      <c r="L517" t="s">
        <v>7826</v>
      </c>
      <c r="N517" t="str" cm="1">
        <f t="array" ref="N517">IFERROR(LOOKUP(2,1/SEARCH($S$2:$S$65,G517),$T$2:$T$65),"Misc")</f>
        <v>OH Common</v>
      </c>
      <c r="O517" t="str" cm="1">
        <f t="array" ref="O517">IFERROR(LOOKUP(2,1/SEARCH($V$2:$V$65,G517),$W$2:$W$65),"Misc")</f>
        <v>OH Part</v>
      </c>
      <c r="P517" t="str" cm="1">
        <f t="array" ref="P517">IFERROR(LOOKUP(2,1/SEARCH($Y$2:$Y$65,G517),$Z$2:$Z$65),"Not Defined")</f>
        <v>OH Part</v>
      </c>
      <c r="Q517" t="str" cm="1">
        <f t="array" ref="Q517">IFERROR(LOOKUP(2,1/SEARCH($S$2:$S$65,H517),$T$2:$T$65),"-")</f>
        <v>OH ASSY</v>
      </c>
    </row>
    <row r="518" spans="1:17" hidden="1" x14ac:dyDescent="0.25">
      <c r="A518" t="s">
        <v>7672</v>
      </c>
      <c r="B518" s="17" t="s">
        <v>1451</v>
      </c>
      <c r="C518">
        <v>1</v>
      </c>
      <c r="D518" t="s">
        <v>1314</v>
      </c>
      <c r="E518" t="s">
        <v>7955</v>
      </c>
      <c r="F518" t="s">
        <v>1452</v>
      </c>
      <c r="G518" t="s">
        <v>1454</v>
      </c>
      <c r="H518" t="s">
        <v>1453</v>
      </c>
      <c r="I518" t="s">
        <v>358</v>
      </c>
      <c r="J518" t="s">
        <v>7744</v>
      </c>
      <c r="K518" t="s">
        <v>7826</v>
      </c>
      <c r="L518" t="s">
        <v>7826</v>
      </c>
      <c r="N518" t="str" cm="1">
        <f t="array" ref="N518">IFERROR(LOOKUP(2,1/SEARCH($S$2:$S$65,G518),$T$2:$T$65),"Misc")</f>
        <v>OH Common</v>
      </c>
      <c r="O518" t="str" cm="1">
        <f t="array" ref="O518">IFERROR(LOOKUP(2,1/SEARCH($V$2:$V$65,G518),$W$2:$W$65),"Misc")</f>
        <v>OH Part</v>
      </c>
      <c r="P518" t="str" cm="1">
        <f t="array" ref="P518">IFERROR(LOOKUP(2,1/SEARCH($Y$2:$Y$65,G518),$Z$2:$Z$65),"Not Defined")</f>
        <v>OH Part</v>
      </c>
      <c r="Q518" t="str" cm="1">
        <f t="array" ref="Q518">IFERROR(LOOKUP(2,1/SEARCH($S$2:$S$65,H518),$T$2:$T$65),"-")</f>
        <v>-</v>
      </c>
    </row>
    <row r="519" spans="1:17" hidden="1" x14ac:dyDescent="0.25">
      <c r="A519" t="s">
        <v>7672</v>
      </c>
      <c r="B519" s="17" t="s">
        <v>1455</v>
      </c>
      <c r="C519">
        <v>2</v>
      </c>
      <c r="D519" t="s">
        <v>1314</v>
      </c>
      <c r="E519" t="s">
        <v>7955</v>
      </c>
      <c r="F519" t="s">
        <v>360</v>
      </c>
      <c r="G519" t="s">
        <v>7076</v>
      </c>
      <c r="H519" t="s">
        <v>361</v>
      </c>
      <c r="I519" t="s">
        <v>228</v>
      </c>
      <c r="J519" t="s">
        <v>7703</v>
      </c>
      <c r="K519" t="s">
        <v>7684</v>
      </c>
      <c r="L519" t="s">
        <v>7721</v>
      </c>
      <c r="N519" t="str" cm="1">
        <f t="array" ref="N519">IFERROR(LOOKUP(2,1/SEARCH($S$2:$S$65,G519),$T$2:$T$65),"Misc")</f>
        <v>COTS</v>
      </c>
      <c r="O519" t="str" cm="1">
        <f t="array" ref="O519">IFERROR(LOOKUP(2,1/SEARCH($V$2:$V$65,G519),$W$2:$W$65),"Misc")</f>
        <v>Fasteners</v>
      </c>
      <c r="P519" t="str" cm="1">
        <f t="array" ref="P519">IFERROR(LOOKUP(2,1/SEARCH($Y$2:$Y$65,G519),$Z$2:$Z$65),"Not Defined")</f>
        <v>SET SCREW</v>
      </c>
      <c r="Q519" t="str" cm="1">
        <f t="array" ref="Q519">IFERROR(LOOKUP(2,1/SEARCH($S$2:$S$65,H519),$T$2:$T$65),"-")</f>
        <v>COTS</v>
      </c>
    </row>
    <row r="520" spans="1:17" hidden="1" x14ac:dyDescent="0.25">
      <c r="A520" t="s">
        <v>7672</v>
      </c>
      <c r="B520" s="24" t="s">
        <v>1456</v>
      </c>
      <c r="C520">
        <v>2</v>
      </c>
      <c r="D520" t="s">
        <v>1314</v>
      </c>
      <c r="E520" t="s">
        <v>7956</v>
      </c>
      <c r="F520" t="s">
        <v>1457</v>
      </c>
      <c r="G520" t="s">
        <v>7211</v>
      </c>
      <c r="H520" t="s">
        <v>1450</v>
      </c>
      <c r="J520" t="s">
        <v>7744</v>
      </c>
      <c r="K520" t="s">
        <v>7826</v>
      </c>
      <c r="L520" t="s">
        <v>7826</v>
      </c>
      <c r="N520" t="str" cm="1">
        <f t="array" ref="N520">IFERROR(LOOKUP(2,1/SEARCH($S$2:$S$65,G520),$T$2:$T$65),"Misc")</f>
        <v>OH Common</v>
      </c>
      <c r="O520" t="str" cm="1">
        <f t="array" ref="O520">IFERROR(LOOKUP(2,1/SEARCH($V$2:$V$65,G520),$W$2:$W$65),"Misc")</f>
        <v>OH Part</v>
      </c>
      <c r="P520" t="str" cm="1">
        <f t="array" ref="P520">IFERROR(LOOKUP(2,1/SEARCH($Y$2:$Y$65,G520),$Z$2:$Z$65),"Not Defined")</f>
        <v>OH Part</v>
      </c>
      <c r="Q520" t="str" cm="1">
        <f t="array" ref="Q520">IFERROR(LOOKUP(2,1/SEARCH($S$2:$S$65,H520),$T$2:$T$65),"-")</f>
        <v>OH ASSY</v>
      </c>
    </row>
    <row r="521" spans="1:17" hidden="1" x14ac:dyDescent="0.25">
      <c r="A521" t="s">
        <v>7672</v>
      </c>
      <c r="B521" s="24" t="s">
        <v>1458</v>
      </c>
      <c r="C521">
        <v>1</v>
      </c>
      <c r="D521" t="s">
        <v>1314</v>
      </c>
      <c r="E521" t="s">
        <v>7956</v>
      </c>
      <c r="F521" t="s">
        <v>1459</v>
      </c>
      <c r="G521" t="s">
        <v>1460</v>
      </c>
      <c r="H521" t="s">
        <v>1453</v>
      </c>
      <c r="I521" t="s">
        <v>358</v>
      </c>
      <c r="J521" t="s">
        <v>7744</v>
      </c>
      <c r="K521" t="s">
        <v>7826</v>
      </c>
      <c r="L521" t="s">
        <v>7826</v>
      </c>
      <c r="N521" t="str" cm="1">
        <f t="array" ref="N521">IFERROR(LOOKUP(2,1/SEARCH($S$2:$S$65,G521),$T$2:$T$65),"Misc")</f>
        <v>OH Common</v>
      </c>
      <c r="O521" t="str" cm="1">
        <f t="array" ref="O521">IFERROR(LOOKUP(2,1/SEARCH($V$2:$V$65,G521),$W$2:$W$65),"Misc")</f>
        <v>OH Part</v>
      </c>
      <c r="P521" t="str" cm="1">
        <f t="array" ref="P521">IFERROR(LOOKUP(2,1/SEARCH($Y$2:$Y$65,G521),$Z$2:$Z$65),"Not Defined")</f>
        <v>OH Part</v>
      </c>
      <c r="Q521" t="str" cm="1">
        <f t="array" ref="Q521">IFERROR(LOOKUP(2,1/SEARCH($S$2:$S$65,H521),$T$2:$T$65),"-")</f>
        <v>-</v>
      </c>
    </row>
    <row r="522" spans="1:17" hidden="1" x14ac:dyDescent="0.25">
      <c r="A522" t="s">
        <v>7672</v>
      </c>
      <c r="B522" s="24" t="s">
        <v>1461</v>
      </c>
      <c r="C522">
        <v>2</v>
      </c>
      <c r="D522" t="s">
        <v>1314</v>
      </c>
      <c r="E522" t="s">
        <v>7956</v>
      </c>
      <c r="F522" t="s">
        <v>360</v>
      </c>
      <c r="G522" t="s">
        <v>7076</v>
      </c>
      <c r="H522" t="s">
        <v>361</v>
      </c>
      <c r="I522" t="s">
        <v>228</v>
      </c>
      <c r="J522" t="s">
        <v>7703</v>
      </c>
      <c r="K522" t="s">
        <v>7684</v>
      </c>
      <c r="L522" t="s">
        <v>7721</v>
      </c>
      <c r="N522" t="str" cm="1">
        <f t="array" ref="N522">IFERROR(LOOKUP(2,1/SEARCH($S$2:$S$65,G522),$T$2:$T$65),"Misc")</f>
        <v>COTS</v>
      </c>
      <c r="O522" t="str" cm="1">
        <f t="array" ref="O522">IFERROR(LOOKUP(2,1/SEARCH($V$2:$V$65,G522),$W$2:$W$65),"Misc")</f>
        <v>Fasteners</v>
      </c>
      <c r="P522" t="str" cm="1">
        <f t="array" ref="P522">IFERROR(LOOKUP(2,1/SEARCH($Y$2:$Y$65,G522),$Z$2:$Z$65),"Not Defined")</f>
        <v>SET SCREW</v>
      </c>
      <c r="Q522" t="str" cm="1">
        <f t="array" ref="Q522">IFERROR(LOOKUP(2,1/SEARCH($S$2:$S$65,H522),$T$2:$T$65),"-")</f>
        <v>COTS</v>
      </c>
    </row>
    <row r="523" spans="1:17" hidden="1" x14ac:dyDescent="0.25">
      <c r="A523" t="s">
        <v>7672</v>
      </c>
      <c r="B523" t="s">
        <v>1462</v>
      </c>
      <c r="C523">
        <v>1</v>
      </c>
      <c r="D523" t="s">
        <v>1314</v>
      </c>
      <c r="F523" t="s">
        <v>255</v>
      </c>
      <c r="G523" t="s">
        <v>7212</v>
      </c>
      <c r="H523" t="s">
        <v>1463</v>
      </c>
      <c r="I523" t="s">
        <v>224</v>
      </c>
      <c r="J523" t="s">
        <v>7703</v>
      </c>
      <c r="K523" t="s">
        <v>7684</v>
      </c>
      <c r="L523" t="s">
        <v>7685</v>
      </c>
      <c r="N523" t="str" cm="1">
        <f t="array" ref="N523">IFERROR(LOOKUP(2,1/SEARCH($S$2:$S$65,G523),$T$2:$T$65),"Misc")</f>
        <v>COTS</v>
      </c>
      <c r="O523" t="str" cm="1">
        <f t="array" ref="O523">IFERROR(LOOKUP(2,1/SEARCH($V$2:$V$65,G523),$W$2:$W$65),"Misc")</f>
        <v>Fasteners</v>
      </c>
      <c r="P523" t="str" cm="1">
        <f t="array" ref="P523">IFERROR(LOOKUP(2,1/SEARCH($Y$2:$Y$65,G523),$Z$2:$Z$65),"Not Defined")</f>
        <v>NUT</v>
      </c>
      <c r="Q523" t="str" cm="1">
        <f t="array" ref="Q523">IFERROR(LOOKUP(2,1/SEARCH($S$2:$S$65,H523),$T$2:$T$65),"-")</f>
        <v>COTS</v>
      </c>
    </row>
    <row r="524" spans="1:17" hidden="1" x14ac:dyDescent="0.25">
      <c r="A524" t="s">
        <v>7672</v>
      </c>
      <c r="B524" t="s">
        <v>1464</v>
      </c>
      <c r="C524">
        <v>1</v>
      </c>
      <c r="D524" t="s">
        <v>1314</v>
      </c>
      <c r="E524" t="s">
        <v>1466</v>
      </c>
      <c r="F524" t="s">
        <v>1465</v>
      </c>
      <c r="G524" t="s">
        <v>7213</v>
      </c>
      <c r="H524" t="s">
        <v>1466</v>
      </c>
      <c r="J524" t="s">
        <v>7742</v>
      </c>
      <c r="K524" t="s">
        <v>7826</v>
      </c>
      <c r="L524" t="s">
        <v>7826</v>
      </c>
      <c r="N524" t="str" cm="1">
        <f t="array" ref="N524">IFERROR(LOOKUP(2,1/SEARCH($S$2:$S$65,G524),$T$2:$T$65),"Misc")</f>
        <v>OH ASSY</v>
      </c>
      <c r="O524" t="str" cm="1">
        <f t="array" ref="O524">IFERROR(LOOKUP(2,1/SEARCH($V$2:$V$65,G524),$W$2:$W$65),"Misc")</f>
        <v>OH Part</v>
      </c>
      <c r="P524" t="str" cm="1">
        <f t="array" ref="P524">IFERROR(LOOKUP(2,1/SEARCH($Y$2:$Y$65,G524),$Z$2:$Z$65),"Not Defined")</f>
        <v>OH Part</v>
      </c>
      <c r="Q524" t="str" cm="1">
        <f t="array" ref="Q524">IFERROR(LOOKUP(2,1/SEARCH($S$2:$S$65,H524),$T$2:$T$65),"-")</f>
        <v>OH ASSY</v>
      </c>
    </row>
    <row r="525" spans="1:17" hidden="1" x14ac:dyDescent="0.25">
      <c r="A525" t="s">
        <v>7672</v>
      </c>
      <c r="B525" t="s">
        <v>1467</v>
      </c>
      <c r="C525">
        <v>1</v>
      </c>
      <c r="D525" t="s">
        <v>1314</v>
      </c>
      <c r="E525" t="s">
        <v>1466</v>
      </c>
      <c r="F525" t="s">
        <v>1468</v>
      </c>
      <c r="G525" t="s">
        <v>1470</v>
      </c>
      <c r="H525" t="s">
        <v>1469</v>
      </c>
      <c r="I525" t="s">
        <v>293</v>
      </c>
      <c r="J525" t="s">
        <v>7682</v>
      </c>
      <c r="K525" t="s">
        <v>7826</v>
      </c>
      <c r="L525" t="s">
        <v>7826</v>
      </c>
      <c r="N525" t="str" cm="1">
        <f t="array" ref="N525">IFERROR(LOOKUP(2,1/SEARCH($S$2:$S$65,G525),$T$2:$T$65),"Misc")</f>
        <v>OH P/N</v>
      </c>
      <c r="O525" t="str" cm="1">
        <f t="array" ref="O525">IFERROR(LOOKUP(2,1/SEARCH($V$2:$V$65,G525),$W$2:$W$65),"Misc")</f>
        <v>OH Part</v>
      </c>
      <c r="P525" t="str" cm="1">
        <f t="array" ref="P525">IFERROR(LOOKUP(2,1/SEARCH($Y$2:$Y$65,G525),$Z$2:$Z$65),"Not Defined")</f>
        <v>OH Part</v>
      </c>
      <c r="Q525" t="str" cm="1">
        <f t="array" ref="Q525">IFERROR(LOOKUP(2,1/SEARCH($S$2:$S$65,H525),$T$2:$T$65),"-")</f>
        <v>-</v>
      </c>
    </row>
    <row r="526" spans="1:17" hidden="1" x14ac:dyDescent="0.25">
      <c r="A526" t="s">
        <v>7672</v>
      </c>
      <c r="B526" t="s">
        <v>1471</v>
      </c>
      <c r="C526">
        <v>1</v>
      </c>
      <c r="D526" t="s">
        <v>1314</v>
      </c>
      <c r="E526" t="s">
        <v>1466</v>
      </c>
      <c r="F526" t="s">
        <v>1472</v>
      </c>
      <c r="G526" t="s">
        <v>1474</v>
      </c>
      <c r="H526" t="s">
        <v>1473</v>
      </c>
      <c r="I526" t="s">
        <v>293</v>
      </c>
      <c r="J526" t="s">
        <v>7682</v>
      </c>
      <c r="K526" t="s">
        <v>7826</v>
      </c>
      <c r="L526" t="s">
        <v>7826</v>
      </c>
      <c r="N526" t="str" cm="1">
        <f t="array" ref="N526">IFERROR(LOOKUP(2,1/SEARCH($S$2:$S$65,G526),$T$2:$T$65),"Misc")</f>
        <v>OH P/N</v>
      </c>
      <c r="O526" t="str" cm="1">
        <f t="array" ref="O526">IFERROR(LOOKUP(2,1/SEARCH($V$2:$V$65,G526),$W$2:$W$65),"Misc")</f>
        <v>OH Part</v>
      </c>
      <c r="P526" t="str" cm="1">
        <f t="array" ref="P526">IFERROR(LOOKUP(2,1/SEARCH($Y$2:$Y$65,G526),$Z$2:$Z$65),"Not Defined")</f>
        <v>OH Part</v>
      </c>
      <c r="Q526" t="str" cm="1">
        <f t="array" ref="Q526">IFERROR(LOOKUP(2,1/SEARCH($S$2:$S$65,H526),$T$2:$T$65),"-")</f>
        <v>-</v>
      </c>
    </row>
    <row r="527" spans="1:17" hidden="1" x14ac:dyDescent="0.25">
      <c r="A527" t="s">
        <v>7672</v>
      </c>
      <c r="B527" t="s">
        <v>1475</v>
      </c>
      <c r="C527">
        <v>1</v>
      </c>
      <c r="D527" t="s">
        <v>1314</v>
      </c>
      <c r="E527" t="s">
        <v>1466</v>
      </c>
      <c r="F527" t="s">
        <v>1476</v>
      </c>
      <c r="G527" t="s">
        <v>1478</v>
      </c>
      <c r="H527" t="s">
        <v>1477</v>
      </c>
      <c r="I527" t="s">
        <v>281</v>
      </c>
      <c r="J527" t="s">
        <v>7682</v>
      </c>
      <c r="K527" t="s">
        <v>7826</v>
      </c>
      <c r="L527" t="s">
        <v>7826</v>
      </c>
      <c r="N527" t="str" cm="1">
        <f t="array" ref="N527">IFERROR(LOOKUP(2,1/SEARCH($S$2:$S$65,G527),$T$2:$T$65),"Misc")</f>
        <v>OH P/N</v>
      </c>
      <c r="O527" t="str" cm="1">
        <f t="array" ref="O527">IFERROR(LOOKUP(2,1/SEARCH($V$2:$V$65,G527),$W$2:$W$65),"Misc")</f>
        <v>OH Part</v>
      </c>
      <c r="P527" t="str" cm="1">
        <f t="array" ref="P527">IFERROR(LOOKUP(2,1/SEARCH($Y$2:$Y$65,G527),$Z$2:$Z$65),"Not Defined")</f>
        <v>OH Part</v>
      </c>
      <c r="Q527" t="str" cm="1">
        <f t="array" ref="Q527">IFERROR(LOOKUP(2,1/SEARCH($S$2:$S$65,H527),$T$2:$T$65),"-")</f>
        <v>-</v>
      </c>
    </row>
    <row r="528" spans="1:17" hidden="1" x14ac:dyDescent="0.25">
      <c r="A528" t="s">
        <v>7672</v>
      </c>
      <c r="B528" t="s">
        <v>1479</v>
      </c>
      <c r="C528">
        <v>1</v>
      </c>
      <c r="D528" t="s">
        <v>1314</v>
      </c>
      <c r="E528" t="s">
        <v>7872</v>
      </c>
      <c r="F528" t="s">
        <v>1480</v>
      </c>
      <c r="G528" t="s">
        <v>1482</v>
      </c>
      <c r="H528" t="s">
        <v>1481</v>
      </c>
      <c r="J528" t="s">
        <v>7682</v>
      </c>
      <c r="K528" t="s">
        <v>7826</v>
      </c>
      <c r="L528" t="s">
        <v>7826</v>
      </c>
      <c r="N528" t="str" cm="1">
        <f t="array" ref="N528">IFERROR(LOOKUP(2,1/SEARCH($S$2:$S$65,G528),$T$2:$T$65),"Misc")</f>
        <v>OH P/N</v>
      </c>
      <c r="O528" t="str" cm="1">
        <f t="array" ref="O528">IFERROR(LOOKUP(2,1/SEARCH($V$2:$V$65,G528),$W$2:$W$65),"Misc")</f>
        <v>OH Part</v>
      </c>
      <c r="P528" t="str" cm="1">
        <f t="array" ref="P528">IFERROR(LOOKUP(2,1/SEARCH($Y$2:$Y$65,G528),$Z$2:$Z$65),"Not Defined")</f>
        <v>OH Part</v>
      </c>
      <c r="Q528" t="str" cm="1">
        <f t="array" ref="Q528">IFERROR(LOOKUP(2,1/SEARCH($S$2:$S$65,H528),$T$2:$T$65),"-")</f>
        <v>-</v>
      </c>
    </row>
    <row r="529" spans="1:17" hidden="1" x14ac:dyDescent="0.25">
      <c r="A529" t="s">
        <v>7672</v>
      </c>
      <c r="B529" t="s">
        <v>1483</v>
      </c>
      <c r="C529">
        <v>1</v>
      </c>
      <c r="D529" t="s">
        <v>1314</v>
      </c>
      <c r="E529" t="s">
        <v>7872</v>
      </c>
      <c r="F529" t="s">
        <v>749</v>
      </c>
      <c r="G529" t="s">
        <v>751</v>
      </c>
      <c r="H529" t="s">
        <v>750</v>
      </c>
      <c r="I529" t="s">
        <v>358</v>
      </c>
      <c r="J529" t="s">
        <v>7682</v>
      </c>
      <c r="K529" t="s">
        <v>7826</v>
      </c>
      <c r="L529" t="s">
        <v>7826</v>
      </c>
      <c r="N529" t="str" cm="1">
        <f t="array" ref="N529">IFERROR(LOOKUP(2,1/SEARCH($S$2:$S$65,G529),$T$2:$T$65),"Misc")</f>
        <v>OH P/N</v>
      </c>
      <c r="O529" t="str" cm="1">
        <f t="array" ref="O529">IFERROR(LOOKUP(2,1/SEARCH($V$2:$V$65,G529),$W$2:$W$65),"Misc")</f>
        <v>OH Part</v>
      </c>
      <c r="P529" t="str" cm="1">
        <f t="array" ref="P529">IFERROR(LOOKUP(2,1/SEARCH($Y$2:$Y$65,G529),$Z$2:$Z$65),"Not Defined")</f>
        <v>OH Part</v>
      </c>
      <c r="Q529" t="str" cm="1">
        <f t="array" ref="Q529">IFERROR(LOOKUP(2,1/SEARCH($S$2:$S$65,H529),$T$2:$T$65),"-")</f>
        <v>-</v>
      </c>
    </row>
    <row r="530" spans="1:17" hidden="1" x14ac:dyDescent="0.25">
      <c r="A530" t="s">
        <v>7672</v>
      </c>
      <c r="B530" t="s">
        <v>1484</v>
      </c>
      <c r="C530">
        <v>1</v>
      </c>
      <c r="D530" t="s">
        <v>1314</v>
      </c>
      <c r="E530" t="s">
        <v>7872</v>
      </c>
      <c r="F530" t="s">
        <v>1485</v>
      </c>
      <c r="G530" t="s">
        <v>1487</v>
      </c>
      <c r="H530" t="s">
        <v>1486</v>
      </c>
      <c r="I530" t="s">
        <v>293</v>
      </c>
      <c r="J530" t="s">
        <v>7682</v>
      </c>
      <c r="K530" t="s">
        <v>7826</v>
      </c>
      <c r="L530" t="s">
        <v>7826</v>
      </c>
      <c r="N530" t="str" cm="1">
        <f t="array" ref="N530">IFERROR(LOOKUP(2,1/SEARCH($S$2:$S$65,G530),$T$2:$T$65),"Misc")</f>
        <v>OH P/N</v>
      </c>
      <c r="O530" t="str" cm="1">
        <f t="array" ref="O530">IFERROR(LOOKUP(2,1/SEARCH($V$2:$V$65,G530),$W$2:$W$65),"Misc")</f>
        <v>OH Part</v>
      </c>
      <c r="P530" t="str" cm="1">
        <f t="array" ref="P530">IFERROR(LOOKUP(2,1/SEARCH($Y$2:$Y$65,G530),$Z$2:$Z$65),"Not Defined")</f>
        <v>OH Part</v>
      </c>
      <c r="Q530" t="str" cm="1">
        <f t="array" ref="Q530">IFERROR(LOOKUP(2,1/SEARCH($S$2:$S$65,H530),$T$2:$T$65),"-")</f>
        <v>-</v>
      </c>
    </row>
    <row r="531" spans="1:17" hidden="1" x14ac:dyDescent="0.25">
      <c r="A531" t="s">
        <v>7672</v>
      </c>
      <c r="B531" t="s">
        <v>1488</v>
      </c>
      <c r="C531">
        <v>1</v>
      </c>
      <c r="D531" t="s">
        <v>1314</v>
      </c>
      <c r="E531" t="s">
        <v>7872</v>
      </c>
      <c r="F531" t="s">
        <v>761</v>
      </c>
      <c r="G531" t="s">
        <v>763</v>
      </c>
      <c r="H531" t="s">
        <v>762</v>
      </c>
      <c r="I531" t="s">
        <v>358</v>
      </c>
      <c r="J531" t="s">
        <v>7682</v>
      </c>
      <c r="K531" t="s">
        <v>7826</v>
      </c>
      <c r="L531" t="s">
        <v>7826</v>
      </c>
      <c r="N531" t="str" cm="1">
        <f t="array" ref="N531">IFERROR(LOOKUP(2,1/SEARCH($S$2:$S$65,G531),$T$2:$T$65),"Misc")</f>
        <v>OH P/N</v>
      </c>
      <c r="O531" t="str" cm="1">
        <f t="array" ref="O531">IFERROR(LOOKUP(2,1/SEARCH($V$2:$V$65,G531),$W$2:$W$65),"Misc")</f>
        <v>OH Part</v>
      </c>
      <c r="P531" t="str" cm="1">
        <f t="array" ref="P531">IFERROR(LOOKUP(2,1/SEARCH($Y$2:$Y$65,G531),$Z$2:$Z$65),"Not Defined")</f>
        <v>OH Part</v>
      </c>
      <c r="Q531" t="str" cm="1">
        <f t="array" ref="Q531">IFERROR(LOOKUP(2,1/SEARCH($S$2:$S$65,H531),$T$2:$T$65),"-")</f>
        <v>-</v>
      </c>
    </row>
    <row r="532" spans="1:17" hidden="1" x14ac:dyDescent="0.25">
      <c r="A532" t="s">
        <v>7672</v>
      </c>
      <c r="B532" t="s">
        <v>1489</v>
      </c>
      <c r="C532">
        <v>2</v>
      </c>
      <c r="D532" t="s">
        <v>1314</v>
      </c>
      <c r="E532" t="s">
        <v>7872</v>
      </c>
      <c r="F532" t="s">
        <v>765</v>
      </c>
      <c r="G532" t="s">
        <v>767</v>
      </c>
      <c r="H532" t="s">
        <v>766</v>
      </c>
      <c r="I532" t="s">
        <v>26</v>
      </c>
      <c r="J532" t="s">
        <v>7682</v>
      </c>
      <c r="K532" t="s">
        <v>7826</v>
      </c>
      <c r="L532" t="s">
        <v>7826</v>
      </c>
      <c r="N532" t="str" cm="1">
        <f t="array" ref="N532">IFERROR(LOOKUP(2,1/SEARCH($S$2:$S$65,G532),$T$2:$T$65),"Misc")</f>
        <v>OH P/N</v>
      </c>
      <c r="O532" t="str" cm="1">
        <f t="array" ref="O532">IFERROR(LOOKUP(2,1/SEARCH($V$2:$V$65,G532),$W$2:$W$65),"Misc")</f>
        <v>OH Part</v>
      </c>
      <c r="P532" t="str" cm="1">
        <f t="array" ref="P532">IFERROR(LOOKUP(2,1/SEARCH($Y$2:$Y$65,G532),$Z$2:$Z$65),"Not Defined")</f>
        <v>OH Part</v>
      </c>
      <c r="Q532" t="str" cm="1">
        <f t="array" ref="Q532">IFERROR(LOOKUP(2,1/SEARCH($S$2:$S$65,H532),$T$2:$T$65),"-")</f>
        <v>-</v>
      </c>
    </row>
    <row r="533" spans="1:17" hidden="1" x14ac:dyDescent="0.25">
      <c r="A533" t="s">
        <v>7672</v>
      </c>
      <c r="B533" t="s">
        <v>1490</v>
      </c>
      <c r="C533">
        <v>1</v>
      </c>
      <c r="D533" t="s">
        <v>1314</v>
      </c>
      <c r="E533" t="s">
        <v>7872</v>
      </c>
      <c r="F533" t="s">
        <v>1491</v>
      </c>
      <c r="G533" t="s">
        <v>1493</v>
      </c>
      <c r="H533" t="s">
        <v>1492</v>
      </c>
      <c r="I533" t="s">
        <v>358</v>
      </c>
      <c r="J533" t="s">
        <v>7682</v>
      </c>
      <c r="K533" t="s">
        <v>7826</v>
      </c>
      <c r="L533" t="s">
        <v>7826</v>
      </c>
      <c r="N533" t="str" cm="1">
        <f t="array" ref="N533">IFERROR(LOOKUP(2,1/SEARCH($S$2:$S$65,G533),$T$2:$T$65),"Misc")</f>
        <v>OH P/N</v>
      </c>
      <c r="O533" t="str" cm="1">
        <f t="array" ref="O533">IFERROR(LOOKUP(2,1/SEARCH($V$2:$V$65,G533),$W$2:$W$65),"Misc")</f>
        <v>OH Part</v>
      </c>
      <c r="P533" t="str" cm="1">
        <f t="array" ref="P533">IFERROR(LOOKUP(2,1/SEARCH($Y$2:$Y$65,G533),$Z$2:$Z$65),"Not Defined")</f>
        <v>OH Part</v>
      </c>
      <c r="Q533" t="str" cm="1">
        <f t="array" ref="Q533">IFERROR(LOOKUP(2,1/SEARCH($S$2:$S$65,H533),$T$2:$T$65),"-")</f>
        <v>-</v>
      </c>
    </row>
    <row r="534" spans="1:17" hidden="1" x14ac:dyDescent="0.25">
      <c r="A534" t="s">
        <v>7672</v>
      </c>
      <c r="B534" t="s">
        <v>1494</v>
      </c>
      <c r="C534">
        <v>2</v>
      </c>
      <c r="D534" t="s">
        <v>1314</v>
      </c>
      <c r="E534" t="s">
        <v>7872</v>
      </c>
      <c r="F534" t="s">
        <v>1495</v>
      </c>
      <c r="G534" t="s">
        <v>1497</v>
      </c>
      <c r="H534" t="s">
        <v>1496</v>
      </c>
      <c r="I534" t="s">
        <v>293</v>
      </c>
      <c r="J534" t="s">
        <v>7682</v>
      </c>
      <c r="K534" t="s">
        <v>7826</v>
      </c>
      <c r="L534" t="s">
        <v>7826</v>
      </c>
      <c r="N534" t="str" cm="1">
        <f t="array" ref="N534">IFERROR(LOOKUP(2,1/SEARCH($S$2:$S$65,G534),$T$2:$T$65),"Misc")</f>
        <v>OH P/N</v>
      </c>
      <c r="O534" t="str" cm="1">
        <f t="array" ref="O534">IFERROR(LOOKUP(2,1/SEARCH($V$2:$V$65,G534),$W$2:$W$65),"Misc")</f>
        <v>OH Part</v>
      </c>
      <c r="P534" t="str" cm="1">
        <f t="array" ref="P534">IFERROR(LOOKUP(2,1/SEARCH($Y$2:$Y$65,G534),$Z$2:$Z$65),"Not Defined")</f>
        <v>OH Part</v>
      </c>
      <c r="Q534" t="str" cm="1">
        <f t="array" ref="Q534">IFERROR(LOOKUP(2,1/SEARCH($S$2:$S$65,H534),$T$2:$T$65),"-")</f>
        <v>COTS</v>
      </c>
    </row>
    <row r="535" spans="1:17" hidden="1" x14ac:dyDescent="0.25">
      <c r="A535" t="s">
        <v>7672</v>
      </c>
      <c r="B535" t="s">
        <v>1498</v>
      </c>
      <c r="C535">
        <v>1</v>
      </c>
      <c r="D535" t="s">
        <v>1314</v>
      </c>
      <c r="E535" t="s">
        <v>7872</v>
      </c>
      <c r="F535" t="s">
        <v>1499</v>
      </c>
      <c r="G535" t="s">
        <v>1501</v>
      </c>
      <c r="H535" t="s">
        <v>1500</v>
      </c>
      <c r="I535" t="s">
        <v>293</v>
      </c>
      <c r="J535" t="s">
        <v>7682</v>
      </c>
      <c r="K535" t="s">
        <v>7826</v>
      </c>
      <c r="L535" t="s">
        <v>7826</v>
      </c>
      <c r="N535" t="str" cm="1">
        <f t="array" ref="N535">IFERROR(LOOKUP(2,1/SEARCH($S$2:$S$65,G535),$T$2:$T$65),"Misc")</f>
        <v>OH P/N</v>
      </c>
      <c r="O535" t="str" cm="1">
        <f t="array" ref="O535">IFERROR(LOOKUP(2,1/SEARCH($V$2:$V$65,G535),$W$2:$W$65),"Misc")</f>
        <v>OH Part</v>
      </c>
      <c r="P535" t="str" cm="1">
        <f t="array" ref="P535">IFERROR(LOOKUP(2,1/SEARCH($Y$2:$Y$65,G535),$Z$2:$Z$65),"Not Defined")</f>
        <v>OH Part</v>
      </c>
      <c r="Q535" t="str" cm="1">
        <f t="array" ref="Q535">IFERROR(LOOKUP(2,1/SEARCH($S$2:$S$65,H535),$T$2:$T$65),"-")</f>
        <v>-</v>
      </c>
    </row>
    <row r="536" spans="1:17" hidden="1" x14ac:dyDescent="0.25">
      <c r="A536" t="s">
        <v>7672</v>
      </c>
      <c r="B536" t="s">
        <v>1502</v>
      </c>
      <c r="C536">
        <v>1</v>
      </c>
      <c r="D536" t="s">
        <v>1314</v>
      </c>
      <c r="E536" t="s">
        <v>1466</v>
      </c>
      <c r="F536" t="s">
        <v>1503</v>
      </c>
      <c r="G536" t="s">
        <v>1505</v>
      </c>
      <c r="H536" t="s">
        <v>1504</v>
      </c>
      <c r="I536" t="s">
        <v>255</v>
      </c>
      <c r="J536" t="s">
        <v>7682</v>
      </c>
      <c r="K536" t="s">
        <v>7826</v>
      </c>
      <c r="L536" t="s">
        <v>7826</v>
      </c>
      <c r="N536" t="str" cm="1">
        <f t="array" ref="N536">IFERROR(LOOKUP(2,1/SEARCH($S$2:$S$65,G536),$T$2:$T$65),"Misc")</f>
        <v>OH P/N</v>
      </c>
      <c r="O536" t="str" cm="1">
        <f t="array" ref="O536">IFERROR(LOOKUP(2,1/SEARCH($V$2:$V$65,G536),$W$2:$W$65),"Misc")</f>
        <v>OH Part</v>
      </c>
      <c r="P536" t="str" cm="1">
        <f t="array" ref="P536">IFERROR(LOOKUP(2,1/SEARCH($Y$2:$Y$65,G536),$Z$2:$Z$65),"Not Defined")</f>
        <v>OH Part</v>
      </c>
      <c r="Q536" t="str" cm="1">
        <f t="array" ref="Q536">IFERROR(LOOKUP(2,1/SEARCH($S$2:$S$65,H536),$T$2:$T$65),"-")</f>
        <v>-</v>
      </c>
    </row>
    <row r="537" spans="1:17" hidden="1" x14ac:dyDescent="0.25">
      <c r="A537" t="s">
        <v>7672</v>
      </c>
      <c r="B537" t="s">
        <v>1506</v>
      </c>
      <c r="C537">
        <v>1</v>
      </c>
      <c r="D537" t="s">
        <v>1314</v>
      </c>
      <c r="E537" t="s">
        <v>1466</v>
      </c>
      <c r="F537" t="s">
        <v>1485</v>
      </c>
      <c r="G537" t="s">
        <v>1508</v>
      </c>
      <c r="H537" t="s">
        <v>1507</v>
      </c>
      <c r="I537" t="s">
        <v>13</v>
      </c>
      <c r="J537" t="s">
        <v>7682</v>
      </c>
      <c r="K537" t="s">
        <v>7826</v>
      </c>
      <c r="L537" t="s">
        <v>7826</v>
      </c>
      <c r="N537" t="str" cm="1">
        <f t="array" ref="N537">IFERROR(LOOKUP(2,1/SEARCH($S$2:$S$65,G537),$T$2:$T$65),"Misc")</f>
        <v>OH P/N</v>
      </c>
      <c r="O537" t="str" cm="1">
        <f t="array" ref="O537">IFERROR(LOOKUP(2,1/SEARCH($V$2:$V$65,G537),$W$2:$W$65),"Misc")</f>
        <v>OH Part</v>
      </c>
      <c r="P537" t="str" cm="1">
        <f t="array" ref="P537">IFERROR(LOOKUP(2,1/SEARCH($Y$2:$Y$65,G537),$Z$2:$Z$65),"Not Defined")</f>
        <v>OH Part</v>
      </c>
      <c r="Q537" t="str" cm="1">
        <f t="array" ref="Q537">IFERROR(LOOKUP(2,1/SEARCH($S$2:$S$65,H537),$T$2:$T$65),"-")</f>
        <v>ABSIS</v>
      </c>
    </row>
    <row r="538" spans="1:17" hidden="1" x14ac:dyDescent="0.25">
      <c r="A538" t="s">
        <v>7672</v>
      </c>
      <c r="B538" t="s">
        <v>1509</v>
      </c>
      <c r="C538">
        <v>1</v>
      </c>
      <c r="D538" t="s">
        <v>1314</v>
      </c>
      <c r="E538" t="s">
        <v>7873</v>
      </c>
      <c r="F538" t="s">
        <v>1510</v>
      </c>
      <c r="G538" t="s">
        <v>7214</v>
      </c>
      <c r="H538" t="s">
        <v>1511</v>
      </c>
      <c r="J538" t="s">
        <v>7744</v>
      </c>
      <c r="K538" t="s">
        <v>7826</v>
      </c>
      <c r="L538" t="s">
        <v>7826</v>
      </c>
      <c r="N538" t="str" cm="1">
        <f t="array" ref="N538">IFERROR(LOOKUP(2,1/SEARCH($S$2:$S$65,G538),$T$2:$T$65),"Misc")</f>
        <v>OH Common</v>
      </c>
      <c r="O538" t="str" cm="1">
        <f t="array" ref="O538">IFERROR(LOOKUP(2,1/SEARCH($V$2:$V$65,G538),$W$2:$W$65),"Misc")</f>
        <v>OH Part</v>
      </c>
      <c r="P538" t="str" cm="1">
        <f t="array" ref="P538">IFERROR(LOOKUP(2,1/SEARCH($Y$2:$Y$65,G538),$Z$2:$Z$65),"Not Defined")</f>
        <v>OH Part</v>
      </c>
      <c r="Q538" t="str" cm="1">
        <f t="array" ref="Q538">IFERROR(LOOKUP(2,1/SEARCH($S$2:$S$65,H538),$T$2:$T$65),"-")</f>
        <v>OH ASSY</v>
      </c>
    </row>
    <row r="539" spans="1:17" hidden="1" x14ac:dyDescent="0.25">
      <c r="A539" t="s">
        <v>7672</v>
      </c>
      <c r="B539" t="s">
        <v>1512</v>
      </c>
      <c r="C539">
        <v>1</v>
      </c>
      <c r="D539" t="s">
        <v>1314</v>
      </c>
      <c r="E539" t="s">
        <v>7873</v>
      </c>
      <c r="F539" t="s">
        <v>1513</v>
      </c>
      <c r="G539" t="s">
        <v>7215</v>
      </c>
      <c r="H539" t="s">
        <v>1514</v>
      </c>
      <c r="I539" t="s">
        <v>255</v>
      </c>
      <c r="J539" t="s">
        <v>7703</v>
      </c>
      <c r="K539" t="s">
        <v>7677</v>
      </c>
      <c r="L539" t="s">
        <v>7677</v>
      </c>
      <c r="N539" t="str" cm="1">
        <f t="array" ref="N539">IFERROR(LOOKUP(2,1/SEARCH($S$2:$S$65,G539),$T$2:$T$65),"Misc")</f>
        <v>COTS</v>
      </c>
      <c r="O539" t="str" cm="1">
        <f t="array" ref="O539">IFERROR(LOOKUP(2,1/SEARCH($V$2:$V$65,G539),$W$2:$W$65),"Misc")</f>
        <v>SWITCH</v>
      </c>
      <c r="P539" t="str" cm="1">
        <f t="array" ref="P539">IFERROR(LOOKUP(2,1/SEARCH($Y$2:$Y$65,G539),$Z$2:$Z$65),"Not Defined")</f>
        <v>SWITCH</v>
      </c>
      <c r="Q539" t="str" cm="1">
        <f t="array" ref="Q539">IFERROR(LOOKUP(2,1/SEARCH($S$2:$S$65,H539),$T$2:$T$65),"-")</f>
        <v>COTS</v>
      </c>
    </row>
    <row r="540" spans="1:17" hidden="1" x14ac:dyDescent="0.25">
      <c r="A540" t="s">
        <v>7672</v>
      </c>
      <c r="B540" t="s">
        <v>1515</v>
      </c>
      <c r="C540">
        <v>1</v>
      </c>
      <c r="D540" t="s">
        <v>1314</v>
      </c>
      <c r="E540" t="s">
        <v>7873</v>
      </c>
      <c r="F540" t="s">
        <v>1516</v>
      </c>
      <c r="G540" t="s">
        <v>7216</v>
      </c>
      <c r="H540" t="s">
        <v>1517</v>
      </c>
      <c r="I540" t="s">
        <v>299</v>
      </c>
      <c r="J540" t="s">
        <v>7744</v>
      </c>
      <c r="K540" t="s">
        <v>7826</v>
      </c>
      <c r="L540" t="s">
        <v>7826</v>
      </c>
      <c r="N540" t="str" cm="1">
        <f t="array" ref="N540">IFERROR(LOOKUP(2,1/SEARCH($S$2:$S$65,G540),$T$2:$T$65),"Misc")</f>
        <v>OH Common</v>
      </c>
      <c r="O540" t="str" cm="1">
        <f t="array" ref="O540">IFERROR(LOOKUP(2,1/SEARCH($V$2:$V$65,G540),$W$2:$W$65),"Misc")</f>
        <v>OH Part</v>
      </c>
      <c r="P540" t="str" cm="1">
        <f t="array" ref="P540">IFERROR(LOOKUP(2,1/SEARCH($Y$2:$Y$65,G540),$Z$2:$Z$65),"Not Defined")</f>
        <v>OH Part</v>
      </c>
      <c r="Q540" t="str" cm="1">
        <f t="array" ref="Q540">IFERROR(LOOKUP(2,1/SEARCH($S$2:$S$65,H540),$T$2:$T$65),"-")</f>
        <v>COTS</v>
      </c>
    </row>
    <row r="541" spans="1:17" hidden="1" x14ac:dyDescent="0.25">
      <c r="A541" t="s">
        <v>7672</v>
      </c>
      <c r="B541" t="s">
        <v>1518</v>
      </c>
      <c r="C541">
        <v>1</v>
      </c>
      <c r="D541" t="s">
        <v>1314</v>
      </c>
      <c r="E541" t="s">
        <v>7874</v>
      </c>
      <c r="F541" t="s">
        <v>1519</v>
      </c>
      <c r="G541" t="s">
        <v>7217</v>
      </c>
      <c r="H541" t="s">
        <v>1520</v>
      </c>
      <c r="J541" t="s">
        <v>7744</v>
      </c>
      <c r="K541" t="s">
        <v>7826</v>
      </c>
      <c r="L541" t="s">
        <v>7826</v>
      </c>
      <c r="N541" t="str" cm="1">
        <f t="array" ref="N541">IFERROR(LOOKUP(2,1/SEARCH($S$2:$S$65,G541),$T$2:$T$65),"Misc")</f>
        <v>OH Common</v>
      </c>
      <c r="O541" t="str" cm="1">
        <f t="array" ref="O541">IFERROR(LOOKUP(2,1/SEARCH($V$2:$V$65,G541),$W$2:$W$65),"Misc")</f>
        <v>OH Part</v>
      </c>
      <c r="P541" t="str" cm="1">
        <f t="array" ref="P541">IFERROR(LOOKUP(2,1/SEARCH($Y$2:$Y$65,G541),$Z$2:$Z$65),"Not Defined")</f>
        <v>OH Part</v>
      </c>
      <c r="Q541" t="str" cm="1">
        <f t="array" ref="Q541">IFERROR(LOOKUP(2,1/SEARCH($S$2:$S$65,H541),$T$2:$T$65),"-")</f>
        <v>OH ASSY</v>
      </c>
    </row>
    <row r="542" spans="1:17" hidden="1" x14ac:dyDescent="0.25">
      <c r="A542" t="s">
        <v>7672</v>
      </c>
      <c r="B542" t="s">
        <v>1521</v>
      </c>
      <c r="C542">
        <v>1</v>
      </c>
      <c r="D542" t="s">
        <v>1314</v>
      </c>
      <c r="E542" t="s">
        <v>7874</v>
      </c>
      <c r="F542" t="s">
        <v>1522</v>
      </c>
      <c r="G542" t="s">
        <v>7218</v>
      </c>
      <c r="H542" t="s">
        <v>1523</v>
      </c>
      <c r="I542" t="s">
        <v>255</v>
      </c>
      <c r="J542" t="s">
        <v>7703</v>
      </c>
      <c r="K542" t="s">
        <v>7677</v>
      </c>
      <c r="L542" t="s">
        <v>7677</v>
      </c>
      <c r="N542" t="str" cm="1">
        <f t="array" ref="N542">IFERROR(LOOKUP(2,1/SEARCH($S$2:$S$65,G542),$T$2:$T$65),"Misc")</f>
        <v>COTS</v>
      </c>
      <c r="O542" t="str" cm="1">
        <f t="array" ref="O542">IFERROR(LOOKUP(2,1/SEARCH($V$2:$V$65,G542),$W$2:$W$65),"Misc")</f>
        <v>SWITCH</v>
      </c>
      <c r="P542" t="str" cm="1">
        <f t="array" ref="P542">IFERROR(LOOKUP(2,1/SEARCH($Y$2:$Y$65,G542),$Z$2:$Z$65),"Not Defined")</f>
        <v>SWITCH</v>
      </c>
      <c r="Q542" t="str" cm="1">
        <f t="array" ref="Q542">IFERROR(LOOKUP(2,1/SEARCH($S$2:$S$65,H542),$T$2:$T$65),"-")</f>
        <v>COTS</v>
      </c>
    </row>
    <row r="543" spans="1:17" hidden="1" x14ac:dyDescent="0.25">
      <c r="A543" t="s">
        <v>7672</v>
      </c>
      <c r="B543" t="s">
        <v>1524</v>
      </c>
      <c r="C543">
        <v>1</v>
      </c>
      <c r="D543" t="s">
        <v>1314</v>
      </c>
      <c r="E543" t="s">
        <v>7874</v>
      </c>
      <c r="F543" t="s">
        <v>1525</v>
      </c>
      <c r="G543" t="s">
        <v>7219</v>
      </c>
      <c r="H543" t="s">
        <v>1526</v>
      </c>
      <c r="I543" t="s">
        <v>299</v>
      </c>
      <c r="J543" t="s">
        <v>7744</v>
      </c>
      <c r="K543" t="s">
        <v>7826</v>
      </c>
      <c r="L543" t="s">
        <v>7826</v>
      </c>
      <c r="N543" t="str" cm="1">
        <f t="array" ref="N543">IFERROR(LOOKUP(2,1/SEARCH($S$2:$S$65,G543),$T$2:$T$65),"Misc")</f>
        <v>OH Common</v>
      </c>
      <c r="O543" t="str" cm="1">
        <f t="array" ref="O543">IFERROR(LOOKUP(2,1/SEARCH($V$2:$V$65,G543),$W$2:$W$65),"Misc")</f>
        <v>OH Part</v>
      </c>
      <c r="P543" t="str" cm="1">
        <f t="array" ref="P543">IFERROR(LOOKUP(2,1/SEARCH($Y$2:$Y$65,G543),$Z$2:$Z$65),"Not Defined")</f>
        <v>OH Part</v>
      </c>
      <c r="Q543" t="str" cm="1">
        <f t="array" ref="Q543">IFERROR(LOOKUP(2,1/SEARCH($S$2:$S$65,H543),$T$2:$T$65),"-")</f>
        <v>COTS</v>
      </c>
    </row>
    <row r="544" spans="1:17" hidden="1" x14ac:dyDescent="0.25">
      <c r="A544" t="s">
        <v>7672</v>
      </c>
      <c r="B544" t="s">
        <v>1527</v>
      </c>
      <c r="C544">
        <v>2</v>
      </c>
      <c r="D544" t="s">
        <v>1314</v>
      </c>
      <c r="E544" t="s">
        <v>1466</v>
      </c>
      <c r="F544" t="s">
        <v>1528</v>
      </c>
      <c r="G544" t="s">
        <v>7220</v>
      </c>
      <c r="H544" t="s">
        <v>1529</v>
      </c>
      <c r="I544" t="s">
        <v>228</v>
      </c>
      <c r="J544" t="s">
        <v>7703</v>
      </c>
      <c r="K544" t="s">
        <v>7677</v>
      </c>
      <c r="L544" t="s">
        <v>7685</v>
      </c>
      <c r="N544" t="str" cm="1">
        <f t="array" ref="N544">IFERROR(LOOKUP(2,1/SEARCH($S$2:$S$65,G544),$T$2:$T$65),"Misc")</f>
        <v>COTS</v>
      </c>
      <c r="O544" t="str" cm="1">
        <f t="array" ref="O544">IFERROR(LOOKUP(2,1/SEARCH($V$2:$V$65,G544),$W$2:$W$65),"Misc")</f>
        <v>SWITCH</v>
      </c>
      <c r="P544" t="str" cm="1">
        <f t="array" ref="P544">IFERROR(LOOKUP(2,1/SEARCH($Y$2:$Y$65,G544),$Z$2:$Z$65),"Not Defined")</f>
        <v>NUT</v>
      </c>
      <c r="Q544" t="str" cm="1">
        <f t="array" ref="Q544">IFERROR(LOOKUP(2,1/SEARCH($S$2:$S$65,H544),$T$2:$T$65),"-")</f>
        <v>COTS</v>
      </c>
    </row>
    <row r="545" spans="1:17" hidden="1" x14ac:dyDescent="0.25">
      <c r="A545" t="s">
        <v>7672</v>
      </c>
      <c r="B545" t="s">
        <v>1530</v>
      </c>
      <c r="C545">
        <v>1</v>
      </c>
      <c r="D545" t="s">
        <v>1314</v>
      </c>
      <c r="E545" t="s">
        <v>1466</v>
      </c>
      <c r="F545" t="s">
        <v>1531</v>
      </c>
      <c r="G545" t="s">
        <v>7221</v>
      </c>
      <c r="H545" t="s">
        <v>1532</v>
      </c>
      <c r="I545" t="s">
        <v>255</v>
      </c>
      <c r="J545" t="s">
        <v>7703</v>
      </c>
      <c r="K545" t="s">
        <v>7677</v>
      </c>
      <c r="L545" t="s">
        <v>7677</v>
      </c>
      <c r="N545" t="str" cm="1">
        <f t="array" ref="N545">IFERROR(LOOKUP(2,1/SEARCH($S$2:$S$65,G545),$T$2:$T$65),"Misc")</f>
        <v>COTS</v>
      </c>
      <c r="O545" t="str" cm="1">
        <f t="array" ref="O545">IFERROR(LOOKUP(2,1/SEARCH($V$2:$V$65,G545),$W$2:$W$65),"Misc")</f>
        <v>SWITCH</v>
      </c>
      <c r="P545" t="str" cm="1">
        <f t="array" ref="P545">IFERROR(LOOKUP(2,1/SEARCH($Y$2:$Y$65,G545),$Z$2:$Z$65),"Not Defined")</f>
        <v>SWITCH</v>
      </c>
      <c r="Q545" t="str" cm="1">
        <f t="array" ref="Q545">IFERROR(LOOKUP(2,1/SEARCH($S$2:$S$65,H545),$T$2:$T$65),"-")</f>
        <v>COTS</v>
      </c>
    </row>
    <row r="546" spans="1:17" hidden="1" x14ac:dyDescent="0.25">
      <c r="A546" t="s">
        <v>7672</v>
      </c>
      <c r="B546" t="s">
        <v>1533</v>
      </c>
      <c r="C546">
        <v>2</v>
      </c>
      <c r="D546" t="s">
        <v>1314</v>
      </c>
      <c r="E546" t="s">
        <v>1466</v>
      </c>
      <c r="F546" t="s">
        <v>1534</v>
      </c>
      <c r="G546" t="s">
        <v>7222</v>
      </c>
      <c r="H546" t="s">
        <v>1535</v>
      </c>
      <c r="I546" t="s">
        <v>210</v>
      </c>
      <c r="J546" t="s">
        <v>7703</v>
      </c>
      <c r="K546" t="s">
        <v>7684</v>
      </c>
      <c r="L546" t="s">
        <v>7707</v>
      </c>
      <c r="N546" t="str" cm="1">
        <f t="array" ref="N546">IFERROR(LOOKUP(2,1/SEARCH($S$2:$S$65,G546),$T$2:$T$65),"Misc")</f>
        <v>COTS</v>
      </c>
      <c r="O546" t="str" cm="1">
        <f t="array" ref="O546">IFERROR(LOOKUP(2,1/SEARCH($V$2:$V$65,G546),$W$2:$W$65),"Misc")</f>
        <v>Fasteners</v>
      </c>
      <c r="P546" t="str" cm="1">
        <f t="array" ref="P546">IFERROR(LOOKUP(2,1/SEARCH($Y$2:$Y$65,G546),$Z$2:$Z$65),"Not Defined")</f>
        <v>PIN</v>
      </c>
      <c r="Q546" t="str" cm="1">
        <f t="array" ref="Q546">IFERROR(LOOKUP(2,1/SEARCH($S$2:$S$65,H546),$T$2:$T$65),"-")</f>
        <v>COTS</v>
      </c>
    </row>
    <row r="547" spans="1:17" hidden="1" x14ac:dyDescent="0.25">
      <c r="A547" t="s">
        <v>7672</v>
      </c>
      <c r="B547" t="s">
        <v>1536</v>
      </c>
      <c r="C547">
        <v>3</v>
      </c>
      <c r="D547" t="s">
        <v>1314</v>
      </c>
      <c r="E547" t="s">
        <v>1466</v>
      </c>
      <c r="F547" t="s">
        <v>519</v>
      </c>
      <c r="G547" t="s">
        <v>7097</v>
      </c>
      <c r="H547" t="s">
        <v>520</v>
      </c>
      <c r="I547" t="s">
        <v>228</v>
      </c>
      <c r="J547" t="s">
        <v>7703</v>
      </c>
      <c r="K547" t="s">
        <v>7684</v>
      </c>
      <c r="L547" t="s">
        <v>7693</v>
      </c>
      <c r="N547" t="str" cm="1">
        <f t="array" ref="N547">IFERROR(LOOKUP(2,1/SEARCH($S$2:$S$65,G547),$T$2:$T$65),"Misc")</f>
        <v>COTS</v>
      </c>
      <c r="O547" t="str" cm="1">
        <f t="array" ref="O547">IFERROR(LOOKUP(2,1/SEARCH($V$2:$V$65,G547),$W$2:$W$65),"Misc")</f>
        <v>Fasteners</v>
      </c>
      <c r="P547" t="str" cm="1">
        <f t="array" ref="P547">IFERROR(LOOKUP(2,1/SEARCH($Y$2:$Y$65,G547),$Z$2:$Z$65),"Not Defined")</f>
        <v>PHS</v>
      </c>
      <c r="Q547" t="str" cm="1">
        <f t="array" ref="Q547">IFERROR(LOOKUP(2,1/SEARCH($S$2:$S$65,H547),$T$2:$T$65),"-")</f>
        <v>COTS</v>
      </c>
    </row>
    <row r="548" spans="1:17" hidden="1" x14ac:dyDescent="0.25">
      <c r="A548" t="s">
        <v>7672</v>
      </c>
      <c r="B548" t="s">
        <v>1537</v>
      </c>
      <c r="C548">
        <v>3</v>
      </c>
      <c r="D548" t="s">
        <v>1314</v>
      </c>
      <c r="E548" t="s">
        <v>1466</v>
      </c>
      <c r="F548" t="s">
        <v>941</v>
      </c>
      <c r="G548" t="s">
        <v>7136</v>
      </c>
      <c r="H548" t="s">
        <v>942</v>
      </c>
      <c r="I548" t="s">
        <v>210</v>
      </c>
      <c r="J548" t="s">
        <v>7703</v>
      </c>
      <c r="K548" t="s">
        <v>7684</v>
      </c>
      <c r="L548" t="s">
        <v>7685</v>
      </c>
      <c r="N548" t="str" cm="1">
        <f t="array" ref="N548">IFERROR(LOOKUP(2,1/SEARCH($S$2:$S$65,G548),$T$2:$T$65),"Misc")</f>
        <v>COTS</v>
      </c>
      <c r="O548" t="str" cm="1">
        <f t="array" ref="O548">IFERROR(LOOKUP(2,1/SEARCH($V$2:$V$65,G548),$W$2:$W$65),"Misc")</f>
        <v>Fasteners</v>
      </c>
      <c r="P548" t="str" cm="1">
        <f t="array" ref="P548">IFERROR(LOOKUP(2,1/SEARCH($Y$2:$Y$65,G548),$Z$2:$Z$65),"Not Defined")</f>
        <v>NUT</v>
      </c>
      <c r="Q548" t="str" cm="1">
        <f t="array" ref="Q548">IFERROR(LOOKUP(2,1/SEARCH($S$2:$S$65,H548),$T$2:$T$65),"-")</f>
        <v>COTS</v>
      </c>
    </row>
    <row r="549" spans="1:17" hidden="1" x14ac:dyDescent="0.25">
      <c r="A549" t="s">
        <v>7672</v>
      </c>
      <c r="B549" t="s">
        <v>1538</v>
      </c>
      <c r="C549">
        <v>2</v>
      </c>
      <c r="D549" t="s">
        <v>1314</v>
      </c>
      <c r="E549" t="s">
        <v>1466</v>
      </c>
      <c r="F549" t="s">
        <v>580</v>
      </c>
      <c r="G549" t="s">
        <v>7105</v>
      </c>
      <c r="H549" t="s">
        <v>581</v>
      </c>
      <c r="I549" t="s">
        <v>210</v>
      </c>
      <c r="J549" t="s">
        <v>7703</v>
      </c>
      <c r="K549" t="s">
        <v>7684</v>
      </c>
      <c r="L549" t="s">
        <v>7691</v>
      </c>
      <c r="N549" t="str" cm="1">
        <f t="array" ref="N549">IFERROR(LOOKUP(2,1/SEARCH($S$2:$S$65,G549),$T$2:$T$65),"Misc")</f>
        <v>COTS</v>
      </c>
      <c r="O549" t="str" cm="1">
        <f t="array" ref="O549">IFERROR(LOOKUP(2,1/SEARCH($V$2:$V$65,G549),$W$2:$W$65),"Misc")</f>
        <v>Fasteners</v>
      </c>
      <c r="P549" t="str" cm="1">
        <f t="array" ref="P549">IFERROR(LOOKUP(2,1/SEARCH($Y$2:$Y$65,G549),$Z$2:$Z$65),"Not Defined")</f>
        <v>FHS</v>
      </c>
      <c r="Q549" t="str" cm="1">
        <f t="array" ref="Q549">IFERROR(LOOKUP(2,1/SEARCH($S$2:$S$65,H549),$T$2:$T$65),"-")</f>
        <v>COTS</v>
      </c>
    </row>
    <row r="550" spans="1:17" hidden="1" x14ac:dyDescent="0.25">
      <c r="A550" t="s">
        <v>7672</v>
      </c>
      <c r="B550" t="s">
        <v>1539</v>
      </c>
      <c r="C550">
        <v>2</v>
      </c>
      <c r="D550" t="s">
        <v>1314</v>
      </c>
      <c r="E550" t="s">
        <v>1466</v>
      </c>
      <c r="F550" t="s">
        <v>577</v>
      </c>
      <c r="G550" t="s">
        <v>7104</v>
      </c>
      <c r="H550" t="s">
        <v>578</v>
      </c>
      <c r="I550" t="s">
        <v>299</v>
      </c>
      <c r="J550" t="s">
        <v>7703</v>
      </c>
      <c r="K550" t="s">
        <v>7684</v>
      </c>
      <c r="L550" t="s">
        <v>7708</v>
      </c>
      <c r="N550" t="str" cm="1">
        <f t="array" ref="N550">IFERROR(LOOKUP(2,1/SEARCH($S$2:$S$65,G550),$T$2:$T$65),"Misc")</f>
        <v>COTS</v>
      </c>
      <c r="O550" t="str" cm="1">
        <f t="array" ref="O550">IFERROR(LOOKUP(2,1/SEARCH($V$2:$V$65,G550),$W$2:$W$65),"Misc")</f>
        <v>Fasteners</v>
      </c>
      <c r="P550" t="str" cm="1">
        <f t="array" ref="P550">IFERROR(LOOKUP(2,1/SEARCH($Y$2:$Y$65,G550),$Z$2:$Z$65),"Not Defined")</f>
        <v>STANDOFF</v>
      </c>
      <c r="Q550" t="str" cm="1">
        <f t="array" ref="Q550">IFERROR(LOOKUP(2,1/SEARCH($S$2:$S$65,H550),$T$2:$T$65),"-")</f>
        <v>COTS</v>
      </c>
    </row>
    <row r="551" spans="1:17" hidden="1" x14ac:dyDescent="0.25">
      <c r="A551" t="s">
        <v>7672</v>
      </c>
      <c r="B551" t="s">
        <v>1540</v>
      </c>
      <c r="C551">
        <v>2</v>
      </c>
      <c r="D551" t="s">
        <v>1314</v>
      </c>
      <c r="E551" t="s">
        <v>1466</v>
      </c>
      <c r="F551" t="s">
        <v>1541</v>
      </c>
      <c r="G551" t="s">
        <v>7223</v>
      </c>
      <c r="H551" t="s">
        <v>1542</v>
      </c>
      <c r="I551" t="s">
        <v>210</v>
      </c>
      <c r="J551" t="s">
        <v>7703</v>
      </c>
      <c r="K551" t="s">
        <v>7684</v>
      </c>
      <c r="L551" t="s">
        <v>7693</v>
      </c>
      <c r="N551" t="str" cm="1">
        <f t="array" ref="N551">IFERROR(LOOKUP(2,1/SEARCH($S$2:$S$65,G551),$T$2:$T$65),"Misc")</f>
        <v>COTS</v>
      </c>
      <c r="O551" t="str" cm="1">
        <f t="array" ref="O551">IFERROR(LOOKUP(2,1/SEARCH($V$2:$V$65,G551),$W$2:$W$65),"Misc")</f>
        <v>Fasteners</v>
      </c>
      <c r="P551" t="str" cm="1">
        <f t="array" ref="P551">IFERROR(LOOKUP(2,1/SEARCH($Y$2:$Y$65,G551),$Z$2:$Z$65),"Not Defined")</f>
        <v>PHS</v>
      </c>
      <c r="Q551" t="str" cm="1">
        <f t="array" ref="Q551">IFERROR(LOOKUP(2,1/SEARCH($S$2:$S$65,H551),$T$2:$T$65),"-")</f>
        <v>COTS</v>
      </c>
    </row>
    <row r="552" spans="1:17" hidden="1" x14ac:dyDescent="0.25">
      <c r="A552" t="s">
        <v>7672</v>
      </c>
      <c r="B552" s="29" t="s">
        <v>1543</v>
      </c>
      <c r="C552">
        <v>1</v>
      </c>
      <c r="D552" t="s">
        <v>1314</v>
      </c>
      <c r="E552" t="s">
        <v>7957</v>
      </c>
      <c r="F552" t="s">
        <v>1544</v>
      </c>
      <c r="G552" t="s">
        <v>7224</v>
      </c>
      <c r="H552" t="s">
        <v>1545</v>
      </c>
      <c r="J552" t="s">
        <v>7744</v>
      </c>
      <c r="K552" t="s">
        <v>7826</v>
      </c>
      <c r="L552" t="s">
        <v>7826</v>
      </c>
      <c r="N552" t="str" cm="1">
        <f t="array" ref="N552">IFERROR(LOOKUP(2,1/SEARCH($S$2:$S$65,G552),$T$2:$T$65),"Misc")</f>
        <v>OH Common</v>
      </c>
      <c r="O552" t="str" cm="1">
        <f t="array" ref="O552">IFERROR(LOOKUP(2,1/SEARCH($V$2:$V$65,G552),$W$2:$W$65),"Misc")</f>
        <v>OH Part</v>
      </c>
      <c r="P552" t="str" cm="1">
        <f t="array" ref="P552">IFERROR(LOOKUP(2,1/SEARCH($Y$2:$Y$65,G552),$Z$2:$Z$65),"Not Defined")</f>
        <v>OH Part</v>
      </c>
      <c r="Q552" t="str" cm="1">
        <f t="array" ref="Q552">IFERROR(LOOKUP(2,1/SEARCH($S$2:$S$65,H552),$T$2:$T$65),"-")</f>
        <v>OH ASSY</v>
      </c>
    </row>
    <row r="553" spans="1:17" hidden="1" x14ac:dyDescent="0.25">
      <c r="A553" t="s">
        <v>7672</v>
      </c>
      <c r="B553" s="29" t="s">
        <v>1546</v>
      </c>
      <c r="C553">
        <v>1</v>
      </c>
      <c r="D553" t="s">
        <v>1314</v>
      </c>
      <c r="E553" t="s">
        <v>7957</v>
      </c>
      <c r="F553" t="s">
        <v>1547</v>
      </c>
      <c r="G553" t="s">
        <v>1549</v>
      </c>
      <c r="H553" t="s">
        <v>1548</v>
      </c>
      <c r="I553" t="s">
        <v>358</v>
      </c>
      <c r="J553" t="s">
        <v>7744</v>
      </c>
      <c r="K553" t="s">
        <v>7826</v>
      </c>
      <c r="L553" t="s">
        <v>7826</v>
      </c>
      <c r="N553" t="str" cm="1">
        <f t="array" ref="N553">IFERROR(LOOKUP(2,1/SEARCH($S$2:$S$65,G553),$T$2:$T$65),"Misc")</f>
        <v>OH Common</v>
      </c>
      <c r="O553" t="str" cm="1">
        <f t="array" ref="O553">IFERROR(LOOKUP(2,1/SEARCH($V$2:$V$65,G553),$W$2:$W$65),"Misc")</f>
        <v>OH Part</v>
      </c>
      <c r="P553" t="str" cm="1">
        <f t="array" ref="P553">IFERROR(LOOKUP(2,1/SEARCH($Y$2:$Y$65,G553),$Z$2:$Z$65),"Not Defined")</f>
        <v>OH Part</v>
      </c>
      <c r="Q553" t="str" cm="1">
        <f t="array" ref="Q553">IFERROR(LOOKUP(2,1/SEARCH($S$2:$S$65,H553),$T$2:$T$65),"-")</f>
        <v>-</v>
      </c>
    </row>
    <row r="554" spans="1:17" hidden="1" x14ac:dyDescent="0.25">
      <c r="A554" t="s">
        <v>7672</v>
      </c>
      <c r="B554" s="29" t="s">
        <v>1550</v>
      </c>
      <c r="C554">
        <v>2</v>
      </c>
      <c r="D554" t="s">
        <v>1314</v>
      </c>
      <c r="E554" t="s">
        <v>7957</v>
      </c>
      <c r="F554" t="s">
        <v>1551</v>
      </c>
      <c r="G554" t="s">
        <v>7225</v>
      </c>
      <c r="H554" t="s">
        <v>1552</v>
      </c>
      <c r="I554" t="s">
        <v>228</v>
      </c>
      <c r="J554" t="s">
        <v>7703</v>
      </c>
      <c r="K554" t="s">
        <v>7684</v>
      </c>
      <c r="L554" t="s">
        <v>7721</v>
      </c>
      <c r="N554" t="str" cm="1">
        <f t="array" ref="N554">IFERROR(LOOKUP(2,1/SEARCH($S$2:$S$65,G554),$T$2:$T$65),"Misc")</f>
        <v>COTS</v>
      </c>
      <c r="O554" t="str" cm="1">
        <f t="array" ref="O554">IFERROR(LOOKUP(2,1/SEARCH($V$2:$V$65,G554),$W$2:$W$65),"Misc")</f>
        <v>Fasteners</v>
      </c>
      <c r="P554" t="str" cm="1">
        <f t="array" ref="P554">IFERROR(LOOKUP(2,1/SEARCH($Y$2:$Y$65,G554),$Z$2:$Z$65),"Not Defined")</f>
        <v>SET SCREW</v>
      </c>
      <c r="Q554" t="str" cm="1">
        <f t="array" ref="Q554">IFERROR(LOOKUP(2,1/SEARCH($S$2:$S$65,H554),$T$2:$T$65),"-")</f>
        <v>COTS</v>
      </c>
    </row>
    <row r="555" spans="1:17" hidden="1" x14ac:dyDescent="0.25">
      <c r="A555" t="s">
        <v>7672</v>
      </c>
      <c r="B555" t="s">
        <v>1553</v>
      </c>
      <c r="C555">
        <v>2</v>
      </c>
      <c r="D555" t="s">
        <v>1314</v>
      </c>
      <c r="E555" t="s">
        <v>1466</v>
      </c>
      <c r="F555" t="s">
        <v>670</v>
      </c>
      <c r="G555" t="s">
        <v>7114</v>
      </c>
      <c r="H555" t="s">
        <v>671</v>
      </c>
      <c r="I555" t="s">
        <v>224</v>
      </c>
      <c r="J555" t="s">
        <v>7703</v>
      </c>
      <c r="K555" t="s">
        <v>7684</v>
      </c>
      <c r="L555" t="s">
        <v>7685</v>
      </c>
      <c r="N555" t="str" cm="1">
        <f t="array" ref="N555">IFERROR(LOOKUP(2,1/SEARCH($S$2:$S$65,G555),$T$2:$T$65),"Misc")</f>
        <v>COTS</v>
      </c>
      <c r="O555" t="str" cm="1">
        <f t="array" ref="O555">IFERROR(LOOKUP(2,1/SEARCH($V$2:$V$65,G555),$W$2:$W$65),"Misc")</f>
        <v>Fasteners</v>
      </c>
      <c r="P555" t="str" cm="1">
        <f t="array" ref="P555">IFERROR(LOOKUP(2,1/SEARCH($Y$2:$Y$65,G555),$Z$2:$Z$65),"Not Defined")</f>
        <v>NUT</v>
      </c>
      <c r="Q555" t="str" cm="1">
        <f t="array" ref="Q555">IFERROR(LOOKUP(2,1/SEARCH($S$2:$S$65,H555),$T$2:$T$65),"-")</f>
        <v>COTS</v>
      </c>
    </row>
    <row r="556" spans="1:17" hidden="1" x14ac:dyDescent="0.25">
      <c r="A556" t="s">
        <v>7672</v>
      </c>
      <c r="B556" t="s">
        <v>1554</v>
      </c>
      <c r="C556">
        <v>2</v>
      </c>
      <c r="D556" t="s">
        <v>1314</v>
      </c>
      <c r="E556" t="s">
        <v>1466</v>
      </c>
      <c r="F556" t="s">
        <v>1555</v>
      </c>
      <c r="G556" t="s">
        <v>7226</v>
      </c>
      <c r="H556" t="s">
        <v>1556</v>
      </c>
      <c r="I556" t="s">
        <v>228</v>
      </c>
      <c r="J556" t="s">
        <v>7703</v>
      </c>
      <c r="K556" t="s">
        <v>7684</v>
      </c>
      <c r="L556" t="s">
        <v>7693</v>
      </c>
      <c r="N556" t="str" cm="1">
        <f t="array" ref="N556">IFERROR(LOOKUP(2,1/SEARCH($S$2:$S$65,G556),$T$2:$T$65),"Misc")</f>
        <v>COTS</v>
      </c>
      <c r="O556" t="str" cm="1">
        <f t="array" ref="O556">IFERROR(LOOKUP(2,1/SEARCH($V$2:$V$65,G556),$W$2:$W$65),"Misc")</f>
        <v>Fasteners</v>
      </c>
      <c r="P556" t="str" cm="1">
        <f t="array" ref="P556">IFERROR(LOOKUP(2,1/SEARCH($Y$2:$Y$65,G556),$Z$2:$Z$65),"Not Defined")</f>
        <v>PHS</v>
      </c>
      <c r="Q556" t="str" cm="1">
        <f t="array" ref="Q556">IFERROR(LOOKUP(2,1/SEARCH($S$2:$S$65,H556),$T$2:$T$65),"-")</f>
        <v>COTS</v>
      </c>
    </row>
    <row r="557" spans="1:17" hidden="1" x14ac:dyDescent="0.25">
      <c r="A557" t="s">
        <v>7672</v>
      </c>
      <c r="B557" t="s">
        <v>1557</v>
      </c>
      <c r="C557">
        <v>1</v>
      </c>
      <c r="D557" t="s">
        <v>1314</v>
      </c>
      <c r="E557" t="s">
        <v>7875</v>
      </c>
      <c r="F557" t="s">
        <v>613</v>
      </c>
      <c r="G557" t="s">
        <v>7110</v>
      </c>
      <c r="H557" t="s">
        <v>614</v>
      </c>
      <c r="I557" t="s">
        <v>255</v>
      </c>
      <c r="J557" t="s">
        <v>7815</v>
      </c>
      <c r="K557" t="s">
        <v>7717</v>
      </c>
      <c r="L557" t="s">
        <v>7717</v>
      </c>
      <c r="N557" t="str" cm="1">
        <f t="array" ref="N557">IFERROR(LOOKUP(2,1/SEARCH($S$2:$S$65,G557),$T$2:$T$65),"Misc")</f>
        <v>OH ASSY</v>
      </c>
      <c r="O557" t="str" cm="1">
        <f t="array" ref="O557">IFERROR(LOOKUP(2,1/SEARCH($V$2:$V$65,G557),$W$2:$W$65),"Misc")</f>
        <v>ABSIS</v>
      </c>
      <c r="P557" t="str" cm="1">
        <f t="array" ref="P557">IFERROR(LOOKUP(2,1/SEARCH($Y$2:$Y$65,G557),$Z$2:$Z$65),"Not Defined")</f>
        <v>ABSIS</v>
      </c>
      <c r="Q557" t="str" cm="1">
        <f t="array" ref="Q557">IFERROR(LOOKUP(2,1/SEARCH($S$2:$S$65,H557),$T$2:$T$65),"-")</f>
        <v>OH ASSY</v>
      </c>
    </row>
    <row r="558" spans="1:17" hidden="1" x14ac:dyDescent="0.25">
      <c r="A558" t="s">
        <v>7672</v>
      </c>
      <c r="B558" t="s">
        <v>1558</v>
      </c>
      <c r="C558">
        <v>1</v>
      </c>
      <c r="D558" t="s">
        <v>1314</v>
      </c>
      <c r="E558" t="s">
        <v>7875</v>
      </c>
      <c r="F558" t="s">
        <v>616</v>
      </c>
      <c r="G558" t="s">
        <v>7111</v>
      </c>
      <c r="H558" t="s">
        <v>617</v>
      </c>
      <c r="I558" t="s">
        <v>255</v>
      </c>
      <c r="J558" t="s">
        <v>7717</v>
      </c>
      <c r="K558" t="s">
        <v>7717</v>
      </c>
      <c r="L558" t="s">
        <v>7717</v>
      </c>
      <c r="N558" t="str" cm="1">
        <f t="array" ref="N558">IFERROR(LOOKUP(2,1/SEARCH($S$2:$S$65,G558),$T$2:$T$65),"Misc")</f>
        <v>ABSIS</v>
      </c>
      <c r="O558" t="str" cm="1">
        <f t="array" ref="O558">IFERROR(LOOKUP(2,1/SEARCH($V$2:$V$65,G558),$W$2:$W$65),"Misc")</f>
        <v>ABSIS</v>
      </c>
      <c r="P558" t="str" cm="1">
        <f t="array" ref="P558">IFERROR(LOOKUP(2,1/SEARCH($Y$2:$Y$65,G558),$Z$2:$Z$65),"Not Defined")</f>
        <v>ABSIS</v>
      </c>
      <c r="Q558" t="str" cm="1">
        <f t="array" ref="Q558">IFERROR(LOOKUP(2,1/SEARCH($S$2:$S$65,H558),$T$2:$T$65),"-")</f>
        <v>ABSIS</v>
      </c>
    </row>
    <row r="559" spans="1:17" hidden="1" x14ac:dyDescent="0.25">
      <c r="A559" t="s">
        <v>7672</v>
      </c>
      <c r="B559" t="s">
        <v>1559</v>
      </c>
      <c r="C559">
        <v>1</v>
      </c>
      <c r="D559" t="s">
        <v>1314</v>
      </c>
      <c r="E559" t="s">
        <v>7875</v>
      </c>
      <c r="F559" t="s">
        <v>596</v>
      </c>
      <c r="G559" t="s">
        <v>7108</v>
      </c>
      <c r="H559" t="s">
        <v>597</v>
      </c>
      <c r="I559" t="s">
        <v>255</v>
      </c>
      <c r="J559" t="s">
        <v>7703</v>
      </c>
      <c r="K559" t="s">
        <v>7713</v>
      </c>
      <c r="L559" t="s">
        <v>7713</v>
      </c>
      <c r="N559" t="str" cm="1">
        <f t="array" ref="N559">IFERROR(LOOKUP(2,1/SEARCH($S$2:$S$65,G559),$T$2:$T$65),"Misc")</f>
        <v>COTS</v>
      </c>
      <c r="O559" t="str" cm="1">
        <f t="array" ref="O559">IFERROR(LOOKUP(2,1/SEARCH($V$2:$V$65,G559),$W$2:$W$65),"Misc")</f>
        <v>ARDUINO</v>
      </c>
      <c r="P559" t="str" cm="1">
        <f t="array" ref="P559">IFERROR(LOOKUP(2,1/SEARCH($Y$2:$Y$65,G559),$Z$2:$Z$65),"Not Defined")</f>
        <v>ARDUINO</v>
      </c>
      <c r="Q559" t="str" cm="1">
        <f t="array" ref="Q559">IFERROR(LOOKUP(2,1/SEARCH($S$2:$S$65,H559),$T$2:$T$65),"-")</f>
        <v>COTS</v>
      </c>
    </row>
    <row r="560" spans="1:17" hidden="1" x14ac:dyDescent="0.25">
      <c r="A560" t="s">
        <v>7672</v>
      </c>
      <c r="B560" t="s">
        <v>1560</v>
      </c>
      <c r="C560">
        <v>4</v>
      </c>
      <c r="D560" t="s">
        <v>1314</v>
      </c>
      <c r="E560" t="s">
        <v>1466</v>
      </c>
      <c r="F560" t="s">
        <v>297</v>
      </c>
      <c r="G560" t="s">
        <v>7065</v>
      </c>
      <c r="H560" t="s">
        <v>298</v>
      </c>
      <c r="I560" t="s">
        <v>299</v>
      </c>
      <c r="J560" t="s">
        <v>7703</v>
      </c>
      <c r="K560" t="s">
        <v>7684</v>
      </c>
      <c r="L560" t="s">
        <v>7708</v>
      </c>
      <c r="N560" t="str" cm="1">
        <f t="array" ref="N560">IFERROR(LOOKUP(2,1/SEARCH($S$2:$S$65,G560),$T$2:$T$65),"Misc")</f>
        <v>COTS</v>
      </c>
      <c r="O560" t="str" cm="1">
        <f t="array" ref="O560">IFERROR(LOOKUP(2,1/SEARCH($V$2:$V$65,G560),$W$2:$W$65),"Misc")</f>
        <v>Fasteners</v>
      </c>
      <c r="P560" t="str" cm="1">
        <f t="array" ref="P560">IFERROR(LOOKUP(2,1/SEARCH($Y$2:$Y$65,G560),$Z$2:$Z$65),"Not Defined")</f>
        <v>STANDOFF</v>
      </c>
      <c r="Q560" t="str" cm="1">
        <f t="array" ref="Q560">IFERROR(LOOKUP(2,1/SEARCH($S$2:$S$65,H560),$T$2:$T$65),"-")</f>
        <v>COTS</v>
      </c>
    </row>
    <row r="561" spans="1:17" hidden="1" x14ac:dyDescent="0.25">
      <c r="A561" t="s">
        <v>7672</v>
      </c>
      <c r="B561" t="s">
        <v>1561</v>
      </c>
      <c r="C561">
        <v>8</v>
      </c>
      <c r="D561" t="s">
        <v>1314</v>
      </c>
      <c r="E561" t="s">
        <v>1466</v>
      </c>
      <c r="F561" t="s">
        <v>460</v>
      </c>
      <c r="G561" t="s">
        <v>7090</v>
      </c>
      <c r="H561" t="s">
        <v>461</v>
      </c>
      <c r="I561" t="s">
        <v>224</v>
      </c>
      <c r="J561" t="s">
        <v>7703</v>
      </c>
      <c r="K561" t="s">
        <v>7684</v>
      </c>
      <c r="L561" t="s">
        <v>7693</v>
      </c>
      <c r="N561" t="str" cm="1">
        <f t="array" ref="N561">IFERROR(LOOKUP(2,1/SEARCH($S$2:$S$65,G561),$T$2:$T$65),"Misc")</f>
        <v>COTS</v>
      </c>
      <c r="O561" t="str" cm="1">
        <f t="array" ref="O561">IFERROR(LOOKUP(2,1/SEARCH($V$2:$V$65,G561),$W$2:$W$65),"Misc")</f>
        <v>Fasteners</v>
      </c>
      <c r="P561" t="str" cm="1">
        <f t="array" ref="P561">IFERROR(LOOKUP(2,1/SEARCH($Y$2:$Y$65,G561),$Z$2:$Z$65),"Not Defined")</f>
        <v>PHS</v>
      </c>
      <c r="Q561" t="str" cm="1">
        <f t="array" ref="Q561">IFERROR(LOOKUP(2,1/SEARCH($S$2:$S$65,H561),$T$2:$T$65),"-")</f>
        <v>COTS</v>
      </c>
    </row>
    <row r="562" spans="1:17" hidden="1" x14ac:dyDescent="0.25">
      <c r="A562" t="s">
        <v>7672</v>
      </c>
      <c r="B562" t="s">
        <v>1562</v>
      </c>
      <c r="C562">
        <v>1</v>
      </c>
      <c r="D562" t="s">
        <v>1314</v>
      </c>
      <c r="E562" t="s">
        <v>1564</v>
      </c>
      <c r="F562" t="s">
        <v>1563</v>
      </c>
      <c r="G562" t="s">
        <v>7227</v>
      </c>
      <c r="H562" t="s">
        <v>1564</v>
      </c>
      <c r="J562" t="s">
        <v>7742</v>
      </c>
      <c r="K562" t="s">
        <v>7826</v>
      </c>
      <c r="L562" t="s">
        <v>7826</v>
      </c>
      <c r="N562" t="str" cm="1">
        <f t="array" ref="N562">IFERROR(LOOKUP(2,1/SEARCH($S$2:$S$65,G562),$T$2:$T$65),"Misc")</f>
        <v>OH ASSY</v>
      </c>
      <c r="O562" t="str" cm="1">
        <f t="array" ref="O562">IFERROR(LOOKUP(2,1/SEARCH($V$2:$V$65,G562),$W$2:$W$65),"Misc")</f>
        <v>OH Part</v>
      </c>
      <c r="P562" t="str" cm="1">
        <f t="array" ref="P562">IFERROR(LOOKUP(2,1/SEARCH($Y$2:$Y$65,G562),$Z$2:$Z$65),"Not Defined")</f>
        <v>OH Part</v>
      </c>
      <c r="Q562" t="str" cm="1">
        <f t="array" ref="Q562">IFERROR(LOOKUP(2,1/SEARCH($S$2:$S$65,H562),$T$2:$T$65),"-")</f>
        <v>OH ASSY</v>
      </c>
    </row>
    <row r="563" spans="1:17" hidden="1" x14ac:dyDescent="0.25">
      <c r="A563" t="s">
        <v>7672</v>
      </c>
      <c r="B563" t="s">
        <v>1565</v>
      </c>
      <c r="C563">
        <v>1</v>
      </c>
      <c r="D563" t="s">
        <v>1314</v>
      </c>
      <c r="E563" t="s">
        <v>1564</v>
      </c>
      <c r="F563" t="s">
        <v>274</v>
      </c>
      <c r="G563" t="s">
        <v>276</v>
      </c>
      <c r="H563" t="s">
        <v>275</v>
      </c>
      <c r="I563" t="s">
        <v>13</v>
      </c>
      <c r="J563" t="s">
        <v>7682</v>
      </c>
      <c r="K563" t="s">
        <v>7826</v>
      </c>
      <c r="L563" t="s">
        <v>7826</v>
      </c>
      <c r="N563" t="str" cm="1">
        <f t="array" ref="N563">IFERROR(LOOKUP(2,1/SEARCH($S$2:$S$65,G563),$T$2:$T$65),"Misc")</f>
        <v>OH P/N</v>
      </c>
      <c r="O563" t="str" cm="1">
        <f t="array" ref="O563">IFERROR(LOOKUP(2,1/SEARCH($V$2:$V$65,G563),$W$2:$W$65),"Misc")</f>
        <v>OH Part</v>
      </c>
      <c r="P563" t="str" cm="1">
        <f t="array" ref="P563">IFERROR(LOOKUP(2,1/SEARCH($Y$2:$Y$65,G563),$Z$2:$Z$65),"Not Defined")</f>
        <v>OH Part</v>
      </c>
      <c r="Q563" t="str" cm="1">
        <f t="array" ref="Q563">IFERROR(LOOKUP(2,1/SEARCH($S$2:$S$65,H563),$T$2:$T$65),"-")</f>
        <v>-</v>
      </c>
    </row>
    <row r="564" spans="1:17" hidden="1" x14ac:dyDescent="0.25">
      <c r="A564" t="s">
        <v>7672</v>
      </c>
      <c r="B564" t="s">
        <v>1566</v>
      </c>
      <c r="C564">
        <v>1</v>
      </c>
      <c r="D564" t="s">
        <v>1314</v>
      </c>
      <c r="E564" t="s">
        <v>1564</v>
      </c>
      <c r="F564" t="s">
        <v>1567</v>
      </c>
      <c r="G564" t="s">
        <v>1569</v>
      </c>
      <c r="H564" t="s">
        <v>1568</v>
      </c>
      <c r="I564" t="s">
        <v>281</v>
      </c>
      <c r="J564" t="s">
        <v>7682</v>
      </c>
      <c r="K564" t="s">
        <v>7826</v>
      </c>
      <c r="L564" t="s">
        <v>7826</v>
      </c>
      <c r="N564" t="str" cm="1">
        <f t="array" ref="N564">IFERROR(LOOKUP(2,1/SEARCH($S$2:$S$65,G564),$T$2:$T$65),"Misc")</f>
        <v>OH P/N</v>
      </c>
      <c r="O564" t="str" cm="1">
        <f t="array" ref="O564">IFERROR(LOOKUP(2,1/SEARCH($V$2:$V$65,G564),$W$2:$W$65),"Misc")</f>
        <v>OH Part</v>
      </c>
      <c r="P564" t="str" cm="1">
        <f t="array" ref="P564">IFERROR(LOOKUP(2,1/SEARCH($Y$2:$Y$65,G564),$Z$2:$Z$65),"Not Defined")</f>
        <v>OH Part</v>
      </c>
      <c r="Q564" t="str" cm="1">
        <f t="array" ref="Q564">IFERROR(LOOKUP(2,1/SEARCH($S$2:$S$65,H564),$T$2:$T$65),"-")</f>
        <v>-</v>
      </c>
    </row>
    <row r="565" spans="1:17" hidden="1" x14ac:dyDescent="0.25">
      <c r="A565" t="s">
        <v>7672</v>
      </c>
      <c r="B565" t="s">
        <v>1570</v>
      </c>
      <c r="C565">
        <v>1</v>
      </c>
      <c r="D565" t="s">
        <v>1314</v>
      </c>
      <c r="E565" t="s">
        <v>1564</v>
      </c>
      <c r="F565" t="s">
        <v>319</v>
      </c>
      <c r="G565" t="s">
        <v>7072</v>
      </c>
      <c r="H565" t="s">
        <v>320</v>
      </c>
      <c r="I565" t="s">
        <v>293</v>
      </c>
      <c r="J565" t="s">
        <v>7744</v>
      </c>
      <c r="K565" t="s">
        <v>7826</v>
      </c>
      <c r="L565" t="s">
        <v>7826</v>
      </c>
      <c r="N565" t="str" cm="1">
        <f t="array" ref="N565">IFERROR(LOOKUP(2,1/SEARCH($S$2:$S$65,G565),$T$2:$T$65),"Misc")</f>
        <v>OH Common</v>
      </c>
      <c r="O565" t="str" cm="1">
        <f t="array" ref="O565">IFERROR(LOOKUP(2,1/SEARCH($V$2:$V$65,G565),$W$2:$W$65),"Misc")</f>
        <v>OH Part</v>
      </c>
      <c r="P565" t="str" cm="1">
        <f t="array" ref="P565">IFERROR(LOOKUP(2,1/SEARCH($Y$2:$Y$65,G565),$Z$2:$Z$65),"Not Defined")</f>
        <v>OH Part</v>
      </c>
      <c r="Q565" t="str" cm="1">
        <f t="array" ref="Q565">IFERROR(LOOKUP(2,1/SEARCH($S$2:$S$65,H565),$T$2:$T$65),"-")</f>
        <v>-</v>
      </c>
    </row>
    <row r="566" spans="1:17" hidden="1" x14ac:dyDescent="0.25">
      <c r="A566" t="s">
        <v>7672</v>
      </c>
      <c r="B566" t="s">
        <v>1571</v>
      </c>
      <c r="C566">
        <v>1</v>
      </c>
      <c r="D566" t="s">
        <v>1314</v>
      </c>
      <c r="E566" t="s">
        <v>1564</v>
      </c>
      <c r="F566" t="s">
        <v>322</v>
      </c>
      <c r="G566" t="s">
        <v>7073</v>
      </c>
      <c r="H566" t="s">
        <v>323</v>
      </c>
      <c r="I566" t="s">
        <v>13</v>
      </c>
      <c r="J566" t="s">
        <v>7744</v>
      </c>
      <c r="K566" t="s">
        <v>7826</v>
      </c>
      <c r="L566" t="s">
        <v>7826</v>
      </c>
      <c r="N566" t="str" cm="1">
        <f t="array" ref="N566">IFERROR(LOOKUP(2,1/SEARCH($S$2:$S$65,G566),$T$2:$T$65),"Misc")</f>
        <v>OH Common</v>
      </c>
      <c r="O566" t="str" cm="1">
        <f t="array" ref="O566">IFERROR(LOOKUP(2,1/SEARCH($V$2:$V$65,G566),$W$2:$W$65),"Misc")</f>
        <v>OH Part</v>
      </c>
      <c r="P566" t="str" cm="1">
        <f t="array" ref="P566">IFERROR(LOOKUP(2,1/SEARCH($Y$2:$Y$65,G566),$Z$2:$Z$65),"Not Defined")</f>
        <v>OH Part</v>
      </c>
      <c r="Q566" t="str" cm="1">
        <f t="array" ref="Q566">IFERROR(LOOKUP(2,1/SEARCH($S$2:$S$65,H566),$T$2:$T$65),"-")</f>
        <v>COTS</v>
      </c>
    </row>
    <row r="567" spans="1:17" hidden="1" x14ac:dyDescent="0.25">
      <c r="A567" t="s">
        <v>7672</v>
      </c>
      <c r="B567" t="s">
        <v>1572</v>
      </c>
      <c r="C567">
        <v>1</v>
      </c>
      <c r="D567" t="s">
        <v>1314</v>
      </c>
      <c r="E567" t="s">
        <v>7876</v>
      </c>
      <c r="F567" t="s">
        <v>1573</v>
      </c>
      <c r="G567" t="s">
        <v>7228</v>
      </c>
      <c r="H567" t="s">
        <v>1574</v>
      </c>
      <c r="J567" t="s">
        <v>7744</v>
      </c>
      <c r="K567" t="s">
        <v>7826</v>
      </c>
      <c r="L567" t="s">
        <v>7826</v>
      </c>
      <c r="N567" t="str" cm="1">
        <f t="array" ref="N567">IFERROR(LOOKUP(2,1/SEARCH($S$2:$S$65,G567),$T$2:$T$65),"Misc")</f>
        <v>OH Common</v>
      </c>
      <c r="O567" t="str" cm="1">
        <f t="array" ref="O567">IFERROR(LOOKUP(2,1/SEARCH($V$2:$V$65,G567),$W$2:$W$65),"Misc")</f>
        <v>OH Part</v>
      </c>
      <c r="P567" t="str" cm="1">
        <f t="array" ref="P567">IFERROR(LOOKUP(2,1/SEARCH($Y$2:$Y$65,G567),$Z$2:$Z$65),"Not Defined")</f>
        <v>OH Part</v>
      </c>
      <c r="Q567" t="str" cm="1">
        <f t="array" ref="Q567">IFERROR(LOOKUP(2,1/SEARCH($S$2:$S$65,H567),$T$2:$T$65),"-")</f>
        <v>OH ASSY</v>
      </c>
    </row>
    <row r="568" spans="1:17" hidden="1" x14ac:dyDescent="0.25">
      <c r="A568" t="s">
        <v>7672</v>
      </c>
      <c r="B568" t="s">
        <v>1575</v>
      </c>
      <c r="C568">
        <v>1</v>
      </c>
      <c r="D568" t="s">
        <v>1314</v>
      </c>
      <c r="E568" t="s">
        <v>7876</v>
      </c>
      <c r="F568" t="s">
        <v>286</v>
      </c>
      <c r="G568" t="s">
        <v>288</v>
      </c>
      <c r="H568" t="s">
        <v>287</v>
      </c>
      <c r="I568" t="s">
        <v>13</v>
      </c>
      <c r="J568" t="s">
        <v>7744</v>
      </c>
      <c r="K568" t="s">
        <v>7826</v>
      </c>
      <c r="L568" t="s">
        <v>7826</v>
      </c>
      <c r="N568" t="str" cm="1">
        <f t="array" ref="N568">IFERROR(LOOKUP(2,1/SEARCH($S$2:$S$65,G568),$T$2:$T$65),"Misc")</f>
        <v>OH Common</v>
      </c>
      <c r="O568" t="str" cm="1">
        <f t="array" ref="O568">IFERROR(LOOKUP(2,1/SEARCH($V$2:$V$65,G568),$W$2:$W$65),"Misc")</f>
        <v>OH Part</v>
      </c>
      <c r="P568" t="str" cm="1">
        <f t="array" ref="P568">IFERROR(LOOKUP(2,1/SEARCH($Y$2:$Y$65,G568),$Z$2:$Z$65),"Not Defined")</f>
        <v>OH Part</v>
      </c>
      <c r="Q568" t="str" cm="1">
        <f t="array" ref="Q568">IFERROR(LOOKUP(2,1/SEARCH($S$2:$S$65,H568),$T$2:$T$65),"-")</f>
        <v>-</v>
      </c>
    </row>
    <row r="569" spans="1:17" hidden="1" x14ac:dyDescent="0.25">
      <c r="A569" t="s">
        <v>7672</v>
      </c>
      <c r="B569" t="s">
        <v>1576</v>
      </c>
      <c r="C569">
        <v>2</v>
      </c>
      <c r="D569" t="s">
        <v>1314</v>
      </c>
      <c r="E569" t="s">
        <v>7876</v>
      </c>
      <c r="F569">
        <v>1938</v>
      </c>
      <c r="G569" t="s">
        <v>7064</v>
      </c>
      <c r="H569" t="s">
        <v>295</v>
      </c>
      <c r="I569" t="s">
        <v>255</v>
      </c>
      <c r="J569" t="s">
        <v>7703</v>
      </c>
      <c r="K569" t="s">
        <v>7814</v>
      </c>
      <c r="L569" t="s">
        <v>7718</v>
      </c>
      <c r="N569" t="str" cm="1">
        <f t="array" ref="N569">IFERROR(LOOKUP(2,1/SEARCH($S$2:$S$65,G569),$T$2:$T$65),"Misc")</f>
        <v>COTS</v>
      </c>
      <c r="O569" t="str" cm="1">
        <f t="array" ref="O569">IFERROR(LOOKUP(2,1/SEARCH($V$2:$V$65,G569),$W$2:$W$65),"Misc")</f>
        <v>Misc</v>
      </c>
      <c r="P569" t="str" cm="1">
        <f t="array" ref="P569">IFERROR(LOOKUP(2,1/SEARCH($Y$2:$Y$65,G569),$Z$2:$Z$65),"Not Defined")</f>
        <v>LED</v>
      </c>
      <c r="Q569" t="str" cm="1">
        <f t="array" ref="Q569">IFERROR(LOOKUP(2,1/SEARCH($S$2:$S$65,H569),$T$2:$T$65),"-")</f>
        <v>COTS</v>
      </c>
    </row>
    <row r="570" spans="1:17" hidden="1" x14ac:dyDescent="0.25">
      <c r="A570" t="s">
        <v>7672</v>
      </c>
      <c r="B570" t="s">
        <v>1577</v>
      </c>
      <c r="C570">
        <v>3</v>
      </c>
      <c r="D570" t="s">
        <v>1314</v>
      </c>
      <c r="E570" t="s">
        <v>7876</v>
      </c>
      <c r="F570" t="s">
        <v>297</v>
      </c>
      <c r="G570" t="s">
        <v>7065</v>
      </c>
      <c r="H570" t="s">
        <v>298</v>
      </c>
      <c r="I570" t="s">
        <v>299</v>
      </c>
      <c r="J570" t="s">
        <v>7703</v>
      </c>
      <c r="K570" t="s">
        <v>7684</v>
      </c>
      <c r="L570" t="s">
        <v>7708</v>
      </c>
      <c r="N570" t="str" cm="1">
        <f t="array" ref="N570">IFERROR(LOOKUP(2,1/SEARCH($S$2:$S$65,G570),$T$2:$T$65),"Misc")</f>
        <v>COTS</v>
      </c>
      <c r="O570" t="str" cm="1">
        <f t="array" ref="O570">IFERROR(LOOKUP(2,1/SEARCH($V$2:$V$65,G570),$W$2:$W$65),"Misc")</f>
        <v>Fasteners</v>
      </c>
      <c r="P570" t="str" cm="1">
        <f t="array" ref="P570">IFERROR(LOOKUP(2,1/SEARCH($Y$2:$Y$65,G570),$Z$2:$Z$65),"Not Defined")</f>
        <v>STANDOFF</v>
      </c>
      <c r="Q570" t="str" cm="1">
        <f t="array" ref="Q570">IFERROR(LOOKUP(2,1/SEARCH($S$2:$S$65,H570),$T$2:$T$65),"-")</f>
        <v>COTS</v>
      </c>
    </row>
    <row r="571" spans="1:17" hidden="1" x14ac:dyDescent="0.25">
      <c r="A571" t="s">
        <v>7672</v>
      </c>
      <c r="B571" t="s">
        <v>1578</v>
      </c>
      <c r="C571">
        <v>3</v>
      </c>
      <c r="D571" t="s">
        <v>1314</v>
      </c>
      <c r="E571" t="s">
        <v>7876</v>
      </c>
      <c r="F571" t="s">
        <v>301</v>
      </c>
      <c r="G571" t="s">
        <v>7066</v>
      </c>
      <c r="H571" t="s">
        <v>302</v>
      </c>
      <c r="I571" t="s">
        <v>210</v>
      </c>
      <c r="J571" t="s">
        <v>7703</v>
      </c>
      <c r="K571" t="s">
        <v>7684</v>
      </c>
      <c r="L571" t="s">
        <v>7691</v>
      </c>
      <c r="N571" t="str" cm="1">
        <f t="array" ref="N571">IFERROR(LOOKUP(2,1/SEARCH($S$2:$S$65,G571),$T$2:$T$65),"Misc")</f>
        <v>COTS</v>
      </c>
      <c r="O571" t="str" cm="1">
        <f t="array" ref="O571">IFERROR(LOOKUP(2,1/SEARCH($V$2:$V$65,G571),$W$2:$W$65),"Misc")</f>
        <v>Fasteners</v>
      </c>
      <c r="P571" t="str" cm="1">
        <f t="array" ref="P571">IFERROR(LOOKUP(2,1/SEARCH($Y$2:$Y$65,G571),$Z$2:$Z$65),"Not Defined")</f>
        <v>FHS</v>
      </c>
      <c r="Q571" t="str" cm="1">
        <f t="array" ref="Q571">IFERROR(LOOKUP(2,1/SEARCH($S$2:$S$65,H571),$T$2:$T$65),"-")</f>
        <v>COTS</v>
      </c>
    </row>
    <row r="572" spans="1:17" hidden="1" x14ac:dyDescent="0.25">
      <c r="A572" t="s">
        <v>7672</v>
      </c>
      <c r="B572" t="s">
        <v>1579</v>
      </c>
      <c r="C572">
        <v>3</v>
      </c>
      <c r="D572" t="s">
        <v>1314</v>
      </c>
      <c r="E572" t="s">
        <v>7876</v>
      </c>
      <c r="F572" t="s">
        <v>304</v>
      </c>
      <c r="G572" t="s">
        <v>7067</v>
      </c>
      <c r="H572" t="s">
        <v>305</v>
      </c>
      <c r="I572" t="s">
        <v>210</v>
      </c>
      <c r="J572" t="s">
        <v>7703</v>
      </c>
      <c r="K572" t="s">
        <v>7684</v>
      </c>
      <c r="L572" t="s">
        <v>7693</v>
      </c>
      <c r="N572" t="str" cm="1">
        <f t="array" ref="N572">IFERROR(LOOKUP(2,1/SEARCH($S$2:$S$65,G572),$T$2:$T$65),"Misc")</f>
        <v>COTS</v>
      </c>
      <c r="O572" t="str" cm="1">
        <f t="array" ref="O572">IFERROR(LOOKUP(2,1/SEARCH($V$2:$V$65,G572),$W$2:$W$65),"Misc")</f>
        <v>Fasteners</v>
      </c>
      <c r="P572" t="str" cm="1">
        <f t="array" ref="P572">IFERROR(LOOKUP(2,1/SEARCH($Y$2:$Y$65,G572),$Z$2:$Z$65),"Not Defined")</f>
        <v>PHS</v>
      </c>
      <c r="Q572" t="str" cm="1">
        <f t="array" ref="Q572">IFERROR(LOOKUP(2,1/SEARCH($S$2:$S$65,H572),$T$2:$T$65),"-")</f>
        <v>COTS</v>
      </c>
    </row>
    <row r="573" spans="1:17" hidden="1" x14ac:dyDescent="0.25">
      <c r="A573" t="s">
        <v>7672</v>
      </c>
      <c r="B573" t="s">
        <v>1580</v>
      </c>
      <c r="C573">
        <v>1</v>
      </c>
      <c r="D573" t="s">
        <v>1314</v>
      </c>
      <c r="E573" t="s">
        <v>7876</v>
      </c>
      <c r="F573" t="s">
        <v>310</v>
      </c>
      <c r="G573" t="s">
        <v>7229</v>
      </c>
      <c r="H573" t="s">
        <v>1581</v>
      </c>
      <c r="I573" t="s">
        <v>255</v>
      </c>
      <c r="J573" t="s">
        <v>7703</v>
      </c>
      <c r="K573" t="s">
        <v>7814</v>
      </c>
      <c r="L573" t="s">
        <v>7723</v>
      </c>
      <c r="N573" t="str" cm="1">
        <f t="array" ref="N573">IFERROR(LOOKUP(2,1/SEARCH($S$2:$S$65,G573),$T$2:$T$65),"Misc")</f>
        <v>COTS</v>
      </c>
      <c r="O573" t="str" cm="1">
        <f t="array" ref="O573">IFERROR(LOOKUP(2,1/SEARCH($V$2:$V$65,G573),$W$2:$W$65),"Misc")</f>
        <v>Misc</v>
      </c>
      <c r="P573" t="str" cm="1">
        <f t="array" ref="P573">IFERROR(LOOKUP(2,1/SEARCH($Y$2:$Y$65,G573),$Z$2:$Z$65),"Not Defined")</f>
        <v>MICROSTEPPER</v>
      </c>
      <c r="Q573" t="str" cm="1">
        <f t="array" ref="Q573">IFERROR(LOOKUP(2,1/SEARCH($S$2:$S$65,H573),$T$2:$T$65),"-")</f>
        <v>COTS</v>
      </c>
    </row>
    <row r="574" spans="1:17" hidden="1" x14ac:dyDescent="0.25">
      <c r="A574" t="s">
        <v>7672</v>
      </c>
      <c r="B574" t="s">
        <v>1582</v>
      </c>
      <c r="C574">
        <v>2</v>
      </c>
      <c r="D574" t="s">
        <v>1314</v>
      </c>
      <c r="E574" t="s">
        <v>7876</v>
      </c>
      <c r="F574" t="s">
        <v>307</v>
      </c>
      <c r="G574" t="s">
        <v>7068</v>
      </c>
      <c r="H574" t="s">
        <v>308</v>
      </c>
      <c r="I574" t="s">
        <v>228</v>
      </c>
      <c r="J574" t="s">
        <v>7703</v>
      </c>
      <c r="K574" t="s">
        <v>7684</v>
      </c>
      <c r="L574" t="s">
        <v>7693</v>
      </c>
      <c r="N574" t="str" cm="1">
        <f t="array" ref="N574">IFERROR(LOOKUP(2,1/SEARCH($S$2:$S$65,G574),$T$2:$T$65),"Misc")</f>
        <v>COTS</v>
      </c>
      <c r="O574" t="str" cm="1">
        <f t="array" ref="O574">IFERROR(LOOKUP(2,1/SEARCH($V$2:$V$65,G574),$W$2:$W$65),"Misc")</f>
        <v>Fasteners</v>
      </c>
      <c r="P574" t="str" cm="1">
        <f t="array" ref="P574">IFERROR(LOOKUP(2,1/SEARCH($Y$2:$Y$65,G574),$Z$2:$Z$65),"Not Defined")</f>
        <v>PHS</v>
      </c>
      <c r="Q574" t="str" cm="1">
        <f t="array" ref="Q574">IFERROR(LOOKUP(2,1/SEARCH($S$2:$S$65,H574),$T$2:$T$65),"-")</f>
        <v>COTS</v>
      </c>
    </row>
    <row r="575" spans="1:17" hidden="1" x14ac:dyDescent="0.25">
      <c r="A575" t="s">
        <v>7672</v>
      </c>
      <c r="B575" t="s">
        <v>1583</v>
      </c>
      <c r="C575">
        <v>1</v>
      </c>
      <c r="D575" t="s">
        <v>1314</v>
      </c>
      <c r="E575" t="s">
        <v>7876</v>
      </c>
      <c r="F575" t="s">
        <v>316</v>
      </c>
      <c r="G575" t="s">
        <v>7071</v>
      </c>
      <c r="H575" t="s">
        <v>317</v>
      </c>
      <c r="I575" t="s">
        <v>255</v>
      </c>
      <c r="J575" t="s">
        <v>7744</v>
      </c>
      <c r="K575" t="s">
        <v>7826</v>
      </c>
      <c r="L575" t="s">
        <v>7826</v>
      </c>
      <c r="N575" t="str" cm="1">
        <f t="array" ref="N575">IFERROR(LOOKUP(2,1/SEARCH($S$2:$S$65,G575),$T$2:$T$65),"Misc")</f>
        <v>OH Common</v>
      </c>
      <c r="O575" t="str" cm="1">
        <f t="array" ref="O575">IFERROR(LOOKUP(2,1/SEARCH($V$2:$V$65,G575),$W$2:$W$65),"Misc")</f>
        <v>OH Part</v>
      </c>
      <c r="P575" t="str" cm="1">
        <f t="array" ref="P575">IFERROR(LOOKUP(2,1/SEARCH($Y$2:$Y$65,G575),$Z$2:$Z$65),"Not Defined")</f>
        <v>OH Part</v>
      </c>
      <c r="Q575" t="str" cm="1">
        <f t="array" ref="Q575">IFERROR(LOOKUP(2,1/SEARCH($S$2:$S$65,H575),$T$2:$T$65),"-")</f>
        <v>-</v>
      </c>
    </row>
    <row r="576" spans="1:17" hidden="1" x14ac:dyDescent="0.25">
      <c r="A576" t="s">
        <v>7672</v>
      </c>
      <c r="B576" t="s">
        <v>1584</v>
      </c>
      <c r="C576">
        <v>1</v>
      </c>
      <c r="D576" t="s">
        <v>1314</v>
      </c>
      <c r="E576" t="s">
        <v>1564</v>
      </c>
      <c r="F576" t="s">
        <v>325</v>
      </c>
      <c r="G576" t="s">
        <v>7074</v>
      </c>
      <c r="H576" t="s">
        <v>326</v>
      </c>
      <c r="I576" t="s">
        <v>293</v>
      </c>
      <c r="J576" t="s">
        <v>7744</v>
      </c>
      <c r="K576" t="s">
        <v>7826</v>
      </c>
      <c r="L576" t="s">
        <v>7826</v>
      </c>
      <c r="N576" t="str" cm="1">
        <f t="array" ref="N576">IFERROR(LOOKUP(2,1/SEARCH($S$2:$S$65,G576),$T$2:$T$65),"Misc")</f>
        <v>OH Common</v>
      </c>
      <c r="O576" t="str" cm="1">
        <f t="array" ref="O576">IFERROR(LOOKUP(2,1/SEARCH($V$2:$V$65,G576),$W$2:$W$65),"Misc")</f>
        <v>OH Part</v>
      </c>
      <c r="P576" t="str" cm="1">
        <f t="array" ref="P576">IFERROR(LOOKUP(2,1/SEARCH($Y$2:$Y$65,G576),$Z$2:$Z$65),"Not Defined")</f>
        <v>OH Part</v>
      </c>
      <c r="Q576" t="str" cm="1">
        <f t="array" ref="Q576">IFERROR(LOOKUP(2,1/SEARCH($S$2:$S$65,H576),$T$2:$T$65),"-")</f>
        <v>-</v>
      </c>
    </row>
    <row r="577" spans="1:17" hidden="1" x14ac:dyDescent="0.25">
      <c r="A577" t="s">
        <v>7672</v>
      </c>
      <c r="B577" t="s">
        <v>1585</v>
      </c>
      <c r="C577">
        <v>4</v>
      </c>
      <c r="D577" t="s">
        <v>1314</v>
      </c>
      <c r="F577" t="s">
        <v>226</v>
      </c>
      <c r="G577" t="s">
        <v>7054</v>
      </c>
      <c r="H577" t="s">
        <v>227</v>
      </c>
      <c r="I577" t="s">
        <v>228</v>
      </c>
      <c r="J577" t="s">
        <v>7703</v>
      </c>
      <c r="K577" t="s">
        <v>7684</v>
      </c>
      <c r="L577" t="s">
        <v>7685</v>
      </c>
      <c r="N577" t="str" cm="1">
        <f t="array" ref="N577">IFERROR(LOOKUP(2,1/SEARCH($S$2:$S$65,G577),$T$2:$T$65),"Misc")</f>
        <v>COTS</v>
      </c>
      <c r="O577" t="str" cm="1">
        <f t="array" ref="O577">IFERROR(LOOKUP(2,1/SEARCH($V$2:$V$65,G577),$W$2:$W$65),"Misc")</f>
        <v>Fasteners</v>
      </c>
      <c r="P577" t="str" cm="1">
        <f t="array" ref="P577">IFERROR(LOOKUP(2,1/SEARCH($Y$2:$Y$65,G577),$Z$2:$Z$65),"Not Defined")</f>
        <v>NUT</v>
      </c>
      <c r="Q577" t="str" cm="1">
        <f t="array" ref="Q577">IFERROR(LOOKUP(2,1/SEARCH($S$2:$S$65,H577),$T$2:$T$65),"-")</f>
        <v>COTS</v>
      </c>
    </row>
    <row r="578" spans="1:17" hidden="1" x14ac:dyDescent="0.25">
      <c r="A578" t="s">
        <v>7672</v>
      </c>
      <c r="B578" t="s">
        <v>1586</v>
      </c>
      <c r="C578">
        <v>15</v>
      </c>
      <c r="D578" t="s">
        <v>1314</v>
      </c>
      <c r="F578" t="s">
        <v>265</v>
      </c>
      <c r="G578" t="s">
        <v>7099</v>
      </c>
      <c r="H578" t="s">
        <v>266</v>
      </c>
      <c r="I578" t="s">
        <v>224</v>
      </c>
      <c r="J578" t="s">
        <v>7703</v>
      </c>
      <c r="K578" t="s">
        <v>7684</v>
      </c>
      <c r="L578" t="s">
        <v>7687</v>
      </c>
      <c r="N578" t="str" cm="1">
        <f t="array" ref="N578">IFERROR(LOOKUP(2,1/SEARCH($S$2:$S$65,G578),$T$2:$T$65),"Misc")</f>
        <v>COTS</v>
      </c>
      <c r="O578" t="str" cm="1">
        <f t="array" ref="O578">IFERROR(LOOKUP(2,1/SEARCH($V$2:$V$65,G578),$W$2:$W$65),"Misc")</f>
        <v>Fasteners</v>
      </c>
      <c r="P578" t="str" cm="1">
        <f t="array" ref="P578">IFERROR(LOOKUP(2,1/SEARCH($Y$2:$Y$65,G578),$Z$2:$Z$65),"Not Defined")</f>
        <v>INSERT</v>
      </c>
      <c r="Q578" t="str" cm="1">
        <f t="array" ref="Q578">IFERROR(LOOKUP(2,1/SEARCH($S$2:$S$65,H578),$T$2:$T$65),"-")</f>
        <v>COTS</v>
      </c>
    </row>
    <row r="579" spans="1:17" hidden="1" x14ac:dyDescent="0.25">
      <c r="A579" t="s">
        <v>7672</v>
      </c>
      <c r="B579" t="s">
        <v>1587</v>
      </c>
      <c r="C579">
        <v>11</v>
      </c>
      <c r="D579" t="s">
        <v>1314</v>
      </c>
      <c r="F579" t="s">
        <v>563</v>
      </c>
      <c r="G579" t="s">
        <v>7100</v>
      </c>
      <c r="H579" t="s">
        <v>564</v>
      </c>
      <c r="I579" t="s">
        <v>228</v>
      </c>
      <c r="J579" t="s">
        <v>7703</v>
      </c>
      <c r="K579" t="s">
        <v>7684</v>
      </c>
      <c r="L579" t="s">
        <v>7693</v>
      </c>
      <c r="N579" t="str" cm="1">
        <f t="array" ref="N579">IFERROR(LOOKUP(2,1/SEARCH($S$2:$S$65,G579),$T$2:$T$65),"Misc")</f>
        <v>COTS</v>
      </c>
      <c r="O579" t="str" cm="1">
        <f t="array" ref="O579">IFERROR(LOOKUP(2,1/SEARCH($V$2:$V$65,G579),$W$2:$W$65),"Misc")</f>
        <v>Fasteners</v>
      </c>
      <c r="P579" t="str" cm="1">
        <f t="array" ref="P579">IFERROR(LOOKUP(2,1/SEARCH($Y$2:$Y$65,G579),$Z$2:$Z$65),"Not Defined")</f>
        <v>PHS</v>
      </c>
      <c r="Q579" t="str" cm="1">
        <f t="array" ref="Q579">IFERROR(LOOKUP(2,1/SEARCH($S$2:$S$65,H579),$T$2:$T$65),"-")</f>
        <v>COTS</v>
      </c>
    </row>
    <row r="580" spans="1:17" hidden="1" x14ac:dyDescent="0.25">
      <c r="A580" t="s">
        <v>7672</v>
      </c>
      <c r="B580" t="s">
        <v>1588</v>
      </c>
      <c r="C580">
        <v>6</v>
      </c>
      <c r="D580" t="s">
        <v>1314</v>
      </c>
      <c r="F580" t="s">
        <v>519</v>
      </c>
      <c r="G580" t="s">
        <v>7097</v>
      </c>
      <c r="H580" t="s">
        <v>520</v>
      </c>
      <c r="I580" t="s">
        <v>228</v>
      </c>
      <c r="J580" t="s">
        <v>7703</v>
      </c>
      <c r="K580" t="s">
        <v>7684</v>
      </c>
      <c r="L580" t="s">
        <v>7693</v>
      </c>
      <c r="N580" t="str" cm="1">
        <f t="array" ref="N580">IFERROR(LOOKUP(2,1/SEARCH($S$2:$S$65,G580),$T$2:$T$65),"Misc")</f>
        <v>COTS</v>
      </c>
      <c r="O580" t="str" cm="1">
        <f t="array" ref="O580">IFERROR(LOOKUP(2,1/SEARCH($V$2:$V$65,G580),$W$2:$W$65),"Misc")</f>
        <v>Fasteners</v>
      </c>
      <c r="P580" t="str" cm="1">
        <f t="array" ref="P580">IFERROR(LOOKUP(2,1/SEARCH($Y$2:$Y$65,G580),$Z$2:$Z$65),"Not Defined")</f>
        <v>PHS</v>
      </c>
      <c r="Q580" t="str" cm="1">
        <f t="array" ref="Q580">IFERROR(LOOKUP(2,1/SEARCH($S$2:$S$65,H580),$T$2:$T$65),"-")</f>
        <v>COTS</v>
      </c>
    </row>
    <row r="581" spans="1:17" hidden="1" x14ac:dyDescent="0.25">
      <c r="A581" t="s">
        <v>7672</v>
      </c>
      <c r="B581" t="s">
        <v>1589</v>
      </c>
      <c r="C581">
        <v>1</v>
      </c>
      <c r="D581" t="s">
        <v>1314</v>
      </c>
      <c r="F581" t="s">
        <v>1590</v>
      </c>
      <c r="G581" t="s">
        <v>7230</v>
      </c>
      <c r="H581" t="s">
        <v>1591</v>
      </c>
      <c r="I581" t="s">
        <v>255</v>
      </c>
      <c r="J581" t="s">
        <v>7703</v>
      </c>
      <c r="K581" t="s">
        <v>7683</v>
      </c>
      <c r="L581" t="s">
        <v>7718</v>
      </c>
      <c r="N581" t="str" cm="1">
        <f t="array" ref="N581">IFERROR(LOOKUP(2,1/SEARCH($S$2:$S$65,G581),$T$2:$T$65),"Misc")</f>
        <v>COTS</v>
      </c>
      <c r="O581" t="str" cm="1">
        <f t="array" ref="O581">IFERROR(LOOKUP(2,1/SEARCH($V$2:$V$65,G581),$W$2:$W$65),"Misc")</f>
        <v>BEARING</v>
      </c>
      <c r="P581" t="str" cm="1">
        <f t="array" ref="P581">IFERROR(LOOKUP(2,1/SEARCH($Y$2:$Y$65,G581),$Z$2:$Z$65),"Not Defined")</f>
        <v>LED</v>
      </c>
      <c r="Q581" t="str" cm="1">
        <f t="array" ref="Q581">IFERROR(LOOKUP(2,1/SEARCH($S$2:$S$65,H581),$T$2:$T$65),"-")</f>
        <v>COTS</v>
      </c>
    </row>
    <row r="582" spans="1:17" hidden="1" x14ac:dyDescent="0.25">
      <c r="A582" t="s">
        <v>7672</v>
      </c>
      <c r="B582" t="s">
        <v>1592</v>
      </c>
      <c r="C582">
        <v>1</v>
      </c>
      <c r="D582" t="s">
        <v>1314</v>
      </c>
      <c r="F582" t="s">
        <v>904</v>
      </c>
      <c r="G582" t="s">
        <v>7126</v>
      </c>
      <c r="H582" t="s">
        <v>905</v>
      </c>
      <c r="I582" t="s">
        <v>228</v>
      </c>
      <c r="J582" t="s">
        <v>7703</v>
      </c>
      <c r="K582" t="s">
        <v>7684</v>
      </c>
      <c r="L582" t="s">
        <v>7692</v>
      </c>
      <c r="N582" t="str" cm="1">
        <f t="array" ref="N582">IFERROR(LOOKUP(2,1/SEARCH($S$2:$S$65,G582),$T$2:$T$65),"Misc")</f>
        <v>COTS</v>
      </c>
      <c r="O582" t="str" cm="1">
        <f t="array" ref="O582">IFERROR(LOOKUP(2,1/SEARCH($V$2:$V$65,G582),$W$2:$W$65),"Misc")</f>
        <v>Fasteners</v>
      </c>
      <c r="P582" t="str" cm="1">
        <f t="array" ref="P582">IFERROR(LOOKUP(2,1/SEARCH($Y$2:$Y$65,G582),$Z$2:$Z$65),"Not Defined")</f>
        <v>WASHER</v>
      </c>
      <c r="Q582" t="str" cm="1">
        <f t="array" ref="Q582">IFERROR(LOOKUP(2,1/SEARCH($S$2:$S$65,H582),$T$2:$T$65),"-")</f>
        <v>COTS</v>
      </c>
    </row>
    <row r="583" spans="1:17" hidden="1" x14ac:dyDescent="0.25">
      <c r="A583" t="s">
        <v>7672</v>
      </c>
      <c r="B583" t="s">
        <v>1593</v>
      </c>
      <c r="C583">
        <v>4</v>
      </c>
      <c r="D583" t="s">
        <v>1314</v>
      </c>
      <c r="F583" t="s">
        <v>941</v>
      </c>
      <c r="G583" t="s">
        <v>7136</v>
      </c>
      <c r="H583" t="s">
        <v>942</v>
      </c>
      <c r="I583" t="s">
        <v>210</v>
      </c>
      <c r="J583" t="s">
        <v>7703</v>
      </c>
      <c r="K583" t="s">
        <v>7684</v>
      </c>
      <c r="L583" t="s">
        <v>7685</v>
      </c>
      <c r="N583" t="str" cm="1">
        <f t="array" ref="N583">IFERROR(LOOKUP(2,1/SEARCH($S$2:$S$65,G583),$T$2:$T$65),"Misc")</f>
        <v>COTS</v>
      </c>
      <c r="O583" t="str" cm="1">
        <f t="array" ref="O583">IFERROR(LOOKUP(2,1/SEARCH($V$2:$V$65,G583),$W$2:$W$65),"Misc")</f>
        <v>Fasteners</v>
      </c>
      <c r="P583" t="str" cm="1">
        <f t="array" ref="P583">IFERROR(LOOKUP(2,1/SEARCH($Y$2:$Y$65,G583),$Z$2:$Z$65),"Not Defined")</f>
        <v>NUT</v>
      </c>
      <c r="Q583" t="str" cm="1">
        <f t="array" ref="Q583">IFERROR(LOOKUP(2,1/SEARCH($S$2:$S$65,H583),$T$2:$T$65),"-")</f>
        <v>COTS</v>
      </c>
    </row>
    <row r="584" spans="1:17" hidden="1" x14ac:dyDescent="0.25">
      <c r="A584" t="s">
        <v>7672</v>
      </c>
      <c r="B584" t="s">
        <v>1594</v>
      </c>
      <c r="C584">
        <v>1</v>
      </c>
      <c r="D584" t="s">
        <v>1314</v>
      </c>
      <c r="F584" t="s">
        <v>1157</v>
      </c>
      <c r="G584" t="s">
        <v>7195</v>
      </c>
      <c r="H584" t="s">
        <v>1158</v>
      </c>
      <c r="I584" t="s">
        <v>210</v>
      </c>
      <c r="J584" t="s">
        <v>7703</v>
      </c>
      <c r="K584" t="s">
        <v>7684</v>
      </c>
      <c r="L584" t="s">
        <v>7691</v>
      </c>
      <c r="N584" t="str" cm="1">
        <f t="array" ref="N584">IFERROR(LOOKUP(2,1/SEARCH($S$2:$S$65,G584),$T$2:$T$65),"Misc")</f>
        <v>COTS</v>
      </c>
      <c r="O584" t="str" cm="1">
        <f t="array" ref="O584">IFERROR(LOOKUP(2,1/SEARCH($V$2:$V$65,G584),$W$2:$W$65),"Misc")</f>
        <v>Fasteners</v>
      </c>
      <c r="P584" t="str" cm="1">
        <f t="array" ref="P584">IFERROR(LOOKUP(2,1/SEARCH($Y$2:$Y$65,G584),$Z$2:$Z$65),"Not Defined")</f>
        <v>FHS</v>
      </c>
      <c r="Q584" t="str" cm="1">
        <f t="array" ref="Q584">IFERROR(LOOKUP(2,1/SEARCH($S$2:$S$65,H584),$T$2:$T$65),"-")</f>
        <v>COTS</v>
      </c>
    </row>
    <row r="585" spans="1:17" hidden="1" x14ac:dyDescent="0.25">
      <c r="A585" t="s">
        <v>7672</v>
      </c>
      <c r="B585" t="s">
        <v>1595</v>
      </c>
      <c r="C585">
        <v>2</v>
      </c>
      <c r="D585" t="s">
        <v>7047</v>
      </c>
      <c r="F585" t="s">
        <v>1596</v>
      </c>
      <c r="G585" t="s">
        <v>1598</v>
      </c>
      <c r="H585" t="s">
        <v>1597</v>
      </c>
      <c r="I585" t="s">
        <v>13</v>
      </c>
      <c r="J585" t="s">
        <v>7682</v>
      </c>
      <c r="K585" t="s">
        <v>7826</v>
      </c>
      <c r="L585" t="s">
        <v>7826</v>
      </c>
      <c r="N585" t="str" cm="1">
        <f t="array" ref="N585">IFERROR(LOOKUP(2,1/SEARCH($S$2:$S$65,G585),$T$2:$T$65),"Misc")</f>
        <v>OH P/N</v>
      </c>
      <c r="O585" t="str" cm="1">
        <f t="array" ref="O585">IFERROR(LOOKUP(2,1/SEARCH($V$2:$V$65,G585),$W$2:$W$65),"Misc")</f>
        <v>OH Part</v>
      </c>
      <c r="P585" t="str" cm="1">
        <f t="array" ref="P585">IFERROR(LOOKUP(2,1/SEARCH($Y$2:$Y$65,G585),$Z$2:$Z$65),"Not Defined")</f>
        <v>OH Part</v>
      </c>
      <c r="Q585" t="str" cm="1">
        <f t="array" ref="Q585">IFERROR(LOOKUP(2,1/SEARCH($S$2:$S$65,H585),$T$2:$T$65),"-")</f>
        <v>-</v>
      </c>
    </row>
    <row r="586" spans="1:17" hidden="1" x14ac:dyDescent="0.25">
      <c r="A586" t="s">
        <v>7673</v>
      </c>
      <c r="B586" s="16">
        <v>1.2</v>
      </c>
      <c r="C586">
        <v>1</v>
      </c>
      <c r="D586" t="s">
        <v>7231</v>
      </c>
      <c r="F586" t="s">
        <v>1599</v>
      </c>
      <c r="G586" t="s">
        <v>7231</v>
      </c>
      <c r="H586" t="s">
        <v>1600</v>
      </c>
      <c r="J586" t="s">
        <v>7742</v>
      </c>
      <c r="K586" t="s">
        <v>7826</v>
      </c>
      <c r="L586" t="s">
        <v>7826</v>
      </c>
      <c r="N586" t="str" cm="1">
        <f t="array" ref="N586">IFERROR(LOOKUP(2,1/SEARCH($S$2:$S$65,G586),$T$2:$T$65),"Misc")</f>
        <v>OH ASSY</v>
      </c>
      <c r="O586" t="str" cm="1">
        <f t="array" ref="O586">IFERROR(LOOKUP(2,1/SEARCH($V$2:$V$65,G586),$W$2:$W$65),"Misc")</f>
        <v>OH Part</v>
      </c>
      <c r="P586" t="str" cm="1">
        <f t="array" ref="P586">IFERROR(LOOKUP(2,1/SEARCH($Y$2:$Y$65,G586),$Z$2:$Z$65),"Not Defined")</f>
        <v>OH Part</v>
      </c>
      <c r="Q586" t="str" cm="1">
        <f t="array" ref="Q586">IFERROR(LOOKUP(2,1/SEARCH($S$2:$S$65,H586),$T$2:$T$65),"-")</f>
        <v>OH ASSY</v>
      </c>
    </row>
    <row r="587" spans="1:17" hidden="1" x14ac:dyDescent="0.25">
      <c r="A587" t="s">
        <v>7673</v>
      </c>
      <c r="B587" t="s">
        <v>1601</v>
      </c>
      <c r="C587">
        <v>1</v>
      </c>
      <c r="D587" t="s">
        <v>7231</v>
      </c>
      <c r="F587" t="s">
        <v>1602</v>
      </c>
      <c r="G587" t="s">
        <v>1604</v>
      </c>
      <c r="H587" t="s">
        <v>1603</v>
      </c>
      <c r="I587" t="s">
        <v>26</v>
      </c>
      <c r="J587" t="s">
        <v>7682</v>
      </c>
      <c r="K587" t="s">
        <v>7826</v>
      </c>
      <c r="L587" t="s">
        <v>7826</v>
      </c>
      <c r="N587" t="str" cm="1">
        <f t="array" ref="N587">IFERROR(LOOKUP(2,1/SEARCH($S$2:$S$65,G587),$T$2:$T$65),"Misc")</f>
        <v>OH P/N</v>
      </c>
      <c r="O587" t="str" cm="1">
        <f t="array" ref="O587">IFERROR(LOOKUP(2,1/SEARCH($V$2:$V$65,G587),$W$2:$W$65),"Misc")</f>
        <v>OH Part</v>
      </c>
      <c r="P587" t="str" cm="1">
        <f t="array" ref="P587">IFERROR(LOOKUP(2,1/SEARCH($Y$2:$Y$65,G587),$Z$2:$Z$65),"Not Defined")</f>
        <v>OH Part</v>
      </c>
      <c r="Q587" t="str" cm="1">
        <f t="array" ref="Q587">IFERROR(LOOKUP(2,1/SEARCH($S$2:$S$65,H587),$T$2:$T$65),"-")</f>
        <v>-</v>
      </c>
    </row>
    <row r="588" spans="1:17" hidden="1" x14ac:dyDescent="0.25">
      <c r="A588" t="s">
        <v>7673</v>
      </c>
      <c r="B588" t="s">
        <v>1605</v>
      </c>
      <c r="C588">
        <v>1</v>
      </c>
      <c r="D588" t="s">
        <v>7231</v>
      </c>
      <c r="F588" t="s">
        <v>1606</v>
      </c>
      <c r="G588" t="s">
        <v>1608</v>
      </c>
      <c r="H588" t="s">
        <v>1607</v>
      </c>
      <c r="I588" t="s">
        <v>1265</v>
      </c>
      <c r="J588" t="s">
        <v>7703</v>
      </c>
      <c r="K588" t="s">
        <v>7814</v>
      </c>
      <c r="L588" t="s">
        <v>7726</v>
      </c>
      <c r="N588" t="str" cm="1">
        <f t="array" ref="N588">IFERROR(LOOKUP(2,1/SEARCH($S$2:$S$65,G588),$T$2:$T$65),"Misc")</f>
        <v>COTS</v>
      </c>
      <c r="O588" t="str" cm="1">
        <f t="array" ref="O588">IFERROR(LOOKUP(2,1/SEARCH($V$2:$V$65,G588),$W$2:$W$65),"Misc")</f>
        <v>Misc</v>
      </c>
      <c r="P588" t="str" cm="1">
        <f t="array" ref="P588">IFERROR(LOOKUP(2,1/SEARCH($Y$2:$Y$65,G588),$Z$2:$Z$65),"Not Defined")</f>
        <v>RUBBER</v>
      </c>
      <c r="Q588" t="str" cm="1">
        <f t="array" ref="Q588">IFERROR(LOOKUP(2,1/SEARCH($S$2:$S$65,H588),$T$2:$T$65),"-")</f>
        <v>COTS</v>
      </c>
    </row>
    <row r="589" spans="1:17" hidden="1" x14ac:dyDescent="0.25">
      <c r="A589" t="s">
        <v>7673</v>
      </c>
      <c r="B589" t="s">
        <v>1609</v>
      </c>
      <c r="C589">
        <v>1</v>
      </c>
      <c r="D589" t="s">
        <v>7231</v>
      </c>
      <c r="F589" t="s">
        <v>1610</v>
      </c>
      <c r="G589" t="s">
        <v>1612</v>
      </c>
      <c r="H589" t="s">
        <v>1611</v>
      </c>
      <c r="I589" t="s">
        <v>1265</v>
      </c>
      <c r="J589" t="s">
        <v>7703</v>
      </c>
      <c r="K589" t="s">
        <v>7814</v>
      </c>
      <c r="L589" t="s">
        <v>7726</v>
      </c>
      <c r="N589" t="str" cm="1">
        <f t="array" ref="N589">IFERROR(LOOKUP(2,1/SEARCH($S$2:$S$65,G589),$T$2:$T$65),"Misc")</f>
        <v>COTS</v>
      </c>
      <c r="O589" t="str" cm="1">
        <f t="array" ref="O589">IFERROR(LOOKUP(2,1/SEARCH($V$2:$V$65,G589),$W$2:$W$65),"Misc")</f>
        <v>Misc</v>
      </c>
      <c r="P589" t="str" cm="1">
        <f t="array" ref="P589">IFERROR(LOOKUP(2,1/SEARCH($Y$2:$Y$65,G589),$Z$2:$Z$65),"Not Defined")</f>
        <v>RUBBER</v>
      </c>
      <c r="Q589" t="str" cm="1">
        <f t="array" ref="Q589">IFERROR(LOOKUP(2,1/SEARCH($S$2:$S$65,H589),$T$2:$T$65),"-")</f>
        <v>COTS</v>
      </c>
    </row>
    <row r="590" spans="1:17" hidden="1" x14ac:dyDescent="0.25">
      <c r="A590" t="s">
        <v>7673</v>
      </c>
      <c r="B590" t="s">
        <v>1613</v>
      </c>
      <c r="C590">
        <v>1</v>
      </c>
      <c r="D590" t="s">
        <v>7231</v>
      </c>
      <c r="F590" t="s">
        <v>1614</v>
      </c>
      <c r="G590" t="s">
        <v>1616</v>
      </c>
      <c r="H590" t="s">
        <v>1615</v>
      </c>
      <c r="I590" t="s">
        <v>293</v>
      </c>
      <c r="J590" t="s">
        <v>7682</v>
      </c>
      <c r="K590" t="s">
        <v>7826</v>
      </c>
      <c r="L590" t="s">
        <v>7826</v>
      </c>
      <c r="N590" t="str" cm="1">
        <f t="array" ref="N590">IFERROR(LOOKUP(2,1/SEARCH($S$2:$S$65,G590),$T$2:$T$65),"Misc")</f>
        <v>OH P/N</v>
      </c>
      <c r="O590" t="str" cm="1">
        <f t="array" ref="O590">IFERROR(LOOKUP(2,1/SEARCH($V$2:$V$65,G590),$W$2:$W$65),"Misc")</f>
        <v>OH Part</v>
      </c>
      <c r="P590" t="str" cm="1">
        <f t="array" ref="P590">IFERROR(LOOKUP(2,1/SEARCH($Y$2:$Y$65,G590),$Z$2:$Z$65),"Not Defined")</f>
        <v>OH Part</v>
      </c>
      <c r="Q590" t="str" cm="1">
        <f t="array" ref="Q590">IFERROR(LOOKUP(2,1/SEARCH($S$2:$S$65,H590),$T$2:$T$65),"-")</f>
        <v>-</v>
      </c>
    </row>
    <row r="591" spans="1:17" hidden="1" x14ac:dyDescent="0.25">
      <c r="A591" t="s">
        <v>7673</v>
      </c>
      <c r="B591" t="s">
        <v>1617</v>
      </c>
      <c r="C591">
        <v>7</v>
      </c>
      <c r="D591" t="s">
        <v>7231</v>
      </c>
      <c r="E591" t="s">
        <v>1619</v>
      </c>
      <c r="F591" t="s">
        <v>1618</v>
      </c>
      <c r="G591" t="s">
        <v>1620</v>
      </c>
      <c r="H591" t="s">
        <v>1619</v>
      </c>
      <c r="J591" t="s">
        <v>7682</v>
      </c>
      <c r="K591" t="s">
        <v>7826</v>
      </c>
      <c r="L591" t="s">
        <v>7826</v>
      </c>
      <c r="N591" t="str" cm="1">
        <f t="array" ref="N591">IFERROR(LOOKUP(2,1/SEARCH($S$2:$S$65,G591),$T$2:$T$65),"Misc")</f>
        <v>OH P/N</v>
      </c>
      <c r="O591" t="str" cm="1">
        <f t="array" ref="O591">IFERROR(LOOKUP(2,1/SEARCH($V$2:$V$65,G591),$W$2:$W$65),"Misc")</f>
        <v>OH Part</v>
      </c>
      <c r="P591" t="str" cm="1">
        <f t="array" ref="P591">IFERROR(LOOKUP(2,1/SEARCH($Y$2:$Y$65,G591),$Z$2:$Z$65),"Not Defined")</f>
        <v>OH Part</v>
      </c>
      <c r="Q591" t="str" cm="1">
        <f t="array" ref="Q591">IFERROR(LOOKUP(2,1/SEARCH($S$2:$S$65,H591),$T$2:$T$65),"-")</f>
        <v>-</v>
      </c>
    </row>
    <row r="592" spans="1:17" hidden="1" x14ac:dyDescent="0.25">
      <c r="A592" t="s">
        <v>7673</v>
      </c>
      <c r="B592" t="s">
        <v>1621</v>
      </c>
      <c r="C592">
        <v>1</v>
      </c>
      <c r="D592" t="s">
        <v>7231</v>
      </c>
      <c r="E592" t="s">
        <v>1619</v>
      </c>
      <c r="F592" t="s">
        <v>1622</v>
      </c>
      <c r="G592" t="s">
        <v>1624</v>
      </c>
      <c r="H592" t="s">
        <v>1623</v>
      </c>
      <c r="I592" t="s">
        <v>13</v>
      </c>
      <c r="J592" t="s">
        <v>7682</v>
      </c>
      <c r="K592" t="s">
        <v>7826</v>
      </c>
      <c r="L592" t="s">
        <v>7826</v>
      </c>
      <c r="N592" t="str" cm="1">
        <f t="array" ref="N592">IFERROR(LOOKUP(2,1/SEARCH($S$2:$S$65,G592),$T$2:$T$65),"Misc")</f>
        <v>OH P/N</v>
      </c>
      <c r="O592" t="str" cm="1">
        <f t="array" ref="O592">IFERROR(LOOKUP(2,1/SEARCH($V$2:$V$65,G592),$W$2:$W$65),"Misc")</f>
        <v>OH Part</v>
      </c>
      <c r="P592" t="str" cm="1">
        <f t="array" ref="P592">IFERROR(LOOKUP(2,1/SEARCH($Y$2:$Y$65,G592),$Z$2:$Z$65),"Not Defined")</f>
        <v>OH Part</v>
      </c>
      <c r="Q592" t="str" cm="1">
        <f t="array" ref="Q592">IFERROR(LOOKUP(2,1/SEARCH($S$2:$S$65,H592),$T$2:$T$65),"-")</f>
        <v>-</v>
      </c>
    </row>
    <row r="593" spans="1:17" hidden="1" x14ac:dyDescent="0.25">
      <c r="A593" t="s">
        <v>7673</v>
      </c>
      <c r="B593" t="s">
        <v>1625</v>
      </c>
      <c r="C593">
        <v>1</v>
      </c>
      <c r="D593" t="s">
        <v>7231</v>
      </c>
      <c r="E593" t="s">
        <v>1619</v>
      </c>
      <c r="F593" t="s">
        <v>1626</v>
      </c>
      <c r="G593" t="s">
        <v>7232</v>
      </c>
      <c r="H593" t="s">
        <v>1627</v>
      </c>
      <c r="I593" t="s">
        <v>224</v>
      </c>
      <c r="J593" t="s">
        <v>7703</v>
      </c>
      <c r="K593" t="s">
        <v>7684</v>
      </c>
      <c r="L593" t="s">
        <v>7687</v>
      </c>
      <c r="N593" t="str" cm="1">
        <f t="array" ref="N593">IFERROR(LOOKUP(2,1/SEARCH($S$2:$S$65,G593),$T$2:$T$65),"Misc")</f>
        <v>COTS</v>
      </c>
      <c r="O593" t="str" cm="1">
        <f t="array" ref="O593">IFERROR(LOOKUP(2,1/SEARCH($V$2:$V$65,G593),$W$2:$W$65),"Misc")</f>
        <v>Fasteners</v>
      </c>
      <c r="P593" t="str" cm="1">
        <f t="array" ref="P593">IFERROR(LOOKUP(2,1/SEARCH($Y$2:$Y$65,G593),$Z$2:$Z$65),"Not Defined")</f>
        <v>INSERT</v>
      </c>
      <c r="Q593" t="str" cm="1">
        <f t="array" ref="Q593">IFERROR(LOOKUP(2,1/SEARCH($S$2:$S$65,H593),$T$2:$T$65),"-")</f>
        <v>COTS</v>
      </c>
    </row>
    <row r="594" spans="1:17" hidden="1" x14ac:dyDescent="0.25">
      <c r="A594" t="s">
        <v>7673</v>
      </c>
      <c r="B594" t="s">
        <v>1628</v>
      </c>
      <c r="C594">
        <v>7</v>
      </c>
      <c r="D594" t="s">
        <v>7231</v>
      </c>
      <c r="E594" t="s">
        <v>1630</v>
      </c>
      <c r="F594" t="s">
        <v>1629</v>
      </c>
      <c r="G594" t="s">
        <v>1631</v>
      </c>
      <c r="H594" t="s">
        <v>1630</v>
      </c>
      <c r="J594" t="s">
        <v>7682</v>
      </c>
      <c r="K594" t="s">
        <v>7826</v>
      </c>
      <c r="L594" t="s">
        <v>7826</v>
      </c>
      <c r="N594" t="str" cm="1">
        <f t="array" ref="N594">IFERROR(LOOKUP(2,1/SEARCH($S$2:$S$65,G594),$T$2:$T$65),"Misc")</f>
        <v>OH P/N</v>
      </c>
      <c r="O594" t="str" cm="1">
        <f t="array" ref="O594">IFERROR(LOOKUP(2,1/SEARCH($V$2:$V$65,G594),$W$2:$W$65),"Misc")</f>
        <v>OH Part</v>
      </c>
      <c r="P594" t="str" cm="1">
        <f t="array" ref="P594">IFERROR(LOOKUP(2,1/SEARCH($Y$2:$Y$65,G594),$Z$2:$Z$65),"Not Defined")</f>
        <v>OH Part</v>
      </c>
      <c r="Q594" t="str" cm="1">
        <f t="array" ref="Q594">IFERROR(LOOKUP(2,1/SEARCH($S$2:$S$65,H594),$T$2:$T$65),"-")</f>
        <v>-</v>
      </c>
    </row>
    <row r="595" spans="1:17" hidden="1" x14ac:dyDescent="0.25">
      <c r="A595" t="s">
        <v>7673</v>
      </c>
      <c r="B595" t="s">
        <v>1632</v>
      </c>
      <c r="C595">
        <v>1</v>
      </c>
      <c r="D595" t="s">
        <v>7231</v>
      </c>
      <c r="E595" t="s">
        <v>1630</v>
      </c>
      <c r="F595" t="s">
        <v>1633</v>
      </c>
      <c r="G595" t="s">
        <v>1635</v>
      </c>
      <c r="H595" t="s">
        <v>1634</v>
      </c>
      <c r="I595" t="s">
        <v>13</v>
      </c>
      <c r="J595" t="s">
        <v>7682</v>
      </c>
      <c r="K595" t="s">
        <v>7826</v>
      </c>
      <c r="L595" t="s">
        <v>7826</v>
      </c>
      <c r="N595" t="str" cm="1">
        <f t="array" ref="N595">IFERROR(LOOKUP(2,1/SEARCH($S$2:$S$65,G595),$T$2:$T$65),"Misc")</f>
        <v>OH P/N</v>
      </c>
      <c r="O595" t="str" cm="1">
        <f t="array" ref="O595">IFERROR(LOOKUP(2,1/SEARCH($V$2:$V$65,G595),$W$2:$W$65),"Misc")</f>
        <v>OH Part</v>
      </c>
      <c r="P595" t="str" cm="1">
        <f t="array" ref="P595">IFERROR(LOOKUP(2,1/SEARCH($Y$2:$Y$65,G595),$Z$2:$Z$65),"Not Defined")</f>
        <v>OH Part</v>
      </c>
      <c r="Q595" t="str" cm="1">
        <f t="array" ref="Q595">IFERROR(LOOKUP(2,1/SEARCH($S$2:$S$65,H595),$T$2:$T$65),"-")</f>
        <v>-</v>
      </c>
    </row>
    <row r="596" spans="1:17" hidden="1" x14ac:dyDescent="0.25">
      <c r="A596" t="s">
        <v>7673</v>
      </c>
      <c r="B596" t="s">
        <v>1636</v>
      </c>
      <c r="C596">
        <v>1</v>
      </c>
      <c r="D596" t="s">
        <v>7231</v>
      </c>
      <c r="E596" t="s">
        <v>1630</v>
      </c>
      <c r="F596" t="s">
        <v>1626</v>
      </c>
      <c r="G596" t="s">
        <v>7232</v>
      </c>
      <c r="H596" t="s">
        <v>1627</v>
      </c>
      <c r="I596" t="s">
        <v>224</v>
      </c>
      <c r="J596" t="s">
        <v>7703</v>
      </c>
      <c r="K596" t="s">
        <v>7684</v>
      </c>
      <c r="L596" t="s">
        <v>7687</v>
      </c>
      <c r="N596" t="str" cm="1">
        <f t="array" ref="N596">IFERROR(LOOKUP(2,1/SEARCH($S$2:$S$65,G596),$T$2:$T$65),"Misc")</f>
        <v>COTS</v>
      </c>
      <c r="O596" t="str" cm="1">
        <f t="array" ref="O596">IFERROR(LOOKUP(2,1/SEARCH($V$2:$V$65,G596),$W$2:$W$65),"Misc")</f>
        <v>Fasteners</v>
      </c>
      <c r="P596" t="str" cm="1">
        <f t="array" ref="P596">IFERROR(LOOKUP(2,1/SEARCH($Y$2:$Y$65,G596),$Z$2:$Z$65),"Not Defined")</f>
        <v>INSERT</v>
      </c>
      <c r="Q596" t="str" cm="1">
        <f t="array" ref="Q596">IFERROR(LOOKUP(2,1/SEARCH($S$2:$S$65,H596),$T$2:$T$65),"-")</f>
        <v>COTS</v>
      </c>
    </row>
    <row r="597" spans="1:17" hidden="1" x14ac:dyDescent="0.25">
      <c r="A597" t="s">
        <v>7673</v>
      </c>
      <c r="B597" t="s">
        <v>1637</v>
      </c>
      <c r="C597">
        <v>1</v>
      </c>
      <c r="D597" t="s">
        <v>7231</v>
      </c>
      <c r="F597" t="s">
        <v>1638</v>
      </c>
      <c r="G597" t="s">
        <v>1640</v>
      </c>
      <c r="H597" t="s">
        <v>1639</v>
      </c>
      <c r="I597" t="s">
        <v>293</v>
      </c>
      <c r="J597" t="s">
        <v>7682</v>
      </c>
      <c r="K597" t="s">
        <v>7826</v>
      </c>
      <c r="L597" t="s">
        <v>7826</v>
      </c>
      <c r="N597" t="str" cm="1">
        <f t="array" ref="N597">IFERROR(LOOKUP(2,1/SEARCH($S$2:$S$65,G597),$T$2:$T$65),"Misc")</f>
        <v>OH P/N</v>
      </c>
      <c r="O597" t="str" cm="1">
        <f t="array" ref="O597">IFERROR(LOOKUP(2,1/SEARCH($V$2:$V$65,G597),$W$2:$W$65),"Misc")</f>
        <v>OH Part</v>
      </c>
      <c r="P597" t="str" cm="1">
        <f t="array" ref="P597">IFERROR(LOOKUP(2,1/SEARCH($Y$2:$Y$65,G597),$Z$2:$Z$65),"Not Defined")</f>
        <v>OH Part</v>
      </c>
      <c r="Q597" t="str" cm="1">
        <f t="array" ref="Q597">IFERROR(LOOKUP(2,1/SEARCH($S$2:$S$65,H597),$T$2:$T$65),"-")</f>
        <v>-</v>
      </c>
    </row>
    <row r="598" spans="1:17" hidden="1" x14ac:dyDescent="0.25">
      <c r="A598" t="s">
        <v>7673</v>
      </c>
      <c r="B598" t="s">
        <v>1641</v>
      </c>
      <c r="C598">
        <v>2</v>
      </c>
      <c r="D598" t="s">
        <v>7231</v>
      </c>
      <c r="F598" t="s">
        <v>1642</v>
      </c>
      <c r="G598" t="s">
        <v>1644</v>
      </c>
      <c r="H598" t="s">
        <v>1643</v>
      </c>
      <c r="I598" t="s">
        <v>38</v>
      </c>
      <c r="J598" t="s">
        <v>7682</v>
      </c>
      <c r="K598" t="s">
        <v>7826</v>
      </c>
      <c r="L598" t="s">
        <v>7826</v>
      </c>
      <c r="N598" t="str" cm="1">
        <f t="array" ref="N598">IFERROR(LOOKUP(2,1/SEARCH($S$2:$S$65,G598),$T$2:$T$65),"Misc")</f>
        <v>OH P/N</v>
      </c>
      <c r="O598" t="str" cm="1">
        <f t="array" ref="O598">IFERROR(LOOKUP(2,1/SEARCH($V$2:$V$65,G598),$W$2:$W$65),"Misc")</f>
        <v>OH Part</v>
      </c>
      <c r="P598" t="str" cm="1">
        <f t="array" ref="P598">IFERROR(LOOKUP(2,1/SEARCH($Y$2:$Y$65,G598),$Z$2:$Z$65),"Not Defined")</f>
        <v>OH Part</v>
      </c>
      <c r="Q598" t="str" cm="1">
        <f t="array" ref="Q598">IFERROR(LOOKUP(2,1/SEARCH($S$2:$S$65,H598),$T$2:$T$65),"-")</f>
        <v>-</v>
      </c>
    </row>
    <row r="599" spans="1:17" hidden="1" x14ac:dyDescent="0.25">
      <c r="A599" t="s">
        <v>7673</v>
      </c>
      <c r="B599" t="s">
        <v>1645</v>
      </c>
      <c r="C599">
        <v>1</v>
      </c>
      <c r="D599" t="s">
        <v>7231</v>
      </c>
      <c r="F599" t="s">
        <v>1646</v>
      </c>
      <c r="G599" t="s">
        <v>1648</v>
      </c>
      <c r="H599" t="s">
        <v>1647</v>
      </c>
      <c r="I599" t="s">
        <v>38</v>
      </c>
      <c r="J599" t="s">
        <v>7682</v>
      </c>
      <c r="K599" t="s">
        <v>7826</v>
      </c>
      <c r="L599" t="s">
        <v>7826</v>
      </c>
      <c r="N599" t="str" cm="1">
        <f t="array" ref="N599">IFERROR(LOOKUP(2,1/SEARCH($S$2:$S$65,G599),$T$2:$T$65),"Misc")</f>
        <v>OH P/N</v>
      </c>
      <c r="O599" t="str" cm="1">
        <f t="array" ref="O599">IFERROR(LOOKUP(2,1/SEARCH($V$2:$V$65,G599),$W$2:$W$65),"Misc")</f>
        <v>OH Part</v>
      </c>
      <c r="P599" t="str" cm="1">
        <f t="array" ref="P599">IFERROR(LOOKUP(2,1/SEARCH($Y$2:$Y$65,G599),$Z$2:$Z$65),"Not Defined")</f>
        <v>OH Part</v>
      </c>
      <c r="Q599" t="str" cm="1">
        <f t="array" ref="Q599">IFERROR(LOOKUP(2,1/SEARCH($S$2:$S$65,H599),$T$2:$T$65),"-")</f>
        <v>-</v>
      </c>
    </row>
    <row r="600" spans="1:17" hidden="1" x14ac:dyDescent="0.25">
      <c r="A600" t="s">
        <v>7673</v>
      </c>
      <c r="B600" t="s">
        <v>1649</v>
      </c>
      <c r="C600">
        <v>1</v>
      </c>
      <c r="D600" t="s">
        <v>7231</v>
      </c>
      <c r="F600" t="s">
        <v>1650</v>
      </c>
      <c r="G600" t="s">
        <v>1652</v>
      </c>
      <c r="H600" t="s">
        <v>1651</v>
      </c>
      <c r="I600" t="s">
        <v>38</v>
      </c>
      <c r="J600" t="s">
        <v>7682</v>
      </c>
      <c r="K600" t="s">
        <v>7826</v>
      </c>
      <c r="L600" t="s">
        <v>7826</v>
      </c>
      <c r="N600" t="str" cm="1">
        <f t="array" ref="N600">IFERROR(LOOKUP(2,1/SEARCH($S$2:$S$65,G600),$T$2:$T$65),"Misc")</f>
        <v>OH P/N</v>
      </c>
      <c r="O600" t="str" cm="1">
        <f t="array" ref="O600">IFERROR(LOOKUP(2,1/SEARCH($V$2:$V$65,G600),$W$2:$W$65),"Misc")</f>
        <v>OH Part</v>
      </c>
      <c r="P600" t="str" cm="1">
        <f t="array" ref="P600">IFERROR(LOOKUP(2,1/SEARCH($Y$2:$Y$65,G600),$Z$2:$Z$65),"Not Defined")</f>
        <v>OH Part</v>
      </c>
      <c r="Q600" t="str" cm="1">
        <f t="array" ref="Q600">IFERROR(LOOKUP(2,1/SEARCH($S$2:$S$65,H600),$T$2:$T$65),"-")</f>
        <v>-</v>
      </c>
    </row>
    <row r="601" spans="1:17" hidden="1" x14ac:dyDescent="0.25">
      <c r="A601" t="s">
        <v>7673</v>
      </c>
      <c r="B601" t="s">
        <v>1653</v>
      </c>
      <c r="C601">
        <v>1</v>
      </c>
      <c r="D601" t="s">
        <v>7231</v>
      </c>
      <c r="F601" t="s">
        <v>1654</v>
      </c>
      <c r="G601" t="s">
        <v>1656</v>
      </c>
      <c r="H601" t="s">
        <v>1655</v>
      </c>
      <c r="I601" t="s">
        <v>38</v>
      </c>
      <c r="J601" t="s">
        <v>7682</v>
      </c>
      <c r="K601" t="s">
        <v>7826</v>
      </c>
      <c r="L601" t="s">
        <v>7826</v>
      </c>
      <c r="N601" t="str" cm="1">
        <f t="array" ref="N601">IFERROR(LOOKUP(2,1/SEARCH($S$2:$S$65,G601),$T$2:$T$65),"Misc")</f>
        <v>OH P/N</v>
      </c>
      <c r="O601" t="str" cm="1">
        <f t="array" ref="O601">IFERROR(LOOKUP(2,1/SEARCH($V$2:$V$65,G601),$W$2:$W$65),"Misc")</f>
        <v>OH Part</v>
      </c>
      <c r="P601" t="str" cm="1">
        <f t="array" ref="P601">IFERROR(LOOKUP(2,1/SEARCH($Y$2:$Y$65,G601),$Z$2:$Z$65),"Not Defined")</f>
        <v>OH Part</v>
      </c>
      <c r="Q601" t="str" cm="1">
        <f t="array" ref="Q601">IFERROR(LOOKUP(2,1/SEARCH($S$2:$S$65,H601),$T$2:$T$65),"-")</f>
        <v>-</v>
      </c>
    </row>
    <row r="602" spans="1:17" hidden="1" x14ac:dyDescent="0.25">
      <c r="A602" t="s">
        <v>7673</v>
      </c>
      <c r="B602" t="s">
        <v>1657</v>
      </c>
      <c r="C602">
        <v>1</v>
      </c>
      <c r="D602" t="s">
        <v>7231</v>
      </c>
      <c r="F602" t="s">
        <v>1658</v>
      </c>
      <c r="G602" t="s">
        <v>1660</v>
      </c>
      <c r="H602" t="s">
        <v>1659</v>
      </c>
      <c r="I602" t="s">
        <v>38</v>
      </c>
      <c r="J602" t="s">
        <v>7682</v>
      </c>
      <c r="K602" t="s">
        <v>7826</v>
      </c>
      <c r="L602" t="s">
        <v>7826</v>
      </c>
      <c r="N602" t="str" cm="1">
        <f t="array" ref="N602">IFERROR(LOOKUP(2,1/SEARCH($S$2:$S$65,G602),$T$2:$T$65),"Misc")</f>
        <v>OH P/N</v>
      </c>
      <c r="O602" t="str" cm="1">
        <f t="array" ref="O602">IFERROR(LOOKUP(2,1/SEARCH($V$2:$V$65,G602),$W$2:$W$65),"Misc")</f>
        <v>OH Part</v>
      </c>
      <c r="P602" t="str" cm="1">
        <f t="array" ref="P602">IFERROR(LOOKUP(2,1/SEARCH($Y$2:$Y$65,G602),$Z$2:$Z$65),"Not Defined")</f>
        <v>OH Part</v>
      </c>
      <c r="Q602" t="str" cm="1">
        <f t="array" ref="Q602">IFERROR(LOOKUP(2,1/SEARCH($S$2:$S$65,H602),$T$2:$T$65),"-")</f>
        <v>-</v>
      </c>
    </row>
    <row r="603" spans="1:17" hidden="1" x14ac:dyDescent="0.25">
      <c r="A603" t="s">
        <v>7673</v>
      </c>
      <c r="B603" t="s">
        <v>1661</v>
      </c>
      <c r="C603">
        <v>1</v>
      </c>
      <c r="D603" t="s">
        <v>7231</v>
      </c>
      <c r="F603" t="s">
        <v>1662</v>
      </c>
      <c r="G603" t="s">
        <v>1664</v>
      </c>
      <c r="H603" t="s">
        <v>1663</v>
      </c>
      <c r="I603" t="s">
        <v>13</v>
      </c>
      <c r="J603" t="s">
        <v>7682</v>
      </c>
      <c r="K603" t="s">
        <v>7826</v>
      </c>
      <c r="L603" t="s">
        <v>7826</v>
      </c>
      <c r="N603" t="str" cm="1">
        <f t="array" ref="N603">IFERROR(LOOKUP(2,1/SEARCH($S$2:$S$65,G603),$T$2:$T$65),"Misc")</f>
        <v>OH P/N</v>
      </c>
      <c r="O603" t="str" cm="1">
        <f t="array" ref="O603">IFERROR(LOOKUP(2,1/SEARCH($V$2:$V$65,G603),$W$2:$W$65),"Misc")</f>
        <v>OH Part</v>
      </c>
      <c r="P603" t="str" cm="1">
        <f t="array" ref="P603">IFERROR(LOOKUP(2,1/SEARCH($Y$2:$Y$65,G603),$Z$2:$Z$65),"Not Defined")</f>
        <v>OH Part</v>
      </c>
      <c r="Q603" t="str" cm="1">
        <f t="array" ref="Q603">IFERROR(LOOKUP(2,1/SEARCH($S$2:$S$65,H603),$T$2:$T$65),"-")</f>
        <v>-</v>
      </c>
    </row>
    <row r="604" spans="1:17" hidden="1" x14ac:dyDescent="0.25">
      <c r="A604" t="s">
        <v>7673</v>
      </c>
      <c r="B604" t="s">
        <v>1665</v>
      </c>
      <c r="C604">
        <v>1</v>
      </c>
      <c r="D604" t="s">
        <v>7231</v>
      </c>
      <c r="F604" t="s">
        <v>1666</v>
      </c>
      <c r="G604" t="s">
        <v>1668</v>
      </c>
      <c r="H604" t="s">
        <v>1667</v>
      </c>
      <c r="I604" t="s">
        <v>13</v>
      </c>
      <c r="J604" t="s">
        <v>7682</v>
      </c>
      <c r="K604" t="s">
        <v>7826</v>
      </c>
      <c r="L604" t="s">
        <v>7826</v>
      </c>
      <c r="N604" t="str" cm="1">
        <f t="array" ref="N604">IFERROR(LOOKUP(2,1/SEARCH($S$2:$S$65,G604),$T$2:$T$65),"Misc")</f>
        <v>OH P/N</v>
      </c>
      <c r="O604" t="str" cm="1">
        <f t="array" ref="O604">IFERROR(LOOKUP(2,1/SEARCH($V$2:$V$65,G604),$W$2:$W$65),"Misc")</f>
        <v>OH Part</v>
      </c>
      <c r="P604" t="str" cm="1">
        <f t="array" ref="P604">IFERROR(LOOKUP(2,1/SEARCH($Y$2:$Y$65,G604),$Z$2:$Z$65),"Not Defined")</f>
        <v>OH Part</v>
      </c>
      <c r="Q604" t="str" cm="1">
        <f t="array" ref="Q604">IFERROR(LOOKUP(2,1/SEARCH($S$2:$S$65,H604),$T$2:$T$65),"-")</f>
        <v>-</v>
      </c>
    </row>
    <row r="605" spans="1:17" hidden="1" x14ac:dyDescent="0.25">
      <c r="A605" t="s">
        <v>7673</v>
      </c>
      <c r="B605" t="s">
        <v>1669</v>
      </c>
      <c r="C605">
        <v>2</v>
      </c>
      <c r="D605" t="s">
        <v>7231</v>
      </c>
      <c r="F605" t="s">
        <v>1670</v>
      </c>
      <c r="G605" t="s">
        <v>1672</v>
      </c>
      <c r="H605" t="s">
        <v>1671</v>
      </c>
      <c r="I605" t="s">
        <v>13</v>
      </c>
      <c r="J605" t="s">
        <v>7682</v>
      </c>
      <c r="K605" t="s">
        <v>7826</v>
      </c>
      <c r="L605" t="s">
        <v>7826</v>
      </c>
      <c r="N605" t="str" cm="1">
        <f t="array" ref="N605">IFERROR(LOOKUP(2,1/SEARCH($S$2:$S$65,G605),$T$2:$T$65),"Misc")</f>
        <v>OH P/N</v>
      </c>
      <c r="O605" t="str" cm="1">
        <f t="array" ref="O605">IFERROR(LOOKUP(2,1/SEARCH($V$2:$V$65,G605),$W$2:$W$65),"Misc")</f>
        <v>OH Part</v>
      </c>
      <c r="P605" t="str" cm="1">
        <f t="array" ref="P605">IFERROR(LOOKUP(2,1/SEARCH($Y$2:$Y$65,G605),$Z$2:$Z$65),"Not Defined")</f>
        <v>OH Part</v>
      </c>
      <c r="Q605" t="str" cm="1">
        <f t="array" ref="Q605">IFERROR(LOOKUP(2,1/SEARCH($S$2:$S$65,H605),$T$2:$T$65),"-")</f>
        <v>-</v>
      </c>
    </row>
    <row r="606" spans="1:17" hidden="1" x14ac:dyDescent="0.25">
      <c r="A606" t="s">
        <v>7673</v>
      </c>
      <c r="B606" t="s">
        <v>1673</v>
      </c>
      <c r="C606">
        <v>2</v>
      </c>
      <c r="D606" t="s">
        <v>7231</v>
      </c>
      <c r="F606" t="s">
        <v>1674</v>
      </c>
      <c r="G606" t="s">
        <v>1676</v>
      </c>
      <c r="H606" t="s">
        <v>1675</v>
      </c>
      <c r="I606" t="s">
        <v>13</v>
      </c>
      <c r="J606" t="s">
        <v>7682</v>
      </c>
      <c r="K606" t="s">
        <v>7826</v>
      </c>
      <c r="L606" t="s">
        <v>7826</v>
      </c>
      <c r="N606" t="str" cm="1">
        <f t="array" ref="N606">IFERROR(LOOKUP(2,1/SEARCH($S$2:$S$65,G606),$T$2:$T$65),"Misc")</f>
        <v>OH P/N</v>
      </c>
      <c r="O606" t="str" cm="1">
        <f t="array" ref="O606">IFERROR(LOOKUP(2,1/SEARCH($V$2:$V$65,G606),$W$2:$W$65),"Misc")</f>
        <v>OH Part</v>
      </c>
      <c r="P606" t="str" cm="1">
        <f t="array" ref="P606">IFERROR(LOOKUP(2,1/SEARCH($Y$2:$Y$65,G606),$Z$2:$Z$65),"Not Defined")</f>
        <v>OH Part</v>
      </c>
      <c r="Q606" t="str" cm="1">
        <f t="array" ref="Q606">IFERROR(LOOKUP(2,1/SEARCH($S$2:$S$65,H606),$T$2:$T$65),"-")</f>
        <v>-</v>
      </c>
    </row>
    <row r="607" spans="1:17" hidden="1" x14ac:dyDescent="0.25">
      <c r="A607" t="s">
        <v>7673</v>
      </c>
      <c r="B607" t="s">
        <v>1677</v>
      </c>
      <c r="C607">
        <v>2</v>
      </c>
      <c r="D607" t="s">
        <v>7231</v>
      </c>
      <c r="F607" t="s">
        <v>1678</v>
      </c>
      <c r="G607" t="s">
        <v>1680</v>
      </c>
      <c r="H607" t="s">
        <v>1679</v>
      </c>
      <c r="I607" t="s">
        <v>13</v>
      </c>
      <c r="J607" t="s">
        <v>7682</v>
      </c>
      <c r="K607" t="s">
        <v>7736</v>
      </c>
      <c r="L607" t="s">
        <v>7736</v>
      </c>
      <c r="N607" t="str" cm="1">
        <f t="array" ref="N607">IFERROR(LOOKUP(2,1/SEARCH($S$2:$S$65,G607),$T$2:$T$65),"Misc")</f>
        <v>OH P/N</v>
      </c>
      <c r="O607" t="str" cm="1">
        <f t="array" ref="O607">IFERROR(LOOKUP(2,1/SEARCH($V$2:$V$65,G607),$W$2:$W$65),"Misc")</f>
        <v>DISPLAY</v>
      </c>
      <c r="P607" t="str" cm="1">
        <f t="array" ref="P607">IFERROR(LOOKUP(2,1/SEARCH($Y$2:$Y$65,G607),$Z$2:$Z$65),"Not Defined")</f>
        <v>DISPLAY</v>
      </c>
      <c r="Q607" t="str" cm="1">
        <f t="array" ref="Q607">IFERROR(LOOKUP(2,1/SEARCH($S$2:$S$65,H607),$T$2:$T$65),"-")</f>
        <v>COTS</v>
      </c>
    </row>
    <row r="608" spans="1:17" hidden="1" x14ac:dyDescent="0.25">
      <c r="A608" t="s">
        <v>7673</v>
      </c>
      <c r="B608" t="s">
        <v>1681</v>
      </c>
      <c r="C608">
        <v>1</v>
      </c>
      <c r="D608" t="s">
        <v>7231</v>
      </c>
      <c r="F608" t="s">
        <v>1682</v>
      </c>
      <c r="G608" t="s">
        <v>1684</v>
      </c>
      <c r="H608" t="s">
        <v>1683</v>
      </c>
      <c r="I608" t="s">
        <v>13</v>
      </c>
      <c r="J608" t="s">
        <v>7682</v>
      </c>
      <c r="K608" t="s">
        <v>7826</v>
      </c>
      <c r="L608" t="s">
        <v>7826</v>
      </c>
      <c r="N608" t="str" cm="1">
        <f t="array" ref="N608">IFERROR(LOOKUP(2,1/SEARCH($S$2:$S$65,G608),$T$2:$T$65),"Misc")</f>
        <v>OH P/N</v>
      </c>
      <c r="O608" t="str" cm="1">
        <f t="array" ref="O608">IFERROR(LOOKUP(2,1/SEARCH($V$2:$V$65,G608),$W$2:$W$65),"Misc")</f>
        <v>OH Part</v>
      </c>
      <c r="P608" t="str" cm="1">
        <f t="array" ref="P608">IFERROR(LOOKUP(2,1/SEARCH($Y$2:$Y$65,G608),$Z$2:$Z$65),"Not Defined")</f>
        <v>OH Part</v>
      </c>
      <c r="Q608" t="str" cm="1">
        <f t="array" ref="Q608">IFERROR(LOOKUP(2,1/SEARCH($S$2:$S$65,H608),$T$2:$T$65),"-")</f>
        <v>-</v>
      </c>
    </row>
    <row r="609" spans="1:17" hidden="1" x14ac:dyDescent="0.25">
      <c r="A609" t="s">
        <v>7673</v>
      </c>
      <c r="B609" t="s">
        <v>1685</v>
      </c>
      <c r="C609">
        <v>1</v>
      </c>
      <c r="D609" t="s">
        <v>7231</v>
      </c>
      <c r="F609" t="s">
        <v>1686</v>
      </c>
      <c r="G609" t="s">
        <v>1688</v>
      </c>
      <c r="H609" t="s">
        <v>1687</v>
      </c>
      <c r="I609" t="s">
        <v>13</v>
      </c>
      <c r="J609" t="s">
        <v>7682</v>
      </c>
      <c r="K609" t="s">
        <v>7826</v>
      </c>
      <c r="L609" t="s">
        <v>7826</v>
      </c>
      <c r="N609" t="str" cm="1">
        <f t="array" ref="N609">IFERROR(LOOKUP(2,1/SEARCH($S$2:$S$65,G609),$T$2:$T$65),"Misc")</f>
        <v>OH P/N</v>
      </c>
      <c r="O609" t="str" cm="1">
        <f t="array" ref="O609">IFERROR(LOOKUP(2,1/SEARCH($V$2:$V$65,G609),$W$2:$W$65),"Misc")</f>
        <v>OH Part</v>
      </c>
      <c r="P609" t="str" cm="1">
        <f t="array" ref="P609">IFERROR(LOOKUP(2,1/SEARCH($Y$2:$Y$65,G609),$Z$2:$Z$65),"Not Defined")</f>
        <v>OH Part</v>
      </c>
      <c r="Q609" t="str" cm="1">
        <f t="array" ref="Q609">IFERROR(LOOKUP(2,1/SEARCH($S$2:$S$65,H609),$T$2:$T$65),"-")</f>
        <v>COTS</v>
      </c>
    </row>
    <row r="610" spans="1:17" hidden="1" x14ac:dyDescent="0.25">
      <c r="A610" t="s">
        <v>7673</v>
      </c>
      <c r="B610" t="s">
        <v>1689</v>
      </c>
      <c r="C610">
        <v>1</v>
      </c>
      <c r="D610" t="s">
        <v>7231</v>
      </c>
      <c r="F610" t="s">
        <v>1690</v>
      </c>
      <c r="G610" t="s">
        <v>1692</v>
      </c>
      <c r="H610" t="s">
        <v>1691</v>
      </c>
      <c r="I610" t="s">
        <v>13</v>
      </c>
      <c r="J610" t="s">
        <v>7682</v>
      </c>
      <c r="K610" t="s">
        <v>7826</v>
      </c>
      <c r="L610" t="s">
        <v>7826</v>
      </c>
      <c r="N610" t="str" cm="1">
        <f t="array" ref="N610">IFERROR(LOOKUP(2,1/SEARCH($S$2:$S$65,G610),$T$2:$T$65),"Misc")</f>
        <v>OH P/N</v>
      </c>
      <c r="O610" t="str" cm="1">
        <f t="array" ref="O610">IFERROR(LOOKUP(2,1/SEARCH($V$2:$V$65,G610),$W$2:$W$65),"Misc")</f>
        <v>OH Part</v>
      </c>
      <c r="P610" t="str" cm="1">
        <f t="array" ref="P610">IFERROR(LOOKUP(2,1/SEARCH($Y$2:$Y$65,G610),$Z$2:$Z$65),"Not Defined")</f>
        <v>OH Part</v>
      </c>
      <c r="Q610" t="str" cm="1">
        <f t="array" ref="Q610">IFERROR(LOOKUP(2,1/SEARCH($S$2:$S$65,H610),$T$2:$T$65),"-")</f>
        <v>COTS</v>
      </c>
    </row>
    <row r="611" spans="1:17" hidden="1" x14ac:dyDescent="0.25">
      <c r="A611" t="s">
        <v>7673</v>
      </c>
      <c r="B611" t="s">
        <v>1693</v>
      </c>
      <c r="C611">
        <v>2</v>
      </c>
      <c r="D611" t="s">
        <v>7231</v>
      </c>
      <c r="F611" t="s">
        <v>1262</v>
      </c>
      <c r="G611" t="s">
        <v>1695</v>
      </c>
      <c r="H611" t="s">
        <v>1694</v>
      </c>
      <c r="I611" t="s">
        <v>1265</v>
      </c>
      <c r="J611" t="s">
        <v>7703</v>
      </c>
      <c r="K611" t="s">
        <v>7814</v>
      </c>
      <c r="L611" t="s">
        <v>7834</v>
      </c>
      <c r="N611" t="str" cm="1">
        <f t="array" ref="N611">IFERROR(LOOKUP(2,1/SEARCH($S$2:$S$65,G611),$T$2:$T$65),"Misc")</f>
        <v>Misc</v>
      </c>
      <c r="O611" t="str" cm="1">
        <f t="array" ref="O611">IFERROR(LOOKUP(2,1/SEARCH($V$2:$V$65,G611),$W$2:$W$65),"Misc")</f>
        <v>Misc</v>
      </c>
      <c r="P611" t="str" cm="1">
        <f t="array" ref="P611">IFERROR(LOOKUP(2,1/SEARCH($Y$2:$Y$65,G611),$Z$2:$Z$65),"Not Defined")</f>
        <v>Not Defined</v>
      </c>
      <c r="Q611" t="str" cm="1">
        <f t="array" ref="Q611">IFERROR(LOOKUP(2,1/SEARCH($S$2:$S$65,H611),$T$2:$T$65),"-")</f>
        <v>-</v>
      </c>
    </row>
    <row r="612" spans="1:17" hidden="1" x14ac:dyDescent="0.25">
      <c r="A612" t="s">
        <v>7673</v>
      </c>
      <c r="B612" t="s">
        <v>1696</v>
      </c>
      <c r="C612">
        <v>1</v>
      </c>
      <c r="D612" t="s">
        <v>7231</v>
      </c>
      <c r="F612" t="s">
        <v>1697</v>
      </c>
      <c r="G612" t="s">
        <v>1699</v>
      </c>
      <c r="H612" t="s">
        <v>1698</v>
      </c>
      <c r="I612" t="s">
        <v>13</v>
      </c>
      <c r="J612" t="s">
        <v>7682</v>
      </c>
      <c r="K612" t="s">
        <v>7826</v>
      </c>
      <c r="L612" t="s">
        <v>7826</v>
      </c>
      <c r="N612" t="str" cm="1">
        <f t="array" ref="N612">IFERROR(LOOKUP(2,1/SEARCH($S$2:$S$65,G612),$T$2:$T$65),"Misc")</f>
        <v>OH P/N</v>
      </c>
      <c r="O612" t="str" cm="1">
        <f t="array" ref="O612">IFERROR(LOOKUP(2,1/SEARCH($V$2:$V$65,G612),$W$2:$W$65),"Misc")</f>
        <v>OH Part</v>
      </c>
      <c r="P612" t="str" cm="1">
        <f t="array" ref="P612">IFERROR(LOOKUP(2,1/SEARCH($Y$2:$Y$65,G612),$Z$2:$Z$65),"Not Defined")</f>
        <v>OH Part</v>
      </c>
      <c r="Q612" t="str" cm="1">
        <f t="array" ref="Q612">IFERROR(LOOKUP(2,1/SEARCH($S$2:$S$65,H612),$T$2:$T$65),"-")</f>
        <v>-</v>
      </c>
    </row>
    <row r="613" spans="1:17" hidden="1" x14ac:dyDescent="0.25">
      <c r="A613" t="s">
        <v>7673</v>
      </c>
      <c r="B613" t="s">
        <v>1700</v>
      </c>
      <c r="C613">
        <v>1</v>
      </c>
      <c r="D613" t="s">
        <v>7231</v>
      </c>
      <c r="F613" t="s">
        <v>1701</v>
      </c>
      <c r="G613" t="s">
        <v>1703</v>
      </c>
      <c r="H613" t="s">
        <v>1702</v>
      </c>
      <c r="I613" t="s">
        <v>38</v>
      </c>
      <c r="J613" t="s">
        <v>7682</v>
      </c>
      <c r="K613" t="s">
        <v>7826</v>
      </c>
      <c r="L613" t="s">
        <v>7826</v>
      </c>
      <c r="N613" t="str" cm="1">
        <f t="array" ref="N613">IFERROR(LOOKUP(2,1/SEARCH($S$2:$S$65,G613),$T$2:$T$65),"Misc")</f>
        <v>OH P/N</v>
      </c>
      <c r="O613" t="str" cm="1">
        <f t="array" ref="O613">IFERROR(LOOKUP(2,1/SEARCH($V$2:$V$65,G613),$W$2:$W$65),"Misc")</f>
        <v>OH Part</v>
      </c>
      <c r="P613" t="str" cm="1">
        <f t="array" ref="P613">IFERROR(LOOKUP(2,1/SEARCH($Y$2:$Y$65,G613),$Z$2:$Z$65),"Not Defined")</f>
        <v>OH Part</v>
      </c>
      <c r="Q613" t="str" cm="1">
        <f t="array" ref="Q613">IFERROR(LOOKUP(2,1/SEARCH($S$2:$S$65,H613),$T$2:$T$65),"-")</f>
        <v>-</v>
      </c>
    </row>
    <row r="614" spans="1:17" hidden="1" x14ac:dyDescent="0.25">
      <c r="A614" t="s">
        <v>7673</v>
      </c>
      <c r="B614" t="s">
        <v>1704</v>
      </c>
      <c r="C614">
        <v>1</v>
      </c>
      <c r="D614" t="s">
        <v>7231</v>
      </c>
      <c r="F614" t="s">
        <v>1705</v>
      </c>
      <c r="G614" t="s">
        <v>1707</v>
      </c>
      <c r="H614" t="s">
        <v>1706</v>
      </c>
      <c r="I614" t="s">
        <v>26</v>
      </c>
      <c r="J614" t="s">
        <v>7682</v>
      </c>
      <c r="K614" t="s">
        <v>7826</v>
      </c>
      <c r="L614" t="s">
        <v>7826</v>
      </c>
      <c r="N614" t="str" cm="1">
        <f t="array" ref="N614">IFERROR(LOOKUP(2,1/SEARCH($S$2:$S$65,G614),$T$2:$T$65),"Misc")</f>
        <v>OH P/N</v>
      </c>
      <c r="O614" t="str" cm="1">
        <f t="array" ref="O614">IFERROR(LOOKUP(2,1/SEARCH($V$2:$V$65,G614),$W$2:$W$65),"Misc")</f>
        <v>OH Part</v>
      </c>
      <c r="P614" t="str" cm="1">
        <f t="array" ref="P614">IFERROR(LOOKUP(2,1/SEARCH($Y$2:$Y$65,G614),$Z$2:$Z$65),"Not Defined")</f>
        <v>OH Part</v>
      </c>
      <c r="Q614" t="str" cm="1">
        <f t="array" ref="Q614">IFERROR(LOOKUP(2,1/SEARCH($S$2:$S$65,H614),$T$2:$T$65),"-")</f>
        <v>-</v>
      </c>
    </row>
    <row r="615" spans="1:17" hidden="1" x14ac:dyDescent="0.25">
      <c r="A615" t="s">
        <v>7673</v>
      </c>
      <c r="B615" t="s">
        <v>1708</v>
      </c>
      <c r="C615">
        <v>1</v>
      </c>
      <c r="D615" t="s">
        <v>7231</v>
      </c>
      <c r="F615" t="s">
        <v>1606</v>
      </c>
      <c r="G615" t="s">
        <v>1709</v>
      </c>
      <c r="H615" t="s">
        <v>1607</v>
      </c>
      <c r="I615" t="s">
        <v>1265</v>
      </c>
      <c r="J615" t="s">
        <v>7703</v>
      </c>
      <c r="K615" t="s">
        <v>7814</v>
      </c>
      <c r="L615" t="s">
        <v>7726</v>
      </c>
      <c r="N615" t="str" cm="1">
        <f t="array" ref="N615">IFERROR(LOOKUP(2,1/SEARCH($S$2:$S$65,G615),$T$2:$T$65),"Misc")</f>
        <v>COTS</v>
      </c>
      <c r="O615" t="str" cm="1">
        <f t="array" ref="O615">IFERROR(LOOKUP(2,1/SEARCH($V$2:$V$65,G615),$W$2:$W$65),"Misc")</f>
        <v>Misc</v>
      </c>
      <c r="P615" t="str" cm="1">
        <f t="array" ref="P615">IFERROR(LOOKUP(2,1/SEARCH($Y$2:$Y$65,G615),$Z$2:$Z$65),"Not Defined")</f>
        <v>RUBBER</v>
      </c>
      <c r="Q615" t="str" cm="1">
        <f t="array" ref="Q615">IFERROR(LOOKUP(2,1/SEARCH($S$2:$S$65,H615),$T$2:$T$65),"-")</f>
        <v>COTS</v>
      </c>
    </row>
    <row r="616" spans="1:17" hidden="1" x14ac:dyDescent="0.25">
      <c r="A616" t="s">
        <v>7673</v>
      </c>
      <c r="B616" t="s">
        <v>1710</v>
      </c>
      <c r="C616">
        <v>1</v>
      </c>
      <c r="D616" t="s">
        <v>7231</v>
      </c>
      <c r="F616" t="s">
        <v>1606</v>
      </c>
      <c r="G616" t="s">
        <v>1711</v>
      </c>
      <c r="H616" t="s">
        <v>1611</v>
      </c>
      <c r="I616" t="s">
        <v>1265</v>
      </c>
      <c r="J616" t="s">
        <v>7703</v>
      </c>
      <c r="K616" t="s">
        <v>7814</v>
      </c>
      <c r="L616" t="s">
        <v>7726</v>
      </c>
      <c r="N616" t="str" cm="1">
        <f t="array" ref="N616">IFERROR(LOOKUP(2,1/SEARCH($S$2:$S$65,G616),$T$2:$T$65),"Misc")</f>
        <v>COTS</v>
      </c>
      <c r="O616" t="str" cm="1">
        <f t="array" ref="O616">IFERROR(LOOKUP(2,1/SEARCH($V$2:$V$65,G616),$W$2:$W$65),"Misc")</f>
        <v>Misc</v>
      </c>
      <c r="P616" t="str" cm="1">
        <f t="array" ref="P616">IFERROR(LOOKUP(2,1/SEARCH($Y$2:$Y$65,G616),$Z$2:$Z$65),"Not Defined")</f>
        <v>RUBBER</v>
      </c>
      <c r="Q616" t="str" cm="1">
        <f t="array" ref="Q616">IFERROR(LOOKUP(2,1/SEARCH($S$2:$S$65,H616),$T$2:$T$65),"-")</f>
        <v>COTS</v>
      </c>
    </row>
    <row r="617" spans="1:17" hidden="1" x14ac:dyDescent="0.25">
      <c r="A617" t="s">
        <v>7673</v>
      </c>
      <c r="B617" t="s">
        <v>1712</v>
      </c>
      <c r="C617">
        <v>2</v>
      </c>
      <c r="D617" t="s">
        <v>7231</v>
      </c>
      <c r="F617" t="s">
        <v>545</v>
      </c>
      <c r="G617" t="s">
        <v>547</v>
      </c>
      <c r="H617" t="s">
        <v>546</v>
      </c>
      <c r="I617" t="s">
        <v>1265</v>
      </c>
      <c r="J617" t="s">
        <v>7703</v>
      </c>
      <c r="K617" t="s">
        <v>7814</v>
      </c>
      <c r="L617" t="s">
        <v>7730</v>
      </c>
      <c r="N617" t="str" cm="1">
        <f t="array" ref="N617">IFERROR(LOOKUP(2,1/SEARCH($S$2:$S$65,G617),$T$2:$T$65),"Misc")</f>
        <v>COTS</v>
      </c>
      <c r="O617" t="str" cm="1">
        <f t="array" ref="O617">IFERROR(LOOKUP(2,1/SEARCH($V$2:$V$65,G617),$W$2:$W$65),"Misc")</f>
        <v>Misc</v>
      </c>
      <c r="P617" t="str" cm="1">
        <f t="array" ref="P617">IFERROR(LOOKUP(2,1/SEARCH($Y$2:$Y$65,G617),$Z$2:$Z$65),"Not Defined")</f>
        <v>TAPE</v>
      </c>
      <c r="Q617" t="str" cm="1">
        <f t="array" ref="Q617">IFERROR(LOOKUP(2,1/SEARCH($S$2:$S$65,H617),$T$2:$T$65),"-")</f>
        <v>COTS</v>
      </c>
    </row>
    <row r="618" spans="1:17" hidden="1" x14ac:dyDescent="0.25">
      <c r="A618" t="s">
        <v>7673</v>
      </c>
      <c r="B618" t="s">
        <v>1713</v>
      </c>
      <c r="C618">
        <v>2</v>
      </c>
      <c r="D618" t="s">
        <v>7231</v>
      </c>
      <c r="F618" t="s">
        <v>545</v>
      </c>
      <c r="G618" t="s">
        <v>1252</v>
      </c>
      <c r="H618" t="s">
        <v>1251</v>
      </c>
      <c r="I618" t="s">
        <v>1265</v>
      </c>
      <c r="J618" t="s">
        <v>7703</v>
      </c>
      <c r="K618" t="s">
        <v>7814</v>
      </c>
      <c r="L618" t="s">
        <v>7730</v>
      </c>
      <c r="N618" t="str" cm="1">
        <f t="array" ref="N618">IFERROR(LOOKUP(2,1/SEARCH($S$2:$S$65,G618),$T$2:$T$65),"Misc")</f>
        <v>COTS</v>
      </c>
      <c r="O618" t="str" cm="1">
        <f t="array" ref="O618">IFERROR(LOOKUP(2,1/SEARCH($V$2:$V$65,G618),$W$2:$W$65),"Misc")</f>
        <v>Misc</v>
      </c>
      <c r="P618" t="str" cm="1">
        <f t="array" ref="P618">IFERROR(LOOKUP(2,1/SEARCH($Y$2:$Y$65,G618),$Z$2:$Z$65),"Not Defined")</f>
        <v>TAPE</v>
      </c>
      <c r="Q618" t="str" cm="1">
        <f t="array" ref="Q618">IFERROR(LOOKUP(2,1/SEARCH($S$2:$S$65,H618),$T$2:$T$65),"-")</f>
        <v>COTS</v>
      </c>
    </row>
    <row r="619" spans="1:17" hidden="1" x14ac:dyDescent="0.25">
      <c r="A619" t="s">
        <v>7673</v>
      </c>
      <c r="B619" t="s">
        <v>1714</v>
      </c>
      <c r="C619">
        <v>1</v>
      </c>
      <c r="D619" t="s">
        <v>7231</v>
      </c>
      <c r="F619" t="s">
        <v>1715</v>
      </c>
      <c r="G619" t="s">
        <v>1717</v>
      </c>
      <c r="H619" t="s">
        <v>1716</v>
      </c>
      <c r="I619" t="s">
        <v>13</v>
      </c>
      <c r="J619" t="s">
        <v>7682</v>
      </c>
      <c r="K619" t="s">
        <v>7826</v>
      </c>
      <c r="L619" t="s">
        <v>7826</v>
      </c>
      <c r="N619" t="str" cm="1">
        <f t="array" ref="N619">IFERROR(LOOKUP(2,1/SEARCH($S$2:$S$65,G619),$T$2:$T$65),"Misc")</f>
        <v>OH P/N</v>
      </c>
      <c r="O619" t="str" cm="1">
        <f t="array" ref="O619">IFERROR(LOOKUP(2,1/SEARCH($V$2:$V$65,G619),$W$2:$W$65),"Misc")</f>
        <v>OH Part</v>
      </c>
      <c r="P619" t="str" cm="1">
        <f t="array" ref="P619">IFERROR(LOOKUP(2,1/SEARCH($Y$2:$Y$65,G619),$Z$2:$Z$65),"Not Defined")</f>
        <v>OH Part</v>
      </c>
      <c r="Q619" t="str" cm="1">
        <f t="array" ref="Q619">IFERROR(LOOKUP(2,1/SEARCH($S$2:$S$65,H619),$T$2:$T$65),"-")</f>
        <v>-</v>
      </c>
    </row>
    <row r="620" spans="1:17" hidden="1" x14ac:dyDescent="0.25">
      <c r="A620" t="s">
        <v>7673</v>
      </c>
      <c r="B620" s="2" t="s">
        <v>1718</v>
      </c>
      <c r="C620" s="3">
        <v>2</v>
      </c>
      <c r="D620" t="s">
        <v>7233</v>
      </c>
      <c r="F620" t="s">
        <v>1719</v>
      </c>
      <c r="G620" t="s">
        <v>7233</v>
      </c>
      <c r="H620" t="s">
        <v>1720</v>
      </c>
      <c r="J620" t="s">
        <v>7742</v>
      </c>
      <c r="K620" t="s">
        <v>7826</v>
      </c>
      <c r="L620" t="s">
        <v>7826</v>
      </c>
      <c r="N620" t="str" cm="1">
        <f t="array" ref="N620">IFERROR(LOOKUP(2,1/SEARCH($S$2:$S$65,G620),$T$2:$T$65),"Misc")</f>
        <v>OH ASSY</v>
      </c>
      <c r="O620" t="str" cm="1">
        <f t="array" ref="O620">IFERROR(LOOKUP(2,1/SEARCH($V$2:$V$65,G620),$W$2:$W$65),"Misc")</f>
        <v>OH Part</v>
      </c>
      <c r="P620" t="str" cm="1">
        <f t="array" ref="P620">IFERROR(LOOKUP(2,1/SEARCH($Y$2:$Y$65,G620),$Z$2:$Z$65),"Not Defined")</f>
        <v>OH Part</v>
      </c>
      <c r="Q620" t="str" cm="1">
        <f t="array" ref="Q620">IFERROR(LOOKUP(2,1/SEARCH($S$2:$S$65,H620),$T$2:$T$65),"-")</f>
        <v>OH ASSY</v>
      </c>
    </row>
    <row r="621" spans="1:17" hidden="1" x14ac:dyDescent="0.25">
      <c r="A621" t="s">
        <v>7673</v>
      </c>
      <c r="B621" s="2" t="s">
        <v>1721</v>
      </c>
      <c r="C621" s="4">
        <v>1</v>
      </c>
      <c r="D621" t="s">
        <v>7233</v>
      </c>
      <c r="F621" t="s">
        <v>1722</v>
      </c>
      <c r="G621" t="s">
        <v>1724</v>
      </c>
      <c r="H621" t="s">
        <v>1723</v>
      </c>
      <c r="I621" t="s">
        <v>13</v>
      </c>
      <c r="J621" t="s">
        <v>7682</v>
      </c>
      <c r="K621" t="s">
        <v>7826</v>
      </c>
      <c r="L621" t="s">
        <v>7826</v>
      </c>
      <c r="N621" t="str" cm="1">
        <f t="array" ref="N621">IFERROR(LOOKUP(2,1/SEARCH($S$2:$S$65,G621),$T$2:$T$65),"Misc")</f>
        <v>OH P/N</v>
      </c>
      <c r="O621" t="str" cm="1">
        <f t="array" ref="O621">IFERROR(LOOKUP(2,1/SEARCH($V$2:$V$65,G621),$W$2:$W$65),"Misc")</f>
        <v>OH Part</v>
      </c>
      <c r="P621" t="str" cm="1">
        <f t="array" ref="P621">IFERROR(LOOKUP(2,1/SEARCH($Y$2:$Y$65,G621),$Z$2:$Z$65),"Not Defined")</f>
        <v>OH Part</v>
      </c>
      <c r="Q621" t="str" cm="1">
        <f t="array" ref="Q621">IFERROR(LOOKUP(2,1/SEARCH($S$2:$S$65,H621),$T$2:$T$65),"-")</f>
        <v>-</v>
      </c>
    </row>
    <row r="622" spans="1:17" hidden="1" x14ac:dyDescent="0.25">
      <c r="A622" t="s">
        <v>7673</v>
      </c>
      <c r="B622" s="2" t="s">
        <v>1725</v>
      </c>
      <c r="C622" s="4">
        <v>20</v>
      </c>
      <c r="D622" t="s">
        <v>7233</v>
      </c>
      <c r="F622" t="s">
        <v>1726</v>
      </c>
      <c r="G622" t="s">
        <v>1728</v>
      </c>
      <c r="H622" t="s">
        <v>1727</v>
      </c>
      <c r="I622" t="s">
        <v>358</v>
      </c>
      <c r="J622" t="s">
        <v>7682</v>
      </c>
      <c r="K622" t="s">
        <v>7826</v>
      </c>
      <c r="L622" t="s">
        <v>7826</v>
      </c>
      <c r="N622" t="str" cm="1">
        <f t="array" ref="N622">IFERROR(LOOKUP(2,1/SEARCH($S$2:$S$65,G622),$T$2:$T$65),"Misc")</f>
        <v>OH P/N</v>
      </c>
      <c r="O622" t="str" cm="1">
        <f t="array" ref="O622">IFERROR(LOOKUP(2,1/SEARCH($V$2:$V$65,G622),$W$2:$W$65),"Misc")</f>
        <v>OH Part</v>
      </c>
      <c r="P622" t="str" cm="1">
        <f t="array" ref="P622">IFERROR(LOOKUP(2,1/SEARCH($Y$2:$Y$65,G622),$Z$2:$Z$65),"Not Defined")</f>
        <v>OH Part</v>
      </c>
      <c r="Q622" t="str" cm="1">
        <f t="array" ref="Q622">IFERROR(LOOKUP(2,1/SEARCH($S$2:$S$65,H622),$T$2:$T$65),"-")</f>
        <v>-</v>
      </c>
    </row>
    <row r="623" spans="1:17" hidden="1" x14ac:dyDescent="0.25">
      <c r="A623" t="s">
        <v>7673</v>
      </c>
      <c r="B623" s="2" t="s">
        <v>1729</v>
      </c>
      <c r="C623" s="4">
        <v>20</v>
      </c>
      <c r="D623" t="s">
        <v>7233</v>
      </c>
      <c r="F623" t="s">
        <v>1730</v>
      </c>
      <c r="G623" t="s">
        <v>1732</v>
      </c>
      <c r="H623" t="s">
        <v>1731</v>
      </c>
      <c r="I623" t="s">
        <v>358</v>
      </c>
      <c r="J623" t="s">
        <v>7682</v>
      </c>
      <c r="K623" t="s">
        <v>7826</v>
      </c>
      <c r="L623" t="s">
        <v>7826</v>
      </c>
      <c r="N623" t="str" cm="1">
        <f t="array" ref="N623">IFERROR(LOOKUP(2,1/SEARCH($S$2:$S$65,G623),$T$2:$T$65),"Misc")</f>
        <v>OH P/N</v>
      </c>
      <c r="O623" t="str" cm="1">
        <f t="array" ref="O623">IFERROR(LOOKUP(2,1/SEARCH($V$2:$V$65,G623),$W$2:$W$65),"Misc")</f>
        <v>OH Part</v>
      </c>
      <c r="P623" t="str" cm="1">
        <f t="array" ref="P623">IFERROR(LOOKUP(2,1/SEARCH($Y$2:$Y$65,G623),$Z$2:$Z$65),"Not Defined")</f>
        <v>OH Part</v>
      </c>
      <c r="Q623" t="str" cm="1">
        <f t="array" ref="Q623">IFERROR(LOOKUP(2,1/SEARCH($S$2:$S$65,H623),$T$2:$T$65),"-")</f>
        <v>COTS</v>
      </c>
    </row>
    <row r="624" spans="1:17" hidden="1" x14ac:dyDescent="0.25">
      <c r="A624" t="s">
        <v>7673</v>
      </c>
      <c r="B624" s="2" t="s">
        <v>1733</v>
      </c>
      <c r="C624" s="4">
        <v>1</v>
      </c>
      <c r="D624" t="s">
        <v>7233</v>
      </c>
      <c r="F624" t="s">
        <v>1734</v>
      </c>
      <c r="G624" t="s">
        <v>1736</v>
      </c>
      <c r="H624" t="s">
        <v>1735</v>
      </c>
      <c r="I624" t="s">
        <v>255</v>
      </c>
      <c r="J624" t="s">
        <v>7682</v>
      </c>
      <c r="K624" t="s">
        <v>7826</v>
      </c>
      <c r="L624" t="s">
        <v>7826</v>
      </c>
      <c r="N624" t="str" cm="1">
        <f t="array" ref="N624">IFERROR(LOOKUP(2,1/SEARCH($S$2:$S$65,G624),$T$2:$T$65),"Misc")</f>
        <v>OH P/N</v>
      </c>
      <c r="O624" t="str" cm="1">
        <f t="array" ref="O624">IFERROR(LOOKUP(2,1/SEARCH($V$2:$V$65,G624),$W$2:$W$65),"Misc")</f>
        <v>OH Part</v>
      </c>
      <c r="P624" t="str" cm="1">
        <f t="array" ref="P624">IFERROR(LOOKUP(2,1/SEARCH($Y$2:$Y$65,G624),$Z$2:$Z$65),"Not Defined")</f>
        <v>OH Part</v>
      </c>
      <c r="Q624" t="str" cm="1">
        <f t="array" ref="Q624">IFERROR(LOOKUP(2,1/SEARCH($S$2:$S$65,H624),$T$2:$T$65),"-")</f>
        <v>-</v>
      </c>
    </row>
    <row r="625" spans="1:17" hidden="1" x14ac:dyDescent="0.25">
      <c r="A625" t="s">
        <v>7673</v>
      </c>
      <c r="B625" s="2" t="s">
        <v>1737</v>
      </c>
      <c r="C625" s="4">
        <v>1</v>
      </c>
      <c r="D625" t="s">
        <v>7233</v>
      </c>
      <c r="F625" t="s">
        <v>1738</v>
      </c>
      <c r="G625" t="s">
        <v>1740</v>
      </c>
      <c r="H625" t="s">
        <v>1739</v>
      </c>
      <c r="I625" t="s">
        <v>281</v>
      </c>
      <c r="J625" t="s">
        <v>7682</v>
      </c>
      <c r="K625" t="s">
        <v>7826</v>
      </c>
      <c r="L625" t="s">
        <v>7826</v>
      </c>
      <c r="N625" t="str" cm="1">
        <f t="array" ref="N625">IFERROR(LOOKUP(2,1/SEARCH($S$2:$S$65,G625),$T$2:$T$65),"Misc")</f>
        <v>OH P/N</v>
      </c>
      <c r="O625" t="str" cm="1">
        <f t="array" ref="O625">IFERROR(LOOKUP(2,1/SEARCH($V$2:$V$65,G625),$W$2:$W$65),"Misc")</f>
        <v>OH Part</v>
      </c>
      <c r="P625" t="str" cm="1">
        <f t="array" ref="P625">IFERROR(LOOKUP(2,1/SEARCH($Y$2:$Y$65,G625),$Z$2:$Z$65),"Not Defined")</f>
        <v>OH Part</v>
      </c>
      <c r="Q625" t="str" cm="1">
        <f t="array" ref="Q625">IFERROR(LOOKUP(2,1/SEARCH($S$2:$S$65,H625),$T$2:$T$65),"-")</f>
        <v>-</v>
      </c>
    </row>
    <row r="626" spans="1:17" hidden="1" x14ac:dyDescent="0.25">
      <c r="A626" t="s">
        <v>7673</v>
      </c>
      <c r="B626" s="2" t="s">
        <v>1741</v>
      </c>
      <c r="C626" s="4">
        <v>1</v>
      </c>
      <c r="D626" t="s">
        <v>7233</v>
      </c>
      <c r="F626" t="s">
        <v>1742</v>
      </c>
      <c r="G626" t="s">
        <v>1744</v>
      </c>
      <c r="H626" t="s">
        <v>1743</v>
      </c>
      <c r="I626" t="s">
        <v>281</v>
      </c>
      <c r="J626" t="s">
        <v>7682</v>
      </c>
      <c r="K626" t="s">
        <v>7826</v>
      </c>
      <c r="L626" t="s">
        <v>7826</v>
      </c>
      <c r="N626" t="str" cm="1">
        <f t="array" ref="N626">IFERROR(LOOKUP(2,1/SEARCH($S$2:$S$65,G626),$T$2:$T$65),"Misc")</f>
        <v>OH P/N</v>
      </c>
      <c r="O626" t="str" cm="1">
        <f t="array" ref="O626">IFERROR(LOOKUP(2,1/SEARCH($V$2:$V$65,G626),$W$2:$W$65),"Misc")</f>
        <v>OH Part</v>
      </c>
      <c r="P626" t="str" cm="1">
        <f t="array" ref="P626">IFERROR(LOOKUP(2,1/SEARCH($Y$2:$Y$65,G626),$Z$2:$Z$65),"Not Defined")</f>
        <v>OH Part</v>
      </c>
      <c r="Q626" t="str" cm="1">
        <f t="array" ref="Q626">IFERROR(LOOKUP(2,1/SEARCH($S$2:$S$65,H626),$T$2:$T$65),"-")</f>
        <v>-</v>
      </c>
    </row>
    <row r="627" spans="1:17" hidden="1" x14ac:dyDescent="0.25">
      <c r="A627" t="s">
        <v>7673</v>
      </c>
      <c r="B627" s="2" t="s">
        <v>1745</v>
      </c>
      <c r="C627" s="4">
        <v>1</v>
      </c>
      <c r="D627" t="s">
        <v>7233</v>
      </c>
      <c r="F627" t="s">
        <v>1746</v>
      </c>
      <c r="G627" t="s">
        <v>1748</v>
      </c>
      <c r="H627" t="s">
        <v>1747</v>
      </c>
      <c r="I627" t="s">
        <v>281</v>
      </c>
      <c r="J627" t="s">
        <v>7682</v>
      </c>
      <c r="K627" t="s">
        <v>7826</v>
      </c>
      <c r="L627" t="s">
        <v>7826</v>
      </c>
      <c r="N627" t="str" cm="1">
        <f t="array" ref="N627">IFERROR(LOOKUP(2,1/SEARCH($S$2:$S$65,G627),$T$2:$T$65),"Misc")</f>
        <v>OH P/N</v>
      </c>
      <c r="O627" t="str" cm="1">
        <f t="array" ref="O627">IFERROR(LOOKUP(2,1/SEARCH($V$2:$V$65,G627),$W$2:$W$65),"Misc")</f>
        <v>OH Part</v>
      </c>
      <c r="P627" t="str" cm="1">
        <f t="array" ref="P627">IFERROR(LOOKUP(2,1/SEARCH($Y$2:$Y$65,G627),$Z$2:$Z$65),"Not Defined")</f>
        <v>OH Part</v>
      </c>
      <c r="Q627" t="str" cm="1">
        <f t="array" ref="Q627">IFERROR(LOOKUP(2,1/SEARCH($S$2:$S$65,H627),$T$2:$T$65),"-")</f>
        <v>-</v>
      </c>
    </row>
    <row r="628" spans="1:17" hidden="1" x14ac:dyDescent="0.25">
      <c r="A628" t="s">
        <v>7673</v>
      </c>
      <c r="B628" s="2" t="s">
        <v>1749</v>
      </c>
      <c r="C628" s="4">
        <v>14</v>
      </c>
      <c r="D628" t="s">
        <v>7233</v>
      </c>
      <c r="F628" t="s">
        <v>1750</v>
      </c>
      <c r="G628" t="s">
        <v>1752</v>
      </c>
      <c r="H628" t="s">
        <v>1751</v>
      </c>
      <c r="I628" t="s">
        <v>358</v>
      </c>
      <c r="J628" t="s">
        <v>7682</v>
      </c>
      <c r="K628" t="s">
        <v>7826</v>
      </c>
      <c r="L628" t="s">
        <v>7826</v>
      </c>
      <c r="N628" t="str" cm="1">
        <f t="array" ref="N628">IFERROR(LOOKUP(2,1/SEARCH($S$2:$S$65,G628),$T$2:$T$65),"Misc")</f>
        <v>OH P/N</v>
      </c>
      <c r="O628" t="str" cm="1">
        <f t="array" ref="O628">IFERROR(LOOKUP(2,1/SEARCH($V$2:$V$65,G628),$W$2:$W$65),"Misc")</f>
        <v>OH Part</v>
      </c>
      <c r="P628" t="str" cm="1">
        <f t="array" ref="P628">IFERROR(LOOKUP(2,1/SEARCH($Y$2:$Y$65,G628),$Z$2:$Z$65),"Not Defined")</f>
        <v>OH Part</v>
      </c>
      <c r="Q628" t="str" cm="1">
        <f t="array" ref="Q628">IFERROR(LOOKUP(2,1/SEARCH($S$2:$S$65,H628),$T$2:$T$65),"-")</f>
        <v>-</v>
      </c>
    </row>
    <row r="629" spans="1:17" hidden="1" x14ac:dyDescent="0.25">
      <c r="A629" t="s">
        <v>7673</v>
      </c>
      <c r="B629" s="2" t="s">
        <v>1753</v>
      </c>
      <c r="C629" s="4">
        <v>1</v>
      </c>
      <c r="D629" t="s">
        <v>7233</v>
      </c>
      <c r="F629" t="s">
        <v>1754</v>
      </c>
      <c r="G629" t="s">
        <v>1756</v>
      </c>
      <c r="H629" t="s">
        <v>1755</v>
      </c>
      <c r="I629" t="s">
        <v>13</v>
      </c>
      <c r="J629" t="s">
        <v>7682</v>
      </c>
      <c r="K629" t="s">
        <v>7826</v>
      </c>
      <c r="L629" t="s">
        <v>7826</v>
      </c>
      <c r="N629" t="str" cm="1">
        <f t="array" ref="N629">IFERROR(LOOKUP(2,1/SEARCH($S$2:$S$65,G629),$T$2:$T$65),"Misc")</f>
        <v>OH P/N</v>
      </c>
      <c r="O629" t="str" cm="1">
        <f t="array" ref="O629">IFERROR(LOOKUP(2,1/SEARCH($V$2:$V$65,G629),$W$2:$W$65),"Misc")</f>
        <v>OH Part</v>
      </c>
      <c r="P629" t="str" cm="1">
        <f t="array" ref="P629">IFERROR(LOOKUP(2,1/SEARCH($Y$2:$Y$65,G629),$Z$2:$Z$65),"Not Defined")</f>
        <v>OH Part</v>
      </c>
      <c r="Q629" t="str" cm="1">
        <f t="array" ref="Q629">IFERROR(LOOKUP(2,1/SEARCH($S$2:$S$65,H629),$T$2:$T$65),"-")</f>
        <v>COTS</v>
      </c>
    </row>
    <row r="630" spans="1:17" hidden="1" x14ac:dyDescent="0.25">
      <c r="A630" t="s">
        <v>7673</v>
      </c>
      <c r="B630" s="2" t="s">
        <v>1757</v>
      </c>
      <c r="C630" s="4">
        <v>1</v>
      </c>
      <c r="D630" t="s">
        <v>7233</v>
      </c>
      <c r="F630" t="s">
        <v>1758</v>
      </c>
      <c r="G630" t="s">
        <v>1760</v>
      </c>
      <c r="H630" t="s">
        <v>1759</v>
      </c>
      <c r="I630" t="s">
        <v>358</v>
      </c>
      <c r="J630" t="s">
        <v>7682</v>
      </c>
      <c r="K630" t="s">
        <v>7826</v>
      </c>
      <c r="L630" t="s">
        <v>7826</v>
      </c>
      <c r="N630" t="str" cm="1">
        <f t="array" ref="N630">IFERROR(LOOKUP(2,1/SEARCH($S$2:$S$65,G630),$T$2:$T$65),"Misc")</f>
        <v>OH P/N</v>
      </c>
      <c r="O630" t="str" cm="1">
        <f t="array" ref="O630">IFERROR(LOOKUP(2,1/SEARCH($V$2:$V$65,G630),$W$2:$W$65),"Misc")</f>
        <v>OH Part</v>
      </c>
      <c r="P630" t="str" cm="1">
        <f t="array" ref="P630">IFERROR(LOOKUP(2,1/SEARCH($Y$2:$Y$65,G630),$Z$2:$Z$65),"Not Defined")</f>
        <v>OH Part</v>
      </c>
      <c r="Q630" t="str" cm="1">
        <f t="array" ref="Q630">IFERROR(LOOKUP(2,1/SEARCH($S$2:$S$65,H630),$T$2:$T$65),"-")</f>
        <v>-</v>
      </c>
    </row>
    <row r="631" spans="1:17" hidden="1" x14ac:dyDescent="0.25">
      <c r="A631" t="s">
        <v>7673</v>
      </c>
      <c r="B631" s="2" t="s">
        <v>1761</v>
      </c>
      <c r="C631" s="4">
        <v>1</v>
      </c>
      <c r="D631" t="s">
        <v>7233</v>
      </c>
      <c r="F631" t="s">
        <v>1762</v>
      </c>
      <c r="G631" t="s">
        <v>1764</v>
      </c>
      <c r="H631" t="s">
        <v>1763</v>
      </c>
      <c r="I631" t="s">
        <v>358</v>
      </c>
      <c r="J631" t="s">
        <v>7682</v>
      </c>
      <c r="K631" t="s">
        <v>7826</v>
      </c>
      <c r="L631" t="s">
        <v>7826</v>
      </c>
      <c r="N631" t="str" cm="1">
        <f t="array" ref="N631">IFERROR(LOOKUP(2,1/SEARCH($S$2:$S$65,G631),$T$2:$T$65),"Misc")</f>
        <v>OH P/N</v>
      </c>
      <c r="O631" t="str" cm="1">
        <f t="array" ref="O631">IFERROR(LOOKUP(2,1/SEARCH($V$2:$V$65,G631),$W$2:$W$65),"Misc")</f>
        <v>OH Part</v>
      </c>
      <c r="P631" t="str" cm="1">
        <f t="array" ref="P631">IFERROR(LOOKUP(2,1/SEARCH($Y$2:$Y$65,G631),$Z$2:$Z$65),"Not Defined")</f>
        <v>OH Part</v>
      </c>
      <c r="Q631" t="str" cm="1">
        <f t="array" ref="Q631">IFERROR(LOOKUP(2,1/SEARCH($S$2:$S$65,H631),$T$2:$T$65),"-")</f>
        <v>-</v>
      </c>
    </row>
    <row r="632" spans="1:17" hidden="1" x14ac:dyDescent="0.25">
      <c r="A632" t="s">
        <v>7673</v>
      </c>
      <c r="B632" s="2" t="s">
        <v>1765</v>
      </c>
      <c r="C632" s="4">
        <v>6</v>
      </c>
      <c r="D632" t="s">
        <v>7233</v>
      </c>
      <c r="F632" t="s">
        <v>1766</v>
      </c>
      <c r="G632" t="s">
        <v>7234</v>
      </c>
      <c r="H632" t="s">
        <v>1767</v>
      </c>
      <c r="I632" t="s">
        <v>228</v>
      </c>
      <c r="J632" t="s">
        <v>7703</v>
      </c>
      <c r="K632" t="s">
        <v>7684</v>
      </c>
      <c r="L632" t="s">
        <v>7700</v>
      </c>
      <c r="N632" t="str" cm="1">
        <f t="array" ref="N632">IFERROR(LOOKUP(2,1/SEARCH($S$2:$S$65,G632),$T$2:$T$65),"Misc")</f>
        <v>COTS</v>
      </c>
      <c r="O632" t="str" cm="1">
        <f t="array" ref="O632">IFERROR(LOOKUP(2,1/SEARCH($V$2:$V$65,G632),$W$2:$W$65),"Misc")</f>
        <v>Fasteners</v>
      </c>
      <c r="P632" t="str" cm="1">
        <f t="array" ref="P632">IFERROR(LOOKUP(2,1/SEARCH($Y$2:$Y$65,G632),$Z$2:$Z$65),"Not Defined")</f>
        <v>SHCS</v>
      </c>
      <c r="Q632" t="str" cm="1">
        <f t="array" ref="Q632">IFERROR(LOOKUP(2,1/SEARCH($S$2:$S$65,H632),$T$2:$T$65),"-")</f>
        <v>COTS</v>
      </c>
    </row>
    <row r="633" spans="1:17" hidden="1" x14ac:dyDescent="0.25">
      <c r="A633" t="s">
        <v>7673</v>
      </c>
      <c r="B633" s="2" t="s">
        <v>1768</v>
      </c>
      <c r="C633" s="4">
        <v>6</v>
      </c>
      <c r="D633" t="s">
        <v>7233</v>
      </c>
      <c r="F633" t="s">
        <v>268</v>
      </c>
      <c r="G633" t="s">
        <v>7061</v>
      </c>
      <c r="H633" t="s">
        <v>269</v>
      </c>
      <c r="I633" t="s">
        <v>224</v>
      </c>
      <c r="J633" t="s">
        <v>7703</v>
      </c>
      <c r="K633" t="s">
        <v>7684</v>
      </c>
      <c r="L633" t="s">
        <v>7687</v>
      </c>
      <c r="N633" t="str" cm="1">
        <f t="array" ref="N633">IFERROR(LOOKUP(2,1/SEARCH($S$2:$S$65,G633),$T$2:$T$65),"Misc")</f>
        <v>COTS</v>
      </c>
      <c r="O633" t="str" cm="1">
        <f t="array" ref="O633">IFERROR(LOOKUP(2,1/SEARCH($V$2:$V$65,G633),$W$2:$W$65),"Misc")</f>
        <v>Fasteners</v>
      </c>
      <c r="P633" t="str" cm="1">
        <f t="array" ref="P633">IFERROR(LOOKUP(2,1/SEARCH($Y$2:$Y$65,G633),$Z$2:$Z$65),"Not Defined")</f>
        <v>INSERT</v>
      </c>
      <c r="Q633" t="str" cm="1">
        <f t="array" ref="Q633">IFERROR(LOOKUP(2,1/SEARCH($S$2:$S$65,H633),$T$2:$T$65),"-")</f>
        <v>COTS</v>
      </c>
    </row>
    <row r="634" spans="1:17" hidden="1" x14ac:dyDescent="0.25">
      <c r="A634" t="s">
        <v>7673</v>
      </c>
      <c r="B634" s="2" t="s">
        <v>1769</v>
      </c>
      <c r="C634" s="4">
        <v>4</v>
      </c>
      <c r="D634" t="s">
        <v>7233</v>
      </c>
      <c r="F634" t="s">
        <v>439</v>
      </c>
      <c r="G634" t="s">
        <v>7086</v>
      </c>
      <c r="H634" t="s">
        <v>440</v>
      </c>
      <c r="I634" t="s">
        <v>224</v>
      </c>
      <c r="J634" t="s">
        <v>7703</v>
      </c>
      <c r="K634" t="s">
        <v>7684</v>
      </c>
      <c r="L634" t="s">
        <v>7687</v>
      </c>
      <c r="N634" t="str" cm="1">
        <f t="array" ref="N634">IFERROR(LOOKUP(2,1/SEARCH($S$2:$S$65,G634),$T$2:$T$65),"Misc")</f>
        <v>COTS</v>
      </c>
      <c r="O634" t="str" cm="1">
        <f t="array" ref="O634">IFERROR(LOOKUP(2,1/SEARCH($V$2:$V$65,G634),$W$2:$W$65),"Misc")</f>
        <v>Fasteners</v>
      </c>
      <c r="P634" t="str" cm="1">
        <f t="array" ref="P634">IFERROR(LOOKUP(2,1/SEARCH($Y$2:$Y$65,G634),$Z$2:$Z$65),"Not Defined")</f>
        <v>INSERT</v>
      </c>
      <c r="Q634" t="str" cm="1">
        <f t="array" ref="Q634">IFERROR(LOOKUP(2,1/SEARCH($S$2:$S$65,H634),$T$2:$T$65),"-")</f>
        <v>COTS</v>
      </c>
    </row>
    <row r="635" spans="1:17" hidden="1" x14ac:dyDescent="0.25">
      <c r="A635" t="s">
        <v>7673</v>
      </c>
      <c r="B635" s="2" t="s">
        <v>1770</v>
      </c>
      <c r="C635" s="4">
        <v>2</v>
      </c>
      <c r="D635" t="s">
        <v>7233</v>
      </c>
      <c r="F635" t="s">
        <v>1771</v>
      </c>
      <c r="G635" t="s">
        <v>7235</v>
      </c>
      <c r="H635" t="s">
        <v>1772</v>
      </c>
      <c r="I635" t="s">
        <v>255</v>
      </c>
      <c r="J635" t="s">
        <v>7703</v>
      </c>
      <c r="K635" t="s">
        <v>7677</v>
      </c>
      <c r="L635" t="s">
        <v>7677</v>
      </c>
      <c r="N635" t="str" cm="1">
        <f t="array" ref="N635">IFERROR(LOOKUP(2,1/SEARCH($S$2:$S$65,G635),$T$2:$T$65),"Misc")</f>
        <v>COTS</v>
      </c>
      <c r="O635" t="str" cm="1">
        <f t="array" ref="O635">IFERROR(LOOKUP(2,1/SEARCH($V$2:$V$65,G635),$W$2:$W$65),"Misc")</f>
        <v>SWITCH</v>
      </c>
      <c r="P635" t="str" cm="1">
        <f t="array" ref="P635">IFERROR(LOOKUP(2,1/SEARCH($Y$2:$Y$65,G635),$Z$2:$Z$65),"Not Defined")</f>
        <v>SWITCH</v>
      </c>
      <c r="Q635" t="str" cm="1">
        <f t="array" ref="Q635">IFERROR(LOOKUP(2,1/SEARCH($S$2:$S$65,H635),$T$2:$T$65),"-")</f>
        <v>COTS</v>
      </c>
    </row>
    <row r="636" spans="1:17" hidden="1" x14ac:dyDescent="0.25">
      <c r="A636" t="s">
        <v>7673</v>
      </c>
      <c r="B636" s="2" t="s">
        <v>1773</v>
      </c>
      <c r="C636" s="4">
        <v>1</v>
      </c>
      <c r="D636" t="s">
        <v>7233</v>
      </c>
      <c r="F636" t="s">
        <v>1774</v>
      </c>
      <c r="G636" t="s">
        <v>7236</v>
      </c>
      <c r="H636" t="s">
        <v>1775</v>
      </c>
      <c r="I636" t="s">
        <v>255</v>
      </c>
      <c r="J636" t="s">
        <v>7703</v>
      </c>
      <c r="K636" t="s">
        <v>7719</v>
      </c>
      <c r="L636" t="s">
        <v>7719</v>
      </c>
      <c r="N636" t="str" cm="1">
        <f t="array" ref="N636">IFERROR(LOOKUP(2,1/SEARCH($S$2:$S$65,G636),$T$2:$T$65),"Misc")</f>
        <v>COTS</v>
      </c>
      <c r="O636" t="str" cm="1">
        <f t="array" ref="O636">IFERROR(LOOKUP(2,1/SEARCH($V$2:$V$65,G636),$W$2:$W$65),"Misc")</f>
        <v>Misc</v>
      </c>
      <c r="P636" t="str" cm="1">
        <f t="array" ref="P636">IFERROR(LOOKUP(2,1/SEARCH($Y$2:$Y$65,G636),$Z$2:$Z$65),"Not Defined")</f>
        <v>Retaining Rings</v>
      </c>
      <c r="Q636" t="str" cm="1">
        <f t="array" ref="Q636">IFERROR(LOOKUP(2,1/SEARCH($S$2:$S$65,H636),$T$2:$T$65),"-")</f>
        <v>COTS</v>
      </c>
    </row>
    <row r="637" spans="1:17" hidden="1" x14ac:dyDescent="0.25">
      <c r="A637" t="s">
        <v>7673</v>
      </c>
      <c r="B637" s="2" t="s">
        <v>1776</v>
      </c>
      <c r="C637" s="4">
        <v>1</v>
      </c>
      <c r="D637" t="s">
        <v>7233</v>
      </c>
      <c r="E637" t="s">
        <v>7237</v>
      </c>
      <c r="F637" t="s">
        <v>1777</v>
      </c>
      <c r="G637" t="s">
        <v>7237</v>
      </c>
      <c r="H637" t="s">
        <v>1778</v>
      </c>
      <c r="J637" t="s">
        <v>7744</v>
      </c>
      <c r="K637" t="s">
        <v>7826</v>
      </c>
      <c r="L637" t="s">
        <v>7826</v>
      </c>
      <c r="N637" t="str" cm="1">
        <f t="array" ref="N637">IFERROR(LOOKUP(2,1/SEARCH($S$2:$S$65,G637),$T$2:$T$65),"Misc")</f>
        <v>OH Common</v>
      </c>
      <c r="O637" t="str" cm="1">
        <f t="array" ref="O637">IFERROR(LOOKUP(2,1/SEARCH($V$2:$V$65,G637),$W$2:$W$65),"Misc")</f>
        <v>OH Part</v>
      </c>
      <c r="P637" t="str" cm="1">
        <f t="array" ref="P637">IFERROR(LOOKUP(2,1/SEARCH($Y$2:$Y$65,G637),$Z$2:$Z$65),"Not Defined")</f>
        <v>OH Part</v>
      </c>
      <c r="Q637" t="str" cm="1">
        <f t="array" ref="Q637">IFERROR(LOOKUP(2,1/SEARCH($S$2:$S$65,H637),$T$2:$T$65),"-")</f>
        <v>OH ASSY</v>
      </c>
    </row>
    <row r="638" spans="1:17" hidden="1" x14ac:dyDescent="0.25">
      <c r="A638" t="s">
        <v>7673</v>
      </c>
      <c r="B638" s="2" t="s">
        <v>1779</v>
      </c>
      <c r="C638" s="4">
        <v>1</v>
      </c>
      <c r="D638" t="s">
        <v>7233</v>
      </c>
      <c r="E638" t="s">
        <v>7237</v>
      </c>
      <c r="F638" t="s">
        <v>1780</v>
      </c>
      <c r="G638" t="s">
        <v>1782</v>
      </c>
      <c r="H638" t="s">
        <v>1781</v>
      </c>
      <c r="I638" t="s">
        <v>358</v>
      </c>
      <c r="J638" t="s">
        <v>7744</v>
      </c>
      <c r="K638" t="s">
        <v>7826</v>
      </c>
      <c r="L638" t="s">
        <v>7826</v>
      </c>
      <c r="N638" t="str" cm="1">
        <f t="array" ref="N638">IFERROR(LOOKUP(2,1/SEARCH($S$2:$S$65,G638),$T$2:$T$65),"Misc")</f>
        <v>OH Common</v>
      </c>
      <c r="O638" t="str" cm="1">
        <f t="array" ref="O638">IFERROR(LOOKUP(2,1/SEARCH($V$2:$V$65,G638),$W$2:$W$65),"Misc")</f>
        <v>OH Part</v>
      </c>
      <c r="P638" t="str" cm="1">
        <f t="array" ref="P638">IFERROR(LOOKUP(2,1/SEARCH($Y$2:$Y$65,G638),$Z$2:$Z$65),"Not Defined")</f>
        <v>OH Part</v>
      </c>
      <c r="Q638" t="str" cm="1">
        <f t="array" ref="Q638">IFERROR(LOOKUP(2,1/SEARCH($S$2:$S$65,H638),$T$2:$T$65),"-")</f>
        <v>-</v>
      </c>
    </row>
    <row r="639" spans="1:17" hidden="1" x14ac:dyDescent="0.25">
      <c r="A639" t="s">
        <v>7673</v>
      </c>
      <c r="B639" s="2" t="s">
        <v>1783</v>
      </c>
      <c r="C639" s="4">
        <v>1</v>
      </c>
      <c r="D639" t="s">
        <v>7233</v>
      </c>
      <c r="E639" t="s">
        <v>7237</v>
      </c>
      <c r="F639" t="s">
        <v>1784</v>
      </c>
      <c r="G639" t="s">
        <v>7238</v>
      </c>
      <c r="H639" t="s">
        <v>1785</v>
      </c>
      <c r="I639" t="s">
        <v>228</v>
      </c>
      <c r="J639" t="s">
        <v>7703</v>
      </c>
      <c r="K639" t="s">
        <v>7684</v>
      </c>
      <c r="L639" t="s">
        <v>7721</v>
      </c>
      <c r="N639" t="str" cm="1">
        <f t="array" ref="N639">IFERROR(LOOKUP(2,1/SEARCH($S$2:$S$65,G639),$T$2:$T$65),"Misc")</f>
        <v>COTS</v>
      </c>
      <c r="O639" t="str" cm="1">
        <f t="array" ref="O639">IFERROR(LOOKUP(2,1/SEARCH($V$2:$V$65,G639),$W$2:$W$65),"Misc")</f>
        <v>Fasteners</v>
      </c>
      <c r="P639" t="str" cm="1">
        <f t="array" ref="P639">IFERROR(LOOKUP(2,1/SEARCH($Y$2:$Y$65,G639),$Z$2:$Z$65),"Not Defined")</f>
        <v>SET SCREW</v>
      </c>
      <c r="Q639" t="str" cm="1">
        <f t="array" ref="Q639">IFERROR(LOOKUP(2,1/SEARCH($S$2:$S$65,H639),$T$2:$T$65),"-")</f>
        <v>COTS</v>
      </c>
    </row>
    <row r="640" spans="1:17" hidden="1" x14ac:dyDescent="0.25">
      <c r="A640" t="s">
        <v>7673</v>
      </c>
      <c r="B640" s="22" t="s">
        <v>1786</v>
      </c>
      <c r="C640" s="4">
        <v>2</v>
      </c>
      <c r="D640" t="s">
        <v>7233</v>
      </c>
      <c r="E640" t="s">
        <v>7239</v>
      </c>
      <c r="F640" t="s">
        <v>1787</v>
      </c>
      <c r="G640" t="s">
        <v>7239</v>
      </c>
      <c r="H640" t="s">
        <v>1788</v>
      </c>
      <c r="J640" t="s">
        <v>7744</v>
      </c>
      <c r="K640" t="s">
        <v>7826</v>
      </c>
      <c r="L640" t="s">
        <v>7826</v>
      </c>
      <c r="N640" t="str" cm="1">
        <f t="array" ref="N640">IFERROR(LOOKUP(2,1/SEARCH($S$2:$S$65,G640),$T$2:$T$65),"Misc")</f>
        <v>OH Common</v>
      </c>
      <c r="O640" t="str" cm="1">
        <f t="array" ref="O640">IFERROR(LOOKUP(2,1/SEARCH($V$2:$V$65,G640),$W$2:$W$65),"Misc")</f>
        <v>OH Part</v>
      </c>
      <c r="P640" t="str" cm="1">
        <f t="array" ref="P640">IFERROR(LOOKUP(2,1/SEARCH($Y$2:$Y$65,G640),$Z$2:$Z$65),"Not Defined")</f>
        <v>OH Part</v>
      </c>
      <c r="Q640" t="str" cm="1">
        <f t="array" ref="Q640">IFERROR(LOOKUP(2,1/SEARCH($S$2:$S$65,H640),$T$2:$T$65),"-")</f>
        <v>OH ASSY</v>
      </c>
    </row>
    <row r="641" spans="1:17" hidden="1" x14ac:dyDescent="0.25">
      <c r="A641" t="s">
        <v>7673</v>
      </c>
      <c r="B641" s="22" t="s">
        <v>1789</v>
      </c>
      <c r="C641" s="4">
        <v>1</v>
      </c>
      <c r="D641" t="s">
        <v>7233</v>
      </c>
      <c r="E641" t="s">
        <v>7239</v>
      </c>
      <c r="F641" t="s">
        <v>1790</v>
      </c>
      <c r="G641" t="s">
        <v>1792</v>
      </c>
      <c r="H641" t="s">
        <v>1791</v>
      </c>
      <c r="I641" t="s">
        <v>358</v>
      </c>
      <c r="J641" t="s">
        <v>7744</v>
      </c>
      <c r="K641" t="s">
        <v>7826</v>
      </c>
      <c r="L641" t="s">
        <v>7826</v>
      </c>
      <c r="N641" t="str" cm="1">
        <f t="array" ref="N641">IFERROR(LOOKUP(2,1/SEARCH($S$2:$S$65,G641),$T$2:$T$65),"Misc")</f>
        <v>OH Common</v>
      </c>
      <c r="O641" t="str" cm="1">
        <f t="array" ref="O641">IFERROR(LOOKUP(2,1/SEARCH($V$2:$V$65,G641),$W$2:$W$65),"Misc")</f>
        <v>OH Part</v>
      </c>
      <c r="P641" t="str" cm="1">
        <f t="array" ref="P641">IFERROR(LOOKUP(2,1/SEARCH($Y$2:$Y$65,G641),$Z$2:$Z$65),"Not Defined")</f>
        <v>OH Part</v>
      </c>
      <c r="Q641" t="str" cm="1">
        <f t="array" ref="Q641">IFERROR(LOOKUP(2,1/SEARCH($S$2:$S$65,H641),$T$2:$T$65),"-")</f>
        <v>-</v>
      </c>
    </row>
    <row r="642" spans="1:17" hidden="1" x14ac:dyDescent="0.25">
      <c r="A642" t="s">
        <v>7673</v>
      </c>
      <c r="B642" s="22" t="s">
        <v>1793</v>
      </c>
      <c r="C642" s="4">
        <v>1</v>
      </c>
      <c r="D642" t="s">
        <v>7233</v>
      </c>
      <c r="E642" t="s">
        <v>7239</v>
      </c>
      <c r="F642" t="s">
        <v>1784</v>
      </c>
      <c r="G642" t="s">
        <v>7238</v>
      </c>
      <c r="H642" t="s">
        <v>1785</v>
      </c>
      <c r="I642" t="s">
        <v>228</v>
      </c>
      <c r="J642" t="s">
        <v>7703</v>
      </c>
      <c r="K642" t="s">
        <v>7684</v>
      </c>
      <c r="L642" t="s">
        <v>7721</v>
      </c>
      <c r="N642" t="str" cm="1">
        <f t="array" ref="N642">IFERROR(LOOKUP(2,1/SEARCH($S$2:$S$65,G642),$T$2:$T$65),"Misc")</f>
        <v>COTS</v>
      </c>
      <c r="O642" t="str" cm="1">
        <f t="array" ref="O642">IFERROR(LOOKUP(2,1/SEARCH($V$2:$V$65,G642),$W$2:$W$65),"Misc")</f>
        <v>Fasteners</v>
      </c>
      <c r="P642" t="str" cm="1">
        <f t="array" ref="P642">IFERROR(LOOKUP(2,1/SEARCH($Y$2:$Y$65,G642),$Z$2:$Z$65),"Not Defined")</f>
        <v>SET SCREW</v>
      </c>
      <c r="Q642" t="str" cm="1">
        <f t="array" ref="Q642">IFERROR(LOOKUP(2,1/SEARCH($S$2:$S$65,H642),$T$2:$T$65),"-")</f>
        <v>COTS</v>
      </c>
    </row>
    <row r="643" spans="1:17" hidden="1" x14ac:dyDescent="0.25">
      <c r="A643" t="s">
        <v>7673</v>
      </c>
      <c r="B643" s="2" t="s">
        <v>1794</v>
      </c>
      <c r="C643" s="4">
        <v>1</v>
      </c>
      <c r="D643" t="s">
        <v>7233</v>
      </c>
      <c r="F643" t="s">
        <v>1795</v>
      </c>
      <c r="G643" t="s">
        <v>7240</v>
      </c>
      <c r="H643" t="s">
        <v>1796</v>
      </c>
      <c r="I643" t="s">
        <v>210</v>
      </c>
      <c r="J643" t="s">
        <v>7703</v>
      </c>
      <c r="K643" t="s">
        <v>7684</v>
      </c>
      <c r="L643" t="s">
        <v>7677</v>
      </c>
      <c r="N643" t="str" cm="1">
        <f t="array" ref="N643">IFERROR(LOOKUP(2,1/SEARCH($S$2:$S$65,G643),$T$2:$T$65),"Misc")</f>
        <v>COTS</v>
      </c>
      <c r="O643" t="str" cm="1">
        <f t="array" ref="O643">IFERROR(LOOKUP(2,1/SEARCH($V$2:$V$65,G643),$W$2:$W$65),"Misc")</f>
        <v>Fasteners</v>
      </c>
      <c r="P643" t="str" cm="1">
        <f t="array" ref="P643">IFERROR(LOOKUP(2,1/SEARCH($Y$2:$Y$65,G643),$Z$2:$Z$65),"Not Defined")</f>
        <v>SWITCH</v>
      </c>
      <c r="Q643" t="str" cm="1">
        <f t="array" ref="Q643">IFERROR(LOOKUP(2,1/SEARCH($S$2:$S$65,H643),$T$2:$T$65),"-")</f>
        <v>COTS</v>
      </c>
    </row>
    <row r="644" spans="1:17" hidden="1" x14ac:dyDescent="0.25">
      <c r="A644" t="s">
        <v>7673</v>
      </c>
      <c r="B644" s="2" t="s">
        <v>1797</v>
      </c>
      <c r="C644" s="4">
        <v>2</v>
      </c>
      <c r="D644" t="s">
        <v>7233</v>
      </c>
      <c r="F644" t="s">
        <v>1798</v>
      </c>
      <c r="G644" t="s">
        <v>7241</v>
      </c>
      <c r="H644" t="s">
        <v>1799</v>
      </c>
      <c r="I644" t="s">
        <v>224</v>
      </c>
      <c r="J644" t="s">
        <v>7703</v>
      </c>
      <c r="K644" t="s">
        <v>7677</v>
      </c>
      <c r="L644" t="s">
        <v>7685</v>
      </c>
      <c r="N644" t="str" cm="1">
        <f t="array" ref="N644">IFERROR(LOOKUP(2,1/SEARCH($S$2:$S$65,G644),$T$2:$T$65),"Misc")</f>
        <v>COTS</v>
      </c>
      <c r="O644" t="str" cm="1">
        <f t="array" ref="O644">IFERROR(LOOKUP(2,1/SEARCH($V$2:$V$65,G644),$W$2:$W$65),"Misc")</f>
        <v>SWITCH</v>
      </c>
      <c r="P644" t="str" cm="1">
        <f t="array" ref="P644">IFERROR(LOOKUP(2,1/SEARCH($Y$2:$Y$65,G644),$Z$2:$Z$65),"Not Defined")</f>
        <v>NUT</v>
      </c>
      <c r="Q644" t="str" cm="1">
        <f t="array" ref="Q644">IFERROR(LOOKUP(2,1/SEARCH($S$2:$S$65,H644),$T$2:$T$65),"-")</f>
        <v>COTS</v>
      </c>
    </row>
    <row r="645" spans="1:17" hidden="1" x14ac:dyDescent="0.25">
      <c r="A645" t="s">
        <v>7673</v>
      </c>
      <c r="B645" s="2" t="s">
        <v>1800</v>
      </c>
      <c r="C645" s="4">
        <v>1</v>
      </c>
      <c r="D645" t="s">
        <v>7233</v>
      </c>
      <c r="F645" t="s">
        <v>1801</v>
      </c>
      <c r="G645" t="s">
        <v>7242</v>
      </c>
      <c r="H645" t="s">
        <v>1802</v>
      </c>
      <c r="I645" t="s">
        <v>255</v>
      </c>
      <c r="J645" t="s">
        <v>7703</v>
      </c>
      <c r="K645" t="s">
        <v>7677</v>
      </c>
      <c r="L645" t="s">
        <v>7677</v>
      </c>
      <c r="N645" t="str" cm="1">
        <f t="array" ref="N645">IFERROR(LOOKUP(2,1/SEARCH($S$2:$S$65,G645),$T$2:$T$65),"Misc")</f>
        <v>COTS</v>
      </c>
      <c r="O645" t="str" cm="1">
        <f t="array" ref="O645">IFERROR(LOOKUP(2,1/SEARCH($V$2:$V$65,G645),$W$2:$W$65),"Misc")</f>
        <v>SWITCH</v>
      </c>
      <c r="P645" t="str" cm="1">
        <f t="array" ref="P645">IFERROR(LOOKUP(2,1/SEARCH($Y$2:$Y$65,G645),$Z$2:$Z$65),"Not Defined")</f>
        <v>SWITCH</v>
      </c>
      <c r="Q645" t="str" cm="1">
        <f t="array" ref="Q645">IFERROR(LOOKUP(2,1/SEARCH($S$2:$S$65,H645),$T$2:$T$65),"-")</f>
        <v>COTS</v>
      </c>
    </row>
    <row r="646" spans="1:17" hidden="1" x14ac:dyDescent="0.25">
      <c r="A646" t="s">
        <v>7673</v>
      </c>
      <c r="B646" s="2" t="s">
        <v>1721</v>
      </c>
      <c r="C646" s="4">
        <v>1</v>
      </c>
      <c r="D646" t="s">
        <v>7233</v>
      </c>
      <c r="F646" t="s">
        <v>1722</v>
      </c>
      <c r="G646" t="s">
        <v>1724</v>
      </c>
      <c r="H646" t="s">
        <v>1723</v>
      </c>
      <c r="I646" t="s">
        <v>13</v>
      </c>
      <c r="J646" t="s">
        <v>7682</v>
      </c>
      <c r="K646" t="s">
        <v>7826</v>
      </c>
      <c r="L646" t="s">
        <v>7826</v>
      </c>
      <c r="N646" t="str" cm="1">
        <f t="array" ref="N646">IFERROR(LOOKUP(2,1/SEARCH($S$2:$S$65,G646),$T$2:$T$65),"Misc")</f>
        <v>OH P/N</v>
      </c>
      <c r="O646" t="str" cm="1">
        <f t="array" ref="O646">IFERROR(LOOKUP(2,1/SEARCH($V$2:$V$65,G646),$W$2:$W$65),"Misc")</f>
        <v>OH Part</v>
      </c>
      <c r="P646" t="str" cm="1">
        <f t="array" ref="P646">IFERROR(LOOKUP(2,1/SEARCH($Y$2:$Y$65,G646),$Z$2:$Z$65),"Not Defined")</f>
        <v>OH Part</v>
      </c>
      <c r="Q646" t="str" cm="1">
        <f t="array" ref="Q646">IFERROR(LOOKUP(2,1/SEARCH($S$2:$S$65,H646),$T$2:$T$65),"-")</f>
        <v>-</v>
      </c>
    </row>
    <row r="647" spans="1:17" hidden="1" x14ac:dyDescent="0.25">
      <c r="A647" t="s">
        <v>7673</v>
      </c>
      <c r="B647" s="2" t="s">
        <v>1725</v>
      </c>
      <c r="C647" s="4">
        <v>20</v>
      </c>
      <c r="D647" t="s">
        <v>7233</v>
      </c>
      <c r="F647" t="s">
        <v>1726</v>
      </c>
      <c r="G647" t="s">
        <v>1728</v>
      </c>
      <c r="H647" t="s">
        <v>1727</v>
      </c>
      <c r="I647" t="s">
        <v>358</v>
      </c>
      <c r="J647" t="s">
        <v>7682</v>
      </c>
      <c r="K647" t="s">
        <v>7826</v>
      </c>
      <c r="L647" t="s">
        <v>7826</v>
      </c>
      <c r="N647" t="str" cm="1">
        <f t="array" ref="N647">IFERROR(LOOKUP(2,1/SEARCH($S$2:$S$65,G647),$T$2:$T$65),"Misc")</f>
        <v>OH P/N</v>
      </c>
      <c r="O647" t="str" cm="1">
        <f t="array" ref="O647">IFERROR(LOOKUP(2,1/SEARCH($V$2:$V$65,G647),$W$2:$W$65),"Misc")</f>
        <v>OH Part</v>
      </c>
      <c r="P647" t="str" cm="1">
        <f t="array" ref="P647">IFERROR(LOOKUP(2,1/SEARCH($Y$2:$Y$65,G647),$Z$2:$Z$65),"Not Defined")</f>
        <v>OH Part</v>
      </c>
      <c r="Q647" t="str" cm="1">
        <f t="array" ref="Q647">IFERROR(LOOKUP(2,1/SEARCH($S$2:$S$65,H647),$T$2:$T$65),"-")</f>
        <v>-</v>
      </c>
    </row>
    <row r="648" spans="1:17" hidden="1" x14ac:dyDescent="0.25">
      <c r="A648" t="s">
        <v>7673</v>
      </c>
      <c r="B648" s="2" t="s">
        <v>1729</v>
      </c>
      <c r="C648" s="4">
        <v>20</v>
      </c>
      <c r="D648" t="s">
        <v>7233</v>
      </c>
      <c r="F648" t="s">
        <v>1730</v>
      </c>
      <c r="G648" t="s">
        <v>1732</v>
      </c>
      <c r="H648" t="s">
        <v>1731</v>
      </c>
      <c r="I648" t="s">
        <v>358</v>
      </c>
      <c r="J648" t="s">
        <v>7682</v>
      </c>
      <c r="K648" t="s">
        <v>7826</v>
      </c>
      <c r="L648" t="s">
        <v>7826</v>
      </c>
      <c r="N648" t="str" cm="1">
        <f t="array" ref="N648">IFERROR(LOOKUP(2,1/SEARCH($S$2:$S$65,G648),$T$2:$T$65),"Misc")</f>
        <v>OH P/N</v>
      </c>
      <c r="O648" t="str" cm="1">
        <f t="array" ref="O648">IFERROR(LOOKUP(2,1/SEARCH($V$2:$V$65,G648),$W$2:$W$65),"Misc")</f>
        <v>OH Part</v>
      </c>
      <c r="P648" t="str" cm="1">
        <f t="array" ref="P648">IFERROR(LOOKUP(2,1/SEARCH($Y$2:$Y$65,G648),$Z$2:$Z$65),"Not Defined")</f>
        <v>OH Part</v>
      </c>
      <c r="Q648" t="str" cm="1">
        <f t="array" ref="Q648">IFERROR(LOOKUP(2,1/SEARCH($S$2:$S$65,H648),$T$2:$T$65),"-")</f>
        <v>COTS</v>
      </c>
    </row>
    <row r="649" spans="1:17" hidden="1" x14ac:dyDescent="0.25">
      <c r="A649" t="s">
        <v>7673</v>
      </c>
      <c r="B649" s="2" t="s">
        <v>1733</v>
      </c>
      <c r="C649" s="4">
        <v>1</v>
      </c>
      <c r="D649" t="s">
        <v>7233</v>
      </c>
      <c r="F649" t="s">
        <v>1734</v>
      </c>
      <c r="G649" t="s">
        <v>1736</v>
      </c>
      <c r="H649" t="s">
        <v>1735</v>
      </c>
      <c r="I649" t="s">
        <v>255</v>
      </c>
      <c r="J649" t="s">
        <v>7682</v>
      </c>
      <c r="K649" t="s">
        <v>7826</v>
      </c>
      <c r="L649" t="s">
        <v>7826</v>
      </c>
      <c r="N649" t="str" cm="1">
        <f t="array" ref="N649">IFERROR(LOOKUP(2,1/SEARCH($S$2:$S$65,G649),$T$2:$T$65),"Misc")</f>
        <v>OH P/N</v>
      </c>
      <c r="O649" t="str" cm="1">
        <f t="array" ref="O649">IFERROR(LOOKUP(2,1/SEARCH($V$2:$V$65,G649),$W$2:$W$65),"Misc")</f>
        <v>OH Part</v>
      </c>
      <c r="P649" t="str" cm="1">
        <f t="array" ref="P649">IFERROR(LOOKUP(2,1/SEARCH($Y$2:$Y$65,G649),$Z$2:$Z$65),"Not Defined")</f>
        <v>OH Part</v>
      </c>
      <c r="Q649" t="str" cm="1">
        <f t="array" ref="Q649">IFERROR(LOOKUP(2,1/SEARCH($S$2:$S$65,H649),$T$2:$T$65),"-")</f>
        <v>-</v>
      </c>
    </row>
    <row r="650" spans="1:17" hidden="1" x14ac:dyDescent="0.25">
      <c r="A650" t="s">
        <v>7673</v>
      </c>
      <c r="B650" s="2" t="s">
        <v>1737</v>
      </c>
      <c r="C650" s="4">
        <v>1</v>
      </c>
      <c r="D650" t="s">
        <v>7233</v>
      </c>
      <c r="F650" t="s">
        <v>1738</v>
      </c>
      <c r="G650" t="s">
        <v>1740</v>
      </c>
      <c r="H650" t="s">
        <v>1739</v>
      </c>
      <c r="I650" t="s">
        <v>281</v>
      </c>
      <c r="J650" t="s">
        <v>7682</v>
      </c>
      <c r="K650" t="s">
        <v>7826</v>
      </c>
      <c r="L650" t="s">
        <v>7826</v>
      </c>
      <c r="N650" t="str" cm="1">
        <f t="array" ref="N650">IFERROR(LOOKUP(2,1/SEARCH($S$2:$S$65,G650),$T$2:$T$65),"Misc")</f>
        <v>OH P/N</v>
      </c>
      <c r="O650" t="str" cm="1">
        <f t="array" ref="O650">IFERROR(LOOKUP(2,1/SEARCH($V$2:$V$65,G650),$W$2:$W$65),"Misc")</f>
        <v>OH Part</v>
      </c>
      <c r="P650" t="str" cm="1">
        <f t="array" ref="P650">IFERROR(LOOKUP(2,1/SEARCH($Y$2:$Y$65,G650),$Z$2:$Z$65),"Not Defined")</f>
        <v>OH Part</v>
      </c>
      <c r="Q650" t="str" cm="1">
        <f t="array" ref="Q650">IFERROR(LOOKUP(2,1/SEARCH($S$2:$S$65,H650),$T$2:$T$65),"-")</f>
        <v>-</v>
      </c>
    </row>
    <row r="651" spans="1:17" hidden="1" x14ac:dyDescent="0.25">
      <c r="A651" t="s">
        <v>7673</v>
      </c>
      <c r="B651" s="2" t="s">
        <v>1741</v>
      </c>
      <c r="C651" s="4">
        <v>1</v>
      </c>
      <c r="D651" t="s">
        <v>7233</v>
      </c>
      <c r="F651" t="s">
        <v>1742</v>
      </c>
      <c r="G651" t="s">
        <v>1744</v>
      </c>
      <c r="H651" t="s">
        <v>1743</v>
      </c>
      <c r="I651" t="s">
        <v>281</v>
      </c>
      <c r="J651" t="s">
        <v>7682</v>
      </c>
      <c r="K651" t="s">
        <v>7826</v>
      </c>
      <c r="L651" t="s">
        <v>7826</v>
      </c>
      <c r="N651" t="str" cm="1">
        <f t="array" ref="N651">IFERROR(LOOKUP(2,1/SEARCH($S$2:$S$65,G651),$T$2:$T$65),"Misc")</f>
        <v>OH P/N</v>
      </c>
      <c r="O651" t="str" cm="1">
        <f t="array" ref="O651">IFERROR(LOOKUP(2,1/SEARCH($V$2:$V$65,G651),$W$2:$W$65),"Misc")</f>
        <v>OH Part</v>
      </c>
      <c r="P651" t="str" cm="1">
        <f t="array" ref="P651">IFERROR(LOOKUP(2,1/SEARCH($Y$2:$Y$65,G651),$Z$2:$Z$65),"Not Defined")</f>
        <v>OH Part</v>
      </c>
      <c r="Q651" t="str" cm="1">
        <f t="array" ref="Q651">IFERROR(LOOKUP(2,1/SEARCH($S$2:$S$65,H651),$T$2:$T$65),"-")</f>
        <v>-</v>
      </c>
    </row>
    <row r="652" spans="1:17" hidden="1" x14ac:dyDescent="0.25">
      <c r="A652" t="s">
        <v>7673</v>
      </c>
      <c r="B652" s="2" t="s">
        <v>1745</v>
      </c>
      <c r="C652" s="4">
        <v>1</v>
      </c>
      <c r="D652" t="s">
        <v>7233</v>
      </c>
      <c r="F652" t="s">
        <v>1746</v>
      </c>
      <c r="G652" t="s">
        <v>1748</v>
      </c>
      <c r="H652" t="s">
        <v>1747</v>
      </c>
      <c r="I652" t="s">
        <v>281</v>
      </c>
      <c r="J652" t="s">
        <v>7682</v>
      </c>
      <c r="K652" t="s">
        <v>7826</v>
      </c>
      <c r="L652" t="s">
        <v>7826</v>
      </c>
      <c r="N652" t="str" cm="1">
        <f t="array" ref="N652">IFERROR(LOOKUP(2,1/SEARCH($S$2:$S$65,G652),$T$2:$T$65),"Misc")</f>
        <v>OH P/N</v>
      </c>
      <c r="O652" t="str" cm="1">
        <f t="array" ref="O652">IFERROR(LOOKUP(2,1/SEARCH($V$2:$V$65,G652),$W$2:$W$65),"Misc")</f>
        <v>OH Part</v>
      </c>
      <c r="P652" t="str" cm="1">
        <f t="array" ref="P652">IFERROR(LOOKUP(2,1/SEARCH($Y$2:$Y$65,G652),$Z$2:$Z$65),"Not Defined")</f>
        <v>OH Part</v>
      </c>
      <c r="Q652" t="str" cm="1">
        <f t="array" ref="Q652">IFERROR(LOOKUP(2,1/SEARCH($S$2:$S$65,H652),$T$2:$T$65),"-")</f>
        <v>-</v>
      </c>
    </row>
    <row r="653" spans="1:17" hidden="1" x14ac:dyDescent="0.25">
      <c r="A653" t="s">
        <v>7673</v>
      </c>
      <c r="B653" s="2" t="s">
        <v>1749</v>
      </c>
      <c r="C653" s="4">
        <v>14</v>
      </c>
      <c r="D653" t="s">
        <v>7233</v>
      </c>
      <c r="F653" t="s">
        <v>1750</v>
      </c>
      <c r="G653" t="s">
        <v>1752</v>
      </c>
      <c r="H653" t="s">
        <v>1751</v>
      </c>
      <c r="I653" t="s">
        <v>358</v>
      </c>
      <c r="J653" t="s">
        <v>7682</v>
      </c>
      <c r="K653" t="s">
        <v>7826</v>
      </c>
      <c r="L653" t="s">
        <v>7826</v>
      </c>
      <c r="N653" t="str" cm="1">
        <f t="array" ref="N653">IFERROR(LOOKUP(2,1/SEARCH($S$2:$S$65,G653),$T$2:$T$65),"Misc")</f>
        <v>OH P/N</v>
      </c>
      <c r="O653" t="str" cm="1">
        <f t="array" ref="O653">IFERROR(LOOKUP(2,1/SEARCH($V$2:$V$65,G653),$W$2:$W$65),"Misc")</f>
        <v>OH Part</v>
      </c>
      <c r="P653" t="str" cm="1">
        <f t="array" ref="P653">IFERROR(LOOKUP(2,1/SEARCH($Y$2:$Y$65,G653),$Z$2:$Z$65),"Not Defined")</f>
        <v>OH Part</v>
      </c>
      <c r="Q653" t="str" cm="1">
        <f t="array" ref="Q653">IFERROR(LOOKUP(2,1/SEARCH($S$2:$S$65,H653),$T$2:$T$65),"-")</f>
        <v>-</v>
      </c>
    </row>
    <row r="654" spans="1:17" hidden="1" x14ac:dyDescent="0.25">
      <c r="A654" t="s">
        <v>7673</v>
      </c>
      <c r="B654" s="2" t="s">
        <v>1753</v>
      </c>
      <c r="C654" s="4">
        <v>1</v>
      </c>
      <c r="D654" t="s">
        <v>7233</v>
      </c>
      <c r="F654" t="s">
        <v>1754</v>
      </c>
      <c r="G654" t="s">
        <v>1756</v>
      </c>
      <c r="H654" t="s">
        <v>1755</v>
      </c>
      <c r="I654" t="s">
        <v>13</v>
      </c>
      <c r="J654" t="s">
        <v>7682</v>
      </c>
      <c r="K654" t="s">
        <v>7826</v>
      </c>
      <c r="L654" t="s">
        <v>7826</v>
      </c>
      <c r="N654" t="str" cm="1">
        <f t="array" ref="N654">IFERROR(LOOKUP(2,1/SEARCH($S$2:$S$65,G654),$T$2:$T$65),"Misc")</f>
        <v>OH P/N</v>
      </c>
      <c r="O654" t="str" cm="1">
        <f t="array" ref="O654">IFERROR(LOOKUP(2,1/SEARCH($V$2:$V$65,G654),$W$2:$W$65),"Misc")</f>
        <v>OH Part</v>
      </c>
      <c r="P654" t="str" cm="1">
        <f t="array" ref="P654">IFERROR(LOOKUP(2,1/SEARCH($Y$2:$Y$65,G654),$Z$2:$Z$65),"Not Defined")</f>
        <v>OH Part</v>
      </c>
      <c r="Q654" t="str" cm="1">
        <f t="array" ref="Q654">IFERROR(LOOKUP(2,1/SEARCH($S$2:$S$65,H654),$T$2:$T$65),"-")</f>
        <v>COTS</v>
      </c>
    </row>
    <row r="655" spans="1:17" hidden="1" x14ac:dyDescent="0.25">
      <c r="A655" t="s">
        <v>7673</v>
      </c>
      <c r="B655" s="2" t="s">
        <v>1757</v>
      </c>
      <c r="C655" s="4">
        <v>1</v>
      </c>
      <c r="D655" t="s">
        <v>7233</v>
      </c>
      <c r="F655" t="s">
        <v>1758</v>
      </c>
      <c r="G655" t="s">
        <v>1760</v>
      </c>
      <c r="H655" t="s">
        <v>1759</v>
      </c>
      <c r="I655" t="s">
        <v>358</v>
      </c>
      <c r="J655" t="s">
        <v>7682</v>
      </c>
      <c r="K655" t="s">
        <v>7826</v>
      </c>
      <c r="L655" t="s">
        <v>7826</v>
      </c>
      <c r="N655" t="str" cm="1">
        <f t="array" ref="N655">IFERROR(LOOKUP(2,1/SEARCH($S$2:$S$65,G655),$T$2:$T$65),"Misc")</f>
        <v>OH P/N</v>
      </c>
      <c r="O655" t="str" cm="1">
        <f t="array" ref="O655">IFERROR(LOOKUP(2,1/SEARCH($V$2:$V$65,G655),$W$2:$W$65),"Misc")</f>
        <v>OH Part</v>
      </c>
      <c r="P655" t="str" cm="1">
        <f t="array" ref="P655">IFERROR(LOOKUP(2,1/SEARCH($Y$2:$Y$65,G655),$Z$2:$Z$65),"Not Defined")</f>
        <v>OH Part</v>
      </c>
      <c r="Q655" t="str" cm="1">
        <f t="array" ref="Q655">IFERROR(LOOKUP(2,1/SEARCH($S$2:$S$65,H655),$T$2:$T$65),"-")</f>
        <v>-</v>
      </c>
    </row>
    <row r="656" spans="1:17" hidden="1" x14ac:dyDescent="0.25">
      <c r="A656" t="s">
        <v>7673</v>
      </c>
      <c r="B656" s="2" t="s">
        <v>1761</v>
      </c>
      <c r="C656" s="4">
        <v>1</v>
      </c>
      <c r="D656" t="s">
        <v>7233</v>
      </c>
      <c r="F656" t="s">
        <v>1762</v>
      </c>
      <c r="G656" t="s">
        <v>1764</v>
      </c>
      <c r="H656" t="s">
        <v>1763</v>
      </c>
      <c r="I656" t="s">
        <v>358</v>
      </c>
      <c r="J656" t="s">
        <v>7682</v>
      </c>
      <c r="K656" t="s">
        <v>7826</v>
      </c>
      <c r="L656" t="s">
        <v>7826</v>
      </c>
      <c r="N656" t="str" cm="1">
        <f t="array" ref="N656">IFERROR(LOOKUP(2,1/SEARCH($S$2:$S$65,G656),$T$2:$T$65),"Misc")</f>
        <v>OH P/N</v>
      </c>
      <c r="O656" t="str" cm="1">
        <f t="array" ref="O656">IFERROR(LOOKUP(2,1/SEARCH($V$2:$V$65,G656),$W$2:$W$65),"Misc")</f>
        <v>OH Part</v>
      </c>
      <c r="P656" t="str" cm="1">
        <f t="array" ref="P656">IFERROR(LOOKUP(2,1/SEARCH($Y$2:$Y$65,G656),$Z$2:$Z$65),"Not Defined")</f>
        <v>OH Part</v>
      </c>
      <c r="Q656" t="str" cm="1">
        <f t="array" ref="Q656">IFERROR(LOOKUP(2,1/SEARCH($S$2:$S$65,H656),$T$2:$T$65),"-")</f>
        <v>-</v>
      </c>
    </row>
    <row r="657" spans="1:17" hidden="1" x14ac:dyDescent="0.25">
      <c r="A657" t="s">
        <v>7673</v>
      </c>
      <c r="B657" s="2" t="s">
        <v>1765</v>
      </c>
      <c r="C657" s="4">
        <v>6</v>
      </c>
      <c r="D657" t="s">
        <v>7233</v>
      </c>
      <c r="F657" t="s">
        <v>1766</v>
      </c>
      <c r="G657" t="s">
        <v>7234</v>
      </c>
      <c r="H657" t="s">
        <v>1767</v>
      </c>
      <c r="I657" t="s">
        <v>228</v>
      </c>
      <c r="J657" t="s">
        <v>7703</v>
      </c>
      <c r="K657" t="s">
        <v>7684</v>
      </c>
      <c r="L657" t="s">
        <v>7700</v>
      </c>
      <c r="N657" t="str" cm="1">
        <f t="array" ref="N657">IFERROR(LOOKUP(2,1/SEARCH($S$2:$S$65,G657),$T$2:$T$65),"Misc")</f>
        <v>COTS</v>
      </c>
      <c r="O657" t="str" cm="1">
        <f t="array" ref="O657">IFERROR(LOOKUP(2,1/SEARCH($V$2:$V$65,G657),$W$2:$W$65),"Misc")</f>
        <v>Fasteners</v>
      </c>
      <c r="P657" t="str" cm="1">
        <f t="array" ref="P657">IFERROR(LOOKUP(2,1/SEARCH($Y$2:$Y$65,G657),$Z$2:$Z$65),"Not Defined")</f>
        <v>SHCS</v>
      </c>
      <c r="Q657" t="str" cm="1">
        <f t="array" ref="Q657">IFERROR(LOOKUP(2,1/SEARCH($S$2:$S$65,H657),$T$2:$T$65),"-")</f>
        <v>COTS</v>
      </c>
    </row>
    <row r="658" spans="1:17" hidden="1" x14ac:dyDescent="0.25">
      <c r="A658" t="s">
        <v>7673</v>
      </c>
      <c r="B658" s="2" t="s">
        <v>1768</v>
      </c>
      <c r="C658" s="4">
        <v>6</v>
      </c>
      <c r="D658" t="s">
        <v>7233</v>
      </c>
      <c r="F658" t="s">
        <v>268</v>
      </c>
      <c r="G658" t="s">
        <v>7061</v>
      </c>
      <c r="H658" t="s">
        <v>269</v>
      </c>
      <c r="I658" t="s">
        <v>224</v>
      </c>
      <c r="J658" t="s">
        <v>7703</v>
      </c>
      <c r="K658" t="s">
        <v>7684</v>
      </c>
      <c r="L658" t="s">
        <v>7687</v>
      </c>
      <c r="N658" t="str" cm="1">
        <f t="array" ref="N658">IFERROR(LOOKUP(2,1/SEARCH($S$2:$S$65,G658),$T$2:$T$65),"Misc")</f>
        <v>COTS</v>
      </c>
      <c r="O658" t="str" cm="1">
        <f t="array" ref="O658">IFERROR(LOOKUP(2,1/SEARCH($V$2:$V$65,G658),$W$2:$W$65),"Misc")</f>
        <v>Fasteners</v>
      </c>
      <c r="P658" t="str" cm="1">
        <f t="array" ref="P658">IFERROR(LOOKUP(2,1/SEARCH($Y$2:$Y$65,G658),$Z$2:$Z$65),"Not Defined")</f>
        <v>INSERT</v>
      </c>
      <c r="Q658" t="str" cm="1">
        <f t="array" ref="Q658">IFERROR(LOOKUP(2,1/SEARCH($S$2:$S$65,H658),$T$2:$T$65),"-")</f>
        <v>COTS</v>
      </c>
    </row>
    <row r="659" spans="1:17" hidden="1" x14ac:dyDescent="0.25">
      <c r="A659" t="s">
        <v>7673</v>
      </c>
      <c r="B659" s="2" t="s">
        <v>1769</v>
      </c>
      <c r="C659" s="4">
        <v>4</v>
      </c>
      <c r="D659" t="s">
        <v>7233</v>
      </c>
      <c r="F659" t="s">
        <v>439</v>
      </c>
      <c r="G659" t="s">
        <v>7086</v>
      </c>
      <c r="H659" t="s">
        <v>440</v>
      </c>
      <c r="I659" t="s">
        <v>224</v>
      </c>
      <c r="J659" t="s">
        <v>7703</v>
      </c>
      <c r="K659" t="s">
        <v>7684</v>
      </c>
      <c r="L659" t="s">
        <v>7687</v>
      </c>
      <c r="N659" t="str" cm="1">
        <f t="array" ref="N659">IFERROR(LOOKUP(2,1/SEARCH($S$2:$S$65,G659),$T$2:$T$65),"Misc")</f>
        <v>COTS</v>
      </c>
      <c r="O659" t="str" cm="1">
        <f t="array" ref="O659">IFERROR(LOOKUP(2,1/SEARCH($V$2:$V$65,G659),$W$2:$W$65),"Misc")</f>
        <v>Fasteners</v>
      </c>
      <c r="P659" t="str" cm="1">
        <f t="array" ref="P659">IFERROR(LOOKUP(2,1/SEARCH($Y$2:$Y$65,G659),$Z$2:$Z$65),"Not Defined")</f>
        <v>INSERT</v>
      </c>
      <c r="Q659" t="str" cm="1">
        <f t="array" ref="Q659">IFERROR(LOOKUP(2,1/SEARCH($S$2:$S$65,H659),$T$2:$T$65),"-")</f>
        <v>COTS</v>
      </c>
    </row>
    <row r="660" spans="1:17" hidden="1" x14ac:dyDescent="0.25">
      <c r="A660" t="s">
        <v>7673</v>
      </c>
      <c r="B660" s="2" t="s">
        <v>1770</v>
      </c>
      <c r="C660" s="4">
        <v>2</v>
      </c>
      <c r="D660" t="s">
        <v>7233</v>
      </c>
      <c r="F660" t="s">
        <v>1771</v>
      </c>
      <c r="G660" t="s">
        <v>7235</v>
      </c>
      <c r="H660" t="s">
        <v>1772</v>
      </c>
      <c r="I660" t="s">
        <v>255</v>
      </c>
      <c r="J660" t="s">
        <v>7703</v>
      </c>
      <c r="K660" t="s">
        <v>7677</v>
      </c>
      <c r="L660" t="s">
        <v>7677</v>
      </c>
      <c r="N660" t="str" cm="1">
        <f t="array" ref="N660">IFERROR(LOOKUP(2,1/SEARCH($S$2:$S$65,G660),$T$2:$T$65),"Misc")</f>
        <v>COTS</v>
      </c>
      <c r="O660" t="str" cm="1">
        <f t="array" ref="O660">IFERROR(LOOKUP(2,1/SEARCH($V$2:$V$65,G660),$W$2:$W$65),"Misc")</f>
        <v>SWITCH</v>
      </c>
      <c r="P660" t="str" cm="1">
        <f t="array" ref="P660">IFERROR(LOOKUP(2,1/SEARCH($Y$2:$Y$65,G660),$Z$2:$Z$65),"Not Defined")</f>
        <v>SWITCH</v>
      </c>
      <c r="Q660" t="str" cm="1">
        <f t="array" ref="Q660">IFERROR(LOOKUP(2,1/SEARCH($S$2:$S$65,H660),$T$2:$T$65),"-")</f>
        <v>COTS</v>
      </c>
    </row>
    <row r="661" spans="1:17" hidden="1" x14ac:dyDescent="0.25">
      <c r="A661" t="s">
        <v>7673</v>
      </c>
      <c r="B661" s="2" t="s">
        <v>1773</v>
      </c>
      <c r="C661" s="4">
        <v>1</v>
      </c>
      <c r="D661" t="s">
        <v>7233</v>
      </c>
      <c r="F661" t="s">
        <v>1774</v>
      </c>
      <c r="G661" t="s">
        <v>7236</v>
      </c>
      <c r="H661" t="s">
        <v>1775</v>
      </c>
      <c r="I661" t="s">
        <v>255</v>
      </c>
      <c r="J661" t="s">
        <v>7703</v>
      </c>
      <c r="K661" t="s">
        <v>7719</v>
      </c>
      <c r="L661" t="s">
        <v>7719</v>
      </c>
      <c r="N661" t="str" cm="1">
        <f t="array" ref="N661">IFERROR(LOOKUP(2,1/SEARCH($S$2:$S$65,G661),$T$2:$T$65),"Misc")</f>
        <v>COTS</v>
      </c>
      <c r="O661" t="str" cm="1">
        <f t="array" ref="O661">IFERROR(LOOKUP(2,1/SEARCH($V$2:$V$65,G661),$W$2:$W$65),"Misc")</f>
        <v>Misc</v>
      </c>
      <c r="P661" t="str" cm="1">
        <f t="array" ref="P661">IFERROR(LOOKUP(2,1/SEARCH($Y$2:$Y$65,G661),$Z$2:$Z$65),"Not Defined")</f>
        <v>Retaining Rings</v>
      </c>
      <c r="Q661" t="str" cm="1">
        <f t="array" ref="Q661">IFERROR(LOOKUP(2,1/SEARCH($S$2:$S$65,H661),$T$2:$T$65),"-")</f>
        <v>COTS</v>
      </c>
    </row>
    <row r="662" spans="1:17" hidden="1" x14ac:dyDescent="0.25">
      <c r="A662" t="s">
        <v>7673</v>
      </c>
      <c r="B662" s="23" t="s">
        <v>1776</v>
      </c>
      <c r="C662" s="4">
        <v>1</v>
      </c>
      <c r="D662" t="s">
        <v>7233</v>
      </c>
      <c r="E662" t="s">
        <v>7237</v>
      </c>
      <c r="F662" t="s">
        <v>1777</v>
      </c>
      <c r="G662" t="s">
        <v>7237</v>
      </c>
      <c r="H662" t="s">
        <v>1778</v>
      </c>
      <c r="J662" t="s">
        <v>7744</v>
      </c>
      <c r="K662" t="s">
        <v>7826</v>
      </c>
      <c r="L662" t="s">
        <v>7826</v>
      </c>
      <c r="N662" t="str" cm="1">
        <f t="array" ref="N662">IFERROR(LOOKUP(2,1/SEARCH($S$2:$S$65,G662),$T$2:$T$65),"Misc")</f>
        <v>OH Common</v>
      </c>
      <c r="O662" t="str" cm="1">
        <f t="array" ref="O662">IFERROR(LOOKUP(2,1/SEARCH($V$2:$V$65,G662),$W$2:$W$65),"Misc")</f>
        <v>OH Part</v>
      </c>
      <c r="P662" t="str" cm="1">
        <f t="array" ref="P662">IFERROR(LOOKUP(2,1/SEARCH($Y$2:$Y$65,G662),$Z$2:$Z$65),"Not Defined")</f>
        <v>OH Part</v>
      </c>
      <c r="Q662" t="str" cm="1">
        <f t="array" ref="Q662">IFERROR(LOOKUP(2,1/SEARCH($S$2:$S$65,H662),$T$2:$T$65),"-")</f>
        <v>OH ASSY</v>
      </c>
    </row>
    <row r="663" spans="1:17" hidden="1" x14ac:dyDescent="0.25">
      <c r="A663" t="s">
        <v>7673</v>
      </c>
      <c r="B663" s="23" t="s">
        <v>1779</v>
      </c>
      <c r="C663" s="4">
        <v>1</v>
      </c>
      <c r="D663" t="s">
        <v>7233</v>
      </c>
      <c r="E663" t="s">
        <v>7237</v>
      </c>
      <c r="F663" t="s">
        <v>1780</v>
      </c>
      <c r="G663" t="s">
        <v>1782</v>
      </c>
      <c r="H663" t="s">
        <v>1781</v>
      </c>
      <c r="I663" t="s">
        <v>358</v>
      </c>
      <c r="J663" t="s">
        <v>7744</v>
      </c>
      <c r="K663" t="s">
        <v>7826</v>
      </c>
      <c r="L663" t="s">
        <v>7826</v>
      </c>
      <c r="N663" t="str" cm="1">
        <f t="array" ref="N663">IFERROR(LOOKUP(2,1/SEARCH($S$2:$S$65,G663),$T$2:$T$65),"Misc")</f>
        <v>OH Common</v>
      </c>
      <c r="O663" t="str" cm="1">
        <f t="array" ref="O663">IFERROR(LOOKUP(2,1/SEARCH($V$2:$V$65,G663),$W$2:$W$65),"Misc")</f>
        <v>OH Part</v>
      </c>
      <c r="P663" t="str" cm="1">
        <f t="array" ref="P663">IFERROR(LOOKUP(2,1/SEARCH($Y$2:$Y$65,G663),$Z$2:$Z$65),"Not Defined")</f>
        <v>OH Part</v>
      </c>
      <c r="Q663" t="str" cm="1">
        <f t="array" ref="Q663">IFERROR(LOOKUP(2,1/SEARCH($S$2:$S$65,H663),$T$2:$T$65),"-")</f>
        <v>-</v>
      </c>
    </row>
    <row r="664" spans="1:17" hidden="1" x14ac:dyDescent="0.25">
      <c r="A664" t="s">
        <v>7673</v>
      </c>
      <c r="B664" s="23" t="s">
        <v>1783</v>
      </c>
      <c r="C664" s="4">
        <v>1</v>
      </c>
      <c r="D664" t="s">
        <v>7233</v>
      </c>
      <c r="E664" t="s">
        <v>7237</v>
      </c>
      <c r="F664" t="s">
        <v>1784</v>
      </c>
      <c r="G664" t="s">
        <v>7238</v>
      </c>
      <c r="H664" t="s">
        <v>1785</v>
      </c>
      <c r="I664" t="s">
        <v>228</v>
      </c>
      <c r="J664" t="s">
        <v>7703</v>
      </c>
      <c r="K664" t="s">
        <v>7684</v>
      </c>
      <c r="L664" t="s">
        <v>7721</v>
      </c>
      <c r="N664" t="str" cm="1">
        <f t="array" ref="N664">IFERROR(LOOKUP(2,1/SEARCH($S$2:$S$65,G664),$T$2:$T$65),"Misc")</f>
        <v>COTS</v>
      </c>
      <c r="O664" t="str" cm="1">
        <f t="array" ref="O664">IFERROR(LOOKUP(2,1/SEARCH($V$2:$V$65,G664),$W$2:$W$65),"Misc")</f>
        <v>Fasteners</v>
      </c>
      <c r="P664" t="str" cm="1">
        <f t="array" ref="P664">IFERROR(LOOKUP(2,1/SEARCH($Y$2:$Y$65,G664),$Z$2:$Z$65),"Not Defined")</f>
        <v>SET SCREW</v>
      </c>
      <c r="Q664" t="str" cm="1">
        <f t="array" ref="Q664">IFERROR(LOOKUP(2,1/SEARCH($S$2:$S$65,H664),$T$2:$T$65),"-")</f>
        <v>COTS</v>
      </c>
    </row>
    <row r="665" spans="1:17" hidden="1" x14ac:dyDescent="0.25">
      <c r="A665" t="s">
        <v>7673</v>
      </c>
      <c r="B665" s="2" t="s">
        <v>1786</v>
      </c>
      <c r="C665" s="4">
        <v>2</v>
      </c>
      <c r="D665" t="s">
        <v>7233</v>
      </c>
      <c r="E665" t="s">
        <v>7239</v>
      </c>
      <c r="F665" t="s">
        <v>1787</v>
      </c>
      <c r="G665" t="s">
        <v>7239</v>
      </c>
      <c r="H665" t="s">
        <v>1788</v>
      </c>
      <c r="J665" t="s">
        <v>7744</v>
      </c>
      <c r="K665" t="s">
        <v>7826</v>
      </c>
      <c r="L665" t="s">
        <v>7826</v>
      </c>
      <c r="N665" t="str" cm="1">
        <f t="array" ref="N665">IFERROR(LOOKUP(2,1/SEARCH($S$2:$S$65,G665),$T$2:$T$65),"Misc")</f>
        <v>OH Common</v>
      </c>
      <c r="O665" t="str" cm="1">
        <f t="array" ref="O665">IFERROR(LOOKUP(2,1/SEARCH($V$2:$V$65,G665),$W$2:$W$65),"Misc")</f>
        <v>OH Part</v>
      </c>
      <c r="P665" t="str" cm="1">
        <f t="array" ref="P665">IFERROR(LOOKUP(2,1/SEARCH($Y$2:$Y$65,G665),$Z$2:$Z$65),"Not Defined")</f>
        <v>OH Part</v>
      </c>
      <c r="Q665" t="str" cm="1">
        <f t="array" ref="Q665">IFERROR(LOOKUP(2,1/SEARCH($S$2:$S$65,H665),$T$2:$T$65),"-")</f>
        <v>OH ASSY</v>
      </c>
    </row>
    <row r="666" spans="1:17" hidden="1" x14ac:dyDescent="0.25">
      <c r="A666" t="s">
        <v>7673</v>
      </c>
      <c r="B666" s="2" t="s">
        <v>1789</v>
      </c>
      <c r="C666" s="4">
        <v>1</v>
      </c>
      <c r="D666" t="s">
        <v>7233</v>
      </c>
      <c r="E666" t="s">
        <v>7239</v>
      </c>
      <c r="F666" t="s">
        <v>1790</v>
      </c>
      <c r="G666" t="s">
        <v>1792</v>
      </c>
      <c r="H666" t="s">
        <v>1791</v>
      </c>
      <c r="I666" t="s">
        <v>358</v>
      </c>
      <c r="J666" t="s">
        <v>7744</v>
      </c>
      <c r="K666" t="s">
        <v>7826</v>
      </c>
      <c r="L666" t="s">
        <v>7826</v>
      </c>
      <c r="N666" t="str" cm="1">
        <f t="array" ref="N666">IFERROR(LOOKUP(2,1/SEARCH($S$2:$S$65,G666),$T$2:$T$65),"Misc")</f>
        <v>OH Common</v>
      </c>
      <c r="O666" t="str" cm="1">
        <f t="array" ref="O666">IFERROR(LOOKUP(2,1/SEARCH($V$2:$V$65,G666),$W$2:$W$65),"Misc")</f>
        <v>OH Part</v>
      </c>
      <c r="P666" t="str" cm="1">
        <f t="array" ref="P666">IFERROR(LOOKUP(2,1/SEARCH($Y$2:$Y$65,G666),$Z$2:$Z$65),"Not Defined")</f>
        <v>OH Part</v>
      </c>
      <c r="Q666" t="str" cm="1">
        <f t="array" ref="Q666">IFERROR(LOOKUP(2,1/SEARCH($S$2:$S$65,H666),$T$2:$T$65),"-")</f>
        <v>-</v>
      </c>
    </row>
    <row r="667" spans="1:17" hidden="1" x14ac:dyDescent="0.25">
      <c r="A667" t="s">
        <v>7673</v>
      </c>
      <c r="B667" s="2" t="s">
        <v>1793</v>
      </c>
      <c r="C667" s="4">
        <v>1</v>
      </c>
      <c r="D667" t="s">
        <v>7233</v>
      </c>
      <c r="E667" t="s">
        <v>7239</v>
      </c>
      <c r="F667" t="s">
        <v>1784</v>
      </c>
      <c r="G667" t="s">
        <v>7238</v>
      </c>
      <c r="H667" t="s">
        <v>1785</v>
      </c>
      <c r="I667" t="s">
        <v>228</v>
      </c>
      <c r="J667" t="s">
        <v>7703</v>
      </c>
      <c r="K667" t="s">
        <v>7684</v>
      </c>
      <c r="L667" t="s">
        <v>7721</v>
      </c>
      <c r="N667" t="str" cm="1">
        <f t="array" ref="N667">IFERROR(LOOKUP(2,1/SEARCH($S$2:$S$65,G667),$T$2:$T$65),"Misc")</f>
        <v>COTS</v>
      </c>
      <c r="O667" t="str" cm="1">
        <f t="array" ref="O667">IFERROR(LOOKUP(2,1/SEARCH($V$2:$V$65,G667),$W$2:$W$65),"Misc")</f>
        <v>Fasteners</v>
      </c>
      <c r="P667" t="str" cm="1">
        <f t="array" ref="P667">IFERROR(LOOKUP(2,1/SEARCH($Y$2:$Y$65,G667),$Z$2:$Z$65),"Not Defined")</f>
        <v>SET SCREW</v>
      </c>
      <c r="Q667" t="str" cm="1">
        <f t="array" ref="Q667">IFERROR(LOOKUP(2,1/SEARCH($S$2:$S$65,H667),$T$2:$T$65),"-")</f>
        <v>COTS</v>
      </c>
    </row>
    <row r="668" spans="1:17" hidden="1" x14ac:dyDescent="0.25">
      <c r="A668" t="s">
        <v>7673</v>
      </c>
      <c r="B668" s="2" t="s">
        <v>1794</v>
      </c>
      <c r="C668" s="4">
        <v>1</v>
      </c>
      <c r="D668" t="s">
        <v>7233</v>
      </c>
      <c r="F668" t="s">
        <v>1795</v>
      </c>
      <c r="G668" t="s">
        <v>7240</v>
      </c>
      <c r="H668" t="s">
        <v>1796</v>
      </c>
      <c r="I668" t="s">
        <v>210</v>
      </c>
      <c r="J668" t="s">
        <v>7703</v>
      </c>
      <c r="K668" t="s">
        <v>7684</v>
      </c>
      <c r="L668" t="s">
        <v>7677</v>
      </c>
      <c r="N668" t="str" cm="1">
        <f t="array" ref="N668">IFERROR(LOOKUP(2,1/SEARCH($S$2:$S$65,G668),$T$2:$T$65),"Misc")</f>
        <v>COTS</v>
      </c>
      <c r="O668" t="str" cm="1">
        <f t="array" ref="O668">IFERROR(LOOKUP(2,1/SEARCH($V$2:$V$65,G668),$W$2:$W$65),"Misc")</f>
        <v>Fasteners</v>
      </c>
      <c r="P668" t="str" cm="1">
        <f t="array" ref="P668">IFERROR(LOOKUP(2,1/SEARCH($Y$2:$Y$65,G668),$Z$2:$Z$65),"Not Defined")</f>
        <v>SWITCH</v>
      </c>
      <c r="Q668" t="str" cm="1">
        <f t="array" ref="Q668">IFERROR(LOOKUP(2,1/SEARCH($S$2:$S$65,H668),$T$2:$T$65),"-")</f>
        <v>COTS</v>
      </c>
    </row>
    <row r="669" spans="1:17" hidden="1" x14ac:dyDescent="0.25">
      <c r="A669" t="s">
        <v>7673</v>
      </c>
      <c r="B669" s="2" t="s">
        <v>1797</v>
      </c>
      <c r="C669" s="4">
        <v>2</v>
      </c>
      <c r="D669" t="s">
        <v>7233</v>
      </c>
      <c r="F669" t="s">
        <v>1798</v>
      </c>
      <c r="G669" t="s">
        <v>7241</v>
      </c>
      <c r="H669" t="s">
        <v>1799</v>
      </c>
      <c r="I669" t="s">
        <v>224</v>
      </c>
      <c r="J669" t="s">
        <v>7703</v>
      </c>
      <c r="K669" t="s">
        <v>7677</v>
      </c>
      <c r="L669" t="s">
        <v>7685</v>
      </c>
      <c r="N669" t="str" cm="1">
        <f t="array" ref="N669">IFERROR(LOOKUP(2,1/SEARCH($S$2:$S$65,G669),$T$2:$T$65),"Misc")</f>
        <v>COTS</v>
      </c>
      <c r="O669" t="str" cm="1">
        <f t="array" ref="O669">IFERROR(LOOKUP(2,1/SEARCH($V$2:$V$65,G669),$W$2:$W$65),"Misc")</f>
        <v>SWITCH</v>
      </c>
      <c r="P669" t="str" cm="1">
        <f t="array" ref="P669">IFERROR(LOOKUP(2,1/SEARCH($Y$2:$Y$65,G669),$Z$2:$Z$65),"Not Defined")</f>
        <v>NUT</v>
      </c>
      <c r="Q669" t="str" cm="1">
        <f t="array" ref="Q669">IFERROR(LOOKUP(2,1/SEARCH($S$2:$S$65,H669),$T$2:$T$65),"-")</f>
        <v>COTS</v>
      </c>
    </row>
    <row r="670" spans="1:17" hidden="1" x14ac:dyDescent="0.25">
      <c r="A670" t="s">
        <v>7673</v>
      </c>
      <c r="B670" s="2" t="s">
        <v>1800</v>
      </c>
      <c r="C670" s="4">
        <v>1</v>
      </c>
      <c r="D670" t="s">
        <v>7233</v>
      </c>
      <c r="F670" t="s">
        <v>1801</v>
      </c>
      <c r="G670" t="s">
        <v>7242</v>
      </c>
      <c r="H670" t="s">
        <v>1802</v>
      </c>
      <c r="I670" t="s">
        <v>255</v>
      </c>
      <c r="J670" t="s">
        <v>7703</v>
      </c>
      <c r="K670" t="s">
        <v>7677</v>
      </c>
      <c r="L670" t="s">
        <v>7677</v>
      </c>
      <c r="N670" t="str" cm="1">
        <f t="array" ref="N670">IFERROR(LOOKUP(2,1/SEARCH($S$2:$S$65,G670),$T$2:$T$65),"Misc")</f>
        <v>COTS</v>
      </c>
      <c r="O670" t="str" cm="1">
        <f t="array" ref="O670">IFERROR(LOOKUP(2,1/SEARCH($V$2:$V$65,G670),$W$2:$W$65),"Misc")</f>
        <v>SWITCH</v>
      </c>
      <c r="P670" t="str" cm="1">
        <f t="array" ref="P670">IFERROR(LOOKUP(2,1/SEARCH($Y$2:$Y$65,G670),$Z$2:$Z$65),"Not Defined")</f>
        <v>SWITCH</v>
      </c>
      <c r="Q670" t="str" cm="1">
        <f t="array" ref="Q670">IFERROR(LOOKUP(2,1/SEARCH($S$2:$S$65,H670),$T$2:$T$65),"-")</f>
        <v>COTS</v>
      </c>
    </row>
    <row r="671" spans="1:17" hidden="1" x14ac:dyDescent="0.25">
      <c r="A671" t="s">
        <v>7673</v>
      </c>
      <c r="B671" t="s">
        <v>1803</v>
      </c>
      <c r="C671">
        <v>1</v>
      </c>
      <c r="D671" t="s">
        <v>7243</v>
      </c>
      <c r="F671" t="s">
        <v>1804</v>
      </c>
      <c r="G671" t="s">
        <v>7243</v>
      </c>
      <c r="H671" t="s">
        <v>1805</v>
      </c>
      <c r="J671" t="s">
        <v>7742</v>
      </c>
      <c r="K671" t="s">
        <v>7826</v>
      </c>
      <c r="L671" t="s">
        <v>7826</v>
      </c>
      <c r="N671" t="str" cm="1">
        <f t="array" ref="N671">IFERROR(LOOKUP(2,1/SEARCH($S$2:$S$65,G671),$T$2:$T$65),"Misc")</f>
        <v>OH ASSY</v>
      </c>
      <c r="O671" t="str" cm="1">
        <f t="array" ref="O671">IFERROR(LOOKUP(2,1/SEARCH($V$2:$V$65,G671),$W$2:$W$65),"Misc")</f>
        <v>OH Part</v>
      </c>
      <c r="P671" t="str" cm="1">
        <f t="array" ref="P671">IFERROR(LOOKUP(2,1/SEARCH($Y$2:$Y$65,G671),$Z$2:$Z$65),"Not Defined")</f>
        <v>OH Part</v>
      </c>
      <c r="Q671" t="str" cm="1">
        <f t="array" ref="Q671">IFERROR(LOOKUP(2,1/SEARCH($S$2:$S$65,H671),$T$2:$T$65),"-")</f>
        <v>OH ASSY</v>
      </c>
    </row>
    <row r="672" spans="1:17" hidden="1" x14ac:dyDescent="0.25">
      <c r="A672" t="s">
        <v>7673</v>
      </c>
      <c r="B672" t="s">
        <v>1806</v>
      </c>
      <c r="C672">
        <v>1</v>
      </c>
      <c r="D672" t="s">
        <v>7243</v>
      </c>
      <c r="F672" t="s">
        <v>1807</v>
      </c>
      <c r="G672" t="s">
        <v>1809</v>
      </c>
      <c r="H672" t="s">
        <v>1808</v>
      </c>
      <c r="I672" t="s">
        <v>358</v>
      </c>
      <c r="J672" t="s">
        <v>7682</v>
      </c>
      <c r="K672" t="s">
        <v>7826</v>
      </c>
      <c r="L672" t="s">
        <v>7826</v>
      </c>
      <c r="N672" t="str" cm="1">
        <f t="array" ref="N672">IFERROR(LOOKUP(2,1/SEARCH($S$2:$S$65,G672),$T$2:$T$65),"Misc")</f>
        <v>OH P/N</v>
      </c>
      <c r="O672" t="str" cm="1">
        <f t="array" ref="O672">IFERROR(LOOKUP(2,1/SEARCH($V$2:$V$65,G672),$W$2:$W$65),"Misc")</f>
        <v>OH Part</v>
      </c>
      <c r="P672" t="str" cm="1">
        <f t="array" ref="P672">IFERROR(LOOKUP(2,1/SEARCH($Y$2:$Y$65,G672),$Z$2:$Z$65),"Not Defined")</f>
        <v>OH Part</v>
      </c>
      <c r="Q672" t="str" cm="1">
        <f t="array" ref="Q672">IFERROR(LOOKUP(2,1/SEARCH($S$2:$S$65,H672),$T$2:$T$65),"-")</f>
        <v>-</v>
      </c>
    </row>
    <row r="673" spans="1:17" hidden="1" x14ac:dyDescent="0.25">
      <c r="A673" t="s">
        <v>7673</v>
      </c>
      <c r="B673" t="s">
        <v>1810</v>
      </c>
      <c r="C673">
        <v>1</v>
      </c>
      <c r="D673" t="s">
        <v>7243</v>
      </c>
      <c r="F673" t="s">
        <v>1811</v>
      </c>
      <c r="G673" t="s">
        <v>1813</v>
      </c>
      <c r="H673" t="s">
        <v>1812</v>
      </c>
      <c r="I673" t="s">
        <v>358</v>
      </c>
      <c r="J673" t="s">
        <v>7682</v>
      </c>
      <c r="K673" t="s">
        <v>7826</v>
      </c>
      <c r="L673" t="s">
        <v>7826</v>
      </c>
      <c r="N673" t="str" cm="1">
        <f t="array" ref="N673">IFERROR(LOOKUP(2,1/SEARCH($S$2:$S$65,G673),$T$2:$T$65),"Misc")</f>
        <v>OH P/N</v>
      </c>
      <c r="O673" t="str" cm="1">
        <f t="array" ref="O673">IFERROR(LOOKUP(2,1/SEARCH($V$2:$V$65,G673),$W$2:$W$65),"Misc")</f>
        <v>OH Part</v>
      </c>
      <c r="P673" t="str" cm="1">
        <f t="array" ref="P673">IFERROR(LOOKUP(2,1/SEARCH($Y$2:$Y$65,G673),$Z$2:$Z$65),"Not Defined")</f>
        <v>OH Part</v>
      </c>
      <c r="Q673" t="str" cm="1">
        <f t="array" ref="Q673">IFERROR(LOOKUP(2,1/SEARCH($S$2:$S$65,H673),$T$2:$T$65),"-")</f>
        <v>-</v>
      </c>
    </row>
    <row r="674" spans="1:17" hidden="1" x14ac:dyDescent="0.25">
      <c r="A674" t="s">
        <v>7673</v>
      </c>
      <c r="B674" t="s">
        <v>1814</v>
      </c>
      <c r="C674">
        <v>11</v>
      </c>
      <c r="D674" t="s">
        <v>7243</v>
      </c>
      <c r="F674" t="s">
        <v>1815</v>
      </c>
      <c r="G674" t="s">
        <v>1817</v>
      </c>
      <c r="H674" t="s">
        <v>1816</v>
      </c>
      <c r="I674" t="s">
        <v>293</v>
      </c>
      <c r="J674" t="s">
        <v>7682</v>
      </c>
      <c r="K674" t="s">
        <v>7826</v>
      </c>
      <c r="L674" t="s">
        <v>7826</v>
      </c>
      <c r="N674" t="str" cm="1">
        <f t="array" ref="N674">IFERROR(LOOKUP(2,1/SEARCH($S$2:$S$65,G674),$T$2:$T$65),"Misc")</f>
        <v>OH P/N</v>
      </c>
      <c r="O674" t="str" cm="1">
        <f t="array" ref="O674">IFERROR(LOOKUP(2,1/SEARCH($V$2:$V$65,G674),$W$2:$W$65),"Misc")</f>
        <v>OH Part</v>
      </c>
      <c r="P674" t="str" cm="1">
        <f t="array" ref="P674">IFERROR(LOOKUP(2,1/SEARCH($Y$2:$Y$65,G674),$Z$2:$Z$65),"Not Defined")</f>
        <v>OH Part</v>
      </c>
      <c r="Q674" t="str" cm="1">
        <f t="array" ref="Q674">IFERROR(LOOKUP(2,1/SEARCH($S$2:$S$65,H674),$T$2:$T$65),"-")</f>
        <v>-</v>
      </c>
    </row>
    <row r="675" spans="1:17" hidden="1" x14ac:dyDescent="0.25">
      <c r="A675" t="s">
        <v>7673</v>
      </c>
      <c r="B675" t="s">
        <v>1818</v>
      </c>
      <c r="C675">
        <v>1</v>
      </c>
      <c r="D675" t="s">
        <v>7243</v>
      </c>
      <c r="F675" t="s">
        <v>1819</v>
      </c>
      <c r="G675" t="s">
        <v>1821</v>
      </c>
      <c r="H675" t="s">
        <v>1820</v>
      </c>
      <c r="I675" t="s">
        <v>293</v>
      </c>
      <c r="J675" t="s">
        <v>7682</v>
      </c>
      <c r="K675" t="s">
        <v>7826</v>
      </c>
      <c r="L675" t="s">
        <v>7826</v>
      </c>
      <c r="N675" t="str" cm="1">
        <f t="array" ref="N675">IFERROR(LOOKUP(2,1/SEARCH($S$2:$S$65,G675),$T$2:$T$65),"Misc")</f>
        <v>OH P/N</v>
      </c>
      <c r="O675" t="str" cm="1">
        <f t="array" ref="O675">IFERROR(LOOKUP(2,1/SEARCH($V$2:$V$65,G675),$W$2:$W$65),"Misc")</f>
        <v>OH Part</v>
      </c>
      <c r="P675" t="str" cm="1">
        <f t="array" ref="P675">IFERROR(LOOKUP(2,1/SEARCH($Y$2:$Y$65,G675),$Z$2:$Z$65),"Not Defined")</f>
        <v>OH Part</v>
      </c>
      <c r="Q675" t="str" cm="1">
        <f t="array" ref="Q675">IFERROR(LOOKUP(2,1/SEARCH($S$2:$S$65,H675),$T$2:$T$65),"-")</f>
        <v>-</v>
      </c>
    </row>
    <row r="676" spans="1:17" hidden="1" x14ac:dyDescent="0.25">
      <c r="A676" t="s">
        <v>7673</v>
      </c>
      <c r="B676" t="s">
        <v>1822</v>
      </c>
      <c r="C676">
        <v>1</v>
      </c>
      <c r="D676" t="s">
        <v>7243</v>
      </c>
      <c r="F676" t="s">
        <v>1823</v>
      </c>
      <c r="G676" t="s">
        <v>1825</v>
      </c>
      <c r="H676" t="s">
        <v>1824</v>
      </c>
      <c r="I676" t="s">
        <v>293</v>
      </c>
      <c r="J676" t="s">
        <v>7682</v>
      </c>
      <c r="K676" t="s">
        <v>7826</v>
      </c>
      <c r="L676" t="s">
        <v>7826</v>
      </c>
      <c r="N676" t="str" cm="1">
        <f t="array" ref="N676">IFERROR(LOOKUP(2,1/SEARCH($S$2:$S$65,G676),$T$2:$T$65),"Misc")</f>
        <v>OH P/N</v>
      </c>
      <c r="O676" t="str" cm="1">
        <f t="array" ref="O676">IFERROR(LOOKUP(2,1/SEARCH($V$2:$V$65,G676),$W$2:$W$65),"Misc")</f>
        <v>OH Part</v>
      </c>
      <c r="P676" t="str" cm="1">
        <f t="array" ref="P676">IFERROR(LOOKUP(2,1/SEARCH($Y$2:$Y$65,G676),$Z$2:$Z$65),"Not Defined")</f>
        <v>OH Part</v>
      </c>
      <c r="Q676" t="str" cm="1">
        <f t="array" ref="Q676">IFERROR(LOOKUP(2,1/SEARCH($S$2:$S$65,H676),$T$2:$T$65),"-")</f>
        <v>-</v>
      </c>
    </row>
    <row r="677" spans="1:17" hidden="1" x14ac:dyDescent="0.25">
      <c r="A677" t="s">
        <v>7673</v>
      </c>
      <c r="B677" t="s">
        <v>1826</v>
      </c>
      <c r="C677">
        <v>1</v>
      </c>
      <c r="D677" t="s">
        <v>7243</v>
      </c>
      <c r="F677" t="s">
        <v>1827</v>
      </c>
      <c r="G677" t="s">
        <v>1829</v>
      </c>
      <c r="H677" t="s">
        <v>1828</v>
      </c>
      <c r="I677" t="s">
        <v>293</v>
      </c>
      <c r="J677" t="s">
        <v>7682</v>
      </c>
      <c r="K677" t="s">
        <v>7826</v>
      </c>
      <c r="L677" t="s">
        <v>7826</v>
      </c>
      <c r="N677" t="str" cm="1">
        <f t="array" ref="N677">IFERROR(LOOKUP(2,1/SEARCH($S$2:$S$65,G677),$T$2:$T$65),"Misc")</f>
        <v>OH P/N</v>
      </c>
      <c r="O677" t="str" cm="1">
        <f t="array" ref="O677">IFERROR(LOOKUP(2,1/SEARCH($V$2:$V$65,G677),$W$2:$W$65),"Misc")</f>
        <v>OH Part</v>
      </c>
      <c r="P677" t="str" cm="1">
        <f t="array" ref="P677">IFERROR(LOOKUP(2,1/SEARCH($Y$2:$Y$65,G677),$Z$2:$Z$65),"Not Defined")</f>
        <v>OH Part</v>
      </c>
      <c r="Q677" t="str" cm="1">
        <f t="array" ref="Q677">IFERROR(LOOKUP(2,1/SEARCH($S$2:$S$65,H677),$T$2:$T$65),"-")</f>
        <v>-</v>
      </c>
    </row>
    <row r="678" spans="1:17" hidden="1" x14ac:dyDescent="0.25">
      <c r="A678" t="s">
        <v>7673</v>
      </c>
      <c r="B678" t="s">
        <v>1830</v>
      </c>
      <c r="C678">
        <v>1</v>
      </c>
      <c r="D678" t="s">
        <v>7243</v>
      </c>
      <c r="F678" t="s">
        <v>1831</v>
      </c>
      <c r="G678" t="s">
        <v>1833</v>
      </c>
      <c r="H678" t="s">
        <v>1832</v>
      </c>
      <c r="I678" t="s">
        <v>293</v>
      </c>
      <c r="J678" t="s">
        <v>7682</v>
      </c>
      <c r="K678" t="s">
        <v>7826</v>
      </c>
      <c r="L678" t="s">
        <v>7826</v>
      </c>
      <c r="N678" t="str" cm="1">
        <f t="array" ref="N678">IFERROR(LOOKUP(2,1/SEARCH($S$2:$S$65,G678),$T$2:$T$65),"Misc")</f>
        <v>OH P/N</v>
      </c>
      <c r="O678" t="str" cm="1">
        <f t="array" ref="O678">IFERROR(LOOKUP(2,1/SEARCH($V$2:$V$65,G678),$W$2:$W$65),"Misc")</f>
        <v>OH Part</v>
      </c>
      <c r="P678" t="str" cm="1">
        <f t="array" ref="P678">IFERROR(LOOKUP(2,1/SEARCH($Y$2:$Y$65,G678),$Z$2:$Z$65),"Not Defined")</f>
        <v>OH Part</v>
      </c>
      <c r="Q678" t="str" cm="1">
        <f t="array" ref="Q678">IFERROR(LOOKUP(2,1/SEARCH($S$2:$S$65,H678),$T$2:$T$65),"-")</f>
        <v>-</v>
      </c>
    </row>
    <row r="679" spans="1:17" hidden="1" x14ac:dyDescent="0.25">
      <c r="A679" t="s">
        <v>7673</v>
      </c>
      <c r="B679" t="s">
        <v>1834</v>
      </c>
      <c r="C679">
        <v>1</v>
      </c>
      <c r="D679" t="s">
        <v>7243</v>
      </c>
      <c r="F679" t="s">
        <v>1835</v>
      </c>
      <c r="G679" t="s">
        <v>1837</v>
      </c>
      <c r="H679" t="s">
        <v>1836</v>
      </c>
      <c r="I679" t="s">
        <v>293</v>
      </c>
      <c r="J679" t="s">
        <v>7682</v>
      </c>
      <c r="K679" t="s">
        <v>7826</v>
      </c>
      <c r="L679" t="s">
        <v>7826</v>
      </c>
      <c r="N679" t="str" cm="1">
        <f t="array" ref="N679">IFERROR(LOOKUP(2,1/SEARCH($S$2:$S$65,G679),$T$2:$T$65),"Misc")</f>
        <v>OH P/N</v>
      </c>
      <c r="O679" t="str" cm="1">
        <f t="array" ref="O679">IFERROR(LOOKUP(2,1/SEARCH($V$2:$V$65,G679),$W$2:$W$65),"Misc")</f>
        <v>OH Part</v>
      </c>
      <c r="P679" t="str" cm="1">
        <f t="array" ref="P679">IFERROR(LOOKUP(2,1/SEARCH($Y$2:$Y$65,G679),$Z$2:$Z$65),"Not Defined")</f>
        <v>OH Part</v>
      </c>
      <c r="Q679" t="str" cm="1">
        <f t="array" ref="Q679">IFERROR(LOOKUP(2,1/SEARCH($S$2:$S$65,H679),$T$2:$T$65),"-")</f>
        <v>-</v>
      </c>
    </row>
    <row r="680" spans="1:17" hidden="1" x14ac:dyDescent="0.25">
      <c r="A680" t="s">
        <v>7673</v>
      </c>
      <c r="B680" t="s">
        <v>1838</v>
      </c>
      <c r="C680">
        <v>1</v>
      </c>
      <c r="D680" t="s">
        <v>7243</v>
      </c>
      <c r="F680" t="s">
        <v>1839</v>
      </c>
      <c r="G680" t="s">
        <v>1841</v>
      </c>
      <c r="H680" t="s">
        <v>1840</v>
      </c>
      <c r="I680" t="s">
        <v>293</v>
      </c>
      <c r="J680" t="s">
        <v>7682</v>
      </c>
      <c r="K680" t="s">
        <v>7826</v>
      </c>
      <c r="L680" t="s">
        <v>7826</v>
      </c>
      <c r="N680" t="str" cm="1">
        <f t="array" ref="N680">IFERROR(LOOKUP(2,1/SEARCH($S$2:$S$65,G680),$T$2:$T$65),"Misc")</f>
        <v>OH P/N</v>
      </c>
      <c r="O680" t="str" cm="1">
        <f t="array" ref="O680">IFERROR(LOOKUP(2,1/SEARCH($V$2:$V$65,G680),$W$2:$W$65),"Misc")</f>
        <v>OH Part</v>
      </c>
      <c r="P680" t="str" cm="1">
        <f t="array" ref="P680">IFERROR(LOOKUP(2,1/SEARCH($Y$2:$Y$65,G680),$Z$2:$Z$65),"Not Defined")</f>
        <v>OH Part</v>
      </c>
      <c r="Q680" t="str" cm="1">
        <f t="array" ref="Q680">IFERROR(LOOKUP(2,1/SEARCH($S$2:$S$65,H680),$T$2:$T$65),"-")</f>
        <v>-</v>
      </c>
    </row>
    <row r="681" spans="1:17" hidden="1" x14ac:dyDescent="0.25">
      <c r="A681" t="s">
        <v>7673</v>
      </c>
      <c r="B681" t="s">
        <v>1842</v>
      </c>
      <c r="C681">
        <v>1</v>
      </c>
      <c r="D681" t="s">
        <v>7243</v>
      </c>
      <c r="F681" t="s">
        <v>1843</v>
      </c>
      <c r="G681" t="s">
        <v>1845</v>
      </c>
      <c r="H681" t="s">
        <v>1844</v>
      </c>
      <c r="I681" t="s">
        <v>293</v>
      </c>
      <c r="J681" t="s">
        <v>7682</v>
      </c>
      <c r="K681" t="s">
        <v>7826</v>
      </c>
      <c r="L681" t="s">
        <v>7826</v>
      </c>
      <c r="N681" t="str" cm="1">
        <f t="array" ref="N681">IFERROR(LOOKUP(2,1/SEARCH($S$2:$S$65,G681),$T$2:$T$65),"Misc")</f>
        <v>OH P/N</v>
      </c>
      <c r="O681" t="str" cm="1">
        <f t="array" ref="O681">IFERROR(LOOKUP(2,1/SEARCH($V$2:$V$65,G681),$W$2:$W$65),"Misc")</f>
        <v>OH Part</v>
      </c>
      <c r="P681" t="str" cm="1">
        <f t="array" ref="P681">IFERROR(LOOKUP(2,1/SEARCH($Y$2:$Y$65,G681),$Z$2:$Z$65),"Not Defined")</f>
        <v>OH Part</v>
      </c>
      <c r="Q681" t="str" cm="1">
        <f t="array" ref="Q681">IFERROR(LOOKUP(2,1/SEARCH($S$2:$S$65,H681),$T$2:$T$65),"-")</f>
        <v>-</v>
      </c>
    </row>
    <row r="682" spans="1:17" hidden="1" x14ac:dyDescent="0.25">
      <c r="A682" t="s">
        <v>7673</v>
      </c>
      <c r="B682" t="s">
        <v>1846</v>
      </c>
      <c r="C682">
        <v>1</v>
      </c>
      <c r="D682" t="s">
        <v>7243</v>
      </c>
      <c r="F682" t="s">
        <v>1847</v>
      </c>
      <c r="G682" t="s">
        <v>1849</v>
      </c>
      <c r="H682" t="s">
        <v>1848</v>
      </c>
      <c r="I682" t="s">
        <v>293</v>
      </c>
      <c r="J682" t="s">
        <v>7682</v>
      </c>
      <c r="K682" t="s">
        <v>7826</v>
      </c>
      <c r="L682" t="s">
        <v>7826</v>
      </c>
      <c r="N682" t="str" cm="1">
        <f t="array" ref="N682">IFERROR(LOOKUP(2,1/SEARCH($S$2:$S$65,G682),$T$2:$T$65),"Misc")</f>
        <v>OH P/N</v>
      </c>
      <c r="O682" t="str" cm="1">
        <f t="array" ref="O682">IFERROR(LOOKUP(2,1/SEARCH($V$2:$V$65,G682),$W$2:$W$65),"Misc")</f>
        <v>OH Part</v>
      </c>
      <c r="P682" t="str" cm="1">
        <f t="array" ref="P682">IFERROR(LOOKUP(2,1/SEARCH($Y$2:$Y$65,G682),$Z$2:$Z$65),"Not Defined")</f>
        <v>OH Part</v>
      </c>
      <c r="Q682" t="str" cm="1">
        <f t="array" ref="Q682">IFERROR(LOOKUP(2,1/SEARCH($S$2:$S$65,H682),$T$2:$T$65),"-")</f>
        <v>-</v>
      </c>
    </row>
    <row r="683" spans="1:17" hidden="1" x14ac:dyDescent="0.25">
      <c r="A683" t="s">
        <v>7673</v>
      </c>
      <c r="B683" t="s">
        <v>1850</v>
      </c>
      <c r="C683">
        <v>1</v>
      </c>
      <c r="D683" t="s">
        <v>7243</v>
      </c>
      <c r="F683" t="s">
        <v>1851</v>
      </c>
      <c r="G683" t="s">
        <v>1853</v>
      </c>
      <c r="H683" t="s">
        <v>1852</v>
      </c>
      <c r="I683" t="s">
        <v>293</v>
      </c>
      <c r="J683" t="s">
        <v>7682</v>
      </c>
      <c r="K683" t="s">
        <v>7826</v>
      </c>
      <c r="L683" t="s">
        <v>7826</v>
      </c>
      <c r="N683" t="str" cm="1">
        <f t="array" ref="N683">IFERROR(LOOKUP(2,1/SEARCH($S$2:$S$65,G683),$T$2:$T$65),"Misc")</f>
        <v>OH P/N</v>
      </c>
      <c r="O683" t="str" cm="1">
        <f t="array" ref="O683">IFERROR(LOOKUP(2,1/SEARCH($V$2:$V$65,G683),$W$2:$W$65),"Misc")</f>
        <v>OH Part</v>
      </c>
      <c r="P683" t="str" cm="1">
        <f t="array" ref="P683">IFERROR(LOOKUP(2,1/SEARCH($Y$2:$Y$65,G683),$Z$2:$Z$65),"Not Defined")</f>
        <v>OH Part</v>
      </c>
      <c r="Q683" t="str" cm="1">
        <f t="array" ref="Q683">IFERROR(LOOKUP(2,1/SEARCH($S$2:$S$65,H683),$T$2:$T$65),"-")</f>
        <v>-</v>
      </c>
    </row>
    <row r="684" spans="1:17" hidden="1" x14ac:dyDescent="0.25">
      <c r="A684" t="s">
        <v>7673</v>
      </c>
      <c r="B684" t="s">
        <v>1854</v>
      </c>
      <c r="C684">
        <v>2</v>
      </c>
      <c r="D684" t="s">
        <v>7243</v>
      </c>
      <c r="F684" t="s">
        <v>1855</v>
      </c>
      <c r="G684" t="s">
        <v>1857</v>
      </c>
      <c r="H684" t="s">
        <v>1856</v>
      </c>
      <c r="I684" t="s">
        <v>293</v>
      </c>
      <c r="J684" t="s">
        <v>7682</v>
      </c>
      <c r="K684" t="s">
        <v>7826</v>
      </c>
      <c r="L684" t="s">
        <v>7826</v>
      </c>
      <c r="N684" t="str" cm="1">
        <f t="array" ref="N684">IFERROR(LOOKUP(2,1/SEARCH($S$2:$S$65,G684),$T$2:$T$65),"Misc")</f>
        <v>OH P/N</v>
      </c>
      <c r="O684" t="str" cm="1">
        <f t="array" ref="O684">IFERROR(LOOKUP(2,1/SEARCH($V$2:$V$65,G684),$W$2:$W$65),"Misc")</f>
        <v>OH Part</v>
      </c>
      <c r="P684" t="str" cm="1">
        <f t="array" ref="P684">IFERROR(LOOKUP(2,1/SEARCH($Y$2:$Y$65,G684),$Z$2:$Z$65),"Not Defined")</f>
        <v>OH Part</v>
      </c>
      <c r="Q684" t="str" cm="1">
        <f t="array" ref="Q684">IFERROR(LOOKUP(2,1/SEARCH($S$2:$S$65,H684),$T$2:$T$65),"-")</f>
        <v>-</v>
      </c>
    </row>
    <row r="685" spans="1:17" hidden="1" x14ac:dyDescent="0.25">
      <c r="A685" t="s">
        <v>7673</v>
      </c>
      <c r="B685" t="s">
        <v>1858</v>
      </c>
      <c r="C685">
        <v>6</v>
      </c>
      <c r="D685" t="s">
        <v>7243</v>
      </c>
      <c r="F685" t="s">
        <v>1859</v>
      </c>
      <c r="G685" t="s">
        <v>1861</v>
      </c>
      <c r="H685" t="s">
        <v>1860</v>
      </c>
      <c r="I685" t="s">
        <v>293</v>
      </c>
      <c r="J685" t="s">
        <v>7682</v>
      </c>
      <c r="K685" t="s">
        <v>7826</v>
      </c>
      <c r="L685" t="s">
        <v>7826</v>
      </c>
      <c r="N685" t="str" cm="1">
        <f t="array" ref="N685">IFERROR(LOOKUP(2,1/SEARCH($S$2:$S$65,G685),$T$2:$T$65),"Misc")</f>
        <v>OH P/N</v>
      </c>
      <c r="O685" t="str" cm="1">
        <f t="array" ref="O685">IFERROR(LOOKUP(2,1/SEARCH($V$2:$V$65,G685),$W$2:$W$65),"Misc")</f>
        <v>OH Part</v>
      </c>
      <c r="P685" t="str" cm="1">
        <f t="array" ref="P685">IFERROR(LOOKUP(2,1/SEARCH($Y$2:$Y$65,G685),$Z$2:$Z$65),"Not Defined")</f>
        <v>OH Part</v>
      </c>
      <c r="Q685" t="str" cm="1">
        <f t="array" ref="Q685">IFERROR(LOOKUP(2,1/SEARCH($S$2:$S$65,H685),$T$2:$T$65),"-")</f>
        <v>-</v>
      </c>
    </row>
    <row r="686" spans="1:17" hidden="1" x14ac:dyDescent="0.25">
      <c r="A686" t="s">
        <v>7673</v>
      </c>
      <c r="B686" t="s">
        <v>1862</v>
      </c>
      <c r="C686">
        <v>3</v>
      </c>
      <c r="D686" t="s">
        <v>7243</v>
      </c>
      <c r="F686" t="s">
        <v>1863</v>
      </c>
      <c r="G686" t="s">
        <v>1865</v>
      </c>
      <c r="H686" t="s">
        <v>1864</v>
      </c>
      <c r="I686" t="s">
        <v>293</v>
      </c>
      <c r="J686" t="s">
        <v>7682</v>
      </c>
      <c r="K686" t="s">
        <v>7826</v>
      </c>
      <c r="L686" t="s">
        <v>7826</v>
      </c>
      <c r="N686" t="str" cm="1">
        <f t="array" ref="N686">IFERROR(LOOKUP(2,1/SEARCH($S$2:$S$65,G686),$T$2:$T$65),"Misc")</f>
        <v>OH P/N</v>
      </c>
      <c r="O686" t="str" cm="1">
        <f t="array" ref="O686">IFERROR(LOOKUP(2,1/SEARCH($V$2:$V$65,G686),$W$2:$W$65),"Misc")</f>
        <v>OH Part</v>
      </c>
      <c r="P686" t="str" cm="1">
        <f t="array" ref="P686">IFERROR(LOOKUP(2,1/SEARCH($Y$2:$Y$65,G686),$Z$2:$Z$65),"Not Defined")</f>
        <v>OH Part</v>
      </c>
      <c r="Q686" t="str" cm="1">
        <f t="array" ref="Q686">IFERROR(LOOKUP(2,1/SEARCH($S$2:$S$65,H686),$T$2:$T$65),"-")</f>
        <v>-</v>
      </c>
    </row>
    <row r="687" spans="1:17" hidden="1" x14ac:dyDescent="0.25">
      <c r="A687" t="s">
        <v>7673</v>
      </c>
      <c r="B687" t="s">
        <v>1866</v>
      </c>
      <c r="C687">
        <v>2</v>
      </c>
      <c r="D687" t="s">
        <v>7243</v>
      </c>
      <c r="F687" t="s">
        <v>1867</v>
      </c>
      <c r="G687" t="s">
        <v>1869</v>
      </c>
      <c r="H687" t="s">
        <v>1868</v>
      </c>
      <c r="I687" t="s">
        <v>293</v>
      </c>
      <c r="J687" t="s">
        <v>7682</v>
      </c>
      <c r="K687" t="s">
        <v>7826</v>
      </c>
      <c r="L687" t="s">
        <v>7826</v>
      </c>
      <c r="N687" t="str" cm="1">
        <f t="array" ref="N687">IFERROR(LOOKUP(2,1/SEARCH($S$2:$S$65,G687),$T$2:$T$65),"Misc")</f>
        <v>OH P/N</v>
      </c>
      <c r="O687" t="str" cm="1">
        <f t="array" ref="O687">IFERROR(LOOKUP(2,1/SEARCH($V$2:$V$65,G687),$W$2:$W$65),"Misc")</f>
        <v>OH Part</v>
      </c>
      <c r="P687" t="str" cm="1">
        <f t="array" ref="P687">IFERROR(LOOKUP(2,1/SEARCH($Y$2:$Y$65,G687),$Z$2:$Z$65),"Not Defined")</f>
        <v>OH Part</v>
      </c>
      <c r="Q687" t="str" cm="1">
        <f t="array" ref="Q687">IFERROR(LOOKUP(2,1/SEARCH($S$2:$S$65,H687),$T$2:$T$65),"-")</f>
        <v>-</v>
      </c>
    </row>
    <row r="688" spans="1:17" hidden="1" x14ac:dyDescent="0.25">
      <c r="A688" t="s">
        <v>7673</v>
      </c>
      <c r="B688" t="s">
        <v>1870</v>
      </c>
      <c r="C688">
        <v>1</v>
      </c>
      <c r="D688" t="s">
        <v>7243</v>
      </c>
      <c r="F688" t="s">
        <v>1871</v>
      </c>
      <c r="G688" t="s">
        <v>1873</v>
      </c>
      <c r="H688" t="s">
        <v>1872</v>
      </c>
      <c r="I688" t="s">
        <v>293</v>
      </c>
      <c r="J688" t="s">
        <v>7682</v>
      </c>
      <c r="K688" t="s">
        <v>7826</v>
      </c>
      <c r="L688" t="s">
        <v>7826</v>
      </c>
      <c r="N688" t="str" cm="1">
        <f t="array" ref="N688">IFERROR(LOOKUP(2,1/SEARCH($S$2:$S$65,G688),$T$2:$T$65),"Misc")</f>
        <v>OH P/N</v>
      </c>
      <c r="O688" t="str" cm="1">
        <f t="array" ref="O688">IFERROR(LOOKUP(2,1/SEARCH($V$2:$V$65,G688),$W$2:$W$65),"Misc")</f>
        <v>OH Part</v>
      </c>
      <c r="P688" t="str" cm="1">
        <f t="array" ref="P688">IFERROR(LOOKUP(2,1/SEARCH($Y$2:$Y$65,G688),$Z$2:$Z$65),"Not Defined")</f>
        <v>OH Part</v>
      </c>
      <c r="Q688" t="str" cm="1">
        <f t="array" ref="Q688">IFERROR(LOOKUP(2,1/SEARCH($S$2:$S$65,H688),$T$2:$T$65),"-")</f>
        <v>-</v>
      </c>
    </row>
    <row r="689" spans="1:17" hidden="1" x14ac:dyDescent="0.25">
      <c r="A689" t="s">
        <v>7673</v>
      </c>
      <c r="B689" t="s">
        <v>1874</v>
      </c>
      <c r="C689">
        <v>2</v>
      </c>
      <c r="D689" t="s">
        <v>7243</v>
      </c>
      <c r="F689" t="s">
        <v>1875</v>
      </c>
      <c r="G689" t="s">
        <v>1877</v>
      </c>
      <c r="H689" t="s">
        <v>1876</v>
      </c>
      <c r="I689" t="s">
        <v>293</v>
      </c>
      <c r="J689" t="s">
        <v>7682</v>
      </c>
      <c r="K689" t="s">
        <v>7826</v>
      </c>
      <c r="L689" t="s">
        <v>7826</v>
      </c>
      <c r="N689" t="str" cm="1">
        <f t="array" ref="N689">IFERROR(LOOKUP(2,1/SEARCH($S$2:$S$65,G689),$T$2:$T$65),"Misc")</f>
        <v>OH P/N</v>
      </c>
      <c r="O689" t="str" cm="1">
        <f t="array" ref="O689">IFERROR(LOOKUP(2,1/SEARCH($V$2:$V$65,G689),$W$2:$W$65),"Misc")</f>
        <v>OH Part</v>
      </c>
      <c r="P689" t="str" cm="1">
        <f t="array" ref="P689">IFERROR(LOOKUP(2,1/SEARCH($Y$2:$Y$65,G689),$Z$2:$Z$65),"Not Defined")</f>
        <v>OH Part</v>
      </c>
      <c r="Q689" t="str" cm="1">
        <f t="array" ref="Q689">IFERROR(LOOKUP(2,1/SEARCH($S$2:$S$65,H689),$T$2:$T$65),"-")</f>
        <v>-</v>
      </c>
    </row>
    <row r="690" spans="1:17" hidden="1" x14ac:dyDescent="0.25">
      <c r="A690" t="s">
        <v>7673</v>
      </c>
      <c r="B690" t="s">
        <v>1878</v>
      </c>
      <c r="C690">
        <v>2</v>
      </c>
      <c r="D690" t="s">
        <v>7243</v>
      </c>
      <c r="F690" t="s">
        <v>1879</v>
      </c>
      <c r="G690" t="s">
        <v>1881</v>
      </c>
      <c r="H690" t="s">
        <v>1880</v>
      </c>
      <c r="I690" t="s">
        <v>358</v>
      </c>
      <c r="J690" t="s">
        <v>7703</v>
      </c>
      <c r="K690" t="s">
        <v>7826</v>
      </c>
      <c r="L690" t="s">
        <v>7677</v>
      </c>
      <c r="N690" t="str" cm="1">
        <f t="array" ref="N690">IFERROR(LOOKUP(2,1/SEARCH($S$2:$S$65,G690),$T$2:$T$65),"Misc")</f>
        <v>OH P/N</v>
      </c>
      <c r="O690" t="str" cm="1">
        <f t="array" ref="O690">IFERROR(LOOKUP(2,1/SEARCH($V$2:$V$65,G690),$W$2:$W$65),"Misc")</f>
        <v>OH Part</v>
      </c>
      <c r="P690" t="str" cm="1">
        <f t="array" ref="P690">IFERROR(LOOKUP(2,1/SEARCH($Y$2:$Y$65,G690),$Z$2:$Z$65),"Not Defined")</f>
        <v>SWITCH</v>
      </c>
      <c r="Q690" t="str" cm="1">
        <f t="array" ref="Q690">IFERROR(LOOKUP(2,1/SEARCH($S$2:$S$65,H690),$T$2:$T$65),"-")</f>
        <v>COTS</v>
      </c>
    </row>
    <row r="691" spans="1:17" hidden="1" x14ac:dyDescent="0.25">
      <c r="A691" t="s">
        <v>7673</v>
      </c>
      <c r="B691" t="s">
        <v>1882</v>
      </c>
      <c r="C691">
        <v>1</v>
      </c>
      <c r="D691" t="s">
        <v>7243</v>
      </c>
      <c r="F691" t="s">
        <v>1883</v>
      </c>
      <c r="G691" t="s">
        <v>1885</v>
      </c>
      <c r="H691" t="s">
        <v>1884</v>
      </c>
      <c r="I691" t="s">
        <v>293</v>
      </c>
      <c r="J691" t="s">
        <v>7682</v>
      </c>
      <c r="K691" t="s">
        <v>7826</v>
      </c>
      <c r="L691" t="s">
        <v>7826</v>
      </c>
      <c r="N691" t="str" cm="1">
        <f t="array" ref="N691">IFERROR(LOOKUP(2,1/SEARCH($S$2:$S$65,G691),$T$2:$T$65),"Misc")</f>
        <v>OH P/N</v>
      </c>
      <c r="O691" t="str" cm="1">
        <f t="array" ref="O691">IFERROR(LOOKUP(2,1/SEARCH($V$2:$V$65,G691),$W$2:$W$65),"Misc")</f>
        <v>OH Part</v>
      </c>
      <c r="P691" t="str" cm="1">
        <f t="array" ref="P691">IFERROR(LOOKUP(2,1/SEARCH($Y$2:$Y$65,G691),$Z$2:$Z$65),"Not Defined")</f>
        <v>OH Part</v>
      </c>
      <c r="Q691" t="str" cm="1">
        <f t="array" ref="Q691">IFERROR(LOOKUP(2,1/SEARCH($S$2:$S$65,H691),$T$2:$T$65),"-")</f>
        <v>-</v>
      </c>
    </row>
    <row r="692" spans="1:17" hidden="1" x14ac:dyDescent="0.25">
      <c r="A692" t="s">
        <v>7673</v>
      </c>
      <c r="B692" t="s">
        <v>1886</v>
      </c>
      <c r="C692">
        <v>1</v>
      </c>
      <c r="D692" t="s">
        <v>7243</v>
      </c>
      <c r="F692" t="s">
        <v>1887</v>
      </c>
      <c r="G692" t="s">
        <v>1889</v>
      </c>
      <c r="H692" t="s">
        <v>1888</v>
      </c>
      <c r="I692" t="s">
        <v>293</v>
      </c>
      <c r="J692" t="s">
        <v>7682</v>
      </c>
      <c r="K692" t="s">
        <v>7826</v>
      </c>
      <c r="L692" t="s">
        <v>7826</v>
      </c>
      <c r="N692" t="str" cm="1">
        <f t="array" ref="N692">IFERROR(LOOKUP(2,1/SEARCH($S$2:$S$65,G692),$T$2:$T$65),"Misc")</f>
        <v>OH P/N</v>
      </c>
      <c r="O692" t="str" cm="1">
        <f t="array" ref="O692">IFERROR(LOOKUP(2,1/SEARCH($V$2:$V$65,G692),$W$2:$W$65),"Misc")</f>
        <v>OH Part</v>
      </c>
      <c r="P692" t="str" cm="1">
        <f t="array" ref="P692">IFERROR(LOOKUP(2,1/SEARCH($Y$2:$Y$65,G692),$Z$2:$Z$65),"Not Defined")</f>
        <v>OH Part</v>
      </c>
      <c r="Q692" t="str" cm="1">
        <f t="array" ref="Q692">IFERROR(LOOKUP(2,1/SEARCH($S$2:$S$65,H692),$T$2:$T$65),"-")</f>
        <v>-</v>
      </c>
    </row>
    <row r="693" spans="1:17" hidden="1" x14ac:dyDescent="0.25">
      <c r="A693" t="s">
        <v>7673</v>
      </c>
      <c r="B693" t="s">
        <v>1890</v>
      </c>
      <c r="C693">
        <v>1</v>
      </c>
      <c r="D693" t="s">
        <v>7243</v>
      </c>
      <c r="F693" t="s">
        <v>1891</v>
      </c>
      <c r="G693" t="s">
        <v>1893</v>
      </c>
      <c r="H693" t="s">
        <v>1892</v>
      </c>
      <c r="I693" t="s">
        <v>293</v>
      </c>
      <c r="J693" t="s">
        <v>7682</v>
      </c>
      <c r="K693" t="s">
        <v>7826</v>
      </c>
      <c r="L693" t="s">
        <v>7826</v>
      </c>
      <c r="N693" t="str" cm="1">
        <f t="array" ref="N693">IFERROR(LOOKUP(2,1/SEARCH($S$2:$S$65,G693),$T$2:$T$65),"Misc")</f>
        <v>OH P/N</v>
      </c>
      <c r="O693" t="str" cm="1">
        <f t="array" ref="O693">IFERROR(LOOKUP(2,1/SEARCH($V$2:$V$65,G693),$W$2:$W$65),"Misc")</f>
        <v>OH Part</v>
      </c>
      <c r="P693" t="str" cm="1">
        <f t="array" ref="P693">IFERROR(LOOKUP(2,1/SEARCH($Y$2:$Y$65,G693),$Z$2:$Z$65),"Not Defined")</f>
        <v>OH Part</v>
      </c>
      <c r="Q693" t="str" cm="1">
        <f t="array" ref="Q693">IFERROR(LOOKUP(2,1/SEARCH($S$2:$S$65,H693),$T$2:$T$65),"-")</f>
        <v>-</v>
      </c>
    </row>
    <row r="694" spans="1:17" hidden="1" x14ac:dyDescent="0.25">
      <c r="A694" t="s">
        <v>7673</v>
      </c>
      <c r="B694" t="s">
        <v>1894</v>
      </c>
      <c r="C694">
        <v>1</v>
      </c>
      <c r="D694" t="s">
        <v>7243</v>
      </c>
      <c r="F694" t="s">
        <v>1895</v>
      </c>
      <c r="G694" t="s">
        <v>1897</v>
      </c>
      <c r="H694" t="s">
        <v>1896</v>
      </c>
      <c r="I694" t="s">
        <v>13</v>
      </c>
      <c r="J694" t="s">
        <v>7682</v>
      </c>
      <c r="K694" t="s">
        <v>7826</v>
      </c>
      <c r="L694" t="s">
        <v>7826</v>
      </c>
      <c r="N694" t="str" cm="1">
        <f t="array" ref="N694">IFERROR(LOOKUP(2,1/SEARCH($S$2:$S$65,G694),$T$2:$T$65),"Misc")</f>
        <v>OH P/N</v>
      </c>
      <c r="O694" t="str" cm="1">
        <f t="array" ref="O694">IFERROR(LOOKUP(2,1/SEARCH($V$2:$V$65,G694),$W$2:$W$65),"Misc")</f>
        <v>OH Part</v>
      </c>
      <c r="P694" t="str" cm="1">
        <f t="array" ref="P694">IFERROR(LOOKUP(2,1/SEARCH($Y$2:$Y$65,G694),$Z$2:$Z$65),"Not Defined")</f>
        <v>OH Part</v>
      </c>
      <c r="Q694" t="str" cm="1">
        <f t="array" ref="Q694">IFERROR(LOOKUP(2,1/SEARCH($S$2:$S$65,H694),$T$2:$T$65),"-")</f>
        <v>-</v>
      </c>
    </row>
    <row r="695" spans="1:17" hidden="1" x14ac:dyDescent="0.25">
      <c r="A695" t="s">
        <v>7673</v>
      </c>
      <c r="B695" t="s">
        <v>1898</v>
      </c>
      <c r="C695">
        <v>1</v>
      </c>
      <c r="D695" t="s">
        <v>7243</v>
      </c>
      <c r="F695" t="s">
        <v>1899</v>
      </c>
      <c r="G695" t="s">
        <v>1901</v>
      </c>
      <c r="H695" t="s">
        <v>1900</v>
      </c>
      <c r="I695" t="s">
        <v>13</v>
      </c>
      <c r="J695" t="s">
        <v>7682</v>
      </c>
      <c r="K695" t="s">
        <v>7826</v>
      </c>
      <c r="L695" t="s">
        <v>7826</v>
      </c>
      <c r="N695" t="str" cm="1">
        <f t="array" ref="N695">IFERROR(LOOKUP(2,1/SEARCH($S$2:$S$65,G695),$T$2:$T$65),"Misc")</f>
        <v>OH P/N</v>
      </c>
      <c r="O695" t="str" cm="1">
        <f t="array" ref="O695">IFERROR(LOOKUP(2,1/SEARCH($V$2:$V$65,G695),$W$2:$W$65),"Misc")</f>
        <v>OH Part</v>
      </c>
      <c r="P695" t="str" cm="1">
        <f t="array" ref="P695">IFERROR(LOOKUP(2,1/SEARCH($Y$2:$Y$65,G695),$Z$2:$Z$65),"Not Defined")</f>
        <v>OH Part</v>
      </c>
      <c r="Q695" t="str" cm="1">
        <f t="array" ref="Q695">IFERROR(LOOKUP(2,1/SEARCH($S$2:$S$65,H695),$T$2:$T$65),"-")</f>
        <v>-</v>
      </c>
    </row>
    <row r="696" spans="1:17" hidden="1" x14ac:dyDescent="0.25">
      <c r="A696" t="s">
        <v>7673</v>
      </c>
      <c r="B696" t="s">
        <v>1902</v>
      </c>
      <c r="C696">
        <v>1</v>
      </c>
      <c r="D696" t="s">
        <v>7243</v>
      </c>
      <c r="F696" t="s">
        <v>1903</v>
      </c>
      <c r="G696" t="s">
        <v>1905</v>
      </c>
      <c r="H696" t="s">
        <v>1904</v>
      </c>
      <c r="I696" t="s">
        <v>255</v>
      </c>
      <c r="J696" t="s">
        <v>7682</v>
      </c>
      <c r="K696" t="s">
        <v>7826</v>
      </c>
      <c r="L696" t="s">
        <v>7826</v>
      </c>
      <c r="N696" t="str" cm="1">
        <f t="array" ref="N696">IFERROR(LOOKUP(2,1/SEARCH($S$2:$S$65,G696),$T$2:$T$65),"Misc")</f>
        <v>OH P/N</v>
      </c>
      <c r="O696" t="str" cm="1">
        <f t="array" ref="O696">IFERROR(LOOKUP(2,1/SEARCH($V$2:$V$65,G696),$W$2:$W$65),"Misc")</f>
        <v>OH Part</v>
      </c>
      <c r="P696" t="str" cm="1">
        <f t="array" ref="P696">IFERROR(LOOKUP(2,1/SEARCH($Y$2:$Y$65,G696),$Z$2:$Z$65),"Not Defined")</f>
        <v>OH Part</v>
      </c>
      <c r="Q696" t="str" cm="1">
        <f t="array" ref="Q696">IFERROR(LOOKUP(2,1/SEARCH($S$2:$S$65,H696),$T$2:$T$65),"-")</f>
        <v>-</v>
      </c>
    </row>
    <row r="697" spans="1:17" hidden="1" x14ac:dyDescent="0.25">
      <c r="A697" t="s">
        <v>7673</v>
      </c>
      <c r="B697" t="s">
        <v>1906</v>
      </c>
      <c r="C697">
        <v>1</v>
      </c>
      <c r="D697" t="s">
        <v>7243</v>
      </c>
      <c r="F697" t="s">
        <v>1907</v>
      </c>
      <c r="G697" t="s">
        <v>1909</v>
      </c>
      <c r="H697" t="s">
        <v>1908</v>
      </c>
      <c r="I697" t="s">
        <v>13</v>
      </c>
      <c r="J697" t="s">
        <v>7682</v>
      </c>
      <c r="K697" t="s">
        <v>7826</v>
      </c>
      <c r="L697" t="s">
        <v>7826</v>
      </c>
      <c r="N697" t="str" cm="1">
        <f t="array" ref="N697">IFERROR(LOOKUP(2,1/SEARCH($S$2:$S$65,G697),$T$2:$T$65),"Misc")</f>
        <v>OH P/N</v>
      </c>
      <c r="O697" t="str" cm="1">
        <f t="array" ref="O697">IFERROR(LOOKUP(2,1/SEARCH($V$2:$V$65,G697),$W$2:$W$65),"Misc")</f>
        <v>OH Part</v>
      </c>
      <c r="P697" t="str" cm="1">
        <f t="array" ref="P697">IFERROR(LOOKUP(2,1/SEARCH($Y$2:$Y$65,G697),$Z$2:$Z$65),"Not Defined")</f>
        <v>OH Part</v>
      </c>
      <c r="Q697" t="str" cm="1">
        <f t="array" ref="Q697">IFERROR(LOOKUP(2,1/SEARCH($S$2:$S$65,H697),$T$2:$T$65),"-")</f>
        <v>-</v>
      </c>
    </row>
    <row r="698" spans="1:17" hidden="1" x14ac:dyDescent="0.25">
      <c r="A698" t="s">
        <v>7673</v>
      </c>
      <c r="B698" t="s">
        <v>1910</v>
      </c>
      <c r="C698">
        <v>1</v>
      </c>
      <c r="D698" t="s">
        <v>7243</v>
      </c>
      <c r="F698" t="s">
        <v>1911</v>
      </c>
      <c r="G698" t="s">
        <v>7244</v>
      </c>
      <c r="H698" t="s">
        <v>1912</v>
      </c>
      <c r="I698" t="s">
        <v>299</v>
      </c>
      <c r="J698" t="s">
        <v>7703</v>
      </c>
      <c r="K698" t="s">
        <v>7814</v>
      </c>
      <c r="L698" t="s">
        <v>7834</v>
      </c>
      <c r="N698" t="str" cm="1">
        <f t="array" ref="N698">IFERROR(LOOKUP(2,1/SEARCH($S$2:$S$65,G698),$T$2:$T$65),"Misc")</f>
        <v>Misc</v>
      </c>
      <c r="O698" t="str" cm="1">
        <f t="array" ref="O698">IFERROR(LOOKUP(2,1/SEARCH($V$2:$V$65,G698),$W$2:$W$65),"Misc")</f>
        <v>Misc</v>
      </c>
      <c r="P698" t="str" cm="1">
        <f t="array" ref="P698">IFERROR(LOOKUP(2,1/SEARCH($Y$2:$Y$65,G698),$Z$2:$Z$65),"Not Defined")</f>
        <v>Not Defined</v>
      </c>
      <c r="Q698" t="str" cm="1">
        <f t="array" ref="Q698">IFERROR(LOOKUP(2,1/SEARCH($S$2:$S$65,H698),$T$2:$T$65),"-")</f>
        <v>-</v>
      </c>
    </row>
    <row r="699" spans="1:17" hidden="1" x14ac:dyDescent="0.25">
      <c r="A699" t="s">
        <v>7673</v>
      </c>
      <c r="B699" t="s">
        <v>1913</v>
      </c>
      <c r="C699">
        <v>3</v>
      </c>
      <c r="D699" t="s">
        <v>7243</v>
      </c>
      <c r="F699" t="s">
        <v>1914</v>
      </c>
      <c r="G699" t="s">
        <v>7245</v>
      </c>
      <c r="H699" t="s">
        <v>1915</v>
      </c>
      <c r="I699" t="s">
        <v>484</v>
      </c>
      <c r="J699" t="s">
        <v>7703</v>
      </c>
      <c r="K699" t="s">
        <v>7684</v>
      </c>
      <c r="L699" t="s">
        <v>7731</v>
      </c>
      <c r="N699" t="str" cm="1">
        <f t="array" ref="N699">IFERROR(LOOKUP(2,1/SEARCH($S$2:$S$65,G699),$T$2:$T$65),"Misc")</f>
        <v>COTS</v>
      </c>
      <c r="O699" t="str" cm="1">
        <f t="array" ref="O699">IFERROR(LOOKUP(2,1/SEARCH($V$2:$V$65,G699),$W$2:$W$65),"Misc")</f>
        <v>Fasteners</v>
      </c>
      <c r="P699" t="str" cm="1">
        <f t="array" ref="P699">IFERROR(LOOKUP(2,1/SEARCH($Y$2:$Y$65,G699),$Z$2:$Z$65),"Not Defined")</f>
        <v>RHS</v>
      </c>
      <c r="Q699" t="str" cm="1">
        <f t="array" ref="Q699">IFERROR(LOOKUP(2,1/SEARCH($S$2:$S$65,H699),$T$2:$T$65),"-")</f>
        <v>COTS</v>
      </c>
    </row>
    <row r="700" spans="1:17" hidden="1" x14ac:dyDescent="0.25">
      <c r="A700" t="s">
        <v>7673</v>
      </c>
      <c r="B700" t="s">
        <v>1916</v>
      </c>
      <c r="C700">
        <v>3</v>
      </c>
      <c r="D700" t="s">
        <v>7243</v>
      </c>
      <c r="F700" t="s">
        <v>265</v>
      </c>
      <c r="G700" t="s">
        <v>7099</v>
      </c>
      <c r="H700" t="s">
        <v>266</v>
      </c>
      <c r="I700" t="s">
        <v>224</v>
      </c>
      <c r="J700" t="s">
        <v>7703</v>
      </c>
      <c r="K700" t="s">
        <v>7684</v>
      </c>
      <c r="L700" t="s">
        <v>7687</v>
      </c>
      <c r="N700" t="str" cm="1">
        <f t="array" ref="N700">IFERROR(LOOKUP(2,1/SEARCH($S$2:$S$65,G700),$T$2:$T$65),"Misc")</f>
        <v>COTS</v>
      </c>
      <c r="O700" t="str" cm="1">
        <f t="array" ref="O700">IFERROR(LOOKUP(2,1/SEARCH($V$2:$V$65,G700),$W$2:$W$65),"Misc")</f>
        <v>Fasteners</v>
      </c>
      <c r="P700" t="str" cm="1">
        <f t="array" ref="P700">IFERROR(LOOKUP(2,1/SEARCH($Y$2:$Y$65,G700),$Z$2:$Z$65),"Not Defined")</f>
        <v>INSERT</v>
      </c>
      <c r="Q700" t="str" cm="1">
        <f t="array" ref="Q700">IFERROR(LOOKUP(2,1/SEARCH($S$2:$S$65,H700),$T$2:$T$65),"-")</f>
        <v>COTS</v>
      </c>
    </row>
    <row r="701" spans="1:17" hidden="1" x14ac:dyDescent="0.25">
      <c r="A701" t="s">
        <v>7673</v>
      </c>
      <c r="B701" t="s">
        <v>1917</v>
      </c>
      <c r="C701">
        <v>3</v>
      </c>
      <c r="D701" t="s">
        <v>7243</v>
      </c>
      <c r="F701" t="s">
        <v>268</v>
      </c>
      <c r="G701" t="s">
        <v>7061</v>
      </c>
      <c r="H701" t="s">
        <v>269</v>
      </c>
      <c r="I701" t="s">
        <v>224</v>
      </c>
      <c r="J701" t="s">
        <v>7703</v>
      </c>
      <c r="K701" t="s">
        <v>7684</v>
      </c>
      <c r="L701" t="s">
        <v>7687</v>
      </c>
      <c r="N701" t="str" cm="1">
        <f t="array" ref="N701">IFERROR(LOOKUP(2,1/SEARCH($S$2:$S$65,G701),$T$2:$T$65),"Misc")</f>
        <v>COTS</v>
      </c>
      <c r="O701" t="str" cm="1">
        <f t="array" ref="O701">IFERROR(LOOKUP(2,1/SEARCH($V$2:$V$65,G701),$W$2:$W$65),"Misc")</f>
        <v>Fasteners</v>
      </c>
      <c r="P701" t="str" cm="1">
        <f t="array" ref="P701">IFERROR(LOOKUP(2,1/SEARCH($Y$2:$Y$65,G701),$Z$2:$Z$65),"Not Defined")</f>
        <v>INSERT</v>
      </c>
      <c r="Q701" t="str" cm="1">
        <f t="array" ref="Q701">IFERROR(LOOKUP(2,1/SEARCH($S$2:$S$65,H701),$T$2:$T$65),"-")</f>
        <v>COTS</v>
      </c>
    </row>
    <row r="702" spans="1:17" hidden="1" x14ac:dyDescent="0.25">
      <c r="A702" t="s">
        <v>7673</v>
      </c>
      <c r="B702" t="s">
        <v>1918</v>
      </c>
      <c r="C702">
        <v>3</v>
      </c>
      <c r="D702" t="s">
        <v>7243</v>
      </c>
      <c r="F702" t="s">
        <v>460</v>
      </c>
      <c r="G702" t="s">
        <v>7090</v>
      </c>
      <c r="H702" t="s">
        <v>461</v>
      </c>
      <c r="I702" t="s">
        <v>224</v>
      </c>
      <c r="J702" t="s">
        <v>7703</v>
      </c>
      <c r="K702" t="s">
        <v>7684</v>
      </c>
      <c r="L702" t="s">
        <v>7693</v>
      </c>
      <c r="N702" t="str" cm="1">
        <f t="array" ref="N702">IFERROR(LOOKUP(2,1/SEARCH($S$2:$S$65,G702),$T$2:$T$65),"Misc")</f>
        <v>COTS</v>
      </c>
      <c r="O702" t="str" cm="1">
        <f t="array" ref="O702">IFERROR(LOOKUP(2,1/SEARCH($V$2:$V$65,G702),$W$2:$W$65),"Misc")</f>
        <v>Fasteners</v>
      </c>
      <c r="P702" t="str" cm="1">
        <f t="array" ref="P702">IFERROR(LOOKUP(2,1/SEARCH($Y$2:$Y$65,G702),$Z$2:$Z$65),"Not Defined")</f>
        <v>PHS</v>
      </c>
      <c r="Q702" t="str" cm="1">
        <f t="array" ref="Q702">IFERROR(LOOKUP(2,1/SEARCH($S$2:$S$65,H702),$T$2:$T$65),"-")</f>
        <v>COTS</v>
      </c>
    </row>
    <row r="703" spans="1:17" hidden="1" x14ac:dyDescent="0.25">
      <c r="A703" t="s">
        <v>7673</v>
      </c>
      <c r="B703" t="s">
        <v>1919</v>
      </c>
      <c r="C703">
        <v>1</v>
      </c>
      <c r="D703" t="s">
        <v>7243</v>
      </c>
      <c r="F703" t="s">
        <v>439</v>
      </c>
      <c r="G703" t="s">
        <v>7086</v>
      </c>
      <c r="H703" t="s">
        <v>440</v>
      </c>
      <c r="I703" t="s">
        <v>224</v>
      </c>
      <c r="J703" t="s">
        <v>7703</v>
      </c>
      <c r="K703" t="s">
        <v>7684</v>
      </c>
      <c r="L703" t="s">
        <v>7687</v>
      </c>
      <c r="N703" t="str" cm="1">
        <f t="array" ref="N703">IFERROR(LOOKUP(2,1/SEARCH($S$2:$S$65,G703),$T$2:$T$65),"Misc")</f>
        <v>COTS</v>
      </c>
      <c r="O703" t="str" cm="1">
        <f t="array" ref="O703">IFERROR(LOOKUP(2,1/SEARCH($V$2:$V$65,G703),$W$2:$W$65),"Misc")</f>
        <v>Fasteners</v>
      </c>
      <c r="P703" t="str" cm="1">
        <f t="array" ref="P703">IFERROR(LOOKUP(2,1/SEARCH($Y$2:$Y$65,G703),$Z$2:$Z$65),"Not Defined")</f>
        <v>INSERT</v>
      </c>
      <c r="Q703" t="str" cm="1">
        <f t="array" ref="Q703">IFERROR(LOOKUP(2,1/SEARCH($S$2:$S$65,H703),$T$2:$T$65),"-")</f>
        <v>COTS</v>
      </c>
    </row>
    <row r="704" spans="1:17" hidden="1" x14ac:dyDescent="0.25">
      <c r="A704" t="s">
        <v>7673</v>
      </c>
      <c r="B704" t="s">
        <v>1920</v>
      </c>
      <c r="C704">
        <v>1</v>
      </c>
      <c r="D704" t="s">
        <v>7243</v>
      </c>
      <c r="F704" t="s">
        <v>1921</v>
      </c>
      <c r="G704" t="s">
        <v>7246</v>
      </c>
      <c r="H704" t="s">
        <v>1922</v>
      </c>
      <c r="I704" t="s">
        <v>210</v>
      </c>
      <c r="J704" t="s">
        <v>7703</v>
      </c>
      <c r="K704" t="s">
        <v>7684</v>
      </c>
      <c r="L704" t="s">
        <v>7691</v>
      </c>
      <c r="N704" t="str" cm="1">
        <f t="array" ref="N704">IFERROR(LOOKUP(2,1/SEARCH($S$2:$S$65,G704),$T$2:$T$65),"Misc")</f>
        <v>COTS</v>
      </c>
      <c r="O704" t="str" cm="1">
        <f t="array" ref="O704">IFERROR(LOOKUP(2,1/SEARCH($V$2:$V$65,G704),$W$2:$W$65),"Misc")</f>
        <v>Fasteners</v>
      </c>
      <c r="P704" t="str" cm="1">
        <f t="array" ref="P704">IFERROR(LOOKUP(2,1/SEARCH($Y$2:$Y$65,G704),$Z$2:$Z$65),"Not Defined")</f>
        <v>FHS</v>
      </c>
      <c r="Q704" t="str" cm="1">
        <f t="array" ref="Q704">IFERROR(LOOKUP(2,1/SEARCH($S$2:$S$65,H704),$T$2:$T$65),"-")</f>
        <v>COTS</v>
      </c>
    </row>
    <row r="705" spans="1:17" hidden="1" x14ac:dyDescent="0.25">
      <c r="A705" t="s">
        <v>7673</v>
      </c>
      <c r="B705" t="s">
        <v>1923</v>
      </c>
      <c r="C705">
        <v>2</v>
      </c>
      <c r="D705" t="s">
        <v>7243</v>
      </c>
      <c r="F705" t="s">
        <v>1924</v>
      </c>
      <c r="G705" t="s">
        <v>7247</v>
      </c>
      <c r="H705" t="s">
        <v>1925</v>
      </c>
      <c r="I705" t="s">
        <v>228</v>
      </c>
      <c r="J705" t="s">
        <v>7703</v>
      </c>
      <c r="K705" t="s">
        <v>7684</v>
      </c>
      <c r="L705" t="s">
        <v>7691</v>
      </c>
      <c r="N705" t="str" cm="1">
        <f t="array" ref="N705">IFERROR(LOOKUP(2,1/SEARCH($S$2:$S$65,G705),$T$2:$T$65),"Misc")</f>
        <v>COTS</v>
      </c>
      <c r="O705" t="str" cm="1">
        <f t="array" ref="O705">IFERROR(LOOKUP(2,1/SEARCH($V$2:$V$65,G705),$W$2:$W$65),"Misc")</f>
        <v>Fasteners</v>
      </c>
      <c r="P705" t="str" cm="1">
        <f t="array" ref="P705">IFERROR(LOOKUP(2,1/SEARCH($Y$2:$Y$65,G705),$Z$2:$Z$65),"Not Defined")</f>
        <v>FHS</v>
      </c>
      <c r="Q705" t="str" cm="1">
        <f t="array" ref="Q705">IFERROR(LOOKUP(2,1/SEARCH($S$2:$S$65,H705),$T$2:$T$65),"-")</f>
        <v>COTS</v>
      </c>
    </row>
    <row r="706" spans="1:17" hidden="1" x14ac:dyDescent="0.25">
      <c r="A706" t="s">
        <v>7673</v>
      </c>
      <c r="B706" t="s">
        <v>1926</v>
      </c>
      <c r="C706">
        <v>1</v>
      </c>
      <c r="D706" t="s">
        <v>7248</v>
      </c>
      <c r="F706" t="s">
        <v>1927</v>
      </c>
      <c r="H706" t="s">
        <v>1928</v>
      </c>
      <c r="J706" t="s">
        <v>7703</v>
      </c>
      <c r="K706" t="s">
        <v>7814</v>
      </c>
      <c r="L706" t="s">
        <v>7834</v>
      </c>
      <c r="N706" t="str" cm="1">
        <f t="array" ref="N706">IFERROR(LOOKUP(2,1/SEARCH($S$2:$S$65,G706),$T$2:$T$65),"Misc")</f>
        <v>Misc</v>
      </c>
      <c r="O706" t="str" cm="1">
        <f t="array" ref="O706">IFERROR(LOOKUP(2,1/SEARCH($V$2:$V$65,G706),$W$2:$W$65),"Misc")</f>
        <v>Misc</v>
      </c>
      <c r="P706" t="str" cm="1">
        <f t="array" ref="P706">IFERROR(LOOKUP(2,1/SEARCH($Y$2:$Y$65,G706),$Z$2:$Z$65),"Not Defined")</f>
        <v>Not Defined</v>
      </c>
      <c r="Q706" t="str" cm="1">
        <f t="array" ref="Q706">IFERROR(LOOKUP(2,1/SEARCH($S$2:$S$65,H706),$T$2:$T$65),"-")</f>
        <v>OH ASSY</v>
      </c>
    </row>
    <row r="707" spans="1:17" hidden="1" x14ac:dyDescent="0.25">
      <c r="A707" t="s">
        <v>7673</v>
      </c>
      <c r="B707" t="s">
        <v>1929</v>
      </c>
      <c r="C707">
        <v>1</v>
      </c>
      <c r="D707" t="s">
        <v>7248</v>
      </c>
      <c r="F707" t="s">
        <v>1930</v>
      </c>
      <c r="G707" t="s">
        <v>1932</v>
      </c>
      <c r="H707" t="s">
        <v>1931</v>
      </c>
      <c r="I707" t="s">
        <v>13</v>
      </c>
      <c r="J707" t="s">
        <v>7682</v>
      </c>
      <c r="K707" t="s">
        <v>7826</v>
      </c>
      <c r="L707" t="s">
        <v>7826</v>
      </c>
      <c r="N707" t="str" cm="1">
        <f t="array" ref="N707">IFERROR(LOOKUP(2,1/SEARCH($S$2:$S$65,G707),$T$2:$T$65),"Misc")</f>
        <v>OH P/N</v>
      </c>
      <c r="O707" t="str" cm="1">
        <f t="array" ref="O707">IFERROR(LOOKUP(2,1/SEARCH($V$2:$V$65,G707),$W$2:$W$65),"Misc")</f>
        <v>OH Part</v>
      </c>
      <c r="P707" t="str" cm="1">
        <f t="array" ref="P707">IFERROR(LOOKUP(2,1/SEARCH($Y$2:$Y$65,G707),$Z$2:$Z$65),"Not Defined")</f>
        <v>OH Part</v>
      </c>
      <c r="Q707" t="str" cm="1">
        <f t="array" ref="Q707">IFERROR(LOOKUP(2,1/SEARCH($S$2:$S$65,H707),$T$2:$T$65),"-")</f>
        <v>-</v>
      </c>
    </row>
    <row r="708" spans="1:17" hidden="1" x14ac:dyDescent="0.25">
      <c r="A708" t="s">
        <v>7673</v>
      </c>
      <c r="B708" t="s">
        <v>1933</v>
      </c>
      <c r="C708">
        <v>1</v>
      </c>
      <c r="D708" t="s">
        <v>7248</v>
      </c>
      <c r="F708" t="s">
        <v>1934</v>
      </c>
      <c r="G708" t="s">
        <v>1936</v>
      </c>
      <c r="H708" t="s">
        <v>1935</v>
      </c>
      <c r="I708" t="s">
        <v>13</v>
      </c>
      <c r="J708" t="s">
        <v>7682</v>
      </c>
      <c r="K708" t="s">
        <v>7826</v>
      </c>
      <c r="L708" t="s">
        <v>7826</v>
      </c>
      <c r="N708" t="str" cm="1">
        <f t="array" ref="N708">IFERROR(LOOKUP(2,1/SEARCH($S$2:$S$65,G708),$T$2:$T$65),"Misc")</f>
        <v>OH P/N</v>
      </c>
      <c r="O708" t="str" cm="1">
        <f t="array" ref="O708">IFERROR(LOOKUP(2,1/SEARCH($V$2:$V$65,G708),$W$2:$W$65),"Misc")</f>
        <v>OH Part</v>
      </c>
      <c r="P708" t="str" cm="1">
        <f t="array" ref="P708">IFERROR(LOOKUP(2,1/SEARCH($Y$2:$Y$65,G708),$Z$2:$Z$65),"Not Defined")</f>
        <v>OH Part</v>
      </c>
      <c r="Q708" t="str" cm="1">
        <f t="array" ref="Q708">IFERROR(LOOKUP(2,1/SEARCH($S$2:$S$65,H708),$T$2:$T$65),"-")</f>
        <v>-</v>
      </c>
    </row>
    <row r="709" spans="1:17" hidden="1" x14ac:dyDescent="0.25">
      <c r="A709" t="s">
        <v>7673</v>
      </c>
      <c r="B709" t="s">
        <v>1937</v>
      </c>
      <c r="C709">
        <v>1</v>
      </c>
      <c r="D709" t="s">
        <v>7248</v>
      </c>
      <c r="F709" t="s">
        <v>1907</v>
      </c>
      <c r="G709" t="s">
        <v>1909</v>
      </c>
      <c r="H709" t="s">
        <v>1908</v>
      </c>
      <c r="I709" t="s">
        <v>13</v>
      </c>
      <c r="J709" t="s">
        <v>7682</v>
      </c>
      <c r="K709" t="s">
        <v>7826</v>
      </c>
      <c r="L709" t="s">
        <v>7826</v>
      </c>
      <c r="N709" t="str" cm="1">
        <f t="array" ref="N709">IFERROR(LOOKUP(2,1/SEARCH($S$2:$S$65,G709),$T$2:$T$65),"Misc")</f>
        <v>OH P/N</v>
      </c>
      <c r="O709" t="str" cm="1">
        <f t="array" ref="O709">IFERROR(LOOKUP(2,1/SEARCH($V$2:$V$65,G709),$W$2:$W$65),"Misc")</f>
        <v>OH Part</v>
      </c>
      <c r="P709" t="str" cm="1">
        <f t="array" ref="P709">IFERROR(LOOKUP(2,1/SEARCH($Y$2:$Y$65,G709),$Z$2:$Z$65),"Not Defined")</f>
        <v>OH Part</v>
      </c>
      <c r="Q709" t="str" cm="1">
        <f t="array" ref="Q709">IFERROR(LOOKUP(2,1/SEARCH($S$2:$S$65,H709),$T$2:$T$65),"-")</f>
        <v>-</v>
      </c>
    </row>
    <row r="710" spans="1:17" hidden="1" x14ac:dyDescent="0.25">
      <c r="A710" t="s">
        <v>7673</v>
      </c>
      <c r="B710" t="s">
        <v>1938</v>
      </c>
      <c r="C710">
        <v>1</v>
      </c>
      <c r="D710" t="s">
        <v>7248</v>
      </c>
      <c r="F710" t="s">
        <v>1807</v>
      </c>
      <c r="G710" t="s">
        <v>1809</v>
      </c>
      <c r="H710" t="s">
        <v>1808</v>
      </c>
      <c r="I710" t="s">
        <v>358</v>
      </c>
      <c r="J710" t="s">
        <v>7682</v>
      </c>
      <c r="K710" t="s">
        <v>7826</v>
      </c>
      <c r="L710" t="s">
        <v>7826</v>
      </c>
      <c r="N710" t="str" cm="1">
        <f t="array" ref="N710">IFERROR(LOOKUP(2,1/SEARCH($S$2:$S$65,G710),$T$2:$T$65),"Misc")</f>
        <v>OH P/N</v>
      </c>
      <c r="O710" t="str" cm="1">
        <f t="array" ref="O710">IFERROR(LOOKUP(2,1/SEARCH($V$2:$V$65,G710),$W$2:$W$65),"Misc")</f>
        <v>OH Part</v>
      </c>
      <c r="P710" t="str" cm="1">
        <f t="array" ref="P710">IFERROR(LOOKUP(2,1/SEARCH($Y$2:$Y$65,G710),$Z$2:$Z$65),"Not Defined")</f>
        <v>OH Part</v>
      </c>
      <c r="Q710" t="str" cm="1">
        <f t="array" ref="Q710">IFERROR(LOOKUP(2,1/SEARCH($S$2:$S$65,H710),$T$2:$T$65),"-")</f>
        <v>-</v>
      </c>
    </row>
    <row r="711" spans="1:17" hidden="1" x14ac:dyDescent="0.25">
      <c r="A711" t="s">
        <v>7673</v>
      </c>
      <c r="B711" t="s">
        <v>1939</v>
      </c>
      <c r="C711">
        <v>1</v>
      </c>
      <c r="D711" t="s">
        <v>7248</v>
      </c>
      <c r="F711" t="s">
        <v>1811</v>
      </c>
      <c r="G711" t="s">
        <v>1813</v>
      </c>
      <c r="H711" t="s">
        <v>1812</v>
      </c>
      <c r="I711" t="s">
        <v>358</v>
      </c>
      <c r="J711" t="s">
        <v>7682</v>
      </c>
      <c r="K711" t="s">
        <v>7826</v>
      </c>
      <c r="L711" t="s">
        <v>7826</v>
      </c>
      <c r="N711" t="str" cm="1">
        <f t="array" ref="N711">IFERROR(LOOKUP(2,1/SEARCH($S$2:$S$65,G711),$T$2:$T$65),"Misc")</f>
        <v>OH P/N</v>
      </c>
      <c r="O711" t="str" cm="1">
        <f t="array" ref="O711">IFERROR(LOOKUP(2,1/SEARCH($V$2:$V$65,G711),$W$2:$W$65),"Misc")</f>
        <v>OH Part</v>
      </c>
      <c r="P711" t="str" cm="1">
        <f t="array" ref="P711">IFERROR(LOOKUP(2,1/SEARCH($Y$2:$Y$65,G711),$Z$2:$Z$65),"Not Defined")</f>
        <v>OH Part</v>
      </c>
      <c r="Q711" t="str" cm="1">
        <f t="array" ref="Q711">IFERROR(LOOKUP(2,1/SEARCH($S$2:$S$65,H711),$T$2:$T$65),"-")</f>
        <v>-</v>
      </c>
    </row>
    <row r="712" spans="1:17" hidden="1" x14ac:dyDescent="0.25">
      <c r="A712" t="s">
        <v>7673</v>
      </c>
      <c r="B712" t="s">
        <v>1940</v>
      </c>
      <c r="C712">
        <v>1</v>
      </c>
      <c r="D712" t="s">
        <v>7248</v>
      </c>
      <c r="F712" t="s">
        <v>1941</v>
      </c>
      <c r="G712" t="s">
        <v>1943</v>
      </c>
      <c r="H712" t="s">
        <v>1942</v>
      </c>
      <c r="I712" t="s">
        <v>255</v>
      </c>
      <c r="J712" t="s">
        <v>7682</v>
      </c>
      <c r="K712" t="s">
        <v>7826</v>
      </c>
      <c r="L712" t="s">
        <v>7826</v>
      </c>
      <c r="N712" t="str" cm="1">
        <f t="array" ref="N712">IFERROR(LOOKUP(2,1/SEARCH($S$2:$S$65,G712),$T$2:$T$65),"Misc")</f>
        <v>OH P/N</v>
      </c>
      <c r="O712" t="str" cm="1">
        <f t="array" ref="O712">IFERROR(LOOKUP(2,1/SEARCH($V$2:$V$65,G712),$W$2:$W$65),"Misc")</f>
        <v>OH Part</v>
      </c>
      <c r="P712" t="str" cm="1">
        <f t="array" ref="P712">IFERROR(LOOKUP(2,1/SEARCH($Y$2:$Y$65,G712),$Z$2:$Z$65),"Not Defined")</f>
        <v>OH Part</v>
      </c>
      <c r="Q712" t="str" cm="1">
        <f t="array" ref="Q712">IFERROR(LOOKUP(2,1/SEARCH($S$2:$S$65,H712),$T$2:$T$65),"-")</f>
        <v>-</v>
      </c>
    </row>
    <row r="713" spans="1:17" hidden="1" x14ac:dyDescent="0.25">
      <c r="A713" t="s">
        <v>7673</v>
      </c>
      <c r="B713" t="s">
        <v>1944</v>
      </c>
      <c r="C713">
        <v>11</v>
      </c>
      <c r="D713" t="s">
        <v>7248</v>
      </c>
      <c r="F713" t="s">
        <v>1815</v>
      </c>
      <c r="G713" t="s">
        <v>1817</v>
      </c>
      <c r="H713" t="s">
        <v>1816</v>
      </c>
      <c r="I713" t="s">
        <v>293</v>
      </c>
      <c r="J713" t="s">
        <v>7682</v>
      </c>
      <c r="K713" t="s">
        <v>7826</v>
      </c>
      <c r="L713" t="s">
        <v>7826</v>
      </c>
      <c r="N713" t="str" cm="1">
        <f t="array" ref="N713">IFERROR(LOOKUP(2,1/SEARCH($S$2:$S$65,G713),$T$2:$T$65),"Misc")</f>
        <v>OH P/N</v>
      </c>
      <c r="O713" t="str" cm="1">
        <f t="array" ref="O713">IFERROR(LOOKUP(2,1/SEARCH($V$2:$V$65,G713),$W$2:$W$65),"Misc")</f>
        <v>OH Part</v>
      </c>
      <c r="P713" t="str" cm="1">
        <f t="array" ref="P713">IFERROR(LOOKUP(2,1/SEARCH($Y$2:$Y$65,G713),$Z$2:$Z$65),"Not Defined")</f>
        <v>OH Part</v>
      </c>
      <c r="Q713" t="str" cm="1">
        <f t="array" ref="Q713">IFERROR(LOOKUP(2,1/SEARCH($S$2:$S$65,H713),$T$2:$T$65),"-")</f>
        <v>-</v>
      </c>
    </row>
    <row r="714" spans="1:17" hidden="1" x14ac:dyDescent="0.25">
      <c r="A714" t="s">
        <v>7673</v>
      </c>
      <c r="B714" t="s">
        <v>1945</v>
      </c>
      <c r="C714">
        <v>1</v>
      </c>
      <c r="D714" t="s">
        <v>7248</v>
      </c>
      <c r="F714" t="s">
        <v>1946</v>
      </c>
      <c r="G714" t="s">
        <v>1948</v>
      </c>
      <c r="H714" t="s">
        <v>1947</v>
      </c>
      <c r="I714" t="s">
        <v>293</v>
      </c>
      <c r="J714" t="s">
        <v>7682</v>
      </c>
      <c r="K714" t="s">
        <v>7826</v>
      </c>
      <c r="L714" t="s">
        <v>7826</v>
      </c>
      <c r="N714" t="str" cm="1">
        <f t="array" ref="N714">IFERROR(LOOKUP(2,1/SEARCH($S$2:$S$65,G714),$T$2:$T$65),"Misc")</f>
        <v>OH P/N</v>
      </c>
      <c r="O714" t="str" cm="1">
        <f t="array" ref="O714">IFERROR(LOOKUP(2,1/SEARCH($V$2:$V$65,G714),$W$2:$W$65),"Misc")</f>
        <v>OH Part</v>
      </c>
      <c r="P714" t="str" cm="1">
        <f t="array" ref="P714">IFERROR(LOOKUP(2,1/SEARCH($Y$2:$Y$65,G714),$Z$2:$Z$65),"Not Defined")</f>
        <v>OH Part</v>
      </c>
      <c r="Q714" t="str" cm="1">
        <f t="array" ref="Q714">IFERROR(LOOKUP(2,1/SEARCH($S$2:$S$65,H714),$T$2:$T$65),"-")</f>
        <v>-</v>
      </c>
    </row>
    <row r="715" spans="1:17" hidden="1" x14ac:dyDescent="0.25">
      <c r="A715" t="s">
        <v>7673</v>
      </c>
      <c r="B715" t="s">
        <v>1949</v>
      </c>
      <c r="C715">
        <v>11</v>
      </c>
      <c r="D715" t="s">
        <v>7248</v>
      </c>
      <c r="F715" t="s">
        <v>1859</v>
      </c>
      <c r="G715" t="s">
        <v>1861</v>
      </c>
      <c r="H715" t="s">
        <v>1860</v>
      </c>
      <c r="I715" t="s">
        <v>293</v>
      </c>
      <c r="J715" t="s">
        <v>7682</v>
      </c>
      <c r="K715" t="s">
        <v>7826</v>
      </c>
      <c r="L715" t="s">
        <v>7826</v>
      </c>
      <c r="N715" t="str" cm="1">
        <f t="array" ref="N715">IFERROR(LOOKUP(2,1/SEARCH($S$2:$S$65,G715),$T$2:$T$65),"Misc")</f>
        <v>OH P/N</v>
      </c>
      <c r="O715" t="str" cm="1">
        <f t="array" ref="O715">IFERROR(LOOKUP(2,1/SEARCH($V$2:$V$65,G715),$W$2:$W$65),"Misc")</f>
        <v>OH Part</v>
      </c>
      <c r="P715" t="str" cm="1">
        <f t="array" ref="P715">IFERROR(LOOKUP(2,1/SEARCH($Y$2:$Y$65,G715),$Z$2:$Z$65),"Not Defined")</f>
        <v>OH Part</v>
      </c>
      <c r="Q715" t="str" cm="1">
        <f t="array" ref="Q715">IFERROR(LOOKUP(2,1/SEARCH($S$2:$S$65,H715),$T$2:$T$65),"-")</f>
        <v>-</v>
      </c>
    </row>
    <row r="716" spans="1:17" hidden="1" x14ac:dyDescent="0.25">
      <c r="A716" t="s">
        <v>7673</v>
      </c>
      <c r="B716" t="s">
        <v>1950</v>
      </c>
      <c r="C716">
        <v>2</v>
      </c>
      <c r="D716" t="s">
        <v>7248</v>
      </c>
      <c r="F716" t="s">
        <v>1875</v>
      </c>
      <c r="G716" t="s">
        <v>1877</v>
      </c>
      <c r="H716" t="s">
        <v>1876</v>
      </c>
      <c r="I716" t="s">
        <v>293</v>
      </c>
      <c r="J716" t="s">
        <v>7682</v>
      </c>
      <c r="K716" t="s">
        <v>7826</v>
      </c>
      <c r="L716" t="s">
        <v>7826</v>
      </c>
      <c r="N716" t="str" cm="1">
        <f t="array" ref="N716">IFERROR(LOOKUP(2,1/SEARCH($S$2:$S$65,G716),$T$2:$T$65),"Misc")</f>
        <v>OH P/N</v>
      </c>
      <c r="O716" t="str" cm="1">
        <f t="array" ref="O716">IFERROR(LOOKUP(2,1/SEARCH($V$2:$V$65,G716),$W$2:$W$65),"Misc")</f>
        <v>OH Part</v>
      </c>
      <c r="P716" t="str" cm="1">
        <f t="array" ref="P716">IFERROR(LOOKUP(2,1/SEARCH($Y$2:$Y$65,G716),$Z$2:$Z$65),"Not Defined")</f>
        <v>OH Part</v>
      </c>
      <c r="Q716" t="str" cm="1">
        <f t="array" ref="Q716">IFERROR(LOOKUP(2,1/SEARCH($S$2:$S$65,H716),$T$2:$T$65),"-")</f>
        <v>-</v>
      </c>
    </row>
    <row r="717" spans="1:17" hidden="1" x14ac:dyDescent="0.25">
      <c r="A717" t="s">
        <v>7673</v>
      </c>
      <c r="B717" t="s">
        <v>1951</v>
      </c>
      <c r="C717">
        <v>1</v>
      </c>
      <c r="D717" t="s">
        <v>7248</v>
      </c>
      <c r="F717" t="s">
        <v>1891</v>
      </c>
      <c r="G717" t="s">
        <v>1893</v>
      </c>
      <c r="H717" t="s">
        <v>1892</v>
      </c>
      <c r="I717" t="s">
        <v>293</v>
      </c>
      <c r="J717" t="s">
        <v>7682</v>
      </c>
      <c r="K717" t="s">
        <v>7826</v>
      </c>
      <c r="L717" t="s">
        <v>7826</v>
      </c>
      <c r="N717" t="str" cm="1">
        <f t="array" ref="N717">IFERROR(LOOKUP(2,1/SEARCH($S$2:$S$65,G717),$T$2:$T$65),"Misc")</f>
        <v>OH P/N</v>
      </c>
      <c r="O717" t="str" cm="1">
        <f t="array" ref="O717">IFERROR(LOOKUP(2,1/SEARCH($V$2:$V$65,G717),$W$2:$W$65),"Misc")</f>
        <v>OH Part</v>
      </c>
      <c r="P717" t="str" cm="1">
        <f t="array" ref="P717">IFERROR(LOOKUP(2,1/SEARCH($Y$2:$Y$65,G717),$Z$2:$Z$65),"Not Defined")</f>
        <v>OH Part</v>
      </c>
      <c r="Q717" t="str" cm="1">
        <f t="array" ref="Q717">IFERROR(LOOKUP(2,1/SEARCH($S$2:$S$65,H717),$T$2:$T$65),"-")</f>
        <v>-</v>
      </c>
    </row>
    <row r="718" spans="1:17" hidden="1" x14ac:dyDescent="0.25">
      <c r="A718" t="s">
        <v>7673</v>
      </c>
      <c r="B718" t="s">
        <v>1952</v>
      </c>
      <c r="C718">
        <v>2</v>
      </c>
      <c r="D718" t="s">
        <v>7248</v>
      </c>
      <c r="F718" t="s">
        <v>1887</v>
      </c>
      <c r="G718" t="s">
        <v>1889</v>
      </c>
      <c r="H718" t="s">
        <v>1888</v>
      </c>
      <c r="I718" t="s">
        <v>293</v>
      </c>
      <c r="J718" t="s">
        <v>7682</v>
      </c>
      <c r="K718" t="s">
        <v>7826</v>
      </c>
      <c r="L718" t="s">
        <v>7826</v>
      </c>
      <c r="N718" t="str" cm="1">
        <f t="array" ref="N718">IFERROR(LOOKUP(2,1/SEARCH($S$2:$S$65,G718),$T$2:$T$65),"Misc")</f>
        <v>OH P/N</v>
      </c>
      <c r="O718" t="str" cm="1">
        <f t="array" ref="O718">IFERROR(LOOKUP(2,1/SEARCH($V$2:$V$65,G718),$W$2:$W$65),"Misc")</f>
        <v>OH Part</v>
      </c>
      <c r="P718" t="str" cm="1">
        <f t="array" ref="P718">IFERROR(LOOKUP(2,1/SEARCH($Y$2:$Y$65,G718),$Z$2:$Z$65),"Not Defined")</f>
        <v>OH Part</v>
      </c>
      <c r="Q718" t="str" cm="1">
        <f t="array" ref="Q718">IFERROR(LOOKUP(2,1/SEARCH($S$2:$S$65,H718),$T$2:$T$65),"-")</f>
        <v>-</v>
      </c>
    </row>
    <row r="719" spans="1:17" hidden="1" x14ac:dyDescent="0.25">
      <c r="A719" t="s">
        <v>7673</v>
      </c>
      <c r="B719" t="s">
        <v>1953</v>
      </c>
      <c r="C719">
        <v>2</v>
      </c>
      <c r="D719" t="s">
        <v>7248</v>
      </c>
      <c r="F719" t="s">
        <v>1879</v>
      </c>
      <c r="G719" t="s">
        <v>1881</v>
      </c>
      <c r="H719" t="s">
        <v>1880</v>
      </c>
      <c r="I719" t="s">
        <v>358</v>
      </c>
      <c r="J719" t="s">
        <v>7703</v>
      </c>
      <c r="K719" t="s">
        <v>7826</v>
      </c>
      <c r="L719" t="s">
        <v>7677</v>
      </c>
      <c r="N719" t="str" cm="1">
        <f t="array" ref="N719">IFERROR(LOOKUP(2,1/SEARCH($S$2:$S$65,G719),$T$2:$T$65),"Misc")</f>
        <v>OH P/N</v>
      </c>
      <c r="O719" t="str" cm="1">
        <f t="array" ref="O719">IFERROR(LOOKUP(2,1/SEARCH($V$2:$V$65,G719),$W$2:$W$65),"Misc")</f>
        <v>OH Part</v>
      </c>
      <c r="P719" t="str" cm="1">
        <f t="array" ref="P719">IFERROR(LOOKUP(2,1/SEARCH($Y$2:$Y$65,G719),$Z$2:$Z$65),"Not Defined")</f>
        <v>SWITCH</v>
      </c>
      <c r="Q719" t="str" cm="1">
        <f t="array" ref="Q719">IFERROR(LOOKUP(2,1/SEARCH($S$2:$S$65,H719),$T$2:$T$65),"-")</f>
        <v>COTS</v>
      </c>
    </row>
    <row r="720" spans="1:17" hidden="1" x14ac:dyDescent="0.25">
      <c r="A720" t="s">
        <v>7673</v>
      </c>
      <c r="B720" t="s">
        <v>1954</v>
      </c>
      <c r="C720">
        <v>1</v>
      </c>
      <c r="D720" t="s">
        <v>7248</v>
      </c>
      <c r="F720" t="s">
        <v>1955</v>
      </c>
      <c r="G720" t="s">
        <v>1957</v>
      </c>
      <c r="H720" t="s">
        <v>1956</v>
      </c>
      <c r="I720" t="s">
        <v>293</v>
      </c>
      <c r="J720" t="s">
        <v>7682</v>
      </c>
      <c r="K720" t="s">
        <v>7826</v>
      </c>
      <c r="L720" t="s">
        <v>7826</v>
      </c>
      <c r="N720" t="str" cm="1">
        <f t="array" ref="N720">IFERROR(LOOKUP(2,1/SEARCH($S$2:$S$65,G720),$T$2:$T$65),"Misc")</f>
        <v>OH P/N</v>
      </c>
      <c r="O720" t="str" cm="1">
        <f t="array" ref="O720">IFERROR(LOOKUP(2,1/SEARCH($V$2:$V$65,G720),$W$2:$W$65),"Misc")</f>
        <v>OH Part</v>
      </c>
      <c r="P720" t="str" cm="1">
        <f t="array" ref="P720">IFERROR(LOOKUP(2,1/SEARCH($Y$2:$Y$65,G720),$Z$2:$Z$65),"Not Defined")</f>
        <v>OH Part</v>
      </c>
      <c r="Q720" t="str" cm="1">
        <f t="array" ref="Q720">IFERROR(LOOKUP(2,1/SEARCH($S$2:$S$65,H720),$T$2:$T$65),"-")</f>
        <v>-</v>
      </c>
    </row>
    <row r="721" spans="1:17" hidden="1" x14ac:dyDescent="0.25">
      <c r="A721" t="s">
        <v>7673</v>
      </c>
      <c r="B721" t="s">
        <v>1958</v>
      </c>
      <c r="C721">
        <v>5</v>
      </c>
      <c r="D721" t="s">
        <v>7248</v>
      </c>
      <c r="F721" t="s">
        <v>1959</v>
      </c>
      <c r="G721" t="s">
        <v>1961</v>
      </c>
      <c r="H721" t="s">
        <v>1960</v>
      </c>
      <c r="I721" t="s">
        <v>293</v>
      </c>
      <c r="J721" t="s">
        <v>7682</v>
      </c>
      <c r="K721" t="s">
        <v>7826</v>
      </c>
      <c r="L721" t="s">
        <v>7826</v>
      </c>
      <c r="N721" t="str" cm="1">
        <f t="array" ref="N721">IFERROR(LOOKUP(2,1/SEARCH($S$2:$S$65,G721),$T$2:$T$65),"Misc")</f>
        <v>OH P/N</v>
      </c>
      <c r="O721" t="str" cm="1">
        <f t="array" ref="O721">IFERROR(LOOKUP(2,1/SEARCH($V$2:$V$65,G721),$W$2:$W$65),"Misc")</f>
        <v>OH Part</v>
      </c>
      <c r="P721" t="str" cm="1">
        <f t="array" ref="P721">IFERROR(LOOKUP(2,1/SEARCH($Y$2:$Y$65,G721),$Z$2:$Z$65),"Not Defined")</f>
        <v>OH Part</v>
      </c>
      <c r="Q721" t="str" cm="1">
        <f t="array" ref="Q721">IFERROR(LOOKUP(2,1/SEARCH($S$2:$S$65,H721),$T$2:$T$65),"-")</f>
        <v>-</v>
      </c>
    </row>
    <row r="722" spans="1:17" hidden="1" x14ac:dyDescent="0.25">
      <c r="A722" t="s">
        <v>7673</v>
      </c>
      <c r="B722" t="s">
        <v>1962</v>
      </c>
      <c r="C722">
        <v>1</v>
      </c>
      <c r="D722" t="s">
        <v>7248</v>
      </c>
      <c r="F722" t="s">
        <v>1963</v>
      </c>
      <c r="G722" t="s">
        <v>1965</v>
      </c>
      <c r="H722" t="s">
        <v>1964</v>
      </c>
      <c r="I722" t="s">
        <v>293</v>
      </c>
      <c r="J722" t="s">
        <v>7682</v>
      </c>
      <c r="K722" t="s">
        <v>7826</v>
      </c>
      <c r="L722" t="s">
        <v>7826</v>
      </c>
      <c r="N722" t="str" cm="1">
        <f t="array" ref="N722">IFERROR(LOOKUP(2,1/SEARCH($S$2:$S$65,G722),$T$2:$T$65),"Misc")</f>
        <v>OH P/N</v>
      </c>
      <c r="O722" t="str" cm="1">
        <f t="array" ref="O722">IFERROR(LOOKUP(2,1/SEARCH($V$2:$V$65,G722),$W$2:$W$65),"Misc")</f>
        <v>OH Part</v>
      </c>
      <c r="P722" t="str" cm="1">
        <f t="array" ref="P722">IFERROR(LOOKUP(2,1/SEARCH($Y$2:$Y$65,G722),$Z$2:$Z$65),"Not Defined")</f>
        <v>OH Part</v>
      </c>
      <c r="Q722" t="str" cm="1">
        <f t="array" ref="Q722">IFERROR(LOOKUP(2,1/SEARCH($S$2:$S$65,H722),$T$2:$T$65),"-")</f>
        <v>-</v>
      </c>
    </row>
    <row r="723" spans="1:17" hidden="1" x14ac:dyDescent="0.25">
      <c r="A723" t="s">
        <v>7673</v>
      </c>
      <c r="B723" t="s">
        <v>1966</v>
      </c>
      <c r="C723">
        <v>1</v>
      </c>
      <c r="D723" t="s">
        <v>7248</v>
      </c>
      <c r="F723" t="s">
        <v>1967</v>
      </c>
      <c r="G723" t="s">
        <v>1969</v>
      </c>
      <c r="H723" t="s">
        <v>1968</v>
      </c>
      <c r="I723" t="s">
        <v>293</v>
      </c>
      <c r="J723" t="s">
        <v>7682</v>
      </c>
      <c r="K723" t="s">
        <v>7826</v>
      </c>
      <c r="L723" t="s">
        <v>7826</v>
      </c>
      <c r="N723" t="str" cm="1">
        <f t="array" ref="N723">IFERROR(LOOKUP(2,1/SEARCH($S$2:$S$65,G723),$T$2:$T$65),"Misc")</f>
        <v>OH P/N</v>
      </c>
      <c r="O723" t="str" cm="1">
        <f t="array" ref="O723">IFERROR(LOOKUP(2,1/SEARCH($V$2:$V$65,G723),$W$2:$W$65),"Misc")</f>
        <v>OH Part</v>
      </c>
      <c r="P723" t="str" cm="1">
        <f t="array" ref="P723">IFERROR(LOOKUP(2,1/SEARCH($Y$2:$Y$65,G723),$Z$2:$Z$65),"Not Defined")</f>
        <v>OH Part</v>
      </c>
      <c r="Q723" t="str" cm="1">
        <f t="array" ref="Q723">IFERROR(LOOKUP(2,1/SEARCH($S$2:$S$65,H723),$T$2:$T$65),"-")</f>
        <v>-</v>
      </c>
    </row>
    <row r="724" spans="1:17" hidden="1" x14ac:dyDescent="0.25">
      <c r="A724" t="s">
        <v>7673</v>
      </c>
      <c r="B724" t="s">
        <v>1970</v>
      </c>
      <c r="C724">
        <v>1</v>
      </c>
      <c r="D724" t="s">
        <v>7248</v>
      </c>
      <c r="F724" t="s">
        <v>1971</v>
      </c>
      <c r="G724" t="s">
        <v>1973</v>
      </c>
      <c r="H724" t="s">
        <v>1972</v>
      </c>
      <c r="I724" t="s">
        <v>293</v>
      </c>
      <c r="J724" t="s">
        <v>7682</v>
      </c>
      <c r="K724" t="s">
        <v>7826</v>
      </c>
      <c r="L724" t="s">
        <v>7826</v>
      </c>
      <c r="N724" t="str" cm="1">
        <f t="array" ref="N724">IFERROR(LOOKUP(2,1/SEARCH($S$2:$S$65,G724),$T$2:$T$65),"Misc")</f>
        <v>OH P/N</v>
      </c>
      <c r="O724" t="str" cm="1">
        <f t="array" ref="O724">IFERROR(LOOKUP(2,1/SEARCH($V$2:$V$65,G724),$W$2:$W$65),"Misc")</f>
        <v>OH Part</v>
      </c>
      <c r="P724" t="str" cm="1">
        <f t="array" ref="P724">IFERROR(LOOKUP(2,1/SEARCH($Y$2:$Y$65,G724),$Z$2:$Z$65),"Not Defined")</f>
        <v>OH Part</v>
      </c>
      <c r="Q724" t="str" cm="1">
        <f t="array" ref="Q724">IFERROR(LOOKUP(2,1/SEARCH($S$2:$S$65,H724),$T$2:$T$65),"-")</f>
        <v>-</v>
      </c>
    </row>
    <row r="725" spans="1:17" hidden="1" x14ac:dyDescent="0.25">
      <c r="A725" t="s">
        <v>7673</v>
      </c>
      <c r="B725" t="s">
        <v>1974</v>
      </c>
      <c r="C725">
        <v>1</v>
      </c>
      <c r="D725" t="s">
        <v>7248</v>
      </c>
      <c r="F725" t="s">
        <v>1975</v>
      </c>
      <c r="G725" t="s">
        <v>1977</v>
      </c>
      <c r="H725" t="s">
        <v>1976</v>
      </c>
      <c r="I725" t="s">
        <v>293</v>
      </c>
      <c r="J725" t="s">
        <v>7682</v>
      </c>
      <c r="K725" t="s">
        <v>7826</v>
      </c>
      <c r="L725" t="s">
        <v>7826</v>
      </c>
      <c r="N725" t="str" cm="1">
        <f t="array" ref="N725">IFERROR(LOOKUP(2,1/SEARCH($S$2:$S$65,G725),$T$2:$T$65),"Misc")</f>
        <v>OH P/N</v>
      </c>
      <c r="O725" t="str" cm="1">
        <f t="array" ref="O725">IFERROR(LOOKUP(2,1/SEARCH($V$2:$V$65,G725),$W$2:$W$65),"Misc")</f>
        <v>OH Part</v>
      </c>
      <c r="P725" t="str" cm="1">
        <f t="array" ref="P725">IFERROR(LOOKUP(2,1/SEARCH($Y$2:$Y$65,G725),$Z$2:$Z$65),"Not Defined")</f>
        <v>OH Part</v>
      </c>
      <c r="Q725" t="str" cm="1">
        <f t="array" ref="Q725">IFERROR(LOOKUP(2,1/SEARCH($S$2:$S$65,H725),$T$2:$T$65),"-")</f>
        <v>-</v>
      </c>
    </row>
    <row r="726" spans="1:17" hidden="1" x14ac:dyDescent="0.25">
      <c r="A726" t="s">
        <v>7673</v>
      </c>
      <c r="B726" t="s">
        <v>1978</v>
      </c>
      <c r="C726">
        <v>1</v>
      </c>
      <c r="D726" t="s">
        <v>7248</v>
      </c>
      <c r="F726" t="s">
        <v>1979</v>
      </c>
      <c r="G726" t="s">
        <v>1981</v>
      </c>
      <c r="H726" t="s">
        <v>1980</v>
      </c>
      <c r="I726" t="s">
        <v>293</v>
      </c>
      <c r="J726" t="s">
        <v>7682</v>
      </c>
      <c r="K726" t="s">
        <v>7826</v>
      </c>
      <c r="L726" t="s">
        <v>7826</v>
      </c>
      <c r="N726" t="str" cm="1">
        <f t="array" ref="N726">IFERROR(LOOKUP(2,1/SEARCH($S$2:$S$65,G726),$T$2:$T$65),"Misc")</f>
        <v>OH P/N</v>
      </c>
      <c r="O726" t="str" cm="1">
        <f t="array" ref="O726">IFERROR(LOOKUP(2,1/SEARCH($V$2:$V$65,G726),$W$2:$W$65),"Misc")</f>
        <v>OH Part</v>
      </c>
      <c r="P726" t="str" cm="1">
        <f t="array" ref="P726">IFERROR(LOOKUP(2,1/SEARCH($Y$2:$Y$65,G726),$Z$2:$Z$65),"Not Defined")</f>
        <v>OH Part</v>
      </c>
      <c r="Q726" t="str" cm="1">
        <f t="array" ref="Q726">IFERROR(LOOKUP(2,1/SEARCH($S$2:$S$65,H726),$T$2:$T$65),"-")</f>
        <v>-</v>
      </c>
    </row>
    <row r="727" spans="1:17" hidden="1" x14ac:dyDescent="0.25">
      <c r="A727" t="s">
        <v>7673</v>
      </c>
      <c r="B727" t="s">
        <v>1982</v>
      </c>
      <c r="C727">
        <v>1</v>
      </c>
      <c r="D727" t="s">
        <v>7248</v>
      </c>
      <c r="F727" t="s">
        <v>1911</v>
      </c>
      <c r="G727" t="s">
        <v>7244</v>
      </c>
      <c r="H727" t="s">
        <v>1912</v>
      </c>
      <c r="I727" t="s">
        <v>299</v>
      </c>
      <c r="J727" t="s">
        <v>7703</v>
      </c>
      <c r="K727" t="s">
        <v>7814</v>
      </c>
      <c r="L727" t="s">
        <v>7834</v>
      </c>
      <c r="N727" t="str" cm="1">
        <f t="array" ref="N727">IFERROR(LOOKUP(2,1/SEARCH($S$2:$S$65,G727),$T$2:$T$65),"Misc")</f>
        <v>Misc</v>
      </c>
      <c r="O727" t="str" cm="1">
        <f t="array" ref="O727">IFERROR(LOOKUP(2,1/SEARCH($V$2:$V$65,G727),$W$2:$W$65),"Misc")</f>
        <v>Misc</v>
      </c>
      <c r="P727" t="str" cm="1">
        <f t="array" ref="P727">IFERROR(LOOKUP(2,1/SEARCH($Y$2:$Y$65,G727),$Z$2:$Z$65),"Not Defined")</f>
        <v>Not Defined</v>
      </c>
      <c r="Q727" t="str" cm="1">
        <f t="array" ref="Q727">IFERROR(LOOKUP(2,1/SEARCH($S$2:$S$65,H727),$T$2:$T$65),"-")</f>
        <v>-</v>
      </c>
    </row>
    <row r="728" spans="1:17" hidden="1" x14ac:dyDescent="0.25">
      <c r="A728" t="s">
        <v>7673</v>
      </c>
      <c r="B728" t="s">
        <v>1983</v>
      </c>
      <c r="C728">
        <v>3</v>
      </c>
      <c r="D728" t="s">
        <v>7248</v>
      </c>
      <c r="F728" t="s">
        <v>268</v>
      </c>
      <c r="G728" t="s">
        <v>7061</v>
      </c>
      <c r="H728" t="s">
        <v>269</v>
      </c>
      <c r="I728" t="s">
        <v>224</v>
      </c>
      <c r="J728" t="s">
        <v>7703</v>
      </c>
      <c r="K728" t="s">
        <v>7684</v>
      </c>
      <c r="L728" t="s">
        <v>7687</v>
      </c>
      <c r="N728" t="str" cm="1">
        <f t="array" ref="N728">IFERROR(LOOKUP(2,1/SEARCH($S$2:$S$65,G728),$T$2:$T$65),"Misc")</f>
        <v>COTS</v>
      </c>
      <c r="O728" t="str" cm="1">
        <f t="array" ref="O728">IFERROR(LOOKUP(2,1/SEARCH($V$2:$V$65,G728),$W$2:$W$65),"Misc")</f>
        <v>Fasteners</v>
      </c>
      <c r="P728" t="str" cm="1">
        <f t="array" ref="P728">IFERROR(LOOKUP(2,1/SEARCH($Y$2:$Y$65,G728),$Z$2:$Z$65),"Not Defined")</f>
        <v>INSERT</v>
      </c>
      <c r="Q728" t="str" cm="1">
        <f t="array" ref="Q728">IFERROR(LOOKUP(2,1/SEARCH($S$2:$S$65,H728),$T$2:$T$65),"-")</f>
        <v>COTS</v>
      </c>
    </row>
    <row r="729" spans="1:17" hidden="1" x14ac:dyDescent="0.25">
      <c r="A729" t="s">
        <v>7673</v>
      </c>
      <c r="B729" t="s">
        <v>1984</v>
      </c>
      <c r="C729">
        <v>3</v>
      </c>
      <c r="D729" t="s">
        <v>7248</v>
      </c>
      <c r="F729" t="s">
        <v>460</v>
      </c>
      <c r="G729" t="s">
        <v>7090</v>
      </c>
      <c r="H729" t="s">
        <v>461</v>
      </c>
      <c r="I729" t="s">
        <v>224</v>
      </c>
      <c r="J729" t="s">
        <v>7703</v>
      </c>
      <c r="K729" t="s">
        <v>7684</v>
      </c>
      <c r="L729" t="s">
        <v>7693</v>
      </c>
      <c r="N729" t="str" cm="1">
        <f t="array" ref="N729">IFERROR(LOOKUP(2,1/SEARCH($S$2:$S$65,G729),$T$2:$T$65),"Misc")</f>
        <v>COTS</v>
      </c>
      <c r="O729" t="str" cm="1">
        <f t="array" ref="O729">IFERROR(LOOKUP(2,1/SEARCH($V$2:$V$65,G729),$W$2:$W$65),"Misc")</f>
        <v>Fasteners</v>
      </c>
      <c r="P729" t="str" cm="1">
        <f t="array" ref="P729">IFERROR(LOOKUP(2,1/SEARCH($Y$2:$Y$65,G729),$Z$2:$Z$65),"Not Defined")</f>
        <v>PHS</v>
      </c>
      <c r="Q729" t="str" cm="1">
        <f t="array" ref="Q729">IFERROR(LOOKUP(2,1/SEARCH($S$2:$S$65,H729),$T$2:$T$65),"-")</f>
        <v>COTS</v>
      </c>
    </row>
    <row r="730" spans="1:17" hidden="1" x14ac:dyDescent="0.25">
      <c r="A730" t="s">
        <v>7673</v>
      </c>
      <c r="B730" t="s">
        <v>1985</v>
      </c>
      <c r="C730">
        <v>1</v>
      </c>
      <c r="D730" t="s">
        <v>7248</v>
      </c>
      <c r="F730" t="s">
        <v>1921</v>
      </c>
      <c r="G730" t="s">
        <v>7246</v>
      </c>
      <c r="H730" t="s">
        <v>1922</v>
      </c>
      <c r="I730" t="s">
        <v>210</v>
      </c>
      <c r="J730" t="s">
        <v>7703</v>
      </c>
      <c r="K730" t="s">
        <v>7684</v>
      </c>
      <c r="L730" t="s">
        <v>7691</v>
      </c>
      <c r="N730" t="str" cm="1">
        <f t="array" ref="N730">IFERROR(LOOKUP(2,1/SEARCH($S$2:$S$65,G730),$T$2:$T$65),"Misc")</f>
        <v>COTS</v>
      </c>
      <c r="O730" t="str" cm="1">
        <f t="array" ref="O730">IFERROR(LOOKUP(2,1/SEARCH($V$2:$V$65,G730),$W$2:$W$65),"Misc")</f>
        <v>Fasteners</v>
      </c>
      <c r="P730" t="str" cm="1">
        <f t="array" ref="P730">IFERROR(LOOKUP(2,1/SEARCH($Y$2:$Y$65,G730),$Z$2:$Z$65),"Not Defined")</f>
        <v>FHS</v>
      </c>
      <c r="Q730" t="str" cm="1">
        <f t="array" ref="Q730">IFERROR(LOOKUP(2,1/SEARCH($S$2:$S$65,H730),$T$2:$T$65),"-")</f>
        <v>COTS</v>
      </c>
    </row>
    <row r="731" spans="1:17" hidden="1" x14ac:dyDescent="0.25">
      <c r="A731" t="s">
        <v>7673</v>
      </c>
      <c r="B731" t="s">
        <v>1986</v>
      </c>
      <c r="C731">
        <v>2</v>
      </c>
      <c r="D731" t="s">
        <v>7248</v>
      </c>
      <c r="F731" t="s">
        <v>1924</v>
      </c>
      <c r="G731" t="s">
        <v>7247</v>
      </c>
      <c r="H731" t="s">
        <v>1925</v>
      </c>
      <c r="I731" t="s">
        <v>228</v>
      </c>
      <c r="J731" t="s">
        <v>7703</v>
      </c>
      <c r="K731" t="s">
        <v>7684</v>
      </c>
      <c r="L731" t="s">
        <v>7691</v>
      </c>
      <c r="N731" t="str" cm="1">
        <f t="array" ref="N731">IFERROR(LOOKUP(2,1/SEARCH($S$2:$S$65,G731),$T$2:$T$65),"Misc")</f>
        <v>COTS</v>
      </c>
      <c r="O731" t="str" cm="1">
        <f t="array" ref="O731">IFERROR(LOOKUP(2,1/SEARCH($V$2:$V$65,G731),$W$2:$W$65),"Misc")</f>
        <v>Fasteners</v>
      </c>
      <c r="P731" t="str" cm="1">
        <f t="array" ref="P731">IFERROR(LOOKUP(2,1/SEARCH($Y$2:$Y$65,G731),$Z$2:$Z$65),"Not Defined")</f>
        <v>FHS</v>
      </c>
      <c r="Q731" t="str" cm="1">
        <f t="array" ref="Q731">IFERROR(LOOKUP(2,1/SEARCH($S$2:$S$65,H731),$T$2:$T$65),"-")</f>
        <v>COTS</v>
      </c>
    </row>
    <row r="732" spans="1:17" hidden="1" x14ac:dyDescent="0.25">
      <c r="A732" t="s">
        <v>7673</v>
      </c>
      <c r="B732" t="s">
        <v>1987</v>
      </c>
      <c r="C732">
        <v>3</v>
      </c>
      <c r="D732" t="s">
        <v>7248</v>
      </c>
      <c r="F732" t="s">
        <v>265</v>
      </c>
      <c r="G732" t="s">
        <v>7099</v>
      </c>
      <c r="H732" t="s">
        <v>266</v>
      </c>
      <c r="I732" t="s">
        <v>224</v>
      </c>
      <c r="J732" t="s">
        <v>7703</v>
      </c>
      <c r="K732" t="s">
        <v>7684</v>
      </c>
      <c r="L732" t="s">
        <v>7687</v>
      </c>
      <c r="N732" t="str" cm="1">
        <f t="array" ref="N732">IFERROR(LOOKUP(2,1/SEARCH($S$2:$S$65,G732),$T$2:$T$65),"Misc")</f>
        <v>COTS</v>
      </c>
      <c r="O732" t="str" cm="1">
        <f t="array" ref="O732">IFERROR(LOOKUP(2,1/SEARCH($V$2:$V$65,G732),$W$2:$W$65),"Misc")</f>
        <v>Fasteners</v>
      </c>
      <c r="P732" t="str" cm="1">
        <f t="array" ref="P732">IFERROR(LOOKUP(2,1/SEARCH($Y$2:$Y$65,G732),$Z$2:$Z$65),"Not Defined")</f>
        <v>INSERT</v>
      </c>
      <c r="Q732" t="str" cm="1">
        <f t="array" ref="Q732">IFERROR(LOOKUP(2,1/SEARCH($S$2:$S$65,H732),$T$2:$T$65),"-")</f>
        <v>COTS</v>
      </c>
    </row>
    <row r="733" spans="1:17" hidden="1" x14ac:dyDescent="0.25">
      <c r="A733" t="s">
        <v>7673</v>
      </c>
      <c r="B733" t="s">
        <v>1988</v>
      </c>
      <c r="C733">
        <v>1</v>
      </c>
      <c r="D733" t="s">
        <v>7248</v>
      </c>
      <c r="F733" t="s">
        <v>439</v>
      </c>
      <c r="G733" t="s">
        <v>7086</v>
      </c>
      <c r="H733" t="s">
        <v>440</v>
      </c>
      <c r="I733" t="s">
        <v>224</v>
      </c>
      <c r="J733" t="s">
        <v>7703</v>
      </c>
      <c r="K733" t="s">
        <v>7684</v>
      </c>
      <c r="L733" t="s">
        <v>7687</v>
      </c>
      <c r="N733" t="str" cm="1">
        <f t="array" ref="N733">IFERROR(LOOKUP(2,1/SEARCH($S$2:$S$65,G733),$T$2:$T$65),"Misc")</f>
        <v>COTS</v>
      </c>
      <c r="O733" t="str" cm="1">
        <f t="array" ref="O733">IFERROR(LOOKUP(2,1/SEARCH($V$2:$V$65,G733),$W$2:$W$65),"Misc")</f>
        <v>Fasteners</v>
      </c>
      <c r="P733" t="str" cm="1">
        <f t="array" ref="P733">IFERROR(LOOKUP(2,1/SEARCH($Y$2:$Y$65,G733),$Z$2:$Z$65),"Not Defined")</f>
        <v>INSERT</v>
      </c>
      <c r="Q733" t="str" cm="1">
        <f t="array" ref="Q733">IFERROR(LOOKUP(2,1/SEARCH($S$2:$S$65,H733),$T$2:$T$65),"-")</f>
        <v>COTS</v>
      </c>
    </row>
    <row r="734" spans="1:17" hidden="1" x14ac:dyDescent="0.25">
      <c r="A734" t="s">
        <v>7673</v>
      </c>
      <c r="B734" t="s">
        <v>1989</v>
      </c>
      <c r="C734">
        <v>3</v>
      </c>
      <c r="D734" t="s">
        <v>7248</v>
      </c>
      <c r="F734" t="s">
        <v>1914</v>
      </c>
      <c r="G734" t="s">
        <v>7245</v>
      </c>
      <c r="H734" t="s">
        <v>1915</v>
      </c>
      <c r="I734" t="s">
        <v>484</v>
      </c>
      <c r="J734" t="s">
        <v>7703</v>
      </c>
      <c r="K734" t="s">
        <v>7684</v>
      </c>
      <c r="L734" t="s">
        <v>7731</v>
      </c>
      <c r="N734" t="str" cm="1">
        <f t="array" ref="N734">IFERROR(LOOKUP(2,1/SEARCH($S$2:$S$65,G734),$T$2:$T$65),"Misc")</f>
        <v>COTS</v>
      </c>
      <c r="O734" t="str" cm="1">
        <f t="array" ref="O734">IFERROR(LOOKUP(2,1/SEARCH($V$2:$V$65,G734),$W$2:$W$65),"Misc")</f>
        <v>Fasteners</v>
      </c>
      <c r="P734" t="str" cm="1">
        <f t="array" ref="P734">IFERROR(LOOKUP(2,1/SEARCH($Y$2:$Y$65,G734),$Z$2:$Z$65),"Not Defined")</f>
        <v>RHS</v>
      </c>
      <c r="Q734" t="str" cm="1">
        <f t="array" ref="Q734">IFERROR(LOOKUP(2,1/SEARCH($S$2:$S$65,H734),$T$2:$T$65),"-")</f>
        <v>COTS</v>
      </c>
    </row>
    <row r="735" spans="1:17" hidden="1" x14ac:dyDescent="0.25">
      <c r="A735" t="s">
        <v>7673</v>
      </c>
      <c r="B735" t="s">
        <v>1990</v>
      </c>
      <c r="C735">
        <v>1</v>
      </c>
      <c r="D735" t="s">
        <v>7249</v>
      </c>
      <c r="F735" t="s">
        <v>1991</v>
      </c>
      <c r="G735" t="s">
        <v>7249</v>
      </c>
      <c r="H735" t="s">
        <v>1992</v>
      </c>
      <c r="J735" t="s">
        <v>7742</v>
      </c>
      <c r="K735" t="s">
        <v>7826</v>
      </c>
      <c r="L735" t="s">
        <v>7826</v>
      </c>
      <c r="N735" t="str" cm="1">
        <f t="array" ref="N735">IFERROR(LOOKUP(2,1/SEARCH($S$2:$S$65,G735),$T$2:$T$65),"Misc")</f>
        <v>OH ASSY</v>
      </c>
      <c r="O735" t="str" cm="1">
        <f t="array" ref="O735">IFERROR(LOOKUP(2,1/SEARCH($V$2:$V$65,G735),$W$2:$W$65),"Misc")</f>
        <v>OH Part</v>
      </c>
      <c r="P735" t="str" cm="1">
        <f t="array" ref="P735">IFERROR(LOOKUP(2,1/SEARCH($Y$2:$Y$65,G735),$Z$2:$Z$65),"Not Defined")</f>
        <v>OH Part</v>
      </c>
      <c r="Q735" t="str" cm="1">
        <f t="array" ref="Q735">IFERROR(LOOKUP(2,1/SEARCH($S$2:$S$65,H735),$T$2:$T$65),"-")</f>
        <v>OH ASSY</v>
      </c>
    </row>
    <row r="736" spans="1:17" hidden="1" x14ac:dyDescent="0.25">
      <c r="A736" t="s">
        <v>7673</v>
      </c>
      <c r="B736" t="s">
        <v>1993</v>
      </c>
      <c r="C736">
        <v>1</v>
      </c>
      <c r="D736" t="s">
        <v>7249</v>
      </c>
      <c r="F736" t="s">
        <v>1994</v>
      </c>
      <c r="G736" t="s">
        <v>1996</v>
      </c>
      <c r="H736" t="s">
        <v>1995</v>
      </c>
      <c r="I736" t="s">
        <v>293</v>
      </c>
      <c r="J736" t="s">
        <v>7682</v>
      </c>
      <c r="K736" t="s">
        <v>7826</v>
      </c>
      <c r="L736" t="s">
        <v>7826</v>
      </c>
      <c r="N736" t="str" cm="1">
        <f t="array" ref="N736">IFERROR(LOOKUP(2,1/SEARCH($S$2:$S$65,G736),$T$2:$T$65),"Misc")</f>
        <v>OH P/N</v>
      </c>
      <c r="O736" t="str" cm="1">
        <f t="array" ref="O736">IFERROR(LOOKUP(2,1/SEARCH($V$2:$V$65,G736),$W$2:$W$65),"Misc")</f>
        <v>OH Part</v>
      </c>
      <c r="P736" t="str" cm="1">
        <f t="array" ref="P736">IFERROR(LOOKUP(2,1/SEARCH($Y$2:$Y$65,G736),$Z$2:$Z$65),"Not Defined")</f>
        <v>OH Part</v>
      </c>
      <c r="Q736" t="str" cm="1">
        <f t="array" ref="Q736">IFERROR(LOOKUP(2,1/SEARCH($S$2:$S$65,H736),$T$2:$T$65),"-")</f>
        <v>-</v>
      </c>
    </row>
    <row r="737" spans="1:17" hidden="1" x14ac:dyDescent="0.25">
      <c r="A737" t="s">
        <v>7673</v>
      </c>
      <c r="B737" t="s">
        <v>1997</v>
      </c>
      <c r="C737">
        <v>1</v>
      </c>
      <c r="D737" t="s">
        <v>7249</v>
      </c>
      <c r="F737" t="s">
        <v>1998</v>
      </c>
      <c r="G737" t="s">
        <v>2000</v>
      </c>
      <c r="H737" t="s">
        <v>1999</v>
      </c>
      <c r="I737" t="s">
        <v>255</v>
      </c>
      <c r="J737" t="s">
        <v>7703</v>
      </c>
      <c r="K737" t="s">
        <v>7826</v>
      </c>
      <c r="L737" t="s">
        <v>7677</v>
      </c>
      <c r="N737" t="str" cm="1">
        <f t="array" ref="N737">IFERROR(LOOKUP(2,1/SEARCH($S$2:$S$65,G737),$T$2:$T$65),"Misc")</f>
        <v>OH P/N</v>
      </c>
      <c r="O737" t="str" cm="1">
        <f t="array" ref="O737">IFERROR(LOOKUP(2,1/SEARCH($V$2:$V$65,G737),$W$2:$W$65),"Misc")</f>
        <v>OH Part</v>
      </c>
      <c r="P737" t="str" cm="1">
        <f t="array" ref="P737">IFERROR(LOOKUP(2,1/SEARCH($Y$2:$Y$65,G737),$Z$2:$Z$65),"Not Defined")</f>
        <v>SWITCH</v>
      </c>
      <c r="Q737" t="str" cm="1">
        <f t="array" ref="Q737">IFERROR(LOOKUP(2,1/SEARCH($S$2:$S$65,H737),$T$2:$T$65),"-")</f>
        <v>COTS</v>
      </c>
    </row>
    <row r="738" spans="1:17" hidden="1" x14ac:dyDescent="0.25">
      <c r="A738" t="s">
        <v>7673</v>
      </c>
      <c r="B738" t="s">
        <v>2001</v>
      </c>
      <c r="C738">
        <v>1</v>
      </c>
      <c r="D738" t="s">
        <v>7249</v>
      </c>
      <c r="F738" t="s">
        <v>2002</v>
      </c>
      <c r="G738" t="s">
        <v>2004</v>
      </c>
      <c r="H738" t="s">
        <v>2003</v>
      </c>
      <c r="I738" t="s">
        <v>293</v>
      </c>
      <c r="J738" t="s">
        <v>7682</v>
      </c>
      <c r="K738" t="s">
        <v>7826</v>
      </c>
      <c r="L738" t="s">
        <v>7826</v>
      </c>
      <c r="N738" t="str" cm="1">
        <f t="array" ref="N738">IFERROR(LOOKUP(2,1/SEARCH($S$2:$S$65,G738),$T$2:$T$65),"Misc")</f>
        <v>OH P/N</v>
      </c>
      <c r="O738" t="str" cm="1">
        <f t="array" ref="O738">IFERROR(LOOKUP(2,1/SEARCH($V$2:$V$65,G738),$W$2:$W$65),"Misc")</f>
        <v>OH Part</v>
      </c>
      <c r="P738" t="str" cm="1">
        <f t="array" ref="P738">IFERROR(LOOKUP(2,1/SEARCH($Y$2:$Y$65,G738),$Z$2:$Z$65),"Not Defined")</f>
        <v>OH Part</v>
      </c>
      <c r="Q738" t="str" cm="1">
        <f t="array" ref="Q738">IFERROR(LOOKUP(2,1/SEARCH($S$2:$S$65,H738),$T$2:$T$65),"-")</f>
        <v>-</v>
      </c>
    </row>
    <row r="739" spans="1:17" hidden="1" x14ac:dyDescent="0.25">
      <c r="A739" t="s">
        <v>7673</v>
      </c>
      <c r="B739" t="s">
        <v>2005</v>
      </c>
      <c r="C739">
        <v>1</v>
      </c>
      <c r="D739" t="s">
        <v>7249</v>
      </c>
      <c r="F739" t="s">
        <v>2006</v>
      </c>
      <c r="G739" t="s">
        <v>2008</v>
      </c>
      <c r="H739" t="s">
        <v>2007</v>
      </c>
      <c r="I739" t="s">
        <v>281</v>
      </c>
      <c r="J739" t="s">
        <v>7682</v>
      </c>
      <c r="K739" t="s">
        <v>7826</v>
      </c>
      <c r="L739" t="s">
        <v>7826</v>
      </c>
      <c r="N739" t="str" cm="1">
        <f t="array" ref="N739">IFERROR(LOOKUP(2,1/SEARCH($S$2:$S$65,G739),$T$2:$T$65),"Misc")</f>
        <v>OH P/N</v>
      </c>
      <c r="O739" t="str" cm="1">
        <f t="array" ref="O739">IFERROR(LOOKUP(2,1/SEARCH($V$2:$V$65,G739),$W$2:$W$65),"Misc")</f>
        <v>OH Part</v>
      </c>
      <c r="P739" t="str" cm="1">
        <f t="array" ref="P739">IFERROR(LOOKUP(2,1/SEARCH($Y$2:$Y$65,G739),$Z$2:$Z$65),"Not Defined")</f>
        <v>OH Part</v>
      </c>
      <c r="Q739" t="str" cm="1">
        <f t="array" ref="Q739">IFERROR(LOOKUP(2,1/SEARCH($S$2:$S$65,H739),$T$2:$T$65),"-")</f>
        <v>-</v>
      </c>
    </row>
    <row r="740" spans="1:17" hidden="1" x14ac:dyDescent="0.25">
      <c r="A740" t="s">
        <v>7673</v>
      </c>
      <c r="B740" t="s">
        <v>2009</v>
      </c>
      <c r="C740">
        <v>1</v>
      </c>
      <c r="D740" t="s">
        <v>7249</v>
      </c>
      <c r="F740" t="s">
        <v>2010</v>
      </c>
      <c r="G740" t="s">
        <v>2012</v>
      </c>
      <c r="H740" t="s">
        <v>2011</v>
      </c>
      <c r="I740" t="s">
        <v>13</v>
      </c>
      <c r="J740" t="s">
        <v>7682</v>
      </c>
      <c r="K740" t="s">
        <v>7826</v>
      </c>
      <c r="L740" t="s">
        <v>7826</v>
      </c>
      <c r="N740" t="str" cm="1">
        <f t="array" ref="N740">IFERROR(LOOKUP(2,1/SEARCH($S$2:$S$65,G740),$T$2:$T$65),"Misc")</f>
        <v>OH P/N</v>
      </c>
      <c r="O740" t="str" cm="1">
        <f t="array" ref="O740">IFERROR(LOOKUP(2,1/SEARCH($V$2:$V$65,G740),$W$2:$W$65),"Misc")</f>
        <v>OH Part</v>
      </c>
      <c r="P740" t="str" cm="1">
        <f t="array" ref="P740">IFERROR(LOOKUP(2,1/SEARCH($Y$2:$Y$65,G740),$Z$2:$Z$65),"Not Defined")</f>
        <v>OH Part</v>
      </c>
      <c r="Q740" t="str" cm="1">
        <f t="array" ref="Q740">IFERROR(LOOKUP(2,1/SEARCH($S$2:$S$65,H740),$T$2:$T$65),"-")</f>
        <v>COTS</v>
      </c>
    </row>
    <row r="741" spans="1:17" hidden="1" x14ac:dyDescent="0.25">
      <c r="A741" t="s">
        <v>7673</v>
      </c>
      <c r="B741" t="s">
        <v>2013</v>
      </c>
      <c r="C741">
        <v>1</v>
      </c>
      <c r="D741" t="s">
        <v>7249</v>
      </c>
      <c r="F741" t="s">
        <v>2014</v>
      </c>
      <c r="G741" t="s">
        <v>2016</v>
      </c>
      <c r="H741" t="s">
        <v>2015</v>
      </c>
      <c r="I741" t="s">
        <v>13</v>
      </c>
      <c r="J741" t="s">
        <v>7682</v>
      </c>
      <c r="K741" t="s">
        <v>7826</v>
      </c>
      <c r="L741" t="s">
        <v>7826</v>
      </c>
      <c r="N741" t="str" cm="1">
        <f t="array" ref="N741">IFERROR(LOOKUP(2,1/SEARCH($S$2:$S$65,G741),$T$2:$T$65),"Misc")</f>
        <v>OH P/N</v>
      </c>
      <c r="O741" t="str" cm="1">
        <f t="array" ref="O741">IFERROR(LOOKUP(2,1/SEARCH($V$2:$V$65,G741),$W$2:$W$65),"Misc")</f>
        <v>OH Part</v>
      </c>
      <c r="P741" t="str" cm="1">
        <f t="array" ref="P741">IFERROR(LOOKUP(2,1/SEARCH($Y$2:$Y$65,G741),$Z$2:$Z$65),"Not Defined")</f>
        <v>OH Part</v>
      </c>
      <c r="Q741" t="str" cm="1">
        <f t="array" ref="Q741">IFERROR(LOOKUP(2,1/SEARCH($S$2:$S$65,H741),$T$2:$T$65),"-")</f>
        <v>-</v>
      </c>
    </row>
    <row r="742" spans="1:17" hidden="1" x14ac:dyDescent="0.25">
      <c r="A742" t="s">
        <v>7673</v>
      </c>
      <c r="B742" t="s">
        <v>2017</v>
      </c>
      <c r="C742">
        <v>1</v>
      </c>
      <c r="D742" t="s">
        <v>7249</v>
      </c>
      <c r="E742" t="s">
        <v>2019</v>
      </c>
      <c r="F742" t="s">
        <v>2018</v>
      </c>
      <c r="G742" t="s">
        <v>2020</v>
      </c>
      <c r="H742" t="s">
        <v>2019</v>
      </c>
      <c r="J742" t="s">
        <v>7703</v>
      </c>
      <c r="K742" t="s">
        <v>7826</v>
      </c>
      <c r="L742" t="s">
        <v>7677</v>
      </c>
      <c r="N742" t="str" cm="1">
        <f t="array" ref="N742">IFERROR(LOOKUP(2,1/SEARCH($S$2:$S$65,G742),$T$2:$T$65),"Misc")</f>
        <v>OH P/N</v>
      </c>
      <c r="O742" t="str" cm="1">
        <f t="array" ref="O742">IFERROR(LOOKUP(2,1/SEARCH($V$2:$V$65,G742),$W$2:$W$65),"Misc")</f>
        <v>OH Part</v>
      </c>
      <c r="P742" t="str" cm="1">
        <f t="array" ref="P742">IFERROR(LOOKUP(2,1/SEARCH($Y$2:$Y$65,G742),$Z$2:$Z$65),"Not Defined")</f>
        <v>SWITCH</v>
      </c>
      <c r="Q742" t="str" cm="1">
        <f t="array" ref="Q742">IFERROR(LOOKUP(2,1/SEARCH($S$2:$S$65,H742),$T$2:$T$65),"-")</f>
        <v>COTS</v>
      </c>
    </row>
    <row r="743" spans="1:17" hidden="1" x14ac:dyDescent="0.25">
      <c r="A743" t="s">
        <v>7673</v>
      </c>
      <c r="B743" t="s">
        <v>2021</v>
      </c>
      <c r="C743">
        <v>1</v>
      </c>
      <c r="D743" t="s">
        <v>7249</v>
      </c>
      <c r="E743" t="s">
        <v>2019</v>
      </c>
      <c r="F743" t="s">
        <v>2022</v>
      </c>
      <c r="G743" t="s">
        <v>2024</v>
      </c>
      <c r="H743" t="s">
        <v>2023</v>
      </c>
      <c r="I743" t="s">
        <v>358</v>
      </c>
      <c r="J743" t="s">
        <v>7703</v>
      </c>
      <c r="K743" t="s">
        <v>7826</v>
      </c>
      <c r="L743" t="s">
        <v>7677</v>
      </c>
      <c r="N743" t="str" cm="1">
        <f t="array" ref="N743">IFERROR(LOOKUP(2,1/SEARCH($S$2:$S$65,G743),$T$2:$T$65),"Misc")</f>
        <v>OH P/N</v>
      </c>
      <c r="O743" t="str" cm="1">
        <f t="array" ref="O743">IFERROR(LOOKUP(2,1/SEARCH($V$2:$V$65,G743),$W$2:$W$65),"Misc")</f>
        <v>OH Part</v>
      </c>
      <c r="P743" t="str" cm="1">
        <f t="array" ref="P743">IFERROR(LOOKUP(2,1/SEARCH($Y$2:$Y$65,G743),$Z$2:$Z$65),"Not Defined")</f>
        <v>SWITCH</v>
      </c>
      <c r="Q743" t="str" cm="1">
        <f t="array" ref="Q743">IFERROR(LOOKUP(2,1/SEARCH($S$2:$S$65,H743),$T$2:$T$65),"-")</f>
        <v>COTS</v>
      </c>
    </row>
    <row r="744" spans="1:17" hidden="1" x14ac:dyDescent="0.25">
      <c r="A744" t="s">
        <v>7673</v>
      </c>
      <c r="B744" t="s">
        <v>2025</v>
      </c>
      <c r="C744">
        <v>2</v>
      </c>
      <c r="D744" t="s">
        <v>7249</v>
      </c>
      <c r="E744" t="s">
        <v>2019</v>
      </c>
      <c r="F744" t="s">
        <v>2026</v>
      </c>
      <c r="G744" t="s">
        <v>2028</v>
      </c>
      <c r="H744" t="s">
        <v>2027</v>
      </c>
      <c r="I744" t="s">
        <v>358</v>
      </c>
      <c r="J744" t="s">
        <v>7703</v>
      </c>
      <c r="K744" t="s">
        <v>7826</v>
      </c>
      <c r="L744" t="s">
        <v>7677</v>
      </c>
      <c r="N744" t="str" cm="1">
        <f t="array" ref="N744">IFERROR(LOOKUP(2,1/SEARCH($S$2:$S$65,G744),$T$2:$T$65),"Misc")</f>
        <v>OH P/N</v>
      </c>
      <c r="O744" t="str" cm="1">
        <f t="array" ref="O744">IFERROR(LOOKUP(2,1/SEARCH($V$2:$V$65,G744),$W$2:$W$65),"Misc")</f>
        <v>OH Part</v>
      </c>
      <c r="P744" t="str" cm="1">
        <f t="array" ref="P744">IFERROR(LOOKUP(2,1/SEARCH($Y$2:$Y$65,G744),$Z$2:$Z$65),"Not Defined")</f>
        <v>SWITCH</v>
      </c>
      <c r="Q744" t="str" cm="1">
        <f t="array" ref="Q744">IFERROR(LOOKUP(2,1/SEARCH($S$2:$S$65,H744),$T$2:$T$65),"-")</f>
        <v>COTS</v>
      </c>
    </row>
    <row r="745" spans="1:17" hidden="1" x14ac:dyDescent="0.25">
      <c r="A745" t="s">
        <v>7673</v>
      </c>
      <c r="B745" t="s">
        <v>2029</v>
      </c>
      <c r="C745">
        <v>1</v>
      </c>
      <c r="D745" t="s">
        <v>7249</v>
      </c>
      <c r="E745" t="s">
        <v>2019</v>
      </c>
      <c r="F745" t="s">
        <v>2030</v>
      </c>
      <c r="G745" t="s">
        <v>2032</v>
      </c>
      <c r="H745" t="s">
        <v>2031</v>
      </c>
      <c r="I745" t="s">
        <v>293</v>
      </c>
      <c r="J745" t="s">
        <v>7703</v>
      </c>
      <c r="K745" t="s">
        <v>7826</v>
      </c>
      <c r="L745" t="s">
        <v>7677</v>
      </c>
      <c r="N745" t="str" cm="1">
        <f t="array" ref="N745">IFERROR(LOOKUP(2,1/SEARCH($S$2:$S$65,G745),$T$2:$T$65),"Misc")</f>
        <v>OH P/N</v>
      </c>
      <c r="O745" t="str" cm="1">
        <f t="array" ref="O745">IFERROR(LOOKUP(2,1/SEARCH($V$2:$V$65,G745),$W$2:$W$65),"Misc")</f>
        <v>OH Part</v>
      </c>
      <c r="P745" t="str" cm="1">
        <f t="array" ref="P745">IFERROR(LOOKUP(2,1/SEARCH($Y$2:$Y$65,G745),$Z$2:$Z$65),"Not Defined")</f>
        <v>SWITCH</v>
      </c>
      <c r="Q745" t="str" cm="1">
        <f t="array" ref="Q745">IFERROR(LOOKUP(2,1/SEARCH($S$2:$S$65,H745),$T$2:$T$65),"-")</f>
        <v>COTS</v>
      </c>
    </row>
    <row r="746" spans="1:17" hidden="1" x14ac:dyDescent="0.25">
      <c r="A746" t="s">
        <v>7673</v>
      </c>
      <c r="B746" t="s">
        <v>2033</v>
      </c>
      <c r="C746">
        <v>2</v>
      </c>
      <c r="D746" t="s">
        <v>7249</v>
      </c>
      <c r="E746" t="s">
        <v>2019</v>
      </c>
      <c r="F746" t="s">
        <v>2034</v>
      </c>
      <c r="G746" t="s">
        <v>2036</v>
      </c>
      <c r="H746" t="s">
        <v>2035</v>
      </c>
      <c r="I746" t="s">
        <v>293</v>
      </c>
      <c r="J746" t="s">
        <v>7703</v>
      </c>
      <c r="K746" t="s">
        <v>7826</v>
      </c>
      <c r="L746" t="s">
        <v>7677</v>
      </c>
      <c r="N746" t="str" cm="1">
        <f t="array" ref="N746">IFERROR(LOOKUP(2,1/SEARCH($S$2:$S$65,G746),$T$2:$T$65),"Misc")</f>
        <v>OH P/N</v>
      </c>
      <c r="O746" t="str" cm="1">
        <f t="array" ref="O746">IFERROR(LOOKUP(2,1/SEARCH($V$2:$V$65,G746),$W$2:$W$65),"Misc")</f>
        <v>OH Part</v>
      </c>
      <c r="P746" t="str" cm="1">
        <f t="array" ref="P746">IFERROR(LOOKUP(2,1/SEARCH($Y$2:$Y$65,G746),$Z$2:$Z$65),"Not Defined")</f>
        <v>SWITCH</v>
      </c>
      <c r="Q746" t="str" cm="1">
        <f t="array" ref="Q746">IFERROR(LOOKUP(2,1/SEARCH($S$2:$S$65,H746),$T$2:$T$65),"-")</f>
        <v>COTS</v>
      </c>
    </row>
    <row r="747" spans="1:17" hidden="1" x14ac:dyDescent="0.25">
      <c r="A747" t="s">
        <v>7673</v>
      </c>
      <c r="B747" t="s">
        <v>2037</v>
      </c>
      <c r="C747">
        <v>2</v>
      </c>
      <c r="D747" t="s">
        <v>7249</v>
      </c>
      <c r="E747" t="s">
        <v>2019</v>
      </c>
      <c r="F747" t="s">
        <v>2038</v>
      </c>
      <c r="G747" t="s">
        <v>2040</v>
      </c>
      <c r="H747" t="s">
        <v>2039</v>
      </c>
      <c r="I747" t="s">
        <v>293</v>
      </c>
      <c r="J747" t="s">
        <v>7703</v>
      </c>
      <c r="K747" t="s">
        <v>7826</v>
      </c>
      <c r="L747" t="s">
        <v>7677</v>
      </c>
      <c r="N747" t="str" cm="1">
        <f t="array" ref="N747">IFERROR(LOOKUP(2,1/SEARCH($S$2:$S$65,G747),$T$2:$T$65),"Misc")</f>
        <v>OH P/N</v>
      </c>
      <c r="O747" t="str" cm="1">
        <f t="array" ref="O747">IFERROR(LOOKUP(2,1/SEARCH($V$2:$V$65,G747),$W$2:$W$65),"Misc")</f>
        <v>OH Part</v>
      </c>
      <c r="P747" t="str" cm="1">
        <f t="array" ref="P747">IFERROR(LOOKUP(2,1/SEARCH($Y$2:$Y$65,G747),$Z$2:$Z$65),"Not Defined")</f>
        <v>SWITCH</v>
      </c>
      <c r="Q747" t="str" cm="1">
        <f t="array" ref="Q747">IFERROR(LOOKUP(2,1/SEARCH($S$2:$S$65,H747),$T$2:$T$65),"-")</f>
        <v>COTS</v>
      </c>
    </row>
    <row r="748" spans="1:17" hidden="1" x14ac:dyDescent="0.25">
      <c r="A748" t="s">
        <v>7673</v>
      </c>
      <c r="B748" t="s">
        <v>2041</v>
      </c>
      <c r="C748">
        <v>2</v>
      </c>
      <c r="D748" t="s">
        <v>7249</v>
      </c>
      <c r="E748" t="s">
        <v>2019</v>
      </c>
      <c r="F748" t="s">
        <v>2042</v>
      </c>
      <c r="G748" t="s">
        <v>2044</v>
      </c>
      <c r="H748" t="s">
        <v>2043</v>
      </c>
      <c r="I748" t="s">
        <v>358</v>
      </c>
      <c r="J748" t="s">
        <v>7703</v>
      </c>
      <c r="K748" t="s">
        <v>7826</v>
      </c>
      <c r="L748" t="s">
        <v>7677</v>
      </c>
      <c r="N748" t="str" cm="1">
        <f t="array" ref="N748">IFERROR(LOOKUP(2,1/SEARCH($S$2:$S$65,G748),$T$2:$T$65),"Misc")</f>
        <v>OH P/N</v>
      </c>
      <c r="O748" t="str" cm="1">
        <f t="array" ref="O748">IFERROR(LOOKUP(2,1/SEARCH($V$2:$V$65,G748),$W$2:$W$65),"Misc")</f>
        <v>OH Part</v>
      </c>
      <c r="P748" t="str" cm="1">
        <f t="array" ref="P748">IFERROR(LOOKUP(2,1/SEARCH($Y$2:$Y$65,G748),$Z$2:$Z$65),"Not Defined")</f>
        <v>SWITCH</v>
      </c>
      <c r="Q748" t="str" cm="1">
        <f t="array" ref="Q748">IFERROR(LOOKUP(2,1/SEARCH($S$2:$S$65,H748),$T$2:$T$65),"-")</f>
        <v>COTS</v>
      </c>
    </row>
    <row r="749" spans="1:17" hidden="1" x14ac:dyDescent="0.25">
      <c r="A749" t="s">
        <v>7673</v>
      </c>
      <c r="B749" t="s">
        <v>2045</v>
      </c>
      <c r="C749">
        <v>1</v>
      </c>
      <c r="D749" t="s">
        <v>7249</v>
      </c>
      <c r="E749" t="s">
        <v>2019</v>
      </c>
      <c r="F749" t="s">
        <v>2046</v>
      </c>
      <c r="G749" t="s">
        <v>2048</v>
      </c>
      <c r="H749" t="s">
        <v>2047</v>
      </c>
      <c r="I749" t="s">
        <v>293</v>
      </c>
      <c r="J749" t="s">
        <v>7703</v>
      </c>
      <c r="K749" t="s">
        <v>7826</v>
      </c>
      <c r="L749" t="s">
        <v>7677</v>
      </c>
      <c r="N749" t="str" cm="1">
        <f t="array" ref="N749">IFERROR(LOOKUP(2,1/SEARCH($S$2:$S$65,G749),$T$2:$T$65),"Misc")</f>
        <v>OH P/N</v>
      </c>
      <c r="O749" t="str" cm="1">
        <f t="array" ref="O749">IFERROR(LOOKUP(2,1/SEARCH($V$2:$V$65,G749),$W$2:$W$65),"Misc")</f>
        <v>OH Part</v>
      </c>
      <c r="P749" t="str" cm="1">
        <f t="array" ref="P749">IFERROR(LOOKUP(2,1/SEARCH($Y$2:$Y$65,G749),$Z$2:$Z$65),"Not Defined")</f>
        <v>SWITCH</v>
      </c>
      <c r="Q749" t="str" cm="1">
        <f t="array" ref="Q749">IFERROR(LOOKUP(2,1/SEARCH($S$2:$S$65,H749),$T$2:$T$65),"-")</f>
        <v>COTS</v>
      </c>
    </row>
    <row r="750" spans="1:17" hidden="1" x14ac:dyDescent="0.25">
      <c r="A750" t="s">
        <v>7673</v>
      </c>
      <c r="B750" t="s">
        <v>2049</v>
      </c>
      <c r="C750">
        <v>2</v>
      </c>
      <c r="D750" t="s">
        <v>7249</v>
      </c>
      <c r="E750" t="s">
        <v>2019</v>
      </c>
      <c r="F750" t="s">
        <v>1534</v>
      </c>
      <c r="G750" t="s">
        <v>7222</v>
      </c>
      <c r="H750" t="s">
        <v>1535</v>
      </c>
      <c r="I750" t="s">
        <v>210</v>
      </c>
      <c r="J750" t="s">
        <v>7703</v>
      </c>
      <c r="K750" t="s">
        <v>7684</v>
      </c>
      <c r="L750" t="s">
        <v>7707</v>
      </c>
      <c r="N750" t="str" cm="1">
        <f t="array" ref="N750">IFERROR(LOOKUP(2,1/SEARCH($S$2:$S$65,G750),$T$2:$T$65),"Misc")</f>
        <v>COTS</v>
      </c>
      <c r="O750" t="str" cm="1">
        <f t="array" ref="O750">IFERROR(LOOKUP(2,1/SEARCH($V$2:$V$65,G750),$W$2:$W$65),"Misc")</f>
        <v>Fasteners</v>
      </c>
      <c r="P750" t="str" cm="1">
        <f t="array" ref="P750">IFERROR(LOOKUP(2,1/SEARCH($Y$2:$Y$65,G750),$Z$2:$Z$65),"Not Defined")</f>
        <v>PIN</v>
      </c>
      <c r="Q750" t="str" cm="1">
        <f t="array" ref="Q750">IFERROR(LOOKUP(2,1/SEARCH($S$2:$S$65,H750),$T$2:$T$65),"-")</f>
        <v>COTS</v>
      </c>
    </row>
    <row r="751" spans="1:17" hidden="1" x14ac:dyDescent="0.25">
      <c r="A751" t="s">
        <v>7673</v>
      </c>
      <c r="B751" t="s">
        <v>2050</v>
      </c>
      <c r="C751">
        <v>1</v>
      </c>
      <c r="D751" t="s">
        <v>7249</v>
      </c>
      <c r="E751" t="s">
        <v>2052</v>
      </c>
      <c r="F751" t="s">
        <v>2051</v>
      </c>
      <c r="G751" t="s">
        <v>2053</v>
      </c>
      <c r="H751" t="s">
        <v>2052</v>
      </c>
      <c r="J751" t="s">
        <v>7682</v>
      </c>
      <c r="K751" t="s">
        <v>7826</v>
      </c>
      <c r="L751" t="s">
        <v>7826</v>
      </c>
      <c r="N751" t="str" cm="1">
        <f t="array" ref="N751">IFERROR(LOOKUP(2,1/SEARCH($S$2:$S$65,G751),$T$2:$T$65),"Misc")</f>
        <v>OH P/N</v>
      </c>
      <c r="O751" t="str" cm="1">
        <f t="array" ref="O751">IFERROR(LOOKUP(2,1/SEARCH($V$2:$V$65,G751),$W$2:$W$65),"Misc")</f>
        <v>OH Part</v>
      </c>
      <c r="P751" t="str" cm="1">
        <f t="array" ref="P751">IFERROR(LOOKUP(2,1/SEARCH($Y$2:$Y$65,G751),$Z$2:$Z$65),"Not Defined")</f>
        <v>OH Part</v>
      </c>
      <c r="Q751" t="str" cm="1">
        <f t="array" ref="Q751">IFERROR(LOOKUP(2,1/SEARCH($S$2:$S$65,H751),$T$2:$T$65),"-")</f>
        <v>-</v>
      </c>
    </row>
    <row r="752" spans="1:17" hidden="1" x14ac:dyDescent="0.25">
      <c r="A752" t="s">
        <v>7673</v>
      </c>
      <c r="B752" t="s">
        <v>2054</v>
      </c>
      <c r="C752">
        <v>1</v>
      </c>
      <c r="D752" t="s">
        <v>7249</v>
      </c>
      <c r="E752" t="s">
        <v>2052</v>
      </c>
      <c r="F752" t="s">
        <v>2055</v>
      </c>
      <c r="G752" t="s">
        <v>2056</v>
      </c>
      <c r="H752" t="s">
        <v>750</v>
      </c>
      <c r="I752" t="s">
        <v>358</v>
      </c>
      <c r="J752" t="s">
        <v>7682</v>
      </c>
      <c r="K752" t="s">
        <v>7826</v>
      </c>
      <c r="L752" t="s">
        <v>7826</v>
      </c>
      <c r="N752" t="str" cm="1">
        <f t="array" ref="N752">IFERROR(LOOKUP(2,1/SEARCH($S$2:$S$65,G752),$T$2:$T$65),"Misc")</f>
        <v>OH P/N</v>
      </c>
      <c r="O752" t="str" cm="1">
        <f t="array" ref="O752">IFERROR(LOOKUP(2,1/SEARCH($V$2:$V$65,G752),$W$2:$W$65),"Misc")</f>
        <v>OH Part</v>
      </c>
      <c r="P752" t="str" cm="1">
        <f t="array" ref="P752">IFERROR(LOOKUP(2,1/SEARCH($Y$2:$Y$65,G752),$Z$2:$Z$65),"Not Defined")</f>
        <v>OH Part</v>
      </c>
      <c r="Q752" t="str" cm="1">
        <f t="array" ref="Q752">IFERROR(LOOKUP(2,1/SEARCH($S$2:$S$65,H752),$T$2:$T$65),"-")</f>
        <v>-</v>
      </c>
    </row>
    <row r="753" spans="1:17" hidden="1" x14ac:dyDescent="0.25">
      <c r="A753" t="s">
        <v>7673</v>
      </c>
      <c r="B753" t="s">
        <v>2057</v>
      </c>
      <c r="C753">
        <v>1</v>
      </c>
      <c r="D753" t="s">
        <v>7249</v>
      </c>
      <c r="E753" t="s">
        <v>2052</v>
      </c>
      <c r="F753" t="s">
        <v>2058</v>
      </c>
      <c r="G753" t="s">
        <v>2060</v>
      </c>
      <c r="H753" t="s">
        <v>2059</v>
      </c>
      <c r="I753" t="s">
        <v>293</v>
      </c>
      <c r="J753" t="s">
        <v>7682</v>
      </c>
      <c r="K753" t="s">
        <v>7826</v>
      </c>
      <c r="L753" t="s">
        <v>7826</v>
      </c>
      <c r="N753" t="str" cm="1">
        <f t="array" ref="N753">IFERROR(LOOKUP(2,1/SEARCH($S$2:$S$65,G753),$T$2:$T$65),"Misc")</f>
        <v>OH P/N</v>
      </c>
      <c r="O753" t="str" cm="1">
        <f t="array" ref="O753">IFERROR(LOOKUP(2,1/SEARCH($V$2:$V$65,G753),$W$2:$W$65),"Misc")</f>
        <v>OH Part</v>
      </c>
      <c r="P753" t="str" cm="1">
        <f t="array" ref="P753">IFERROR(LOOKUP(2,1/SEARCH($Y$2:$Y$65,G753),$Z$2:$Z$65),"Not Defined")</f>
        <v>OH Part</v>
      </c>
      <c r="Q753" t="str" cm="1">
        <f t="array" ref="Q753">IFERROR(LOOKUP(2,1/SEARCH($S$2:$S$65,H753),$T$2:$T$65),"-")</f>
        <v>-</v>
      </c>
    </row>
    <row r="754" spans="1:17" hidden="1" x14ac:dyDescent="0.25">
      <c r="A754" t="s">
        <v>7673</v>
      </c>
      <c r="B754" t="s">
        <v>2061</v>
      </c>
      <c r="C754">
        <v>1</v>
      </c>
      <c r="D754" t="s">
        <v>7249</v>
      </c>
      <c r="E754" t="s">
        <v>2052</v>
      </c>
      <c r="F754" t="s">
        <v>2062</v>
      </c>
      <c r="G754" t="s">
        <v>2064</v>
      </c>
      <c r="H754" t="s">
        <v>2063</v>
      </c>
      <c r="I754" t="s">
        <v>293</v>
      </c>
      <c r="J754" t="s">
        <v>7682</v>
      </c>
      <c r="K754" t="s">
        <v>7826</v>
      </c>
      <c r="L754" t="s">
        <v>7826</v>
      </c>
      <c r="N754" t="str" cm="1">
        <f t="array" ref="N754">IFERROR(LOOKUP(2,1/SEARCH($S$2:$S$65,G754),$T$2:$T$65),"Misc")</f>
        <v>OH P/N</v>
      </c>
      <c r="O754" t="str" cm="1">
        <f t="array" ref="O754">IFERROR(LOOKUP(2,1/SEARCH($V$2:$V$65,G754),$W$2:$W$65),"Misc")</f>
        <v>OH Part</v>
      </c>
      <c r="P754" t="str" cm="1">
        <f t="array" ref="P754">IFERROR(LOOKUP(2,1/SEARCH($Y$2:$Y$65,G754),$Z$2:$Z$65),"Not Defined")</f>
        <v>OH Part</v>
      </c>
      <c r="Q754" t="str" cm="1">
        <f t="array" ref="Q754">IFERROR(LOOKUP(2,1/SEARCH($S$2:$S$65,H754),$T$2:$T$65),"-")</f>
        <v>-</v>
      </c>
    </row>
    <row r="755" spans="1:17" hidden="1" x14ac:dyDescent="0.25">
      <c r="A755" t="s">
        <v>7673</v>
      </c>
      <c r="B755" t="s">
        <v>2065</v>
      </c>
      <c r="C755">
        <v>1</v>
      </c>
      <c r="D755" t="s">
        <v>7249</v>
      </c>
      <c r="E755" t="s">
        <v>2052</v>
      </c>
      <c r="F755" t="s">
        <v>2066</v>
      </c>
      <c r="G755" t="s">
        <v>2067</v>
      </c>
      <c r="H755" t="s">
        <v>762</v>
      </c>
      <c r="I755" t="s">
        <v>358</v>
      </c>
      <c r="J755" t="s">
        <v>7682</v>
      </c>
      <c r="K755" t="s">
        <v>7826</v>
      </c>
      <c r="L755" t="s">
        <v>7826</v>
      </c>
      <c r="N755" t="str" cm="1">
        <f t="array" ref="N755">IFERROR(LOOKUP(2,1/SEARCH($S$2:$S$65,G755),$T$2:$T$65),"Misc")</f>
        <v>OH P/N</v>
      </c>
      <c r="O755" t="str" cm="1">
        <f t="array" ref="O755">IFERROR(LOOKUP(2,1/SEARCH($V$2:$V$65,G755),$W$2:$W$65),"Misc")</f>
        <v>OH Part</v>
      </c>
      <c r="P755" t="str" cm="1">
        <f t="array" ref="P755">IFERROR(LOOKUP(2,1/SEARCH($Y$2:$Y$65,G755),$Z$2:$Z$65),"Not Defined")</f>
        <v>OH Part</v>
      </c>
      <c r="Q755" t="str" cm="1">
        <f t="array" ref="Q755">IFERROR(LOOKUP(2,1/SEARCH($S$2:$S$65,H755),$T$2:$T$65),"-")</f>
        <v>-</v>
      </c>
    </row>
    <row r="756" spans="1:17" hidden="1" x14ac:dyDescent="0.25">
      <c r="A756" t="s">
        <v>7673</v>
      </c>
      <c r="B756" t="s">
        <v>2068</v>
      </c>
      <c r="C756">
        <v>2</v>
      </c>
      <c r="D756" t="s">
        <v>7249</v>
      </c>
      <c r="E756" t="s">
        <v>2052</v>
      </c>
      <c r="F756" t="s">
        <v>2069</v>
      </c>
      <c r="G756" t="s">
        <v>2071</v>
      </c>
      <c r="H756" t="s">
        <v>2070</v>
      </c>
      <c r="I756" t="s">
        <v>293</v>
      </c>
      <c r="J756" t="s">
        <v>7682</v>
      </c>
      <c r="K756" t="s">
        <v>7826</v>
      </c>
      <c r="L756" t="s">
        <v>7826</v>
      </c>
      <c r="N756" t="str" cm="1">
        <f t="array" ref="N756">IFERROR(LOOKUP(2,1/SEARCH($S$2:$S$65,G756),$T$2:$T$65),"Misc")</f>
        <v>OH P/N</v>
      </c>
      <c r="O756" t="str" cm="1">
        <f t="array" ref="O756">IFERROR(LOOKUP(2,1/SEARCH($V$2:$V$65,G756),$W$2:$W$65),"Misc")</f>
        <v>OH Part</v>
      </c>
      <c r="P756" t="str" cm="1">
        <f t="array" ref="P756">IFERROR(LOOKUP(2,1/SEARCH($Y$2:$Y$65,G756),$Z$2:$Z$65),"Not Defined")</f>
        <v>OH Part</v>
      </c>
      <c r="Q756" t="str" cm="1">
        <f t="array" ref="Q756">IFERROR(LOOKUP(2,1/SEARCH($S$2:$S$65,H756),$T$2:$T$65),"-")</f>
        <v>-</v>
      </c>
    </row>
    <row r="757" spans="1:17" hidden="1" x14ac:dyDescent="0.25">
      <c r="A757" t="s">
        <v>7673</v>
      </c>
      <c r="B757" t="s">
        <v>2072</v>
      </c>
      <c r="C757">
        <v>1</v>
      </c>
      <c r="D757" t="s">
        <v>7249</v>
      </c>
      <c r="E757" t="s">
        <v>2052</v>
      </c>
      <c r="F757" t="s">
        <v>2073</v>
      </c>
      <c r="G757" t="s">
        <v>2074</v>
      </c>
      <c r="H757" t="s">
        <v>1492</v>
      </c>
      <c r="I757" t="s">
        <v>358</v>
      </c>
      <c r="J757" t="s">
        <v>7682</v>
      </c>
      <c r="K757" t="s">
        <v>7826</v>
      </c>
      <c r="L757" t="s">
        <v>7826</v>
      </c>
      <c r="N757" t="str" cm="1">
        <f t="array" ref="N757">IFERROR(LOOKUP(2,1/SEARCH($S$2:$S$65,G757),$T$2:$T$65),"Misc")</f>
        <v>OH P/N</v>
      </c>
      <c r="O757" t="str" cm="1">
        <f t="array" ref="O757">IFERROR(LOOKUP(2,1/SEARCH($V$2:$V$65,G757),$W$2:$W$65),"Misc")</f>
        <v>OH Part</v>
      </c>
      <c r="P757" t="str" cm="1">
        <f t="array" ref="P757">IFERROR(LOOKUP(2,1/SEARCH($Y$2:$Y$65,G757),$Z$2:$Z$65),"Not Defined")</f>
        <v>OH Part</v>
      </c>
      <c r="Q757" t="str" cm="1">
        <f t="array" ref="Q757">IFERROR(LOOKUP(2,1/SEARCH($S$2:$S$65,H757),$T$2:$T$65),"-")</f>
        <v>-</v>
      </c>
    </row>
    <row r="758" spans="1:17" hidden="1" x14ac:dyDescent="0.25">
      <c r="A758" t="s">
        <v>7673</v>
      </c>
      <c r="B758" t="s">
        <v>2075</v>
      </c>
      <c r="C758">
        <v>2</v>
      </c>
      <c r="D758" t="s">
        <v>7249</v>
      </c>
      <c r="E758" t="s">
        <v>2052</v>
      </c>
      <c r="F758" t="s">
        <v>1534</v>
      </c>
      <c r="G758" t="s">
        <v>7222</v>
      </c>
      <c r="H758" t="s">
        <v>1535</v>
      </c>
      <c r="I758" t="s">
        <v>210</v>
      </c>
      <c r="J758" t="s">
        <v>7703</v>
      </c>
      <c r="K758" t="s">
        <v>7684</v>
      </c>
      <c r="L758" t="s">
        <v>7707</v>
      </c>
      <c r="N758" t="str" cm="1">
        <f t="array" ref="N758">IFERROR(LOOKUP(2,1/SEARCH($S$2:$S$65,G758),$T$2:$T$65),"Misc")</f>
        <v>COTS</v>
      </c>
      <c r="O758" t="str" cm="1">
        <f t="array" ref="O758">IFERROR(LOOKUP(2,1/SEARCH($V$2:$V$65,G758),$W$2:$W$65),"Misc")</f>
        <v>Fasteners</v>
      </c>
      <c r="P758" t="str" cm="1">
        <f t="array" ref="P758">IFERROR(LOOKUP(2,1/SEARCH($Y$2:$Y$65,G758),$Z$2:$Z$65),"Not Defined")</f>
        <v>PIN</v>
      </c>
      <c r="Q758" t="str" cm="1">
        <f t="array" ref="Q758">IFERROR(LOOKUP(2,1/SEARCH($S$2:$S$65,H758),$T$2:$T$65),"-")</f>
        <v>COTS</v>
      </c>
    </row>
    <row r="759" spans="1:17" hidden="1" x14ac:dyDescent="0.25">
      <c r="A759" t="s">
        <v>7673</v>
      </c>
      <c r="B759" t="s">
        <v>2076</v>
      </c>
      <c r="C759">
        <v>1</v>
      </c>
      <c r="D759" t="s">
        <v>7249</v>
      </c>
      <c r="F759" t="s">
        <v>2077</v>
      </c>
      <c r="G759" t="s">
        <v>2079</v>
      </c>
      <c r="H759" t="s">
        <v>2078</v>
      </c>
      <c r="I759" t="s">
        <v>13</v>
      </c>
      <c r="J759" t="s">
        <v>7682</v>
      </c>
      <c r="K759" t="s">
        <v>7826</v>
      </c>
      <c r="L759" t="s">
        <v>7826</v>
      </c>
      <c r="N759" t="str" cm="1">
        <f t="array" ref="N759">IFERROR(LOOKUP(2,1/SEARCH($S$2:$S$65,G759),$T$2:$T$65),"Misc")</f>
        <v>OH P/N</v>
      </c>
      <c r="O759" t="str" cm="1">
        <f t="array" ref="O759">IFERROR(LOOKUP(2,1/SEARCH($V$2:$V$65,G759),$W$2:$W$65),"Misc")</f>
        <v>OH Part</v>
      </c>
      <c r="P759" t="str" cm="1">
        <f t="array" ref="P759">IFERROR(LOOKUP(2,1/SEARCH($Y$2:$Y$65,G759),$Z$2:$Z$65),"Not Defined")</f>
        <v>OH Part</v>
      </c>
      <c r="Q759" t="str" cm="1">
        <f t="array" ref="Q759">IFERROR(LOOKUP(2,1/SEARCH($S$2:$S$65,H759),$T$2:$T$65),"-")</f>
        <v>-</v>
      </c>
    </row>
    <row r="760" spans="1:17" hidden="1" x14ac:dyDescent="0.25">
      <c r="A760" t="s">
        <v>7673</v>
      </c>
      <c r="B760" t="s">
        <v>2080</v>
      </c>
      <c r="C760">
        <v>1</v>
      </c>
      <c r="D760" t="s">
        <v>7249</v>
      </c>
      <c r="F760" t="s">
        <v>2081</v>
      </c>
      <c r="G760" t="s">
        <v>2083</v>
      </c>
      <c r="H760" t="s">
        <v>2082</v>
      </c>
      <c r="I760" t="s">
        <v>358</v>
      </c>
      <c r="J760" t="s">
        <v>7682</v>
      </c>
      <c r="K760" t="s">
        <v>7826</v>
      </c>
      <c r="L760" t="s">
        <v>7826</v>
      </c>
      <c r="N760" t="str" cm="1">
        <f t="array" ref="N760">IFERROR(LOOKUP(2,1/SEARCH($S$2:$S$65,G760),$T$2:$T$65),"Misc")</f>
        <v>OH P/N</v>
      </c>
      <c r="O760" t="str" cm="1">
        <f t="array" ref="O760">IFERROR(LOOKUP(2,1/SEARCH($V$2:$V$65,G760),$W$2:$W$65),"Misc")</f>
        <v>OH Part</v>
      </c>
      <c r="P760" t="str" cm="1">
        <f t="array" ref="P760">IFERROR(LOOKUP(2,1/SEARCH($Y$2:$Y$65,G760),$Z$2:$Z$65),"Not Defined")</f>
        <v>OH Part</v>
      </c>
      <c r="Q760" t="str" cm="1">
        <f t="array" ref="Q760">IFERROR(LOOKUP(2,1/SEARCH($S$2:$S$65,H760),$T$2:$T$65),"-")</f>
        <v>-</v>
      </c>
    </row>
    <row r="761" spans="1:17" hidden="1" x14ac:dyDescent="0.25">
      <c r="A761" t="s">
        <v>7673</v>
      </c>
      <c r="B761" t="s">
        <v>2084</v>
      </c>
      <c r="C761">
        <v>1</v>
      </c>
      <c r="D761" t="s">
        <v>7249</v>
      </c>
      <c r="E761" t="s">
        <v>1520</v>
      </c>
      <c r="F761" t="s">
        <v>1519</v>
      </c>
      <c r="G761" t="s">
        <v>7217</v>
      </c>
      <c r="H761" t="s">
        <v>1520</v>
      </c>
      <c r="J761" t="s">
        <v>7744</v>
      </c>
      <c r="K761" t="s">
        <v>7826</v>
      </c>
      <c r="L761" t="s">
        <v>7826</v>
      </c>
      <c r="N761" t="str" cm="1">
        <f t="array" ref="N761">IFERROR(LOOKUP(2,1/SEARCH($S$2:$S$65,G761),$T$2:$T$65),"Misc")</f>
        <v>OH Common</v>
      </c>
      <c r="O761" t="str" cm="1">
        <f t="array" ref="O761">IFERROR(LOOKUP(2,1/SEARCH($V$2:$V$65,G761),$W$2:$W$65),"Misc")</f>
        <v>OH Part</v>
      </c>
      <c r="P761" t="str" cm="1">
        <f t="array" ref="P761">IFERROR(LOOKUP(2,1/SEARCH($Y$2:$Y$65,G761),$Z$2:$Z$65),"Not Defined")</f>
        <v>OH Part</v>
      </c>
      <c r="Q761" t="str" cm="1">
        <f t="array" ref="Q761">IFERROR(LOOKUP(2,1/SEARCH($S$2:$S$65,H761),$T$2:$T$65),"-")</f>
        <v>OH ASSY</v>
      </c>
    </row>
    <row r="762" spans="1:17" hidden="1" x14ac:dyDescent="0.25">
      <c r="A762" t="s">
        <v>7673</v>
      </c>
      <c r="B762" t="s">
        <v>2085</v>
      </c>
      <c r="C762">
        <v>1</v>
      </c>
      <c r="D762" t="s">
        <v>7249</v>
      </c>
      <c r="E762" t="s">
        <v>1520</v>
      </c>
      <c r="F762" t="s">
        <v>1522</v>
      </c>
      <c r="G762" t="s">
        <v>7218</v>
      </c>
      <c r="H762" t="s">
        <v>1523</v>
      </c>
      <c r="I762" t="s">
        <v>255</v>
      </c>
      <c r="J762" t="s">
        <v>7703</v>
      </c>
      <c r="K762" t="s">
        <v>7677</v>
      </c>
      <c r="L762" t="s">
        <v>7677</v>
      </c>
      <c r="N762" t="str" cm="1">
        <f t="array" ref="N762">IFERROR(LOOKUP(2,1/SEARCH($S$2:$S$65,G762),$T$2:$T$65),"Misc")</f>
        <v>COTS</v>
      </c>
      <c r="O762" t="str" cm="1">
        <f t="array" ref="O762">IFERROR(LOOKUP(2,1/SEARCH($V$2:$V$65,G762),$W$2:$W$65),"Misc")</f>
        <v>SWITCH</v>
      </c>
      <c r="P762" t="str" cm="1">
        <f t="array" ref="P762">IFERROR(LOOKUP(2,1/SEARCH($Y$2:$Y$65,G762),$Z$2:$Z$65),"Not Defined")</f>
        <v>SWITCH</v>
      </c>
      <c r="Q762" t="str" cm="1">
        <f t="array" ref="Q762">IFERROR(LOOKUP(2,1/SEARCH($S$2:$S$65,H762),$T$2:$T$65),"-")</f>
        <v>COTS</v>
      </c>
    </row>
    <row r="763" spans="1:17" hidden="1" x14ac:dyDescent="0.25">
      <c r="A763" t="s">
        <v>7673</v>
      </c>
      <c r="B763" t="s">
        <v>2086</v>
      </c>
      <c r="C763">
        <v>1</v>
      </c>
      <c r="D763" t="s">
        <v>7249</v>
      </c>
      <c r="E763" t="s">
        <v>1520</v>
      </c>
      <c r="F763" t="s">
        <v>1525</v>
      </c>
      <c r="G763" t="s">
        <v>7219</v>
      </c>
      <c r="H763" t="s">
        <v>1526</v>
      </c>
      <c r="I763" t="s">
        <v>299</v>
      </c>
      <c r="J763" t="s">
        <v>7744</v>
      </c>
      <c r="K763" t="s">
        <v>7826</v>
      </c>
      <c r="L763" t="s">
        <v>7826</v>
      </c>
      <c r="N763" t="str" cm="1">
        <f t="array" ref="N763">IFERROR(LOOKUP(2,1/SEARCH($S$2:$S$65,G763),$T$2:$T$65),"Misc")</f>
        <v>OH Common</v>
      </c>
      <c r="O763" t="str" cm="1">
        <f t="array" ref="O763">IFERROR(LOOKUP(2,1/SEARCH($V$2:$V$65,G763),$W$2:$W$65),"Misc")</f>
        <v>OH Part</v>
      </c>
      <c r="P763" t="str" cm="1">
        <f t="array" ref="P763">IFERROR(LOOKUP(2,1/SEARCH($Y$2:$Y$65,G763),$Z$2:$Z$65),"Not Defined")</f>
        <v>OH Part</v>
      </c>
      <c r="Q763" t="str" cm="1">
        <f t="array" ref="Q763">IFERROR(LOOKUP(2,1/SEARCH($S$2:$S$65,H763),$T$2:$T$65),"-")</f>
        <v>COTS</v>
      </c>
    </row>
    <row r="764" spans="1:17" hidden="1" x14ac:dyDescent="0.25">
      <c r="A764" t="s">
        <v>7673</v>
      </c>
      <c r="B764" t="s">
        <v>2087</v>
      </c>
      <c r="C764">
        <v>1</v>
      </c>
      <c r="D764" t="s">
        <v>7249</v>
      </c>
      <c r="F764" t="s">
        <v>1528</v>
      </c>
      <c r="G764" t="s">
        <v>7220</v>
      </c>
      <c r="H764" t="s">
        <v>1529</v>
      </c>
      <c r="I764" t="s">
        <v>228</v>
      </c>
      <c r="J764" t="s">
        <v>7703</v>
      </c>
      <c r="K764" t="s">
        <v>7677</v>
      </c>
      <c r="L764" t="s">
        <v>7685</v>
      </c>
      <c r="N764" t="str" cm="1">
        <f t="array" ref="N764">IFERROR(LOOKUP(2,1/SEARCH($S$2:$S$65,G764),$T$2:$T$65),"Misc")</f>
        <v>COTS</v>
      </c>
      <c r="O764" t="str" cm="1">
        <f t="array" ref="O764">IFERROR(LOOKUP(2,1/SEARCH($V$2:$V$65,G764),$W$2:$W$65),"Misc")</f>
        <v>SWITCH</v>
      </c>
      <c r="P764" t="str" cm="1">
        <f t="array" ref="P764">IFERROR(LOOKUP(2,1/SEARCH($Y$2:$Y$65,G764),$Z$2:$Z$65),"Not Defined")</f>
        <v>NUT</v>
      </c>
      <c r="Q764" t="str" cm="1">
        <f t="array" ref="Q764">IFERROR(LOOKUP(2,1/SEARCH($S$2:$S$65,H764),$T$2:$T$65),"-")</f>
        <v>COTS</v>
      </c>
    </row>
    <row r="765" spans="1:17" hidden="1" x14ac:dyDescent="0.25">
      <c r="A765" t="s">
        <v>7673</v>
      </c>
      <c r="B765" t="s">
        <v>2088</v>
      </c>
      <c r="C765">
        <v>1</v>
      </c>
      <c r="D765" t="s">
        <v>7249</v>
      </c>
      <c r="F765" t="s">
        <v>2089</v>
      </c>
      <c r="G765" t="s">
        <v>7250</v>
      </c>
      <c r="H765" t="s">
        <v>2090</v>
      </c>
      <c r="I765" t="s">
        <v>228</v>
      </c>
      <c r="J765" t="s">
        <v>7703</v>
      </c>
      <c r="K765" t="s">
        <v>7684</v>
      </c>
      <c r="L765" t="s">
        <v>7677</v>
      </c>
      <c r="N765" t="str" cm="1">
        <f t="array" ref="N765">IFERROR(LOOKUP(2,1/SEARCH($S$2:$S$65,G765),$T$2:$T$65),"Misc")</f>
        <v>COTS</v>
      </c>
      <c r="O765" t="str" cm="1">
        <f t="array" ref="O765">IFERROR(LOOKUP(2,1/SEARCH($V$2:$V$65,G765),$W$2:$W$65),"Misc")</f>
        <v>Fasteners</v>
      </c>
      <c r="P765" t="str" cm="1">
        <f t="array" ref="P765">IFERROR(LOOKUP(2,1/SEARCH($Y$2:$Y$65,G765),$Z$2:$Z$65),"Not Defined")</f>
        <v>SWITCH</v>
      </c>
      <c r="Q765" t="str" cm="1">
        <f t="array" ref="Q765">IFERROR(LOOKUP(2,1/SEARCH($S$2:$S$65,H765),$T$2:$T$65),"-")</f>
        <v>COTS</v>
      </c>
    </row>
    <row r="766" spans="1:17" hidden="1" x14ac:dyDescent="0.25">
      <c r="A766" t="s">
        <v>7673</v>
      </c>
      <c r="B766" t="s">
        <v>2091</v>
      </c>
      <c r="C766">
        <v>2</v>
      </c>
      <c r="D766" t="s">
        <v>7249</v>
      </c>
      <c r="F766" t="s">
        <v>566</v>
      </c>
      <c r="G766" t="s">
        <v>7101</v>
      </c>
      <c r="H766" t="s">
        <v>567</v>
      </c>
      <c r="I766" t="s">
        <v>228</v>
      </c>
      <c r="J766" t="s">
        <v>7703</v>
      </c>
      <c r="K766" t="s">
        <v>7684</v>
      </c>
      <c r="L766" t="s">
        <v>7693</v>
      </c>
      <c r="N766" t="str" cm="1">
        <f t="array" ref="N766">IFERROR(LOOKUP(2,1/SEARCH($S$2:$S$65,G766),$T$2:$T$65),"Misc")</f>
        <v>COTS</v>
      </c>
      <c r="O766" t="str" cm="1">
        <f t="array" ref="O766">IFERROR(LOOKUP(2,1/SEARCH($V$2:$V$65,G766),$W$2:$W$65),"Misc")</f>
        <v>Fasteners</v>
      </c>
      <c r="P766" t="str" cm="1">
        <f t="array" ref="P766">IFERROR(LOOKUP(2,1/SEARCH($Y$2:$Y$65,G766),$Z$2:$Z$65),"Not Defined")</f>
        <v>PHS</v>
      </c>
      <c r="Q766" t="str" cm="1">
        <f t="array" ref="Q766">IFERROR(LOOKUP(2,1/SEARCH($S$2:$S$65,H766),$T$2:$T$65),"-")</f>
        <v>COTS</v>
      </c>
    </row>
    <row r="767" spans="1:17" hidden="1" x14ac:dyDescent="0.25">
      <c r="A767" t="s">
        <v>7673</v>
      </c>
      <c r="B767" t="s">
        <v>2092</v>
      </c>
      <c r="C767">
        <v>1</v>
      </c>
      <c r="D767" t="s">
        <v>7249</v>
      </c>
      <c r="F767" t="s">
        <v>2093</v>
      </c>
      <c r="G767" t="s">
        <v>7251</v>
      </c>
      <c r="H767" t="s">
        <v>2094</v>
      </c>
      <c r="I767" t="s">
        <v>255</v>
      </c>
      <c r="J767" t="s">
        <v>7703</v>
      </c>
      <c r="K767" t="s">
        <v>7677</v>
      </c>
      <c r="L767" t="s">
        <v>7677</v>
      </c>
      <c r="N767" t="str" cm="1">
        <f t="array" ref="N767">IFERROR(LOOKUP(2,1/SEARCH($S$2:$S$65,G767),$T$2:$T$65),"Misc")</f>
        <v>COTS</v>
      </c>
      <c r="O767" t="str" cm="1">
        <f t="array" ref="O767">IFERROR(LOOKUP(2,1/SEARCH($V$2:$V$65,G767),$W$2:$W$65),"Misc")</f>
        <v>SWITCH</v>
      </c>
      <c r="P767" t="str" cm="1">
        <f t="array" ref="P767">IFERROR(LOOKUP(2,1/SEARCH($Y$2:$Y$65,G767),$Z$2:$Z$65),"Not Defined")</f>
        <v>SWITCH</v>
      </c>
      <c r="Q767" t="str" cm="1">
        <f t="array" ref="Q767">IFERROR(LOOKUP(2,1/SEARCH($S$2:$S$65,H767),$T$2:$T$65),"-")</f>
        <v>COTS</v>
      </c>
    </row>
    <row r="768" spans="1:17" hidden="1" x14ac:dyDescent="0.25">
      <c r="A768" t="s">
        <v>7673</v>
      </c>
      <c r="B768" t="s">
        <v>2095</v>
      </c>
      <c r="C768">
        <v>1</v>
      </c>
      <c r="D768" t="s">
        <v>7249</v>
      </c>
      <c r="F768" t="s">
        <v>2096</v>
      </c>
      <c r="G768" t="s">
        <v>7252</v>
      </c>
      <c r="H768" t="s">
        <v>2097</v>
      </c>
      <c r="I768" t="s">
        <v>228</v>
      </c>
      <c r="J768" t="s">
        <v>7703</v>
      </c>
      <c r="K768" t="s">
        <v>7719</v>
      </c>
      <c r="L768" t="s">
        <v>7688</v>
      </c>
      <c r="N768" t="str" cm="1">
        <f t="array" ref="N768">IFERROR(LOOKUP(2,1/SEARCH($S$2:$S$65,G768),$T$2:$T$65),"Misc")</f>
        <v>COTS</v>
      </c>
      <c r="O768" t="str" cm="1">
        <f t="array" ref="O768">IFERROR(LOOKUP(2,1/SEARCH($V$2:$V$65,G768),$W$2:$W$65),"Misc")</f>
        <v>Misc</v>
      </c>
      <c r="P768" t="str" cm="1">
        <f t="array" ref="P768">IFERROR(LOOKUP(2,1/SEARCH($Y$2:$Y$65,G768),$Z$2:$Z$65),"Not Defined")</f>
        <v>SPRING</v>
      </c>
      <c r="Q768" t="str" cm="1">
        <f t="array" ref="Q768">IFERROR(LOOKUP(2,1/SEARCH($S$2:$S$65,H768),$T$2:$T$65),"-")</f>
        <v>COTS</v>
      </c>
    </row>
    <row r="769" spans="1:17" hidden="1" x14ac:dyDescent="0.25">
      <c r="A769" t="s">
        <v>7673</v>
      </c>
      <c r="B769" t="s">
        <v>2098</v>
      </c>
      <c r="C769">
        <v>3</v>
      </c>
      <c r="D769" t="s">
        <v>7249</v>
      </c>
      <c r="F769" t="s">
        <v>2099</v>
      </c>
      <c r="G769" t="s">
        <v>7253</v>
      </c>
      <c r="H769" t="s">
        <v>2100</v>
      </c>
      <c r="I769" t="s">
        <v>210</v>
      </c>
      <c r="J769" t="s">
        <v>7703</v>
      </c>
      <c r="K769" t="s">
        <v>7719</v>
      </c>
      <c r="L769" t="s">
        <v>7834</v>
      </c>
      <c r="N769" t="str" cm="1">
        <f t="array" ref="N769">IFERROR(LOOKUP(2,1/SEARCH($S$2:$S$65,G769),$T$2:$T$65),"Misc")</f>
        <v>Misc</v>
      </c>
      <c r="O769" t="str" cm="1">
        <f t="array" ref="O769">IFERROR(LOOKUP(2,1/SEARCH($V$2:$V$65,G769),$W$2:$W$65),"Misc")</f>
        <v>Misc</v>
      </c>
      <c r="P769" t="str" cm="1">
        <f t="array" ref="P769">IFERROR(LOOKUP(2,1/SEARCH($Y$2:$Y$65,G769),$Z$2:$Z$65),"Not Defined")</f>
        <v>Not Defined</v>
      </c>
      <c r="Q769" t="str" cm="1">
        <f t="array" ref="Q769">IFERROR(LOOKUP(2,1/SEARCH($S$2:$S$65,H769),$T$2:$T$65),"-")</f>
        <v>-</v>
      </c>
    </row>
    <row r="770" spans="1:17" hidden="1" x14ac:dyDescent="0.25">
      <c r="A770" t="s">
        <v>7673</v>
      </c>
      <c r="B770" t="s">
        <v>2102</v>
      </c>
      <c r="C770">
        <v>1</v>
      </c>
      <c r="D770" t="s">
        <v>7249</v>
      </c>
      <c r="F770" t="s">
        <v>563</v>
      </c>
      <c r="G770" t="s">
        <v>7100</v>
      </c>
      <c r="H770" t="s">
        <v>564</v>
      </c>
      <c r="I770" t="s">
        <v>228</v>
      </c>
      <c r="J770" t="s">
        <v>7703</v>
      </c>
      <c r="K770" t="s">
        <v>7684</v>
      </c>
      <c r="L770" t="s">
        <v>7693</v>
      </c>
      <c r="N770" t="str" cm="1">
        <f t="array" ref="N770">IFERROR(LOOKUP(2,1/SEARCH($S$2:$S$65,G770),$T$2:$T$65),"Misc")</f>
        <v>COTS</v>
      </c>
      <c r="O770" t="str" cm="1">
        <f t="array" ref="O770">IFERROR(LOOKUP(2,1/SEARCH($V$2:$V$65,G770),$W$2:$W$65),"Misc")</f>
        <v>Fasteners</v>
      </c>
      <c r="P770" t="str" cm="1">
        <f t="array" ref="P770">IFERROR(LOOKUP(2,1/SEARCH($Y$2:$Y$65,G770),$Z$2:$Z$65),"Not Defined")</f>
        <v>PHS</v>
      </c>
      <c r="Q770" t="str" cm="1">
        <f t="array" ref="Q770">IFERROR(LOOKUP(2,1/SEARCH($S$2:$S$65,H770),$T$2:$T$65),"-")</f>
        <v>COTS</v>
      </c>
    </row>
    <row r="771" spans="1:17" hidden="1" x14ac:dyDescent="0.25">
      <c r="A771" t="s">
        <v>7673</v>
      </c>
      <c r="B771" t="s">
        <v>2103</v>
      </c>
      <c r="C771">
        <v>3</v>
      </c>
      <c r="D771" t="s">
        <v>7249</v>
      </c>
      <c r="F771" t="s">
        <v>265</v>
      </c>
      <c r="G771" t="s">
        <v>7099</v>
      </c>
      <c r="H771" t="s">
        <v>266</v>
      </c>
      <c r="I771" t="s">
        <v>224</v>
      </c>
      <c r="J771" t="s">
        <v>7703</v>
      </c>
      <c r="K771" t="s">
        <v>7684</v>
      </c>
      <c r="L771" t="s">
        <v>7687</v>
      </c>
      <c r="N771" t="str" cm="1">
        <f t="array" ref="N771">IFERROR(LOOKUP(2,1/SEARCH($S$2:$S$65,G771),$T$2:$T$65),"Misc")</f>
        <v>COTS</v>
      </c>
      <c r="O771" t="str" cm="1">
        <f t="array" ref="O771">IFERROR(LOOKUP(2,1/SEARCH($V$2:$V$65,G771),$W$2:$W$65),"Misc")</f>
        <v>Fasteners</v>
      </c>
      <c r="P771" t="str" cm="1">
        <f t="array" ref="P771">IFERROR(LOOKUP(2,1/SEARCH($Y$2:$Y$65,G771),$Z$2:$Z$65),"Not Defined")</f>
        <v>INSERT</v>
      </c>
      <c r="Q771" t="str" cm="1">
        <f t="array" ref="Q771">IFERROR(LOOKUP(2,1/SEARCH($S$2:$S$65,H771),$T$2:$T$65),"-")</f>
        <v>COTS</v>
      </c>
    </row>
    <row r="772" spans="1:17" hidden="1" x14ac:dyDescent="0.25">
      <c r="A772" t="s">
        <v>7673</v>
      </c>
      <c r="B772" t="s">
        <v>2104</v>
      </c>
      <c r="C772">
        <v>3</v>
      </c>
      <c r="D772" t="s">
        <v>7249</v>
      </c>
      <c r="F772" t="s">
        <v>904</v>
      </c>
      <c r="G772" t="s">
        <v>7126</v>
      </c>
      <c r="H772" t="s">
        <v>905</v>
      </c>
      <c r="I772" t="s">
        <v>228</v>
      </c>
      <c r="J772" t="s">
        <v>7703</v>
      </c>
      <c r="K772" t="s">
        <v>7684</v>
      </c>
      <c r="L772" t="s">
        <v>7692</v>
      </c>
      <c r="N772" t="str" cm="1">
        <f t="array" ref="N772">IFERROR(LOOKUP(2,1/SEARCH($S$2:$S$65,G772),$T$2:$T$65),"Misc")</f>
        <v>COTS</v>
      </c>
      <c r="O772" t="str" cm="1">
        <f t="array" ref="O772">IFERROR(LOOKUP(2,1/SEARCH($V$2:$V$65,G772),$W$2:$W$65),"Misc")</f>
        <v>Fasteners</v>
      </c>
      <c r="P772" t="str" cm="1">
        <f t="array" ref="P772">IFERROR(LOOKUP(2,1/SEARCH($Y$2:$Y$65,G772),$Z$2:$Z$65),"Not Defined")</f>
        <v>WASHER</v>
      </c>
      <c r="Q772" t="str" cm="1">
        <f t="array" ref="Q772">IFERROR(LOOKUP(2,1/SEARCH($S$2:$S$65,H772),$T$2:$T$65),"-")</f>
        <v>COTS</v>
      </c>
    </row>
    <row r="773" spans="1:17" hidden="1" x14ac:dyDescent="0.25">
      <c r="A773" t="s">
        <v>7673</v>
      </c>
      <c r="B773" t="s">
        <v>2105</v>
      </c>
      <c r="C773">
        <v>3</v>
      </c>
      <c r="D773" t="s">
        <v>7249</v>
      </c>
      <c r="F773" t="s">
        <v>941</v>
      </c>
      <c r="G773" t="s">
        <v>7136</v>
      </c>
      <c r="H773" t="s">
        <v>942</v>
      </c>
      <c r="I773" t="s">
        <v>210</v>
      </c>
      <c r="J773" t="s">
        <v>7703</v>
      </c>
      <c r="K773" t="s">
        <v>7684</v>
      </c>
      <c r="L773" t="s">
        <v>7685</v>
      </c>
      <c r="N773" t="str" cm="1">
        <f t="array" ref="N773">IFERROR(LOOKUP(2,1/SEARCH($S$2:$S$65,G773),$T$2:$T$65),"Misc")</f>
        <v>COTS</v>
      </c>
      <c r="O773" t="str" cm="1">
        <f t="array" ref="O773">IFERROR(LOOKUP(2,1/SEARCH($V$2:$V$65,G773),$W$2:$W$65),"Misc")</f>
        <v>Fasteners</v>
      </c>
      <c r="P773" t="str" cm="1">
        <f t="array" ref="P773">IFERROR(LOOKUP(2,1/SEARCH($Y$2:$Y$65,G773),$Z$2:$Z$65),"Not Defined")</f>
        <v>NUT</v>
      </c>
      <c r="Q773" t="str" cm="1">
        <f t="array" ref="Q773">IFERROR(LOOKUP(2,1/SEARCH($S$2:$S$65,H773),$T$2:$T$65),"-")</f>
        <v>COTS</v>
      </c>
    </row>
    <row r="774" spans="1:17" hidden="1" x14ac:dyDescent="0.25">
      <c r="A774" t="s">
        <v>7673</v>
      </c>
      <c r="B774" t="s">
        <v>2106</v>
      </c>
      <c r="C774">
        <v>3</v>
      </c>
      <c r="D774" t="s">
        <v>7249</v>
      </c>
      <c r="F774" t="s">
        <v>580</v>
      </c>
      <c r="G774" t="s">
        <v>7105</v>
      </c>
      <c r="H774" t="s">
        <v>581</v>
      </c>
      <c r="I774" t="s">
        <v>210</v>
      </c>
      <c r="J774" t="s">
        <v>7703</v>
      </c>
      <c r="K774" t="s">
        <v>7684</v>
      </c>
      <c r="L774" t="s">
        <v>7691</v>
      </c>
      <c r="N774" t="str" cm="1">
        <f t="array" ref="N774">IFERROR(LOOKUP(2,1/SEARCH($S$2:$S$65,G774),$T$2:$T$65),"Misc")</f>
        <v>COTS</v>
      </c>
      <c r="O774" t="str" cm="1">
        <f t="array" ref="O774">IFERROR(LOOKUP(2,1/SEARCH($V$2:$V$65,G774),$W$2:$W$65),"Misc")</f>
        <v>Fasteners</v>
      </c>
      <c r="P774" t="str" cm="1">
        <f t="array" ref="P774">IFERROR(LOOKUP(2,1/SEARCH($Y$2:$Y$65,G774),$Z$2:$Z$65),"Not Defined")</f>
        <v>FHS</v>
      </c>
      <c r="Q774" t="str" cm="1">
        <f t="array" ref="Q774">IFERROR(LOOKUP(2,1/SEARCH($S$2:$S$65,H774),$T$2:$T$65),"-")</f>
        <v>COTS</v>
      </c>
    </row>
    <row r="775" spans="1:17" hidden="1" x14ac:dyDescent="0.25">
      <c r="A775" t="s">
        <v>7673</v>
      </c>
      <c r="B775" t="s">
        <v>2107</v>
      </c>
      <c r="C775">
        <v>1</v>
      </c>
      <c r="D775" t="s">
        <v>7249</v>
      </c>
      <c r="F775" t="s">
        <v>1626</v>
      </c>
      <c r="G775" t="s">
        <v>7232</v>
      </c>
      <c r="H775" t="s">
        <v>1627</v>
      </c>
      <c r="I775" t="s">
        <v>224</v>
      </c>
      <c r="J775" t="s">
        <v>7703</v>
      </c>
      <c r="K775" t="s">
        <v>7684</v>
      </c>
      <c r="L775" t="s">
        <v>7687</v>
      </c>
      <c r="N775" t="str" cm="1">
        <f t="array" ref="N775">IFERROR(LOOKUP(2,1/SEARCH($S$2:$S$65,G775),$T$2:$T$65),"Misc")</f>
        <v>COTS</v>
      </c>
      <c r="O775" t="str" cm="1">
        <f t="array" ref="O775">IFERROR(LOOKUP(2,1/SEARCH($V$2:$V$65,G775),$W$2:$W$65),"Misc")</f>
        <v>Fasteners</v>
      </c>
      <c r="P775" t="str" cm="1">
        <f t="array" ref="P775">IFERROR(LOOKUP(2,1/SEARCH($Y$2:$Y$65,G775),$Z$2:$Z$65),"Not Defined")</f>
        <v>INSERT</v>
      </c>
      <c r="Q775" t="str" cm="1">
        <f t="array" ref="Q775">IFERROR(LOOKUP(2,1/SEARCH($S$2:$S$65,H775),$T$2:$T$65),"-")</f>
        <v>COTS</v>
      </c>
    </row>
    <row r="776" spans="1:17" hidden="1" x14ac:dyDescent="0.25">
      <c r="A776" t="s">
        <v>7673</v>
      </c>
      <c r="B776" t="s">
        <v>2108</v>
      </c>
      <c r="C776">
        <v>2</v>
      </c>
      <c r="D776" t="s">
        <v>7249</v>
      </c>
      <c r="F776" t="s">
        <v>268</v>
      </c>
      <c r="G776" t="s">
        <v>7061</v>
      </c>
      <c r="H776" t="s">
        <v>269</v>
      </c>
      <c r="I776" t="s">
        <v>224</v>
      </c>
      <c r="J776" t="s">
        <v>7703</v>
      </c>
      <c r="K776" t="s">
        <v>7684</v>
      </c>
      <c r="L776" t="s">
        <v>7687</v>
      </c>
      <c r="N776" t="str" cm="1">
        <f t="array" ref="N776">IFERROR(LOOKUP(2,1/SEARCH($S$2:$S$65,G776),$T$2:$T$65),"Misc")</f>
        <v>COTS</v>
      </c>
      <c r="O776" t="str" cm="1">
        <f t="array" ref="O776">IFERROR(LOOKUP(2,1/SEARCH($V$2:$V$65,G776),$W$2:$W$65),"Misc")</f>
        <v>Fasteners</v>
      </c>
      <c r="P776" t="str" cm="1">
        <f t="array" ref="P776">IFERROR(LOOKUP(2,1/SEARCH($Y$2:$Y$65,G776),$Z$2:$Z$65),"Not Defined")</f>
        <v>INSERT</v>
      </c>
      <c r="Q776" t="str" cm="1">
        <f t="array" ref="Q776">IFERROR(LOOKUP(2,1/SEARCH($S$2:$S$65,H776),$T$2:$T$65),"-")</f>
        <v>COTS</v>
      </c>
    </row>
    <row r="777" spans="1:17" hidden="1" x14ac:dyDescent="0.25">
      <c r="A777" t="s">
        <v>7673</v>
      </c>
      <c r="B777" t="s">
        <v>2109</v>
      </c>
      <c r="C777">
        <v>2</v>
      </c>
      <c r="D777" t="s">
        <v>7249</v>
      </c>
      <c r="F777" t="s">
        <v>460</v>
      </c>
      <c r="G777" t="s">
        <v>7090</v>
      </c>
      <c r="H777" t="s">
        <v>461</v>
      </c>
      <c r="I777" t="s">
        <v>224</v>
      </c>
      <c r="J777" t="s">
        <v>7703</v>
      </c>
      <c r="K777" t="s">
        <v>7684</v>
      </c>
      <c r="L777" t="s">
        <v>7693</v>
      </c>
      <c r="N777" t="str" cm="1">
        <f t="array" ref="N777">IFERROR(LOOKUP(2,1/SEARCH($S$2:$S$65,G777),$T$2:$T$65),"Misc")</f>
        <v>COTS</v>
      </c>
      <c r="O777" t="str" cm="1">
        <f t="array" ref="O777">IFERROR(LOOKUP(2,1/SEARCH($V$2:$V$65,G777),$W$2:$W$65),"Misc")</f>
        <v>Fasteners</v>
      </c>
      <c r="P777" t="str" cm="1">
        <f t="array" ref="P777">IFERROR(LOOKUP(2,1/SEARCH($Y$2:$Y$65,G777),$Z$2:$Z$65),"Not Defined")</f>
        <v>PHS</v>
      </c>
      <c r="Q777" t="str" cm="1">
        <f t="array" ref="Q777">IFERROR(LOOKUP(2,1/SEARCH($S$2:$S$65,H777),$T$2:$T$65),"-")</f>
        <v>COTS</v>
      </c>
    </row>
    <row r="778" spans="1:17" hidden="1" x14ac:dyDescent="0.25">
      <c r="A778" t="s">
        <v>7673</v>
      </c>
      <c r="B778" t="s">
        <v>2110</v>
      </c>
      <c r="C778">
        <v>1</v>
      </c>
      <c r="D778" t="s">
        <v>7249</v>
      </c>
      <c r="E778" t="s">
        <v>614</v>
      </c>
      <c r="F778" t="s">
        <v>613</v>
      </c>
      <c r="G778" t="s">
        <v>7110</v>
      </c>
      <c r="H778" t="s">
        <v>614</v>
      </c>
      <c r="I778" t="s">
        <v>255</v>
      </c>
      <c r="J778" t="s">
        <v>7815</v>
      </c>
      <c r="K778" t="s">
        <v>7717</v>
      </c>
      <c r="L778" t="s">
        <v>7717</v>
      </c>
      <c r="N778" t="str" cm="1">
        <f t="array" ref="N778">IFERROR(LOOKUP(2,1/SEARCH($S$2:$S$65,G778),$T$2:$T$65),"Misc")</f>
        <v>OH ASSY</v>
      </c>
      <c r="O778" t="str" cm="1">
        <f t="array" ref="O778">IFERROR(LOOKUP(2,1/SEARCH($V$2:$V$65,G778),$W$2:$W$65),"Misc")</f>
        <v>ABSIS</v>
      </c>
      <c r="P778" t="str" cm="1">
        <f t="array" ref="P778">IFERROR(LOOKUP(2,1/SEARCH($Y$2:$Y$65,G778),$Z$2:$Z$65),"Not Defined")</f>
        <v>ABSIS</v>
      </c>
      <c r="Q778" t="str" cm="1">
        <f t="array" ref="Q778">IFERROR(LOOKUP(2,1/SEARCH($S$2:$S$65,H778),$T$2:$T$65),"-")</f>
        <v>OH ASSY</v>
      </c>
    </row>
    <row r="779" spans="1:17" hidden="1" x14ac:dyDescent="0.25">
      <c r="A779" t="s">
        <v>7673</v>
      </c>
      <c r="B779" t="s">
        <v>2111</v>
      </c>
      <c r="C779">
        <v>1</v>
      </c>
      <c r="D779" t="s">
        <v>7249</v>
      </c>
      <c r="E779" t="s">
        <v>614</v>
      </c>
      <c r="F779" t="s">
        <v>616</v>
      </c>
      <c r="G779" t="s">
        <v>7111</v>
      </c>
      <c r="H779" t="s">
        <v>617</v>
      </c>
      <c r="I779" t="s">
        <v>255</v>
      </c>
      <c r="J779" t="s">
        <v>7717</v>
      </c>
      <c r="K779" t="s">
        <v>7717</v>
      </c>
      <c r="L779" t="s">
        <v>7717</v>
      </c>
      <c r="N779" t="str" cm="1">
        <f t="array" ref="N779">IFERROR(LOOKUP(2,1/SEARCH($S$2:$S$65,G779),$T$2:$T$65),"Misc")</f>
        <v>ABSIS</v>
      </c>
      <c r="O779" t="str" cm="1">
        <f t="array" ref="O779">IFERROR(LOOKUP(2,1/SEARCH($V$2:$V$65,G779),$W$2:$W$65),"Misc")</f>
        <v>ABSIS</v>
      </c>
      <c r="P779" t="str" cm="1">
        <f t="array" ref="P779">IFERROR(LOOKUP(2,1/SEARCH($Y$2:$Y$65,G779),$Z$2:$Z$65),"Not Defined")</f>
        <v>ABSIS</v>
      </c>
      <c r="Q779" t="str" cm="1">
        <f t="array" ref="Q779">IFERROR(LOOKUP(2,1/SEARCH($S$2:$S$65,H779),$T$2:$T$65),"-")</f>
        <v>ABSIS</v>
      </c>
    </row>
    <row r="780" spans="1:17" hidden="1" x14ac:dyDescent="0.25">
      <c r="A780" t="s">
        <v>7673</v>
      </c>
      <c r="B780" t="s">
        <v>2112</v>
      </c>
      <c r="C780">
        <v>1</v>
      </c>
      <c r="D780" t="s">
        <v>7249</v>
      </c>
      <c r="E780" t="s">
        <v>614</v>
      </c>
      <c r="F780" t="s">
        <v>596</v>
      </c>
      <c r="G780" t="s">
        <v>7108</v>
      </c>
      <c r="H780" t="s">
        <v>597</v>
      </c>
      <c r="I780" t="s">
        <v>255</v>
      </c>
      <c r="J780" t="s">
        <v>7703</v>
      </c>
      <c r="K780" t="s">
        <v>7713</v>
      </c>
      <c r="L780" t="s">
        <v>7713</v>
      </c>
      <c r="N780" t="str" cm="1">
        <f t="array" ref="N780">IFERROR(LOOKUP(2,1/SEARCH($S$2:$S$65,G780),$T$2:$T$65),"Misc")</f>
        <v>COTS</v>
      </c>
      <c r="O780" t="str" cm="1">
        <f t="array" ref="O780">IFERROR(LOOKUP(2,1/SEARCH($V$2:$V$65,G780),$W$2:$W$65),"Misc")</f>
        <v>ARDUINO</v>
      </c>
      <c r="P780" t="str" cm="1">
        <f t="array" ref="P780">IFERROR(LOOKUP(2,1/SEARCH($Y$2:$Y$65,G780),$Z$2:$Z$65),"Not Defined")</f>
        <v>ARDUINO</v>
      </c>
      <c r="Q780" t="str" cm="1">
        <f t="array" ref="Q780">IFERROR(LOOKUP(2,1/SEARCH($S$2:$S$65,H780),$T$2:$T$65),"-")</f>
        <v>COTS</v>
      </c>
    </row>
    <row r="781" spans="1:17" hidden="1" x14ac:dyDescent="0.25">
      <c r="A781" t="s">
        <v>7673</v>
      </c>
      <c r="B781" t="s">
        <v>2113</v>
      </c>
      <c r="C781">
        <v>1</v>
      </c>
      <c r="D781" t="s">
        <v>7254</v>
      </c>
      <c r="F781" t="s">
        <v>2114</v>
      </c>
      <c r="G781" t="s">
        <v>7254</v>
      </c>
      <c r="H781" t="s">
        <v>2115</v>
      </c>
      <c r="J781" t="s">
        <v>7742</v>
      </c>
      <c r="K781" t="s">
        <v>7826</v>
      </c>
      <c r="L781" t="s">
        <v>7826</v>
      </c>
      <c r="N781" t="str" cm="1">
        <f t="array" ref="N781">IFERROR(LOOKUP(2,1/SEARCH($S$2:$S$65,G781),$T$2:$T$65),"Misc")</f>
        <v>OH ASSY</v>
      </c>
      <c r="O781" t="str" cm="1">
        <f t="array" ref="O781">IFERROR(LOOKUP(2,1/SEARCH($V$2:$V$65,G781),$W$2:$W$65),"Misc")</f>
        <v>OH Part</v>
      </c>
      <c r="P781" t="str" cm="1">
        <f t="array" ref="P781">IFERROR(LOOKUP(2,1/SEARCH($Y$2:$Y$65,G781),$Z$2:$Z$65),"Not Defined")</f>
        <v>OH Part</v>
      </c>
      <c r="Q781" t="str" cm="1">
        <f t="array" ref="Q781">IFERROR(LOOKUP(2,1/SEARCH($S$2:$S$65,H781),$T$2:$T$65),"-")</f>
        <v>OH ASSY</v>
      </c>
    </row>
    <row r="782" spans="1:17" hidden="1" x14ac:dyDescent="0.25">
      <c r="A782" t="s">
        <v>7673</v>
      </c>
      <c r="B782" t="s">
        <v>2116</v>
      </c>
      <c r="C782">
        <v>1</v>
      </c>
      <c r="D782" t="s">
        <v>7254</v>
      </c>
      <c r="F782" t="s">
        <v>2117</v>
      </c>
      <c r="G782" t="s">
        <v>2119</v>
      </c>
      <c r="H782" t="s">
        <v>2118</v>
      </c>
      <c r="I782" t="s">
        <v>293</v>
      </c>
      <c r="J782" t="s">
        <v>7682</v>
      </c>
      <c r="K782" t="s">
        <v>7826</v>
      </c>
      <c r="L782" t="s">
        <v>7826</v>
      </c>
      <c r="N782" t="str" cm="1">
        <f t="array" ref="N782">IFERROR(LOOKUP(2,1/SEARCH($S$2:$S$65,G782),$T$2:$T$65),"Misc")</f>
        <v>OH P/N</v>
      </c>
      <c r="O782" t="str" cm="1">
        <f t="array" ref="O782">IFERROR(LOOKUP(2,1/SEARCH($V$2:$V$65,G782),$W$2:$W$65),"Misc")</f>
        <v>OH Part</v>
      </c>
      <c r="P782" t="str" cm="1">
        <f t="array" ref="P782">IFERROR(LOOKUP(2,1/SEARCH($Y$2:$Y$65,G782),$Z$2:$Z$65),"Not Defined")</f>
        <v>OH Part</v>
      </c>
      <c r="Q782" t="str" cm="1">
        <f t="array" ref="Q782">IFERROR(LOOKUP(2,1/SEARCH($S$2:$S$65,H782),$T$2:$T$65),"-")</f>
        <v>COTS</v>
      </c>
    </row>
    <row r="783" spans="1:17" hidden="1" x14ac:dyDescent="0.25">
      <c r="A783" t="s">
        <v>7673</v>
      </c>
      <c r="B783" t="s">
        <v>2120</v>
      </c>
      <c r="C783">
        <v>1</v>
      </c>
      <c r="D783" t="s">
        <v>7254</v>
      </c>
      <c r="F783" t="s">
        <v>2121</v>
      </c>
      <c r="G783" t="s">
        <v>2123</v>
      </c>
      <c r="H783" t="s">
        <v>2122</v>
      </c>
      <c r="I783" t="s">
        <v>293</v>
      </c>
      <c r="J783" t="s">
        <v>7682</v>
      </c>
      <c r="K783" t="s">
        <v>7826</v>
      </c>
      <c r="L783" t="s">
        <v>7826</v>
      </c>
      <c r="N783" t="str" cm="1">
        <f t="array" ref="N783">IFERROR(LOOKUP(2,1/SEARCH($S$2:$S$65,G783),$T$2:$T$65),"Misc")</f>
        <v>OH P/N</v>
      </c>
      <c r="O783" t="str" cm="1">
        <f t="array" ref="O783">IFERROR(LOOKUP(2,1/SEARCH($V$2:$V$65,G783),$W$2:$W$65),"Misc")</f>
        <v>OH Part</v>
      </c>
      <c r="P783" t="str" cm="1">
        <f t="array" ref="P783">IFERROR(LOOKUP(2,1/SEARCH($Y$2:$Y$65,G783),$Z$2:$Z$65),"Not Defined")</f>
        <v>OH Part</v>
      </c>
      <c r="Q783" t="str" cm="1">
        <f t="array" ref="Q783">IFERROR(LOOKUP(2,1/SEARCH($S$2:$S$65,H783),$T$2:$T$65),"-")</f>
        <v>COTS</v>
      </c>
    </row>
    <row r="784" spans="1:17" hidden="1" x14ac:dyDescent="0.25">
      <c r="A784" t="s">
        <v>7673</v>
      </c>
      <c r="B784" t="s">
        <v>2124</v>
      </c>
      <c r="C784">
        <v>1</v>
      </c>
      <c r="D784" t="s">
        <v>7254</v>
      </c>
      <c r="F784" t="s">
        <v>2125</v>
      </c>
      <c r="G784" t="s">
        <v>2127</v>
      </c>
      <c r="H784" t="s">
        <v>2126</v>
      </c>
      <c r="I784" t="s">
        <v>281</v>
      </c>
      <c r="J784" t="s">
        <v>7682</v>
      </c>
      <c r="K784" t="s">
        <v>7826</v>
      </c>
      <c r="L784" t="s">
        <v>7826</v>
      </c>
      <c r="N784" t="str" cm="1">
        <f t="array" ref="N784">IFERROR(LOOKUP(2,1/SEARCH($S$2:$S$65,G784),$T$2:$T$65),"Misc")</f>
        <v>OH P/N</v>
      </c>
      <c r="O784" t="str" cm="1">
        <f t="array" ref="O784">IFERROR(LOOKUP(2,1/SEARCH($V$2:$V$65,G784),$W$2:$W$65),"Misc")</f>
        <v>OH Part</v>
      </c>
      <c r="P784" t="str" cm="1">
        <f t="array" ref="P784">IFERROR(LOOKUP(2,1/SEARCH($Y$2:$Y$65,G784),$Z$2:$Z$65),"Not Defined")</f>
        <v>OH Part</v>
      </c>
      <c r="Q784" t="str" cm="1">
        <f t="array" ref="Q784">IFERROR(LOOKUP(2,1/SEARCH($S$2:$S$65,H784),$T$2:$T$65),"-")</f>
        <v>COTS</v>
      </c>
    </row>
    <row r="785" spans="1:17" hidden="1" x14ac:dyDescent="0.25">
      <c r="A785" t="s">
        <v>7673</v>
      </c>
      <c r="B785" t="s">
        <v>2128</v>
      </c>
      <c r="C785">
        <v>1</v>
      </c>
      <c r="D785" t="s">
        <v>7254</v>
      </c>
      <c r="E785" t="s">
        <v>2130</v>
      </c>
      <c r="F785" t="s">
        <v>2129</v>
      </c>
      <c r="G785" t="s">
        <v>2131</v>
      </c>
      <c r="H785" t="s">
        <v>2130</v>
      </c>
      <c r="J785" t="s">
        <v>7682</v>
      </c>
      <c r="K785" t="s">
        <v>7826</v>
      </c>
      <c r="L785" t="s">
        <v>7826</v>
      </c>
      <c r="N785" t="str" cm="1">
        <f t="array" ref="N785">IFERROR(LOOKUP(2,1/SEARCH($S$2:$S$65,G785),$T$2:$T$65),"Misc")</f>
        <v>OH P/N</v>
      </c>
      <c r="O785" t="str" cm="1">
        <f t="array" ref="O785">IFERROR(LOOKUP(2,1/SEARCH($V$2:$V$65,G785),$W$2:$W$65),"Misc")</f>
        <v>OH Part</v>
      </c>
      <c r="P785" t="str" cm="1">
        <f t="array" ref="P785">IFERROR(LOOKUP(2,1/SEARCH($Y$2:$Y$65,G785),$Z$2:$Z$65),"Not Defined")</f>
        <v>OH Part</v>
      </c>
      <c r="Q785" t="str" cm="1">
        <f t="array" ref="Q785">IFERROR(LOOKUP(2,1/SEARCH($S$2:$S$65,H785),$T$2:$T$65),"-")</f>
        <v>-</v>
      </c>
    </row>
    <row r="786" spans="1:17" hidden="1" x14ac:dyDescent="0.25">
      <c r="A786" t="s">
        <v>7673</v>
      </c>
      <c r="B786" t="s">
        <v>2132</v>
      </c>
      <c r="C786">
        <v>1</v>
      </c>
      <c r="D786" t="s">
        <v>7254</v>
      </c>
      <c r="E786" t="s">
        <v>2130</v>
      </c>
      <c r="F786" t="s">
        <v>2133</v>
      </c>
      <c r="G786" t="s">
        <v>2135</v>
      </c>
      <c r="H786" t="s">
        <v>2134</v>
      </c>
      <c r="I786" t="s">
        <v>358</v>
      </c>
      <c r="J786" t="s">
        <v>7682</v>
      </c>
      <c r="K786" t="s">
        <v>7826</v>
      </c>
      <c r="L786" t="s">
        <v>7826</v>
      </c>
      <c r="N786" t="str" cm="1">
        <f t="array" ref="N786">IFERROR(LOOKUP(2,1/SEARCH($S$2:$S$65,G786),$T$2:$T$65),"Misc")</f>
        <v>OH P/N</v>
      </c>
      <c r="O786" t="str" cm="1">
        <f t="array" ref="O786">IFERROR(LOOKUP(2,1/SEARCH($V$2:$V$65,G786),$W$2:$W$65),"Misc")</f>
        <v>OH Part</v>
      </c>
      <c r="P786" t="str" cm="1">
        <f t="array" ref="P786">IFERROR(LOOKUP(2,1/SEARCH($Y$2:$Y$65,G786),$Z$2:$Z$65),"Not Defined")</f>
        <v>OH Part</v>
      </c>
      <c r="Q786" t="str" cm="1">
        <f t="array" ref="Q786">IFERROR(LOOKUP(2,1/SEARCH($S$2:$S$65,H786),$T$2:$T$65),"-")</f>
        <v>-</v>
      </c>
    </row>
    <row r="787" spans="1:17" hidden="1" x14ac:dyDescent="0.25">
      <c r="A787" t="s">
        <v>7673</v>
      </c>
      <c r="B787" t="s">
        <v>2136</v>
      </c>
      <c r="C787">
        <v>1</v>
      </c>
      <c r="D787" t="s">
        <v>7254</v>
      </c>
      <c r="E787" t="s">
        <v>2130</v>
      </c>
      <c r="F787" t="s">
        <v>2137</v>
      </c>
      <c r="G787" t="s">
        <v>2139</v>
      </c>
      <c r="H787" t="s">
        <v>2138</v>
      </c>
      <c r="I787" t="s">
        <v>293</v>
      </c>
      <c r="J787" t="s">
        <v>7682</v>
      </c>
      <c r="K787" t="s">
        <v>7826</v>
      </c>
      <c r="L787" t="s">
        <v>7826</v>
      </c>
      <c r="N787" t="str" cm="1">
        <f t="array" ref="N787">IFERROR(LOOKUP(2,1/SEARCH($S$2:$S$65,G787),$T$2:$T$65),"Misc")</f>
        <v>OH P/N</v>
      </c>
      <c r="O787" t="str" cm="1">
        <f t="array" ref="O787">IFERROR(LOOKUP(2,1/SEARCH($V$2:$V$65,G787),$W$2:$W$65),"Misc")</f>
        <v>OH Part</v>
      </c>
      <c r="P787" t="str" cm="1">
        <f t="array" ref="P787">IFERROR(LOOKUP(2,1/SEARCH($Y$2:$Y$65,G787),$Z$2:$Z$65),"Not Defined")</f>
        <v>OH Part</v>
      </c>
      <c r="Q787" t="str" cm="1">
        <f t="array" ref="Q787">IFERROR(LOOKUP(2,1/SEARCH($S$2:$S$65,H787),$T$2:$T$65),"-")</f>
        <v>-</v>
      </c>
    </row>
    <row r="788" spans="1:17" hidden="1" x14ac:dyDescent="0.25">
      <c r="A788" t="s">
        <v>7673</v>
      </c>
      <c r="B788" t="s">
        <v>2140</v>
      </c>
      <c r="C788">
        <v>1</v>
      </c>
      <c r="D788" t="s">
        <v>7254</v>
      </c>
      <c r="E788" t="s">
        <v>2130</v>
      </c>
      <c r="F788" t="s">
        <v>2141</v>
      </c>
      <c r="G788" t="s">
        <v>2143</v>
      </c>
      <c r="H788" t="s">
        <v>2142</v>
      </c>
      <c r="I788" t="s">
        <v>293</v>
      </c>
      <c r="J788" t="s">
        <v>7682</v>
      </c>
      <c r="K788" t="s">
        <v>7826</v>
      </c>
      <c r="L788" t="s">
        <v>7826</v>
      </c>
      <c r="N788" t="str" cm="1">
        <f t="array" ref="N788">IFERROR(LOOKUP(2,1/SEARCH($S$2:$S$65,G788),$T$2:$T$65),"Misc")</f>
        <v>OH P/N</v>
      </c>
      <c r="O788" t="str" cm="1">
        <f t="array" ref="O788">IFERROR(LOOKUP(2,1/SEARCH($V$2:$V$65,G788),$W$2:$W$65),"Misc")</f>
        <v>OH Part</v>
      </c>
      <c r="P788" t="str" cm="1">
        <f t="array" ref="P788">IFERROR(LOOKUP(2,1/SEARCH($Y$2:$Y$65,G788),$Z$2:$Z$65),"Not Defined")</f>
        <v>OH Part</v>
      </c>
      <c r="Q788" t="str" cm="1">
        <f t="array" ref="Q788">IFERROR(LOOKUP(2,1/SEARCH($S$2:$S$65,H788),$T$2:$T$65),"-")</f>
        <v>-</v>
      </c>
    </row>
    <row r="789" spans="1:17" hidden="1" x14ac:dyDescent="0.25">
      <c r="A789" t="s">
        <v>7673</v>
      </c>
      <c r="B789" t="s">
        <v>2144</v>
      </c>
      <c r="C789">
        <v>1</v>
      </c>
      <c r="D789" t="s">
        <v>7254</v>
      </c>
      <c r="E789" t="s">
        <v>2130</v>
      </c>
      <c r="F789" t="s">
        <v>2145</v>
      </c>
      <c r="G789" t="s">
        <v>2147</v>
      </c>
      <c r="H789" t="s">
        <v>2146</v>
      </c>
      <c r="I789" t="s">
        <v>293</v>
      </c>
      <c r="J789" t="s">
        <v>7682</v>
      </c>
      <c r="K789" t="s">
        <v>7826</v>
      </c>
      <c r="L789" t="s">
        <v>7826</v>
      </c>
      <c r="N789" t="str" cm="1">
        <f t="array" ref="N789">IFERROR(LOOKUP(2,1/SEARCH($S$2:$S$65,G789),$T$2:$T$65),"Misc")</f>
        <v>OH P/N</v>
      </c>
      <c r="O789" t="str" cm="1">
        <f t="array" ref="O789">IFERROR(LOOKUP(2,1/SEARCH($V$2:$V$65,G789),$W$2:$W$65),"Misc")</f>
        <v>OH Part</v>
      </c>
      <c r="P789" t="str" cm="1">
        <f t="array" ref="P789">IFERROR(LOOKUP(2,1/SEARCH($Y$2:$Y$65,G789),$Z$2:$Z$65),"Not Defined")</f>
        <v>OH Part</v>
      </c>
      <c r="Q789" t="str" cm="1">
        <f t="array" ref="Q789">IFERROR(LOOKUP(2,1/SEARCH($S$2:$S$65,H789),$T$2:$T$65),"-")</f>
        <v>-</v>
      </c>
    </row>
    <row r="790" spans="1:17" hidden="1" x14ac:dyDescent="0.25">
      <c r="A790" t="s">
        <v>7673</v>
      </c>
      <c r="B790" t="s">
        <v>2148</v>
      </c>
      <c r="C790">
        <v>1</v>
      </c>
      <c r="D790" t="s">
        <v>7254</v>
      </c>
      <c r="F790" t="s">
        <v>2149</v>
      </c>
      <c r="G790" t="s">
        <v>7255</v>
      </c>
      <c r="H790" t="s">
        <v>2150</v>
      </c>
      <c r="I790" t="s">
        <v>484</v>
      </c>
      <c r="J790" t="s">
        <v>7682</v>
      </c>
      <c r="K790" t="s">
        <v>7826</v>
      </c>
      <c r="L790" t="s">
        <v>7826</v>
      </c>
      <c r="N790" t="str" cm="1">
        <f t="array" ref="N790">IFERROR(LOOKUP(2,1/SEARCH($S$2:$S$65,G790),$T$2:$T$65),"Misc")</f>
        <v>OH P/N</v>
      </c>
      <c r="O790" t="str" cm="1">
        <f t="array" ref="O790">IFERROR(LOOKUP(2,1/SEARCH($V$2:$V$65,G790),$W$2:$W$65),"Misc")</f>
        <v>OH Part</v>
      </c>
      <c r="P790" t="str" cm="1">
        <f t="array" ref="P790">IFERROR(LOOKUP(2,1/SEARCH($Y$2:$Y$65,G790),$Z$2:$Z$65),"Not Defined")</f>
        <v>OH Part</v>
      </c>
      <c r="Q790" t="str" cm="1">
        <f t="array" ref="Q790">IFERROR(LOOKUP(2,1/SEARCH($S$2:$S$65,H790),$T$2:$T$65),"-")</f>
        <v>COTS</v>
      </c>
    </row>
    <row r="791" spans="1:17" hidden="1" x14ac:dyDescent="0.25">
      <c r="A791" t="s">
        <v>7673</v>
      </c>
      <c r="B791" t="s">
        <v>2151</v>
      </c>
      <c r="C791">
        <v>1</v>
      </c>
      <c r="D791" t="s">
        <v>7254</v>
      </c>
      <c r="F791" t="s">
        <v>2152</v>
      </c>
      <c r="G791" t="s">
        <v>2154</v>
      </c>
      <c r="H791" t="s">
        <v>2153</v>
      </c>
      <c r="I791" t="s">
        <v>13</v>
      </c>
      <c r="J791" t="s">
        <v>7682</v>
      </c>
      <c r="K791" t="s">
        <v>7826</v>
      </c>
      <c r="L791" t="s">
        <v>7826</v>
      </c>
      <c r="N791" t="str" cm="1">
        <f t="array" ref="N791">IFERROR(LOOKUP(2,1/SEARCH($S$2:$S$65,G791),$T$2:$T$65),"Misc")</f>
        <v>OH P/N</v>
      </c>
      <c r="O791" t="str" cm="1">
        <f t="array" ref="O791">IFERROR(LOOKUP(2,1/SEARCH($V$2:$V$65,G791),$W$2:$W$65),"Misc")</f>
        <v>OH Part</v>
      </c>
      <c r="P791" t="str" cm="1">
        <f t="array" ref="P791">IFERROR(LOOKUP(2,1/SEARCH($Y$2:$Y$65,G791),$Z$2:$Z$65),"Not Defined")</f>
        <v>OH Part</v>
      </c>
      <c r="Q791" t="str" cm="1">
        <f t="array" ref="Q791">IFERROR(LOOKUP(2,1/SEARCH($S$2:$S$65,H791),$T$2:$T$65),"-")</f>
        <v>COTS</v>
      </c>
    </row>
    <row r="792" spans="1:17" hidden="1" x14ac:dyDescent="0.25">
      <c r="A792" t="s">
        <v>7673</v>
      </c>
      <c r="B792" t="s">
        <v>2155</v>
      </c>
      <c r="C792">
        <v>1</v>
      </c>
      <c r="D792" t="s">
        <v>7254</v>
      </c>
      <c r="F792" t="s">
        <v>2156</v>
      </c>
      <c r="G792" t="s">
        <v>7256</v>
      </c>
      <c r="H792" t="s">
        <v>2157</v>
      </c>
      <c r="I792" t="s">
        <v>255</v>
      </c>
      <c r="J792" t="s">
        <v>7703</v>
      </c>
      <c r="K792" t="s">
        <v>7729</v>
      </c>
      <c r="L792" t="s">
        <v>7677</v>
      </c>
      <c r="N792" t="str" cm="1">
        <f t="array" ref="N792">IFERROR(LOOKUP(2,1/SEARCH($S$2:$S$65,G792),$T$2:$T$65),"Misc")</f>
        <v>COTS</v>
      </c>
      <c r="O792" t="str" cm="1">
        <f t="array" ref="O792">IFERROR(LOOKUP(2,1/SEARCH($V$2:$V$65,G792),$W$2:$W$65),"Misc")</f>
        <v>knob</v>
      </c>
      <c r="P792" t="str" cm="1">
        <f t="array" ref="P792">IFERROR(LOOKUP(2,1/SEARCH($Y$2:$Y$65,G792),$Z$2:$Z$65),"Not Defined")</f>
        <v>SWITCH</v>
      </c>
      <c r="Q792" t="str" cm="1">
        <f t="array" ref="Q792">IFERROR(LOOKUP(2,1/SEARCH($S$2:$S$65,H792),$T$2:$T$65),"-")</f>
        <v>COTS</v>
      </c>
    </row>
    <row r="793" spans="1:17" hidden="1" x14ac:dyDescent="0.25">
      <c r="A793" t="s">
        <v>7673</v>
      </c>
      <c r="B793" t="s">
        <v>2158</v>
      </c>
      <c r="C793">
        <v>2</v>
      </c>
      <c r="D793" t="s">
        <v>7254</v>
      </c>
      <c r="F793" t="s">
        <v>460</v>
      </c>
      <c r="G793" t="s">
        <v>7090</v>
      </c>
      <c r="H793" t="s">
        <v>461</v>
      </c>
      <c r="I793" t="s">
        <v>224</v>
      </c>
      <c r="J793" t="s">
        <v>7703</v>
      </c>
      <c r="K793" t="s">
        <v>7684</v>
      </c>
      <c r="L793" t="s">
        <v>7693</v>
      </c>
      <c r="N793" t="str" cm="1">
        <f t="array" ref="N793">IFERROR(LOOKUP(2,1/SEARCH($S$2:$S$65,G793),$T$2:$T$65),"Misc")</f>
        <v>COTS</v>
      </c>
      <c r="O793" t="str" cm="1">
        <f t="array" ref="O793">IFERROR(LOOKUP(2,1/SEARCH($V$2:$V$65,G793),$W$2:$W$65),"Misc")</f>
        <v>Fasteners</v>
      </c>
      <c r="P793" t="str" cm="1">
        <f t="array" ref="P793">IFERROR(LOOKUP(2,1/SEARCH($Y$2:$Y$65,G793),$Z$2:$Z$65),"Not Defined")</f>
        <v>PHS</v>
      </c>
      <c r="Q793" t="str" cm="1">
        <f t="array" ref="Q793">IFERROR(LOOKUP(2,1/SEARCH($S$2:$S$65,H793),$T$2:$T$65),"-")</f>
        <v>COTS</v>
      </c>
    </row>
    <row r="794" spans="1:17" hidden="1" x14ac:dyDescent="0.25">
      <c r="A794" t="s">
        <v>7673</v>
      </c>
      <c r="B794" t="s">
        <v>2159</v>
      </c>
      <c r="C794">
        <v>2</v>
      </c>
      <c r="D794" t="s">
        <v>7254</v>
      </c>
      <c r="F794" t="s">
        <v>268</v>
      </c>
      <c r="G794" t="s">
        <v>7061</v>
      </c>
      <c r="H794" t="s">
        <v>269</v>
      </c>
      <c r="I794" t="s">
        <v>224</v>
      </c>
      <c r="J794" t="s">
        <v>7703</v>
      </c>
      <c r="K794" t="s">
        <v>7684</v>
      </c>
      <c r="L794" t="s">
        <v>7687</v>
      </c>
      <c r="N794" t="str" cm="1">
        <f t="array" ref="N794">IFERROR(LOOKUP(2,1/SEARCH($S$2:$S$65,G794),$T$2:$T$65),"Misc")</f>
        <v>COTS</v>
      </c>
      <c r="O794" t="str" cm="1">
        <f t="array" ref="O794">IFERROR(LOOKUP(2,1/SEARCH($V$2:$V$65,G794),$W$2:$W$65),"Misc")</f>
        <v>Fasteners</v>
      </c>
      <c r="P794" t="str" cm="1">
        <f t="array" ref="P794">IFERROR(LOOKUP(2,1/SEARCH($Y$2:$Y$65,G794),$Z$2:$Z$65),"Not Defined")</f>
        <v>INSERT</v>
      </c>
      <c r="Q794" t="str" cm="1">
        <f t="array" ref="Q794">IFERROR(LOOKUP(2,1/SEARCH($S$2:$S$65,H794),$T$2:$T$65),"-")</f>
        <v>COTS</v>
      </c>
    </row>
    <row r="795" spans="1:17" hidden="1" x14ac:dyDescent="0.25">
      <c r="A795" t="s">
        <v>7673</v>
      </c>
      <c r="B795" t="s">
        <v>2160</v>
      </c>
      <c r="C795">
        <v>2</v>
      </c>
      <c r="D795" t="s">
        <v>7254</v>
      </c>
      <c r="F795" t="s">
        <v>566</v>
      </c>
      <c r="G795" t="s">
        <v>7101</v>
      </c>
      <c r="H795" t="s">
        <v>567</v>
      </c>
      <c r="I795" t="s">
        <v>228</v>
      </c>
      <c r="J795" t="s">
        <v>7703</v>
      </c>
      <c r="K795" t="s">
        <v>7684</v>
      </c>
      <c r="L795" t="s">
        <v>7693</v>
      </c>
      <c r="N795" t="str" cm="1">
        <f t="array" ref="N795">IFERROR(LOOKUP(2,1/SEARCH($S$2:$S$65,G795),$T$2:$T$65),"Misc")</f>
        <v>COTS</v>
      </c>
      <c r="O795" t="str" cm="1">
        <f t="array" ref="O795">IFERROR(LOOKUP(2,1/SEARCH($V$2:$V$65,G795),$W$2:$W$65),"Misc")</f>
        <v>Fasteners</v>
      </c>
      <c r="P795" t="str" cm="1">
        <f t="array" ref="P795">IFERROR(LOOKUP(2,1/SEARCH($Y$2:$Y$65,G795),$Z$2:$Z$65),"Not Defined")</f>
        <v>PHS</v>
      </c>
      <c r="Q795" t="str" cm="1">
        <f t="array" ref="Q795">IFERROR(LOOKUP(2,1/SEARCH($S$2:$S$65,H795),$T$2:$T$65),"-")</f>
        <v>COTS</v>
      </c>
    </row>
    <row r="796" spans="1:17" hidden="1" x14ac:dyDescent="0.25">
      <c r="A796" t="s">
        <v>7673</v>
      </c>
      <c r="B796" t="s">
        <v>2161</v>
      </c>
      <c r="C796">
        <v>1</v>
      </c>
      <c r="D796" t="s">
        <v>7254</v>
      </c>
      <c r="F796" t="s">
        <v>563</v>
      </c>
      <c r="G796" t="s">
        <v>7100</v>
      </c>
      <c r="H796" t="s">
        <v>564</v>
      </c>
      <c r="I796" t="s">
        <v>228</v>
      </c>
      <c r="J796" t="s">
        <v>7703</v>
      </c>
      <c r="K796" t="s">
        <v>7684</v>
      </c>
      <c r="L796" t="s">
        <v>7693</v>
      </c>
      <c r="N796" t="str" cm="1">
        <f t="array" ref="N796">IFERROR(LOOKUP(2,1/SEARCH($S$2:$S$65,G796),$T$2:$T$65),"Misc")</f>
        <v>COTS</v>
      </c>
      <c r="O796" t="str" cm="1">
        <f t="array" ref="O796">IFERROR(LOOKUP(2,1/SEARCH($V$2:$V$65,G796),$W$2:$W$65),"Misc")</f>
        <v>Fasteners</v>
      </c>
      <c r="P796" t="str" cm="1">
        <f t="array" ref="P796">IFERROR(LOOKUP(2,1/SEARCH($Y$2:$Y$65,G796),$Z$2:$Z$65),"Not Defined")</f>
        <v>PHS</v>
      </c>
      <c r="Q796" t="str" cm="1">
        <f t="array" ref="Q796">IFERROR(LOOKUP(2,1/SEARCH($S$2:$S$65,H796),$T$2:$T$65),"-")</f>
        <v>COTS</v>
      </c>
    </row>
    <row r="797" spans="1:17" hidden="1" x14ac:dyDescent="0.25">
      <c r="A797" t="s">
        <v>7673</v>
      </c>
      <c r="B797" t="s">
        <v>2162</v>
      </c>
      <c r="C797">
        <v>3</v>
      </c>
      <c r="D797" t="s">
        <v>7254</v>
      </c>
      <c r="F797" t="s">
        <v>265</v>
      </c>
      <c r="G797" t="s">
        <v>7099</v>
      </c>
      <c r="H797" t="s">
        <v>266</v>
      </c>
      <c r="I797" t="s">
        <v>224</v>
      </c>
      <c r="J797" t="s">
        <v>7703</v>
      </c>
      <c r="K797" t="s">
        <v>7684</v>
      </c>
      <c r="L797" t="s">
        <v>7687</v>
      </c>
      <c r="N797" t="str" cm="1">
        <f t="array" ref="N797">IFERROR(LOOKUP(2,1/SEARCH($S$2:$S$65,G797),$T$2:$T$65),"Misc")</f>
        <v>COTS</v>
      </c>
      <c r="O797" t="str" cm="1">
        <f t="array" ref="O797">IFERROR(LOOKUP(2,1/SEARCH($V$2:$V$65,G797),$W$2:$W$65),"Misc")</f>
        <v>Fasteners</v>
      </c>
      <c r="P797" t="str" cm="1">
        <f t="array" ref="P797">IFERROR(LOOKUP(2,1/SEARCH($Y$2:$Y$65,G797),$Z$2:$Z$65),"Not Defined")</f>
        <v>INSERT</v>
      </c>
      <c r="Q797" t="str" cm="1">
        <f t="array" ref="Q797">IFERROR(LOOKUP(2,1/SEARCH($S$2:$S$65,H797),$T$2:$T$65),"-")</f>
        <v>COTS</v>
      </c>
    </row>
    <row r="798" spans="1:17" hidden="1" x14ac:dyDescent="0.25">
      <c r="A798" t="s">
        <v>7673</v>
      </c>
      <c r="B798" t="s">
        <v>2163</v>
      </c>
      <c r="C798">
        <v>2</v>
      </c>
      <c r="D798" t="s">
        <v>7254</v>
      </c>
      <c r="F798" t="s">
        <v>2164</v>
      </c>
      <c r="G798" t="s">
        <v>7257</v>
      </c>
      <c r="H798" t="s">
        <v>2165</v>
      </c>
      <c r="I798" t="s">
        <v>228</v>
      </c>
      <c r="J798" t="s">
        <v>7703</v>
      </c>
      <c r="K798" t="s">
        <v>7684</v>
      </c>
      <c r="L798" t="s">
        <v>7693</v>
      </c>
      <c r="N798" t="str" cm="1">
        <f t="array" ref="N798">IFERROR(LOOKUP(2,1/SEARCH($S$2:$S$65,G798),$T$2:$T$65),"Misc")</f>
        <v>COTS</v>
      </c>
      <c r="O798" t="str" cm="1">
        <f t="array" ref="O798">IFERROR(LOOKUP(2,1/SEARCH($V$2:$V$65,G798),$W$2:$W$65),"Misc")</f>
        <v>Fasteners</v>
      </c>
      <c r="P798" t="str" cm="1">
        <f t="array" ref="P798">IFERROR(LOOKUP(2,1/SEARCH($Y$2:$Y$65,G798),$Z$2:$Z$65),"Not Defined")</f>
        <v>PHS</v>
      </c>
      <c r="Q798" t="str" cm="1">
        <f t="array" ref="Q798">IFERROR(LOOKUP(2,1/SEARCH($S$2:$S$65,H798),$T$2:$T$65),"-")</f>
        <v>COTS</v>
      </c>
    </row>
    <row r="799" spans="1:17" hidden="1" x14ac:dyDescent="0.25">
      <c r="A799" t="s">
        <v>7673</v>
      </c>
      <c r="B799" t="s">
        <v>2166</v>
      </c>
      <c r="C799">
        <v>1</v>
      </c>
      <c r="D799" t="s">
        <v>7254</v>
      </c>
      <c r="F799" t="s">
        <v>1626</v>
      </c>
      <c r="G799" t="s">
        <v>7232</v>
      </c>
      <c r="H799" t="s">
        <v>1627</v>
      </c>
      <c r="I799" t="s">
        <v>224</v>
      </c>
      <c r="J799" t="s">
        <v>7703</v>
      </c>
      <c r="K799" t="s">
        <v>7684</v>
      </c>
      <c r="L799" t="s">
        <v>7687</v>
      </c>
      <c r="N799" t="str" cm="1">
        <f t="array" ref="N799">IFERROR(LOOKUP(2,1/SEARCH($S$2:$S$65,G799),$T$2:$T$65),"Misc")</f>
        <v>COTS</v>
      </c>
      <c r="O799" t="str" cm="1">
        <f t="array" ref="O799">IFERROR(LOOKUP(2,1/SEARCH($V$2:$V$65,G799),$W$2:$W$65),"Misc")</f>
        <v>Fasteners</v>
      </c>
      <c r="P799" t="str" cm="1">
        <f t="array" ref="P799">IFERROR(LOOKUP(2,1/SEARCH($Y$2:$Y$65,G799),$Z$2:$Z$65),"Not Defined")</f>
        <v>INSERT</v>
      </c>
      <c r="Q799" t="str" cm="1">
        <f t="array" ref="Q799">IFERROR(LOOKUP(2,1/SEARCH($S$2:$S$65,H799),$T$2:$T$65),"-")</f>
        <v>COTS</v>
      </c>
    </row>
    <row r="800" spans="1:17" hidden="1" x14ac:dyDescent="0.25">
      <c r="A800" t="s">
        <v>7673</v>
      </c>
      <c r="B800" t="s">
        <v>2167</v>
      </c>
      <c r="C800">
        <v>2</v>
      </c>
      <c r="D800" t="s">
        <v>7254</v>
      </c>
      <c r="F800" t="s">
        <v>941</v>
      </c>
      <c r="G800" t="s">
        <v>7136</v>
      </c>
      <c r="H800" t="s">
        <v>942</v>
      </c>
      <c r="I800" t="s">
        <v>210</v>
      </c>
      <c r="J800" t="s">
        <v>7703</v>
      </c>
      <c r="K800" t="s">
        <v>7684</v>
      </c>
      <c r="L800" t="s">
        <v>7685</v>
      </c>
      <c r="N800" t="str" cm="1">
        <f t="array" ref="N800">IFERROR(LOOKUP(2,1/SEARCH($S$2:$S$65,G800),$T$2:$T$65),"Misc")</f>
        <v>COTS</v>
      </c>
      <c r="O800" t="str" cm="1">
        <f t="array" ref="O800">IFERROR(LOOKUP(2,1/SEARCH($V$2:$V$65,G800),$W$2:$W$65),"Misc")</f>
        <v>Fasteners</v>
      </c>
      <c r="P800" t="str" cm="1">
        <f t="array" ref="P800">IFERROR(LOOKUP(2,1/SEARCH($Y$2:$Y$65,G800),$Z$2:$Z$65),"Not Defined")</f>
        <v>NUT</v>
      </c>
      <c r="Q800" t="str" cm="1">
        <f t="array" ref="Q800">IFERROR(LOOKUP(2,1/SEARCH($S$2:$S$65,H800),$T$2:$T$65),"-")</f>
        <v>COTS</v>
      </c>
    </row>
    <row r="801" spans="1:17" hidden="1" x14ac:dyDescent="0.25">
      <c r="A801" t="s">
        <v>7673</v>
      </c>
      <c r="B801" t="s">
        <v>2168</v>
      </c>
      <c r="C801">
        <v>1</v>
      </c>
      <c r="D801" t="s">
        <v>7254</v>
      </c>
      <c r="F801" t="s">
        <v>704</v>
      </c>
      <c r="G801" t="s">
        <v>7120</v>
      </c>
      <c r="H801" t="s">
        <v>705</v>
      </c>
      <c r="I801" t="s">
        <v>255</v>
      </c>
      <c r="J801" t="s">
        <v>7703</v>
      </c>
      <c r="K801" t="s">
        <v>7677</v>
      </c>
      <c r="L801" t="s">
        <v>7677</v>
      </c>
      <c r="N801" t="str" cm="1">
        <f t="array" ref="N801">IFERROR(LOOKUP(2,1/SEARCH($S$2:$S$65,G801),$T$2:$T$65),"Misc")</f>
        <v>COTS</v>
      </c>
      <c r="O801" t="str" cm="1">
        <f t="array" ref="O801">IFERROR(LOOKUP(2,1/SEARCH($V$2:$V$65,G801),$W$2:$W$65),"Misc")</f>
        <v>SWITCH</v>
      </c>
      <c r="P801" t="str" cm="1">
        <f t="array" ref="P801">IFERROR(LOOKUP(2,1/SEARCH($Y$2:$Y$65,G801),$Z$2:$Z$65),"Not Defined")</f>
        <v>SWITCH</v>
      </c>
      <c r="Q801" t="str" cm="1">
        <f t="array" ref="Q801">IFERROR(LOOKUP(2,1/SEARCH($S$2:$S$65,H801),$T$2:$T$65),"-")</f>
        <v>COTS</v>
      </c>
    </row>
    <row r="802" spans="1:17" hidden="1" x14ac:dyDescent="0.25">
      <c r="A802" t="s">
        <v>7673</v>
      </c>
      <c r="B802" t="s">
        <v>2169</v>
      </c>
      <c r="C802">
        <v>2</v>
      </c>
      <c r="D802" t="s">
        <v>7254</v>
      </c>
      <c r="F802" t="s">
        <v>695</v>
      </c>
      <c r="G802" t="s">
        <v>7117</v>
      </c>
      <c r="H802" t="s">
        <v>696</v>
      </c>
      <c r="I802" t="s">
        <v>255</v>
      </c>
      <c r="J802" t="s">
        <v>7703</v>
      </c>
      <c r="K802" t="s">
        <v>7719</v>
      </c>
      <c r="L802" t="s">
        <v>7719</v>
      </c>
      <c r="N802" t="str" cm="1">
        <f t="array" ref="N802">IFERROR(LOOKUP(2,1/SEARCH($S$2:$S$65,G802),$T$2:$T$65),"Misc")</f>
        <v>COTS</v>
      </c>
      <c r="O802" t="str" cm="1">
        <f t="array" ref="O802">IFERROR(LOOKUP(2,1/SEARCH($V$2:$V$65,G802),$W$2:$W$65),"Misc")</f>
        <v>Misc</v>
      </c>
      <c r="P802" t="str" cm="1">
        <f t="array" ref="P802">IFERROR(LOOKUP(2,1/SEARCH($Y$2:$Y$65,G802),$Z$2:$Z$65),"Not Defined")</f>
        <v>Retaining Rings</v>
      </c>
      <c r="Q802" t="str" cm="1">
        <f t="array" ref="Q802">IFERROR(LOOKUP(2,1/SEARCH($S$2:$S$65,H802),$T$2:$T$65),"-")</f>
        <v>COTS</v>
      </c>
    </row>
    <row r="803" spans="1:17" hidden="1" x14ac:dyDescent="0.25">
      <c r="A803" t="s">
        <v>7673</v>
      </c>
      <c r="B803" t="s">
        <v>2170</v>
      </c>
      <c r="C803">
        <v>2</v>
      </c>
      <c r="D803" t="s">
        <v>7254</v>
      </c>
      <c r="F803" t="s">
        <v>698</v>
      </c>
      <c r="G803" t="s">
        <v>7118</v>
      </c>
      <c r="H803" t="s">
        <v>699</v>
      </c>
      <c r="I803" t="s">
        <v>255</v>
      </c>
      <c r="J803" t="s">
        <v>7703</v>
      </c>
      <c r="K803" t="s">
        <v>7684</v>
      </c>
      <c r="L803" t="s">
        <v>7692</v>
      </c>
      <c r="N803" t="str" cm="1">
        <f t="array" ref="N803">IFERROR(LOOKUP(2,1/SEARCH($S$2:$S$65,G803),$T$2:$T$65),"Misc")</f>
        <v>COTS</v>
      </c>
      <c r="O803" t="str" cm="1">
        <f t="array" ref="O803">IFERROR(LOOKUP(2,1/SEARCH($V$2:$V$65,G803),$W$2:$W$65),"Misc")</f>
        <v>Fasteners</v>
      </c>
      <c r="P803" t="str" cm="1">
        <f t="array" ref="P803">IFERROR(LOOKUP(2,1/SEARCH($Y$2:$Y$65,G803),$Z$2:$Z$65),"Not Defined")</f>
        <v>WASHER</v>
      </c>
      <c r="Q803" t="str" cm="1">
        <f t="array" ref="Q803">IFERROR(LOOKUP(2,1/SEARCH($S$2:$S$65,H803),$T$2:$T$65),"-")</f>
        <v>COTS</v>
      </c>
    </row>
    <row r="804" spans="1:17" hidden="1" x14ac:dyDescent="0.25">
      <c r="A804" t="s">
        <v>7673</v>
      </c>
      <c r="B804" t="s">
        <v>2171</v>
      </c>
      <c r="C804">
        <v>4</v>
      </c>
      <c r="D804" t="s">
        <v>7254</v>
      </c>
      <c r="F804" t="s">
        <v>701</v>
      </c>
      <c r="G804" t="s">
        <v>7119</v>
      </c>
      <c r="H804" t="s">
        <v>702</v>
      </c>
      <c r="I804" t="s">
        <v>255</v>
      </c>
      <c r="J804" t="s">
        <v>7703</v>
      </c>
      <c r="K804" t="s">
        <v>7684</v>
      </c>
      <c r="L804" t="s">
        <v>7685</v>
      </c>
      <c r="N804" t="str" cm="1">
        <f t="array" ref="N804">IFERROR(LOOKUP(2,1/SEARCH($S$2:$S$65,G804),$T$2:$T$65),"Misc")</f>
        <v>COTS</v>
      </c>
      <c r="O804" t="str" cm="1">
        <f t="array" ref="O804">IFERROR(LOOKUP(2,1/SEARCH($V$2:$V$65,G804),$W$2:$W$65),"Misc")</f>
        <v>Fasteners</v>
      </c>
      <c r="P804" t="str" cm="1">
        <f t="array" ref="P804">IFERROR(LOOKUP(2,1/SEARCH($Y$2:$Y$65,G804),$Z$2:$Z$65),"Not Defined")</f>
        <v>NUT</v>
      </c>
      <c r="Q804" t="str" cm="1">
        <f t="array" ref="Q804">IFERROR(LOOKUP(2,1/SEARCH($S$2:$S$65,H804),$T$2:$T$65),"-")</f>
        <v>COTS</v>
      </c>
    </row>
    <row r="805" spans="1:17" hidden="1" x14ac:dyDescent="0.25">
      <c r="A805" t="s">
        <v>7673</v>
      </c>
      <c r="B805" t="s">
        <v>2172</v>
      </c>
      <c r="C805">
        <v>1</v>
      </c>
      <c r="D805" t="s">
        <v>7254</v>
      </c>
      <c r="F805" t="s">
        <v>692</v>
      </c>
      <c r="G805" t="s">
        <v>7116</v>
      </c>
      <c r="H805" t="s">
        <v>693</v>
      </c>
      <c r="I805" t="s">
        <v>255</v>
      </c>
      <c r="J805" t="s">
        <v>7703</v>
      </c>
      <c r="K805" t="s">
        <v>7677</v>
      </c>
      <c r="L805" t="s">
        <v>7677</v>
      </c>
      <c r="N805" t="str" cm="1">
        <f t="array" ref="N805">IFERROR(LOOKUP(2,1/SEARCH($S$2:$S$65,G805),$T$2:$T$65),"Misc")</f>
        <v>COTS</v>
      </c>
      <c r="O805" t="str" cm="1">
        <f t="array" ref="O805">IFERROR(LOOKUP(2,1/SEARCH($V$2:$V$65,G805),$W$2:$W$65),"Misc")</f>
        <v>SWITCH</v>
      </c>
      <c r="P805" t="str" cm="1">
        <f t="array" ref="P805">IFERROR(LOOKUP(2,1/SEARCH($Y$2:$Y$65,G805),$Z$2:$Z$65),"Not Defined")</f>
        <v>SWITCH</v>
      </c>
      <c r="Q805" t="str" cm="1">
        <f t="array" ref="Q805">IFERROR(LOOKUP(2,1/SEARCH($S$2:$S$65,H805),$T$2:$T$65),"-")</f>
        <v>COTS</v>
      </c>
    </row>
    <row r="806" spans="1:17" hidden="1" x14ac:dyDescent="0.25">
      <c r="A806" t="s">
        <v>7673</v>
      </c>
      <c r="B806" t="s">
        <v>2173</v>
      </c>
      <c r="C806">
        <v>1</v>
      </c>
      <c r="D806" t="s">
        <v>7254</v>
      </c>
      <c r="E806" t="s">
        <v>7258</v>
      </c>
      <c r="F806" t="s">
        <v>2174</v>
      </c>
      <c r="G806" t="s">
        <v>7258</v>
      </c>
      <c r="H806" t="s">
        <v>711</v>
      </c>
      <c r="J806" t="s">
        <v>7744</v>
      </c>
      <c r="K806" t="s">
        <v>7826</v>
      </c>
      <c r="L806" t="s">
        <v>7826</v>
      </c>
      <c r="N806" t="str" cm="1">
        <f t="array" ref="N806">IFERROR(LOOKUP(2,1/SEARCH($S$2:$S$65,G806),$T$2:$T$65),"Misc")</f>
        <v>OH Common</v>
      </c>
      <c r="O806" t="str" cm="1">
        <f t="array" ref="O806">IFERROR(LOOKUP(2,1/SEARCH($V$2:$V$65,G806),$W$2:$W$65),"Misc")</f>
        <v>OH Part</v>
      </c>
      <c r="P806" t="str" cm="1">
        <f t="array" ref="P806">IFERROR(LOOKUP(2,1/SEARCH($Y$2:$Y$65,G806),$Z$2:$Z$65),"Not Defined")</f>
        <v>OH Part</v>
      </c>
      <c r="Q806" t="str" cm="1">
        <f t="array" ref="Q806">IFERROR(LOOKUP(2,1/SEARCH($S$2:$S$65,H806),$T$2:$T$65),"-")</f>
        <v>OH ASSY</v>
      </c>
    </row>
    <row r="807" spans="1:17" hidden="1" x14ac:dyDescent="0.25">
      <c r="A807" t="s">
        <v>7673</v>
      </c>
      <c r="B807" t="s">
        <v>2175</v>
      </c>
      <c r="C807">
        <v>1</v>
      </c>
      <c r="D807" t="s">
        <v>7254</v>
      </c>
      <c r="E807" t="s">
        <v>7258</v>
      </c>
      <c r="F807" t="s">
        <v>2176</v>
      </c>
      <c r="G807" t="s">
        <v>2177</v>
      </c>
      <c r="H807" t="s">
        <v>714</v>
      </c>
      <c r="I807" t="s">
        <v>358</v>
      </c>
      <c r="J807" t="s">
        <v>7744</v>
      </c>
      <c r="K807" t="s">
        <v>7826</v>
      </c>
      <c r="L807" t="s">
        <v>7826</v>
      </c>
      <c r="N807" t="str" cm="1">
        <f t="array" ref="N807">IFERROR(LOOKUP(2,1/SEARCH($S$2:$S$65,G807),$T$2:$T$65),"Misc")</f>
        <v>OH Common</v>
      </c>
      <c r="O807" t="str" cm="1">
        <f t="array" ref="O807">IFERROR(LOOKUP(2,1/SEARCH($V$2:$V$65,G807),$W$2:$W$65),"Misc")</f>
        <v>OH Part</v>
      </c>
      <c r="P807" t="str" cm="1">
        <f t="array" ref="P807">IFERROR(LOOKUP(2,1/SEARCH($Y$2:$Y$65,G807),$Z$2:$Z$65),"Not Defined")</f>
        <v>OH Part</v>
      </c>
      <c r="Q807" t="str" cm="1">
        <f t="array" ref="Q807">IFERROR(LOOKUP(2,1/SEARCH($S$2:$S$65,H807),$T$2:$T$65),"-")</f>
        <v>-</v>
      </c>
    </row>
    <row r="808" spans="1:17" hidden="1" x14ac:dyDescent="0.25">
      <c r="A808" t="s">
        <v>7673</v>
      </c>
      <c r="B808" t="s">
        <v>2178</v>
      </c>
      <c r="C808">
        <v>2</v>
      </c>
      <c r="D808" t="s">
        <v>7254</v>
      </c>
      <c r="E808" t="s">
        <v>7258</v>
      </c>
      <c r="F808" t="s">
        <v>2179</v>
      </c>
      <c r="G808" t="s">
        <v>7259</v>
      </c>
      <c r="H808" t="s">
        <v>1552</v>
      </c>
      <c r="I808" t="s">
        <v>228</v>
      </c>
      <c r="J808" t="s">
        <v>7703</v>
      </c>
      <c r="K808" t="s">
        <v>7684</v>
      </c>
      <c r="L808" t="s">
        <v>7721</v>
      </c>
      <c r="N808" t="str" cm="1">
        <f t="array" ref="N808">IFERROR(LOOKUP(2,1/SEARCH($S$2:$S$65,G808),$T$2:$T$65),"Misc")</f>
        <v>COTS</v>
      </c>
      <c r="O808" t="str" cm="1">
        <f t="array" ref="O808">IFERROR(LOOKUP(2,1/SEARCH($V$2:$V$65,G808),$W$2:$W$65),"Misc")</f>
        <v>Fasteners</v>
      </c>
      <c r="P808" t="str" cm="1">
        <f t="array" ref="P808">IFERROR(LOOKUP(2,1/SEARCH($Y$2:$Y$65,G808),$Z$2:$Z$65),"Not Defined")</f>
        <v>SET SCREW</v>
      </c>
      <c r="Q808" t="str" cm="1">
        <f t="array" ref="Q808">IFERROR(LOOKUP(2,1/SEARCH($S$2:$S$65,H808),$T$2:$T$65),"-")</f>
        <v>COTS</v>
      </c>
    </row>
    <row r="809" spans="1:17" hidden="1" x14ac:dyDescent="0.25">
      <c r="A809" t="s">
        <v>7673</v>
      </c>
      <c r="B809" t="s">
        <v>2180</v>
      </c>
      <c r="C809">
        <v>1</v>
      </c>
      <c r="D809" t="s">
        <v>7254</v>
      </c>
      <c r="F809" t="s">
        <v>707</v>
      </c>
      <c r="G809" t="s">
        <v>7121</v>
      </c>
      <c r="H809" t="s">
        <v>708</v>
      </c>
      <c r="I809" t="s">
        <v>255</v>
      </c>
      <c r="J809" t="s">
        <v>7703</v>
      </c>
      <c r="K809" t="s">
        <v>7722</v>
      </c>
      <c r="L809" t="s">
        <v>7722</v>
      </c>
      <c r="N809" t="str" cm="1">
        <f t="array" ref="N809">IFERROR(LOOKUP(2,1/SEARCH($S$2:$S$65,G809),$T$2:$T$65),"Misc")</f>
        <v>COTS</v>
      </c>
      <c r="O809" t="str" cm="1">
        <f t="array" ref="O809">IFERROR(LOOKUP(2,1/SEARCH($V$2:$V$65,G809),$W$2:$W$65),"Misc")</f>
        <v>POT</v>
      </c>
      <c r="P809" t="str" cm="1">
        <f t="array" ref="P809">IFERROR(LOOKUP(2,1/SEARCH($Y$2:$Y$65,G809),$Z$2:$Z$65),"Not Defined")</f>
        <v>POT</v>
      </c>
      <c r="Q809" t="str" cm="1">
        <f t="array" ref="Q809">IFERROR(LOOKUP(2,1/SEARCH($S$2:$S$65,H809),$T$2:$T$65),"-")</f>
        <v>COTS</v>
      </c>
    </row>
    <row r="810" spans="1:17" hidden="1" x14ac:dyDescent="0.25">
      <c r="A810" t="s">
        <v>7673</v>
      </c>
      <c r="B810" t="s">
        <v>2181</v>
      </c>
      <c r="C810">
        <v>1</v>
      </c>
      <c r="D810" t="s">
        <v>7254</v>
      </c>
      <c r="E810" t="s">
        <v>614</v>
      </c>
      <c r="F810" t="s">
        <v>613</v>
      </c>
      <c r="G810" t="s">
        <v>7110</v>
      </c>
      <c r="H810" t="s">
        <v>614</v>
      </c>
      <c r="I810" t="s">
        <v>255</v>
      </c>
      <c r="J810" t="s">
        <v>7815</v>
      </c>
      <c r="K810" t="s">
        <v>7717</v>
      </c>
      <c r="L810" t="s">
        <v>7717</v>
      </c>
      <c r="N810" t="str" cm="1">
        <f t="array" ref="N810">IFERROR(LOOKUP(2,1/SEARCH($S$2:$S$65,G810),$T$2:$T$65),"Misc")</f>
        <v>OH ASSY</v>
      </c>
      <c r="O810" t="str" cm="1">
        <f t="array" ref="O810">IFERROR(LOOKUP(2,1/SEARCH($V$2:$V$65,G810),$W$2:$W$65),"Misc")</f>
        <v>ABSIS</v>
      </c>
      <c r="P810" t="str" cm="1">
        <f t="array" ref="P810">IFERROR(LOOKUP(2,1/SEARCH($Y$2:$Y$65,G810),$Z$2:$Z$65),"Not Defined")</f>
        <v>ABSIS</v>
      </c>
      <c r="Q810" t="str" cm="1">
        <f t="array" ref="Q810">IFERROR(LOOKUP(2,1/SEARCH($S$2:$S$65,H810),$T$2:$T$65),"-")</f>
        <v>OH ASSY</v>
      </c>
    </row>
    <row r="811" spans="1:17" hidden="1" x14ac:dyDescent="0.25">
      <c r="A811" t="s">
        <v>7673</v>
      </c>
      <c r="B811" t="s">
        <v>2182</v>
      </c>
      <c r="C811">
        <v>1</v>
      </c>
      <c r="D811" t="s">
        <v>7254</v>
      </c>
      <c r="E811" t="s">
        <v>614</v>
      </c>
      <c r="F811" t="s">
        <v>616</v>
      </c>
      <c r="G811" t="s">
        <v>7111</v>
      </c>
      <c r="H811" t="s">
        <v>617</v>
      </c>
      <c r="I811" t="s">
        <v>255</v>
      </c>
      <c r="J811" t="s">
        <v>7717</v>
      </c>
      <c r="K811" t="s">
        <v>7717</v>
      </c>
      <c r="L811" t="s">
        <v>7717</v>
      </c>
      <c r="N811" t="str" cm="1">
        <f t="array" ref="N811">IFERROR(LOOKUP(2,1/SEARCH($S$2:$S$65,G811),$T$2:$T$65),"Misc")</f>
        <v>ABSIS</v>
      </c>
      <c r="O811" t="str" cm="1">
        <f t="array" ref="O811">IFERROR(LOOKUP(2,1/SEARCH($V$2:$V$65,G811),$W$2:$W$65),"Misc")</f>
        <v>ABSIS</v>
      </c>
      <c r="P811" t="str" cm="1">
        <f t="array" ref="P811">IFERROR(LOOKUP(2,1/SEARCH($Y$2:$Y$65,G811),$Z$2:$Z$65),"Not Defined")</f>
        <v>ABSIS</v>
      </c>
      <c r="Q811" t="str" cm="1">
        <f t="array" ref="Q811">IFERROR(LOOKUP(2,1/SEARCH($S$2:$S$65,H811),$T$2:$T$65),"-")</f>
        <v>ABSIS</v>
      </c>
    </row>
    <row r="812" spans="1:17" hidden="1" x14ac:dyDescent="0.25">
      <c r="A812" t="s">
        <v>7673</v>
      </c>
      <c r="B812" t="s">
        <v>2183</v>
      </c>
      <c r="C812">
        <v>1</v>
      </c>
      <c r="D812" t="s">
        <v>7254</v>
      </c>
      <c r="E812" t="s">
        <v>614</v>
      </c>
      <c r="F812" t="s">
        <v>596</v>
      </c>
      <c r="G812" t="s">
        <v>7108</v>
      </c>
      <c r="H812" t="s">
        <v>597</v>
      </c>
      <c r="I812" t="s">
        <v>255</v>
      </c>
      <c r="J812" t="s">
        <v>7703</v>
      </c>
      <c r="K812" t="s">
        <v>7713</v>
      </c>
      <c r="L812" t="s">
        <v>7713</v>
      </c>
      <c r="N812" t="str" cm="1">
        <f t="array" ref="N812">IFERROR(LOOKUP(2,1/SEARCH($S$2:$S$65,G812),$T$2:$T$65),"Misc")</f>
        <v>COTS</v>
      </c>
      <c r="O812" t="str" cm="1">
        <f t="array" ref="O812">IFERROR(LOOKUP(2,1/SEARCH($V$2:$V$65,G812),$W$2:$W$65),"Misc")</f>
        <v>ARDUINO</v>
      </c>
      <c r="P812" t="str" cm="1">
        <f t="array" ref="P812">IFERROR(LOOKUP(2,1/SEARCH($Y$2:$Y$65,G812),$Z$2:$Z$65),"Not Defined")</f>
        <v>ARDUINO</v>
      </c>
      <c r="Q812" t="str" cm="1">
        <f t="array" ref="Q812">IFERROR(LOOKUP(2,1/SEARCH($S$2:$S$65,H812),$T$2:$T$65),"-")</f>
        <v>COTS</v>
      </c>
    </row>
    <row r="813" spans="1:17" hidden="1" x14ac:dyDescent="0.25">
      <c r="A813" t="s">
        <v>7673</v>
      </c>
      <c r="B813" t="s">
        <v>2184</v>
      </c>
      <c r="C813">
        <v>1</v>
      </c>
      <c r="D813" t="s">
        <v>7254</v>
      </c>
      <c r="F813" t="s">
        <v>2185</v>
      </c>
      <c r="G813" t="s">
        <v>2186</v>
      </c>
      <c r="H813" t="s">
        <v>721</v>
      </c>
      <c r="I813" t="s">
        <v>13</v>
      </c>
      <c r="J813" t="s">
        <v>7682</v>
      </c>
      <c r="K813" t="s">
        <v>7826</v>
      </c>
      <c r="L813" t="s">
        <v>7826</v>
      </c>
      <c r="N813" t="str" cm="1">
        <f t="array" ref="N813">IFERROR(LOOKUP(2,1/SEARCH($S$2:$S$65,G813),$T$2:$T$65),"Misc")</f>
        <v>OH P/N</v>
      </c>
      <c r="O813" t="str" cm="1">
        <f t="array" ref="O813">IFERROR(LOOKUP(2,1/SEARCH($V$2:$V$65,G813),$W$2:$W$65),"Misc")</f>
        <v>OH Part</v>
      </c>
      <c r="P813" t="str" cm="1">
        <f t="array" ref="P813">IFERROR(LOOKUP(2,1/SEARCH($Y$2:$Y$65,G813),$Z$2:$Z$65),"Not Defined")</f>
        <v>OH Part</v>
      </c>
      <c r="Q813" t="str" cm="1">
        <f t="array" ref="Q813">IFERROR(LOOKUP(2,1/SEARCH($S$2:$S$65,H813),$T$2:$T$65),"-")</f>
        <v>COTS</v>
      </c>
    </row>
    <row r="814" spans="1:17" hidden="1" x14ac:dyDescent="0.25">
      <c r="A814" t="s">
        <v>7673</v>
      </c>
      <c r="B814" t="s">
        <v>2187</v>
      </c>
      <c r="C814">
        <v>1</v>
      </c>
      <c r="D814" t="s">
        <v>7254</v>
      </c>
      <c r="F814" t="s">
        <v>255</v>
      </c>
      <c r="G814" t="s">
        <v>7123</v>
      </c>
      <c r="H814" t="s">
        <v>718</v>
      </c>
      <c r="I814" t="s">
        <v>210</v>
      </c>
      <c r="J814" t="s">
        <v>7703</v>
      </c>
      <c r="K814" t="s">
        <v>7684</v>
      </c>
      <c r="L814" t="s">
        <v>7685</v>
      </c>
      <c r="N814" t="str" cm="1">
        <f t="array" ref="N814">IFERROR(LOOKUP(2,1/SEARCH($S$2:$S$65,G814),$T$2:$T$65),"Misc")</f>
        <v>COTS</v>
      </c>
      <c r="O814" t="str" cm="1">
        <f t="array" ref="O814">IFERROR(LOOKUP(2,1/SEARCH($V$2:$V$65,G814),$W$2:$W$65),"Misc")</f>
        <v>Fasteners</v>
      </c>
      <c r="P814" t="str" cm="1">
        <f t="array" ref="P814">IFERROR(LOOKUP(2,1/SEARCH($Y$2:$Y$65,G814),$Z$2:$Z$65),"Not Defined")</f>
        <v>NUT</v>
      </c>
      <c r="Q814" t="str" cm="1">
        <f t="array" ref="Q814">IFERROR(LOOKUP(2,1/SEARCH($S$2:$S$65,H814),$T$2:$T$65),"-")</f>
        <v>COTS</v>
      </c>
    </row>
    <row r="815" spans="1:17" hidden="1" x14ac:dyDescent="0.25">
      <c r="A815" t="s">
        <v>7673</v>
      </c>
      <c r="B815" t="s">
        <v>2188</v>
      </c>
      <c r="C815">
        <v>1</v>
      </c>
      <c r="D815" t="s">
        <v>7260</v>
      </c>
      <c r="F815" t="s">
        <v>2189</v>
      </c>
      <c r="G815" t="s">
        <v>7260</v>
      </c>
      <c r="H815" t="s">
        <v>2190</v>
      </c>
      <c r="J815" t="s">
        <v>7742</v>
      </c>
      <c r="K815" t="s">
        <v>7826</v>
      </c>
      <c r="L815" t="s">
        <v>7826</v>
      </c>
      <c r="N815" t="str" cm="1">
        <f t="array" ref="N815">IFERROR(LOOKUP(2,1/SEARCH($S$2:$S$65,G815),$T$2:$T$65),"Misc")</f>
        <v>OH ASSY</v>
      </c>
      <c r="O815" t="str" cm="1">
        <f t="array" ref="O815">IFERROR(LOOKUP(2,1/SEARCH($V$2:$V$65,G815),$W$2:$W$65),"Misc")</f>
        <v>OH Part</v>
      </c>
      <c r="P815" t="str" cm="1">
        <f t="array" ref="P815">IFERROR(LOOKUP(2,1/SEARCH($Y$2:$Y$65,G815),$Z$2:$Z$65),"Not Defined")</f>
        <v>OH Part</v>
      </c>
      <c r="Q815" t="str" cm="1">
        <f t="array" ref="Q815">IFERROR(LOOKUP(2,1/SEARCH($S$2:$S$65,H815),$T$2:$T$65),"-")</f>
        <v>OH ASSY</v>
      </c>
    </row>
    <row r="816" spans="1:17" hidden="1" x14ac:dyDescent="0.25">
      <c r="A816" t="s">
        <v>7673</v>
      </c>
      <c r="B816" t="s">
        <v>2191</v>
      </c>
      <c r="C816">
        <v>1</v>
      </c>
      <c r="D816" t="s">
        <v>7260</v>
      </c>
      <c r="E816" t="s">
        <v>2193</v>
      </c>
      <c r="F816" t="s">
        <v>2192</v>
      </c>
      <c r="G816" t="s">
        <v>2194</v>
      </c>
      <c r="H816" t="s">
        <v>2193</v>
      </c>
      <c r="J816" t="s">
        <v>7742</v>
      </c>
      <c r="K816" t="s">
        <v>7826</v>
      </c>
      <c r="L816" t="s">
        <v>7826</v>
      </c>
      <c r="N816" t="str" cm="1">
        <f t="array" ref="N816">IFERROR(LOOKUP(2,1/SEARCH($S$2:$S$65,G816),$T$2:$T$65),"Misc")</f>
        <v>OH ASSY</v>
      </c>
      <c r="O816" t="str" cm="1">
        <f t="array" ref="O816">IFERROR(LOOKUP(2,1/SEARCH($V$2:$V$65,G816),$W$2:$W$65),"Misc")</f>
        <v>OH Part</v>
      </c>
      <c r="P816" t="str" cm="1">
        <f t="array" ref="P816">IFERROR(LOOKUP(2,1/SEARCH($Y$2:$Y$65,G816),$Z$2:$Z$65),"Not Defined")</f>
        <v>OH Part</v>
      </c>
      <c r="Q816" t="str" cm="1">
        <f t="array" ref="Q816">IFERROR(LOOKUP(2,1/SEARCH($S$2:$S$65,H816),$T$2:$T$65),"-")</f>
        <v>OH ASSY</v>
      </c>
    </row>
    <row r="817" spans="1:17" hidden="1" x14ac:dyDescent="0.25">
      <c r="A817" t="s">
        <v>7673</v>
      </c>
      <c r="B817" t="s">
        <v>2195</v>
      </c>
      <c r="C817">
        <v>1</v>
      </c>
      <c r="D817" t="s">
        <v>7260</v>
      </c>
      <c r="E817" t="s">
        <v>2193</v>
      </c>
      <c r="F817" t="s">
        <v>2196</v>
      </c>
      <c r="G817" t="s">
        <v>2198</v>
      </c>
      <c r="H817" t="s">
        <v>2197</v>
      </c>
      <c r="I817" t="s">
        <v>293</v>
      </c>
      <c r="J817" t="s">
        <v>7682</v>
      </c>
      <c r="K817" t="s">
        <v>7826</v>
      </c>
      <c r="L817" t="s">
        <v>7826</v>
      </c>
      <c r="N817" t="str" cm="1">
        <f t="array" ref="N817">IFERROR(LOOKUP(2,1/SEARCH($S$2:$S$65,G817),$T$2:$T$65),"Misc")</f>
        <v>OH P/N</v>
      </c>
      <c r="O817" t="str" cm="1">
        <f t="array" ref="O817">IFERROR(LOOKUP(2,1/SEARCH($V$2:$V$65,G817),$W$2:$W$65),"Misc")</f>
        <v>OH Part</v>
      </c>
      <c r="P817" t="str" cm="1">
        <f t="array" ref="P817">IFERROR(LOOKUP(2,1/SEARCH($Y$2:$Y$65,G817),$Z$2:$Z$65),"Not Defined")</f>
        <v>OH Part</v>
      </c>
      <c r="Q817" t="str" cm="1">
        <f t="array" ref="Q817">IFERROR(LOOKUP(2,1/SEARCH($S$2:$S$65,H817),$T$2:$T$65),"-")</f>
        <v>-</v>
      </c>
    </row>
    <row r="818" spans="1:17" hidden="1" x14ac:dyDescent="0.25">
      <c r="A818" t="s">
        <v>7673</v>
      </c>
      <c r="B818" t="s">
        <v>2199</v>
      </c>
      <c r="C818">
        <v>1</v>
      </c>
      <c r="D818" t="s">
        <v>7260</v>
      </c>
      <c r="E818" t="s">
        <v>2193</v>
      </c>
      <c r="F818" t="s">
        <v>2200</v>
      </c>
      <c r="G818" t="s">
        <v>2202</v>
      </c>
      <c r="H818" t="s">
        <v>2201</v>
      </c>
      <c r="I818" t="s">
        <v>281</v>
      </c>
      <c r="J818" t="s">
        <v>7682</v>
      </c>
      <c r="K818" t="s">
        <v>7826</v>
      </c>
      <c r="L818" t="s">
        <v>7826</v>
      </c>
      <c r="N818" t="str" cm="1">
        <f t="array" ref="N818">IFERROR(LOOKUP(2,1/SEARCH($S$2:$S$65,G818),$T$2:$T$65),"Misc")</f>
        <v>OH P/N</v>
      </c>
      <c r="O818" t="str" cm="1">
        <f t="array" ref="O818">IFERROR(LOOKUP(2,1/SEARCH($V$2:$V$65,G818),$W$2:$W$65),"Misc")</f>
        <v>OH Part</v>
      </c>
      <c r="P818" t="str" cm="1">
        <f t="array" ref="P818">IFERROR(LOOKUP(2,1/SEARCH($Y$2:$Y$65,G818),$Z$2:$Z$65),"Not Defined")</f>
        <v>OH Part</v>
      </c>
      <c r="Q818" t="str" cm="1">
        <f t="array" ref="Q818">IFERROR(LOOKUP(2,1/SEARCH($S$2:$S$65,H818),$T$2:$T$65),"-")</f>
        <v>-</v>
      </c>
    </row>
    <row r="819" spans="1:17" hidden="1" x14ac:dyDescent="0.25">
      <c r="A819" t="s">
        <v>7673</v>
      </c>
      <c r="B819" t="s">
        <v>2203</v>
      </c>
      <c r="C819">
        <v>6</v>
      </c>
      <c r="D819" t="s">
        <v>7260</v>
      </c>
      <c r="E819" t="s">
        <v>2193</v>
      </c>
      <c r="F819" t="s">
        <v>2204</v>
      </c>
      <c r="G819" t="s">
        <v>7261</v>
      </c>
      <c r="H819" t="s">
        <v>2205</v>
      </c>
      <c r="I819" t="s">
        <v>228</v>
      </c>
      <c r="J819" t="s">
        <v>7703</v>
      </c>
      <c r="K819" t="s">
        <v>7684</v>
      </c>
      <c r="L819" t="s">
        <v>7692</v>
      </c>
      <c r="N819" t="str" cm="1">
        <f t="array" ref="N819">IFERROR(LOOKUP(2,1/SEARCH($S$2:$S$65,G819),$T$2:$T$65),"Misc")</f>
        <v>COTS</v>
      </c>
      <c r="O819" t="str" cm="1">
        <f t="array" ref="O819">IFERROR(LOOKUP(2,1/SEARCH($V$2:$V$65,G819),$W$2:$W$65),"Misc")</f>
        <v>Fasteners</v>
      </c>
      <c r="P819" t="str" cm="1">
        <f t="array" ref="P819">IFERROR(LOOKUP(2,1/SEARCH($Y$2:$Y$65,G819),$Z$2:$Z$65),"Not Defined")</f>
        <v>WASHER</v>
      </c>
      <c r="Q819" t="str" cm="1">
        <f t="array" ref="Q819">IFERROR(LOOKUP(2,1/SEARCH($S$2:$S$65,H819),$T$2:$T$65),"-")</f>
        <v>COTS</v>
      </c>
    </row>
    <row r="820" spans="1:17" hidden="1" x14ac:dyDescent="0.25">
      <c r="A820" t="s">
        <v>7673</v>
      </c>
      <c r="B820" t="s">
        <v>2206</v>
      </c>
      <c r="C820">
        <v>3</v>
      </c>
      <c r="D820" t="s">
        <v>7260</v>
      </c>
      <c r="E820" t="s">
        <v>2193</v>
      </c>
      <c r="F820" t="s">
        <v>692</v>
      </c>
      <c r="G820" t="s">
        <v>7116</v>
      </c>
      <c r="H820" t="s">
        <v>693</v>
      </c>
      <c r="I820" t="s">
        <v>255</v>
      </c>
      <c r="J820" t="s">
        <v>7703</v>
      </c>
      <c r="K820" t="s">
        <v>7677</v>
      </c>
      <c r="L820" t="s">
        <v>7677</v>
      </c>
      <c r="N820" t="str" cm="1">
        <f t="array" ref="N820">IFERROR(LOOKUP(2,1/SEARCH($S$2:$S$65,G820),$T$2:$T$65),"Misc")</f>
        <v>COTS</v>
      </c>
      <c r="O820" t="str" cm="1">
        <f t="array" ref="O820">IFERROR(LOOKUP(2,1/SEARCH($V$2:$V$65,G820),$W$2:$W$65),"Misc")</f>
        <v>SWITCH</v>
      </c>
      <c r="P820" t="str" cm="1">
        <f t="array" ref="P820">IFERROR(LOOKUP(2,1/SEARCH($Y$2:$Y$65,G820),$Z$2:$Z$65),"Not Defined")</f>
        <v>SWITCH</v>
      </c>
      <c r="Q820" t="str" cm="1">
        <f t="array" ref="Q820">IFERROR(LOOKUP(2,1/SEARCH($S$2:$S$65,H820),$T$2:$T$65),"-")</f>
        <v>COTS</v>
      </c>
    </row>
    <row r="821" spans="1:17" hidden="1" x14ac:dyDescent="0.25">
      <c r="A821" t="s">
        <v>7673</v>
      </c>
      <c r="B821" t="s">
        <v>2207</v>
      </c>
      <c r="C821">
        <v>5</v>
      </c>
      <c r="D821" t="s">
        <v>7260</v>
      </c>
      <c r="E821" t="s">
        <v>2193</v>
      </c>
      <c r="F821" t="s">
        <v>695</v>
      </c>
      <c r="G821" t="s">
        <v>7117</v>
      </c>
      <c r="H821" t="s">
        <v>696</v>
      </c>
      <c r="I821" t="s">
        <v>255</v>
      </c>
      <c r="J821" t="s">
        <v>7703</v>
      </c>
      <c r="K821" t="s">
        <v>7719</v>
      </c>
      <c r="L821" t="s">
        <v>7719</v>
      </c>
      <c r="N821" t="str" cm="1">
        <f t="array" ref="N821">IFERROR(LOOKUP(2,1/SEARCH($S$2:$S$65,G821),$T$2:$T$65),"Misc")</f>
        <v>COTS</v>
      </c>
      <c r="O821" t="str" cm="1">
        <f t="array" ref="O821">IFERROR(LOOKUP(2,1/SEARCH($V$2:$V$65,G821),$W$2:$W$65),"Misc")</f>
        <v>Misc</v>
      </c>
      <c r="P821" t="str" cm="1">
        <f t="array" ref="P821">IFERROR(LOOKUP(2,1/SEARCH($Y$2:$Y$65,G821),$Z$2:$Z$65),"Not Defined")</f>
        <v>Retaining Rings</v>
      </c>
      <c r="Q821" t="str" cm="1">
        <f t="array" ref="Q821">IFERROR(LOOKUP(2,1/SEARCH($S$2:$S$65,H821),$T$2:$T$65),"-")</f>
        <v>COTS</v>
      </c>
    </row>
    <row r="822" spans="1:17" hidden="1" x14ac:dyDescent="0.25">
      <c r="A822" t="s">
        <v>7673</v>
      </c>
      <c r="B822" t="s">
        <v>2208</v>
      </c>
      <c r="C822">
        <v>5</v>
      </c>
      <c r="D822" t="s">
        <v>7260</v>
      </c>
      <c r="E822" t="s">
        <v>2193</v>
      </c>
      <c r="F822" t="s">
        <v>698</v>
      </c>
      <c r="G822" t="s">
        <v>7118</v>
      </c>
      <c r="H822" t="s">
        <v>699</v>
      </c>
      <c r="I822" t="s">
        <v>255</v>
      </c>
      <c r="J822" t="s">
        <v>7703</v>
      </c>
      <c r="K822" t="s">
        <v>7684</v>
      </c>
      <c r="L822" t="s">
        <v>7692</v>
      </c>
      <c r="N822" t="str" cm="1">
        <f t="array" ref="N822">IFERROR(LOOKUP(2,1/SEARCH($S$2:$S$65,G822),$T$2:$T$65),"Misc")</f>
        <v>COTS</v>
      </c>
      <c r="O822" t="str" cm="1">
        <f t="array" ref="O822">IFERROR(LOOKUP(2,1/SEARCH($V$2:$V$65,G822),$W$2:$W$65),"Misc")</f>
        <v>Fasteners</v>
      </c>
      <c r="P822" t="str" cm="1">
        <f t="array" ref="P822">IFERROR(LOOKUP(2,1/SEARCH($Y$2:$Y$65,G822),$Z$2:$Z$65),"Not Defined")</f>
        <v>WASHER</v>
      </c>
      <c r="Q822" t="str" cm="1">
        <f t="array" ref="Q822">IFERROR(LOOKUP(2,1/SEARCH($S$2:$S$65,H822),$T$2:$T$65),"-")</f>
        <v>COTS</v>
      </c>
    </row>
    <row r="823" spans="1:17" hidden="1" x14ac:dyDescent="0.25">
      <c r="A823" t="s">
        <v>7673</v>
      </c>
      <c r="B823" t="s">
        <v>2209</v>
      </c>
      <c r="C823">
        <v>10</v>
      </c>
      <c r="D823" t="s">
        <v>7260</v>
      </c>
      <c r="E823" t="s">
        <v>2193</v>
      </c>
      <c r="F823" t="s">
        <v>701</v>
      </c>
      <c r="G823" t="s">
        <v>7119</v>
      </c>
      <c r="H823" t="s">
        <v>702</v>
      </c>
      <c r="I823" t="s">
        <v>255</v>
      </c>
      <c r="J823" t="s">
        <v>7703</v>
      </c>
      <c r="K823" t="s">
        <v>7684</v>
      </c>
      <c r="L823" t="s">
        <v>7685</v>
      </c>
      <c r="N823" t="str" cm="1">
        <f t="array" ref="N823">IFERROR(LOOKUP(2,1/SEARCH($S$2:$S$65,G823),$T$2:$T$65),"Misc")</f>
        <v>COTS</v>
      </c>
      <c r="O823" t="str" cm="1">
        <f t="array" ref="O823">IFERROR(LOOKUP(2,1/SEARCH($V$2:$V$65,G823),$W$2:$W$65),"Misc")</f>
        <v>Fasteners</v>
      </c>
      <c r="P823" t="str" cm="1">
        <f t="array" ref="P823">IFERROR(LOOKUP(2,1/SEARCH($Y$2:$Y$65,G823),$Z$2:$Z$65),"Not Defined")</f>
        <v>NUT</v>
      </c>
      <c r="Q823" t="str" cm="1">
        <f t="array" ref="Q823">IFERROR(LOOKUP(2,1/SEARCH($S$2:$S$65,H823),$T$2:$T$65),"-")</f>
        <v>COTS</v>
      </c>
    </row>
    <row r="824" spans="1:17" hidden="1" x14ac:dyDescent="0.25">
      <c r="A824" t="s">
        <v>7673</v>
      </c>
      <c r="B824" t="s">
        <v>2210</v>
      </c>
      <c r="C824">
        <v>3</v>
      </c>
      <c r="D824" t="s">
        <v>7260</v>
      </c>
      <c r="E824" t="s">
        <v>2193</v>
      </c>
      <c r="F824" t="s">
        <v>519</v>
      </c>
      <c r="G824" t="s">
        <v>7097</v>
      </c>
      <c r="H824" t="s">
        <v>520</v>
      </c>
      <c r="I824" t="s">
        <v>228</v>
      </c>
      <c r="J824" t="s">
        <v>7703</v>
      </c>
      <c r="K824" t="s">
        <v>7684</v>
      </c>
      <c r="L824" t="s">
        <v>7693</v>
      </c>
      <c r="N824" t="str" cm="1">
        <f t="array" ref="N824">IFERROR(LOOKUP(2,1/SEARCH($S$2:$S$65,G824),$T$2:$T$65),"Misc")</f>
        <v>COTS</v>
      </c>
      <c r="O824" t="str" cm="1">
        <f t="array" ref="O824">IFERROR(LOOKUP(2,1/SEARCH($V$2:$V$65,G824),$W$2:$W$65),"Misc")</f>
        <v>Fasteners</v>
      </c>
      <c r="P824" t="str" cm="1">
        <f t="array" ref="P824">IFERROR(LOOKUP(2,1/SEARCH($Y$2:$Y$65,G824),$Z$2:$Z$65),"Not Defined")</f>
        <v>PHS</v>
      </c>
      <c r="Q824" t="str" cm="1">
        <f t="array" ref="Q824">IFERROR(LOOKUP(2,1/SEARCH($S$2:$S$65,H824),$T$2:$T$65),"-")</f>
        <v>COTS</v>
      </c>
    </row>
    <row r="825" spans="1:17" hidden="1" x14ac:dyDescent="0.25">
      <c r="A825" t="s">
        <v>7673</v>
      </c>
      <c r="B825" t="s">
        <v>2211</v>
      </c>
      <c r="C825">
        <v>3</v>
      </c>
      <c r="D825" t="s">
        <v>7260</v>
      </c>
      <c r="E825" t="s">
        <v>2193</v>
      </c>
      <c r="F825" t="s">
        <v>941</v>
      </c>
      <c r="G825" t="s">
        <v>7136</v>
      </c>
      <c r="H825" t="s">
        <v>942</v>
      </c>
      <c r="I825" t="s">
        <v>210</v>
      </c>
      <c r="J825" t="s">
        <v>7703</v>
      </c>
      <c r="K825" t="s">
        <v>7684</v>
      </c>
      <c r="L825" t="s">
        <v>7685</v>
      </c>
      <c r="N825" t="str" cm="1">
        <f t="array" ref="N825">IFERROR(LOOKUP(2,1/SEARCH($S$2:$S$65,G825),$T$2:$T$65),"Misc")</f>
        <v>COTS</v>
      </c>
      <c r="O825" t="str" cm="1">
        <f t="array" ref="O825">IFERROR(LOOKUP(2,1/SEARCH($V$2:$V$65,G825),$W$2:$W$65),"Misc")</f>
        <v>Fasteners</v>
      </c>
      <c r="P825" t="str" cm="1">
        <f t="array" ref="P825">IFERROR(LOOKUP(2,1/SEARCH($Y$2:$Y$65,G825),$Z$2:$Z$65),"Not Defined")</f>
        <v>NUT</v>
      </c>
      <c r="Q825" t="str" cm="1">
        <f t="array" ref="Q825">IFERROR(LOOKUP(2,1/SEARCH($S$2:$S$65,H825),$T$2:$T$65),"-")</f>
        <v>COTS</v>
      </c>
    </row>
    <row r="826" spans="1:17" hidden="1" x14ac:dyDescent="0.25">
      <c r="A826" t="s">
        <v>7673</v>
      </c>
      <c r="B826" t="s">
        <v>2212</v>
      </c>
      <c r="C826">
        <v>4</v>
      </c>
      <c r="D826" t="s">
        <v>7260</v>
      </c>
      <c r="E826" t="s">
        <v>2193</v>
      </c>
      <c r="F826" t="s">
        <v>2213</v>
      </c>
      <c r="G826" t="s">
        <v>7262</v>
      </c>
      <c r="H826" t="s">
        <v>2214</v>
      </c>
      <c r="I826" t="s">
        <v>255</v>
      </c>
      <c r="J826" t="s">
        <v>7703</v>
      </c>
      <c r="K826" t="s">
        <v>7722</v>
      </c>
      <c r="L826" t="s">
        <v>7722</v>
      </c>
      <c r="N826" t="str" cm="1">
        <f t="array" ref="N826">IFERROR(LOOKUP(2,1/SEARCH($S$2:$S$65,G826),$T$2:$T$65),"Misc")</f>
        <v>COTS</v>
      </c>
      <c r="O826" t="str" cm="1">
        <f t="array" ref="O826">IFERROR(LOOKUP(2,1/SEARCH($V$2:$V$65,G826),$W$2:$W$65),"Misc")</f>
        <v>POT</v>
      </c>
      <c r="P826" t="str" cm="1">
        <f t="array" ref="P826">IFERROR(LOOKUP(2,1/SEARCH($Y$2:$Y$65,G826),$Z$2:$Z$65),"Not Defined")</f>
        <v>POT</v>
      </c>
      <c r="Q826" t="str" cm="1">
        <f t="array" ref="Q826">IFERROR(LOOKUP(2,1/SEARCH($S$2:$S$65,H826),$T$2:$T$65),"-")</f>
        <v>COTS</v>
      </c>
    </row>
    <row r="827" spans="1:17" hidden="1" x14ac:dyDescent="0.25">
      <c r="A827" t="s">
        <v>7673</v>
      </c>
      <c r="B827" s="17" t="s">
        <v>2215</v>
      </c>
      <c r="C827">
        <v>2</v>
      </c>
      <c r="D827" t="s">
        <v>7260</v>
      </c>
      <c r="E827" t="s">
        <v>7958</v>
      </c>
      <c r="F827" t="s">
        <v>2216</v>
      </c>
      <c r="G827" t="s">
        <v>7263</v>
      </c>
      <c r="H827" t="s">
        <v>711</v>
      </c>
      <c r="J827" t="s">
        <v>7744</v>
      </c>
      <c r="K827" t="s">
        <v>7826</v>
      </c>
      <c r="L827" t="s">
        <v>7826</v>
      </c>
      <c r="N827" t="str" cm="1">
        <f t="array" ref="N827">IFERROR(LOOKUP(2,1/SEARCH($S$2:$S$65,G827),$T$2:$T$65),"Misc")</f>
        <v>OH Common</v>
      </c>
      <c r="O827" t="str" cm="1">
        <f t="array" ref="O827">IFERROR(LOOKUP(2,1/SEARCH($V$2:$V$65,G827),$W$2:$W$65),"Misc")</f>
        <v>OH Part</v>
      </c>
      <c r="P827" t="str" cm="1">
        <f t="array" ref="P827">IFERROR(LOOKUP(2,1/SEARCH($Y$2:$Y$65,G827),$Z$2:$Z$65),"Not Defined")</f>
        <v>OH Part</v>
      </c>
      <c r="Q827" t="str" cm="1">
        <f t="array" ref="Q827">IFERROR(LOOKUP(2,1/SEARCH($S$2:$S$65,H827),$T$2:$T$65),"-")</f>
        <v>OH ASSY</v>
      </c>
    </row>
    <row r="828" spans="1:17" hidden="1" x14ac:dyDescent="0.25">
      <c r="A828" t="s">
        <v>7673</v>
      </c>
      <c r="B828" s="17" t="s">
        <v>2217</v>
      </c>
      <c r="C828">
        <v>1</v>
      </c>
      <c r="D828" t="s">
        <v>7260</v>
      </c>
      <c r="E828" t="s">
        <v>7958</v>
      </c>
      <c r="F828" t="s">
        <v>2218</v>
      </c>
      <c r="G828" t="s">
        <v>2219</v>
      </c>
      <c r="H828" t="s">
        <v>714</v>
      </c>
      <c r="I828" t="s">
        <v>358</v>
      </c>
      <c r="J828" t="s">
        <v>7744</v>
      </c>
      <c r="K828" t="s">
        <v>7826</v>
      </c>
      <c r="L828" t="s">
        <v>7826</v>
      </c>
      <c r="N828" t="str" cm="1">
        <f t="array" ref="N828">IFERROR(LOOKUP(2,1/SEARCH($S$2:$S$65,G828),$T$2:$T$65),"Misc")</f>
        <v>OH Common</v>
      </c>
      <c r="O828" t="str" cm="1">
        <f t="array" ref="O828">IFERROR(LOOKUP(2,1/SEARCH($V$2:$V$65,G828),$W$2:$W$65),"Misc")</f>
        <v>OH Part</v>
      </c>
      <c r="P828" t="str" cm="1">
        <f t="array" ref="P828">IFERROR(LOOKUP(2,1/SEARCH($Y$2:$Y$65,G828),$Z$2:$Z$65),"Not Defined")</f>
        <v>OH Part</v>
      </c>
      <c r="Q828" t="str" cm="1">
        <f t="array" ref="Q828">IFERROR(LOOKUP(2,1/SEARCH($S$2:$S$65,H828),$T$2:$T$65),"-")</f>
        <v>-</v>
      </c>
    </row>
    <row r="829" spans="1:17" hidden="1" x14ac:dyDescent="0.25">
      <c r="A829" t="s">
        <v>7673</v>
      </c>
      <c r="B829" s="17" t="s">
        <v>2220</v>
      </c>
      <c r="C829">
        <v>2</v>
      </c>
      <c r="D829" t="s">
        <v>7260</v>
      </c>
      <c r="E829" t="s">
        <v>7958</v>
      </c>
      <c r="F829" t="s">
        <v>360</v>
      </c>
      <c r="G829" t="s">
        <v>7076</v>
      </c>
      <c r="H829" t="s">
        <v>361</v>
      </c>
      <c r="I829" t="s">
        <v>228</v>
      </c>
      <c r="J829" t="s">
        <v>7703</v>
      </c>
      <c r="K829" t="s">
        <v>7684</v>
      </c>
      <c r="L829" t="s">
        <v>7721</v>
      </c>
      <c r="N829" t="str" cm="1">
        <f t="array" ref="N829">IFERROR(LOOKUP(2,1/SEARCH($S$2:$S$65,G829),$T$2:$T$65),"Misc")</f>
        <v>COTS</v>
      </c>
      <c r="O829" t="str" cm="1">
        <f t="array" ref="O829">IFERROR(LOOKUP(2,1/SEARCH($V$2:$V$65,G829),$W$2:$W$65),"Misc")</f>
        <v>Fasteners</v>
      </c>
      <c r="P829" t="str" cm="1">
        <f t="array" ref="P829">IFERROR(LOOKUP(2,1/SEARCH($Y$2:$Y$65,G829),$Z$2:$Z$65),"Not Defined")</f>
        <v>SET SCREW</v>
      </c>
      <c r="Q829" t="str" cm="1">
        <f t="array" ref="Q829">IFERROR(LOOKUP(2,1/SEARCH($S$2:$S$65,H829),$T$2:$T$65),"-")</f>
        <v>COTS</v>
      </c>
    </row>
    <row r="830" spans="1:17" hidden="1" x14ac:dyDescent="0.25">
      <c r="A830" t="s">
        <v>7673</v>
      </c>
      <c r="B830" s="24" t="s">
        <v>2221</v>
      </c>
      <c r="C830">
        <v>2</v>
      </c>
      <c r="D830" t="s">
        <v>7260</v>
      </c>
      <c r="E830" t="s">
        <v>7959</v>
      </c>
      <c r="F830" t="s">
        <v>2222</v>
      </c>
      <c r="G830" t="s">
        <v>7264</v>
      </c>
      <c r="H830" t="s">
        <v>711</v>
      </c>
      <c r="J830" t="s">
        <v>7744</v>
      </c>
      <c r="K830" t="s">
        <v>7826</v>
      </c>
      <c r="L830" t="s">
        <v>7826</v>
      </c>
      <c r="N830" t="str" cm="1">
        <f t="array" ref="N830">IFERROR(LOOKUP(2,1/SEARCH($S$2:$S$65,G830),$T$2:$T$65),"Misc")</f>
        <v>OH Common</v>
      </c>
      <c r="O830" t="str" cm="1">
        <f t="array" ref="O830">IFERROR(LOOKUP(2,1/SEARCH($V$2:$V$65,G830),$W$2:$W$65),"Misc")</f>
        <v>OH Part</v>
      </c>
      <c r="P830" t="str" cm="1">
        <f t="array" ref="P830">IFERROR(LOOKUP(2,1/SEARCH($Y$2:$Y$65,G830),$Z$2:$Z$65),"Not Defined")</f>
        <v>OH Part</v>
      </c>
      <c r="Q830" t="str" cm="1">
        <f t="array" ref="Q830">IFERROR(LOOKUP(2,1/SEARCH($S$2:$S$65,H830),$T$2:$T$65),"-")</f>
        <v>OH ASSY</v>
      </c>
    </row>
    <row r="831" spans="1:17" hidden="1" x14ac:dyDescent="0.25">
      <c r="A831" t="s">
        <v>7673</v>
      </c>
      <c r="B831" s="24" t="s">
        <v>2223</v>
      </c>
      <c r="C831">
        <v>1</v>
      </c>
      <c r="D831" t="s">
        <v>7260</v>
      </c>
      <c r="E831" t="s">
        <v>7959</v>
      </c>
      <c r="F831" t="s">
        <v>2224</v>
      </c>
      <c r="G831" t="s">
        <v>2225</v>
      </c>
      <c r="H831" t="s">
        <v>711</v>
      </c>
      <c r="I831" t="s">
        <v>358</v>
      </c>
      <c r="J831" t="s">
        <v>7744</v>
      </c>
      <c r="K831" t="s">
        <v>7826</v>
      </c>
      <c r="L831" t="s">
        <v>7826</v>
      </c>
      <c r="N831" t="str" cm="1">
        <f t="array" ref="N831">IFERROR(LOOKUP(2,1/SEARCH($S$2:$S$65,G831),$T$2:$T$65),"Misc")</f>
        <v>OH Common</v>
      </c>
      <c r="O831" t="str" cm="1">
        <f t="array" ref="O831">IFERROR(LOOKUP(2,1/SEARCH($V$2:$V$65,G831),$W$2:$W$65),"Misc")</f>
        <v>OH Part</v>
      </c>
      <c r="P831" t="str" cm="1">
        <f t="array" ref="P831">IFERROR(LOOKUP(2,1/SEARCH($Y$2:$Y$65,G831),$Z$2:$Z$65),"Not Defined")</f>
        <v>OH Part</v>
      </c>
      <c r="Q831" t="str" cm="1">
        <f t="array" ref="Q831">IFERROR(LOOKUP(2,1/SEARCH($S$2:$S$65,H831),$T$2:$T$65),"-")</f>
        <v>OH ASSY</v>
      </c>
    </row>
    <row r="832" spans="1:17" hidden="1" x14ac:dyDescent="0.25">
      <c r="A832" t="s">
        <v>7673</v>
      </c>
      <c r="B832" s="24" t="s">
        <v>2226</v>
      </c>
      <c r="C832">
        <v>2</v>
      </c>
      <c r="D832" t="s">
        <v>7260</v>
      </c>
      <c r="E832" t="s">
        <v>7959</v>
      </c>
      <c r="F832" t="s">
        <v>1551</v>
      </c>
      <c r="G832" t="s">
        <v>7225</v>
      </c>
      <c r="H832" t="s">
        <v>1552</v>
      </c>
      <c r="I832" t="s">
        <v>228</v>
      </c>
      <c r="J832" t="s">
        <v>7703</v>
      </c>
      <c r="K832" t="s">
        <v>7684</v>
      </c>
      <c r="L832" t="s">
        <v>7721</v>
      </c>
      <c r="N832" t="str" cm="1">
        <f t="array" ref="N832">IFERROR(LOOKUP(2,1/SEARCH($S$2:$S$65,G832),$T$2:$T$65),"Misc")</f>
        <v>COTS</v>
      </c>
      <c r="O832" t="str" cm="1">
        <f t="array" ref="O832">IFERROR(LOOKUP(2,1/SEARCH($V$2:$V$65,G832),$W$2:$W$65),"Misc")</f>
        <v>Fasteners</v>
      </c>
      <c r="P832" t="str" cm="1">
        <f t="array" ref="P832">IFERROR(LOOKUP(2,1/SEARCH($Y$2:$Y$65,G832),$Z$2:$Z$65),"Not Defined")</f>
        <v>SET SCREW</v>
      </c>
      <c r="Q832" t="str" cm="1">
        <f t="array" ref="Q832">IFERROR(LOOKUP(2,1/SEARCH($S$2:$S$65,H832),$T$2:$T$65),"-")</f>
        <v>COTS</v>
      </c>
    </row>
    <row r="833" spans="1:17" hidden="1" x14ac:dyDescent="0.25">
      <c r="A833" t="s">
        <v>7673</v>
      </c>
      <c r="B833" t="s">
        <v>2227</v>
      </c>
      <c r="C833">
        <v>2</v>
      </c>
      <c r="D833" t="s">
        <v>7260</v>
      </c>
      <c r="E833" t="s">
        <v>2193</v>
      </c>
      <c r="F833" t="s">
        <v>704</v>
      </c>
      <c r="G833" t="s">
        <v>7120</v>
      </c>
      <c r="H833" t="s">
        <v>705</v>
      </c>
      <c r="I833" t="s">
        <v>255</v>
      </c>
      <c r="J833" t="s">
        <v>7703</v>
      </c>
      <c r="K833" t="s">
        <v>7677</v>
      </c>
      <c r="L833" t="s">
        <v>7677</v>
      </c>
      <c r="N833" t="str" cm="1">
        <f t="array" ref="N833">IFERROR(LOOKUP(2,1/SEARCH($S$2:$S$65,G833),$T$2:$T$65),"Misc")</f>
        <v>COTS</v>
      </c>
      <c r="O833" t="str" cm="1">
        <f t="array" ref="O833">IFERROR(LOOKUP(2,1/SEARCH($V$2:$V$65,G833),$W$2:$W$65),"Misc")</f>
        <v>SWITCH</v>
      </c>
      <c r="P833" t="str" cm="1">
        <f t="array" ref="P833">IFERROR(LOOKUP(2,1/SEARCH($Y$2:$Y$65,G833),$Z$2:$Z$65),"Not Defined")</f>
        <v>SWITCH</v>
      </c>
      <c r="Q833" t="str" cm="1">
        <f t="array" ref="Q833">IFERROR(LOOKUP(2,1/SEARCH($S$2:$S$65,H833),$T$2:$T$65),"-")</f>
        <v>COTS</v>
      </c>
    </row>
    <row r="834" spans="1:17" hidden="1" x14ac:dyDescent="0.25">
      <c r="A834" t="s">
        <v>7673</v>
      </c>
      <c r="B834" t="s">
        <v>2228</v>
      </c>
      <c r="C834">
        <v>4</v>
      </c>
      <c r="D834" t="s">
        <v>7260</v>
      </c>
      <c r="E834" t="s">
        <v>2193</v>
      </c>
      <c r="F834" t="s">
        <v>2229</v>
      </c>
      <c r="G834" t="s">
        <v>7265</v>
      </c>
      <c r="H834" t="s">
        <v>2230</v>
      </c>
      <c r="I834" t="s">
        <v>224</v>
      </c>
      <c r="J834" t="s">
        <v>7703</v>
      </c>
      <c r="K834" t="s">
        <v>7722</v>
      </c>
      <c r="L834" t="s">
        <v>7685</v>
      </c>
      <c r="N834" t="str" cm="1">
        <f t="array" ref="N834">IFERROR(LOOKUP(2,1/SEARCH($S$2:$S$65,G834),$T$2:$T$65),"Misc")</f>
        <v>COTS</v>
      </c>
      <c r="O834" t="str" cm="1">
        <f t="array" ref="O834">IFERROR(LOOKUP(2,1/SEARCH($V$2:$V$65,G834),$W$2:$W$65),"Misc")</f>
        <v>POT</v>
      </c>
      <c r="P834" t="str" cm="1">
        <f t="array" ref="P834">IFERROR(LOOKUP(2,1/SEARCH($Y$2:$Y$65,G834),$Z$2:$Z$65),"Not Defined")</f>
        <v>NUT</v>
      </c>
      <c r="Q834" t="str" cm="1">
        <f t="array" ref="Q834">IFERROR(LOOKUP(2,1/SEARCH($S$2:$S$65,H834),$T$2:$T$65),"-")</f>
        <v>COTS</v>
      </c>
    </row>
    <row r="835" spans="1:17" hidden="1" x14ac:dyDescent="0.25">
      <c r="A835" t="s">
        <v>7673</v>
      </c>
      <c r="B835" t="s">
        <v>2231</v>
      </c>
      <c r="C835">
        <v>1</v>
      </c>
      <c r="D835" t="s">
        <v>7260</v>
      </c>
      <c r="E835" t="s">
        <v>2193</v>
      </c>
      <c r="F835" t="s">
        <v>2232</v>
      </c>
      <c r="G835" t="s">
        <v>2234</v>
      </c>
      <c r="H835" t="s">
        <v>2233</v>
      </c>
      <c r="I835" t="s">
        <v>293</v>
      </c>
      <c r="J835" t="s">
        <v>7682</v>
      </c>
      <c r="K835" t="s">
        <v>7826</v>
      </c>
      <c r="L835" t="s">
        <v>7826</v>
      </c>
      <c r="N835" t="str" cm="1">
        <f t="array" ref="N835">IFERROR(LOOKUP(2,1/SEARCH($S$2:$S$65,G835),$T$2:$T$65),"Misc")</f>
        <v>OH P/N</v>
      </c>
      <c r="O835" t="str" cm="1">
        <f t="array" ref="O835">IFERROR(LOOKUP(2,1/SEARCH($V$2:$V$65,G835),$W$2:$W$65),"Misc")</f>
        <v>OH Part</v>
      </c>
      <c r="P835" t="str" cm="1">
        <f t="array" ref="P835">IFERROR(LOOKUP(2,1/SEARCH($Y$2:$Y$65,G835),$Z$2:$Z$65),"Not Defined")</f>
        <v>OH Part</v>
      </c>
      <c r="Q835" t="str" cm="1">
        <f t="array" ref="Q835">IFERROR(LOOKUP(2,1/SEARCH($S$2:$S$65,H835),$T$2:$T$65),"-")</f>
        <v>-</v>
      </c>
    </row>
    <row r="836" spans="1:17" hidden="1" x14ac:dyDescent="0.25">
      <c r="A836" t="s">
        <v>7673</v>
      </c>
      <c r="B836" t="s">
        <v>2235</v>
      </c>
      <c r="C836">
        <v>4</v>
      </c>
      <c r="D836" t="s">
        <v>7260</v>
      </c>
      <c r="F836" t="s">
        <v>519</v>
      </c>
      <c r="G836" t="s">
        <v>7097</v>
      </c>
      <c r="H836" t="s">
        <v>520</v>
      </c>
      <c r="I836" t="s">
        <v>228</v>
      </c>
      <c r="J836" t="s">
        <v>7703</v>
      </c>
      <c r="K836" t="s">
        <v>7684</v>
      </c>
      <c r="L836" t="s">
        <v>7693</v>
      </c>
      <c r="N836" t="str" cm="1">
        <f t="array" ref="N836">IFERROR(LOOKUP(2,1/SEARCH($S$2:$S$65,G836),$T$2:$T$65),"Misc")</f>
        <v>COTS</v>
      </c>
      <c r="O836" t="str" cm="1">
        <f t="array" ref="O836">IFERROR(LOOKUP(2,1/SEARCH($V$2:$V$65,G836),$W$2:$W$65),"Misc")</f>
        <v>Fasteners</v>
      </c>
      <c r="P836" t="str" cm="1">
        <f t="array" ref="P836">IFERROR(LOOKUP(2,1/SEARCH($Y$2:$Y$65,G836),$Z$2:$Z$65),"Not Defined")</f>
        <v>PHS</v>
      </c>
      <c r="Q836" t="str" cm="1">
        <f t="array" ref="Q836">IFERROR(LOOKUP(2,1/SEARCH($S$2:$S$65,H836),$T$2:$T$65),"-")</f>
        <v>COTS</v>
      </c>
    </row>
    <row r="837" spans="1:17" hidden="1" x14ac:dyDescent="0.25">
      <c r="A837" t="s">
        <v>7673</v>
      </c>
      <c r="B837" t="s">
        <v>2236</v>
      </c>
      <c r="C837">
        <v>1</v>
      </c>
      <c r="D837" t="s">
        <v>7260</v>
      </c>
      <c r="E837" t="s">
        <v>2238</v>
      </c>
      <c r="F837" t="s">
        <v>2237</v>
      </c>
      <c r="G837" t="s">
        <v>2239</v>
      </c>
      <c r="H837" t="s">
        <v>2238</v>
      </c>
      <c r="J837" t="s">
        <v>7742</v>
      </c>
      <c r="K837" t="s">
        <v>7826</v>
      </c>
      <c r="L837" t="s">
        <v>7826</v>
      </c>
      <c r="N837" t="str" cm="1">
        <f t="array" ref="N837">IFERROR(LOOKUP(2,1/SEARCH($S$2:$S$65,G837),$T$2:$T$65),"Misc")</f>
        <v>OH ASSY</v>
      </c>
      <c r="O837" t="str" cm="1">
        <f t="array" ref="O837">IFERROR(LOOKUP(2,1/SEARCH($V$2:$V$65,G837),$W$2:$W$65),"Misc")</f>
        <v>OH Part</v>
      </c>
      <c r="P837" t="str" cm="1">
        <f t="array" ref="P837">IFERROR(LOOKUP(2,1/SEARCH($Y$2:$Y$65,G837),$Z$2:$Z$65),"Not Defined")</f>
        <v>OH Part</v>
      </c>
      <c r="Q837" t="str" cm="1">
        <f t="array" ref="Q837">IFERROR(LOOKUP(2,1/SEARCH($S$2:$S$65,H837),$T$2:$T$65),"-")</f>
        <v>OH ASSY</v>
      </c>
    </row>
    <row r="838" spans="1:17" hidden="1" x14ac:dyDescent="0.25">
      <c r="A838" t="s">
        <v>7673</v>
      </c>
      <c r="B838" t="s">
        <v>2240</v>
      </c>
      <c r="C838">
        <v>1</v>
      </c>
      <c r="D838" t="s">
        <v>7260</v>
      </c>
      <c r="E838" t="s">
        <v>2238</v>
      </c>
      <c r="F838" t="s">
        <v>2241</v>
      </c>
      <c r="G838" t="s">
        <v>2243</v>
      </c>
      <c r="H838" t="s">
        <v>2242</v>
      </c>
      <c r="I838" t="s">
        <v>13</v>
      </c>
      <c r="J838" t="s">
        <v>7682</v>
      </c>
      <c r="K838" t="s">
        <v>7826</v>
      </c>
      <c r="L838" t="s">
        <v>7826</v>
      </c>
      <c r="N838" t="str" cm="1">
        <f t="array" ref="N838">IFERROR(LOOKUP(2,1/SEARCH($S$2:$S$65,G838),$T$2:$T$65),"Misc")</f>
        <v>OH P/N</v>
      </c>
      <c r="O838" t="str" cm="1">
        <f t="array" ref="O838">IFERROR(LOOKUP(2,1/SEARCH($V$2:$V$65,G838),$W$2:$W$65),"Misc")</f>
        <v>OH Part</v>
      </c>
      <c r="P838" t="str" cm="1">
        <f t="array" ref="P838">IFERROR(LOOKUP(2,1/SEARCH($Y$2:$Y$65,G838),$Z$2:$Z$65),"Not Defined")</f>
        <v>OH Part</v>
      </c>
      <c r="Q838" t="str" cm="1">
        <f t="array" ref="Q838">IFERROR(LOOKUP(2,1/SEARCH($S$2:$S$65,H838),$T$2:$T$65),"-")</f>
        <v>-</v>
      </c>
    </row>
    <row r="839" spans="1:17" hidden="1" x14ac:dyDescent="0.25">
      <c r="A839" t="s">
        <v>7673</v>
      </c>
      <c r="B839" t="s">
        <v>2244</v>
      </c>
      <c r="C839">
        <v>8</v>
      </c>
      <c r="D839" t="s">
        <v>7260</v>
      </c>
      <c r="E839" t="s">
        <v>2238</v>
      </c>
      <c r="F839" t="s">
        <v>265</v>
      </c>
      <c r="G839" t="s">
        <v>7099</v>
      </c>
      <c r="H839" t="s">
        <v>266</v>
      </c>
      <c r="I839" t="s">
        <v>224</v>
      </c>
      <c r="J839" t="s">
        <v>7703</v>
      </c>
      <c r="K839" t="s">
        <v>7684</v>
      </c>
      <c r="L839" t="s">
        <v>7687</v>
      </c>
      <c r="N839" t="str" cm="1">
        <f t="array" ref="N839">IFERROR(LOOKUP(2,1/SEARCH($S$2:$S$65,G839),$T$2:$T$65),"Misc")</f>
        <v>COTS</v>
      </c>
      <c r="O839" t="str" cm="1">
        <f t="array" ref="O839">IFERROR(LOOKUP(2,1/SEARCH($V$2:$V$65,G839),$W$2:$W$65),"Misc")</f>
        <v>Fasteners</v>
      </c>
      <c r="P839" t="str" cm="1">
        <f t="array" ref="P839">IFERROR(LOOKUP(2,1/SEARCH($Y$2:$Y$65,G839),$Z$2:$Z$65),"Not Defined")</f>
        <v>INSERT</v>
      </c>
      <c r="Q839" t="str" cm="1">
        <f t="array" ref="Q839">IFERROR(LOOKUP(2,1/SEARCH($S$2:$S$65,H839),$T$2:$T$65),"-")</f>
        <v>COTS</v>
      </c>
    </row>
    <row r="840" spans="1:17" hidden="1" x14ac:dyDescent="0.25">
      <c r="A840" t="s">
        <v>7673</v>
      </c>
      <c r="B840" t="s">
        <v>2245</v>
      </c>
      <c r="C840">
        <v>1</v>
      </c>
      <c r="D840" t="s">
        <v>7266</v>
      </c>
      <c r="F840" t="s">
        <v>2246</v>
      </c>
      <c r="G840" t="s">
        <v>7266</v>
      </c>
      <c r="H840" t="s">
        <v>2247</v>
      </c>
      <c r="J840" t="s">
        <v>7742</v>
      </c>
      <c r="K840" t="s">
        <v>7826</v>
      </c>
      <c r="L840" t="s">
        <v>7826</v>
      </c>
      <c r="N840" t="str" cm="1">
        <f t="array" ref="N840">IFERROR(LOOKUP(2,1/SEARCH($S$2:$S$65,G840),$T$2:$T$65),"Misc")</f>
        <v>OH ASSY</v>
      </c>
      <c r="O840" t="str" cm="1">
        <f t="array" ref="O840">IFERROR(LOOKUP(2,1/SEARCH($V$2:$V$65,G840),$W$2:$W$65),"Misc")</f>
        <v>OH Part</v>
      </c>
      <c r="P840" t="str" cm="1">
        <f t="array" ref="P840">IFERROR(LOOKUP(2,1/SEARCH($Y$2:$Y$65,G840),$Z$2:$Z$65),"Not Defined")</f>
        <v>OH Part</v>
      </c>
      <c r="Q840" t="str" cm="1">
        <f t="array" ref="Q840">IFERROR(LOOKUP(2,1/SEARCH($S$2:$S$65,H840),$T$2:$T$65),"-")</f>
        <v>OH ASSY</v>
      </c>
    </row>
    <row r="841" spans="1:17" hidden="1" x14ac:dyDescent="0.25">
      <c r="A841" t="s">
        <v>7673</v>
      </c>
      <c r="B841" t="s">
        <v>2248</v>
      </c>
      <c r="C841">
        <v>1</v>
      </c>
      <c r="D841" t="s">
        <v>7266</v>
      </c>
      <c r="F841" t="s">
        <v>2249</v>
      </c>
      <c r="G841" t="s">
        <v>2251</v>
      </c>
      <c r="H841" t="s">
        <v>2250</v>
      </c>
      <c r="I841" t="s">
        <v>13</v>
      </c>
      <c r="J841" t="s">
        <v>7682</v>
      </c>
      <c r="K841" t="s">
        <v>7826</v>
      </c>
      <c r="L841" t="s">
        <v>7826</v>
      </c>
      <c r="N841" t="str" cm="1">
        <f t="array" ref="N841">IFERROR(LOOKUP(2,1/SEARCH($S$2:$S$65,G841),$T$2:$T$65),"Misc")</f>
        <v>OH P/N</v>
      </c>
      <c r="O841" t="str" cm="1">
        <f t="array" ref="O841">IFERROR(LOOKUP(2,1/SEARCH($V$2:$V$65,G841),$W$2:$W$65),"Misc")</f>
        <v>OH Part</v>
      </c>
      <c r="P841" t="str" cm="1">
        <f t="array" ref="P841">IFERROR(LOOKUP(2,1/SEARCH($Y$2:$Y$65,G841),$Z$2:$Z$65),"Not Defined")</f>
        <v>OH Part</v>
      </c>
      <c r="Q841" t="str" cm="1">
        <f t="array" ref="Q841">IFERROR(LOOKUP(2,1/SEARCH($S$2:$S$65,H841),$T$2:$T$65),"-")</f>
        <v>-</v>
      </c>
    </row>
    <row r="842" spans="1:17" hidden="1" x14ac:dyDescent="0.25">
      <c r="A842" t="s">
        <v>7673</v>
      </c>
      <c r="B842" t="s">
        <v>2252</v>
      </c>
      <c r="C842">
        <v>5</v>
      </c>
      <c r="D842" t="s">
        <v>7266</v>
      </c>
      <c r="F842" t="s">
        <v>904</v>
      </c>
      <c r="G842" t="s">
        <v>7126</v>
      </c>
      <c r="H842" t="s">
        <v>905</v>
      </c>
      <c r="I842" t="s">
        <v>228</v>
      </c>
      <c r="J842" t="s">
        <v>7703</v>
      </c>
      <c r="K842" t="s">
        <v>7684</v>
      </c>
      <c r="L842" t="s">
        <v>7692</v>
      </c>
      <c r="N842" t="str" cm="1">
        <f t="array" ref="N842">IFERROR(LOOKUP(2,1/SEARCH($S$2:$S$65,G842),$T$2:$T$65),"Misc")</f>
        <v>COTS</v>
      </c>
      <c r="O842" t="str" cm="1">
        <f t="array" ref="O842">IFERROR(LOOKUP(2,1/SEARCH($V$2:$V$65,G842),$W$2:$W$65),"Misc")</f>
        <v>Fasteners</v>
      </c>
      <c r="P842" t="str" cm="1">
        <f t="array" ref="P842">IFERROR(LOOKUP(2,1/SEARCH($Y$2:$Y$65,G842),$Z$2:$Z$65),"Not Defined")</f>
        <v>WASHER</v>
      </c>
      <c r="Q842" t="str" cm="1">
        <f t="array" ref="Q842">IFERROR(LOOKUP(2,1/SEARCH($S$2:$S$65,H842),$T$2:$T$65),"-")</f>
        <v>COTS</v>
      </c>
    </row>
    <row r="843" spans="1:17" hidden="1" x14ac:dyDescent="0.25">
      <c r="A843" t="s">
        <v>7673</v>
      </c>
      <c r="B843" t="s">
        <v>2253</v>
      </c>
      <c r="C843">
        <v>5</v>
      </c>
      <c r="D843" t="s">
        <v>7266</v>
      </c>
      <c r="F843" t="s">
        <v>941</v>
      </c>
      <c r="G843" t="s">
        <v>7136</v>
      </c>
      <c r="H843" t="s">
        <v>942</v>
      </c>
      <c r="I843" t="s">
        <v>210</v>
      </c>
      <c r="J843" t="s">
        <v>7703</v>
      </c>
      <c r="K843" t="s">
        <v>7684</v>
      </c>
      <c r="L843" t="s">
        <v>7685</v>
      </c>
      <c r="N843" t="str" cm="1">
        <f t="array" ref="N843">IFERROR(LOOKUP(2,1/SEARCH($S$2:$S$65,G843),$T$2:$T$65),"Misc")</f>
        <v>COTS</v>
      </c>
      <c r="O843" t="str" cm="1">
        <f t="array" ref="O843">IFERROR(LOOKUP(2,1/SEARCH($V$2:$V$65,G843),$W$2:$W$65),"Misc")</f>
        <v>Fasteners</v>
      </c>
      <c r="P843" t="str" cm="1">
        <f t="array" ref="P843">IFERROR(LOOKUP(2,1/SEARCH($Y$2:$Y$65,G843),$Z$2:$Z$65),"Not Defined")</f>
        <v>NUT</v>
      </c>
      <c r="Q843" t="str" cm="1">
        <f t="array" ref="Q843">IFERROR(LOOKUP(2,1/SEARCH($S$2:$S$65,H843),$T$2:$T$65),"-")</f>
        <v>COTS</v>
      </c>
    </row>
    <row r="844" spans="1:17" hidden="1" x14ac:dyDescent="0.25">
      <c r="A844" t="s">
        <v>7673</v>
      </c>
      <c r="B844" t="s">
        <v>2254</v>
      </c>
      <c r="C844">
        <v>5</v>
      </c>
      <c r="D844" t="s">
        <v>7266</v>
      </c>
      <c r="F844" t="s">
        <v>580</v>
      </c>
      <c r="G844" t="s">
        <v>7105</v>
      </c>
      <c r="H844" t="s">
        <v>581</v>
      </c>
      <c r="I844" t="s">
        <v>210</v>
      </c>
      <c r="J844" t="s">
        <v>7703</v>
      </c>
      <c r="K844" t="s">
        <v>7684</v>
      </c>
      <c r="L844" t="s">
        <v>7691</v>
      </c>
      <c r="N844" t="str" cm="1">
        <f t="array" ref="N844">IFERROR(LOOKUP(2,1/SEARCH($S$2:$S$65,G844),$T$2:$T$65),"Misc")</f>
        <v>COTS</v>
      </c>
      <c r="O844" t="str" cm="1">
        <f t="array" ref="O844">IFERROR(LOOKUP(2,1/SEARCH($V$2:$V$65,G844),$W$2:$W$65),"Misc")</f>
        <v>Fasteners</v>
      </c>
      <c r="P844" t="str" cm="1">
        <f t="array" ref="P844">IFERROR(LOOKUP(2,1/SEARCH($Y$2:$Y$65,G844),$Z$2:$Z$65),"Not Defined")</f>
        <v>FHS</v>
      </c>
      <c r="Q844" t="str" cm="1">
        <f t="array" ref="Q844">IFERROR(LOOKUP(2,1/SEARCH($S$2:$S$65,H844),$T$2:$T$65),"-")</f>
        <v>COTS</v>
      </c>
    </row>
    <row r="845" spans="1:17" hidden="1" x14ac:dyDescent="0.25">
      <c r="A845" t="s">
        <v>7673</v>
      </c>
      <c r="B845" t="s">
        <v>2255</v>
      </c>
      <c r="C845">
        <v>4</v>
      </c>
      <c r="D845" t="s">
        <v>7266</v>
      </c>
      <c r="F845" t="s">
        <v>2256</v>
      </c>
      <c r="G845" t="s">
        <v>7267</v>
      </c>
      <c r="H845" t="s">
        <v>2257</v>
      </c>
      <c r="I845" t="s">
        <v>210</v>
      </c>
      <c r="J845" t="s">
        <v>7703</v>
      </c>
      <c r="K845" t="s">
        <v>7684</v>
      </c>
      <c r="L845" t="s">
        <v>7700</v>
      </c>
      <c r="N845" t="str" cm="1">
        <f t="array" ref="N845">IFERROR(LOOKUP(2,1/SEARCH($S$2:$S$65,G845),$T$2:$T$65),"Misc")</f>
        <v>COTS</v>
      </c>
      <c r="O845" t="str" cm="1">
        <f t="array" ref="O845">IFERROR(LOOKUP(2,1/SEARCH($V$2:$V$65,G845),$W$2:$W$65),"Misc")</f>
        <v>Fasteners</v>
      </c>
      <c r="P845" t="str" cm="1">
        <f t="array" ref="P845">IFERROR(LOOKUP(2,1/SEARCH($Y$2:$Y$65,G845),$Z$2:$Z$65),"Not Defined")</f>
        <v>SHCS</v>
      </c>
      <c r="Q845" t="str" cm="1">
        <f t="array" ref="Q845">IFERROR(LOOKUP(2,1/SEARCH($S$2:$S$65,H845),$T$2:$T$65),"-")</f>
        <v>COTS</v>
      </c>
    </row>
    <row r="846" spans="1:17" hidden="1" x14ac:dyDescent="0.25">
      <c r="A846" t="s">
        <v>7673</v>
      </c>
      <c r="B846" t="s">
        <v>2258</v>
      </c>
      <c r="C846">
        <v>8</v>
      </c>
      <c r="D846" t="s">
        <v>7266</v>
      </c>
      <c r="F846" t="s">
        <v>1626</v>
      </c>
      <c r="G846" t="s">
        <v>7232</v>
      </c>
      <c r="H846" t="s">
        <v>1627</v>
      </c>
      <c r="I846" t="s">
        <v>224</v>
      </c>
      <c r="J846" t="s">
        <v>7703</v>
      </c>
      <c r="K846" t="s">
        <v>7684</v>
      </c>
      <c r="L846" t="s">
        <v>7687</v>
      </c>
      <c r="N846" t="str" cm="1">
        <f t="array" ref="N846">IFERROR(LOOKUP(2,1/SEARCH($S$2:$S$65,G846),$T$2:$T$65),"Misc")</f>
        <v>COTS</v>
      </c>
      <c r="O846" t="str" cm="1">
        <f t="array" ref="O846">IFERROR(LOOKUP(2,1/SEARCH($V$2:$V$65,G846),$W$2:$W$65),"Misc")</f>
        <v>Fasteners</v>
      </c>
      <c r="P846" t="str" cm="1">
        <f t="array" ref="P846">IFERROR(LOOKUP(2,1/SEARCH($Y$2:$Y$65,G846),$Z$2:$Z$65),"Not Defined")</f>
        <v>INSERT</v>
      </c>
      <c r="Q846" t="str" cm="1">
        <f t="array" ref="Q846">IFERROR(LOOKUP(2,1/SEARCH($S$2:$S$65,H846),$T$2:$T$65),"-")</f>
        <v>COTS</v>
      </c>
    </row>
    <row r="847" spans="1:17" hidden="1" x14ac:dyDescent="0.25">
      <c r="A847" t="s">
        <v>7673</v>
      </c>
      <c r="B847" s="2" t="s">
        <v>2259</v>
      </c>
      <c r="C847">
        <v>1</v>
      </c>
      <c r="D847" t="s">
        <v>7266</v>
      </c>
      <c r="E847" t="s">
        <v>2261</v>
      </c>
      <c r="F847" t="s">
        <v>2260</v>
      </c>
      <c r="G847" t="s">
        <v>7268</v>
      </c>
      <c r="H847" t="s">
        <v>2261</v>
      </c>
      <c r="J847" t="s">
        <v>7742</v>
      </c>
      <c r="K847" t="s">
        <v>7826</v>
      </c>
      <c r="L847" t="s">
        <v>7826</v>
      </c>
      <c r="N847" t="str" cm="1">
        <f t="array" ref="N847">IFERROR(LOOKUP(2,1/SEARCH($S$2:$S$65,G847),$T$2:$T$65),"Misc")</f>
        <v>OH ASSY</v>
      </c>
      <c r="O847" t="str" cm="1">
        <f t="array" ref="O847">IFERROR(LOOKUP(2,1/SEARCH($V$2:$V$65,G847),$W$2:$W$65),"Misc")</f>
        <v>OH Part</v>
      </c>
      <c r="P847" t="str" cm="1">
        <f t="array" ref="P847">IFERROR(LOOKUP(2,1/SEARCH($Y$2:$Y$65,G847),$Z$2:$Z$65),"Not Defined")</f>
        <v>OH Part</v>
      </c>
      <c r="Q847" t="str" cm="1">
        <f t="array" ref="Q847">IFERROR(LOOKUP(2,1/SEARCH($S$2:$S$65,H847),$T$2:$T$65),"-")</f>
        <v>OH ASSY</v>
      </c>
    </row>
    <row r="848" spans="1:17" hidden="1" x14ac:dyDescent="0.25">
      <c r="A848" t="s">
        <v>7673</v>
      </c>
      <c r="B848" s="2" t="s">
        <v>2262</v>
      </c>
      <c r="C848">
        <v>1</v>
      </c>
      <c r="D848" t="s">
        <v>7266</v>
      </c>
      <c r="E848" t="s">
        <v>2261</v>
      </c>
      <c r="F848" t="s">
        <v>2263</v>
      </c>
      <c r="G848" t="s">
        <v>2265</v>
      </c>
      <c r="H848" t="s">
        <v>2264</v>
      </c>
      <c r="I848" t="s">
        <v>13</v>
      </c>
      <c r="J848" t="s">
        <v>7682</v>
      </c>
      <c r="K848" t="s">
        <v>7826</v>
      </c>
      <c r="L848" t="s">
        <v>7826</v>
      </c>
      <c r="N848" t="str" cm="1">
        <f t="array" ref="N848">IFERROR(LOOKUP(2,1/SEARCH($S$2:$S$65,G848),$T$2:$T$65),"Misc")</f>
        <v>OH P/N</v>
      </c>
      <c r="O848" t="str" cm="1">
        <f t="array" ref="O848">IFERROR(LOOKUP(2,1/SEARCH($V$2:$V$65,G848),$W$2:$W$65),"Misc")</f>
        <v>OH Part</v>
      </c>
      <c r="P848" t="str" cm="1">
        <f t="array" ref="P848">IFERROR(LOOKUP(2,1/SEARCH($Y$2:$Y$65,G848),$Z$2:$Z$65),"Not Defined")</f>
        <v>OH Part</v>
      </c>
      <c r="Q848" t="str" cm="1">
        <f t="array" ref="Q848">IFERROR(LOOKUP(2,1/SEARCH($S$2:$S$65,H848),$T$2:$T$65),"-")</f>
        <v>-</v>
      </c>
    </row>
    <row r="849" spans="1:17" hidden="1" x14ac:dyDescent="0.25">
      <c r="A849" t="s">
        <v>7673</v>
      </c>
      <c r="B849" s="2" t="s">
        <v>2266</v>
      </c>
      <c r="C849">
        <v>2</v>
      </c>
      <c r="D849" t="s">
        <v>7266</v>
      </c>
      <c r="E849" t="s">
        <v>2261</v>
      </c>
      <c r="F849" t="s">
        <v>2267</v>
      </c>
      <c r="G849" t="s">
        <v>2269</v>
      </c>
      <c r="H849" t="s">
        <v>2268</v>
      </c>
      <c r="I849" t="s">
        <v>293</v>
      </c>
      <c r="J849" t="s">
        <v>7682</v>
      </c>
      <c r="K849" t="s">
        <v>7826</v>
      </c>
      <c r="L849" t="s">
        <v>7826</v>
      </c>
      <c r="N849" t="str" cm="1">
        <f t="array" ref="N849">IFERROR(LOOKUP(2,1/SEARCH($S$2:$S$65,G849),$T$2:$T$65),"Misc")</f>
        <v>OH P/N</v>
      </c>
      <c r="O849" t="str" cm="1">
        <f t="array" ref="O849">IFERROR(LOOKUP(2,1/SEARCH($V$2:$V$65,G849),$W$2:$W$65),"Misc")</f>
        <v>OH Part</v>
      </c>
      <c r="P849" t="str" cm="1">
        <f t="array" ref="P849">IFERROR(LOOKUP(2,1/SEARCH($Y$2:$Y$65,G849),$Z$2:$Z$65),"Not Defined")</f>
        <v>OH Part</v>
      </c>
      <c r="Q849" t="str" cm="1">
        <f t="array" ref="Q849">IFERROR(LOOKUP(2,1/SEARCH($S$2:$S$65,H849),$T$2:$T$65),"-")</f>
        <v>-</v>
      </c>
    </row>
    <row r="850" spans="1:17" hidden="1" x14ac:dyDescent="0.25">
      <c r="A850" t="s">
        <v>7673</v>
      </c>
      <c r="B850" s="2" t="s">
        <v>2270</v>
      </c>
      <c r="C850">
        <v>2</v>
      </c>
      <c r="D850" t="s">
        <v>7266</v>
      </c>
      <c r="E850" t="s">
        <v>2261</v>
      </c>
      <c r="F850" t="s">
        <v>2271</v>
      </c>
      <c r="G850" t="s">
        <v>2273</v>
      </c>
      <c r="H850" t="s">
        <v>2272</v>
      </c>
      <c r="I850" t="s">
        <v>358</v>
      </c>
      <c r="J850" t="s">
        <v>7682</v>
      </c>
      <c r="K850" t="s">
        <v>7826</v>
      </c>
      <c r="L850" t="s">
        <v>7826</v>
      </c>
      <c r="N850" t="str" cm="1">
        <f t="array" ref="N850">IFERROR(LOOKUP(2,1/SEARCH($S$2:$S$65,G850),$T$2:$T$65),"Misc")</f>
        <v>OH P/N</v>
      </c>
      <c r="O850" t="str" cm="1">
        <f t="array" ref="O850">IFERROR(LOOKUP(2,1/SEARCH($V$2:$V$65,G850),$W$2:$W$65),"Misc")</f>
        <v>OH Part</v>
      </c>
      <c r="P850" t="str" cm="1">
        <f t="array" ref="P850">IFERROR(LOOKUP(2,1/SEARCH($Y$2:$Y$65,G850),$Z$2:$Z$65),"Not Defined")</f>
        <v>OH Part</v>
      </c>
      <c r="Q850" t="str" cm="1">
        <f t="array" ref="Q850">IFERROR(LOOKUP(2,1/SEARCH($S$2:$S$65,H850),$T$2:$T$65),"-")</f>
        <v>-</v>
      </c>
    </row>
    <row r="851" spans="1:17" hidden="1" x14ac:dyDescent="0.25">
      <c r="A851" t="s">
        <v>7673</v>
      </c>
      <c r="B851" s="2" t="s">
        <v>2274</v>
      </c>
      <c r="C851">
        <v>6</v>
      </c>
      <c r="D851" t="s">
        <v>7266</v>
      </c>
      <c r="E851" t="s">
        <v>2261</v>
      </c>
      <c r="F851" t="s">
        <v>265</v>
      </c>
      <c r="G851" t="s">
        <v>7099</v>
      </c>
      <c r="H851" t="s">
        <v>266</v>
      </c>
      <c r="I851" t="s">
        <v>224</v>
      </c>
      <c r="J851" t="s">
        <v>7703</v>
      </c>
      <c r="K851" t="s">
        <v>7684</v>
      </c>
      <c r="L851" t="s">
        <v>7687</v>
      </c>
      <c r="N851" t="str" cm="1">
        <f t="array" ref="N851">IFERROR(LOOKUP(2,1/SEARCH($S$2:$S$65,G851),$T$2:$T$65),"Misc")</f>
        <v>COTS</v>
      </c>
      <c r="O851" t="str" cm="1">
        <f t="array" ref="O851">IFERROR(LOOKUP(2,1/SEARCH($V$2:$V$65,G851),$W$2:$W$65),"Misc")</f>
        <v>Fasteners</v>
      </c>
      <c r="P851" t="str" cm="1">
        <f t="array" ref="P851">IFERROR(LOOKUP(2,1/SEARCH($Y$2:$Y$65,G851),$Z$2:$Z$65),"Not Defined")</f>
        <v>INSERT</v>
      </c>
      <c r="Q851" t="str" cm="1">
        <f t="array" ref="Q851">IFERROR(LOOKUP(2,1/SEARCH($S$2:$S$65,H851),$T$2:$T$65),"-")</f>
        <v>COTS</v>
      </c>
    </row>
    <row r="852" spans="1:17" hidden="1" x14ac:dyDescent="0.25">
      <c r="A852" t="s">
        <v>7673</v>
      </c>
      <c r="B852" s="2" t="s">
        <v>2275</v>
      </c>
      <c r="C852">
        <v>2</v>
      </c>
      <c r="D852" t="s">
        <v>7266</v>
      </c>
      <c r="E852" t="s">
        <v>2261</v>
      </c>
      <c r="F852" t="s">
        <v>1626</v>
      </c>
      <c r="G852" t="s">
        <v>7232</v>
      </c>
      <c r="H852" t="s">
        <v>1627</v>
      </c>
      <c r="I852" t="s">
        <v>224</v>
      </c>
      <c r="J852" t="s">
        <v>7703</v>
      </c>
      <c r="K852" t="s">
        <v>7684</v>
      </c>
      <c r="L852" t="s">
        <v>7687</v>
      </c>
      <c r="N852" t="str" cm="1">
        <f t="array" ref="N852">IFERROR(LOOKUP(2,1/SEARCH($S$2:$S$65,G852),$T$2:$T$65),"Misc")</f>
        <v>COTS</v>
      </c>
      <c r="O852" t="str" cm="1">
        <f t="array" ref="O852">IFERROR(LOOKUP(2,1/SEARCH($V$2:$V$65,G852),$W$2:$W$65),"Misc")</f>
        <v>Fasteners</v>
      </c>
      <c r="P852" t="str" cm="1">
        <f t="array" ref="P852">IFERROR(LOOKUP(2,1/SEARCH($Y$2:$Y$65,G852),$Z$2:$Z$65),"Not Defined")</f>
        <v>INSERT</v>
      </c>
      <c r="Q852" t="str" cm="1">
        <f t="array" ref="Q852">IFERROR(LOOKUP(2,1/SEARCH($S$2:$S$65,H852),$T$2:$T$65),"-")</f>
        <v>COTS</v>
      </c>
    </row>
    <row r="853" spans="1:17" hidden="1" x14ac:dyDescent="0.25">
      <c r="A853" t="s">
        <v>7673</v>
      </c>
      <c r="B853" s="2" t="s">
        <v>2276</v>
      </c>
      <c r="C853">
        <v>2</v>
      </c>
      <c r="D853" t="s">
        <v>7266</v>
      </c>
      <c r="E853" t="s">
        <v>2261</v>
      </c>
      <c r="F853" t="s">
        <v>482</v>
      </c>
      <c r="G853" t="s">
        <v>7093</v>
      </c>
      <c r="H853" t="s">
        <v>483</v>
      </c>
      <c r="I853" t="s">
        <v>484</v>
      </c>
      <c r="J853" t="s">
        <v>7703</v>
      </c>
      <c r="K853" t="s">
        <v>7677</v>
      </c>
      <c r="L853" t="s">
        <v>7677</v>
      </c>
      <c r="N853" t="str" cm="1">
        <f t="array" ref="N853">IFERROR(LOOKUP(2,1/SEARCH($S$2:$S$65,G853),$T$2:$T$65),"Misc")</f>
        <v>COTS</v>
      </c>
      <c r="O853" t="str" cm="1">
        <f t="array" ref="O853">IFERROR(LOOKUP(2,1/SEARCH($V$2:$V$65,G853),$W$2:$W$65),"Misc")</f>
        <v>SWITCH</v>
      </c>
      <c r="P853" t="str" cm="1">
        <f t="array" ref="P853">IFERROR(LOOKUP(2,1/SEARCH($Y$2:$Y$65,G853),$Z$2:$Z$65),"Not Defined")</f>
        <v>SWITCH</v>
      </c>
      <c r="Q853" t="str" cm="1">
        <f t="array" ref="Q853">IFERROR(LOOKUP(2,1/SEARCH($S$2:$S$65,H853),$T$2:$T$65),"-")</f>
        <v>COTS</v>
      </c>
    </row>
    <row r="854" spans="1:17" hidden="1" x14ac:dyDescent="0.25">
      <c r="A854" t="s">
        <v>7673</v>
      </c>
      <c r="B854" s="2" t="s">
        <v>2277</v>
      </c>
      <c r="C854">
        <v>6</v>
      </c>
      <c r="D854" t="s">
        <v>7266</v>
      </c>
      <c r="E854" t="s">
        <v>2261</v>
      </c>
      <c r="F854" t="s">
        <v>563</v>
      </c>
      <c r="G854" t="s">
        <v>7100</v>
      </c>
      <c r="H854" t="s">
        <v>564</v>
      </c>
      <c r="I854" t="s">
        <v>228</v>
      </c>
      <c r="J854" t="s">
        <v>7703</v>
      </c>
      <c r="K854" t="s">
        <v>7684</v>
      </c>
      <c r="L854" t="s">
        <v>7693</v>
      </c>
      <c r="N854" t="str" cm="1">
        <f t="array" ref="N854">IFERROR(LOOKUP(2,1/SEARCH($S$2:$S$65,G854),$T$2:$T$65),"Misc")</f>
        <v>COTS</v>
      </c>
      <c r="O854" t="str" cm="1">
        <f t="array" ref="O854">IFERROR(LOOKUP(2,1/SEARCH($V$2:$V$65,G854),$W$2:$W$65),"Misc")</f>
        <v>Fasteners</v>
      </c>
      <c r="P854" t="str" cm="1">
        <f t="array" ref="P854">IFERROR(LOOKUP(2,1/SEARCH($Y$2:$Y$65,G854),$Z$2:$Z$65),"Not Defined")</f>
        <v>PHS</v>
      </c>
      <c r="Q854" t="str" cm="1">
        <f t="array" ref="Q854">IFERROR(LOOKUP(2,1/SEARCH($S$2:$S$65,H854),$T$2:$T$65),"-")</f>
        <v>COTS</v>
      </c>
    </row>
    <row r="855" spans="1:17" hidden="1" x14ac:dyDescent="0.25">
      <c r="A855" t="s">
        <v>7673</v>
      </c>
      <c r="B855" s="2" t="s">
        <v>2278</v>
      </c>
      <c r="C855">
        <v>2</v>
      </c>
      <c r="D855" t="s">
        <v>7266</v>
      </c>
      <c r="E855" t="s">
        <v>2261</v>
      </c>
      <c r="F855" t="s">
        <v>2279</v>
      </c>
      <c r="G855" t="s">
        <v>7269</v>
      </c>
      <c r="H855" t="s">
        <v>2280</v>
      </c>
      <c r="I855" t="s">
        <v>210</v>
      </c>
      <c r="J855" t="s">
        <v>7703</v>
      </c>
      <c r="K855" t="s">
        <v>7684</v>
      </c>
      <c r="L855" t="s">
        <v>7700</v>
      </c>
      <c r="N855" t="str" cm="1">
        <f t="array" ref="N855">IFERROR(LOOKUP(2,1/SEARCH($S$2:$S$65,G855),$T$2:$T$65),"Misc")</f>
        <v>COTS</v>
      </c>
      <c r="O855" t="str" cm="1">
        <f t="array" ref="O855">IFERROR(LOOKUP(2,1/SEARCH($V$2:$V$65,G855),$W$2:$W$65),"Misc")</f>
        <v>Fasteners</v>
      </c>
      <c r="P855" t="str" cm="1">
        <f t="array" ref="P855">IFERROR(LOOKUP(2,1/SEARCH($Y$2:$Y$65,G855),$Z$2:$Z$65),"Not Defined")</f>
        <v>SHCS</v>
      </c>
      <c r="Q855" t="str" cm="1">
        <f t="array" ref="Q855">IFERROR(LOOKUP(2,1/SEARCH($S$2:$S$65,H855),$T$2:$T$65),"-")</f>
        <v>COTS</v>
      </c>
    </row>
    <row r="856" spans="1:17" hidden="1" x14ac:dyDescent="0.25">
      <c r="A856" t="s">
        <v>7673</v>
      </c>
      <c r="B856" s="2" t="s">
        <v>2281</v>
      </c>
      <c r="C856">
        <v>2</v>
      </c>
      <c r="D856" t="s">
        <v>7266</v>
      </c>
      <c r="E856" t="s">
        <v>2261</v>
      </c>
      <c r="F856" t="s">
        <v>360</v>
      </c>
      <c r="G856" t="s">
        <v>7076</v>
      </c>
      <c r="H856" t="s">
        <v>361</v>
      </c>
      <c r="I856" t="s">
        <v>228</v>
      </c>
      <c r="J856" t="s">
        <v>7703</v>
      </c>
      <c r="K856" t="s">
        <v>7684</v>
      </c>
      <c r="L856" t="s">
        <v>7721</v>
      </c>
      <c r="N856" t="str" cm="1">
        <f t="array" ref="N856">IFERROR(LOOKUP(2,1/SEARCH($S$2:$S$65,G856),$T$2:$T$65),"Misc")</f>
        <v>COTS</v>
      </c>
      <c r="O856" t="str" cm="1">
        <f t="array" ref="O856">IFERROR(LOOKUP(2,1/SEARCH($V$2:$V$65,G856),$W$2:$W$65),"Misc")</f>
        <v>Fasteners</v>
      </c>
      <c r="P856" t="str" cm="1">
        <f t="array" ref="P856">IFERROR(LOOKUP(2,1/SEARCH($Y$2:$Y$65,G856),$Z$2:$Z$65),"Not Defined")</f>
        <v>SET SCREW</v>
      </c>
      <c r="Q856" t="str" cm="1">
        <f t="array" ref="Q856">IFERROR(LOOKUP(2,1/SEARCH($S$2:$S$65,H856),$T$2:$T$65),"-")</f>
        <v>COTS</v>
      </c>
    </row>
    <row r="857" spans="1:17" hidden="1" x14ac:dyDescent="0.25">
      <c r="A857" t="s">
        <v>7673</v>
      </c>
      <c r="B857" s="2" t="s">
        <v>2282</v>
      </c>
      <c r="C857">
        <v>1</v>
      </c>
      <c r="D857" t="s">
        <v>7266</v>
      </c>
      <c r="E857" t="s">
        <v>7877</v>
      </c>
      <c r="F857" t="s">
        <v>2283</v>
      </c>
      <c r="G857" t="s">
        <v>7270</v>
      </c>
      <c r="H857" t="s">
        <v>2284</v>
      </c>
      <c r="J857" t="s">
        <v>7682</v>
      </c>
      <c r="K857" t="s">
        <v>7826</v>
      </c>
      <c r="L857" t="s">
        <v>7826</v>
      </c>
      <c r="N857" t="str" cm="1">
        <f t="array" ref="N857">IFERROR(LOOKUP(2,1/SEARCH($S$2:$S$65,G857),$T$2:$T$65),"Misc")</f>
        <v>OH P/N</v>
      </c>
      <c r="O857" t="str" cm="1">
        <f t="array" ref="O857">IFERROR(LOOKUP(2,1/SEARCH($V$2:$V$65,G857),$W$2:$W$65),"Misc")</f>
        <v>OH Part</v>
      </c>
      <c r="P857" t="str" cm="1">
        <f t="array" ref="P857">IFERROR(LOOKUP(2,1/SEARCH($Y$2:$Y$65,G857),$Z$2:$Z$65),"Not Defined")</f>
        <v>OH Part</v>
      </c>
      <c r="Q857" t="str" cm="1">
        <f t="array" ref="Q857">IFERROR(LOOKUP(2,1/SEARCH($S$2:$S$65,H857),$T$2:$T$65),"-")</f>
        <v>-</v>
      </c>
    </row>
    <row r="858" spans="1:17" hidden="1" x14ac:dyDescent="0.25">
      <c r="A858" t="s">
        <v>7673</v>
      </c>
      <c r="B858" s="2" t="s">
        <v>2285</v>
      </c>
      <c r="C858">
        <v>2</v>
      </c>
      <c r="D858" t="s">
        <v>7266</v>
      </c>
      <c r="E858" t="s">
        <v>7877</v>
      </c>
      <c r="F858" t="s">
        <v>2286</v>
      </c>
      <c r="G858" t="s">
        <v>2288</v>
      </c>
      <c r="H858" t="s">
        <v>2287</v>
      </c>
      <c r="I858" t="s">
        <v>13</v>
      </c>
      <c r="J858" t="s">
        <v>7682</v>
      </c>
      <c r="K858" t="s">
        <v>7826</v>
      </c>
      <c r="L858" t="s">
        <v>7826</v>
      </c>
      <c r="N858" t="str" cm="1">
        <f t="array" ref="N858">IFERROR(LOOKUP(2,1/SEARCH($S$2:$S$65,G858),$T$2:$T$65),"Misc")</f>
        <v>OH P/N</v>
      </c>
      <c r="O858" t="str" cm="1">
        <f t="array" ref="O858">IFERROR(LOOKUP(2,1/SEARCH($V$2:$V$65,G858),$W$2:$W$65),"Misc")</f>
        <v>OH Part</v>
      </c>
      <c r="P858" t="str" cm="1">
        <f t="array" ref="P858">IFERROR(LOOKUP(2,1/SEARCH($Y$2:$Y$65,G858),$Z$2:$Z$65),"Not Defined")</f>
        <v>OH Part</v>
      </c>
      <c r="Q858" t="str" cm="1">
        <f t="array" ref="Q858">IFERROR(LOOKUP(2,1/SEARCH($S$2:$S$65,H858),$T$2:$T$65),"-")</f>
        <v>-</v>
      </c>
    </row>
    <row r="859" spans="1:17" hidden="1" x14ac:dyDescent="0.25">
      <c r="A859" t="s">
        <v>7673</v>
      </c>
      <c r="B859" s="2" t="s">
        <v>2289</v>
      </c>
      <c r="C859">
        <v>2</v>
      </c>
      <c r="D859" t="s">
        <v>7266</v>
      </c>
      <c r="E859" t="s">
        <v>7877</v>
      </c>
      <c r="F859" t="s">
        <v>2290</v>
      </c>
      <c r="G859" t="s">
        <v>2292</v>
      </c>
      <c r="H859" t="s">
        <v>2291</v>
      </c>
      <c r="I859" t="s">
        <v>293</v>
      </c>
      <c r="J859" t="s">
        <v>7682</v>
      </c>
      <c r="K859" t="s">
        <v>7826</v>
      </c>
      <c r="L859" t="s">
        <v>7826</v>
      </c>
      <c r="N859" t="str" cm="1">
        <f t="array" ref="N859">IFERROR(LOOKUP(2,1/SEARCH($S$2:$S$65,G859),$T$2:$T$65),"Misc")</f>
        <v>OH P/N</v>
      </c>
      <c r="O859" t="str" cm="1">
        <f t="array" ref="O859">IFERROR(LOOKUP(2,1/SEARCH($V$2:$V$65,G859),$W$2:$W$65),"Misc")</f>
        <v>OH Part</v>
      </c>
      <c r="P859" t="str" cm="1">
        <f t="array" ref="P859">IFERROR(LOOKUP(2,1/SEARCH($Y$2:$Y$65,G859),$Z$2:$Z$65),"Not Defined")</f>
        <v>OH Part</v>
      </c>
      <c r="Q859" t="str" cm="1">
        <f t="array" ref="Q859">IFERROR(LOOKUP(2,1/SEARCH($S$2:$S$65,H859),$T$2:$T$65),"-")</f>
        <v>-</v>
      </c>
    </row>
    <row r="860" spans="1:17" hidden="1" x14ac:dyDescent="0.25">
      <c r="A860" t="s">
        <v>7673</v>
      </c>
      <c r="B860" s="2" t="s">
        <v>2293</v>
      </c>
      <c r="C860">
        <v>1</v>
      </c>
      <c r="D860" t="s">
        <v>7266</v>
      </c>
      <c r="E860" t="s">
        <v>7877</v>
      </c>
      <c r="F860" t="s">
        <v>2294</v>
      </c>
      <c r="G860" t="s">
        <v>2296</v>
      </c>
      <c r="H860" t="s">
        <v>2295</v>
      </c>
      <c r="I860" t="s">
        <v>13</v>
      </c>
      <c r="J860" t="s">
        <v>7682</v>
      </c>
      <c r="K860" t="s">
        <v>7826</v>
      </c>
      <c r="L860" t="s">
        <v>7826</v>
      </c>
      <c r="N860" t="str" cm="1">
        <f t="array" ref="N860">IFERROR(LOOKUP(2,1/SEARCH($S$2:$S$65,G860),$T$2:$T$65),"Misc")</f>
        <v>OH P/N</v>
      </c>
      <c r="O860" t="str" cm="1">
        <f t="array" ref="O860">IFERROR(LOOKUP(2,1/SEARCH($V$2:$V$65,G860),$W$2:$W$65),"Misc")</f>
        <v>OH Part</v>
      </c>
      <c r="P860" t="str" cm="1">
        <f t="array" ref="P860">IFERROR(LOOKUP(2,1/SEARCH($Y$2:$Y$65,G860),$Z$2:$Z$65),"Not Defined")</f>
        <v>OH Part</v>
      </c>
      <c r="Q860" t="str" cm="1">
        <f t="array" ref="Q860">IFERROR(LOOKUP(2,1/SEARCH($S$2:$S$65,H860),$T$2:$T$65),"-")</f>
        <v>-</v>
      </c>
    </row>
    <row r="861" spans="1:17" hidden="1" x14ac:dyDescent="0.25">
      <c r="A861" t="s">
        <v>7673</v>
      </c>
      <c r="B861" s="2" t="s">
        <v>2297</v>
      </c>
      <c r="C861">
        <v>1</v>
      </c>
      <c r="D861" t="s">
        <v>7266</v>
      </c>
      <c r="E861" t="s">
        <v>7877</v>
      </c>
      <c r="F861" t="s">
        <v>2298</v>
      </c>
      <c r="G861" t="s">
        <v>2300</v>
      </c>
      <c r="H861" t="s">
        <v>2299</v>
      </c>
      <c r="I861" t="s">
        <v>293</v>
      </c>
      <c r="J861" t="s">
        <v>7682</v>
      </c>
      <c r="K861" t="s">
        <v>7826</v>
      </c>
      <c r="L861" t="s">
        <v>7826</v>
      </c>
      <c r="N861" t="str" cm="1">
        <f t="array" ref="N861">IFERROR(LOOKUP(2,1/SEARCH($S$2:$S$65,G861),$T$2:$T$65),"Misc")</f>
        <v>OH P/N</v>
      </c>
      <c r="O861" t="str" cm="1">
        <f t="array" ref="O861">IFERROR(LOOKUP(2,1/SEARCH($V$2:$V$65,G861),$W$2:$W$65),"Misc")</f>
        <v>OH Part</v>
      </c>
      <c r="P861" t="str" cm="1">
        <f t="array" ref="P861">IFERROR(LOOKUP(2,1/SEARCH($Y$2:$Y$65,G861),$Z$2:$Z$65),"Not Defined")</f>
        <v>OH Part</v>
      </c>
      <c r="Q861" t="str" cm="1">
        <f t="array" ref="Q861">IFERROR(LOOKUP(2,1/SEARCH($S$2:$S$65,H861),$T$2:$T$65),"-")</f>
        <v>-</v>
      </c>
    </row>
    <row r="862" spans="1:17" hidden="1" x14ac:dyDescent="0.25">
      <c r="A862" t="s">
        <v>7673</v>
      </c>
      <c r="B862" s="2" t="s">
        <v>2301</v>
      </c>
      <c r="C862">
        <v>1</v>
      </c>
      <c r="D862" t="s">
        <v>7266</v>
      </c>
      <c r="E862" t="s">
        <v>7877</v>
      </c>
      <c r="F862" t="s">
        <v>2302</v>
      </c>
      <c r="G862" t="s">
        <v>2304</v>
      </c>
      <c r="H862" t="s">
        <v>2303</v>
      </c>
      <c r="I862" t="s">
        <v>13</v>
      </c>
      <c r="J862" t="s">
        <v>7682</v>
      </c>
      <c r="K862" t="s">
        <v>7826</v>
      </c>
      <c r="L862" t="s">
        <v>7826</v>
      </c>
      <c r="N862" t="str" cm="1">
        <f t="array" ref="N862">IFERROR(LOOKUP(2,1/SEARCH($S$2:$S$65,G862),$T$2:$T$65),"Misc")</f>
        <v>OH P/N</v>
      </c>
      <c r="O862" t="str" cm="1">
        <f t="array" ref="O862">IFERROR(LOOKUP(2,1/SEARCH($V$2:$V$65,G862),$W$2:$W$65),"Misc")</f>
        <v>OH Part</v>
      </c>
      <c r="P862" t="str" cm="1">
        <f t="array" ref="P862">IFERROR(LOOKUP(2,1/SEARCH($Y$2:$Y$65,G862),$Z$2:$Z$65),"Not Defined")</f>
        <v>OH Part</v>
      </c>
      <c r="Q862" t="str" cm="1">
        <f t="array" ref="Q862">IFERROR(LOOKUP(2,1/SEARCH($S$2:$S$65,H862),$T$2:$T$65),"-")</f>
        <v>-</v>
      </c>
    </row>
    <row r="863" spans="1:17" hidden="1" x14ac:dyDescent="0.25">
      <c r="A863" t="s">
        <v>7673</v>
      </c>
      <c r="B863" s="2" t="s">
        <v>2305</v>
      </c>
      <c r="C863">
        <v>1</v>
      </c>
      <c r="D863" t="s">
        <v>7266</v>
      </c>
      <c r="E863" t="s">
        <v>7877</v>
      </c>
      <c r="F863" t="s">
        <v>2306</v>
      </c>
      <c r="G863" t="s">
        <v>2308</v>
      </c>
      <c r="H863" t="s">
        <v>2307</v>
      </c>
      <c r="I863" t="s">
        <v>293</v>
      </c>
      <c r="J863" t="s">
        <v>7682</v>
      </c>
      <c r="K863" t="s">
        <v>7826</v>
      </c>
      <c r="L863" t="s">
        <v>7826</v>
      </c>
      <c r="N863" t="str" cm="1">
        <f t="array" ref="N863">IFERROR(LOOKUP(2,1/SEARCH($S$2:$S$65,G863),$T$2:$T$65),"Misc")</f>
        <v>OH P/N</v>
      </c>
      <c r="O863" t="str" cm="1">
        <f t="array" ref="O863">IFERROR(LOOKUP(2,1/SEARCH($V$2:$V$65,G863),$W$2:$W$65),"Misc")</f>
        <v>OH Part</v>
      </c>
      <c r="P863" t="str" cm="1">
        <f t="array" ref="P863">IFERROR(LOOKUP(2,1/SEARCH($Y$2:$Y$65,G863),$Z$2:$Z$65),"Not Defined")</f>
        <v>OH Part</v>
      </c>
      <c r="Q863" t="str" cm="1">
        <f t="array" ref="Q863">IFERROR(LOOKUP(2,1/SEARCH($S$2:$S$65,H863),$T$2:$T$65),"-")</f>
        <v>-</v>
      </c>
    </row>
    <row r="864" spans="1:17" hidden="1" x14ac:dyDescent="0.25">
      <c r="A864" t="s">
        <v>7673</v>
      </c>
      <c r="B864" s="2" t="s">
        <v>2309</v>
      </c>
      <c r="C864">
        <v>1</v>
      </c>
      <c r="D864" t="s">
        <v>7266</v>
      </c>
      <c r="E864" t="s">
        <v>7877</v>
      </c>
      <c r="F864" t="s">
        <v>2310</v>
      </c>
      <c r="G864" t="s">
        <v>2312</v>
      </c>
      <c r="H864" t="s">
        <v>2311</v>
      </c>
      <c r="I864" t="s">
        <v>358</v>
      </c>
      <c r="J864" t="s">
        <v>7682</v>
      </c>
      <c r="K864" t="s">
        <v>7826</v>
      </c>
      <c r="L864" t="s">
        <v>7826</v>
      </c>
      <c r="N864" t="str" cm="1">
        <f t="array" ref="N864">IFERROR(LOOKUP(2,1/SEARCH($S$2:$S$65,G864),$T$2:$T$65),"Misc")</f>
        <v>OH P/N</v>
      </c>
      <c r="O864" t="str" cm="1">
        <f t="array" ref="O864">IFERROR(LOOKUP(2,1/SEARCH($V$2:$V$65,G864),$W$2:$W$65),"Misc")</f>
        <v>OH Part</v>
      </c>
      <c r="P864" t="str" cm="1">
        <f t="array" ref="P864">IFERROR(LOOKUP(2,1/SEARCH($Y$2:$Y$65,G864),$Z$2:$Z$65),"Not Defined")</f>
        <v>OH Part</v>
      </c>
      <c r="Q864" t="str" cm="1">
        <f t="array" ref="Q864">IFERROR(LOOKUP(2,1/SEARCH($S$2:$S$65,H864),$T$2:$T$65),"-")</f>
        <v>-</v>
      </c>
    </row>
    <row r="865" spans="1:17" hidden="1" x14ac:dyDescent="0.25">
      <c r="A865" t="s">
        <v>7673</v>
      </c>
      <c r="B865" s="2" t="s">
        <v>2313</v>
      </c>
      <c r="C865">
        <v>1</v>
      </c>
      <c r="D865" t="s">
        <v>7266</v>
      </c>
      <c r="E865" t="s">
        <v>7877</v>
      </c>
      <c r="F865" t="s">
        <v>2314</v>
      </c>
      <c r="G865" t="s">
        <v>2316</v>
      </c>
      <c r="H865" t="s">
        <v>2315</v>
      </c>
      <c r="I865" t="s">
        <v>358</v>
      </c>
      <c r="J865" t="s">
        <v>7682</v>
      </c>
      <c r="K865" t="s">
        <v>7826</v>
      </c>
      <c r="L865" t="s">
        <v>7826</v>
      </c>
      <c r="N865" t="str" cm="1">
        <f t="array" ref="N865">IFERROR(LOOKUP(2,1/SEARCH($S$2:$S$65,G865),$T$2:$T$65),"Misc")</f>
        <v>OH P/N</v>
      </c>
      <c r="O865" t="str" cm="1">
        <f t="array" ref="O865">IFERROR(LOOKUP(2,1/SEARCH($V$2:$V$65,G865),$W$2:$W$65),"Misc")</f>
        <v>OH Part</v>
      </c>
      <c r="P865" t="str" cm="1">
        <f t="array" ref="P865">IFERROR(LOOKUP(2,1/SEARCH($Y$2:$Y$65,G865),$Z$2:$Z$65),"Not Defined")</f>
        <v>OH Part</v>
      </c>
      <c r="Q865" t="str" cm="1">
        <f t="array" ref="Q865">IFERROR(LOOKUP(2,1/SEARCH($S$2:$S$65,H865),$T$2:$T$65),"-")</f>
        <v>-</v>
      </c>
    </row>
    <row r="866" spans="1:17" hidden="1" x14ac:dyDescent="0.25">
      <c r="A866" t="s">
        <v>7673</v>
      </c>
      <c r="B866" s="2" t="s">
        <v>2317</v>
      </c>
      <c r="C866">
        <v>6</v>
      </c>
      <c r="D866" t="s">
        <v>7266</v>
      </c>
      <c r="E866" t="s">
        <v>7877</v>
      </c>
      <c r="F866" t="s">
        <v>2318</v>
      </c>
      <c r="G866" t="s">
        <v>2320</v>
      </c>
      <c r="H866" t="s">
        <v>2319</v>
      </c>
      <c r="I866" t="s">
        <v>358</v>
      </c>
      <c r="J866" t="s">
        <v>7682</v>
      </c>
      <c r="K866" t="s">
        <v>7826</v>
      </c>
      <c r="L866" t="s">
        <v>7826</v>
      </c>
      <c r="N866" t="str" cm="1">
        <f t="array" ref="N866">IFERROR(LOOKUP(2,1/SEARCH($S$2:$S$65,G866),$T$2:$T$65),"Misc")</f>
        <v>OH P/N</v>
      </c>
      <c r="O866" t="str" cm="1">
        <f t="array" ref="O866">IFERROR(LOOKUP(2,1/SEARCH($V$2:$V$65,G866),$W$2:$W$65),"Misc")</f>
        <v>OH Part</v>
      </c>
      <c r="P866" t="str" cm="1">
        <f t="array" ref="P866">IFERROR(LOOKUP(2,1/SEARCH($Y$2:$Y$65,G866),$Z$2:$Z$65),"Not Defined")</f>
        <v>OH Part</v>
      </c>
      <c r="Q866" t="str" cm="1">
        <f t="array" ref="Q866">IFERROR(LOOKUP(2,1/SEARCH($S$2:$S$65,H866),$T$2:$T$65),"-")</f>
        <v>-</v>
      </c>
    </row>
    <row r="867" spans="1:17" hidden="1" x14ac:dyDescent="0.25">
      <c r="A867" t="s">
        <v>7673</v>
      </c>
      <c r="B867" s="2" t="s">
        <v>2321</v>
      </c>
      <c r="C867">
        <v>6</v>
      </c>
      <c r="D867" t="s">
        <v>7266</v>
      </c>
      <c r="E867" t="s">
        <v>7877</v>
      </c>
      <c r="F867" t="s">
        <v>2322</v>
      </c>
      <c r="G867" t="s">
        <v>2324</v>
      </c>
      <c r="H867" t="s">
        <v>2323</v>
      </c>
      <c r="I867" t="s">
        <v>358</v>
      </c>
      <c r="J867" t="s">
        <v>7682</v>
      </c>
      <c r="K867" t="s">
        <v>7826</v>
      </c>
      <c r="L867" t="s">
        <v>7826</v>
      </c>
      <c r="N867" t="str" cm="1">
        <f t="array" ref="N867">IFERROR(LOOKUP(2,1/SEARCH($S$2:$S$65,G867),$T$2:$T$65),"Misc")</f>
        <v>OH P/N</v>
      </c>
      <c r="O867" t="str" cm="1">
        <f t="array" ref="O867">IFERROR(LOOKUP(2,1/SEARCH($V$2:$V$65,G867),$W$2:$W$65),"Misc")</f>
        <v>OH Part</v>
      </c>
      <c r="P867" t="str" cm="1">
        <f t="array" ref="P867">IFERROR(LOOKUP(2,1/SEARCH($Y$2:$Y$65,G867),$Z$2:$Z$65),"Not Defined")</f>
        <v>OH Part</v>
      </c>
      <c r="Q867" t="str" cm="1">
        <f t="array" ref="Q867">IFERROR(LOOKUP(2,1/SEARCH($S$2:$S$65,H867),$T$2:$T$65),"-")</f>
        <v>-</v>
      </c>
    </row>
    <row r="868" spans="1:17" hidden="1" x14ac:dyDescent="0.25">
      <c r="A868" t="s">
        <v>7673</v>
      </c>
      <c r="B868" s="2" t="s">
        <v>2325</v>
      </c>
      <c r="C868">
        <v>1</v>
      </c>
      <c r="D868" t="s">
        <v>7266</v>
      </c>
      <c r="E868" t="s">
        <v>7877</v>
      </c>
      <c r="F868" t="s">
        <v>2326</v>
      </c>
      <c r="G868" t="s">
        <v>2328</v>
      </c>
      <c r="H868" t="s">
        <v>2327</v>
      </c>
      <c r="I868" t="s">
        <v>281</v>
      </c>
      <c r="J868" t="s">
        <v>7682</v>
      </c>
      <c r="K868" t="s">
        <v>7826</v>
      </c>
      <c r="L868" t="s">
        <v>7826</v>
      </c>
      <c r="N868" t="str" cm="1">
        <f t="array" ref="N868">IFERROR(LOOKUP(2,1/SEARCH($S$2:$S$65,G868),$T$2:$T$65),"Misc")</f>
        <v>OH P/N</v>
      </c>
      <c r="O868" t="str" cm="1">
        <f t="array" ref="O868">IFERROR(LOOKUP(2,1/SEARCH($V$2:$V$65,G868),$W$2:$W$65),"Misc")</f>
        <v>OH Part</v>
      </c>
      <c r="P868" t="str" cm="1">
        <f t="array" ref="P868">IFERROR(LOOKUP(2,1/SEARCH($Y$2:$Y$65,G868),$Z$2:$Z$65),"Not Defined")</f>
        <v>OH Part</v>
      </c>
      <c r="Q868" t="str" cm="1">
        <f t="array" ref="Q868">IFERROR(LOOKUP(2,1/SEARCH($S$2:$S$65,H868),$T$2:$T$65),"-")</f>
        <v>-</v>
      </c>
    </row>
    <row r="869" spans="1:17" hidden="1" x14ac:dyDescent="0.25">
      <c r="A869" t="s">
        <v>7673</v>
      </c>
      <c r="B869" s="2" t="s">
        <v>2329</v>
      </c>
      <c r="C869">
        <v>1</v>
      </c>
      <c r="D869" t="s">
        <v>7266</v>
      </c>
      <c r="E869" t="s">
        <v>7877</v>
      </c>
      <c r="F869" t="s">
        <v>2330</v>
      </c>
      <c r="G869" t="s">
        <v>2332</v>
      </c>
      <c r="H869" t="s">
        <v>2331</v>
      </c>
      <c r="I869" t="s">
        <v>293</v>
      </c>
      <c r="J869" t="s">
        <v>7682</v>
      </c>
      <c r="K869" t="s">
        <v>7826</v>
      </c>
      <c r="L869" t="s">
        <v>7826</v>
      </c>
      <c r="N869" t="str" cm="1">
        <f t="array" ref="N869">IFERROR(LOOKUP(2,1/SEARCH($S$2:$S$65,G869),$T$2:$T$65),"Misc")</f>
        <v>OH P/N</v>
      </c>
      <c r="O869" t="str" cm="1">
        <f t="array" ref="O869">IFERROR(LOOKUP(2,1/SEARCH($V$2:$V$65,G869),$W$2:$W$65),"Misc")</f>
        <v>OH Part</v>
      </c>
      <c r="P869" t="str" cm="1">
        <f t="array" ref="P869">IFERROR(LOOKUP(2,1/SEARCH($Y$2:$Y$65,G869),$Z$2:$Z$65),"Not Defined")</f>
        <v>OH Part</v>
      </c>
      <c r="Q869" t="str" cm="1">
        <f t="array" ref="Q869">IFERROR(LOOKUP(2,1/SEARCH($S$2:$S$65,H869),$T$2:$T$65),"-")</f>
        <v>COTS</v>
      </c>
    </row>
    <row r="870" spans="1:17" hidden="1" x14ac:dyDescent="0.25">
      <c r="A870" t="s">
        <v>7673</v>
      </c>
      <c r="B870" s="2" t="s">
        <v>2333</v>
      </c>
      <c r="C870">
        <v>1</v>
      </c>
      <c r="D870" t="s">
        <v>7266</v>
      </c>
      <c r="E870" t="s">
        <v>7877</v>
      </c>
      <c r="F870" t="s">
        <v>2334</v>
      </c>
      <c r="G870" t="s">
        <v>2336</v>
      </c>
      <c r="H870" t="s">
        <v>2335</v>
      </c>
      <c r="I870" t="s">
        <v>358</v>
      </c>
      <c r="J870" t="s">
        <v>7682</v>
      </c>
      <c r="K870" t="s">
        <v>7826</v>
      </c>
      <c r="L870" t="s">
        <v>7826</v>
      </c>
      <c r="N870" t="str" cm="1">
        <f t="array" ref="N870">IFERROR(LOOKUP(2,1/SEARCH($S$2:$S$65,G870),$T$2:$T$65),"Misc")</f>
        <v>OH P/N</v>
      </c>
      <c r="O870" t="str" cm="1">
        <f t="array" ref="O870">IFERROR(LOOKUP(2,1/SEARCH($V$2:$V$65,G870),$W$2:$W$65),"Misc")</f>
        <v>OH Part</v>
      </c>
      <c r="P870" t="str" cm="1">
        <f t="array" ref="P870">IFERROR(LOOKUP(2,1/SEARCH($Y$2:$Y$65,G870),$Z$2:$Z$65),"Not Defined")</f>
        <v>OH Part</v>
      </c>
      <c r="Q870" t="str" cm="1">
        <f t="array" ref="Q870">IFERROR(LOOKUP(2,1/SEARCH($S$2:$S$65,H870),$T$2:$T$65),"-")</f>
        <v>-</v>
      </c>
    </row>
    <row r="871" spans="1:17" hidden="1" x14ac:dyDescent="0.25">
      <c r="A871" t="s">
        <v>7673</v>
      </c>
      <c r="B871" s="2" t="s">
        <v>2337</v>
      </c>
      <c r="C871">
        <v>1</v>
      </c>
      <c r="D871" t="s">
        <v>7266</v>
      </c>
      <c r="E871" t="s">
        <v>7877</v>
      </c>
      <c r="F871" t="s">
        <v>2338</v>
      </c>
      <c r="G871" t="s">
        <v>2340</v>
      </c>
      <c r="H871" t="s">
        <v>2339</v>
      </c>
      <c r="I871" t="s">
        <v>293</v>
      </c>
      <c r="J871" t="s">
        <v>7682</v>
      </c>
      <c r="K871" t="s">
        <v>7826</v>
      </c>
      <c r="L871" t="s">
        <v>7826</v>
      </c>
      <c r="N871" t="str" cm="1">
        <f t="array" ref="N871">IFERROR(LOOKUP(2,1/SEARCH($S$2:$S$65,G871),$T$2:$T$65),"Misc")</f>
        <v>OH P/N</v>
      </c>
      <c r="O871" t="str" cm="1">
        <f t="array" ref="O871">IFERROR(LOOKUP(2,1/SEARCH($V$2:$V$65,G871),$W$2:$W$65),"Misc")</f>
        <v>OH Part</v>
      </c>
      <c r="P871" t="str" cm="1">
        <f t="array" ref="P871">IFERROR(LOOKUP(2,1/SEARCH($Y$2:$Y$65,G871),$Z$2:$Z$65),"Not Defined")</f>
        <v>OH Part</v>
      </c>
      <c r="Q871" t="str" cm="1">
        <f t="array" ref="Q871">IFERROR(LOOKUP(2,1/SEARCH($S$2:$S$65,H871),$T$2:$T$65),"-")</f>
        <v>-</v>
      </c>
    </row>
    <row r="872" spans="1:17" hidden="1" x14ac:dyDescent="0.25">
      <c r="A872" t="s">
        <v>7673</v>
      </c>
      <c r="B872" s="2" t="s">
        <v>2341</v>
      </c>
      <c r="C872">
        <v>1</v>
      </c>
      <c r="D872" t="s">
        <v>7266</v>
      </c>
      <c r="E872" t="s">
        <v>7877</v>
      </c>
      <c r="F872" t="s">
        <v>2342</v>
      </c>
      <c r="G872" t="s">
        <v>2344</v>
      </c>
      <c r="H872" t="s">
        <v>2343</v>
      </c>
      <c r="I872" t="s">
        <v>358</v>
      </c>
      <c r="J872" t="s">
        <v>7682</v>
      </c>
      <c r="K872" t="s">
        <v>7826</v>
      </c>
      <c r="L872" t="s">
        <v>7826</v>
      </c>
      <c r="N872" t="str" cm="1">
        <f t="array" ref="N872">IFERROR(LOOKUP(2,1/SEARCH($S$2:$S$65,G872),$T$2:$T$65),"Misc")</f>
        <v>OH P/N</v>
      </c>
      <c r="O872" t="str" cm="1">
        <f t="array" ref="O872">IFERROR(LOOKUP(2,1/SEARCH($V$2:$V$65,G872),$W$2:$W$65),"Misc")</f>
        <v>OH Part</v>
      </c>
      <c r="P872" t="str" cm="1">
        <f t="array" ref="P872">IFERROR(LOOKUP(2,1/SEARCH($Y$2:$Y$65,G872),$Z$2:$Z$65),"Not Defined")</f>
        <v>OH Part</v>
      </c>
      <c r="Q872" t="str" cm="1">
        <f t="array" ref="Q872">IFERROR(LOOKUP(2,1/SEARCH($S$2:$S$65,H872),$T$2:$T$65),"-")</f>
        <v>-</v>
      </c>
    </row>
    <row r="873" spans="1:17" hidden="1" x14ac:dyDescent="0.25">
      <c r="A873" t="s">
        <v>7673</v>
      </c>
      <c r="B873" s="2" t="s">
        <v>2345</v>
      </c>
      <c r="C873">
        <v>1</v>
      </c>
      <c r="D873" t="s">
        <v>7266</v>
      </c>
      <c r="E873" t="s">
        <v>7877</v>
      </c>
      <c r="F873" t="s">
        <v>2346</v>
      </c>
      <c r="G873" t="s">
        <v>2348</v>
      </c>
      <c r="H873" t="s">
        <v>2347</v>
      </c>
      <c r="I873" t="s">
        <v>358</v>
      </c>
      <c r="J873" t="s">
        <v>7682</v>
      </c>
      <c r="K873" t="s">
        <v>7826</v>
      </c>
      <c r="L873" t="s">
        <v>7826</v>
      </c>
      <c r="N873" t="str" cm="1">
        <f t="array" ref="N873">IFERROR(LOOKUP(2,1/SEARCH($S$2:$S$65,G873),$T$2:$T$65),"Misc")</f>
        <v>OH P/N</v>
      </c>
      <c r="O873" t="str" cm="1">
        <f t="array" ref="O873">IFERROR(LOOKUP(2,1/SEARCH($V$2:$V$65,G873),$W$2:$W$65),"Misc")</f>
        <v>OH Part</v>
      </c>
      <c r="P873" t="str" cm="1">
        <f t="array" ref="P873">IFERROR(LOOKUP(2,1/SEARCH($Y$2:$Y$65,G873),$Z$2:$Z$65),"Not Defined")</f>
        <v>OH Part</v>
      </c>
      <c r="Q873" t="str" cm="1">
        <f t="array" ref="Q873">IFERROR(LOOKUP(2,1/SEARCH($S$2:$S$65,H873),$T$2:$T$65),"-")</f>
        <v>-</v>
      </c>
    </row>
    <row r="874" spans="1:17" hidden="1" x14ac:dyDescent="0.25">
      <c r="A874" t="s">
        <v>7673</v>
      </c>
      <c r="B874" s="2" t="s">
        <v>2349</v>
      </c>
      <c r="C874">
        <v>1</v>
      </c>
      <c r="D874" t="s">
        <v>7266</v>
      </c>
      <c r="E874" t="s">
        <v>7877</v>
      </c>
      <c r="F874" t="s">
        <v>2350</v>
      </c>
      <c r="G874" t="s">
        <v>2352</v>
      </c>
      <c r="H874" t="s">
        <v>2351</v>
      </c>
      <c r="I874" t="s">
        <v>358</v>
      </c>
      <c r="J874" t="s">
        <v>7682</v>
      </c>
      <c r="K874" t="s">
        <v>7826</v>
      </c>
      <c r="L874" t="s">
        <v>7826</v>
      </c>
      <c r="N874" t="str" cm="1">
        <f t="array" ref="N874">IFERROR(LOOKUP(2,1/SEARCH($S$2:$S$65,G874),$T$2:$T$65),"Misc")</f>
        <v>OH P/N</v>
      </c>
      <c r="O874" t="str" cm="1">
        <f t="array" ref="O874">IFERROR(LOOKUP(2,1/SEARCH($V$2:$V$65,G874),$W$2:$W$65),"Misc")</f>
        <v>OH Part</v>
      </c>
      <c r="P874" t="str" cm="1">
        <f t="array" ref="P874">IFERROR(LOOKUP(2,1/SEARCH($Y$2:$Y$65,G874),$Z$2:$Z$65),"Not Defined")</f>
        <v>OH Part</v>
      </c>
      <c r="Q874" t="str" cm="1">
        <f t="array" ref="Q874">IFERROR(LOOKUP(2,1/SEARCH($S$2:$S$65,H874),$T$2:$T$65),"-")</f>
        <v>-</v>
      </c>
    </row>
    <row r="875" spans="1:17" hidden="1" x14ac:dyDescent="0.25">
      <c r="A875" t="s">
        <v>7673</v>
      </c>
      <c r="B875" s="2" t="s">
        <v>2353</v>
      </c>
      <c r="C875">
        <v>1</v>
      </c>
      <c r="D875" t="s">
        <v>7266</v>
      </c>
      <c r="E875" t="s">
        <v>7877</v>
      </c>
      <c r="F875" t="s">
        <v>2354</v>
      </c>
      <c r="G875" t="s">
        <v>2356</v>
      </c>
      <c r="H875" t="s">
        <v>2355</v>
      </c>
      <c r="I875" t="s">
        <v>358</v>
      </c>
      <c r="J875" t="s">
        <v>7682</v>
      </c>
      <c r="K875" t="s">
        <v>7826</v>
      </c>
      <c r="L875" t="s">
        <v>7826</v>
      </c>
      <c r="N875" t="str" cm="1">
        <f t="array" ref="N875">IFERROR(LOOKUP(2,1/SEARCH($S$2:$S$65,G875),$T$2:$T$65),"Misc")</f>
        <v>OH P/N</v>
      </c>
      <c r="O875" t="str" cm="1">
        <f t="array" ref="O875">IFERROR(LOOKUP(2,1/SEARCH($V$2:$V$65,G875),$W$2:$W$65),"Misc")</f>
        <v>OH Part</v>
      </c>
      <c r="P875" t="str" cm="1">
        <f t="array" ref="P875">IFERROR(LOOKUP(2,1/SEARCH($Y$2:$Y$65,G875),$Z$2:$Z$65),"Not Defined")</f>
        <v>OH Part</v>
      </c>
      <c r="Q875" t="str" cm="1">
        <f t="array" ref="Q875">IFERROR(LOOKUP(2,1/SEARCH($S$2:$S$65,H875),$T$2:$T$65),"-")</f>
        <v>-</v>
      </c>
    </row>
    <row r="876" spans="1:17" hidden="1" x14ac:dyDescent="0.25">
      <c r="A876" t="s">
        <v>7673</v>
      </c>
      <c r="B876" s="2" t="s">
        <v>2357</v>
      </c>
      <c r="C876">
        <v>1</v>
      </c>
      <c r="D876" t="s">
        <v>7266</v>
      </c>
      <c r="E876" t="s">
        <v>7877</v>
      </c>
      <c r="F876" t="s">
        <v>2358</v>
      </c>
      <c r="G876" t="s">
        <v>2360</v>
      </c>
      <c r="H876" t="s">
        <v>2359</v>
      </c>
      <c r="I876" t="s">
        <v>358</v>
      </c>
      <c r="J876" t="s">
        <v>7682</v>
      </c>
      <c r="K876" t="s">
        <v>7826</v>
      </c>
      <c r="L876" t="s">
        <v>7826</v>
      </c>
      <c r="N876" t="str" cm="1">
        <f t="array" ref="N876">IFERROR(LOOKUP(2,1/SEARCH($S$2:$S$65,G876),$T$2:$T$65),"Misc")</f>
        <v>OH P/N</v>
      </c>
      <c r="O876" t="str" cm="1">
        <f t="array" ref="O876">IFERROR(LOOKUP(2,1/SEARCH($V$2:$V$65,G876),$W$2:$W$65),"Misc")</f>
        <v>OH Part</v>
      </c>
      <c r="P876" t="str" cm="1">
        <f t="array" ref="P876">IFERROR(LOOKUP(2,1/SEARCH($Y$2:$Y$65,G876),$Z$2:$Z$65),"Not Defined")</f>
        <v>OH Part</v>
      </c>
      <c r="Q876" t="str" cm="1">
        <f t="array" ref="Q876">IFERROR(LOOKUP(2,1/SEARCH($S$2:$S$65,H876),$T$2:$T$65),"-")</f>
        <v>-</v>
      </c>
    </row>
    <row r="877" spans="1:17" hidden="1" x14ac:dyDescent="0.25">
      <c r="A877" t="s">
        <v>7673</v>
      </c>
      <c r="B877" s="2" t="s">
        <v>2361</v>
      </c>
      <c r="C877">
        <v>1</v>
      </c>
      <c r="D877" t="s">
        <v>7266</v>
      </c>
      <c r="E877" t="s">
        <v>7877</v>
      </c>
      <c r="F877" t="s">
        <v>2362</v>
      </c>
      <c r="G877" t="s">
        <v>2364</v>
      </c>
      <c r="H877" t="s">
        <v>2363</v>
      </c>
      <c r="I877" t="s">
        <v>358</v>
      </c>
      <c r="J877" t="s">
        <v>7682</v>
      </c>
      <c r="K877" t="s">
        <v>7826</v>
      </c>
      <c r="L877" t="s">
        <v>7826</v>
      </c>
      <c r="N877" t="str" cm="1">
        <f t="array" ref="N877">IFERROR(LOOKUP(2,1/SEARCH($S$2:$S$65,G877),$T$2:$T$65),"Misc")</f>
        <v>OH P/N</v>
      </c>
      <c r="O877" t="str" cm="1">
        <f t="array" ref="O877">IFERROR(LOOKUP(2,1/SEARCH($V$2:$V$65,G877),$W$2:$W$65),"Misc")</f>
        <v>OH Part</v>
      </c>
      <c r="P877" t="str" cm="1">
        <f t="array" ref="P877">IFERROR(LOOKUP(2,1/SEARCH($Y$2:$Y$65,G877),$Z$2:$Z$65),"Not Defined")</f>
        <v>OH Part</v>
      </c>
      <c r="Q877" t="str" cm="1">
        <f t="array" ref="Q877">IFERROR(LOOKUP(2,1/SEARCH($S$2:$S$65,H877),$T$2:$T$65),"-")</f>
        <v>-</v>
      </c>
    </row>
    <row r="878" spans="1:17" hidden="1" x14ac:dyDescent="0.25">
      <c r="A878" t="s">
        <v>7673</v>
      </c>
      <c r="B878" s="2" t="s">
        <v>2365</v>
      </c>
      <c r="C878">
        <v>1</v>
      </c>
      <c r="D878" t="s">
        <v>7266</v>
      </c>
      <c r="E878" t="s">
        <v>7877</v>
      </c>
      <c r="F878" t="s">
        <v>2366</v>
      </c>
      <c r="G878" t="s">
        <v>2368</v>
      </c>
      <c r="H878" t="s">
        <v>2367</v>
      </c>
      <c r="I878" t="s">
        <v>358</v>
      </c>
      <c r="J878" t="s">
        <v>7682</v>
      </c>
      <c r="K878" t="s">
        <v>7826</v>
      </c>
      <c r="L878" t="s">
        <v>7826</v>
      </c>
      <c r="N878" t="str" cm="1">
        <f t="array" ref="N878">IFERROR(LOOKUP(2,1/SEARCH($S$2:$S$65,G878),$T$2:$T$65),"Misc")</f>
        <v>OH P/N</v>
      </c>
      <c r="O878" t="str" cm="1">
        <f t="array" ref="O878">IFERROR(LOOKUP(2,1/SEARCH($V$2:$V$65,G878),$W$2:$W$65),"Misc")</f>
        <v>OH Part</v>
      </c>
      <c r="P878" t="str" cm="1">
        <f t="array" ref="P878">IFERROR(LOOKUP(2,1/SEARCH($Y$2:$Y$65,G878),$Z$2:$Z$65),"Not Defined")</f>
        <v>OH Part</v>
      </c>
      <c r="Q878" t="str" cm="1">
        <f t="array" ref="Q878">IFERROR(LOOKUP(2,1/SEARCH($S$2:$S$65,H878),$T$2:$T$65),"-")</f>
        <v>-</v>
      </c>
    </row>
    <row r="879" spans="1:17" hidden="1" x14ac:dyDescent="0.25">
      <c r="A879" t="s">
        <v>7673</v>
      </c>
      <c r="B879" s="2" t="s">
        <v>2369</v>
      </c>
      <c r="C879">
        <v>1</v>
      </c>
      <c r="D879" t="s">
        <v>7266</v>
      </c>
      <c r="E879" t="s">
        <v>7877</v>
      </c>
      <c r="F879" t="s">
        <v>2370</v>
      </c>
      <c r="G879" t="s">
        <v>2372</v>
      </c>
      <c r="H879" t="s">
        <v>2371</v>
      </c>
      <c r="I879" t="s">
        <v>358</v>
      </c>
      <c r="J879" t="s">
        <v>7682</v>
      </c>
      <c r="K879" t="s">
        <v>7826</v>
      </c>
      <c r="L879" t="s">
        <v>7826</v>
      </c>
      <c r="N879" t="str" cm="1">
        <f t="array" ref="N879">IFERROR(LOOKUP(2,1/SEARCH($S$2:$S$65,G879),$T$2:$T$65),"Misc")</f>
        <v>OH P/N</v>
      </c>
      <c r="O879" t="str" cm="1">
        <f t="array" ref="O879">IFERROR(LOOKUP(2,1/SEARCH($V$2:$V$65,G879),$W$2:$W$65),"Misc")</f>
        <v>OH Part</v>
      </c>
      <c r="P879" t="str" cm="1">
        <f t="array" ref="P879">IFERROR(LOOKUP(2,1/SEARCH($Y$2:$Y$65,G879),$Z$2:$Z$65),"Not Defined")</f>
        <v>OH Part</v>
      </c>
      <c r="Q879" t="str" cm="1">
        <f t="array" ref="Q879">IFERROR(LOOKUP(2,1/SEARCH($S$2:$S$65,H879),$T$2:$T$65),"-")</f>
        <v>-</v>
      </c>
    </row>
    <row r="880" spans="1:17" hidden="1" x14ac:dyDescent="0.25">
      <c r="A880" t="s">
        <v>7673</v>
      </c>
      <c r="B880" s="2" t="s">
        <v>2373</v>
      </c>
      <c r="C880">
        <v>1</v>
      </c>
      <c r="D880" t="s">
        <v>7266</v>
      </c>
      <c r="E880" t="s">
        <v>7877</v>
      </c>
      <c r="F880" t="s">
        <v>2374</v>
      </c>
      <c r="G880" t="s">
        <v>2376</v>
      </c>
      <c r="H880" t="s">
        <v>2375</v>
      </c>
      <c r="I880" t="s">
        <v>358</v>
      </c>
      <c r="J880" t="s">
        <v>7682</v>
      </c>
      <c r="K880" t="s">
        <v>7826</v>
      </c>
      <c r="L880" t="s">
        <v>7826</v>
      </c>
      <c r="N880" t="str" cm="1">
        <f t="array" ref="N880">IFERROR(LOOKUP(2,1/SEARCH($S$2:$S$65,G880),$T$2:$T$65),"Misc")</f>
        <v>OH P/N</v>
      </c>
      <c r="O880" t="str" cm="1">
        <f t="array" ref="O880">IFERROR(LOOKUP(2,1/SEARCH($V$2:$V$65,G880),$W$2:$W$65),"Misc")</f>
        <v>OH Part</v>
      </c>
      <c r="P880" t="str" cm="1">
        <f t="array" ref="P880">IFERROR(LOOKUP(2,1/SEARCH($Y$2:$Y$65,G880),$Z$2:$Z$65),"Not Defined")</f>
        <v>OH Part</v>
      </c>
      <c r="Q880" t="str" cm="1">
        <f t="array" ref="Q880">IFERROR(LOOKUP(2,1/SEARCH($S$2:$S$65,H880),$T$2:$T$65),"-")</f>
        <v>-</v>
      </c>
    </row>
    <row r="881" spans="1:17" hidden="1" x14ac:dyDescent="0.25">
      <c r="A881" t="s">
        <v>7673</v>
      </c>
      <c r="B881" s="2" t="s">
        <v>2377</v>
      </c>
      <c r="C881">
        <v>1</v>
      </c>
      <c r="D881" t="s">
        <v>7266</v>
      </c>
      <c r="E881" t="s">
        <v>7877</v>
      </c>
      <c r="F881" t="s">
        <v>2378</v>
      </c>
      <c r="G881" t="s">
        <v>2380</v>
      </c>
      <c r="H881" t="s">
        <v>2379</v>
      </c>
      <c r="I881" t="s">
        <v>358</v>
      </c>
      <c r="J881" t="s">
        <v>7682</v>
      </c>
      <c r="K881" t="s">
        <v>7826</v>
      </c>
      <c r="L881" t="s">
        <v>7826</v>
      </c>
      <c r="N881" t="str" cm="1">
        <f t="array" ref="N881">IFERROR(LOOKUP(2,1/SEARCH($S$2:$S$65,G881),$T$2:$T$65),"Misc")</f>
        <v>OH P/N</v>
      </c>
      <c r="O881" t="str" cm="1">
        <f t="array" ref="O881">IFERROR(LOOKUP(2,1/SEARCH($V$2:$V$65,G881),$W$2:$W$65),"Misc")</f>
        <v>OH Part</v>
      </c>
      <c r="P881" t="str" cm="1">
        <f t="array" ref="P881">IFERROR(LOOKUP(2,1/SEARCH($Y$2:$Y$65,G881),$Z$2:$Z$65),"Not Defined")</f>
        <v>OH Part</v>
      </c>
      <c r="Q881" t="str" cm="1">
        <f t="array" ref="Q881">IFERROR(LOOKUP(2,1/SEARCH($S$2:$S$65,H881),$T$2:$T$65),"-")</f>
        <v>-</v>
      </c>
    </row>
    <row r="882" spans="1:17" hidden="1" x14ac:dyDescent="0.25">
      <c r="A882" t="s">
        <v>7673</v>
      </c>
      <c r="B882" s="2" t="s">
        <v>2381</v>
      </c>
      <c r="C882">
        <v>1</v>
      </c>
      <c r="D882" t="s">
        <v>7266</v>
      </c>
      <c r="E882" t="s">
        <v>7877</v>
      </c>
      <c r="F882" t="s">
        <v>2382</v>
      </c>
      <c r="G882" t="s">
        <v>2384</v>
      </c>
      <c r="H882" t="s">
        <v>2383</v>
      </c>
      <c r="I882" t="s">
        <v>358</v>
      </c>
      <c r="J882" t="s">
        <v>7682</v>
      </c>
      <c r="K882" t="s">
        <v>7826</v>
      </c>
      <c r="L882" t="s">
        <v>7826</v>
      </c>
      <c r="N882" t="str" cm="1">
        <f t="array" ref="N882">IFERROR(LOOKUP(2,1/SEARCH($S$2:$S$65,G882),$T$2:$T$65),"Misc")</f>
        <v>OH P/N</v>
      </c>
      <c r="O882" t="str" cm="1">
        <f t="array" ref="O882">IFERROR(LOOKUP(2,1/SEARCH($V$2:$V$65,G882),$W$2:$W$65),"Misc")</f>
        <v>OH Part</v>
      </c>
      <c r="P882" t="str" cm="1">
        <f t="array" ref="P882">IFERROR(LOOKUP(2,1/SEARCH($Y$2:$Y$65,G882),$Z$2:$Z$65),"Not Defined")</f>
        <v>OH Part</v>
      </c>
      <c r="Q882" t="str" cm="1">
        <f t="array" ref="Q882">IFERROR(LOOKUP(2,1/SEARCH($S$2:$S$65,H882),$T$2:$T$65),"-")</f>
        <v>-</v>
      </c>
    </row>
    <row r="883" spans="1:17" hidden="1" x14ac:dyDescent="0.25">
      <c r="A883" t="s">
        <v>7673</v>
      </c>
      <c r="B883" s="2" t="s">
        <v>2385</v>
      </c>
      <c r="C883">
        <v>20</v>
      </c>
      <c r="D883" t="s">
        <v>7266</v>
      </c>
      <c r="E883" t="s">
        <v>7877</v>
      </c>
      <c r="F883" t="s">
        <v>2386</v>
      </c>
      <c r="G883" t="s">
        <v>7271</v>
      </c>
      <c r="H883" t="s">
        <v>2387</v>
      </c>
      <c r="I883" t="s">
        <v>228</v>
      </c>
      <c r="J883" t="s">
        <v>7703</v>
      </c>
      <c r="K883" t="s">
        <v>7684</v>
      </c>
      <c r="L883" t="s">
        <v>7700</v>
      </c>
      <c r="N883" t="str" cm="1">
        <f t="array" ref="N883">IFERROR(LOOKUP(2,1/SEARCH($S$2:$S$65,G883),$T$2:$T$65),"Misc")</f>
        <v>COTS</v>
      </c>
      <c r="O883" t="str" cm="1">
        <f t="array" ref="O883">IFERROR(LOOKUP(2,1/SEARCH($V$2:$V$65,G883),$W$2:$W$65),"Misc")</f>
        <v>Fasteners</v>
      </c>
      <c r="P883" t="str" cm="1">
        <f t="array" ref="P883">IFERROR(LOOKUP(2,1/SEARCH($Y$2:$Y$65,G883),$Z$2:$Z$65),"Not Defined")</f>
        <v>SHCS</v>
      </c>
      <c r="Q883" t="str" cm="1">
        <f t="array" ref="Q883">IFERROR(LOOKUP(2,1/SEARCH($S$2:$S$65,H883),$T$2:$T$65),"-")</f>
        <v>COTS</v>
      </c>
    </row>
    <row r="884" spans="1:17" hidden="1" x14ac:dyDescent="0.25">
      <c r="A884" t="s">
        <v>7673</v>
      </c>
      <c r="B884" s="2" t="s">
        <v>2388</v>
      </c>
      <c r="C884">
        <v>3</v>
      </c>
      <c r="D884" t="s">
        <v>7266</v>
      </c>
      <c r="E884" t="s">
        <v>7960</v>
      </c>
      <c r="F884" t="s">
        <v>710</v>
      </c>
      <c r="G884" t="s">
        <v>7122</v>
      </c>
      <c r="H884" t="s">
        <v>711</v>
      </c>
      <c r="J884" t="s">
        <v>7744</v>
      </c>
      <c r="K884" t="s">
        <v>7826</v>
      </c>
      <c r="L884" t="s">
        <v>7826</v>
      </c>
      <c r="N884" t="str" cm="1">
        <f t="array" ref="N884">IFERROR(LOOKUP(2,1/SEARCH($S$2:$S$65,G884),$T$2:$T$65),"Misc")</f>
        <v>OH Common</v>
      </c>
      <c r="O884" t="str" cm="1">
        <f t="array" ref="O884">IFERROR(LOOKUP(2,1/SEARCH($V$2:$V$65,G884),$W$2:$W$65),"Misc")</f>
        <v>OH Part</v>
      </c>
      <c r="P884" t="str" cm="1">
        <f t="array" ref="P884">IFERROR(LOOKUP(2,1/SEARCH($Y$2:$Y$65,G884),$Z$2:$Z$65),"Not Defined")</f>
        <v>OH Part</v>
      </c>
      <c r="Q884" t="str" cm="1">
        <f t="array" ref="Q884">IFERROR(LOOKUP(2,1/SEARCH($S$2:$S$65,H884),$T$2:$T$65),"-")</f>
        <v>OH ASSY</v>
      </c>
    </row>
    <row r="885" spans="1:17" hidden="1" x14ac:dyDescent="0.25">
      <c r="A885" t="s">
        <v>7673</v>
      </c>
      <c r="B885" s="2" t="s">
        <v>2389</v>
      </c>
      <c r="C885">
        <v>1</v>
      </c>
      <c r="D885" t="s">
        <v>7266</v>
      </c>
      <c r="E885" t="s">
        <v>7960</v>
      </c>
      <c r="F885" t="s">
        <v>713</v>
      </c>
      <c r="G885" t="s">
        <v>715</v>
      </c>
      <c r="H885" t="s">
        <v>714</v>
      </c>
      <c r="I885" t="s">
        <v>358</v>
      </c>
      <c r="J885" t="s">
        <v>7744</v>
      </c>
      <c r="K885" t="s">
        <v>7826</v>
      </c>
      <c r="L885" t="s">
        <v>7826</v>
      </c>
      <c r="N885" t="str" cm="1">
        <f t="array" ref="N885">IFERROR(LOOKUP(2,1/SEARCH($S$2:$S$65,G885),$T$2:$T$65),"Misc")</f>
        <v>OH Common</v>
      </c>
      <c r="O885" t="str" cm="1">
        <f t="array" ref="O885">IFERROR(LOOKUP(2,1/SEARCH($V$2:$V$65,G885),$W$2:$W$65),"Misc")</f>
        <v>OH Part</v>
      </c>
      <c r="P885" t="str" cm="1">
        <f t="array" ref="P885">IFERROR(LOOKUP(2,1/SEARCH($Y$2:$Y$65,G885),$Z$2:$Z$65),"Not Defined")</f>
        <v>OH Part</v>
      </c>
      <c r="Q885" t="str" cm="1">
        <f t="array" ref="Q885">IFERROR(LOOKUP(2,1/SEARCH($S$2:$S$65,H885),$T$2:$T$65),"-")</f>
        <v>-</v>
      </c>
    </row>
    <row r="886" spans="1:17" hidden="1" x14ac:dyDescent="0.25">
      <c r="A886" t="s">
        <v>7673</v>
      </c>
      <c r="B886" s="2" t="s">
        <v>2390</v>
      </c>
      <c r="C886">
        <v>2</v>
      </c>
      <c r="D886" t="s">
        <v>7266</v>
      </c>
      <c r="E886" t="s">
        <v>7960</v>
      </c>
      <c r="F886" t="s">
        <v>360</v>
      </c>
      <c r="G886" t="s">
        <v>7076</v>
      </c>
      <c r="H886" t="s">
        <v>361</v>
      </c>
      <c r="I886" t="s">
        <v>228</v>
      </c>
      <c r="J886" t="s">
        <v>7703</v>
      </c>
      <c r="K886" t="s">
        <v>7684</v>
      </c>
      <c r="L886" t="s">
        <v>7721</v>
      </c>
      <c r="N886" t="str" cm="1">
        <f t="array" ref="N886">IFERROR(LOOKUP(2,1/SEARCH($S$2:$S$65,G886),$T$2:$T$65),"Misc")</f>
        <v>COTS</v>
      </c>
      <c r="O886" t="str" cm="1">
        <f t="array" ref="O886">IFERROR(LOOKUP(2,1/SEARCH($V$2:$V$65,G886),$W$2:$W$65),"Misc")</f>
        <v>Fasteners</v>
      </c>
      <c r="P886" t="str" cm="1">
        <f t="array" ref="P886">IFERROR(LOOKUP(2,1/SEARCH($Y$2:$Y$65,G886),$Z$2:$Z$65),"Not Defined")</f>
        <v>SET SCREW</v>
      </c>
      <c r="Q886" t="str" cm="1">
        <f t="array" ref="Q886">IFERROR(LOOKUP(2,1/SEARCH($S$2:$S$65,H886),$T$2:$T$65),"-")</f>
        <v>COTS</v>
      </c>
    </row>
    <row r="887" spans="1:17" hidden="1" x14ac:dyDescent="0.25">
      <c r="A887" t="s">
        <v>7673</v>
      </c>
      <c r="B887" s="2" t="s">
        <v>2391</v>
      </c>
      <c r="C887">
        <v>1</v>
      </c>
      <c r="D887" t="s">
        <v>7266</v>
      </c>
      <c r="E887" t="s">
        <v>7878</v>
      </c>
      <c r="F887" t="s">
        <v>2392</v>
      </c>
      <c r="G887" t="s">
        <v>7272</v>
      </c>
      <c r="H887" t="s">
        <v>2393</v>
      </c>
      <c r="J887" t="s">
        <v>7742</v>
      </c>
      <c r="K887" t="s">
        <v>7826</v>
      </c>
      <c r="L887" t="s">
        <v>7826</v>
      </c>
      <c r="N887" t="str" cm="1">
        <f t="array" ref="N887">IFERROR(LOOKUP(2,1/SEARCH($S$2:$S$65,G887),$T$2:$T$65),"Misc")</f>
        <v>OH ASSY</v>
      </c>
      <c r="O887" t="str" cm="1">
        <f t="array" ref="O887">IFERROR(LOOKUP(2,1/SEARCH($V$2:$V$65,G887),$W$2:$W$65),"Misc")</f>
        <v>OH Part</v>
      </c>
      <c r="P887" t="str" cm="1">
        <f t="array" ref="P887">IFERROR(LOOKUP(2,1/SEARCH($Y$2:$Y$65,G887),$Z$2:$Z$65),"Not Defined")</f>
        <v>OH Part</v>
      </c>
      <c r="Q887" t="str" cm="1">
        <f t="array" ref="Q887">IFERROR(LOOKUP(2,1/SEARCH($S$2:$S$65,H887),$T$2:$T$65),"-")</f>
        <v>OH ASSY</v>
      </c>
    </row>
    <row r="888" spans="1:17" hidden="1" x14ac:dyDescent="0.25">
      <c r="A888" t="s">
        <v>7673</v>
      </c>
      <c r="B888" s="2" t="s">
        <v>2394</v>
      </c>
      <c r="C888">
        <v>1</v>
      </c>
      <c r="D888" t="s">
        <v>7266</v>
      </c>
      <c r="E888" t="s">
        <v>7878</v>
      </c>
      <c r="F888" t="s">
        <v>2395</v>
      </c>
      <c r="G888" t="s">
        <v>7273</v>
      </c>
      <c r="H888" t="s">
        <v>2396</v>
      </c>
      <c r="I888" t="s">
        <v>255</v>
      </c>
      <c r="J888" t="s">
        <v>7682</v>
      </c>
      <c r="K888" t="s">
        <v>7826</v>
      </c>
      <c r="L888" t="s">
        <v>7826</v>
      </c>
      <c r="N888" t="str" cm="1">
        <f t="array" ref="N888">IFERROR(LOOKUP(2,1/SEARCH($S$2:$S$65,G888),$T$2:$T$65),"Misc")</f>
        <v>OH P/N</v>
      </c>
      <c r="O888" t="str" cm="1">
        <f t="array" ref="O888">IFERROR(LOOKUP(2,1/SEARCH($V$2:$V$65,G888),$W$2:$W$65),"Misc")</f>
        <v>OH Part</v>
      </c>
      <c r="P888" t="str" cm="1">
        <f t="array" ref="P888">IFERROR(LOOKUP(2,1/SEARCH($Y$2:$Y$65,G888),$Z$2:$Z$65),"Not Defined")</f>
        <v>OH Part</v>
      </c>
      <c r="Q888" t="str" cm="1">
        <f t="array" ref="Q888">IFERROR(LOOKUP(2,1/SEARCH($S$2:$S$65,H888),$T$2:$T$65),"-")</f>
        <v>-</v>
      </c>
    </row>
    <row r="889" spans="1:17" hidden="1" x14ac:dyDescent="0.25">
      <c r="A889" t="s">
        <v>7673</v>
      </c>
      <c r="B889" s="2" t="s">
        <v>2397</v>
      </c>
      <c r="C889">
        <v>1</v>
      </c>
      <c r="D889" t="s">
        <v>7266</v>
      </c>
      <c r="E889" t="s">
        <v>7878</v>
      </c>
      <c r="F889" t="s">
        <v>2398</v>
      </c>
      <c r="G889" t="s">
        <v>7274</v>
      </c>
      <c r="H889" t="s">
        <v>2399</v>
      </c>
      <c r="I889" t="s">
        <v>255</v>
      </c>
      <c r="J889" t="s">
        <v>7703</v>
      </c>
      <c r="K889" t="s">
        <v>7814</v>
      </c>
      <c r="L889" t="s">
        <v>7834</v>
      </c>
      <c r="N889" t="str" cm="1">
        <f t="array" ref="N889">IFERROR(LOOKUP(2,1/SEARCH($S$2:$S$65,G889),$T$2:$T$65),"Misc")</f>
        <v>Misc</v>
      </c>
      <c r="O889" t="str" cm="1">
        <f t="array" ref="O889">IFERROR(LOOKUP(2,1/SEARCH($V$2:$V$65,G889),$W$2:$W$65),"Misc")</f>
        <v>Misc</v>
      </c>
      <c r="P889" t="str" cm="1">
        <f t="array" ref="P889">IFERROR(LOOKUP(2,1/SEARCH($Y$2:$Y$65,G889),$Z$2:$Z$65),"Not Defined")</f>
        <v>Not Defined</v>
      </c>
      <c r="Q889" t="str" cm="1">
        <f t="array" ref="Q889">IFERROR(LOOKUP(2,1/SEARCH($S$2:$S$65,H889),$T$2:$T$65),"-")</f>
        <v>-</v>
      </c>
    </row>
    <row r="890" spans="1:17" hidden="1" x14ac:dyDescent="0.25">
      <c r="A890" t="s">
        <v>7673</v>
      </c>
      <c r="B890" s="2" t="s">
        <v>2400</v>
      </c>
      <c r="C890">
        <v>1</v>
      </c>
      <c r="D890" t="s">
        <v>7266</v>
      </c>
      <c r="E890" t="s">
        <v>7878</v>
      </c>
      <c r="F890" t="s">
        <v>2401</v>
      </c>
      <c r="G890" t="s">
        <v>7275</v>
      </c>
      <c r="H890" t="s">
        <v>2402</v>
      </c>
      <c r="I890" t="s">
        <v>255</v>
      </c>
      <c r="J890" t="s">
        <v>7703</v>
      </c>
      <c r="K890" t="s">
        <v>7736</v>
      </c>
      <c r="L890" t="s">
        <v>7736</v>
      </c>
      <c r="N890" t="str" cm="1">
        <f t="array" ref="N890">IFERROR(LOOKUP(2,1/SEARCH($S$2:$S$65,G890),$T$2:$T$65),"Misc")</f>
        <v>COTS</v>
      </c>
      <c r="O890" t="str" cm="1">
        <f t="array" ref="O890">IFERROR(LOOKUP(2,1/SEARCH($V$2:$V$65,G890),$W$2:$W$65),"Misc")</f>
        <v>DISPLAY</v>
      </c>
      <c r="P890" t="str" cm="1">
        <f t="array" ref="P890">IFERROR(LOOKUP(2,1/SEARCH($Y$2:$Y$65,G890),$Z$2:$Z$65),"Not Defined")</f>
        <v>DISPLAY</v>
      </c>
      <c r="Q890" t="str" cm="1">
        <f t="array" ref="Q890">IFERROR(LOOKUP(2,1/SEARCH($S$2:$S$65,H890),$T$2:$T$65),"-")</f>
        <v>COTS</v>
      </c>
    </row>
    <row r="891" spans="1:17" hidden="1" x14ac:dyDescent="0.25">
      <c r="A891" t="s">
        <v>7673</v>
      </c>
      <c r="B891" s="2" t="s">
        <v>2403</v>
      </c>
      <c r="C891">
        <v>5</v>
      </c>
      <c r="D891" t="s">
        <v>7266</v>
      </c>
      <c r="E891" t="s">
        <v>7878</v>
      </c>
      <c r="F891" t="s">
        <v>2404</v>
      </c>
      <c r="G891" t="s">
        <v>7276</v>
      </c>
      <c r="H891" t="s">
        <v>2405</v>
      </c>
      <c r="I891" t="s">
        <v>255</v>
      </c>
      <c r="J891" t="s">
        <v>7703</v>
      </c>
      <c r="K891" t="s">
        <v>7736</v>
      </c>
      <c r="L891" t="s">
        <v>7736</v>
      </c>
      <c r="N891" t="str" cm="1">
        <f t="array" ref="N891">IFERROR(LOOKUP(2,1/SEARCH($S$2:$S$65,G891),$T$2:$T$65),"Misc")</f>
        <v>COTS</v>
      </c>
      <c r="O891" t="str" cm="1">
        <f t="array" ref="O891">IFERROR(LOOKUP(2,1/SEARCH($V$2:$V$65,G891),$W$2:$W$65),"Misc")</f>
        <v>DISPLAY</v>
      </c>
      <c r="P891" t="str" cm="1">
        <f t="array" ref="P891">IFERROR(LOOKUP(2,1/SEARCH($Y$2:$Y$65,G891),$Z$2:$Z$65),"Not Defined")</f>
        <v>DISPLAY</v>
      </c>
      <c r="Q891" t="str" cm="1">
        <f t="array" ref="Q891">IFERROR(LOOKUP(2,1/SEARCH($S$2:$S$65,H891),$T$2:$T$65),"-")</f>
        <v>COTS</v>
      </c>
    </row>
    <row r="892" spans="1:17" hidden="1" x14ac:dyDescent="0.25">
      <c r="A892" t="s">
        <v>7673</v>
      </c>
      <c r="B892" s="2" t="s">
        <v>2406</v>
      </c>
      <c r="C892">
        <v>2</v>
      </c>
      <c r="D892" t="s">
        <v>7266</v>
      </c>
      <c r="E892" t="s">
        <v>7878</v>
      </c>
      <c r="F892" t="s">
        <v>2407</v>
      </c>
      <c r="G892" t="s">
        <v>2407</v>
      </c>
      <c r="H892" t="s">
        <v>2408</v>
      </c>
      <c r="I892" t="s">
        <v>255</v>
      </c>
      <c r="J892" t="s">
        <v>7703</v>
      </c>
      <c r="K892" t="s">
        <v>7814</v>
      </c>
      <c r="L892" t="s">
        <v>7718</v>
      </c>
      <c r="N892" t="str" cm="1">
        <f t="array" ref="N892">IFERROR(LOOKUP(2,1/SEARCH($S$2:$S$65,G892),$T$2:$T$65),"Misc")</f>
        <v>COTS</v>
      </c>
      <c r="O892" t="str" cm="1">
        <f t="array" ref="O892">IFERROR(LOOKUP(2,1/SEARCH($V$2:$V$65,G892),$W$2:$W$65),"Misc")</f>
        <v>Misc</v>
      </c>
      <c r="P892" t="str" cm="1">
        <f t="array" ref="P892">IFERROR(LOOKUP(2,1/SEARCH($Y$2:$Y$65,G892),$Z$2:$Z$65),"Not Defined")</f>
        <v>LED</v>
      </c>
      <c r="Q892" t="str" cm="1">
        <f t="array" ref="Q892">IFERROR(LOOKUP(2,1/SEARCH($S$2:$S$65,H892),$T$2:$T$65),"-")</f>
        <v>COTS</v>
      </c>
    </row>
    <row r="893" spans="1:17" hidden="1" x14ac:dyDescent="0.25">
      <c r="A893" t="s">
        <v>7673</v>
      </c>
      <c r="B893" s="2" t="s">
        <v>2409</v>
      </c>
      <c r="C893">
        <v>1</v>
      </c>
      <c r="D893" t="s">
        <v>7266</v>
      </c>
      <c r="E893" t="s">
        <v>7878</v>
      </c>
      <c r="F893" t="s">
        <v>2410</v>
      </c>
      <c r="G893" t="s">
        <v>7277</v>
      </c>
      <c r="H893" t="s">
        <v>2411</v>
      </c>
      <c r="I893" t="s">
        <v>255</v>
      </c>
      <c r="J893" t="s">
        <v>7703</v>
      </c>
      <c r="K893" t="s">
        <v>7677</v>
      </c>
      <c r="L893" t="s">
        <v>7677</v>
      </c>
      <c r="N893" t="str" cm="1">
        <f t="array" ref="N893">IFERROR(LOOKUP(2,1/SEARCH($S$2:$S$65,G893),$T$2:$T$65),"Misc")</f>
        <v>COTS</v>
      </c>
      <c r="O893" t="str" cm="1">
        <f t="array" ref="O893">IFERROR(LOOKUP(2,1/SEARCH($V$2:$V$65,G893),$W$2:$W$65),"Misc")</f>
        <v>SWITCH</v>
      </c>
      <c r="P893" t="str" cm="1">
        <f t="array" ref="P893">IFERROR(LOOKUP(2,1/SEARCH($Y$2:$Y$65,G893),$Z$2:$Z$65),"Not Defined")</f>
        <v>SWITCH</v>
      </c>
      <c r="Q893" t="str" cm="1">
        <f t="array" ref="Q893">IFERROR(LOOKUP(2,1/SEARCH($S$2:$S$65,H893),$T$2:$T$65),"-")</f>
        <v>COTS</v>
      </c>
    </row>
    <row r="894" spans="1:17" hidden="1" x14ac:dyDescent="0.25">
      <c r="A894" t="s">
        <v>7673</v>
      </c>
      <c r="B894" s="2" t="s">
        <v>2412</v>
      </c>
      <c r="C894">
        <v>1</v>
      </c>
      <c r="D894" t="s">
        <v>7266</v>
      </c>
      <c r="E894" t="s">
        <v>7878</v>
      </c>
      <c r="F894" t="s">
        <v>2413</v>
      </c>
      <c r="G894" t="s">
        <v>7278</v>
      </c>
      <c r="H894" t="s">
        <v>2414</v>
      </c>
      <c r="I894" t="s">
        <v>255</v>
      </c>
      <c r="J894" t="s">
        <v>7703</v>
      </c>
      <c r="K894" t="s">
        <v>7677</v>
      </c>
      <c r="L894" t="s">
        <v>7685</v>
      </c>
      <c r="N894" t="str" cm="1">
        <f t="array" ref="N894">IFERROR(LOOKUP(2,1/SEARCH($S$2:$S$65,G894),$T$2:$T$65),"Misc")</f>
        <v>COTS</v>
      </c>
      <c r="O894" t="str" cm="1">
        <f t="array" ref="O894">IFERROR(LOOKUP(2,1/SEARCH($V$2:$V$65,G894),$W$2:$W$65),"Misc")</f>
        <v>SWITCH</v>
      </c>
      <c r="P894" t="str" cm="1">
        <f t="array" ref="P894">IFERROR(LOOKUP(2,1/SEARCH($Y$2:$Y$65,G894),$Z$2:$Z$65),"Not Defined")</f>
        <v>NUT</v>
      </c>
      <c r="Q894" t="str" cm="1">
        <f t="array" ref="Q894">IFERROR(LOOKUP(2,1/SEARCH($S$2:$S$65,H894),$T$2:$T$65),"-")</f>
        <v>COTS</v>
      </c>
    </row>
    <row r="895" spans="1:17" hidden="1" x14ac:dyDescent="0.25">
      <c r="A895" t="s">
        <v>7673</v>
      </c>
      <c r="B895" s="2" t="s">
        <v>2415</v>
      </c>
      <c r="C895">
        <v>3</v>
      </c>
      <c r="D895" t="s">
        <v>7266</v>
      </c>
      <c r="E895" t="s">
        <v>7878</v>
      </c>
      <c r="F895" t="s">
        <v>2213</v>
      </c>
      <c r="G895" t="s">
        <v>7262</v>
      </c>
      <c r="H895" t="s">
        <v>2214</v>
      </c>
      <c r="I895" t="s">
        <v>255</v>
      </c>
      <c r="J895" t="s">
        <v>7703</v>
      </c>
      <c r="K895" t="s">
        <v>7722</v>
      </c>
      <c r="L895" t="s">
        <v>7722</v>
      </c>
      <c r="N895" t="str" cm="1">
        <f t="array" ref="N895">IFERROR(LOOKUP(2,1/SEARCH($S$2:$S$65,G895),$T$2:$T$65),"Misc")</f>
        <v>COTS</v>
      </c>
      <c r="O895" t="str" cm="1">
        <f t="array" ref="O895">IFERROR(LOOKUP(2,1/SEARCH($V$2:$V$65,G895),$W$2:$W$65),"Misc")</f>
        <v>POT</v>
      </c>
      <c r="P895" t="str" cm="1">
        <f t="array" ref="P895">IFERROR(LOOKUP(2,1/SEARCH($Y$2:$Y$65,G895),$Z$2:$Z$65),"Not Defined")</f>
        <v>POT</v>
      </c>
      <c r="Q895" t="str" cm="1">
        <f t="array" ref="Q895">IFERROR(LOOKUP(2,1/SEARCH($S$2:$S$65,H895),$T$2:$T$65),"-")</f>
        <v>COTS</v>
      </c>
    </row>
    <row r="896" spans="1:17" hidden="1" x14ac:dyDescent="0.25">
      <c r="A896" t="s">
        <v>7673</v>
      </c>
      <c r="B896" s="2" t="s">
        <v>2416</v>
      </c>
      <c r="C896">
        <v>3</v>
      </c>
      <c r="D896" t="s">
        <v>7266</v>
      </c>
      <c r="E896" t="s">
        <v>7878</v>
      </c>
      <c r="F896" t="s">
        <v>2417</v>
      </c>
      <c r="G896" t="s">
        <v>7279</v>
      </c>
      <c r="H896" t="s">
        <v>2418</v>
      </c>
      <c r="I896" t="s">
        <v>210</v>
      </c>
      <c r="J896" t="s">
        <v>7703</v>
      </c>
      <c r="K896" t="s">
        <v>7684</v>
      </c>
      <c r="L896" t="s">
        <v>7722</v>
      </c>
      <c r="N896" t="str" cm="1">
        <f t="array" ref="N896">IFERROR(LOOKUP(2,1/SEARCH($S$2:$S$65,G896),$T$2:$T$65),"Misc")</f>
        <v>COTS</v>
      </c>
      <c r="O896" t="str" cm="1">
        <f t="array" ref="O896">IFERROR(LOOKUP(2,1/SEARCH($V$2:$V$65,G896),$W$2:$W$65),"Misc")</f>
        <v>Fasteners</v>
      </c>
      <c r="P896" t="str" cm="1">
        <f t="array" ref="P896">IFERROR(LOOKUP(2,1/SEARCH($Y$2:$Y$65,G896),$Z$2:$Z$65),"Not Defined")</f>
        <v>POT</v>
      </c>
      <c r="Q896" t="str" cm="1">
        <f t="array" ref="Q896">IFERROR(LOOKUP(2,1/SEARCH($S$2:$S$65,H896),$T$2:$T$65),"-")</f>
        <v>COTS</v>
      </c>
    </row>
    <row r="897" spans="1:17" hidden="1" x14ac:dyDescent="0.25">
      <c r="A897" t="s">
        <v>7673</v>
      </c>
      <c r="B897" s="2" t="s">
        <v>2419</v>
      </c>
      <c r="C897">
        <v>3</v>
      </c>
      <c r="D897" t="s">
        <v>7266</v>
      </c>
      <c r="E897" t="s">
        <v>7878</v>
      </c>
      <c r="F897" t="s">
        <v>2229</v>
      </c>
      <c r="G897" t="s">
        <v>7265</v>
      </c>
      <c r="H897" t="s">
        <v>2230</v>
      </c>
      <c r="I897" t="s">
        <v>224</v>
      </c>
      <c r="J897" t="s">
        <v>7703</v>
      </c>
      <c r="K897" t="s">
        <v>7722</v>
      </c>
      <c r="L897" t="s">
        <v>7685</v>
      </c>
      <c r="N897" t="str" cm="1">
        <f t="array" ref="N897">IFERROR(LOOKUP(2,1/SEARCH($S$2:$S$65,G897),$T$2:$T$65),"Misc")</f>
        <v>COTS</v>
      </c>
      <c r="O897" t="str" cm="1">
        <f t="array" ref="O897">IFERROR(LOOKUP(2,1/SEARCH($V$2:$V$65,G897),$W$2:$W$65),"Misc")</f>
        <v>POT</v>
      </c>
      <c r="P897" t="str" cm="1">
        <f t="array" ref="P897">IFERROR(LOOKUP(2,1/SEARCH($Y$2:$Y$65,G897),$Z$2:$Z$65),"Not Defined")</f>
        <v>NUT</v>
      </c>
      <c r="Q897" t="str" cm="1">
        <f t="array" ref="Q897">IFERROR(LOOKUP(2,1/SEARCH($S$2:$S$65,H897),$T$2:$T$65),"-")</f>
        <v>COTS</v>
      </c>
    </row>
    <row r="898" spans="1:17" hidden="1" x14ac:dyDescent="0.25">
      <c r="A898" t="s">
        <v>7673</v>
      </c>
      <c r="B898" s="2" t="s">
        <v>2420</v>
      </c>
      <c r="C898">
        <v>2</v>
      </c>
      <c r="D898" t="s">
        <v>7266</v>
      </c>
      <c r="E898" t="s">
        <v>7878</v>
      </c>
      <c r="F898" t="s">
        <v>2421</v>
      </c>
      <c r="G898" t="s">
        <v>2422</v>
      </c>
      <c r="H898" t="s">
        <v>2422</v>
      </c>
      <c r="J898" t="s">
        <v>7703</v>
      </c>
      <c r="K898" t="s">
        <v>7814</v>
      </c>
      <c r="L898" t="s">
        <v>7834</v>
      </c>
      <c r="N898" t="str" cm="1">
        <f t="array" ref="N898">IFERROR(LOOKUP(2,1/SEARCH($S$2:$S$65,G898),$T$2:$T$65),"Misc")</f>
        <v>Misc</v>
      </c>
      <c r="O898" t="str" cm="1">
        <f t="array" ref="O898">IFERROR(LOOKUP(2,1/SEARCH($V$2:$V$65,G898),$W$2:$W$65),"Misc")</f>
        <v>Misc</v>
      </c>
      <c r="P898" t="str" cm="1">
        <f t="array" ref="P898">IFERROR(LOOKUP(2,1/SEARCH($Y$2:$Y$65,G898),$Z$2:$Z$65),"Not Defined")</f>
        <v>Not Defined</v>
      </c>
      <c r="Q898" t="str" cm="1">
        <f t="array" ref="Q898">IFERROR(LOOKUP(2,1/SEARCH($S$2:$S$65,H898),$T$2:$T$65),"-")</f>
        <v>-</v>
      </c>
    </row>
    <row r="899" spans="1:17" hidden="1" x14ac:dyDescent="0.25">
      <c r="A899" t="s">
        <v>7673</v>
      </c>
      <c r="B899" s="2" t="s">
        <v>2423</v>
      </c>
      <c r="C899">
        <v>1</v>
      </c>
      <c r="D899" t="s">
        <v>7266</v>
      </c>
      <c r="E899" t="s">
        <v>7878</v>
      </c>
      <c r="F899" t="s">
        <v>2424</v>
      </c>
      <c r="G899" t="s">
        <v>7280</v>
      </c>
      <c r="H899" t="s">
        <v>2425</v>
      </c>
      <c r="J899" t="s">
        <v>7703</v>
      </c>
      <c r="K899" t="s">
        <v>7814</v>
      </c>
      <c r="L899" t="s">
        <v>7834</v>
      </c>
      <c r="N899" t="str" cm="1">
        <f t="array" ref="N899">IFERROR(LOOKUP(2,1/SEARCH($S$2:$S$65,G899),$T$2:$T$65),"Misc")</f>
        <v>Misc</v>
      </c>
      <c r="O899" t="str" cm="1">
        <f t="array" ref="O899">IFERROR(LOOKUP(2,1/SEARCH($V$2:$V$65,G899),$W$2:$W$65),"Misc")</f>
        <v>Misc</v>
      </c>
      <c r="P899" t="str" cm="1">
        <f t="array" ref="P899">IFERROR(LOOKUP(2,1/SEARCH($Y$2:$Y$65,G899),$Z$2:$Z$65),"Not Defined")</f>
        <v>Not Defined</v>
      </c>
      <c r="Q899" t="str" cm="1">
        <f t="array" ref="Q899">IFERROR(LOOKUP(2,1/SEARCH($S$2:$S$65,H899),$T$2:$T$65),"-")</f>
        <v>-</v>
      </c>
    </row>
    <row r="900" spans="1:17" hidden="1" x14ac:dyDescent="0.25">
      <c r="A900" t="s">
        <v>7673</v>
      </c>
      <c r="B900" s="2" t="s">
        <v>2426</v>
      </c>
      <c r="C900">
        <v>5</v>
      </c>
      <c r="D900" t="s">
        <v>7266</v>
      </c>
      <c r="E900" t="s">
        <v>7878</v>
      </c>
      <c r="F900" t="s">
        <v>2427</v>
      </c>
      <c r="G900" t="s">
        <v>2429</v>
      </c>
      <c r="H900" t="s">
        <v>2428</v>
      </c>
      <c r="I900" t="s">
        <v>1265</v>
      </c>
      <c r="J900" t="s">
        <v>7703</v>
      </c>
      <c r="K900" t="s">
        <v>7826</v>
      </c>
      <c r="L900" t="s">
        <v>7726</v>
      </c>
      <c r="N900" t="str" cm="1">
        <f t="array" ref="N900">IFERROR(LOOKUP(2,1/SEARCH($S$2:$S$65,G900),$T$2:$T$65),"Misc")</f>
        <v>OH P/N</v>
      </c>
      <c r="O900" t="str" cm="1">
        <f t="array" ref="O900">IFERROR(LOOKUP(2,1/SEARCH($V$2:$V$65,G900),$W$2:$W$65),"Misc")</f>
        <v>OH Part</v>
      </c>
      <c r="P900" t="str" cm="1">
        <f t="array" ref="P900">IFERROR(LOOKUP(2,1/SEARCH($Y$2:$Y$65,G900),$Z$2:$Z$65),"Not Defined")</f>
        <v>RUBBER</v>
      </c>
      <c r="Q900" t="str" cm="1">
        <f t="array" ref="Q900">IFERROR(LOOKUP(2,1/SEARCH($S$2:$S$65,H900),$T$2:$T$65),"-")</f>
        <v>COTS</v>
      </c>
    </row>
    <row r="901" spans="1:17" hidden="1" x14ac:dyDescent="0.25">
      <c r="A901" t="s">
        <v>7673</v>
      </c>
      <c r="B901" s="2" t="s">
        <v>2430</v>
      </c>
      <c r="C901">
        <v>2</v>
      </c>
      <c r="D901" t="s">
        <v>7266</v>
      </c>
      <c r="E901" t="s">
        <v>7878</v>
      </c>
      <c r="F901" t="s">
        <v>2431</v>
      </c>
      <c r="G901" t="s">
        <v>2432</v>
      </c>
      <c r="H901" t="s">
        <v>2428</v>
      </c>
      <c r="I901" t="s">
        <v>1265</v>
      </c>
      <c r="J901" t="s">
        <v>7703</v>
      </c>
      <c r="K901" t="s">
        <v>7826</v>
      </c>
      <c r="L901" t="s">
        <v>7726</v>
      </c>
      <c r="N901" t="str" cm="1">
        <f t="array" ref="N901">IFERROR(LOOKUP(2,1/SEARCH($S$2:$S$65,G901),$T$2:$T$65),"Misc")</f>
        <v>OH P/N</v>
      </c>
      <c r="O901" t="str" cm="1">
        <f t="array" ref="O901">IFERROR(LOOKUP(2,1/SEARCH($V$2:$V$65,G901),$W$2:$W$65),"Misc")</f>
        <v>OH Part</v>
      </c>
      <c r="P901" t="str" cm="1">
        <f t="array" ref="P901">IFERROR(LOOKUP(2,1/SEARCH($Y$2:$Y$65,G901),$Z$2:$Z$65),"Not Defined")</f>
        <v>RUBBER</v>
      </c>
      <c r="Q901" t="str" cm="1">
        <f t="array" ref="Q901">IFERROR(LOOKUP(2,1/SEARCH($S$2:$S$65,H901),$T$2:$T$65),"-")</f>
        <v>COTS</v>
      </c>
    </row>
    <row r="902" spans="1:17" hidden="1" x14ac:dyDescent="0.25">
      <c r="A902" t="s">
        <v>7673</v>
      </c>
      <c r="B902" s="2" t="s">
        <v>2433</v>
      </c>
      <c r="C902">
        <v>1</v>
      </c>
      <c r="D902" t="s">
        <v>7266</v>
      </c>
      <c r="E902" t="s">
        <v>7878</v>
      </c>
      <c r="F902" t="s">
        <v>2434</v>
      </c>
      <c r="G902" t="s">
        <v>2436</v>
      </c>
      <c r="H902" t="s">
        <v>2435</v>
      </c>
      <c r="I902" t="s">
        <v>1265</v>
      </c>
      <c r="J902" t="s">
        <v>7703</v>
      </c>
      <c r="K902" t="s">
        <v>7826</v>
      </c>
      <c r="L902" t="s">
        <v>7726</v>
      </c>
      <c r="N902" t="str" cm="1">
        <f t="array" ref="N902">IFERROR(LOOKUP(2,1/SEARCH($S$2:$S$65,G902),$T$2:$T$65),"Misc")</f>
        <v>OH P/N</v>
      </c>
      <c r="O902" t="str" cm="1">
        <f t="array" ref="O902">IFERROR(LOOKUP(2,1/SEARCH($V$2:$V$65,G902),$W$2:$W$65),"Misc")</f>
        <v>OH Part</v>
      </c>
      <c r="P902" t="str" cm="1">
        <f t="array" ref="P902">IFERROR(LOOKUP(2,1/SEARCH($Y$2:$Y$65,G902),$Z$2:$Z$65),"Not Defined")</f>
        <v>RUBBER</v>
      </c>
      <c r="Q902" t="str" cm="1">
        <f t="array" ref="Q902">IFERROR(LOOKUP(2,1/SEARCH($S$2:$S$65,H902),$T$2:$T$65),"-")</f>
        <v>COTS</v>
      </c>
    </row>
    <row r="903" spans="1:17" hidden="1" x14ac:dyDescent="0.25">
      <c r="A903" t="s">
        <v>7673</v>
      </c>
      <c r="B903" s="2" t="s">
        <v>2437</v>
      </c>
      <c r="C903">
        <v>13</v>
      </c>
      <c r="D903" t="s">
        <v>7266</v>
      </c>
      <c r="E903" t="s">
        <v>7877</v>
      </c>
      <c r="F903" t="s">
        <v>2438</v>
      </c>
      <c r="G903" t="s">
        <v>2440</v>
      </c>
      <c r="H903" t="s">
        <v>2439</v>
      </c>
      <c r="I903" t="s">
        <v>358</v>
      </c>
      <c r="J903" t="s">
        <v>7682</v>
      </c>
      <c r="K903" t="s">
        <v>7826</v>
      </c>
      <c r="L903" t="s">
        <v>7826</v>
      </c>
      <c r="N903" t="str" cm="1">
        <f t="array" ref="N903">IFERROR(LOOKUP(2,1/SEARCH($S$2:$S$65,G903),$T$2:$T$65),"Misc")</f>
        <v>OH P/N</v>
      </c>
      <c r="O903" t="str" cm="1">
        <f t="array" ref="O903">IFERROR(LOOKUP(2,1/SEARCH($V$2:$V$65,G903),$W$2:$W$65),"Misc")</f>
        <v>OH Part</v>
      </c>
      <c r="P903" t="str" cm="1">
        <f t="array" ref="P903">IFERROR(LOOKUP(2,1/SEARCH($Y$2:$Y$65,G903),$Z$2:$Z$65),"Not Defined")</f>
        <v>OH Part</v>
      </c>
      <c r="Q903" t="str" cm="1">
        <f t="array" ref="Q903">IFERROR(LOOKUP(2,1/SEARCH($S$2:$S$65,H903),$T$2:$T$65),"-")</f>
        <v>-</v>
      </c>
    </row>
    <row r="904" spans="1:17" hidden="1" x14ac:dyDescent="0.25">
      <c r="A904" t="s">
        <v>7673</v>
      </c>
      <c r="B904" s="2" t="s">
        <v>2441</v>
      </c>
      <c r="C904">
        <v>1</v>
      </c>
      <c r="D904" t="s">
        <v>7266</v>
      </c>
      <c r="E904" t="s">
        <v>7879</v>
      </c>
      <c r="F904" t="s">
        <v>2442</v>
      </c>
      <c r="G904" t="s">
        <v>7281</v>
      </c>
      <c r="H904" t="s">
        <v>2443</v>
      </c>
      <c r="J904" t="s">
        <v>7742</v>
      </c>
      <c r="K904" t="s">
        <v>7826</v>
      </c>
      <c r="L904" t="s">
        <v>7826</v>
      </c>
      <c r="N904" t="str" cm="1">
        <f t="array" ref="N904">IFERROR(LOOKUP(2,1/SEARCH($S$2:$S$65,G904),$T$2:$T$65),"Misc")</f>
        <v>OH ASSY</v>
      </c>
      <c r="O904" t="str" cm="1">
        <f t="array" ref="O904">IFERROR(LOOKUP(2,1/SEARCH($V$2:$V$65,G904),$W$2:$W$65),"Misc")</f>
        <v>OH Part</v>
      </c>
      <c r="P904" t="str" cm="1">
        <f t="array" ref="P904">IFERROR(LOOKUP(2,1/SEARCH($Y$2:$Y$65,G904),$Z$2:$Z$65),"Not Defined")</f>
        <v>OH Part</v>
      </c>
      <c r="Q904" t="str" cm="1">
        <f t="array" ref="Q904">IFERROR(LOOKUP(2,1/SEARCH($S$2:$S$65,H904),$T$2:$T$65),"-")</f>
        <v>OH ASSY</v>
      </c>
    </row>
    <row r="905" spans="1:17" hidden="1" x14ac:dyDescent="0.25">
      <c r="A905" t="s">
        <v>7673</v>
      </c>
      <c r="B905" s="2" t="s">
        <v>2444</v>
      </c>
      <c r="C905">
        <v>1</v>
      </c>
      <c r="D905" t="s">
        <v>7266</v>
      </c>
      <c r="E905" t="s">
        <v>7879</v>
      </c>
      <c r="F905" t="s">
        <v>2445</v>
      </c>
      <c r="G905" t="s">
        <v>2447</v>
      </c>
      <c r="H905" t="s">
        <v>2446</v>
      </c>
      <c r="I905" t="s">
        <v>13</v>
      </c>
      <c r="J905" t="s">
        <v>7682</v>
      </c>
      <c r="K905" t="s">
        <v>7826</v>
      </c>
      <c r="L905" t="s">
        <v>7826</v>
      </c>
      <c r="N905" t="str" cm="1">
        <f t="array" ref="N905">IFERROR(LOOKUP(2,1/SEARCH($S$2:$S$65,G905),$T$2:$T$65),"Misc")</f>
        <v>OH P/N</v>
      </c>
      <c r="O905" t="str" cm="1">
        <f t="array" ref="O905">IFERROR(LOOKUP(2,1/SEARCH($V$2:$V$65,G905),$W$2:$W$65),"Misc")</f>
        <v>OH Part</v>
      </c>
      <c r="P905" t="str" cm="1">
        <f t="array" ref="P905">IFERROR(LOOKUP(2,1/SEARCH($Y$2:$Y$65,G905),$Z$2:$Z$65),"Not Defined")</f>
        <v>OH Part</v>
      </c>
      <c r="Q905" t="str" cm="1">
        <f t="array" ref="Q905">IFERROR(LOOKUP(2,1/SEARCH($S$2:$S$65,H905),$T$2:$T$65),"-")</f>
        <v>-</v>
      </c>
    </row>
    <row r="906" spans="1:17" hidden="1" x14ac:dyDescent="0.25">
      <c r="A906" t="s">
        <v>7673</v>
      </c>
      <c r="B906" s="2" t="s">
        <v>2448</v>
      </c>
      <c r="C906">
        <v>1</v>
      </c>
      <c r="D906" t="s">
        <v>7266</v>
      </c>
      <c r="E906" t="s">
        <v>7879</v>
      </c>
      <c r="F906" t="s">
        <v>2449</v>
      </c>
      <c r="G906" t="s">
        <v>2451</v>
      </c>
      <c r="H906" t="s">
        <v>2450</v>
      </c>
      <c r="I906" t="s">
        <v>13</v>
      </c>
      <c r="J906" t="s">
        <v>7682</v>
      </c>
      <c r="K906" t="s">
        <v>7826</v>
      </c>
      <c r="L906" t="s">
        <v>7826</v>
      </c>
      <c r="N906" t="str" cm="1">
        <f t="array" ref="N906">IFERROR(LOOKUP(2,1/SEARCH($S$2:$S$65,G906),$T$2:$T$65),"Misc")</f>
        <v>OH P/N</v>
      </c>
      <c r="O906" t="str" cm="1">
        <f t="array" ref="O906">IFERROR(LOOKUP(2,1/SEARCH($V$2:$V$65,G906),$W$2:$W$65),"Misc")</f>
        <v>OH Part</v>
      </c>
      <c r="P906" t="str" cm="1">
        <f t="array" ref="P906">IFERROR(LOOKUP(2,1/SEARCH($Y$2:$Y$65,G906),$Z$2:$Z$65),"Not Defined")</f>
        <v>OH Part</v>
      </c>
      <c r="Q906" t="str" cm="1">
        <f t="array" ref="Q906">IFERROR(LOOKUP(2,1/SEARCH($S$2:$S$65,H906),$T$2:$T$65),"-")</f>
        <v>-</v>
      </c>
    </row>
    <row r="907" spans="1:17" hidden="1" x14ac:dyDescent="0.25">
      <c r="A907" t="s">
        <v>7673</v>
      </c>
      <c r="B907" s="2" t="s">
        <v>2452</v>
      </c>
      <c r="C907">
        <v>1</v>
      </c>
      <c r="D907" t="s">
        <v>7266</v>
      </c>
      <c r="E907" t="s">
        <v>7879</v>
      </c>
      <c r="F907" t="s">
        <v>2453</v>
      </c>
      <c r="G907" t="s">
        <v>7282</v>
      </c>
      <c r="H907" t="s">
        <v>2454</v>
      </c>
      <c r="I907" t="s">
        <v>255</v>
      </c>
      <c r="J907" t="s">
        <v>7682</v>
      </c>
      <c r="K907" t="s">
        <v>7826</v>
      </c>
      <c r="L907" t="s">
        <v>7826</v>
      </c>
      <c r="N907" t="str" cm="1">
        <f t="array" ref="N907">IFERROR(LOOKUP(2,1/SEARCH($S$2:$S$65,G907),$T$2:$T$65),"Misc")</f>
        <v>OH P/N</v>
      </c>
      <c r="O907" t="str" cm="1">
        <f t="array" ref="O907">IFERROR(LOOKUP(2,1/SEARCH($V$2:$V$65,G907),$W$2:$W$65),"Misc")</f>
        <v>OH Part</v>
      </c>
      <c r="P907" t="str" cm="1">
        <f t="array" ref="P907">IFERROR(LOOKUP(2,1/SEARCH($Y$2:$Y$65,G907),$Z$2:$Z$65),"Not Defined")</f>
        <v>OH Part</v>
      </c>
      <c r="Q907" t="str" cm="1">
        <f t="array" ref="Q907">IFERROR(LOOKUP(2,1/SEARCH($S$2:$S$65,H907),$T$2:$T$65),"-")</f>
        <v>-</v>
      </c>
    </row>
    <row r="908" spans="1:17" hidden="1" x14ac:dyDescent="0.25">
      <c r="A908" t="s">
        <v>7673</v>
      </c>
      <c r="B908" s="2" t="s">
        <v>2455</v>
      </c>
      <c r="C908">
        <v>2</v>
      </c>
      <c r="D908" t="s">
        <v>7266</v>
      </c>
      <c r="E908" t="s">
        <v>7879</v>
      </c>
      <c r="F908" t="s">
        <v>464</v>
      </c>
      <c r="G908" t="s">
        <v>7091</v>
      </c>
      <c r="H908" t="s">
        <v>465</v>
      </c>
      <c r="I908" t="s">
        <v>224</v>
      </c>
      <c r="J908" t="s">
        <v>7703</v>
      </c>
      <c r="K908" t="s">
        <v>7684</v>
      </c>
      <c r="L908" t="s">
        <v>7685</v>
      </c>
      <c r="N908" t="str" cm="1">
        <f t="array" ref="N908">IFERROR(LOOKUP(2,1/SEARCH($S$2:$S$65,G908),$T$2:$T$65),"Misc")</f>
        <v>COTS</v>
      </c>
      <c r="O908" t="str" cm="1">
        <f t="array" ref="O908">IFERROR(LOOKUP(2,1/SEARCH($V$2:$V$65,G908),$W$2:$W$65),"Misc")</f>
        <v>Fasteners</v>
      </c>
      <c r="P908" t="str" cm="1">
        <f t="array" ref="P908">IFERROR(LOOKUP(2,1/SEARCH($Y$2:$Y$65,G908),$Z$2:$Z$65),"Not Defined")</f>
        <v>NUT</v>
      </c>
      <c r="Q908" t="str" cm="1">
        <f t="array" ref="Q908">IFERROR(LOOKUP(2,1/SEARCH($S$2:$S$65,H908),$T$2:$T$65),"-")</f>
        <v>COTS</v>
      </c>
    </row>
    <row r="909" spans="1:17" hidden="1" x14ac:dyDescent="0.25">
      <c r="A909" t="s">
        <v>7673</v>
      </c>
      <c r="B909" s="2" t="s">
        <v>2456</v>
      </c>
      <c r="C909">
        <v>2</v>
      </c>
      <c r="D909" t="s">
        <v>7266</v>
      </c>
      <c r="E909" t="s">
        <v>7879</v>
      </c>
      <c r="F909" t="s">
        <v>304</v>
      </c>
      <c r="G909" t="s">
        <v>7067</v>
      </c>
      <c r="H909" t="s">
        <v>305</v>
      </c>
      <c r="I909" t="s">
        <v>210</v>
      </c>
      <c r="J909" t="s">
        <v>7703</v>
      </c>
      <c r="K909" t="s">
        <v>7684</v>
      </c>
      <c r="L909" t="s">
        <v>7693</v>
      </c>
      <c r="N909" t="str" cm="1">
        <f t="array" ref="N909">IFERROR(LOOKUP(2,1/SEARCH($S$2:$S$65,G909),$T$2:$T$65),"Misc")</f>
        <v>COTS</v>
      </c>
      <c r="O909" t="str" cm="1">
        <f t="array" ref="O909">IFERROR(LOOKUP(2,1/SEARCH($V$2:$V$65,G909),$W$2:$W$65),"Misc")</f>
        <v>Fasteners</v>
      </c>
      <c r="P909" t="str" cm="1">
        <f t="array" ref="P909">IFERROR(LOOKUP(2,1/SEARCH($Y$2:$Y$65,G909),$Z$2:$Z$65),"Not Defined")</f>
        <v>PHS</v>
      </c>
      <c r="Q909" t="str" cm="1">
        <f t="array" ref="Q909">IFERROR(LOOKUP(2,1/SEARCH($S$2:$S$65,H909),$T$2:$T$65),"-")</f>
        <v>COTS</v>
      </c>
    </row>
    <row r="910" spans="1:17" hidden="1" x14ac:dyDescent="0.25">
      <c r="A910" t="s">
        <v>7673</v>
      </c>
      <c r="B910" s="2" t="s">
        <v>2457</v>
      </c>
      <c r="C910">
        <v>1</v>
      </c>
      <c r="D910" t="s">
        <v>7266</v>
      </c>
      <c r="E910" t="s">
        <v>7879</v>
      </c>
      <c r="F910" t="s">
        <v>2458</v>
      </c>
      <c r="G910" t="s">
        <v>2460</v>
      </c>
      <c r="H910" t="s">
        <v>2459</v>
      </c>
      <c r="I910" t="s">
        <v>358</v>
      </c>
      <c r="J910" t="s">
        <v>7682</v>
      </c>
      <c r="K910" t="s">
        <v>7826</v>
      </c>
      <c r="L910" t="s">
        <v>7826</v>
      </c>
      <c r="N910" t="str" cm="1">
        <f t="array" ref="N910">IFERROR(LOOKUP(2,1/SEARCH($S$2:$S$65,G910),$T$2:$T$65),"Misc")</f>
        <v>OH P/N</v>
      </c>
      <c r="O910" t="str" cm="1">
        <f t="array" ref="O910">IFERROR(LOOKUP(2,1/SEARCH($V$2:$V$65,G910),$W$2:$W$65),"Misc")</f>
        <v>OH Part</v>
      </c>
      <c r="P910" t="str" cm="1">
        <f t="array" ref="P910">IFERROR(LOOKUP(2,1/SEARCH($Y$2:$Y$65,G910),$Z$2:$Z$65),"Not Defined")</f>
        <v>OH Part</v>
      </c>
      <c r="Q910" t="str" cm="1">
        <f t="array" ref="Q910">IFERROR(LOOKUP(2,1/SEARCH($S$2:$S$65,H910),$T$2:$T$65),"-")</f>
        <v>-</v>
      </c>
    </row>
    <row r="911" spans="1:17" hidden="1" x14ac:dyDescent="0.25">
      <c r="A911" t="s">
        <v>7673</v>
      </c>
      <c r="B911" s="2" t="s">
        <v>2461</v>
      </c>
      <c r="C911">
        <v>1</v>
      </c>
      <c r="D911" t="s">
        <v>7266</v>
      </c>
      <c r="E911" t="s">
        <v>7879</v>
      </c>
      <c r="F911" t="s">
        <v>2462</v>
      </c>
      <c r="G911" t="s">
        <v>2464</v>
      </c>
      <c r="H911" t="s">
        <v>2463</v>
      </c>
      <c r="I911" t="s">
        <v>358</v>
      </c>
      <c r="J911" t="s">
        <v>7682</v>
      </c>
      <c r="K911" t="s">
        <v>7826</v>
      </c>
      <c r="L911" t="s">
        <v>7826</v>
      </c>
      <c r="N911" t="str" cm="1">
        <f t="array" ref="N911">IFERROR(LOOKUP(2,1/SEARCH($S$2:$S$65,G911),$T$2:$T$65),"Misc")</f>
        <v>OH P/N</v>
      </c>
      <c r="O911" t="str" cm="1">
        <f t="array" ref="O911">IFERROR(LOOKUP(2,1/SEARCH($V$2:$V$65,G911),$W$2:$W$65),"Misc")</f>
        <v>OH Part</v>
      </c>
      <c r="P911" t="str" cm="1">
        <f t="array" ref="P911">IFERROR(LOOKUP(2,1/SEARCH($Y$2:$Y$65,G911),$Z$2:$Z$65),"Not Defined")</f>
        <v>OH Part</v>
      </c>
      <c r="Q911" t="str" cm="1">
        <f t="array" ref="Q911">IFERROR(LOOKUP(2,1/SEARCH($S$2:$S$65,H911),$T$2:$T$65),"-")</f>
        <v>-</v>
      </c>
    </row>
    <row r="912" spans="1:17" hidden="1" x14ac:dyDescent="0.25">
      <c r="A912" t="s">
        <v>7673</v>
      </c>
      <c r="B912" s="2" t="s">
        <v>2465</v>
      </c>
      <c r="C912">
        <v>1</v>
      </c>
      <c r="D912" t="s">
        <v>7266</v>
      </c>
      <c r="E912" t="s">
        <v>7879</v>
      </c>
      <c r="F912" t="s">
        <v>2466</v>
      </c>
      <c r="G912" t="s">
        <v>2468</v>
      </c>
      <c r="H912" t="s">
        <v>2467</v>
      </c>
      <c r="I912" t="s">
        <v>358</v>
      </c>
      <c r="J912" t="s">
        <v>7682</v>
      </c>
      <c r="K912" t="s">
        <v>7826</v>
      </c>
      <c r="L912" t="s">
        <v>7826</v>
      </c>
      <c r="N912" t="str" cm="1">
        <f t="array" ref="N912">IFERROR(LOOKUP(2,1/SEARCH($S$2:$S$65,G912),$T$2:$T$65),"Misc")</f>
        <v>OH P/N</v>
      </c>
      <c r="O912" t="str" cm="1">
        <f t="array" ref="O912">IFERROR(LOOKUP(2,1/SEARCH($V$2:$V$65,G912),$W$2:$W$65),"Misc")</f>
        <v>OH Part</v>
      </c>
      <c r="P912" t="str" cm="1">
        <f t="array" ref="P912">IFERROR(LOOKUP(2,1/SEARCH($Y$2:$Y$65,G912),$Z$2:$Z$65),"Not Defined")</f>
        <v>OH Part</v>
      </c>
      <c r="Q912" t="str" cm="1">
        <f t="array" ref="Q912">IFERROR(LOOKUP(2,1/SEARCH($S$2:$S$65,H912),$T$2:$T$65),"-")</f>
        <v>-</v>
      </c>
    </row>
    <row r="913" spans="1:17" hidden="1" x14ac:dyDescent="0.25">
      <c r="A913" t="s">
        <v>7673</v>
      </c>
      <c r="B913" s="2" t="s">
        <v>2469</v>
      </c>
      <c r="C913">
        <v>1</v>
      </c>
      <c r="D913" t="s">
        <v>7266</v>
      </c>
      <c r="E913" t="s">
        <v>7879</v>
      </c>
      <c r="F913" t="s">
        <v>2470</v>
      </c>
      <c r="G913" t="s">
        <v>2472</v>
      </c>
      <c r="H913" t="s">
        <v>2471</v>
      </c>
      <c r="I913" t="s">
        <v>358</v>
      </c>
      <c r="J913" t="s">
        <v>7682</v>
      </c>
      <c r="K913" t="s">
        <v>7826</v>
      </c>
      <c r="L913" t="s">
        <v>7826</v>
      </c>
      <c r="N913" t="str" cm="1">
        <f t="array" ref="N913">IFERROR(LOOKUP(2,1/SEARCH($S$2:$S$65,G913),$T$2:$T$65),"Misc")</f>
        <v>OH P/N</v>
      </c>
      <c r="O913" t="str" cm="1">
        <f t="array" ref="O913">IFERROR(LOOKUP(2,1/SEARCH($V$2:$V$65,G913),$W$2:$W$65),"Misc")</f>
        <v>OH Part</v>
      </c>
      <c r="P913" t="str" cm="1">
        <f t="array" ref="P913">IFERROR(LOOKUP(2,1/SEARCH($Y$2:$Y$65,G913),$Z$2:$Z$65),"Not Defined")</f>
        <v>OH Part</v>
      </c>
      <c r="Q913" t="str" cm="1">
        <f t="array" ref="Q913">IFERROR(LOOKUP(2,1/SEARCH($S$2:$S$65,H913),$T$2:$T$65),"-")</f>
        <v>-</v>
      </c>
    </row>
    <row r="914" spans="1:17" hidden="1" x14ac:dyDescent="0.25">
      <c r="A914" t="s">
        <v>7673</v>
      </c>
      <c r="B914" s="2" t="s">
        <v>2473</v>
      </c>
      <c r="C914">
        <v>1</v>
      </c>
      <c r="D914" t="s">
        <v>7266</v>
      </c>
      <c r="E914" t="s">
        <v>7879</v>
      </c>
      <c r="F914" t="s">
        <v>2474</v>
      </c>
      <c r="G914" t="s">
        <v>2476</v>
      </c>
      <c r="H914" t="s">
        <v>2475</v>
      </c>
      <c r="I914" t="s">
        <v>358</v>
      </c>
      <c r="J914" t="s">
        <v>7682</v>
      </c>
      <c r="K914" t="s">
        <v>7826</v>
      </c>
      <c r="L914" t="s">
        <v>7826</v>
      </c>
      <c r="N914" t="str" cm="1">
        <f t="array" ref="N914">IFERROR(LOOKUP(2,1/SEARCH($S$2:$S$65,G914),$T$2:$T$65),"Misc")</f>
        <v>OH P/N</v>
      </c>
      <c r="O914" t="str" cm="1">
        <f t="array" ref="O914">IFERROR(LOOKUP(2,1/SEARCH($V$2:$V$65,G914),$W$2:$W$65),"Misc")</f>
        <v>OH Part</v>
      </c>
      <c r="P914" t="str" cm="1">
        <f t="array" ref="P914">IFERROR(LOOKUP(2,1/SEARCH($Y$2:$Y$65,G914),$Z$2:$Z$65),"Not Defined")</f>
        <v>OH Part</v>
      </c>
      <c r="Q914" t="str" cm="1">
        <f t="array" ref="Q914">IFERROR(LOOKUP(2,1/SEARCH($S$2:$S$65,H914),$T$2:$T$65),"-")</f>
        <v>-</v>
      </c>
    </row>
    <row r="915" spans="1:17" hidden="1" x14ac:dyDescent="0.25">
      <c r="A915" t="s">
        <v>7673</v>
      </c>
      <c r="B915" s="2" t="s">
        <v>2477</v>
      </c>
      <c r="C915">
        <v>1</v>
      </c>
      <c r="D915" t="s">
        <v>7266</v>
      </c>
      <c r="E915" t="s">
        <v>7879</v>
      </c>
      <c r="F915" t="s">
        <v>2478</v>
      </c>
      <c r="G915" t="s">
        <v>2480</v>
      </c>
      <c r="H915" t="s">
        <v>2479</v>
      </c>
      <c r="I915" t="s">
        <v>358</v>
      </c>
      <c r="J915" t="s">
        <v>7682</v>
      </c>
      <c r="K915" t="s">
        <v>7826</v>
      </c>
      <c r="L915" t="s">
        <v>7826</v>
      </c>
      <c r="N915" t="str" cm="1">
        <f t="array" ref="N915">IFERROR(LOOKUP(2,1/SEARCH($S$2:$S$65,G915),$T$2:$T$65),"Misc")</f>
        <v>OH P/N</v>
      </c>
      <c r="O915" t="str" cm="1">
        <f t="array" ref="O915">IFERROR(LOOKUP(2,1/SEARCH($V$2:$V$65,G915),$W$2:$W$65),"Misc")</f>
        <v>OH Part</v>
      </c>
      <c r="P915" t="str" cm="1">
        <f t="array" ref="P915">IFERROR(LOOKUP(2,1/SEARCH($Y$2:$Y$65,G915),$Z$2:$Z$65),"Not Defined")</f>
        <v>OH Part</v>
      </c>
      <c r="Q915" t="str" cm="1">
        <f t="array" ref="Q915">IFERROR(LOOKUP(2,1/SEARCH($S$2:$S$65,H915),$T$2:$T$65),"-")</f>
        <v>-</v>
      </c>
    </row>
    <row r="916" spans="1:17" hidden="1" x14ac:dyDescent="0.25">
      <c r="A916" t="s">
        <v>7673</v>
      </c>
      <c r="B916" s="2" t="s">
        <v>2481</v>
      </c>
      <c r="C916">
        <v>1</v>
      </c>
      <c r="D916" t="s">
        <v>7266</v>
      </c>
      <c r="E916" t="s">
        <v>7879</v>
      </c>
      <c r="F916" t="s">
        <v>2482</v>
      </c>
      <c r="G916" t="s">
        <v>2484</v>
      </c>
      <c r="H916" t="s">
        <v>2483</v>
      </c>
      <c r="I916" t="s">
        <v>358</v>
      </c>
      <c r="J916" t="s">
        <v>7682</v>
      </c>
      <c r="K916" t="s">
        <v>7826</v>
      </c>
      <c r="L916" t="s">
        <v>7826</v>
      </c>
      <c r="N916" t="str" cm="1">
        <f t="array" ref="N916">IFERROR(LOOKUP(2,1/SEARCH($S$2:$S$65,G916),$T$2:$T$65),"Misc")</f>
        <v>OH P/N</v>
      </c>
      <c r="O916" t="str" cm="1">
        <f t="array" ref="O916">IFERROR(LOOKUP(2,1/SEARCH($V$2:$V$65,G916),$W$2:$W$65),"Misc")</f>
        <v>OH Part</v>
      </c>
      <c r="P916" t="str" cm="1">
        <f t="array" ref="P916">IFERROR(LOOKUP(2,1/SEARCH($Y$2:$Y$65,G916),$Z$2:$Z$65),"Not Defined")</f>
        <v>OH Part</v>
      </c>
      <c r="Q916" t="str" cm="1">
        <f t="array" ref="Q916">IFERROR(LOOKUP(2,1/SEARCH($S$2:$S$65,H916),$T$2:$T$65),"-")</f>
        <v>-</v>
      </c>
    </row>
    <row r="917" spans="1:17" hidden="1" x14ac:dyDescent="0.25">
      <c r="A917" t="s">
        <v>7673</v>
      </c>
      <c r="B917" s="2" t="s">
        <v>2485</v>
      </c>
      <c r="C917">
        <v>7</v>
      </c>
      <c r="D917" t="s">
        <v>7266</v>
      </c>
      <c r="E917" t="s">
        <v>7879</v>
      </c>
      <c r="F917" t="s">
        <v>2486</v>
      </c>
      <c r="G917" t="s">
        <v>2488</v>
      </c>
      <c r="H917" t="s">
        <v>2487</v>
      </c>
      <c r="I917" t="s">
        <v>358</v>
      </c>
      <c r="J917" t="s">
        <v>7682</v>
      </c>
      <c r="K917" t="s">
        <v>7826</v>
      </c>
      <c r="L917" t="s">
        <v>7826</v>
      </c>
      <c r="N917" t="str" cm="1">
        <f t="array" ref="N917">IFERROR(LOOKUP(2,1/SEARCH($S$2:$S$65,G917),$T$2:$T$65),"Misc")</f>
        <v>OH P/N</v>
      </c>
      <c r="O917" t="str" cm="1">
        <f t="array" ref="O917">IFERROR(LOOKUP(2,1/SEARCH($V$2:$V$65,G917),$W$2:$W$65),"Misc")</f>
        <v>OH Part</v>
      </c>
      <c r="P917" t="str" cm="1">
        <f t="array" ref="P917">IFERROR(LOOKUP(2,1/SEARCH($Y$2:$Y$65,G917),$Z$2:$Z$65),"Not Defined")</f>
        <v>OH Part</v>
      </c>
      <c r="Q917" t="str" cm="1">
        <f t="array" ref="Q917">IFERROR(LOOKUP(2,1/SEARCH($S$2:$S$65,H917),$T$2:$T$65),"-")</f>
        <v>-</v>
      </c>
    </row>
    <row r="918" spans="1:17" hidden="1" x14ac:dyDescent="0.25">
      <c r="A918" t="s">
        <v>7673</v>
      </c>
      <c r="B918" s="2" t="s">
        <v>2489</v>
      </c>
      <c r="C918">
        <v>2</v>
      </c>
      <c r="D918" t="s">
        <v>7266</v>
      </c>
      <c r="E918" t="s">
        <v>2261</v>
      </c>
      <c r="F918" t="s">
        <v>491</v>
      </c>
      <c r="G918" t="s">
        <v>7095</v>
      </c>
      <c r="H918" t="s">
        <v>492</v>
      </c>
      <c r="I918" t="s">
        <v>255</v>
      </c>
      <c r="J918" t="s">
        <v>7703</v>
      </c>
      <c r="K918" t="s">
        <v>7684</v>
      </c>
      <c r="L918" t="s">
        <v>7677</v>
      </c>
      <c r="N918" t="str" cm="1">
        <f t="array" ref="N918">IFERROR(LOOKUP(2,1/SEARCH($S$2:$S$65,G918),$T$2:$T$65),"Misc")</f>
        <v>COTS</v>
      </c>
      <c r="O918" t="str" cm="1">
        <f t="array" ref="O918">IFERROR(LOOKUP(2,1/SEARCH($V$2:$V$65,G918),$W$2:$W$65),"Misc")</f>
        <v>Fasteners</v>
      </c>
      <c r="P918" t="str" cm="1">
        <f t="array" ref="P918">IFERROR(LOOKUP(2,1/SEARCH($Y$2:$Y$65,G918),$Z$2:$Z$65),"Not Defined")</f>
        <v>SWITCH</v>
      </c>
      <c r="Q918" t="str" cm="1">
        <f t="array" ref="Q918">IFERROR(LOOKUP(2,1/SEARCH($S$2:$S$65,H918),$T$2:$T$65),"-")</f>
        <v>COTS</v>
      </c>
    </row>
    <row r="919" spans="1:17" hidden="1" x14ac:dyDescent="0.25">
      <c r="A919" t="s">
        <v>7673</v>
      </c>
      <c r="B919" s="2" t="s">
        <v>2490</v>
      </c>
      <c r="C919">
        <v>2</v>
      </c>
      <c r="D919" t="s">
        <v>7266</v>
      </c>
      <c r="E919" t="s">
        <v>2261</v>
      </c>
      <c r="F919" t="s">
        <v>366</v>
      </c>
      <c r="G919" t="s">
        <v>7078</v>
      </c>
      <c r="H919" t="s">
        <v>367</v>
      </c>
      <c r="I919" t="s">
        <v>255</v>
      </c>
      <c r="J919" t="s">
        <v>7703</v>
      </c>
      <c r="K919" t="s">
        <v>7677</v>
      </c>
      <c r="L919" t="s">
        <v>7685</v>
      </c>
      <c r="N919" t="str" cm="1">
        <f t="array" ref="N919">IFERROR(LOOKUP(2,1/SEARCH($S$2:$S$65,G919),$T$2:$T$65),"Misc")</f>
        <v>COTS</v>
      </c>
      <c r="O919" t="str" cm="1">
        <f t="array" ref="O919">IFERROR(LOOKUP(2,1/SEARCH($V$2:$V$65,G919),$W$2:$W$65),"Misc")</f>
        <v>SWITCH</v>
      </c>
      <c r="P919" t="str" cm="1">
        <f t="array" ref="P919">IFERROR(LOOKUP(2,1/SEARCH($Y$2:$Y$65,G919),$Z$2:$Z$65),"Not Defined")</f>
        <v>NUT</v>
      </c>
      <c r="Q919" t="str" cm="1">
        <f t="array" ref="Q919">IFERROR(LOOKUP(2,1/SEARCH($S$2:$S$65,H919),$T$2:$T$65),"-")</f>
        <v>COTS</v>
      </c>
    </row>
    <row r="920" spans="1:17" hidden="1" x14ac:dyDescent="0.25">
      <c r="A920" t="s">
        <v>7673</v>
      </c>
      <c r="B920" s="17" t="s">
        <v>2491</v>
      </c>
      <c r="C920">
        <v>1</v>
      </c>
      <c r="D920" t="s">
        <v>7266</v>
      </c>
      <c r="E920" t="s">
        <v>2493</v>
      </c>
      <c r="F920" t="s">
        <v>2492</v>
      </c>
      <c r="G920" t="s">
        <v>7283</v>
      </c>
      <c r="H920" t="s">
        <v>2493</v>
      </c>
      <c r="J920" t="s">
        <v>7742</v>
      </c>
      <c r="K920" t="s">
        <v>7826</v>
      </c>
      <c r="L920" t="s">
        <v>7826</v>
      </c>
      <c r="N920" t="str" cm="1">
        <f t="array" ref="N920">IFERROR(LOOKUP(2,1/SEARCH($S$2:$S$65,G920),$T$2:$T$65),"Misc")</f>
        <v>OH ASSY</v>
      </c>
      <c r="O920" t="str" cm="1">
        <f t="array" ref="O920">IFERROR(LOOKUP(2,1/SEARCH($V$2:$V$65,G920),$W$2:$W$65),"Misc")</f>
        <v>OH Part</v>
      </c>
      <c r="P920" t="str" cm="1">
        <f t="array" ref="P920">IFERROR(LOOKUP(2,1/SEARCH($Y$2:$Y$65,G920),$Z$2:$Z$65),"Not Defined")</f>
        <v>OH Part</v>
      </c>
      <c r="Q920" t="str" cm="1">
        <f t="array" ref="Q920">IFERROR(LOOKUP(2,1/SEARCH($S$2:$S$65,H920),$T$2:$T$65),"-")</f>
        <v>OH ASSY</v>
      </c>
    </row>
    <row r="921" spans="1:17" hidden="1" x14ac:dyDescent="0.25">
      <c r="A921" t="s">
        <v>7673</v>
      </c>
      <c r="B921" s="17" t="s">
        <v>2494</v>
      </c>
      <c r="C921">
        <v>1</v>
      </c>
      <c r="D921" t="s">
        <v>7266</v>
      </c>
      <c r="E921" t="s">
        <v>2493</v>
      </c>
      <c r="F921" t="s">
        <v>2495</v>
      </c>
      <c r="G921" t="s">
        <v>2497</v>
      </c>
      <c r="H921" t="s">
        <v>2496</v>
      </c>
      <c r="I921" t="s">
        <v>13</v>
      </c>
      <c r="J921" t="s">
        <v>7682</v>
      </c>
      <c r="K921" t="s">
        <v>7826</v>
      </c>
      <c r="L921" t="s">
        <v>7826</v>
      </c>
      <c r="N921" t="str" cm="1">
        <f t="array" ref="N921">IFERROR(LOOKUP(2,1/SEARCH($S$2:$S$65,G921),$T$2:$T$65),"Misc")</f>
        <v>OH P/N</v>
      </c>
      <c r="O921" t="str" cm="1">
        <f t="array" ref="O921">IFERROR(LOOKUP(2,1/SEARCH($V$2:$V$65,G921),$W$2:$W$65),"Misc")</f>
        <v>OH Part</v>
      </c>
      <c r="P921" t="str" cm="1">
        <f t="array" ref="P921">IFERROR(LOOKUP(2,1/SEARCH($Y$2:$Y$65,G921),$Z$2:$Z$65),"Not Defined")</f>
        <v>OH Part</v>
      </c>
      <c r="Q921" t="str" cm="1">
        <f t="array" ref="Q921">IFERROR(LOOKUP(2,1/SEARCH($S$2:$S$65,H921),$T$2:$T$65),"-")</f>
        <v>-</v>
      </c>
    </row>
    <row r="922" spans="1:17" hidden="1" x14ac:dyDescent="0.25">
      <c r="A922" t="s">
        <v>7673</v>
      </c>
      <c r="B922" s="17" t="s">
        <v>2498</v>
      </c>
      <c r="C922">
        <v>1</v>
      </c>
      <c r="D922" t="s">
        <v>7266</v>
      </c>
      <c r="E922" t="s">
        <v>2493</v>
      </c>
      <c r="F922" t="s">
        <v>2499</v>
      </c>
      <c r="G922" t="s">
        <v>2501</v>
      </c>
      <c r="H922" t="s">
        <v>2500</v>
      </c>
      <c r="I922" t="s">
        <v>13</v>
      </c>
      <c r="J922" t="s">
        <v>7682</v>
      </c>
      <c r="K922" t="s">
        <v>7826</v>
      </c>
      <c r="L922" t="s">
        <v>7826</v>
      </c>
      <c r="N922" t="str" cm="1">
        <f t="array" ref="N922">IFERROR(LOOKUP(2,1/SEARCH($S$2:$S$65,G922),$T$2:$T$65),"Misc")</f>
        <v>OH P/N</v>
      </c>
      <c r="O922" t="str" cm="1">
        <f t="array" ref="O922">IFERROR(LOOKUP(2,1/SEARCH($V$2:$V$65,G922),$W$2:$W$65),"Misc")</f>
        <v>OH Part</v>
      </c>
      <c r="P922" t="str" cm="1">
        <f t="array" ref="P922">IFERROR(LOOKUP(2,1/SEARCH($Y$2:$Y$65,G922),$Z$2:$Z$65),"Not Defined")</f>
        <v>OH Part</v>
      </c>
      <c r="Q922" t="str" cm="1">
        <f t="array" ref="Q922">IFERROR(LOOKUP(2,1/SEARCH($S$2:$S$65,H922),$T$2:$T$65),"-")</f>
        <v>-</v>
      </c>
    </row>
    <row r="923" spans="1:17" hidden="1" x14ac:dyDescent="0.25">
      <c r="A923" t="s">
        <v>7673</v>
      </c>
      <c r="B923" s="17" t="s">
        <v>2502</v>
      </c>
      <c r="C923">
        <v>1</v>
      </c>
      <c r="D923" t="s">
        <v>7266</v>
      </c>
      <c r="E923" t="s">
        <v>2493</v>
      </c>
      <c r="F923" t="s">
        <v>2503</v>
      </c>
      <c r="G923" t="s">
        <v>2505</v>
      </c>
      <c r="H923" t="s">
        <v>2504</v>
      </c>
      <c r="I923" t="s">
        <v>358</v>
      </c>
      <c r="J923" t="s">
        <v>7682</v>
      </c>
      <c r="K923" t="s">
        <v>7826</v>
      </c>
      <c r="L923" t="s">
        <v>7826</v>
      </c>
      <c r="N923" t="str" cm="1">
        <f t="array" ref="N923">IFERROR(LOOKUP(2,1/SEARCH($S$2:$S$65,G923),$T$2:$T$65),"Misc")</f>
        <v>OH P/N</v>
      </c>
      <c r="O923" t="str" cm="1">
        <f t="array" ref="O923">IFERROR(LOOKUP(2,1/SEARCH($V$2:$V$65,G923),$W$2:$W$65),"Misc")</f>
        <v>OH Part</v>
      </c>
      <c r="P923" t="str" cm="1">
        <f t="array" ref="P923">IFERROR(LOOKUP(2,1/SEARCH($Y$2:$Y$65,G923),$Z$2:$Z$65),"Not Defined")</f>
        <v>OH Part</v>
      </c>
      <c r="Q923" t="str" cm="1">
        <f t="array" ref="Q923">IFERROR(LOOKUP(2,1/SEARCH($S$2:$S$65,H923),$T$2:$T$65),"-")</f>
        <v>-</v>
      </c>
    </row>
    <row r="924" spans="1:17" hidden="1" x14ac:dyDescent="0.25">
      <c r="A924" t="s">
        <v>7673</v>
      </c>
      <c r="B924" s="17" t="s">
        <v>2506</v>
      </c>
      <c r="C924">
        <v>10</v>
      </c>
      <c r="D924" t="s">
        <v>7266</v>
      </c>
      <c r="E924" t="s">
        <v>2493</v>
      </c>
      <c r="F924" t="s">
        <v>265</v>
      </c>
      <c r="G924" t="s">
        <v>7099</v>
      </c>
      <c r="H924" t="s">
        <v>266</v>
      </c>
      <c r="I924" t="s">
        <v>224</v>
      </c>
      <c r="J924" t="s">
        <v>7703</v>
      </c>
      <c r="K924" t="s">
        <v>7684</v>
      </c>
      <c r="L924" t="s">
        <v>7687</v>
      </c>
      <c r="N924" t="str" cm="1">
        <f t="array" ref="N924">IFERROR(LOOKUP(2,1/SEARCH($S$2:$S$65,G924),$T$2:$T$65),"Misc")</f>
        <v>COTS</v>
      </c>
      <c r="O924" t="str" cm="1">
        <f t="array" ref="O924">IFERROR(LOOKUP(2,1/SEARCH($V$2:$V$65,G924),$W$2:$W$65),"Misc")</f>
        <v>Fasteners</v>
      </c>
      <c r="P924" t="str" cm="1">
        <f t="array" ref="P924">IFERROR(LOOKUP(2,1/SEARCH($Y$2:$Y$65,G924),$Z$2:$Z$65),"Not Defined")</f>
        <v>INSERT</v>
      </c>
      <c r="Q924" t="str" cm="1">
        <f t="array" ref="Q924">IFERROR(LOOKUP(2,1/SEARCH($S$2:$S$65,H924),$T$2:$T$65),"-")</f>
        <v>COTS</v>
      </c>
    </row>
    <row r="925" spans="1:17" hidden="1" x14ac:dyDescent="0.25">
      <c r="A925" t="s">
        <v>7673</v>
      </c>
      <c r="B925" s="17" t="s">
        <v>2507</v>
      </c>
      <c r="C925">
        <v>10</v>
      </c>
      <c r="D925" t="s">
        <v>7266</v>
      </c>
      <c r="E925" t="s">
        <v>2493</v>
      </c>
      <c r="F925" t="s">
        <v>2508</v>
      </c>
      <c r="G925" t="s">
        <v>7284</v>
      </c>
      <c r="H925" t="s">
        <v>2509</v>
      </c>
      <c r="I925" t="s">
        <v>228</v>
      </c>
      <c r="J925" t="s">
        <v>7703</v>
      </c>
      <c r="K925" t="s">
        <v>7684</v>
      </c>
      <c r="L925" t="s">
        <v>7739</v>
      </c>
      <c r="N925" t="str" cm="1">
        <f t="array" ref="N925">IFERROR(LOOKUP(2,1/SEARCH($S$2:$S$65,G925),$T$2:$T$65),"Misc")</f>
        <v>COTS</v>
      </c>
      <c r="O925" t="str" cm="1">
        <f t="array" ref="O925">IFERROR(LOOKUP(2,1/SEARCH($V$2:$V$65,G925),$W$2:$W$65),"Misc")</f>
        <v>Fasteners</v>
      </c>
      <c r="P925" t="str" cm="1">
        <f t="array" ref="P925">IFERROR(LOOKUP(2,1/SEARCH($Y$2:$Y$65,G925),$Z$2:$Z$65),"Not Defined")</f>
        <v>BHCS</v>
      </c>
      <c r="Q925" t="str" cm="1">
        <f t="array" ref="Q925">IFERROR(LOOKUP(2,1/SEARCH($S$2:$S$65,H925),$T$2:$T$65),"-")</f>
        <v>COTS</v>
      </c>
    </row>
    <row r="926" spans="1:17" hidden="1" x14ac:dyDescent="0.25">
      <c r="A926" t="s">
        <v>7673</v>
      </c>
      <c r="B926" s="17" t="s">
        <v>2510</v>
      </c>
      <c r="C926">
        <v>2</v>
      </c>
      <c r="D926" t="s">
        <v>7266</v>
      </c>
      <c r="E926" t="s">
        <v>2493</v>
      </c>
      <c r="F926" t="s">
        <v>2511</v>
      </c>
      <c r="G926" t="s">
        <v>7285</v>
      </c>
      <c r="H926" t="s">
        <v>2512</v>
      </c>
      <c r="I926" t="s">
        <v>255</v>
      </c>
      <c r="J926" t="s">
        <v>7703</v>
      </c>
      <c r="K926" t="s">
        <v>7814</v>
      </c>
      <c r="L926" t="s">
        <v>7718</v>
      </c>
      <c r="N926" t="str" cm="1">
        <f t="array" ref="N926">IFERROR(LOOKUP(2,1/SEARCH($S$2:$S$65,G926),$T$2:$T$65),"Misc")</f>
        <v>COTS</v>
      </c>
      <c r="O926" t="str" cm="1">
        <f t="array" ref="O926">IFERROR(LOOKUP(2,1/SEARCH($V$2:$V$65,G926),$W$2:$W$65),"Misc")</f>
        <v>Misc</v>
      </c>
      <c r="P926" t="str" cm="1">
        <f t="array" ref="P926">IFERROR(LOOKUP(2,1/SEARCH($Y$2:$Y$65,G926),$Z$2:$Z$65),"Not Defined")</f>
        <v>LED</v>
      </c>
      <c r="Q926" t="str" cm="1">
        <f t="array" ref="Q926">IFERROR(LOOKUP(2,1/SEARCH($S$2:$S$65,H926),$T$2:$T$65),"-")</f>
        <v>COTS</v>
      </c>
    </row>
    <row r="927" spans="1:17" hidden="1" x14ac:dyDescent="0.25">
      <c r="A927" t="s">
        <v>7673</v>
      </c>
      <c r="B927" s="17" t="s">
        <v>2513</v>
      </c>
      <c r="C927">
        <v>1</v>
      </c>
      <c r="D927" t="s">
        <v>7266</v>
      </c>
      <c r="E927" t="s">
        <v>2493</v>
      </c>
      <c r="F927" t="s">
        <v>2514</v>
      </c>
      <c r="G927" t="s">
        <v>7286</v>
      </c>
      <c r="H927" t="s">
        <v>2515</v>
      </c>
      <c r="I927" t="s">
        <v>255</v>
      </c>
      <c r="J927" t="s">
        <v>7703</v>
      </c>
      <c r="K927" t="s">
        <v>7814</v>
      </c>
      <c r="L927" t="s">
        <v>7834</v>
      </c>
      <c r="N927" t="str" cm="1">
        <f t="array" ref="N927">IFERROR(LOOKUP(2,1/SEARCH($S$2:$S$65,G927),$T$2:$T$65),"Misc")</f>
        <v>Misc</v>
      </c>
      <c r="O927" t="str" cm="1">
        <f t="array" ref="O927">IFERROR(LOOKUP(2,1/SEARCH($V$2:$V$65,G927),$W$2:$W$65),"Misc")</f>
        <v>Misc</v>
      </c>
      <c r="P927" t="str" cm="1">
        <f t="array" ref="P927">IFERROR(LOOKUP(2,1/SEARCH($Y$2:$Y$65,G927),$Z$2:$Z$65),"Not Defined")</f>
        <v>Not Defined</v>
      </c>
      <c r="Q927" t="str" cm="1">
        <f t="array" ref="Q927">IFERROR(LOOKUP(2,1/SEARCH($S$2:$S$65,H927),$T$2:$T$65),"-")</f>
        <v>-</v>
      </c>
    </row>
    <row r="928" spans="1:17" hidden="1" x14ac:dyDescent="0.25">
      <c r="A928" t="s">
        <v>7673</v>
      </c>
      <c r="B928" s="17" t="s">
        <v>2516</v>
      </c>
      <c r="C928">
        <v>1</v>
      </c>
      <c r="D928" t="s">
        <v>7266</v>
      </c>
      <c r="E928" t="s">
        <v>2493</v>
      </c>
      <c r="F928" t="s">
        <v>2517</v>
      </c>
      <c r="G928" t="s">
        <v>7287</v>
      </c>
      <c r="H928" t="s">
        <v>2518</v>
      </c>
      <c r="I928" t="s">
        <v>255</v>
      </c>
      <c r="J928" t="s">
        <v>7703</v>
      </c>
      <c r="K928" t="s">
        <v>7814</v>
      </c>
      <c r="L928" t="s">
        <v>7834</v>
      </c>
      <c r="N928" t="str" cm="1">
        <f t="array" ref="N928">IFERROR(LOOKUP(2,1/SEARCH($S$2:$S$65,G928),$T$2:$T$65),"Misc")</f>
        <v>Misc</v>
      </c>
      <c r="O928" t="str" cm="1">
        <f t="array" ref="O928">IFERROR(LOOKUP(2,1/SEARCH($V$2:$V$65,G928),$W$2:$W$65),"Misc")</f>
        <v>Misc</v>
      </c>
      <c r="P928" t="str" cm="1">
        <f t="array" ref="P928">IFERROR(LOOKUP(2,1/SEARCH($Y$2:$Y$65,G928),$Z$2:$Z$65),"Not Defined")</f>
        <v>Not Defined</v>
      </c>
      <c r="Q928" t="str" cm="1">
        <f t="array" ref="Q928">IFERROR(LOOKUP(2,1/SEARCH($S$2:$S$65,H928),$T$2:$T$65),"-")</f>
        <v>-</v>
      </c>
    </row>
    <row r="929" spans="1:17" hidden="1" x14ac:dyDescent="0.25">
      <c r="A929" t="s">
        <v>7673</v>
      </c>
      <c r="B929" s="17" t="s">
        <v>2519</v>
      </c>
      <c r="C929">
        <v>1</v>
      </c>
      <c r="D929" t="s">
        <v>7266</v>
      </c>
      <c r="E929" t="s">
        <v>2493</v>
      </c>
      <c r="F929" t="s">
        <v>2520</v>
      </c>
      <c r="G929" t="s">
        <v>7288</v>
      </c>
      <c r="H929" t="s">
        <v>2521</v>
      </c>
      <c r="I929" t="s">
        <v>1265</v>
      </c>
      <c r="J929" t="s">
        <v>7703</v>
      </c>
      <c r="K929" t="s">
        <v>7814</v>
      </c>
      <c r="L929" t="s">
        <v>7834</v>
      </c>
      <c r="N929" t="str" cm="1">
        <f t="array" ref="N929">IFERROR(LOOKUP(2,1/SEARCH($S$2:$S$65,G929),$T$2:$T$65),"Misc")</f>
        <v>Misc</v>
      </c>
      <c r="O929" t="str" cm="1">
        <f t="array" ref="O929">IFERROR(LOOKUP(2,1/SEARCH($V$2:$V$65,G929),$W$2:$W$65),"Misc")</f>
        <v>Misc</v>
      </c>
      <c r="P929" t="str" cm="1">
        <f t="array" ref="P929">IFERROR(LOOKUP(2,1/SEARCH($Y$2:$Y$65,G929),$Z$2:$Z$65),"Not Defined")</f>
        <v>Not Defined</v>
      </c>
      <c r="Q929" t="str" cm="1">
        <f t="array" ref="Q929">IFERROR(LOOKUP(2,1/SEARCH($S$2:$S$65,H929),$T$2:$T$65),"-")</f>
        <v>-</v>
      </c>
    </row>
    <row r="930" spans="1:17" hidden="1" x14ac:dyDescent="0.25">
      <c r="A930" t="s">
        <v>7673</v>
      </c>
      <c r="B930" s="17" t="s">
        <v>2522</v>
      </c>
      <c r="C930">
        <v>1</v>
      </c>
      <c r="D930" t="s">
        <v>7266</v>
      </c>
      <c r="E930" t="s">
        <v>2493</v>
      </c>
      <c r="F930" t="s">
        <v>2523</v>
      </c>
      <c r="G930" t="s">
        <v>7289</v>
      </c>
      <c r="H930" t="s">
        <v>2524</v>
      </c>
      <c r="I930" t="s">
        <v>255</v>
      </c>
      <c r="J930" t="s">
        <v>7703</v>
      </c>
      <c r="K930" t="s">
        <v>7677</v>
      </c>
      <c r="L930" t="s">
        <v>7677</v>
      </c>
      <c r="N930" t="str" cm="1">
        <f t="array" ref="N930">IFERROR(LOOKUP(2,1/SEARCH($S$2:$S$65,G930),$T$2:$T$65),"Misc")</f>
        <v>COTS</v>
      </c>
      <c r="O930" t="str" cm="1">
        <f t="array" ref="O930">IFERROR(LOOKUP(2,1/SEARCH($V$2:$V$65,G930),$W$2:$W$65),"Misc")</f>
        <v>SWITCH</v>
      </c>
      <c r="P930" t="str" cm="1">
        <f t="array" ref="P930">IFERROR(LOOKUP(2,1/SEARCH($Y$2:$Y$65,G930),$Z$2:$Z$65),"Not Defined")</f>
        <v>SWITCH</v>
      </c>
      <c r="Q930" t="str" cm="1">
        <f t="array" ref="Q930">IFERROR(LOOKUP(2,1/SEARCH($S$2:$S$65,H930),$T$2:$T$65),"-")</f>
        <v>COTS</v>
      </c>
    </row>
    <row r="931" spans="1:17" hidden="1" x14ac:dyDescent="0.25">
      <c r="A931" t="s">
        <v>7673</v>
      </c>
      <c r="B931" s="17" t="s">
        <v>2525</v>
      </c>
      <c r="C931">
        <v>2</v>
      </c>
      <c r="D931" t="s">
        <v>7266</v>
      </c>
      <c r="E931" t="s">
        <v>2493</v>
      </c>
      <c r="F931" t="s">
        <v>2508</v>
      </c>
      <c r="G931" t="s">
        <v>7290</v>
      </c>
      <c r="H931" t="s">
        <v>2509</v>
      </c>
      <c r="I931" t="s">
        <v>228</v>
      </c>
      <c r="J931" t="s">
        <v>7703</v>
      </c>
      <c r="K931" t="s">
        <v>7684</v>
      </c>
      <c r="L931" t="s">
        <v>7739</v>
      </c>
      <c r="N931" t="str" cm="1">
        <f t="array" ref="N931">IFERROR(LOOKUP(2,1/SEARCH($S$2:$S$65,G931),$T$2:$T$65),"Misc")</f>
        <v>COTS</v>
      </c>
      <c r="O931" t="str" cm="1">
        <f t="array" ref="O931">IFERROR(LOOKUP(2,1/SEARCH($V$2:$V$65,G931),$W$2:$W$65),"Misc")</f>
        <v>Fasteners</v>
      </c>
      <c r="P931" t="str" cm="1">
        <f t="array" ref="P931">IFERROR(LOOKUP(2,1/SEARCH($Y$2:$Y$65,G931),$Z$2:$Z$65),"Not Defined")</f>
        <v>BHCS</v>
      </c>
      <c r="Q931" t="str" cm="1">
        <f t="array" ref="Q931">IFERROR(LOOKUP(2,1/SEARCH($S$2:$S$65,H931),$T$2:$T$65),"-")</f>
        <v>COTS</v>
      </c>
    </row>
    <row r="932" spans="1:17" hidden="1" x14ac:dyDescent="0.25">
      <c r="A932" t="s">
        <v>7673</v>
      </c>
      <c r="B932" s="17" t="s">
        <v>2526</v>
      </c>
      <c r="C932">
        <v>2</v>
      </c>
      <c r="D932" t="s">
        <v>7266</v>
      </c>
      <c r="E932" t="s">
        <v>2493</v>
      </c>
      <c r="F932" t="s">
        <v>2527</v>
      </c>
      <c r="G932" t="s">
        <v>7291</v>
      </c>
      <c r="H932" t="s">
        <v>2528</v>
      </c>
      <c r="I932" t="s">
        <v>228</v>
      </c>
      <c r="J932" t="s">
        <v>7703</v>
      </c>
      <c r="K932" t="s">
        <v>7684</v>
      </c>
      <c r="L932" t="s">
        <v>7691</v>
      </c>
      <c r="N932" t="str" cm="1">
        <f t="array" ref="N932">IFERROR(LOOKUP(2,1/SEARCH($S$2:$S$65,G932),$T$2:$T$65),"Misc")</f>
        <v>COTS</v>
      </c>
      <c r="O932" t="str" cm="1">
        <f t="array" ref="O932">IFERROR(LOOKUP(2,1/SEARCH($V$2:$V$65,G932),$W$2:$W$65),"Misc")</f>
        <v>Fasteners</v>
      </c>
      <c r="P932" t="str" cm="1">
        <f t="array" ref="P932">IFERROR(LOOKUP(2,1/SEARCH($Y$2:$Y$65,G932),$Z$2:$Z$65),"Not Defined")</f>
        <v>FHS</v>
      </c>
      <c r="Q932" t="str" cm="1">
        <f t="array" ref="Q932">IFERROR(LOOKUP(2,1/SEARCH($S$2:$S$65,H932),$T$2:$T$65),"-")</f>
        <v>COTS</v>
      </c>
    </row>
    <row r="933" spans="1:17" hidden="1" x14ac:dyDescent="0.25">
      <c r="A933" t="s">
        <v>7673</v>
      </c>
      <c r="B933" s="17" t="s">
        <v>2529</v>
      </c>
      <c r="C933">
        <v>2</v>
      </c>
      <c r="D933" t="s">
        <v>7266</v>
      </c>
      <c r="E933" t="s">
        <v>2493</v>
      </c>
      <c r="F933" t="s">
        <v>464</v>
      </c>
      <c r="G933" t="s">
        <v>7091</v>
      </c>
      <c r="H933" t="s">
        <v>465</v>
      </c>
      <c r="I933" t="s">
        <v>224</v>
      </c>
      <c r="J933" t="s">
        <v>7703</v>
      </c>
      <c r="K933" t="s">
        <v>7684</v>
      </c>
      <c r="L933" t="s">
        <v>7685</v>
      </c>
      <c r="N933" t="str" cm="1">
        <f t="array" ref="N933">IFERROR(LOOKUP(2,1/SEARCH($S$2:$S$65,G933),$T$2:$T$65),"Misc")</f>
        <v>COTS</v>
      </c>
      <c r="O933" t="str" cm="1">
        <f t="array" ref="O933">IFERROR(LOOKUP(2,1/SEARCH($V$2:$V$65,G933),$W$2:$W$65),"Misc")</f>
        <v>Fasteners</v>
      </c>
      <c r="P933" t="str" cm="1">
        <f t="array" ref="P933">IFERROR(LOOKUP(2,1/SEARCH($Y$2:$Y$65,G933),$Z$2:$Z$65),"Not Defined")</f>
        <v>NUT</v>
      </c>
      <c r="Q933" t="str" cm="1">
        <f t="array" ref="Q933">IFERROR(LOOKUP(2,1/SEARCH($S$2:$S$65,H933),$T$2:$T$65),"-")</f>
        <v>COTS</v>
      </c>
    </row>
    <row r="934" spans="1:17" hidden="1" x14ac:dyDescent="0.25">
      <c r="A934" t="s">
        <v>7673</v>
      </c>
      <c r="B934" s="17" t="s">
        <v>2530</v>
      </c>
      <c r="C934">
        <v>4</v>
      </c>
      <c r="D934" t="s">
        <v>7266</v>
      </c>
      <c r="E934" t="s">
        <v>2493</v>
      </c>
      <c r="F934" t="s">
        <v>439</v>
      </c>
      <c r="G934" t="s">
        <v>7086</v>
      </c>
      <c r="H934" t="s">
        <v>440</v>
      </c>
      <c r="I934" t="s">
        <v>224</v>
      </c>
      <c r="J934" t="s">
        <v>7703</v>
      </c>
      <c r="K934" t="s">
        <v>7684</v>
      </c>
      <c r="L934" t="s">
        <v>7687</v>
      </c>
      <c r="N934" t="str" cm="1">
        <f t="array" ref="N934">IFERROR(LOOKUP(2,1/SEARCH($S$2:$S$65,G934),$T$2:$T$65),"Misc")</f>
        <v>COTS</v>
      </c>
      <c r="O934" t="str" cm="1">
        <f t="array" ref="O934">IFERROR(LOOKUP(2,1/SEARCH($V$2:$V$65,G934),$W$2:$W$65),"Misc")</f>
        <v>Fasteners</v>
      </c>
      <c r="P934" t="str" cm="1">
        <f t="array" ref="P934">IFERROR(LOOKUP(2,1/SEARCH($Y$2:$Y$65,G934),$Z$2:$Z$65),"Not Defined")</f>
        <v>INSERT</v>
      </c>
      <c r="Q934" t="str" cm="1">
        <f t="array" ref="Q934">IFERROR(LOOKUP(2,1/SEARCH($S$2:$S$65,H934),$T$2:$T$65),"-")</f>
        <v>COTS</v>
      </c>
    </row>
    <row r="935" spans="1:17" hidden="1" x14ac:dyDescent="0.25">
      <c r="A935" t="s">
        <v>7673</v>
      </c>
      <c r="B935" s="17" t="s">
        <v>2531</v>
      </c>
      <c r="C935">
        <v>4</v>
      </c>
      <c r="D935" t="s">
        <v>7266</v>
      </c>
      <c r="E935" t="s">
        <v>2493</v>
      </c>
      <c r="F935" t="s">
        <v>2532</v>
      </c>
      <c r="G935" t="s">
        <v>7292</v>
      </c>
      <c r="H935" t="s">
        <v>2533</v>
      </c>
      <c r="I935" t="s">
        <v>228</v>
      </c>
      <c r="J935" t="s">
        <v>7703</v>
      </c>
      <c r="K935" t="s">
        <v>7684</v>
      </c>
      <c r="L935" t="s">
        <v>7691</v>
      </c>
      <c r="N935" t="str" cm="1">
        <f t="array" ref="N935">IFERROR(LOOKUP(2,1/SEARCH($S$2:$S$65,G935),$T$2:$T$65),"Misc")</f>
        <v>COTS</v>
      </c>
      <c r="O935" t="str" cm="1">
        <f t="array" ref="O935">IFERROR(LOOKUP(2,1/SEARCH($V$2:$V$65,G935),$W$2:$W$65),"Misc")</f>
        <v>Fasteners</v>
      </c>
      <c r="P935" t="str" cm="1">
        <f t="array" ref="P935">IFERROR(LOOKUP(2,1/SEARCH($Y$2:$Y$65,G935),$Z$2:$Z$65),"Not Defined")</f>
        <v>FHS</v>
      </c>
      <c r="Q935" t="str" cm="1">
        <f t="array" ref="Q935">IFERROR(LOOKUP(2,1/SEARCH($S$2:$S$65,H935),$T$2:$T$65),"-")</f>
        <v>COTS</v>
      </c>
    </row>
    <row r="936" spans="1:17" hidden="1" x14ac:dyDescent="0.25">
      <c r="A936" t="s">
        <v>7673</v>
      </c>
      <c r="B936" t="s">
        <v>2534</v>
      </c>
      <c r="C936">
        <v>1</v>
      </c>
      <c r="D936" t="s">
        <v>7266</v>
      </c>
      <c r="F936" t="s">
        <v>2535</v>
      </c>
      <c r="G936" t="s">
        <v>7293</v>
      </c>
      <c r="H936" t="s">
        <v>2536</v>
      </c>
      <c r="I936" t="s">
        <v>2537</v>
      </c>
      <c r="J936" t="s">
        <v>7682</v>
      </c>
      <c r="K936" t="s">
        <v>7826</v>
      </c>
      <c r="L936" t="s">
        <v>7826</v>
      </c>
      <c r="N936" t="str" cm="1">
        <f t="array" ref="N936">IFERROR(LOOKUP(2,1/SEARCH($S$2:$S$65,G936),$T$2:$T$65),"Misc")</f>
        <v>OH P/N</v>
      </c>
      <c r="O936" t="str" cm="1">
        <f t="array" ref="O936">IFERROR(LOOKUP(2,1/SEARCH($V$2:$V$65,G936),$W$2:$W$65),"Misc")</f>
        <v>OH Part</v>
      </c>
      <c r="P936" t="str" cm="1">
        <f t="array" ref="P936">IFERROR(LOOKUP(2,1/SEARCH($Y$2:$Y$65,G936),$Z$2:$Z$65),"Not Defined")</f>
        <v>OH Part</v>
      </c>
      <c r="Q936" t="str" cm="1">
        <f t="array" ref="Q936">IFERROR(LOOKUP(2,1/SEARCH($S$2:$S$65,H936),$T$2:$T$65),"-")</f>
        <v>-</v>
      </c>
    </row>
    <row r="937" spans="1:17" hidden="1" x14ac:dyDescent="0.25">
      <c r="A937" t="s">
        <v>7673</v>
      </c>
      <c r="B937" t="s">
        <v>2538</v>
      </c>
      <c r="C937">
        <v>2</v>
      </c>
      <c r="D937" t="s">
        <v>7231</v>
      </c>
      <c r="E937" t="s">
        <v>1293</v>
      </c>
      <c r="F937" t="s">
        <v>1292</v>
      </c>
      <c r="G937" t="s">
        <v>7201</v>
      </c>
      <c r="H937" t="s">
        <v>1293</v>
      </c>
      <c r="I937" t="s">
        <v>255</v>
      </c>
      <c r="J937" t="s">
        <v>7744</v>
      </c>
      <c r="K937" t="s">
        <v>7826</v>
      </c>
      <c r="L937" t="s">
        <v>7826</v>
      </c>
      <c r="N937" t="str" cm="1">
        <f t="array" ref="N937">IFERROR(LOOKUP(2,1/SEARCH($S$2:$S$65,G937),$T$2:$T$65),"Misc")</f>
        <v>OH Common</v>
      </c>
      <c r="O937" t="str" cm="1">
        <f t="array" ref="O937">IFERROR(LOOKUP(2,1/SEARCH($V$2:$V$65,G937),$W$2:$W$65),"Misc")</f>
        <v>OH Part</v>
      </c>
      <c r="P937" t="str" cm="1">
        <f t="array" ref="P937">IFERROR(LOOKUP(2,1/SEARCH($Y$2:$Y$65,G937),$Z$2:$Z$65),"Not Defined")</f>
        <v>OH Part</v>
      </c>
      <c r="Q937" t="str" cm="1">
        <f t="array" ref="Q937">IFERROR(LOOKUP(2,1/SEARCH($S$2:$S$65,H937),$T$2:$T$65),"-")</f>
        <v>OH ASSY</v>
      </c>
    </row>
    <row r="938" spans="1:17" hidden="1" x14ac:dyDescent="0.25">
      <c r="A938" t="s">
        <v>7673</v>
      </c>
      <c r="B938" t="s">
        <v>2539</v>
      </c>
      <c r="C938">
        <v>1</v>
      </c>
      <c r="D938" t="s">
        <v>7231</v>
      </c>
      <c r="E938" t="s">
        <v>1293</v>
      </c>
      <c r="F938" t="s">
        <v>1295</v>
      </c>
      <c r="G938" t="s">
        <v>7202</v>
      </c>
      <c r="H938" t="s">
        <v>1296</v>
      </c>
      <c r="I938" t="s">
        <v>255</v>
      </c>
      <c r="J938" t="s">
        <v>7744</v>
      </c>
      <c r="K938" t="s">
        <v>7826</v>
      </c>
      <c r="L938" t="s">
        <v>7826</v>
      </c>
      <c r="N938" t="str" cm="1">
        <f t="array" ref="N938">IFERROR(LOOKUP(2,1/SEARCH($S$2:$S$65,G938),$T$2:$T$65),"Misc")</f>
        <v>OH Common</v>
      </c>
      <c r="O938" t="str" cm="1">
        <f t="array" ref="O938">IFERROR(LOOKUP(2,1/SEARCH($V$2:$V$65,G938),$W$2:$W$65),"Misc")</f>
        <v>OH Part</v>
      </c>
      <c r="P938" t="str" cm="1">
        <f t="array" ref="P938">IFERROR(LOOKUP(2,1/SEARCH($Y$2:$Y$65,G938),$Z$2:$Z$65),"Not Defined")</f>
        <v>OH Part</v>
      </c>
      <c r="Q938" t="str" cm="1">
        <f t="array" ref="Q938">IFERROR(LOOKUP(2,1/SEARCH($S$2:$S$65,H938),$T$2:$T$65),"-")</f>
        <v>-</v>
      </c>
    </row>
    <row r="939" spans="1:17" hidden="1" x14ac:dyDescent="0.25">
      <c r="A939" t="s">
        <v>7673</v>
      </c>
      <c r="B939" t="s">
        <v>2540</v>
      </c>
      <c r="C939">
        <v>1</v>
      </c>
      <c r="D939" t="s">
        <v>7231</v>
      </c>
      <c r="E939" t="s">
        <v>1293</v>
      </c>
      <c r="F939" t="s">
        <v>596</v>
      </c>
      <c r="G939" t="s">
        <v>7108</v>
      </c>
      <c r="H939" t="s">
        <v>597</v>
      </c>
      <c r="I939" t="s">
        <v>255</v>
      </c>
      <c r="J939" t="s">
        <v>7703</v>
      </c>
      <c r="K939" t="s">
        <v>7713</v>
      </c>
      <c r="L939" t="s">
        <v>7713</v>
      </c>
      <c r="N939" t="str" cm="1">
        <f t="array" ref="N939">IFERROR(LOOKUP(2,1/SEARCH($S$2:$S$65,G939),$T$2:$T$65),"Misc")</f>
        <v>COTS</v>
      </c>
      <c r="O939" t="str" cm="1">
        <f t="array" ref="O939">IFERROR(LOOKUP(2,1/SEARCH($V$2:$V$65,G939),$W$2:$W$65),"Misc")</f>
        <v>ARDUINO</v>
      </c>
      <c r="P939" t="str" cm="1">
        <f t="array" ref="P939">IFERROR(LOOKUP(2,1/SEARCH($Y$2:$Y$65,G939),$Z$2:$Z$65),"Not Defined")</f>
        <v>ARDUINO</v>
      </c>
      <c r="Q939" t="str" cm="1">
        <f t="array" ref="Q939">IFERROR(LOOKUP(2,1/SEARCH($S$2:$S$65,H939),$T$2:$T$65),"-")</f>
        <v>COTS</v>
      </c>
    </row>
    <row r="940" spans="1:17" hidden="1" x14ac:dyDescent="0.25">
      <c r="A940" t="s">
        <v>7673</v>
      </c>
      <c r="B940" t="s">
        <v>2541</v>
      </c>
      <c r="C940">
        <v>16</v>
      </c>
      <c r="D940" t="s">
        <v>7231</v>
      </c>
      <c r="F940" t="s">
        <v>2542</v>
      </c>
      <c r="G940" t="s">
        <v>7294</v>
      </c>
      <c r="H940" t="s">
        <v>2543</v>
      </c>
      <c r="I940" t="s">
        <v>210</v>
      </c>
      <c r="J940" t="s">
        <v>7703</v>
      </c>
      <c r="K940" t="s">
        <v>7684</v>
      </c>
      <c r="L940" t="s">
        <v>7706</v>
      </c>
      <c r="N940" t="str" cm="1">
        <f t="array" ref="N940">IFERROR(LOOKUP(2,1/SEARCH($S$2:$S$65,G940),$T$2:$T$65),"Misc")</f>
        <v>COTS</v>
      </c>
      <c r="O940" t="str" cm="1">
        <f t="array" ref="O940">IFERROR(LOOKUP(2,1/SEARCH($V$2:$V$65,G940),$W$2:$W$65),"Misc")</f>
        <v>Fasteners</v>
      </c>
      <c r="P940" t="str" cm="1">
        <f t="array" ref="P940">IFERROR(LOOKUP(2,1/SEARCH($Y$2:$Y$65,G940),$Z$2:$Z$65),"Not Defined")</f>
        <v>HHCS</v>
      </c>
      <c r="Q940" t="str" cm="1">
        <f t="array" ref="Q940">IFERROR(LOOKUP(2,1/SEARCH($S$2:$S$65,H940),$T$2:$T$65),"-")</f>
        <v>COTS</v>
      </c>
    </row>
    <row r="941" spans="1:17" hidden="1" x14ac:dyDescent="0.25">
      <c r="A941" t="s">
        <v>7673</v>
      </c>
      <c r="B941" t="s">
        <v>2544</v>
      </c>
      <c r="C941">
        <v>8</v>
      </c>
      <c r="D941" t="s">
        <v>7231</v>
      </c>
      <c r="F941" t="s">
        <v>1921</v>
      </c>
      <c r="G941" t="s">
        <v>7246</v>
      </c>
      <c r="H941" t="s">
        <v>1922</v>
      </c>
      <c r="I941" t="s">
        <v>210</v>
      </c>
      <c r="J941" t="s">
        <v>7703</v>
      </c>
      <c r="K941" t="s">
        <v>7684</v>
      </c>
      <c r="L941" t="s">
        <v>7691</v>
      </c>
      <c r="N941" t="str" cm="1">
        <f t="array" ref="N941">IFERROR(LOOKUP(2,1/SEARCH($S$2:$S$65,G941),$T$2:$T$65),"Misc")</f>
        <v>COTS</v>
      </c>
      <c r="O941" t="str" cm="1">
        <f t="array" ref="O941">IFERROR(LOOKUP(2,1/SEARCH($V$2:$V$65,G941),$W$2:$W$65),"Misc")</f>
        <v>Fasteners</v>
      </c>
      <c r="P941" t="str" cm="1">
        <f t="array" ref="P941">IFERROR(LOOKUP(2,1/SEARCH($Y$2:$Y$65,G941),$Z$2:$Z$65),"Not Defined")</f>
        <v>FHS</v>
      </c>
      <c r="Q941" t="str" cm="1">
        <f t="array" ref="Q941">IFERROR(LOOKUP(2,1/SEARCH($S$2:$S$65,H941),$T$2:$T$65),"-")</f>
        <v>COTS</v>
      </c>
    </row>
    <row r="942" spans="1:17" hidden="1" x14ac:dyDescent="0.25">
      <c r="A942" t="s">
        <v>7673</v>
      </c>
      <c r="B942" t="s">
        <v>2545</v>
      </c>
      <c r="C942">
        <v>22</v>
      </c>
      <c r="D942" t="s">
        <v>7231</v>
      </c>
      <c r="F942" t="s">
        <v>1145</v>
      </c>
      <c r="G942" t="s">
        <v>7191</v>
      </c>
      <c r="H942" t="s">
        <v>1146</v>
      </c>
      <c r="I942" t="s">
        <v>210</v>
      </c>
      <c r="J942" t="s">
        <v>7703</v>
      </c>
      <c r="K942" t="s">
        <v>7684</v>
      </c>
      <c r="L942" t="s">
        <v>7691</v>
      </c>
      <c r="N942" t="str" cm="1">
        <f t="array" ref="N942">IFERROR(LOOKUP(2,1/SEARCH($S$2:$S$65,G942),$T$2:$T$65),"Misc")</f>
        <v>COTS</v>
      </c>
      <c r="O942" t="str" cm="1">
        <f t="array" ref="O942">IFERROR(LOOKUP(2,1/SEARCH($V$2:$V$65,G942),$W$2:$W$65),"Misc")</f>
        <v>Fasteners</v>
      </c>
      <c r="P942" t="str" cm="1">
        <f t="array" ref="P942">IFERROR(LOOKUP(2,1/SEARCH($Y$2:$Y$65,G942),$Z$2:$Z$65),"Not Defined")</f>
        <v>FHS</v>
      </c>
      <c r="Q942" t="str" cm="1">
        <f t="array" ref="Q942">IFERROR(LOOKUP(2,1/SEARCH($S$2:$S$65,H942),$T$2:$T$65),"-")</f>
        <v>COTS</v>
      </c>
    </row>
    <row r="943" spans="1:17" hidden="1" x14ac:dyDescent="0.25">
      <c r="A943" t="s">
        <v>7673</v>
      </c>
      <c r="B943" t="s">
        <v>2546</v>
      </c>
      <c r="C943">
        <v>26</v>
      </c>
      <c r="D943" t="s">
        <v>7231</v>
      </c>
      <c r="F943" t="s">
        <v>941</v>
      </c>
      <c r="G943" t="s">
        <v>7136</v>
      </c>
      <c r="H943" t="s">
        <v>942</v>
      </c>
      <c r="I943" t="s">
        <v>210</v>
      </c>
      <c r="J943" t="s">
        <v>7703</v>
      </c>
      <c r="K943" t="s">
        <v>7684</v>
      </c>
      <c r="L943" t="s">
        <v>7685</v>
      </c>
      <c r="N943" t="str" cm="1">
        <f t="array" ref="N943">IFERROR(LOOKUP(2,1/SEARCH($S$2:$S$65,G943),$T$2:$T$65),"Misc")</f>
        <v>COTS</v>
      </c>
      <c r="O943" t="str" cm="1">
        <f t="array" ref="O943">IFERROR(LOOKUP(2,1/SEARCH($V$2:$V$65,G943),$W$2:$W$65),"Misc")</f>
        <v>Fasteners</v>
      </c>
      <c r="P943" t="str" cm="1">
        <f t="array" ref="P943">IFERROR(LOOKUP(2,1/SEARCH($Y$2:$Y$65,G943),$Z$2:$Z$65),"Not Defined")</f>
        <v>NUT</v>
      </c>
      <c r="Q943" t="str" cm="1">
        <f t="array" ref="Q943">IFERROR(LOOKUP(2,1/SEARCH($S$2:$S$65,H943),$T$2:$T$65),"-")</f>
        <v>COTS</v>
      </c>
    </row>
    <row r="944" spans="1:17" hidden="1" x14ac:dyDescent="0.25">
      <c r="A944" t="s">
        <v>7673</v>
      </c>
      <c r="B944" t="s">
        <v>2547</v>
      </c>
      <c r="C944">
        <v>8</v>
      </c>
      <c r="D944" t="s">
        <v>7231</v>
      </c>
      <c r="F944" t="s">
        <v>580</v>
      </c>
      <c r="G944" t="s">
        <v>7105</v>
      </c>
      <c r="H944" t="s">
        <v>581</v>
      </c>
      <c r="I944" t="s">
        <v>210</v>
      </c>
      <c r="J944" t="s">
        <v>7703</v>
      </c>
      <c r="K944" t="s">
        <v>7684</v>
      </c>
      <c r="L944" t="s">
        <v>7691</v>
      </c>
      <c r="N944" t="str" cm="1">
        <f t="array" ref="N944">IFERROR(LOOKUP(2,1/SEARCH($S$2:$S$65,G944),$T$2:$T$65),"Misc")</f>
        <v>COTS</v>
      </c>
      <c r="O944" t="str" cm="1">
        <f t="array" ref="O944">IFERROR(LOOKUP(2,1/SEARCH($V$2:$V$65,G944),$W$2:$W$65),"Misc")</f>
        <v>Fasteners</v>
      </c>
      <c r="P944" t="str" cm="1">
        <f t="array" ref="P944">IFERROR(LOOKUP(2,1/SEARCH($Y$2:$Y$65,G944),$Z$2:$Z$65),"Not Defined")</f>
        <v>FHS</v>
      </c>
      <c r="Q944" t="str" cm="1">
        <f t="array" ref="Q944">IFERROR(LOOKUP(2,1/SEARCH($S$2:$S$65,H944),$T$2:$T$65),"-")</f>
        <v>COTS</v>
      </c>
    </row>
    <row r="945" spans="1:17" hidden="1" x14ac:dyDescent="0.25">
      <c r="A945" t="s">
        <v>7673</v>
      </c>
      <c r="B945" t="s">
        <v>2548</v>
      </c>
      <c r="C945">
        <v>4</v>
      </c>
      <c r="D945" t="s">
        <v>7231</v>
      </c>
      <c r="F945" t="s">
        <v>2549</v>
      </c>
      <c r="G945" t="s">
        <v>7295</v>
      </c>
      <c r="H945" t="s">
        <v>2550</v>
      </c>
      <c r="I945" t="s">
        <v>210</v>
      </c>
      <c r="J945" t="s">
        <v>7703</v>
      </c>
      <c r="K945" t="s">
        <v>7684</v>
      </c>
      <c r="L945" t="s">
        <v>7691</v>
      </c>
      <c r="N945" t="str" cm="1">
        <f t="array" ref="N945">IFERROR(LOOKUP(2,1/SEARCH($S$2:$S$65,G945),$T$2:$T$65),"Misc")</f>
        <v>COTS</v>
      </c>
      <c r="O945" t="str" cm="1">
        <f t="array" ref="O945">IFERROR(LOOKUP(2,1/SEARCH($V$2:$V$65,G945),$W$2:$W$65),"Misc")</f>
        <v>Fasteners</v>
      </c>
      <c r="P945" t="str" cm="1">
        <f t="array" ref="P945">IFERROR(LOOKUP(2,1/SEARCH($Y$2:$Y$65,G945),$Z$2:$Z$65),"Not Defined")</f>
        <v>FHS</v>
      </c>
      <c r="Q945" t="str" cm="1">
        <f t="array" ref="Q945">IFERROR(LOOKUP(2,1/SEARCH($S$2:$S$65,H945),$T$2:$T$65),"-")</f>
        <v>COTS</v>
      </c>
    </row>
    <row r="946" spans="1:17" hidden="1" x14ac:dyDescent="0.25">
      <c r="A946" t="s">
        <v>7673</v>
      </c>
      <c r="B946" t="s">
        <v>2551</v>
      </c>
      <c r="C946">
        <v>9</v>
      </c>
      <c r="D946" t="s">
        <v>7231</v>
      </c>
      <c r="F946" t="s">
        <v>219</v>
      </c>
      <c r="G946" t="s">
        <v>7052</v>
      </c>
      <c r="H946" t="s">
        <v>220</v>
      </c>
      <c r="I946" t="s">
        <v>210</v>
      </c>
      <c r="J946" t="s">
        <v>7703</v>
      </c>
      <c r="K946" t="s">
        <v>7684</v>
      </c>
      <c r="L946" t="s">
        <v>7691</v>
      </c>
      <c r="N946" t="str" cm="1">
        <f t="array" ref="N946">IFERROR(LOOKUP(2,1/SEARCH($S$2:$S$65,G946),$T$2:$T$65),"Misc")</f>
        <v>COTS</v>
      </c>
      <c r="O946" t="str" cm="1">
        <f t="array" ref="O946">IFERROR(LOOKUP(2,1/SEARCH($V$2:$V$65,G946),$W$2:$W$65),"Misc")</f>
        <v>Fasteners</v>
      </c>
      <c r="P946" t="str" cm="1">
        <f t="array" ref="P946">IFERROR(LOOKUP(2,1/SEARCH($Y$2:$Y$65,G946),$Z$2:$Z$65),"Not Defined")</f>
        <v>FHS</v>
      </c>
      <c r="Q946" t="str" cm="1">
        <f t="array" ref="Q946">IFERROR(LOOKUP(2,1/SEARCH($S$2:$S$65,H946),$T$2:$T$65),"-")</f>
        <v>COTS</v>
      </c>
    </row>
    <row r="947" spans="1:17" hidden="1" x14ac:dyDescent="0.25">
      <c r="A947" t="s">
        <v>7673</v>
      </c>
      <c r="B947" t="s">
        <v>2552</v>
      </c>
      <c r="C947">
        <v>33</v>
      </c>
      <c r="D947" t="s">
        <v>7231</v>
      </c>
      <c r="F947" t="s">
        <v>208</v>
      </c>
      <c r="G947" t="s">
        <v>7049</v>
      </c>
      <c r="H947" t="s">
        <v>209</v>
      </c>
      <c r="I947" t="s">
        <v>210</v>
      </c>
      <c r="J947" t="s">
        <v>7703</v>
      </c>
      <c r="K947" t="s">
        <v>7684</v>
      </c>
      <c r="L947" t="s">
        <v>7738</v>
      </c>
      <c r="N947" t="str" cm="1">
        <f t="array" ref="N947">IFERROR(LOOKUP(2,1/SEARCH($S$2:$S$65,G947),$T$2:$T$65),"Misc")</f>
        <v>COTS</v>
      </c>
      <c r="O947" t="str" cm="1">
        <f t="array" ref="O947">IFERROR(LOOKUP(2,1/SEARCH($V$2:$V$65,G947),$W$2:$W$65),"Misc")</f>
        <v>Fasteners</v>
      </c>
      <c r="P947" t="str" cm="1">
        <f t="array" ref="P947">IFERROR(LOOKUP(2,1/SEARCH($Y$2:$Y$65,G947),$Z$2:$Z$65),"Not Defined")</f>
        <v>FHWS</v>
      </c>
      <c r="Q947" t="str" cm="1">
        <f t="array" ref="Q947">IFERROR(LOOKUP(2,1/SEARCH($S$2:$S$65,H947),$T$2:$T$65),"-")</f>
        <v>COTS</v>
      </c>
    </row>
    <row r="948" spans="1:17" hidden="1" x14ac:dyDescent="0.25">
      <c r="A948" t="s">
        <v>7673</v>
      </c>
      <c r="B948" t="s">
        <v>2553</v>
      </c>
      <c r="C948">
        <v>44</v>
      </c>
      <c r="D948" t="s">
        <v>7231</v>
      </c>
      <c r="F948" t="s">
        <v>230</v>
      </c>
      <c r="G948" t="s">
        <v>7055</v>
      </c>
      <c r="H948" t="s">
        <v>231</v>
      </c>
      <c r="I948" t="s">
        <v>210</v>
      </c>
      <c r="J948" t="s">
        <v>7703</v>
      </c>
      <c r="K948" t="s">
        <v>7684</v>
      </c>
      <c r="L948" t="s">
        <v>7692</v>
      </c>
      <c r="N948" t="str" cm="1">
        <f t="array" ref="N948">IFERROR(LOOKUP(2,1/SEARCH($S$2:$S$65,G948),$T$2:$T$65),"Misc")</f>
        <v>COTS</v>
      </c>
      <c r="O948" t="str" cm="1">
        <f t="array" ref="O948">IFERROR(LOOKUP(2,1/SEARCH($V$2:$V$65,G948),$W$2:$W$65),"Misc")</f>
        <v>Fasteners</v>
      </c>
      <c r="P948" t="str" cm="1">
        <f t="array" ref="P948">IFERROR(LOOKUP(2,1/SEARCH($Y$2:$Y$65,G948),$Z$2:$Z$65),"Not Defined")</f>
        <v>WASHER</v>
      </c>
      <c r="Q948" t="str" cm="1">
        <f t="array" ref="Q948">IFERROR(LOOKUP(2,1/SEARCH($S$2:$S$65,H948),$T$2:$T$65),"-")</f>
        <v>COTS</v>
      </c>
    </row>
    <row r="949" spans="1:17" hidden="1" x14ac:dyDescent="0.25">
      <c r="A949" t="s">
        <v>7673</v>
      </c>
      <c r="B949" t="s">
        <v>2554</v>
      </c>
      <c r="C949">
        <v>17</v>
      </c>
      <c r="D949" t="s">
        <v>7231</v>
      </c>
      <c r="F949" t="s">
        <v>236</v>
      </c>
      <c r="G949" t="s">
        <v>7057</v>
      </c>
      <c r="H949" t="s">
        <v>237</v>
      </c>
      <c r="I949" t="s">
        <v>210</v>
      </c>
      <c r="J949" t="s">
        <v>7703</v>
      </c>
      <c r="K949" t="s">
        <v>7684</v>
      </c>
      <c r="L949" t="s">
        <v>7693</v>
      </c>
      <c r="N949" t="str" cm="1">
        <f t="array" ref="N949">IFERROR(LOOKUP(2,1/SEARCH($S$2:$S$65,G949),$T$2:$T$65),"Misc")</f>
        <v>COTS</v>
      </c>
      <c r="O949" t="str" cm="1">
        <f t="array" ref="O949">IFERROR(LOOKUP(2,1/SEARCH($V$2:$V$65,G949),$W$2:$W$65),"Misc")</f>
        <v>Fasteners</v>
      </c>
      <c r="P949" t="str" cm="1">
        <f t="array" ref="P949">IFERROR(LOOKUP(2,1/SEARCH($Y$2:$Y$65,G949),$Z$2:$Z$65),"Not Defined")</f>
        <v>PHS</v>
      </c>
      <c r="Q949" t="str" cm="1">
        <f t="array" ref="Q949">IFERROR(LOOKUP(2,1/SEARCH($S$2:$S$65,H949),$T$2:$T$65),"-")</f>
        <v>COTS</v>
      </c>
    </row>
    <row r="950" spans="1:17" hidden="1" x14ac:dyDescent="0.25">
      <c r="A950" t="s">
        <v>7673</v>
      </c>
      <c r="B950" t="s">
        <v>2555</v>
      </c>
      <c r="C950">
        <v>6</v>
      </c>
      <c r="D950" t="s">
        <v>7231</v>
      </c>
      <c r="F950" t="s">
        <v>566</v>
      </c>
      <c r="G950" t="s">
        <v>7101</v>
      </c>
      <c r="H950" t="s">
        <v>567</v>
      </c>
      <c r="I950" t="s">
        <v>228</v>
      </c>
      <c r="J950" t="s">
        <v>7703</v>
      </c>
      <c r="K950" t="s">
        <v>7684</v>
      </c>
      <c r="L950" t="s">
        <v>7693</v>
      </c>
      <c r="N950" t="str" cm="1">
        <f t="array" ref="N950">IFERROR(LOOKUP(2,1/SEARCH($S$2:$S$65,G950),$T$2:$T$65),"Misc")</f>
        <v>COTS</v>
      </c>
      <c r="O950" t="str" cm="1">
        <f t="array" ref="O950">IFERROR(LOOKUP(2,1/SEARCH($V$2:$V$65,G950),$W$2:$W$65),"Misc")</f>
        <v>Fasteners</v>
      </c>
      <c r="P950" t="str" cm="1">
        <f t="array" ref="P950">IFERROR(LOOKUP(2,1/SEARCH($Y$2:$Y$65,G950),$Z$2:$Z$65),"Not Defined")</f>
        <v>PHS</v>
      </c>
      <c r="Q950" t="str" cm="1">
        <f t="array" ref="Q950">IFERROR(LOOKUP(2,1/SEARCH($S$2:$S$65,H950),$T$2:$T$65),"-")</f>
        <v>COTS</v>
      </c>
    </row>
    <row r="951" spans="1:17" hidden="1" x14ac:dyDescent="0.25">
      <c r="A951" t="s">
        <v>7673</v>
      </c>
      <c r="B951" t="s">
        <v>2556</v>
      </c>
      <c r="C951">
        <v>3</v>
      </c>
      <c r="D951" t="s">
        <v>7231</v>
      </c>
      <c r="F951" t="s">
        <v>583</v>
      </c>
      <c r="G951" t="s">
        <v>7106</v>
      </c>
      <c r="H951" t="s">
        <v>584</v>
      </c>
      <c r="I951" t="s">
        <v>299</v>
      </c>
      <c r="J951" t="s">
        <v>7703</v>
      </c>
      <c r="K951" t="s">
        <v>7684</v>
      </c>
      <c r="L951" t="s">
        <v>7708</v>
      </c>
      <c r="N951" t="str" cm="1">
        <f t="array" ref="N951">IFERROR(LOOKUP(2,1/SEARCH($S$2:$S$65,G951),$T$2:$T$65),"Misc")</f>
        <v>COTS</v>
      </c>
      <c r="O951" t="str" cm="1">
        <f t="array" ref="O951">IFERROR(LOOKUP(2,1/SEARCH($V$2:$V$65,G951),$W$2:$W$65),"Misc")</f>
        <v>Fasteners</v>
      </c>
      <c r="P951" t="str" cm="1">
        <f t="array" ref="P951">IFERROR(LOOKUP(2,1/SEARCH($Y$2:$Y$65,G951),$Z$2:$Z$65),"Not Defined")</f>
        <v>STANDOFF</v>
      </c>
      <c r="Q951" t="str" cm="1">
        <f t="array" ref="Q951">IFERROR(LOOKUP(2,1/SEARCH($S$2:$S$65,H951),$T$2:$T$65),"-")</f>
        <v>COTS</v>
      </c>
    </row>
    <row r="952" spans="1:17" hidden="1" x14ac:dyDescent="0.25">
      <c r="A952" t="s">
        <v>7673</v>
      </c>
      <c r="B952" t="s">
        <v>2557</v>
      </c>
      <c r="C952">
        <v>7</v>
      </c>
      <c r="D952" t="s">
        <v>7231</v>
      </c>
      <c r="F952" t="s">
        <v>460</v>
      </c>
      <c r="G952" t="s">
        <v>7090</v>
      </c>
      <c r="H952" t="s">
        <v>461</v>
      </c>
      <c r="I952" t="s">
        <v>224</v>
      </c>
      <c r="J952" t="s">
        <v>7703</v>
      </c>
      <c r="K952" t="s">
        <v>7684</v>
      </c>
      <c r="L952" t="s">
        <v>7693</v>
      </c>
      <c r="N952" t="str" cm="1">
        <f t="array" ref="N952">IFERROR(LOOKUP(2,1/SEARCH($S$2:$S$65,G952),$T$2:$T$65),"Misc")</f>
        <v>COTS</v>
      </c>
      <c r="O952" t="str" cm="1">
        <f t="array" ref="O952">IFERROR(LOOKUP(2,1/SEARCH($V$2:$V$65,G952),$W$2:$W$65),"Misc")</f>
        <v>Fasteners</v>
      </c>
      <c r="P952" t="str" cm="1">
        <f t="array" ref="P952">IFERROR(LOOKUP(2,1/SEARCH($Y$2:$Y$65,G952),$Z$2:$Z$65),"Not Defined")</f>
        <v>PHS</v>
      </c>
      <c r="Q952" t="str" cm="1">
        <f t="array" ref="Q952">IFERROR(LOOKUP(2,1/SEARCH($S$2:$S$65,H952),$T$2:$T$65),"-")</f>
        <v>COTS</v>
      </c>
    </row>
    <row r="953" spans="1:17" hidden="1" x14ac:dyDescent="0.25">
      <c r="A953" t="s">
        <v>7673</v>
      </c>
      <c r="B953" t="s">
        <v>2558</v>
      </c>
      <c r="C953">
        <v>3</v>
      </c>
      <c r="D953" t="s">
        <v>7231</v>
      </c>
      <c r="F953" t="s">
        <v>609</v>
      </c>
      <c r="G953" t="s">
        <v>7109</v>
      </c>
      <c r="H953" t="s">
        <v>610</v>
      </c>
      <c r="I953" t="s">
        <v>228</v>
      </c>
      <c r="J953" t="s">
        <v>7703</v>
      </c>
      <c r="K953" t="s">
        <v>7684</v>
      </c>
      <c r="L953" t="s">
        <v>7692</v>
      </c>
      <c r="N953" t="str" cm="1">
        <f t="array" ref="N953">IFERROR(LOOKUP(2,1/SEARCH($S$2:$S$65,G953),$T$2:$T$65),"Misc")</f>
        <v>COTS</v>
      </c>
      <c r="O953" t="str" cm="1">
        <f t="array" ref="O953">IFERROR(LOOKUP(2,1/SEARCH($V$2:$V$65,G953),$W$2:$W$65),"Misc")</f>
        <v>Fasteners</v>
      </c>
      <c r="P953" t="str" cm="1">
        <f t="array" ref="P953">IFERROR(LOOKUP(2,1/SEARCH($Y$2:$Y$65,G953),$Z$2:$Z$65),"Not Defined")</f>
        <v>WASHER</v>
      </c>
      <c r="Q953" t="str" cm="1">
        <f t="array" ref="Q953">IFERROR(LOOKUP(2,1/SEARCH($S$2:$S$65,H953),$T$2:$T$65),"-")</f>
        <v>COTS</v>
      </c>
    </row>
    <row r="954" spans="1:17" hidden="1" x14ac:dyDescent="0.25">
      <c r="A954" t="s">
        <v>7673</v>
      </c>
      <c r="B954" t="s">
        <v>2559</v>
      </c>
      <c r="C954">
        <v>3</v>
      </c>
      <c r="D954" t="s">
        <v>7231</v>
      </c>
      <c r="F954" t="s">
        <v>1154</v>
      </c>
      <c r="G954" t="s">
        <v>7194</v>
      </c>
      <c r="H954" t="s">
        <v>1155</v>
      </c>
      <c r="I954" t="s">
        <v>228</v>
      </c>
      <c r="J954" t="s">
        <v>7703</v>
      </c>
      <c r="K954" t="s">
        <v>7684</v>
      </c>
      <c r="L954" t="s">
        <v>7693</v>
      </c>
      <c r="N954" t="str" cm="1">
        <f t="array" ref="N954">IFERROR(LOOKUP(2,1/SEARCH($S$2:$S$65,G954),$T$2:$T$65),"Misc")</f>
        <v>COTS</v>
      </c>
      <c r="O954" t="str" cm="1">
        <f t="array" ref="O954">IFERROR(LOOKUP(2,1/SEARCH($V$2:$V$65,G954),$W$2:$W$65),"Misc")</f>
        <v>Fasteners</v>
      </c>
      <c r="P954" t="str" cm="1">
        <f t="array" ref="P954">IFERROR(LOOKUP(2,1/SEARCH($Y$2:$Y$65,G954),$Z$2:$Z$65),"Not Defined")</f>
        <v>PHS</v>
      </c>
      <c r="Q954" t="str" cm="1">
        <f t="array" ref="Q954">IFERROR(LOOKUP(2,1/SEARCH($S$2:$S$65,H954),$T$2:$T$65),"-")</f>
        <v>COTS</v>
      </c>
    </row>
    <row r="955" spans="1:17" hidden="1" x14ac:dyDescent="0.25">
      <c r="A955" t="s">
        <v>7673</v>
      </c>
      <c r="B955" t="s">
        <v>2560</v>
      </c>
      <c r="C955">
        <v>4</v>
      </c>
      <c r="D955" t="s">
        <v>7231</v>
      </c>
      <c r="F955" t="s">
        <v>984</v>
      </c>
      <c r="G955" t="s">
        <v>7151</v>
      </c>
      <c r="H955" t="s">
        <v>985</v>
      </c>
      <c r="I955" t="s">
        <v>210</v>
      </c>
      <c r="J955" t="s">
        <v>7703</v>
      </c>
      <c r="K955" t="s">
        <v>7684</v>
      </c>
      <c r="L955" t="s">
        <v>7692</v>
      </c>
      <c r="N955" t="str" cm="1">
        <f t="array" ref="N955">IFERROR(LOOKUP(2,1/SEARCH($S$2:$S$65,G955),$T$2:$T$65),"Misc")</f>
        <v>COTS</v>
      </c>
      <c r="O955" t="str" cm="1">
        <f t="array" ref="O955">IFERROR(LOOKUP(2,1/SEARCH($V$2:$V$65,G955),$W$2:$W$65),"Misc")</f>
        <v>Fasteners</v>
      </c>
      <c r="P955" t="str" cm="1">
        <f t="array" ref="P955">IFERROR(LOOKUP(2,1/SEARCH($Y$2:$Y$65,G955),$Z$2:$Z$65),"Not Defined")</f>
        <v>WASHER</v>
      </c>
      <c r="Q955" t="str" cm="1">
        <f t="array" ref="Q955">IFERROR(LOOKUP(2,1/SEARCH($S$2:$S$65,H955),$T$2:$T$65),"-")</f>
        <v>COTS</v>
      </c>
    </row>
    <row r="956" spans="1:17" hidden="1" x14ac:dyDescent="0.25">
      <c r="A956" t="s">
        <v>7673</v>
      </c>
      <c r="B956" t="s">
        <v>2561</v>
      </c>
      <c r="C956">
        <v>6</v>
      </c>
      <c r="D956" t="s">
        <v>7231</v>
      </c>
      <c r="F956" t="s">
        <v>1025</v>
      </c>
      <c r="G956" t="s">
        <v>7161</v>
      </c>
      <c r="H956" t="s">
        <v>1026</v>
      </c>
      <c r="I956" t="s">
        <v>210</v>
      </c>
      <c r="J956" t="s">
        <v>7703</v>
      </c>
      <c r="K956" t="s">
        <v>7684</v>
      </c>
      <c r="L956" t="s">
        <v>7692</v>
      </c>
      <c r="N956" t="str" cm="1">
        <f t="array" ref="N956">IFERROR(LOOKUP(2,1/SEARCH($S$2:$S$65,G956),$T$2:$T$65),"Misc")</f>
        <v>COTS</v>
      </c>
      <c r="O956" t="str" cm="1">
        <f t="array" ref="O956">IFERROR(LOOKUP(2,1/SEARCH($V$2:$V$65,G956),$W$2:$W$65),"Misc")</f>
        <v>Fasteners</v>
      </c>
      <c r="P956" t="str" cm="1">
        <f t="array" ref="P956">IFERROR(LOOKUP(2,1/SEARCH($Y$2:$Y$65,G956),$Z$2:$Z$65),"Not Defined")</f>
        <v>WASHER</v>
      </c>
      <c r="Q956" t="str" cm="1">
        <f t="array" ref="Q956">IFERROR(LOOKUP(2,1/SEARCH($S$2:$S$65,H956),$T$2:$T$65),"-")</f>
        <v>COTS</v>
      </c>
    </row>
    <row r="957" spans="1:17" hidden="1" x14ac:dyDescent="0.25">
      <c r="A957" t="s">
        <v>7673</v>
      </c>
      <c r="B957" t="s">
        <v>2562</v>
      </c>
      <c r="C957">
        <v>6</v>
      </c>
      <c r="D957" t="s">
        <v>7231</v>
      </c>
      <c r="F957" t="s">
        <v>1008</v>
      </c>
      <c r="G957" t="s">
        <v>7157</v>
      </c>
      <c r="H957" t="s">
        <v>1009</v>
      </c>
      <c r="I957" t="s">
        <v>210</v>
      </c>
      <c r="J957" t="s">
        <v>7703</v>
      </c>
      <c r="K957" t="s">
        <v>7684</v>
      </c>
      <c r="L957" t="s">
        <v>7706</v>
      </c>
      <c r="N957" t="str" cm="1">
        <f t="array" ref="N957">IFERROR(LOOKUP(2,1/SEARCH($S$2:$S$65,G957),$T$2:$T$65),"Misc")</f>
        <v>COTS</v>
      </c>
      <c r="O957" t="str" cm="1">
        <f t="array" ref="O957">IFERROR(LOOKUP(2,1/SEARCH($V$2:$V$65,G957),$W$2:$W$65),"Misc")</f>
        <v>Fasteners</v>
      </c>
      <c r="P957" t="str" cm="1">
        <f t="array" ref="P957">IFERROR(LOOKUP(2,1/SEARCH($Y$2:$Y$65,G957),$Z$2:$Z$65),"Not Defined")</f>
        <v>HHCS</v>
      </c>
      <c r="Q957" t="str" cm="1">
        <f t="array" ref="Q957">IFERROR(LOOKUP(2,1/SEARCH($S$2:$S$65,H957),$T$2:$T$65),"-")</f>
        <v>COTS</v>
      </c>
    </row>
    <row r="958" spans="1:17" hidden="1" x14ac:dyDescent="0.25">
      <c r="A958" t="s">
        <v>7673</v>
      </c>
      <c r="B958" t="s">
        <v>2563</v>
      </c>
      <c r="C958">
        <v>6</v>
      </c>
      <c r="D958" t="s">
        <v>7231</v>
      </c>
      <c r="F958" t="s">
        <v>265</v>
      </c>
      <c r="G958" t="s">
        <v>7099</v>
      </c>
      <c r="H958" t="s">
        <v>266</v>
      </c>
      <c r="I958" t="s">
        <v>224</v>
      </c>
      <c r="J958" t="s">
        <v>7703</v>
      </c>
      <c r="K958" t="s">
        <v>7684</v>
      </c>
      <c r="L958" t="s">
        <v>7687</v>
      </c>
      <c r="N958" t="str" cm="1">
        <f t="array" ref="N958">IFERROR(LOOKUP(2,1/SEARCH($S$2:$S$65,G958),$T$2:$T$65),"Misc")</f>
        <v>COTS</v>
      </c>
      <c r="O958" t="str" cm="1">
        <f t="array" ref="O958">IFERROR(LOOKUP(2,1/SEARCH($V$2:$V$65,G958),$W$2:$W$65),"Misc")</f>
        <v>Fasteners</v>
      </c>
      <c r="P958" t="str" cm="1">
        <f t="array" ref="P958">IFERROR(LOOKUP(2,1/SEARCH($Y$2:$Y$65,G958),$Z$2:$Z$65),"Not Defined")</f>
        <v>INSERT</v>
      </c>
      <c r="Q958" t="str" cm="1">
        <f t="array" ref="Q958">IFERROR(LOOKUP(2,1/SEARCH($S$2:$S$65,H958),$T$2:$T$65),"-")</f>
        <v>COTS</v>
      </c>
    </row>
    <row r="959" spans="1:17" hidden="1" x14ac:dyDescent="0.25">
      <c r="A959" t="s">
        <v>7673</v>
      </c>
      <c r="B959" t="s">
        <v>2564</v>
      </c>
      <c r="C959">
        <v>6</v>
      </c>
      <c r="D959" t="s">
        <v>7231</v>
      </c>
      <c r="F959" t="s">
        <v>1309</v>
      </c>
      <c r="G959" t="s">
        <v>7203</v>
      </c>
      <c r="H959" t="s">
        <v>1310</v>
      </c>
      <c r="I959" t="s">
        <v>210</v>
      </c>
      <c r="J959" t="s">
        <v>7703</v>
      </c>
      <c r="K959" t="s">
        <v>7684</v>
      </c>
      <c r="L959" t="s">
        <v>7685</v>
      </c>
      <c r="N959" t="str" cm="1">
        <f t="array" ref="N959">IFERROR(LOOKUP(2,1/SEARCH($S$2:$S$65,G959),$T$2:$T$65),"Misc")</f>
        <v>COTS</v>
      </c>
      <c r="O959" t="str" cm="1">
        <f t="array" ref="O959">IFERROR(LOOKUP(2,1/SEARCH($V$2:$V$65,G959),$W$2:$W$65),"Misc")</f>
        <v>Fasteners</v>
      </c>
      <c r="P959" t="str" cm="1">
        <f t="array" ref="P959">IFERROR(LOOKUP(2,1/SEARCH($Y$2:$Y$65,G959),$Z$2:$Z$65),"Not Defined")</f>
        <v>NUT</v>
      </c>
      <c r="Q959" t="str" cm="1">
        <f t="array" ref="Q959">IFERROR(LOOKUP(2,1/SEARCH($S$2:$S$65,H959),$T$2:$T$65),"-")</f>
        <v>COTS</v>
      </c>
    </row>
    <row r="960" spans="1:17" hidden="1" x14ac:dyDescent="0.25">
      <c r="A960" t="s">
        <v>7673</v>
      </c>
      <c r="B960" t="s">
        <v>2565</v>
      </c>
      <c r="C960">
        <v>17</v>
      </c>
      <c r="D960" t="s">
        <v>7231</v>
      </c>
      <c r="F960" t="s">
        <v>915</v>
      </c>
      <c r="G960" t="s">
        <v>7129</v>
      </c>
      <c r="H960" t="s">
        <v>916</v>
      </c>
      <c r="I960" t="s">
        <v>228</v>
      </c>
      <c r="J960" t="s">
        <v>7703</v>
      </c>
      <c r="K960" t="s">
        <v>7684</v>
      </c>
      <c r="L960" t="s">
        <v>7693</v>
      </c>
      <c r="N960" t="str" cm="1">
        <f t="array" ref="N960">IFERROR(LOOKUP(2,1/SEARCH($S$2:$S$65,G960),$T$2:$T$65),"Misc")</f>
        <v>COTS</v>
      </c>
      <c r="O960" t="str" cm="1">
        <f t="array" ref="O960">IFERROR(LOOKUP(2,1/SEARCH($V$2:$V$65,G960),$W$2:$W$65),"Misc")</f>
        <v>Fasteners</v>
      </c>
      <c r="P960" t="str" cm="1">
        <f t="array" ref="P960">IFERROR(LOOKUP(2,1/SEARCH($Y$2:$Y$65,G960),$Z$2:$Z$65),"Not Defined")</f>
        <v>PHS</v>
      </c>
      <c r="Q960" t="str" cm="1">
        <f t="array" ref="Q960">IFERROR(LOOKUP(2,1/SEARCH($S$2:$S$65,H960),$T$2:$T$65),"-")</f>
        <v>COTS</v>
      </c>
    </row>
    <row r="961" spans="1:17" hidden="1" x14ac:dyDescent="0.25">
      <c r="A961" t="s">
        <v>7673</v>
      </c>
      <c r="B961" t="s">
        <v>2566</v>
      </c>
      <c r="C961">
        <v>22</v>
      </c>
      <c r="D961" t="s">
        <v>7231</v>
      </c>
      <c r="F961" t="s">
        <v>226</v>
      </c>
      <c r="G961" t="s">
        <v>7054</v>
      </c>
      <c r="H961" t="s">
        <v>227</v>
      </c>
      <c r="I961" t="s">
        <v>228</v>
      </c>
      <c r="J961" t="s">
        <v>7703</v>
      </c>
      <c r="K961" t="s">
        <v>7684</v>
      </c>
      <c r="L961" t="s">
        <v>7685</v>
      </c>
      <c r="N961" t="str" cm="1">
        <f t="array" ref="N961">IFERROR(LOOKUP(2,1/SEARCH($S$2:$S$65,G961),$T$2:$T$65),"Misc")</f>
        <v>COTS</v>
      </c>
      <c r="O961" t="str" cm="1">
        <f t="array" ref="O961">IFERROR(LOOKUP(2,1/SEARCH($V$2:$V$65,G961),$W$2:$W$65),"Misc")</f>
        <v>Fasteners</v>
      </c>
      <c r="P961" t="str" cm="1">
        <f t="array" ref="P961">IFERROR(LOOKUP(2,1/SEARCH($Y$2:$Y$65,G961),$Z$2:$Z$65),"Not Defined")</f>
        <v>NUT</v>
      </c>
      <c r="Q961" t="str" cm="1">
        <f t="array" ref="Q961">IFERROR(LOOKUP(2,1/SEARCH($S$2:$S$65,H961),$T$2:$T$65),"-")</f>
        <v>COTS</v>
      </c>
    </row>
    <row r="962" spans="1:17" hidden="1" x14ac:dyDescent="0.25">
      <c r="A962" t="s">
        <v>7673</v>
      </c>
      <c r="B962" t="s">
        <v>2567</v>
      </c>
      <c r="C962">
        <v>4</v>
      </c>
      <c r="D962" t="s">
        <v>7231</v>
      </c>
      <c r="F962" t="s">
        <v>233</v>
      </c>
      <c r="G962" t="s">
        <v>7056</v>
      </c>
      <c r="H962" t="s">
        <v>234</v>
      </c>
      <c r="I962" t="s">
        <v>210</v>
      </c>
      <c r="J962" t="s">
        <v>7703</v>
      </c>
      <c r="K962" t="s">
        <v>7684</v>
      </c>
      <c r="L962" t="s">
        <v>7693</v>
      </c>
      <c r="N962" t="str" cm="1">
        <f t="array" ref="N962">IFERROR(LOOKUP(2,1/SEARCH($S$2:$S$65,G962),$T$2:$T$65),"Misc")</f>
        <v>COTS</v>
      </c>
      <c r="O962" t="str" cm="1">
        <f t="array" ref="O962">IFERROR(LOOKUP(2,1/SEARCH($V$2:$V$65,G962),$W$2:$W$65),"Misc")</f>
        <v>Fasteners</v>
      </c>
      <c r="P962" t="str" cm="1">
        <f t="array" ref="P962">IFERROR(LOOKUP(2,1/SEARCH($Y$2:$Y$65,G962),$Z$2:$Z$65),"Not Defined")</f>
        <v>PHS</v>
      </c>
      <c r="Q962" t="str" cm="1">
        <f t="array" ref="Q962">IFERROR(LOOKUP(2,1/SEARCH($S$2:$S$65,H962),$T$2:$T$65),"-")</f>
        <v>COTS</v>
      </c>
    </row>
    <row r="963" spans="1:17" hidden="1" x14ac:dyDescent="0.25">
      <c r="A963" t="s">
        <v>7673</v>
      </c>
      <c r="B963" t="s">
        <v>2568</v>
      </c>
      <c r="C963">
        <v>11</v>
      </c>
      <c r="D963" t="s">
        <v>7231</v>
      </c>
      <c r="F963" t="s">
        <v>222</v>
      </c>
      <c r="G963" t="s">
        <v>7053</v>
      </c>
      <c r="H963" t="s">
        <v>223</v>
      </c>
      <c r="I963" t="s">
        <v>224</v>
      </c>
      <c r="J963" t="s">
        <v>7703</v>
      </c>
      <c r="K963" t="s">
        <v>7684</v>
      </c>
      <c r="L963" t="s">
        <v>7687</v>
      </c>
      <c r="N963" t="str" cm="1">
        <f t="array" ref="N963">IFERROR(LOOKUP(2,1/SEARCH($S$2:$S$65,G963),$T$2:$T$65),"Misc")</f>
        <v>COTS</v>
      </c>
      <c r="O963" t="str" cm="1">
        <f t="array" ref="O963">IFERROR(LOOKUP(2,1/SEARCH($V$2:$V$65,G963),$W$2:$W$65),"Misc")</f>
        <v>Fasteners</v>
      </c>
      <c r="P963" t="str" cm="1">
        <f t="array" ref="P963">IFERROR(LOOKUP(2,1/SEARCH($Y$2:$Y$65,G963),$Z$2:$Z$65),"Not Defined")</f>
        <v>INSERT</v>
      </c>
      <c r="Q963" t="str" cm="1">
        <f t="array" ref="Q963">IFERROR(LOOKUP(2,1/SEARCH($S$2:$S$65,H963),$T$2:$T$65),"-")</f>
        <v>COTS</v>
      </c>
    </row>
    <row r="964" spans="1:17" hidden="1" x14ac:dyDescent="0.25">
      <c r="A964" t="s">
        <v>7673</v>
      </c>
      <c r="B964" t="s">
        <v>2569</v>
      </c>
      <c r="C964">
        <v>14</v>
      </c>
      <c r="D964" t="s">
        <v>7231</v>
      </c>
      <c r="F964" t="s">
        <v>212</v>
      </c>
      <c r="G964" t="s">
        <v>7050</v>
      </c>
      <c r="H964" t="s">
        <v>213</v>
      </c>
      <c r="I964" t="s">
        <v>214</v>
      </c>
      <c r="J964" t="s">
        <v>7703</v>
      </c>
      <c r="K964" t="s">
        <v>7684</v>
      </c>
      <c r="L964" t="s">
        <v>7707</v>
      </c>
      <c r="N964" t="str" cm="1">
        <f t="array" ref="N964">IFERROR(LOOKUP(2,1/SEARCH($S$2:$S$65,G964),$T$2:$T$65),"Misc")</f>
        <v>COTS</v>
      </c>
      <c r="O964" t="str" cm="1">
        <f t="array" ref="O964">IFERROR(LOOKUP(2,1/SEARCH($V$2:$V$65,G964),$W$2:$W$65),"Misc")</f>
        <v>Fasteners</v>
      </c>
      <c r="P964" t="str" cm="1">
        <f t="array" ref="P964">IFERROR(LOOKUP(2,1/SEARCH($Y$2:$Y$65,G964),$Z$2:$Z$65),"Not Defined")</f>
        <v>PIN</v>
      </c>
      <c r="Q964" t="str" cm="1">
        <f t="array" ref="Q964">IFERROR(LOOKUP(2,1/SEARCH($S$2:$S$65,H964),$T$2:$T$65),"-")</f>
        <v>COTS</v>
      </c>
    </row>
    <row r="965" spans="1:17" hidden="1" x14ac:dyDescent="0.25">
      <c r="A965" t="s">
        <v>7673</v>
      </c>
      <c r="B965" t="s">
        <v>2570</v>
      </c>
      <c r="C965">
        <v>2</v>
      </c>
      <c r="D965" t="s">
        <v>7231</v>
      </c>
      <c r="F965" t="s">
        <v>2571</v>
      </c>
      <c r="G965" t="s">
        <v>7296</v>
      </c>
      <c r="H965" t="s">
        <v>2572</v>
      </c>
      <c r="I965" t="s">
        <v>255</v>
      </c>
      <c r="J965" t="s">
        <v>7703</v>
      </c>
      <c r="K965" t="s">
        <v>7736</v>
      </c>
      <c r="L965" t="s">
        <v>7736</v>
      </c>
      <c r="N965" t="str" cm="1">
        <f t="array" ref="N965">IFERROR(LOOKUP(2,1/SEARCH($S$2:$S$65,G965),$T$2:$T$65),"Misc")</f>
        <v>COTS</v>
      </c>
      <c r="O965" t="str" cm="1">
        <f t="array" ref="O965">IFERROR(LOOKUP(2,1/SEARCH($V$2:$V$65,G965),$W$2:$W$65),"Misc")</f>
        <v>DISPLAY</v>
      </c>
      <c r="P965" t="str" cm="1">
        <f t="array" ref="P965">IFERROR(LOOKUP(2,1/SEARCH($Y$2:$Y$65,G965),$Z$2:$Z$65),"Not Defined")</f>
        <v>DISPLAY</v>
      </c>
      <c r="Q965" t="str" cm="1">
        <f t="array" ref="Q965">IFERROR(LOOKUP(2,1/SEARCH($S$2:$S$65,H965),$T$2:$T$65),"-")</f>
        <v>COTS</v>
      </c>
    </row>
    <row r="966" spans="1:17" hidden="1" x14ac:dyDescent="0.25">
      <c r="A966" t="s">
        <v>7673</v>
      </c>
      <c r="B966" t="s">
        <v>2573</v>
      </c>
      <c r="C966">
        <v>2</v>
      </c>
      <c r="D966" t="s">
        <v>7231</v>
      </c>
      <c r="F966" t="s">
        <v>574</v>
      </c>
      <c r="G966" t="s">
        <v>7103</v>
      </c>
      <c r="H966" t="s">
        <v>575</v>
      </c>
      <c r="I966" t="s">
        <v>255</v>
      </c>
      <c r="J966" t="s">
        <v>7703</v>
      </c>
      <c r="K966" t="str" cm="1">
        <f t="array" ref="K966">IFERROR(LOOKUP(2,1/SEARCH($V$2:$V$65,C966),$W$2:$W$65),"Misc")</f>
        <v>Misc</v>
      </c>
      <c r="L966" t="s">
        <v>7736</v>
      </c>
      <c r="N966" t="str" cm="1">
        <f t="array" ref="N966">IFERROR(LOOKUP(2,1/SEARCH($S$2:$S$65,G966),$T$2:$T$65),"Misc")</f>
        <v>COTS</v>
      </c>
      <c r="O966" t="str" cm="1">
        <f t="array" ref="O966">IFERROR(LOOKUP(2,1/SEARCH($V$2:$V$65,G966),$W$2:$W$65),"Misc")</f>
        <v>Misc</v>
      </c>
      <c r="P966" t="str" cm="1">
        <f t="array" ref="P966">IFERROR(LOOKUP(2,1/SEARCH($Y$2:$Y$65,G966),$Z$2:$Z$65),"Not Defined")</f>
        <v>DISPLAY</v>
      </c>
      <c r="Q966" t="str" cm="1">
        <f t="array" ref="Q966">IFERROR(LOOKUP(2,1/SEARCH($S$2:$S$65,H966),$T$2:$T$65),"-")</f>
        <v>-</v>
      </c>
    </row>
    <row r="967" spans="1:17" hidden="1" x14ac:dyDescent="0.25">
      <c r="A967" t="s">
        <v>7673</v>
      </c>
      <c r="B967" t="s">
        <v>2574</v>
      </c>
      <c r="C967">
        <v>1</v>
      </c>
      <c r="D967" t="s">
        <v>7231</v>
      </c>
      <c r="E967" t="s">
        <v>7987</v>
      </c>
      <c r="F967" t="s">
        <v>7988</v>
      </c>
      <c r="G967" t="s">
        <v>7990</v>
      </c>
      <c r="H967" t="s">
        <v>7987</v>
      </c>
      <c r="I967" t="s">
        <v>255</v>
      </c>
      <c r="J967" t="s">
        <v>7815</v>
      </c>
      <c r="K967" t="s">
        <v>7717</v>
      </c>
      <c r="L967" t="s">
        <v>7717</v>
      </c>
      <c r="N967" t="str" cm="1">
        <f t="array" ref="N967">IFERROR(LOOKUP(2,1/SEARCH($S$2:$S$65,G967),$T$2:$T$65),"Misc")</f>
        <v>OH ASSY</v>
      </c>
      <c r="O967" t="str" cm="1">
        <f t="array" ref="O967">IFERROR(LOOKUP(2,1/SEARCH($V$2:$V$65,G967),$W$2:$W$65),"Misc")</f>
        <v>ABSIS</v>
      </c>
      <c r="P967" t="str" cm="1">
        <f t="array" ref="P967">IFERROR(LOOKUP(2,1/SEARCH($Y$2:$Y$65,G967),$Z$2:$Z$65),"Not Defined")</f>
        <v>ABSIS</v>
      </c>
      <c r="Q967" t="str" cm="1">
        <f t="array" ref="Q967">IFERROR(LOOKUP(2,1/SEARCH($S$2:$S$65,H967),$T$2:$T$65),"-")</f>
        <v>OH ASSY</v>
      </c>
    </row>
    <row r="968" spans="1:17" hidden="1" x14ac:dyDescent="0.25">
      <c r="A968" t="s">
        <v>7673</v>
      </c>
      <c r="B968" t="s">
        <v>2575</v>
      </c>
      <c r="C968">
        <v>1</v>
      </c>
      <c r="D968" t="s">
        <v>7231</v>
      </c>
      <c r="E968" t="s">
        <v>7987</v>
      </c>
      <c r="F968" t="s">
        <v>7989</v>
      </c>
      <c r="G968" t="s">
        <v>7991</v>
      </c>
      <c r="H968" t="s">
        <v>7992</v>
      </c>
      <c r="I968" t="s">
        <v>255</v>
      </c>
      <c r="J968" t="s">
        <v>7717</v>
      </c>
      <c r="K968" t="s">
        <v>7717</v>
      </c>
      <c r="L968" t="s">
        <v>7717</v>
      </c>
      <c r="N968" t="str" cm="1">
        <f t="array" ref="N968">IFERROR(LOOKUP(2,1/SEARCH($S$2:$S$65,G968),$T$2:$T$65),"Misc")</f>
        <v>ABSIS</v>
      </c>
      <c r="O968" t="str" cm="1">
        <f t="array" ref="O968">IFERROR(LOOKUP(2,1/SEARCH($V$2:$V$65,G968),$W$2:$W$65),"Misc")</f>
        <v>ABSIS</v>
      </c>
      <c r="P968" t="str" cm="1">
        <f t="array" ref="P968">IFERROR(LOOKUP(2,1/SEARCH($Y$2:$Y$65,G968),$Z$2:$Z$65),"Not Defined")</f>
        <v>ABSIS</v>
      </c>
      <c r="Q968" t="str" cm="1">
        <f t="array" ref="Q968">IFERROR(LOOKUP(2,1/SEARCH($S$2:$S$65,H968),$T$2:$T$65),"-")</f>
        <v>ABSIS</v>
      </c>
    </row>
    <row r="969" spans="1:17" hidden="1" x14ac:dyDescent="0.25">
      <c r="A969" t="s">
        <v>7673</v>
      </c>
      <c r="B969" t="s">
        <v>2576</v>
      </c>
      <c r="C969">
        <v>2</v>
      </c>
      <c r="D969" t="s">
        <v>7231</v>
      </c>
      <c r="E969" t="s">
        <v>589</v>
      </c>
      <c r="F969" t="s">
        <v>592</v>
      </c>
      <c r="G969" t="s">
        <v>594</v>
      </c>
      <c r="H969" t="s">
        <v>593</v>
      </c>
      <c r="I969" t="s">
        <v>255</v>
      </c>
      <c r="J969" t="s">
        <v>7703</v>
      </c>
      <c r="K969" t="s">
        <v>7698</v>
      </c>
      <c r="L969" t="s">
        <v>7707</v>
      </c>
      <c r="N969" t="str" cm="1">
        <f t="array" ref="N969">IFERROR(LOOKUP(2,1/SEARCH($S$2:$S$65,G969),$T$2:$T$65),"Misc")</f>
        <v>COTS</v>
      </c>
      <c r="O969" t="str" cm="1">
        <f t="array" ref="O969">IFERROR(LOOKUP(2,1/SEARCH($V$2:$V$65,G969),$W$2:$W$65),"Misc")</f>
        <v>Pins</v>
      </c>
      <c r="P969" t="str" cm="1">
        <f t="array" ref="P969">IFERROR(LOOKUP(2,1/SEARCH($Y$2:$Y$65,G969),$Z$2:$Z$65),"Not Defined")</f>
        <v>PIN</v>
      </c>
      <c r="Q969" t="str" cm="1">
        <f t="array" ref="Q969">IFERROR(LOOKUP(2,1/SEARCH($S$2:$S$65,H969),$T$2:$T$65),"-")</f>
        <v>COTS</v>
      </c>
    </row>
    <row r="970" spans="1:17" hidden="1" x14ac:dyDescent="0.25">
      <c r="A970" t="s">
        <v>7673</v>
      </c>
      <c r="B970" t="s">
        <v>2577</v>
      </c>
      <c r="C970">
        <v>1</v>
      </c>
      <c r="D970" t="s">
        <v>7231</v>
      </c>
      <c r="E970" t="s">
        <v>589</v>
      </c>
      <c r="F970" t="s">
        <v>596</v>
      </c>
      <c r="G970" t="s">
        <v>7108</v>
      </c>
      <c r="H970" t="s">
        <v>597</v>
      </c>
      <c r="I970" t="s">
        <v>255</v>
      </c>
      <c r="J970" t="s">
        <v>7703</v>
      </c>
      <c r="K970" t="s">
        <v>7713</v>
      </c>
      <c r="L970" t="s">
        <v>7713</v>
      </c>
      <c r="N970" t="str" cm="1">
        <f t="array" ref="N970">IFERROR(LOOKUP(2,1/SEARCH($S$2:$S$65,G970),$T$2:$T$65),"Misc")</f>
        <v>COTS</v>
      </c>
      <c r="O970" t="str" cm="1">
        <f t="array" ref="O970">IFERROR(LOOKUP(2,1/SEARCH($V$2:$V$65,G970),$W$2:$W$65),"Misc")</f>
        <v>ARDUINO</v>
      </c>
      <c r="P970" t="str" cm="1">
        <f t="array" ref="P970">IFERROR(LOOKUP(2,1/SEARCH($Y$2:$Y$65,G970),$Z$2:$Z$65),"Not Defined")</f>
        <v>ARDUINO</v>
      </c>
      <c r="Q970" t="str" cm="1">
        <f t="array" ref="Q970">IFERROR(LOOKUP(2,1/SEARCH($S$2:$S$65,H970),$T$2:$T$65),"-")</f>
        <v>COTS</v>
      </c>
    </row>
    <row r="971" spans="1:17" hidden="1" x14ac:dyDescent="0.25">
      <c r="A971" t="s">
        <v>7673</v>
      </c>
      <c r="B971" t="s">
        <v>2578</v>
      </c>
      <c r="C971">
        <v>2</v>
      </c>
      <c r="D971" t="s">
        <v>7231</v>
      </c>
      <c r="F971" t="s">
        <v>1077</v>
      </c>
      <c r="G971" t="s">
        <v>7174</v>
      </c>
      <c r="H971" t="s">
        <v>1078</v>
      </c>
      <c r="I971" t="s">
        <v>255</v>
      </c>
      <c r="J971" t="s">
        <v>7703</v>
      </c>
      <c r="K971" t="s">
        <v>7814</v>
      </c>
      <c r="L971" t="s">
        <v>7824</v>
      </c>
      <c r="N971" t="str" cm="1">
        <f t="array" ref="N971">IFERROR(LOOKUP(2,1/SEARCH($S$2:$S$65,G971),$T$2:$T$65),"Misc")</f>
        <v>COTS</v>
      </c>
      <c r="O971" t="str" cm="1">
        <f t="array" ref="O971">IFERROR(LOOKUP(2,1/SEARCH($V$2:$V$65,G971),$W$2:$W$65),"Misc")</f>
        <v>Misc</v>
      </c>
      <c r="P971" t="str" cm="1">
        <f t="array" ref="P971">IFERROR(LOOKUP(2,1/SEARCH($Y$2:$Y$65,G971),$Z$2:$Z$65),"Not Defined")</f>
        <v>Hub</v>
      </c>
      <c r="Q971" t="str" cm="1">
        <f t="array" ref="Q971">IFERROR(LOOKUP(2,1/SEARCH($S$2:$S$65,H971),$T$2:$T$65),"-")</f>
        <v>COTS</v>
      </c>
    </row>
    <row r="972" spans="1:17" hidden="1" x14ac:dyDescent="0.25">
      <c r="A972" t="s">
        <v>7673</v>
      </c>
      <c r="B972" t="s">
        <v>2579</v>
      </c>
      <c r="C972">
        <v>1</v>
      </c>
      <c r="D972" t="s">
        <v>7231</v>
      </c>
      <c r="E972" t="s">
        <v>614</v>
      </c>
      <c r="F972" t="s">
        <v>613</v>
      </c>
      <c r="G972" t="s">
        <v>7110</v>
      </c>
      <c r="H972" t="s">
        <v>614</v>
      </c>
      <c r="I972" t="s">
        <v>255</v>
      </c>
      <c r="J972" t="s">
        <v>7815</v>
      </c>
      <c r="K972" t="s">
        <v>7717</v>
      </c>
      <c r="L972" t="s">
        <v>7717</v>
      </c>
      <c r="N972" t="str" cm="1">
        <f t="array" ref="N972">IFERROR(LOOKUP(2,1/SEARCH($S$2:$S$65,G972),$T$2:$T$65),"Misc")</f>
        <v>OH ASSY</v>
      </c>
      <c r="O972" t="str" cm="1">
        <f t="array" ref="O972">IFERROR(LOOKUP(2,1/SEARCH($V$2:$V$65,G972),$W$2:$W$65),"Misc")</f>
        <v>ABSIS</v>
      </c>
      <c r="P972" t="str" cm="1">
        <f t="array" ref="P972">IFERROR(LOOKUP(2,1/SEARCH($Y$2:$Y$65,G972),$Z$2:$Z$65),"Not Defined")</f>
        <v>ABSIS</v>
      </c>
      <c r="Q972" t="str" cm="1">
        <f t="array" ref="Q972">IFERROR(LOOKUP(2,1/SEARCH($S$2:$S$65,H972),$T$2:$T$65),"-")</f>
        <v>OH ASSY</v>
      </c>
    </row>
    <row r="973" spans="1:17" hidden="1" x14ac:dyDescent="0.25">
      <c r="A973" t="s">
        <v>7673</v>
      </c>
      <c r="B973" t="s">
        <v>2580</v>
      </c>
      <c r="C973">
        <v>1</v>
      </c>
      <c r="D973" t="s">
        <v>7231</v>
      </c>
      <c r="E973" t="s">
        <v>614</v>
      </c>
      <c r="F973" t="s">
        <v>616</v>
      </c>
      <c r="G973" t="s">
        <v>7111</v>
      </c>
      <c r="H973" t="s">
        <v>617</v>
      </c>
      <c r="I973" t="s">
        <v>255</v>
      </c>
      <c r="J973" t="s">
        <v>7717</v>
      </c>
      <c r="K973" t="s">
        <v>7717</v>
      </c>
      <c r="L973" t="s">
        <v>7717</v>
      </c>
      <c r="N973" t="str" cm="1">
        <f t="array" ref="N973">IFERROR(LOOKUP(2,1/SEARCH($S$2:$S$65,G973),$T$2:$T$65),"Misc")</f>
        <v>ABSIS</v>
      </c>
      <c r="O973" t="str" cm="1">
        <f t="array" ref="O973">IFERROR(LOOKUP(2,1/SEARCH($V$2:$V$65,G973),$W$2:$W$65),"Misc")</f>
        <v>ABSIS</v>
      </c>
      <c r="P973" t="str" cm="1">
        <f t="array" ref="P973">IFERROR(LOOKUP(2,1/SEARCH($Y$2:$Y$65,G973),$Z$2:$Z$65),"Not Defined")</f>
        <v>ABSIS</v>
      </c>
      <c r="Q973" t="str" cm="1">
        <f t="array" ref="Q973">IFERROR(LOOKUP(2,1/SEARCH($S$2:$S$65,H973),$T$2:$T$65),"-")</f>
        <v>ABSIS</v>
      </c>
    </row>
    <row r="974" spans="1:17" hidden="1" x14ac:dyDescent="0.25">
      <c r="A974" t="s">
        <v>7673</v>
      </c>
      <c r="B974" t="s">
        <v>2581</v>
      </c>
      <c r="C974">
        <v>1</v>
      </c>
      <c r="D974" t="s">
        <v>7231</v>
      </c>
      <c r="E974" t="s">
        <v>614</v>
      </c>
      <c r="F974" t="s">
        <v>596</v>
      </c>
      <c r="G974" t="s">
        <v>7108</v>
      </c>
      <c r="H974" t="s">
        <v>597</v>
      </c>
      <c r="I974" t="s">
        <v>255</v>
      </c>
      <c r="J974" t="s">
        <v>7703</v>
      </c>
      <c r="K974" t="s">
        <v>7713</v>
      </c>
      <c r="L974" t="s">
        <v>7713</v>
      </c>
      <c r="N974" t="str" cm="1">
        <f t="array" ref="N974">IFERROR(LOOKUP(2,1/SEARCH($S$2:$S$65,G974),$T$2:$T$65),"Misc")</f>
        <v>COTS</v>
      </c>
      <c r="O974" t="str" cm="1">
        <f t="array" ref="O974">IFERROR(LOOKUP(2,1/SEARCH($V$2:$V$65,G974),$W$2:$W$65),"Misc")</f>
        <v>ARDUINO</v>
      </c>
      <c r="P974" t="str" cm="1">
        <f t="array" ref="P974">IFERROR(LOOKUP(2,1/SEARCH($Y$2:$Y$65,G974),$Z$2:$Z$65),"Not Defined")</f>
        <v>ARDUINO</v>
      </c>
      <c r="Q974" t="str" cm="1">
        <f t="array" ref="Q974">IFERROR(LOOKUP(2,1/SEARCH($S$2:$S$65,H974),$T$2:$T$65),"-")</f>
        <v>COTS</v>
      </c>
    </row>
    <row r="975" spans="1:17" hidden="1" x14ac:dyDescent="0.25">
      <c r="A975" t="s">
        <v>7673</v>
      </c>
      <c r="B975" t="s">
        <v>2582</v>
      </c>
      <c r="C975">
        <v>4</v>
      </c>
      <c r="D975" t="s">
        <v>7231</v>
      </c>
      <c r="F975" t="s">
        <v>2583</v>
      </c>
      <c r="G975" t="s">
        <v>7297</v>
      </c>
      <c r="H975" t="s">
        <v>2584</v>
      </c>
      <c r="I975" t="s">
        <v>299</v>
      </c>
      <c r="J975" t="s">
        <v>7703</v>
      </c>
      <c r="K975" t="s">
        <v>7684</v>
      </c>
      <c r="L975" t="s">
        <v>7708</v>
      </c>
      <c r="N975" t="str" cm="1">
        <f t="array" ref="N975">IFERROR(LOOKUP(2,1/SEARCH($S$2:$S$65,G975),$T$2:$T$65),"Misc")</f>
        <v>COTS</v>
      </c>
      <c r="O975" t="str" cm="1">
        <f t="array" ref="O975">IFERROR(LOOKUP(2,1/SEARCH($V$2:$V$65,G975),$W$2:$W$65),"Misc")</f>
        <v>Fasteners</v>
      </c>
      <c r="P975" t="str" cm="1">
        <f t="array" ref="P975">IFERROR(LOOKUP(2,1/SEARCH($Y$2:$Y$65,G975),$Z$2:$Z$65),"Not Defined")</f>
        <v>STANDOFF</v>
      </c>
      <c r="Q975" t="str" cm="1">
        <f t="array" ref="Q975">IFERROR(LOOKUP(2,1/SEARCH($S$2:$S$65,H975),$T$2:$T$65),"-")</f>
        <v>COTS</v>
      </c>
    </row>
    <row r="976" spans="1:17" hidden="1" x14ac:dyDescent="0.25">
      <c r="A976" t="s">
        <v>7673</v>
      </c>
      <c r="B976" t="s">
        <v>2585</v>
      </c>
      <c r="C976">
        <v>4</v>
      </c>
      <c r="D976" t="s">
        <v>7231</v>
      </c>
      <c r="F976" t="s">
        <v>2586</v>
      </c>
      <c r="G976" t="s">
        <v>7298</v>
      </c>
      <c r="H976" t="s">
        <v>2587</v>
      </c>
      <c r="I976" t="s">
        <v>210</v>
      </c>
      <c r="J976" t="s">
        <v>7703</v>
      </c>
      <c r="K976" t="s">
        <v>7684</v>
      </c>
      <c r="L976" t="s">
        <v>7691</v>
      </c>
      <c r="N976" t="str" cm="1">
        <f t="array" ref="N976">IFERROR(LOOKUP(2,1/SEARCH($S$2:$S$65,G976),$T$2:$T$65),"Misc")</f>
        <v>COTS</v>
      </c>
      <c r="O976" t="str" cm="1">
        <f t="array" ref="O976">IFERROR(LOOKUP(2,1/SEARCH($V$2:$V$65,G976),$W$2:$W$65),"Misc")</f>
        <v>Fasteners</v>
      </c>
      <c r="P976" t="str" cm="1">
        <f t="array" ref="P976">IFERROR(LOOKUP(2,1/SEARCH($Y$2:$Y$65,G976),$Z$2:$Z$65),"Not Defined")</f>
        <v>FHS</v>
      </c>
      <c r="Q976" t="str" cm="1">
        <f t="array" ref="Q976">IFERROR(LOOKUP(2,1/SEARCH($S$2:$S$65,H976),$T$2:$T$65),"-")</f>
        <v>COTS</v>
      </c>
    </row>
    <row r="977" spans="1:17" hidden="1" x14ac:dyDescent="0.25">
      <c r="A977" t="s">
        <v>7969</v>
      </c>
      <c r="B977" s="4">
        <v>1.3</v>
      </c>
      <c r="C977" s="4">
        <v>2</v>
      </c>
      <c r="D977" s="4" t="s">
        <v>7046</v>
      </c>
      <c r="F977" t="s">
        <v>2588</v>
      </c>
      <c r="G977" t="s">
        <v>7299</v>
      </c>
      <c r="H977" t="s">
        <v>2589</v>
      </c>
      <c r="I977" t="s">
        <v>228</v>
      </c>
      <c r="J977" t="s">
        <v>7703</v>
      </c>
      <c r="K977" t="s">
        <v>7684</v>
      </c>
      <c r="L977" t="s">
        <v>7706</v>
      </c>
      <c r="N977" t="str" cm="1">
        <f t="array" ref="N977">IFERROR(LOOKUP(2,1/SEARCH($S$2:$S$65,G977),$T$2:$T$65),"Misc")</f>
        <v>COTS</v>
      </c>
      <c r="O977" t="str" cm="1">
        <f t="array" ref="O977">IFERROR(LOOKUP(2,1/SEARCH($V$2:$V$65,G977),$W$2:$W$65),"Misc")</f>
        <v>Fasteners</v>
      </c>
      <c r="P977" t="str" cm="1">
        <f t="array" ref="P977">IFERROR(LOOKUP(2,1/SEARCH($Y$2:$Y$65,G977),$Z$2:$Z$65),"Not Defined")</f>
        <v>HHCS</v>
      </c>
      <c r="Q977" t="str" cm="1">
        <f t="array" ref="Q977">IFERROR(LOOKUP(2,1/SEARCH($S$2:$S$65,H977),$T$2:$T$65),"-")</f>
        <v>COTS</v>
      </c>
    </row>
    <row r="978" spans="1:17" hidden="1" x14ac:dyDescent="0.25">
      <c r="A978" t="s">
        <v>7969</v>
      </c>
      <c r="B978" s="4">
        <v>1.4</v>
      </c>
      <c r="C978" s="4">
        <v>4</v>
      </c>
      <c r="D978" s="4" t="s">
        <v>7046</v>
      </c>
      <c r="F978" t="s">
        <v>2590</v>
      </c>
      <c r="G978" t="s">
        <v>7300</v>
      </c>
      <c r="H978" t="s">
        <v>2591</v>
      </c>
      <c r="I978" t="s">
        <v>228</v>
      </c>
      <c r="J978" t="s">
        <v>7703</v>
      </c>
      <c r="K978" t="s">
        <v>7684</v>
      </c>
      <c r="L978" t="s">
        <v>7692</v>
      </c>
      <c r="N978" t="str" cm="1">
        <f t="array" ref="N978">IFERROR(LOOKUP(2,1/SEARCH($S$2:$S$65,G978),$T$2:$T$65),"Misc")</f>
        <v>COTS</v>
      </c>
      <c r="O978" t="str" cm="1">
        <f t="array" ref="O978">IFERROR(LOOKUP(2,1/SEARCH($V$2:$V$65,G978),$W$2:$W$65),"Misc")</f>
        <v>Fasteners</v>
      </c>
      <c r="P978" t="str" cm="1">
        <f t="array" ref="P978">IFERROR(LOOKUP(2,1/SEARCH($Y$2:$Y$65,G978),$Z$2:$Z$65),"Not Defined")</f>
        <v>WASHER</v>
      </c>
      <c r="Q978" t="str" cm="1">
        <f t="array" ref="Q978">IFERROR(LOOKUP(2,1/SEARCH($S$2:$S$65,H978),$T$2:$T$65),"-")</f>
        <v>COTS</v>
      </c>
    </row>
    <row r="979" spans="1:17" hidden="1" x14ac:dyDescent="0.25">
      <c r="A979" t="s">
        <v>7969</v>
      </c>
      <c r="B979" s="4">
        <v>1.5</v>
      </c>
      <c r="C979" s="4">
        <v>2</v>
      </c>
      <c r="D979" s="4" t="s">
        <v>7046</v>
      </c>
      <c r="F979" t="s">
        <v>2592</v>
      </c>
      <c r="G979" t="s">
        <v>7301</v>
      </c>
      <c r="H979" t="s">
        <v>2593</v>
      </c>
      <c r="I979" t="s">
        <v>228</v>
      </c>
      <c r="J979" t="s">
        <v>7703</v>
      </c>
      <c r="K979" t="s">
        <v>7684</v>
      </c>
      <c r="L979" t="s">
        <v>7685</v>
      </c>
      <c r="N979" t="str" cm="1">
        <f t="array" ref="N979">IFERROR(LOOKUP(2,1/SEARCH($S$2:$S$65,G979),$T$2:$T$65),"Misc")</f>
        <v>COTS</v>
      </c>
      <c r="O979" t="str" cm="1">
        <f t="array" ref="O979">IFERROR(LOOKUP(2,1/SEARCH($V$2:$V$65,G979),$W$2:$W$65),"Misc")</f>
        <v>Fasteners</v>
      </c>
      <c r="P979" t="str" cm="1">
        <f t="array" ref="P979">IFERROR(LOOKUP(2,1/SEARCH($Y$2:$Y$65,G979),$Z$2:$Z$65),"Not Defined")</f>
        <v>NUT</v>
      </c>
      <c r="Q979" t="str" cm="1">
        <f t="array" ref="Q979">IFERROR(LOOKUP(2,1/SEARCH($S$2:$S$65,H979),$T$2:$T$65),"-")</f>
        <v>COTS</v>
      </c>
    </row>
    <row r="980" spans="1:17" hidden="1" x14ac:dyDescent="0.25">
      <c r="A980" t="s">
        <v>7674</v>
      </c>
      <c r="B980" s="18">
        <v>2</v>
      </c>
      <c r="C980">
        <v>1</v>
      </c>
      <c r="D980" t="s">
        <v>7302</v>
      </c>
      <c r="F980" t="s">
        <v>2594</v>
      </c>
      <c r="G980" t="s">
        <v>7302</v>
      </c>
      <c r="H980" t="s">
        <v>2595</v>
      </c>
      <c r="J980" t="s">
        <v>7742</v>
      </c>
      <c r="K980" t="s">
        <v>7826</v>
      </c>
      <c r="L980" t="s">
        <v>7826</v>
      </c>
      <c r="N980" t="str" cm="1">
        <f t="array" ref="N980">IFERROR(LOOKUP(2,1/SEARCH($S$2:$S$65,G980),$T$2:$T$65),"Misc")</f>
        <v>OH ASSY</v>
      </c>
      <c r="O980" t="str" cm="1">
        <f t="array" ref="O980">IFERROR(LOOKUP(2,1/SEARCH($V$2:$V$65,G980),$W$2:$W$65),"Misc")</f>
        <v>OH Part</v>
      </c>
      <c r="P980" t="str" cm="1">
        <f t="array" ref="P980">IFERROR(LOOKUP(2,1/SEARCH($Y$2:$Y$65,G980),$Z$2:$Z$65),"Not Defined")</f>
        <v>OH Part</v>
      </c>
      <c r="Q980" t="str" cm="1">
        <f t="array" ref="Q980">IFERROR(LOOKUP(2,1/SEARCH($S$2:$S$65,H980),$T$2:$T$65),"-")</f>
        <v>OH ASSY</v>
      </c>
    </row>
    <row r="981" spans="1:17" hidden="1" x14ac:dyDescent="0.25">
      <c r="A981" t="s">
        <v>7674</v>
      </c>
      <c r="B981" s="18">
        <v>2.1</v>
      </c>
      <c r="C981">
        <v>1</v>
      </c>
      <c r="D981" t="s">
        <v>7303</v>
      </c>
      <c r="F981" t="s">
        <v>2596</v>
      </c>
      <c r="G981" t="s">
        <v>7303</v>
      </c>
      <c r="H981" t="s">
        <v>2597</v>
      </c>
      <c r="J981" t="s">
        <v>7742</v>
      </c>
      <c r="K981" t="s">
        <v>7826</v>
      </c>
      <c r="L981" t="s">
        <v>7826</v>
      </c>
      <c r="N981" t="str" cm="1">
        <f t="array" ref="N981">IFERROR(LOOKUP(2,1/SEARCH($S$2:$S$65,G981),$T$2:$T$65),"Misc")</f>
        <v>OH ASSY</v>
      </c>
      <c r="O981" t="str" cm="1">
        <f t="array" ref="O981">IFERROR(LOOKUP(2,1/SEARCH($V$2:$V$65,G981),$W$2:$W$65),"Misc")</f>
        <v>OH Part</v>
      </c>
      <c r="P981" t="str" cm="1">
        <f t="array" ref="P981">IFERROR(LOOKUP(2,1/SEARCH($Y$2:$Y$65,G981),$Z$2:$Z$65),"Not Defined")</f>
        <v>OH Part</v>
      </c>
      <c r="Q981" t="str" cm="1">
        <f t="array" ref="Q981">IFERROR(LOOKUP(2,1/SEARCH($S$2:$S$65,H981),$T$2:$T$65),"-")</f>
        <v>OH ASSY</v>
      </c>
    </row>
    <row r="982" spans="1:17" hidden="1" x14ac:dyDescent="0.25">
      <c r="A982" t="s">
        <v>7674</v>
      </c>
      <c r="B982" t="s">
        <v>2598</v>
      </c>
      <c r="C982">
        <v>1</v>
      </c>
      <c r="D982" t="s">
        <v>7303</v>
      </c>
      <c r="F982" t="s">
        <v>2599</v>
      </c>
      <c r="G982" t="s">
        <v>2601</v>
      </c>
      <c r="H982" t="s">
        <v>2600</v>
      </c>
      <c r="I982" t="s">
        <v>38</v>
      </c>
      <c r="J982" t="s">
        <v>7682</v>
      </c>
      <c r="K982" t="s">
        <v>7826</v>
      </c>
      <c r="L982" t="s">
        <v>7826</v>
      </c>
      <c r="N982" t="str" cm="1">
        <f t="array" ref="N982">IFERROR(LOOKUP(2,1/SEARCH($S$2:$S$65,G982),$T$2:$T$65),"Misc")</f>
        <v>OH P/N</v>
      </c>
      <c r="O982" t="str" cm="1">
        <f t="array" ref="O982">IFERROR(LOOKUP(2,1/SEARCH($V$2:$V$65,G982),$W$2:$W$65),"Misc")</f>
        <v>OH Part</v>
      </c>
      <c r="P982" t="str" cm="1">
        <f t="array" ref="P982">IFERROR(LOOKUP(2,1/SEARCH($Y$2:$Y$65,G982),$Z$2:$Z$65),"Not Defined")</f>
        <v>OH Part</v>
      </c>
      <c r="Q982" t="str" cm="1">
        <f t="array" ref="Q982">IFERROR(LOOKUP(2,1/SEARCH($S$2:$S$65,H982),$T$2:$T$65),"-")</f>
        <v>-</v>
      </c>
    </row>
    <row r="983" spans="1:17" hidden="1" x14ac:dyDescent="0.25">
      <c r="A983" t="s">
        <v>7674</v>
      </c>
      <c r="B983" t="s">
        <v>2602</v>
      </c>
      <c r="C983">
        <v>1</v>
      </c>
      <c r="D983" t="s">
        <v>7303</v>
      </c>
      <c r="F983" t="s">
        <v>2603</v>
      </c>
      <c r="G983" t="s">
        <v>2605</v>
      </c>
      <c r="H983" t="s">
        <v>2604</v>
      </c>
      <c r="I983" t="s">
        <v>38</v>
      </c>
      <c r="J983" t="s">
        <v>7682</v>
      </c>
      <c r="K983" t="s">
        <v>7826</v>
      </c>
      <c r="L983" t="s">
        <v>7826</v>
      </c>
      <c r="N983" t="str" cm="1">
        <f t="array" ref="N983">IFERROR(LOOKUP(2,1/SEARCH($S$2:$S$65,G983),$T$2:$T$65),"Misc")</f>
        <v>OH P/N</v>
      </c>
      <c r="O983" t="str" cm="1">
        <f t="array" ref="O983">IFERROR(LOOKUP(2,1/SEARCH($V$2:$V$65,G983),$W$2:$W$65),"Misc")</f>
        <v>OH Part</v>
      </c>
      <c r="P983" t="str" cm="1">
        <f t="array" ref="P983">IFERROR(LOOKUP(2,1/SEARCH($Y$2:$Y$65,G983),$Z$2:$Z$65),"Not Defined")</f>
        <v>OH Part</v>
      </c>
      <c r="Q983" t="str" cm="1">
        <f t="array" ref="Q983">IFERROR(LOOKUP(2,1/SEARCH($S$2:$S$65,H983),$T$2:$T$65),"-")</f>
        <v>-</v>
      </c>
    </row>
    <row r="984" spans="1:17" hidden="1" x14ac:dyDescent="0.25">
      <c r="A984" t="s">
        <v>7674</v>
      </c>
      <c r="B984" t="s">
        <v>2606</v>
      </c>
      <c r="C984">
        <v>1</v>
      </c>
      <c r="D984" t="s">
        <v>7303</v>
      </c>
      <c r="F984" t="s">
        <v>2607</v>
      </c>
      <c r="G984" t="s">
        <v>2609</v>
      </c>
      <c r="H984" t="s">
        <v>2608</v>
      </c>
      <c r="I984" t="s">
        <v>38</v>
      </c>
      <c r="J984" t="s">
        <v>7682</v>
      </c>
      <c r="K984" t="s">
        <v>7826</v>
      </c>
      <c r="L984" t="s">
        <v>7826</v>
      </c>
      <c r="N984" t="str" cm="1">
        <f t="array" ref="N984">IFERROR(LOOKUP(2,1/SEARCH($S$2:$S$65,G984),$T$2:$T$65),"Misc")</f>
        <v>OH P/N</v>
      </c>
      <c r="O984" t="str" cm="1">
        <f t="array" ref="O984">IFERROR(LOOKUP(2,1/SEARCH($V$2:$V$65,G984),$W$2:$W$65),"Misc")</f>
        <v>OH Part</v>
      </c>
      <c r="P984" t="str" cm="1">
        <f t="array" ref="P984">IFERROR(LOOKUP(2,1/SEARCH($Y$2:$Y$65,G984),$Z$2:$Z$65),"Not Defined")</f>
        <v>OH Part</v>
      </c>
      <c r="Q984" t="str" cm="1">
        <f t="array" ref="Q984">IFERROR(LOOKUP(2,1/SEARCH($S$2:$S$65,H984),$T$2:$T$65),"-")</f>
        <v>-</v>
      </c>
    </row>
    <row r="985" spans="1:17" hidden="1" x14ac:dyDescent="0.25">
      <c r="A985" t="s">
        <v>7674</v>
      </c>
      <c r="B985" t="s">
        <v>2610</v>
      </c>
      <c r="C985">
        <v>1</v>
      </c>
      <c r="D985" t="s">
        <v>7303</v>
      </c>
      <c r="F985" t="s">
        <v>2611</v>
      </c>
      <c r="G985" t="s">
        <v>2613</v>
      </c>
      <c r="H985" t="s">
        <v>2612</v>
      </c>
      <c r="I985" t="s">
        <v>38</v>
      </c>
      <c r="J985" t="s">
        <v>7682</v>
      </c>
      <c r="K985" t="s">
        <v>7826</v>
      </c>
      <c r="L985" t="s">
        <v>7826</v>
      </c>
      <c r="N985" t="str" cm="1">
        <f t="array" ref="N985">IFERROR(LOOKUP(2,1/SEARCH($S$2:$S$65,G985),$T$2:$T$65),"Misc")</f>
        <v>OH P/N</v>
      </c>
      <c r="O985" t="str" cm="1">
        <f t="array" ref="O985">IFERROR(LOOKUP(2,1/SEARCH($V$2:$V$65,G985),$W$2:$W$65),"Misc")</f>
        <v>OH Part</v>
      </c>
      <c r="P985" t="str" cm="1">
        <f t="array" ref="P985">IFERROR(LOOKUP(2,1/SEARCH($Y$2:$Y$65,G985),$Z$2:$Z$65),"Not Defined")</f>
        <v>OH Part</v>
      </c>
      <c r="Q985" t="str" cm="1">
        <f t="array" ref="Q985">IFERROR(LOOKUP(2,1/SEARCH($S$2:$S$65,H985),$T$2:$T$65),"-")</f>
        <v>-</v>
      </c>
    </row>
    <row r="986" spans="1:17" hidden="1" x14ac:dyDescent="0.25">
      <c r="A986" t="s">
        <v>7674</v>
      </c>
      <c r="B986" t="s">
        <v>2614</v>
      </c>
      <c r="C986">
        <v>1</v>
      </c>
      <c r="D986" t="s">
        <v>7303</v>
      </c>
      <c r="F986" t="s">
        <v>2615</v>
      </c>
      <c r="G986" t="s">
        <v>2617</v>
      </c>
      <c r="H986" t="s">
        <v>2616</v>
      </c>
      <c r="I986" t="s">
        <v>38</v>
      </c>
      <c r="J986" t="s">
        <v>7682</v>
      </c>
      <c r="K986" t="s">
        <v>7826</v>
      </c>
      <c r="L986" t="s">
        <v>7826</v>
      </c>
      <c r="N986" t="str" cm="1">
        <f t="array" ref="N986">IFERROR(LOOKUP(2,1/SEARCH($S$2:$S$65,G986),$T$2:$T$65),"Misc")</f>
        <v>OH P/N</v>
      </c>
      <c r="O986" t="str" cm="1">
        <f t="array" ref="O986">IFERROR(LOOKUP(2,1/SEARCH($V$2:$V$65,G986),$W$2:$W$65),"Misc")</f>
        <v>OH Part</v>
      </c>
      <c r="P986" t="str" cm="1">
        <f t="array" ref="P986">IFERROR(LOOKUP(2,1/SEARCH($Y$2:$Y$65,G986),$Z$2:$Z$65),"Not Defined")</f>
        <v>OH Part</v>
      </c>
      <c r="Q986" t="str" cm="1">
        <f t="array" ref="Q986">IFERROR(LOOKUP(2,1/SEARCH($S$2:$S$65,H986),$T$2:$T$65),"-")</f>
        <v>-</v>
      </c>
    </row>
    <row r="987" spans="1:17" hidden="1" x14ac:dyDescent="0.25">
      <c r="A987" t="s">
        <v>7674</v>
      </c>
      <c r="B987" t="s">
        <v>2618</v>
      </c>
      <c r="C987">
        <v>2</v>
      </c>
      <c r="D987" t="s">
        <v>7303</v>
      </c>
      <c r="F987" t="s">
        <v>2619</v>
      </c>
      <c r="G987" t="s">
        <v>2621</v>
      </c>
      <c r="H987" t="s">
        <v>2620</v>
      </c>
      <c r="I987" t="s">
        <v>38</v>
      </c>
      <c r="J987" t="s">
        <v>7682</v>
      </c>
      <c r="K987" t="s">
        <v>7826</v>
      </c>
      <c r="L987" t="s">
        <v>7826</v>
      </c>
      <c r="N987" t="str" cm="1">
        <f t="array" ref="N987">IFERROR(LOOKUP(2,1/SEARCH($S$2:$S$65,G987),$T$2:$T$65),"Misc")</f>
        <v>OH P/N</v>
      </c>
      <c r="O987" t="str" cm="1">
        <f t="array" ref="O987">IFERROR(LOOKUP(2,1/SEARCH($V$2:$V$65,G987),$W$2:$W$65),"Misc")</f>
        <v>OH Part</v>
      </c>
      <c r="P987" t="str" cm="1">
        <f t="array" ref="P987">IFERROR(LOOKUP(2,1/SEARCH($Y$2:$Y$65,G987),$Z$2:$Z$65),"Not Defined")</f>
        <v>OH Part</v>
      </c>
      <c r="Q987" t="str" cm="1">
        <f t="array" ref="Q987">IFERROR(LOOKUP(2,1/SEARCH($S$2:$S$65,H987),$T$2:$T$65),"-")</f>
        <v>-</v>
      </c>
    </row>
    <row r="988" spans="1:17" hidden="1" x14ac:dyDescent="0.25">
      <c r="A988" t="s">
        <v>7674</v>
      </c>
      <c r="B988" t="s">
        <v>2622</v>
      </c>
      <c r="C988">
        <v>3</v>
      </c>
      <c r="D988" t="s">
        <v>7303</v>
      </c>
      <c r="F988" t="s">
        <v>2623</v>
      </c>
      <c r="G988" t="s">
        <v>2625</v>
      </c>
      <c r="H988" t="s">
        <v>2624</v>
      </c>
      <c r="I988" t="s">
        <v>38</v>
      </c>
      <c r="J988" t="s">
        <v>7682</v>
      </c>
      <c r="K988" t="s">
        <v>7826</v>
      </c>
      <c r="L988" t="s">
        <v>7826</v>
      </c>
      <c r="N988" t="str" cm="1">
        <f t="array" ref="N988">IFERROR(LOOKUP(2,1/SEARCH($S$2:$S$65,G988),$T$2:$T$65),"Misc")</f>
        <v>OH P/N</v>
      </c>
      <c r="O988" t="str" cm="1">
        <f t="array" ref="O988">IFERROR(LOOKUP(2,1/SEARCH($V$2:$V$65,G988),$W$2:$W$65),"Misc")</f>
        <v>OH Part</v>
      </c>
      <c r="P988" t="str" cm="1">
        <f t="array" ref="P988">IFERROR(LOOKUP(2,1/SEARCH($Y$2:$Y$65,G988),$Z$2:$Z$65),"Not Defined")</f>
        <v>OH Part</v>
      </c>
      <c r="Q988" t="str" cm="1">
        <f t="array" ref="Q988">IFERROR(LOOKUP(2,1/SEARCH($S$2:$S$65,H988),$T$2:$T$65),"-")</f>
        <v>-</v>
      </c>
    </row>
    <row r="989" spans="1:17" hidden="1" x14ac:dyDescent="0.25">
      <c r="A989" t="s">
        <v>7674</v>
      </c>
      <c r="B989" t="s">
        <v>2626</v>
      </c>
      <c r="C989">
        <v>1</v>
      </c>
      <c r="D989" t="s">
        <v>7303</v>
      </c>
      <c r="F989" t="s">
        <v>2627</v>
      </c>
      <c r="G989" t="s">
        <v>2629</v>
      </c>
      <c r="H989" t="s">
        <v>2628</v>
      </c>
      <c r="I989" t="s">
        <v>38</v>
      </c>
      <c r="J989" t="s">
        <v>7682</v>
      </c>
      <c r="K989" t="s">
        <v>7826</v>
      </c>
      <c r="L989" t="s">
        <v>7826</v>
      </c>
      <c r="N989" t="str" cm="1">
        <f t="array" ref="N989">IFERROR(LOOKUP(2,1/SEARCH($S$2:$S$65,G989),$T$2:$T$65),"Misc")</f>
        <v>OH P/N</v>
      </c>
      <c r="O989" t="str" cm="1">
        <f t="array" ref="O989">IFERROR(LOOKUP(2,1/SEARCH($V$2:$V$65,G989),$W$2:$W$65),"Misc")</f>
        <v>OH Part</v>
      </c>
      <c r="P989" t="str" cm="1">
        <f t="array" ref="P989">IFERROR(LOOKUP(2,1/SEARCH($Y$2:$Y$65,G989),$Z$2:$Z$65),"Not Defined")</f>
        <v>OH Part</v>
      </c>
      <c r="Q989" t="str" cm="1">
        <f t="array" ref="Q989">IFERROR(LOOKUP(2,1/SEARCH($S$2:$S$65,H989),$T$2:$T$65),"-")</f>
        <v>-</v>
      </c>
    </row>
    <row r="990" spans="1:17" hidden="1" x14ac:dyDescent="0.25">
      <c r="A990" t="s">
        <v>7674</v>
      </c>
      <c r="B990" t="s">
        <v>2630</v>
      </c>
      <c r="C990">
        <v>2</v>
      </c>
      <c r="D990" t="s">
        <v>7303</v>
      </c>
      <c r="F990" t="s">
        <v>2631</v>
      </c>
      <c r="G990" t="s">
        <v>2633</v>
      </c>
      <c r="H990" t="s">
        <v>2632</v>
      </c>
      <c r="I990" t="s">
        <v>299</v>
      </c>
      <c r="J990" t="s">
        <v>7682</v>
      </c>
      <c r="K990" t="s">
        <v>7826</v>
      </c>
      <c r="L990" t="s">
        <v>7826</v>
      </c>
      <c r="N990" t="str" cm="1">
        <f t="array" ref="N990">IFERROR(LOOKUP(2,1/SEARCH($S$2:$S$65,G990),$T$2:$T$65),"Misc")</f>
        <v>OH P/N</v>
      </c>
      <c r="O990" t="str" cm="1">
        <f t="array" ref="O990">IFERROR(LOOKUP(2,1/SEARCH($V$2:$V$65,G990),$W$2:$W$65),"Misc")</f>
        <v>OH Part</v>
      </c>
      <c r="P990" t="str" cm="1">
        <f t="array" ref="P990">IFERROR(LOOKUP(2,1/SEARCH($Y$2:$Y$65,G990),$Z$2:$Z$65),"Not Defined")</f>
        <v>OH Part</v>
      </c>
      <c r="Q990" t="str" cm="1">
        <f t="array" ref="Q990">IFERROR(LOOKUP(2,1/SEARCH($S$2:$S$65,H990),$T$2:$T$65),"-")</f>
        <v>-</v>
      </c>
    </row>
    <row r="991" spans="1:17" hidden="1" x14ac:dyDescent="0.25">
      <c r="A991" t="s">
        <v>7674</v>
      </c>
      <c r="B991" t="s">
        <v>2634</v>
      </c>
      <c r="C991">
        <v>2</v>
      </c>
      <c r="D991" t="s">
        <v>7303</v>
      </c>
      <c r="F991" t="s">
        <v>2635</v>
      </c>
      <c r="G991" t="s">
        <v>2637</v>
      </c>
      <c r="H991" t="s">
        <v>2636</v>
      </c>
      <c r="I991" t="s">
        <v>1265</v>
      </c>
      <c r="J991" t="s">
        <v>7703</v>
      </c>
      <c r="K991" t="s">
        <v>7826</v>
      </c>
      <c r="L991" t="s">
        <v>7726</v>
      </c>
      <c r="N991" t="str" cm="1">
        <f t="array" ref="N991">IFERROR(LOOKUP(2,1/SEARCH($S$2:$S$65,G991),$T$2:$T$65),"Misc")</f>
        <v>OH P/N</v>
      </c>
      <c r="O991" t="str" cm="1">
        <f t="array" ref="O991">IFERROR(LOOKUP(2,1/SEARCH($V$2:$V$65,G991),$W$2:$W$65),"Misc")</f>
        <v>OH Part</v>
      </c>
      <c r="P991" t="str" cm="1">
        <f t="array" ref="P991">IFERROR(LOOKUP(2,1/SEARCH($Y$2:$Y$65,G991),$Z$2:$Z$65),"Not Defined")</f>
        <v>RUBBER</v>
      </c>
      <c r="Q991" t="str" cm="1">
        <f t="array" ref="Q991">IFERROR(LOOKUP(2,1/SEARCH($S$2:$S$65,H991),$T$2:$T$65),"-")</f>
        <v>COTS</v>
      </c>
    </row>
    <row r="992" spans="1:17" hidden="1" x14ac:dyDescent="0.25">
      <c r="A992" t="s">
        <v>7674</v>
      </c>
      <c r="B992" t="s">
        <v>2638</v>
      </c>
      <c r="C992">
        <v>2</v>
      </c>
      <c r="D992" t="s">
        <v>7303</v>
      </c>
      <c r="F992" t="s">
        <v>2639</v>
      </c>
      <c r="G992" t="s">
        <v>2641</v>
      </c>
      <c r="H992" t="s">
        <v>2640</v>
      </c>
      <c r="I992" t="s">
        <v>299</v>
      </c>
      <c r="J992" t="s">
        <v>7682</v>
      </c>
      <c r="K992" t="s">
        <v>7826</v>
      </c>
      <c r="L992" t="s">
        <v>7826</v>
      </c>
      <c r="N992" t="str" cm="1">
        <f t="array" ref="N992">IFERROR(LOOKUP(2,1/SEARCH($S$2:$S$65,G992),$T$2:$T$65),"Misc")</f>
        <v>OH P/N</v>
      </c>
      <c r="O992" t="str" cm="1">
        <f t="array" ref="O992">IFERROR(LOOKUP(2,1/SEARCH($V$2:$V$65,G992),$W$2:$W$65),"Misc")</f>
        <v>OH Part</v>
      </c>
      <c r="P992" t="str" cm="1">
        <f t="array" ref="P992">IFERROR(LOOKUP(2,1/SEARCH($Y$2:$Y$65,G992),$Z$2:$Z$65),"Not Defined")</f>
        <v>OH Part</v>
      </c>
      <c r="Q992" t="str" cm="1">
        <f t="array" ref="Q992">IFERROR(LOOKUP(2,1/SEARCH($S$2:$S$65,H992),$T$2:$T$65),"-")</f>
        <v>-</v>
      </c>
    </row>
    <row r="993" spans="1:17" hidden="1" x14ac:dyDescent="0.25">
      <c r="A993" t="s">
        <v>7674</v>
      </c>
      <c r="B993" t="s">
        <v>2642</v>
      </c>
      <c r="C993">
        <v>2</v>
      </c>
      <c r="D993" t="s">
        <v>7303</v>
      </c>
      <c r="F993" t="s">
        <v>2643</v>
      </c>
      <c r="G993" t="s">
        <v>2645</v>
      </c>
      <c r="H993" t="s">
        <v>2644</v>
      </c>
      <c r="I993" t="s">
        <v>1265</v>
      </c>
      <c r="J993" t="s">
        <v>7703</v>
      </c>
      <c r="K993" t="s">
        <v>7826</v>
      </c>
      <c r="L993" t="s">
        <v>7726</v>
      </c>
      <c r="N993" t="str" cm="1">
        <f t="array" ref="N993">IFERROR(LOOKUP(2,1/SEARCH($S$2:$S$65,G993),$T$2:$T$65),"Misc")</f>
        <v>OH P/N</v>
      </c>
      <c r="O993" t="str" cm="1">
        <f t="array" ref="O993">IFERROR(LOOKUP(2,1/SEARCH($V$2:$V$65,G993),$W$2:$W$65),"Misc")</f>
        <v>OH Part</v>
      </c>
      <c r="P993" t="str" cm="1">
        <f t="array" ref="P993">IFERROR(LOOKUP(2,1/SEARCH($Y$2:$Y$65,G993),$Z$2:$Z$65),"Not Defined")</f>
        <v>RUBBER</v>
      </c>
      <c r="Q993" t="str" cm="1">
        <f t="array" ref="Q993">IFERROR(LOOKUP(2,1/SEARCH($S$2:$S$65,H993),$T$2:$T$65),"-")</f>
        <v>COTS</v>
      </c>
    </row>
    <row r="994" spans="1:17" hidden="1" x14ac:dyDescent="0.25">
      <c r="A994" t="s">
        <v>7674</v>
      </c>
      <c r="B994" t="s">
        <v>2646</v>
      </c>
      <c r="C994">
        <v>13</v>
      </c>
      <c r="D994" t="s">
        <v>7303</v>
      </c>
      <c r="F994" t="s">
        <v>2647</v>
      </c>
      <c r="G994" t="s">
        <v>7304</v>
      </c>
      <c r="H994" t="s">
        <v>2648</v>
      </c>
      <c r="I994" t="s">
        <v>214</v>
      </c>
      <c r="J994" t="s">
        <v>7703</v>
      </c>
      <c r="K994" t="s">
        <v>7684</v>
      </c>
      <c r="L994" t="s">
        <v>7707</v>
      </c>
      <c r="N994" t="str" cm="1">
        <f t="array" ref="N994">IFERROR(LOOKUP(2,1/SEARCH($S$2:$S$65,G994),$T$2:$T$65),"Misc")</f>
        <v>COTS</v>
      </c>
      <c r="O994" t="str" cm="1">
        <f t="array" ref="O994">IFERROR(LOOKUP(2,1/SEARCH($V$2:$V$65,G994),$W$2:$W$65),"Misc")</f>
        <v>Fasteners</v>
      </c>
      <c r="P994" t="str" cm="1">
        <f t="array" ref="P994">IFERROR(LOOKUP(2,1/SEARCH($Y$2:$Y$65,G994),$Z$2:$Z$65),"Not Defined")</f>
        <v>PIN</v>
      </c>
      <c r="Q994" t="str" cm="1">
        <f t="array" ref="Q994">IFERROR(LOOKUP(2,1/SEARCH($S$2:$S$65,H994),$T$2:$T$65),"-")</f>
        <v>COTS</v>
      </c>
    </row>
    <row r="995" spans="1:17" hidden="1" x14ac:dyDescent="0.25">
      <c r="A995" t="s">
        <v>7674</v>
      </c>
      <c r="B995" t="s">
        <v>2649</v>
      </c>
      <c r="C995">
        <v>28</v>
      </c>
      <c r="D995" t="s">
        <v>7303</v>
      </c>
      <c r="F995" t="s">
        <v>212</v>
      </c>
      <c r="G995" t="s">
        <v>7050</v>
      </c>
      <c r="H995" t="s">
        <v>213</v>
      </c>
      <c r="I995" t="s">
        <v>214</v>
      </c>
      <c r="J995" t="s">
        <v>7703</v>
      </c>
      <c r="K995" t="s">
        <v>7684</v>
      </c>
      <c r="L995" t="s">
        <v>7707</v>
      </c>
      <c r="N995" t="str" cm="1">
        <f t="array" ref="N995">IFERROR(LOOKUP(2,1/SEARCH($S$2:$S$65,G995),$T$2:$T$65),"Misc")</f>
        <v>COTS</v>
      </c>
      <c r="O995" t="str" cm="1">
        <f t="array" ref="O995">IFERROR(LOOKUP(2,1/SEARCH($V$2:$V$65,G995),$W$2:$W$65),"Misc")</f>
        <v>Fasteners</v>
      </c>
      <c r="P995" t="str" cm="1">
        <f t="array" ref="P995">IFERROR(LOOKUP(2,1/SEARCH($Y$2:$Y$65,G995),$Z$2:$Z$65),"Not Defined")</f>
        <v>PIN</v>
      </c>
      <c r="Q995" t="str" cm="1">
        <f t="array" ref="Q995">IFERROR(LOOKUP(2,1/SEARCH($S$2:$S$65,H995),$T$2:$T$65),"-")</f>
        <v>COTS</v>
      </c>
    </row>
    <row r="996" spans="1:17" hidden="1" x14ac:dyDescent="0.25">
      <c r="A996" t="s">
        <v>7674</v>
      </c>
      <c r="B996" t="s">
        <v>2650</v>
      </c>
      <c r="C996">
        <v>2</v>
      </c>
      <c r="D996" t="s">
        <v>7303</v>
      </c>
      <c r="F996" t="s">
        <v>2651</v>
      </c>
      <c r="G996" t="s">
        <v>7305</v>
      </c>
      <c r="H996" t="s">
        <v>2652</v>
      </c>
      <c r="J996" t="s">
        <v>7703</v>
      </c>
      <c r="K996" t="s">
        <v>7698</v>
      </c>
      <c r="L996" t="s">
        <v>7707</v>
      </c>
      <c r="N996" t="str" cm="1">
        <f t="array" ref="N996">IFERROR(LOOKUP(2,1/SEARCH($S$2:$S$65,G996),$T$2:$T$65),"Misc")</f>
        <v>COTS</v>
      </c>
      <c r="O996" t="str" cm="1">
        <f t="array" ref="O996">IFERROR(LOOKUP(2,1/SEARCH($V$2:$V$65,G996),$W$2:$W$65),"Misc")</f>
        <v>Pins</v>
      </c>
      <c r="P996" t="str" cm="1">
        <f t="array" ref="P996">IFERROR(LOOKUP(2,1/SEARCH($Y$2:$Y$65,G996),$Z$2:$Z$65),"Not Defined")</f>
        <v>PIN</v>
      </c>
      <c r="Q996" t="str" cm="1">
        <f t="array" ref="Q996">IFERROR(LOOKUP(2,1/SEARCH($S$2:$S$65,H996),$T$2:$T$65),"-")</f>
        <v>COTS</v>
      </c>
    </row>
    <row r="997" spans="1:17" hidden="1" x14ac:dyDescent="0.25">
      <c r="A997" t="s">
        <v>7674</v>
      </c>
      <c r="B997" t="s">
        <v>2653</v>
      </c>
      <c r="C997">
        <v>26</v>
      </c>
      <c r="D997" t="s">
        <v>7303</v>
      </c>
      <c r="F997" t="s">
        <v>208</v>
      </c>
      <c r="G997" t="s">
        <v>7049</v>
      </c>
      <c r="H997" t="s">
        <v>209</v>
      </c>
      <c r="I997" t="s">
        <v>210</v>
      </c>
      <c r="J997" t="s">
        <v>7703</v>
      </c>
      <c r="K997" t="s">
        <v>7684</v>
      </c>
      <c r="L997" t="s">
        <v>7738</v>
      </c>
      <c r="N997" t="str" cm="1">
        <f t="array" ref="N997">IFERROR(LOOKUP(2,1/SEARCH($S$2:$S$65,G997),$T$2:$T$65),"Misc")</f>
        <v>COTS</v>
      </c>
      <c r="O997" t="str" cm="1">
        <f t="array" ref="O997">IFERROR(LOOKUP(2,1/SEARCH($V$2:$V$65,G997),$W$2:$W$65),"Misc")</f>
        <v>Fasteners</v>
      </c>
      <c r="P997" t="str" cm="1">
        <f t="array" ref="P997">IFERROR(LOOKUP(2,1/SEARCH($Y$2:$Y$65,G997),$Z$2:$Z$65),"Not Defined")</f>
        <v>FHWS</v>
      </c>
      <c r="Q997" t="str" cm="1">
        <f t="array" ref="Q997">IFERROR(LOOKUP(2,1/SEARCH($S$2:$S$65,H997),$T$2:$T$65),"-")</f>
        <v>COTS</v>
      </c>
    </row>
    <row r="998" spans="1:17" hidden="1" x14ac:dyDescent="0.25">
      <c r="A998" t="s">
        <v>7674</v>
      </c>
      <c r="B998" t="s">
        <v>2654</v>
      </c>
      <c r="C998">
        <v>2</v>
      </c>
      <c r="D998" t="s">
        <v>7303</v>
      </c>
      <c r="F998" t="s">
        <v>915</v>
      </c>
      <c r="G998" t="s">
        <v>7129</v>
      </c>
      <c r="H998" t="s">
        <v>916</v>
      </c>
      <c r="I998" t="s">
        <v>228</v>
      </c>
      <c r="J998" t="s">
        <v>7703</v>
      </c>
      <c r="K998" t="s">
        <v>7684</v>
      </c>
      <c r="L998" t="s">
        <v>7693</v>
      </c>
      <c r="N998" t="str" cm="1">
        <f t="array" ref="N998">IFERROR(LOOKUP(2,1/SEARCH($S$2:$S$65,G998),$T$2:$T$65),"Misc")</f>
        <v>COTS</v>
      </c>
      <c r="O998" t="str" cm="1">
        <f t="array" ref="O998">IFERROR(LOOKUP(2,1/SEARCH($V$2:$V$65,G998),$W$2:$W$65),"Misc")</f>
        <v>Fasteners</v>
      </c>
      <c r="P998" t="str" cm="1">
        <f t="array" ref="P998">IFERROR(LOOKUP(2,1/SEARCH($Y$2:$Y$65,G998),$Z$2:$Z$65),"Not Defined")</f>
        <v>PHS</v>
      </c>
      <c r="Q998" t="str" cm="1">
        <f t="array" ref="Q998">IFERROR(LOOKUP(2,1/SEARCH($S$2:$S$65,H998),$T$2:$T$65),"-")</f>
        <v>COTS</v>
      </c>
    </row>
    <row r="999" spans="1:17" hidden="1" x14ac:dyDescent="0.25">
      <c r="A999" t="s">
        <v>7674</v>
      </c>
      <c r="B999" t="s">
        <v>2655</v>
      </c>
      <c r="C999">
        <v>2</v>
      </c>
      <c r="D999" t="s">
        <v>7303</v>
      </c>
      <c r="F999" t="s">
        <v>230</v>
      </c>
      <c r="G999" t="s">
        <v>7055</v>
      </c>
      <c r="H999" t="s">
        <v>231</v>
      </c>
      <c r="I999" t="s">
        <v>210</v>
      </c>
      <c r="J999" t="s">
        <v>7703</v>
      </c>
      <c r="K999" t="s">
        <v>7684</v>
      </c>
      <c r="L999" t="s">
        <v>7692</v>
      </c>
      <c r="N999" t="str" cm="1">
        <f t="array" ref="N999">IFERROR(LOOKUP(2,1/SEARCH($S$2:$S$65,G999),$T$2:$T$65),"Misc")</f>
        <v>COTS</v>
      </c>
      <c r="O999" t="str" cm="1">
        <f t="array" ref="O999">IFERROR(LOOKUP(2,1/SEARCH($V$2:$V$65,G999),$W$2:$W$65),"Misc")</f>
        <v>Fasteners</v>
      </c>
      <c r="P999" t="str" cm="1">
        <f t="array" ref="P999">IFERROR(LOOKUP(2,1/SEARCH($Y$2:$Y$65,G999),$Z$2:$Z$65),"Not Defined")</f>
        <v>WASHER</v>
      </c>
      <c r="Q999" t="str" cm="1">
        <f t="array" ref="Q999">IFERROR(LOOKUP(2,1/SEARCH($S$2:$S$65,H999),$T$2:$T$65),"-")</f>
        <v>COTS</v>
      </c>
    </row>
    <row r="1000" spans="1:17" hidden="1" x14ac:dyDescent="0.25">
      <c r="A1000" t="s">
        <v>7674</v>
      </c>
      <c r="B1000" t="s">
        <v>2656</v>
      </c>
      <c r="C1000">
        <v>16</v>
      </c>
      <c r="D1000" t="s">
        <v>7303</v>
      </c>
      <c r="F1000" t="s">
        <v>219</v>
      </c>
      <c r="G1000" t="s">
        <v>7052</v>
      </c>
      <c r="H1000" t="s">
        <v>220</v>
      </c>
      <c r="I1000" t="s">
        <v>210</v>
      </c>
      <c r="J1000" t="s">
        <v>7703</v>
      </c>
      <c r="K1000" t="s">
        <v>7684</v>
      </c>
      <c r="L1000" t="s">
        <v>7691</v>
      </c>
      <c r="N1000" t="str" cm="1">
        <f t="array" ref="N1000">IFERROR(LOOKUP(2,1/SEARCH($S$2:$S$65,G1000),$T$2:$T$65),"Misc")</f>
        <v>COTS</v>
      </c>
      <c r="O1000" t="str" cm="1">
        <f t="array" ref="O1000">IFERROR(LOOKUP(2,1/SEARCH($V$2:$V$65,G1000),$W$2:$W$65),"Misc")</f>
        <v>Fasteners</v>
      </c>
      <c r="P1000" t="str" cm="1">
        <f t="array" ref="P1000">IFERROR(LOOKUP(2,1/SEARCH($Y$2:$Y$65,G1000),$Z$2:$Z$65),"Not Defined")</f>
        <v>FHS</v>
      </c>
      <c r="Q1000" t="str" cm="1">
        <f t="array" ref="Q1000">IFERROR(LOOKUP(2,1/SEARCH($S$2:$S$65,H1000),$T$2:$T$65),"-")</f>
        <v>COTS</v>
      </c>
    </row>
    <row r="1001" spans="1:17" hidden="1" x14ac:dyDescent="0.25">
      <c r="A1001" t="s">
        <v>7674</v>
      </c>
      <c r="B1001" t="s">
        <v>2657</v>
      </c>
      <c r="C1001">
        <v>8</v>
      </c>
      <c r="D1001" t="s">
        <v>7303</v>
      </c>
      <c r="F1001" t="s">
        <v>216</v>
      </c>
      <c r="G1001" t="s">
        <v>7051</v>
      </c>
      <c r="H1001" t="s">
        <v>217</v>
      </c>
      <c r="I1001" t="s">
        <v>210</v>
      </c>
      <c r="J1001" t="s">
        <v>7703</v>
      </c>
      <c r="K1001" t="s">
        <v>7684</v>
      </c>
      <c r="L1001" t="s">
        <v>7691</v>
      </c>
      <c r="N1001" t="str" cm="1">
        <f t="array" ref="N1001">IFERROR(LOOKUP(2,1/SEARCH($S$2:$S$65,G1001),$T$2:$T$65),"Misc")</f>
        <v>COTS</v>
      </c>
      <c r="O1001" t="str" cm="1">
        <f t="array" ref="O1001">IFERROR(LOOKUP(2,1/SEARCH($V$2:$V$65,G1001),$W$2:$W$65),"Misc")</f>
        <v>Fasteners</v>
      </c>
      <c r="P1001" t="str" cm="1">
        <f t="array" ref="P1001">IFERROR(LOOKUP(2,1/SEARCH($Y$2:$Y$65,G1001),$Z$2:$Z$65),"Not Defined")</f>
        <v>FHS</v>
      </c>
      <c r="Q1001" t="str" cm="1">
        <f t="array" ref="Q1001">IFERROR(LOOKUP(2,1/SEARCH($S$2:$S$65,H1001),$T$2:$T$65),"-")</f>
        <v>COTS</v>
      </c>
    </row>
    <row r="1002" spans="1:17" hidden="1" x14ac:dyDescent="0.25">
      <c r="A1002" t="s">
        <v>7674</v>
      </c>
      <c r="B1002" t="s">
        <v>2658</v>
      </c>
      <c r="C1002">
        <v>26</v>
      </c>
      <c r="D1002" t="s">
        <v>7303</v>
      </c>
      <c r="F1002" t="s">
        <v>2659</v>
      </c>
      <c r="G1002" t="s">
        <v>7306</v>
      </c>
      <c r="H1002" t="s">
        <v>2660</v>
      </c>
      <c r="I1002" t="s">
        <v>210</v>
      </c>
      <c r="J1002" t="s">
        <v>7703</v>
      </c>
      <c r="K1002" t="s">
        <v>7684</v>
      </c>
      <c r="L1002" t="s">
        <v>7738</v>
      </c>
      <c r="N1002" t="str" cm="1">
        <f t="array" ref="N1002">IFERROR(LOOKUP(2,1/SEARCH($S$2:$S$65,G1002),$T$2:$T$65),"Misc")</f>
        <v>COTS</v>
      </c>
      <c r="O1002" t="str" cm="1">
        <f t="array" ref="O1002">IFERROR(LOOKUP(2,1/SEARCH($V$2:$V$65,G1002),$W$2:$W$65),"Misc")</f>
        <v>Fasteners</v>
      </c>
      <c r="P1002" t="str" cm="1">
        <f t="array" ref="P1002">IFERROR(LOOKUP(2,1/SEARCH($Y$2:$Y$65,G1002),$Z$2:$Z$65),"Not Defined")</f>
        <v>FHWS</v>
      </c>
      <c r="Q1002" t="str" cm="1">
        <f t="array" ref="Q1002">IFERROR(LOOKUP(2,1/SEARCH($S$2:$S$65,H1002),$T$2:$T$65),"-")</f>
        <v>COTS</v>
      </c>
    </row>
    <row r="1003" spans="1:17" hidden="1" x14ac:dyDescent="0.25">
      <c r="A1003" t="s">
        <v>7674</v>
      </c>
      <c r="B1003" t="s">
        <v>2661</v>
      </c>
      <c r="C1003">
        <v>1</v>
      </c>
      <c r="D1003" t="s">
        <v>7303</v>
      </c>
      <c r="F1003" t="s">
        <v>2662</v>
      </c>
      <c r="G1003" t="s">
        <v>7307</v>
      </c>
      <c r="H1003" t="s">
        <v>2663</v>
      </c>
      <c r="I1003" t="s">
        <v>26</v>
      </c>
      <c r="J1003" t="s">
        <v>7703</v>
      </c>
      <c r="K1003" t="s">
        <v>7814</v>
      </c>
      <c r="L1003" t="s">
        <v>7834</v>
      </c>
      <c r="N1003" t="str" cm="1">
        <f t="array" ref="N1003">IFERROR(LOOKUP(2,1/SEARCH($S$2:$S$65,G1003),$T$2:$T$65),"Misc")</f>
        <v>Misc</v>
      </c>
      <c r="O1003" t="str" cm="1">
        <f t="array" ref="O1003">IFERROR(LOOKUP(2,1/SEARCH($V$2:$V$65,G1003),$W$2:$W$65),"Misc")</f>
        <v>Misc</v>
      </c>
      <c r="P1003" t="str" cm="1">
        <f t="array" ref="P1003">IFERROR(LOOKUP(2,1/SEARCH($Y$2:$Y$65,G1003),$Z$2:$Z$65),"Not Defined")</f>
        <v>Not Defined</v>
      </c>
      <c r="Q1003" t="str" cm="1">
        <f t="array" ref="Q1003">IFERROR(LOOKUP(2,1/SEARCH($S$2:$S$65,H1003),$T$2:$T$65),"-")</f>
        <v>-</v>
      </c>
    </row>
    <row r="1004" spans="1:17" hidden="1" x14ac:dyDescent="0.25">
      <c r="A1004" t="s">
        <v>7674</v>
      </c>
      <c r="B1004">
        <v>2.2000000000000002</v>
      </c>
      <c r="C1004">
        <v>1</v>
      </c>
      <c r="D1004" t="s">
        <v>7308</v>
      </c>
      <c r="F1004" t="s">
        <v>2664</v>
      </c>
      <c r="G1004" t="s">
        <v>7308</v>
      </c>
      <c r="H1004" t="s">
        <v>2665</v>
      </c>
      <c r="J1004" t="s">
        <v>7742</v>
      </c>
      <c r="K1004" t="s">
        <v>7826</v>
      </c>
      <c r="L1004" t="s">
        <v>7826</v>
      </c>
      <c r="N1004" t="str" cm="1">
        <f t="array" ref="N1004">IFERROR(LOOKUP(2,1/SEARCH($S$2:$S$65,G1004),$T$2:$T$65),"Misc")</f>
        <v>OH ASSY</v>
      </c>
      <c r="O1004" t="str" cm="1">
        <f t="array" ref="O1004">IFERROR(LOOKUP(2,1/SEARCH($V$2:$V$65,G1004),$W$2:$W$65),"Misc")</f>
        <v>OH Part</v>
      </c>
      <c r="P1004" t="str" cm="1">
        <f t="array" ref="P1004">IFERROR(LOOKUP(2,1/SEARCH($Y$2:$Y$65,G1004),$Z$2:$Z$65),"Not Defined")</f>
        <v>OH Part</v>
      </c>
      <c r="Q1004" t="str" cm="1">
        <f t="array" ref="Q1004">IFERROR(LOOKUP(2,1/SEARCH($S$2:$S$65,H1004),$T$2:$T$65),"-")</f>
        <v>OH ASSY</v>
      </c>
    </row>
    <row r="1005" spans="1:17" hidden="1" x14ac:dyDescent="0.25">
      <c r="A1005" t="s">
        <v>7674</v>
      </c>
      <c r="B1005" t="s">
        <v>2666</v>
      </c>
      <c r="C1005">
        <v>1</v>
      </c>
      <c r="D1005" t="s">
        <v>7308</v>
      </c>
      <c r="E1005" t="s">
        <v>2668</v>
      </c>
      <c r="F1005" t="s">
        <v>2667</v>
      </c>
      <c r="G1005" t="s">
        <v>2669</v>
      </c>
      <c r="H1005" t="s">
        <v>2668</v>
      </c>
      <c r="J1005" t="s">
        <v>7682</v>
      </c>
      <c r="K1005" t="s">
        <v>7826</v>
      </c>
      <c r="L1005" t="s">
        <v>7826</v>
      </c>
      <c r="N1005" t="str" cm="1">
        <f t="array" ref="N1005">IFERROR(LOOKUP(2,1/SEARCH($S$2:$S$65,G1005),$T$2:$T$65),"Misc")</f>
        <v>OH P/N</v>
      </c>
      <c r="O1005" t="str" cm="1">
        <f t="array" ref="O1005">IFERROR(LOOKUP(2,1/SEARCH($V$2:$V$65,G1005),$W$2:$W$65),"Misc")</f>
        <v>OH Part</v>
      </c>
      <c r="P1005" t="str" cm="1">
        <f t="array" ref="P1005">IFERROR(LOOKUP(2,1/SEARCH($Y$2:$Y$65,G1005),$Z$2:$Z$65),"Not Defined")</f>
        <v>OH Part</v>
      </c>
      <c r="Q1005" t="str" cm="1">
        <f t="array" ref="Q1005">IFERROR(LOOKUP(2,1/SEARCH($S$2:$S$65,H1005),$T$2:$T$65),"-")</f>
        <v>-</v>
      </c>
    </row>
    <row r="1006" spans="1:17" hidden="1" x14ac:dyDescent="0.25">
      <c r="A1006" t="s">
        <v>7674</v>
      </c>
      <c r="B1006" t="s">
        <v>2670</v>
      </c>
      <c r="C1006">
        <v>1</v>
      </c>
      <c r="D1006" t="s">
        <v>7308</v>
      </c>
      <c r="E1006" t="s">
        <v>2668</v>
      </c>
      <c r="F1006" t="s">
        <v>2671</v>
      </c>
      <c r="G1006" t="s">
        <v>2673</v>
      </c>
      <c r="H1006" t="s">
        <v>2672</v>
      </c>
      <c r="I1006" t="s">
        <v>13</v>
      </c>
      <c r="J1006" t="s">
        <v>7682</v>
      </c>
      <c r="K1006" t="s">
        <v>7826</v>
      </c>
      <c r="L1006" t="s">
        <v>7826</v>
      </c>
      <c r="N1006" t="str" cm="1">
        <f t="array" ref="N1006">IFERROR(LOOKUP(2,1/SEARCH($S$2:$S$65,G1006),$T$2:$T$65),"Misc")</f>
        <v>OH P/N</v>
      </c>
      <c r="O1006" t="str" cm="1">
        <f t="array" ref="O1006">IFERROR(LOOKUP(2,1/SEARCH($V$2:$V$65,G1006),$W$2:$W$65),"Misc")</f>
        <v>OH Part</v>
      </c>
      <c r="P1006" t="str" cm="1">
        <f t="array" ref="P1006">IFERROR(LOOKUP(2,1/SEARCH($Y$2:$Y$65,G1006),$Z$2:$Z$65),"Not Defined")</f>
        <v>OH Part</v>
      </c>
      <c r="Q1006" t="str" cm="1">
        <f t="array" ref="Q1006">IFERROR(LOOKUP(2,1/SEARCH($S$2:$S$65,H1006),$T$2:$T$65),"-")</f>
        <v>-</v>
      </c>
    </row>
    <row r="1007" spans="1:17" hidden="1" x14ac:dyDescent="0.25">
      <c r="A1007" t="s">
        <v>7674</v>
      </c>
      <c r="B1007" t="s">
        <v>2674</v>
      </c>
      <c r="C1007">
        <v>1</v>
      </c>
      <c r="D1007" t="s">
        <v>7308</v>
      </c>
      <c r="E1007" t="s">
        <v>2668</v>
      </c>
      <c r="F1007" t="s">
        <v>2675</v>
      </c>
      <c r="G1007" t="s">
        <v>2677</v>
      </c>
      <c r="H1007" t="s">
        <v>2676</v>
      </c>
      <c r="I1007" t="s">
        <v>13</v>
      </c>
      <c r="J1007" t="s">
        <v>7682</v>
      </c>
      <c r="K1007" t="s">
        <v>7826</v>
      </c>
      <c r="L1007" t="s">
        <v>7826</v>
      </c>
      <c r="N1007" t="str" cm="1">
        <f t="array" ref="N1007">IFERROR(LOOKUP(2,1/SEARCH($S$2:$S$65,G1007),$T$2:$T$65),"Misc")</f>
        <v>OH P/N</v>
      </c>
      <c r="O1007" t="str" cm="1">
        <f t="array" ref="O1007">IFERROR(LOOKUP(2,1/SEARCH($V$2:$V$65,G1007),$W$2:$W$65),"Misc")</f>
        <v>OH Part</v>
      </c>
      <c r="P1007" t="str" cm="1">
        <f t="array" ref="P1007">IFERROR(LOOKUP(2,1/SEARCH($Y$2:$Y$65,G1007),$Z$2:$Z$65),"Not Defined")</f>
        <v>OH Part</v>
      </c>
      <c r="Q1007" t="str" cm="1">
        <f t="array" ref="Q1007">IFERROR(LOOKUP(2,1/SEARCH($S$2:$S$65,H1007),$T$2:$T$65),"-")</f>
        <v>-</v>
      </c>
    </row>
    <row r="1008" spans="1:17" hidden="1" x14ac:dyDescent="0.25">
      <c r="A1008" t="s">
        <v>7674</v>
      </c>
      <c r="B1008" t="s">
        <v>2678</v>
      </c>
      <c r="C1008">
        <v>1</v>
      </c>
      <c r="D1008" t="s">
        <v>7308</v>
      </c>
      <c r="E1008" t="s">
        <v>2668</v>
      </c>
      <c r="F1008" t="s">
        <v>2679</v>
      </c>
      <c r="G1008" t="s">
        <v>2681</v>
      </c>
      <c r="H1008" t="s">
        <v>2680</v>
      </c>
      <c r="I1008" t="s">
        <v>2682</v>
      </c>
      <c r="J1008" t="s">
        <v>7682</v>
      </c>
      <c r="K1008" t="s">
        <v>7826</v>
      </c>
      <c r="L1008" t="s">
        <v>7826</v>
      </c>
      <c r="N1008" t="str" cm="1">
        <f t="array" ref="N1008">IFERROR(LOOKUP(2,1/SEARCH($S$2:$S$65,G1008),$T$2:$T$65),"Misc")</f>
        <v>OH P/N</v>
      </c>
      <c r="O1008" t="str" cm="1">
        <f t="array" ref="O1008">IFERROR(LOOKUP(2,1/SEARCH($V$2:$V$65,G1008),$W$2:$W$65),"Misc")</f>
        <v>OH Part</v>
      </c>
      <c r="P1008" t="str" cm="1">
        <f t="array" ref="P1008">IFERROR(LOOKUP(2,1/SEARCH($Y$2:$Y$65,G1008),$Z$2:$Z$65),"Not Defined")</f>
        <v>OH Part</v>
      </c>
      <c r="Q1008" t="str" cm="1">
        <f t="array" ref="Q1008">IFERROR(LOOKUP(2,1/SEARCH($S$2:$S$65,H1008),$T$2:$T$65),"-")</f>
        <v>-</v>
      </c>
    </row>
    <row r="1009" spans="1:17" hidden="1" x14ac:dyDescent="0.25">
      <c r="A1009" t="s">
        <v>7674</v>
      </c>
      <c r="B1009" t="s">
        <v>2683</v>
      </c>
      <c r="C1009">
        <v>2</v>
      </c>
      <c r="D1009" t="s">
        <v>7308</v>
      </c>
      <c r="E1009" t="s">
        <v>2668</v>
      </c>
      <c r="F1009" t="s">
        <v>2684</v>
      </c>
      <c r="G1009" t="s">
        <v>2686</v>
      </c>
      <c r="H1009" t="s">
        <v>2685</v>
      </c>
      <c r="I1009" t="s">
        <v>13</v>
      </c>
      <c r="J1009" t="s">
        <v>7682</v>
      </c>
      <c r="K1009" t="s">
        <v>7826</v>
      </c>
      <c r="L1009" t="s">
        <v>7826</v>
      </c>
      <c r="N1009" t="str" cm="1">
        <f t="array" ref="N1009">IFERROR(LOOKUP(2,1/SEARCH($S$2:$S$65,G1009),$T$2:$T$65),"Misc")</f>
        <v>OH P/N</v>
      </c>
      <c r="O1009" t="str" cm="1">
        <f t="array" ref="O1009">IFERROR(LOOKUP(2,1/SEARCH($V$2:$V$65,G1009),$W$2:$W$65),"Misc")</f>
        <v>OH Part</v>
      </c>
      <c r="P1009" t="str" cm="1">
        <f t="array" ref="P1009">IFERROR(LOOKUP(2,1/SEARCH($Y$2:$Y$65,G1009),$Z$2:$Z$65),"Not Defined")</f>
        <v>OH Part</v>
      </c>
      <c r="Q1009" t="str" cm="1">
        <f t="array" ref="Q1009">IFERROR(LOOKUP(2,1/SEARCH($S$2:$S$65,H1009),$T$2:$T$65),"-")</f>
        <v>-</v>
      </c>
    </row>
    <row r="1010" spans="1:17" hidden="1" x14ac:dyDescent="0.25">
      <c r="A1010" t="s">
        <v>7674</v>
      </c>
      <c r="B1010" t="s">
        <v>2687</v>
      </c>
      <c r="C1010">
        <v>1</v>
      </c>
      <c r="D1010" t="s">
        <v>7308</v>
      </c>
      <c r="E1010" t="s">
        <v>2668</v>
      </c>
      <c r="F1010" t="s">
        <v>2688</v>
      </c>
      <c r="G1010" t="s">
        <v>2690</v>
      </c>
      <c r="H1010" t="s">
        <v>2689</v>
      </c>
      <c r="I1010" t="s">
        <v>13</v>
      </c>
      <c r="J1010" t="s">
        <v>7703</v>
      </c>
      <c r="K1010" t="s">
        <v>7826</v>
      </c>
      <c r="L1010" t="s">
        <v>7685</v>
      </c>
      <c r="N1010" t="str" cm="1">
        <f t="array" ref="N1010">IFERROR(LOOKUP(2,1/SEARCH($S$2:$S$65,G1010),$T$2:$T$65),"Misc")</f>
        <v>OH P/N</v>
      </c>
      <c r="O1010" t="str" cm="1">
        <f t="array" ref="O1010">IFERROR(LOOKUP(2,1/SEARCH($V$2:$V$65,G1010),$W$2:$W$65),"Misc")</f>
        <v>OH Part</v>
      </c>
      <c r="P1010" t="str" cm="1">
        <f t="array" ref="P1010">IFERROR(LOOKUP(2,1/SEARCH($Y$2:$Y$65,G1010),$Z$2:$Z$65),"Not Defined")</f>
        <v>NUT</v>
      </c>
      <c r="Q1010" t="str" cm="1">
        <f t="array" ref="Q1010">IFERROR(LOOKUP(2,1/SEARCH($S$2:$S$65,H1010),$T$2:$T$65),"-")</f>
        <v>COTS</v>
      </c>
    </row>
    <row r="1011" spans="1:17" hidden="1" x14ac:dyDescent="0.25">
      <c r="A1011" t="s">
        <v>7674</v>
      </c>
      <c r="B1011" t="s">
        <v>2691</v>
      </c>
      <c r="C1011">
        <v>2</v>
      </c>
      <c r="D1011" t="s">
        <v>7308</v>
      </c>
      <c r="F1011" t="s">
        <v>2692</v>
      </c>
      <c r="G1011" t="s">
        <v>2694</v>
      </c>
      <c r="H1011" t="s">
        <v>2693</v>
      </c>
      <c r="I1011" t="s">
        <v>293</v>
      </c>
      <c r="J1011" t="s">
        <v>7682</v>
      </c>
      <c r="K1011" t="s">
        <v>7826</v>
      </c>
      <c r="L1011" t="s">
        <v>7826</v>
      </c>
      <c r="N1011" t="str" cm="1">
        <f t="array" ref="N1011">IFERROR(LOOKUP(2,1/SEARCH($S$2:$S$65,G1011),$T$2:$T$65),"Misc")</f>
        <v>OH P/N</v>
      </c>
      <c r="O1011" t="str" cm="1">
        <f t="array" ref="O1011">IFERROR(LOOKUP(2,1/SEARCH($V$2:$V$65,G1011),$W$2:$W$65),"Misc")</f>
        <v>OH Part</v>
      </c>
      <c r="P1011" t="str" cm="1">
        <f t="array" ref="P1011">IFERROR(LOOKUP(2,1/SEARCH($Y$2:$Y$65,G1011),$Z$2:$Z$65),"Not Defined")</f>
        <v>OH Part</v>
      </c>
      <c r="Q1011" t="str" cm="1">
        <f t="array" ref="Q1011">IFERROR(LOOKUP(2,1/SEARCH($S$2:$S$65,H1011),$T$2:$T$65),"-")</f>
        <v>-</v>
      </c>
    </row>
    <row r="1012" spans="1:17" hidden="1" x14ac:dyDescent="0.25">
      <c r="A1012" t="s">
        <v>7674</v>
      </c>
      <c r="B1012" t="s">
        <v>2695</v>
      </c>
      <c r="C1012">
        <v>1</v>
      </c>
      <c r="D1012" t="s">
        <v>7308</v>
      </c>
      <c r="E1012" t="s">
        <v>2697</v>
      </c>
      <c r="F1012" t="s">
        <v>2696</v>
      </c>
      <c r="G1012" t="s">
        <v>2698</v>
      </c>
      <c r="H1012" t="s">
        <v>2697</v>
      </c>
      <c r="J1012" t="s">
        <v>7682</v>
      </c>
      <c r="K1012" t="s">
        <v>7826</v>
      </c>
      <c r="L1012" t="s">
        <v>7826</v>
      </c>
      <c r="N1012" t="str" cm="1">
        <f t="array" ref="N1012">IFERROR(LOOKUP(2,1/SEARCH($S$2:$S$65,G1012),$T$2:$T$65),"Misc")</f>
        <v>OH P/N</v>
      </c>
      <c r="O1012" t="str" cm="1">
        <f t="array" ref="O1012">IFERROR(LOOKUP(2,1/SEARCH($V$2:$V$65,G1012),$W$2:$W$65),"Misc")</f>
        <v>OH Part</v>
      </c>
      <c r="P1012" t="str" cm="1">
        <f t="array" ref="P1012">IFERROR(LOOKUP(2,1/SEARCH($Y$2:$Y$65,G1012),$Z$2:$Z$65),"Not Defined")</f>
        <v>OH Part</v>
      </c>
      <c r="Q1012" t="str" cm="1">
        <f t="array" ref="Q1012">IFERROR(LOOKUP(2,1/SEARCH($S$2:$S$65,H1012),$T$2:$T$65),"-")</f>
        <v>-</v>
      </c>
    </row>
    <row r="1013" spans="1:17" hidden="1" x14ac:dyDescent="0.25">
      <c r="A1013" t="s">
        <v>7674</v>
      </c>
      <c r="B1013" t="s">
        <v>2699</v>
      </c>
      <c r="C1013">
        <v>1</v>
      </c>
      <c r="D1013" t="s">
        <v>7308</v>
      </c>
      <c r="E1013" t="s">
        <v>2697</v>
      </c>
      <c r="F1013" t="s">
        <v>2700</v>
      </c>
      <c r="G1013" t="s">
        <v>2702</v>
      </c>
      <c r="H1013" t="s">
        <v>2701</v>
      </c>
      <c r="I1013" t="s">
        <v>2682</v>
      </c>
      <c r="J1013" t="s">
        <v>7682</v>
      </c>
      <c r="K1013" t="s">
        <v>7826</v>
      </c>
      <c r="L1013" t="s">
        <v>7826</v>
      </c>
      <c r="N1013" t="str" cm="1">
        <f t="array" ref="N1013">IFERROR(LOOKUP(2,1/SEARCH($S$2:$S$65,G1013),$T$2:$T$65),"Misc")</f>
        <v>OH P/N</v>
      </c>
      <c r="O1013" t="str" cm="1">
        <f t="array" ref="O1013">IFERROR(LOOKUP(2,1/SEARCH($V$2:$V$65,G1013),$W$2:$W$65),"Misc")</f>
        <v>OH Part</v>
      </c>
      <c r="P1013" t="str" cm="1">
        <f t="array" ref="P1013">IFERROR(LOOKUP(2,1/SEARCH($Y$2:$Y$65,G1013),$Z$2:$Z$65),"Not Defined")</f>
        <v>OH Part</v>
      </c>
      <c r="Q1013" t="str" cm="1">
        <f t="array" ref="Q1013">IFERROR(LOOKUP(2,1/SEARCH($S$2:$S$65,H1013),$T$2:$T$65),"-")</f>
        <v>-</v>
      </c>
    </row>
    <row r="1014" spans="1:17" hidden="1" x14ac:dyDescent="0.25">
      <c r="A1014" t="s">
        <v>7674</v>
      </c>
      <c r="B1014" t="s">
        <v>2703</v>
      </c>
      <c r="C1014">
        <v>1</v>
      </c>
      <c r="D1014" t="s">
        <v>7308</v>
      </c>
      <c r="E1014" t="s">
        <v>2697</v>
      </c>
      <c r="F1014" t="s">
        <v>2704</v>
      </c>
      <c r="G1014" t="s">
        <v>2706</v>
      </c>
      <c r="H1014" t="s">
        <v>2705</v>
      </c>
      <c r="I1014" t="s">
        <v>13</v>
      </c>
      <c r="J1014" t="s">
        <v>7682</v>
      </c>
      <c r="K1014" t="s">
        <v>7826</v>
      </c>
      <c r="L1014" t="s">
        <v>7826</v>
      </c>
      <c r="N1014" t="str" cm="1">
        <f t="array" ref="N1014">IFERROR(LOOKUP(2,1/SEARCH($S$2:$S$65,G1014),$T$2:$T$65),"Misc")</f>
        <v>OH P/N</v>
      </c>
      <c r="O1014" t="str" cm="1">
        <f t="array" ref="O1014">IFERROR(LOOKUP(2,1/SEARCH($V$2:$V$65,G1014),$W$2:$W$65),"Misc")</f>
        <v>OH Part</v>
      </c>
      <c r="P1014" t="str" cm="1">
        <f t="array" ref="P1014">IFERROR(LOOKUP(2,1/SEARCH($Y$2:$Y$65,G1014),$Z$2:$Z$65),"Not Defined")</f>
        <v>OH Part</v>
      </c>
      <c r="Q1014" t="str" cm="1">
        <f t="array" ref="Q1014">IFERROR(LOOKUP(2,1/SEARCH($S$2:$S$65,H1014),$T$2:$T$65),"-")</f>
        <v>-</v>
      </c>
    </row>
    <row r="1015" spans="1:17" hidden="1" x14ac:dyDescent="0.25">
      <c r="A1015" t="s">
        <v>7674</v>
      </c>
      <c r="B1015" t="s">
        <v>2707</v>
      </c>
      <c r="C1015">
        <v>1</v>
      </c>
      <c r="D1015" t="s">
        <v>7308</v>
      </c>
      <c r="E1015" t="s">
        <v>2697</v>
      </c>
      <c r="F1015" t="s">
        <v>2708</v>
      </c>
      <c r="G1015" t="s">
        <v>2710</v>
      </c>
      <c r="H1015" t="s">
        <v>2709</v>
      </c>
      <c r="I1015" t="s">
        <v>13</v>
      </c>
      <c r="J1015" t="s">
        <v>7682</v>
      </c>
      <c r="K1015" t="s">
        <v>7826</v>
      </c>
      <c r="L1015" t="s">
        <v>7826</v>
      </c>
      <c r="N1015" t="str" cm="1">
        <f t="array" ref="N1015">IFERROR(LOOKUP(2,1/SEARCH($S$2:$S$65,G1015),$T$2:$T$65),"Misc")</f>
        <v>OH P/N</v>
      </c>
      <c r="O1015" t="str" cm="1">
        <f t="array" ref="O1015">IFERROR(LOOKUP(2,1/SEARCH($V$2:$V$65,G1015),$W$2:$W$65),"Misc")</f>
        <v>OH Part</v>
      </c>
      <c r="P1015" t="str" cm="1">
        <f t="array" ref="P1015">IFERROR(LOOKUP(2,1/SEARCH($Y$2:$Y$65,G1015),$Z$2:$Z$65),"Not Defined")</f>
        <v>OH Part</v>
      </c>
      <c r="Q1015" t="str" cm="1">
        <f t="array" ref="Q1015">IFERROR(LOOKUP(2,1/SEARCH($S$2:$S$65,H1015),$T$2:$T$65),"-")</f>
        <v>-</v>
      </c>
    </row>
    <row r="1016" spans="1:17" hidden="1" x14ac:dyDescent="0.25">
      <c r="A1016" t="s">
        <v>7674</v>
      </c>
      <c r="B1016" s="2" t="s">
        <v>2711</v>
      </c>
      <c r="C1016">
        <v>1</v>
      </c>
      <c r="D1016" t="s">
        <v>7308</v>
      </c>
      <c r="E1016" t="s">
        <v>2713</v>
      </c>
      <c r="F1016" t="s">
        <v>2712</v>
      </c>
      <c r="G1016" t="s">
        <v>2714</v>
      </c>
      <c r="H1016" t="s">
        <v>2713</v>
      </c>
      <c r="J1016" t="s">
        <v>7742</v>
      </c>
      <c r="K1016" t="s">
        <v>7826</v>
      </c>
      <c r="L1016" t="s">
        <v>7826</v>
      </c>
      <c r="N1016" t="str" cm="1">
        <f t="array" ref="N1016">IFERROR(LOOKUP(2,1/SEARCH($S$2:$S$65,G1016),$T$2:$T$65),"Misc")</f>
        <v>OH ASSY</v>
      </c>
      <c r="O1016" t="str" cm="1">
        <f t="array" ref="O1016">IFERROR(LOOKUP(2,1/SEARCH($V$2:$V$65,G1016),$W$2:$W$65),"Misc")</f>
        <v>OH Part</v>
      </c>
      <c r="P1016" t="str" cm="1">
        <f t="array" ref="P1016">IFERROR(LOOKUP(2,1/SEARCH($Y$2:$Y$65,G1016),$Z$2:$Z$65),"Not Defined")</f>
        <v>OH Part</v>
      </c>
      <c r="Q1016" t="str" cm="1">
        <f t="array" ref="Q1016">IFERROR(LOOKUP(2,1/SEARCH($S$2:$S$65,H1016),$T$2:$T$65),"-")</f>
        <v>OH ASSY</v>
      </c>
    </row>
    <row r="1017" spans="1:17" hidden="1" x14ac:dyDescent="0.25">
      <c r="A1017" t="s">
        <v>7674</v>
      </c>
      <c r="B1017" s="2" t="s">
        <v>2715</v>
      </c>
      <c r="C1017">
        <v>13</v>
      </c>
      <c r="D1017" t="s">
        <v>7308</v>
      </c>
      <c r="E1017" t="s">
        <v>2713</v>
      </c>
      <c r="F1017" t="s">
        <v>915</v>
      </c>
      <c r="G1017" t="s">
        <v>7129</v>
      </c>
      <c r="H1017" t="s">
        <v>916</v>
      </c>
      <c r="I1017" t="s">
        <v>228</v>
      </c>
      <c r="J1017" t="s">
        <v>7703</v>
      </c>
      <c r="K1017" t="s">
        <v>7684</v>
      </c>
      <c r="L1017" t="s">
        <v>7693</v>
      </c>
      <c r="N1017" t="str" cm="1">
        <f t="array" ref="N1017">IFERROR(LOOKUP(2,1/SEARCH($S$2:$S$65,G1017),$T$2:$T$65),"Misc")</f>
        <v>COTS</v>
      </c>
      <c r="O1017" t="str" cm="1">
        <f t="array" ref="O1017">IFERROR(LOOKUP(2,1/SEARCH($V$2:$V$65,G1017),$W$2:$W$65),"Misc")</f>
        <v>Fasteners</v>
      </c>
      <c r="P1017" t="str" cm="1">
        <f t="array" ref="P1017">IFERROR(LOOKUP(2,1/SEARCH($Y$2:$Y$65,G1017),$Z$2:$Z$65),"Not Defined")</f>
        <v>PHS</v>
      </c>
      <c r="Q1017" t="str" cm="1">
        <f t="array" ref="Q1017">IFERROR(LOOKUP(2,1/SEARCH($S$2:$S$65,H1017),$T$2:$T$65),"-")</f>
        <v>COTS</v>
      </c>
    </row>
    <row r="1018" spans="1:17" hidden="1" x14ac:dyDescent="0.25">
      <c r="A1018" t="s">
        <v>7674</v>
      </c>
      <c r="B1018" s="2" t="s">
        <v>2716</v>
      </c>
      <c r="C1018">
        <v>13</v>
      </c>
      <c r="D1018" t="s">
        <v>7308</v>
      </c>
      <c r="E1018" t="s">
        <v>2713</v>
      </c>
      <c r="F1018" t="s">
        <v>950</v>
      </c>
      <c r="G1018" t="s">
        <v>7139</v>
      </c>
      <c r="H1018" t="s">
        <v>951</v>
      </c>
      <c r="I1018" t="s">
        <v>228</v>
      </c>
      <c r="J1018" t="s">
        <v>7703</v>
      </c>
      <c r="K1018" t="s">
        <v>7684</v>
      </c>
      <c r="L1018" t="s">
        <v>7692</v>
      </c>
      <c r="N1018" t="str" cm="1">
        <f t="array" ref="N1018">IFERROR(LOOKUP(2,1/SEARCH($S$2:$S$65,G1018),$T$2:$T$65),"Misc")</f>
        <v>COTS</v>
      </c>
      <c r="O1018" t="str" cm="1">
        <f t="array" ref="O1018">IFERROR(LOOKUP(2,1/SEARCH($V$2:$V$65,G1018),$W$2:$W$65),"Misc")</f>
        <v>Fasteners</v>
      </c>
      <c r="P1018" t="str" cm="1">
        <f t="array" ref="P1018">IFERROR(LOOKUP(2,1/SEARCH($Y$2:$Y$65,G1018),$Z$2:$Z$65),"Not Defined")</f>
        <v>WASHER</v>
      </c>
      <c r="Q1018" t="str" cm="1">
        <f t="array" ref="Q1018">IFERROR(LOOKUP(2,1/SEARCH($S$2:$S$65,H1018),$T$2:$T$65),"-")</f>
        <v>COTS</v>
      </c>
    </row>
    <row r="1019" spans="1:17" hidden="1" x14ac:dyDescent="0.25">
      <c r="A1019" t="s">
        <v>7674</v>
      </c>
      <c r="B1019" s="2" t="s">
        <v>2717</v>
      </c>
      <c r="C1019">
        <v>4</v>
      </c>
      <c r="D1019" t="s">
        <v>7308</v>
      </c>
      <c r="E1019" t="s">
        <v>2713</v>
      </c>
      <c r="F1019" t="s">
        <v>2204</v>
      </c>
      <c r="G1019" t="s">
        <v>7261</v>
      </c>
      <c r="H1019" t="s">
        <v>2205</v>
      </c>
      <c r="I1019" t="s">
        <v>228</v>
      </c>
      <c r="J1019" t="s">
        <v>7703</v>
      </c>
      <c r="K1019" t="s">
        <v>7684</v>
      </c>
      <c r="L1019" t="s">
        <v>7692</v>
      </c>
      <c r="N1019" t="str" cm="1">
        <f t="array" ref="N1019">IFERROR(LOOKUP(2,1/SEARCH($S$2:$S$65,G1019),$T$2:$T$65),"Misc")</f>
        <v>COTS</v>
      </c>
      <c r="O1019" t="str" cm="1">
        <f t="array" ref="O1019">IFERROR(LOOKUP(2,1/SEARCH($V$2:$V$65,G1019),$W$2:$W$65),"Misc")</f>
        <v>Fasteners</v>
      </c>
      <c r="P1019" t="str" cm="1">
        <f t="array" ref="P1019">IFERROR(LOOKUP(2,1/SEARCH($Y$2:$Y$65,G1019),$Z$2:$Z$65),"Not Defined")</f>
        <v>WASHER</v>
      </c>
      <c r="Q1019" t="str" cm="1">
        <f t="array" ref="Q1019">IFERROR(LOOKUP(2,1/SEARCH($S$2:$S$65,H1019),$T$2:$T$65),"-")</f>
        <v>COTS</v>
      </c>
    </row>
    <row r="1020" spans="1:17" hidden="1" x14ac:dyDescent="0.25">
      <c r="A1020" t="s">
        <v>7674</v>
      </c>
      <c r="B1020" s="2" t="s">
        <v>2718</v>
      </c>
      <c r="C1020">
        <v>4</v>
      </c>
      <c r="D1020" t="s">
        <v>7308</v>
      </c>
      <c r="E1020" t="s">
        <v>2713</v>
      </c>
      <c r="F1020" t="s">
        <v>563</v>
      </c>
      <c r="G1020" t="s">
        <v>7100</v>
      </c>
      <c r="H1020" t="s">
        <v>564</v>
      </c>
      <c r="I1020" t="s">
        <v>228</v>
      </c>
      <c r="J1020" t="s">
        <v>7703</v>
      </c>
      <c r="K1020" t="s">
        <v>7684</v>
      </c>
      <c r="L1020" t="s">
        <v>7693</v>
      </c>
      <c r="N1020" t="str" cm="1">
        <f t="array" ref="N1020">IFERROR(LOOKUP(2,1/SEARCH($S$2:$S$65,G1020),$T$2:$T$65),"Misc")</f>
        <v>COTS</v>
      </c>
      <c r="O1020" t="str" cm="1">
        <f t="array" ref="O1020">IFERROR(LOOKUP(2,1/SEARCH($V$2:$V$65,G1020),$W$2:$W$65),"Misc")</f>
        <v>Fasteners</v>
      </c>
      <c r="P1020" t="str" cm="1">
        <f t="array" ref="P1020">IFERROR(LOOKUP(2,1/SEARCH($Y$2:$Y$65,G1020),$Z$2:$Z$65),"Not Defined")</f>
        <v>PHS</v>
      </c>
      <c r="Q1020" t="str" cm="1">
        <f t="array" ref="Q1020">IFERROR(LOOKUP(2,1/SEARCH($S$2:$S$65,H1020),$T$2:$T$65),"-")</f>
        <v>COTS</v>
      </c>
    </row>
    <row r="1021" spans="1:17" hidden="1" x14ac:dyDescent="0.25">
      <c r="A1021" t="s">
        <v>7674</v>
      </c>
      <c r="B1021" s="2" t="s">
        <v>2719</v>
      </c>
      <c r="C1021">
        <v>1</v>
      </c>
      <c r="D1021" t="s">
        <v>7308</v>
      </c>
      <c r="E1021" t="s">
        <v>7880</v>
      </c>
      <c r="F1021" t="s">
        <v>2720</v>
      </c>
      <c r="G1021" t="s">
        <v>2722</v>
      </c>
      <c r="H1021" t="s">
        <v>2721</v>
      </c>
      <c r="J1021" t="s">
        <v>7742</v>
      </c>
      <c r="K1021" t="s">
        <v>7826</v>
      </c>
      <c r="L1021" t="s">
        <v>7826</v>
      </c>
      <c r="N1021" t="str" cm="1">
        <f t="array" ref="N1021">IFERROR(LOOKUP(2,1/SEARCH($S$2:$S$65,G1021),$T$2:$T$65),"Misc")</f>
        <v>OH ASSY</v>
      </c>
      <c r="O1021" t="str" cm="1">
        <f t="array" ref="O1021">IFERROR(LOOKUP(2,1/SEARCH($V$2:$V$65,G1021),$W$2:$W$65),"Misc")</f>
        <v>OH Part</v>
      </c>
      <c r="P1021" t="str" cm="1">
        <f t="array" ref="P1021">IFERROR(LOOKUP(2,1/SEARCH($Y$2:$Y$65,G1021),$Z$2:$Z$65),"Not Defined")</f>
        <v>OH Part</v>
      </c>
      <c r="Q1021" t="str" cm="1">
        <f t="array" ref="Q1021">IFERROR(LOOKUP(2,1/SEARCH($S$2:$S$65,H1021),$T$2:$T$65),"-")</f>
        <v>OH ASSY</v>
      </c>
    </row>
    <row r="1022" spans="1:17" hidden="1" x14ac:dyDescent="0.25">
      <c r="A1022" t="s">
        <v>7674</v>
      </c>
      <c r="B1022" s="2" t="s">
        <v>2723</v>
      </c>
      <c r="C1022">
        <v>1</v>
      </c>
      <c r="D1022" t="s">
        <v>7308</v>
      </c>
      <c r="E1022" t="s">
        <v>7880</v>
      </c>
      <c r="F1022" t="s">
        <v>2724</v>
      </c>
      <c r="G1022" t="s">
        <v>2726</v>
      </c>
      <c r="H1022" t="s">
        <v>2725</v>
      </c>
      <c r="I1022" t="s">
        <v>13</v>
      </c>
      <c r="J1022" t="s">
        <v>7682</v>
      </c>
      <c r="K1022" t="s">
        <v>7826</v>
      </c>
      <c r="L1022" t="s">
        <v>7826</v>
      </c>
      <c r="N1022" t="str" cm="1">
        <f t="array" ref="N1022">IFERROR(LOOKUP(2,1/SEARCH($S$2:$S$65,G1022),$T$2:$T$65),"Misc")</f>
        <v>OH P/N</v>
      </c>
      <c r="O1022" t="str" cm="1">
        <f t="array" ref="O1022">IFERROR(LOOKUP(2,1/SEARCH($V$2:$V$65,G1022),$W$2:$W$65),"Misc")</f>
        <v>OH Part</v>
      </c>
      <c r="P1022" t="str" cm="1">
        <f t="array" ref="P1022">IFERROR(LOOKUP(2,1/SEARCH($Y$2:$Y$65,G1022),$Z$2:$Z$65),"Not Defined")</f>
        <v>OH Part</v>
      </c>
      <c r="Q1022" t="str" cm="1">
        <f t="array" ref="Q1022">IFERROR(LOOKUP(2,1/SEARCH($S$2:$S$65,H1022),$T$2:$T$65),"-")</f>
        <v>-</v>
      </c>
    </row>
    <row r="1023" spans="1:17" hidden="1" x14ac:dyDescent="0.25">
      <c r="A1023" t="s">
        <v>7674</v>
      </c>
      <c r="B1023" s="2" t="s">
        <v>2727</v>
      </c>
      <c r="C1023">
        <v>1</v>
      </c>
      <c r="D1023" t="s">
        <v>7308</v>
      </c>
      <c r="E1023" t="s">
        <v>7880</v>
      </c>
      <c r="F1023" t="s">
        <v>2728</v>
      </c>
      <c r="G1023" t="s">
        <v>2730</v>
      </c>
      <c r="H1023" t="s">
        <v>2729</v>
      </c>
      <c r="I1023" t="s">
        <v>13</v>
      </c>
      <c r="J1023" t="s">
        <v>7682</v>
      </c>
      <c r="K1023" t="s">
        <v>7826</v>
      </c>
      <c r="L1023" t="s">
        <v>7826</v>
      </c>
      <c r="N1023" t="str" cm="1">
        <f t="array" ref="N1023">IFERROR(LOOKUP(2,1/SEARCH($S$2:$S$65,G1023),$T$2:$T$65),"Misc")</f>
        <v>OH P/N</v>
      </c>
      <c r="O1023" t="str" cm="1">
        <f t="array" ref="O1023">IFERROR(LOOKUP(2,1/SEARCH($V$2:$V$65,G1023),$W$2:$W$65),"Misc")</f>
        <v>OH Part</v>
      </c>
      <c r="P1023" t="str" cm="1">
        <f t="array" ref="P1023">IFERROR(LOOKUP(2,1/SEARCH($Y$2:$Y$65,G1023),$Z$2:$Z$65),"Not Defined")</f>
        <v>OH Part</v>
      </c>
      <c r="Q1023" t="str" cm="1">
        <f t="array" ref="Q1023">IFERROR(LOOKUP(2,1/SEARCH($S$2:$S$65,H1023),$T$2:$T$65),"-")</f>
        <v>COTS</v>
      </c>
    </row>
    <row r="1024" spans="1:17" hidden="1" x14ac:dyDescent="0.25">
      <c r="A1024" t="s">
        <v>7674</v>
      </c>
      <c r="B1024" s="2" t="s">
        <v>2731</v>
      </c>
      <c r="C1024">
        <v>1</v>
      </c>
      <c r="D1024" t="s">
        <v>7308</v>
      </c>
      <c r="E1024" t="s">
        <v>7880</v>
      </c>
      <c r="F1024" t="s">
        <v>2732</v>
      </c>
      <c r="G1024" t="s">
        <v>2734</v>
      </c>
      <c r="H1024" t="s">
        <v>2733</v>
      </c>
      <c r="I1024" t="s">
        <v>13</v>
      </c>
      <c r="J1024" t="s">
        <v>7682</v>
      </c>
      <c r="K1024" t="s">
        <v>7826</v>
      </c>
      <c r="L1024" t="s">
        <v>7826</v>
      </c>
      <c r="N1024" t="str" cm="1">
        <f t="array" ref="N1024">IFERROR(LOOKUP(2,1/SEARCH($S$2:$S$65,G1024),$T$2:$T$65),"Misc")</f>
        <v>OH P/N</v>
      </c>
      <c r="O1024" t="str" cm="1">
        <f t="array" ref="O1024">IFERROR(LOOKUP(2,1/SEARCH($V$2:$V$65,G1024),$W$2:$W$65),"Misc")</f>
        <v>OH Part</v>
      </c>
      <c r="P1024" t="str" cm="1">
        <f t="array" ref="P1024">IFERROR(LOOKUP(2,1/SEARCH($Y$2:$Y$65,G1024),$Z$2:$Z$65),"Not Defined")</f>
        <v>OH Part</v>
      </c>
      <c r="Q1024" t="str" cm="1">
        <f t="array" ref="Q1024">IFERROR(LOOKUP(2,1/SEARCH($S$2:$S$65,H1024),$T$2:$T$65),"-")</f>
        <v>-</v>
      </c>
    </row>
    <row r="1025" spans="1:17" hidden="1" x14ac:dyDescent="0.25">
      <c r="A1025" t="s">
        <v>7674</v>
      </c>
      <c r="B1025" s="2" t="s">
        <v>2735</v>
      </c>
      <c r="C1025">
        <v>1</v>
      </c>
      <c r="D1025" t="s">
        <v>7308</v>
      </c>
      <c r="E1025" t="s">
        <v>7880</v>
      </c>
      <c r="F1025" t="s">
        <v>2736</v>
      </c>
      <c r="G1025" t="s">
        <v>2738</v>
      </c>
      <c r="H1025" t="s">
        <v>2737</v>
      </c>
      <c r="I1025" t="s">
        <v>13</v>
      </c>
      <c r="J1025" t="s">
        <v>7682</v>
      </c>
      <c r="K1025" t="s">
        <v>7826</v>
      </c>
      <c r="L1025" t="s">
        <v>7826</v>
      </c>
      <c r="N1025" t="str" cm="1">
        <f t="array" ref="N1025">IFERROR(LOOKUP(2,1/SEARCH($S$2:$S$65,G1025),$T$2:$T$65),"Misc")</f>
        <v>OH P/N</v>
      </c>
      <c r="O1025" t="str" cm="1">
        <f t="array" ref="O1025">IFERROR(LOOKUP(2,1/SEARCH($V$2:$V$65,G1025),$W$2:$W$65),"Misc")</f>
        <v>OH Part</v>
      </c>
      <c r="P1025" t="str" cm="1">
        <f t="array" ref="P1025">IFERROR(LOOKUP(2,1/SEARCH($Y$2:$Y$65,G1025),$Z$2:$Z$65),"Not Defined")</f>
        <v>OH Part</v>
      </c>
      <c r="Q1025" t="str" cm="1">
        <f t="array" ref="Q1025">IFERROR(LOOKUP(2,1/SEARCH($S$2:$S$65,H1025),$T$2:$T$65),"-")</f>
        <v>-</v>
      </c>
    </row>
    <row r="1026" spans="1:17" hidden="1" x14ac:dyDescent="0.25">
      <c r="A1026" t="s">
        <v>7674</v>
      </c>
      <c r="B1026" s="2" t="s">
        <v>2739</v>
      </c>
      <c r="C1026">
        <v>1</v>
      </c>
      <c r="D1026" t="s">
        <v>7308</v>
      </c>
      <c r="E1026" t="s">
        <v>7880</v>
      </c>
      <c r="F1026" t="s">
        <v>2740</v>
      </c>
      <c r="G1026" t="s">
        <v>2742</v>
      </c>
      <c r="H1026" t="s">
        <v>2741</v>
      </c>
      <c r="I1026" t="s">
        <v>13</v>
      </c>
      <c r="J1026" t="s">
        <v>7682</v>
      </c>
      <c r="K1026" t="s">
        <v>7826</v>
      </c>
      <c r="L1026" t="s">
        <v>7826</v>
      </c>
      <c r="N1026" t="str" cm="1">
        <f t="array" ref="N1026">IFERROR(LOOKUP(2,1/SEARCH($S$2:$S$65,G1026),$T$2:$T$65),"Misc")</f>
        <v>OH P/N</v>
      </c>
      <c r="O1026" t="str" cm="1">
        <f t="array" ref="O1026">IFERROR(LOOKUP(2,1/SEARCH($V$2:$V$65,G1026),$W$2:$W$65),"Misc")</f>
        <v>OH Part</v>
      </c>
      <c r="P1026" t="str" cm="1">
        <f t="array" ref="P1026">IFERROR(LOOKUP(2,1/SEARCH($Y$2:$Y$65,G1026),$Z$2:$Z$65),"Not Defined")</f>
        <v>OH Part</v>
      </c>
      <c r="Q1026" t="str" cm="1">
        <f t="array" ref="Q1026">IFERROR(LOOKUP(2,1/SEARCH($S$2:$S$65,H1026),$T$2:$T$65),"-")</f>
        <v>-</v>
      </c>
    </row>
    <row r="1027" spans="1:17" hidden="1" x14ac:dyDescent="0.25">
      <c r="A1027" t="s">
        <v>7674</v>
      </c>
      <c r="B1027" s="2" t="s">
        <v>2743</v>
      </c>
      <c r="C1027">
        <v>1</v>
      </c>
      <c r="D1027" t="s">
        <v>7308</v>
      </c>
      <c r="E1027" t="s">
        <v>7880</v>
      </c>
      <c r="F1027" t="s">
        <v>2744</v>
      </c>
      <c r="G1027" t="s">
        <v>2746</v>
      </c>
      <c r="H1027" t="s">
        <v>2745</v>
      </c>
      <c r="I1027" t="s">
        <v>38</v>
      </c>
      <c r="J1027" t="s">
        <v>7682</v>
      </c>
      <c r="K1027" t="s">
        <v>7826</v>
      </c>
      <c r="L1027" t="s">
        <v>7826</v>
      </c>
      <c r="N1027" t="str" cm="1">
        <f t="array" ref="N1027">IFERROR(LOOKUP(2,1/SEARCH($S$2:$S$65,G1027),$T$2:$T$65),"Misc")</f>
        <v>OH P/N</v>
      </c>
      <c r="O1027" t="str" cm="1">
        <f t="array" ref="O1027">IFERROR(LOOKUP(2,1/SEARCH($V$2:$V$65,G1027),$W$2:$W$65),"Misc")</f>
        <v>OH Part</v>
      </c>
      <c r="P1027" t="str" cm="1">
        <f t="array" ref="P1027">IFERROR(LOOKUP(2,1/SEARCH($Y$2:$Y$65,G1027),$Z$2:$Z$65),"Not Defined")</f>
        <v>OH Part</v>
      </c>
      <c r="Q1027" t="str" cm="1">
        <f t="array" ref="Q1027">IFERROR(LOOKUP(2,1/SEARCH($S$2:$S$65,H1027),$T$2:$T$65),"-")</f>
        <v>-</v>
      </c>
    </row>
    <row r="1028" spans="1:17" hidden="1" x14ac:dyDescent="0.25">
      <c r="A1028" t="s">
        <v>7674</v>
      </c>
      <c r="B1028" s="2" t="s">
        <v>2747</v>
      </c>
      <c r="C1028">
        <v>40</v>
      </c>
      <c r="D1028" t="s">
        <v>7308</v>
      </c>
      <c r="E1028" t="s">
        <v>7880</v>
      </c>
      <c r="F1028" t="s">
        <v>2748</v>
      </c>
      <c r="G1028" t="s">
        <v>7309</v>
      </c>
      <c r="H1028" t="s">
        <v>2749</v>
      </c>
      <c r="I1028" t="s">
        <v>228</v>
      </c>
      <c r="J1028" t="s">
        <v>7703</v>
      </c>
      <c r="K1028" t="s">
        <v>7684</v>
      </c>
      <c r="L1028" t="s">
        <v>7834</v>
      </c>
      <c r="N1028" t="str" cm="1">
        <f t="array" ref="N1028">IFERROR(LOOKUP(2,1/SEARCH($S$2:$S$65,G1028),$T$2:$T$65),"Misc")</f>
        <v>Misc</v>
      </c>
      <c r="O1028" t="str" cm="1">
        <f t="array" ref="O1028">IFERROR(LOOKUP(2,1/SEARCH($V$2:$V$65,G1028),$W$2:$W$65),"Misc")</f>
        <v>Fasteners</v>
      </c>
      <c r="P1028" t="str" cm="1">
        <f t="array" ref="P1028">IFERROR(LOOKUP(2,1/SEARCH($Y$2:$Y$65,G1028),$Z$2:$Z$65),"Not Defined")</f>
        <v>Not Defined</v>
      </c>
      <c r="Q1028" t="str" cm="1">
        <f t="array" ref="Q1028">IFERROR(LOOKUP(2,1/SEARCH($S$2:$S$65,H1028),$T$2:$T$65),"-")</f>
        <v>-</v>
      </c>
    </row>
    <row r="1029" spans="1:17" hidden="1" x14ac:dyDescent="0.25">
      <c r="A1029" t="s">
        <v>7674</v>
      </c>
      <c r="B1029" s="2" t="s">
        <v>2751</v>
      </c>
      <c r="C1029">
        <v>6</v>
      </c>
      <c r="D1029" t="s">
        <v>7308</v>
      </c>
      <c r="E1029" t="s">
        <v>7880</v>
      </c>
      <c r="F1029" t="s">
        <v>442</v>
      </c>
      <c r="G1029" t="s">
        <v>7087</v>
      </c>
      <c r="H1029" t="s">
        <v>443</v>
      </c>
      <c r="I1029" t="s">
        <v>228</v>
      </c>
      <c r="J1029" t="s">
        <v>7703</v>
      </c>
      <c r="K1029" t="s">
        <v>7684</v>
      </c>
      <c r="L1029" t="s">
        <v>7692</v>
      </c>
      <c r="N1029" t="str" cm="1">
        <f t="array" ref="N1029">IFERROR(LOOKUP(2,1/SEARCH($S$2:$S$65,G1029),$T$2:$T$65),"Misc")</f>
        <v>COTS</v>
      </c>
      <c r="O1029" t="str" cm="1">
        <f t="array" ref="O1029">IFERROR(LOOKUP(2,1/SEARCH($V$2:$V$65,G1029),$W$2:$W$65),"Misc")</f>
        <v>Fasteners</v>
      </c>
      <c r="P1029" t="str" cm="1">
        <f t="array" ref="P1029">IFERROR(LOOKUP(2,1/SEARCH($Y$2:$Y$65,G1029),$Z$2:$Z$65),"Not Defined")</f>
        <v>WASHER</v>
      </c>
      <c r="Q1029" t="str" cm="1">
        <f t="array" ref="Q1029">IFERROR(LOOKUP(2,1/SEARCH($S$2:$S$65,H1029),$T$2:$T$65),"-")</f>
        <v>COTS</v>
      </c>
    </row>
    <row r="1030" spans="1:17" hidden="1" x14ac:dyDescent="0.25">
      <c r="A1030" t="s">
        <v>7674</v>
      </c>
      <c r="B1030" s="2" t="s">
        <v>2752</v>
      </c>
      <c r="C1030">
        <v>6</v>
      </c>
      <c r="D1030" t="s">
        <v>7308</v>
      </c>
      <c r="E1030" t="s">
        <v>7880</v>
      </c>
      <c r="F1030" t="s">
        <v>445</v>
      </c>
      <c r="G1030" t="s">
        <v>7088</v>
      </c>
      <c r="H1030" t="s">
        <v>446</v>
      </c>
      <c r="I1030" t="s">
        <v>228</v>
      </c>
      <c r="J1030" t="s">
        <v>7703</v>
      </c>
      <c r="K1030" t="s">
        <v>7684</v>
      </c>
      <c r="L1030" t="s">
        <v>7693</v>
      </c>
      <c r="N1030" t="str" cm="1">
        <f t="array" ref="N1030">IFERROR(LOOKUP(2,1/SEARCH($S$2:$S$65,G1030),$T$2:$T$65),"Misc")</f>
        <v>COTS</v>
      </c>
      <c r="O1030" t="str" cm="1">
        <f t="array" ref="O1030">IFERROR(LOOKUP(2,1/SEARCH($V$2:$V$65,G1030),$W$2:$W$65),"Misc")</f>
        <v>Fasteners</v>
      </c>
      <c r="P1030" t="str" cm="1">
        <f t="array" ref="P1030">IFERROR(LOOKUP(2,1/SEARCH($Y$2:$Y$65,G1030),$Z$2:$Z$65),"Not Defined")</f>
        <v>PHS</v>
      </c>
      <c r="Q1030" t="str" cm="1">
        <f t="array" ref="Q1030">IFERROR(LOOKUP(2,1/SEARCH($S$2:$S$65,H1030),$T$2:$T$65),"-")</f>
        <v>COTS</v>
      </c>
    </row>
    <row r="1031" spans="1:17" hidden="1" x14ac:dyDescent="0.25">
      <c r="A1031" t="s">
        <v>7674</v>
      </c>
      <c r="B1031" s="2" t="s">
        <v>2753</v>
      </c>
      <c r="C1031">
        <v>6</v>
      </c>
      <c r="D1031" t="s">
        <v>7308</v>
      </c>
      <c r="E1031" t="s">
        <v>7880</v>
      </c>
      <c r="F1031" t="s">
        <v>439</v>
      </c>
      <c r="G1031" t="s">
        <v>7086</v>
      </c>
      <c r="H1031" t="s">
        <v>440</v>
      </c>
      <c r="I1031" t="s">
        <v>224</v>
      </c>
      <c r="J1031" t="s">
        <v>7703</v>
      </c>
      <c r="K1031" t="s">
        <v>7684</v>
      </c>
      <c r="L1031" t="s">
        <v>7687</v>
      </c>
      <c r="N1031" t="str" cm="1">
        <f t="array" ref="N1031">IFERROR(LOOKUP(2,1/SEARCH($S$2:$S$65,G1031),$T$2:$T$65),"Misc")</f>
        <v>COTS</v>
      </c>
      <c r="O1031" t="str" cm="1">
        <f t="array" ref="O1031">IFERROR(LOOKUP(2,1/SEARCH($V$2:$V$65,G1031),$W$2:$W$65),"Misc")</f>
        <v>Fasteners</v>
      </c>
      <c r="P1031" t="str" cm="1">
        <f t="array" ref="P1031">IFERROR(LOOKUP(2,1/SEARCH($Y$2:$Y$65,G1031),$Z$2:$Z$65),"Not Defined")</f>
        <v>INSERT</v>
      </c>
      <c r="Q1031" t="str" cm="1">
        <f t="array" ref="Q1031">IFERROR(LOOKUP(2,1/SEARCH($S$2:$S$65,H1031),$T$2:$T$65),"-")</f>
        <v>COTS</v>
      </c>
    </row>
    <row r="1032" spans="1:17" hidden="1" x14ac:dyDescent="0.25">
      <c r="A1032" t="s">
        <v>7674</v>
      </c>
      <c r="B1032" s="2" t="s">
        <v>2754</v>
      </c>
      <c r="C1032">
        <v>2</v>
      </c>
      <c r="D1032" t="s">
        <v>7308</v>
      </c>
      <c r="E1032" t="s">
        <v>7880</v>
      </c>
      <c r="F1032" t="s">
        <v>670</v>
      </c>
      <c r="G1032" t="s">
        <v>7114</v>
      </c>
      <c r="H1032" t="s">
        <v>671</v>
      </c>
      <c r="I1032" t="s">
        <v>224</v>
      </c>
      <c r="J1032" t="s">
        <v>7703</v>
      </c>
      <c r="K1032" t="s">
        <v>7684</v>
      </c>
      <c r="L1032" t="s">
        <v>7685</v>
      </c>
      <c r="N1032" t="str" cm="1">
        <f t="array" ref="N1032">IFERROR(LOOKUP(2,1/SEARCH($S$2:$S$65,G1032),$T$2:$T$65),"Misc")</f>
        <v>COTS</v>
      </c>
      <c r="O1032" t="str" cm="1">
        <f t="array" ref="O1032">IFERROR(LOOKUP(2,1/SEARCH($V$2:$V$65,G1032),$W$2:$W$65),"Misc")</f>
        <v>Fasteners</v>
      </c>
      <c r="P1032" t="str" cm="1">
        <f t="array" ref="P1032">IFERROR(LOOKUP(2,1/SEARCH($Y$2:$Y$65,G1032),$Z$2:$Z$65),"Not Defined")</f>
        <v>NUT</v>
      </c>
      <c r="Q1032" t="str" cm="1">
        <f t="array" ref="Q1032">IFERROR(LOOKUP(2,1/SEARCH($S$2:$S$65,H1032),$T$2:$T$65),"-")</f>
        <v>COTS</v>
      </c>
    </row>
    <row r="1033" spans="1:17" hidden="1" x14ac:dyDescent="0.25">
      <c r="A1033" t="s">
        <v>7674</v>
      </c>
      <c r="B1033" s="2" t="s">
        <v>2755</v>
      </c>
      <c r="C1033">
        <v>2</v>
      </c>
      <c r="D1033" t="s">
        <v>7308</v>
      </c>
      <c r="E1033" t="s">
        <v>7880</v>
      </c>
      <c r="F1033" t="s">
        <v>2756</v>
      </c>
      <c r="G1033" t="s">
        <v>7310</v>
      </c>
      <c r="H1033" t="s">
        <v>2757</v>
      </c>
      <c r="I1033" t="s">
        <v>228</v>
      </c>
      <c r="J1033" t="s">
        <v>7703</v>
      </c>
      <c r="K1033" t="s">
        <v>7684</v>
      </c>
      <c r="L1033" t="s">
        <v>7693</v>
      </c>
      <c r="N1033" t="str" cm="1">
        <f t="array" ref="N1033">IFERROR(LOOKUP(2,1/SEARCH($S$2:$S$65,G1033),$T$2:$T$65),"Misc")</f>
        <v>COTS</v>
      </c>
      <c r="O1033" t="str" cm="1">
        <f t="array" ref="O1033">IFERROR(LOOKUP(2,1/SEARCH($V$2:$V$65,G1033),$W$2:$W$65),"Misc")</f>
        <v>Fasteners</v>
      </c>
      <c r="P1033" t="str" cm="1">
        <f t="array" ref="P1033">IFERROR(LOOKUP(2,1/SEARCH($Y$2:$Y$65,G1033),$Z$2:$Z$65),"Not Defined")</f>
        <v>PHS</v>
      </c>
      <c r="Q1033" t="str" cm="1">
        <f t="array" ref="Q1033">IFERROR(LOOKUP(2,1/SEARCH($S$2:$S$65,H1033),$T$2:$T$65),"-")</f>
        <v>COTS</v>
      </c>
    </row>
    <row r="1034" spans="1:17" hidden="1" x14ac:dyDescent="0.25">
      <c r="A1034" t="s">
        <v>7674</v>
      </c>
      <c r="B1034" s="2" t="s">
        <v>2758</v>
      </c>
      <c r="C1034">
        <v>1</v>
      </c>
      <c r="D1034" t="s">
        <v>7308</v>
      </c>
      <c r="E1034" t="s">
        <v>7880</v>
      </c>
      <c r="F1034" t="s">
        <v>2759</v>
      </c>
      <c r="G1034" t="s">
        <v>7311</v>
      </c>
      <c r="H1034" t="s">
        <v>2760</v>
      </c>
      <c r="I1034" t="s">
        <v>210</v>
      </c>
      <c r="J1034" t="s">
        <v>7703</v>
      </c>
      <c r="K1034" t="s">
        <v>7684</v>
      </c>
      <c r="L1034" t="s">
        <v>7693</v>
      </c>
      <c r="N1034" t="str" cm="1">
        <f t="array" ref="N1034">IFERROR(LOOKUP(2,1/SEARCH($S$2:$S$65,G1034),$T$2:$T$65),"Misc")</f>
        <v>COTS</v>
      </c>
      <c r="O1034" t="str" cm="1">
        <f t="array" ref="O1034">IFERROR(LOOKUP(2,1/SEARCH($V$2:$V$65,G1034),$W$2:$W$65),"Misc")</f>
        <v>Fasteners</v>
      </c>
      <c r="P1034" t="str" cm="1">
        <f t="array" ref="P1034">IFERROR(LOOKUP(2,1/SEARCH($Y$2:$Y$65,G1034),$Z$2:$Z$65),"Not Defined")</f>
        <v>PHS</v>
      </c>
      <c r="Q1034" t="str" cm="1">
        <f t="array" ref="Q1034">IFERROR(LOOKUP(2,1/SEARCH($S$2:$S$65,H1034),$T$2:$T$65),"-")</f>
        <v>COTS</v>
      </c>
    </row>
    <row r="1035" spans="1:17" hidden="1" x14ac:dyDescent="0.25">
      <c r="A1035" t="s">
        <v>7674</v>
      </c>
      <c r="B1035" s="2" t="s">
        <v>2761</v>
      </c>
      <c r="C1035">
        <v>4</v>
      </c>
      <c r="D1035" t="s">
        <v>7308</v>
      </c>
      <c r="E1035" t="s">
        <v>7880</v>
      </c>
      <c r="F1035" t="s">
        <v>2762</v>
      </c>
      <c r="G1035" t="s">
        <v>7312</v>
      </c>
      <c r="H1035" t="s">
        <v>2763</v>
      </c>
      <c r="I1035" t="s">
        <v>228</v>
      </c>
      <c r="J1035" t="s">
        <v>7703</v>
      </c>
      <c r="K1035" t="s">
        <v>7684</v>
      </c>
      <c r="L1035" t="s">
        <v>7692</v>
      </c>
      <c r="N1035" t="str" cm="1">
        <f t="array" ref="N1035">IFERROR(LOOKUP(2,1/SEARCH($S$2:$S$65,G1035),$T$2:$T$65),"Misc")</f>
        <v>COTS</v>
      </c>
      <c r="O1035" t="str" cm="1">
        <f t="array" ref="O1035">IFERROR(LOOKUP(2,1/SEARCH($V$2:$V$65,G1035),$W$2:$W$65),"Misc")</f>
        <v>Fasteners</v>
      </c>
      <c r="P1035" t="str" cm="1">
        <f t="array" ref="P1035">IFERROR(LOOKUP(2,1/SEARCH($Y$2:$Y$65,G1035),$Z$2:$Z$65),"Not Defined")</f>
        <v>WASHER</v>
      </c>
      <c r="Q1035" t="str" cm="1">
        <f t="array" ref="Q1035">IFERROR(LOOKUP(2,1/SEARCH($S$2:$S$65,H1035),$T$2:$T$65),"-")</f>
        <v>COTS</v>
      </c>
    </row>
    <row r="1036" spans="1:17" hidden="1" x14ac:dyDescent="0.25">
      <c r="A1036" t="s">
        <v>7674</v>
      </c>
      <c r="B1036" s="2" t="s">
        <v>2764</v>
      </c>
      <c r="C1036">
        <v>2</v>
      </c>
      <c r="D1036" t="s">
        <v>7308</v>
      </c>
      <c r="E1036" t="s">
        <v>7880</v>
      </c>
      <c r="F1036" t="s">
        <v>2765</v>
      </c>
      <c r="G1036" t="s">
        <v>7313</v>
      </c>
      <c r="H1036" t="s">
        <v>2766</v>
      </c>
      <c r="I1036" t="s">
        <v>228</v>
      </c>
      <c r="J1036" t="s">
        <v>7703</v>
      </c>
      <c r="K1036" t="s">
        <v>7684</v>
      </c>
      <c r="L1036" t="s">
        <v>7691</v>
      </c>
      <c r="N1036" t="str" cm="1">
        <f t="array" ref="N1036">IFERROR(LOOKUP(2,1/SEARCH($S$2:$S$65,G1036),$T$2:$T$65),"Misc")</f>
        <v>COTS</v>
      </c>
      <c r="O1036" t="str" cm="1">
        <f t="array" ref="O1036">IFERROR(LOOKUP(2,1/SEARCH($V$2:$V$65,G1036),$W$2:$W$65),"Misc")</f>
        <v>Fasteners</v>
      </c>
      <c r="P1036" t="str" cm="1">
        <f t="array" ref="P1036">IFERROR(LOOKUP(2,1/SEARCH($Y$2:$Y$65,G1036),$Z$2:$Z$65),"Not Defined")</f>
        <v>FHS</v>
      </c>
      <c r="Q1036" t="str" cm="1">
        <f t="array" ref="Q1036">IFERROR(LOOKUP(2,1/SEARCH($S$2:$S$65,H1036),$T$2:$T$65),"-")</f>
        <v>COTS</v>
      </c>
    </row>
    <row r="1037" spans="1:17" hidden="1" x14ac:dyDescent="0.25">
      <c r="A1037" t="s">
        <v>7674</v>
      </c>
      <c r="B1037" s="2" t="s">
        <v>2767</v>
      </c>
      <c r="C1037">
        <v>2</v>
      </c>
      <c r="D1037" t="s">
        <v>7308</v>
      </c>
      <c r="E1037" t="s">
        <v>7880</v>
      </c>
      <c r="F1037" t="s">
        <v>2768</v>
      </c>
      <c r="G1037" t="s">
        <v>7314</v>
      </c>
      <c r="H1037" t="s">
        <v>2769</v>
      </c>
      <c r="I1037" t="s">
        <v>224</v>
      </c>
      <c r="J1037" t="s">
        <v>7703</v>
      </c>
      <c r="K1037" t="s">
        <v>7684</v>
      </c>
      <c r="L1037" t="s">
        <v>7687</v>
      </c>
      <c r="N1037" t="str" cm="1">
        <f t="array" ref="N1037">IFERROR(LOOKUP(2,1/SEARCH($S$2:$S$65,G1037),$T$2:$T$65),"Misc")</f>
        <v>COTS</v>
      </c>
      <c r="O1037" t="str" cm="1">
        <f t="array" ref="O1037">IFERROR(LOOKUP(2,1/SEARCH($V$2:$V$65,G1037),$W$2:$W$65),"Misc")</f>
        <v>Fasteners</v>
      </c>
      <c r="P1037" t="str" cm="1">
        <f t="array" ref="P1037">IFERROR(LOOKUP(2,1/SEARCH($Y$2:$Y$65,G1037),$Z$2:$Z$65),"Not Defined")</f>
        <v>INSERT</v>
      </c>
      <c r="Q1037" t="str" cm="1">
        <f t="array" ref="Q1037">IFERROR(LOOKUP(2,1/SEARCH($S$2:$S$65,H1037),$T$2:$T$65),"-")</f>
        <v>COTS</v>
      </c>
    </row>
    <row r="1038" spans="1:17" hidden="1" x14ac:dyDescent="0.25">
      <c r="A1038" t="s">
        <v>7674</v>
      </c>
      <c r="B1038" s="2" t="s">
        <v>2770</v>
      </c>
      <c r="C1038">
        <v>2</v>
      </c>
      <c r="D1038" t="s">
        <v>7308</v>
      </c>
      <c r="E1038" t="s">
        <v>7880</v>
      </c>
      <c r="F1038" t="s">
        <v>2771</v>
      </c>
      <c r="G1038" t="s">
        <v>7315</v>
      </c>
      <c r="H1038" t="s">
        <v>2772</v>
      </c>
      <c r="I1038" t="s">
        <v>228</v>
      </c>
      <c r="J1038" t="s">
        <v>7703</v>
      </c>
      <c r="K1038" t="s">
        <v>7684</v>
      </c>
      <c r="L1038" t="s">
        <v>7693</v>
      </c>
      <c r="N1038" t="str" cm="1">
        <f t="array" ref="N1038">IFERROR(LOOKUP(2,1/SEARCH($S$2:$S$65,G1038),$T$2:$T$65),"Misc")</f>
        <v>COTS</v>
      </c>
      <c r="O1038" t="str" cm="1">
        <f t="array" ref="O1038">IFERROR(LOOKUP(2,1/SEARCH($V$2:$V$65,G1038),$W$2:$W$65),"Misc")</f>
        <v>Fasteners</v>
      </c>
      <c r="P1038" t="str" cm="1">
        <f t="array" ref="P1038">IFERROR(LOOKUP(2,1/SEARCH($Y$2:$Y$65,G1038),$Z$2:$Z$65),"Not Defined")</f>
        <v>PHS</v>
      </c>
      <c r="Q1038" t="str" cm="1">
        <f t="array" ref="Q1038">IFERROR(LOOKUP(2,1/SEARCH($S$2:$S$65,H1038),$T$2:$T$65),"-")</f>
        <v>COTS</v>
      </c>
    </row>
    <row r="1039" spans="1:17" hidden="1" x14ac:dyDescent="0.25">
      <c r="A1039" t="s">
        <v>7674</v>
      </c>
      <c r="B1039" s="2" t="s">
        <v>2773</v>
      </c>
      <c r="C1039">
        <v>2</v>
      </c>
      <c r="D1039" t="s">
        <v>7308</v>
      </c>
      <c r="E1039" t="s">
        <v>7880</v>
      </c>
      <c r="F1039" t="s">
        <v>268</v>
      </c>
      <c r="G1039" t="s">
        <v>7061</v>
      </c>
      <c r="H1039" t="s">
        <v>269</v>
      </c>
      <c r="I1039" t="s">
        <v>224</v>
      </c>
      <c r="J1039" t="s">
        <v>7703</v>
      </c>
      <c r="K1039" t="s">
        <v>7684</v>
      </c>
      <c r="L1039" t="s">
        <v>7687</v>
      </c>
      <c r="N1039" t="str" cm="1">
        <f t="array" ref="N1039">IFERROR(LOOKUP(2,1/SEARCH($S$2:$S$65,G1039),$T$2:$T$65),"Misc")</f>
        <v>COTS</v>
      </c>
      <c r="O1039" t="str" cm="1">
        <f t="array" ref="O1039">IFERROR(LOOKUP(2,1/SEARCH($V$2:$V$65,G1039),$W$2:$W$65),"Misc")</f>
        <v>Fasteners</v>
      </c>
      <c r="P1039" t="str" cm="1">
        <f t="array" ref="P1039">IFERROR(LOOKUP(2,1/SEARCH($Y$2:$Y$65,G1039),$Z$2:$Z$65),"Not Defined")</f>
        <v>INSERT</v>
      </c>
      <c r="Q1039" t="str" cm="1">
        <f t="array" ref="Q1039">IFERROR(LOOKUP(2,1/SEARCH($S$2:$S$65,H1039),$T$2:$T$65),"-")</f>
        <v>COTS</v>
      </c>
    </row>
    <row r="1040" spans="1:17" hidden="1" x14ac:dyDescent="0.25">
      <c r="A1040" t="s">
        <v>7674</v>
      </c>
      <c r="B1040" s="2" t="s">
        <v>2774</v>
      </c>
      <c r="C1040">
        <v>4</v>
      </c>
      <c r="D1040" t="s">
        <v>7308</v>
      </c>
      <c r="E1040" t="s">
        <v>7880</v>
      </c>
      <c r="F1040" t="s">
        <v>2775</v>
      </c>
      <c r="G1040" t="s">
        <v>7316</v>
      </c>
      <c r="H1040" t="s">
        <v>2776</v>
      </c>
      <c r="I1040" t="s">
        <v>210</v>
      </c>
      <c r="J1040" t="s">
        <v>7703</v>
      </c>
      <c r="K1040" t="s">
        <v>7698</v>
      </c>
      <c r="L1040" t="s">
        <v>7707</v>
      </c>
      <c r="N1040" t="str" cm="1">
        <f t="array" ref="N1040">IFERROR(LOOKUP(2,1/SEARCH($S$2:$S$65,G1040),$T$2:$T$65),"Misc")</f>
        <v>COTS</v>
      </c>
      <c r="O1040" t="str" cm="1">
        <f t="array" ref="O1040">IFERROR(LOOKUP(2,1/SEARCH($V$2:$V$65,G1040),$W$2:$W$65),"Misc")</f>
        <v>Pins</v>
      </c>
      <c r="P1040" t="str" cm="1">
        <f t="array" ref="P1040">IFERROR(LOOKUP(2,1/SEARCH($Y$2:$Y$65,G1040),$Z$2:$Z$65),"Not Defined")</f>
        <v>PIN</v>
      </c>
      <c r="Q1040" t="str" cm="1">
        <f t="array" ref="Q1040">IFERROR(LOOKUP(2,1/SEARCH($S$2:$S$65,H1040),$T$2:$T$65),"-")</f>
        <v>COTS</v>
      </c>
    </row>
    <row r="1041" spans="1:17" hidden="1" x14ac:dyDescent="0.25">
      <c r="A1041" t="s">
        <v>7674</v>
      </c>
      <c r="B1041" s="2" t="s">
        <v>2777</v>
      </c>
      <c r="C1041">
        <v>1</v>
      </c>
      <c r="D1041" t="s">
        <v>7308</v>
      </c>
      <c r="E1041" t="s">
        <v>7880</v>
      </c>
      <c r="F1041" t="s">
        <v>2778</v>
      </c>
      <c r="G1041" t="s">
        <v>7317</v>
      </c>
      <c r="H1041" t="s">
        <v>2779</v>
      </c>
      <c r="I1041" t="s">
        <v>210</v>
      </c>
      <c r="J1041" t="s">
        <v>7703</v>
      </c>
      <c r="K1041" t="s">
        <v>7698</v>
      </c>
      <c r="L1041" t="s">
        <v>7707</v>
      </c>
      <c r="N1041" t="str" cm="1">
        <f t="array" ref="N1041">IFERROR(LOOKUP(2,1/SEARCH($S$2:$S$65,G1041),$T$2:$T$65),"Misc")</f>
        <v>COTS</v>
      </c>
      <c r="O1041" t="str" cm="1">
        <f t="array" ref="O1041">IFERROR(LOOKUP(2,1/SEARCH($V$2:$V$65,G1041),$W$2:$W$65),"Misc")</f>
        <v>Pins</v>
      </c>
      <c r="P1041" t="str" cm="1">
        <f t="array" ref="P1041">IFERROR(LOOKUP(2,1/SEARCH($Y$2:$Y$65,G1041),$Z$2:$Z$65),"Not Defined")</f>
        <v>PIN</v>
      </c>
      <c r="Q1041" t="str" cm="1">
        <f t="array" ref="Q1041">IFERROR(LOOKUP(2,1/SEARCH($S$2:$S$65,H1041),$T$2:$T$65),"-")</f>
        <v>COTS</v>
      </c>
    </row>
    <row r="1042" spans="1:17" hidden="1" x14ac:dyDescent="0.25">
      <c r="A1042" t="s">
        <v>7674</v>
      </c>
      <c r="B1042" s="2" t="s">
        <v>2780</v>
      </c>
      <c r="C1042">
        <v>1</v>
      </c>
      <c r="D1042" t="s">
        <v>7308</v>
      </c>
      <c r="E1042" t="s">
        <v>7880</v>
      </c>
      <c r="F1042" t="s">
        <v>2781</v>
      </c>
      <c r="G1042" t="s">
        <v>7318</v>
      </c>
      <c r="H1042" t="s">
        <v>2782</v>
      </c>
      <c r="I1042" t="s">
        <v>210</v>
      </c>
      <c r="J1042" t="s">
        <v>7703</v>
      </c>
      <c r="K1042" t="s">
        <v>7684</v>
      </c>
      <c r="L1042" t="s">
        <v>7834</v>
      </c>
      <c r="N1042" t="str" cm="1">
        <f t="array" ref="N1042">IFERROR(LOOKUP(2,1/SEARCH($S$2:$S$65,G1042),$T$2:$T$65),"Misc")</f>
        <v>Misc</v>
      </c>
      <c r="O1042" t="str" cm="1">
        <f t="array" ref="O1042">IFERROR(LOOKUP(2,1/SEARCH($V$2:$V$65,G1042),$W$2:$W$65),"Misc")</f>
        <v>Fasteners</v>
      </c>
      <c r="P1042" t="str" cm="1">
        <f t="array" ref="P1042">IFERROR(LOOKUP(2,1/SEARCH($Y$2:$Y$65,G1042),$Z$2:$Z$65),"Not Defined")</f>
        <v>Not Defined</v>
      </c>
      <c r="Q1042" t="str" cm="1">
        <f t="array" ref="Q1042">IFERROR(LOOKUP(2,1/SEARCH($S$2:$S$65,H1042),$T$2:$T$65),"-")</f>
        <v>-</v>
      </c>
    </row>
    <row r="1043" spans="1:17" hidden="1" x14ac:dyDescent="0.25">
      <c r="A1043" t="s">
        <v>7674</v>
      </c>
      <c r="B1043" s="2" t="s">
        <v>2784</v>
      </c>
      <c r="C1043">
        <v>1</v>
      </c>
      <c r="D1043" t="s">
        <v>7308</v>
      </c>
      <c r="E1043" t="s">
        <v>7880</v>
      </c>
      <c r="F1043" t="s">
        <v>2592</v>
      </c>
      <c r="G1043" t="s">
        <v>7301</v>
      </c>
      <c r="H1043" t="s">
        <v>2593</v>
      </c>
      <c r="I1043" t="s">
        <v>228</v>
      </c>
      <c r="J1043" t="s">
        <v>7703</v>
      </c>
      <c r="K1043" t="s">
        <v>7684</v>
      </c>
      <c r="L1043" t="s">
        <v>7685</v>
      </c>
      <c r="N1043" t="str" cm="1">
        <f t="array" ref="N1043">IFERROR(LOOKUP(2,1/SEARCH($S$2:$S$65,G1043),$T$2:$T$65),"Misc")</f>
        <v>COTS</v>
      </c>
      <c r="O1043" t="str" cm="1">
        <f t="array" ref="O1043">IFERROR(LOOKUP(2,1/SEARCH($V$2:$V$65,G1043),$W$2:$W$65),"Misc")</f>
        <v>Fasteners</v>
      </c>
      <c r="P1043" t="str" cm="1">
        <f t="array" ref="P1043">IFERROR(LOOKUP(2,1/SEARCH($Y$2:$Y$65,G1043),$Z$2:$Z$65),"Not Defined")</f>
        <v>NUT</v>
      </c>
      <c r="Q1043" t="str" cm="1">
        <f t="array" ref="Q1043">IFERROR(LOOKUP(2,1/SEARCH($S$2:$S$65,H1043),$T$2:$T$65),"-")</f>
        <v>COTS</v>
      </c>
    </row>
    <row r="1044" spans="1:17" hidden="1" x14ac:dyDescent="0.25">
      <c r="A1044" t="s">
        <v>7674</v>
      </c>
      <c r="B1044" s="2" t="s">
        <v>2785</v>
      </c>
      <c r="C1044">
        <v>2</v>
      </c>
      <c r="D1044" t="s">
        <v>7308</v>
      </c>
      <c r="E1044" t="s">
        <v>7880</v>
      </c>
      <c r="F1044" t="s">
        <v>2786</v>
      </c>
      <c r="G1044" t="s">
        <v>7319</v>
      </c>
      <c r="H1044" t="s">
        <v>2787</v>
      </c>
      <c r="J1044" t="s">
        <v>7703</v>
      </c>
      <c r="K1044" t="s">
        <v>7719</v>
      </c>
      <c r="L1044" t="s">
        <v>7688</v>
      </c>
      <c r="N1044" t="str" cm="1">
        <f t="array" ref="N1044">IFERROR(LOOKUP(2,1/SEARCH($S$2:$S$65,G1044),$T$2:$T$65),"Misc")</f>
        <v>COTS</v>
      </c>
      <c r="O1044" t="str" cm="1">
        <f t="array" ref="O1044">IFERROR(LOOKUP(2,1/SEARCH($V$2:$V$65,G1044),$W$2:$W$65),"Misc")</f>
        <v>Misc</v>
      </c>
      <c r="P1044" t="str" cm="1">
        <f t="array" ref="P1044">IFERROR(LOOKUP(2,1/SEARCH($Y$2:$Y$65,G1044),$Z$2:$Z$65),"Not Defined")</f>
        <v>SPRING</v>
      </c>
      <c r="Q1044" t="str" cm="1">
        <f t="array" ref="Q1044">IFERROR(LOOKUP(2,1/SEARCH($S$2:$S$65,H1044),$T$2:$T$65),"-")</f>
        <v>COTS</v>
      </c>
    </row>
    <row r="1045" spans="1:17" hidden="1" x14ac:dyDescent="0.25">
      <c r="A1045" t="s">
        <v>7674</v>
      </c>
      <c r="B1045" s="2" t="s">
        <v>2788</v>
      </c>
      <c r="C1045">
        <v>1</v>
      </c>
      <c r="D1045" t="s">
        <v>7308</v>
      </c>
      <c r="E1045" t="s">
        <v>7880</v>
      </c>
      <c r="F1045" t="s">
        <v>2789</v>
      </c>
      <c r="G1045" t="s">
        <v>7320</v>
      </c>
      <c r="H1045" t="s">
        <v>2790</v>
      </c>
      <c r="I1045" t="s">
        <v>2791</v>
      </c>
      <c r="J1045" t="s">
        <v>7703</v>
      </c>
      <c r="K1045" t="s">
        <v>7683</v>
      </c>
      <c r="L1045" t="s">
        <v>7683</v>
      </c>
      <c r="N1045" t="str" cm="1">
        <f t="array" ref="N1045">IFERROR(LOOKUP(2,1/SEARCH($S$2:$S$65,G1045),$T$2:$T$65),"Misc")</f>
        <v>COTS</v>
      </c>
      <c r="O1045" t="str" cm="1">
        <f t="array" ref="O1045">IFERROR(LOOKUP(2,1/SEARCH($V$2:$V$65,G1045),$W$2:$W$65),"Misc")</f>
        <v>BEARING</v>
      </c>
      <c r="P1045" t="str" cm="1">
        <f t="array" ref="P1045">IFERROR(LOOKUP(2,1/SEARCH($Y$2:$Y$65,G1045),$Z$2:$Z$65),"Not Defined")</f>
        <v>BEARING</v>
      </c>
      <c r="Q1045" t="str" cm="1">
        <f t="array" ref="Q1045">IFERROR(LOOKUP(2,1/SEARCH($S$2:$S$65,H1045),$T$2:$T$65),"-")</f>
        <v>COTS</v>
      </c>
    </row>
    <row r="1046" spans="1:17" hidden="1" x14ac:dyDescent="0.25">
      <c r="A1046" t="s">
        <v>7674</v>
      </c>
      <c r="B1046" s="2" t="s">
        <v>2792</v>
      </c>
      <c r="C1046">
        <v>2</v>
      </c>
      <c r="D1046" t="s">
        <v>7308</v>
      </c>
      <c r="E1046" t="s">
        <v>7880</v>
      </c>
      <c r="F1046" t="s">
        <v>2793</v>
      </c>
      <c r="G1046" t="s">
        <v>7321</v>
      </c>
      <c r="H1046" t="s">
        <v>2794</v>
      </c>
      <c r="I1046" t="s">
        <v>929</v>
      </c>
      <c r="J1046" t="s">
        <v>7703</v>
      </c>
      <c r="K1046" t="s">
        <v>7683</v>
      </c>
      <c r="L1046" t="s">
        <v>7683</v>
      </c>
      <c r="N1046" t="str" cm="1">
        <f t="array" ref="N1046">IFERROR(LOOKUP(2,1/SEARCH($S$2:$S$65,G1046),$T$2:$T$65),"Misc")</f>
        <v>COTS</v>
      </c>
      <c r="O1046" t="str" cm="1">
        <f t="array" ref="O1046">IFERROR(LOOKUP(2,1/SEARCH($V$2:$V$65,G1046),$W$2:$W$65),"Misc")</f>
        <v>BEARING</v>
      </c>
      <c r="P1046" t="str" cm="1">
        <f t="array" ref="P1046">IFERROR(LOOKUP(2,1/SEARCH($Y$2:$Y$65,G1046),$Z$2:$Z$65),"Not Defined")</f>
        <v>BEARING</v>
      </c>
      <c r="Q1046" t="str" cm="1">
        <f t="array" ref="Q1046">IFERROR(LOOKUP(2,1/SEARCH($S$2:$S$65,H1046),$T$2:$T$65),"-")</f>
        <v>COTS</v>
      </c>
    </row>
    <row r="1047" spans="1:17" hidden="1" x14ac:dyDescent="0.25">
      <c r="A1047" t="s">
        <v>7674</v>
      </c>
      <c r="B1047" s="2" t="s">
        <v>2795</v>
      </c>
      <c r="C1047">
        <v>2</v>
      </c>
      <c r="D1047" t="s">
        <v>7308</v>
      </c>
      <c r="E1047" t="s">
        <v>7880</v>
      </c>
      <c r="F1047" t="s">
        <v>2796</v>
      </c>
      <c r="G1047" t="s">
        <v>7322</v>
      </c>
      <c r="H1047" t="s">
        <v>2797</v>
      </c>
      <c r="I1047" t="s">
        <v>210</v>
      </c>
      <c r="J1047" t="s">
        <v>7703</v>
      </c>
      <c r="K1047" t="s">
        <v>7684</v>
      </c>
      <c r="L1047" t="s">
        <v>7834</v>
      </c>
      <c r="N1047" t="str" cm="1">
        <f t="array" ref="N1047">IFERROR(LOOKUP(2,1/SEARCH($S$2:$S$65,G1047),$T$2:$T$65),"Misc")</f>
        <v>COTS</v>
      </c>
      <c r="O1047" t="str" cm="1">
        <f t="array" ref="O1047">IFERROR(LOOKUP(2,1/SEARCH($V$2:$V$65,G1047),$W$2:$W$65),"Misc")</f>
        <v>Fasteners</v>
      </c>
      <c r="P1047" t="str" cm="1">
        <f t="array" ref="P1047">IFERROR(LOOKUP(2,1/SEARCH($Y$2:$Y$65,G1047),$Z$2:$Z$65),"Not Defined")</f>
        <v>Not Defined</v>
      </c>
      <c r="Q1047" t="str" cm="1">
        <f t="array" ref="Q1047">IFERROR(LOOKUP(2,1/SEARCH($S$2:$S$65,H1047),$T$2:$T$65),"-")</f>
        <v>COTS</v>
      </c>
    </row>
    <row r="1048" spans="1:17" hidden="1" x14ac:dyDescent="0.25">
      <c r="A1048" t="s">
        <v>7674</v>
      </c>
      <c r="B1048" s="2" t="s">
        <v>2798</v>
      </c>
      <c r="C1048">
        <v>1</v>
      </c>
      <c r="D1048" t="s">
        <v>7308</v>
      </c>
      <c r="E1048" t="s">
        <v>7880</v>
      </c>
      <c r="F1048" t="s">
        <v>2799</v>
      </c>
      <c r="G1048" t="s">
        <v>7323</v>
      </c>
      <c r="H1048" t="s">
        <v>2800</v>
      </c>
      <c r="I1048" t="s">
        <v>210</v>
      </c>
      <c r="J1048" t="s">
        <v>7703</v>
      </c>
      <c r="K1048" t="s">
        <v>7719</v>
      </c>
      <c r="L1048" t="s">
        <v>7688</v>
      </c>
      <c r="N1048" t="str" cm="1">
        <f t="array" ref="N1048">IFERROR(LOOKUP(2,1/SEARCH($S$2:$S$65,G1048),$T$2:$T$65),"Misc")</f>
        <v>COTS</v>
      </c>
      <c r="O1048" t="str" cm="1">
        <f t="array" ref="O1048">IFERROR(LOOKUP(2,1/SEARCH($V$2:$V$65,G1048),$W$2:$W$65),"Misc")</f>
        <v>Misc</v>
      </c>
      <c r="P1048" t="str" cm="1">
        <f t="array" ref="P1048">IFERROR(LOOKUP(2,1/SEARCH($Y$2:$Y$65,G1048),$Z$2:$Z$65),"Not Defined")</f>
        <v>SPRING</v>
      </c>
      <c r="Q1048" t="str" cm="1">
        <f t="array" ref="Q1048">IFERROR(LOOKUP(2,1/SEARCH($S$2:$S$65,H1048),$T$2:$T$65),"-")</f>
        <v>COTS</v>
      </c>
    </row>
    <row r="1049" spans="1:17" hidden="1" x14ac:dyDescent="0.25">
      <c r="A1049" t="s">
        <v>7674</v>
      </c>
      <c r="B1049" s="2" t="s">
        <v>2801</v>
      </c>
      <c r="C1049">
        <v>1</v>
      </c>
      <c r="D1049" t="s">
        <v>7308</v>
      </c>
      <c r="E1049" t="s">
        <v>7880</v>
      </c>
      <c r="F1049" t="s">
        <v>2802</v>
      </c>
      <c r="G1049" t="s">
        <v>7324</v>
      </c>
      <c r="H1049" t="s">
        <v>2803</v>
      </c>
      <c r="I1049" t="s">
        <v>210</v>
      </c>
      <c r="J1049" t="s">
        <v>7703</v>
      </c>
      <c r="K1049" t="s">
        <v>7684</v>
      </c>
      <c r="L1049" t="s">
        <v>7834</v>
      </c>
      <c r="N1049" t="str" cm="1">
        <f t="array" ref="N1049">IFERROR(LOOKUP(2,1/SEARCH($S$2:$S$65,G1049),$T$2:$T$65),"Misc")</f>
        <v>COTS</v>
      </c>
      <c r="O1049" t="str" cm="1">
        <f t="array" ref="O1049">IFERROR(LOOKUP(2,1/SEARCH($V$2:$V$65,G1049),$W$2:$W$65),"Misc")</f>
        <v>Fasteners</v>
      </c>
      <c r="P1049" t="str" cm="1">
        <f t="array" ref="P1049">IFERROR(LOOKUP(2,1/SEARCH($Y$2:$Y$65,G1049),$Z$2:$Z$65),"Not Defined")</f>
        <v>Not Defined</v>
      </c>
      <c r="Q1049" t="str" cm="1">
        <f t="array" ref="Q1049">IFERROR(LOOKUP(2,1/SEARCH($S$2:$S$65,H1049),$T$2:$T$65),"-")</f>
        <v>COTS</v>
      </c>
    </row>
    <row r="1050" spans="1:17" hidden="1" x14ac:dyDescent="0.25">
      <c r="A1050" t="s">
        <v>7674</v>
      </c>
      <c r="B1050" s="2" t="s">
        <v>2804</v>
      </c>
      <c r="C1050">
        <v>2</v>
      </c>
      <c r="D1050" t="s">
        <v>7308</v>
      </c>
      <c r="E1050" t="s">
        <v>7880</v>
      </c>
      <c r="F1050" t="s">
        <v>2805</v>
      </c>
      <c r="G1050" t="s">
        <v>7325</v>
      </c>
      <c r="H1050" t="s">
        <v>2806</v>
      </c>
      <c r="I1050" t="s">
        <v>210</v>
      </c>
      <c r="J1050" t="s">
        <v>7703</v>
      </c>
      <c r="K1050" t="s">
        <v>7684</v>
      </c>
      <c r="L1050" t="s">
        <v>7685</v>
      </c>
      <c r="N1050" t="str" cm="1">
        <f t="array" ref="N1050">IFERROR(LOOKUP(2,1/SEARCH($S$2:$S$65,G1050),$T$2:$T$65),"Misc")</f>
        <v>COTS</v>
      </c>
      <c r="O1050" t="str" cm="1">
        <f t="array" ref="O1050">IFERROR(LOOKUP(2,1/SEARCH($V$2:$V$65,G1050),$W$2:$W$65),"Misc")</f>
        <v>Fasteners</v>
      </c>
      <c r="P1050" t="str" cm="1">
        <f t="array" ref="P1050">IFERROR(LOOKUP(2,1/SEARCH($Y$2:$Y$65,G1050),$Z$2:$Z$65),"Not Defined")</f>
        <v>NUT</v>
      </c>
      <c r="Q1050" t="str" cm="1">
        <f t="array" ref="Q1050">IFERROR(LOOKUP(2,1/SEARCH($S$2:$S$65,H1050),$T$2:$T$65),"-")</f>
        <v>COTS</v>
      </c>
    </row>
    <row r="1051" spans="1:17" hidden="1" x14ac:dyDescent="0.25">
      <c r="A1051" t="s">
        <v>7674</v>
      </c>
      <c r="B1051" s="2" t="s">
        <v>2807</v>
      </c>
      <c r="C1051">
        <v>1</v>
      </c>
      <c r="D1051" t="s">
        <v>7308</v>
      </c>
      <c r="E1051" t="s">
        <v>7880</v>
      </c>
      <c r="F1051" t="s">
        <v>2808</v>
      </c>
      <c r="G1051" t="s">
        <v>7326</v>
      </c>
      <c r="H1051" t="s">
        <v>2809</v>
      </c>
      <c r="I1051" t="s">
        <v>210</v>
      </c>
      <c r="J1051" t="s">
        <v>7703</v>
      </c>
      <c r="K1051" t="str" cm="1">
        <f t="array" ref="K1051">IFERROR(LOOKUP(2,1/SEARCH($V$2:$V$65,C1051),$W$2:$W$65),"Misc")</f>
        <v>Misc</v>
      </c>
      <c r="L1051" t="s">
        <v>7834</v>
      </c>
      <c r="N1051" t="str" cm="1">
        <f t="array" ref="N1051">IFERROR(LOOKUP(2,1/SEARCH($S$2:$S$65,G1051),$T$2:$T$65),"Misc")</f>
        <v>COTS</v>
      </c>
      <c r="O1051" t="str" cm="1">
        <f t="array" ref="O1051">IFERROR(LOOKUP(2,1/SEARCH($V$2:$V$65,G1051),$W$2:$W$65),"Misc")</f>
        <v>Misc</v>
      </c>
      <c r="P1051" t="str" cm="1">
        <f t="array" ref="P1051">IFERROR(LOOKUP(2,1/SEARCH($Y$2:$Y$65,G1051),$Z$2:$Z$65),"Not Defined")</f>
        <v>Not Defined</v>
      </c>
      <c r="Q1051" t="str" cm="1">
        <f t="array" ref="Q1051">IFERROR(LOOKUP(2,1/SEARCH($S$2:$S$65,H1051),$T$2:$T$65),"-")</f>
        <v>COTS</v>
      </c>
    </row>
    <row r="1052" spans="1:17" hidden="1" x14ac:dyDescent="0.25">
      <c r="A1052" t="s">
        <v>7674</v>
      </c>
      <c r="B1052" s="2" t="s">
        <v>2810</v>
      </c>
      <c r="C1052">
        <v>1</v>
      </c>
      <c r="D1052" t="s">
        <v>7308</v>
      </c>
      <c r="E1052" t="s">
        <v>7880</v>
      </c>
      <c r="F1052" t="s">
        <v>2811</v>
      </c>
      <c r="G1052" t="s">
        <v>7327</v>
      </c>
      <c r="H1052" t="s">
        <v>2812</v>
      </c>
      <c r="I1052" t="s">
        <v>210</v>
      </c>
      <c r="J1052" t="s">
        <v>7703</v>
      </c>
      <c r="K1052" t="s">
        <v>7684</v>
      </c>
      <c r="L1052" t="s">
        <v>7834</v>
      </c>
      <c r="N1052" t="str" cm="1">
        <f t="array" ref="N1052">IFERROR(LOOKUP(2,1/SEARCH($S$2:$S$65,G1052),$T$2:$T$65),"Misc")</f>
        <v>COTS</v>
      </c>
      <c r="O1052" t="str" cm="1">
        <f t="array" ref="O1052">IFERROR(LOOKUP(2,1/SEARCH($V$2:$V$65,G1052),$W$2:$W$65),"Misc")</f>
        <v>Fasteners</v>
      </c>
      <c r="P1052" t="str" cm="1">
        <f t="array" ref="P1052">IFERROR(LOOKUP(2,1/SEARCH($Y$2:$Y$65,G1052),$Z$2:$Z$65),"Not Defined")</f>
        <v>Not Defined</v>
      </c>
      <c r="Q1052" t="str" cm="1">
        <f t="array" ref="Q1052">IFERROR(LOOKUP(2,1/SEARCH($S$2:$S$65,H1052),$T$2:$T$65),"-")</f>
        <v>COTS</v>
      </c>
    </row>
    <row r="1053" spans="1:17" hidden="1" x14ac:dyDescent="0.25">
      <c r="A1053" t="s">
        <v>7674</v>
      </c>
      <c r="B1053" s="2" t="s">
        <v>2813</v>
      </c>
      <c r="C1053">
        <v>1</v>
      </c>
      <c r="D1053" t="s">
        <v>7308</v>
      </c>
      <c r="E1053" t="s">
        <v>7880</v>
      </c>
      <c r="F1053" t="s">
        <v>2814</v>
      </c>
      <c r="G1053" t="s">
        <v>7328</v>
      </c>
      <c r="H1053" t="s">
        <v>2815</v>
      </c>
      <c r="I1053" t="s">
        <v>210</v>
      </c>
      <c r="J1053" t="s">
        <v>7703</v>
      </c>
      <c r="K1053" t="s">
        <v>7684</v>
      </c>
      <c r="L1053" t="s">
        <v>7834</v>
      </c>
      <c r="N1053" t="str" cm="1">
        <f t="array" ref="N1053">IFERROR(LOOKUP(2,1/SEARCH($S$2:$S$65,G1053),$T$2:$T$65),"Misc")</f>
        <v>COTS</v>
      </c>
      <c r="O1053" t="str" cm="1">
        <f t="array" ref="O1053">IFERROR(LOOKUP(2,1/SEARCH($V$2:$V$65,G1053),$W$2:$W$65),"Misc")</f>
        <v>Fasteners</v>
      </c>
      <c r="P1053" t="str" cm="1">
        <f t="array" ref="P1053">IFERROR(LOOKUP(2,1/SEARCH($Y$2:$Y$65,G1053),$Z$2:$Z$65),"Not Defined")</f>
        <v>Not Defined</v>
      </c>
      <c r="Q1053" t="str" cm="1">
        <f t="array" ref="Q1053">IFERROR(LOOKUP(2,1/SEARCH($S$2:$S$65,H1053),$T$2:$T$65),"-")</f>
        <v>COTS</v>
      </c>
    </row>
    <row r="1054" spans="1:17" hidden="1" x14ac:dyDescent="0.25">
      <c r="A1054" t="s">
        <v>7674</v>
      </c>
      <c r="B1054" s="2" t="s">
        <v>2816</v>
      </c>
      <c r="C1054">
        <v>1</v>
      </c>
      <c r="D1054" t="s">
        <v>7308</v>
      </c>
      <c r="E1054" t="s">
        <v>7880</v>
      </c>
      <c r="F1054" t="s">
        <v>2817</v>
      </c>
      <c r="G1054" t="s">
        <v>7329</v>
      </c>
      <c r="H1054" t="s">
        <v>2818</v>
      </c>
      <c r="I1054" t="s">
        <v>299</v>
      </c>
      <c r="J1054" t="s">
        <v>7703</v>
      </c>
      <c r="K1054" t="s">
        <v>7684</v>
      </c>
      <c r="L1054" t="s">
        <v>7708</v>
      </c>
      <c r="N1054" t="str" cm="1">
        <f t="array" ref="N1054">IFERROR(LOOKUP(2,1/SEARCH($S$2:$S$65,G1054),$T$2:$T$65),"Misc")</f>
        <v>COTS</v>
      </c>
      <c r="O1054" t="str" cm="1">
        <f t="array" ref="O1054">IFERROR(LOOKUP(2,1/SEARCH($V$2:$V$65,G1054),$W$2:$W$65),"Misc")</f>
        <v>Fasteners</v>
      </c>
      <c r="P1054" t="str" cm="1">
        <f t="array" ref="P1054">IFERROR(LOOKUP(2,1/SEARCH($Y$2:$Y$65,G1054),$Z$2:$Z$65),"Not Defined")</f>
        <v>STANDOFF</v>
      </c>
      <c r="Q1054" t="str" cm="1">
        <f t="array" ref="Q1054">IFERROR(LOOKUP(2,1/SEARCH($S$2:$S$65,H1054),$T$2:$T$65),"-")</f>
        <v>COTS</v>
      </c>
    </row>
    <row r="1055" spans="1:17" hidden="1" x14ac:dyDescent="0.25">
      <c r="A1055" t="s">
        <v>7674</v>
      </c>
      <c r="B1055" s="2" t="s">
        <v>2819</v>
      </c>
      <c r="C1055">
        <v>1</v>
      </c>
      <c r="D1055" t="s">
        <v>7308</v>
      </c>
      <c r="E1055" t="s">
        <v>7880</v>
      </c>
      <c r="F1055" t="s">
        <v>2820</v>
      </c>
      <c r="G1055" t="s">
        <v>7330</v>
      </c>
      <c r="H1055" t="s">
        <v>2821</v>
      </c>
      <c r="I1055" t="s">
        <v>299</v>
      </c>
      <c r="J1055" t="s">
        <v>7703</v>
      </c>
      <c r="K1055" t="s">
        <v>7684</v>
      </c>
      <c r="L1055" t="s">
        <v>7708</v>
      </c>
      <c r="N1055" t="str" cm="1">
        <f t="array" ref="N1055">IFERROR(LOOKUP(2,1/SEARCH($S$2:$S$65,G1055),$T$2:$T$65),"Misc")</f>
        <v>COTS</v>
      </c>
      <c r="O1055" t="str" cm="1">
        <f t="array" ref="O1055">IFERROR(LOOKUP(2,1/SEARCH($V$2:$V$65,G1055),$W$2:$W$65),"Misc")</f>
        <v>Fasteners</v>
      </c>
      <c r="P1055" t="str" cm="1">
        <f t="array" ref="P1055">IFERROR(LOOKUP(2,1/SEARCH($Y$2:$Y$65,G1055),$Z$2:$Z$65),"Not Defined")</f>
        <v>STANDOFF</v>
      </c>
      <c r="Q1055" t="str" cm="1">
        <f t="array" ref="Q1055">IFERROR(LOOKUP(2,1/SEARCH($S$2:$S$65,H1055),$T$2:$T$65),"-")</f>
        <v>COTS</v>
      </c>
    </row>
    <row r="1056" spans="1:17" hidden="1" x14ac:dyDescent="0.25">
      <c r="A1056" t="s">
        <v>7674</v>
      </c>
      <c r="B1056" s="2" t="s">
        <v>2822</v>
      </c>
      <c r="C1056">
        <v>1</v>
      </c>
      <c r="D1056" t="s">
        <v>7308</v>
      </c>
      <c r="E1056" t="s">
        <v>7880</v>
      </c>
      <c r="F1056" t="s">
        <v>2823</v>
      </c>
      <c r="G1056" t="s">
        <v>7331</v>
      </c>
      <c r="H1056" t="s">
        <v>2824</v>
      </c>
      <c r="I1056" t="s">
        <v>210</v>
      </c>
      <c r="J1056" t="s">
        <v>7703</v>
      </c>
      <c r="K1056" t="s">
        <v>7684</v>
      </c>
      <c r="L1056" t="s">
        <v>7834</v>
      </c>
      <c r="N1056" t="str" cm="1">
        <f t="array" ref="N1056">IFERROR(LOOKUP(2,1/SEARCH($S$2:$S$65,G1056),$T$2:$T$65),"Misc")</f>
        <v>COTS</v>
      </c>
      <c r="O1056" t="str" cm="1">
        <f t="array" ref="O1056">IFERROR(LOOKUP(2,1/SEARCH($V$2:$V$65,G1056),$W$2:$W$65),"Misc")</f>
        <v>Fasteners</v>
      </c>
      <c r="P1056" t="str" cm="1">
        <f t="array" ref="P1056">IFERROR(LOOKUP(2,1/SEARCH($Y$2:$Y$65,G1056),$Z$2:$Z$65),"Not Defined")</f>
        <v>Not Defined</v>
      </c>
      <c r="Q1056" t="str" cm="1">
        <f t="array" ref="Q1056">IFERROR(LOOKUP(2,1/SEARCH($S$2:$S$65,H1056),$T$2:$T$65),"-")</f>
        <v>COTS</v>
      </c>
    </row>
    <row r="1057" spans="1:17" hidden="1" x14ac:dyDescent="0.25">
      <c r="A1057" t="s">
        <v>7674</v>
      </c>
      <c r="B1057" s="2" t="s">
        <v>2825</v>
      </c>
      <c r="C1057">
        <v>2</v>
      </c>
      <c r="D1057" t="s">
        <v>7308</v>
      </c>
      <c r="E1057" t="s">
        <v>7880</v>
      </c>
      <c r="F1057" t="s">
        <v>920</v>
      </c>
      <c r="G1057" t="s">
        <v>7130</v>
      </c>
      <c r="H1057" t="s">
        <v>921</v>
      </c>
      <c r="I1057" t="s">
        <v>255</v>
      </c>
      <c r="J1057" t="s">
        <v>7703</v>
      </c>
      <c r="K1057" t="s">
        <v>7677</v>
      </c>
      <c r="L1057" t="s">
        <v>7677</v>
      </c>
      <c r="N1057" t="str" cm="1">
        <f t="array" ref="N1057">IFERROR(LOOKUP(2,1/SEARCH($S$2:$S$65,G1057),$T$2:$T$65),"Misc")</f>
        <v>COTS</v>
      </c>
      <c r="O1057" t="str" cm="1">
        <f t="array" ref="O1057">IFERROR(LOOKUP(2,1/SEARCH($V$2:$V$65,G1057),$W$2:$W$65),"Misc")</f>
        <v>SWITCH</v>
      </c>
      <c r="P1057" t="str" cm="1">
        <f t="array" ref="P1057">IFERROR(LOOKUP(2,1/SEARCH($Y$2:$Y$65,G1057),$Z$2:$Z$65),"Not Defined")</f>
        <v>SWITCH</v>
      </c>
      <c r="Q1057" t="str" cm="1">
        <f t="array" ref="Q1057">IFERROR(LOOKUP(2,1/SEARCH($S$2:$S$65,H1057),$T$2:$T$65),"-")</f>
        <v>COTS</v>
      </c>
    </row>
    <row r="1058" spans="1:17" hidden="1" x14ac:dyDescent="0.25">
      <c r="A1058" t="s">
        <v>7674</v>
      </c>
      <c r="B1058" s="2" t="s">
        <v>2826</v>
      </c>
      <c r="C1058">
        <v>1</v>
      </c>
      <c r="D1058" t="s">
        <v>7308</v>
      </c>
      <c r="E1058" t="s">
        <v>7881</v>
      </c>
      <c r="F1058" t="s">
        <v>2827</v>
      </c>
      <c r="G1058" t="s">
        <v>2829</v>
      </c>
      <c r="H1058" t="s">
        <v>2828</v>
      </c>
      <c r="J1058" t="s">
        <v>7742</v>
      </c>
      <c r="K1058" t="s">
        <v>7826</v>
      </c>
      <c r="L1058" t="s">
        <v>7826</v>
      </c>
      <c r="N1058" t="str" cm="1">
        <f t="array" ref="N1058">IFERROR(LOOKUP(2,1/SEARCH($S$2:$S$65,G1058),$T$2:$T$65),"Misc")</f>
        <v>OH ASSY</v>
      </c>
      <c r="O1058" t="str" cm="1">
        <f t="array" ref="O1058">IFERROR(LOOKUP(2,1/SEARCH($V$2:$V$65,G1058),$W$2:$W$65),"Misc")</f>
        <v>OH Part</v>
      </c>
      <c r="P1058" t="str" cm="1">
        <f t="array" ref="P1058">IFERROR(LOOKUP(2,1/SEARCH($Y$2:$Y$65,G1058),$Z$2:$Z$65),"Not Defined")</f>
        <v>OH Part</v>
      </c>
      <c r="Q1058" t="str" cm="1">
        <f t="array" ref="Q1058">IFERROR(LOOKUP(2,1/SEARCH($S$2:$S$65,H1058),$T$2:$T$65),"-")</f>
        <v>OH ASSY</v>
      </c>
    </row>
    <row r="1059" spans="1:17" hidden="1" x14ac:dyDescent="0.25">
      <c r="A1059" t="s">
        <v>7674</v>
      </c>
      <c r="B1059" s="2" t="s">
        <v>2830</v>
      </c>
      <c r="C1059">
        <v>1</v>
      </c>
      <c r="D1059" t="s">
        <v>7308</v>
      </c>
      <c r="E1059" t="s">
        <v>7881</v>
      </c>
      <c r="F1059" t="s">
        <v>2831</v>
      </c>
      <c r="G1059" t="s">
        <v>2833</v>
      </c>
      <c r="H1059" t="s">
        <v>2832</v>
      </c>
      <c r="I1059" t="s">
        <v>13</v>
      </c>
      <c r="J1059" t="s">
        <v>7682</v>
      </c>
      <c r="K1059" t="s">
        <v>7826</v>
      </c>
      <c r="L1059" t="s">
        <v>7826</v>
      </c>
      <c r="N1059" t="str" cm="1">
        <f t="array" ref="N1059">IFERROR(LOOKUP(2,1/SEARCH($S$2:$S$65,G1059),$T$2:$T$65),"Misc")</f>
        <v>OH P/N</v>
      </c>
      <c r="O1059" t="str" cm="1">
        <f t="array" ref="O1059">IFERROR(LOOKUP(2,1/SEARCH($V$2:$V$65,G1059),$W$2:$W$65),"Misc")</f>
        <v>OH Part</v>
      </c>
      <c r="P1059" t="str" cm="1">
        <f t="array" ref="P1059">IFERROR(LOOKUP(2,1/SEARCH($Y$2:$Y$65,G1059),$Z$2:$Z$65),"Not Defined")</f>
        <v>OH Part</v>
      </c>
      <c r="Q1059" t="str" cm="1">
        <f t="array" ref="Q1059">IFERROR(LOOKUP(2,1/SEARCH($S$2:$S$65,H1059),$T$2:$T$65),"-")</f>
        <v>COTS</v>
      </c>
    </row>
    <row r="1060" spans="1:17" hidden="1" x14ac:dyDescent="0.25">
      <c r="A1060" t="s">
        <v>7674</v>
      </c>
      <c r="B1060" s="2" t="s">
        <v>2834</v>
      </c>
      <c r="C1060">
        <v>1</v>
      </c>
      <c r="D1060" t="s">
        <v>7308</v>
      </c>
      <c r="E1060" t="s">
        <v>7881</v>
      </c>
      <c r="F1060" t="s">
        <v>2835</v>
      </c>
      <c r="G1060" t="s">
        <v>2837</v>
      </c>
      <c r="H1060" t="s">
        <v>2836</v>
      </c>
      <c r="I1060" t="s">
        <v>13</v>
      </c>
      <c r="J1060" t="s">
        <v>7682</v>
      </c>
      <c r="K1060" t="s">
        <v>7826</v>
      </c>
      <c r="L1060" t="s">
        <v>7826</v>
      </c>
      <c r="N1060" t="str" cm="1">
        <f t="array" ref="N1060">IFERROR(LOOKUP(2,1/SEARCH($S$2:$S$65,G1060),$T$2:$T$65),"Misc")</f>
        <v>OH P/N</v>
      </c>
      <c r="O1060" t="str" cm="1">
        <f t="array" ref="O1060">IFERROR(LOOKUP(2,1/SEARCH($V$2:$V$65,G1060),$W$2:$W$65),"Misc")</f>
        <v>OH Part</v>
      </c>
      <c r="P1060" t="str" cm="1">
        <f t="array" ref="P1060">IFERROR(LOOKUP(2,1/SEARCH($Y$2:$Y$65,G1060),$Z$2:$Z$65),"Not Defined")</f>
        <v>OH Part</v>
      </c>
      <c r="Q1060" t="str" cm="1">
        <f t="array" ref="Q1060">IFERROR(LOOKUP(2,1/SEARCH($S$2:$S$65,H1060),$T$2:$T$65),"-")</f>
        <v>-</v>
      </c>
    </row>
    <row r="1061" spans="1:17" hidden="1" x14ac:dyDescent="0.25">
      <c r="A1061" t="s">
        <v>7674</v>
      </c>
      <c r="B1061" s="2" t="s">
        <v>2838</v>
      </c>
      <c r="C1061">
        <v>1</v>
      </c>
      <c r="D1061" t="s">
        <v>7308</v>
      </c>
      <c r="E1061" t="s">
        <v>7881</v>
      </c>
      <c r="F1061" t="s">
        <v>2839</v>
      </c>
      <c r="G1061" t="s">
        <v>2841</v>
      </c>
      <c r="H1061" t="s">
        <v>2840</v>
      </c>
      <c r="I1061" t="s">
        <v>13</v>
      </c>
      <c r="J1061" t="s">
        <v>7682</v>
      </c>
      <c r="K1061" t="s">
        <v>7826</v>
      </c>
      <c r="L1061" t="s">
        <v>7826</v>
      </c>
      <c r="N1061" t="str" cm="1">
        <f t="array" ref="N1061">IFERROR(LOOKUP(2,1/SEARCH($S$2:$S$65,G1061),$T$2:$T$65),"Misc")</f>
        <v>OH P/N</v>
      </c>
      <c r="O1061" t="str" cm="1">
        <f t="array" ref="O1061">IFERROR(LOOKUP(2,1/SEARCH($V$2:$V$65,G1061),$W$2:$W$65),"Misc")</f>
        <v>OH Part</v>
      </c>
      <c r="P1061" t="str" cm="1">
        <f t="array" ref="P1061">IFERROR(LOOKUP(2,1/SEARCH($Y$2:$Y$65,G1061),$Z$2:$Z$65),"Not Defined")</f>
        <v>OH Part</v>
      </c>
      <c r="Q1061" t="str" cm="1">
        <f t="array" ref="Q1061">IFERROR(LOOKUP(2,1/SEARCH($S$2:$S$65,H1061),$T$2:$T$65),"-")</f>
        <v>-</v>
      </c>
    </row>
    <row r="1062" spans="1:17" hidden="1" x14ac:dyDescent="0.25">
      <c r="A1062" t="s">
        <v>7674</v>
      </c>
      <c r="B1062" s="2" t="s">
        <v>2842</v>
      </c>
      <c r="C1062">
        <v>1</v>
      </c>
      <c r="D1062" t="s">
        <v>7308</v>
      </c>
      <c r="E1062" t="s">
        <v>7881</v>
      </c>
      <c r="F1062" t="s">
        <v>2843</v>
      </c>
      <c r="G1062" t="s">
        <v>2845</v>
      </c>
      <c r="H1062" t="s">
        <v>2844</v>
      </c>
      <c r="I1062" t="s">
        <v>13</v>
      </c>
      <c r="J1062" t="s">
        <v>7682</v>
      </c>
      <c r="K1062" t="s">
        <v>7826</v>
      </c>
      <c r="L1062" t="s">
        <v>7826</v>
      </c>
      <c r="N1062" t="str" cm="1">
        <f t="array" ref="N1062">IFERROR(LOOKUP(2,1/SEARCH($S$2:$S$65,G1062),$T$2:$T$65),"Misc")</f>
        <v>OH P/N</v>
      </c>
      <c r="O1062" t="str" cm="1">
        <f t="array" ref="O1062">IFERROR(LOOKUP(2,1/SEARCH($V$2:$V$65,G1062),$W$2:$W$65),"Misc")</f>
        <v>OH Part</v>
      </c>
      <c r="P1062" t="str" cm="1">
        <f t="array" ref="P1062">IFERROR(LOOKUP(2,1/SEARCH($Y$2:$Y$65,G1062),$Z$2:$Z$65),"Not Defined")</f>
        <v>OH Part</v>
      </c>
      <c r="Q1062" t="str" cm="1">
        <f t="array" ref="Q1062">IFERROR(LOOKUP(2,1/SEARCH($S$2:$S$65,H1062),$T$2:$T$65),"-")</f>
        <v>-</v>
      </c>
    </row>
    <row r="1063" spans="1:17" hidden="1" x14ac:dyDescent="0.25">
      <c r="A1063" t="s">
        <v>7674</v>
      </c>
      <c r="B1063" s="2" t="s">
        <v>2846</v>
      </c>
      <c r="C1063">
        <v>1</v>
      </c>
      <c r="D1063" t="s">
        <v>7308</v>
      </c>
      <c r="E1063" t="s">
        <v>7881</v>
      </c>
      <c r="F1063" t="s">
        <v>2847</v>
      </c>
      <c r="G1063" t="s">
        <v>2849</v>
      </c>
      <c r="H1063" t="s">
        <v>2848</v>
      </c>
      <c r="I1063" t="s">
        <v>13</v>
      </c>
      <c r="J1063" t="s">
        <v>7682</v>
      </c>
      <c r="K1063" t="s">
        <v>7826</v>
      </c>
      <c r="L1063" t="s">
        <v>7826</v>
      </c>
      <c r="N1063" t="str" cm="1">
        <f t="array" ref="N1063">IFERROR(LOOKUP(2,1/SEARCH($S$2:$S$65,G1063),$T$2:$T$65),"Misc")</f>
        <v>OH P/N</v>
      </c>
      <c r="O1063" t="str" cm="1">
        <f t="array" ref="O1063">IFERROR(LOOKUP(2,1/SEARCH($V$2:$V$65,G1063),$W$2:$W$65),"Misc")</f>
        <v>OH Part</v>
      </c>
      <c r="P1063" t="str" cm="1">
        <f t="array" ref="P1063">IFERROR(LOOKUP(2,1/SEARCH($Y$2:$Y$65,G1063),$Z$2:$Z$65),"Not Defined")</f>
        <v>OH Part</v>
      </c>
      <c r="Q1063" t="str" cm="1">
        <f t="array" ref="Q1063">IFERROR(LOOKUP(2,1/SEARCH($S$2:$S$65,H1063),$T$2:$T$65),"-")</f>
        <v>-</v>
      </c>
    </row>
    <row r="1064" spans="1:17" hidden="1" x14ac:dyDescent="0.25">
      <c r="A1064" t="s">
        <v>7674</v>
      </c>
      <c r="B1064" s="2" t="s">
        <v>2850</v>
      </c>
      <c r="C1064">
        <v>1</v>
      </c>
      <c r="D1064" t="s">
        <v>7308</v>
      </c>
      <c r="E1064" t="s">
        <v>7881</v>
      </c>
      <c r="F1064" t="s">
        <v>2851</v>
      </c>
      <c r="G1064" t="s">
        <v>2853</v>
      </c>
      <c r="H1064" t="s">
        <v>2852</v>
      </c>
      <c r="I1064" t="s">
        <v>38</v>
      </c>
      <c r="J1064" t="s">
        <v>7682</v>
      </c>
      <c r="K1064" t="s">
        <v>7826</v>
      </c>
      <c r="L1064" t="s">
        <v>7826</v>
      </c>
      <c r="N1064" t="str" cm="1">
        <f t="array" ref="N1064">IFERROR(LOOKUP(2,1/SEARCH($S$2:$S$65,G1064),$T$2:$T$65),"Misc")</f>
        <v>OH P/N</v>
      </c>
      <c r="O1064" t="str" cm="1">
        <f t="array" ref="O1064">IFERROR(LOOKUP(2,1/SEARCH($V$2:$V$65,G1064),$W$2:$W$65),"Misc")</f>
        <v>OH Part</v>
      </c>
      <c r="P1064" t="str" cm="1">
        <f t="array" ref="P1064">IFERROR(LOOKUP(2,1/SEARCH($Y$2:$Y$65,G1064),$Z$2:$Z$65),"Not Defined")</f>
        <v>OH Part</v>
      </c>
      <c r="Q1064" t="str" cm="1">
        <f t="array" ref="Q1064">IFERROR(LOOKUP(2,1/SEARCH($S$2:$S$65,H1064),$T$2:$T$65),"-")</f>
        <v>-</v>
      </c>
    </row>
    <row r="1065" spans="1:17" hidden="1" x14ac:dyDescent="0.25">
      <c r="A1065" t="s">
        <v>7674</v>
      </c>
      <c r="B1065" s="2" t="s">
        <v>2854</v>
      </c>
      <c r="C1065">
        <v>8</v>
      </c>
      <c r="D1065" t="s">
        <v>7308</v>
      </c>
      <c r="E1065" t="s">
        <v>7881</v>
      </c>
      <c r="F1065" t="s">
        <v>222</v>
      </c>
      <c r="G1065" t="s">
        <v>7053</v>
      </c>
      <c r="H1065" t="s">
        <v>223</v>
      </c>
      <c r="I1065" t="s">
        <v>224</v>
      </c>
      <c r="J1065" t="s">
        <v>7703</v>
      </c>
      <c r="K1065" t="s">
        <v>7684</v>
      </c>
      <c r="L1065" t="s">
        <v>7687</v>
      </c>
      <c r="N1065" t="str" cm="1">
        <f t="array" ref="N1065">IFERROR(LOOKUP(2,1/SEARCH($S$2:$S$65,G1065),$T$2:$T$65),"Misc")</f>
        <v>COTS</v>
      </c>
      <c r="O1065" t="str" cm="1">
        <f t="array" ref="O1065">IFERROR(LOOKUP(2,1/SEARCH($V$2:$V$65,G1065),$W$2:$W$65),"Misc")</f>
        <v>Fasteners</v>
      </c>
      <c r="P1065" t="str" cm="1">
        <f t="array" ref="P1065">IFERROR(LOOKUP(2,1/SEARCH($Y$2:$Y$65,G1065),$Z$2:$Z$65),"Not Defined")</f>
        <v>INSERT</v>
      </c>
      <c r="Q1065" t="str" cm="1">
        <f t="array" ref="Q1065">IFERROR(LOOKUP(2,1/SEARCH($S$2:$S$65,H1065),$T$2:$T$65),"-")</f>
        <v>COTS</v>
      </c>
    </row>
    <row r="1066" spans="1:17" hidden="1" x14ac:dyDescent="0.25">
      <c r="A1066" t="s">
        <v>7674</v>
      </c>
      <c r="B1066" s="2" t="s">
        <v>2855</v>
      </c>
      <c r="C1066">
        <v>42</v>
      </c>
      <c r="D1066" t="s">
        <v>7308</v>
      </c>
      <c r="E1066" t="s">
        <v>7881</v>
      </c>
      <c r="F1066" t="s">
        <v>2748</v>
      </c>
      <c r="G1066" t="s">
        <v>7309</v>
      </c>
      <c r="H1066" t="s">
        <v>2749</v>
      </c>
      <c r="I1066" t="s">
        <v>228</v>
      </c>
      <c r="J1066" t="s">
        <v>7703</v>
      </c>
      <c r="K1066" t="s">
        <v>7684</v>
      </c>
      <c r="L1066" t="s">
        <v>7834</v>
      </c>
      <c r="N1066" t="str" cm="1">
        <f t="array" ref="N1066">IFERROR(LOOKUP(2,1/SEARCH($S$2:$S$65,G1066),$T$2:$T$65),"Misc")</f>
        <v>Misc</v>
      </c>
      <c r="O1066" t="str" cm="1">
        <f t="array" ref="O1066">IFERROR(LOOKUP(2,1/SEARCH($V$2:$V$65,G1066),$W$2:$W$65),"Misc")</f>
        <v>Fasteners</v>
      </c>
      <c r="P1066" t="str" cm="1">
        <f t="array" ref="P1066">IFERROR(LOOKUP(2,1/SEARCH($Y$2:$Y$65,G1066),$Z$2:$Z$65),"Not Defined")</f>
        <v>Not Defined</v>
      </c>
      <c r="Q1066" t="str" cm="1">
        <f t="array" ref="Q1066">IFERROR(LOOKUP(2,1/SEARCH($S$2:$S$65,H1066),$T$2:$T$65),"-")</f>
        <v>-</v>
      </c>
    </row>
    <row r="1067" spans="1:17" hidden="1" x14ac:dyDescent="0.25">
      <c r="A1067" t="s">
        <v>7674</v>
      </c>
      <c r="B1067" s="2" t="s">
        <v>2856</v>
      </c>
      <c r="C1067">
        <v>7</v>
      </c>
      <c r="D1067" t="s">
        <v>7308</v>
      </c>
      <c r="E1067" t="s">
        <v>7881</v>
      </c>
      <c r="F1067" t="s">
        <v>216</v>
      </c>
      <c r="G1067" t="s">
        <v>7051</v>
      </c>
      <c r="H1067" t="s">
        <v>217</v>
      </c>
      <c r="I1067" t="s">
        <v>210</v>
      </c>
      <c r="J1067" t="s">
        <v>7703</v>
      </c>
      <c r="K1067" t="s">
        <v>7684</v>
      </c>
      <c r="L1067" t="s">
        <v>7691</v>
      </c>
      <c r="N1067" t="str" cm="1">
        <f t="array" ref="N1067">IFERROR(LOOKUP(2,1/SEARCH($S$2:$S$65,G1067),$T$2:$T$65),"Misc")</f>
        <v>COTS</v>
      </c>
      <c r="O1067" t="str" cm="1">
        <f t="array" ref="O1067">IFERROR(LOOKUP(2,1/SEARCH($V$2:$V$65,G1067),$W$2:$W$65),"Misc")</f>
        <v>Fasteners</v>
      </c>
      <c r="P1067" t="str" cm="1">
        <f t="array" ref="P1067">IFERROR(LOOKUP(2,1/SEARCH($Y$2:$Y$65,G1067),$Z$2:$Z$65),"Not Defined")</f>
        <v>FHS</v>
      </c>
      <c r="Q1067" t="str" cm="1">
        <f t="array" ref="Q1067">IFERROR(LOOKUP(2,1/SEARCH($S$2:$S$65,H1067),$T$2:$T$65),"-")</f>
        <v>COTS</v>
      </c>
    </row>
    <row r="1068" spans="1:17" hidden="1" x14ac:dyDescent="0.25">
      <c r="A1068" t="s">
        <v>7674</v>
      </c>
      <c r="B1068" s="2" t="s">
        <v>2857</v>
      </c>
      <c r="C1068">
        <v>4</v>
      </c>
      <c r="D1068" t="s">
        <v>7308</v>
      </c>
      <c r="E1068" t="s">
        <v>7881</v>
      </c>
      <c r="F1068" t="s">
        <v>2768</v>
      </c>
      <c r="G1068" t="s">
        <v>7314</v>
      </c>
      <c r="H1068" t="s">
        <v>2769</v>
      </c>
      <c r="I1068" t="s">
        <v>224</v>
      </c>
      <c r="J1068" t="s">
        <v>7703</v>
      </c>
      <c r="K1068" t="s">
        <v>7684</v>
      </c>
      <c r="L1068" t="s">
        <v>7687</v>
      </c>
      <c r="N1068" t="str" cm="1">
        <f t="array" ref="N1068">IFERROR(LOOKUP(2,1/SEARCH($S$2:$S$65,G1068),$T$2:$T$65),"Misc")</f>
        <v>COTS</v>
      </c>
      <c r="O1068" t="str" cm="1">
        <f t="array" ref="O1068">IFERROR(LOOKUP(2,1/SEARCH($V$2:$V$65,G1068),$W$2:$W$65),"Misc")</f>
        <v>Fasteners</v>
      </c>
      <c r="P1068" t="str" cm="1">
        <f t="array" ref="P1068">IFERROR(LOOKUP(2,1/SEARCH($Y$2:$Y$65,G1068),$Z$2:$Z$65),"Not Defined")</f>
        <v>INSERT</v>
      </c>
      <c r="Q1068" t="str" cm="1">
        <f t="array" ref="Q1068">IFERROR(LOOKUP(2,1/SEARCH($S$2:$S$65,H1068),$T$2:$T$65),"-")</f>
        <v>COTS</v>
      </c>
    </row>
    <row r="1069" spans="1:17" hidden="1" x14ac:dyDescent="0.25">
      <c r="A1069" t="s">
        <v>7674</v>
      </c>
      <c r="B1069" s="2" t="s">
        <v>2858</v>
      </c>
      <c r="C1069">
        <v>4</v>
      </c>
      <c r="D1069" t="s">
        <v>7308</v>
      </c>
      <c r="E1069" t="s">
        <v>7881</v>
      </c>
      <c r="F1069" t="s">
        <v>2771</v>
      </c>
      <c r="G1069" t="s">
        <v>7315</v>
      </c>
      <c r="H1069" t="s">
        <v>2772</v>
      </c>
      <c r="I1069" t="s">
        <v>228</v>
      </c>
      <c r="J1069" t="s">
        <v>7703</v>
      </c>
      <c r="K1069" t="s">
        <v>7684</v>
      </c>
      <c r="L1069" t="s">
        <v>7693</v>
      </c>
      <c r="N1069" t="str" cm="1">
        <f t="array" ref="N1069">IFERROR(LOOKUP(2,1/SEARCH($S$2:$S$65,G1069),$T$2:$T$65),"Misc")</f>
        <v>COTS</v>
      </c>
      <c r="O1069" t="str" cm="1">
        <f t="array" ref="O1069">IFERROR(LOOKUP(2,1/SEARCH($V$2:$V$65,G1069),$W$2:$W$65),"Misc")</f>
        <v>Fasteners</v>
      </c>
      <c r="P1069" t="str" cm="1">
        <f t="array" ref="P1069">IFERROR(LOOKUP(2,1/SEARCH($Y$2:$Y$65,G1069),$Z$2:$Z$65),"Not Defined")</f>
        <v>PHS</v>
      </c>
      <c r="Q1069" t="str" cm="1">
        <f t="array" ref="Q1069">IFERROR(LOOKUP(2,1/SEARCH($S$2:$S$65,H1069),$T$2:$T$65),"-")</f>
        <v>COTS</v>
      </c>
    </row>
    <row r="1070" spans="1:17" hidden="1" x14ac:dyDescent="0.25">
      <c r="A1070" t="s">
        <v>7674</v>
      </c>
      <c r="B1070" s="2" t="s">
        <v>2859</v>
      </c>
      <c r="C1070">
        <v>1</v>
      </c>
      <c r="D1070" t="s">
        <v>7308</v>
      </c>
      <c r="E1070" t="s">
        <v>7881</v>
      </c>
      <c r="F1070" t="s">
        <v>226</v>
      </c>
      <c r="G1070" t="s">
        <v>7054</v>
      </c>
      <c r="H1070" t="s">
        <v>227</v>
      </c>
      <c r="I1070" t="s">
        <v>228</v>
      </c>
      <c r="J1070" t="s">
        <v>7703</v>
      </c>
      <c r="K1070" t="s">
        <v>7684</v>
      </c>
      <c r="L1070" t="s">
        <v>7685</v>
      </c>
      <c r="N1070" t="str" cm="1">
        <f t="array" ref="N1070">IFERROR(LOOKUP(2,1/SEARCH($S$2:$S$65,G1070),$T$2:$T$65),"Misc")</f>
        <v>COTS</v>
      </c>
      <c r="O1070" t="str" cm="1">
        <f t="array" ref="O1070">IFERROR(LOOKUP(2,1/SEARCH($V$2:$V$65,G1070),$W$2:$W$65),"Misc")</f>
        <v>Fasteners</v>
      </c>
      <c r="P1070" t="str" cm="1">
        <f t="array" ref="P1070">IFERROR(LOOKUP(2,1/SEARCH($Y$2:$Y$65,G1070),$Z$2:$Z$65),"Not Defined")</f>
        <v>NUT</v>
      </c>
      <c r="Q1070" t="str" cm="1">
        <f t="array" ref="Q1070">IFERROR(LOOKUP(2,1/SEARCH($S$2:$S$65,H1070),$T$2:$T$65),"-")</f>
        <v>COTS</v>
      </c>
    </row>
    <row r="1071" spans="1:17" hidden="1" x14ac:dyDescent="0.25">
      <c r="A1071" t="s">
        <v>7674</v>
      </c>
      <c r="B1071" s="2" t="s">
        <v>2860</v>
      </c>
      <c r="C1071">
        <v>1</v>
      </c>
      <c r="D1071" t="s">
        <v>7308</v>
      </c>
      <c r="E1071" t="s">
        <v>7881</v>
      </c>
      <c r="F1071" t="s">
        <v>2861</v>
      </c>
      <c r="G1071" t="s">
        <v>7332</v>
      </c>
      <c r="H1071" t="s">
        <v>2862</v>
      </c>
      <c r="J1071" t="s">
        <v>7703</v>
      </c>
      <c r="K1071" t="s">
        <v>7719</v>
      </c>
      <c r="L1071" t="s">
        <v>7688</v>
      </c>
      <c r="N1071" t="str" cm="1">
        <f t="array" ref="N1071">IFERROR(LOOKUP(2,1/SEARCH($S$2:$S$65,G1071),$T$2:$T$65),"Misc")</f>
        <v>COTS</v>
      </c>
      <c r="O1071" t="str" cm="1">
        <f t="array" ref="O1071">IFERROR(LOOKUP(2,1/SEARCH($V$2:$V$65,G1071),$W$2:$W$65),"Misc")</f>
        <v>Misc</v>
      </c>
      <c r="P1071" t="str" cm="1">
        <f t="array" ref="P1071">IFERROR(LOOKUP(2,1/SEARCH($Y$2:$Y$65,G1071),$Z$2:$Z$65),"Not Defined")</f>
        <v>SPRING</v>
      </c>
      <c r="Q1071" t="str" cm="1">
        <f t="array" ref="Q1071">IFERROR(LOOKUP(2,1/SEARCH($S$2:$S$65,H1071),$T$2:$T$65),"-")</f>
        <v>COTS</v>
      </c>
    </row>
    <row r="1072" spans="1:17" hidden="1" x14ac:dyDescent="0.25">
      <c r="A1072" t="s">
        <v>7674</v>
      </c>
      <c r="B1072" s="2" t="s">
        <v>2863</v>
      </c>
      <c r="C1072">
        <v>1</v>
      </c>
      <c r="D1072" t="s">
        <v>7308</v>
      </c>
      <c r="E1072" t="s">
        <v>7881</v>
      </c>
      <c r="F1072" t="s">
        <v>1274</v>
      </c>
      <c r="G1072" t="s">
        <v>7198</v>
      </c>
      <c r="H1072" t="s">
        <v>1275</v>
      </c>
      <c r="I1072" t="s">
        <v>255</v>
      </c>
      <c r="J1072" t="s">
        <v>7703</v>
      </c>
      <c r="K1072" t="s">
        <v>7677</v>
      </c>
      <c r="L1072" t="s">
        <v>7677</v>
      </c>
      <c r="N1072" t="str" cm="1">
        <f t="array" ref="N1072">IFERROR(LOOKUP(2,1/SEARCH($S$2:$S$65,G1072),$T$2:$T$65),"Misc")</f>
        <v>COTS</v>
      </c>
      <c r="O1072" t="str" cm="1">
        <f t="array" ref="O1072">IFERROR(LOOKUP(2,1/SEARCH($V$2:$V$65,G1072),$W$2:$W$65),"Misc")</f>
        <v>SWITCH</v>
      </c>
      <c r="P1072" t="str" cm="1">
        <f t="array" ref="P1072">IFERROR(LOOKUP(2,1/SEARCH($Y$2:$Y$65,G1072),$Z$2:$Z$65),"Not Defined")</f>
        <v>SWITCH</v>
      </c>
      <c r="Q1072" t="str" cm="1">
        <f t="array" ref="Q1072">IFERROR(LOOKUP(2,1/SEARCH($S$2:$S$65,H1072),$T$2:$T$65),"-")</f>
        <v>COTS</v>
      </c>
    </row>
    <row r="1073" spans="1:17" hidden="1" x14ac:dyDescent="0.25">
      <c r="A1073" t="s">
        <v>7674</v>
      </c>
      <c r="B1073" s="2" t="s">
        <v>2864</v>
      </c>
      <c r="C1073">
        <v>1</v>
      </c>
      <c r="D1073" t="s">
        <v>7308</v>
      </c>
      <c r="E1073" t="s">
        <v>7881</v>
      </c>
      <c r="F1073" t="s">
        <v>698</v>
      </c>
      <c r="G1073" t="s">
        <v>7118</v>
      </c>
      <c r="H1073" t="s">
        <v>699</v>
      </c>
      <c r="I1073" t="s">
        <v>255</v>
      </c>
      <c r="J1073" t="s">
        <v>7703</v>
      </c>
      <c r="K1073" t="s">
        <v>7684</v>
      </c>
      <c r="L1073" t="s">
        <v>7692</v>
      </c>
      <c r="N1073" t="str" cm="1">
        <f t="array" ref="N1073">IFERROR(LOOKUP(2,1/SEARCH($S$2:$S$65,G1073),$T$2:$T$65),"Misc")</f>
        <v>COTS</v>
      </c>
      <c r="O1073" t="str" cm="1">
        <f t="array" ref="O1073">IFERROR(LOOKUP(2,1/SEARCH($V$2:$V$65,G1073),$W$2:$W$65),"Misc")</f>
        <v>Fasteners</v>
      </c>
      <c r="P1073" t="str" cm="1">
        <f t="array" ref="P1073">IFERROR(LOOKUP(2,1/SEARCH($Y$2:$Y$65,G1073),$Z$2:$Z$65),"Not Defined")</f>
        <v>WASHER</v>
      </c>
      <c r="Q1073" t="str" cm="1">
        <f t="array" ref="Q1073">IFERROR(LOOKUP(2,1/SEARCH($S$2:$S$65,H1073),$T$2:$T$65),"-")</f>
        <v>COTS</v>
      </c>
    </row>
    <row r="1074" spans="1:17" hidden="1" x14ac:dyDescent="0.25">
      <c r="A1074" t="s">
        <v>7674</v>
      </c>
      <c r="B1074" s="2" t="s">
        <v>2865</v>
      </c>
      <c r="C1074">
        <v>1</v>
      </c>
      <c r="D1074" t="s">
        <v>7308</v>
      </c>
      <c r="E1074" t="s">
        <v>7881</v>
      </c>
      <c r="F1074" t="s">
        <v>695</v>
      </c>
      <c r="G1074" t="s">
        <v>7117</v>
      </c>
      <c r="H1074" t="s">
        <v>696</v>
      </c>
      <c r="I1074" t="s">
        <v>255</v>
      </c>
      <c r="J1074" t="s">
        <v>7703</v>
      </c>
      <c r="K1074" t="s">
        <v>7719</v>
      </c>
      <c r="L1074" t="s">
        <v>7719</v>
      </c>
      <c r="N1074" t="str" cm="1">
        <f t="array" ref="N1074">IFERROR(LOOKUP(2,1/SEARCH($S$2:$S$65,G1074),$T$2:$T$65),"Misc")</f>
        <v>COTS</v>
      </c>
      <c r="O1074" t="str" cm="1">
        <f t="array" ref="O1074">IFERROR(LOOKUP(2,1/SEARCH($V$2:$V$65,G1074),$W$2:$W$65),"Misc")</f>
        <v>Misc</v>
      </c>
      <c r="P1074" t="str" cm="1">
        <f t="array" ref="P1074">IFERROR(LOOKUP(2,1/SEARCH($Y$2:$Y$65,G1074),$Z$2:$Z$65),"Not Defined")</f>
        <v>Retaining Rings</v>
      </c>
      <c r="Q1074" t="str" cm="1">
        <f t="array" ref="Q1074">IFERROR(LOOKUP(2,1/SEARCH($S$2:$S$65,H1074),$T$2:$T$65),"-")</f>
        <v>COTS</v>
      </c>
    </row>
    <row r="1075" spans="1:17" hidden="1" x14ac:dyDescent="0.25">
      <c r="A1075" t="s">
        <v>7674</v>
      </c>
      <c r="B1075" s="2" t="s">
        <v>2866</v>
      </c>
      <c r="C1075">
        <v>2</v>
      </c>
      <c r="D1075" t="s">
        <v>7308</v>
      </c>
      <c r="E1075" t="s">
        <v>7881</v>
      </c>
      <c r="F1075" t="s">
        <v>701</v>
      </c>
      <c r="G1075" t="s">
        <v>7119</v>
      </c>
      <c r="H1075" t="s">
        <v>702</v>
      </c>
      <c r="I1075" t="s">
        <v>255</v>
      </c>
      <c r="J1075" t="s">
        <v>7703</v>
      </c>
      <c r="K1075" t="s">
        <v>7684</v>
      </c>
      <c r="L1075" t="s">
        <v>7685</v>
      </c>
      <c r="N1075" t="str" cm="1">
        <f t="array" ref="N1075">IFERROR(LOOKUP(2,1/SEARCH($S$2:$S$65,G1075),$T$2:$T$65),"Misc")</f>
        <v>COTS</v>
      </c>
      <c r="O1075" t="str" cm="1">
        <f t="array" ref="O1075">IFERROR(LOOKUP(2,1/SEARCH($V$2:$V$65,G1075),$W$2:$W$65),"Misc")</f>
        <v>Fasteners</v>
      </c>
      <c r="P1075" t="str" cm="1">
        <f t="array" ref="P1075">IFERROR(LOOKUP(2,1/SEARCH($Y$2:$Y$65,G1075),$Z$2:$Z$65),"Not Defined")</f>
        <v>NUT</v>
      </c>
      <c r="Q1075" t="str" cm="1">
        <f t="array" ref="Q1075">IFERROR(LOOKUP(2,1/SEARCH($S$2:$S$65,H1075),$T$2:$T$65),"-")</f>
        <v>COTS</v>
      </c>
    </row>
    <row r="1076" spans="1:17" hidden="1" x14ac:dyDescent="0.25">
      <c r="A1076" t="s">
        <v>7674</v>
      </c>
      <c r="B1076" s="2" t="s">
        <v>2867</v>
      </c>
      <c r="C1076">
        <v>2</v>
      </c>
      <c r="D1076" t="s">
        <v>7308</v>
      </c>
      <c r="E1076" t="s">
        <v>7881</v>
      </c>
      <c r="F1076" t="s">
        <v>920</v>
      </c>
      <c r="G1076" t="s">
        <v>7130</v>
      </c>
      <c r="H1076" t="s">
        <v>921</v>
      </c>
      <c r="I1076" t="s">
        <v>255</v>
      </c>
      <c r="J1076" t="s">
        <v>7703</v>
      </c>
      <c r="K1076" t="s">
        <v>7677</v>
      </c>
      <c r="L1076" t="s">
        <v>7677</v>
      </c>
      <c r="N1076" t="str" cm="1">
        <f t="array" ref="N1076">IFERROR(LOOKUP(2,1/SEARCH($S$2:$S$65,G1076),$T$2:$T$65),"Misc")</f>
        <v>COTS</v>
      </c>
      <c r="O1076" t="str" cm="1">
        <f t="array" ref="O1076">IFERROR(LOOKUP(2,1/SEARCH($V$2:$V$65,G1076),$W$2:$W$65),"Misc")</f>
        <v>SWITCH</v>
      </c>
      <c r="P1076" t="str" cm="1">
        <f t="array" ref="P1076">IFERROR(LOOKUP(2,1/SEARCH($Y$2:$Y$65,G1076),$Z$2:$Z$65),"Not Defined")</f>
        <v>SWITCH</v>
      </c>
      <c r="Q1076" t="str" cm="1">
        <f t="array" ref="Q1076">IFERROR(LOOKUP(2,1/SEARCH($S$2:$S$65,H1076),$T$2:$T$65),"-")</f>
        <v>COTS</v>
      </c>
    </row>
    <row r="1077" spans="1:17" hidden="1" x14ac:dyDescent="0.25">
      <c r="A1077" t="s">
        <v>7674</v>
      </c>
      <c r="B1077" s="2" t="s">
        <v>2868</v>
      </c>
      <c r="C1077">
        <v>1</v>
      </c>
      <c r="D1077" t="s">
        <v>7308</v>
      </c>
      <c r="E1077" t="s">
        <v>7882</v>
      </c>
      <c r="F1077" t="s">
        <v>2869</v>
      </c>
      <c r="G1077" t="s">
        <v>2871</v>
      </c>
      <c r="H1077" t="s">
        <v>2870</v>
      </c>
      <c r="J1077" t="s">
        <v>7742</v>
      </c>
      <c r="K1077" t="s">
        <v>7826</v>
      </c>
      <c r="L1077" t="s">
        <v>7826</v>
      </c>
      <c r="N1077" t="str" cm="1">
        <f t="array" ref="N1077">IFERROR(LOOKUP(2,1/SEARCH($S$2:$S$65,G1077),$T$2:$T$65),"Misc")</f>
        <v>OH ASSY</v>
      </c>
      <c r="O1077" t="str" cm="1">
        <f t="array" ref="O1077">IFERROR(LOOKUP(2,1/SEARCH($V$2:$V$65,G1077),$W$2:$W$65),"Misc")</f>
        <v>OH Part</v>
      </c>
      <c r="P1077" t="str" cm="1">
        <f t="array" ref="P1077">IFERROR(LOOKUP(2,1/SEARCH($Y$2:$Y$65,G1077),$Z$2:$Z$65),"Not Defined")</f>
        <v>OH Part</v>
      </c>
      <c r="Q1077" t="str" cm="1">
        <f t="array" ref="Q1077">IFERROR(LOOKUP(2,1/SEARCH($S$2:$S$65,H1077),$T$2:$T$65),"-")</f>
        <v>OH ASSY</v>
      </c>
    </row>
    <row r="1078" spans="1:17" hidden="1" x14ac:dyDescent="0.25">
      <c r="A1078" t="s">
        <v>7674</v>
      </c>
      <c r="B1078" s="2" t="s">
        <v>2872</v>
      </c>
      <c r="C1078">
        <v>1</v>
      </c>
      <c r="D1078" t="s">
        <v>7308</v>
      </c>
      <c r="E1078" t="s">
        <v>7882</v>
      </c>
      <c r="F1078" t="s">
        <v>2873</v>
      </c>
      <c r="G1078" t="s">
        <v>2875</v>
      </c>
      <c r="H1078" t="s">
        <v>2874</v>
      </c>
      <c r="I1078" t="s">
        <v>13</v>
      </c>
      <c r="J1078" t="s">
        <v>7682</v>
      </c>
      <c r="K1078" t="s">
        <v>7826</v>
      </c>
      <c r="L1078" t="s">
        <v>7826</v>
      </c>
      <c r="N1078" t="str" cm="1">
        <f t="array" ref="N1078">IFERROR(LOOKUP(2,1/SEARCH($S$2:$S$65,G1078),$T$2:$T$65),"Misc")</f>
        <v>OH P/N</v>
      </c>
      <c r="O1078" t="str" cm="1">
        <f t="array" ref="O1078">IFERROR(LOOKUP(2,1/SEARCH($V$2:$V$65,G1078),$W$2:$W$65),"Misc")</f>
        <v>OH Part</v>
      </c>
      <c r="P1078" t="str" cm="1">
        <f t="array" ref="P1078">IFERROR(LOOKUP(2,1/SEARCH($Y$2:$Y$65,G1078),$Z$2:$Z$65),"Not Defined")</f>
        <v>OH Part</v>
      </c>
      <c r="Q1078" t="str" cm="1">
        <f t="array" ref="Q1078">IFERROR(LOOKUP(2,1/SEARCH($S$2:$S$65,H1078),$T$2:$T$65),"-")</f>
        <v>-</v>
      </c>
    </row>
    <row r="1079" spans="1:17" hidden="1" x14ac:dyDescent="0.25">
      <c r="A1079" t="s">
        <v>7674</v>
      </c>
      <c r="B1079" s="2" t="s">
        <v>2876</v>
      </c>
      <c r="C1079">
        <v>2</v>
      </c>
      <c r="D1079" t="s">
        <v>7308</v>
      </c>
      <c r="E1079" t="s">
        <v>7882</v>
      </c>
      <c r="F1079" t="s">
        <v>2877</v>
      </c>
      <c r="G1079" t="s">
        <v>2879</v>
      </c>
      <c r="H1079" t="s">
        <v>2878</v>
      </c>
      <c r="I1079" t="s">
        <v>255</v>
      </c>
      <c r="J1079" t="s">
        <v>7703</v>
      </c>
      <c r="K1079" t="s">
        <v>7814</v>
      </c>
      <c r="L1079" t="s">
        <v>7834</v>
      </c>
      <c r="N1079" t="str" cm="1">
        <f t="array" ref="N1079">IFERROR(LOOKUP(2,1/SEARCH($S$2:$S$65,G1079),$T$2:$T$65),"Misc")</f>
        <v>Misc</v>
      </c>
      <c r="O1079" t="str" cm="1">
        <f t="array" ref="O1079">IFERROR(LOOKUP(2,1/SEARCH($V$2:$V$65,G1079),$W$2:$W$65),"Misc")</f>
        <v>Misc</v>
      </c>
      <c r="P1079" t="str" cm="1">
        <f t="array" ref="P1079">IFERROR(LOOKUP(2,1/SEARCH($Y$2:$Y$65,G1079),$Z$2:$Z$65),"Not Defined")</f>
        <v>Not Defined</v>
      </c>
      <c r="Q1079" t="str" cm="1">
        <f t="array" ref="Q1079">IFERROR(LOOKUP(2,1/SEARCH($S$2:$S$65,H1079),$T$2:$T$65),"-")</f>
        <v>-</v>
      </c>
    </row>
    <row r="1080" spans="1:17" hidden="1" x14ac:dyDescent="0.25">
      <c r="A1080" t="s">
        <v>7674</v>
      </c>
      <c r="B1080" s="2" t="s">
        <v>2880</v>
      </c>
      <c r="C1080">
        <v>1</v>
      </c>
      <c r="D1080" t="s">
        <v>7308</v>
      </c>
      <c r="E1080" t="s">
        <v>7882</v>
      </c>
      <c r="F1080" t="s">
        <v>2881</v>
      </c>
      <c r="G1080" t="s">
        <v>2883</v>
      </c>
      <c r="H1080" t="s">
        <v>2882</v>
      </c>
      <c r="I1080" t="s">
        <v>255</v>
      </c>
      <c r="J1080" t="s">
        <v>7703</v>
      </c>
      <c r="K1080" t="s">
        <v>7814</v>
      </c>
      <c r="L1080" t="s">
        <v>7834</v>
      </c>
      <c r="N1080" t="str" cm="1">
        <f t="array" ref="N1080">IFERROR(LOOKUP(2,1/SEARCH($S$2:$S$65,G1080),$T$2:$T$65),"Misc")</f>
        <v>Misc</v>
      </c>
      <c r="O1080" t="str" cm="1">
        <f t="array" ref="O1080">IFERROR(LOOKUP(2,1/SEARCH($V$2:$V$65,G1080),$W$2:$W$65),"Misc")</f>
        <v>Misc</v>
      </c>
      <c r="P1080" t="str" cm="1">
        <f t="array" ref="P1080">IFERROR(LOOKUP(2,1/SEARCH($Y$2:$Y$65,G1080),$Z$2:$Z$65),"Not Defined")</f>
        <v>Not Defined</v>
      </c>
      <c r="Q1080" t="str" cm="1">
        <f t="array" ref="Q1080">IFERROR(LOOKUP(2,1/SEARCH($S$2:$S$65,H1080),$T$2:$T$65),"-")</f>
        <v>-</v>
      </c>
    </row>
    <row r="1081" spans="1:17" hidden="1" x14ac:dyDescent="0.25">
      <c r="A1081" t="s">
        <v>7674</v>
      </c>
      <c r="B1081" s="2" t="s">
        <v>2884</v>
      </c>
      <c r="C1081">
        <v>1</v>
      </c>
      <c r="D1081" t="s">
        <v>7308</v>
      </c>
      <c r="E1081" t="s">
        <v>7882</v>
      </c>
      <c r="F1081" t="s">
        <v>2885</v>
      </c>
      <c r="G1081" t="s">
        <v>2887</v>
      </c>
      <c r="H1081" t="s">
        <v>2886</v>
      </c>
      <c r="I1081" t="s">
        <v>255</v>
      </c>
      <c r="J1081" t="s">
        <v>7703</v>
      </c>
      <c r="K1081" t="s">
        <v>7814</v>
      </c>
      <c r="L1081" t="s">
        <v>7834</v>
      </c>
      <c r="N1081" t="str" cm="1">
        <f t="array" ref="N1081">IFERROR(LOOKUP(2,1/SEARCH($S$2:$S$65,G1081),$T$2:$T$65),"Misc")</f>
        <v>Misc</v>
      </c>
      <c r="O1081" t="str" cm="1">
        <f t="array" ref="O1081">IFERROR(LOOKUP(2,1/SEARCH($V$2:$V$65,G1081),$W$2:$W$65),"Misc")</f>
        <v>Misc</v>
      </c>
      <c r="P1081" t="str" cm="1">
        <f t="array" ref="P1081">IFERROR(LOOKUP(2,1/SEARCH($Y$2:$Y$65,G1081),$Z$2:$Z$65),"Not Defined")</f>
        <v>Not Defined</v>
      </c>
      <c r="Q1081" t="str" cm="1">
        <f t="array" ref="Q1081">IFERROR(LOOKUP(2,1/SEARCH($S$2:$S$65,H1081),$T$2:$T$65),"-")</f>
        <v>-</v>
      </c>
    </row>
    <row r="1082" spans="1:17" hidden="1" x14ac:dyDescent="0.25">
      <c r="A1082" t="s">
        <v>7674</v>
      </c>
      <c r="B1082" s="2" t="s">
        <v>2888</v>
      </c>
      <c r="C1082">
        <v>1</v>
      </c>
      <c r="D1082" t="s">
        <v>7308</v>
      </c>
      <c r="E1082" t="s">
        <v>7882</v>
      </c>
      <c r="F1082" t="s">
        <v>2889</v>
      </c>
      <c r="G1082" t="s">
        <v>2891</v>
      </c>
      <c r="H1082" t="s">
        <v>2890</v>
      </c>
      <c r="I1082" t="s">
        <v>255</v>
      </c>
      <c r="J1082" t="s">
        <v>7703</v>
      </c>
      <c r="K1082" t="s">
        <v>7814</v>
      </c>
      <c r="L1082" t="s">
        <v>7834</v>
      </c>
      <c r="N1082" t="str" cm="1">
        <f t="array" ref="N1082">IFERROR(LOOKUP(2,1/SEARCH($S$2:$S$65,G1082),$T$2:$T$65),"Misc")</f>
        <v>Misc</v>
      </c>
      <c r="O1082" t="str" cm="1">
        <f t="array" ref="O1082">IFERROR(LOOKUP(2,1/SEARCH($V$2:$V$65,G1082),$W$2:$W$65),"Misc")</f>
        <v>Misc</v>
      </c>
      <c r="P1082" t="str" cm="1">
        <f t="array" ref="P1082">IFERROR(LOOKUP(2,1/SEARCH($Y$2:$Y$65,G1082),$Z$2:$Z$65),"Not Defined")</f>
        <v>Not Defined</v>
      </c>
      <c r="Q1082" t="str" cm="1">
        <f t="array" ref="Q1082">IFERROR(LOOKUP(2,1/SEARCH($S$2:$S$65,H1082),$T$2:$T$65),"-")</f>
        <v>-</v>
      </c>
    </row>
    <row r="1083" spans="1:17" hidden="1" x14ac:dyDescent="0.25">
      <c r="A1083" t="s">
        <v>7674</v>
      </c>
      <c r="B1083" s="2" t="s">
        <v>2892</v>
      </c>
      <c r="C1083">
        <v>1</v>
      </c>
      <c r="D1083" t="s">
        <v>7308</v>
      </c>
      <c r="E1083" t="s">
        <v>7882</v>
      </c>
      <c r="F1083" t="s">
        <v>2893</v>
      </c>
      <c r="G1083" t="s">
        <v>2895</v>
      </c>
      <c r="H1083" t="s">
        <v>2894</v>
      </c>
      <c r="I1083" t="s">
        <v>13</v>
      </c>
      <c r="J1083" t="s">
        <v>7682</v>
      </c>
      <c r="K1083" t="s">
        <v>7826</v>
      </c>
      <c r="L1083" t="s">
        <v>7826</v>
      </c>
      <c r="N1083" t="str" cm="1">
        <f t="array" ref="N1083">IFERROR(LOOKUP(2,1/SEARCH($S$2:$S$65,G1083),$T$2:$T$65),"Misc")</f>
        <v>OH P/N</v>
      </c>
      <c r="O1083" t="str" cm="1">
        <f t="array" ref="O1083">IFERROR(LOOKUP(2,1/SEARCH($V$2:$V$65,G1083),$W$2:$W$65),"Misc")</f>
        <v>OH Part</v>
      </c>
      <c r="P1083" t="str" cm="1">
        <f t="array" ref="P1083">IFERROR(LOOKUP(2,1/SEARCH($Y$2:$Y$65,G1083),$Z$2:$Z$65),"Not Defined")</f>
        <v>OH Part</v>
      </c>
      <c r="Q1083" t="str" cm="1">
        <f t="array" ref="Q1083">IFERROR(LOOKUP(2,1/SEARCH($S$2:$S$65,H1083),$T$2:$T$65),"-")</f>
        <v>-</v>
      </c>
    </row>
    <row r="1084" spans="1:17" hidden="1" x14ac:dyDescent="0.25">
      <c r="A1084" t="s">
        <v>7674</v>
      </c>
      <c r="B1084" s="2" t="s">
        <v>2896</v>
      </c>
      <c r="C1084">
        <v>1</v>
      </c>
      <c r="D1084" t="s">
        <v>7308</v>
      </c>
      <c r="E1084" t="s">
        <v>7882</v>
      </c>
      <c r="F1084" t="s">
        <v>2897</v>
      </c>
      <c r="G1084" t="s">
        <v>2899</v>
      </c>
      <c r="H1084" t="s">
        <v>2898</v>
      </c>
      <c r="I1084" t="s">
        <v>13</v>
      </c>
      <c r="J1084" t="s">
        <v>7682</v>
      </c>
      <c r="K1084" t="s">
        <v>7826</v>
      </c>
      <c r="L1084" t="s">
        <v>7826</v>
      </c>
      <c r="N1084" t="str" cm="1">
        <f t="array" ref="N1084">IFERROR(LOOKUP(2,1/SEARCH($S$2:$S$65,G1084),$T$2:$T$65),"Misc")</f>
        <v>OH P/N</v>
      </c>
      <c r="O1084" t="str" cm="1">
        <f t="array" ref="O1084">IFERROR(LOOKUP(2,1/SEARCH($V$2:$V$65,G1084),$W$2:$W$65),"Misc")</f>
        <v>OH Part</v>
      </c>
      <c r="P1084" t="str" cm="1">
        <f t="array" ref="P1084">IFERROR(LOOKUP(2,1/SEARCH($Y$2:$Y$65,G1084),$Z$2:$Z$65),"Not Defined")</f>
        <v>OH Part</v>
      </c>
      <c r="Q1084" t="str" cm="1">
        <f t="array" ref="Q1084">IFERROR(LOOKUP(2,1/SEARCH($S$2:$S$65,H1084),$T$2:$T$65),"-")</f>
        <v>COTS</v>
      </c>
    </row>
    <row r="1085" spans="1:17" hidden="1" x14ac:dyDescent="0.25">
      <c r="A1085" t="s">
        <v>7674</v>
      </c>
      <c r="B1085" s="2" t="s">
        <v>2900</v>
      </c>
      <c r="C1085">
        <v>1</v>
      </c>
      <c r="D1085" t="s">
        <v>7308</v>
      </c>
      <c r="E1085" t="s">
        <v>7882</v>
      </c>
      <c r="F1085" t="s">
        <v>2901</v>
      </c>
      <c r="G1085" t="s">
        <v>2903</v>
      </c>
      <c r="H1085" t="s">
        <v>2902</v>
      </c>
      <c r="I1085" t="s">
        <v>13</v>
      </c>
      <c r="J1085" t="s">
        <v>7682</v>
      </c>
      <c r="K1085" t="s">
        <v>7826</v>
      </c>
      <c r="L1085" t="s">
        <v>7826</v>
      </c>
      <c r="N1085" t="str" cm="1">
        <f t="array" ref="N1085">IFERROR(LOOKUP(2,1/SEARCH($S$2:$S$65,G1085),$T$2:$T$65),"Misc")</f>
        <v>OH P/N</v>
      </c>
      <c r="O1085" t="str" cm="1">
        <f t="array" ref="O1085">IFERROR(LOOKUP(2,1/SEARCH($V$2:$V$65,G1085),$W$2:$W$65),"Misc")</f>
        <v>OH Part</v>
      </c>
      <c r="P1085" t="str" cm="1">
        <f t="array" ref="P1085">IFERROR(LOOKUP(2,1/SEARCH($Y$2:$Y$65,G1085),$Z$2:$Z$65),"Not Defined")</f>
        <v>OH Part</v>
      </c>
      <c r="Q1085" t="str" cm="1">
        <f t="array" ref="Q1085">IFERROR(LOOKUP(2,1/SEARCH($S$2:$S$65,H1085),$T$2:$T$65),"-")</f>
        <v>-</v>
      </c>
    </row>
    <row r="1086" spans="1:17" hidden="1" x14ac:dyDescent="0.25">
      <c r="A1086" t="s">
        <v>7674</v>
      </c>
      <c r="B1086" s="2" t="s">
        <v>2904</v>
      </c>
      <c r="C1086">
        <v>1</v>
      </c>
      <c r="D1086" t="s">
        <v>7308</v>
      </c>
      <c r="E1086" t="s">
        <v>7882</v>
      </c>
      <c r="F1086" t="s">
        <v>2905</v>
      </c>
      <c r="G1086" t="s">
        <v>2907</v>
      </c>
      <c r="H1086" t="s">
        <v>2906</v>
      </c>
      <c r="I1086" t="s">
        <v>13</v>
      </c>
      <c r="J1086" t="s">
        <v>7682</v>
      </c>
      <c r="K1086" t="s">
        <v>7826</v>
      </c>
      <c r="L1086" t="s">
        <v>7826</v>
      </c>
      <c r="N1086" t="str" cm="1">
        <f t="array" ref="N1086">IFERROR(LOOKUP(2,1/SEARCH($S$2:$S$65,G1086),$T$2:$T$65),"Misc")</f>
        <v>OH P/N</v>
      </c>
      <c r="O1086" t="str" cm="1">
        <f t="array" ref="O1086">IFERROR(LOOKUP(2,1/SEARCH($V$2:$V$65,G1086),$W$2:$W$65),"Misc")</f>
        <v>OH Part</v>
      </c>
      <c r="P1086" t="str" cm="1">
        <f t="array" ref="P1086">IFERROR(LOOKUP(2,1/SEARCH($Y$2:$Y$65,G1086),$Z$2:$Z$65),"Not Defined")</f>
        <v>OH Part</v>
      </c>
      <c r="Q1086" t="str" cm="1">
        <f t="array" ref="Q1086">IFERROR(LOOKUP(2,1/SEARCH($S$2:$S$65,H1086),$T$2:$T$65),"-")</f>
        <v>-</v>
      </c>
    </row>
    <row r="1087" spans="1:17" hidden="1" x14ac:dyDescent="0.25">
      <c r="A1087" t="s">
        <v>7674</v>
      </c>
      <c r="B1087" s="2" t="s">
        <v>2908</v>
      </c>
      <c r="C1087">
        <v>2</v>
      </c>
      <c r="D1087" t="s">
        <v>7308</v>
      </c>
      <c r="E1087" t="s">
        <v>7882</v>
      </c>
      <c r="F1087" t="s">
        <v>222</v>
      </c>
      <c r="G1087" t="s">
        <v>7053</v>
      </c>
      <c r="H1087" t="s">
        <v>223</v>
      </c>
      <c r="I1087" t="s">
        <v>224</v>
      </c>
      <c r="J1087" t="s">
        <v>7703</v>
      </c>
      <c r="K1087" t="s">
        <v>7684</v>
      </c>
      <c r="L1087" t="s">
        <v>7687</v>
      </c>
      <c r="N1087" t="str" cm="1">
        <f t="array" ref="N1087">IFERROR(LOOKUP(2,1/SEARCH($S$2:$S$65,G1087),$T$2:$T$65),"Misc")</f>
        <v>COTS</v>
      </c>
      <c r="O1087" t="str" cm="1">
        <f t="array" ref="O1087">IFERROR(LOOKUP(2,1/SEARCH($V$2:$V$65,G1087),$W$2:$W$65),"Misc")</f>
        <v>Fasteners</v>
      </c>
      <c r="P1087" t="str" cm="1">
        <f t="array" ref="P1087">IFERROR(LOOKUP(2,1/SEARCH($Y$2:$Y$65,G1087),$Z$2:$Z$65),"Not Defined")</f>
        <v>INSERT</v>
      </c>
      <c r="Q1087" t="str" cm="1">
        <f t="array" ref="Q1087">IFERROR(LOOKUP(2,1/SEARCH($S$2:$S$65,H1087),$T$2:$T$65),"-")</f>
        <v>COTS</v>
      </c>
    </row>
    <row r="1088" spans="1:17" hidden="1" x14ac:dyDescent="0.25">
      <c r="A1088" t="s">
        <v>7674</v>
      </c>
      <c r="B1088" s="2" t="s">
        <v>2909</v>
      </c>
      <c r="C1088">
        <v>2</v>
      </c>
      <c r="D1088" t="s">
        <v>7308</v>
      </c>
      <c r="E1088" t="s">
        <v>7882</v>
      </c>
      <c r="F1088" t="s">
        <v>230</v>
      </c>
      <c r="G1088" t="s">
        <v>7055</v>
      </c>
      <c r="H1088" t="s">
        <v>231</v>
      </c>
      <c r="I1088" t="s">
        <v>210</v>
      </c>
      <c r="J1088" t="s">
        <v>7703</v>
      </c>
      <c r="K1088" t="s">
        <v>7684</v>
      </c>
      <c r="L1088" t="s">
        <v>7692</v>
      </c>
      <c r="N1088" t="str" cm="1">
        <f t="array" ref="N1088">IFERROR(LOOKUP(2,1/SEARCH($S$2:$S$65,G1088),$T$2:$T$65),"Misc")</f>
        <v>COTS</v>
      </c>
      <c r="O1088" t="str" cm="1">
        <f t="array" ref="O1088">IFERROR(LOOKUP(2,1/SEARCH($V$2:$V$65,G1088),$W$2:$W$65),"Misc")</f>
        <v>Fasteners</v>
      </c>
      <c r="P1088" t="str" cm="1">
        <f t="array" ref="P1088">IFERROR(LOOKUP(2,1/SEARCH($Y$2:$Y$65,G1088),$Z$2:$Z$65),"Not Defined")</f>
        <v>WASHER</v>
      </c>
      <c r="Q1088" t="str" cm="1">
        <f t="array" ref="Q1088">IFERROR(LOOKUP(2,1/SEARCH($S$2:$S$65,H1088),$T$2:$T$65),"-")</f>
        <v>COTS</v>
      </c>
    </row>
    <row r="1089" spans="1:17" hidden="1" x14ac:dyDescent="0.25">
      <c r="A1089" t="s">
        <v>7674</v>
      </c>
      <c r="B1089" s="2" t="s">
        <v>2910</v>
      </c>
      <c r="C1089">
        <v>4</v>
      </c>
      <c r="D1089" t="s">
        <v>7308</v>
      </c>
      <c r="E1089" t="s">
        <v>7882</v>
      </c>
      <c r="F1089" t="s">
        <v>1626</v>
      </c>
      <c r="G1089" t="s">
        <v>7232</v>
      </c>
      <c r="H1089" t="s">
        <v>1627</v>
      </c>
      <c r="I1089" t="s">
        <v>224</v>
      </c>
      <c r="J1089" t="s">
        <v>7703</v>
      </c>
      <c r="K1089" t="s">
        <v>7684</v>
      </c>
      <c r="L1089" t="s">
        <v>7687</v>
      </c>
      <c r="N1089" t="str" cm="1">
        <f t="array" ref="N1089">IFERROR(LOOKUP(2,1/SEARCH($S$2:$S$65,G1089),$T$2:$T$65),"Misc")</f>
        <v>COTS</v>
      </c>
      <c r="O1089" t="str" cm="1">
        <f t="array" ref="O1089">IFERROR(LOOKUP(2,1/SEARCH($V$2:$V$65,G1089),$W$2:$W$65),"Misc")</f>
        <v>Fasteners</v>
      </c>
      <c r="P1089" t="str" cm="1">
        <f t="array" ref="P1089">IFERROR(LOOKUP(2,1/SEARCH($Y$2:$Y$65,G1089),$Z$2:$Z$65),"Not Defined")</f>
        <v>INSERT</v>
      </c>
      <c r="Q1089" t="str" cm="1">
        <f t="array" ref="Q1089">IFERROR(LOOKUP(2,1/SEARCH($S$2:$S$65,H1089),$T$2:$T$65),"-")</f>
        <v>COTS</v>
      </c>
    </row>
    <row r="1090" spans="1:17" hidden="1" x14ac:dyDescent="0.25">
      <c r="A1090" t="s">
        <v>7674</v>
      </c>
      <c r="B1090" s="2" t="s">
        <v>2911</v>
      </c>
      <c r="C1090">
        <v>2</v>
      </c>
      <c r="D1090" t="s">
        <v>7308</v>
      </c>
      <c r="E1090" t="s">
        <v>7882</v>
      </c>
      <c r="F1090" t="s">
        <v>2912</v>
      </c>
      <c r="G1090" t="s">
        <v>7333</v>
      </c>
      <c r="H1090" t="s">
        <v>2913</v>
      </c>
      <c r="I1090" t="s">
        <v>228</v>
      </c>
      <c r="J1090" t="s">
        <v>7703</v>
      </c>
      <c r="K1090" t="s">
        <v>7684</v>
      </c>
      <c r="L1090" t="s">
        <v>7834</v>
      </c>
      <c r="N1090" t="str" cm="1">
        <f t="array" ref="N1090">IFERROR(LOOKUP(2,1/SEARCH($S$2:$S$65,G1090),$T$2:$T$65),"Misc")</f>
        <v>COTS</v>
      </c>
      <c r="O1090" t="str" cm="1">
        <f t="array" ref="O1090">IFERROR(LOOKUP(2,1/SEARCH($V$2:$V$65,G1090),$W$2:$W$65),"Misc")</f>
        <v>Fasteners</v>
      </c>
      <c r="P1090" t="str" cm="1">
        <f t="array" ref="P1090">IFERROR(LOOKUP(2,1/SEARCH($Y$2:$Y$65,G1090),$Z$2:$Z$65),"Not Defined")</f>
        <v>Not Defined</v>
      </c>
      <c r="Q1090" t="str" cm="1">
        <f t="array" ref="Q1090">IFERROR(LOOKUP(2,1/SEARCH($S$2:$S$65,H1090),$T$2:$T$65),"-")</f>
        <v>COTS</v>
      </c>
    </row>
    <row r="1091" spans="1:17" hidden="1" x14ac:dyDescent="0.25">
      <c r="A1091" t="s">
        <v>7674</v>
      </c>
      <c r="B1091" s="2" t="s">
        <v>2914</v>
      </c>
      <c r="C1091">
        <v>6</v>
      </c>
      <c r="D1091" t="s">
        <v>7308</v>
      </c>
      <c r="E1091" t="s">
        <v>7882</v>
      </c>
      <c r="F1091" t="s">
        <v>1025</v>
      </c>
      <c r="G1091" t="s">
        <v>7161</v>
      </c>
      <c r="H1091" t="s">
        <v>1026</v>
      </c>
      <c r="I1091" t="s">
        <v>210</v>
      </c>
      <c r="J1091" t="s">
        <v>7703</v>
      </c>
      <c r="K1091" t="s">
        <v>7684</v>
      </c>
      <c r="L1091" t="s">
        <v>7692</v>
      </c>
      <c r="N1091" t="str" cm="1">
        <f t="array" ref="N1091">IFERROR(LOOKUP(2,1/SEARCH($S$2:$S$65,G1091),$T$2:$T$65),"Misc")</f>
        <v>COTS</v>
      </c>
      <c r="O1091" t="str" cm="1">
        <f t="array" ref="O1091">IFERROR(LOOKUP(2,1/SEARCH($V$2:$V$65,G1091),$W$2:$W$65),"Misc")</f>
        <v>Fasteners</v>
      </c>
      <c r="P1091" t="str" cm="1">
        <f t="array" ref="P1091">IFERROR(LOOKUP(2,1/SEARCH($Y$2:$Y$65,G1091),$Z$2:$Z$65),"Not Defined")</f>
        <v>WASHER</v>
      </c>
      <c r="Q1091" t="str" cm="1">
        <f t="array" ref="Q1091">IFERROR(LOOKUP(2,1/SEARCH($S$2:$S$65,H1091),$T$2:$T$65),"-")</f>
        <v>COTS</v>
      </c>
    </row>
    <row r="1092" spans="1:17" hidden="1" x14ac:dyDescent="0.25">
      <c r="A1092" t="s">
        <v>7674</v>
      </c>
      <c r="B1092" s="2" t="s">
        <v>2915</v>
      </c>
      <c r="C1092">
        <v>2</v>
      </c>
      <c r="D1092" t="s">
        <v>7308</v>
      </c>
      <c r="E1092" t="s">
        <v>7882</v>
      </c>
      <c r="F1092" t="s">
        <v>1309</v>
      </c>
      <c r="G1092" t="s">
        <v>7203</v>
      </c>
      <c r="H1092" t="s">
        <v>1310</v>
      </c>
      <c r="I1092" t="s">
        <v>210</v>
      </c>
      <c r="J1092" t="s">
        <v>7703</v>
      </c>
      <c r="K1092" t="s">
        <v>7684</v>
      </c>
      <c r="L1092" t="s">
        <v>7685</v>
      </c>
      <c r="N1092" t="str" cm="1">
        <f t="array" ref="N1092">IFERROR(LOOKUP(2,1/SEARCH($S$2:$S$65,G1092),$T$2:$T$65),"Misc")</f>
        <v>COTS</v>
      </c>
      <c r="O1092" t="str" cm="1">
        <f t="array" ref="O1092">IFERROR(LOOKUP(2,1/SEARCH($V$2:$V$65,G1092),$W$2:$W$65),"Misc")</f>
        <v>Fasteners</v>
      </c>
      <c r="P1092" t="str" cm="1">
        <f t="array" ref="P1092">IFERROR(LOOKUP(2,1/SEARCH($Y$2:$Y$65,G1092),$Z$2:$Z$65),"Not Defined")</f>
        <v>NUT</v>
      </c>
      <c r="Q1092" t="str" cm="1">
        <f t="array" ref="Q1092">IFERROR(LOOKUP(2,1/SEARCH($S$2:$S$65,H1092),$T$2:$T$65),"-")</f>
        <v>COTS</v>
      </c>
    </row>
    <row r="1093" spans="1:17" hidden="1" x14ac:dyDescent="0.25">
      <c r="A1093" t="s">
        <v>7674</v>
      </c>
      <c r="B1093" s="2" t="s">
        <v>2916</v>
      </c>
      <c r="C1093">
        <v>2</v>
      </c>
      <c r="D1093" t="s">
        <v>7308</v>
      </c>
      <c r="E1093" t="s">
        <v>7882</v>
      </c>
      <c r="F1093" t="s">
        <v>2917</v>
      </c>
      <c r="G1093" t="s">
        <v>7334</v>
      </c>
      <c r="H1093" t="s">
        <v>2918</v>
      </c>
      <c r="I1093" t="s">
        <v>484</v>
      </c>
      <c r="J1093" t="s">
        <v>7703</v>
      </c>
      <c r="K1093" t="s">
        <v>7719</v>
      </c>
      <c r="L1093" t="s">
        <v>7688</v>
      </c>
      <c r="N1093" t="str" cm="1">
        <f t="array" ref="N1093">IFERROR(LOOKUP(2,1/SEARCH($S$2:$S$65,G1093),$T$2:$T$65),"Misc")</f>
        <v>COTS</v>
      </c>
      <c r="O1093" t="str" cm="1">
        <f t="array" ref="O1093">IFERROR(LOOKUP(2,1/SEARCH($V$2:$V$65,G1093),$W$2:$W$65),"Misc")</f>
        <v>Misc</v>
      </c>
      <c r="P1093" t="str" cm="1">
        <f t="array" ref="P1093">IFERROR(LOOKUP(2,1/SEARCH($Y$2:$Y$65,G1093),$Z$2:$Z$65),"Not Defined")</f>
        <v>SPRING</v>
      </c>
      <c r="Q1093" t="str" cm="1">
        <f t="array" ref="Q1093">IFERROR(LOOKUP(2,1/SEARCH($S$2:$S$65,H1093),$T$2:$T$65),"-")</f>
        <v>COTS</v>
      </c>
    </row>
    <row r="1094" spans="1:17" hidden="1" x14ac:dyDescent="0.25">
      <c r="A1094" t="s">
        <v>7674</v>
      </c>
      <c r="B1094" s="2" t="s">
        <v>2919</v>
      </c>
      <c r="C1094">
        <v>2</v>
      </c>
      <c r="D1094" t="s">
        <v>7308</v>
      </c>
      <c r="E1094" t="s">
        <v>7882</v>
      </c>
      <c r="F1094" t="s">
        <v>268</v>
      </c>
      <c r="G1094" t="s">
        <v>7061</v>
      </c>
      <c r="H1094" t="s">
        <v>269</v>
      </c>
      <c r="I1094" t="s">
        <v>224</v>
      </c>
      <c r="J1094" t="s">
        <v>7703</v>
      </c>
      <c r="K1094" t="s">
        <v>7684</v>
      </c>
      <c r="L1094" t="s">
        <v>7687</v>
      </c>
      <c r="N1094" t="str" cm="1">
        <f t="array" ref="N1094">IFERROR(LOOKUP(2,1/SEARCH($S$2:$S$65,G1094),$T$2:$T$65),"Misc")</f>
        <v>COTS</v>
      </c>
      <c r="O1094" t="str" cm="1">
        <f t="array" ref="O1094">IFERROR(LOOKUP(2,1/SEARCH($V$2:$V$65,G1094),$W$2:$W$65),"Misc")</f>
        <v>Fasteners</v>
      </c>
      <c r="P1094" t="str" cm="1">
        <f t="array" ref="P1094">IFERROR(LOOKUP(2,1/SEARCH($Y$2:$Y$65,G1094),$Z$2:$Z$65),"Not Defined")</f>
        <v>INSERT</v>
      </c>
      <c r="Q1094" t="str" cm="1">
        <f t="array" ref="Q1094">IFERROR(LOOKUP(2,1/SEARCH($S$2:$S$65,H1094),$T$2:$T$65),"-")</f>
        <v>COTS</v>
      </c>
    </row>
    <row r="1095" spans="1:17" hidden="1" x14ac:dyDescent="0.25">
      <c r="A1095" t="s">
        <v>7674</v>
      </c>
      <c r="B1095" s="2" t="s">
        <v>2920</v>
      </c>
      <c r="C1095">
        <v>2</v>
      </c>
      <c r="D1095" t="s">
        <v>7308</v>
      </c>
      <c r="E1095" t="s">
        <v>7882</v>
      </c>
      <c r="F1095" t="s">
        <v>586</v>
      </c>
      <c r="G1095" t="s">
        <v>7107</v>
      </c>
      <c r="H1095" t="s">
        <v>587</v>
      </c>
      <c r="I1095" t="s">
        <v>210</v>
      </c>
      <c r="J1095" t="s">
        <v>7703</v>
      </c>
      <c r="K1095" t="s">
        <v>7684</v>
      </c>
      <c r="L1095" t="s">
        <v>7693</v>
      </c>
      <c r="N1095" t="str" cm="1">
        <f t="array" ref="N1095">IFERROR(LOOKUP(2,1/SEARCH($S$2:$S$65,G1095),$T$2:$T$65),"Misc")</f>
        <v>COTS</v>
      </c>
      <c r="O1095" t="str" cm="1">
        <f t="array" ref="O1095">IFERROR(LOOKUP(2,1/SEARCH($V$2:$V$65,G1095),$W$2:$W$65),"Misc")</f>
        <v>Fasteners</v>
      </c>
      <c r="P1095" t="str" cm="1">
        <f t="array" ref="P1095">IFERROR(LOOKUP(2,1/SEARCH($Y$2:$Y$65,G1095),$Z$2:$Z$65),"Not Defined")</f>
        <v>PHS</v>
      </c>
      <c r="Q1095" t="str" cm="1">
        <f t="array" ref="Q1095">IFERROR(LOOKUP(2,1/SEARCH($S$2:$S$65,H1095),$T$2:$T$65),"-")</f>
        <v>COTS</v>
      </c>
    </row>
    <row r="1096" spans="1:17" hidden="1" x14ac:dyDescent="0.25">
      <c r="A1096" t="s">
        <v>7674</v>
      </c>
      <c r="B1096" s="2" t="s">
        <v>2921</v>
      </c>
      <c r="C1096">
        <v>2</v>
      </c>
      <c r="D1096" t="s">
        <v>7308</v>
      </c>
      <c r="E1096" t="s">
        <v>7882</v>
      </c>
      <c r="F1096" t="s">
        <v>233</v>
      </c>
      <c r="G1096" t="s">
        <v>7056</v>
      </c>
      <c r="H1096" t="s">
        <v>234</v>
      </c>
      <c r="I1096" t="s">
        <v>210</v>
      </c>
      <c r="J1096" t="s">
        <v>7703</v>
      </c>
      <c r="K1096" t="s">
        <v>7684</v>
      </c>
      <c r="L1096" t="s">
        <v>7693</v>
      </c>
      <c r="N1096" t="str" cm="1">
        <f t="array" ref="N1096">IFERROR(LOOKUP(2,1/SEARCH($S$2:$S$65,G1096),$T$2:$T$65),"Misc")</f>
        <v>COTS</v>
      </c>
      <c r="O1096" t="str" cm="1">
        <f t="array" ref="O1096">IFERROR(LOOKUP(2,1/SEARCH($V$2:$V$65,G1096),$W$2:$W$65),"Misc")</f>
        <v>Fasteners</v>
      </c>
      <c r="P1096" t="str" cm="1">
        <f t="array" ref="P1096">IFERROR(LOOKUP(2,1/SEARCH($Y$2:$Y$65,G1096),$Z$2:$Z$65),"Not Defined")</f>
        <v>PHS</v>
      </c>
      <c r="Q1096" t="str" cm="1">
        <f t="array" ref="Q1096">IFERROR(LOOKUP(2,1/SEARCH($S$2:$S$65,H1096),$T$2:$T$65),"-")</f>
        <v>COTS</v>
      </c>
    </row>
    <row r="1097" spans="1:17" hidden="1" x14ac:dyDescent="0.25">
      <c r="A1097" t="s">
        <v>7674</v>
      </c>
      <c r="B1097" s="2" t="s">
        <v>2922</v>
      </c>
      <c r="C1097">
        <v>4</v>
      </c>
      <c r="D1097" t="s">
        <v>7308</v>
      </c>
      <c r="E1097" t="s">
        <v>7882</v>
      </c>
      <c r="F1097" t="s">
        <v>2923</v>
      </c>
      <c r="G1097" t="s">
        <v>7335</v>
      </c>
      <c r="H1097" t="s">
        <v>2924</v>
      </c>
      <c r="I1097" t="s">
        <v>255</v>
      </c>
      <c r="J1097" t="s">
        <v>7703</v>
      </c>
      <c r="K1097" t="s">
        <v>7814</v>
      </c>
      <c r="L1097" t="s">
        <v>7834</v>
      </c>
      <c r="N1097" t="str" cm="1">
        <f t="array" ref="N1097">IFERROR(LOOKUP(2,1/SEARCH($S$2:$S$65,G1097),$T$2:$T$65),"Misc")</f>
        <v>Misc</v>
      </c>
      <c r="O1097" t="str" cm="1">
        <f t="array" ref="O1097">IFERROR(LOOKUP(2,1/SEARCH($V$2:$V$65,G1097),$W$2:$W$65),"Misc")</f>
        <v>Misc</v>
      </c>
      <c r="P1097" t="str" cm="1">
        <f t="array" ref="P1097">IFERROR(LOOKUP(2,1/SEARCH($Y$2:$Y$65,G1097),$Z$2:$Z$65),"Not Defined")</f>
        <v>Not Defined</v>
      </c>
      <c r="Q1097" t="str" cm="1">
        <f t="array" ref="Q1097">IFERROR(LOOKUP(2,1/SEARCH($S$2:$S$65,H1097),$T$2:$T$65),"-")</f>
        <v>-</v>
      </c>
    </row>
    <row r="1098" spans="1:17" hidden="1" x14ac:dyDescent="0.25">
      <c r="A1098" t="s">
        <v>7674</v>
      </c>
      <c r="B1098" s="2" t="s">
        <v>2925</v>
      </c>
      <c r="C1098">
        <v>1</v>
      </c>
      <c r="D1098" t="s">
        <v>7308</v>
      </c>
      <c r="E1098" t="s">
        <v>7882</v>
      </c>
      <c r="F1098" t="s">
        <v>920</v>
      </c>
      <c r="G1098" t="s">
        <v>7130</v>
      </c>
      <c r="H1098" t="s">
        <v>921</v>
      </c>
      <c r="I1098" t="s">
        <v>255</v>
      </c>
      <c r="J1098" t="s">
        <v>7703</v>
      </c>
      <c r="K1098" t="s">
        <v>7677</v>
      </c>
      <c r="L1098" t="s">
        <v>7677</v>
      </c>
      <c r="N1098" t="str" cm="1">
        <f t="array" ref="N1098">IFERROR(LOOKUP(2,1/SEARCH($S$2:$S$65,G1098),$T$2:$T$65),"Misc")</f>
        <v>COTS</v>
      </c>
      <c r="O1098" t="str" cm="1">
        <f t="array" ref="O1098">IFERROR(LOOKUP(2,1/SEARCH($V$2:$V$65,G1098),$W$2:$W$65),"Misc")</f>
        <v>SWITCH</v>
      </c>
      <c r="P1098" t="str" cm="1">
        <f t="array" ref="P1098">IFERROR(LOOKUP(2,1/SEARCH($Y$2:$Y$65,G1098),$Z$2:$Z$65),"Not Defined")</f>
        <v>SWITCH</v>
      </c>
      <c r="Q1098" t="str" cm="1">
        <f t="array" ref="Q1098">IFERROR(LOOKUP(2,1/SEARCH($S$2:$S$65,H1098),$T$2:$T$65),"-")</f>
        <v>COTS</v>
      </c>
    </row>
    <row r="1099" spans="1:17" hidden="1" x14ac:dyDescent="0.25">
      <c r="A1099" t="s">
        <v>7674</v>
      </c>
      <c r="B1099" s="2" t="s">
        <v>2926</v>
      </c>
      <c r="C1099">
        <v>1</v>
      </c>
      <c r="D1099" t="s">
        <v>7308</v>
      </c>
      <c r="E1099" t="s">
        <v>7883</v>
      </c>
      <c r="F1099" t="s">
        <v>2927</v>
      </c>
      <c r="G1099" t="s">
        <v>2929</v>
      </c>
      <c r="H1099" t="s">
        <v>2928</v>
      </c>
      <c r="J1099" t="s">
        <v>7742</v>
      </c>
      <c r="K1099" t="s">
        <v>7826</v>
      </c>
      <c r="L1099" t="s">
        <v>7826</v>
      </c>
      <c r="N1099" t="str" cm="1">
        <f t="array" ref="N1099">IFERROR(LOOKUP(2,1/SEARCH($S$2:$S$65,G1099),$T$2:$T$65),"Misc")</f>
        <v>OH ASSY</v>
      </c>
      <c r="O1099" t="str" cm="1">
        <f t="array" ref="O1099">IFERROR(LOOKUP(2,1/SEARCH($V$2:$V$65,G1099),$W$2:$W$65),"Misc")</f>
        <v>OH Part</v>
      </c>
      <c r="P1099" t="str" cm="1">
        <f t="array" ref="P1099">IFERROR(LOOKUP(2,1/SEARCH($Y$2:$Y$65,G1099),$Z$2:$Z$65),"Not Defined")</f>
        <v>OH Part</v>
      </c>
      <c r="Q1099" t="str" cm="1">
        <f t="array" ref="Q1099">IFERROR(LOOKUP(2,1/SEARCH($S$2:$S$65,H1099),$T$2:$T$65),"-")</f>
        <v>OH ASSY</v>
      </c>
    </row>
    <row r="1100" spans="1:17" hidden="1" x14ac:dyDescent="0.25">
      <c r="A1100" t="s">
        <v>7674</v>
      </c>
      <c r="B1100" s="2" t="s">
        <v>2930</v>
      </c>
      <c r="C1100">
        <v>1</v>
      </c>
      <c r="D1100" t="s">
        <v>7308</v>
      </c>
      <c r="E1100" t="s">
        <v>7883</v>
      </c>
      <c r="F1100" t="s">
        <v>2931</v>
      </c>
      <c r="G1100" t="s">
        <v>2933</v>
      </c>
      <c r="H1100" t="s">
        <v>2932</v>
      </c>
      <c r="I1100" t="s">
        <v>13</v>
      </c>
      <c r="J1100" t="s">
        <v>7682</v>
      </c>
      <c r="K1100" t="s">
        <v>7826</v>
      </c>
      <c r="L1100" t="s">
        <v>7826</v>
      </c>
      <c r="N1100" t="str" cm="1">
        <f t="array" ref="N1100">IFERROR(LOOKUP(2,1/SEARCH($S$2:$S$65,G1100),$T$2:$T$65),"Misc")</f>
        <v>OH P/N</v>
      </c>
      <c r="O1100" t="str" cm="1">
        <f t="array" ref="O1100">IFERROR(LOOKUP(2,1/SEARCH($V$2:$V$65,G1100),$W$2:$W$65),"Misc")</f>
        <v>OH Part</v>
      </c>
      <c r="P1100" t="str" cm="1">
        <f t="array" ref="P1100">IFERROR(LOOKUP(2,1/SEARCH($Y$2:$Y$65,G1100),$Z$2:$Z$65),"Not Defined")</f>
        <v>OH Part</v>
      </c>
      <c r="Q1100" t="str" cm="1">
        <f t="array" ref="Q1100">IFERROR(LOOKUP(2,1/SEARCH($S$2:$S$65,H1100),$T$2:$T$65),"-")</f>
        <v>-</v>
      </c>
    </row>
    <row r="1101" spans="1:17" hidden="1" x14ac:dyDescent="0.25">
      <c r="A1101" t="s">
        <v>7674</v>
      </c>
      <c r="B1101" s="2" t="s">
        <v>2934</v>
      </c>
      <c r="C1101">
        <v>2</v>
      </c>
      <c r="D1101" t="s">
        <v>7308</v>
      </c>
      <c r="E1101" t="s">
        <v>7883</v>
      </c>
      <c r="F1101" t="s">
        <v>2935</v>
      </c>
      <c r="G1101" t="s">
        <v>2937</v>
      </c>
      <c r="H1101" t="s">
        <v>2936</v>
      </c>
      <c r="I1101" t="s">
        <v>13</v>
      </c>
      <c r="J1101" t="s">
        <v>7682</v>
      </c>
      <c r="K1101" t="s">
        <v>7826</v>
      </c>
      <c r="L1101" t="s">
        <v>7826</v>
      </c>
      <c r="N1101" t="str" cm="1">
        <f t="array" ref="N1101">IFERROR(LOOKUP(2,1/SEARCH($S$2:$S$65,G1101),$T$2:$T$65),"Misc")</f>
        <v>OH P/N</v>
      </c>
      <c r="O1101" t="str" cm="1">
        <f t="array" ref="O1101">IFERROR(LOOKUP(2,1/SEARCH($V$2:$V$65,G1101),$W$2:$W$65),"Misc")</f>
        <v>OH Part</v>
      </c>
      <c r="P1101" t="str" cm="1">
        <f t="array" ref="P1101">IFERROR(LOOKUP(2,1/SEARCH($Y$2:$Y$65,G1101),$Z$2:$Z$65),"Not Defined")</f>
        <v>OH Part</v>
      </c>
      <c r="Q1101" t="str" cm="1">
        <f t="array" ref="Q1101">IFERROR(LOOKUP(2,1/SEARCH($S$2:$S$65,H1101),$T$2:$T$65),"-")</f>
        <v>COTS</v>
      </c>
    </row>
    <row r="1102" spans="1:17" hidden="1" x14ac:dyDescent="0.25">
      <c r="A1102" t="s">
        <v>7674</v>
      </c>
      <c r="B1102" s="2" t="s">
        <v>2938</v>
      </c>
      <c r="C1102">
        <v>1</v>
      </c>
      <c r="D1102" t="s">
        <v>7308</v>
      </c>
      <c r="E1102" t="s">
        <v>7883</v>
      </c>
      <c r="F1102" t="s">
        <v>2939</v>
      </c>
      <c r="G1102" t="s">
        <v>2941</v>
      </c>
      <c r="H1102" t="s">
        <v>2940</v>
      </c>
      <c r="I1102" t="s">
        <v>38</v>
      </c>
      <c r="J1102" t="s">
        <v>7682</v>
      </c>
      <c r="K1102" t="s">
        <v>7826</v>
      </c>
      <c r="L1102" t="s">
        <v>7826</v>
      </c>
      <c r="N1102" t="str" cm="1">
        <f t="array" ref="N1102">IFERROR(LOOKUP(2,1/SEARCH($S$2:$S$65,G1102),$T$2:$T$65),"Misc")</f>
        <v>OH P/N</v>
      </c>
      <c r="O1102" t="str" cm="1">
        <f t="array" ref="O1102">IFERROR(LOOKUP(2,1/SEARCH($V$2:$V$65,G1102),$W$2:$W$65),"Misc")</f>
        <v>OH Part</v>
      </c>
      <c r="P1102" t="str" cm="1">
        <f t="array" ref="P1102">IFERROR(LOOKUP(2,1/SEARCH($Y$2:$Y$65,G1102),$Z$2:$Z$65),"Not Defined")</f>
        <v>OH Part</v>
      </c>
      <c r="Q1102" t="str" cm="1">
        <f t="array" ref="Q1102">IFERROR(LOOKUP(2,1/SEARCH($S$2:$S$65,H1102),$T$2:$T$65),"-")</f>
        <v>-</v>
      </c>
    </row>
    <row r="1103" spans="1:17" hidden="1" x14ac:dyDescent="0.25">
      <c r="A1103" t="s">
        <v>7674</v>
      </c>
      <c r="B1103" s="2" t="s">
        <v>2942</v>
      </c>
      <c r="C1103">
        <v>1</v>
      </c>
      <c r="D1103" t="s">
        <v>7308</v>
      </c>
      <c r="E1103" t="s">
        <v>7883</v>
      </c>
      <c r="F1103" t="s">
        <v>2943</v>
      </c>
      <c r="G1103" t="s">
        <v>2945</v>
      </c>
      <c r="H1103" t="s">
        <v>2944</v>
      </c>
      <c r="I1103" t="s">
        <v>38</v>
      </c>
      <c r="J1103" t="s">
        <v>7682</v>
      </c>
      <c r="K1103" t="s">
        <v>7826</v>
      </c>
      <c r="L1103" t="s">
        <v>7826</v>
      </c>
      <c r="N1103" t="str" cm="1">
        <f t="array" ref="N1103">IFERROR(LOOKUP(2,1/SEARCH($S$2:$S$65,G1103),$T$2:$T$65),"Misc")</f>
        <v>OH P/N</v>
      </c>
      <c r="O1103" t="str" cm="1">
        <f t="array" ref="O1103">IFERROR(LOOKUP(2,1/SEARCH($V$2:$V$65,G1103),$W$2:$W$65),"Misc")</f>
        <v>OH Part</v>
      </c>
      <c r="P1103" t="str" cm="1">
        <f t="array" ref="P1103">IFERROR(LOOKUP(2,1/SEARCH($Y$2:$Y$65,G1103),$Z$2:$Z$65),"Not Defined")</f>
        <v>OH Part</v>
      </c>
      <c r="Q1103" t="str" cm="1">
        <f t="array" ref="Q1103">IFERROR(LOOKUP(2,1/SEARCH($S$2:$S$65,H1103),$T$2:$T$65),"-")</f>
        <v>-</v>
      </c>
    </row>
    <row r="1104" spans="1:17" hidden="1" x14ac:dyDescent="0.25">
      <c r="A1104" t="s">
        <v>7674</v>
      </c>
      <c r="B1104" s="2" t="s">
        <v>2946</v>
      </c>
      <c r="C1104">
        <v>1</v>
      </c>
      <c r="D1104" t="s">
        <v>7308</v>
      </c>
      <c r="E1104" t="s">
        <v>7883</v>
      </c>
      <c r="F1104" t="s">
        <v>2947</v>
      </c>
      <c r="G1104" t="s">
        <v>2949</v>
      </c>
      <c r="H1104" t="s">
        <v>2948</v>
      </c>
      <c r="I1104" t="s">
        <v>38</v>
      </c>
      <c r="J1104" t="s">
        <v>7682</v>
      </c>
      <c r="K1104" t="s">
        <v>7826</v>
      </c>
      <c r="L1104" t="s">
        <v>7826</v>
      </c>
      <c r="N1104" t="str" cm="1">
        <f t="array" ref="N1104">IFERROR(LOOKUP(2,1/SEARCH($S$2:$S$65,G1104),$T$2:$T$65),"Misc")</f>
        <v>OH P/N</v>
      </c>
      <c r="O1104" t="str" cm="1">
        <f t="array" ref="O1104">IFERROR(LOOKUP(2,1/SEARCH($V$2:$V$65,G1104),$W$2:$W$65),"Misc")</f>
        <v>OH Part</v>
      </c>
      <c r="P1104" t="str" cm="1">
        <f t="array" ref="P1104">IFERROR(LOOKUP(2,1/SEARCH($Y$2:$Y$65,G1104),$Z$2:$Z$65),"Not Defined")</f>
        <v>OH Part</v>
      </c>
      <c r="Q1104" t="str" cm="1">
        <f t="array" ref="Q1104">IFERROR(LOOKUP(2,1/SEARCH($S$2:$S$65,H1104),$T$2:$T$65),"-")</f>
        <v>-</v>
      </c>
    </row>
    <row r="1105" spans="1:17" hidden="1" x14ac:dyDescent="0.25">
      <c r="A1105" t="s">
        <v>7674</v>
      </c>
      <c r="B1105" s="2" t="s">
        <v>2950</v>
      </c>
      <c r="C1105">
        <v>1</v>
      </c>
      <c r="D1105" t="s">
        <v>7308</v>
      </c>
      <c r="E1105" t="s">
        <v>7883</v>
      </c>
      <c r="F1105" t="s">
        <v>2951</v>
      </c>
      <c r="G1105" t="s">
        <v>2953</v>
      </c>
      <c r="H1105" t="s">
        <v>2952</v>
      </c>
      <c r="I1105" t="s">
        <v>38</v>
      </c>
      <c r="J1105" t="s">
        <v>7682</v>
      </c>
      <c r="K1105" t="s">
        <v>7826</v>
      </c>
      <c r="L1105" t="s">
        <v>7826</v>
      </c>
      <c r="N1105" t="str" cm="1">
        <f t="array" ref="N1105">IFERROR(LOOKUP(2,1/SEARCH($S$2:$S$65,G1105),$T$2:$T$65),"Misc")</f>
        <v>OH P/N</v>
      </c>
      <c r="O1105" t="str" cm="1">
        <f t="array" ref="O1105">IFERROR(LOOKUP(2,1/SEARCH($V$2:$V$65,G1105),$W$2:$W$65),"Misc")</f>
        <v>OH Part</v>
      </c>
      <c r="P1105" t="str" cm="1">
        <f t="array" ref="P1105">IFERROR(LOOKUP(2,1/SEARCH($Y$2:$Y$65,G1105),$Z$2:$Z$65),"Not Defined")</f>
        <v>OH Part</v>
      </c>
      <c r="Q1105" t="str" cm="1">
        <f t="array" ref="Q1105">IFERROR(LOOKUP(2,1/SEARCH($S$2:$S$65,H1105),$T$2:$T$65),"-")</f>
        <v>-</v>
      </c>
    </row>
    <row r="1106" spans="1:17" hidden="1" x14ac:dyDescent="0.25">
      <c r="A1106" t="s">
        <v>7674</v>
      </c>
      <c r="B1106" s="2" t="s">
        <v>2954</v>
      </c>
      <c r="C1106">
        <v>1</v>
      </c>
      <c r="D1106" t="s">
        <v>7308</v>
      </c>
      <c r="E1106" t="s">
        <v>7883</v>
      </c>
      <c r="F1106" t="s">
        <v>2955</v>
      </c>
      <c r="G1106" t="s">
        <v>2957</v>
      </c>
      <c r="H1106" t="s">
        <v>2956</v>
      </c>
      <c r="I1106" t="s">
        <v>38</v>
      </c>
      <c r="J1106" t="s">
        <v>7682</v>
      </c>
      <c r="K1106" t="s">
        <v>7826</v>
      </c>
      <c r="L1106" t="s">
        <v>7826</v>
      </c>
      <c r="N1106" t="str" cm="1">
        <f t="array" ref="N1106">IFERROR(LOOKUP(2,1/SEARCH($S$2:$S$65,G1106),$T$2:$T$65),"Misc")</f>
        <v>OH P/N</v>
      </c>
      <c r="O1106" t="str" cm="1">
        <f t="array" ref="O1106">IFERROR(LOOKUP(2,1/SEARCH($V$2:$V$65,G1106),$W$2:$W$65),"Misc")</f>
        <v>OH Part</v>
      </c>
      <c r="P1106" t="str" cm="1">
        <f t="array" ref="P1106">IFERROR(LOOKUP(2,1/SEARCH($Y$2:$Y$65,G1106),$Z$2:$Z$65),"Not Defined")</f>
        <v>OH Part</v>
      </c>
      <c r="Q1106" t="str" cm="1">
        <f t="array" ref="Q1106">IFERROR(LOOKUP(2,1/SEARCH($S$2:$S$65,H1106),$T$2:$T$65),"-")</f>
        <v>-</v>
      </c>
    </row>
    <row r="1107" spans="1:17" hidden="1" x14ac:dyDescent="0.25">
      <c r="A1107" t="s">
        <v>7674</v>
      </c>
      <c r="B1107" s="2" t="s">
        <v>2958</v>
      </c>
      <c r="C1107">
        <v>1</v>
      </c>
      <c r="D1107" t="s">
        <v>7308</v>
      </c>
      <c r="E1107" t="s">
        <v>7883</v>
      </c>
      <c r="F1107" t="s">
        <v>2959</v>
      </c>
      <c r="G1107" t="s">
        <v>2961</v>
      </c>
      <c r="H1107" t="s">
        <v>2960</v>
      </c>
      <c r="I1107" t="s">
        <v>38</v>
      </c>
      <c r="J1107" t="s">
        <v>7682</v>
      </c>
      <c r="K1107" t="s">
        <v>7826</v>
      </c>
      <c r="L1107" t="s">
        <v>7826</v>
      </c>
      <c r="N1107" t="str" cm="1">
        <f t="array" ref="N1107">IFERROR(LOOKUP(2,1/SEARCH($S$2:$S$65,G1107),$T$2:$T$65),"Misc")</f>
        <v>OH P/N</v>
      </c>
      <c r="O1107" t="str" cm="1">
        <f t="array" ref="O1107">IFERROR(LOOKUP(2,1/SEARCH($V$2:$V$65,G1107),$W$2:$W$65),"Misc")</f>
        <v>OH Part</v>
      </c>
      <c r="P1107" t="str" cm="1">
        <f t="array" ref="P1107">IFERROR(LOOKUP(2,1/SEARCH($Y$2:$Y$65,G1107),$Z$2:$Z$65),"Not Defined")</f>
        <v>OH Part</v>
      </c>
      <c r="Q1107" t="str" cm="1">
        <f t="array" ref="Q1107">IFERROR(LOOKUP(2,1/SEARCH($S$2:$S$65,H1107),$T$2:$T$65),"-")</f>
        <v>-</v>
      </c>
    </row>
    <row r="1108" spans="1:17" hidden="1" x14ac:dyDescent="0.25">
      <c r="A1108" t="s">
        <v>7674</v>
      </c>
      <c r="B1108" s="2" t="s">
        <v>2962</v>
      </c>
      <c r="C1108">
        <v>1</v>
      </c>
      <c r="D1108" t="s">
        <v>7308</v>
      </c>
      <c r="E1108" t="s">
        <v>7883</v>
      </c>
      <c r="F1108" t="s">
        <v>2963</v>
      </c>
      <c r="G1108" t="s">
        <v>2965</v>
      </c>
      <c r="H1108" t="s">
        <v>2964</v>
      </c>
      <c r="I1108" t="s">
        <v>13</v>
      </c>
      <c r="J1108" t="s">
        <v>7682</v>
      </c>
      <c r="K1108" t="s">
        <v>7826</v>
      </c>
      <c r="L1108" t="s">
        <v>7826</v>
      </c>
      <c r="N1108" t="str" cm="1">
        <f t="array" ref="N1108">IFERROR(LOOKUP(2,1/SEARCH($S$2:$S$65,G1108),$T$2:$T$65),"Misc")</f>
        <v>OH P/N</v>
      </c>
      <c r="O1108" t="str" cm="1">
        <f t="array" ref="O1108">IFERROR(LOOKUP(2,1/SEARCH($V$2:$V$65,G1108),$W$2:$W$65),"Misc")</f>
        <v>OH Part</v>
      </c>
      <c r="P1108" t="str" cm="1">
        <f t="array" ref="P1108">IFERROR(LOOKUP(2,1/SEARCH($Y$2:$Y$65,G1108),$Z$2:$Z$65),"Not Defined")</f>
        <v>OH Part</v>
      </c>
      <c r="Q1108" t="str" cm="1">
        <f t="array" ref="Q1108">IFERROR(LOOKUP(2,1/SEARCH($S$2:$S$65,H1108),$T$2:$T$65),"-")</f>
        <v>-</v>
      </c>
    </row>
    <row r="1109" spans="1:17" hidden="1" x14ac:dyDescent="0.25">
      <c r="A1109" t="s">
        <v>7674</v>
      </c>
      <c r="B1109" s="2" t="s">
        <v>2966</v>
      </c>
      <c r="C1109">
        <v>1</v>
      </c>
      <c r="D1109" t="s">
        <v>7308</v>
      </c>
      <c r="E1109" t="s">
        <v>7883</v>
      </c>
      <c r="F1109" t="s">
        <v>2967</v>
      </c>
      <c r="G1109" t="s">
        <v>2969</v>
      </c>
      <c r="H1109" t="s">
        <v>2968</v>
      </c>
      <c r="I1109" t="s">
        <v>13</v>
      </c>
      <c r="J1109" t="s">
        <v>7682</v>
      </c>
      <c r="K1109" t="s">
        <v>7826</v>
      </c>
      <c r="L1109" t="s">
        <v>7826</v>
      </c>
      <c r="N1109" t="str" cm="1">
        <f t="array" ref="N1109">IFERROR(LOOKUP(2,1/SEARCH($S$2:$S$65,G1109),$T$2:$T$65),"Misc")</f>
        <v>OH P/N</v>
      </c>
      <c r="O1109" t="str" cm="1">
        <f t="array" ref="O1109">IFERROR(LOOKUP(2,1/SEARCH($V$2:$V$65,G1109),$W$2:$W$65),"Misc")</f>
        <v>OH Part</v>
      </c>
      <c r="P1109" t="str" cm="1">
        <f t="array" ref="P1109">IFERROR(LOOKUP(2,1/SEARCH($Y$2:$Y$65,G1109),$Z$2:$Z$65),"Not Defined")</f>
        <v>OH Part</v>
      </c>
      <c r="Q1109" t="str" cm="1">
        <f t="array" ref="Q1109">IFERROR(LOOKUP(2,1/SEARCH($S$2:$S$65,H1109),$T$2:$T$65),"-")</f>
        <v>-</v>
      </c>
    </row>
    <row r="1110" spans="1:17" hidden="1" x14ac:dyDescent="0.25">
      <c r="A1110" t="s">
        <v>7674</v>
      </c>
      <c r="B1110" s="2" t="s">
        <v>2970</v>
      </c>
      <c r="C1110">
        <v>1</v>
      </c>
      <c r="D1110" t="s">
        <v>7308</v>
      </c>
      <c r="E1110" t="s">
        <v>7883</v>
      </c>
      <c r="F1110" t="s">
        <v>2959</v>
      </c>
      <c r="G1110" t="s">
        <v>2972</v>
      </c>
      <c r="H1110" t="s">
        <v>2971</v>
      </c>
      <c r="I1110" t="s">
        <v>38</v>
      </c>
      <c r="J1110" t="s">
        <v>7682</v>
      </c>
      <c r="K1110" t="s">
        <v>7826</v>
      </c>
      <c r="L1110" t="s">
        <v>7826</v>
      </c>
      <c r="N1110" t="str" cm="1">
        <f t="array" ref="N1110">IFERROR(LOOKUP(2,1/SEARCH($S$2:$S$65,G1110),$T$2:$T$65),"Misc")</f>
        <v>OH P/N</v>
      </c>
      <c r="O1110" t="str" cm="1">
        <f t="array" ref="O1110">IFERROR(LOOKUP(2,1/SEARCH($V$2:$V$65,G1110),$W$2:$W$65),"Misc")</f>
        <v>OH Part</v>
      </c>
      <c r="P1110" t="str" cm="1">
        <f t="array" ref="P1110">IFERROR(LOOKUP(2,1/SEARCH($Y$2:$Y$65,G1110),$Z$2:$Z$65),"Not Defined")</f>
        <v>OH Part</v>
      </c>
      <c r="Q1110" t="str" cm="1">
        <f t="array" ref="Q1110">IFERROR(LOOKUP(2,1/SEARCH($S$2:$S$65,H1110),$T$2:$T$65),"-")</f>
        <v>-</v>
      </c>
    </row>
    <row r="1111" spans="1:17" hidden="1" x14ac:dyDescent="0.25">
      <c r="A1111" t="s">
        <v>7674</v>
      </c>
      <c r="B1111" s="2" t="s">
        <v>2973</v>
      </c>
      <c r="C1111">
        <v>1</v>
      </c>
      <c r="D1111" t="s">
        <v>7308</v>
      </c>
      <c r="E1111" t="s">
        <v>7883</v>
      </c>
      <c r="F1111" t="s">
        <v>2963</v>
      </c>
      <c r="G1111" t="s">
        <v>2975</v>
      </c>
      <c r="H1111" t="s">
        <v>2974</v>
      </c>
      <c r="I1111" t="s">
        <v>13</v>
      </c>
      <c r="J1111" t="s">
        <v>7682</v>
      </c>
      <c r="K1111" t="s">
        <v>7826</v>
      </c>
      <c r="L1111" t="s">
        <v>7826</v>
      </c>
      <c r="N1111" t="str" cm="1">
        <f t="array" ref="N1111">IFERROR(LOOKUP(2,1/SEARCH($S$2:$S$65,G1111),$T$2:$T$65),"Misc")</f>
        <v>OH P/N</v>
      </c>
      <c r="O1111" t="str" cm="1">
        <f t="array" ref="O1111">IFERROR(LOOKUP(2,1/SEARCH($V$2:$V$65,G1111),$W$2:$W$65),"Misc")</f>
        <v>OH Part</v>
      </c>
      <c r="P1111" t="str" cm="1">
        <f t="array" ref="P1111">IFERROR(LOOKUP(2,1/SEARCH($Y$2:$Y$65,G1111),$Z$2:$Z$65),"Not Defined")</f>
        <v>OH Part</v>
      </c>
      <c r="Q1111" t="str" cm="1">
        <f t="array" ref="Q1111">IFERROR(LOOKUP(2,1/SEARCH($S$2:$S$65,H1111),$T$2:$T$65),"-")</f>
        <v>-</v>
      </c>
    </row>
    <row r="1112" spans="1:17" hidden="1" x14ac:dyDescent="0.25">
      <c r="A1112" t="s">
        <v>7674</v>
      </c>
      <c r="B1112" s="2" t="s">
        <v>2976</v>
      </c>
      <c r="C1112">
        <v>1</v>
      </c>
      <c r="D1112" t="s">
        <v>7308</v>
      </c>
      <c r="E1112" t="s">
        <v>7883</v>
      </c>
      <c r="F1112" t="s">
        <v>2977</v>
      </c>
      <c r="G1112" t="s">
        <v>2979</v>
      </c>
      <c r="H1112" t="s">
        <v>2978</v>
      </c>
      <c r="I1112" t="s">
        <v>38</v>
      </c>
      <c r="J1112" t="s">
        <v>7682</v>
      </c>
      <c r="K1112" t="s">
        <v>7826</v>
      </c>
      <c r="L1112" t="s">
        <v>7826</v>
      </c>
      <c r="N1112" t="str" cm="1">
        <f t="array" ref="N1112">IFERROR(LOOKUP(2,1/SEARCH($S$2:$S$65,G1112),$T$2:$T$65),"Misc")</f>
        <v>OH P/N</v>
      </c>
      <c r="O1112" t="str" cm="1">
        <f t="array" ref="O1112">IFERROR(LOOKUP(2,1/SEARCH($V$2:$V$65,G1112),$W$2:$W$65),"Misc")</f>
        <v>OH Part</v>
      </c>
      <c r="P1112" t="str" cm="1">
        <f t="array" ref="P1112">IFERROR(LOOKUP(2,1/SEARCH($Y$2:$Y$65,G1112),$Z$2:$Z$65),"Not Defined")</f>
        <v>OH Part</v>
      </c>
      <c r="Q1112" t="str" cm="1">
        <f t="array" ref="Q1112">IFERROR(LOOKUP(2,1/SEARCH($S$2:$S$65,H1112),$T$2:$T$65),"-")</f>
        <v>-</v>
      </c>
    </row>
    <row r="1113" spans="1:17" hidden="1" x14ac:dyDescent="0.25">
      <c r="A1113" t="s">
        <v>7674</v>
      </c>
      <c r="B1113" s="2" t="s">
        <v>2980</v>
      </c>
      <c r="C1113">
        <v>1</v>
      </c>
      <c r="D1113" t="s">
        <v>7308</v>
      </c>
      <c r="E1113" t="s">
        <v>7883</v>
      </c>
      <c r="F1113" t="s">
        <v>2981</v>
      </c>
      <c r="G1113" t="s">
        <v>2983</v>
      </c>
      <c r="H1113" t="s">
        <v>2982</v>
      </c>
      <c r="I1113" t="s">
        <v>38</v>
      </c>
      <c r="J1113" t="s">
        <v>7682</v>
      </c>
      <c r="K1113" t="s">
        <v>7826</v>
      </c>
      <c r="L1113" t="s">
        <v>7826</v>
      </c>
      <c r="N1113" t="str" cm="1">
        <f t="array" ref="N1113">IFERROR(LOOKUP(2,1/SEARCH($S$2:$S$65,G1113),$T$2:$T$65),"Misc")</f>
        <v>OH P/N</v>
      </c>
      <c r="O1113" t="str" cm="1">
        <f t="array" ref="O1113">IFERROR(LOOKUP(2,1/SEARCH($V$2:$V$65,G1113),$W$2:$W$65),"Misc")</f>
        <v>OH Part</v>
      </c>
      <c r="P1113" t="str" cm="1">
        <f t="array" ref="P1113">IFERROR(LOOKUP(2,1/SEARCH($Y$2:$Y$65,G1113),$Z$2:$Z$65),"Not Defined")</f>
        <v>OH Part</v>
      </c>
      <c r="Q1113" t="str" cm="1">
        <f t="array" ref="Q1113">IFERROR(LOOKUP(2,1/SEARCH($S$2:$S$65,H1113),$T$2:$T$65),"-")</f>
        <v>-</v>
      </c>
    </row>
    <row r="1114" spans="1:17" hidden="1" x14ac:dyDescent="0.25">
      <c r="A1114" t="s">
        <v>7674</v>
      </c>
      <c r="B1114" s="2" t="s">
        <v>2984</v>
      </c>
      <c r="C1114">
        <v>1</v>
      </c>
      <c r="D1114" t="s">
        <v>7308</v>
      </c>
      <c r="E1114" t="s">
        <v>7883</v>
      </c>
      <c r="F1114" t="s">
        <v>2985</v>
      </c>
      <c r="G1114" t="s">
        <v>2987</v>
      </c>
      <c r="H1114" t="s">
        <v>2986</v>
      </c>
      <c r="I1114" t="s">
        <v>38</v>
      </c>
      <c r="J1114" t="s">
        <v>7682</v>
      </c>
      <c r="K1114" t="s">
        <v>7826</v>
      </c>
      <c r="L1114" t="s">
        <v>7826</v>
      </c>
      <c r="N1114" t="str" cm="1">
        <f t="array" ref="N1114">IFERROR(LOOKUP(2,1/SEARCH($S$2:$S$65,G1114),$T$2:$T$65),"Misc")</f>
        <v>OH P/N</v>
      </c>
      <c r="O1114" t="str" cm="1">
        <f t="array" ref="O1114">IFERROR(LOOKUP(2,1/SEARCH($V$2:$V$65,G1114),$W$2:$W$65),"Misc")</f>
        <v>OH Part</v>
      </c>
      <c r="P1114" t="str" cm="1">
        <f t="array" ref="P1114">IFERROR(LOOKUP(2,1/SEARCH($Y$2:$Y$65,G1114),$Z$2:$Z$65),"Not Defined")</f>
        <v>OH Part</v>
      </c>
      <c r="Q1114" t="str" cm="1">
        <f t="array" ref="Q1114">IFERROR(LOOKUP(2,1/SEARCH($S$2:$S$65,H1114),$T$2:$T$65),"-")</f>
        <v>-</v>
      </c>
    </row>
    <row r="1115" spans="1:17" hidden="1" x14ac:dyDescent="0.25">
      <c r="A1115" t="s">
        <v>7674</v>
      </c>
      <c r="B1115" s="2" t="s">
        <v>2988</v>
      </c>
      <c r="C1115">
        <v>1</v>
      </c>
      <c r="D1115" t="s">
        <v>7308</v>
      </c>
      <c r="E1115" t="s">
        <v>7883</v>
      </c>
      <c r="F1115" t="s">
        <v>2989</v>
      </c>
      <c r="G1115" t="s">
        <v>2991</v>
      </c>
      <c r="H1115" t="s">
        <v>2990</v>
      </c>
      <c r="I1115" t="s">
        <v>38</v>
      </c>
      <c r="J1115" t="s">
        <v>7682</v>
      </c>
      <c r="K1115" t="s">
        <v>7826</v>
      </c>
      <c r="L1115" t="s">
        <v>7826</v>
      </c>
      <c r="N1115" t="str" cm="1">
        <f t="array" ref="N1115">IFERROR(LOOKUP(2,1/SEARCH($S$2:$S$65,G1115),$T$2:$T$65),"Misc")</f>
        <v>OH P/N</v>
      </c>
      <c r="O1115" t="str" cm="1">
        <f t="array" ref="O1115">IFERROR(LOOKUP(2,1/SEARCH($V$2:$V$65,G1115),$W$2:$W$65),"Misc")</f>
        <v>OH Part</v>
      </c>
      <c r="P1115" t="str" cm="1">
        <f t="array" ref="P1115">IFERROR(LOOKUP(2,1/SEARCH($Y$2:$Y$65,G1115),$Z$2:$Z$65),"Not Defined")</f>
        <v>OH Part</v>
      </c>
      <c r="Q1115" t="str" cm="1">
        <f t="array" ref="Q1115">IFERROR(LOOKUP(2,1/SEARCH($S$2:$S$65,H1115),$T$2:$T$65),"-")</f>
        <v>-</v>
      </c>
    </row>
    <row r="1116" spans="1:17" hidden="1" x14ac:dyDescent="0.25">
      <c r="A1116" t="s">
        <v>7674</v>
      </c>
      <c r="B1116" s="2" t="s">
        <v>2992</v>
      </c>
      <c r="C1116">
        <v>1</v>
      </c>
      <c r="D1116" t="s">
        <v>7308</v>
      </c>
      <c r="E1116" t="s">
        <v>7883</v>
      </c>
      <c r="F1116" t="s">
        <v>2993</v>
      </c>
      <c r="G1116" t="s">
        <v>2995</v>
      </c>
      <c r="H1116" t="s">
        <v>2994</v>
      </c>
      <c r="I1116" t="s">
        <v>38</v>
      </c>
      <c r="J1116" t="s">
        <v>7682</v>
      </c>
      <c r="K1116" t="s">
        <v>7826</v>
      </c>
      <c r="L1116" t="s">
        <v>7826</v>
      </c>
      <c r="N1116" t="str" cm="1">
        <f t="array" ref="N1116">IFERROR(LOOKUP(2,1/SEARCH($S$2:$S$65,G1116),$T$2:$T$65),"Misc")</f>
        <v>OH P/N</v>
      </c>
      <c r="O1116" t="str" cm="1">
        <f t="array" ref="O1116">IFERROR(LOOKUP(2,1/SEARCH($V$2:$V$65,G1116),$W$2:$W$65),"Misc")</f>
        <v>OH Part</v>
      </c>
      <c r="P1116" t="str" cm="1">
        <f t="array" ref="P1116">IFERROR(LOOKUP(2,1/SEARCH($Y$2:$Y$65,G1116),$Z$2:$Z$65),"Not Defined")</f>
        <v>OH Part</v>
      </c>
      <c r="Q1116" t="str" cm="1">
        <f t="array" ref="Q1116">IFERROR(LOOKUP(2,1/SEARCH($S$2:$S$65,H1116),$T$2:$T$65),"-")</f>
        <v>-</v>
      </c>
    </row>
    <row r="1117" spans="1:17" hidden="1" x14ac:dyDescent="0.25">
      <c r="A1117" t="s">
        <v>7674</v>
      </c>
      <c r="B1117" s="2" t="s">
        <v>2996</v>
      </c>
      <c r="C1117">
        <v>1</v>
      </c>
      <c r="D1117" t="s">
        <v>7308</v>
      </c>
      <c r="E1117" t="s">
        <v>7883</v>
      </c>
      <c r="F1117" t="s">
        <v>2997</v>
      </c>
      <c r="G1117" t="s">
        <v>2999</v>
      </c>
      <c r="H1117" t="s">
        <v>2998</v>
      </c>
      <c r="I1117" t="s">
        <v>38</v>
      </c>
      <c r="J1117" t="s">
        <v>7682</v>
      </c>
      <c r="K1117" t="s">
        <v>7826</v>
      </c>
      <c r="L1117" t="s">
        <v>7826</v>
      </c>
      <c r="N1117" t="str" cm="1">
        <f t="array" ref="N1117">IFERROR(LOOKUP(2,1/SEARCH($S$2:$S$65,G1117),$T$2:$T$65),"Misc")</f>
        <v>OH P/N</v>
      </c>
      <c r="O1117" t="str" cm="1">
        <f t="array" ref="O1117">IFERROR(LOOKUP(2,1/SEARCH($V$2:$V$65,G1117),$W$2:$W$65),"Misc")</f>
        <v>OH Part</v>
      </c>
      <c r="P1117" t="str" cm="1">
        <f t="array" ref="P1117">IFERROR(LOOKUP(2,1/SEARCH($Y$2:$Y$65,G1117),$Z$2:$Z$65),"Not Defined")</f>
        <v>OH Part</v>
      </c>
      <c r="Q1117" t="str" cm="1">
        <f t="array" ref="Q1117">IFERROR(LOOKUP(2,1/SEARCH($S$2:$S$65,H1117),$T$2:$T$65),"-")</f>
        <v>-</v>
      </c>
    </row>
    <row r="1118" spans="1:17" hidden="1" x14ac:dyDescent="0.25">
      <c r="A1118" t="s">
        <v>7674</v>
      </c>
      <c r="B1118" s="2" t="s">
        <v>3000</v>
      </c>
      <c r="C1118">
        <v>1</v>
      </c>
      <c r="D1118" t="s">
        <v>7308</v>
      </c>
      <c r="E1118" t="s">
        <v>7883</v>
      </c>
      <c r="F1118" t="s">
        <v>3001</v>
      </c>
      <c r="G1118" t="s">
        <v>3003</v>
      </c>
      <c r="H1118" t="s">
        <v>3002</v>
      </c>
      <c r="I1118" t="s">
        <v>38</v>
      </c>
      <c r="J1118" t="s">
        <v>7682</v>
      </c>
      <c r="K1118" t="s">
        <v>7826</v>
      </c>
      <c r="L1118" t="s">
        <v>7826</v>
      </c>
      <c r="N1118" t="str" cm="1">
        <f t="array" ref="N1118">IFERROR(LOOKUP(2,1/SEARCH($S$2:$S$65,G1118),$T$2:$T$65),"Misc")</f>
        <v>OH P/N</v>
      </c>
      <c r="O1118" t="str" cm="1">
        <f t="array" ref="O1118">IFERROR(LOOKUP(2,1/SEARCH($V$2:$V$65,G1118),$W$2:$W$65),"Misc")</f>
        <v>OH Part</v>
      </c>
      <c r="P1118" t="str" cm="1">
        <f t="array" ref="P1118">IFERROR(LOOKUP(2,1/SEARCH($Y$2:$Y$65,G1118),$Z$2:$Z$65),"Not Defined")</f>
        <v>OH Part</v>
      </c>
      <c r="Q1118" t="str" cm="1">
        <f t="array" ref="Q1118">IFERROR(LOOKUP(2,1/SEARCH($S$2:$S$65,H1118),$T$2:$T$65),"-")</f>
        <v>-</v>
      </c>
    </row>
    <row r="1119" spans="1:17" hidden="1" x14ac:dyDescent="0.25">
      <c r="A1119" t="s">
        <v>7674</v>
      </c>
      <c r="B1119" s="2" t="s">
        <v>3004</v>
      </c>
      <c r="C1119">
        <v>2</v>
      </c>
      <c r="D1119" t="s">
        <v>7308</v>
      </c>
      <c r="E1119" t="s">
        <v>7883</v>
      </c>
      <c r="F1119" t="s">
        <v>3005</v>
      </c>
      <c r="G1119" t="s">
        <v>3007</v>
      </c>
      <c r="H1119" t="s">
        <v>3006</v>
      </c>
      <c r="I1119" t="s">
        <v>38</v>
      </c>
      <c r="J1119" t="s">
        <v>7682</v>
      </c>
      <c r="K1119" t="s">
        <v>7826</v>
      </c>
      <c r="L1119" t="s">
        <v>7826</v>
      </c>
      <c r="N1119" t="str" cm="1">
        <f t="array" ref="N1119">IFERROR(LOOKUP(2,1/SEARCH($S$2:$S$65,G1119),$T$2:$T$65),"Misc")</f>
        <v>OH P/N</v>
      </c>
      <c r="O1119" t="str" cm="1">
        <f t="array" ref="O1119">IFERROR(LOOKUP(2,1/SEARCH($V$2:$V$65,G1119),$W$2:$W$65),"Misc")</f>
        <v>OH Part</v>
      </c>
      <c r="P1119" t="str" cm="1">
        <f t="array" ref="P1119">IFERROR(LOOKUP(2,1/SEARCH($Y$2:$Y$65,G1119),$Z$2:$Z$65),"Not Defined")</f>
        <v>OH Part</v>
      </c>
      <c r="Q1119" t="str" cm="1">
        <f t="array" ref="Q1119">IFERROR(LOOKUP(2,1/SEARCH($S$2:$S$65,H1119),$T$2:$T$65),"-")</f>
        <v>-</v>
      </c>
    </row>
    <row r="1120" spans="1:17" hidden="1" x14ac:dyDescent="0.25">
      <c r="A1120" t="s">
        <v>7674</v>
      </c>
      <c r="B1120" s="2" t="s">
        <v>3008</v>
      </c>
      <c r="C1120">
        <v>2</v>
      </c>
      <c r="D1120" t="s">
        <v>7308</v>
      </c>
      <c r="E1120" t="s">
        <v>7883</v>
      </c>
      <c r="F1120" t="s">
        <v>3009</v>
      </c>
      <c r="G1120" t="s">
        <v>3011</v>
      </c>
      <c r="H1120" t="s">
        <v>3010</v>
      </c>
      <c r="I1120" t="s">
        <v>38</v>
      </c>
      <c r="J1120" t="s">
        <v>7682</v>
      </c>
      <c r="K1120" t="s">
        <v>7826</v>
      </c>
      <c r="L1120" t="s">
        <v>7826</v>
      </c>
      <c r="N1120" t="str" cm="1">
        <f t="array" ref="N1120">IFERROR(LOOKUP(2,1/SEARCH($S$2:$S$65,G1120),$T$2:$T$65),"Misc")</f>
        <v>OH P/N</v>
      </c>
      <c r="O1120" t="str" cm="1">
        <f t="array" ref="O1120">IFERROR(LOOKUP(2,1/SEARCH($V$2:$V$65,G1120),$W$2:$W$65),"Misc")</f>
        <v>OH Part</v>
      </c>
      <c r="P1120" t="str" cm="1">
        <f t="array" ref="P1120">IFERROR(LOOKUP(2,1/SEARCH($Y$2:$Y$65,G1120),$Z$2:$Z$65),"Not Defined")</f>
        <v>OH Part</v>
      </c>
      <c r="Q1120" t="str" cm="1">
        <f t="array" ref="Q1120">IFERROR(LOOKUP(2,1/SEARCH($S$2:$S$65,H1120),$T$2:$T$65),"-")</f>
        <v>-</v>
      </c>
    </row>
    <row r="1121" spans="1:17" hidden="1" x14ac:dyDescent="0.25">
      <c r="A1121" t="s">
        <v>7674</v>
      </c>
      <c r="B1121" s="2" t="s">
        <v>3012</v>
      </c>
      <c r="C1121">
        <v>1</v>
      </c>
      <c r="D1121" t="s">
        <v>7308</v>
      </c>
      <c r="E1121" t="s">
        <v>7883</v>
      </c>
      <c r="F1121" t="s">
        <v>3013</v>
      </c>
      <c r="G1121" t="s">
        <v>3015</v>
      </c>
      <c r="H1121" t="s">
        <v>3014</v>
      </c>
      <c r="I1121" t="s">
        <v>38</v>
      </c>
      <c r="J1121" t="s">
        <v>7682</v>
      </c>
      <c r="K1121" t="s">
        <v>7826</v>
      </c>
      <c r="L1121" t="s">
        <v>7826</v>
      </c>
      <c r="N1121" t="str" cm="1">
        <f t="array" ref="N1121">IFERROR(LOOKUP(2,1/SEARCH($S$2:$S$65,G1121),$T$2:$T$65),"Misc")</f>
        <v>OH P/N</v>
      </c>
      <c r="O1121" t="str" cm="1">
        <f t="array" ref="O1121">IFERROR(LOOKUP(2,1/SEARCH($V$2:$V$65,G1121),$W$2:$W$65),"Misc")</f>
        <v>OH Part</v>
      </c>
      <c r="P1121" t="str" cm="1">
        <f t="array" ref="P1121">IFERROR(LOOKUP(2,1/SEARCH($Y$2:$Y$65,G1121),$Z$2:$Z$65),"Not Defined")</f>
        <v>OH Part</v>
      </c>
      <c r="Q1121" t="str" cm="1">
        <f t="array" ref="Q1121">IFERROR(LOOKUP(2,1/SEARCH($S$2:$S$65,H1121),$T$2:$T$65),"-")</f>
        <v>-</v>
      </c>
    </row>
    <row r="1122" spans="1:17" hidden="1" x14ac:dyDescent="0.25">
      <c r="A1122" t="s">
        <v>7674</v>
      </c>
      <c r="B1122" s="2" t="s">
        <v>3016</v>
      </c>
      <c r="C1122">
        <v>1</v>
      </c>
      <c r="D1122" t="s">
        <v>7308</v>
      </c>
      <c r="E1122" t="s">
        <v>7883</v>
      </c>
      <c r="F1122" t="s">
        <v>3017</v>
      </c>
      <c r="G1122" t="s">
        <v>3019</v>
      </c>
      <c r="H1122" t="s">
        <v>3018</v>
      </c>
      <c r="I1122" t="s">
        <v>255</v>
      </c>
      <c r="J1122" t="s">
        <v>7682</v>
      </c>
      <c r="K1122" t="s">
        <v>7826</v>
      </c>
      <c r="L1122" t="s">
        <v>7826</v>
      </c>
      <c r="N1122" t="str" cm="1">
        <f t="array" ref="N1122">IFERROR(LOOKUP(2,1/SEARCH($S$2:$S$65,G1122),$T$2:$T$65),"Misc")</f>
        <v>OH P/N</v>
      </c>
      <c r="O1122" t="str" cm="1">
        <f t="array" ref="O1122">IFERROR(LOOKUP(2,1/SEARCH($V$2:$V$65,G1122),$W$2:$W$65),"Misc")</f>
        <v>OH Part</v>
      </c>
      <c r="P1122" t="str" cm="1">
        <f t="array" ref="P1122">IFERROR(LOOKUP(2,1/SEARCH($Y$2:$Y$65,G1122),$Z$2:$Z$65),"Not Defined")</f>
        <v>OH Part</v>
      </c>
      <c r="Q1122" t="str" cm="1">
        <f t="array" ref="Q1122">IFERROR(LOOKUP(2,1/SEARCH($S$2:$S$65,H1122),$T$2:$T$65),"-")</f>
        <v>-</v>
      </c>
    </row>
    <row r="1123" spans="1:17" hidden="1" x14ac:dyDescent="0.25">
      <c r="A1123" t="s">
        <v>7674</v>
      </c>
      <c r="B1123" s="2" t="s">
        <v>3020</v>
      </c>
      <c r="C1123">
        <v>1</v>
      </c>
      <c r="D1123" t="s">
        <v>7308</v>
      </c>
      <c r="E1123" t="s">
        <v>7883</v>
      </c>
      <c r="F1123" t="s">
        <v>3021</v>
      </c>
      <c r="G1123" t="s">
        <v>3023</v>
      </c>
      <c r="H1123" t="s">
        <v>3022</v>
      </c>
      <c r="I1123" t="s">
        <v>38</v>
      </c>
      <c r="J1123" t="s">
        <v>7682</v>
      </c>
      <c r="K1123" t="s">
        <v>7826</v>
      </c>
      <c r="L1123" t="s">
        <v>7826</v>
      </c>
      <c r="N1123" t="str" cm="1">
        <f t="array" ref="N1123">IFERROR(LOOKUP(2,1/SEARCH($S$2:$S$65,G1123),$T$2:$T$65),"Misc")</f>
        <v>OH P/N</v>
      </c>
      <c r="O1123" t="str" cm="1">
        <f t="array" ref="O1123">IFERROR(LOOKUP(2,1/SEARCH($V$2:$V$65,G1123),$W$2:$W$65),"Misc")</f>
        <v>OH Part</v>
      </c>
      <c r="P1123" t="str" cm="1">
        <f t="array" ref="P1123">IFERROR(LOOKUP(2,1/SEARCH($Y$2:$Y$65,G1123),$Z$2:$Z$65),"Not Defined")</f>
        <v>OH Part</v>
      </c>
      <c r="Q1123" t="str" cm="1">
        <f t="array" ref="Q1123">IFERROR(LOOKUP(2,1/SEARCH($S$2:$S$65,H1123),$T$2:$T$65),"-")</f>
        <v>-</v>
      </c>
    </row>
    <row r="1124" spans="1:17" hidden="1" x14ac:dyDescent="0.25">
      <c r="A1124" t="s">
        <v>7674</v>
      </c>
      <c r="B1124" s="2" t="s">
        <v>3024</v>
      </c>
      <c r="C1124">
        <v>1</v>
      </c>
      <c r="D1124" t="s">
        <v>7308</v>
      </c>
      <c r="E1124" t="s">
        <v>7883</v>
      </c>
      <c r="F1124" t="s">
        <v>3025</v>
      </c>
      <c r="G1124" t="s">
        <v>3027</v>
      </c>
      <c r="H1124" t="s">
        <v>3026</v>
      </c>
      <c r="I1124" t="s">
        <v>13</v>
      </c>
      <c r="J1124" t="s">
        <v>7682</v>
      </c>
      <c r="K1124" t="s">
        <v>7826</v>
      </c>
      <c r="L1124" t="s">
        <v>7826</v>
      </c>
      <c r="N1124" t="str" cm="1">
        <f t="array" ref="N1124">IFERROR(LOOKUP(2,1/SEARCH($S$2:$S$65,G1124),$T$2:$T$65),"Misc")</f>
        <v>OH P/N</v>
      </c>
      <c r="O1124" t="str" cm="1">
        <f t="array" ref="O1124">IFERROR(LOOKUP(2,1/SEARCH($V$2:$V$65,G1124),$W$2:$W$65),"Misc")</f>
        <v>OH Part</v>
      </c>
      <c r="P1124" t="str" cm="1">
        <f t="array" ref="P1124">IFERROR(LOOKUP(2,1/SEARCH($Y$2:$Y$65,G1124),$Z$2:$Z$65),"Not Defined")</f>
        <v>OH Part</v>
      </c>
      <c r="Q1124" t="str" cm="1">
        <f t="array" ref="Q1124">IFERROR(LOOKUP(2,1/SEARCH($S$2:$S$65,H1124),$T$2:$T$65),"-")</f>
        <v>-</v>
      </c>
    </row>
    <row r="1125" spans="1:17" hidden="1" x14ac:dyDescent="0.25">
      <c r="A1125" t="s">
        <v>7674</v>
      </c>
      <c r="B1125" s="2" t="s">
        <v>3028</v>
      </c>
      <c r="C1125">
        <v>4</v>
      </c>
      <c r="D1125" t="s">
        <v>7308</v>
      </c>
      <c r="E1125" t="s">
        <v>7883</v>
      </c>
      <c r="F1125" t="s">
        <v>222</v>
      </c>
      <c r="G1125" t="s">
        <v>7053</v>
      </c>
      <c r="H1125" t="s">
        <v>223</v>
      </c>
      <c r="I1125" t="s">
        <v>224</v>
      </c>
      <c r="J1125" t="s">
        <v>7703</v>
      </c>
      <c r="K1125" t="s">
        <v>7684</v>
      </c>
      <c r="L1125" t="s">
        <v>7687</v>
      </c>
      <c r="N1125" t="str" cm="1">
        <f t="array" ref="N1125">IFERROR(LOOKUP(2,1/SEARCH($S$2:$S$65,G1125),$T$2:$T$65),"Misc")</f>
        <v>COTS</v>
      </c>
      <c r="O1125" t="str" cm="1">
        <f t="array" ref="O1125">IFERROR(LOOKUP(2,1/SEARCH($V$2:$V$65,G1125),$W$2:$W$65),"Misc")</f>
        <v>Fasteners</v>
      </c>
      <c r="P1125" t="str" cm="1">
        <f t="array" ref="P1125">IFERROR(LOOKUP(2,1/SEARCH($Y$2:$Y$65,G1125),$Z$2:$Z$65),"Not Defined")</f>
        <v>INSERT</v>
      </c>
      <c r="Q1125" t="str" cm="1">
        <f t="array" ref="Q1125">IFERROR(LOOKUP(2,1/SEARCH($S$2:$S$65,H1125),$T$2:$T$65),"-")</f>
        <v>COTS</v>
      </c>
    </row>
    <row r="1126" spans="1:17" hidden="1" x14ac:dyDescent="0.25">
      <c r="A1126" t="s">
        <v>7674</v>
      </c>
      <c r="B1126" s="2" t="s">
        <v>3029</v>
      </c>
      <c r="C1126">
        <v>8</v>
      </c>
      <c r="D1126" t="s">
        <v>7308</v>
      </c>
      <c r="E1126" t="s">
        <v>7883</v>
      </c>
      <c r="F1126" t="s">
        <v>230</v>
      </c>
      <c r="G1126" t="s">
        <v>7055</v>
      </c>
      <c r="H1126" t="s">
        <v>231</v>
      </c>
      <c r="I1126" t="s">
        <v>210</v>
      </c>
      <c r="J1126" t="s">
        <v>7703</v>
      </c>
      <c r="K1126" t="s">
        <v>7684</v>
      </c>
      <c r="L1126" t="s">
        <v>7692</v>
      </c>
      <c r="N1126" t="str" cm="1">
        <f t="array" ref="N1126">IFERROR(LOOKUP(2,1/SEARCH($S$2:$S$65,G1126),$T$2:$T$65),"Misc")</f>
        <v>COTS</v>
      </c>
      <c r="O1126" t="str" cm="1">
        <f t="array" ref="O1126">IFERROR(LOOKUP(2,1/SEARCH($V$2:$V$65,G1126),$W$2:$W$65),"Misc")</f>
        <v>Fasteners</v>
      </c>
      <c r="P1126" t="str" cm="1">
        <f t="array" ref="P1126">IFERROR(LOOKUP(2,1/SEARCH($Y$2:$Y$65,G1126),$Z$2:$Z$65),"Not Defined")</f>
        <v>WASHER</v>
      </c>
      <c r="Q1126" t="str" cm="1">
        <f t="array" ref="Q1126">IFERROR(LOOKUP(2,1/SEARCH($S$2:$S$65,H1126),$T$2:$T$65),"-")</f>
        <v>COTS</v>
      </c>
    </row>
    <row r="1127" spans="1:17" hidden="1" x14ac:dyDescent="0.25">
      <c r="A1127" t="s">
        <v>7674</v>
      </c>
      <c r="B1127" s="2" t="s">
        <v>3030</v>
      </c>
      <c r="C1127">
        <v>8</v>
      </c>
      <c r="D1127" t="s">
        <v>7308</v>
      </c>
      <c r="E1127" t="s">
        <v>7883</v>
      </c>
      <c r="F1127" t="s">
        <v>915</v>
      </c>
      <c r="G1127" t="s">
        <v>7129</v>
      </c>
      <c r="H1127" t="s">
        <v>916</v>
      </c>
      <c r="I1127" t="s">
        <v>228</v>
      </c>
      <c r="J1127" t="s">
        <v>7703</v>
      </c>
      <c r="K1127" t="s">
        <v>7684</v>
      </c>
      <c r="L1127" t="s">
        <v>7693</v>
      </c>
      <c r="N1127" t="str" cm="1">
        <f t="array" ref="N1127">IFERROR(LOOKUP(2,1/SEARCH($S$2:$S$65,G1127),$T$2:$T$65),"Misc")</f>
        <v>COTS</v>
      </c>
      <c r="O1127" t="str" cm="1">
        <f t="array" ref="O1127">IFERROR(LOOKUP(2,1/SEARCH($V$2:$V$65,G1127),$W$2:$W$65),"Misc")</f>
        <v>Fasteners</v>
      </c>
      <c r="P1127" t="str" cm="1">
        <f t="array" ref="P1127">IFERROR(LOOKUP(2,1/SEARCH($Y$2:$Y$65,G1127),$Z$2:$Z$65),"Not Defined")</f>
        <v>PHS</v>
      </c>
      <c r="Q1127" t="str" cm="1">
        <f t="array" ref="Q1127">IFERROR(LOOKUP(2,1/SEARCH($S$2:$S$65,H1127),$T$2:$T$65),"-")</f>
        <v>COTS</v>
      </c>
    </row>
    <row r="1128" spans="1:17" hidden="1" x14ac:dyDescent="0.25">
      <c r="A1128" t="s">
        <v>7674</v>
      </c>
      <c r="B1128" s="2" t="s">
        <v>3031</v>
      </c>
      <c r="C1128">
        <v>17</v>
      </c>
      <c r="D1128" t="s">
        <v>7308</v>
      </c>
      <c r="E1128" t="s">
        <v>7883</v>
      </c>
      <c r="F1128" t="s">
        <v>212</v>
      </c>
      <c r="G1128" t="s">
        <v>7050</v>
      </c>
      <c r="H1128" t="s">
        <v>213</v>
      </c>
      <c r="I1128" t="s">
        <v>214</v>
      </c>
      <c r="J1128" t="s">
        <v>7703</v>
      </c>
      <c r="K1128" t="s">
        <v>7684</v>
      </c>
      <c r="L1128" t="s">
        <v>7707</v>
      </c>
      <c r="N1128" t="str" cm="1">
        <f t="array" ref="N1128">IFERROR(LOOKUP(2,1/SEARCH($S$2:$S$65,G1128),$T$2:$T$65),"Misc")</f>
        <v>COTS</v>
      </c>
      <c r="O1128" t="str" cm="1">
        <f t="array" ref="O1128">IFERROR(LOOKUP(2,1/SEARCH($V$2:$V$65,G1128),$W$2:$W$65),"Misc")</f>
        <v>Fasteners</v>
      </c>
      <c r="P1128" t="str" cm="1">
        <f t="array" ref="P1128">IFERROR(LOOKUP(2,1/SEARCH($Y$2:$Y$65,G1128),$Z$2:$Z$65),"Not Defined")</f>
        <v>PIN</v>
      </c>
      <c r="Q1128" t="str" cm="1">
        <f t="array" ref="Q1128">IFERROR(LOOKUP(2,1/SEARCH($S$2:$S$65,H1128),$T$2:$T$65),"-")</f>
        <v>COTS</v>
      </c>
    </row>
    <row r="1129" spans="1:17" hidden="1" x14ac:dyDescent="0.25">
      <c r="A1129" t="s">
        <v>7674</v>
      </c>
      <c r="B1129" s="2" t="s">
        <v>3032</v>
      </c>
      <c r="C1129">
        <v>4</v>
      </c>
      <c r="D1129" t="s">
        <v>7308</v>
      </c>
      <c r="E1129" t="s">
        <v>7883</v>
      </c>
      <c r="F1129" t="s">
        <v>265</v>
      </c>
      <c r="G1129" t="s">
        <v>7099</v>
      </c>
      <c r="H1129" t="s">
        <v>266</v>
      </c>
      <c r="I1129" t="s">
        <v>224</v>
      </c>
      <c r="J1129" t="s">
        <v>7703</v>
      </c>
      <c r="K1129" t="s">
        <v>7684</v>
      </c>
      <c r="L1129" t="s">
        <v>7687</v>
      </c>
      <c r="N1129" t="str" cm="1">
        <f t="array" ref="N1129">IFERROR(LOOKUP(2,1/SEARCH($S$2:$S$65,G1129),$T$2:$T$65),"Misc")</f>
        <v>COTS</v>
      </c>
      <c r="O1129" t="str" cm="1">
        <f t="array" ref="O1129">IFERROR(LOOKUP(2,1/SEARCH($V$2:$V$65,G1129),$W$2:$W$65),"Misc")</f>
        <v>Fasteners</v>
      </c>
      <c r="P1129" t="str" cm="1">
        <f t="array" ref="P1129">IFERROR(LOOKUP(2,1/SEARCH($Y$2:$Y$65,G1129),$Z$2:$Z$65),"Not Defined")</f>
        <v>INSERT</v>
      </c>
      <c r="Q1129" t="str" cm="1">
        <f t="array" ref="Q1129">IFERROR(LOOKUP(2,1/SEARCH($S$2:$S$65,H1129),$T$2:$T$65),"-")</f>
        <v>COTS</v>
      </c>
    </row>
    <row r="1130" spans="1:17" hidden="1" x14ac:dyDescent="0.25">
      <c r="A1130" t="s">
        <v>7674</v>
      </c>
      <c r="B1130" s="2" t="s">
        <v>3033</v>
      </c>
      <c r="C1130">
        <v>29</v>
      </c>
      <c r="D1130" t="s">
        <v>7308</v>
      </c>
      <c r="E1130" t="s">
        <v>7883</v>
      </c>
      <c r="F1130" t="s">
        <v>208</v>
      </c>
      <c r="G1130" t="s">
        <v>7049</v>
      </c>
      <c r="H1130" t="s">
        <v>209</v>
      </c>
      <c r="I1130" t="s">
        <v>210</v>
      </c>
      <c r="J1130" t="s">
        <v>7703</v>
      </c>
      <c r="K1130" t="s">
        <v>7684</v>
      </c>
      <c r="L1130" t="s">
        <v>7738</v>
      </c>
      <c r="N1130" t="str" cm="1">
        <f t="array" ref="N1130">IFERROR(LOOKUP(2,1/SEARCH($S$2:$S$65,G1130),$T$2:$T$65),"Misc")</f>
        <v>COTS</v>
      </c>
      <c r="O1130" t="str" cm="1">
        <f t="array" ref="O1130">IFERROR(LOOKUP(2,1/SEARCH($V$2:$V$65,G1130),$W$2:$W$65),"Misc")</f>
        <v>Fasteners</v>
      </c>
      <c r="P1130" t="str" cm="1">
        <f t="array" ref="P1130">IFERROR(LOOKUP(2,1/SEARCH($Y$2:$Y$65,G1130),$Z$2:$Z$65),"Not Defined")</f>
        <v>FHWS</v>
      </c>
      <c r="Q1130" t="str" cm="1">
        <f t="array" ref="Q1130">IFERROR(LOOKUP(2,1/SEARCH($S$2:$S$65,H1130),$T$2:$T$65),"-")</f>
        <v>COTS</v>
      </c>
    </row>
    <row r="1131" spans="1:17" hidden="1" x14ac:dyDescent="0.25">
      <c r="A1131" t="s">
        <v>7674</v>
      </c>
      <c r="B1131" s="2" t="s">
        <v>3034</v>
      </c>
      <c r="C1131">
        <v>22</v>
      </c>
      <c r="D1131" t="s">
        <v>7308</v>
      </c>
      <c r="E1131" t="s">
        <v>7883</v>
      </c>
      <c r="F1131" t="s">
        <v>2659</v>
      </c>
      <c r="G1131" t="s">
        <v>7306</v>
      </c>
      <c r="H1131" t="s">
        <v>2660</v>
      </c>
      <c r="I1131" t="s">
        <v>210</v>
      </c>
      <c r="J1131" t="s">
        <v>7703</v>
      </c>
      <c r="K1131" t="s">
        <v>7684</v>
      </c>
      <c r="L1131" t="s">
        <v>7738</v>
      </c>
      <c r="N1131" t="str" cm="1">
        <f t="array" ref="N1131">IFERROR(LOOKUP(2,1/SEARCH($S$2:$S$65,G1131),$T$2:$T$65),"Misc")</f>
        <v>COTS</v>
      </c>
      <c r="O1131" t="str" cm="1">
        <f t="array" ref="O1131">IFERROR(LOOKUP(2,1/SEARCH($V$2:$V$65,G1131),$W$2:$W$65),"Misc")</f>
        <v>Fasteners</v>
      </c>
      <c r="P1131" t="str" cm="1">
        <f t="array" ref="P1131">IFERROR(LOOKUP(2,1/SEARCH($Y$2:$Y$65,G1131),$Z$2:$Z$65),"Not Defined")</f>
        <v>FHWS</v>
      </c>
      <c r="Q1131" t="str" cm="1">
        <f t="array" ref="Q1131">IFERROR(LOOKUP(2,1/SEARCH($S$2:$S$65,H1131),$T$2:$T$65),"-")</f>
        <v>COTS</v>
      </c>
    </row>
    <row r="1132" spans="1:17" hidden="1" x14ac:dyDescent="0.25">
      <c r="A1132" t="s">
        <v>7674</v>
      </c>
      <c r="B1132" s="2" t="s">
        <v>3035</v>
      </c>
      <c r="C1132">
        <v>4</v>
      </c>
      <c r="D1132" t="s">
        <v>7308</v>
      </c>
      <c r="E1132" t="s">
        <v>7883</v>
      </c>
      <c r="F1132" t="s">
        <v>3036</v>
      </c>
      <c r="G1132" t="s">
        <v>7336</v>
      </c>
      <c r="H1132" t="s">
        <v>3037</v>
      </c>
      <c r="I1132" t="s">
        <v>299</v>
      </c>
      <c r="J1132" t="s">
        <v>7703</v>
      </c>
      <c r="K1132" t="str" cm="1">
        <f t="array" ref="K1132">IFERROR(LOOKUP(2,1/SEARCH($V$2:$V$65,C1132),$W$2:$W$65),"Misc")</f>
        <v>Misc</v>
      </c>
      <c r="L1132" t="s">
        <v>7834</v>
      </c>
      <c r="N1132" t="str" cm="1">
        <f t="array" ref="N1132">IFERROR(LOOKUP(2,1/SEARCH($S$2:$S$65,G1132),$T$2:$T$65),"Misc")</f>
        <v>COTS</v>
      </c>
      <c r="O1132" t="str" cm="1">
        <f t="array" ref="O1132">IFERROR(LOOKUP(2,1/SEARCH($V$2:$V$65,G1132),$W$2:$W$65),"Misc")</f>
        <v>Misc</v>
      </c>
      <c r="P1132" t="str" cm="1">
        <f t="array" ref="P1132">IFERROR(LOOKUP(2,1/SEARCH($Y$2:$Y$65,G1132),$Z$2:$Z$65),"Not Defined")</f>
        <v>Not Defined</v>
      </c>
      <c r="Q1132" t="str" cm="1">
        <f t="array" ref="Q1132">IFERROR(LOOKUP(2,1/SEARCH($S$2:$S$65,H1132),$T$2:$T$65),"-")</f>
        <v>COTS</v>
      </c>
    </row>
    <row r="1133" spans="1:17" hidden="1" x14ac:dyDescent="0.25">
      <c r="A1133" t="s">
        <v>7674</v>
      </c>
      <c r="B1133" s="2" t="s">
        <v>3038</v>
      </c>
      <c r="C1133">
        <v>4</v>
      </c>
      <c r="D1133" t="s">
        <v>7308</v>
      </c>
      <c r="E1133" t="s">
        <v>7883</v>
      </c>
      <c r="F1133" t="s">
        <v>2590</v>
      </c>
      <c r="G1133" t="s">
        <v>7300</v>
      </c>
      <c r="H1133" t="s">
        <v>2591</v>
      </c>
      <c r="I1133" t="s">
        <v>228</v>
      </c>
      <c r="J1133" t="s">
        <v>7703</v>
      </c>
      <c r="K1133" t="s">
        <v>7684</v>
      </c>
      <c r="L1133" t="s">
        <v>7692</v>
      </c>
      <c r="N1133" t="str" cm="1">
        <f t="array" ref="N1133">IFERROR(LOOKUP(2,1/SEARCH($S$2:$S$65,G1133),$T$2:$T$65),"Misc")</f>
        <v>COTS</v>
      </c>
      <c r="O1133" t="str" cm="1">
        <f t="array" ref="O1133">IFERROR(LOOKUP(2,1/SEARCH($V$2:$V$65,G1133),$W$2:$W$65),"Misc")</f>
        <v>Fasteners</v>
      </c>
      <c r="P1133" t="str" cm="1">
        <f t="array" ref="P1133">IFERROR(LOOKUP(2,1/SEARCH($Y$2:$Y$65,G1133),$Z$2:$Z$65),"Not Defined")</f>
        <v>WASHER</v>
      </c>
      <c r="Q1133" t="str" cm="1">
        <f t="array" ref="Q1133">IFERROR(LOOKUP(2,1/SEARCH($S$2:$S$65,H1133),$T$2:$T$65),"-")</f>
        <v>COTS</v>
      </c>
    </row>
    <row r="1134" spans="1:17" hidden="1" x14ac:dyDescent="0.25">
      <c r="A1134" t="s">
        <v>7674</v>
      </c>
      <c r="B1134" s="2" t="s">
        <v>3039</v>
      </c>
      <c r="C1134">
        <v>4</v>
      </c>
      <c r="D1134" t="s">
        <v>7308</v>
      </c>
      <c r="E1134" t="s">
        <v>7883</v>
      </c>
      <c r="F1134" t="s">
        <v>2588</v>
      </c>
      <c r="G1134" t="s">
        <v>7299</v>
      </c>
      <c r="H1134" t="s">
        <v>2589</v>
      </c>
      <c r="I1134" t="s">
        <v>228</v>
      </c>
      <c r="J1134" t="s">
        <v>7703</v>
      </c>
      <c r="K1134" t="s">
        <v>7684</v>
      </c>
      <c r="L1134" t="s">
        <v>7706</v>
      </c>
      <c r="N1134" t="str" cm="1">
        <f t="array" ref="N1134">IFERROR(LOOKUP(2,1/SEARCH($S$2:$S$65,G1134),$T$2:$T$65),"Misc")</f>
        <v>COTS</v>
      </c>
      <c r="O1134" t="str" cm="1">
        <f t="array" ref="O1134">IFERROR(LOOKUP(2,1/SEARCH($V$2:$V$65,G1134),$W$2:$W$65),"Misc")</f>
        <v>Fasteners</v>
      </c>
      <c r="P1134" t="str" cm="1">
        <f t="array" ref="P1134">IFERROR(LOOKUP(2,1/SEARCH($Y$2:$Y$65,G1134),$Z$2:$Z$65),"Not Defined")</f>
        <v>HHCS</v>
      </c>
      <c r="Q1134" t="str" cm="1">
        <f t="array" ref="Q1134">IFERROR(LOOKUP(2,1/SEARCH($S$2:$S$65,H1134),$T$2:$T$65),"-")</f>
        <v>COTS</v>
      </c>
    </row>
    <row r="1135" spans="1:17" hidden="1" x14ac:dyDescent="0.25">
      <c r="A1135" t="s">
        <v>7674</v>
      </c>
      <c r="B1135" s="2" t="s">
        <v>3040</v>
      </c>
      <c r="C1135">
        <v>4</v>
      </c>
      <c r="D1135" t="s">
        <v>7308</v>
      </c>
      <c r="E1135" t="s">
        <v>7883</v>
      </c>
      <c r="F1135" t="s">
        <v>3041</v>
      </c>
      <c r="G1135" t="s">
        <v>7337</v>
      </c>
      <c r="H1135" t="s">
        <v>3042</v>
      </c>
      <c r="I1135" t="s">
        <v>228</v>
      </c>
      <c r="J1135" t="s">
        <v>7703</v>
      </c>
      <c r="K1135" t="s">
        <v>7684</v>
      </c>
      <c r="L1135" t="s">
        <v>7692</v>
      </c>
      <c r="N1135" t="str" cm="1">
        <f t="array" ref="N1135">IFERROR(LOOKUP(2,1/SEARCH($S$2:$S$65,G1135),$T$2:$T$65),"Misc")</f>
        <v>COTS</v>
      </c>
      <c r="O1135" t="str" cm="1">
        <f t="array" ref="O1135">IFERROR(LOOKUP(2,1/SEARCH($V$2:$V$65,G1135),$W$2:$W$65),"Misc")</f>
        <v>Fasteners</v>
      </c>
      <c r="P1135" t="str" cm="1">
        <f t="array" ref="P1135">IFERROR(LOOKUP(2,1/SEARCH($Y$2:$Y$65,G1135),$Z$2:$Z$65),"Not Defined")</f>
        <v>WASHER</v>
      </c>
      <c r="Q1135" t="str" cm="1">
        <f t="array" ref="Q1135">IFERROR(LOOKUP(2,1/SEARCH($S$2:$S$65,H1135),$T$2:$T$65),"-")</f>
        <v>COTS</v>
      </c>
    </row>
    <row r="1136" spans="1:17" hidden="1" x14ac:dyDescent="0.25">
      <c r="A1136" t="s">
        <v>7674</v>
      </c>
      <c r="B1136" s="2" t="s">
        <v>3043</v>
      </c>
      <c r="C1136">
        <v>4</v>
      </c>
      <c r="D1136" t="s">
        <v>7308</v>
      </c>
      <c r="E1136" t="s">
        <v>7883</v>
      </c>
      <c r="F1136" t="s">
        <v>2592</v>
      </c>
      <c r="G1136" t="s">
        <v>7301</v>
      </c>
      <c r="H1136" t="s">
        <v>2593</v>
      </c>
      <c r="I1136" t="s">
        <v>228</v>
      </c>
      <c r="J1136" t="s">
        <v>7703</v>
      </c>
      <c r="K1136" t="s">
        <v>7684</v>
      </c>
      <c r="L1136" t="s">
        <v>7685</v>
      </c>
      <c r="N1136" t="str" cm="1">
        <f t="array" ref="N1136">IFERROR(LOOKUP(2,1/SEARCH($S$2:$S$65,G1136),$T$2:$T$65),"Misc")</f>
        <v>COTS</v>
      </c>
      <c r="O1136" t="str" cm="1">
        <f t="array" ref="O1136">IFERROR(LOOKUP(2,1/SEARCH($V$2:$V$65,G1136),$W$2:$W$65),"Misc")</f>
        <v>Fasteners</v>
      </c>
      <c r="P1136" t="str" cm="1">
        <f t="array" ref="P1136">IFERROR(LOOKUP(2,1/SEARCH($Y$2:$Y$65,G1136),$Z$2:$Z$65),"Not Defined")</f>
        <v>NUT</v>
      </c>
      <c r="Q1136" t="str" cm="1">
        <f t="array" ref="Q1136">IFERROR(LOOKUP(2,1/SEARCH($S$2:$S$65,H1136),$T$2:$T$65),"-")</f>
        <v>COTS</v>
      </c>
    </row>
    <row r="1137" spans="1:17" hidden="1" x14ac:dyDescent="0.25">
      <c r="A1137" t="s">
        <v>7674</v>
      </c>
      <c r="B1137" s="2" t="s">
        <v>3044</v>
      </c>
      <c r="C1137">
        <v>4</v>
      </c>
      <c r="D1137" t="s">
        <v>7308</v>
      </c>
      <c r="E1137" t="s">
        <v>7883</v>
      </c>
      <c r="F1137" t="s">
        <v>1154</v>
      </c>
      <c r="G1137" t="s">
        <v>7194</v>
      </c>
      <c r="H1137" t="s">
        <v>1155</v>
      </c>
      <c r="I1137" t="s">
        <v>228</v>
      </c>
      <c r="J1137" t="s">
        <v>7703</v>
      </c>
      <c r="K1137" t="s">
        <v>7684</v>
      </c>
      <c r="L1137" t="s">
        <v>7693</v>
      </c>
      <c r="N1137" t="str" cm="1">
        <f t="array" ref="N1137">IFERROR(LOOKUP(2,1/SEARCH($S$2:$S$65,G1137),$T$2:$T$65),"Misc")</f>
        <v>COTS</v>
      </c>
      <c r="O1137" t="str" cm="1">
        <f t="array" ref="O1137">IFERROR(LOOKUP(2,1/SEARCH($V$2:$V$65,G1137),$W$2:$W$65),"Misc")</f>
        <v>Fasteners</v>
      </c>
      <c r="P1137" t="str" cm="1">
        <f t="array" ref="P1137">IFERROR(LOOKUP(2,1/SEARCH($Y$2:$Y$65,G1137),$Z$2:$Z$65),"Not Defined")</f>
        <v>PHS</v>
      </c>
      <c r="Q1137" t="str" cm="1">
        <f t="array" ref="Q1137">IFERROR(LOOKUP(2,1/SEARCH($S$2:$S$65,H1137),$T$2:$T$65),"-")</f>
        <v>COTS</v>
      </c>
    </row>
    <row r="1138" spans="1:17" hidden="1" x14ac:dyDescent="0.25">
      <c r="A1138" t="s">
        <v>7674</v>
      </c>
      <c r="B1138" s="2" t="s">
        <v>3045</v>
      </c>
      <c r="C1138">
        <v>4</v>
      </c>
      <c r="D1138" t="s">
        <v>7308</v>
      </c>
      <c r="E1138" t="s">
        <v>7883</v>
      </c>
      <c r="F1138" t="s">
        <v>3046</v>
      </c>
      <c r="G1138" t="s">
        <v>7338</v>
      </c>
      <c r="H1138" t="s">
        <v>3047</v>
      </c>
      <c r="I1138" t="s">
        <v>299</v>
      </c>
      <c r="J1138" t="s">
        <v>7703</v>
      </c>
      <c r="K1138" t="s">
        <v>7684</v>
      </c>
      <c r="L1138" t="s">
        <v>7708</v>
      </c>
      <c r="N1138" t="str" cm="1">
        <f t="array" ref="N1138">IFERROR(LOOKUP(2,1/SEARCH($S$2:$S$65,G1138),$T$2:$T$65),"Misc")</f>
        <v>COTS</v>
      </c>
      <c r="O1138" t="str" cm="1">
        <f t="array" ref="O1138">IFERROR(LOOKUP(2,1/SEARCH($V$2:$V$65,G1138),$W$2:$W$65),"Misc")</f>
        <v>Fasteners</v>
      </c>
      <c r="P1138" t="str" cm="1">
        <f t="array" ref="P1138">IFERROR(LOOKUP(2,1/SEARCH($Y$2:$Y$65,G1138),$Z$2:$Z$65),"Not Defined")</f>
        <v>STANDOFF</v>
      </c>
      <c r="Q1138" t="str" cm="1">
        <f t="array" ref="Q1138">IFERROR(LOOKUP(2,1/SEARCH($S$2:$S$65,H1138),$T$2:$T$65),"-")</f>
        <v>COTS</v>
      </c>
    </row>
    <row r="1139" spans="1:17" hidden="1" x14ac:dyDescent="0.25">
      <c r="A1139" t="s">
        <v>7674</v>
      </c>
      <c r="B1139" s="2" t="s">
        <v>3048</v>
      </c>
      <c r="C1139">
        <v>4</v>
      </c>
      <c r="D1139" t="s">
        <v>7308</v>
      </c>
      <c r="E1139" t="s">
        <v>7883</v>
      </c>
      <c r="F1139" t="s">
        <v>460</v>
      </c>
      <c r="G1139" t="s">
        <v>7090</v>
      </c>
      <c r="H1139" t="s">
        <v>461</v>
      </c>
      <c r="I1139" t="s">
        <v>224</v>
      </c>
      <c r="J1139" t="s">
        <v>7703</v>
      </c>
      <c r="K1139" t="s">
        <v>7684</v>
      </c>
      <c r="L1139" t="s">
        <v>7693</v>
      </c>
      <c r="N1139" t="str" cm="1">
        <f t="array" ref="N1139">IFERROR(LOOKUP(2,1/SEARCH($S$2:$S$65,G1139),$T$2:$T$65),"Misc")</f>
        <v>COTS</v>
      </c>
      <c r="O1139" t="str" cm="1">
        <f t="array" ref="O1139">IFERROR(LOOKUP(2,1/SEARCH($V$2:$V$65,G1139),$W$2:$W$65),"Misc")</f>
        <v>Fasteners</v>
      </c>
      <c r="P1139" t="str" cm="1">
        <f t="array" ref="P1139">IFERROR(LOOKUP(2,1/SEARCH($Y$2:$Y$65,G1139),$Z$2:$Z$65),"Not Defined")</f>
        <v>PHS</v>
      </c>
      <c r="Q1139" t="str" cm="1">
        <f t="array" ref="Q1139">IFERROR(LOOKUP(2,1/SEARCH($S$2:$S$65,H1139),$T$2:$T$65),"-")</f>
        <v>COTS</v>
      </c>
    </row>
    <row r="1140" spans="1:17" hidden="1" x14ac:dyDescent="0.25">
      <c r="A1140" t="s">
        <v>7674</v>
      </c>
      <c r="B1140" s="2" t="s">
        <v>3049</v>
      </c>
      <c r="C1140">
        <v>1</v>
      </c>
      <c r="D1140" t="s">
        <v>7308</v>
      </c>
      <c r="E1140" t="s">
        <v>7884</v>
      </c>
      <c r="F1140" t="s">
        <v>613</v>
      </c>
      <c r="G1140" t="s">
        <v>7110</v>
      </c>
      <c r="H1140" t="s">
        <v>614</v>
      </c>
      <c r="I1140" t="s">
        <v>255</v>
      </c>
      <c r="J1140" t="s">
        <v>7815</v>
      </c>
      <c r="K1140" t="s">
        <v>7717</v>
      </c>
      <c r="L1140" t="s">
        <v>7717</v>
      </c>
      <c r="N1140" t="str" cm="1">
        <f t="array" ref="N1140">IFERROR(LOOKUP(2,1/SEARCH($S$2:$S$65,G1140),$T$2:$T$65),"Misc")</f>
        <v>OH ASSY</v>
      </c>
      <c r="O1140" t="str" cm="1">
        <f t="array" ref="O1140">IFERROR(LOOKUP(2,1/SEARCH($V$2:$V$65,G1140),$W$2:$W$65),"Misc")</f>
        <v>ABSIS</v>
      </c>
      <c r="P1140" t="str" cm="1">
        <f t="array" ref="P1140">IFERROR(LOOKUP(2,1/SEARCH($Y$2:$Y$65,G1140),$Z$2:$Z$65),"Not Defined")</f>
        <v>ABSIS</v>
      </c>
      <c r="Q1140" t="str" cm="1">
        <f t="array" ref="Q1140">IFERROR(LOOKUP(2,1/SEARCH($S$2:$S$65,H1140),$T$2:$T$65),"-")</f>
        <v>OH ASSY</v>
      </c>
    </row>
    <row r="1141" spans="1:17" hidden="1" x14ac:dyDescent="0.25">
      <c r="A1141" t="s">
        <v>7674</v>
      </c>
      <c r="B1141" s="2" t="s">
        <v>3050</v>
      </c>
      <c r="C1141">
        <v>1</v>
      </c>
      <c r="D1141" t="s">
        <v>7308</v>
      </c>
      <c r="E1141" t="s">
        <v>7884</v>
      </c>
      <c r="F1141" t="s">
        <v>616</v>
      </c>
      <c r="G1141" t="s">
        <v>7111</v>
      </c>
      <c r="H1141" t="s">
        <v>617</v>
      </c>
      <c r="I1141" t="s">
        <v>255</v>
      </c>
      <c r="J1141" t="s">
        <v>7717</v>
      </c>
      <c r="K1141" t="s">
        <v>7717</v>
      </c>
      <c r="L1141" t="s">
        <v>7717</v>
      </c>
      <c r="N1141" t="str" cm="1">
        <f t="array" ref="N1141">IFERROR(LOOKUP(2,1/SEARCH($S$2:$S$65,G1141),$T$2:$T$65),"Misc")</f>
        <v>ABSIS</v>
      </c>
      <c r="O1141" t="str" cm="1">
        <f t="array" ref="O1141">IFERROR(LOOKUP(2,1/SEARCH($V$2:$V$65,G1141),$W$2:$W$65),"Misc")</f>
        <v>ABSIS</v>
      </c>
      <c r="P1141" t="str" cm="1">
        <f t="array" ref="P1141">IFERROR(LOOKUP(2,1/SEARCH($Y$2:$Y$65,G1141),$Z$2:$Z$65),"Not Defined")</f>
        <v>ABSIS</v>
      </c>
      <c r="Q1141" t="str" cm="1">
        <f t="array" ref="Q1141">IFERROR(LOOKUP(2,1/SEARCH($S$2:$S$65,H1141),$T$2:$T$65),"-")</f>
        <v>ABSIS</v>
      </c>
    </row>
    <row r="1142" spans="1:17" hidden="1" x14ac:dyDescent="0.25">
      <c r="A1142" t="s">
        <v>7674</v>
      </c>
      <c r="B1142" s="2" t="s">
        <v>3051</v>
      </c>
      <c r="C1142">
        <v>1</v>
      </c>
      <c r="D1142" t="s">
        <v>7308</v>
      </c>
      <c r="E1142" t="s">
        <v>7884</v>
      </c>
      <c r="F1142" t="s">
        <v>596</v>
      </c>
      <c r="G1142" t="s">
        <v>7108</v>
      </c>
      <c r="H1142" t="s">
        <v>597</v>
      </c>
      <c r="I1142" t="s">
        <v>255</v>
      </c>
      <c r="J1142" t="s">
        <v>7703</v>
      </c>
      <c r="K1142" t="s">
        <v>7713</v>
      </c>
      <c r="L1142" t="s">
        <v>7713</v>
      </c>
      <c r="N1142" t="str" cm="1">
        <f t="array" ref="N1142">IFERROR(LOOKUP(2,1/SEARCH($S$2:$S$65,G1142),$T$2:$T$65),"Misc")</f>
        <v>COTS</v>
      </c>
      <c r="O1142" t="str" cm="1">
        <f t="array" ref="O1142">IFERROR(LOOKUP(2,1/SEARCH($V$2:$V$65,G1142),$W$2:$W$65),"Misc")</f>
        <v>ARDUINO</v>
      </c>
      <c r="P1142" t="str" cm="1">
        <f t="array" ref="P1142">IFERROR(LOOKUP(2,1/SEARCH($Y$2:$Y$65,G1142),$Z$2:$Z$65),"Not Defined")</f>
        <v>ARDUINO</v>
      </c>
      <c r="Q1142" t="str" cm="1">
        <f t="array" ref="Q1142">IFERROR(LOOKUP(2,1/SEARCH($S$2:$S$65,H1142),$T$2:$T$65),"-")</f>
        <v>COTS</v>
      </c>
    </row>
    <row r="1143" spans="1:17" hidden="1" x14ac:dyDescent="0.25">
      <c r="A1143" t="s">
        <v>7674</v>
      </c>
      <c r="B1143" t="s">
        <v>3052</v>
      </c>
      <c r="C1143">
        <v>1</v>
      </c>
      <c r="D1143" t="s">
        <v>7308</v>
      </c>
      <c r="F1143" t="s">
        <v>3053</v>
      </c>
      <c r="G1143" t="s">
        <v>3055</v>
      </c>
      <c r="H1143" t="s">
        <v>3054</v>
      </c>
      <c r="I1143" t="s">
        <v>255</v>
      </c>
      <c r="J1143" t="s">
        <v>7682</v>
      </c>
      <c r="K1143" t="s">
        <v>7826</v>
      </c>
      <c r="L1143" t="s">
        <v>7826</v>
      </c>
      <c r="N1143" t="str" cm="1">
        <f t="array" ref="N1143">IFERROR(LOOKUP(2,1/SEARCH($S$2:$S$65,G1143),$T$2:$T$65),"Misc")</f>
        <v>OH P/N</v>
      </c>
      <c r="O1143" t="str" cm="1">
        <f t="array" ref="O1143">IFERROR(LOOKUP(2,1/SEARCH($V$2:$V$65,G1143),$W$2:$W$65),"Misc")</f>
        <v>OH Part</v>
      </c>
      <c r="P1143" t="str" cm="1">
        <f t="array" ref="P1143">IFERROR(LOOKUP(2,1/SEARCH($Y$2:$Y$65,G1143),$Z$2:$Z$65),"Not Defined")</f>
        <v>OH Part</v>
      </c>
      <c r="Q1143" t="str" cm="1">
        <f t="array" ref="Q1143">IFERROR(LOOKUP(2,1/SEARCH($S$2:$S$65,H1143),$T$2:$T$65),"-")</f>
        <v>-</v>
      </c>
    </row>
    <row r="1144" spans="1:17" hidden="1" x14ac:dyDescent="0.25">
      <c r="A1144" t="s">
        <v>7674</v>
      </c>
      <c r="B1144" t="s">
        <v>3056</v>
      </c>
      <c r="C1144">
        <v>1</v>
      </c>
      <c r="D1144" t="s">
        <v>7308</v>
      </c>
      <c r="F1144" t="s">
        <v>3057</v>
      </c>
      <c r="G1144" t="s">
        <v>3059</v>
      </c>
      <c r="H1144" t="s">
        <v>3058</v>
      </c>
      <c r="I1144" t="s">
        <v>255</v>
      </c>
      <c r="J1144" t="s">
        <v>7682</v>
      </c>
      <c r="K1144" t="s">
        <v>7826</v>
      </c>
      <c r="L1144" t="s">
        <v>7826</v>
      </c>
      <c r="N1144" t="str" cm="1">
        <f t="array" ref="N1144">IFERROR(LOOKUP(2,1/SEARCH($S$2:$S$65,G1144),$T$2:$T$65),"Misc")</f>
        <v>OH P/N</v>
      </c>
      <c r="O1144" t="str" cm="1">
        <f t="array" ref="O1144">IFERROR(LOOKUP(2,1/SEARCH($V$2:$V$65,G1144),$W$2:$W$65),"Misc")</f>
        <v>OH Part</v>
      </c>
      <c r="P1144" t="str" cm="1">
        <f t="array" ref="P1144">IFERROR(LOOKUP(2,1/SEARCH($Y$2:$Y$65,G1144),$Z$2:$Z$65),"Not Defined")</f>
        <v>OH Part</v>
      </c>
      <c r="Q1144" t="str" cm="1">
        <f t="array" ref="Q1144">IFERROR(LOOKUP(2,1/SEARCH($S$2:$S$65,H1144),$T$2:$T$65),"-")</f>
        <v>-</v>
      </c>
    </row>
    <row r="1145" spans="1:17" hidden="1" x14ac:dyDescent="0.25">
      <c r="A1145" t="s">
        <v>7674</v>
      </c>
      <c r="B1145" t="s">
        <v>3060</v>
      </c>
      <c r="C1145">
        <v>1</v>
      </c>
      <c r="D1145" t="s">
        <v>7308</v>
      </c>
      <c r="E1145" t="s">
        <v>3062</v>
      </c>
      <c r="F1145" t="s">
        <v>3061</v>
      </c>
      <c r="G1145" t="s">
        <v>3063</v>
      </c>
      <c r="H1145" t="s">
        <v>3062</v>
      </c>
      <c r="J1145" t="s">
        <v>7742</v>
      </c>
      <c r="K1145" t="s">
        <v>7826</v>
      </c>
      <c r="L1145" t="s">
        <v>7826</v>
      </c>
      <c r="N1145" t="str" cm="1">
        <f t="array" ref="N1145">IFERROR(LOOKUP(2,1/SEARCH($S$2:$S$65,G1145),$T$2:$T$65),"Misc")</f>
        <v>OH ASSY</v>
      </c>
      <c r="O1145" t="str" cm="1">
        <f t="array" ref="O1145">IFERROR(LOOKUP(2,1/SEARCH($V$2:$V$65,G1145),$W$2:$W$65),"Misc")</f>
        <v>OH Part</v>
      </c>
      <c r="P1145" t="str" cm="1">
        <f t="array" ref="P1145">IFERROR(LOOKUP(2,1/SEARCH($Y$2:$Y$65,G1145),$Z$2:$Z$65),"Not Defined")</f>
        <v>OH Part</v>
      </c>
      <c r="Q1145" t="str" cm="1">
        <f t="array" ref="Q1145">IFERROR(LOOKUP(2,1/SEARCH($S$2:$S$65,H1145),$T$2:$T$65),"-")</f>
        <v>OH ASSY</v>
      </c>
    </row>
    <row r="1146" spans="1:17" hidden="1" x14ac:dyDescent="0.25">
      <c r="A1146" t="s">
        <v>7674</v>
      </c>
      <c r="B1146" t="s">
        <v>3064</v>
      </c>
      <c r="C1146">
        <v>1</v>
      </c>
      <c r="D1146" t="s">
        <v>7308</v>
      </c>
      <c r="E1146" t="s">
        <v>3062</v>
      </c>
      <c r="F1146" t="s">
        <v>3065</v>
      </c>
      <c r="G1146" t="s">
        <v>3067</v>
      </c>
      <c r="H1146" t="s">
        <v>3066</v>
      </c>
      <c r="I1146" t="s">
        <v>38</v>
      </c>
      <c r="J1146" t="s">
        <v>7682</v>
      </c>
      <c r="K1146" t="s">
        <v>7826</v>
      </c>
      <c r="L1146" t="s">
        <v>7826</v>
      </c>
      <c r="N1146" t="str" cm="1">
        <f t="array" ref="N1146">IFERROR(LOOKUP(2,1/SEARCH($S$2:$S$65,G1146),$T$2:$T$65),"Misc")</f>
        <v>OH P/N</v>
      </c>
      <c r="O1146" t="str" cm="1">
        <f t="array" ref="O1146">IFERROR(LOOKUP(2,1/SEARCH($V$2:$V$65,G1146),$W$2:$W$65),"Misc")</f>
        <v>OH Part</v>
      </c>
      <c r="P1146" t="str" cm="1">
        <f t="array" ref="P1146">IFERROR(LOOKUP(2,1/SEARCH($Y$2:$Y$65,G1146),$Z$2:$Z$65),"Not Defined")</f>
        <v>OH Part</v>
      </c>
      <c r="Q1146" t="str" cm="1">
        <f t="array" ref="Q1146">IFERROR(LOOKUP(2,1/SEARCH($S$2:$S$65,H1146),$T$2:$T$65),"-")</f>
        <v>-</v>
      </c>
    </row>
    <row r="1147" spans="1:17" hidden="1" x14ac:dyDescent="0.25">
      <c r="A1147" t="s">
        <v>7674</v>
      </c>
      <c r="B1147" t="s">
        <v>3068</v>
      </c>
      <c r="C1147">
        <v>1</v>
      </c>
      <c r="D1147" t="s">
        <v>7308</v>
      </c>
      <c r="E1147" t="s">
        <v>3062</v>
      </c>
      <c r="F1147" t="s">
        <v>3069</v>
      </c>
      <c r="G1147" t="s">
        <v>3071</v>
      </c>
      <c r="H1147" t="s">
        <v>3070</v>
      </c>
      <c r="I1147" t="s">
        <v>38</v>
      </c>
      <c r="J1147" t="s">
        <v>7682</v>
      </c>
      <c r="K1147" t="s">
        <v>7826</v>
      </c>
      <c r="L1147" t="s">
        <v>7826</v>
      </c>
      <c r="N1147" t="str" cm="1">
        <f t="array" ref="N1147">IFERROR(LOOKUP(2,1/SEARCH($S$2:$S$65,G1147),$T$2:$T$65),"Misc")</f>
        <v>OH P/N</v>
      </c>
      <c r="O1147" t="str" cm="1">
        <f t="array" ref="O1147">IFERROR(LOOKUP(2,1/SEARCH($V$2:$V$65,G1147),$W$2:$W$65),"Misc")</f>
        <v>OH Part</v>
      </c>
      <c r="P1147" t="str" cm="1">
        <f t="array" ref="P1147">IFERROR(LOOKUP(2,1/SEARCH($Y$2:$Y$65,G1147),$Z$2:$Z$65),"Not Defined")</f>
        <v>OH Part</v>
      </c>
      <c r="Q1147" t="str" cm="1">
        <f t="array" ref="Q1147">IFERROR(LOOKUP(2,1/SEARCH($S$2:$S$65,H1147),$T$2:$T$65),"-")</f>
        <v>-</v>
      </c>
    </row>
    <row r="1148" spans="1:17" hidden="1" x14ac:dyDescent="0.25">
      <c r="A1148" t="s">
        <v>7674</v>
      </c>
      <c r="B1148" t="s">
        <v>3072</v>
      </c>
      <c r="C1148">
        <v>1</v>
      </c>
      <c r="D1148" t="s">
        <v>7308</v>
      </c>
      <c r="E1148" t="s">
        <v>3062</v>
      </c>
      <c r="F1148" t="s">
        <v>3073</v>
      </c>
      <c r="G1148" t="s">
        <v>3075</v>
      </c>
      <c r="H1148" t="s">
        <v>3074</v>
      </c>
      <c r="I1148" t="s">
        <v>13</v>
      </c>
      <c r="J1148" t="s">
        <v>7682</v>
      </c>
      <c r="K1148" t="s">
        <v>7826</v>
      </c>
      <c r="L1148" t="s">
        <v>7826</v>
      </c>
      <c r="N1148" t="str" cm="1">
        <f t="array" ref="N1148">IFERROR(LOOKUP(2,1/SEARCH($S$2:$S$65,G1148),$T$2:$T$65),"Misc")</f>
        <v>OH P/N</v>
      </c>
      <c r="O1148" t="str" cm="1">
        <f t="array" ref="O1148">IFERROR(LOOKUP(2,1/SEARCH($V$2:$V$65,G1148),$W$2:$W$65),"Misc")</f>
        <v>OH Part</v>
      </c>
      <c r="P1148" t="str" cm="1">
        <f t="array" ref="P1148">IFERROR(LOOKUP(2,1/SEARCH($Y$2:$Y$65,G1148),$Z$2:$Z$65),"Not Defined")</f>
        <v>OH Part</v>
      </c>
      <c r="Q1148" t="str" cm="1">
        <f t="array" ref="Q1148">IFERROR(LOOKUP(2,1/SEARCH($S$2:$S$65,H1148),$T$2:$T$65),"-")</f>
        <v>-</v>
      </c>
    </row>
    <row r="1149" spans="1:17" hidden="1" x14ac:dyDescent="0.25">
      <c r="A1149" t="s">
        <v>7674</v>
      </c>
      <c r="B1149" t="s">
        <v>3076</v>
      </c>
      <c r="C1149">
        <v>1</v>
      </c>
      <c r="D1149" t="s">
        <v>7308</v>
      </c>
      <c r="E1149" t="s">
        <v>3062</v>
      </c>
      <c r="F1149" t="s">
        <v>3077</v>
      </c>
      <c r="G1149" t="s">
        <v>3079</v>
      </c>
      <c r="H1149" t="s">
        <v>3078</v>
      </c>
      <c r="I1149" t="s">
        <v>38</v>
      </c>
      <c r="J1149" t="s">
        <v>7682</v>
      </c>
      <c r="K1149" t="s">
        <v>7826</v>
      </c>
      <c r="L1149" t="s">
        <v>7826</v>
      </c>
      <c r="N1149" t="str" cm="1">
        <f t="array" ref="N1149">IFERROR(LOOKUP(2,1/SEARCH($S$2:$S$65,G1149),$T$2:$T$65),"Misc")</f>
        <v>OH P/N</v>
      </c>
      <c r="O1149" t="str" cm="1">
        <f t="array" ref="O1149">IFERROR(LOOKUP(2,1/SEARCH($V$2:$V$65,G1149),$W$2:$W$65),"Misc")</f>
        <v>OH Part</v>
      </c>
      <c r="P1149" t="str" cm="1">
        <f t="array" ref="P1149">IFERROR(LOOKUP(2,1/SEARCH($Y$2:$Y$65,G1149),$Z$2:$Z$65),"Not Defined")</f>
        <v>OH Part</v>
      </c>
      <c r="Q1149" t="str" cm="1">
        <f t="array" ref="Q1149">IFERROR(LOOKUP(2,1/SEARCH($S$2:$S$65,H1149),$T$2:$T$65),"-")</f>
        <v>-</v>
      </c>
    </row>
    <row r="1150" spans="1:17" hidden="1" x14ac:dyDescent="0.25">
      <c r="A1150" t="s">
        <v>7674</v>
      </c>
      <c r="B1150" t="s">
        <v>3080</v>
      </c>
      <c r="C1150">
        <v>1</v>
      </c>
      <c r="D1150" t="s">
        <v>7308</v>
      </c>
      <c r="E1150" t="s">
        <v>3062</v>
      </c>
      <c r="F1150" t="s">
        <v>3081</v>
      </c>
      <c r="G1150" t="s">
        <v>3083</v>
      </c>
      <c r="H1150" t="s">
        <v>3082</v>
      </c>
      <c r="I1150" t="s">
        <v>38</v>
      </c>
      <c r="J1150" t="s">
        <v>7682</v>
      </c>
      <c r="K1150" t="s">
        <v>7826</v>
      </c>
      <c r="L1150" t="s">
        <v>7826</v>
      </c>
      <c r="N1150" t="str" cm="1">
        <f t="array" ref="N1150">IFERROR(LOOKUP(2,1/SEARCH($S$2:$S$65,G1150),$T$2:$T$65),"Misc")</f>
        <v>OH P/N</v>
      </c>
      <c r="O1150" t="str" cm="1">
        <f t="array" ref="O1150">IFERROR(LOOKUP(2,1/SEARCH($V$2:$V$65,G1150),$W$2:$W$65),"Misc")</f>
        <v>OH Part</v>
      </c>
      <c r="P1150" t="str" cm="1">
        <f t="array" ref="P1150">IFERROR(LOOKUP(2,1/SEARCH($Y$2:$Y$65,G1150),$Z$2:$Z$65),"Not Defined")</f>
        <v>OH Part</v>
      </c>
      <c r="Q1150" t="str" cm="1">
        <f t="array" ref="Q1150">IFERROR(LOOKUP(2,1/SEARCH($S$2:$S$65,H1150),$T$2:$T$65),"-")</f>
        <v>-</v>
      </c>
    </row>
    <row r="1151" spans="1:17" hidden="1" x14ac:dyDescent="0.25">
      <c r="A1151" t="s">
        <v>7674</v>
      </c>
      <c r="B1151" t="s">
        <v>3084</v>
      </c>
      <c r="C1151">
        <v>1</v>
      </c>
      <c r="D1151" t="s">
        <v>7308</v>
      </c>
      <c r="E1151" t="s">
        <v>3062</v>
      </c>
      <c r="F1151" t="s">
        <v>3085</v>
      </c>
      <c r="G1151" t="s">
        <v>3087</v>
      </c>
      <c r="H1151" t="s">
        <v>3086</v>
      </c>
      <c r="I1151" t="s">
        <v>38</v>
      </c>
      <c r="J1151" t="s">
        <v>7682</v>
      </c>
      <c r="K1151" t="s">
        <v>7826</v>
      </c>
      <c r="L1151" t="s">
        <v>7826</v>
      </c>
      <c r="N1151" t="str" cm="1">
        <f t="array" ref="N1151">IFERROR(LOOKUP(2,1/SEARCH($S$2:$S$65,G1151),$T$2:$T$65),"Misc")</f>
        <v>OH P/N</v>
      </c>
      <c r="O1151" t="str" cm="1">
        <f t="array" ref="O1151">IFERROR(LOOKUP(2,1/SEARCH($V$2:$V$65,G1151),$W$2:$W$65),"Misc")</f>
        <v>OH Part</v>
      </c>
      <c r="P1151" t="str" cm="1">
        <f t="array" ref="P1151">IFERROR(LOOKUP(2,1/SEARCH($Y$2:$Y$65,G1151),$Z$2:$Z$65),"Not Defined")</f>
        <v>OH Part</v>
      </c>
      <c r="Q1151" t="str" cm="1">
        <f t="array" ref="Q1151">IFERROR(LOOKUP(2,1/SEARCH($S$2:$S$65,H1151),$T$2:$T$65),"-")</f>
        <v>-</v>
      </c>
    </row>
    <row r="1152" spans="1:17" hidden="1" x14ac:dyDescent="0.25">
      <c r="A1152" t="s">
        <v>7674</v>
      </c>
      <c r="B1152" t="s">
        <v>3088</v>
      </c>
      <c r="C1152">
        <v>1</v>
      </c>
      <c r="D1152" t="s">
        <v>7308</v>
      </c>
      <c r="E1152" t="s">
        <v>3062</v>
      </c>
      <c r="F1152" t="s">
        <v>3089</v>
      </c>
      <c r="G1152" t="s">
        <v>3091</v>
      </c>
      <c r="H1152" t="s">
        <v>3090</v>
      </c>
      <c r="I1152" t="s">
        <v>38</v>
      </c>
      <c r="J1152" t="s">
        <v>7682</v>
      </c>
      <c r="K1152" t="s">
        <v>7826</v>
      </c>
      <c r="L1152" t="s">
        <v>7826</v>
      </c>
      <c r="N1152" t="str" cm="1">
        <f t="array" ref="N1152">IFERROR(LOOKUP(2,1/SEARCH($S$2:$S$65,G1152),$T$2:$T$65),"Misc")</f>
        <v>OH P/N</v>
      </c>
      <c r="O1152" t="str" cm="1">
        <f t="array" ref="O1152">IFERROR(LOOKUP(2,1/SEARCH($V$2:$V$65,G1152),$W$2:$W$65),"Misc")</f>
        <v>OH Part</v>
      </c>
      <c r="P1152" t="str" cm="1">
        <f t="array" ref="P1152">IFERROR(LOOKUP(2,1/SEARCH($Y$2:$Y$65,G1152),$Z$2:$Z$65),"Not Defined")</f>
        <v>OH Part</v>
      </c>
      <c r="Q1152" t="str" cm="1">
        <f t="array" ref="Q1152">IFERROR(LOOKUP(2,1/SEARCH($S$2:$S$65,H1152),$T$2:$T$65),"-")</f>
        <v>-</v>
      </c>
    </row>
    <row r="1153" spans="1:17" hidden="1" x14ac:dyDescent="0.25">
      <c r="A1153" t="s">
        <v>7674</v>
      </c>
      <c r="B1153" t="s">
        <v>3092</v>
      </c>
      <c r="C1153">
        <v>1</v>
      </c>
      <c r="D1153" t="s">
        <v>7308</v>
      </c>
      <c r="E1153" t="s">
        <v>3062</v>
      </c>
      <c r="F1153" t="s">
        <v>3093</v>
      </c>
      <c r="G1153" t="s">
        <v>3095</v>
      </c>
      <c r="H1153" t="s">
        <v>3094</v>
      </c>
      <c r="I1153" t="s">
        <v>38</v>
      </c>
      <c r="J1153" t="s">
        <v>7682</v>
      </c>
      <c r="K1153" t="s">
        <v>7826</v>
      </c>
      <c r="L1153" t="s">
        <v>7826</v>
      </c>
      <c r="N1153" t="str" cm="1">
        <f t="array" ref="N1153">IFERROR(LOOKUP(2,1/SEARCH($S$2:$S$65,G1153),$T$2:$T$65),"Misc")</f>
        <v>OH P/N</v>
      </c>
      <c r="O1153" t="str" cm="1">
        <f t="array" ref="O1153">IFERROR(LOOKUP(2,1/SEARCH($V$2:$V$65,G1153),$W$2:$W$65),"Misc")</f>
        <v>OH Part</v>
      </c>
      <c r="P1153" t="str" cm="1">
        <f t="array" ref="P1153">IFERROR(LOOKUP(2,1/SEARCH($Y$2:$Y$65,G1153),$Z$2:$Z$65),"Not Defined")</f>
        <v>OH Part</v>
      </c>
      <c r="Q1153" t="str" cm="1">
        <f t="array" ref="Q1153">IFERROR(LOOKUP(2,1/SEARCH($S$2:$S$65,H1153),$T$2:$T$65),"-")</f>
        <v>-</v>
      </c>
    </row>
    <row r="1154" spans="1:17" hidden="1" x14ac:dyDescent="0.25">
      <c r="A1154" t="s">
        <v>7674</v>
      </c>
      <c r="B1154" t="s">
        <v>3096</v>
      </c>
      <c r="C1154">
        <v>1</v>
      </c>
      <c r="D1154" t="s">
        <v>7308</v>
      </c>
      <c r="E1154" t="s">
        <v>3062</v>
      </c>
      <c r="F1154" t="s">
        <v>3097</v>
      </c>
      <c r="G1154" t="s">
        <v>3099</v>
      </c>
      <c r="H1154" t="s">
        <v>3098</v>
      </c>
      <c r="I1154" t="s">
        <v>38</v>
      </c>
      <c r="J1154" t="s">
        <v>7682</v>
      </c>
      <c r="K1154" t="s">
        <v>7826</v>
      </c>
      <c r="L1154" t="s">
        <v>7826</v>
      </c>
      <c r="N1154" t="str" cm="1">
        <f t="array" ref="N1154">IFERROR(LOOKUP(2,1/SEARCH($S$2:$S$65,G1154),$T$2:$T$65),"Misc")</f>
        <v>OH P/N</v>
      </c>
      <c r="O1154" t="str" cm="1">
        <f t="array" ref="O1154">IFERROR(LOOKUP(2,1/SEARCH($V$2:$V$65,G1154),$W$2:$W$65),"Misc")</f>
        <v>OH Part</v>
      </c>
      <c r="P1154" t="str" cm="1">
        <f t="array" ref="P1154">IFERROR(LOOKUP(2,1/SEARCH($Y$2:$Y$65,G1154),$Z$2:$Z$65),"Not Defined")</f>
        <v>OH Part</v>
      </c>
      <c r="Q1154" t="str" cm="1">
        <f t="array" ref="Q1154">IFERROR(LOOKUP(2,1/SEARCH($S$2:$S$65,H1154),$T$2:$T$65),"-")</f>
        <v>-</v>
      </c>
    </row>
    <row r="1155" spans="1:17" hidden="1" x14ac:dyDescent="0.25">
      <c r="A1155" t="s">
        <v>7674</v>
      </c>
      <c r="B1155" t="s">
        <v>3100</v>
      </c>
      <c r="C1155">
        <v>1</v>
      </c>
      <c r="D1155" t="s">
        <v>7308</v>
      </c>
      <c r="E1155" t="s">
        <v>3062</v>
      </c>
      <c r="F1155" t="s">
        <v>3101</v>
      </c>
      <c r="G1155" t="s">
        <v>3103</v>
      </c>
      <c r="H1155" t="s">
        <v>3102</v>
      </c>
      <c r="I1155" t="s">
        <v>13</v>
      </c>
      <c r="J1155" t="s">
        <v>7682</v>
      </c>
      <c r="K1155" t="s">
        <v>7826</v>
      </c>
      <c r="L1155" t="s">
        <v>7826</v>
      </c>
      <c r="N1155" t="str" cm="1">
        <f t="array" ref="N1155">IFERROR(LOOKUP(2,1/SEARCH($S$2:$S$65,G1155),$T$2:$T$65),"Misc")</f>
        <v>OH P/N</v>
      </c>
      <c r="O1155" t="str" cm="1">
        <f t="array" ref="O1155">IFERROR(LOOKUP(2,1/SEARCH($V$2:$V$65,G1155),$W$2:$W$65),"Misc")</f>
        <v>OH Part</v>
      </c>
      <c r="P1155" t="str" cm="1">
        <f t="array" ref="P1155">IFERROR(LOOKUP(2,1/SEARCH($Y$2:$Y$65,G1155),$Z$2:$Z$65),"Not Defined")</f>
        <v>OH Part</v>
      </c>
      <c r="Q1155" t="str" cm="1">
        <f t="array" ref="Q1155">IFERROR(LOOKUP(2,1/SEARCH($S$2:$S$65,H1155),$T$2:$T$65),"-")</f>
        <v>-</v>
      </c>
    </row>
    <row r="1156" spans="1:17" hidden="1" x14ac:dyDescent="0.25">
      <c r="A1156" t="s">
        <v>7674</v>
      </c>
      <c r="B1156" t="s">
        <v>3104</v>
      </c>
      <c r="C1156">
        <v>1</v>
      </c>
      <c r="D1156" t="s">
        <v>7308</v>
      </c>
      <c r="E1156" t="s">
        <v>3062</v>
      </c>
      <c r="F1156" t="s">
        <v>3105</v>
      </c>
      <c r="G1156" t="s">
        <v>3107</v>
      </c>
      <c r="H1156" t="s">
        <v>3106</v>
      </c>
      <c r="I1156" t="s">
        <v>13</v>
      </c>
      <c r="J1156" t="s">
        <v>7682</v>
      </c>
      <c r="K1156" t="s">
        <v>7826</v>
      </c>
      <c r="L1156" t="s">
        <v>7826</v>
      </c>
      <c r="N1156" t="str" cm="1">
        <f t="array" ref="N1156">IFERROR(LOOKUP(2,1/SEARCH($S$2:$S$65,G1156),$T$2:$T$65),"Misc")</f>
        <v>OH P/N</v>
      </c>
      <c r="O1156" t="str" cm="1">
        <f t="array" ref="O1156">IFERROR(LOOKUP(2,1/SEARCH($V$2:$V$65,G1156),$W$2:$W$65),"Misc")</f>
        <v>OH Part</v>
      </c>
      <c r="P1156" t="str" cm="1">
        <f t="array" ref="P1156">IFERROR(LOOKUP(2,1/SEARCH($Y$2:$Y$65,G1156),$Z$2:$Z$65),"Not Defined")</f>
        <v>OH Part</v>
      </c>
      <c r="Q1156" t="str" cm="1">
        <f t="array" ref="Q1156">IFERROR(LOOKUP(2,1/SEARCH($S$2:$S$65,H1156),$T$2:$T$65),"-")</f>
        <v>-</v>
      </c>
    </row>
    <row r="1157" spans="1:17" hidden="1" x14ac:dyDescent="0.25">
      <c r="A1157" t="s">
        <v>7674</v>
      </c>
      <c r="B1157" t="s">
        <v>3108</v>
      </c>
      <c r="C1157">
        <v>1</v>
      </c>
      <c r="D1157" t="s">
        <v>7308</v>
      </c>
      <c r="E1157" t="s">
        <v>3062</v>
      </c>
      <c r="F1157" t="s">
        <v>3109</v>
      </c>
      <c r="G1157" t="s">
        <v>3111</v>
      </c>
      <c r="H1157" t="s">
        <v>3110</v>
      </c>
      <c r="I1157" t="s">
        <v>13</v>
      </c>
      <c r="J1157" t="s">
        <v>7682</v>
      </c>
      <c r="K1157" t="s">
        <v>7826</v>
      </c>
      <c r="L1157" t="s">
        <v>7826</v>
      </c>
      <c r="N1157" t="str" cm="1">
        <f t="array" ref="N1157">IFERROR(LOOKUP(2,1/SEARCH($S$2:$S$65,G1157),$T$2:$T$65),"Misc")</f>
        <v>OH P/N</v>
      </c>
      <c r="O1157" t="str" cm="1">
        <f t="array" ref="O1157">IFERROR(LOOKUP(2,1/SEARCH($V$2:$V$65,G1157),$W$2:$W$65),"Misc")</f>
        <v>OH Part</v>
      </c>
      <c r="P1157" t="str" cm="1">
        <f t="array" ref="P1157">IFERROR(LOOKUP(2,1/SEARCH($Y$2:$Y$65,G1157),$Z$2:$Z$65),"Not Defined")</f>
        <v>OH Part</v>
      </c>
      <c r="Q1157" t="str" cm="1">
        <f t="array" ref="Q1157">IFERROR(LOOKUP(2,1/SEARCH($S$2:$S$65,H1157),$T$2:$T$65),"-")</f>
        <v>-</v>
      </c>
    </row>
    <row r="1158" spans="1:17" hidden="1" x14ac:dyDescent="0.25">
      <c r="A1158" t="s">
        <v>7674</v>
      </c>
      <c r="B1158" t="s">
        <v>3112</v>
      </c>
      <c r="C1158">
        <v>1</v>
      </c>
      <c r="D1158" t="s">
        <v>7308</v>
      </c>
      <c r="E1158" t="s">
        <v>3062</v>
      </c>
      <c r="F1158" t="s">
        <v>3113</v>
      </c>
      <c r="G1158" t="s">
        <v>3115</v>
      </c>
      <c r="H1158" t="s">
        <v>3114</v>
      </c>
      <c r="I1158" t="s">
        <v>13</v>
      </c>
      <c r="J1158" t="s">
        <v>7682</v>
      </c>
      <c r="K1158" t="s">
        <v>7826</v>
      </c>
      <c r="L1158" t="s">
        <v>7826</v>
      </c>
      <c r="N1158" t="str" cm="1">
        <f t="array" ref="N1158">IFERROR(LOOKUP(2,1/SEARCH($S$2:$S$65,G1158),$T$2:$T$65),"Misc")</f>
        <v>OH P/N</v>
      </c>
      <c r="O1158" t="str" cm="1">
        <f t="array" ref="O1158">IFERROR(LOOKUP(2,1/SEARCH($V$2:$V$65,G1158),$W$2:$W$65),"Misc")</f>
        <v>OH Part</v>
      </c>
      <c r="P1158" t="str" cm="1">
        <f t="array" ref="P1158">IFERROR(LOOKUP(2,1/SEARCH($Y$2:$Y$65,G1158),$Z$2:$Z$65),"Not Defined")</f>
        <v>OH Part</v>
      </c>
      <c r="Q1158" t="str" cm="1">
        <f t="array" ref="Q1158">IFERROR(LOOKUP(2,1/SEARCH($S$2:$S$65,H1158),$T$2:$T$65),"-")</f>
        <v>-</v>
      </c>
    </row>
    <row r="1159" spans="1:17" hidden="1" x14ac:dyDescent="0.25">
      <c r="A1159" t="s">
        <v>7674</v>
      </c>
      <c r="B1159" t="s">
        <v>3116</v>
      </c>
      <c r="C1159">
        <v>1</v>
      </c>
      <c r="D1159" t="s">
        <v>7308</v>
      </c>
      <c r="E1159" t="s">
        <v>3062</v>
      </c>
      <c r="F1159" t="s">
        <v>3117</v>
      </c>
      <c r="G1159" t="s">
        <v>3119</v>
      </c>
      <c r="H1159" t="s">
        <v>3118</v>
      </c>
      <c r="I1159" t="s">
        <v>13</v>
      </c>
      <c r="J1159" t="s">
        <v>7682</v>
      </c>
      <c r="K1159" t="s">
        <v>7826</v>
      </c>
      <c r="L1159" t="s">
        <v>7826</v>
      </c>
      <c r="N1159" t="str" cm="1">
        <f t="array" ref="N1159">IFERROR(LOOKUP(2,1/SEARCH($S$2:$S$65,G1159),$T$2:$T$65),"Misc")</f>
        <v>OH P/N</v>
      </c>
      <c r="O1159" t="str" cm="1">
        <f t="array" ref="O1159">IFERROR(LOOKUP(2,1/SEARCH($V$2:$V$65,G1159),$W$2:$W$65),"Misc")</f>
        <v>OH Part</v>
      </c>
      <c r="P1159" t="str" cm="1">
        <f t="array" ref="P1159">IFERROR(LOOKUP(2,1/SEARCH($Y$2:$Y$65,G1159),$Z$2:$Z$65),"Not Defined")</f>
        <v>OH Part</v>
      </c>
      <c r="Q1159" t="str" cm="1">
        <f t="array" ref="Q1159">IFERROR(LOOKUP(2,1/SEARCH($S$2:$S$65,H1159),$T$2:$T$65),"-")</f>
        <v>-</v>
      </c>
    </row>
    <row r="1160" spans="1:17" hidden="1" x14ac:dyDescent="0.25">
      <c r="A1160" t="s">
        <v>7674</v>
      </c>
      <c r="B1160" t="s">
        <v>3120</v>
      </c>
      <c r="C1160">
        <v>1</v>
      </c>
      <c r="D1160" t="s">
        <v>7308</v>
      </c>
      <c r="E1160" t="s">
        <v>3062</v>
      </c>
      <c r="F1160" t="s">
        <v>3121</v>
      </c>
      <c r="G1160" t="s">
        <v>3123</v>
      </c>
      <c r="H1160" t="s">
        <v>3122</v>
      </c>
      <c r="I1160" t="s">
        <v>13</v>
      </c>
      <c r="J1160" t="s">
        <v>7682</v>
      </c>
      <c r="K1160" t="s">
        <v>7826</v>
      </c>
      <c r="L1160" t="s">
        <v>7826</v>
      </c>
      <c r="N1160" t="str" cm="1">
        <f t="array" ref="N1160">IFERROR(LOOKUP(2,1/SEARCH($S$2:$S$65,G1160),$T$2:$T$65),"Misc")</f>
        <v>OH P/N</v>
      </c>
      <c r="O1160" t="str" cm="1">
        <f t="array" ref="O1160">IFERROR(LOOKUP(2,1/SEARCH($V$2:$V$65,G1160),$W$2:$W$65),"Misc")</f>
        <v>OH Part</v>
      </c>
      <c r="P1160" t="str" cm="1">
        <f t="array" ref="P1160">IFERROR(LOOKUP(2,1/SEARCH($Y$2:$Y$65,G1160),$Z$2:$Z$65),"Not Defined")</f>
        <v>OH Part</v>
      </c>
      <c r="Q1160" t="str" cm="1">
        <f t="array" ref="Q1160">IFERROR(LOOKUP(2,1/SEARCH($S$2:$S$65,H1160),$T$2:$T$65),"-")</f>
        <v>-</v>
      </c>
    </row>
    <row r="1161" spans="1:17" hidden="1" x14ac:dyDescent="0.25">
      <c r="A1161" t="s">
        <v>7674</v>
      </c>
      <c r="B1161" t="s">
        <v>3124</v>
      </c>
      <c r="C1161">
        <v>1</v>
      </c>
      <c r="D1161" t="s">
        <v>7308</v>
      </c>
      <c r="E1161" t="s">
        <v>3062</v>
      </c>
      <c r="F1161" t="s">
        <v>3125</v>
      </c>
      <c r="G1161" t="s">
        <v>3127</v>
      </c>
      <c r="H1161" t="s">
        <v>3126</v>
      </c>
      <c r="I1161" t="s">
        <v>13</v>
      </c>
      <c r="J1161" t="s">
        <v>7682</v>
      </c>
      <c r="K1161" t="s">
        <v>7826</v>
      </c>
      <c r="L1161" t="s">
        <v>7826</v>
      </c>
      <c r="N1161" t="str" cm="1">
        <f t="array" ref="N1161">IFERROR(LOOKUP(2,1/SEARCH($S$2:$S$65,G1161),$T$2:$T$65),"Misc")</f>
        <v>OH P/N</v>
      </c>
      <c r="O1161" t="str" cm="1">
        <f t="array" ref="O1161">IFERROR(LOOKUP(2,1/SEARCH($V$2:$V$65,G1161),$W$2:$W$65),"Misc")</f>
        <v>OH Part</v>
      </c>
      <c r="P1161" t="str" cm="1">
        <f t="array" ref="P1161">IFERROR(LOOKUP(2,1/SEARCH($Y$2:$Y$65,G1161),$Z$2:$Z$65),"Not Defined")</f>
        <v>OH Part</v>
      </c>
      <c r="Q1161" t="str" cm="1">
        <f t="array" ref="Q1161">IFERROR(LOOKUP(2,1/SEARCH($S$2:$S$65,H1161),$T$2:$T$65),"-")</f>
        <v>-</v>
      </c>
    </row>
    <row r="1162" spans="1:17" hidden="1" x14ac:dyDescent="0.25">
      <c r="A1162" t="s">
        <v>7674</v>
      </c>
      <c r="B1162" t="s">
        <v>3128</v>
      </c>
      <c r="C1162">
        <v>1</v>
      </c>
      <c r="D1162" t="s">
        <v>7308</v>
      </c>
      <c r="E1162" t="s">
        <v>3062</v>
      </c>
      <c r="F1162" t="s">
        <v>3129</v>
      </c>
      <c r="G1162" t="s">
        <v>3131</v>
      </c>
      <c r="H1162" t="s">
        <v>3130</v>
      </c>
      <c r="I1162" t="s">
        <v>13</v>
      </c>
      <c r="J1162" t="s">
        <v>7682</v>
      </c>
      <c r="K1162" t="s">
        <v>7826</v>
      </c>
      <c r="L1162" t="s">
        <v>7826</v>
      </c>
      <c r="N1162" t="str" cm="1">
        <f t="array" ref="N1162">IFERROR(LOOKUP(2,1/SEARCH($S$2:$S$65,G1162),$T$2:$T$65),"Misc")</f>
        <v>OH P/N</v>
      </c>
      <c r="O1162" t="str" cm="1">
        <f t="array" ref="O1162">IFERROR(LOOKUP(2,1/SEARCH($V$2:$V$65,G1162),$W$2:$W$65),"Misc")</f>
        <v>OH Part</v>
      </c>
      <c r="P1162" t="str" cm="1">
        <f t="array" ref="P1162">IFERROR(LOOKUP(2,1/SEARCH($Y$2:$Y$65,G1162),$Z$2:$Z$65),"Not Defined")</f>
        <v>OH Part</v>
      </c>
      <c r="Q1162" t="str" cm="1">
        <f t="array" ref="Q1162">IFERROR(LOOKUP(2,1/SEARCH($S$2:$S$65,H1162),$T$2:$T$65),"-")</f>
        <v>-</v>
      </c>
    </row>
    <row r="1163" spans="1:17" hidden="1" x14ac:dyDescent="0.25">
      <c r="A1163" t="s">
        <v>7674</v>
      </c>
      <c r="B1163" t="s">
        <v>3132</v>
      </c>
      <c r="C1163">
        <v>1</v>
      </c>
      <c r="D1163" t="s">
        <v>7308</v>
      </c>
      <c r="E1163" t="s">
        <v>3062</v>
      </c>
      <c r="F1163" t="s">
        <v>3133</v>
      </c>
      <c r="G1163" t="s">
        <v>3135</v>
      </c>
      <c r="H1163" t="s">
        <v>3134</v>
      </c>
      <c r="I1163" t="s">
        <v>293</v>
      </c>
      <c r="J1163" t="s">
        <v>7682</v>
      </c>
      <c r="K1163" t="s">
        <v>7826</v>
      </c>
      <c r="L1163" t="s">
        <v>7826</v>
      </c>
      <c r="N1163" t="str" cm="1">
        <f t="array" ref="N1163">IFERROR(LOOKUP(2,1/SEARCH($S$2:$S$65,G1163),$T$2:$T$65),"Misc")</f>
        <v>OH P/N</v>
      </c>
      <c r="O1163" t="str" cm="1">
        <f t="array" ref="O1163">IFERROR(LOOKUP(2,1/SEARCH($V$2:$V$65,G1163),$W$2:$W$65),"Misc")</f>
        <v>OH Part</v>
      </c>
      <c r="P1163" t="str" cm="1">
        <f t="array" ref="P1163">IFERROR(LOOKUP(2,1/SEARCH($Y$2:$Y$65,G1163),$Z$2:$Z$65),"Not Defined")</f>
        <v>OH Part</v>
      </c>
      <c r="Q1163" t="str" cm="1">
        <f t="array" ref="Q1163">IFERROR(LOOKUP(2,1/SEARCH($S$2:$S$65,H1163),$T$2:$T$65),"-")</f>
        <v>-</v>
      </c>
    </row>
    <row r="1164" spans="1:17" hidden="1" x14ac:dyDescent="0.25">
      <c r="A1164" t="s">
        <v>7674</v>
      </c>
      <c r="B1164" t="s">
        <v>3136</v>
      </c>
      <c r="C1164">
        <v>1</v>
      </c>
      <c r="D1164" t="s">
        <v>7308</v>
      </c>
      <c r="E1164" t="s">
        <v>3062</v>
      </c>
      <c r="F1164" t="s">
        <v>3137</v>
      </c>
      <c r="G1164" t="s">
        <v>3139</v>
      </c>
      <c r="H1164" t="s">
        <v>3138</v>
      </c>
      <c r="I1164" t="s">
        <v>13</v>
      </c>
      <c r="J1164" t="s">
        <v>7682</v>
      </c>
      <c r="K1164" t="s">
        <v>7826</v>
      </c>
      <c r="L1164" t="s">
        <v>7826</v>
      </c>
      <c r="N1164" t="str" cm="1">
        <f t="array" ref="N1164">IFERROR(LOOKUP(2,1/SEARCH($S$2:$S$65,G1164),$T$2:$T$65),"Misc")</f>
        <v>OH P/N</v>
      </c>
      <c r="O1164" t="str" cm="1">
        <f t="array" ref="O1164">IFERROR(LOOKUP(2,1/SEARCH($V$2:$V$65,G1164),$W$2:$W$65),"Misc")</f>
        <v>OH Part</v>
      </c>
      <c r="P1164" t="str" cm="1">
        <f t="array" ref="P1164">IFERROR(LOOKUP(2,1/SEARCH($Y$2:$Y$65,G1164),$Z$2:$Z$65),"Not Defined")</f>
        <v>OH Part</v>
      </c>
      <c r="Q1164" t="str" cm="1">
        <f t="array" ref="Q1164">IFERROR(LOOKUP(2,1/SEARCH($S$2:$S$65,H1164),$T$2:$T$65),"-")</f>
        <v>-</v>
      </c>
    </row>
    <row r="1165" spans="1:17" hidden="1" x14ac:dyDescent="0.25">
      <c r="A1165" t="s">
        <v>7674</v>
      </c>
      <c r="B1165" t="s">
        <v>3140</v>
      </c>
      <c r="C1165">
        <v>1</v>
      </c>
      <c r="D1165" t="s">
        <v>7308</v>
      </c>
      <c r="E1165" t="s">
        <v>3062</v>
      </c>
      <c r="F1165" t="s">
        <v>3141</v>
      </c>
      <c r="G1165" t="s">
        <v>3143</v>
      </c>
      <c r="H1165" t="s">
        <v>3142</v>
      </c>
      <c r="I1165" t="s">
        <v>293</v>
      </c>
      <c r="J1165" t="s">
        <v>7682</v>
      </c>
      <c r="K1165" t="s">
        <v>7826</v>
      </c>
      <c r="L1165" t="s">
        <v>7826</v>
      </c>
      <c r="N1165" t="str" cm="1">
        <f t="array" ref="N1165">IFERROR(LOOKUP(2,1/SEARCH($S$2:$S$65,G1165),$T$2:$T$65),"Misc")</f>
        <v>OH P/N</v>
      </c>
      <c r="O1165" t="str" cm="1">
        <f t="array" ref="O1165">IFERROR(LOOKUP(2,1/SEARCH($V$2:$V$65,G1165),$W$2:$W$65),"Misc")</f>
        <v>OH Part</v>
      </c>
      <c r="P1165" t="str" cm="1">
        <f t="array" ref="P1165">IFERROR(LOOKUP(2,1/SEARCH($Y$2:$Y$65,G1165),$Z$2:$Z$65),"Not Defined")</f>
        <v>OH Part</v>
      </c>
      <c r="Q1165" t="str" cm="1">
        <f t="array" ref="Q1165">IFERROR(LOOKUP(2,1/SEARCH($S$2:$S$65,H1165),$T$2:$T$65),"-")</f>
        <v>-</v>
      </c>
    </row>
    <row r="1166" spans="1:17" hidden="1" x14ac:dyDescent="0.25">
      <c r="A1166" t="s">
        <v>7674</v>
      </c>
      <c r="B1166" t="s">
        <v>3144</v>
      </c>
      <c r="C1166">
        <v>1</v>
      </c>
      <c r="D1166" t="s">
        <v>7308</v>
      </c>
      <c r="E1166" t="s">
        <v>3062</v>
      </c>
      <c r="F1166" t="s">
        <v>3145</v>
      </c>
      <c r="G1166" t="s">
        <v>3147</v>
      </c>
      <c r="H1166" t="s">
        <v>3146</v>
      </c>
      <c r="I1166" t="s">
        <v>13</v>
      </c>
      <c r="J1166" t="s">
        <v>7682</v>
      </c>
      <c r="K1166" t="s">
        <v>7826</v>
      </c>
      <c r="L1166" t="s">
        <v>7826</v>
      </c>
      <c r="N1166" t="str" cm="1">
        <f t="array" ref="N1166">IFERROR(LOOKUP(2,1/SEARCH($S$2:$S$65,G1166),$T$2:$T$65),"Misc")</f>
        <v>OH P/N</v>
      </c>
      <c r="O1166" t="str" cm="1">
        <f t="array" ref="O1166">IFERROR(LOOKUP(2,1/SEARCH($V$2:$V$65,G1166),$W$2:$W$65),"Misc")</f>
        <v>OH Part</v>
      </c>
      <c r="P1166" t="str" cm="1">
        <f t="array" ref="P1166">IFERROR(LOOKUP(2,1/SEARCH($Y$2:$Y$65,G1166),$Z$2:$Z$65),"Not Defined")</f>
        <v>OH Part</v>
      </c>
      <c r="Q1166" t="str" cm="1">
        <f t="array" ref="Q1166">IFERROR(LOOKUP(2,1/SEARCH($S$2:$S$65,H1166),$T$2:$T$65),"-")</f>
        <v>-</v>
      </c>
    </row>
    <row r="1167" spans="1:17" hidden="1" x14ac:dyDescent="0.25">
      <c r="A1167" t="s">
        <v>7674</v>
      </c>
      <c r="B1167" t="s">
        <v>3148</v>
      </c>
      <c r="C1167">
        <v>19</v>
      </c>
      <c r="D1167" t="s">
        <v>7308</v>
      </c>
      <c r="E1167" t="s">
        <v>3062</v>
      </c>
      <c r="F1167" t="s">
        <v>239</v>
      </c>
      <c r="G1167" t="s">
        <v>7058</v>
      </c>
      <c r="H1167" t="s">
        <v>240</v>
      </c>
      <c r="I1167" t="s">
        <v>210</v>
      </c>
      <c r="J1167" t="s">
        <v>7703</v>
      </c>
      <c r="K1167" t="s">
        <v>7684</v>
      </c>
      <c r="L1167" t="s">
        <v>7738</v>
      </c>
      <c r="N1167" t="str" cm="1">
        <f t="array" ref="N1167">IFERROR(LOOKUP(2,1/SEARCH($S$2:$S$65,G1167),$T$2:$T$65),"Misc")</f>
        <v>COTS</v>
      </c>
      <c r="O1167" t="str" cm="1">
        <f t="array" ref="O1167">IFERROR(LOOKUP(2,1/SEARCH($V$2:$V$65,G1167),$W$2:$W$65),"Misc")</f>
        <v>Fasteners</v>
      </c>
      <c r="P1167" t="str" cm="1">
        <f t="array" ref="P1167">IFERROR(LOOKUP(2,1/SEARCH($Y$2:$Y$65,G1167),$Z$2:$Z$65),"Not Defined")</f>
        <v>FHWS</v>
      </c>
      <c r="Q1167" t="str" cm="1">
        <f t="array" ref="Q1167">IFERROR(LOOKUP(2,1/SEARCH($S$2:$S$65,H1167),$T$2:$T$65),"-")</f>
        <v>COTS</v>
      </c>
    </row>
    <row r="1168" spans="1:17" hidden="1" x14ac:dyDescent="0.25">
      <c r="A1168" t="s">
        <v>7674</v>
      </c>
      <c r="B1168" t="s">
        <v>3149</v>
      </c>
      <c r="C1168">
        <v>4</v>
      </c>
      <c r="D1168" t="s">
        <v>7308</v>
      </c>
      <c r="E1168" t="s">
        <v>3062</v>
      </c>
      <c r="F1168" t="s">
        <v>219</v>
      </c>
      <c r="G1168" t="s">
        <v>7052</v>
      </c>
      <c r="H1168" t="s">
        <v>220</v>
      </c>
      <c r="I1168" t="s">
        <v>210</v>
      </c>
      <c r="J1168" t="s">
        <v>7703</v>
      </c>
      <c r="K1168" t="s">
        <v>7684</v>
      </c>
      <c r="L1168" t="s">
        <v>7691</v>
      </c>
      <c r="N1168" t="str" cm="1">
        <f t="array" ref="N1168">IFERROR(LOOKUP(2,1/SEARCH($S$2:$S$65,G1168),$T$2:$T$65),"Misc")</f>
        <v>COTS</v>
      </c>
      <c r="O1168" t="str" cm="1">
        <f t="array" ref="O1168">IFERROR(LOOKUP(2,1/SEARCH($V$2:$V$65,G1168),$W$2:$W$65),"Misc")</f>
        <v>Fasteners</v>
      </c>
      <c r="P1168" t="str" cm="1">
        <f t="array" ref="P1168">IFERROR(LOOKUP(2,1/SEARCH($Y$2:$Y$65,G1168),$Z$2:$Z$65),"Not Defined")</f>
        <v>FHS</v>
      </c>
      <c r="Q1168" t="str" cm="1">
        <f t="array" ref="Q1168">IFERROR(LOOKUP(2,1/SEARCH($S$2:$S$65,H1168),$T$2:$T$65),"-")</f>
        <v>COTS</v>
      </c>
    </row>
    <row r="1169" spans="1:17" hidden="1" x14ac:dyDescent="0.25">
      <c r="A1169" t="s">
        <v>7674</v>
      </c>
      <c r="B1169" t="s">
        <v>3150</v>
      </c>
      <c r="C1169">
        <v>22</v>
      </c>
      <c r="D1169" t="s">
        <v>7308</v>
      </c>
      <c r="E1169" t="s">
        <v>3062</v>
      </c>
      <c r="F1169" t="s">
        <v>222</v>
      </c>
      <c r="G1169" t="s">
        <v>7053</v>
      </c>
      <c r="H1169" t="s">
        <v>223</v>
      </c>
      <c r="I1169" t="s">
        <v>224</v>
      </c>
      <c r="J1169" t="s">
        <v>7703</v>
      </c>
      <c r="K1169" t="s">
        <v>7684</v>
      </c>
      <c r="L1169" t="s">
        <v>7687</v>
      </c>
      <c r="N1169" t="str" cm="1">
        <f t="array" ref="N1169">IFERROR(LOOKUP(2,1/SEARCH($S$2:$S$65,G1169),$T$2:$T$65),"Misc")</f>
        <v>COTS</v>
      </c>
      <c r="O1169" t="str" cm="1">
        <f t="array" ref="O1169">IFERROR(LOOKUP(2,1/SEARCH($V$2:$V$65,G1169),$W$2:$W$65),"Misc")</f>
        <v>Fasteners</v>
      </c>
      <c r="P1169" t="str" cm="1">
        <f t="array" ref="P1169">IFERROR(LOOKUP(2,1/SEARCH($Y$2:$Y$65,G1169),$Z$2:$Z$65),"Not Defined")</f>
        <v>INSERT</v>
      </c>
      <c r="Q1169" t="str" cm="1">
        <f t="array" ref="Q1169">IFERROR(LOOKUP(2,1/SEARCH($S$2:$S$65,H1169),$T$2:$T$65),"-")</f>
        <v>COTS</v>
      </c>
    </row>
    <row r="1170" spans="1:17" hidden="1" x14ac:dyDescent="0.25">
      <c r="A1170" t="s">
        <v>7674</v>
      </c>
      <c r="B1170" t="s">
        <v>3151</v>
      </c>
      <c r="C1170">
        <v>3</v>
      </c>
      <c r="D1170" t="s">
        <v>7308</v>
      </c>
      <c r="E1170" t="s">
        <v>3062</v>
      </c>
      <c r="F1170" t="s">
        <v>208</v>
      </c>
      <c r="G1170" t="s">
        <v>7049</v>
      </c>
      <c r="H1170" t="s">
        <v>209</v>
      </c>
      <c r="I1170" t="s">
        <v>210</v>
      </c>
      <c r="J1170" t="s">
        <v>7703</v>
      </c>
      <c r="K1170" t="s">
        <v>7684</v>
      </c>
      <c r="L1170" t="s">
        <v>7738</v>
      </c>
      <c r="N1170" t="str" cm="1">
        <f t="array" ref="N1170">IFERROR(LOOKUP(2,1/SEARCH($S$2:$S$65,G1170),$T$2:$T$65),"Misc")</f>
        <v>COTS</v>
      </c>
      <c r="O1170" t="str" cm="1">
        <f t="array" ref="O1170">IFERROR(LOOKUP(2,1/SEARCH($V$2:$V$65,G1170),$W$2:$W$65),"Misc")</f>
        <v>Fasteners</v>
      </c>
      <c r="P1170" t="str" cm="1">
        <f t="array" ref="P1170">IFERROR(LOOKUP(2,1/SEARCH($Y$2:$Y$65,G1170),$Z$2:$Z$65),"Not Defined")</f>
        <v>FHWS</v>
      </c>
      <c r="Q1170" t="str" cm="1">
        <f t="array" ref="Q1170">IFERROR(LOOKUP(2,1/SEARCH($S$2:$S$65,H1170),$T$2:$T$65),"-")</f>
        <v>COTS</v>
      </c>
    </row>
    <row r="1171" spans="1:17" hidden="1" x14ac:dyDescent="0.25">
      <c r="A1171" t="s">
        <v>7674</v>
      </c>
      <c r="B1171" t="s">
        <v>3152</v>
      </c>
      <c r="C1171">
        <v>4</v>
      </c>
      <c r="D1171" t="s">
        <v>7308</v>
      </c>
      <c r="E1171" t="s">
        <v>3062</v>
      </c>
      <c r="F1171" t="s">
        <v>3153</v>
      </c>
      <c r="G1171" t="s">
        <v>7339</v>
      </c>
      <c r="H1171" t="s">
        <v>3154</v>
      </c>
      <c r="I1171" t="s">
        <v>210</v>
      </c>
      <c r="J1171" t="s">
        <v>7703</v>
      </c>
      <c r="K1171" t="s">
        <v>7684</v>
      </c>
      <c r="L1171" t="s">
        <v>7706</v>
      </c>
      <c r="N1171" t="str" cm="1">
        <f t="array" ref="N1171">IFERROR(LOOKUP(2,1/SEARCH($S$2:$S$65,G1171),$T$2:$T$65),"Misc")</f>
        <v>COTS</v>
      </c>
      <c r="O1171" t="str" cm="1">
        <f t="array" ref="O1171">IFERROR(LOOKUP(2,1/SEARCH($V$2:$V$65,G1171),$W$2:$W$65),"Misc")</f>
        <v>Fasteners</v>
      </c>
      <c r="P1171" t="str" cm="1">
        <f t="array" ref="P1171">IFERROR(LOOKUP(2,1/SEARCH($Y$2:$Y$65,G1171),$Z$2:$Z$65),"Not Defined")</f>
        <v>HHCS</v>
      </c>
      <c r="Q1171" t="str" cm="1">
        <f t="array" ref="Q1171">IFERROR(LOOKUP(2,1/SEARCH($S$2:$S$65,H1171),$T$2:$T$65),"-")</f>
        <v>COTS</v>
      </c>
    </row>
    <row r="1172" spans="1:17" hidden="1" x14ac:dyDescent="0.25">
      <c r="A1172" t="s">
        <v>7674</v>
      </c>
      <c r="B1172" t="s">
        <v>3155</v>
      </c>
      <c r="C1172">
        <v>4</v>
      </c>
      <c r="D1172" t="s">
        <v>7308</v>
      </c>
      <c r="E1172" t="s">
        <v>3062</v>
      </c>
      <c r="F1172" t="s">
        <v>2590</v>
      </c>
      <c r="G1172" t="s">
        <v>7300</v>
      </c>
      <c r="H1172" t="s">
        <v>2591</v>
      </c>
      <c r="I1172" t="s">
        <v>228</v>
      </c>
      <c r="J1172" t="s">
        <v>7703</v>
      </c>
      <c r="K1172" t="s">
        <v>7684</v>
      </c>
      <c r="L1172" t="s">
        <v>7692</v>
      </c>
      <c r="N1172" t="str" cm="1">
        <f t="array" ref="N1172">IFERROR(LOOKUP(2,1/SEARCH($S$2:$S$65,G1172),$T$2:$T$65),"Misc")</f>
        <v>COTS</v>
      </c>
      <c r="O1172" t="str" cm="1">
        <f t="array" ref="O1172">IFERROR(LOOKUP(2,1/SEARCH($V$2:$V$65,G1172),$W$2:$W$65),"Misc")</f>
        <v>Fasteners</v>
      </c>
      <c r="P1172" t="str" cm="1">
        <f t="array" ref="P1172">IFERROR(LOOKUP(2,1/SEARCH($Y$2:$Y$65,G1172),$Z$2:$Z$65),"Not Defined")</f>
        <v>WASHER</v>
      </c>
      <c r="Q1172" t="str" cm="1">
        <f t="array" ref="Q1172">IFERROR(LOOKUP(2,1/SEARCH($S$2:$S$65,H1172),$T$2:$T$65),"-")</f>
        <v>COTS</v>
      </c>
    </row>
    <row r="1173" spans="1:17" hidden="1" x14ac:dyDescent="0.25">
      <c r="A1173" t="s">
        <v>7674</v>
      </c>
      <c r="B1173" t="s">
        <v>3156</v>
      </c>
      <c r="C1173">
        <v>4</v>
      </c>
      <c r="D1173" t="s">
        <v>7308</v>
      </c>
      <c r="E1173" t="s">
        <v>3062</v>
      </c>
      <c r="F1173" t="s">
        <v>2592</v>
      </c>
      <c r="G1173" t="s">
        <v>7301</v>
      </c>
      <c r="H1173" t="s">
        <v>2593</v>
      </c>
      <c r="I1173" t="s">
        <v>228</v>
      </c>
      <c r="J1173" t="s">
        <v>7703</v>
      </c>
      <c r="K1173" t="s">
        <v>7684</v>
      </c>
      <c r="L1173" t="s">
        <v>7685</v>
      </c>
      <c r="N1173" t="str" cm="1">
        <f t="array" ref="N1173">IFERROR(LOOKUP(2,1/SEARCH($S$2:$S$65,G1173),$T$2:$T$65),"Misc")</f>
        <v>COTS</v>
      </c>
      <c r="O1173" t="str" cm="1">
        <f t="array" ref="O1173">IFERROR(LOOKUP(2,1/SEARCH($V$2:$V$65,G1173),$W$2:$W$65),"Misc")</f>
        <v>Fasteners</v>
      </c>
      <c r="P1173" t="str" cm="1">
        <f t="array" ref="P1173">IFERROR(LOOKUP(2,1/SEARCH($Y$2:$Y$65,G1173),$Z$2:$Z$65),"Not Defined")</f>
        <v>NUT</v>
      </c>
      <c r="Q1173" t="str" cm="1">
        <f t="array" ref="Q1173">IFERROR(LOOKUP(2,1/SEARCH($S$2:$S$65,H1173),$T$2:$T$65),"-")</f>
        <v>COTS</v>
      </c>
    </row>
    <row r="1174" spans="1:17" hidden="1" x14ac:dyDescent="0.25">
      <c r="A1174" t="s">
        <v>7674</v>
      </c>
      <c r="B1174" t="s">
        <v>3157</v>
      </c>
      <c r="C1174">
        <v>2</v>
      </c>
      <c r="D1174" t="s">
        <v>7308</v>
      </c>
      <c r="E1174" t="s">
        <v>3062</v>
      </c>
      <c r="F1174" t="s">
        <v>3036</v>
      </c>
      <c r="G1174" t="s">
        <v>7336</v>
      </c>
      <c r="H1174" t="s">
        <v>3037</v>
      </c>
      <c r="I1174" t="s">
        <v>299</v>
      </c>
      <c r="J1174" t="s">
        <v>7703</v>
      </c>
      <c r="K1174" t="str" cm="1">
        <f t="array" ref="K1174">IFERROR(LOOKUP(2,1/SEARCH($V$2:$V$65,C1174),$W$2:$W$65),"Misc")</f>
        <v>Misc</v>
      </c>
      <c r="L1174" t="s">
        <v>7834</v>
      </c>
      <c r="N1174" t="str" cm="1">
        <f t="array" ref="N1174">IFERROR(LOOKUP(2,1/SEARCH($S$2:$S$65,G1174),$T$2:$T$65),"Misc")</f>
        <v>COTS</v>
      </c>
      <c r="O1174" t="str" cm="1">
        <f t="array" ref="O1174">IFERROR(LOOKUP(2,1/SEARCH($V$2:$V$65,G1174),$W$2:$W$65),"Misc")</f>
        <v>Misc</v>
      </c>
      <c r="P1174" t="str" cm="1">
        <f t="array" ref="P1174">IFERROR(LOOKUP(2,1/SEARCH($Y$2:$Y$65,G1174),$Z$2:$Z$65),"Not Defined")</f>
        <v>Not Defined</v>
      </c>
      <c r="Q1174" t="str" cm="1">
        <f t="array" ref="Q1174">IFERROR(LOOKUP(2,1/SEARCH($S$2:$S$65,H1174),$T$2:$T$65),"-")</f>
        <v>COTS</v>
      </c>
    </row>
    <row r="1175" spans="1:17" hidden="1" x14ac:dyDescent="0.25">
      <c r="A1175" t="s">
        <v>7674</v>
      </c>
      <c r="B1175" t="s">
        <v>3158</v>
      </c>
      <c r="C1175">
        <v>28</v>
      </c>
      <c r="D1175" t="s">
        <v>7308</v>
      </c>
      <c r="E1175" t="s">
        <v>3062</v>
      </c>
      <c r="F1175" t="s">
        <v>230</v>
      </c>
      <c r="G1175" t="s">
        <v>7055</v>
      </c>
      <c r="H1175" t="s">
        <v>231</v>
      </c>
      <c r="I1175" t="s">
        <v>210</v>
      </c>
      <c r="J1175" t="s">
        <v>7703</v>
      </c>
      <c r="K1175" t="s">
        <v>7684</v>
      </c>
      <c r="L1175" t="s">
        <v>7692</v>
      </c>
      <c r="N1175" t="str" cm="1">
        <f t="array" ref="N1175">IFERROR(LOOKUP(2,1/SEARCH($S$2:$S$65,G1175),$T$2:$T$65),"Misc")</f>
        <v>COTS</v>
      </c>
      <c r="O1175" t="str" cm="1">
        <f t="array" ref="O1175">IFERROR(LOOKUP(2,1/SEARCH($V$2:$V$65,G1175),$W$2:$W$65),"Misc")</f>
        <v>Fasteners</v>
      </c>
      <c r="P1175" t="str" cm="1">
        <f t="array" ref="P1175">IFERROR(LOOKUP(2,1/SEARCH($Y$2:$Y$65,G1175),$Z$2:$Z$65),"Not Defined")</f>
        <v>WASHER</v>
      </c>
      <c r="Q1175" t="str" cm="1">
        <f t="array" ref="Q1175">IFERROR(LOOKUP(2,1/SEARCH($S$2:$S$65,H1175),$T$2:$T$65),"-")</f>
        <v>COTS</v>
      </c>
    </row>
    <row r="1176" spans="1:17" hidden="1" x14ac:dyDescent="0.25">
      <c r="A1176" t="s">
        <v>7674</v>
      </c>
      <c r="B1176" t="s">
        <v>3159</v>
      </c>
      <c r="C1176">
        <v>20</v>
      </c>
      <c r="D1176" t="s">
        <v>7308</v>
      </c>
      <c r="E1176" t="s">
        <v>3062</v>
      </c>
      <c r="F1176" t="s">
        <v>915</v>
      </c>
      <c r="G1176" t="s">
        <v>7129</v>
      </c>
      <c r="H1176" t="s">
        <v>916</v>
      </c>
      <c r="I1176" t="s">
        <v>228</v>
      </c>
      <c r="J1176" t="s">
        <v>7703</v>
      </c>
      <c r="K1176" t="s">
        <v>7684</v>
      </c>
      <c r="L1176" t="s">
        <v>7693</v>
      </c>
      <c r="N1176" t="str" cm="1">
        <f t="array" ref="N1176">IFERROR(LOOKUP(2,1/SEARCH($S$2:$S$65,G1176),$T$2:$T$65),"Misc")</f>
        <v>COTS</v>
      </c>
      <c r="O1176" t="str" cm="1">
        <f t="array" ref="O1176">IFERROR(LOOKUP(2,1/SEARCH($V$2:$V$65,G1176),$W$2:$W$65),"Misc")</f>
        <v>Fasteners</v>
      </c>
      <c r="P1176" t="str" cm="1">
        <f t="array" ref="P1176">IFERROR(LOOKUP(2,1/SEARCH($Y$2:$Y$65,G1176),$Z$2:$Z$65),"Not Defined")</f>
        <v>PHS</v>
      </c>
      <c r="Q1176" t="str" cm="1">
        <f t="array" ref="Q1176">IFERROR(LOOKUP(2,1/SEARCH($S$2:$S$65,H1176),$T$2:$T$65),"-")</f>
        <v>COTS</v>
      </c>
    </row>
    <row r="1177" spans="1:17" hidden="1" x14ac:dyDescent="0.25">
      <c r="A1177" t="s">
        <v>7674</v>
      </c>
      <c r="B1177" t="s">
        <v>3160</v>
      </c>
      <c r="C1177">
        <v>2</v>
      </c>
      <c r="D1177" t="s">
        <v>7308</v>
      </c>
      <c r="E1177" t="s">
        <v>3062</v>
      </c>
      <c r="F1177" t="s">
        <v>3161</v>
      </c>
      <c r="G1177" t="s">
        <v>7340</v>
      </c>
      <c r="H1177" t="s">
        <v>3162</v>
      </c>
      <c r="I1177" t="s">
        <v>210</v>
      </c>
      <c r="J1177" t="s">
        <v>7703</v>
      </c>
      <c r="K1177" t="s">
        <v>7684</v>
      </c>
      <c r="L1177" t="s">
        <v>7834</v>
      </c>
      <c r="N1177" t="str" cm="1">
        <f t="array" ref="N1177">IFERROR(LOOKUP(2,1/SEARCH($S$2:$S$65,G1177),$T$2:$T$65),"Misc")</f>
        <v>COTS</v>
      </c>
      <c r="O1177" t="str" cm="1">
        <f t="array" ref="O1177">IFERROR(LOOKUP(2,1/SEARCH($V$2:$V$65,G1177),$W$2:$W$65),"Misc")</f>
        <v>Fasteners</v>
      </c>
      <c r="P1177" t="str" cm="1">
        <f t="array" ref="P1177">IFERROR(LOOKUP(2,1/SEARCH($Y$2:$Y$65,G1177),$Z$2:$Z$65),"Not Defined")</f>
        <v>Not Defined</v>
      </c>
      <c r="Q1177" t="str" cm="1">
        <f t="array" ref="Q1177">IFERROR(LOOKUP(2,1/SEARCH($S$2:$S$65,H1177),$T$2:$T$65),"-")</f>
        <v>COTS</v>
      </c>
    </row>
    <row r="1178" spans="1:17" hidden="1" x14ac:dyDescent="0.25">
      <c r="A1178" t="s">
        <v>7674</v>
      </c>
      <c r="B1178" t="s">
        <v>3163</v>
      </c>
      <c r="C1178">
        <v>22</v>
      </c>
      <c r="D1178" t="s">
        <v>7308</v>
      </c>
      <c r="E1178" t="s">
        <v>3062</v>
      </c>
      <c r="F1178" t="s">
        <v>226</v>
      </c>
      <c r="G1178" t="s">
        <v>7054</v>
      </c>
      <c r="H1178" t="s">
        <v>227</v>
      </c>
      <c r="I1178" t="s">
        <v>228</v>
      </c>
      <c r="J1178" t="s">
        <v>7703</v>
      </c>
      <c r="K1178" t="s">
        <v>7684</v>
      </c>
      <c r="L1178" t="s">
        <v>7685</v>
      </c>
      <c r="N1178" t="str" cm="1">
        <f t="array" ref="N1178">IFERROR(LOOKUP(2,1/SEARCH($S$2:$S$65,G1178),$T$2:$T$65),"Misc")</f>
        <v>COTS</v>
      </c>
      <c r="O1178" t="str" cm="1">
        <f t="array" ref="O1178">IFERROR(LOOKUP(2,1/SEARCH($V$2:$V$65,G1178),$W$2:$W$65),"Misc")</f>
        <v>Fasteners</v>
      </c>
      <c r="P1178" t="str" cm="1">
        <f t="array" ref="P1178">IFERROR(LOOKUP(2,1/SEARCH($Y$2:$Y$65,G1178),$Z$2:$Z$65),"Not Defined")</f>
        <v>NUT</v>
      </c>
      <c r="Q1178" t="str" cm="1">
        <f t="array" ref="Q1178">IFERROR(LOOKUP(2,1/SEARCH($S$2:$S$65,H1178),$T$2:$T$65),"-")</f>
        <v>COTS</v>
      </c>
    </row>
    <row r="1179" spans="1:17" hidden="1" x14ac:dyDescent="0.25">
      <c r="A1179" t="s">
        <v>7674</v>
      </c>
      <c r="B1179" t="s">
        <v>3164</v>
      </c>
      <c r="C1179">
        <v>4</v>
      </c>
      <c r="D1179" t="s">
        <v>7308</v>
      </c>
      <c r="E1179" t="s">
        <v>3062</v>
      </c>
      <c r="F1179" t="s">
        <v>236</v>
      </c>
      <c r="G1179" t="s">
        <v>7057</v>
      </c>
      <c r="H1179" t="s">
        <v>237</v>
      </c>
      <c r="I1179" t="s">
        <v>210</v>
      </c>
      <c r="J1179" t="s">
        <v>7703</v>
      </c>
      <c r="K1179" t="s">
        <v>7684</v>
      </c>
      <c r="L1179" t="s">
        <v>7693</v>
      </c>
      <c r="N1179" t="str" cm="1">
        <f t="array" ref="N1179">IFERROR(LOOKUP(2,1/SEARCH($S$2:$S$65,G1179),$T$2:$T$65),"Misc")</f>
        <v>COTS</v>
      </c>
      <c r="O1179" t="str" cm="1">
        <f t="array" ref="O1179">IFERROR(LOOKUP(2,1/SEARCH($V$2:$V$65,G1179),$W$2:$W$65),"Misc")</f>
        <v>Fasteners</v>
      </c>
      <c r="P1179" t="str" cm="1">
        <f t="array" ref="P1179">IFERROR(LOOKUP(2,1/SEARCH($Y$2:$Y$65,G1179),$Z$2:$Z$65),"Not Defined")</f>
        <v>PHS</v>
      </c>
      <c r="Q1179" t="str" cm="1">
        <f t="array" ref="Q1179">IFERROR(LOOKUP(2,1/SEARCH($S$2:$S$65,H1179),$T$2:$T$65),"-")</f>
        <v>COTS</v>
      </c>
    </row>
    <row r="1180" spans="1:17" hidden="1" x14ac:dyDescent="0.25">
      <c r="A1180" t="s">
        <v>7674</v>
      </c>
      <c r="B1180" t="s">
        <v>3165</v>
      </c>
      <c r="C1180">
        <v>6</v>
      </c>
      <c r="D1180" t="s">
        <v>7308</v>
      </c>
      <c r="E1180" t="s">
        <v>3062</v>
      </c>
      <c r="F1180" t="s">
        <v>212</v>
      </c>
      <c r="G1180" t="s">
        <v>7050</v>
      </c>
      <c r="H1180" t="s">
        <v>213</v>
      </c>
      <c r="I1180" t="s">
        <v>214</v>
      </c>
      <c r="J1180" t="s">
        <v>7703</v>
      </c>
      <c r="K1180" t="s">
        <v>7684</v>
      </c>
      <c r="L1180" t="s">
        <v>7707</v>
      </c>
      <c r="N1180" t="str" cm="1">
        <f t="array" ref="N1180">IFERROR(LOOKUP(2,1/SEARCH($S$2:$S$65,G1180),$T$2:$T$65),"Misc")</f>
        <v>COTS</v>
      </c>
      <c r="O1180" t="str" cm="1">
        <f t="array" ref="O1180">IFERROR(LOOKUP(2,1/SEARCH($V$2:$V$65,G1180),$W$2:$W$65),"Misc")</f>
        <v>Fasteners</v>
      </c>
      <c r="P1180" t="str" cm="1">
        <f t="array" ref="P1180">IFERROR(LOOKUP(2,1/SEARCH($Y$2:$Y$65,G1180),$Z$2:$Z$65),"Not Defined")</f>
        <v>PIN</v>
      </c>
      <c r="Q1180" t="str" cm="1">
        <f t="array" ref="Q1180">IFERROR(LOOKUP(2,1/SEARCH($S$2:$S$65,H1180),$T$2:$T$65),"-")</f>
        <v>COTS</v>
      </c>
    </row>
    <row r="1181" spans="1:17" hidden="1" x14ac:dyDescent="0.25">
      <c r="A1181" t="s">
        <v>7674</v>
      </c>
      <c r="B1181" t="s">
        <v>3166</v>
      </c>
      <c r="C1181">
        <v>14</v>
      </c>
      <c r="D1181" t="s">
        <v>7308</v>
      </c>
      <c r="E1181" t="s">
        <v>3062</v>
      </c>
      <c r="F1181" t="s">
        <v>3167</v>
      </c>
      <c r="G1181" t="s">
        <v>7341</v>
      </c>
      <c r="H1181" t="s">
        <v>3168</v>
      </c>
      <c r="I1181" t="s">
        <v>210</v>
      </c>
      <c r="J1181" t="s">
        <v>7703</v>
      </c>
      <c r="K1181" t="s">
        <v>7684</v>
      </c>
      <c r="L1181" t="s">
        <v>7691</v>
      </c>
      <c r="N1181" t="str" cm="1">
        <f t="array" ref="N1181">IFERROR(LOOKUP(2,1/SEARCH($S$2:$S$65,G1181),$T$2:$T$65),"Misc")</f>
        <v>COTS</v>
      </c>
      <c r="O1181" t="str" cm="1">
        <f t="array" ref="O1181">IFERROR(LOOKUP(2,1/SEARCH($V$2:$V$65,G1181),$W$2:$W$65),"Misc")</f>
        <v>Fasteners</v>
      </c>
      <c r="P1181" t="str" cm="1">
        <f t="array" ref="P1181">IFERROR(LOOKUP(2,1/SEARCH($Y$2:$Y$65,G1181),$Z$2:$Z$65),"Not Defined")</f>
        <v>FHS</v>
      </c>
      <c r="Q1181" t="str" cm="1">
        <f t="array" ref="Q1181">IFERROR(LOOKUP(2,1/SEARCH($S$2:$S$65,H1181),$T$2:$T$65),"-")</f>
        <v>COTS</v>
      </c>
    </row>
    <row r="1182" spans="1:17" hidden="1" x14ac:dyDescent="0.25">
      <c r="A1182" t="s">
        <v>7674</v>
      </c>
      <c r="B1182" t="s">
        <v>3169</v>
      </c>
      <c r="C1182">
        <v>30</v>
      </c>
      <c r="D1182" t="s">
        <v>7308</v>
      </c>
      <c r="E1182" t="s">
        <v>3062</v>
      </c>
      <c r="F1182" t="s">
        <v>2748</v>
      </c>
      <c r="G1182" t="s">
        <v>7309</v>
      </c>
      <c r="H1182" t="s">
        <v>2749</v>
      </c>
      <c r="I1182" t="s">
        <v>228</v>
      </c>
      <c r="J1182" t="s">
        <v>7703</v>
      </c>
      <c r="K1182" t="s">
        <v>7684</v>
      </c>
      <c r="L1182" t="s">
        <v>7834</v>
      </c>
      <c r="N1182" t="str" cm="1">
        <f t="array" ref="N1182">IFERROR(LOOKUP(2,1/SEARCH($S$2:$S$65,G1182),$T$2:$T$65),"Misc")</f>
        <v>Misc</v>
      </c>
      <c r="O1182" t="str" cm="1">
        <f t="array" ref="O1182">IFERROR(LOOKUP(2,1/SEARCH($V$2:$V$65,G1182),$W$2:$W$65),"Misc")</f>
        <v>Fasteners</v>
      </c>
      <c r="P1182" t="str" cm="1">
        <f t="array" ref="P1182">IFERROR(LOOKUP(2,1/SEARCH($Y$2:$Y$65,G1182),$Z$2:$Z$65),"Not Defined")</f>
        <v>Not Defined</v>
      </c>
      <c r="Q1182" t="str" cm="1">
        <f t="array" ref="Q1182">IFERROR(LOOKUP(2,1/SEARCH($S$2:$S$65,H1182),$T$2:$T$65),"-")</f>
        <v>-</v>
      </c>
    </row>
    <row r="1183" spans="1:17" hidden="1" x14ac:dyDescent="0.25">
      <c r="A1183" t="s">
        <v>7674</v>
      </c>
      <c r="B1183" t="s">
        <v>3170</v>
      </c>
      <c r="C1183">
        <v>9</v>
      </c>
      <c r="D1183" t="s">
        <v>7308</v>
      </c>
      <c r="F1183" t="s">
        <v>2588</v>
      </c>
      <c r="G1183" t="s">
        <v>7299</v>
      </c>
      <c r="H1183" t="s">
        <v>2589</v>
      </c>
      <c r="I1183" t="s">
        <v>228</v>
      </c>
      <c r="J1183" t="s">
        <v>7703</v>
      </c>
      <c r="K1183" t="s">
        <v>7684</v>
      </c>
      <c r="L1183" t="s">
        <v>7706</v>
      </c>
      <c r="N1183" t="str" cm="1">
        <f t="array" ref="N1183">IFERROR(LOOKUP(2,1/SEARCH($S$2:$S$65,G1183),$T$2:$T$65),"Misc")</f>
        <v>COTS</v>
      </c>
      <c r="O1183" t="str" cm="1">
        <f t="array" ref="O1183">IFERROR(LOOKUP(2,1/SEARCH($V$2:$V$65,G1183),$W$2:$W$65),"Misc")</f>
        <v>Fasteners</v>
      </c>
      <c r="P1183" t="str" cm="1">
        <f t="array" ref="P1183">IFERROR(LOOKUP(2,1/SEARCH($Y$2:$Y$65,G1183),$Z$2:$Z$65),"Not Defined")</f>
        <v>HHCS</v>
      </c>
      <c r="Q1183" t="str" cm="1">
        <f t="array" ref="Q1183">IFERROR(LOOKUP(2,1/SEARCH($S$2:$S$65,H1183),$T$2:$T$65),"-")</f>
        <v>COTS</v>
      </c>
    </row>
    <row r="1184" spans="1:17" hidden="1" x14ac:dyDescent="0.25">
      <c r="A1184" t="s">
        <v>7674</v>
      </c>
      <c r="B1184" t="s">
        <v>3171</v>
      </c>
      <c r="C1184">
        <v>9</v>
      </c>
      <c r="D1184" t="s">
        <v>7308</v>
      </c>
      <c r="F1184" t="s">
        <v>2592</v>
      </c>
      <c r="G1184" t="s">
        <v>7301</v>
      </c>
      <c r="H1184" t="s">
        <v>2593</v>
      </c>
      <c r="I1184" t="s">
        <v>228</v>
      </c>
      <c r="J1184" t="s">
        <v>7703</v>
      </c>
      <c r="K1184" t="s">
        <v>7684</v>
      </c>
      <c r="L1184" t="s">
        <v>7685</v>
      </c>
      <c r="N1184" t="str" cm="1">
        <f t="array" ref="N1184">IFERROR(LOOKUP(2,1/SEARCH($S$2:$S$65,G1184),$T$2:$T$65),"Misc")</f>
        <v>COTS</v>
      </c>
      <c r="O1184" t="str" cm="1">
        <f t="array" ref="O1184">IFERROR(LOOKUP(2,1/SEARCH($V$2:$V$65,G1184),$W$2:$W$65),"Misc")</f>
        <v>Fasteners</v>
      </c>
      <c r="P1184" t="str" cm="1">
        <f t="array" ref="P1184">IFERROR(LOOKUP(2,1/SEARCH($Y$2:$Y$65,G1184),$Z$2:$Z$65),"Not Defined")</f>
        <v>NUT</v>
      </c>
      <c r="Q1184" t="str" cm="1">
        <f t="array" ref="Q1184">IFERROR(LOOKUP(2,1/SEARCH($S$2:$S$65,H1184),$T$2:$T$65),"-")</f>
        <v>COTS</v>
      </c>
    </row>
    <row r="1185" spans="1:17" hidden="1" x14ac:dyDescent="0.25">
      <c r="A1185" t="s">
        <v>7674</v>
      </c>
      <c r="B1185" t="s">
        <v>3172</v>
      </c>
      <c r="C1185">
        <v>12</v>
      </c>
      <c r="D1185" t="s">
        <v>7308</v>
      </c>
      <c r="F1185" t="s">
        <v>2590</v>
      </c>
      <c r="G1185" t="s">
        <v>7300</v>
      </c>
      <c r="H1185" t="s">
        <v>2591</v>
      </c>
      <c r="I1185" t="s">
        <v>228</v>
      </c>
      <c r="J1185" t="s">
        <v>7703</v>
      </c>
      <c r="K1185" t="s">
        <v>7684</v>
      </c>
      <c r="L1185" t="s">
        <v>7692</v>
      </c>
      <c r="N1185" t="str" cm="1">
        <f t="array" ref="N1185">IFERROR(LOOKUP(2,1/SEARCH($S$2:$S$65,G1185),$T$2:$T$65),"Misc")</f>
        <v>COTS</v>
      </c>
      <c r="O1185" t="str" cm="1">
        <f t="array" ref="O1185">IFERROR(LOOKUP(2,1/SEARCH($V$2:$V$65,G1185),$W$2:$W$65),"Misc")</f>
        <v>Fasteners</v>
      </c>
      <c r="P1185" t="str" cm="1">
        <f t="array" ref="P1185">IFERROR(LOOKUP(2,1/SEARCH($Y$2:$Y$65,G1185),$Z$2:$Z$65),"Not Defined")</f>
        <v>WASHER</v>
      </c>
      <c r="Q1185" t="str" cm="1">
        <f t="array" ref="Q1185">IFERROR(LOOKUP(2,1/SEARCH($S$2:$S$65,H1185),$T$2:$T$65),"-")</f>
        <v>COTS</v>
      </c>
    </row>
    <row r="1186" spans="1:17" hidden="1" x14ac:dyDescent="0.25">
      <c r="A1186" t="s">
        <v>7674</v>
      </c>
      <c r="B1186" t="s">
        <v>3173</v>
      </c>
      <c r="C1186">
        <v>2</v>
      </c>
      <c r="D1186" t="s">
        <v>7308</v>
      </c>
      <c r="F1186" t="s">
        <v>950</v>
      </c>
      <c r="G1186" t="s">
        <v>7139</v>
      </c>
      <c r="H1186" t="s">
        <v>951</v>
      </c>
      <c r="I1186" t="s">
        <v>228</v>
      </c>
      <c r="J1186" t="s">
        <v>7703</v>
      </c>
      <c r="K1186" t="s">
        <v>7684</v>
      </c>
      <c r="L1186" t="s">
        <v>7692</v>
      </c>
      <c r="N1186" t="str" cm="1">
        <f t="array" ref="N1186">IFERROR(LOOKUP(2,1/SEARCH($S$2:$S$65,G1186),$T$2:$T$65),"Misc")</f>
        <v>COTS</v>
      </c>
      <c r="O1186" t="str" cm="1">
        <f t="array" ref="O1186">IFERROR(LOOKUP(2,1/SEARCH($V$2:$V$65,G1186),$W$2:$W$65),"Misc")</f>
        <v>Fasteners</v>
      </c>
      <c r="P1186" t="str" cm="1">
        <f t="array" ref="P1186">IFERROR(LOOKUP(2,1/SEARCH($Y$2:$Y$65,G1186),$Z$2:$Z$65),"Not Defined")</f>
        <v>WASHER</v>
      </c>
      <c r="Q1186" t="str" cm="1">
        <f t="array" ref="Q1186">IFERROR(LOOKUP(2,1/SEARCH($S$2:$S$65,H1186),$T$2:$T$65),"-")</f>
        <v>COTS</v>
      </c>
    </row>
    <row r="1187" spans="1:17" hidden="1" x14ac:dyDescent="0.25">
      <c r="A1187" t="s">
        <v>7674</v>
      </c>
      <c r="B1187" t="s">
        <v>3174</v>
      </c>
      <c r="C1187">
        <v>2</v>
      </c>
      <c r="D1187" t="s">
        <v>7308</v>
      </c>
      <c r="F1187" t="s">
        <v>226</v>
      </c>
      <c r="G1187" t="s">
        <v>7054</v>
      </c>
      <c r="H1187" t="s">
        <v>227</v>
      </c>
      <c r="I1187" t="s">
        <v>228</v>
      </c>
      <c r="J1187" t="s">
        <v>7703</v>
      </c>
      <c r="K1187" t="s">
        <v>7684</v>
      </c>
      <c r="L1187" t="s">
        <v>7685</v>
      </c>
      <c r="N1187" t="str" cm="1">
        <f t="array" ref="N1187">IFERROR(LOOKUP(2,1/SEARCH($S$2:$S$65,G1187),$T$2:$T$65),"Misc")</f>
        <v>COTS</v>
      </c>
      <c r="O1187" t="str" cm="1">
        <f t="array" ref="O1187">IFERROR(LOOKUP(2,1/SEARCH($V$2:$V$65,G1187),$W$2:$W$65),"Misc")</f>
        <v>Fasteners</v>
      </c>
      <c r="P1187" t="str" cm="1">
        <f t="array" ref="P1187">IFERROR(LOOKUP(2,1/SEARCH($Y$2:$Y$65,G1187),$Z$2:$Z$65),"Not Defined")</f>
        <v>NUT</v>
      </c>
      <c r="Q1187" t="str" cm="1">
        <f t="array" ref="Q1187">IFERROR(LOOKUP(2,1/SEARCH($S$2:$S$65,H1187),$T$2:$T$65),"-")</f>
        <v>COTS</v>
      </c>
    </row>
    <row r="1188" spans="1:17" hidden="1" x14ac:dyDescent="0.25">
      <c r="A1188" t="s">
        <v>7674</v>
      </c>
      <c r="B1188" t="s">
        <v>3175</v>
      </c>
      <c r="C1188">
        <v>2</v>
      </c>
      <c r="D1188" t="s">
        <v>7308</v>
      </c>
      <c r="F1188" t="s">
        <v>3176</v>
      </c>
      <c r="G1188" t="s">
        <v>7342</v>
      </c>
      <c r="H1188" t="s">
        <v>3177</v>
      </c>
      <c r="I1188" t="s">
        <v>228</v>
      </c>
      <c r="J1188" t="s">
        <v>7703</v>
      </c>
      <c r="K1188" t="s">
        <v>7684</v>
      </c>
      <c r="L1188" t="s">
        <v>7691</v>
      </c>
      <c r="N1188" t="str" cm="1">
        <f t="array" ref="N1188">IFERROR(LOOKUP(2,1/SEARCH($S$2:$S$65,G1188),$T$2:$T$65),"Misc")</f>
        <v>COTS</v>
      </c>
      <c r="O1188" t="str" cm="1">
        <f t="array" ref="O1188">IFERROR(LOOKUP(2,1/SEARCH($V$2:$V$65,G1188),$W$2:$W$65),"Misc")</f>
        <v>Fasteners</v>
      </c>
      <c r="P1188" t="str" cm="1">
        <f t="array" ref="P1188">IFERROR(LOOKUP(2,1/SEARCH($Y$2:$Y$65,G1188),$Z$2:$Z$65),"Not Defined")</f>
        <v>FHS</v>
      </c>
      <c r="Q1188" t="str" cm="1">
        <f t="array" ref="Q1188">IFERROR(LOOKUP(2,1/SEARCH($S$2:$S$65,H1188),$T$2:$T$65),"-")</f>
        <v>COTS</v>
      </c>
    </row>
    <row r="1189" spans="1:17" hidden="1" x14ac:dyDescent="0.25">
      <c r="A1189" t="s">
        <v>7674</v>
      </c>
      <c r="B1189" t="s">
        <v>3178</v>
      </c>
      <c r="C1189">
        <v>8</v>
      </c>
      <c r="D1189" t="s">
        <v>7308</v>
      </c>
      <c r="F1189" t="s">
        <v>3041</v>
      </c>
      <c r="G1189" t="s">
        <v>7337</v>
      </c>
      <c r="H1189" t="s">
        <v>3042</v>
      </c>
      <c r="I1189" t="s">
        <v>228</v>
      </c>
      <c r="J1189" t="s">
        <v>7703</v>
      </c>
      <c r="K1189" t="s">
        <v>7684</v>
      </c>
      <c r="L1189" t="s">
        <v>7692</v>
      </c>
      <c r="N1189" t="str" cm="1">
        <f t="array" ref="N1189">IFERROR(LOOKUP(2,1/SEARCH($S$2:$S$65,G1189),$T$2:$T$65),"Misc")</f>
        <v>COTS</v>
      </c>
      <c r="O1189" t="str" cm="1">
        <f t="array" ref="O1189">IFERROR(LOOKUP(2,1/SEARCH($V$2:$V$65,G1189),$W$2:$W$65),"Misc")</f>
        <v>Fasteners</v>
      </c>
      <c r="P1189" t="str" cm="1">
        <f t="array" ref="P1189">IFERROR(LOOKUP(2,1/SEARCH($Y$2:$Y$65,G1189),$Z$2:$Z$65),"Not Defined")</f>
        <v>WASHER</v>
      </c>
      <c r="Q1189" t="str" cm="1">
        <f t="array" ref="Q1189">IFERROR(LOOKUP(2,1/SEARCH($S$2:$S$65,H1189),$T$2:$T$65),"-")</f>
        <v>COTS</v>
      </c>
    </row>
    <row r="1190" spans="1:17" hidden="1" x14ac:dyDescent="0.25">
      <c r="A1190" t="s">
        <v>7674</v>
      </c>
      <c r="B1190" t="s">
        <v>3179</v>
      </c>
      <c r="C1190">
        <v>4</v>
      </c>
      <c r="D1190" t="s">
        <v>7308</v>
      </c>
      <c r="F1190" t="s">
        <v>1025</v>
      </c>
      <c r="G1190" t="s">
        <v>7161</v>
      </c>
      <c r="H1190" t="s">
        <v>1026</v>
      </c>
      <c r="I1190" t="s">
        <v>210</v>
      </c>
      <c r="J1190" t="s">
        <v>7703</v>
      </c>
      <c r="K1190" t="s">
        <v>7684</v>
      </c>
      <c r="L1190" t="s">
        <v>7692</v>
      </c>
      <c r="N1190" t="str" cm="1">
        <f t="array" ref="N1190">IFERROR(LOOKUP(2,1/SEARCH($S$2:$S$65,G1190),$T$2:$T$65),"Misc")</f>
        <v>COTS</v>
      </c>
      <c r="O1190" t="str" cm="1">
        <f t="array" ref="O1190">IFERROR(LOOKUP(2,1/SEARCH($V$2:$V$65,G1190),$W$2:$W$65),"Misc")</f>
        <v>Fasteners</v>
      </c>
      <c r="P1190" t="str" cm="1">
        <f t="array" ref="P1190">IFERROR(LOOKUP(2,1/SEARCH($Y$2:$Y$65,G1190),$Z$2:$Z$65),"Not Defined")</f>
        <v>WASHER</v>
      </c>
      <c r="Q1190" t="str" cm="1">
        <f t="array" ref="Q1190">IFERROR(LOOKUP(2,1/SEARCH($S$2:$S$65,H1190),$T$2:$T$65),"-")</f>
        <v>COTS</v>
      </c>
    </row>
    <row r="1191" spans="1:17" hidden="1" x14ac:dyDescent="0.25">
      <c r="A1191" t="s">
        <v>7674</v>
      </c>
      <c r="B1191" t="s">
        <v>3180</v>
      </c>
      <c r="C1191">
        <v>4</v>
      </c>
      <c r="D1191" t="s">
        <v>7308</v>
      </c>
      <c r="F1191" t="s">
        <v>1008</v>
      </c>
      <c r="G1191" t="s">
        <v>7157</v>
      </c>
      <c r="H1191" t="s">
        <v>1009</v>
      </c>
      <c r="I1191" t="s">
        <v>210</v>
      </c>
      <c r="J1191" t="s">
        <v>7703</v>
      </c>
      <c r="K1191" t="s">
        <v>7684</v>
      </c>
      <c r="L1191" t="s">
        <v>7706</v>
      </c>
      <c r="N1191" t="str" cm="1">
        <f t="array" ref="N1191">IFERROR(LOOKUP(2,1/SEARCH($S$2:$S$65,G1191),$T$2:$T$65),"Misc")</f>
        <v>COTS</v>
      </c>
      <c r="O1191" t="str" cm="1">
        <f t="array" ref="O1191">IFERROR(LOOKUP(2,1/SEARCH($V$2:$V$65,G1191),$W$2:$W$65),"Misc")</f>
        <v>Fasteners</v>
      </c>
      <c r="P1191" t="str" cm="1">
        <f t="array" ref="P1191">IFERROR(LOOKUP(2,1/SEARCH($Y$2:$Y$65,G1191),$Z$2:$Z$65),"Not Defined")</f>
        <v>HHCS</v>
      </c>
      <c r="Q1191" t="str" cm="1">
        <f t="array" ref="Q1191">IFERROR(LOOKUP(2,1/SEARCH($S$2:$S$65,H1191),$T$2:$T$65),"-")</f>
        <v>COTS</v>
      </c>
    </row>
    <row r="1192" spans="1:17" hidden="1" x14ac:dyDescent="0.25">
      <c r="A1192" t="s">
        <v>7674</v>
      </c>
      <c r="B1192" t="s">
        <v>3181</v>
      </c>
      <c r="C1192">
        <v>4</v>
      </c>
      <c r="D1192" t="s">
        <v>7308</v>
      </c>
      <c r="F1192" t="s">
        <v>3182</v>
      </c>
      <c r="G1192" t="s">
        <v>7343</v>
      </c>
      <c r="H1192" t="s">
        <v>3183</v>
      </c>
      <c r="I1192" t="s">
        <v>210</v>
      </c>
      <c r="J1192" t="s">
        <v>7703</v>
      </c>
      <c r="K1192" t="s">
        <v>7684</v>
      </c>
      <c r="L1192" t="s">
        <v>7718</v>
      </c>
      <c r="N1192" t="str" cm="1">
        <f t="array" ref="N1192">IFERROR(LOOKUP(2,1/SEARCH($S$2:$S$65,G1192),$T$2:$T$65),"Misc")</f>
        <v>COTS</v>
      </c>
      <c r="O1192" t="str" cm="1">
        <f t="array" ref="O1192">IFERROR(LOOKUP(2,1/SEARCH($V$2:$V$65,G1192),$W$2:$W$65),"Misc")</f>
        <v>Fasteners</v>
      </c>
      <c r="P1192" t="str" cm="1">
        <f t="array" ref="P1192">IFERROR(LOOKUP(2,1/SEARCH($Y$2:$Y$65,G1192),$Z$2:$Z$65),"Not Defined")</f>
        <v>LED</v>
      </c>
      <c r="Q1192" t="str" cm="1">
        <f t="array" ref="Q1192">IFERROR(LOOKUP(2,1/SEARCH($S$2:$S$65,H1192),$T$2:$T$65),"-")</f>
        <v>COTS</v>
      </c>
    </row>
    <row r="1193" spans="1:17" hidden="1" x14ac:dyDescent="0.25">
      <c r="A1193" t="s">
        <v>7674</v>
      </c>
      <c r="B1193" t="s">
        <v>3185</v>
      </c>
      <c r="C1193">
        <v>4</v>
      </c>
      <c r="D1193" t="s">
        <v>7308</v>
      </c>
      <c r="F1193" t="s">
        <v>3186</v>
      </c>
      <c r="G1193" t="s">
        <v>7344</v>
      </c>
      <c r="H1193" t="s">
        <v>3187</v>
      </c>
      <c r="I1193" t="s">
        <v>255</v>
      </c>
      <c r="J1193" t="s">
        <v>7703</v>
      </c>
      <c r="K1193" t="s">
        <v>7745</v>
      </c>
      <c r="L1193" t="s">
        <v>7834</v>
      </c>
      <c r="N1193" t="str" cm="1">
        <f t="array" ref="N1193">IFERROR(LOOKUP(2,1/SEARCH($S$2:$S$65,G1193),$T$2:$T$65),"Misc")</f>
        <v>Misc</v>
      </c>
      <c r="O1193" t="str" cm="1">
        <f t="array" ref="O1193">IFERROR(LOOKUP(2,1/SEARCH($V$2:$V$65,G1193),$W$2:$W$65),"Misc")</f>
        <v>Knob</v>
      </c>
      <c r="P1193" t="str" cm="1">
        <f t="array" ref="P1193">IFERROR(LOOKUP(2,1/SEARCH($Y$2:$Y$65,G1193),$Z$2:$Z$65),"Not Defined")</f>
        <v>Not Defined</v>
      </c>
      <c r="Q1193" t="str" cm="1">
        <f t="array" ref="Q1193">IFERROR(LOOKUP(2,1/SEARCH($S$2:$S$65,H1193),$T$2:$T$65),"-")</f>
        <v>-</v>
      </c>
    </row>
    <row r="1194" spans="1:17" hidden="1" x14ac:dyDescent="0.25">
      <c r="A1194" t="s">
        <v>7674</v>
      </c>
      <c r="B1194" t="s">
        <v>3188</v>
      </c>
      <c r="C1194">
        <v>1</v>
      </c>
      <c r="D1194" t="s">
        <v>7308</v>
      </c>
      <c r="F1194" t="s">
        <v>3189</v>
      </c>
      <c r="G1194" t="s">
        <v>7345</v>
      </c>
      <c r="H1194" t="s">
        <v>3190</v>
      </c>
      <c r="I1194" t="s">
        <v>2537</v>
      </c>
      <c r="J1194" t="s">
        <v>7742</v>
      </c>
      <c r="K1194" t="s">
        <v>7826</v>
      </c>
      <c r="L1194" t="s">
        <v>7826</v>
      </c>
      <c r="N1194" t="str" cm="1">
        <f t="array" ref="N1194">IFERROR(LOOKUP(2,1/SEARCH($S$2:$S$65,G1194),$T$2:$T$65),"Misc")</f>
        <v>OH ASSY</v>
      </c>
      <c r="O1194" t="str" cm="1">
        <f t="array" ref="O1194">IFERROR(LOOKUP(2,1/SEARCH($V$2:$V$65,G1194),$W$2:$W$65),"Misc")</f>
        <v>OH Part</v>
      </c>
      <c r="P1194" t="str" cm="1">
        <f t="array" ref="P1194">IFERROR(LOOKUP(2,1/SEARCH($Y$2:$Y$65,G1194),$Z$2:$Z$65),"Not Defined")</f>
        <v>OH Part</v>
      </c>
      <c r="Q1194" t="str" cm="1">
        <f t="array" ref="Q1194">IFERROR(LOOKUP(2,1/SEARCH($S$2:$S$65,H1194),$T$2:$T$65),"-")</f>
        <v>OH ASSY</v>
      </c>
    </row>
    <row r="1195" spans="1:17" hidden="1" x14ac:dyDescent="0.25">
      <c r="A1195" t="s">
        <v>7674</v>
      </c>
      <c r="B1195" t="s">
        <v>3191</v>
      </c>
      <c r="C1195">
        <v>1</v>
      </c>
      <c r="D1195" t="s">
        <v>7308</v>
      </c>
      <c r="F1195" t="s">
        <v>3192</v>
      </c>
      <c r="G1195" t="s">
        <v>7346</v>
      </c>
      <c r="H1195" t="s">
        <v>3193</v>
      </c>
      <c r="I1195" t="s">
        <v>2537</v>
      </c>
      <c r="J1195" t="s">
        <v>7682</v>
      </c>
      <c r="K1195" t="s">
        <v>7826</v>
      </c>
      <c r="L1195" t="s">
        <v>7826</v>
      </c>
      <c r="N1195" t="str" cm="1">
        <f t="array" ref="N1195">IFERROR(LOOKUP(2,1/SEARCH($S$2:$S$65,G1195),$T$2:$T$65),"Misc")</f>
        <v>OH P/N</v>
      </c>
      <c r="O1195" t="str" cm="1">
        <f t="array" ref="O1195">IFERROR(LOOKUP(2,1/SEARCH($V$2:$V$65,G1195),$W$2:$W$65),"Misc")</f>
        <v>OH Part</v>
      </c>
      <c r="P1195" t="str" cm="1">
        <f t="array" ref="P1195">IFERROR(LOOKUP(2,1/SEARCH($Y$2:$Y$65,G1195),$Z$2:$Z$65),"Not Defined")</f>
        <v>OH Part</v>
      </c>
      <c r="Q1195" t="str" cm="1">
        <f t="array" ref="Q1195">IFERROR(LOOKUP(2,1/SEARCH($S$2:$S$65,H1195),$T$2:$T$65),"-")</f>
        <v>-</v>
      </c>
    </row>
    <row r="1196" spans="1:17" hidden="1" x14ac:dyDescent="0.25">
      <c r="A1196" t="s">
        <v>7674</v>
      </c>
      <c r="B1196" t="s">
        <v>3194</v>
      </c>
      <c r="C1196">
        <v>1</v>
      </c>
      <c r="D1196" t="s">
        <v>7308</v>
      </c>
      <c r="F1196" t="s">
        <v>3195</v>
      </c>
      <c r="G1196" t="s">
        <v>7347</v>
      </c>
      <c r="H1196" t="s">
        <v>3196</v>
      </c>
      <c r="I1196" t="s">
        <v>2537</v>
      </c>
      <c r="J1196" t="s">
        <v>7682</v>
      </c>
      <c r="K1196" t="s">
        <v>7826</v>
      </c>
      <c r="L1196" t="s">
        <v>7826</v>
      </c>
      <c r="N1196" t="str" cm="1">
        <f t="array" ref="N1196">IFERROR(LOOKUP(2,1/SEARCH($S$2:$S$65,G1196),$T$2:$T$65),"Misc")</f>
        <v>OH P/N</v>
      </c>
      <c r="O1196" t="str" cm="1">
        <f t="array" ref="O1196">IFERROR(LOOKUP(2,1/SEARCH($V$2:$V$65,G1196),$W$2:$W$65),"Misc")</f>
        <v>OH Part</v>
      </c>
      <c r="P1196" t="str" cm="1">
        <f t="array" ref="P1196">IFERROR(LOOKUP(2,1/SEARCH($Y$2:$Y$65,G1196),$Z$2:$Z$65),"Not Defined")</f>
        <v>OH Part</v>
      </c>
      <c r="Q1196" t="str" cm="1">
        <f t="array" ref="Q1196">IFERROR(LOOKUP(2,1/SEARCH($S$2:$S$65,H1196),$T$2:$T$65),"-")</f>
        <v>-</v>
      </c>
    </row>
    <row r="1197" spans="1:17" hidden="1" x14ac:dyDescent="0.25">
      <c r="A1197" t="s">
        <v>7674</v>
      </c>
      <c r="B1197" t="s">
        <v>3197</v>
      </c>
      <c r="C1197">
        <v>1</v>
      </c>
      <c r="D1197" t="s">
        <v>7308</v>
      </c>
      <c r="F1197" t="s">
        <v>3198</v>
      </c>
      <c r="G1197" t="s">
        <v>7348</v>
      </c>
      <c r="H1197" t="s">
        <v>3199</v>
      </c>
      <c r="I1197" t="s">
        <v>2537</v>
      </c>
      <c r="J1197" t="s">
        <v>7682</v>
      </c>
      <c r="K1197" t="s">
        <v>7826</v>
      </c>
      <c r="L1197" t="s">
        <v>7826</v>
      </c>
      <c r="N1197" t="str" cm="1">
        <f t="array" ref="N1197">IFERROR(LOOKUP(2,1/SEARCH($S$2:$S$65,G1197),$T$2:$T$65),"Misc")</f>
        <v>OH P/N</v>
      </c>
      <c r="O1197" t="str" cm="1">
        <f t="array" ref="O1197">IFERROR(LOOKUP(2,1/SEARCH($V$2:$V$65,G1197),$W$2:$W$65),"Misc")</f>
        <v>OH Part</v>
      </c>
      <c r="P1197" t="str" cm="1">
        <f t="array" ref="P1197">IFERROR(LOOKUP(2,1/SEARCH($Y$2:$Y$65,G1197),$Z$2:$Z$65),"Not Defined")</f>
        <v>OH Part</v>
      </c>
      <c r="Q1197" t="str" cm="1">
        <f t="array" ref="Q1197">IFERROR(LOOKUP(2,1/SEARCH($S$2:$S$65,H1197),$T$2:$T$65),"-")</f>
        <v>-</v>
      </c>
    </row>
    <row r="1198" spans="1:17" hidden="1" x14ac:dyDescent="0.25">
      <c r="A1198" t="s">
        <v>7674</v>
      </c>
      <c r="B1198" t="s">
        <v>3200</v>
      </c>
      <c r="C1198">
        <v>1</v>
      </c>
      <c r="D1198" t="s">
        <v>7308</v>
      </c>
      <c r="F1198" t="s">
        <v>3201</v>
      </c>
      <c r="G1198" t="s">
        <v>7349</v>
      </c>
      <c r="H1198" t="s">
        <v>3202</v>
      </c>
      <c r="I1198" t="s">
        <v>2537</v>
      </c>
      <c r="J1198" t="s">
        <v>7682</v>
      </c>
      <c r="K1198" t="s">
        <v>7826</v>
      </c>
      <c r="L1198" t="s">
        <v>7826</v>
      </c>
      <c r="N1198" t="str" cm="1">
        <f t="array" ref="N1198">IFERROR(LOOKUP(2,1/SEARCH($S$2:$S$65,G1198),$T$2:$T$65),"Misc")</f>
        <v>OH P/N</v>
      </c>
      <c r="O1198" t="str" cm="1">
        <f t="array" ref="O1198">IFERROR(LOOKUP(2,1/SEARCH($V$2:$V$65,G1198),$W$2:$W$65),"Misc")</f>
        <v>OH Part</v>
      </c>
      <c r="P1198" t="str" cm="1">
        <f t="array" ref="P1198">IFERROR(LOOKUP(2,1/SEARCH($Y$2:$Y$65,G1198),$Z$2:$Z$65),"Not Defined")</f>
        <v>OH Part</v>
      </c>
      <c r="Q1198" t="str" cm="1">
        <f t="array" ref="Q1198">IFERROR(LOOKUP(2,1/SEARCH($S$2:$S$65,H1198),$T$2:$T$65),"-")</f>
        <v>-</v>
      </c>
    </row>
    <row r="1199" spans="1:17" hidden="1" x14ac:dyDescent="0.25">
      <c r="A1199" t="s">
        <v>7674</v>
      </c>
      <c r="B1199" t="s">
        <v>3203</v>
      </c>
      <c r="C1199">
        <v>1</v>
      </c>
      <c r="D1199" t="s">
        <v>7308</v>
      </c>
      <c r="F1199" t="s">
        <v>3204</v>
      </c>
      <c r="G1199" t="s">
        <v>7350</v>
      </c>
      <c r="H1199" t="s">
        <v>3205</v>
      </c>
      <c r="I1199" t="s">
        <v>2537</v>
      </c>
      <c r="J1199" t="s">
        <v>7682</v>
      </c>
      <c r="K1199" t="s">
        <v>7826</v>
      </c>
      <c r="L1199" t="s">
        <v>7826</v>
      </c>
      <c r="N1199" t="str" cm="1">
        <f t="array" ref="N1199">IFERROR(LOOKUP(2,1/SEARCH($S$2:$S$65,G1199),$T$2:$T$65),"Misc")</f>
        <v>OH P/N</v>
      </c>
      <c r="O1199" t="str" cm="1">
        <f t="array" ref="O1199">IFERROR(LOOKUP(2,1/SEARCH($V$2:$V$65,G1199),$W$2:$W$65),"Misc")</f>
        <v>OH Part</v>
      </c>
      <c r="P1199" t="str" cm="1">
        <f t="array" ref="P1199">IFERROR(LOOKUP(2,1/SEARCH($Y$2:$Y$65,G1199),$Z$2:$Z$65),"Not Defined")</f>
        <v>OH Part</v>
      </c>
      <c r="Q1199" t="str" cm="1">
        <f t="array" ref="Q1199">IFERROR(LOOKUP(2,1/SEARCH($S$2:$S$65,H1199),$T$2:$T$65),"-")</f>
        <v>-</v>
      </c>
    </row>
    <row r="1200" spans="1:17" hidden="1" x14ac:dyDescent="0.25">
      <c r="A1200" t="s">
        <v>7674</v>
      </c>
      <c r="B1200" t="s">
        <v>3206</v>
      </c>
      <c r="C1200">
        <v>1</v>
      </c>
      <c r="D1200" t="s">
        <v>7308</v>
      </c>
      <c r="F1200" t="s">
        <v>3207</v>
      </c>
      <c r="G1200" t="s">
        <v>7351</v>
      </c>
      <c r="H1200" t="s">
        <v>3208</v>
      </c>
      <c r="I1200" t="s">
        <v>2537</v>
      </c>
      <c r="J1200" t="s">
        <v>7742</v>
      </c>
      <c r="K1200" t="s">
        <v>7826</v>
      </c>
      <c r="L1200" t="s">
        <v>7826</v>
      </c>
      <c r="N1200" t="str" cm="1">
        <f t="array" ref="N1200">IFERROR(LOOKUP(2,1/SEARCH($S$2:$S$65,G1200),$T$2:$T$65),"Misc")</f>
        <v>OH ASSY</v>
      </c>
      <c r="O1200" t="str" cm="1">
        <f t="array" ref="O1200">IFERROR(LOOKUP(2,1/SEARCH($V$2:$V$65,G1200),$W$2:$W$65),"Misc")</f>
        <v>OH Part</v>
      </c>
      <c r="P1200" t="str" cm="1">
        <f t="array" ref="P1200">IFERROR(LOOKUP(2,1/SEARCH($Y$2:$Y$65,G1200),$Z$2:$Z$65),"Not Defined")</f>
        <v>OH Part</v>
      </c>
      <c r="Q1200" t="str" cm="1">
        <f t="array" ref="Q1200">IFERROR(LOOKUP(2,1/SEARCH($S$2:$S$65,H1200),$T$2:$T$65),"-")</f>
        <v>OH ASSY</v>
      </c>
    </row>
    <row r="1201" spans="1:17" hidden="1" x14ac:dyDescent="0.25">
      <c r="A1201" t="s">
        <v>7674</v>
      </c>
      <c r="B1201" t="s">
        <v>3209</v>
      </c>
      <c r="C1201">
        <v>1</v>
      </c>
      <c r="D1201" t="s">
        <v>7308</v>
      </c>
      <c r="F1201" t="s">
        <v>3210</v>
      </c>
      <c r="G1201" t="s">
        <v>7352</v>
      </c>
      <c r="H1201" t="s">
        <v>3211</v>
      </c>
      <c r="I1201" t="s">
        <v>2537</v>
      </c>
      <c r="J1201" t="s">
        <v>7682</v>
      </c>
      <c r="K1201" t="s">
        <v>7826</v>
      </c>
      <c r="L1201" t="s">
        <v>7826</v>
      </c>
      <c r="N1201" t="str" cm="1">
        <f t="array" ref="N1201">IFERROR(LOOKUP(2,1/SEARCH($S$2:$S$65,G1201),$T$2:$T$65),"Misc")</f>
        <v>OH P/N</v>
      </c>
      <c r="O1201" t="str" cm="1">
        <f t="array" ref="O1201">IFERROR(LOOKUP(2,1/SEARCH($V$2:$V$65,G1201),$W$2:$W$65),"Misc")</f>
        <v>OH Part</v>
      </c>
      <c r="P1201" t="str" cm="1">
        <f t="array" ref="P1201">IFERROR(LOOKUP(2,1/SEARCH($Y$2:$Y$65,G1201),$Z$2:$Z$65),"Not Defined")</f>
        <v>OH Part</v>
      </c>
      <c r="Q1201" t="str" cm="1">
        <f t="array" ref="Q1201">IFERROR(LOOKUP(2,1/SEARCH($S$2:$S$65,H1201),$T$2:$T$65),"-")</f>
        <v>-</v>
      </c>
    </row>
    <row r="1202" spans="1:17" hidden="1" x14ac:dyDescent="0.25">
      <c r="A1202" t="s">
        <v>7674</v>
      </c>
      <c r="B1202" t="s">
        <v>3212</v>
      </c>
      <c r="C1202">
        <v>2</v>
      </c>
      <c r="D1202" t="s">
        <v>7308</v>
      </c>
      <c r="F1202" t="s">
        <v>3213</v>
      </c>
      <c r="G1202" t="s">
        <v>7353</v>
      </c>
      <c r="H1202" t="s">
        <v>3214</v>
      </c>
      <c r="I1202" t="s">
        <v>2537</v>
      </c>
      <c r="J1202" t="s">
        <v>7682</v>
      </c>
      <c r="K1202" t="s">
        <v>7826</v>
      </c>
      <c r="L1202" t="s">
        <v>7826</v>
      </c>
      <c r="N1202" t="str" cm="1">
        <f t="array" ref="N1202">IFERROR(LOOKUP(2,1/SEARCH($S$2:$S$65,G1202),$T$2:$T$65),"Misc")</f>
        <v>OH P/N</v>
      </c>
      <c r="O1202" t="str" cm="1">
        <f t="array" ref="O1202">IFERROR(LOOKUP(2,1/SEARCH($V$2:$V$65,G1202),$W$2:$W$65),"Misc")</f>
        <v>OH Part</v>
      </c>
      <c r="P1202" t="str" cm="1">
        <f t="array" ref="P1202">IFERROR(LOOKUP(2,1/SEARCH($Y$2:$Y$65,G1202),$Z$2:$Z$65),"Not Defined")</f>
        <v>OH Part</v>
      </c>
      <c r="Q1202" t="str" cm="1">
        <f t="array" ref="Q1202">IFERROR(LOOKUP(2,1/SEARCH($S$2:$S$65,H1202),$T$2:$T$65),"-")</f>
        <v>-</v>
      </c>
    </row>
    <row r="1203" spans="1:17" hidden="1" x14ac:dyDescent="0.25">
      <c r="A1203" t="s">
        <v>7674</v>
      </c>
      <c r="B1203" t="s">
        <v>3215</v>
      </c>
      <c r="C1203">
        <v>1</v>
      </c>
      <c r="D1203" t="s">
        <v>7308</v>
      </c>
      <c r="F1203" t="s">
        <v>3216</v>
      </c>
      <c r="G1203" t="s">
        <v>7354</v>
      </c>
      <c r="H1203" t="s">
        <v>3217</v>
      </c>
      <c r="I1203" t="s">
        <v>2537</v>
      </c>
      <c r="J1203" t="s">
        <v>7682</v>
      </c>
      <c r="K1203" t="s">
        <v>7826</v>
      </c>
      <c r="L1203" t="s">
        <v>7826</v>
      </c>
      <c r="N1203" t="str" cm="1">
        <f t="array" ref="N1203">IFERROR(LOOKUP(2,1/SEARCH($S$2:$S$65,G1203),$T$2:$T$65),"Misc")</f>
        <v>OH P/N</v>
      </c>
      <c r="O1203" t="str" cm="1">
        <f t="array" ref="O1203">IFERROR(LOOKUP(2,1/SEARCH($V$2:$V$65,G1203),$W$2:$W$65),"Misc")</f>
        <v>OH Part</v>
      </c>
      <c r="P1203" t="str" cm="1">
        <f t="array" ref="P1203">IFERROR(LOOKUP(2,1/SEARCH($Y$2:$Y$65,G1203),$Z$2:$Z$65),"Not Defined")</f>
        <v>OH Part</v>
      </c>
      <c r="Q1203" t="str" cm="1">
        <f t="array" ref="Q1203">IFERROR(LOOKUP(2,1/SEARCH($S$2:$S$65,H1203),$T$2:$T$65),"-")</f>
        <v>-</v>
      </c>
    </row>
    <row r="1204" spans="1:17" hidden="1" x14ac:dyDescent="0.25">
      <c r="A1204" t="s">
        <v>7674</v>
      </c>
      <c r="B1204" t="s">
        <v>3218</v>
      </c>
      <c r="C1204">
        <v>1</v>
      </c>
      <c r="D1204" t="s">
        <v>7308</v>
      </c>
      <c r="F1204" t="s">
        <v>3219</v>
      </c>
      <c r="G1204" t="s">
        <v>7355</v>
      </c>
      <c r="H1204" t="s">
        <v>3220</v>
      </c>
      <c r="I1204" t="s">
        <v>2537</v>
      </c>
      <c r="J1204" t="s">
        <v>7742</v>
      </c>
      <c r="K1204" t="s">
        <v>7826</v>
      </c>
      <c r="L1204" t="s">
        <v>7826</v>
      </c>
      <c r="N1204" t="str" cm="1">
        <f t="array" ref="N1204">IFERROR(LOOKUP(2,1/SEARCH($S$2:$S$65,G1204),$T$2:$T$65),"Misc")</f>
        <v>OH ASSY</v>
      </c>
      <c r="O1204" t="str" cm="1">
        <f t="array" ref="O1204">IFERROR(LOOKUP(2,1/SEARCH($V$2:$V$65,G1204),$W$2:$W$65),"Misc")</f>
        <v>OH Part</v>
      </c>
      <c r="P1204" t="str" cm="1">
        <f t="array" ref="P1204">IFERROR(LOOKUP(2,1/SEARCH($Y$2:$Y$65,G1204),$Z$2:$Z$65),"Not Defined")</f>
        <v>OH Part</v>
      </c>
      <c r="Q1204" t="str" cm="1">
        <f t="array" ref="Q1204">IFERROR(LOOKUP(2,1/SEARCH($S$2:$S$65,H1204),$T$2:$T$65),"-")</f>
        <v>OH ASSY</v>
      </c>
    </row>
    <row r="1205" spans="1:17" hidden="1" x14ac:dyDescent="0.25">
      <c r="A1205" t="s">
        <v>7674</v>
      </c>
      <c r="B1205" t="s">
        <v>3221</v>
      </c>
      <c r="C1205">
        <v>1</v>
      </c>
      <c r="D1205" t="s">
        <v>7308</v>
      </c>
      <c r="E1205" t="s">
        <v>3223</v>
      </c>
      <c r="F1205" t="s">
        <v>3222</v>
      </c>
      <c r="G1205" t="s">
        <v>3224</v>
      </c>
      <c r="H1205" t="s">
        <v>3223</v>
      </c>
      <c r="J1205" t="s">
        <v>7742</v>
      </c>
      <c r="K1205" t="s">
        <v>7826</v>
      </c>
      <c r="L1205" t="s">
        <v>7826</v>
      </c>
      <c r="N1205" t="str" cm="1">
        <f t="array" ref="N1205">IFERROR(LOOKUP(2,1/SEARCH($S$2:$S$65,G1205),$T$2:$T$65),"Misc")</f>
        <v>OH ASSY</v>
      </c>
      <c r="O1205" t="str" cm="1">
        <f t="array" ref="O1205">IFERROR(LOOKUP(2,1/SEARCH($V$2:$V$65,G1205),$W$2:$W$65),"Misc")</f>
        <v>OH Part</v>
      </c>
      <c r="P1205" t="str" cm="1">
        <f t="array" ref="P1205">IFERROR(LOOKUP(2,1/SEARCH($Y$2:$Y$65,G1205),$Z$2:$Z$65),"Not Defined")</f>
        <v>OH Part</v>
      </c>
      <c r="Q1205" t="str" cm="1">
        <f t="array" ref="Q1205">IFERROR(LOOKUP(2,1/SEARCH($S$2:$S$65,H1205),$T$2:$T$65),"-")</f>
        <v>OH ASSY</v>
      </c>
    </row>
    <row r="1206" spans="1:17" hidden="1" x14ac:dyDescent="0.25">
      <c r="A1206" t="s">
        <v>7674</v>
      </c>
      <c r="B1206" t="s">
        <v>3225</v>
      </c>
      <c r="C1206">
        <v>1</v>
      </c>
      <c r="D1206" t="s">
        <v>7308</v>
      </c>
      <c r="E1206" t="s">
        <v>3223</v>
      </c>
      <c r="F1206" t="s">
        <v>3226</v>
      </c>
      <c r="G1206" t="s">
        <v>3228</v>
      </c>
      <c r="H1206" t="s">
        <v>3227</v>
      </c>
      <c r="I1206" t="s">
        <v>299</v>
      </c>
      <c r="J1206" t="s">
        <v>7682</v>
      </c>
      <c r="K1206" t="s">
        <v>7826</v>
      </c>
      <c r="L1206" t="s">
        <v>7826</v>
      </c>
      <c r="N1206" t="str" cm="1">
        <f t="array" ref="N1206">IFERROR(LOOKUP(2,1/SEARCH($S$2:$S$65,G1206),$T$2:$T$65),"Misc")</f>
        <v>OH P/N</v>
      </c>
      <c r="O1206" t="str" cm="1">
        <f t="array" ref="O1206">IFERROR(LOOKUP(2,1/SEARCH($V$2:$V$65,G1206),$W$2:$W$65),"Misc")</f>
        <v>OH Part</v>
      </c>
      <c r="P1206" t="str" cm="1">
        <f t="array" ref="P1206">IFERROR(LOOKUP(2,1/SEARCH($Y$2:$Y$65,G1206),$Z$2:$Z$65),"Not Defined")</f>
        <v>OH Part</v>
      </c>
      <c r="Q1206" t="str" cm="1">
        <f t="array" ref="Q1206">IFERROR(LOOKUP(2,1/SEARCH($S$2:$S$65,H1206),$T$2:$T$65),"-")</f>
        <v>-</v>
      </c>
    </row>
    <row r="1207" spans="1:17" hidden="1" x14ac:dyDescent="0.25">
      <c r="A1207" t="s">
        <v>7674</v>
      </c>
      <c r="B1207" t="s">
        <v>3229</v>
      </c>
      <c r="C1207">
        <v>1</v>
      </c>
      <c r="D1207" t="s">
        <v>7308</v>
      </c>
      <c r="E1207" t="s">
        <v>3223</v>
      </c>
      <c r="F1207" t="s">
        <v>3230</v>
      </c>
      <c r="G1207" t="s">
        <v>3232</v>
      </c>
      <c r="H1207" t="s">
        <v>3231</v>
      </c>
      <c r="I1207" t="s">
        <v>2682</v>
      </c>
      <c r="J1207" t="s">
        <v>7682</v>
      </c>
      <c r="K1207" t="s">
        <v>7826</v>
      </c>
      <c r="L1207" t="s">
        <v>7826</v>
      </c>
      <c r="N1207" t="str" cm="1">
        <f t="array" ref="N1207">IFERROR(LOOKUP(2,1/SEARCH($S$2:$S$65,G1207),$T$2:$T$65),"Misc")</f>
        <v>OH P/N</v>
      </c>
      <c r="O1207" t="str" cm="1">
        <f t="array" ref="O1207">IFERROR(LOOKUP(2,1/SEARCH($V$2:$V$65,G1207),$W$2:$W$65),"Misc")</f>
        <v>OH Part</v>
      </c>
      <c r="P1207" t="str" cm="1">
        <f t="array" ref="P1207">IFERROR(LOOKUP(2,1/SEARCH($Y$2:$Y$65,G1207),$Z$2:$Z$65),"Not Defined")</f>
        <v>OH Part</v>
      </c>
      <c r="Q1207" t="str" cm="1">
        <f t="array" ref="Q1207">IFERROR(LOOKUP(2,1/SEARCH($S$2:$S$65,H1207),$T$2:$T$65),"-")</f>
        <v>-</v>
      </c>
    </row>
    <row r="1208" spans="1:17" hidden="1" x14ac:dyDescent="0.25">
      <c r="A1208" t="s">
        <v>7674</v>
      </c>
      <c r="B1208" t="s">
        <v>3233</v>
      </c>
      <c r="C1208">
        <v>1</v>
      </c>
      <c r="D1208" t="s">
        <v>7308</v>
      </c>
      <c r="E1208" t="s">
        <v>3223</v>
      </c>
      <c r="F1208" t="s">
        <v>3234</v>
      </c>
      <c r="G1208" t="s">
        <v>3236</v>
      </c>
      <c r="H1208" t="s">
        <v>3235</v>
      </c>
      <c r="I1208" t="s">
        <v>13</v>
      </c>
      <c r="J1208" t="s">
        <v>7682</v>
      </c>
      <c r="K1208" t="s">
        <v>7826</v>
      </c>
      <c r="L1208" t="s">
        <v>7826</v>
      </c>
      <c r="N1208" t="str" cm="1">
        <f t="array" ref="N1208">IFERROR(LOOKUP(2,1/SEARCH($S$2:$S$65,G1208),$T$2:$T$65),"Misc")</f>
        <v>OH P/N</v>
      </c>
      <c r="O1208" t="str" cm="1">
        <f t="array" ref="O1208">IFERROR(LOOKUP(2,1/SEARCH($V$2:$V$65,G1208),$W$2:$W$65),"Misc")</f>
        <v>OH Part</v>
      </c>
      <c r="P1208" t="str" cm="1">
        <f t="array" ref="P1208">IFERROR(LOOKUP(2,1/SEARCH($Y$2:$Y$65,G1208),$Z$2:$Z$65),"Not Defined")</f>
        <v>OH Part</v>
      </c>
      <c r="Q1208" t="str" cm="1">
        <f t="array" ref="Q1208">IFERROR(LOOKUP(2,1/SEARCH($S$2:$S$65,H1208),$T$2:$T$65),"-")</f>
        <v>-</v>
      </c>
    </row>
    <row r="1209" spans="1:17" hidden="1" x14ac:dyDescent="0.25">
      <c r="A1209" t="s">
        <v>7674</v>
      </c>
      <c r="B1209" t="s">
        <v>3237</v>
      </c>
      <c r="C1209">
        <v>2</v>
      </c>
      <c r="D1209" t="s">
        <v>7308</v>
      </c>
      <c r="E1209" t="s">
        <v>3223</v>
      </c>
      <c r="F1209" t="s">
        <v>3238</v>
      </c>
      <c r="G1209" t="s">
        <v>3240</v>
      </c>
      <c r="H1209" t="s">
        <v>3239</v>
      </c>
      <c r="I1209" t="s">
        <v>13</v>
      </c>
      <c r="J1209" t="s">
        <v>7682</v>
      </c>
      <c r="K1209" t="s">
        <v>7826</v>
      </c>
      <c r="L1209" t="s">
        <v>7826</v>
      </c>
      <c r="N1209" t="str" cm="1">
        <f t="array" ref="N1209">IFERROR(LOOKUP(2,1/SEARCH($S$2:$S$65,G1209),$T$2:$T$65),"Misc")</f>
        <v>OH P/N</v>
      </c>
      <c r="O1209" t="str" cm="1">
        <f t="array" ref="O1209">IFERROR(LOOKUP(2,1/SEARCH($V$2:$V$65,G1209),$W$2:$W$65),"Misc")</f>
        <v>OH Part</v>
      </c>
      <c r="P1209" t="str" cm="1">
        <f t="array" ref="P1209">IFERROR(LOOKUP(2,1/SEARCH($Y$2:$Y$65,G1209),$Z$2:$Z$65),"Not Defined")</f>
        <v>OH Part</v>
      </c>
      <c r="Q1209" t="str" cm="1">
        <f t="array" ref="Q1209">IFERROR(LOOKUP(2,1/SEARCH($S$2:$S$65,H1209),$T$2:$T$65),"-")</f>
        <v>-</v>
      </c>
    </row>
    <row r="1210" spans="1:17" hidden="1" x14ac:dyDescent="0.25">
      <c r="A1210" t="s">
        <v>7674</v>
      </c>
      <c r="B1210" t="s">
        <v>3241</v>
      </c>
      <c r="C1210">
        <v>1</v>
      </c>
      <c r="D1210" t="s">
        <v>7308</v>
      </c>
      <c r="E1210" t="s">
        <v>3223</v>
      </c>
      <c r="F1210" t="s">
        <v>3242</v>
      </c>
      <c r="G1210" t="s">
        <v>3244</v>
      </c>
      <c r="H1210" t="s">
        <v>3243</v>
      </c>
      <c r="I1210" t="s">
        <v>13</v>
      </c>
      <c r="J1210" t="s">
        <v>7682</v>
      </c>
      <c r="K1210" t="s">
        <v>7826</v>
      </c>
      <c r="L1210" t="s">
        <v>7826</v>
      </c>
      <c r="N1210" t="str" cm="1">
        <f t="array" ref="N1210">IFERROR(LOOKUP(2,1/SEARCH($S$2:$S$65,G1210),$T$2:$T$65),"Misc")</f>
        <v>OH P/N</v>
      </c>
      <c r="O1210" t="str" cm="1">
        <f t="array" ref="O1210">IFERROR(LOOKUP(2,1/SEARCH($V$2:$V$65,G1210),$W$2:$W$65),"Misc")</f>
        <v>OH Part</v>
      </c>
      <c r="P1210" t="str" cm="1">
        <f t="array" ref="P1210">IFERROR(LOOKUP(2,1/SEARCH($Y$2:$Y$65,G1210),$Z$2:$Z$65),"Not Defined")</f>
        <v>OH Part</v>
      </c>
      <c r="Q1210" t="str" cm="1">
        <f t="array" ref="Q1210">IFERROR(LOOKUP(2,1/SEARCH($S$2:$S$65,H1210),$T$2:$T$65),"-")</f>
        <v>-</v>
      </c>
    </row>
    <row r="1211" spans="1:17" hidden="1" x14ac:dyDescent="0.25">
      <c r="A1211" t="s">
        <v>7674</v>
      </c>
      <c r="B1211" t="s">
        <v>3245</v>
      </c>
      <c r="C1211">
        <v>1</v>
      </c>
      <c r="D1211" t="s">
        <v>7308</v>
      </c>
      <c r="E1211" t="s">
        <v>3223</v>
      </c>
      <c r="F1211" t="s">
        <v>3246</v>
      </c>
      <c r="G1211" t="s">
        <v>3248</v>
      </c>
      <c r="H1211" t="s">
        <v>3247</v>
      </c>
      <c r="I1211" t="s">
        <v>38</v>
      </c>
      <c r="J1211" t="s">
        <v>7682</v>
      </c>
      <c r="K1211" t="s">
        <v>7826</v>
      </c>
      <c r="L1211" t="s">
        <v>7826</v>
      </c>
      <c r="N1211" t="str" cm="1">
        <f t="array" ref="N1211">IFERROR(LOOKUP(2,1/SEARCH($S$2:$S$65,G1211),$T$2:$T$65),"Misc")</f>
        <v>OH P/N</v>
      </c>
      <c r="O1211" t="str" cm="1">
        <f t="array" ref="O1211">IFERROR(LOOKUP(2,1/SEARCH($V$2:$V$65,G1211),$W$2:$W$65),"Misc")</f>
        <v>OH Part</v>
      </c>
      <c r="P1211" t="str" cm="1">
        <f t="array" ref="P1211">IFERROR(LOOKUP(2,1/SEARCH($Y$2:$Y$65,G1211),$Z$2:$Z$65),"Not Defined")</f>
        <v>OH Part</v>
      </c>
      <c r="Q1211" t="str" cm="1">
        <f t="array" ref="Q1211">IFERROR(LOOKUP(2,1/SEARCH($S$2:$S$65,H1211),$T$2:$T$65),"-")</f>
        <v>-</v>
      </c>
    </row>
    <row r="1212" spans="1:17" hidden="1" x14ac:dyDescent="0.25">
      <c r="A1212" t="s">
        <v>7674</v>
      </c>
      <c r="B1212" t="s">
        <v>3249</v>
      </c>
      <c r="C1212">
        <v>1</v>
      </c>
      <c r="D1212" t="s">
        <v>7308</v>
      </c>
      <c r="E1212" t="s">
        <v>3223</v>
      </c>
      <c r="F1212" t="s">
        <v>3250</v>
      </c>
      <c r="G1212" t="s">
        <v>3252</v>
      </c>
      <c r="H1212" t="s">
        <v>3251</v>
      </c>
      <c r="I1212" t="s">
        <v>38</v>
      </c>
      <c r="J1212" t="s">
        <v>7682</v>
      </c>
      <c r="K1212" t="s">
        <v>7826</v>
      </c>
      <c r="L1212" t="s">
        <v>7826</v>
      </c>
      <c r="N1212" t="str" cm="1">
        <f t="array" ref="N1212">IFERROR(LOOKUP(2,1/SEARCH($S$2:$S$65,G1212),$T$2:$T$65),"Misc")</f>
        <v>OH P/N</v>
      </c>
      <c r="O1212" t="str" cm="1">
        <f t="array" ref="O1212">IFERROR(LOOKUP(2,1/SEARCH($V$2:$V$65,G1212),$W$2:$W$65),"Misc")</f>
        <v>OH Part</v>
      </c>
      <c r="P1212" t="str" cm="1">
        <f t="array" ref="P1212">IFERROR(LOOKUP(2,1/SEARCH($Y$2:$Y$65,G1212),$Z$2:$Z$65),"Not Defined")</f>
        <v>OH Part</v>
      </c>
      <c r="Q1212" t="str" cm="1">
        <f t="array" ref="Q1212">IFERROR(LOOKUP(2,1/SEARCH($S$2:$S$65,H1212),$T$2:$T$65),"-")</f>
        <v>-</v>
      </c>
    </row>
    <row r="1213" spans="1:17" hidden="1" x14ac:dyDescent="0.25">
      <c r="A1213" t="s">
        <v>7674</v>
      </c>
      <c r="B1213" t="s">
        <v>3253</v>
      </c>
      <c r="C1213">
        <v>1</v>
      </c>
      <c r="D1213" t="s">
        <v>7308</v>
      </c>
      <c r="E1213" t="s">
        <v>3223</v>
      </c>
      <c r="F1213" t="s">
        <v>3254</v>
      </c>
      <c r="G1213" t="s">
        <v>3256</v>
      </c>
      <c r="H1213" t="s">
        <v>3255</v>
      </c>
      <c r="I1213" t="s">
        <v>38</v>
      </c>
      <c r="J1213" t="s">
        <v>7682</v>
      </c>
      <c r="K1213" t="s">
        <v>7826</v>
      </c>
      <c r="L1213" t="s">
        <v>7826</v>
      </c>
      <c r="N1213" t="str" cm="1">
        <f t="array" ref="N1213">IFERROR(LOOKUP(2,1/SEARCH($S$2:$S$65,G1213),$T$2:$T$65),"Misc")</f>
        <v>OH P/N</v>
      </c>
      <c r="O1213" t="str" cm="1">
        <f t="array" ref="O1213">IFERROR(LOOKUP(2,1/SEARCH($V$2:$V$65,G1213),$W$2:$W$65),"Misc")</f>
        <v>OH Part</v>
      </c>
      <c r="P1213" t="str" cm="1">
        <f t="array" ref="P1213">IFERROR(LOOKUP(2,1/SEARCH($Y$2:$Y$65,G1213),$Z$2:$Z$65),"Not Defined")</f>
        <v>OH Part</v>
      </c>
      <c r="Q1213" t="str" cm="1">
        <f t="array" ref="Q1213">IFERROR(LOOKUP(2,1/SEARCH($S$2:$S$65,H1213),$T$2:$T$65),"-")</f>
        <v>-</v>
      </c>
    </row>
    <row r="1214" spans="1:17" hidden="1" x14ac:dyDescent="0.25">
      <c r="A1214" t="s">
        <v>7674</v>
      </c>
      <c r="B1214" t="s">
        <v>3257</v>
      </c>
      <c r="C1214">
        <v>1</v>
      </c>
      <c r="D1214" t="s">
        <v>7308</v>
      </c>
      <c r="E1214" t="s">
        <v>3223</v>
      </c>
      <c r="F1214" t="s">
        <v>3258</v>
      </c>
      <c r="G1214" t="s">
        <v>3260</v>
      </c>
      <c r="H1214" t="s">
        <v>3259</v>
      </c>
      <c r="I1214" t="s">
        <v>38</v>
      </c>
      <c r="J1214" t="s">
        <v>7682</v>
      </c>
      <c r="K1214" t="s">
        <v>7826</v>
      </c>
      <c r="L1214" t="s">
        <v>7826</v>
      </c>
      <c r="N1214" t="str" cm="1">
        <f t="array" ref="N1214">IFERROR(LOOKUP(2,1/SEARCH($S$2:$S$65,G1214),$T$2:$T$65),"Misc")</f>
        <v>OH P/N</v>
      </c>
      <c r="O1214" t="str" cm="1">
        <f t="array" ref="O1214">IFERROR(LOOKUP(2,1/SEARCH($V$2:$V$65,G1214),$W$2:$W$65),"Misc")</f>
        <v>OH Part</v>
      </c>
      <c r="P1214" t="str" cm="1">
        <f t="array" ref="P1214">IFERROR(LOOKUP(2,1/SEARCH($Y$2:$Y$65,G1214),$Z$2:$Z$65),"Not Defined")</f>
        <v>OH Part</v>
      </c>
      <c r="Q1214" t="str" cm="1">
        <f t="array" ref="Q1214">IFERROR(LOOKUP(2,1/SEARCH($S$2:$S$65,H1214),$T$2:$T$65),"-")</f>
        <v>-</v>
      </c>
    </row>
    <row r="1215" spans="1:17" hidden="1" x14ac:dyDescent="0.25">
      <c r="A1215" t="s">
        <v>7674</v>
      </c>
      <c r="B1215" t="s">
        <v>3261</v>
      </c>
      <c r="C1215">
        <v>1</v>
      </c>
      <c r="D1215" t="s">
        <v>7308</v>
      </c>
      <c r="E1215" t="s">
        <v>3223</v>
      </c>
      <c r="F1215" t="s">
        <v>3262</v>
      </c>
      <c r="G1215" t="s">
        <v>3264</v>
      </c>
      <c r="H1215" t="s">
        <v>3263</v>
      </c>
      <c r="I1215" t="s">
        <v>38</v>
      </c>
      <c r="J1215" t="s">
        <v>7682</v>
      </c>
      <c r="K1215" t="s">
        <v>7826</v>
      </c>
      <c r="L1215" t="s">
        <v>7826</v>
      </c>
      <c r="N1215" t="str" cm="1">
        <f t="array" ref="N1215">IFERROR(LOOKUP(2,1/SEARCH($S$2:$S$65,G1215),$T$2:$T$65),"Misc")</f>
        <v>OH P/N</v>
      </c>
      <c r="O1215" t="str" cm="1">
        <f t="array" ref="O1215">IFERROR(LOOKUP(2,1/SEARCH($V$2:$V$65,G1215),$W$2:$W$65),"Misc")</f>
        <v>OH Part</v>
      </c>
      <c r="P1215" t="str" cm="1">
        <f t="array" ref="P1215">IFERROR(LOOKUP(2,1/SEARCH($Y$2:$Y$65,G1215),$Z$2:$Z$65),"Not Defined")</f>
        <v>OH Part</v>
      </c>
      <c r="Q1215" t="str" cm="1">
        <f t="array" ref="Q1215">IFERROR(LOOKUP(2,1/SEARCH($S$2:$S$65,H1215),$T$2:$T$65),"-")</f>
        <v>-</v>
      </c>
    </row>
    <row r="1216" spans="1:17" hidden="1" x14ac:dyDescent="0.25">
      <c r="A1216" t="s">
        <v>7674</v>
      </c>
      <c r="B1216" t="s">
        <v>3265</v>
      </c>
      <c r="C1216">
        <v>1</v>
      </c>
      <c r="D1216" t="s">
        <v>7308</v>
      </c>
      <c r="E1216" t="s">
        <v>3223</v>
      </c>
      <c r="F1216" t="s">
        <v>3266</v>
      </c>
      <c r="G1216" t="s">
        <v>3268</v>
      </c>
      <c r="H1216" t="s">
        <v>3267</v>
      </c>
      <c r="I1216" t="s">
        <v>38</v>
      </c>
      <c r="J1216" t="s">
        <v>7682</v>
      </c>
      <c r="K1216" t="s">
        <v>7826</v>
      </c>
      <c r="L1216" t="s">
        <v>7826</v>
      </c>
      <c r="N1216" t="str" cm="1">
        <f t="array" ref="N1216">IFERROR(LOOKUP(2,1/SEARCH($S$2:$S$65,G1216),$T$2:$T$65),"Misc")</f>
        <v>OH P/N</v>
      </c>
      <c r="O1216" t="str" cm="1">
        <f t="array" ref="O1216">IFERROR(LOOKUP(2,1/SEARCH($V$2:$V$65,G1216),$W$2:$W$65),"Misc")</f>
        <v>OH Part</v>
      </c>
      <c r="P1216" t="str" cm="1">
        <f t="array" ref="P1216">IFERROR(LOOKUP(2,1/SEARCH($Y$2:$Y$65,G1216),$Z$2:$Z$65),"Not Defined")</f>
        <v>OH Part</v>
      </c>
      <c r="Q1216" t="str" cm="1">
        <f t="array" ref="Q1216">IFERROR(LOOKUP(2,1/SEARCH($S$2:$S$65,H1216),$T$2:$T$65),"-")</f>
        <v>-</v>
      </c>
    </row>
    <row r="1217" spans="1:17" hidden="1" x14ac:dyDescent="0.25">
      <c r="A1217" t="s">
        <v>7674</v>
      </c>
      <c r="B1217" t="s">
        <v>3269</v>
      </c>
      <c r="C1217">
        <v>1</v>
      </c>
      <c r="D1217" t="s">
        <v>7308</v>
      </c>
      <c r="E1217" t="s">
        <v>3223</v>
      </c>
      <c r="F1217" t="s">
        <v>3270</v>
      </c>
      <c r="G1217" t="s">
        <v>3272</v>
      </c>
      <c r="H1217" t="s">
        <v>3271</v>
      </c>
      <c r="I1217" t="s">
        <v>38</v>
      </c>
      <c r="J1217" t="s">
        <v>7682</v>
      </c>
      <c r="K1217" t="s">
        <v>7826</v>
      </c>
      <c r="L1217" t="s">
        <v>7826</v>
      </c>
      <c r="N1217" t="str" cm="1">
        <f t="array" ref="N1217">IFERROR(LOOKUP(2,1/SEARCH($S$2:$S$65,G1217),$T$2:$T$65),"Misc")</f>
        <v>OH P/N</v>
      </c>
      <c r="O1217" t="str" cm="1">
        <f t="array" ref="O1217">IFERROR(LOOKUP(2,1/SEARCH($V$2:$V$65,G1217),$W$2:$W$65),"Misc")</f>
        <v>OH Part</v>
      </c>
      <c r="P1217" t="str" cm="1">
        <f t="array" ref="P1217">IFERROR(LOOKUP(2,1/SEARCH($Y$2:$Y$65,G1217),$Z$2:$Z$65),"Not Defined")</f>
        <v>OH Part</v>
      </c>
      <c r="Q1217" t="str" cm="1">
        <f t="array" ref="Q1217">IFERROR(LOOKUP(2,1/SEARCH($S$2:$S$65,H1217),$T$2:$T$65),"-")</f>
        <v>-</v>
      </c>
    </row>
    <row r="1218" spans="1:17" hidden="1" x14ac:dyDescent="0.25">
      <c r="A1218" t="s">
        <v>7674</v>
      </c>
      <c r="B1218" t="s">
        <v>3273</v>
      </c>
      <c r="C1218">
        <v>1</v>
      </c>
      <c r="D1218" t="s">
        <v>7308</v>
      </c>
      <c r="E1218" t="s">
        <v>3223</v>
      </c>
      <c r="F1218" t="s">
        <v>3274</v>
      </c>
      <c r="G1218" t="s">
        <v>3276</v>
      </c>
      <c r="H1218" t="s">
        <v>3275</v>
      </c>
      <c r="I1218" t="s">
        <v>38</v>
      </c>
      <c r="J1218" t="s">
        <v>7682</v>
      </c>
      <c r="K1218" t="s">
        <v>7826</v>
      </c>
      <c r="L1218" t="s">
        <v>7826</v>
      </c>
      <c r="N1218" t="str" cm="1">
        <f t="array" ref="N1218">IFERROR(LOOKUP(2,1/SEARCH($S$2:$S$65,G1218),$T$2:$T$65),"Misc")</f>
        <v>OH P/N</v>
      </c>
      <c r="O1218" t="str" cm="1">
        <f t="array" ref="O1218">IFERROR(LOOKUP(2,1/SEARCH($V$2:$V$65,G1218),$W$2:$W$65),"Misc")</f>
        <v>OH Part</v>
      </c>
      <c r="P1218" t="str" cm="1">
        <f t="array" ref="P1218">IFERROR(LOOKUP(2,1/SEARCH($Y$2:$Y$65,G1218),$Z$2:$Z$65),"Not Defined")</f>
        <v>OH Part</v>
      </c>
      <c r="Q1218" t="str" cm="1">
        <f t="array" ref="Q1218">IFERROR(LOOKUP(2,1/SEARCH($S$2:$S$65,H1218),$T$2:$T$65),"-")</f>
        <v>-</v>
      </c>
    </row>
    <row r="1219" spans="1:17" hidden="1" x14ac:dyDescent="0.25">
      <c r="A1219" t="s">
        <v>7674</v>
      </c>
      <c r="B1219" t="s">
        <v>3277</v>
      </c>
      <c r="C1219">
        <v>1</v>
      </c>
      <c r="D1219" t="s">
        <v>7308</v>
      </c>
      <c r="E1219" t="s">
        <v>3223</v>
      </c>
      <c r="F1219" t="s">
        <v>3278</v>
      </c>
      <c r="G1219" t="s">
        <v>3280</v>
      </c>
      <c r="H1219" t="s">
        <v>3279</v>
      </c>
      <c r="I1219" t="s">
        <v>38</v>
      </c>
      <c r="J1219" t="s">
        <v>7682</v>
      </c>
      <c r="K1219" t="s">
        <v>7826</v>
      </c>
      <c r="L1219" t="s">
        <v>7826</v>
      </c>
      <c r="N1219" t="str" cm="1">
        <f t="array" ref="N1219">IFERROR(LOOKUP(2,1/SEARCH($S$2:$S$65,G1219),$T$2:$T$65),"Misc")</f>
        <v>OH P/N</v>
      </c>
      <c r="O1219" t="str" cm="1">
        <f t="array" ref="O1219">IFERROR(LOOKUP(2,1/SEARCH($V$2:$V$65,G1219),$W$2:$W$65),"Misc")</f>
        <v>OH Part</v>
      </c>
      <c r="P1219" t="str" cm="1">
        <f t="array" ref="P1219">IFERROR(LOOKUP(2,1/SEARCH($Y$2:$Y$65,G1219),$Z$2:$Z$65),"Not Defined")</f>
        <v>OH Part</v>
      </c>
      <c r="Q1219" t="str" cm="1">
        <f t="array" ref="Q1219">IFERROR(LOOKUP(2,1/SEARCH($S$2:$S$65,H1219),$T$2:$T$65),"-")</f>
        <v>-</v>
      </c>
    </row>
    <row r="1220" spans="1:17" hidden="1" x14ac:dyDescent="0.25">
      <c r="A1220" t="s">
        <v>7674</v>
      </c>
      <c r="B1220" t="s">
        <v>3281</v>
      </c>
      <c r="C1220">
        <v>2</v>
      </c>
      <c r="D1220" t="s">
        <v>7308</v>
      </c>
      <c r="E1220" t="s">
        <v>3223</v>
      </c>
      <c r="F1220" t="s">
        <v>3282</v>
      </c>
      <c r="G1220" t="s">
        <v>3284</v>
      </c>
      <c r="H1220" t="s">
        <v>3283</v>
      </c>
      <c r="I1220" t="s">
        <v>13</v>
      </c>
      <c r="J1220" t="s">
        <v>7682</v>
      </c>
      <c r="K1220" t="s">
        <v>7826</v>
      </c>
      <c r="L1220" t="s">
        <v>7826</v>
      </c>
      <c r="N1220" t="str" cm="1">
        <f t="array" ref="N1220">IFERROR(LOOKUP(2,1/SEARCH($S$2:$S$65,G1220),$T$2:$T$65),"Misc")</f>
        <v>OH P/N</v>
      </c>
      <c r="O1220" t="str" cm="1">
        <f t="array" ref="O1220">IFERROR(LOOKUP(2,1/SEARCH($V$2:$V$65,G1220),$W$2:$W$65),"Misc")</f>
        <v>OH Part</v>
      </c>
      <c r="P1220" t="str" cm="1">
        <f t="array" ref="P1220">IFERROR(LOOKUP(2,1/SEARCH($Y$2:$Y$65,G1220),$Z$2:$Z$65),"Not Defined")</f>
        <v>OH Part</v>
      </c>
      <c r="Q1220" t="str" cm="1">
        <f t="array" ref="Q1220">IFERROR(LOOKUP(2,1/SEARCH($S$2:$S$65,H1220),$T$2:$T$65),"-")</f>
        <v>-</v>
      </c>
    </row>
    <row r="1221" spans="1:17" hidden="1" x14ac:dyDescent="0.25">
      <c r="A1221" t="s">
        <v>7674</v>
      </c>
      <c r="B1221" t="s">
        <v>3285</v>
      </c>
      <c r="C1221">
        <v>1</v>
      </c>
      <c r="D1221" t="s">
        <v>7308</v>
      </c>
      <c r="E1221" t="s">
        <v>3223</v>
      </c>
      <c r="F1221" t="s">
        <v>3286</v>
      </c>
      <c r="G1221" t="s">
        <v>3288</v>
      </c>
      <c r="H1221" t="s">
        <v>3287</v>
      </c>
      <c r="I1221" t="s">
        <v>13</v>
      </c>
      <c r="J1221" t="s">
        <v>7682</v>
      </c>
      <c r="K1221" t="s">
        <v>7826</v>
      </c>
      <c r="L1221" t="s">
        <v>7826</v>
      </c>
      <c r="N1221" t="str" cm="1">
        <f t="array" ref="N1221">IFERROR(LOOKUP(2,1/SEARCH($S$2:$S$65,G1221),$T$2:$T$65),"Misc")</f>
        <v>OH P/N</v>
      </c>
      <c r="O1221" t="str" cm="1">
        <f t="array" ref="O1221">IFERROR(LOOKUP(2,1/SEARCH($V$2:$V$65,G1221),$W$2:$W$65),"Misc")</f>
        <v>OH Part</v>
      </c>
      <c r="P1221" t="str" cm="1">
        <f t="array" ref="P1221">IFERROR(LOOKUP(2,1/SEARCH($Y$2:$Y$65,G1221),$Z$2:$Z$65),"Not Defined")</f>
        <v>OH Part</v>
      </c>
      <c r="Q1221" t="str" cm="1">
        <f t="array" ref="Q1221">IFERROR(LOOKUP(2,1/SEARCH($S$2:$S$65,H1221),$T$2:$T$65),"-")</f>
        <v>-</v>
      </c>
    </row>
    <row r="1222" spans="1:17" hidden="1" x14ac:dyDescent="0.25">
      <c r="A1222" t="s">
        <v>7674</v>
      </c>
      <c r="B1222" t="s">
        <v>3289</v>
      </c>
      <c r="C1222">
        <v>1</v>
      </c>
      <c r="D1222" t="s">
        <v>7308</v>
      </c>
      <c r="E1222" t="s">
        <v>3223</v>
      </c>
      <c r="F1222" t="s">
        <v>3290</v>
      </c>
      <c r="G1222" t="s">
        <v>3292</v>
      </c>
      <c r="H1222" t="s">
        <v>3291</v>
      </c>
      <c r="I1222" t="s">
        <v>38</v>
      </c>
      <c r="J1222" t="s">
        <v>7682</v>
      </c>
      <c r="K1222" t="s">
        <v>7826</v>
      </c>
      <c r="L1222" t="s">
        <v>7826</v>
      </c>
      <c r="N1222" t="str" cm="1">
        <f t="array" ref="N1222">IFERROR(LOOKUP(2,1/SEARCH($S$2:$S$65,G1222),$T$2:$T$65),"Misc")</f>
        <v>OH P/N</v>
      </c>
      <c r="O1222" t="str" cm="1">
        <f t="array" ref="O1222">IFERROR(LOOKUP(2,1/SEARCH($V$2:$V$65,G1222),$W$2:$W$65),"Misc")</f>
        <v>OH Part</v>
      </c>
      <c r="P1222" t="str" cm="1">
        <f t="array" ref="P1222">IFERROR(LOOKUP(2,1/SEARCH($Y$2:$Y$65,G1222),$Z$2:$Z$65),"Not Defined")</f>
        <v>OH Part</v>
      </c>
      <c r="Q1222" t="str" cm="1">
        <f t="array" ref="Q1222">IFERROR(LOOKUP(2,1/SEARCH($S$2:$S$65,H1222),$T$2:$T$65),"-")</f>
        <v>-</v>
      </c>
    </row>
    <row r="1223" spans="1:17" hidden="1" x14ac:dyDescent="0.25">
      <c r="A1223" t="s">
        <v>7674</v>
      </c>
      <c r="B1223" t="s">
        <v>3293</v>
      </c>
      <c r="C1223">
        <v>1</v>
      </c>
      <c r="D1223" t="s">
        <v>7308</v>
      </c>
      <c r="E1223" t="s">
        <v>3223</v>
      </c>
      <c r="F1223" t="s">
        <v>3294</v>
      </c>
      <c r="G1223" t="s">
        <v>3296</v>
      </c>
      <c r="H1223" t="s">
        <v>3295</v>
      </c>
      <c r="I1223" t="s">
        <v>38</v>
      </c>
      <c r="J1223" t="s">
        <v>7682</v>
      </c>
      <c r="K1223" t="s">
        <v>7826</v>
      </c>
      <c r="L1223" t="s">
        <v>7826</v>
      </c>
      <c r="N1223" t="str" cm="1">
        <f t="array" ref="N1223">IFERROR(LOOKUP(2,1/SEARCH($S$2:$S$65,G1223),$T$2:$T$65),"Misc")</f>
        <v>OH P/N</v>
      </c>
      <c r="O1223" t="str" cm="1">
        <f t="array" ref="O1223">IFERROR(LOOKUP(2,1/SEARCH($V$2:$V$65,G1223),$W$2:$W$65),"Misc")</f>
        <v>OH Part</v>
      </c>
      <c r="P1223" t="str" cm="1">
        <f t="array" ref="P1223">IFERROR(LOOKUP(2,1/SEARCH($Y$2:$Y$65,G1223),$Z$2:$Z$65),"Not Defined")</f>
        <v>OH Part</v>
      </c>
      <c r="Q1223" t="str" cm="1">
        <f t="array" ref="Q1223">IFERROR(LOOKUP(2,1/SEARCH($S$2:$S$65,H1223),$T$2:$T$65),"-")</f>
        <v>-</v>
      </c>
    </row>
    <row r="1224" spans="1:17" hidden="1" x14ac:dyDescent="0.25">
      <c r="A1224" t="s">
        <v>7674</v>
      </c>
      <c r="B1224" t="s">
        <v>3297</v>
      </c>
      <c r="C1224">
        <v>1</v>
      </c>
      <c r="D1224" t="s">
        <v>7308</v>
      </c>
      <c r="E1224" t="s">
        <v>3223</v>
      </c>
      <c r="F1224" t="s">
        <v>3298</v>
      </c>
      <c r="G1224" t="s">
        <v>3300</v>
      </c>
      <c r="H1224" t="s">
        <v>3299</v>
      </c>
      <c r="I1224" t="s">
        <v>38</v>
      </c>
      <c r="J1224" t="s">
        <v>7682</v>
      </c>
      <c r="K1224" t="s">
        <v>7826</v>
      </c>
      <c r="L1224" t="s">
        <v>7826</v>
      </c>
      <c r="N1224" t="str" cm="1">
        <f t="array" ref="N1224">IFERROR(LOOKUP(2,1/SEARCH($S$2:$S$65,G1224),$T$2:$T$65),"Misc")</f>
        <v>OH P/N</v>
      </c>
      <c r="O1224" t="str" cm="1">
        <f t="array" ref="O1224">IFERROR(LOOKUP(2,1/SEARCH($V$2:$V$65,G1224),$W$2:$W$65),"Misc")</f>
        <v>OH Part</v>
      </c>
      <c r="P1224" t="str" cm="1">
        <f t="array" ref="P1224">IFERROR(LOOKUP(2,1/SEARCH($Y$2:$Y$65,G1224),$Z$2:$Z$65),"Not Defined")</f>
        <v>OH Part</v>
      </c>
      <c r="Q1224" t="str" cm="1">
        <f t="array" ref="Q1224">IFERROR(LOOKUP(2,1/SEARCH($S$2:$S$65,H1224),$T$2:$T$65),"-")</f>
        <v>-</v>
      </c>
    </row>
    <row r="1225" spans="1:17" hidden="1" x14ac:dyDescent="0.25">
      <c r="A1225" t="s">
        <v>7674</v>
      </c>
      <c r="B1225" t="s">
        <v>3301</v>
      </c>
      <c r="C1225">
        <v>1</v>
      </c>
      <c r="D1225" t="s">
        <v>7308</v>
      </c>
      <c r="E1225" t="s">
        <v>3223</v>
      </c>
      <c r="F1225" t="s">
        <v>3302</v>
      </c>
      <c r="G1225" t="s">
        <v>3304</v>
      </c>
      <c r="H1225" t="s">
        <v>3303</v>
      </c>
      <c r="I1225" t="s">
        <v>38</v>
      </c>
      <c r="J1225" t="s">
        <v>7682</v>
      </c>
      <c r="K1225" t="s">
        <v>7826</v>
      </c>
      <c r="L1225" t="s">
        <v>7826</v>
      </c>
      <c r="N1225" t="str" cm="1">
        <f t="array" ref="N1225">IFERROR(LOOKUP(2,1/SEARCH($S$2:$S$65,G1225),$T$2:$T$65),"Misc")</f>
        <v>OH P/N</v>
      </c>
      <c r="O1225" t="str" cm="1">
        <f t="array" ref="O1225">IFERROR(LOOKUP(2,1/SEARCH($V$2:$V$65,G1225),$W$2:$W$65),"Misc")</f>
        <v>OH Part</v>
      </c>
      <c r="P1225" t="str" cm="1">
        <f t="array" ref="P1225">IFERROR(LOOKUP(2,1/SEARCH($Y$2:$Y$65,G1225),$Z$2:$Z$65),"Not Defined")</f>
        <v>OH Part</v>
      </c>
      <c r="Q1225" t="str" cm="1">
        <f t="array" ref="Q1225">IFERROR(LOOKUP(2,1/SEARCH($S$2:$S$65,H1225),$T$2:$T$65),"-")</f>
        <v>-</v>
      </c>
    </row>
    <row r="1226" spans="1:17" hidden="1" x14ac:dyDescent="0.25">
      <c r="A1226" t="s">
        <v>7674</v>
      </c>
      <c r="B1226" t="s">
        <v>3305</v>
      </c>
      <c r="C1226">
        <v>1</v>
      </c>
      <c r="D1226" t="s">
        <v>7308</v>
      </c>
      <c r="E1226" t="s">
        <v>3223</v>
      </c>
      <c r="F1226" t="s">
        <v>3306</v>
      </c>
      <c r="G1226" t="s">
        <v>3308</v>
      </c>
      <c r="H1226" t="s">
        <v>3307</v>
      </c>
      <c r="I1226" t="s">
        <v>13</v>
      </c>
      <c r="J1226" t="s">
        <v>7682</v>
      </c>
      <c r="K1226" t="s">
        <v>7826</v>
      </c>
      <c r="L1226" t="s">
        <v>7826</v>
      </c>
      <c r="N1226" t="str" cm="1">
        <f t="array" ref="N1226">IFERROR(LOOKUP(2,1/SEARCH($S$2:$S$65,G1226),$T$2:$T$65),"Misc")</f>
        <v>OH P/N</v>
      </c>
      <c r="O1226" t="str" cm="1">
        <f t="array" ref="O1226">IFERROR(LOOKUP(2,1/SEARCH($V$2:$V$65,G1226),$W$2:$W$65),"Misc")</f>
        <v>OH Part</v>
      </c>
      <c r="P1226" t="str" cm="1">
        <f t="array" ref="P1226">IFERROR(LOOKUP(2,1/SEARCH($Y$2:$Y$65,G1226),$Z$2:$Z$65),"Not Defined")</f>
        <v>OH Part</v>
      </c>
      <c r="Q1226" t="str" cm="1">
        <f t="array" ref="Q1226">IFERROR(LOOKUP(2,1/SEARCH($S$2:$S$65,H1226),$T$2:$T$65),"-")</f>
        <v>-</v>
      </c>
    </row>
    <row r="1227" spans="1:17" hidden="1" x14ac:dyDescent="0.25">
      <c r="A1227" t="s">
        <v>7674</v>
      </c>
      <c r="B1227" t="s">
        <v>3309</v>
      </c>
      <c r="C1227">
        <v>1</v>
      </c>
      <c r="D1227" t="s">
        <v>7308</v>
      </c>
      <c r="E1227" t="s">
        <v>3223</v>
      </c>
      <c r="F1227" t="s">
        <v>3310</v>
      </c>
      <c r="G1227" t="s">
        <v>3312</v>
      </c>
      <c r="H1227" t="s">
        <v>3311</v>
      </c>
      <c r="I1227" t="s">
        <v>13</v>
      </c>
      <c r="J1227" t="s">
        <v>7682</v>
      </c>
      <c r="K1227" t="s">
        <v>7826</v>
      </c>
      <c r="L1227" t="s">
        <v>7826</v>
      </c>
      <c r="N1227" t="str" cm="1">
        <f t="array" ref="N1227">IFERROR(LOOKUP(2,1/SEARCH($S$2:$S$65,G1227),$T$2:$T$65),"Misc")</f>
        <v>OH P/N</v>
      </c>
      <c r="O1227" t="str" cm="1">
        <f t="array" ref="O1227">IFERROR(LOOKUP(2,1/SEARCH($V$2:$V$65,G1227),$W$2:$W$65),"Misc")</f>
        <v>OH Part</v>
      </c>
      <c r="P1227" t="str" cm="1">
        <f t="array" ref="P1227">IFERROR(LOOKUP(2,1/SEARCH($Y$2:$Y$65,G1227),$Z$2:$Z$65),"Not Defined")</f>
        <v>OH Part</v>
      </c>
      <c r="Q1227" t="str" cm="1">
        <f t="array" ref="Q1227">IFERROR(LOOKUP(2,1/SEARCH($S$2:$S$65,H1227),$T$2:$T$65),"-")</f>
        <v>-</v>
      </c>
    </row>
    <row r="1228" spans="1:17" hidden="1" x14ac:dyDescent="0.25">
      <c r="A1228" t="s">
        <v>7674</v>
      </c>
      <c r="B1228" t="s">
        <v>3313</v>
      </c>
      <c r="C1228">
        <v>1</v>
      </c>
      <c r="D1228" t="s">
        <v>7308</v>
      </c>
      <c r="E1228" t="s">
        <v>3223</v>
      </c>
      <c r="F1228" t="s">
        <v>3314</v>
      </c>
      <c r="G1228" t="s">
        <v>3316</v>
      </c>
      <c r="H1228" t="s">
        <v>3315</v>
      </c>
      <c r="I1228" t="s">
        <v>13</v>
      </c>
      <c r="J1228" t="s">
        <v>7682</v>
      </c>
      <c r="K1228" t="s">
        <v>7826</v>
      </c>
      <c r="L1228" t="s">
        <v>7826</v>
      </c>
      <c r="N1228" t="str" cm="1">
        <f t="array" ref="N1228">IFERROR(LOOKUP(2,1/SEARCH($S$2:$S$65,G1228),$T$2:$T$65),"Misc")</f>
        <v>OH P/N</v>
      </c>
      <c r="O1228" t="str" cm="1">
        <f t="array" ref="O1228">IFERROR(LOOKUP(2,1/SEARCH($V$2:$V$65,G1228),$W$2:$W$65),"Misc")</f>
        <v>OH Part</v>
      </c>
      <c r="P1228" t="str" cm="1">
        <f t="array" ref="P1228">IFERROR(LOOKUP(2,1/SEARCH($Y$2:$Y$65,G1228),$Z$2:$Z$65),"Not Defined")</f>
        <v>OH Part</v>
      </c>
      <c r="Q1228" t="str" cm="1">
        <f t="array" ref="Q1228">IFERROR(LOOKUP(2,1/SEARCH($S$2:$S$65,H1228),$T$2:$T$65),"-")</f>
        <v>-</v>
      </c>
    </row>
    <row r="1229" spans="1:17" hidden="1" x14ac:dyDescent="0.25">
      <c r="A1229" t="s">
        <v>7674</v>
      </c>
      <c r="B1229" t="s">
        <v>3317</v>
      </c>
      <c r="C1229">
        <v>1</v>
      </c>
      <c r="D1229" t="s">
        <v>7308</v>
      </c>
      <c r="E1229" t="s">
        <v>3223</v>
      </c>
      <c r="F1229" t="s">
        <v>3318</v>
      </c>
      <c r="G1229" t="s">
        <v>3320</v>
      </c>
      <c r="H1229" t="s">
        <v>3319</v>
      </c>
      <c r="I1229" t="s">
        <v>13</v>
      </c>
      <c r="J1229" t="s">
        <v>7682</v>
      </c>
      <c r="K1229" t="s">
        <v>7826</v>
      </c>
      <c r="L1229" t="s">
        <v>7826</v>
      </c>
      <c r="N1229" t="str" cm="1">
        <f t="array" ref="N1229">IFERROR(LOOKUP(2,1/SEARCH($S$2:$S$65,G1229),$T$2:$T$65),"Misc")</f>
        <v>OH P/N</v>
      </c>
      <c r="O1229" t="str" cm="1">
        <f t="array" ref="O1229">IFERROR(LOOKUP(2,1/SEARCH($V$2:$V$65,G1229),$W$2:$W$65),"Misc")</f>
        <v>OH Part</v>
      </c>
      <c r="P1229" t="str" cm="1">
        <f t="array" ref="P1229">IFERROR(LOOKUP(2,1/SEARCH($Y$2:$Y$65,G1229),$Z$2:$Z$65),"Not Defined")</f>
        <v>OH Part</v>
      </c>
      <c r="Q1229" t="str" cm="1">
        <f t="array" ref="Q1229">IFERROR(LOOKUP(2,1/SEARCH($S$2:$S$65,H1229),$T$2:$T$65),"-")</f>
        <v>-</v>
      </c>
    </row>
    <row r="1230" spans="1:17" hidden="1" x14ac:dyDescent="0.25">
      <c r="A1230" t="s">
        <v>7674</v>
      </c>
      <c r="B1230" t="s">
        <v>3321</v>
      </c>
      <c r="C1230">
        <v>1</v>
      </c>
      <c r="D1230" t="s">
        <v>7308</v>
      </c>
      <c r="E1230" t="s">
        <v>3223</v>
      </c>
      <c r="F1230" t="s">
        <v>3322</v>
      </c>
      <c r="G1230" t="s">
        <v>3324</v>
      </c>
      <c r="H1230" t="s">
        <v>3323</v>
      </c>
      <c r="I1230" t="s">
        <v>13</v>
      </c>
      <c r="J1230" t="s">
        <v>7682</v>
      </c>
      <c r="K1230" t="s">
        <v>7826</v>
      </c>
      <c r="L1230" t="s">
        <v>7826</v>
      </c>
      <c r="N1230" t="str" cm="1">
        <f t="array" ref="N1230">IFERROR(LOOKUP(2,1/SEARCH($S$2:$S$65,G1230),$T$2:$T$65),"Misc")</f>
        <v>OH P/N</v>
      </c>
      <c r="O1230" t="str" cm="1">
        <f t="array" ref="O1230">IFERROR(LOOKUP(2,1/SEARCH($V$2:$V$65,G1230),$W$2:$W$65),"Misc")</f>
        <v>OH Part</v>
      </c>
      <c r="P1230" t="str" cm="1">
        <f t="array" ref="P1230">IFERROR(LOOKUP(2,1/SEARCH($Y$2:$Y$65,G1230),$Z$2:$Z$65),"Not Defined")</f>
        <v>OH Part</v>
      </c>
      <c r="Q1230" t="str" cm="1">
        <f t="array" ref="Q1230">IFERROR(LOOKUP(2,1/SEARCH($S$2:$S$65,H1230),$T$2:$T$65),"-")</f>
        <v>-</v>
      </c>
    </row>
    <row r="1231" spans="1:17" hidden="1" x14ac:dyDescent="0.25">
      <c r="A1231" t="s">
        <v>7674</v>
      </c>
      <c r="B1231" t="s">
        <v>3325</v>
      </c>
      <c r="C1231">
        <v>1</v>
      </c>
      <c r="D1231" t="s">
        <v>7308</v>
      </c>
      <c r="E1231" t="s">
        <v>3223</v>
      </c>
      <c r="F1231" t="s">
        <v>3326</v>
      </c>
      <c r="G1231" t="s">
        <v>3328</v>
      </c>
      <c r="H1231" t="s">
        <v>3327</v>
      </c>
      <c r="I1231" t="s">
        <v>13</v>
      </c>
      <c r="J1231" t="s">
        <v>7682</v>
      </c>
      <c r="K1231" t="s">
        <v>7826</v>
      </c>
      <c r="L1231" t="s">
        <v>7826</v>
      </c>
      <c r="N1231" t="str" cm="1">
        <f t="array" ref="N1231">IFERROR(LOOKUP(2,1/SEARCH($S$2:$S$65,G1231),$T$2:$T$65),"Misc")</f>
        <v>OH P/N</v>
      </c>
      <c r="O1231" t="str" cm="1">
        <f t="array" ref="O1231">IFERROR(LOOKUP(2,1/SEARCH($V$2:$V$65,G1231),$W$2:$W$65),"Misc")</f>
        <v>OH Part</v>
      </c>
      <c r="P1231" t="str" cm="1">
        <f t="array" ref="P1231">IFERROR(LOOKUP(2,1/SEARCH($Y$2:$Y$65,G1231),$Z$2:$Z$65),"Not Defined")</f>
        <v>OH Part</v>
      </c>
      <c r="Q1231" t="str" cm="1">
        <f t="array" ref="Q1231">IFERROR(LOOKUP(2,1/SEARCH($S$2:$S$65,H1231),$T$2:$T$65),"-")</f>
        <v>-</v>
      </c>
    </row>
    <row r="1232" spans="1:17" hidden="1" x14ac:dyDescent="0.25">
      <c r="A1232" t="s">
        <v>7674</v>
      </c>
      <c r="B1232" t="s">
        <v>3329</v>
      </c>
      <c r="C1232">
        <v>1</v>
      </c>
      <c r="D1232" t="s">
        <v>7308</v>
      </c>
      <c r="E1232" t="s">
        <v>3223</v>
      </c>
      <c r="F1232" t="s">
        <v>3330</v>
      </c>
      <c r="G1232" t="s">
        <v>3332</v>
      </c>
      <c r="H1232" t="s">
        <v>3331</v>
      </c>
      <c r="I1232" t="s">
        <v>13</v>
      </c>
      <c r="J1232" t="s">
        <v>7682</v>
      </c>
      <c r="K1232" t="s">
        <v>7826</v>
      </c>
      <c r="L1232" t="s">
        <v>7826</v>
      </c>
      <c r="N1232" t="str" cm="1">
        <f t="array" ref="N1232">IFERROR(LOOKUP(2,1/SEARCH($S$2:$S$65,G1232),$T$2:$T$65),"Misc")</f>
        <v>OH P/N</v>
      </c>
      <c r="O1232" t="str" cm="1">
        <f t="array" ref="O1232">IFERROR(LOOKUP(2,1/SEARCH($V$2:$V$65,G1232),$W$2:$W$65),"Misc")</f>
        <v>OH Part</v>
      </c>
      <c r="P1232" t="str" cm="1">
        <f t="array" ref="P1232">IFERROR(LOOKUP(2,1/SEARCH($Y$2:$Y$65,G1232),$Z$2:$Z$65),"Not Defined")</f>
        <v>OH Part</v>
      </c>
      <c r="Q1232" t="str" cm="1">
        <f t="array" ref="Q1232">IFERROR(LOOKUP(2,1/SEARCH($S$2:$S$65,H1232),$T$2:$T$65),"-")</f>
        <v>-</v>
      </c>
    </row>
    <row r="1233" spans="1:17" hidden="1" x14ac:dyDescent="0.25">
      <c r="A1233" t="s">
        <v>7674</v>
      </c>
      <c r="B1233" t="s">
        <v>3333</v>
      </c>
      <c r="C1233">
        <v>1</v>
      </c>
      <c r="D1233" t="s">
        <v>7308</v>
      </c>
      <c r="E1233" t="s">
        <v>3223</v>
      </c>
      <c r="F1233" t="s">
        <v>3334</v>
      </c>
      <c r="G1233" t="s">
        <v>3336</v>
      </c>
      <c r="H1233" t="s">
        <v>3335</v>
      </c>
      <c r="I1233" t="s">
        <v>13</v>
      </c>
      <c r="J1233" t="s">
        <v>7682</v>
      </c>
      <c r="K1233" t="s">
        <v>7826</v>
      </c>
      <c r="L1233" t="s">
        <v>7826</v>
      </c>
      <c r="N1233" t="str" cm="1">
        <f t="array" ref="N1233">IFERROR(LOOKUP(2,1/SEARCH($S$2:$S$65,G1233),$T$2:$T$65),"Misc")</f>
        <v>OH P/N</v>
      </c>
      <c r="O1233" t="str" cm="1">
        <f t="array" ref="O1233">IFERROR(LOOKUP(2,1/SEARCH($V$2:$V$65,G1233),$W$2:$W$65),"Misc")</f>
        <v>OH Part</v>
      </c>
      <c r="P1233" t="str" cm="1">
        <f t="array" ref="P1233">IFERROR(LOOKUP(2,1/SEARCH($Y$2:$Y$65,G1233),$Z$2:$Z$65),"Not Defined")</f>
        <v>OH Part</v>
      </c>
      <c r="Q1233" t="str" cm="1">
        <f t="array" ref="Q1233">IFERROR(LOOKUP(2,1/SEARCH($S$2:$S$65,H1233),$T$2:$T$65),"-")</f>
        <v>-</v>
      </c>
    </row>
    <row r="1234" spans="1:17" hidden="1" x14ac:dyDescent="0.25">
      <c r="A1234" t="s">
        <v>7674</v>
      </c>
      <c r="B1234" t="s">
        <v>3337</v>
      </c>
      <c r="C1234">
        <v>1</v>
      </c>
      <c r="D1234" t="s">
        <v>7308</v>
      </c>
      <c r="E1234" t="s">
        <v>3223</v>
      </c>
      <c r="F1234" t="s">
        <v>3338</v>
      </c>
      <c r="G1234" t="s">
        <v>3340</v>
      </c>
      <c r="H1234" t="s">
        <v>3339</v>
      </c>
      <c r="I1234" t="s">
        <v>293</v>
      </c>
      <c r="J1234" t="s">
        <v>7682</v>
      </c>
      <c r="K1234" t="s">
        <v>7826</v>
      </c>
      <c r="L1234" t="s">
        <v>7826</v>
      </c>
      <c r="N1234" t="str" cm="1">
        <f t="array" ref="N1234">IFERROR(LOOKUP(2,1/SEARCH($S$2:$S$65,G1234),$T$2:$T$65),"Misc")</f>
        <v>OH P/N</v>
      </c>
      <c r="O1234" t="str" cm="1">
        <f t="array" ref="O1234">IFERROR(LOOKUP(2,1/SEARCH($V$2:$V$65,G1234),$W$2:$W$65),"Misc")</f>
        <v>OH Part</v>
      </c>
      <c r="P1234" t="str" cm="1">
        <f t="array" ref="P1234">IFERROR(LOOKUP(2,1/SEARCH($Y$2:$Y$65,G1234),$Z$2:$Z$65),"Not Defined")</f>
        <v>OH Part</v>
      </c>
      <c r="Q1234" t="str" cm="1">
        <f t="array" ref="Q1234">IFERROR(LOOKUP(2,1/SEARCH($S$2:$S$65,H1234),$T$2:$T$65),"-")</f>
        <v>-</v>
      </c>
    </row>
    <row r="1235" spans="1:17" hidden="1" x14ac:dyDescent="0.25">
      <c r="A1235" t="s">
        <v>7674</v>
      </c>
      <c r="B1235" t="s">
        <v>3341</v>
      </c>
      <c r="C1235">
        <v>66</v>
      </c>
      <c r="D1235" t="s">
        <v>7308</v>
      </c>
      <c r="E1235" t="s">
        <v>3223</v>
      </c>
      <c r="F1235" t="s">
        <v>208</v>
      </c>
      <c r="G1235" t="s">
        <v>7049</v>
      </c>
      <c r="H1235" t="s">
        <v>209</v>
      </c>
      <c r="I1235" t="s">
        <v>210</v>
      </c>
      <c r="J1235" t="s">
        <v>7703</v>
      </c>
      <c r="K1235" t="s">
        <v>7684</v>
      </c>
      <c r="L1235" t="s">
        <v>7738</v>
      </c>
      <c r="N1235" t="str" cm="1">
        <f t="array" ref="N1235">IFERROR(LOOKUP(2,1/SEARCH($S$2:$S$65,G1235),$T$2:$T$65),"Misc")</f>
        <v>COTS</v>
      </c>
      <c r="O1235" t="str" cm="1">
        <f t="array" ref="O1235">IFERROR(LOOKUP(2,1/SEARCH($V$2:$V$65,G1235),$W$2:$W$65),"Misc")</f>
        <v>Fasteners</v>
      </c>
      <c r="P1235" t="str" cm="1">
        <f t="array" ref="P1235">IFERROR(LOOKUP(2,1/SEARCH($Y$2:$Y$65,G1235),$Z$2:$Z$65),"Not Defined")</f>
        <v>FHWS</v>
      </c>
      <c r="Q1235" t="str" cm="1">
        <f t="array" ref="Q1235">IFERROR(LOOKUP(2,1/SEARCH($S$2:$S$65,H1235),$T$2:$T$65),"-")</f>
        <v>COTS</v>
      </c>
    </row>
    <row r="1236" spans="1:17" hidden="1" x14ac:dyDescent="0.25">
      <c r="A1236" t="s">
        <v>7674</v>
      </c>
      <c r="B1236" t="s">
        <v>3342</v>
      </c>
      <c r="C1236">
        <v>2</v>
      </c>
      <c r="D1236" t="s">
        <v>7308</v>
      </c>
      <c r="E1236" t="s">
        <v>3223</v>
      </c>
      <c r="F1236" t="s">
        <v>239</v>
      </c>
      <c r="G1236" t="s">
        <v>7058</v>
      </c>
      <c r="H1236" t="s">
        <v>240</v>
      </c>
      <c r="I1236" t="s">
        <v>210</v>
      </c>
      <c r="J1236" t="s">
        <v>7703</v>
      </c>
      <c r="K1236" t="s">
        <v>7684</v>
      </c>
      <c r="L1236" t="s">
        <v>7738</v>
      </c>
      <c r="N1236" t="str" cm="1">
        <f t="array" ref="N1236">IFERROR(LOOKUP(2,1/SEARCH($S$2:$S$65,G1236),$T$2:$T$65),"Misc")</f>
        <v>COTS</v>
      </c>
      <c r="O1236" t="str" cm="1">
        <f t="array" ref="O1236">IFERROR(LOOKUP(2,1/SEARCH($V$2:$V$65,G1236),$W$2:$W$65),"Misc")</f>
        <v>Fasteners</v>
      </c>
      <c r="P1236" t="str" cm="1">
        <f t="array" ref="P1236">IFERROR(LOOKUP(2,1/SEARCH($Y$2:$Y$65,G1236),$Z$2:$Z$65),"Not Defined")</f>
        <v>FHWS</v>
      </c>
      <c r="Q1236" t="str" cm="1">
        <f t="array" ref="Q1236">IFERROR(LOOKUP(2,1/SEARCH($S$2:$S$65,H1236),$T$2:$T$65),"-")</f>
        <v>COTS</v>
      </c>
    </row>
    <row r="1237" spans="1:17" hidden="1" x14ac:dyDescent="0.25">
      <c r="A1237" t="s">
        <v>7674</v>
      </c>
      <c r="B1237" t="s">
        <v>3343</v>
      </c>
      <c r="C1237">
        <v>6</v>
      </c>
      <c r="D1237" t="s">
        <v>7308</v>
      </c>
      <c r="E1237" t="s">
        <v>3223</v>
      </c>
      <c r="F1237" t="s">
        <v>219</v>
      </c>
      <c r="G1237" t="s">
        <v>7052</v>
      </c>
      <c r="H1237" t="s">
        <v>220</v>
      </c>
      <c r="I1237" t="s">
        <v>210</v>
      </c>
      <c r="J1237" t="s">
        <v>7703</v>
      </c>
      <c r="K1237" t="s">
        <v>7684</v>
      </c>
      <c r="L1237" t="s">
        <v>7691</v>
      </c>
      <c r="N1237" t="str" cm="1">
        <f t="array" ref="N1237">IFERROR(LOOKUP(2,1/SEARCH($S$2:$S$65,G1237),$T$2:$T$65),"Misc")</f>
        <v>COTS</v>
      </c>
      <c r="O1237" t="str" cm="1">
        <f t="array" ref="O1237">IFERROR(LOOKUP(2,1/SEARCH($V$2:$V$65,G1237),$W$2:$W$65),"Misc")</f>
        <v>Fasteners</v>
      </c>
      <c r="P1237" t="str" cm="1">
        <f t="array" ref="P1237">IFERROR(LOOKUP(2,1/SEARCH($Y$2:$Y$65,G1237),$Z$2:$Z$65),"Not Defined")</f>
        <v>FHS</v>
      </c>
      <c r="Q1237" t="str" cm="1">
        <f t="array" ref="Q1237">IFERROR(LOOKUP(2,1/SEARCH($S$2:$S$65,H1237),$T$2:$T$65),"-")</f>
        <v>COTS</v>
      </c>
    </row>
    <row r="1238" spans="1:17" hidden="1" x14ac:dyDescent="0.25">
      <c r="A1238" t="s">
        <v>7674</v>
      </c>
      <c r="B1238" t="s">
        <v>3344</v>
      </c>
      <c r="C1238">
        <v>12</v>
      </c>
      <c r="D1238" t="s">
        <v>7308</v>
      </c>
      <c r="E1238" t="s">
        <v>3223</v>
      </c>
      <c r="F1238" t="s">
        <v>212</v>
      </c>
      <c r="G1238" t="s">
        <v>7050</v>
      </c>
      <c r="H1238" t="s">
        <v>213</v>
      </c>
      <c r="I1238" t="s">
        <v>214</v>
      </c>
      <c r="J1238" t="s">
        <v>7703</v>
      </c>
      <c r="K1238" t="s">
        <v>7684</v>
      </c>
      <c r="L1238" t="s">
        <v>7707</v>
      </c>
      <c r="N1238" t="str" cm="1">
        <f t="array" ref="N1238">IFERROR(LOOKUP(2,1/SEARCH($S$2:$S$65,G1238),$T$2:$T$65),"Misc")</f>
        <v>COTS</v>
      </c>
      <c r="O1238" t="str" cm="1">
        <f t="array" ref="O1238">IFERROR(LOOKUP(2,1/SEARCH($V$2:$V$65,G1238),$W$2:$W$65),"Misc")</f>
        <v>Fasteners</v>
      </c>
      <c r="P1238" t="str" cm="1">
        <f t="array" ref="P1238">IFERROR(LOOKUP(2,1/SEARCH($Y$2:$Y$65,G1238),$Z$2:$Z$65),"Not Defined")</f>
        <v>PIN</v>
      </c>
      <c r="Q1238" t="str" cm="1">
        <f t="array" ref="Q1238">IFERROR(LOOKUP(2,1/SEARCH($S$2:$S$65,H1238),$T$2:$T$65),"-")</f>
        <v>COTS</v>
      </c>
    </row>
    <row r="1239" spans="1:17" hidden="1" x14ac:dyDescent="0.25">
      <c r="A1239" t="s">
        <v>7674</v>
      </c>
      <c r="B1239" t="s">
        <v>3345</v>
      </c>
      <c r="C1239">
        <v>6</v>
      </c>
      <c r="D1239" t="s">
        <v>7308</v>
      </c>
      <c r="E1239" t="s">
        <v>3223</v>
      </c>
      <c r="F1239" t="s">
        <v>950</v>
      </c>
      <c r="G1239" t="s">
        <v>7139</v>
      </c>
      <c r="H1239" t="s">
        <v>951</v>
      </c>
      <c r="I1239" t="s">
        <v>228</v>
      </c>
      <c r="J1239" t="s">
        <v>7703</v>
      </c>
      <c r="K1239" t="s">
        <v>7684</v>
      </c>
      <c r="L1239" t="s">
        <v>7692</v>
      </c>
      <c r="N1239" t="str" cm="1">
        <f t="array" ref="N1239">IFERROR(LOOKUP(2,1/SEARCH($S$2:$S$65,G1239),$T$2:$T$65),"Misc")</f>
        <v>COTS</v>
      </c>
      <c r="O1239" t="str" cm="1">
        <f t="array" ref="O1239">IFERROR(LOOKUP(2,1/SEARCH($V$2:$V$65,G1239),$W$2:$W$65),"Misc")</f>
        <v>Fasteners</v>
      </c>
      <c r="P1239" t="str" cm="1">
        <f t="array" ref="P1239">IFERROR(LOOKUP(2,1/SEARCH($Y$2:$Y$65,G1239),$Z$2:$Z$65),"Not Defined")</f>
        <v>WASHER</v>
      </c>
      <c r="Q1239" t="str" cm="1">
        <f t="array" ref="Q1239">IFERROR(LOOKUP(2,1/SEARCH($S$2:$S$65,H1239),$T$2:$T$65),"-")</f>
        <v>COTS</v>
      </c>
    </row>
    <row r="1240" spans="1:17" hidden="1" x14ac:dyDescent="0.25">
      <c r="A1240" t="s">
        <v>7674</v>
      </c>
      <c r="B1240" t="s">
        <v>3346</v>
      </c>
      <c r="C1240">
        <v>14</v>
      </c>
      <c r="D1240" t="s">
        <v>7308</v>
      </c>
      <c r="E1240" t="s">
        <v>3223</v>
      </c>
      <c r="F1240" t="s">
        <v>915</v>
      </c>
      <c r="G1240" t="s">
        <v>7129</v>
      </c>
      <c r="H1240" t="s">
        <v>916</v>
      </c>
      <c r="I1240" t="s">
        <v>228</v>
      </c>
      <c r="J1240" t="s">
        <v>7703</v>
      </c>
      <c r="K1240" t="s">
        <v>7684</v>
      </c>
      <c r="L1240" t="s">
        <v>7693</v>
      </c>
      <c r="N1240" t="str" cm="1">
        <f t="array" ref="N1240">IFERROR(LOOKUP(2,1/SEARCH($S$2:$S$65,G1240),$T$2:$T$65),"Misc")</f>
        <v>COTS</v>
      </c>
      <c r="O1240" t="str" cm="1">
        <f t="array" ref="O1240">IFERROR(LOOKUP(2,1/SEARCH($V$2:$V$65,G1240),$W$2:$W$65),"Misc")</f>
        <v>Fasteners</v>
      </c>
      <c r="P1240" t="str" cm="1">
        <f t="array" ref="P1240">IFERROR(LOOKUP(2,1/SEARCH($Y$2:$Y$65,G1240),$Z$2:$Z$65),"Not Defined")</f>
        <v>PHS</v>
      </c>
      <c r="Q1240" t="str" cm="1">
        <f t="array" ref="Q1240">IFERROR(LOOKUP(2,1/SEARCH($S$2:$S$65,H1240),$T$2:$T$65),"-")</f>
        <v>COTS</v>
      </c>
    </row>
    <row r="1241" spans="1:17" hidden="1" x14ac:dyDescent="0.25">
      <c r="A1241" t="s">
        <v>7674</v>
      </c>
      <c r="B1241" t="s">
        <v>3347</v>
      </c>
      <c r="C1241">
        <v>2</v>
      </c>
      <c r="D1241" t="s">
        <v>7308</v>
      </c>
      <c r="E1241" t="s">
        <v>3223</v>
      </c>
      <c r="F1241" t="s">
        <v>3348</v>
      </c>
      <c r="G1241" t="s">
        <v>7984</v>
      </c>
      <c r="H1241" t="s">
        <v>7985</v>
      </c>
      <c r="I1241" t="s">
        <v>210</v>
      </c>
      <c r="J1241" t="s">
        <v>7703</v>
      </c>
      <c r="K1241" t="s">
        <v>7698</v>
      </c>
      <c r="L1241" t="s">
        <v>7707</v>
      </c>
      <c r="N1241" t="str" cm="1">
        <f t="array" ref="N1241">IFERROR(LOOKUP(2,1/SEARCH($S$2:$S$65,G1241),$T$2:$T$65),"Misc")</f>
        <v>COTS</v>
      </c>
      <c r="O1241" t="str" cm="1">
        <f t="array" ref="O1241">IFERROR(LOOKUP(2,1/SEARCH($V$2:$V$65,G1241),$W$2:$W$65),"Misc")</f>
        <v>Pins</v>
      </c>
      <c r="P1241" t="str" cm="1">
        <f t="array" ref="P1241">IFERROR(LOOKUP(2,1/SEARCH($Y$2:$Y$65,G1241),$Z$2:$Z$65),"Not Defined")</f>
        <v>PIN</v>
      </c>
      <c r="Q1241" t="str" cm="1">
        <f t="array" ref="Q1241">IFERROR(LOOKUP(2,1/SEARCH($S$2:$S$65,H1241),$T$2:$T$65),"-")</f>
        <v>COTS</v>
      </c>
    </row>
    <row r="1242" spans="1:17" hidden="1" x14ac:dyDescent="0.25">
      <c r="A1242" t="s">
        <v>7674</v>
      </c>
      <c r="B1242" t="s">
        <v>3349</v>
      </c>
      <c r="C1242">
        <v>33</v>
      </c>
      <c r="D1242" t="s">
        <v>7308</v>
      </c>
      <c r="E1242" t="s">
        <v>3223</v>
      </c>
      <c r="F1242" t="s">
        <v>230</v>
      </c>
      <c r="G1242" t="s">
        <v>7055</v>
      </c>
      <c r="H1242" t="s">
        <v>231</v>
      </c>
      <c r="I1242" t="s">
        <v>210</v>
      </c>
      <c r="J1242" t="s">
        <v>7703</v>
      </c>
      <c r="K1242" t="s">
        <v>7684</v>
      </c>
      <c r="L1242" t="s">
        <v>7692</v>
      </c>
      <c r="N1242" t="str" cm="1">
        <f t="array" ref="N1242">IFERROR(LOOKUP(2,1/SEARCH($S$2:$S$65,G1242),$T$2:$T$65),"Misc")</f>
        <v>COTS</v>
      </c>
      <c r="O1242" t="str" cm="1">
        <f t="array" ref="O1242">IFERROR(LOOKUP(2,1/SEARCH($V$2:$V$65,G1242),$W$2:$W$65),"Misc")</f>
        <v>Fasteners</v>
      </c>
      <c r="P1242" t="str" cm="1">
        <f t="array" ref="P1242">IFERROR(LOOKUP(2,1/SEARCH($Y$2:$Y$65,G1242),$Z$2:$Z$65),"Not Defined")</f>
        <v>WASHER</v>
      </c>
      <c r="Q1242" t="str" cm="1">
        <f t="array" ref="Q1242">IFERROR(LOOKUP(2,1/SEARCH($S$2:$S$65,H1242),$T$2:$T$65),"-")</f>
        <v>COTS</v>
      </c>
    </row>
    <row r="1243" spans="1:17" hidden="1" x14ac:dyDescent="0.25">
      <c r="A1243" t="s">
        <v>7674</v>
      </c>
      <c r="B1243" t="s">
        <v>3350</v>
      </c>
      <c r="C1243">
        <v>24</v>
      </c>
      <c r="D1243" t="s">
        <v>7308</v>
      </c>
      <c r="E1243" t="s">
        <v>3223</v>
      </c>
      <c r="F1243" t="s">
        <v>236</v>
      </c>
      <c r="G1243" t="s">
        <v>7057</v>
      </c>
      <c r="H1243" t="s">
        <v>237</v>
      </c>
      <c r="I1243" t="s">
        <v>210</v>
      </c>
      <c r="J1243" t="s">
        <v>7703</v>
      </c>
      <c r="K1243" t="s">
        <v>7684</v>
      </c>
      <c r="L1243" t="s">
        <v>7693</v>
      </c>
      <c r="N1243" t="str" cm="1">
        <f t="array" ref="N1243">IFERROR(LOOKUP(2,1/SEARCH($S$2:$S$65,G1243),$T$2:$T$65),"Misc")</f>
        <v>COTS</v>
      </c>
      <c r="O1243" t="str" cm="1">
        <f t="array" ref="O1243">IFERROR(LOOKUP(2,1/SEARCH($V$2:$V$65,G1243),$W$2:$W$65),"Misc")</f>
        <v>Fasteners</v>
      </c>
      <c r="P1243" t="str" cm="1">
        <f t="array" ref="P1243">IFERROR(LOOKUP(2,1/SEARCH($Y$2:$Y$65,G1243),$Z$2:$Z$65),"Not Defined")</f>
        <v>PHS</v>
      </c>
      <c r="Q1243" t="str" cm="1">
        <f t="array" ref="Q1243">IFERROR(LOOKUP(2,1/SEARCH($S$2:$S$65,H1243),$T$2:$T$65),"-")</f>
        <v>COTS</v>
      </c>
    </row>
    <row r="1244" spans="1:17" hidden="1" x14ac:dyDescent="0.25">
      <c r="A1244" t="s">
        <v>7674</v>
      </c>
      <c r="B1244" t="s">
        <v>3351</v>
      </c>
      <c r="C1244">
        <v>4</v>
      </c>
      <c r="D1244" t="s">
        <v>7308</v>
      </c>
      <c r="E1244" t="s">
        <v>3223</v>
      </c>
      <c r="F1244" t="s">
        <v>2659</v>
      </c>
      <c r="G1244" t="s">
        <v>7306</v>
      </c>
      <c r="H1244" t="s">
        <v>2660</v>
      </c>
      <c r="I1244" t="s">
        <v>210</v>
      </c>
      <c r="J1244" t="s">
        <v>7703</v>
      </c>
      <c r="K1244" t="s">
        <v>7684</v>
      </c>
      <c r="L1244" t="s">
        <v>7738</v>
      </c>
      <c r="N1244" t="str" cm="1">
        <f t="array" ref="N1244">IFERROR(LOOKUP(2,1/SEARCH($S$2:$S$65,G1244),$T$2:$T$65),"Misc")</f>
        <v>COTS</v>
      </c>
      <c r="O1244" t="str" cm="1">
        <f t="array" ref="O1244">IFERROR(LOOKUP(2,1/SEARCH($V$2:$V$65,G1244),$W$2:$W$65),"Misc")</f>
        <v>Fasteners</v>
      </c>
      <c r="P1244" t="str" cm="1">
        <f t="array" ref="P1244">IFERROR(LOOKUP(2,1/SEARCH($Y$2:$Y$65,G1244),$Z$2:$Z$65),"Not Defined")</f>
        <v>FHWS</v>
      </c>
      <c r="Q1244" t="str" cm="1">
        <f t="array" ref="Q1244">IFERROR(LOOKUP(2,1/SEARCH($S$2:$S$65,H1244),$T$2:$T$65),"-")</f>
        <v>COTS</v>
      </c>
    </row>
    <row r="1245" spans="1:17" hidden="1" x14ac:dyDescent="0.25">
      <c r="A1245" t="s">
        <v>7674</v>
      </c>
      <c r="B1245" t="s">
        <v>3352</v>
      </c>
      <c r="C1245">
        <v>32</v>
      </c>
      <c r="D1245" t="s">
        <v>7308</v>
      </c>
      <c r="E1245" t="s">
        <v>3223</v>
      </c>
      <c r="F1245" t="s">
        <v>222</v>
      </c>
      <c r="G1245" t="s">
        <v>7053</v>
      </c>
      <c r="H1245" t="s">
        <v>223</v>
      </c>
      <c r="I1245" t="s">
        <v>224</v>
      </c>
      <c r="J1245" t="s">
        <v>7703</v>
      </c>
      <c r="K1245" t="s">
        <v>7684</v>
      </c>
      <c r="L1245" t="s">
        <v>7687</v>
      </c>
      <c r="N1245" t="str" cm="1">
        <f t="array" ref="N1245">IFERROR(LOOKUP(2,1/SEARCH($S$2:$S$65,G1245),$T$2:$T$65),"Misc")</f>
        <v>COTS</v>
      </c>
      <c r="O1245" t="str" cm="1">
        <f t="array" ref="O1245">IFERROR(LOOKUP(2,1/SEARCH($V$2:$V$65,G1245),$W$2:$W$65),"Misc")</f>
        <v>Fasteners</v>
      </c>
      <c r="P1245" t="str" cm="1">
        <f t="array" ref="P1245">IFERROR(LOOKUP(2,1/SEARCH($Y$2:$Y$65,G1245),$Z$2:$Z$65),"Not Defined")</f>
        <v>INSERT</v>
      </c>
      <c r="Q1245" t="str" cm="1">
        <f t="array" ref="Q1245">IFERROR(LOOKUP(2,1/SEARCH($S$2:$S$65,H1245),$T$2:$T$65),"-")</f>
        <v>COTS</v>
      </c>
    </row>
    <row r="1246" spans="1:17" hidden="1" x14ac:dyDescent="0.25">
      <c r="A1246" t="s">
        <v>7674</v>
      </c>
      <c r="B1246" t="s">
        <v>3353</v>
      </c>
      <c r="C1246">
        <v>1</v>
      </c>
      <c r="D1246" t="s">
        <v>7308</v>
      </c>
      <c r="E1246" t="s">
        <v>3223</v>
      </c>
      <c r="F1246" t="s">
        <v>226</v>
      </c>
      <c r="G1246" t="s">
        <v>7054</v>
      </c>
      <c r="H1246" t="s">
        <v>227</v>
      </c>
      <c r="I1246" t="s">
        <v>228</v>
      </c>
      <c r="J1246" t="s">
        <v>7703</v>
      </c>
      <c r="K1246" t="s">
        <v>7684</v>
      </c>
      <c r="L1246" t="s">
        <v>7685</v>
      </c>
      <c r="N1246" t="str" cm="1">
        <f t="array" ref="N1246">IFERROR(LOOKUP(2,1/SEARCH($S$2:$S$65,G1246),$T$2:$T$65),"Misc")</f>
        <v>COTS</v>
      </c>
      <c r="O1246" t="str" cm="1">
        <f t="array" ref="O1246">IFERROR(LOOKUP(2,1/SEARCH($V$2:$V$65,G1246),$W$2:$W$65),"Misc")</f>
        <v>Fasteners</v>
      </c>
      <c r="P1246" t="str" cm="1">
        <f t="array" ref="P1246">IFERROR(LOOKUP(2,1/SEARCH($Y$2:$Y$65,G1246),$Z$2:$Z$65),"Not Defined")</f>
        <v>NUT</v>
      </c>
      <c r="Q1246" t="str" cm="1">
        <f t="array" ref="Q1246">IFERROR(LOOKUP(2,1/SEARCH($S$2:$S$65,H1246),$T$2:$T$65),"-")</f>
        <v>COTS</v>
      </c>
    </row>
    <row r="1247" spans="1:17" hidden="1" x14ac:dyDescent="0.25">
      <c r="A1247" t="s">
        <v>7674</v>
      </c>
      <c r="B1247" t="s">
        <v>3354</v>
      </c>
      <c r="C1247">
        <v>1</v>
      </c>
      <c r="D1247" t="s">
        <v>7308</v>
      </c>
      <c r="E1247" t="s">
        <v>3223</v>
      </c>
      <c r="F1247" t="s">
        <v>233</v>
      </c>
      <c r="G1247" t="s">
        <v>7056</v>
      </c>
      <c r="H1247" t="s">
        <v>234</v>
      </c>
      <c r="I1247" t="s">
        <v>210</v>
      </c>
      <c r="J1247" t="s">
        <v>7703</v>
      </c>
      <c r="K1247" t="s">
        <v>7684</v>
      </c>
      <c r="L1247" t="s">
        <v>7693</v>
      </c>
      <c r="N1247" t="str" cm="1">
        <f t="array" ref="N1247">IFERROR(LOOKUP(2,1/SEARCH($S$2:$S$65,G1247),$T$2:$T$65),"Misc")</f>
        <v>COTS</v>
      </c>
      <c r="O1247" t="str" cm="1">
        <f t="array" ref="O1247">IFERROR(LOOKUP(2,1/SEARCH($V$2:$V$65,G1247),$W$2:$W$65),"Misc")</f>
        <v>Fasteners</v>
      </c>
      <c r="P1247" t="str" cm="1">
        <f t="array" ref="P1247">IFERROR(LOOKUP(2,1/SEARCH($Y$2:$Y$65,G1247),$Z$2:$Z$65),"Not Defined")</f>
        <v>PHS</v>
      </c>
      <c r="Q1247" t="str" cm="1">
        <f t="array" ref="Q1247">IFERROR(LOOKUP(2,1/SEARCH($S$2:$S$65,H1247),$T$2:$T$65),"-")</f>
        <v>COTS</v>
      </c>
    </row>
    <row r="1248" spans="1:17" hidden="1" x14ac:dyDescent="0.25">
      <c r="A1248" t="s">
        <v>7674</v>
      </c>
      <c r="B1248" t="s">
        <v>3355</v>
      </c>
      <c r="C1248">
        <v>4</v>
      </c>
      <c r="D1248" t="s">
        <v>7308</v>
      </c>
      <c r="E1248" t="s">
        <v>3223</v>
      </c>
      <c r="F1248" t="s">
        <v>2647</v>
      </c>
      <c r="G1248" t="s">
        <v>7304</v>
      </c>
      <c r="H1248" t="s">
        <v>2648</v>
      </c>
      <c r="I1248" t="s">
        <v>214</v>
      </c>
      <c r="J1248" t="s">
        <v>7703</v>
      </c>
      <c r="K1248" t="s">
        <v>7684</v>
      </c>
      <c r="L1248" t="s">
        <v>7707</v>
      </c>
      <c r="N1248" t="str" cm="1">
        <f t="array" ref="N1248">IFERROR(LOOKUP(2,1/SEARCH($S$2:$S$65,G1248),$T$2:$T$65),"Misc")</f>
        <v>COTS</v>
      </c>
      <c r="O1248" t="str" cm="1">
        <f t="array" ref="O1248">IFERROR(LOOKUP(2,1/SEARCH($V$2:$V$65,G1248),$W$2:$W$65),"Misc")</f>
        <v>Fasteners</v>
      </c>
      <c r="P1248" t="str" cm="1">
        <f t="array" ref="P1248">IFERROR(LOOKUP(2,1/SEARCH($Y$2:$Y$65,G1248),$Z$2:$Z$65),"Not Defined")</f>
        <v>PIN</v>
      </c>
      <c r="Q1248" t="str" cm="1">
        <f t="array" ref="Q1248">IFERROR(LOOKUP(2,1/SEARCH($S$2:$S$65,H1248),$T$2:$T$65),"-")</f>
        <v>COTS</v>
      </c>
    </row>
    <row r="1249" spans="1:17" hidden="1" x14ac:dyDescent="0.25">
      <c r="A1249" t="s">
        <v>7674</v>
      </c>
      <c r="B1249" t="s">
        <v>3356</v>
      </c>
      <c r="C1249">
        <v>2</v>
      </c>
      <c r="D1249" t="s">
        <v>7308</v>
      </c>
      <c r="E1249" t="s">
        <v>3223</v>
      </c>
      <c r="F1249" t="s">
        <v>3357</v>
      </c>
      <c r="G1249" t="s">
        <v>7356</v>
      </c>
      <c r="H1249" t="s">
        <v>3358</v>
      </c>
      <c r="J1249" t="s">
        <v>7703</v>
      </c>
      <c r="K1249" t="s">
        <v>7814</v>
      </c>
      <c r="L1249" t="s">
        <v>7834</v>
      </c>
      <c r="N1249" t="str" cm="1">
        <f t="array" ref="N1249">IFERROR(LOOKUP(2,1/SEARCH($S$2:$S$65,G1249),$T$2:$T$65),"Misc")</f>
        <v>Misc</v>
      </c>
      <c r="O1249" t="str" cm="1">
        <f t="array" ref="O1249">IFERROR(LOOKUP(2,1/SEARCH($V$2:$V$65,G1249),$W$2:$W$65),"Misc")</f>
        <v>Misc</v>
      </c>
      <c r="P1249" t="str" cm="1">
        <f t="array" ref="P1249">IFERROR(LOOKUP(2,1/SEARCH($Y$2:$Y$65,G1249),$Z$2:$Z$65),"Not Defined")</f>
        <v>Not Defined</v>
      </c>
      <c r="Q1249" t="str" cm="1">
        <f t="array" ref="Q1249">IFERROR(LOOKUP(2,1/SEARCH($S$2:$S$65,H1249),$T$2:$T$65),"-")</f>
        <v>-</v>
      </c>
    </row>
    <row r="1250" spans="1:17" hidden="1" x14ac:dyDescent="0.25">
      <c r="A1250" t="s">
        <v>7674</v>
      </c>
      <c r="B1250" t="s">
        <v>3359</v>
      </c>
      <c r="C1250">
        <v>1</v>
      </c>
      <c r="D1250" t="s">
        <v>7308</v>
      </c>
      <c r="E1250" t="s">
        <v>3361</v>
      </c>
      <c r="F1250" t="s">
        <v>3360</v>
      </c>
      <c r="G1250" t="s">
        <v>3362</v>
      </c>
      <c r="H1250" t="s">
        <v>3361</v>
      </c>
      <c r="J1250" t="s">
        <v>7742</v>
      </c>
      <c r="K1250" t="s">
        <v>7826</v>
      </c>
      <c r="L1250" t="s">
        <v>7826</v>
      </c>
      <c r="N1250" t="str" cm="1">
        <f t="array" ref="N1250">IFERROR(LOOKUP(2,1/SEARCH($S$2:$S$65,G1250),$T$2:$T$65),"Misc")</f>
        <v>OH ASSY</v>
      </c>
      <c r="O1250" t="str" cm="1">
        <f t="array" ref="O1250">IFERROR(LOOKUP(2,1/SEARCH($V$2:$V$65,G1250),$W$2:$W$65),"Misc")</f>
        <v>OH Part</v>
      </c>
      <c r="P1250" t="str" cm="1">
        <f t="array" ref="P1250">IFERROR(LOOKUP(2,1/SEARCH($Y$2:$Y$65,G1250),$Z$2:$Z$65),"Not Defined")</f>
        <v>OH Part</v>
      </c>
      <c r="Q1250" t="str" cm="1">
        <f t="array" ref="Q1250">IFERROR(LOOKUP(2,1/SEARCH($S$2:$S$65,H1250),$T$2:$T$65),"-")</f>
        <v>OH ASSY</v>
      </c>
    </row>
    <row r="1251" spans="1:17" hidden="1" x14ac:dyDescent="0.25">
      <c r="A1251" t="s">
        <v>7674</v>
      </c>
      <c r="B1251" t="s">
        <v>3363</v>
      </c>
      <c r="C1251">
        <v>2</v>
      </c>
      <c r="D1251" t="s">
        <v>7308</v>
      </c>
      <c r="E1251" t="s">
        <v>3361</v>
      </c>
      <c r="F1251" t="s">
        <v>3364</v>
      </c>
      <c r="G1251" t="s">
        <v>3366</v>
      </c>
      <c r="H1251" t="s">
        <v>3365</v>
      </c>
      <c r="I1251" t="s">
        <v>38</v>
      </c>
      <c r="J1251" t="s">
        <v>7682</v>
      </c>
      <c r="K1251" t="s">
        <v>7826</v>
      </c>
      <c r="L1251" t="s">
        <v>7826</v>
      </c>
      <c r="N1251" t="str" cm="1">
        <f t="array" ref="N1251">IFERROR(LOOKUP(2,1/SEARCH($S$2:$S$65,G1251),$T$2:$T$65),"Misc")</f>
        <v>OH P/N</v>
      </c>
      <c r="O1251" t="str" cm="1">
        <f t="array" ref="O1251">IFERROR(LOOKUP(2,1/SEARCH($V$2:$V$65,G1251),$W$2:$W$65),"Misc")</f>
        <v>OH Part</v>
      </c>
      <c r="P1251" t="str" cm="1">
        <f t="array" ref="P1251">IFERROR(LOOKUP(2,1/SEARCH($Y$2:$Y$65,G1251),$Z$2:$Z$65),"Not Defined")</f>
        <v>OH Part</v>
      </c>
      <c r="Q1251" t="str" cm="1">
        <f t="array" ref="Q1251">IFERROR(LOOKUP(2,1/SEARCH($S$2:$S$65,H1251),$T$2:$T$65),"-")</f>
        <v>-</v>
      </c>
    </row>
    <row r="1252" spans="1:17" hidden="1" x14ac:dyDescent="0.25">
      <c r="A1252" t="s">
        <v>7674</v>
      </c>
      <c r="B1252" t="s">
        <v>3367</v>
      </c>
      <c r="C1252">
        <v>1</v>
      </c>
      <c r="D1252" t="s">
        <v>7308</v>
      </c>
      <c r="E1252" t="s">
        <v>3361</v>
      </c>
      <c r="F1252" t="s">
        <v>3368</v>
      </c>
      <c r="G1252" t="s">
        <v>3370</v>
      </c>
      <c r="H1252" t="s">
        <v>3369</v>
      </c>
      <c r="I1252" t="s">
        <v>38</v>
      </c>
      <c r="J1252" t="s">
        <v>7682</v>
      </c>
      <c r="K1252" t="s">
        <v>7826</v>
      </c>
      <c r="L1252" t="s">
        <v>7826</v>
      </c>
      <c r="N1252" t="str" cm="1">
        <f t="array" ref="N1252">IFERROR(LOOKUP(2,1/SEARCH($S$2:$S$65,G1252),$T$2:$T$65),"Misc")</f>
        <v>OH P/N</v>
      </c>
      <c r="O1252" t="str" cm="1">
        <f t="array" ref="O1252">IFERROR(LOOKUP(2,1/SEARCH($V$2:$V$65,G1252),$W$2:$W$65),"Misc")</f>
        <v>OH Part</v>
      </c>
      <c r="P1252" t="str" cm="1">
        <f t="array" ref="P1252">IFERROR(LOOKUP(2,1/SEARCH($Y$2:$Y$65,G1252),$Z$2:$Z$65),"Not Defined")</f>
        <v>OH Part</v>
      </c>
      <c r="Q1252" t="str" cm="1">
        <f t="array" ref="Q1252">IFERROR(LOOKUP(2,1/SEARCH($S$2:$S$65,H1252),$T$2:$T$65),"-")</f>
        <v>-</v>
      </c>
    </row>
    <row r="1253" spans="1:17" hidden="1" x14ac:dyDescent="0.25">
      <c r="A1253" t="s">
        <v>7674</v>
      </c>
      <c r="B1253" t="s">
        <v>3371</v>
      </c>
      <c r="C1253">
        <v>4</v>
      </c>
      <c r="D1253" t="s">
        <v>7308</v>
      </c>
      <c r="E1253" t="s">
        <v>3361</v>
      </c>
      <c r="F1253" t="s">
        <v>208</v>
      </c>
      <c r="G1253" t="s">
        <v>7049</v>
      </c>
      <c r="H1253" t="s">
        <v>209</v>
      </c>
      <c r="I1253" t="s">
        <v>210</v>
      </c>
      <c r="J1253" t="s">
        <v>7703</v>
      </c>
      <c r="K1253" t="s">
        <v>7684</v>
      </c>
      <c r="L1253" t="s">
        <v>7738</v>
      </c>
      <c r="N1253" t="str" cm="1">
        <f t="array" ref="N1253">IFERROR(LOOKUP(2,1/SEARCH($S$2:$S$65,G1253),$T$2:$T$65),"Misc")</f>
        <v>COTS</v>
      </c>
      <c r="O1253" t="str" cm="1">
        <f t="array" ref="O1253">IFERROR(LOOKUP(2,1/SEARCH($V$2:$V$65,G1253),$W$2:$W$65),"Misc")</f>
        <v>Fasteners</v>
      </c>
      <c r="P1253" t="str" cm="1">
        <f t="array" ref="P1253">IFERROR(LOOKUP(2,1/SEARCH($Y$2:$Y$65,G1253),$Z$2:$Z$65),"Not Defined")</f>
        <v>FHWS</v>
      </c>
      <c r="Q1253" t="str" cm="1">
        <f t="array" ref="Q1253">IFERROR(LOOKUP(2,1/SEARCH($S$2:$S$65,H1253),$T$2:$T$65),"-")</f>
        <v>COTS</v>
      </c>
    </row>
    <row r="1254" spans="1:17" hidden="1" x14ac:dyDescent="0.25">
      <c r="A1254" t="s">
        <v>7674</v>
      </c>
      <c r="B1254" t="s">
        <v>3372</v>
      </c>
      <c r="C1254">
        <v>1</v>
      </c>
      <c r="D1254" t="s">
        <v>7308</v>
      </c>
      <c r="F1254" t="s">
        <v>3373</v>
      </c>
      <c r="G1254" t="s">
        <v>7357</v>
      </c>
      <c r="H1254" t="s">
        <v>3374</v>
      </c>
      <c r="I1254" t="s">
        <v>255</v>
      </c>
      <c r="J1254" t="s">
        <v>7703</v>
      </c>
      <c r="K1254" t="s">
        <v>7814</v>
      </c>
      <c r="L1254" t="s">
        <v>7834</v>
      </c>
      <c r="N1254" t="str" cm="1">
        <f t="array" ref="N1254">IFERROR(LOOKUP(2,1/SEARCH($S$2:$S$65,G1254),$T$2:$T$65),"Misc")</f>
        <v>Misc</v>
      </c>
      <c r="O1254" t="str" cm="1">
        <f t="array" ref="O1254">IFERROR(LOOKUP(2,1/SEARCH($V$2:$V$65,G1254),$W$2:$W$65),"Misc")</f>
        <v>Misc</v>
      </c>
      <c r="P1254" t="str" cm="1">
        <f t="array" ref="P1254">IFERROR(LOOKUP(2,1/SEARCH($Y$2:$Y$65,G1254),$Z$2:$Z$65),"Not Defined")</f>
        <v>Not Defined</v>
      </c>
      <c r="Q1254" t="str" cm="1">
        <f t="array" ref="Q1254">IFERROR(LOOKUP(2,1/SEARCH($S$2:$S$65,H1254),$T$2:$T$65),"-")</f>
        <v>-</v>
      </c>
    </row>
    <row r="1255" spans="1:17" hidden="1" x14ac:dyDescent="0.25">
      <c r="A1255" t="s">
        <v>7674</v>
      </c>
      <c r="B1255" s="18">
        <v>2.2999999999999998</v>
      </c>
      <c r="C1255">
        <v>13</v>
      </c>
      <c r="D1255" t="s">
        <v>7302</v>
      </c>
      <c r="F1255" t="s">
        <v>1025</v>
      </c>
      <c r="G1255" t="s">
        <v>7161</v>
      </c>
      <c r="H1255" t="s">
        <v>1026</v>
      </c>
      <c r="I1255" t="s">
        <v>210</v>
      </c>
      <c r="J1255" t="s">
        <v>7703</v>
      </c>
      <c r="K1255" t="s">
        <v>7684</v>
      </c>
      <c r="L1255" t="s">
        <v>7692</v>
      </c>
      <c r="N1255" t="str" cm="1">
        <f t="array" ref="N1255">IFERROR(LOOKUP(2,1/SEARCH($S$2:$S$65,G1255),$T$2:$T$65),"Misc")</f>
        <v>COTS</v>
      </c>
      <c r="O1255" t="str" cm="1">
        <f t="array" ref="O1255">IFERROR(LOOKUP(2,1/SEARCH($V$2:$V$65,G1255),$W$2:$W$65),"Misc")</f>
        <v>Fasteners</v>
      </c>
      <c r="P1255" t="str" cm="1">
        <f t="array" ref="P1255">IFERROR(LOOKUP(2,1/SEARCH($Y$2:$Y$65,G1255),$Z$2:$Z$65),"Not Defined")</f>
        <v>WASHER</v>
      </c>
      <c r="Q1255" t="str" cm="1">
        <f t="array" ref="Q1255">IFERROR(LOOKUP(2,1/SEARCH($S$2:$S$65,H1255),$T$2:$T$65),"-")</f>
        <v>COTS</v>
      </c>
    </row>
    <row r="1256" spans="1:17" hidden="1" x14ac:dyDescent="0.25">
      <c r="A1256" t="s">
        <v>7674</v>
      </c>
      <c r="B1256" s="18">
        <v>2.4</v>
      </c>
      <c r="C1256">
        <v>13</v>
      </c>
      <c r="D1256" t="s">
        <v>7302</v>
      </c>
      <c r="F1256" t="s">
        <v>1008</v>
      </c>
      <c r="G1256" t="s">
        <v>7157</v>
      </c>
      <c r="H1256" t="s">
        <v>1009</v>
      </c>
      <c r="I1256" t="s">
        <v>210</v>
      </c>
      <c r="J1256" t="s">
        <v>7703</v>
      </c>
      <c r="K1256" t="s">
        <v>7684</v>
      </c>
      <c r="L1256" t="s">
        <v>7706</v>
      </c>
      <c r="N1256" t="str" cm="1">
        <f t="array" ref="N1256">IFERROR(LOOKUP(2,1/SEARCH($S$2:$S$65,G1256),$T$2:$T$65),"Misc")</f>
        <v>COTS</v>
      </c>
      <c r="O1256" t="str" cm="1">
        <f t="array" ref="O1256">IFERROR(LOOKUP(2,1/SEARCH($V$2:$V$65,G1256),$W$2:$W$65),"Misc")</f>
        <v>Fasteners</v>
      </c>
      <c r="P1256" t="str" cm="1">
        <f t="array" ref="P1256">IFERROR(LOOKUP(2,1/SEARCH($Y$2:$Y$65,G1256),$Z$2:$Z$65),"Not Defined")</f>
        <v>HHCS</v>
      </c>
      <c r="Q1256" t="str" cm="1">
        <f t="array" ref="Q1256">IFERROR(LOOKUP(2,1/SEARCH($S$2:$S$65,H1256),$T$2:$T$65),"-")</f>
        <v>COTS</v>
      </c>
    </row>
    <row r="1257" spans="1:17" hidden="1" x14ac:dyDescent="0.25">
      <c r="A1257" t="s">
        <v>7674</v>
      </c>
      <c r="B1257" s="18">
        <v>2.5</v>
      </c>
      <c r="C1257">
        <v>1</v>
      </c>
      <c r="D1257" t="s">
        <v>7358</v>
      </c>
      <c r="F1257" t="s">
        <v>3375</v>
      </c>
      <c r="G1257" t="s">
        <v>7358</v>
      </c>
      <c r="H1257" t="s">
        <v>3376</v>
      </c>
      <c r="J1257" t="s">
        <v>7742</v>
      </c>
      <c r="K1257" t="s">
        <v>7826</v>
      </c>
      <c r="L1257" t="s">
        <v>7826</v>
      </c>
      <c r="N1257" t="str" cm="1">
        <f t="array" ref="N1257">IFERROR(LOOKUP(2,1/SEARCH($S$2:$S$65,G1257),$T$2:$T$65),"Misc")</f>
        <v>OH ASSY</v>
      </c>
      <c r="O1257" t="str" cm="1">
        <f t="array" ref="O1257">IFERROR(LOOKUP(2,1/SEARCH($V$2:$V$65,G1257),$W$2:$W$65),"Misc")</f>
        <v>OH Part</v>
      </c>
      <c r="P1257" t="str" cm="1">
        <f t="array" ref="P1257">IFERROR(LOOKUP(2,1/SEARCH($Y$2:$Y$65,G1257),$Z$2:$Z$65),"Not Defined")</f>
        <v>OH Part</v>
      </c>
      <c r="Q1257" t="str" cm="1">
        <f t="array" ref="Q1257">IFERROR(LOOKUP(2,1/SEARCH($S$2:$S$65,H1257),$T$2:$T$65),"-")</f>
        <v>OH ASSY</v>
      </c>
    </row>
    <row r="1258" spans="1:17" hidden="1" x14ac:dyDescent="0.25">
      <c r="A1258" t="s">
        <v>7674</v>
      </c>
      <c r="B1258" s="21" t="s">
        <v>3377</v>
      </c>
      <c r="C1258">
        <v>1</v>
      </c>
      <c r="D1258" t="s">
        <v>7358</v>
      </c>
      <c r="E1258" t="s">
        <v>3379</v>
      </c>
      <c r="F1258" t="s">
        <v>3378</v>
      </c>
      <c r="G1258" t="s">
        <v>7359</v>
      </c>
      <c r="H1258" t="s">
        <v>3379</v>
      </c>
      <c r="J1258" t="s">
        <v>7742</v>
      </c>
      <c r="K1258" t="s">
        <v>7826</v>
      </c>
      <c r="L1258" t="s">
        <v>7826</v>
      </c>
      <c r="N1258" t="str" cm="1">
        <f t="array" ref="N1258">IFERROR(LOOKUP(2,1/SEARCH($S$2:$S$65,G1258),$T$2:$T$65),"Misc")</f>
        <v>OH ASSY</v>
      </c>
      <c r="O1258" t="str" cm="1">
        <f t="array" ref="O1258">IFERROR(LOOKUP(2,1/SEARCH($V$2:$V$65,G1258),$W$2:$W$65),"Misc")</f>
        <v>OH Part</v>
      </c>
      <c r="P1258" t="str" cm="1">
        <f t="array" ref="P1258">IFERROR(LOOKUP(2,1/SEARCH($Y$2:$Y$65,G1258),$Z$2:$Z$65),"Not Defined")</f>
        <v>OH Part</v>
      </c>
      <c r="Q1258" t="str" cm="1">
        <f t="array" ref="Q1258">IFERROR(LOOKUP(2,1/SEARCH($S$2:$S$65,H1258),$T$2:$T$65),"-")</f>
        <v>OH ASSY</v>
      </c>
    </row>
    <row r="1259" spans="1:17" hidden="1" x14ac:dyDescent="0.25">
      <c r="A1259" t="s">
        <v>7674</v>
      </c>
      <c r="B1259" s="22" t="s">
        <v>3380</v>
      </c>
      <c r="C1259">
        <v>1</v>
      </c>
      <c r="D1259" t="s">
        <v>7358</v>
      </c>
      <c r="E1259" t="s">
        <v>7885</v>
      </c>
      <c r="F1259" t="s">
        <v>3381</v>
      </c>
      <c r="G1259" t="s">
        <v>7360</v>
      </c>
      <c r="H1259" t="s">
        <v>3382</v>
      </c>
      <c r="J1259" t="s">
        <v>7742</v>
      </c>
      <c r="K1259" t="s">
        <v>7826</v>
      </c>
      <c r="L1259" t="s">
        <v>7826</v>
      </c>
      <c r="N1259" t="str" cm="1">
        <f t="array" ref="N1259">IFERROR(LOOKUP(2,1/SEARCH($S$2:$S$65,G1259),$T$2:$T$65),"Misc")</f>
        <v>OH ASSY</v>
      </c>
      <c r="O1259" t="str" cm="1">
        <f t="array" ref="O1259">IFERROR(LOOKUP(2,1/SEARCH($V$2:$V$65,G1259),$W$2:$W$65),"Misc")</f>
        <v>OH Part</v>
      </c>
      <c r="P1259" t="str" cm="1">
        <f t="array" ref="P1259">IFERROR(LOOKUP(2,1/SEARCH($Y$2:$Y$65,G1259),$Z$2:$Z$65),"Not Defined")</f>
        <v>OH Part</v>
      </c>
      <c r="Q1259" t="str" cm="1">
        <f t="array" ref="Q1259">IFERROR(LOOKUP(2,1/SEARCH($S$2:$S$65,H1259),$T$2:$T$65),"-")</f>
        <v>OH ASSY</v>
      </c>
    </row>
    <row r="1260" spans="1:17" hidden="1" x14ac:dyDescent="0.25">
      <c r="A1260" t="s">
        <v>7674</v>
      </c>
      <c r="B1260" s="23" t="s">
        <v>3383</v>
      </c>
      <c r="C1260">
        <v>1</v>
      </c>
      <c r="D1260" t="s">
        <v>7358</v>
      </c>
      <c r="E1260" t="s">
        <v>7886</v>
      </c>
      <c r="F1260" t="s">
        <v>3384</v>
      </c>
      <c r="G1260" t="s">
        <v>3386</v>
      </c>
      <c r="H1260" t="s">
        <v>3385</v>
      </c>
      <c r="J1260" t="s">
        <v>7742</v>
      </c>
      <c r="K1260" t="s">
        <v>7826</v>
      </c>
      <c r="L1260" t="s">
        <v>7826</v>
      </c>
      <c r="N1260" t="str" cm="1">
        <f t="array" ref="N1260">IFERROR(LOOKUP(2,1/SEARCH($S$2:$S$65,G1260),$T$2:$T$65),"Misc")</f>
        <v>OH ASSY</v>
      </c>
      <c r="O1260" t="str" cm="1">
        <f t="array" ref="O1260">IFERROR(LOOKUP(2,1/SEARCH($V$2:$V$65,G1260),$W$2:$W$65),"Misc")</f>
        <v>OH Part</v>
      </c>
      <c r="P1260" t="str" cm="1">
        <f t="array" ref="P1260">IFERROR(LOOKUP(2,1/SEARCH($Y$2:$Y$65,G1260),$Z$2:$Z$65),"Not Defined")</f>
        <v>OH Part</v>
      </c>
      <c r="Q1260" t="str" cm="1">
        <f t="array" ref="Q1260">IFERROR(LOOKUP(2,1/SEARCH($S$2:$S$65,H1260),$T$2:$T$65),"-")</f>
        <v>OH ASSY</v>
      </c>
    </row>
    <row r="1261" spans="1:17" hidden="1" x14ac:dyDescent="0.25">
      <c r="A1261" t="s">
        <v>7674</v>
      </c>
      <c r="B1261" s="23" t="s">
        <v>3387</v>
      </c>
      <c r="C1261">
        <v>1</v>
      </c>
      <c r="D1261" t="s">
        <v>7358</v>
      </c>
      <c r="E1261" t="s">
        <v>7887</v>
      </c>
      <c r="F1261" t="s">
        <v>3388</v>
      </c>
      <c r="G1261" t="s">
        <v>3390</v>
      </c>
      <c r="H1261" t="s">
        <v>3389</v>
      </c>
      <c r="J1261" t="s">
        <v>7742</v>
      </c>
      <c r="K1261" t="s">
        <v>7826</v>
      </c>
      <c r="L1261" t="s">
        <v>7826</v>
      </c>
      <c r="N1261" t="str" cm="1">
        <f t="array" ref="N1261">IFERROR(LOOKUP(2,1/SEARCH($S$2:$S$65,G1261),$T$2:$T$65),"Misc")</f>
        <v>OH ASSY</v>
      </c>
      <c r="O1261" t="str" cm="1">
        <f t="array" ref="O1261">IFERROR(LOOKUP(2,1/SEARCH($V$2:$V$65,G1261),$W$2:$W$65),"Misc")</f>
        <v>OH Part</v>
      </c>
      <c r="P1261" t="str" cm="1">
        <f t="array" ref="P1261">IFERROR(LOOKUP(2,1/SEARCH($Y$2:$Y$65,G1261),$Z$2:$Z$65),"Not Defined")</f>
        <v>OH Part</v>
      </c>
      <c r="Q1261" t="str" cm="1">
        <f t="array" ref="Q1261">IFERROR(LOOKUP(2,1/SEARCH($S$2:$S$65,H1261),$T$2:$T$65),"-")</f>
        <v>OH ASSY</v>
      </c>
    </row>
    <row r="1262" spans="1:17" hidden="1" x14ac:dyDescent="0.25">
      <c r="A1262" t="s">
        <v>7674</v>
      </c>
      <c r="B1262" s="23" t="s">
        <v>3391</v>
      </c>
      <c r="C1262">
        <v>1</v>
      </c>
      <c r="D1262" t="s">
        <v>7358</v>
      </c>
      <c r="E1262" t="s">
        <v>7887</v>
      </c>
      <c r="F1262" t="s">
        <v>3392</v>
      </c>
      <c r="G1262" t="s">
        <v>3394</v>
      </c>
      <c r="H1262" t="s">
        <v>3393</v>
      </c>
      <c r="I1262" t="s">
        <v>13</v>
      </c>
      <c r="J1262" t="s">
        <v>7682</v>
      </c>
      <c r="K1262" t="s">
        <v>7826</v>
      </c>
      <c r="L1262" t="s">
        <v>7826</v>
      </c>
      <c r="N1262" t="str" cm="1">
        <f t="array" ref="N1262">IFERROR(LOOKUP(2,1/SEARCH($S$2:$S$65,G1262),$T$2:$T$65),"Misc")</f>
        <v>OH P/N</v>
      </c>
      <c r="O1262" t="str" cm="1">
        <f t="array" ref="O1262">IFERROR(LOOKUP(2,1/SEARCH($V$2:$V$65,G1262),$W$2:$W$65),"Misc")</f>
        <v>OH Part</v>
      </c>
      <c r="P1262" t="str" cm="1">
        <f t="array" ref="P1262">IFERROR(LOOKUP(2,1/SEARCH($Y$2:$Y$65,G1262),$Z$2:$Z$65),"Not Defined")</f>
        <v>OH Part</v>
      </c>
      <c r="Q1262" t="str" cm="1">
        <f t="array" ref="Q1262">IFERROR(LOOKUP(2,1/SEARCH($S$2:$S$65,H1262),$T$2:$T$65),"-")</f>
        <v>-</v>
      </c>
    </row>
    <row r="1263" spans="1:17" hidden="1" x14ac:dyDescent="0.25">
      <c r="A1263" t="s">
        <v>7674</v>
      </c>
      <c r="B1263" s="23" t="s">
        <v>3395</v>
      </c>
      <c r="C1263">
        <v>2</v>
      </c>
      <c r="D1263" t="s">
        <v>7358</v>
      </c>
      <c r="E1263" t="s">
        <v>7887</v>
      </c>
      <c r="F1263" t="s">
        <v>3396</v>
      </c>
      <c r="G1263" t="s">
        <v>7361</v>
      </c>
      <c r="H1263" t="s">
        <v>3397</v>
      </c>
      <c r="I1263" t="s">
        <v>228</v>
      </c>
      <c r="J1263" t="s">
        <v>7703</v>
      </c>
      <c r="K1263" t="s">
        <v>7684</v>
      </c>
      <c r="L1263" t="s">
        <v>7685</v>
      </c>
      <c r="N1263" t="str" cm="1">
        <f t="array" ref="N1263">IFERROR(LOOKUP(2,1/SEARCH($S$2:$S$65,G1263),$T$2:$T$65),"Misc")</f>
        <v>COTS</v>
      </c>
      <c r="O1263" t="str" cm="1">
        <f t="array" ref="O1263">IFERROR(LOOKUP(2,1/SEARCH($V$2:$V$65,G1263),$W$2:$W$65),"Misc")</f>
        <v>Fasteners</v>
      </c>
      <c r="P1263" t="str" cm="1">
        <f t="array" ref="P1263">IFERROR(LOOKUP(2,1/SEARCH($Y$2:$Y$65,G1263),$Z$2:$Z$65),"Not Defined")</f>
        <v>NUT</v>
      </c>
      <c r="Q1263" t="str" cm="1">
        <f t="array" ref="Q1263">IFERROR(LOOKUP(2,1/SEARCH($S$2:$S$65,H1263),$T$2:$T$65),"-")</f>
        <v>COTS</v>
      </c>
    </row>
    <row r="1264" spans="1:17" hidden="1" x14ac:dyDescent="0.25">
      <c r="A1264" t="s">
        <v>7674</v>
      </c>
      <c r="B1264" s="23" t="s">
        <v>3398</v>
      </c>
      <c r="C1264">
        <v>1</v>
      </c>
      <c r="D1264" t="s">
        <v>7358</v>
      </c>
      <c r="E1264" t="s">
        <v>7888</v>
      </c>
      <c r="F1264" t="s">
        <v>3399</v>
      </c>
      <c r="G1264" t="s">
        <v>3401</v>
      </c>
      <c r="H1264" t="s">
        <v>3400</v>
      </c>
      <c r="J1264" t="s">
        <v>7742</v>
      </c>
      <c r="K1264" t="s">
        <v>7826</v>
      </c>
      <c r="L1264" t="s">
        <v>7826</v>
      </c>
      <c r="N1264" t="str" cm="1">
        <f t="array" ref="N1264">IFERROR(LOOKUP(2,1/SEARCH($S$2:$S$65,G1264),$T$2:$T$65),"Misc")</f>
        <v>OH ASSY</v>
      </c>
      <c r="O1264" t="str" cm="1">
        <f t="array" ref="O1264">IFERROR(LOOKUP(2,1/SEARCH($V$2:$V$65,G1264),$W$2:$W$65),"Misc")</f>
        <v>OH Part</v>
      </c>
      <c r="P1264" t="str" cm="1">
        <f t="array" ref="P1264">IFERROR(LOOKUP(2,1/SEARCH($Y$2:$Y$65,G1264),$Z$2:$Z$65),"Not Defined")</f>
        <v>OH Part</v>
      </c>
      <c r="Q1264" t="str" cm="1">
        <f t="array" ref="Q1264">IFERROR(LOOKUP(2,1/SEARCH($S$2:$S$65,H1264),$T$2:$T$65),"-")</f>
        <v>OH ASSY</v>
      </c>
    </row>
    <row r="1265" spans="1:17" hidden="1" x14ac:dyDescent="0.25">
      <c r="A1265" t="s">
        <v>7674</v>
      </c>
      <c r="B1265" s="23" t="s">
        <v>3402</v>
      </c>
      <c r="C1265">
        <v>1</v>
      </c>
      <c r="D1265" t="s">
        <v>7358</v>
      </c>
      <c r="E1265" t="s">
        <v>7888</v>
      </c>
      <c r="F1265" t="s">
        <v>3403</v>
      </c>
      <c r="G1265" t="s">
        <v>3405</v>
      </c>
      <c r="H1265" t="s">
        <v>3404</v>
      </c>
      <c r="I1265" t="s">
        <v>13</v>
      </c>
      <c r="J1265" t="s">
        <v>7682</v>
      </c>
      <c r="K1265" t="s">
        <v>7826</v>
      </c>
      <c r="L1265" t="s">
        <v>7826</v>
      </c>
      <c r="N1265" t="str" cm="1">
        <f t="array" ref="N1265">IFERROR(LOOKUP(2,1/SEARCH($S$2:$S$65,G1265),$T$2:$T$65),"Misc")</f>
        <v>OH P/N</v>
      </c>
      <c r="O1265" t="str" cm="1">
        <f t="array" ref="O1265">IFERROR(LOOKUP(2,1/SEARCH($V$2:$V$65,G1265),$W$2:$W$65),"Misc")</f>
        <v>OH Part</v>
      </c>
      <c r="P1265" t="str" cm="1">
        <f t="array" ref="P1265">IFERROR(LOOKUP(2,1/SEARCH($Y$2:$Y$65,G1265),$Z$2:$Z$65),"Not Defined")</f>
        <v>OH Part</v>
      </c>
      <c r="Q1265" t="str" cm="1">
        <f t="array" ref="Q1265">IFERROR(LOOKUP(2,1/SEARCH($S$2:$S$65,H1265),$T$2:$T$65),"-")</f>
        <v>-</v>
      </c>
    </row>
    <row r="1266" spans="1:17" hidden="1" x14ac:dyDescent="0.25">
      <c r="A1266" t="s">
        <v>7674</v>
      </c>
      <c r="B1266" s="23" t="s">
        <v>3406</v>
      </c>
      <c r="C1266">
        <v>4</v>
      </c>
      <c r="D1266" t="s">
        <v>7358</v>
      </c>
      <c r="E1266" t="s">
        <v>7888</v>
      </c>
      <c r="F1266" t="s">
        <v>3396</v>
      </c>
      <c r="G1266" t="s">
        <v>7361</v>
      </c>
      <c r="H1266" t="s">
        <v>3397</v>
      </c>
      <c r="I1266" t="s">
        <v>228</v>
      </c>
      <c r="J1266" t="s">
        <v>7703</v>
      </c>
      <c r="K1266" t="s">
        <v>7684</v>
      </c>
      <c r="L1266" t="s">
        <v>7685</v>
      </c>
      <c r="N1266" t="str" cm="1">
        <f t="array" ref="N1266">IFERROR(LOOKUP(2,1/SEARCH($S$2:$S$65,G1266),$T$2:$T$65),"Misc")</f>
        <v>COTS</v>
      </c>
      <c r="O1266" t="str" cm="1">
        <f t="array" ref="O1266">IFERROR(LOOKUP(2,1/SEARCH($V$2:$V$65,G1266),$W$2:$W$65),"Misc")</f>
        <v>Fasteners</v>
      </c>
      <c r="P1266" t="str" cm="1">
        <f t="array" ref="P1266">IFERROR(LOOKUP(2,1/SEARCH($Y$2:$Y$65,G1266),$Z$2:$Z$65),"Not Defined")</f>
        <v>NUT</v>
      </c>
      <c r="Q1266" t="str" cm="1">
        <f t="array" ref="Q1266">IFERROR(LOOKUP(2,1/SEARCH($S$2:$S$65,H1266),$T$2:$T$65),"-")</f>
        <v>COTS</v>
      </c>
    </row>
    <row r="1267" spans="1:17" hidden="1" x14ac:dyDescent="0.25">
      <c r="A1267" t="s">
        <v>7674</v>
      </c>
      <c r="B1267" s="23" t="s">
        <v>3407</v>
      </c>
      <c r="C1267">
        <v>3</v>
      </c>
      <c r="D1267" t="s">
        <v>7358</v>
      </c>
      <c r="E1267" t="s">
        <v>7886</v>
      </c>
      <c r="F1267" t="s">
        <v>3408</v>
      </c>
      <c r="G1267" t="s">
        <v>7362</v>
      </c>
      <c r="H1267" t="s">
        <v>3409</v>
      </c>
      <c r="J1267" t="s">
        <v>7703</v>
      </c>
      <c r="K1267" t="s">
        <v>7684</v>
      </c>
      <c r="L1267" t="s">
        <v>7721</v>
      </c>
      <c r="N1267" t="str" cm="1">
        <f t="array" ref="N1267">IFERROR(LOOKUP(2,1/SEARCH($S$2:$S$65,G1267),$T$2:$T$65),"Misc")</f>
        <v>COTS</v>
      </c>
      <c r="O1267" t="str" cm="1">
        <f t="array" ref="O1267">IFERROR(LOOKUP(2,1/SEARCH($V$2:$V$65,G1267),$W$2:$W$65),"Misc")</f>
        <v>Fasteners</v>
      </c>
      <c r="P1267" t="str" cm="1">
        <f t="array" ref="P1267">IFERROR(LOOKUP(2,1/SEARCH($Y$2:$Y$65,G1267),$Z$2:$Z$65),"Not Defined")</f>
        <v>SET SCREW</v>
      </c>
      <c r="Q1267" t="str" cm="1">
        <f t="array" ref="Q1267">IFERROR(LOOKUP(2,1/SEARCH($S$2:$S$65,H1267),$T$2:$T$65),"-")</f>
        <v>COTS</v>
      </c>
    </row>
    <row r="1268" spans="1:17" hidden="1" x14ac:dyDescent="0.25">
      <c r="A1268" t="s">
        <v>7674</v>
      </c>
      <c r="B1268" s="23" t="s">
        <v>3410</v>
      </c>
      <c r="C1268">
        <v>3</v>
      </c>
      <c r="D1268" t="s">
        <v>7358</v>
      </c>
      <c r="E1268" t="s">
        <v>7886</v>
      </c>
      <c r="F1268" t="s">
        <v>3411</v>
      </c>
      <c r="G1268" t="s">
        <v>7363</v>
      </c>
      <c r="H1268" t="s">
        <v>3412</v>
      </c>
      <c r="I1268" t="s">
        <v>228</v>
      </c>
      <c r="J1268" t="s">
        <v>7703</v>
      </c>
      <c r="K1268" t="s">
        <v>7684</v>
      </c>
      <c r="L1268" t="s">
        <v>7721</v>
      </c>
      <c r="N1268" t="str" cm="1">
        <f t="array" ref="N1268">IFERROR(LOOKUP(2,1/SEARCH($S$2:$S$65,G1268),$T$2:$T$65),"Misc")</f>
        <v>COTS</v>
      </c>
      <c r="O1268" t="str" cm="1">
        <f t="array" ref="O1268">IFERROR(LOOKUP(2,1/SEARCH($V$2:$V$65,G1268),$W$2:$W$65),"Misc")</f>
        <v>Fasteners</v>
      </c>
      <c r="P1268" t="str" cm="1">
        <f t="array" ref="P1268">IFERROR(LOOKUP(2,1/SEARCH($Y$2:$Y$65,G1268),$Z$2:$Z$65),"Not Defined")</f>
        <v>SET SCREW</v>
      </c>
      <c r="Q1268" t="str" cm="1">
        <f t="array" ref="Q1268">IFERROR(LOOKUP(2,1/SEARCH($S$2:$S$65,H1268),$T$2:$T$65),"-")</f>
        <v>COTS</v>
      </c>
    </row>
    <row r="1269" spans="1:17" hidden="1" x14ac:dyDescent="0.25">
      <c r="A1269" t="s">
        <v>7674</v>
      </c>
      <c r="B1269" s="23" t="s">
        <v>3413</v>
      </c>
      <c r="C1269">
        <v>2</v>
      </c>
      <c r="D1269" t="s">
        <v>7358</v>
      </c>
      <c r="E1269" t="s">
        <v>7886</v>
      </c>
      <c r="F1269" t="s">
        <v>3414</v>
      </c>
      <c r="G1269" t="s">
        <v>7364</v>
      </c>
      <c r="H1269" t="s">
        <v>3415</v>
      </c>
      <c r="I1269" t="s">
        <v>228</v>
      </c>
      <c r="J1269" t="s">
        <v>7703</v>
      </c>
      <c r="K1269" t="s">
        <v>7684</v>
      </c>
      <c r="L1269" t="s">
        <v>7820</v>
      </c>
      <c r="N1269" t="str" cm="1">
        <f t="array" ref="N1269">IFERROR(LOOKUP(2,1/SEARCH($S$2:$S$65,G1269),$T$2:$T$65),"Misc")</f>
        <v>COTS</v>
      </c>
      <c r="O1269" t="str" cm="1">
        <f t="array" ref="O1269">IFERROR(LOOKUP(2,1/SEARCH($V$2:$V$65,G1269),$W$2:$W$65),"Misc")</f>
        <v>Fasteners</v>
      </c>
      <c r="P1269" t="str" cm="1">
        <f t="array" ref="P1269">IFERROR(LOOKUP(2,1/SEARCH($Y$2:$Y$65,G1269),$Z$2:$Z$65),"Not Defined")</f>
        <v>FHCS</v>
      </c>
      <c r="Q1269" t="str" cm="1">
        <f t="array" ref="Q1269">IFERROR(LOOKUP(2,1/SEARCH($S$2:$S$65,H1269),$T$2:$T$65),"-")</f>
        <v>COTS</v>
      </c>
    </row>
    <row r="1270" spans="1:17" hidden="1" x14ac:dyDescent="0.25">
      <c r="A1270" t="s">
        <v>7674</v>
      </c>
      <c r="B1270" s="23" t="s">
        <v>3416</v>
      </c>
      <c r="C1270">
        <v>1</v>
      </c>
      <c r="D1270" t="s">
        <v>7358</v>
      </c>
      <c r="E1270" t="s">
        <v>7886</v>
      </c>
      <c r="F1270" t="s">
        <v>3417</v>
      </c>
      <c r="G1270" t="s">
        <v>3419</v>
      </c>
      <c r="H1270" t="s">
        <v>3418</v>
      </c>
      <c r="I1270" t="s">
        <v>210</v>
      </c>
      <c r="J1270" t="s">
        <v>7682</v>
      </c>
      <c r="K1270" t="s">
        <v>7826</v>
      </c>
      <c r="L1270" t="s">
        <v>7826</v>
      </c>
      <c r="N1270" t="str" cm="1">
        <f t="array" ref="N1270">IFERROR(LOOKUP(2,1/SEARCH($S$2:$S$65,G1270),$T$2:$T$65),"Misc")</f>
        <v>OH P/N</v>
      </c>
      <c r="O1270" t="str" cm="1">
        <f t="array" ref="O1270">IFERROR(LOOKUP(2,1/SEARCH($V$2:$V$65,G1270),$W$2:$W$65),"Misc")</f>
        <v>OH Part</v>
      </c>
      <c r="P1270" t="str" cm="1">
        <f t="array" ref="P1270">IFERROR(LOOKUP(2,1/SEARCH($Y$2:$Y$65,G1270),$Z$2:$Z$65),"Not Defined")</f>
        <v>OH Part</v>
      </c>
      <c r="Q1270" t="str" cm="1">
        <f t="array" ref="Q1270">IFERROR(LOOKUP(2,1/SEARCH($S$2:$S$65,H1270),$T$2:$T$65),"-")</f>
        <v>COTS</v>
      </c>
    </row>
    <row r="1271" spans="1:17" hidden="1" x14ac:dyDescent="0.25">
      <c r="A1271" t="s">
        <v>7674</v>
      </c>
      <c r="B1271" s="23" t="s">
        <v>3420</v>
      </c>
      <c r="C1271">
        <v>4</v>
      </c>
      <c r="D1271" t="s">
        <v>7358</v>
      </c>
      <c r="E1271" t="s">
        <v>7889</v>
      </c>
      <c r="F1271" t="s">
        <v>3421</v>
      </c>
      <c r="G1271" t="s">
        <v>3423</v>
      </c>
      <c r="H1271" t="s">
        <v>3422</v>
      </c>
      <c r="I1271" t="s">
        <v>228</v>
      </c>
      <c r="J1271" t="s">
        <v>7682</v>
      </c>
      <c r="K1271" t="s">
        <v>7826</v>
      </c>
      <c r="L1271" t="s">
        <v>7822</v>
      </c>
      <c r="N1271" t="str" cm="1">
        <f t="array" ref="N1271">IFERROR(LOOKUP(2,1/SEARCH($S$2:$S$65,G1271),$T$2:$T$65),"Misc")</f>
        <v>OH P/N</v>
      </c>
      <c r="O1271" t="str" cm="1">
        <f t="array" ref="O1271">IFERROR(LOOKUP(2,1/SEARCH($V$2:$V$65,G1271),$W$2:$W$65),"Misc")</f>
        <v>OH Part</v>
      </c>
      <c r="P1271" t="str" cm="1">
        <f t="array" ref="P1271">IFERROR(LOOKUP(2,1/SEARCH($Y$2:$Y$65,G1271),$Z$2:$Z$65),"Not Defined")</f>
        <v>DAMPER</v>
      </c>
      <c r="Q1271" t="str" cm="1">
        <f t="array" ref="Q1271">IFERROR(LOOKUP(2,1/SEARCH($S$2:$S$65,H1271),$T$2:$T$65),"-")</f>
        <v>COTS</v>
      </c>
    </row>
    <row r="1272" spans="1:17" hidden="1" x14ac:dyDescent="0.25">
      <c r="A1272" t="s">
        <v>7674</v>
      </c>
      <c r="B1272" s="23" t="s">
        <v>3424</v>
      </c>
      <c r="C1272">
        <v>1</v>
      </c>
      <c r="D1272" t="s">
        <v>7358</v>
      </c>
      <c r="E1272" t="s">
        <v>7889</v>
      </c>
      <c r="F1272" t="s">
        <v>3425</v>
      </c>
      <c r="G1272" t="s">
        <v>7365</v>
      </c>
      <c r="H1272" t="s">
        <v>3426</v>
      </c>
      <c r="I1272" t="s">
        <v>228</v>
      </c>
      <c r="J1272" t="s">
        <v>7703</v>
      </c>
      <c r="K1272" t="s">
        <v>7684</v>
      </c>
      <c r="L1272" t="s">
        <v>7819</v>
      </c>
      <c r="N1272" t="str" cm="1">
        <f t="array" ref="N1272">IFERROR(LOOKUP(2,1/SEARCH($S$2:$S$65,G1272),$T$2:$T$65),"Misc")</f>
        <v>COTS</v>
      </c>
      <c r="O1272" t="str" cm="1">
        <f t="array" ref="O1272">IFERROR(LOOKUP(2,1/SEARCH($V$2:$V$65,G1272),$W$2:$W$65),"Misc")</f>
        <v>Fasteners</v>
      </c>
      <c r="P1272" t="str" cm="1">
        <f t="array" ref="P1272">IFERROR(LOOKUP(2,1/SEARCH($Y$2:$Y$65,G1272),$Z$2:$Z$65),"Not Defined")</f>
        <v>HHS</v>
      </c>
      <c r="Q1272" t="str" cm="1">
        <f t="array" ref="Q1272">IFERROR(LOOKUP(2,1/SEARCH($S$2:$S$65,H1272),$T$2:$T$65),"-")</f>
        <v>COTS</v>
      </c>
    </row>
    <row r="1273" spans="1:17" hidden="1" x14ac:dyDescent="0.25">
      <c r="A1273" t="s">
        <v>7674</v>
      </c>
      <c r="B1273" s="23" t="s">
        <v>3427</v>
      </c>
      <c r="C1273">
        <v>1</v>
      </c>
      <c r="D1273" t="s">
        <v>7358</v>
      </c>
      <c r="E1273" t="s">
        <v>7889</v>
      </c>
      <c r="F1273" t="s">
        <v>3428</v>
      </c>
      <c r="G1273" t="s">
        <v>7366</v>
      </c>
      <c r="H1273" t="s">
        <v>3429</v>
      </c>
      <c r="I1273" t="s">
        <v>228</v>
      </c>
      <c r="J1273" t="s">
        <v>7703</v>
      </c>
      <c r="K1273" t="s">
        <v>7684</v>
      </c>
      <c r="L1273" t="s">
        <v>7692</v>
      </c>
      <c r="N1273" t="str" cm="1">
        <f t="array" ref="N1273">IFERROR(LOOKUP(2,1/SEARCH($S$2:$S$65,G1273),$T$2:$T$65),"Misc")</f>
        <v>COTS</v>
      </c>
      <c r="O1273" t="str" cm="1">
        <f t="array" ref="O1273">IFERROR(LOOKUP(2,1/SEARCH($V$2:$V$65,G1273),$W$2:$W$65),"Misc")</f>
        <v>Fasteners</v>
      </c>
      <c r="P1273" t="str" cm="1">
        <f t="array" ref="P1273">IFERROR(LOOKUP(2,1/SEARCH($Y$2:$Y$65,G1273),$Z$2:$Z$65),"Not Defined")</f>
        <v>WASHER</v>
      </c>
      <c r="Q1273" t="str" cm="1">
        <f t="array" ref="Q1273">IFERROR(LOOKUP(2,1/SEARCH($S$2:$S$65,H1273),$T$2:$T$65),"-")</f>
        <v>COTS</v>
      </c>
    </row>
    <row r="1274" spans="1:17" hidden="1" x14ac:dyDescent="0.25">
      <c r="A1274" t="s">
        <v>7674</v>
      </c>
      <c r="B1274" s="22" t="s">
        <v>3430</v>
      </c>
      <c r="C1274">
        <v>1</v>
      </c>
      <c r="D1274" t="s">
        <v>7358</v>
      </c>
      <c r="E1274" t="s">
        <v>7890</v>
      </c>
      <c r="F1274" t="s">
        <v>3431</v>
      </c>
      <c r="G1274" t="s">
        <v>3433</v>
      </c>
      <c r="H1274" t="s">
        <v>3432</v>
      </c>
      <c r="J1274" t="s">
        <v>7742</v>
      </c>
      <c r="K1274" t="s">
        <v>7826</v>
      </c>
      <c r="L1274" t="s">
        <v>7826</v>
      </c>
      <c r="N1274" t="str" cm="1">
        <f t="array" ref="N1274">IFERROR(LOOKUP(2,1/SEARCH($S$2:$S$65,G1274),$T$2:$T$65),"Misc")</f>
        <v>OH ASSY</v>
      </c>
      <c r="O1274" t="str" cm="1">
        <f t="array" ref="O1274">IFERROR(LOOKUP(2,1/SEARCH($V$2:$V$65,G1274),$W$2:$W$65),"Misc")</f>
        <v>OH Part</v>
      </c>
      <c r="P1274" t="str" cm="1">
        <f t="array" ref="P1274">IFERROR(LOOKUP(2,1/SEARCH($Y$2:$Y$65,G1274),$Z$2:$Z$65),"Not Defined")</f>
        <v>OH Part</v>
      </c>
      <c r="Q1274" t="str" cm="1">
        <f t="array" ref="Q1274">IFERROR(LOOKUP(2,1/SEARCH($S$2:$S$65,H1274),$T$2:$T$65),"-")</f>
        <v>OH ASSY</v>
      </c>
    </row>
    <row r="1275" spans="1:17" hidden="1" x14ac:dyDescent="0.25">
      <c r="A1275" t="s">
        <v>7674</v>
      </c>
      <c r="B1275" s="22" t="s">
        <v>3434</v>
      </c>
      <c r="C1275">
        <v>1</v>
      </c>
      <c r="D1275" t="s">
        <v>7358</v>
      </c>
      <c r="E1275" t="s">
        <v>7890</v>
      </c>
      <c r="F1275" t="s">
        <v>3435</v>
      </c>
      <c r="G1275" t="s">
        <v>3437</v>
      </c>
      <c r="H1275" t="s">
        <v>3436</v>
      </c>
      <c r="I1275" t="s">
        <v>299</v>
      </c>
      <c r="J1275" t="s">
        <v>7682</v>
      </c>
      <c r="K1275" t="s">
        <v>7826</v>
      </c>
      <c r="L1275" t="s">
        <v>7826</v>
      </c>
      <c r="N1275" t="str" cm="1">
        <f t="array" ref="N1275">IFERROR(LOOKUP(2,1/SEARCH($S$2:$S$65,G1275),$T$2:$T$65),"Misc")</f>
        <v>OH P/N</v>
      </c>
      <c r="O1275" t="str" cm="1">
        <f t="array" ref="O1275">IFERROR(LOOKUP(2,1/SEARCH($V$2:$V$65,G1275),$W$2:$W$65),"Misc")</f>
        <v>OH Part</v>
      </c>
      <c r="P1275" t="str" cm="1">
        <f t="array" ref="P1275">IFERROR(LOOKUP(2,1/SEARCH($Y$2:$Y$65,G1275),$Z$2:$Z$65),"Not Defined")</f>
        <v>OH Part</v>
      </c>
      <c r="Q1275" t="str" cm="1">
        <f t="array" ref="Q1275">IFERROR(LOOKUP(2,1/SEARCH($S$2:$S$65,H1275),$T$2:$T$65),"-")</f>
        <v>-</v>
      </c>
    </row>
    <row r="1276" spans="1:17" hidden="1" x14ac:dyDescent="0.25">
      <c r="A1276" t="s">
        <v>7674</v>
      </c>
      <c r="B1276" s="22" t="s">
        <v>3438</v>
      </c>
      <c r="C1276">
        <v>1</v>
      </c>
      <c r="D1276" t="s">
        <v>7358</v>
      </c>
      <c r="E1276" t="s">
        <v>7891</v>
      </c>
      <c r="F1276" t="s">
        <v>3439</v>
      </c>
      <c r="G1276" t="s">
        <v>3441</v>
      </c>
      <c r="H1276" t="s">
        <v>3440</v>
      </c>
      <c r="J1276" t="s">
        <v>7742</v>
      </c>
      <c r="K1276" t="s">
        <v>7826</v>
      </c>
      <c r="L1276" t="s">
        <v>7826</v>
      </c>
      <c r="N1276" t="str" cm="1">
        <f t="array" ref="N1276">IFERROR(LOOKUP(2,1/SEARCH($S$2:$S$65,G1276),$T$2:$T$65),"Misc")</f>
        <v>OH ASSY</v>
      </c>
      <c r="O1276" t="str" cm="1">
        <f t="array" ref="O1276">IFERROR(LOOKUP(2,1/SEARCH($V$2:$V$65,G1276),$W$2:$W$65),"Misc")</f>
        <v>OH Part</v>
      </c>
      <c r="P1276" t="str" cm="1">
        <f t="array" ref="P1276">IFERROR(LOOKUP(2,1/SEARCH($Y$2:$Y$65,G1276),$Z$2:$Z$65),"Not Defined")</f>
        <v>OH Part</v>
      </c>
      <c r="Q1276" t="str" cm="1">
        <f t="array" ref="Q1276">IFERROR(LOOKUP(2,1/SEARCH($S$2:$S$65,H1276),$T$2:$T$65),"-")</f>
        <v>OH ASSY</v>
      </c>
    </row>
    <row r="1277" spans="1:17" hidden="1" x14ac:dyDescent="0.25">
      <c r="A1277" t="s">
        <v>7674</v>
      </c>
      <c r="B1277" s="22" t="s">
        <v>3442</v>
      </c>
      <c r="C1277">
        <v>1</v>
      </c>
      <c r="D1277" t="s">
        <v>7358</v>
      </c>
      <c r="E1277" t="s">
        <v>7891</v>
      </c>
      <c r="F1277" t="s">
        <v>3443</v>
      </c>
      <c r="G1277" t="s">
        <v>3445</v>
      </c>
      <c r="H1277" t="s">
        <v>3444</v>
      </c>
      <c r="I1277" t="s">
        <v>13</v>
      </c>
      <c r="J1277" t="s">
        <v>7682</v>
      </c>
      <c r="K1277" t="s">
        <v>7826</v>
      </c>
      <c r="L1277" t="s">
        <v>7826</v>
      </c>
      <c r="N1277" t="str" cm="1">
        <f t="array" ref="N1277">IFERROR(LOOKUP(2,1/SEARCH($S$2:$S$65,G1277),$T$2:$T$65),"Misc")</f>
        <v>OH P/N</v>
      </c>
      <c r="O1277" t="str" cm="1">
        <f t="array" ref="O1277">IFERROR(LOOKUP(2,1/SEARCH($V$2:$V$65,G1277),$W$2:$W$65),"Misc")</f>
        <v>OH Part</v>
      </c>
      <c r="P1277" t="str" cm="1">
        <f t="array" ref="P1277">IFERROR(LOOKUP(2,1/SEARCH($Y$2:$Y$65,G1277),$Z$2:$Z$65),"Not Defined")</f>
        <v>OH Part</v>
      </c>
      <c r="Q1277" t="str" cm="1">
        <f t="array" ref="Q1277">IFERROR(LOOKUP(2,1/SEARCH($S$2:$S$65,H1277),$T$2:$T$65),"-")</f>
        <v>-</v>
      </c>
    </row>
    <row r="1278" spans="1:17" hidden="1" x14ac:dyDescent="0.25">
      <c r="A1278" t="s">
        <v>7674</v>
      </c>
      <c r="B1278" s="22" t="s">
        <v>3446</v>
      </c>
      <c r="C1278">
        <v>2</v>
      </c>
      <c r="D1278" t="s">
        <v>7358</v>
      </c>
      <c r="E1278" t="s">
        <v>7891</v>
      </c>
      <c r="F1278" t="s">
        <v>3447</v>
      </c>
      <c r="G1278" t="s">
        <v>7367</v>
      </c>
      <c r="H1278" t="s">
        <v>3448</v>
      </c>
      <c r="I1278" t="s">
        <v>224</v>
      </c>
      <c r="J1278" t="s">
        <v>7703</v>
      </c>
      <c r="K1278" t="s">
        <v>7684</v>
      </c>
      <c r="L1278" t="s">
        <v>7687</v>
      </c>
      <c r="N1278" t="str" cm="1">
        <f t="array" ref="N1278">IFERROR(LOOKUP(2,1/SEARCH($S$2:$S$65,G1278),$T$2:$T$65),"Misc")</f>
        <v>COTS</v>
      </c>
      <c r="O1278" t="str" cm="1">
        <f t="array" ref="O1278">IFERROR(LOOKUP(2,1/SEARCH($V$2:$V$65,G1278),$W$2:$W$65),"Misc")</f>
        <v>Fasteners</v>
      </c>
      <c r="P1278" t="str" cm="1">
        <f t="array" ref="P1278">IFERROR(LOOKUP(2,1/SEARCH($Y$2:$Y$65,G1278),$Z$2:$Z$65),"Not Defined")</f>
        <v>INSERT</v>
      </c>
      <c r="Q1278" t="str" cm="1">
        <f t="array" ref="Q1278">IFERROR(LOOKUP(2,1/SEARCH($S$2:$S$65,H1278),$T$2:$T$65),"-")</f>
        <v>COTS</v>
      </c>
    </row>
    <row r="1279" spans="1:17" hidden="1" x14ac:dyDescent="0.25">
      <c r="A1279" t="s">
        <v>7674</v>
      </c>
      <c r="B1279" s="22" t="s">
        <v>3449</v>
      </c>
      <c r="C1279">
        <v>1</v>
      </c>
      <c r="D1279" t="s">
        <v>7358</v>
      </c>
      <c r="E1279" t="s">
        <v>7891</v>
      </c>
      <c r="F1279" t="s">
        <v>3450</v>
      </c>
      <c r="G1279" t="s">
        <v>7368</v>
      </c>
      <c r="H1279" t="s">
        <v>3451</v>
      </c>
      <c r="I1279" t="s">
        <v>224</v>
      </c>
      <c r="J1279" t="s">
        <v>7703</v>
      </c>
      <c r="K1279" t="s">
        <v>7684</v>
      </c>
      <c r="L1279" t="s">
        <v>7687</v>
      </c>
      <c r="N1279" t="str" cm="1">
        <f t="array" ref="N1279">IFERROR(LOOKUP(2,1/SEARCH($S$2:$S$65,G1279),$T$2:$T$65),"Misc")</f>
        <v>COTS</v>
      </c>
      <c r="O1279" t="str" cm="1">
        <f t="array" ref="O1279">IFERROR(LOOKUP(2,1/SEARCH($V$2:$V$65,G1279),$W$2:$W$65),"Misc")</f>
        <v>Fasteners</v>
      </c>
      <c r="P1279" t="str" cm="1">
        <f t="array" ref="P1279">IFERROR(LOOKUP(2,1/SEARCH($Y$2:$Y$65,G1279),$Z$2:$Z$65),"Not Defined")</f>
        <v>INSERT</v>
      </c>
      <c r="Q1279" t="str" cm="1">
        <f t="array" ref="Q1279">IFERROR(LOOKUP(2,1/SEARCH($S$2:$S$65,H1279),$T$2:$T$65),"-")</f>
        <v>COTS</v>
      </c>
    </row>
    <row r="1280" spans="1:17" hidden="1" x14ac:dyDescent="0.25">
      <c r="A1280" t="s">
        <v>7674</v>
      </c>
      <c r="B1280" s="22" t="s">
        <v>3452</v>
      </c>
      <c r="C1280">
        <v>1</v>
      </c>
      <c r="D1280" t="s">
        <v>7358</v>
      </c>
      <c r="E1280" t="s">
        <v>7891</v>
      </c>
      <c r="F1280" t="s">
        <v>3396</v>
      </c>
      <c r="G1280" t="s">
        <v>7361</v>
      </c>
      <c r="H1280" t="s">
        <v>3397</v>
      </c>
      <c r="I1280" t="s">
        <v>228</v>
      </c>
      <c r="J1280" t="s">
        <v>7703</v>
      </c>
      <c r="K1280" t="s">
        <v>7684</v>
      </c>
      <c r="L1280" t="s">
        <v>7685</v>
      </c>
      <c r="N1280" t="str" cm="1">
        <f t="array" ref="N1280">IFERROR(LOOKUP(2,1/SEARCH($S$2:$S$65,G1280),$T$2:$T$65),"Misc")</f>
        <v>COTS</v>
      </c>
      <c r="O1280" t="str" cm="1">
        <f t="array" ref="O1280">IFERROR(LOOKUP(2,1/SEARCH($V$2:$V$65,G1280),$W$2:$W$65),"Misc")</f>
        <v>Fasteners</v>
      </c>
      <c r="P1280" t="str" cm="1">
        <f t="array" ref="P1280">IFERROR(LOOKUP(2,1/SEARCH($Y$2:$Y$65,G1280),$Z$2:$Z$65),"Not Defined")</f>
        <v>NUT</v>
      </c>
      <c r="Q1280" t="str" cm="1">
        <f t="array" ref="Q1280">IFERROR(LOOKUP(2,1/SEARCH($S$2:$S$65,H1280),$T$2:$T$65),"-")</f>
        <v>COTS</v>
      </c>
    </row>
    <row r="1281" spans="1:17" hidden="1" x14ac:dyDescent="0.25">
      <c r="A1281" t="s">
        <v>7674</v>
      </c>
      <c r="B1281" s="22" t="s">
        <v>3453</v>
      </c>
      <c r="C1281">
        <v>1</v>
      </c>
      <c r="D1281" t="s">
        <v>7358</v>
      </c>
      <c r="E1281" t="s">
        <v>7890</v>
      </c>
      <c r="F1281" t="s">
        <v>3454</v>
      </c>
      <c r="G1281" t="s">
        <v>3456</v>
      </c>
      <c r="H1281" t="s">
        <v>3455</v>
      </c>
      <c r="I1281" t="s">
        <v>299</v>
      </c>
      <c r="J1281" t="s">
        <v>7682</v>
      </c>
      <c r="K1281" t="s">
        <v>7826</v>
      </c>
      <c r="L1281" t="s">
        <v>7826</v>
      </c>
      <c r="N1281" t="str" cm="1">
        <f t="array" ref="N1281">IFERROR(LOOKUP(2,1/SEARCH($S$2:$S$65,G1281),$T$2:$T$65),"Misc")</f>
        <v>OH P/N</v>
      </c>
      <c r="O1281" t="str" cm="1">
        <f t="array" ref="O1281">IFERROR(LOOKUP(2,1/SEARCH($V$2:$V$65,G1281),$W$2:$W$65),"Misc")</f>
        <v>OH Part</v>
      </c>
      <c r="P1281" t="str" cm="1">
        <f t="array" ref="P1281">IFERROR(LOOKUP(2,1/SEARCH($Y$2:$Y$65,G1281),$Z$2:$Z$65),"Not Defined")</f>
        <v>OH Part</v>
      </c>
      <c r="Q1281" t="str" cm="1">
        <f t="array" ref="Q1281">IFERROR(LOOKUP(2,1/SEARCH($S$2:$S$65,H1281),$T$2:$T$65),"-")</f>
        <v>-</v>
      </c>
    </row>
    <row r="1282" spans="1:17" hidden="1" x14ac:dyDescent="0.25">
      <c r="A1282" t="s">
        <v>7674</v>
      </c>
      <c r="B1282" s="22" t="s">
        <v>3457</v>
      </c>
      <c r="C1282">
        <v>2</v>
      </c>
      <c r="D1282" t="s">
        <v>7358</v>
      </c>
      <c r="E1282" t="s">
        <v>7890</v>
      </c>
      <c r="F1282" t="s">
        <v>3458</v>
      </c>
      <c r="G1282" t="s">
        <v>7369</v>
      </c>
      <c r="H1282" t="s">
        <v>3459</v>
      </c>
      <c r="I1282" t="s">
        <v>228</v>
      </c>
      <c r="J1282" t="s">
        <v>7703</v>
      </c>
      <c r="K1282" t="s">
        <v>7684</v>
      </c>
      <c r="L1282" t="s">
        <v>7820</v>
      </c>
      <c r="N1282" t="str" cm="1">
        <f t="array" ref="N1282">IFERROR(LOOKUP(2,1/SEARCH($S$2:$S$65,G1282),$T$2:$T$65),"Misc")</f>
        <v>COTS</v>
      </c>
      <c r="O1282" t="str" cm="1">
        <f t="array" ref="O1282">IFERROR(LOOKUP(2,1/SEARCH($V$2:$V$65,G1282),$W$2:$W$65),"Misc")</f>
        <v>Fasteners</v>
      </c>
      <c r="P1282" t="str" cm="1">
        <f t="array" ref="P1282">IFERROR(LOOKUP(2,1/SEARCH($Y$2:$Y$65,G1282),$Z$2:$Z$65),"Not Defined")</f>
        <v>FHCS</v>
      </c>
      <c r="Q1282" t="str" cm="1">
        <f t="array" ref="Q1282">IFERROR(LOOKUP(2,1/SEARCH($S$2:$S$65,H1282),$T$2:$T$65),"-")</f>
        <v>COTS</v>
      </c>
    </row>
    <row r="1283" spans="1:17" hidden="1" x14ac:dyDescent="0.25">
      <c r="A1283" t="s">
        <v>7674</v>
      </c>
      <c r="B1283" s="22" t="s">
        <v>3460</v>
      </c>
      <c r="C1283">
        <v>1</v>
      </c>
      <c r="D1283" t="s">
        <v>7358</v>
      </c>
      <c r="E1283" t="s">
        <v>7892</v>
      </c>
      <c r="F1283" t="s">
        <v>3461</v>
      </c>
      <c r="G1283" t="s">
        <v>3463</v>
      </c>
      <c r="H1283" t="s">
        <v>3462</v>
      </c>
      <c r="J1283" t="s">
        <v>7742</v>
      </c>
      <c r="K1283" t="s">
        <v>7826</v>
      </c>
      <c r="L1283" t="s">
        <v>7826</v>
      </c>
      <c r="N1283" t="str" cm="1">
        <f t="array" ref="N1283">IFERROR(LOOKUP(2,1/SEARCH($S$2:$S$65,G1283),$T$2:$T$65),"Misc")</f>
        <v>OH ASSY</v>
      </c>
      <c r="O1283" t="str" cm="1">
        <f t="array" ref="O1283">IFERROR(LOOKUP(2,1/SEARCH($V$2:$V$65,G1283),$W$2:$W$65),"Misc")</f>
        <v>OH Part</v>
      </c>
      <c r="P1283" t="str" cm="1">
        <f t="array" ref="P1283">IFERROR(LOOKUP(2,1/SEARCH($Y$2:$Y$65,G1283),$Z$2:$Z$65),"Not Defined")</f>
        <v>OH Part</v>
      </c>
      <c r="Q1283" t="str" cm="1">
        <f t="array" ref="Q1283">IFERROR(LOOKUP(2,1/SEARCH($S$2:$S$65,H1283),$T$2:$T$65),"-")</f>
        <v>OH ASSY</v>
      </c>
    </row>
    <row r="1284" spans="1:17" hidden="1" x14ac:dyDescent="0.25">
      <c r="A1284" t="s">
        <v>7674</v>
      </c>
      <c r="B1284" s="22" t="s">
        <v>3464</v>
      </c>
      <c r="C1284">
        <v>1</v>
      </c>
      <c r="D1284" t="s">
        <v>7358</v>
      </c>
      <c r="E1284" t="s">
        <v>7892</v>
      </c>
      <c r="F1284" t="s">
        <v>3465</v>
      </c>
      <c r="G1284" t="s">
        <v>3467</v>
      </c>
      <c r="H1284" t="s">
        <v>3466</v>
      </c>
      <c r="I1284" t="s">
        <v>13</v>
      </c>
      <c r="J1284" t="s">
        <v>7682</v>
      </c>
      <c r="K1284" t="s">
        <v>7826</v>
      </c>
      <c r="L1284" t="s">
        <v>7826</v>
      </c>
      <c r="N1284" t="str" cm="1">
        <f t="array" ref="N1284">IFERROR(LOOKUP(2,1/SEARCH($S$2:$S$65,G1284),$T$2:$T$65),"Misc")</f>
        <v>OH P/N</v>
      </c>
      <c r="O1284" t="str" cm="1">
        <f t="array" ref="O1284">IFERROR(LOOKUP(2,1/SEARCH($V$2:$V$65,G1284),$W$2:$W$65),"Misc")</f>
        <v>OH Part</v>
      </c>
      <c r="P1284" t="str" cm="1">
        <f t="array" ref="P1284">IFERROR(LOOKUP(2,1/SEARCH($Y$2:$Y$65,G1284),$Z$2:$Z$65),"Not Defined")</f>
        <v>OH Part</v>
      </c>
      <c r="Q1284" t="str" cm="1">
        <f t="array" ref="Q1284">IFERROR(LOOKUP(2,1/SEARCH($S$2:$S$65,H1284),$T$2:$T$65),"-")</f>
        <v>-</v>
      </c>
    </row>
    <row r="1285" spans="1:17" hidden="1" x14ac:dyDescent="0.25">
      <c r="A1285" t="s">
        <v>7674</v>
      </c>
      <c r="B1285" s="22" t="s">
        <v>3468</v>
      </c>
      <c r="C1285">
        <v>2</v>
      </c>
      <c r="D1285" t="s">
        <v>7358</v>
      </c>
      <c r="E1285" t="s">
        <v>7892</v>
      </c>
      <c r="F1285" t="s">
        <v>3447</v>
      </c>
      <c r="G1285" t="s">
        <v>7367</v>
      </c>
      <c r="H1285" t="s">
        <v>3448</v>
      </c>
      <c r="I1285" t="s">
        <v>224</v>
      </c>
      <c r="J1285" t="s">
        <v>7703</v>
      </c>
      <c r="K1285" t="s">
        <v>7684</v>
      </c>
      <c r="L1285" t="s">
        <v>7687</v>
      </c>
      <c r="N1285" t="str" cm="1">
        <f t="array" ref="N1285">IFERROR(LOOKUP(2,1/SEARCH($S$2:$S$65,G1285),$T$2:$T$65),"Misc")</f>
        <v>COTS</v>
      </c>
      <c r="O1285" t="str" cm="1">
        <f t="array" ref="O1285">IFERROR(LOOKUP(2,1/SEARCH($V$2:$V$65,G1285),$W$2:$W$65),"Misc")</f>
        <v>Fasteners</v>
      </c>
      <c r="P1285" t="str" cm="1">
        <f t="array" ref="P1285">IFERROR(LOOKUP(2,1/SEARCH($Y$2:$Y$65,G1285),$Z$2:$Z$65),"Not Defined")</f>
        <v>INSERT</v>
      </c>
      <c r="Q1285" t="str" cm="1">
        <f t="array" ref="Q1285">IFERROR(LOOKUP(2,1/SEARCH($S$2:$S$65,H1285),$T$2:$T$65),"-")</f>
        <v>COTS</v>
      </c>
    </row>
    <row r="1286" spans="1:17" hidden="1" x14ac:dyDescent="0.25">
      <c r="A1286" t="s">
        <v>7674</v>
      </c>
      <c r="B1286" s="22" t="s">
        <v>3469</v>
      </c>
      <c r="C1286">
        <v>1</v>
      </c>
      <c r="D1286" t="s">
        <v>7358</v>
      </c>
      <c r="E1286" t="s">
        <v>7892</v>
      </c>
      <c r="F1286" t="s">
        <v>3450</v>
      </c>
      <c r="G1286" t="s">
        <v>7368</v>
      </c>
      <c r="H1286" t="s">
        <v>3451</v>
      </c>
      <c r="I1286" t="s">
        <v>224</v>
      </c>
      <c r="J1286" t="s">
        <v>7703</v>
      </c>
      <c r="K1286" t="s">
        <v>7684</v>
      </c>
      <c r="L1286" t="s">
        <v>7687</v>
      </c>
      <c r="N1286" t="str" cm="1">
        <f t="array" ref="N1286">IFERROR(LOOKUP(2,1/SEARCH($S$2:$S$65,G1286),$T$2:$T$65),"Misc")</f>
        <v>COTS</v>
      </c>
      <c r="O1286" t="str" cm="1">
        <f t="array" ref="O1286">IFERROR(LOOKUP(2,1/SEARCH($V$2:$V$65,G1286),$W$2:$W$65),"Misc")</f>
        <v>Fasteners</v>
      </c>
      <c r="P1286" t="str" cm="1">
        <f t="array" ref="P1286">IFERROR(LOOKUP(2,1/SEARCH($Y$2:$Y$65,G1286),$Z$2:$Z$65),"Not Defined")</f>
        <v>INSERT</v>
      </c>
      <c r="Q1286" t="str" cm="1">
        <f t="array" ref="Q1286">IFERROR(LOOKUP(2,1/SEARCH($S$2:$S$65,H1286),$T$2:$T$65),"-")</f>
        <v>COTS</v>
      </c>
    </row>
    <row r="1287" spans="1:17" hidden="1" x14ac:dyDescent="0.25">
      <c r="A1287" t="s">
        <v>7674</v>
      </c>
      <c r="B1287" s="22" t="s">
        <v>3470</v>
      </c>
      <c r="C1287">
        <v>3</v>
      </c>
      <c r="D1287" t="s">
        <v>7358</v>
      </c>
      <c r="E1287" t="s">
        <v>7892</v>
      </c>
      <c r="F1287" t="s">
        <v>3396</v>
      </c>
      <c r="G1287" t="s">
        <v>7361</v>
      </c>
      <c r="H1287" t="s">
        <v>3397</v>
      </c>
      <c r="I1287" t="s">
        <v>228</v>
      </c>
      <c r="J1287" t="s">
        <v>7703</v>
      </c>
      <c r="K1287" t="s">
        <v>7684</v>
      </c>
      <c r="L1287" t="s">
        <v>7685</v>
      </c>
      <c r="N1287" t="str" cm="1">
        <f t="array" ref="N1287">IFERROR(LOOKUP(2,1/SEARCH($S$2:$S$65,G1287),$T$2:$T$65),"Misc")</f>
        <v>COTS</v>
      </c>
      <c r="O1287" t="str" cm="1">
        <f t="array" ref="O1287">IFERROR(LOOKUP(2,1/SEARCH($V$2:$V$65,G1287),$W$2:$W$65),"Misc")</f>
        <v>Fasteners</v>
      </c>
      <c r="P1287" t="str" cm="1">
        <f t="array" ref="P1287">IFERROR(LOOKUP(2,1/SEARCH($Y$2:$Y$65,G1287),$Z$2:$Z$65),"Not Defined")</f>
        <v>NUT</v>
      </c>
      <c r="Q1287" t="str" cm="1">
        <f t="array" ref="Q1287">IFERROR(LOOKUP(2,1/SEARCH($S$2:$S$65,H1287),$T$2:$T$65),"-")</f>
        <v>COTS</v>
      </c>
    </row>
    <row r="1288" spans="1:17" hidden="1" x14ac:dyDescent="0.25">
      <c r="A1288" t="s">
        <v>7674</v>
      </c>
      <c r="B1288" s="22" t="s">
        <v>3471</v>
      </c>
      <c r="C1288">
        <v>4</v>
      </c>
      <c r="D1288" t="s">
        <v>7358</v>
      </c>
      <c r="E1288" t="s">
        <v>7890</v>
      </c>
      <c r="F1288" t="s">
        <v>3472</v>
      </c>
      <c r="G1288" t="s">
        <v>7370</v>
      </c>
      <c r="H1288" t="s">
        <v>3473</v>
      </c>
      <c r="I1288" t="s">
        <v>228</v>
      </c>
      <c r="J1288" t="s">
        <v>7703</v>
      </c>
      <c r="K1288" t="s">
        <v>7684</v>
      </c>
      <c r="L1288" t="s">
        <v>7820</v>
      </c>
      <c r="N1288" t="str" cm="1">
        <f t="array" ref="N1288">IFERROR(LOOKUP(2,1/SEARCH($S$2:$S$65,G1288),$T$2:$T$65),"Misc")</f>
        <v>COTS</v>
      </c>
      <c r="O1288" t="str" cm="1">
        <f t="array" ref="O1288">IFERROR(LOOKUP(2,1/SEARCH($V$2:$V$65,G1288),$W$2:$W$65),"Misc")</f>
        <v>Fasteners</v>
      </c>
      <c r="P1288" t="str" cm="1">
        <f t="array" ref="P1288">IFERROR(LOOKUP(2,1/SEARCH($Y$2:$Y$65,G1288),$Z$2:$Z$65),"Not Defined")</f>
        <v>FHCS</v>
      </c>
      <c r="Q1288" t="str" cm="1">
        <f t="array" ref="Q1288">IFERROR(LOOKUP(2,1/SEARCH($S$2:$S$65,H1288),$T$2:$T$65),"-")</f>
        <v>COTS</v>
      </c>
    </row>
    <row r="1289" spans="1:17" hidden="1" x14ac:dyDescent="0.25">
      <c r="A1289" t="s">
        <v>7674</v>
      </c>
      <c r="B1289" s="22" t="s">
        <v>3474</v>
      </c>
      <c r="C1289">
        <v>1</v>
      </c>
      <c r="D1289" t="s">
        <v>7358</v>
      </c>
      <c r="E1289" t="s">
        <v>7890</v>
      </c>
      <c r="F1289" t="s">
        <v>3475</v>
      </c>
      <c r="G1289" t="s">
        <v>7371</v>
      </c>
      <c r="H1289" t="s">
        <v>3476</v>
      </c>
      <c r="I1289" t="s">
        <v>3477</v>
      </c>
      <c r="J1289" t="s">
        <v>7703</v>
      </c>
      <c r="K1289" t="s">
        <v>7683</v>
      </c>
      <c r="L1289" t="s">
        <v>7683</v>
      </c>
      <c r="N1289" t="str" cm="1">
        <f t="array" ref="N1289">IFERROR(LOOKUP(2,1/SEARCH($S$2:$S$65,G1289),$T$2:$T$65),"Misc")</f>
        <v>COTS</v>
      </c>
      <c r="O1289" t="str" cm="1">
        <f t="array" ref="O1289">IFERROR(LOOKUP(2,1/SEARCH($V$2:$V$65,G1289),$W$2:$W$65),"Misc")</f>
        <v>BEARING</v>
      </c>
      <c r="P1289" t="str" cm="1">
        <f t="array" ref="P1289">IFERROR(LOOKUP(2,1/SEARCH($Y$2:$Y$65,G1289),$Z$2:$Z$65),"Not Defined")</f>
        <v>BEARING</v>
      </c>
      <c r="Q1289" t="str" cm="1">
        <f t="array" ref="Q1289">IFERROR(LOOKUP(2,1/SEARCH($S$2:$S$65,H1289),$T$2:$T$65),"-")</f>
        <v>COTS</v>
      </c>
    </row>
    <row r="1290" spans="1:17" hidden="1" x14ac:dyDescent="0.25">
      <c r="A1290" t="s">
        <v>7674</v>
      </c>
      <c r="B1290" s="23" t="s">
        <v>3478</v>
      </c>
      <c r="C1290">
        <v>1</v>
      </c>
      <c r="D1290" t="s">
        <v>7358</v>
      </c>
      <c r="E1290" t="s">
        <v>7893</v>
      </c>
      <c r="F1290" t="s">
        <v>3479</v>
      </c>
      <c r="G1290" t="s">
        <v>3481</v>
      </c>
      <c r="H1290" t="s">
        <v>3480</v>
      </c>
      <c r="J1290" t="s">
        <v>7742</v>
      </c>
      <c r="K1290" t="s">
        <v>7826</v>
      </c>
      <c r="L1290" t="s">
        <v>7826</v>
      </c>
      <c r="N1290" t="str" cm="1">
        <f t="array" ref="N1290">IFERROR(LOOKUP(2,1/SEARCH($S$2:$S$65,G1290),$T$2:$T$65),"Misc")</f>
        <v>OH ASSY</v>
      </c>
      <c r="O1290" t="str" cm="1">
        <f t="array" ref="O1290">IFERROR(LOOKUP(2,1/SEARCH($V$2:$V$65,G1290),$W$2:$W$65),"Misc")</f>
        <v>OH Part</v>
      </c>
      <c r="P1290" t="str" cm="1">
        <f t="array" ref="P1290">IFERROR(LOOKUP(2,1/SEARCH($Y$2:$Y$65,G1290),$Z$2:$Z$65),"Not Defined")</f>
        <v>OH Part</v>
      </c>
      <c r="Q1290" t="str" cm="1">
        <f t="array" ref="Q1290">IFERROR(LOOKUP(2,1/SEARCH($S$2:$S$65,H1290),$T$2:$T$65),"-")</f>
        <v>OH ASSY</v>
      </c>
    </row>
    <row r="1291" spans="1:17" hidden="1" x14ac:dyDescent="0.25">
      <c r="A1291" t="s">
        <v>7674</v>
      </c>
      <c r="B1291" s="23" t="s">
        <v>3482</v>
      </c>
      <c r="C1291">
        <v>1</v>
      </c>
      <c r="D1291" t="s">
        <v>7358</v>
      </c>
      <c r="E1291" t="s">
        <v>7894</v>
      </c>
      <c r="F1291" t="s">
        <v>3483</v>
      </c>
      <c r="G1291" t="s">
        <v>3485</v>
      </c>
      <c r="H1291" t="s">
        <v>3484</v>
      </c>
      <c r="J1291" t="s">
        <v>7742</v>
      </c>
      <c r="K1291" t="s">
        <v>7826</v>
      </c>
      <c r="L1291" t="s">
        <v>7826</v>
      </c>
      <c r="N1291" t="str" cm="1">
        <f t="array" ref="N1291">IFERROR(LOOKUP(2,1/SEARCH($S$2:$S$65,G1291),$T$2:$T$65),"Misc")</f>
        <v>OH ASSY</v>
      </c>
      <c r="O1291" t="str" cm="1">
        <f t="array" ref="O1291">IFERROR(LOOKUP(2,1/SEARCH($V$2:$V$65,G1291),$W$2:$W$65),"Misc")</f>
        <v>OH Part</v>
      </c>
      <c r="P1291" t="str" cm="1">
        <f t="array" ref="P1291">IFERROR(LOOKUP(2,1/SEARCH($Y$2:$Y$65,G1291),$Z$2:$Z$65),"Not Defined")</f>
        <v>OH Part</v>
      </c>
      <c r="Q1291" t="str" cm="1">
        <f t="array" ref="Q1291">IFERROR(LOOKUP(2,1/SEARCH($S$2:$S$65,H1291),$T$2:$T$65),"-")</f>
        <v>OH ASSY</v>
      </c>
    </row>
    <row r="1292" spans="1:17" hidden="1" x14ac:dyDescent="0.25">
      <c r="A1292" t="s">
        <v>7674</v>
      </c>
      <c r="B1292" s="23" t="s">
        <v>3486</v>
      </c>
      <c r="C1292">
        <v>1</v>
      </c>
      <c r="D1292" t="s">
        <v>7358</v>
      </c>
      <c r="E1292" t="s">
        <v>7894</v>
      </c>
      <c r="F1292" t="s">
        <v>3487</v>
      </c>
      <c r="G1292" t="s">
        <v>3489</v>
      </c>
      <c r="H1292" t="s">
        <v>3488</v>
      </c>
      <c r="I1292" t="s">
        <v>299</v>
      </c>
      <c r="J1292" t="s">
        <v>7682</v>
      </c>
      <c r="K1292" t="s">
        <v>7826</v>
      </c>
      <c r="L1292" t="s">
        <v>7826</v>
      </c>
      <c r="N1292" t="str" cm="1">
        <f t="array" ref="N1292">IFERROR(LOOKUP(2,1/SEARCH($S$2:$S$65,G1292),$T$2:$T$65),"Misc")</f>
        <v>OH P/N</v>
      </c>
      <c r="O1292" t="str" cm="1">
        <f t="array" ref="O1292">IFERROR(LOOKUP(2,1/SEARCH($V$2:$V$65,G1292),$W$2:$W$65),"Misc")</f>
        <v>OH Part</v>
      </c>
      <c r="P1292" t="str" cm="1">
        <f t="array" ref="P1292">IFERROR(LOOKUP(2,1/SEARCH($Y$2:$Y$65,G1292),$Z$2:$Z$65),"Not Defined")</f>
        <v>OH Part</v>
      </c>
      <c r="Q1292" t="str" cm="1">
        <f t="array" ref="Q1292">IFERROR(LOOKUP(2,1/SEARCH($S$2:$S$65,H1292),$T$2:$T$65),"-")</f>
        <v>COTS</v>
      </c>
    </row>
    <row r="1293" spans="1:17" hidden="1" x14ac:dyDescent="0.25">
      <c r="A1293" t="s">
        <v>7674</v>
      </c>
      <c r="B1293" s="23" t="s">
        <v>3490</v>
      </c>
      <c r="C1293">
        <v>1</v>
      </c>
      <c r="D1293" t="s">
        <v>7358</v>
      </c>
      <c r="E1293" t="s">
        <v>7894</v>
      </c>
      <c r="F1293" t="s">
        <v>3491</v>
      </c>
      <c r="G1293" t="s">
        <v>3493</v>
      </c>
      <c r="H1293" t="s">
        <v>3492</v>
      </c>
      <c r="I1293" t="s">
        <v>299</v>
      </c>
      <c r="J1293" t="s">
        <v>7682</v>
      </c>
      <c r="K1293" t="s">
        <v>7826</v>
      </c>
      <c r="L1293" t="s">
        <v>7826</v>
      </c>
      <c r="N1293" t="str" cm="1">
        <f t="array" ref="N1293">IFERROR(LOOKUP(2,1/SEARCH($S$2:$S$65,G1293),$T$2:$T$65),"Misc")</f>
        <v>OH P/N</v>
      </c>
      <c r="O1293" t="str" cm="1">
        <f t="array" ref="O1293">IFERROR(LOOKUP(2,1/SEARCH($V$2:$V$65,G1293),$W$2:$W$65),"Misc")</f>
        <v>OH Part</v>
      </c>
      <c r="P1293" t="str" cm="1">
        <f t="array" ref="P1293">IFERROR(LOOKUP(2,1/SEARCH($Y$2:$Y$65,G1293),$Z$2:$Z$65),"Not Defined")</f>
        <v>OH Part</v>
      </c>
      <c r="Q1293" t="str" cm="1">
        <f t="array" ref="Q1293">IFERROR(LOOKUP(2,1/SEARCH($S$2:$S$65,H1293),$T$2:$T$65),"-")</f>
        <v>-</v>
      </c>
    </row>
    <row r="1294" spans="1:17" hidden="1" x14ac:dyDescent="0.25">
      <c r="A1294" t="s">
        <v>7674</v>
      </c>
      <c r="B1294" s="23" t="s">
        <v>3494</v>
      </c>
      <c r="C1294">
        <v>3</v>
      </c>
      <c r="D1294" t="s">
        <v>7358</v>
      </c>
      <c r="E1294" t="s">
        <v>7894</v>
      </c>
      <c r="F1294" t="s">
        <v>3495</v>
      </c>
      <c r="G1294" t="s">
        <v>7372</v>
      </c>
      <c r="H1294" t="s">
        <v>3496</v>
      </c>
      <c r="I1294" t="s">
        <v>228</v>
      </c>
      <c r="J1294" t="s">
        <v>7703</v>
      </c>
      <c r="K1294" t="s">
        <v>7684</v>
      </c>
      <c r="L1294" t="s">
        <v>7820</v>
      </c>
      <c r="N1294" t="str" cm="1">
        <f t="array" ref="N1294">IFERROR(LOOKUP(2,1/SEARCH($S$2:$S$65,G1294),$T$2:$T$65),"Misc")</f>
        <v>COTS</v>
      </c>
      <c r="O1294" t="str" cm="1">
        <f t="array" ref="O1294">IFERROR(LOOKUP(2,1/SEARCH($V$2:$V$65,G1294),$W$2:$W$65),"Misc")</f>
        <v>Fasteners</v>
      </c>
      <c r="P1294" t="str" cm="1">
        <f t="array" ref="P1294">IFERROR(LOOKUP(2,1/SEARCH($Y$2:$Y$65,G1294),$Z$2:$Z$65),"Not Defined")</f>
        <v>FHCS</v>
      </c>
      <c r="Q1294" t="str" cm="1">
        <f t="array" ref="Q1294">IFERROR(LOOKUP(2,1/SEARCH($S$2:$S$65,H1294),$T$2:$T$65),"-")</f>
        <v>COTS</v>
      </c>
    </row>
    <row r="1295" spans="1:17" hidden="1" x14ac:dyDescent="0.25">
      <c r="A1295" t="s">
        <v>7674</v>
      </c>
      <c r="B1295" s="23" t="s">
        <v>3497</v>
      </c>
      <c r="C1295">
        <v>1</v>
      </c>
      <c r="D1295" t="s">
        <v>7358</v>
      </c>
      <c r="E1295" t="s">
        <v>7894</v>
      </c>
      <c r="F1295" t="s">
        <v>3498</v>
      </c>
      <c r="G1295" t="s">
        <v>7373</v>
      </c>
      <c r="H1295" t="s">
        <v>3499</v>
      </c>
      <c r="I1295" t="s">
        <v>484</v>
      </c>
      <c r="J1295" t="s">
        <v>7703</v>
      </c>
      <c r="K1295" t="s">
        <v>7683</v>
      </c>
      <c r="L1295" t="s">
        <v>7683</v>
      </c>
      <c r="N1295" t="str" cm="1">
        <f t="array" ref="N1295">IFERROR(LOOKUP(2,1/SEARCH($S$2:$S$65,G1295),$T$2:$T$65),"Misc")</f>
        <v>COTS</v>
      </c>
      <c r="O1295" t="str" cm="1">
        <f t="array" ref="O1295">IFERROR(LOOKUP(2,1/SEARCH($V$2:$V$65,G1295),$W$2:$W$65),"Misc")</f>
        <v>BEARING</v>
      </c>
      <c r="P1295" t="str" cm="1">
        <f t="array" ref="P1295">IFERROR(LOOKUP(2,1/SEARCH($Y$2:$Y$65,G1295),$Z$2:$Z$65),"Not Defined")</f>
        <v>BEARING</v>
      </c>
      <c r="Q1295" t="str" cm="1">
        <f t="array" ref="Q1295">IFERROR(LOOKUP(2,1/SEARCH($S$2:$S$65,H1295),$T$2:$T$65),"-")</f>
        <v>COTS</v>
      </c>
    </row>
    <row r="1296" spans="1:17" hidden="1" x14ac:dyDescent="0.25">
      <c r="A1296" t="s">
        <v>7674</v>
      </c>
      <c r="B1296" s="23" t="s">
        <v>3500</v>
      </c>
      <c r="C1296">
        <v>1</v>
      </c>
      <c r="D1296" t="s">
        <v>7358</v>
      </c>
      <c r="E1296" t="s">
        <v>7893</v>
      </c>
      <c r="F1296" t="s">
        <v>3501</v>
      </c>
      <c r="G1296" t="s">
        <v>7827</v>
      </c>
      <c r="H1296" t="s">
        <v>3502</v>
      </c>
      <c r="I1296" t="s">
        <v>255</v>
      </c>
      <c r="J1296" t="s">
        <v>7703</v>
      </c>
      <c r="K1296" t="s">
        <v>7822</v>
      </c>
      <c r="L1296" t="s">
        <v>7822</v>
      </c>
      <c r="N1296" t="str" cm="1">
        <f t="array" ref="N1296">IFERROR(LOOKUP(2,1/SEARCH($S$2:$S$65,G1296),$T$2:$T$65),"Misc")</f>
        <v>COTS</v>
      </c>
      <c r="O1296" t="str" cm="1">
        <f t="array" ref="O1296">IFERROR(LOOKUP(2,1/SEARCH($V$2:$V$65,G1296),$W$2:$W$65),"Misc")</f>
        <v>DAMPER</v>
      </c>
      <c r="P1296" t="str" cm="1">
        <f t="array" ref="P1296">IFERROR(LOOKUP(2,1/SEARCH($Y$2:$Y$65,G1296),$Z$2:$Z$65),"Not Defined")</f>
        <v>DAMPER</v>
      </c>
      <c r="Q1296" t="str" cm="1">
        <f t="array" ref="Q1296">IFERROR(LOOKUP(2,1/SEARCH($S$2:$S$65,H1296),$T$2:$T$65),"-")</f>
        <v>COTS</v>
      </c>
    </row>
    <row r="1297" spans="1:17" hidden="1" x14ac:dyDescent="0.25">
      <c r="A1297" t="s">
        <v>7674</v>
      </c>
      <c r="B1297" s="23" t="s">
        <v>3503</v>
      </c>
      <c r="C1297">
        <v>1</v>
      </c>
      <c r="D1297" t="s">
        <v>7358</v>
      </c>
      <c r="E1297" t="s">
        <v>7893</v>
      </c>
      <c r="F1297" t="s">
        <v>3504</v>
      </c>
      <c r="G1297" t="s">
        <v>7828</v>
      </c>
      <c r="H1297" t="s">
        <v>3505</v>
      </c>
      <c r="I1297" t="s">
        <v>255</v>
      </c>
      <c r="J1297" t="s">
        <v>7703</v>
      </c>
      <c r="K1297" t="s">
        <v>7822</v>
      </c>
      <c r="L1297" t="s">
        <v>7822</v>
      </c>
      <c r="N1297" t="str" cm="1">
        <f t="array" ref="N1297">IFERROR(LOOKUP(2,1/SEARCH($S$2:$S$65,G1297),$T$2:$T$65),"Misc")</f>
        <v>COTS</v>
      </c>
      <c r="O1297" t="str" cm="1">
        <f t="array" ref="O1297">IFERROR(LOOKUP(2,1/SEARCH($V$2:$V$65,G1297),$W$2:$W$65),"Misc")</f>
        <v>DAMPER</v>
      </c>
      <c r="P1297" t="str" cm="1">
        <f t="array" ref="P1297">IFERROR(LOOKUP(2,1/SEARCH($Y$2:$Y$65,G1297),$Z$2:$Z$65),"Not Defined")</f>
        <v>DAMPER</v>
      </c>
      <c r="Q1297" t="str" cm="1">
        <f t="array" ref="Q1297">IFERROR(LOOKUP(2,1/SEARCH($S$2:$S$65,H1297),$T$2:$T$65),"-")</f>
        <v>COTS</v>
      </c>
    </row>
    <row r="1298" spans="1:17" hidden="1" x14ac:dyDescent="0.25">
      <c r="A1298" t="s">
        <v>7674</v>
      </c>
      <c r="B1298" s="23" t="s">
        <v>3506</v>
      </c>
      <c r="C1298">
        <v>2</v>
      </c>
      <c r="D1298" t="s">
        <v>7358</v>
      </c>
      <c r="E1298" t="s">
        <v>7893</v>
      </c>
      <c r="F1298" t="s">
        <v>3507</v>
      </c>
      <c r="G1298" t="s">
        <v>7374</v>
      </c>
      <c r="H1298" t="s">
        <v>3508</v>
      </c>
      <c r="I1298" t="s">
        <v>228</v>
      </c>
      <c r="J1298" t="s">
        <v>7703</v>
      </c>
      <c r="K1298" t="s">
        <v>7684</v>
      </c>
      <c r="L1298" t="s">
        <v>7739</v>
      </c>
      <c r="N1298" t="str" cm="1">
        <f t="array" ref="N1298">IFERROR(LOOKUP(2,1/SEARCH($S$2:$S$65,G1298),$T$2:$T$65),"Misc")</f>
        <v>COTS</v>
      </c>
      <c r="O1298" t="str" cm="1">
        <f t="array" ref="O1298">IFERROR(LOOKUP(2,1/SEARCH($V$2:$V$65,G1298),$W$2:$W$65),"Misc")</f>
        <v>Fasteners</v>
      </c>
      <c r="P1298" t="str" cm="1">
        <f t="array" ref="P1298">IFERROR(LOOKUP(2,1/SEARCH($Y$2:$Y$65,G1298),$Z$2:$Z$65),"Not Defined")</f>
        <v>BHCS</v>
      </c>
      <c r="Q1298" t="str" cm="1">
        <f t="array" ref="Q1298">IFERROR(LOOKUP(2,1/SEARCH($S$2:$S$65,H1298),$T$2:$T$65),"-")</f>
        <v>COTS</v>
      </c>
    </row>
    <row r="1299" spans="1:17" hidden="1" x14ac:dyDescent="0.25">
      <c r="A1299" t="s">
        <v>7674</v>
      </c>
      <c r="B1299" s="23" t="s">
        <v>3509</v>
      </c>
      <c r="C1299">
        <v>1</v>
      </c>
      <c r="D1299" t="s">
        <v>7358</v>
      </c>
      <c r="E1299" t="s">
        <v>7893</v>
      </c>
      <c r="F1299" t="s">
        <v>3510</v>
      </c>
      <c r="G1299" t="s">
        <v>3512</v>
      </c>
      <c r="H1299" t="s">
        <v>3511</v>
      </c>
      <c r="I1299" t="s">
        <v>13</v>
      </c>
      <c r="J1299" t="s">
        <v>7682</v>
      </c>
      <c r="K1299" t="s">
        <v>7826</v>
      </c>
      <c r="L1299" t="s">
        <v>7822</v>
      </c>
      <c r="N1299" t="str" cm="1">
        <f t="array" ref="N1299">IFERROR(LOOKUP(2,1/SEARCH($S$2:$S$65,G1299),$T$2:$T$65),"Misc")</f>
        <v>OH P/N</v>
      </c>
      <c r="O1299" t="str" cm="1">
        <f t="array" ref="O1299">IFERROR(LOOKUP(2,1/SEARCH($V$2:$V$65,G1299),$W$2:$W$65),"Misc")</f>
        <v>OH Part</v>
      </c>
      <c r="P1299" t="str" cm="1">
        <f t="array" ref="P1299">IFERROR(LOOKUP(2,1/SEARCH($Y$2:$Y$65,G1299),$Z$2:$Z$65),"Not Defined")</f>
        <v>DAMPER</v>
      </c>
      <c r="Q1299" t="str" cm="1">
        <f t="array" ref="Q1299">IFERROR(LOOKUP(2,1/SEARCH($S$2:$S$65,H1299),$T$2:$T$65),"-")</f>
        <v>COTS</v>
      </c>
    </row>
    <row r="1300" spans="1:17" hidden="1" x14ac:dyDescent="0.25">
      <c r="A1300" t="s">
        <v>7674</v>
      </c>
      <c r="B1300" s="23" t="s">
        <v>3513</v>
      </c>
      <c r="C1300">
        <v>1</v>
      </c>
      <c r="D1300" t="s">
        <v>7358</v>
      </c>
      <c r="E1300" t="s">
        <v>7893</v>
      </c>
      <c r="F1300" t="s">
        <v>3514</v>
      </c>
      <c r="G1300" t="s">
        <v>3516</v>
      </c>
      <c r="H1300" t="s">
        <v>3515</v>
      </c>
      <c r="I1300" t="s">
        <v>13</v>
      </c>
      <c r="J1300" t="s">
        <v>7682</v>
      </c>
      <c r="K1300" t="s">
        <v>7826</v>
      </c>
      <c r="L1300" t="s">
        <v>7826</v>
      </c>
      <c r="N1300" t="str" cm="1">
        <f t="array" ref="N1300">IFERROR(LOOKUP(2,1/SEARCH($S$2:$S$65,G1300),$T$2:$T$65),"Misc")</f>
        <v>OH P/N</v>
      </c>
      <c r="O1300" t="str" cm="1">
        <f t="array" ref="O1300">IFERROR(LOOKUP(2,1/SEARCH($V$2:$V$65,G1300),$W$2:$W$65),"Misc")</f>
        <v>OH Part</v>
      </c>
      <c r="P1300" t="str" cm="1">
        <f t="array" ref="P1300">IFERROR(LOOKUP(2,1/SEARCH($Y$2:$Y$65,G1300),$Z$2:$Z$65),"Not Defined")</f>
        <v>OH Part</v>
      </c>
      <c r="Q1300" t="str" cm="1">
        <f t="array" ref="Q1300">IFERROR(LOOKUP(2,1/SEARCH($S$2:$S$65,H1300),$T$2:$T$65),"-")</f>
        <v>COTS</v>
      </c>
    </row>
    <row r="1301" spans="1:17" hidden="1" x14ac:dyDescent="0.25">
      <c r="A1301" t="s">
        <v>7674</v>
      </c>
      <c r="B1301" s="23" t="s">
        <v>3517</v>
      </c>
      <c r="C1301">
        <v>1</v>
      </c>
      <c r="D1301" t="s">
        <v>7358</v>
      </c>
      <c r="E1301" t="s">
        <v>7893</v>
      </c>
      <c r="F1301" t="s">
        <v>3518</v>
      </c>
      <c r="G1301" t="s">
        <v>7375</v>
      </c>
      <c r="H1301" t="s">
        <v>3519</v>
      </c>
      <c r="I1301" t="s">
        <v>255</v>
      </c>
      <c r="J1301" t="s">
        <v>7703</v>
      </c>
      <c r="K1301" t="s">
        <v>7814</v>
      </c>
      <c r="L1301" t="s">
        <v>7702</v>
      </c>
      <c r="N1301" t="str" cm="1">
        <f t="array" ref="N1301">IFERROR(LOOKUP(2,1/SEARCH($S$2:$S$65,G1301),$T$2:$T$65),"Misc")</f>
        <v>COTS</v>
      </c>
      <c r="O1301" t="str" cm="1">
        <f t="array" ref="O1301">IFERROR(LOOKUP(2,1/SEARCH($V$2:$V$65,G1301),$W$2:$W$65),"Misc")</f>
        <v>Misc</v>
      </c>
      <c r="P1301" t="str" cm="1">
        <f t="array" ref="P1301">IFERROR(LOOKUP(2,1/SEARCH($Y$2:$Y$65,G1301),$Z$2:$Z$65),"Not Defined")</f>
        <v>MAGNET</v>
      </c>
      <c r="Q1301" t="str" cm="1">
        <f t="array" ref="Q1301">IFERROR(LOOKUP(2,1/SEARCH($S$2:$S$65,H1301),$T$2:$T$65),"-")</f>
        <v>COTS</v>
      </c>
    </row>
    <row r="1302" spans="1:17" hidden="1" x14ac:dyDescent="0.25">
      <c r="A1302" t="s">
        <v>7674</v>
      </c>
      <c r="B1302" s="23" t="s">
        <v>3520</v>
      </c>
      <c r="C1302">
        <v>1</v>
      </c>
      <c r="D1302" t="s">
        <v>7358</v>
      </c>
      <c r="E1302" t="s">
        <v>7895</v>
      </c>
      <c r="F1302" t="s">
        <v>3521</v>
      </c>
      <c r="G1302" t="s">
        <v>3523</v>
      </c>
      <c r="H1302" t="s">
        <v>3522</v>
      </c>
      <c r="J1302" t="s">
        <v>7742</v>
      </c>
      <c r="K1302" t="s">
        <v>7826</v>
      </c>
      <c r="L1302" t="s">
        <v>7826</v>
      </c>
      <c r="N1302" t="str" cm="1">
        <f t="array" ref="N1302">IFERROR(LOOKUP(2,1/SEARCH($S$2:$S$65,G1302),$T$2:$T$65),"Misc")</f>
        <v>OH ASSY</v>
      </c>
      <c r="O1302" t="str" cm="1">
        <f t="array" ref="O1302">IFERROR(LOOKUP(2,1/SEARCH($V$2:$V$65,G1302),$W$2:$W$65),"Misc")</f>
        <v>OH Part</v>
      </c>
      <c r="P1302" t="str" cm="1">
        <f t="array" ref="P1302">IFERROR(LOOKUP(2,1/SEARCH($Y$2:$Y$65,G1302),$Z$2:$Z$65),"Not Defined")</f>
        <v>OH Part</v>
      </c>
      <c r="Q1302" t="str" cm="1">
        <f t="array" ref="Q1302">IFERROR(LOOKUP(2,1/SEARCH($S$2:$S$65,H1302),$T$2:$T$65),"-")</f>
        <v>OH ASSY</v>
      </c>
    </row>
    <row r="1303" spans="1:17" hidden="1" x14ac:dyDescent="0.25">
      <c r="A1303" t="s">
        <v>7674</v>
      </c>
      <c r="B1303" s="23" t="s">
        <v>3524</v>
      </c>
      <c r="C1303">
        <v>1</v>
      </c>
      <c r="D1303" t="s">
        <v>7358</v>
      </c>
      <c r="E1303" t="s">
        <v>7895</v>
      </c>
      <c r="F1303" t="s">
        <v>3525</v>
      </c>
      <c r="G1303" t="s">
        <v>7376</v>
      </c>
      <c r="H1303" t="s">
        <v>3526</v>
      </c>
      <c r="I1303" t="s">
        <v>255</v>
      </c>
      <c r="J1303" t="s">
        <v>7717</v>
      </c>
      <c r="K1303" t="s">
        <v>7717</v>
      </c>
      <c r="L1303" t="s">
        <v>7717</v>
      </c>
      <c r="N1303" t="str" cm="1">
        <f t="array" ref="N1303">IFERROR(LOOKUP(2,1/SEARCH($S$2:$S$65,G1303),$T$2:$T$65),"Misc")</f>
        <v>ABSIS</v>
      </c>
      <c r="O1303" t="str" cm="1">
        <f t="array" ref="O1303">IFERROR(LOOKUP(2,1/SEARCH($V$2:$V$65,G1303),$W$2:$W$65),"Misc")</f>
        <v>ABSIS</v>
      </c>
      <c r="P1303" t="str" cm="1">
        <f t="array" ref="P1303">IFERROR(LOOKUP(2,1/SEARCH($Y$2:$Y$65,G1303),$Z$2:$Z$65),"Not Defined")</f>
        <v>ABSIS</v>
      </c>
      <c r="Q1303" t="str" cm="1">
        <f t="array" ref="Q1303">IFERROR(LOOKUP(2,1/SEARCH($S$2:$S$65,H1303),$T$2:$T$65),"-")</f>
        <v>ABSIS</v>
      </c>
    </row>
    <row r="1304" spans="1:17" hidden="1" x14ac:dyDescent="0.25">
      <c r="A1304" t="s">
        <v>7674</v>
      </c>
      <c r="B1304" s="23" t="s">
        <v>3527</v>
      </c>
      <c r="C1304">
        <v>1</v>
      </c>
      <c r="D1304" t="s">
        <v>7358</v>
      </c>
      <c r="E1304" t="s">
        <v>7895</v>
      </c>
      <c r="F1304" t="s">
        <v>3528</v>
      </c>
      <c r="G1304" t="s">
        <v>3530</v>
      </c>
      <c r="H1304" t="s">
        <v>3529</v>
      </c>
      <c r="I1304" t="s">
        <v>13</v>
      </c>
      <c r="J1304" t="s">
        <v>7682</v>
      </c>
      <c r="K1304" t="s">
        <v>7826</v>
      </c>
      <c r="L1304" t="s">
        <v>7826</v>
      </c>
      <c r="N1304" t="str" cm="1">
        <f t="array" ref="N1304">IFERROR(LOOKUP(2,1/SEARCH($S$2:$S$65,G1304),$T$2:$T$65),"Misc")</f>
        <v>OH P/N</v>
      </c>
      <c r="O1304" t="str" cm="1">
        <f t="array" ref="O1304">IFERROR(LOOKUP(2,1/SEARCH($V$2:$V$65,G1304),$W$2:$W$65),"Misc")</f>
        <v>OH Part</v>
      </c>
      <c r="P1304" t="str" cm="1">
        <f t="array" ref="P1304">IFERROR(LOOKUP(2,1/SEARCH($Y$2:$Y$65,G1304),$Z$2:$Z$65),"Not Defined")</f>
        <v>OH Part</v>
      </c>
      <c r="Q1304" t="str" cm="1">
        <f t="array" ref="Q1304">IFERROR(LOOKUP(2,1/SEARCH($S$2:$S$65,H1304),$T$2:$T$65),"-")</f>
        <v>-</v>
      </c>
    </row>
    <row r="1305" spans="1:17" hidden="1" x14ac:dyDescent="0.25">
      <c r="A1305" t="s">
        <v>7674</v>
      </c>
      <c r="B1305" s="23" t="s">
        <v>3531</v>
      </c>
      <c r="C1305">
        <v>4</v>
      </c>
      <c r="D1305" t="s">
        <v>7358</v>
      </c>
      <c r="E1305" t="s">
        <v>7895</v>
      </c>
      <c r="F1305" t="s">
        <v>3532</v>
      </c>
      <c r="G1305" t="s">
        <v>7377</v>
      </c>
      <c r="H1305" t="s">
        <v>3533</v>
      </c>
      <c r="I1305" t="s">
        <v>224</v>
      </c>
      <c r="J1305" t="s">
        <v>7703</v>
      </c>
      <c r="K1305" t="s">
        <v>7684</v>
      </c>
      <c r="L1305" t="s">
        <v>7685</v>
      </c>
      <c r="N1305" t="str" cm="1">
        <f t="array" ref="N1305">IFERROR(LOOKUP(2,1/SEARCH($S$2:$S$65,G1305),$T$2:$T$65),"Misc")</f>
        <v>COTS</v>
      </c>
      <c r="O1305" t="str" cm="1">
        <f t="array" ref="O1305">IFERROR(LOOKUP(2,1/SEARCH($V$2:$V$65,G1305),$W$2:$W$65),"Misc")</f>
        <v>Fasteners</v>
      </c>
      <c r="P1305" t="str" cm="1">
        <f t="array" ref="P1305">IFERROR(LOOKUP(2,1/SEARCH($Y$2:$Y$65,G1305),$Z$2:$Z$65),"Not Defined")</f>
        <v>NUT</v>
      </c>
      <c r="Q1305" t="str" cm="1">
        <f t="array" ref="Q1305">IFERROR(LOOKUP(2,1/SEARCH($S$2:$S$65,H1305),$T$2:$T$65),"-")</f>
        <v>COTS</v>
      </c>
    </row>
    <row r="1306" spans="1:17" hidden="1" x14ac:dyDescent="0.25">
      <c r="A1306" t="s">
        <v>7674</v>
      </c>
      <c r="B1306" s="23" t="s">
        <v>3534</v>
      </c>
      <c r="C1306">
        <v>4</v>
      </c>
      <c r="D1306" t="s">
        <v>7358</v>
      </c>
      <c r="E1306" t="s">
        <v>7895</v>
      </c>
      <c r="F1306" t="s">
        <v>3535</v>
      </c>
      <c r="G1306" t="s">
        <v>7378</v>
      </c>
      <c r="H1306" t="s">
        <v>3536</v>
      </c>
      <c r="I1306" t="s">
        <v>228</v>
      </c>
      <c r="J1306" t="s">
        <v>7703</v>
      </c>
      <c r="K1306" t="s">
        <v>7684</v>
      </c>
      <c r="L1306" t="s">
        <v>7739</v>
      </c>
      <c r="N1306" t="str" cm="1">
        <f t="array" ref="N1306">IFERROR(LOOKUP(2,1/SEARCH($S$2:$S$65,G1306),$T$2:$T$65),"Misc")</f>
        <v>COTS</v>
      </c>
      <c r="O1306" t="str" cm="1">
        <f t="array" ref="O1306">IFERROR(LOOKUP(2,1/SEARCH($V$2:$V$65,G1306),$W$2:$W$65),"Misc")</f>
        <v>Fasteners</v>
      </c>
      <c r="P1306" t="str" cm="1">
        <f t="array" ref="P1306">IFERROR(LOOKUP(2,1/SEARCH($Y$2:$Y$65,G1306),$Z$2:$Z$65),"Not Defined")</f>
        <v>BHCS</v>
      </c>
      <c r="Q1306" t="str" cm="1">
        <f t="array" ref="Q1306">IFERROR(LOOKUP(2,1/SEARCH($S$2:$S$65,H1306),$T$2:$T$65),"-")</f>
        <v>COTS</v>
      </c>
    </row>
    <row r="1307" spans="1:17" hidden="1" x14ac:dyDescent="0.25">
      <c r="A1307" t="s">
        <v>7674</v>
      </c>
      <c r="B1307" s="23" t="s">
        <v>3537</v>
      </c>
      <c r="C1307">
        <v>2</v>
      </c>
      <c r="D1307" t="s">
        <v>7358</v>
      </c>
      <c r="E1307" t="s">
        <v>7895</v>
      </c>
      <c r="F1307" t="s">
        <v>3450</v>
      </c>
      <c r="G1307" t="s">
        <v>7368</v>
      </c>
      <c r="H1307" t="s">
        <v>3451</v>
      </c>
      <c r="I1307" t="s">
        <v>224</v>
      </c>
      <c r="J1307" t="s">
        <v>7703</v>
      </c>
      <c r="K1307" t="s">
        <v>7684</v>
      </c>
      <c r="L1307" t="s">
        <v>7687</v>
      </c>
      <c r="N1307" t="str" cm="1">
        <f t="array" ref="N1307">IFERROR(LOOKUP(2,1/SEARCH($S$2:$S$65,G1307),$T$2:$T$65),"Misc")</f>
        <v>COTS</v>
      </c>
      <c r="O1307" t="str" cm="1">
        <f t="array" ref="O1307">IFERROR(LOOKUP(2,1/SEARCH($V$2:$V$65,G1307),$W$2:$W$65),"Misc")</f>
        <v>Fasteners</v>
      </c>
      <c r="P1307" t="str" cm="1">
        <f t="array" ref="P1307">IFERROR(LOOKUP(2,1/SEARCH($Y$2:$Y$65,G1307),$Z$2:$Z$65),"Not Defined")</f>
        <v>INSERT</v>
      </c>
      <c r="Q1307" t="str" cm="1">
        <f t="array" ref="Q1307">IFERROR(LOOKUP(2,1/SEARCH($S$2:$S$65,H1307),$T$2:$T$65),"-")</f>
        <v>COTS</v>
      </c>
    </row>
    <row r="1308" spans="1:17" hidden="1" x14ac:dyDescent="0.25">
      <c r="A1308" t="s">
        <v>7674</v>
      </c>
      <c r="B1308" s="17" t="s">
        <v>3538</v>
      </c>
      <c r="C1308">
        <v>1</v>
      </c>
      <c r="D1308" t="s">
        <v>7358</v>
      </c>
      <c r="E1308" t="s">
        <v>7896</v>
      </c>
      <c r="F1308" t="s">
        <v>3539</v>
      </c>
      <c r="G1308" t="s">
        <v>3541</v>
      </c>
      <c r="H1308" t="s">
        <v>3540</v>
      </c>
      <c r="J1308" t="s">
        <v>7742</v>
      </c>
      <c r="K1308" t="s">
        <v>7826</v>
      </c>
      <c r="L1308" t="s">
        <v>7826</v>
      </c>
      <c r="N1308" t="str" cm="1">
        <f t="array" ref="N1308">IFERROR(LOOKUP(2,1/SEARCH($S$2:$S$65,G1308),$T$2:$T$65),"Misc")</f>
        <v>OH ASSY</v>
      </c>
      <c r="O1308" t="str" cm="1">
        <f t="array" ref="O1308">IFERROR(LOOKUP(2,1/SEARCH($V$2:$V$65,G1308),$W$2:$W$65),"Misc")</f>
        <v>OH Part</v>
      </c>
      <c r="P1308" t="str" cm="1">
        <f t="array" ref="P1308">IFERROR(LOOKUP(2,1/SEARCH($Y$2:$Y$65,G1308),$Z$2:$Z$65),"Not Defined")</f>
        <v>OH Part</v>
      </c>
      <c r="Q1308" t="str" cm="1">
        <f t="array" ref="Q1308">IFERROR(LOOKUP(2,1/SEARCH($S$2:$S$65,H1308),$T$2:$T$65),"-")</f>
        <v>OH ASSY</v>
      </c>
    </row>
    <row r="1309" spans="1:17" hidden="1" x14ac:dyDescent="0.25">
      <c r="A1309" t="s">
        <v>7674</v>
      </c>
      <c r="B1309" s="17" t="s">
        <v>3542</v>
      </c>
      <c r="C1309">
        <v>1</v>
      </c>
      <c r="D1309" t="s">
        <v>7358</v>
      </c>
      <c r="E1309" t="s">
        <v>7897</v>
      </c>
      <c r="F1309" t="s">
        <v>3483</v>
      </c>
      <c r="G1309" t="s">
        <v>3485</v>
      </c>
      <c r="H1309" t="s">
        <v>3484</v>
      </c>
      <c r="J1309" t="s">
        <v>7742</v>
      </c>
      <c r="K1309" t="s">
        <v>7826</v>
      </c>
      <c r="L1309" t="s">
        <v>7826</v>
      </c>
      <c r="N1309" t="str" cm="1">
        <f t="array" ref="N1309">IFERROR(LOOKUP(2,1/SEARCH($S$2:$S$65,G1309),$T$2:$T$65),"Misc")</f>
        <v>OH ASSY</v>
      </c>
      <c r="O1309" t="str" cm="1">
        <f t="array" ref="O1309">IFERROR(LOOKUP(2,1/SEARCH($V$2:$V$65,G1309),$W$2:$W$65),"Misc")</f>
        <v>OH Part</v>
      </c>
      <c r="P1309" t="str" cm="1">
        <f t="array" ref="P1309">IFERROR(LOOKUP(2,1/SEARCH($Y$2:$Y$65,G1309),$Z$2:$Z$65),"Not Defined")</f>
        <v>OH Part</v>
      </c>
      <c r="Q1309" t="str" cm="1">
        <f t="array" ref="Q1309">IFERROR(LOOKUP(2,1/SEARCH($S$2:$S$65,H1309),$T$2:$T$65),"-")</f>
        <v>OH ASSY</v>
      </c>
    </row>
    <row r="1310" spans="1:17" hidden="1" x14ac:dyDescent="0.25">
      <c r="A1310" t="s">
        <v>7674</v>
      </c>
      <c r="B1310" s="17" t="s">
        <v>3543</v>
      </c>
      <c r="C1310">
        <v>1</v>
      </c>
      <c r="D1310" t="s">
        <v>7358</v>
      </c>
      <c r="E1310" t="s">
        <v>7897</v>
      </c>
      <c r="F1310" t="s">
        <v>3487</v>
      </c>
      <c r="G1310" t="s">
        <v>3489</v>
      </c>
      <c r="H1310" t="s">
        <v>3488</v>
      </c>
      <c r="I1310" t="s">
        <v>299</v>
      </c>
      <c r="J1310" t="s">
        <v>7682</v>
      </c>
      <c r="K1310" t="s">
        <v>7826</v>
      </c>
      <c r="L1310" t="s">
        <v>7826</v>
      </c>
      <c r="N1310" t="str" cm="1">
        <f t="array" ref="N1310">IFERROR(LOOKUP(2,1/SEARCH($S$2:$S$65,G1310),$T$2:$T$65),"Misc")</f>
        <v>OH P/N</v>
      </c>
      <c r="O1310" t="str" cm="1">
        <f t="array" ref="O1310">IFERROR(LOOKUP(2,1/SEARCH($V$2:$V$65,G1310),$W$2:$W$65),"Misc")</f>
        <v>OH Part</v>
      </c>
      <c r="P1310" t="str" cm="1">
        <f t="array" ref="P1310">IFERROR(LOOKUP(2,1/SEARCH($Y$2:$Y$65,G1310),$Z$2:$Z$65),"Not Defined")</f>
        <v>OH Part</v>
      </c>
      <c r="Q1310" t="str" cm="1">
        <f t="array" ref="Q1310">IFERROR(LOOKUP(2,1/SEARCH($S$2:$S$65,H1310),$T$2:$T$65),"-")</f>
        <v>COTS</v>
      </c>
    </row>
    <row r="1311" spans="1:17" hidden="1" x14ac:dyDescent="0.25">
      <c r="A1311" t="s">
        <v>7674</v>
      </c>
      <c r="B1311" s="17" t="s">
        <v>3544</v>
      </c>
      <c r="C1311">
        <v>1</v>
      </c>
      <c r="D1311" t="s">
        <v>7358</v>
      </c>
      <c r="E1311" t="s">
        <v>7897</v>
      </c>
      <c r="F1311" t="s">
        <v>3491</v>
      </c>
      <c r="G1311" t="s">
        <v>3493</v>
      </c>
      <c r="H1311" t="s">
        <v>3492</v>
      </c>
      <c r="I1311" t="s">
        <v>299</v>
      </c>
      <c r="J1311" t="s">
        <v>7682</v>
      </c>
      <c r="K1311" t="s">
        <v>7826</v>
      </c>
      <c r="L1311" t="s">
        <v>7826</v>
      </c>
      <c r="N1311" t="str" cm="1">
        <f t="array" ref="N1311">IFERROR(LOOKUP(2,1/SEARCH($S$2:$S$65,G1311),$T$2:$T$65),"Misc")</f>
        <v>OH P/N</v>
      </c>
      <c r="O1311" t="str" cm="1">
        <f t="array" ref="O1311">IFERROR(LOOKUP(2,1/SEARCH($V$2:$V$65,G1311),$W$2:$W$65),"Misc")</f>
        <v>OH Part</v>
      </c>
      <c r="P1311" t="str" cm="1">
        <f t="array" ref="P1311">IFERROR(LOOKUP(2,1/SEARCH($Y$2:$Y$65,G1311),$Z$2:$Z$65),"Not Defined")</f>
        <v>OH Part</v>
      </c>
      <c r="Q1311" t="str" cm="1">
        <f t="array" ref="Q1311">IFERROR(LOOKUP(2,1/SEARCH($S$2:$S$65,H1311),$T$2:$T$65),"-")</f>
        <v>-</v>
      </c>
    </row>
    <row r="1312" spans="1:17" hidden="1" x14ac:dyDescent="0.25">
      <c r="A1312" t="s">
        <v>7674</v>
      </c>
      <c r="B1312" s="17" t="s">
        <v>3545</v>
      </c>
      <c r="C1312">
        <v>3</v>
      </c>
      <c r="D1312" t="s">
        <v>7358</v>
      </c>
      <c r="E1312" t="s">
        <v>7897</v>
      </c>
      <c r="F1312" t="s">
        <v>3495</v>
      </c>
      <c r="G1312" t="s">
        <v>7372</v>
      </c>
      <c r="H1312" t="s">
        <v>3496</v>
      </c>
      <c r="I1312" t="s">
        <v>228</v>
      </c>
      <c r="J1312" t="s">
        <v>7703</v>
      </c>
      <c r="K1312" t="s">
        <v>7684</v>
      </c>
      <c r="L1312" t="s">
        <v>7820</v>
      </c>
      <c r="N1312" t="str" cm="1">
        <f t="array" ref="N1312">IFERROR(LOOKUP(2,1/SEARCH($S$2:$S$65,G1312),$T$2:$T$65),"Misc")</f>
        <v>COTS</v>
      </c>
      <c r="O1312" t="str" cm="1">
        <f t="array" ref="O1312">IFERROR(LOOKUP(2,1/SEARCH($V$2:$V$65,G1312),$W$2:$W$65),"Misc")</f>
        <v>Fasteners</v>
      </c>
      <c r="P1312" t="str" cm="1">
        <f t="array" ref="P1312">IFERROR(LOOKUP(2,1/SEARCH($Y$2:$Y$65,G1312),$Z$2:$Z$65),"Not Defined")</f>
        <v>FHCS</v>
      </c>
      <c r="Q1312" t="str" cm="1">
        <f t="array" ref="Q1312">IFERROR(LOOKUP(2,1/SEARCH($S$2:$S$65,H1312),$T$2:$T$65),"-")</f>
        <v>COTS</v>
      </c>
    </row>
    <row r="1313" spans="1:17" hidden="1" x14ac:dyDescent="0.25">
      <c r="A1313" t="s">
        <v>7674</v>
      </c>
      <c r="B1313" s="17" t="s">
        <v>3546</v>
      </c>
      <c r="C1313">
        <v>1</v>
      </c>
      <c r="D1313" t="s">
        <v>7358</v>
      </c>
      <c r="E1313" t="s">
        <v>7897</v>
      </c>
      <c r="F1313" t="s">
        <v>3498</v>
      </c>
      <c r="G1313" t="s">
        <v>7373</v>
      </c>
      <c r="H1313" t="s">
        <v>3499</v>
      </c>
      <c r="I1313" t="s">
        <v>484</v>
      </c>
      <c r="J1313" t="s">
        <v>7703</v>
      </c>
      <c r="K1313" t="s">
        <v>7683</v>
      </c>
      <c r="L1313" t="s">
        <v>7683</v>
      </c>
      <c r="N1313" t="str" cm="1">
        <f t="array" ref="N1313">IFERROR(LOOKUP(2,1/SEARCH($S$2:$S$65,G1313),$T$2:$T$65),"Misc")</f>
        <v>COTS</v>
      </c>
      <c r="O1313" t="str" cm="1">
        <f t="array" ref="O1313">IFERROR(LOOKUP(2,1/SEARCH($V$2:$V$65,G1313),$W$2:$W$65),"Misc")</f>
        <v>BEARING</v>
      </c>
      <c r="P1313" t="str" cm="1">
        <f t="array" ref="P1313">IFERROR(LOOKUP(2,1/SEARCH($Y$2:$Y$65,G1313),$Z$2:$Z$65),"Not Defined")</f>
        <v>BEARING</v>
      </c>
      <c r="Q1313" t="str" cm="1">
        <f t="array" ref="Q1313">IFERROR(LOOKUP(2,1/SEARCH($S$2:$S$65,H1313),$T$2:$T$65),"-")</f>
        <v>COTS</v>
      </c>
    </row>
    <row r="1314" spans="1:17" hidden="1" x14ac:dyDescent="0.25">
      <c r="A1314" t="s">
        <v>7674</v>
      </c>
      <c r="B1314" s="17" t="s">
        <v>3547</v>
      </c>
      <c r="C1314">
        <v>1</v>
      </c>
      <c r="D1314" t="s">
        <v>7358</v>
      </c>
      <c r="E1314" t="s">
        <v>7896</v>
      </c>
      <c r="F1314" t="s">
        <v>3501</v>
      </c>
      <c r="G1314" t="s">
        <v>7827</v>
      </c>
      <c r="H1314" t="s">
        <v>3502</v>
      </c>
      <c r="I1314" t="s">
        <v>255</v>
      </c>
      <c r="J1314" t="s">
        <v>7703</v>
      </c>
      <c r="K1314" t="s">
        <v>7822</v>
      </c>
      <c r="L1314" t="s">
        <v>7822</v>
      </c>
      <c r="N1314" t="str" cm="1">
        <f t="array" ref="N1314">IFERROR(LOOKUP(2,1/SEARCH($S$2:$S$65,G1314),$T$2:$T$65),"Misc")</f>
        <v>COTS</v>
      </c>
      <c r="O1314" t="str" cm="1">
        <f t="array" ref="O1314">IFERROR(LOOKUP(2,1/SEARCH($V$2:$V$65,G1314),$W$2:$W$65),"Misc")</f>
        <v>DAMPER</v>
      </c>
      <c r="P1314" t="str" cm="1">
        <f t="array" ref="P1314">IFERROR(LOOKUP(2,1/SEARCH($Y$2:$Y$65,G1314),$Z$2:$Z$65),"Not Defined")</f>
        <v>DAMPER</v>
      </c>
      <c r="Q1314" t="str" cm="1">
        <f t="array" ref="Q1314">IFERROR(LOOKUP(2,1/SEARCH($S$2:$S$65,H1314),$T$2:$T$65),"-")</f>
        <v>COTS</v>
      </c>
    </row>
    <row r="1315" spans="1:17" hidden="1" x14ac:dyDescent="0.25">
      <c r="A1315" t="s">
        <v>7674</v>
      </c>
      <c r="B1315" s="17" t="s">
        <v>3548</v>
      </c>
      <c r="C1315">
        <v>1</v>
      </c>
      <c r="D1315" t="s">
        <v>7358</v>
      </c>
      <c r="E1315" t="s">
        <v>7896</v>
      </c>
      <c r="F1315" t="s">
        <v>3504</v>
      </c>
      <c r="G1315" t="s">
        <v>7828</v>
      </c>
      <c r="H1315" t="s">
        <v>3505</v>
      </c>
      <c r="I1315" t="s">
        <v>255</v>
      </c>
      <c r="J1315" t="s">
        <v>7703</v>
      </c>
      <c r="K1315" t="s">
        <v>7822</v>
      </c>
      <c r="L1315" t="s">
        <v>7822</v>
      </c>
      <c r="N1315" t="str" cm="1">
        <f t="array" ref="N1315">IFERROR(LOOKUP(2,1/SEARCH($S$2:$S$65,G1315),$T$2:$T$65),"Misc")</f>
        <v>COTS</v>
      </c>
      <c r="O1315" t="str" cm="1">
        <f t="array" ref="O1315">IFERROR(LOOKUP(2,1/SEARCH($V$2:$V$65,G1315),$W$2:$W$65),"Misc")</f>
        <v>DAMPER</v>
      </c>
      <c r="P1315" t="str" cm="1">
        <f t="array" ref="P1315">IFERROR(LOOKUP(2,1/SEARCH($Y$2:$Y$65,G1315),$Z$2:$Z$65),"Not Defined")</f>
        <v>DAMPER</v>
      </c>
      <c r="Q1315" t="str" cm="1">
        <f t="array" ref="Q1315">IFERROR(LOOKUP(2,1/SEARCH($S$2:$S$65,H1315),$T$2:$T$65),"-")</f>
        <v>COTS</v>
      </c>
    </row>
    <row r="1316" spans="1:17" hidden="1" x14ac:dyDescent="0.25">
      <c r="A1316" t="s">
        <v>7674</v>
      </c>
      <c r="B1316" s="17" t="s">
        <v>3549</v>
      </c>
      <c r="C1316">
        <v>2</v>
      </c>
      <c r="D1316" t="s">
        <v>7358</v>
      </c>
      <c r="E1316" t="s">
        <v>7896</v>
      </c>
      <c r="F1316" t="s">
        <v>3507</v>
      </c>
      <c r="G1316" t="s">
        <v>7374</v>
      </c>
      <c r="H1316" t="s">
        <v>3508</v>
      </c>
      <c r="I1316" t="s">
        <v>228</v>
      </c>
      <c r="J1316" t="s">
        <v>7703</v>
      </c>
      <c r="K1316" t="s">
        <v>7684</v>
      </c>
      <c r="L1316" t="s">
        <v>7739</v>
      </c>
      <c r="N1316" t="str" cm="1">
        <f t="array" ref="N1316">IFERROR(LOOKUP(2,1/SEARCH($S$2:$S$65,G1316),$T$2:$T$65),"Misc")</f>
        <v>COTS</v>
      </c>
      <c r="O1316" t="str" cm="1">
        <f t="array" ref="O1316">IFERROR(LOOKUP(2,1/SEARCH($V$2:$V$65,G1316),$W$2:$W$65),"Misc")</f>
        <v>Fasteners</v>
      </c>
      <c r="P1316" t="str" cm="1">
        <f t="array" ref="P1316">IFERROR(LOOKUP(2,1/SEARCH($Y$2:$Y$65,G1316),$Z$2:$Z$65),"Not Defined")</f>
        <v>BHCS</v>
      </c>
      <c r="Q1316" t="str" cm="1">
        <f t="array" ref="Q1316">IFERROR(LOOKUP(2,1/SEARCH($S$2:$S$65,H1316),$T$2:$T$65),"-")</f>
        <v>COTS</v>
      </c>
    </row>
    <row r="1317" spans="1:17" hidden="1" x14ac:dyDescent="0.25">
      <c r="A1317" t="s">
        <v>7674</v>
      </c>
      <c r="B1317" s="17" t="s">
        <v>3550</v>
      </c>
      <c r="C1317">
        <v>2</v>
      </c>
      <c r="D1317" t="s">
        <v>7358</v>
      </c>
      <c r="E1317" t="s">
        <v>7896</v>
      </c>
      <c r="F1317" t="s">
        <v>3551</v>
      </c>
      <c r="G1317" t="s">
        <v>7379</v>
      </c>
      <c r="H1317" t="s">
        <v>3552</v>
      </c>
      <c r="I1317" t="s">
        <v>228</v>
      </c>
      <c r="J1317" t="s">
        <v>7703</v>
      </c>
      <c r="K1317" t="s">
        <v>7684</v>
      </c>
      <c r="L1317" t="s">
        <v>7692</v>
      </c>
      <c r="N1317" t="str" cm="1">
        <f t="array" ref="N1317">IFERROR(LOOKUP(2,1/SEARCH($S$2:$S$65,G1317),$T$2:$T$65),"Misc")</f>
        <v>COTS</v>
      </c>
      <c r="O1317" t="str" cm="1">
        <f t="array" ref="O1317">IFERROR(LOOKUP(2,1/SEARCH($V$2:$V$65,G1317),$W$2:$W$65),"Misc")</f>
        <v>Fasteners</v>
      </c>
      <c r="P1317" t="str" cm="1">
        <f t="array" ref="P1317">IFERROR(LOOKUP(2,1/SEARCH($Y$2:$Y$65,G1317),$Z$2:$Z$65),"Not Defined")</f>
        <v>WASHER</v>
      </c>
      <c r="Q1317" t="str" cm="1">
        <f t="array" ref="Q1317">IFERROR(LOOKUP(2,1/SEARCH($S$2:$S$65,H1317),$T$2:$T$65),"-")</f>
        <v>COTS</v>
      </c>
    </row>
    <row r="1318" spans="1:17" hidden="1" x14ac:dyDescent="0.25">
      <c r="A1318" t="s">
        <v>7674</v>
      </c>
      <c r="B1318" s="17" t="s">
        <v>3553</v>
      </c>
      <c r="C1318">
        <v>2</v>
      </c>
      <c r="D1318" t="s">
        <v>7358</v>
      </c>
      <c r="E1318" t="s">
        <v>7896</v>
      </c>
      <c r="F1318" t="s">
        <v>3396</v>
      </c>
      <c r="G1318" t="s">
        <v>7361</v>
      </c>
      <c r="H1318" t="s">
        <v>3397</v>
      </c>
      <c r="I1318" t="s">
        <v>228</v>
      </c>
      <c r="J1318" t="s">
        <v>7703</v>
      </c>
      <c r="K1318" t="s">
        <v>7684</v>
      </c>
      <c r="L1318" t="s">
        <v>7685</v>
      </c>
      <c r="N1318" t="str" cm="1">
        <f t="array" ref="N1318">IFERROR(LOOKUP(2,1/SEARCH($S$2:$S$65,G1318),$T$2:$T$65),"Misc")</f>
        <v>COTS</v>
      </c>
      <c r="O1318" t="str" cm="1">
        <f t="array" ref="O1318">IFERROR(LOOKUP(2,1/SEARCH($V$2:$V$65,G1318),$W$2:$W$65),"Misc")</f>
        <v>Fasteners</v>
      </c>
      <c r="P1318" t="str" cm="1">
        <f t="array" ref="P1318">IFERROR(LOOKUP(2,1/SEARCH($Y$2:$Y$65,G1318),$Z$2:$Z$65),"Not Defined")</f>
        <v>NUT</v>
      </c>
      <c r="Q1318" t="str" cm="1">
        <f t="array" ref="Q1318">IFERROR(LOOKUP(2,1/SEARCH($S$2:$S$65,H1318),$T$2:$T$65),"-")</f>
        <v>COTS</v>
      </c>
    </row>
    <row r="1319" spans="1:17" hidden="1" x14ac:dyDescent="0.25">
      <c r="A1319" t="s">
        <v>7674</v>
      </c>
      <c r="B1319" s="22" t="s">
        <v>3554</v>
      </c>
      <c r="C1319">
        <v>2</v>
      </c>
      <c r="D1319" t="s">
        <v>7358</v>
      </c>
      <c r="E1319" t="s">
        <v>7885</v>
      </c>
      <c r="F1319" t="s">
        <v>3555</v>
      </c>
      <c r="G1319" t="s">
        <v>3556</v>
      </c>
      <c r="H1319" t="s">
        <v>3556</v>
      </c>
      <c r="I1319" t="s">
        <v>228</v>
      </c>
      <c r="J1319" t="s">
        <v>7703</v>
      </c>
      <c r="K1319" t="s">
        <v>7684</v>
      </c>
      <c r="L1319" t="s">
        <v>7692</v>
      </c>
      <c r="N1319" t="str" cm="1">
        <f t="array" ref="N1319">IFERROR(LOOKUP(2,1/SEARCH($S$2:$S$65,G1319),$T$2:$T$65),"Misc")</f>
        <v>COTS</v>
      </c>
      <c r="O1319" t="str" cm="1">
        <f t="array" ref="O1319">IFERROR(LOOKUP(2,1/SEARCH($V$2:$V$65,G1319),$W$2:$W$65),"Misc")</f>
        <v>Fasteners</v>
      </c>
      <c r="P1319" t="str" cm="1">
        <f t="array" ref="P1319">IFERROR(LOOKUP(2,1/SEARCH($Y$2:$Y$65,G1319),$Z$2:$Z$65),"Not Defined")</f>
        <v>WASHER</v>
      </c>
      <c r="Q1319" t="str" cm="1">
        <f t="array" ref="Q1319">IFERROR(LOOKUP(2,1/SEARCH($S$2:$S$65,H1319),$T$2:$T$65),"-")</f>
        <v>COTS</v>
      </c>
    </row>
    <row r="1320" spans="1:17" hidden="1" x14ac:dyDescent="0.25">
      <c r="A1320" t="s">
        <v>7674</v>
      </c>
      <c r="B1320" s="22" t="s">
        <v>3557</v>
      </c>
      <c r="C1320">
        <v>2</v>
      </c>
      <c r="D1320" t="s">
        <v>7358</v>
      </c>
      <c r="E1320" t="s">
        <v>7885</v>
      </c>
      <c r="F1320" t="s">
        <v>3472</v>
      </c>
      <c r="G1320" t="s">
        <v>7370</v>
      </c>
      <c r="H1320" t="s">
        <v>3473</v>
      </c>
      <c r="I1320" t="s">
        <v>228</v>
      </c>
      <c r="J1320" t="s">
        <v>7703</v>
      </c>
      <c r="K1320" t="s">
        <v>7684</v>
      </c>
      <c r="L1320" t="s">
        <v>7820</v>
      </c>
      <c r="N1320" t="str" cm="1">
        <f t="array" ref="N1320">IFERROR(LOOKUP(2,1/SEARCH($S$2:$S$65,G1320),$T$2:$T$65),"Misc")</f>
        <v>COTS</v>
      </c>
      <c r="O1320" t="str" cm="1">
        <f t="array" ref="O1320">IFERROR(LOOKUP(2,1/SEARCH($V$2:$V$65,G1320),$W$2:$W$65),"Misc")</f>
        <v>Fasteners</v>
      </c>
      <c r="P1320" t="str" cm="1">
        <f t="array" ref="P1320">IFERROR(LOOKUP(2,1/SEARCH($Y$2:$Y$65,G1320),$Z$2:$Z$65),"Not Defined")</f>
        <v>FHCS</v>
      </c>
      <c r="Q1320" t="str" cm="1">
        <f t="array" ref="Q1320">IFERROR(LOOKUP(2,1/SEARCH($S$2:$S$65,H1320),$T$2:$T$65),"-")</f>
        <v>COTS</v>
      </c>
    </row>
    <row r="1321" spans="1:17" hidden="1" x14ac:dyDescent="0.25">
      <c r="A1321" t="s">
        <v>7674</v>
      </c>
      <c r="B1321" s="22" t="s">
        <v>3558</v>
      </c>
      <c r="C1321">
        <v>6</v>
      </c>
      <c r="D1321" t="s">
        <v>7358</v>
      </c>
      <c r="E1321" t="s">
        <v>7885</v>
      </c>
      <c r="F1321" t="s">
        <v>3559</v>
      </c>
      <c r="G1321" t="s">
        <v>7380</v>
      </c>
      <c r="H1321" t="s">
        <v>3560</v>
      </c>
      <c r="I1321" t="s">
        <v>228</v>
      </c>
      <c r="J1321" t="s">
        <v>7703</v>
      </c>
      <c r="K1321" t="s">
        <v>7684</v>
      </c>
      <c r="L1321" t="s">
        <v>7820</v>
      </c>
      <c r="N1321" t="str" cm="1">
        <f t="array" ref="N1321">IFERROR(LOOKUP(2,1/SEARCH($S$2:$S$65,G1321),$T$2:$T$65),"Misc")</f>
        <v>COTS</v>
      </c>
      <c r="O1321" t="str" cm="1">
        <f t="array" ref="O1321">IFERROR(LOOKUP(2,1/SEARCH($V$2:$V$65,G1321),$W$2:$W$65),"Misc")</f>
        <v>Fasteners</v>
      </c>
      <c r="P1321" t="str" cm="1">
        <f t="array" ref="P1321">IFERROR(LOOKUP(2,1/SEARCH($Y$2:$Y$65,G1321),$Z$2:$Z$65),"Not Defined")</f>
        <v>FHCS</v>
      </c>
      <c r="Q1321" t="str" cm="1">
        <f t="array" ref="Q1321">IFERROR(LOOKUP(2,1/SEARCH($S$2:$S$65,H1321),$T$2:$T$65),"-")</f>
        <v>COTS</v>
      </c>
    </row>
    <row r="1322" spans="1:17" hidden="1" x14ac:dyDescent="0.25">
      <c r="A1322" t="s">
        <v>7674</v>
      </c>
      <c r="B1322" s="22" t="s">
        <v>3561</v>
      </c>
      <c r="C1322">
        <v>28</v>
      </c>
      <c r="D1322" t="s">
        <v>7358</v>
      </c>
      <c r="E1322" t="s">
        <v>7885</v>
      </c>
      <c r="F1322" t="s">
        <v>3551</v>
      </c>
      <c r="G1322" t="s">
        <v>7379</v>
      </c>
      <c r="H1322" t="s">
        <v>3552</v>
      </c>
      <c r="I1322" t="s">
        <v>228</v>
      </c>
      <c r="J1322" t="s">
        <v>7703</v>
      </c>
      <c r="K1322" t="s">
        <v>7684</v>
      </c>
      <c r="L1322" t="s">
        <v>7692</v>
      </c>
      <c r="N1322" t="str" cm="1">
        <f t="array" ref="N1322">IFERROR(LOOKUP(2,1/SEARCH($S$2:$S$65,G1322),$T$2:$T$65),"Misc")</f>
        <v>COTS</v>
      </c>
      <c r="O1322" t="str" cm="1">
        <f t="array" ref="O1322">IFERROR(LOOKUP(2,1/SEARCH($V$2:$V$65,G1322),$W$2:$W$65),"Misc")</f>
        <v>Fasteners</v>
      </c>
      <c r="P1322" t="str" cm="1">
        <f t="array" ref="P1322">IFERROR(LOOKUP(2,1/SEARCH($Y$2:$Y$65,G1322),$Z$2:$Z$65),"Not Defined")</f>
        <v>WASHER</v>
      </c>
      <c r="Q1322" t="str" cm="1">
        <f t="array" ref="Q1322">IFERROR(LOOKUP(2,1/SEARCH($S$2:$S$65,H1322),$T$2:$T$65),"-")</f>
        <v>COTS</v>
      </c>
    </row>
    <row r="1323" spans="1:17" hidden="1" x14ac:dyDescent="0.25">
      <c r="A1323" t="s">
        <v>7674</v>
      </c>
      <c r="B1323" s="22" t="s">
        <v>3562</v>
      </c>
      <c r="C1323">
        <v>14</v>
      </c>
      <c r="D1323" t="s">
        <v>7358</v>
      </c>
      <c r="E1323" t="s">
        <v>7885</v>
      </c>
      <c r="F1323" t="s">
        <v>3396</v>
      </c>
      <c r="G1323" t="s">
        <v>7361</v>
      </c>
      <c r="H1323" t="s">
        <v>3397</v>
      </c>
      <c r="I1323" t="s">
        <v>228</v>
      </c>
      <c r="J1323" t="s">
        <v>7703</v>
      </c>
      <c r="K1323" t="s">
        <v>7684</v>
      </c>
      <c r="L1323" t="s">
        <v>7685</v>
      </c>
      <c r="N1323" t="str" cm="1">
        <f t="array" ref="N1323">IFERROR(LOOKUP(2,1/SEARCH($S$2:$S$65,G1323),$T$2:$T$65),"Misc")</f>
        <v>COTS</v>
      </c>
      <c r="O1323" t="str" cm="1">
        <f t="array" ref="O1323">IFERROR(LOOKUP(2,1/SEARCH($V$2:$V$65,G1323),$W$2:$W$65),"Misc")</f>
        <v>Fasteners</v>
      </c>
      <c r="P1323" t="str" cm="1">
        <f t="array" ref="P1323">IFERROR(LOOKUP(2,1/SEARCH($Y$2:$Y$65,G1323),$Z$2:$Z$65),"Not Defined")</f>
        <v>NUT</v>
      </c>
      <c r="Q1323" t="str" cm="1">
        <f t="array" ref="Q1323">IFERROR(LOOKUP(2,1/SEARCH($S$2:$S$65,H1323),$T$2:$T$65),"-")</f>
        <v>COTS</v>
      </c>
    </row>
    <row r="1324" spans="1:17" hidden="1" x14ac:dyDescent="0.25">
      <c r="A1324" t="s">
        <v>7674</v>
      </c>
      <c r="B1324" s="22" t="s">
        <v>3563</v>
      </c>
      <c r="C1324">
        <v>1</v>
      </c>
      <c r="D1324" t="s">
        <v>7358</v>
      </c>
      <c r="E1324" t="s">
        <v>7885</v>
      </c>
      <c r="F1324" t="s">
        <v>3564</v>
      </c>
      <c r="G1324" t="s">
        <v>3566</v>
      </c>
      <c r="H1324" t="s">
        <v>3565</v>
      </c>
      <c r="I1324" t="s">
        <v>13</v>
      </c>
      <c r="J1324" t="s">
        <v>7682</v>
      </c>
      <c r="K1324" t="s">
        <v>7826</v>
      </c>
      <c r="L1324" t="s">
        <v>7826</v>
      </c>
      <c r="N1324" t="str" cm="1">
        <f t="array" ref="N1324">IFERROR(LOOKUP(2,1/SEARCH($S$2:$S$65,G1324),$T$2:$T$65),"Misc")</f>
        <v>OH P/N</v>
      </c>
      <c r="O1324" t="str" cm="1">
        <f t="array" ref="O1324">IFERROR(LOOKUP(2,1/SEARCH($V$2:$V$65,G1324),$W$2:$W$65),"Misc")</f>
        <v>OH Part</v>
      </c>
      <c r="P1324" t="str" cm="1">
        <f t="array" ref="P1324">IFERROR(LOOKUP(2,1/SEARCH($Y$2:$Y$65,G1324),$Z$2:$Z$65),"Not Defined")</f>
        <v>OH Part</v>
      </c>
      <c r="Q1324" t="str" cm="1">
        <f t="array" ref="Q1324">IFERROR(LOOKUP(2,1/SEARCH($S$2:$S$65,H1324),$T$2:$T$65),"-")</f>
        <v>-</v>
      </c>
    </row>
    <row r="1325" spans="1:17" hidden="1" x14ac:dyDescent="0.25">
      <c r="A1325" t="s">
        <v>7674</v>
      </c>
      <c r="B1325" s="22" t="s">
        <v>3567</v>
      </c>
      <c r="C1325">
        <v>2</v>
      </c>
      <c r="D1325" t="s">
        <v>7358</v>
      </c>
      <c r="E1325" t="s">
        <v>7885</v>
      </c>
      <c r="F1325" t="s">
        <v>3568</v>
      </c>
      <c r="G1325" t="s">
        <v>7381</v>
      </c>
      <c r="H1325" t="s">
        <v>3569</v>
      </c>
      <c r="I1325" t="s">
        <v>3477</v>
      </c>
      <c r="J1325" t="s">
        <v>7703</v>
      </c>
      <c r="K1325" t="s">
        <v>7683</v>
      </c>
      <c r="L1325" t="s">
        <v>7683</v>
      </c>
      <c r="N1325" t="str" cm="1">
        <f t="array" ref="N1325">IFERROR(LOOKUP(2,1/SEARCH($S$2:$S$65,G1325),$T$2:$T$65),"Misc")</f>
        <v>COTS</v>
      </c>
      <c r="O1325" t="str" cm="1">
        <f t="array" ref="O1325">IFERROR(LOOKUP(2,1/SEARCH($V$2:$V$65,G1325),$W$2:$W$65),"Misc")</f>
        <v>BEARING</v>
      </c>
      <c r="P1325" t="str" cm="1">
        <f t="array" ref="P1325">IFERROR(LOOKUP(2,1/SEARCH($Y$2:$Y$65,G1325),$Z$2:$Z$65),"Not Defined")</f>
        <v>BEARING</v>
      </c>
      <c r="Q1325" t="str" cm="1">
        <f t="array" ref="Q1325">IFERROR(LOOKUP(2,1/SEARCH($S$2:$S$65,H1325),$T$2:$T$65),"-")</f>
        <v>COTS</v>
      </c>
    </row>
    <row r="1326" spans="1:17" hidden="1" x14ac:dyDescent="0.25">
      <c r="A1326" t="s">
        <v>7674</v>
      </c>
      <c r="B1326" s="22" t="s">
        <v>3570</v>
      </c>
      <c r="C1326">
        <v>2</v>
      </c>
      <c r="D1326" t="s">
        <v>7358</v>
      </c>
      <c r="E1326" t="s">
        <v>7885</v>
      </c>
      <c r="F1326" t="s">
        <v>3571</v>
      </c>
      <c r="G1326" t="s">
        <v>7382</v>
      </c>
      <c r="H1326" t="s">
        <v>3572</v>
      </c>
      <c r="I1326" t="s">
        <v>228</v>
      </c>
      <c r="J1326" t="s">
        <v>7703</v>
      </c>
      <c r="K1326" t="s">
        <v>7684</v>
      </c>
      <c r="L1326" t="s">
        <v>7692</v>
      </c>
      <c r="N1326" t="str" cm="1">
        <f t="array" ref="N1326">IFERROR(LOOKUP(2,1/SEARCH($S$2:$S$65,G1326),$T$2:$T$65),"Misc")</f>
        <v>COTS</v>
      </c>
      <c r="O1326" t="str" cm="1">
        <f t="array" ref="O1326">IFERROR(LOOKUP(2,1/SEARCH($V$2:$V$65,G1326),$W$2:$W$65),"Misc")</f>
        <v>Fasteners</v>
      </c>
      <c r="P1326" t="str" cm="1">
        <f t="array" ref="P1326">IFERROR(LOOKUP(2,1/SEARCH($Y$2:$Y$65,G1326),$Z$2:$Z$65),"Not Defined")</f>
        <v>WASHER</v>
      </c>
      <c r="Q1326" t="str" cm="1">
        <f t="array" ref="Q1326">IFERROR(LOOKUP(2,1/SEARCH($S$2:$S$65,H1326),$T$2:$T$65),"-")</f>
        <v>COTS</v>
      </c>
    </row>
    <row r="1327" spans="1:17" hidden="1" x14ac:dyDescent="0.25">
      <c r="A1327" t="s">
        <v>7674</v>
      </c>
      <c r="B1327" s="22" t="s">
        <v>3573</v>
      </c>
      <c r="C1327">
        <v>1</v>
      </c>
      <c r="D1327" t="s">
        <v>7358</v>
      </c>
      <c r="E1327" t="s">
        <v>7885</v>
      </c>
      <c r="F1327" t="s">
        <v>3574</v>
      </c>
      <c r="G1327" t="s">
        <v>7383</v>
      </c>
      <c r="H1327" t="s">
        <v>3575</v>
      </c>
      <c r="I1327" t="s">
        <v>228</v>
      </c>
      <c r="J1327" t="s">
        <v>7703</v>
      </c>
      <c r="K1327" t="s">
        <v>7684</v>
      </c>
      <c r="L1327" t="s">
        <v>7819</v>
      </c>
      <c r="N1327" t="str" cm="1">
        <f t="array" ref="N1327">IFERROR(LOOKUP(2,1/SEARCH($S$2:$S$65,G1327),$T$2:$T$65),"Misc")</f>
        <v>COTS</v>
      </c>
      <c r="O1327" t="str" cm="1">
        <f t="array" ref="O1327">IFERROR(LOOKUP(2,1/SEARCH($V$2:$V$65,G1327),$W$2:$W$65),"Misc")</f>
        <v>Fasteners</v>
      </c>
      <c r="P1327" t="str" cm="1">
        <f t="array" ref="P1327">IFERROR(LOOKUP(2,1/SEARCH($Y$2:$Y$65,G1327),$Z$2:$Z$65),"Not Defined")</f>
        <v>HHS</v>
      </c>
      <c r="Q1327" t="str" cm="1">
        <f t="array" ref="Q1327">IFERROR(LOOKUP(2,1/SEARCH($S$2:$S$65,H1327),$T$2:$T$65),"-")</f>
        <v>COTS</v>
      </c>
    </row>
    <row r="1328" spans="1:17" hidden="1" x14ac:dyDescent="0.25">
      <c r="A1328" t="s">
        <v>7674</v>
      </c>
      <c r="B1328" s="22" t="s">
        <v>3576</v>
      </c>
      <c r="C1328">
        <v>2</v>
      </c>
      <c r="D1328" t="s">
        <v>7358</v>
      </c>
      <c r="E1328" t="s">
        <v>7885</v>
      </c>
      <c r="F1328" t="s">
        <v>3577</v>
      </c>
      <c r="G1328" t="s">
        <v>7384</v>
      </c>
      <c r="H1328" t="s">
        <v>3578</v>
      </c>
      <c r="I1328" t="s">
        <v>228</v>
      </c>
      <c r="J1328" t="s">
        <v>7703</v>
      </c>
      <c r="K1328" t="s">
        <v>7684</v>
      </c>
      <c r="L1328" t="s">
        <v>7685</v>
      </c>
      <c r="N1328" t="str" cm="1">
        <f t="array" ref="N1328">IFERROR(LOOKUP(2,1/SEARCH($S$2:$S$65,G1328),$T$2:$T$65),"Misc")</f>
        <v>COTS</v>
      </c>
      <c r="O1328" t="str" cm="1">
        <f t="array" ref="O1328">IFERROR(LOOKUP(2,1/SEARCH($V$2:$V$65,G1328),$W$2:$W$65),"Misc")</f>
        <v>Fasteners</v>
      </c>
      <c r="P1328" t="str" cm="1">
        <f t="array" ref="P1328">IFERROR(LOOKUP(2,1/SEARCH($Y$2:$Y$65,G1328),$Z$2:$Z$65),"Not Defined")</f>
        <v>NUT</v>
      </c>
      <c r="Q1328" t="str" cm="1">
        <f t="array" ref="Q1328">IFERROR(LOOKUP(2,1/SEARCH($S$2:$S$65,H1328),$T$2:$T$65),"-")</f>
        <v>COTS</v>
      </c>
    </row>
    <row r="1329" spans="1:17" hidden="1" x14ac:dyDescent="0.25">
      <c r="A1329" t="s">
        <v>7674</v>
      </c>
      <c r="B1329" s="22" t="s">
        <v>3579</v>
      </c>
      <c r="C1329">
        <v>14</v>
      </c>
      <c r="D1329" t="s">
        <v>7358</v>
      </c>
      <c r="E1329" t="s">
        <v>7885</v>
      </c>
      <c r="F1329" t="s">
        <v>3580</v>
      </c>
      <c r="G1329" t="s">
        <v>7385</v>
      </c>
      <c r="H1329" t="s">
        <v>3581</v>
      </c>
      <c r="I1329" t="s">
        <v>228</v>
      </c>
      <c r="J1329" t="s">
        <v>7703</v>
      </c>
      <c r="K1329" t="s">
        <v>7684</v>
      </c>
      <c r="L1329" t="s">
        <v>7700</v>
      </c>
      <c r="N1329" t="str" cm="1">
        <f t="array" ref="N1329">IFERROR(LOOKUP(2,1/SEARCH($S$2:$S$65,G1329),$T$2:$T$65),"Misc")</f>
        <v>COTS</v>
      </c>
      <c r="O1329" t="str" cm="1">
        <f t="array" ref="O1329">IFERROR(LOOKUP(2,1/SEARCH($V$2:$V$65,G1329),$W$2:$W$65),"Misc")</f>
        <v>Fasteners</v>
      </c>
      <c r="P1329" t="str" cm="1">
        <f t="array" ref="P1329">IFERROR(LOOKUP(2,1/SEARCH($Y$2:$Y$65,G1329),$Z$2:$Z$65),"Not Defined")</f>
        <v>SHCS</v>
      </c>
      <c r="Q1329" t="str" cm="1">
        <f t="array" ref="Q1329">IFERROR(LOOKUP(2,1/SEARCH($S$2:$S$65,H1329),$T$2:$T$65),"-")</f>
        <v>COTS</v>
      </c>
    </row>
    <row r="1330" spans="1:17" hidden="1" x14ac:dyDescent="0.25">
      <c r="A1330" t="s">
        <v>7674</v>
      </c>
      <c r="B1330" s="22" t="s">
        <v>3582</v>
      </c>
      <c r="C1330">
        <v>1</v>
      </c>
      <c r="D1330" t="s">
        <v>7358</v>
      </c>
      <c r="E1330" t="s">
        <v>7898</v>
      </c>
      <c r="F1330" t="s">
        <v>3583</v>
      </c>
      <c r="G1330" t="s">
        <v>7386</v>
      </c>
      <c r="H1330" t="s">
        <v>3584</v>
      </c>
      <c r="J1330" t="s">
        <v>7742</v>
      </c>
      <c r="K1330" t="s">
        <v>7826</v>
      </c>
      <c r="L1330" t="s">
        <v>7822</v>
      </c>
      <c r="N1330" t="str" cm="1">
        <f t="array" ref="N1330">IFERROR(LOOKUP(2,1/SEARCH($S$2:$S$65,G1330),$T$2:$T$65),"Misc")</f>
        <v>OH ASSY</v>
      </c>
      <c r="O1330" t="str" cm="1">
        <f t="array" ref="O1330">IFERROR(LOOKUP(2,1/SEARCH($V$2:$V$65,G1330),$W$2:$W$65),"Misc")</f>
        <v>OH Part</v>
      </c>
      <c r="P1330" t="str" cm="1">
        <f t="array" ref="P1330">IFERROR(LOOKUP(2,1/SEARCH($Y$2:$Y$65,G1330),$Z$2:$Z$65),"Not Defined")</f>
        <v>DAMPER</v>
      </c>
      <c r="Q1330" t="str" cm="1">
        <f t="array" ref="Q1330">IFERROR(LOOKUP(2,1/SEARCH($S$2:$S$65,H1330),$T$2:$T$65),"-")</f>
        <v>OH ASSY</v>
      </c>
    </row>
    <row r="1331" spans="1:17" hidden="1" x14ac:dyDescent="0.25">
      <c r="A1331" t="s">
        <v>7674</v>
      </c>
      <c r="B1331" s="22" t="s">
        <v>3585</v>
      </c>
      <c r="C1331">
        <v>1</v>
      </c>
      <c r="D1331" t="s">
        <v>7358</v>
      </c>
      <c r="E1331" t="s">
        <v>7898</v>
      </c>
      <c r="F1331" t="s">
        <v>3586</v>
      </c>
      <c r="G1331" t="s">
        <v>3588</v>
      </c>
      <c r="H1331" t="s">
        <v>3587</v>
      </c>
      <c r="I1331" t="s">
        <v>13</v>
      </c>
      <c r="J1331" t="s">
        <v>7682</v>
      </c>
      <c r="K1331" t="s">
        <v>7826</v>
      </c>
      <c r="L1331" t="s">
        <v>7822</v>
      </c>
      <c r="N1331" t="str" cm="1">
        <f t="array" ref="N1331">IFERROR(LOOKUP(2,1/SEARCH($S$2:$S$65,G1331),$T$2:$T$65),"Misc")</f>
        <v>OH P/N</v>
      </c>
      <c r="O1331" t="str" cm="1">
        <f t="array" ref="O1331">IFERROR(LOOKUP(2,1/SEARCH($V$2:$V$65,G1331),$W$2:$W$65),"Misc")</f>
        <v>OH Part</v>
      </c>
      <c r="P1331" t="str" cm="1">
        <f t="array" ref="P1331">IFERROR(LOOKUP(2,1/SEARCH($Y$2:$Y$65,G1331),$Z$2:$Z$65),"Not Defined")</f>
        <v>DAMPER</v>
      </c>
      <c r="Q1331" t="str" cm="1">
        <f t="array" ref="Q1331">IFERROR(LOOKUP(2,1/SEARCH($S$2:$S$65,H1331),$T$2:$T$65),"-")</f>
        <v>COTS</v>
      </c>
    </row>
    <row r="1332" spans="1:17" hidden="1" x14ac:dyDescent="0.25">
      <c r="A1332" t="s">
        <v>7674</v>
      </c>
      <c r="B1332" s="22" t="s">
        <v>3589</v>
      </c>
      <c r="C1332">
        <v>1</v>
      </c>
      <c r="D1332" t="s">
        <v>7358</v>
      </c>
      <c r="E1332" t="s">
        <v>7898</v>
      </c>
      <c r="F1332" t="s">
        <v>3447</v>
      </c>
      <c r="G1332" t="s">
        <v>7367</v>
      </c>
      <c r="H1332" t="s">
        <v>3448</v>
      </c>
      <c r="I1332" t="s">
        <v>224</v>
      </c>
      <c r="J1332" t="s">
        <v>7703</v>
      </c>
      <c r="K1332" t="s">
        <v>7684</v>
      </c>
      <c r="L1332" t="s">
        <v>7687</v>
      </c>
      <c r="N1332" t="str" cm="1">
        <f t="array" ref="N1332">IFERROR(LOOKUP(2,1/SEARCH($S$2:$S$65,G1332),$T$2:$T$65),"Misc")</f>
        <v>COTS</v>
      </c>
      <c r="O1332" t="str" cm="1">
        <f t="array" ref="O1332">IFERROR(LOOKUP(2,1/SEARCH($V$2:$V$65,G1332),$W$2:$W$65),"Misc")</f>
        <v>Fasteners</v>
      </c>
      <c r="P1332" t="str" cm="1">
        <f t="array" ref="P1332">IFERROR(LOOKUP(2,1/SEARCH($Y$2:$Y$65,G1332),$Z$2:$Z$65),"Not Defined")</f>
        <v>INSERT</v>
      </c>
      <c r="Q1332" t="str" cm="1">
        <f t="array" ref="Q1332">IFERROR(LOOKUP(2,1/SEARCH($S$2:$S$65,H1332),$T$2:$T$65),"-")</f>
        <v>COTS</v>
      </c>
    </row>
    <row r="1333" spans="1:17" hidden="1" x14ac:dyDescent="0.25">
      <c r="A1333" t="s">
        <v>7674</v>
      </c>
      <c r="B1333" s="22" t="s">
        <v>3590</v>
      </c>
      <c r="C1333">
        <v>1</v>
      </c>
      <c r="D1333" t="s">
        <v>7358</v>
      </c>
      <c r="E1333" t="s">
        <v>7899</v>
      </c>
      <c r="F1333" t="s">
        <v>3591</v>
      </c>
      <c r="G1333" t="s">
        <v>7387</v>
      </c>
      <c r="H1333" t="s">
        <v>3592</v>
      </c>
      <c r="J1333" t="s">
        <v>7742</v>
      </c>
      <c r="K1333" t="s">
        <v>7826</v>
      </c>
      <c r="L1333" t="s">
        <v>7822</v>
      </c>
      <c r="N1333" t="str" cm="1">
        <f t="array" ref="N1333">IFERROR(LOOKUP(2,1/SEARCH($S$2:$S$65,G1333),$T$2:$T$65),"Misc")</f>
        <v>OH ASSY</v>
      </c>
      <c r="O1333" t="str" cm="1">
        <f t="array" ref="O1333">IFERROR(LOOKUP(2,1/SEARCH($V$2:$V$65,G1333),$W$2:$W$65),"Misc")</f>
        <v>OH Part</v>
      </c>
      <c r="P1333" t="str" cm="1">
        <f t="array" ref="P1333">IFERROR(LOOKUP(2,1/SEARCH($Y$2:$Y$65,G1333),$Z$2:$Z$65),"Not Defined")</f>
        <v>DAMPER</v>
      </c>
      <c r="Q1333" t="str" cm="1">
        <f t="array" ref="Q1333">IFERROR(LOOKUP(2,1/SEARCH($S$2:$S$65,H1333),$T$2:$T$65),"-")</f>
        <v>OH ASSY</v>
      </c>
    </row>
    <row r="1334" spans="1:17" hidden="1" x14ac:dyDescent="0.25">
      <c r="A1334" t="s">
        <v>7674</v>
      </c>
      <c r="B1334" s="22" t="s">
        <v>3593</v>
      </c>
      <c r="C1334">
        <v>1</v>
      </c>
      <c r="D1334" t="s">
        <v>7358</v>
      </c>
      <c r="E1334" t="s">
        <v>7899</v>
      </c>
      <c r="F1334" t="s">
        <v>3479</v>
      </c>
      <c r="G1334" t="s">
        <v>3595</v>
      </c>
      <c r="H1334" t="s">
        <v>3594</v>
      </c>
      <c r="I1334" t="s">
        <v>13</v>
      </c>
      <c r="J1334" t="s">
        <v>7682</v>
      </c>
      <c r="K1334" t="s">
        <v>7826</v>
      </c>
      <c r="L1334" t="s">
        <v>7822</v>
      </c>
      <c r="N1334" t="str" cm="1">
        <f t="array" ref="N1334">IFERROR(LOOKUP(2,1/SEARCH($S$2:$S$65,G1334),$T$2:$T$65),"Misc")</f>
        <v>OH P/N</v>
      </c>
      <c r="O1334" t="str" cm="1">
        <f t="array" ref="O1334">IFERROR(LOOKUP(2,1/SEARCH($V$2:$V$65,G1334),$W$2:$W$65),"Misc")</f>
        <v>OH Part</v>
      </c>
      <c r="P1334" t="str" cm="1">
        <f t="array" ref="P1334">IFERROR(LOOKUP(2,1/SEARCH($Y$2:$Y$65,G1334),$Z$2:$Z$65),"Not Defined")</f>
        <v>DAMPER</v>
      </c>
      <c r="Q1334" t="str" cm="1">
        <f t="array" ref="Q1334">IFERROR(LOOKUP(2,1/SEARCH($S$2:$S$65,H1334),$T$2:$T$65),"-")</f>
        <v>COTS</v>
      </c>
    </row>
    <row r="1335" spans="1:17" hidden="1" x14ac:dyDescent="0.25">
      <c r="A1335" t="s">
        <v>7674</v>
      </c>
      <c r="B1335" s="22" t="s">
        <v>3596</v>
      </c>
      <c r="C1335">
        <v>1</v>
      </c>
      <c r="D1335" t="s">
        <v>7358</v>
      </c>
      <c r="E1335" t="s">
        <v>7899</v>
      </c>
      <c r="F1335" t="s">
        <v>3447</v>
      </c>
      <c r="G1335" t="s">
        <v>7367</v>
      </c>
      <c r="H1335" t="s">
        <v>3448</v>
      </c>
      <c r="I1335" t="s">
        <v>224</v>
      </c>
      <c r="J1335" t="s">
        <v>7703</v>
      </c>
      <c r="K1335" t="s">
        <v>7684</v>
      </c>
      <c r="L1335" t="s">
        <v>7687</v>
      </c>
      <c r="N1335" t="str" cm="1">
        <f t="array" ref="N1335">IFERROR(LOOKUP(2,1/SEARCH($S$2:$S$65,G1335),$T$2:$T$65),"Misc")</f>
        <v>COTS</v>
      </c>
      <c r="O1335" t="str" cm="1">
        <f t="array" ref="O1335">IFERROR(LOOKUP(2,1/SEARCH($V$2:$V$65,G1335),$W$2:$W$65),"Misc")</f>
        <v>Fasteners</v>
      </c>
      <c r="P1335" t="str" cm="1">
        <f t="array" ref="P1335">IFERROR(LOOKUP(2,1/SEARCH($Y$2:$Y$65,G1335),$Z$2:$Z$65),"Not Defined")</f>
        <v>INSERT</v>
      </c>
      <c r="Q1335" t="str" cm="1">
        <f t="array" ref="Q1335">IFERROR(LOOKUP(2,1/SEARCH($S$2:$S$65,H1335),$T$2:$T$65),"-")</f>
        <v>COTS</v>
      </c>
    </row>
    <row r="1336" spans="1:17" hidden="1" x14ac:dyDescent="0.25">
      <c r="A1336" t="s">
        <v>7674</v>
      </c>
      <c r="B1336" s="22" t="s">
        <v>3597</v>
      </c>
      <c r="C1336">
        <v>1</v>
      </c>
      <c r="D1336" t="s">
        <v>7358</v>
      </c>
      <c r="E1336" t="s">
        <v>7885</v>
      </c>
      <c r="F1336" t="s">
        <v>3598</v>
      </c>
      <c r="G1336" t="s">
        <v>7388</v>
      </c>
      <c r="H1336" t="s">
        <v>3599</v>
      </c>
      <c r="I1336" t="s">
        <v>210</v>
      </c>
      <c r="J1336" t="s">
        <v>7703</v>
      </c>
      <c r="K1336" t="s">
        <v>7684</v>
      </c>
      <c r="L1336" t="s">
        <v>7834</v>
      </c>
      <c r="N1336" t="str" cm="1">
        <f t="array" ref="N1336">IFERROR(LOOKUP(2,1/SEARCH($S$2:$S$65,G1336),$T$2:$T$65),"Misc")</f>
        <v>Misc</v>
      </c>
      <c r="O1336" t="str" cm="1">
        <f t="array" ref="O1336">IFERROR(LOOKUP(2,1/SEARCH($V$2:$V$65,G1336),$W$2:$W$65),"Misc")</f>
        <v>Fasteners</v>
      </c>
      <c r="P1336" t="str" cm="1">
        <f t="array" ref="P1336">IFERROR(LOOKUP(2,1/SEARCH($Y$2:$Y$65,G1336),$Z$2:$Z$65),"Not Defined")</f>
        <v>Not Defined</v>
      </c>
      <c r="Q1336" t="str" cm="1">
        <f t="array" ref="Q1336">IFERROR(LOOKUP(2,1/SEARCH($S$2:$S$65,H1336),$T$2:$T$65),"-")</f>
        <v>-</v>
      </c>
    </row>
    <row r="1337" spans="1:17" hidden="1" x14ac:dyDescent="0.25">
      <c r="A1337" t="s">
        <v>7674</v>
      </c>
      <c r="B1337" s="22" t="s">
        <v>3600</v>
      </c>
      <c r="C1337">
        <v>2</v>
      </c>
      <c r="D1337" t="s">
        <v>7358</v>
      </c>
      <c r="E1337" t="s">
        <v>7885</v>
      </c>
      <c r="F1337" t="s">
        <v>3601</v>
      </c>
      <c r="G1337" t="s">
        <v>7389</v>
      </c>
      <c r="H1337" t="s">
        <v>3602</v>
      </c>
      <c r="I1337" t="s">
        <v>228</v>
      </c>
      <c r="J1337" t="s">
        <v>7703</v>
      </c>
      <c r="K1337" t="s">
        <v>7684</v>
      </c>
      <c r="L1337" t="s">
        <v>7820</v>
      </c>
      <c r="N1337" t="str" cm="1">
        <f t="array" ref="N1337">IFERROR(LOOKUP(2,1/SEARCH($S$2:$S$65,G1337),$T$2:$T$65),"Misc")</f>
        <v>COTS</v>
      </c>
      <c r="O1337" t="str" cm="1">
        <f t="array" ref="O1337">IFERROR(LOOKUP(2,1/SEARCH($V$2:$V$65,G1337),$W$2:$W$65),"Misc")</f>
        <v>Fasteners</v>
      </c>
      <c r="P1337" t="str" cm="1">
        <f t="array" ref="P1337">IFERROR(LOOKUP(2,1/SEARCH($Y$2:$Y$65,G1337),$Z$2:$Z$65),"Not Defined")</f>
        <v>FHCS</v>
      </c>
      <c r="Q1337" t="str" cm="1">
        <f t="array" ref="Q1337">IFERROR(LOOKUP(2,1/SEARCH($S$2:$S$65,H1337),$T$2:$T$65),"-")</f>
        <v>COTS</v>
      </c>
    </row>
    <row r="1338" spans="1:17" hidden="1" x14ac:dyDescent="0.25">
      <c r="A1338" t="s">
        <v>7674</v>
      </c>
      <c r="B1338" s="22" t="s">
        <v>3603</v>
      </c>
      <c r="C1338">
        <v>1</v>
      </c>
      <c r="D1338" t="s">
        <v>7358</v>
      </c>
      <c r="E1338" t="s">
        <v>7900</v>
      </c>
      <c r="F1338" t="s">
        <v>3604</v>
      </c>
      <c r="G1338" t="s">
        <v>3606</v>
      </c>
      <c r="H1338" t="s">
        <v>3605</v>
      </c>
      <c r="J1338" t="s">
        <v>7742</v>
      </c>
      <c r="K1338" t="s">
        <v>7826</v>
      </c>
      <c r="L1338" t="s">
        <v>7826</v>
      </c>
      <c r="N1338" t="str" cm="1">
        <f t="array" ref="N1338">IFERROR(LOOKUP(2,1/SEARCH($S$2:$S$65,G1338),$T$2:$T$65),"Misc")</f>
        <v>OH ASSY</v>
      </c>
      <c r="O1338" t="str" cm="1">
        <f t="array" ref="O1338">IFERROR(LOOKUP(2,1/SEARCH($V$2:$V$65,G1338),$W$2:$W$65),"Misc")</f>
        <v>OH Part</v>
      </c>
      <c r="P1338" t="str" cm="1">
        <f t="array" ref="P1338">IFERROR(LOOKUP(2,1/SEARCH($Y$2:$Y$65,G1338),$Z$2:$Z$65),"Not Defined")</f>
        <v>OH Part</v>
      </c>
      <c r="Q1338" t="str" cm="1">
        <f t="array" ref="Q1338">IFERROR(LOOKUP(2,1/SEARCH($S$2:$S$65,H1338),$T$2:$T$65),"-")</f>
        <v>OH ASSY</v>
      </c>
    </row>
    <row r="1339" spans="1:17" hidden="1" x14ac:dyDescent="0.25">
      <c r="A1339" t="s">
        <v>7674</v>
      </c>
      <c r="B1339" s="22" t="s">
        <v>3607</v>
      </c>
      <c r="C1339">
        <v>1</v>
      </c>
      <c r="D1339" t="s">
        <v>7358</v>
      </c>
      <c r="E1339" t="s">
        <v>7901</v>
      </c>
      <c r="F1339" t="s">
        <v>3608</v>
      </c>
      <c r="G1339" t="s">
        <v>3610</v>
      </c>
      <c r="H1339" t="s">
        <v>3609</v>
      </c>
      <c r="J1339" t="s">
        <v>7742</v>
      </c>
      <c r="K1339" t="s">
        <v>7826</v>
      </c>
      <c r="L1339" t="s">
        <v>7826</v>
      </c>
      <c r="N1339" t="str" cm="1">
        <f t="array" ref="N1339">IFERROR(LOOKUP(2,1/SEARCH($S$2:$S$65,G1339),$T$2:$T$65),"Misc")</f>
        <v>OH ASSY</v>
      </c>
      <c r="O1339" t="str" cm="1">
        <f t="array" ref="O1339">IFERROR(LOOKUP(2,1/SEARCH($V$2:$V$65,G1339),$W$2:$W$65),"Misc")</f>
        <v>OH Part</v>
      </c>
      <c r="P1339" t="str" cm="1">
        <f t="array" ref="P1339">IFERROR(LOOKUP(2,1/SEARCH($Y$2:$Y$65,G1339),$Z$2:$Z$65),"Not Defined")</f>
        <v>OH Part</v>
      </c>
      <c r="Q1339" t="str" cm="1">
        <f t="array" ref="Q1339">IFERROR(LOOKUP(2,1/SEARCH($S$2:$S$65,H1339),$T$2:$T$65),"-")</f>
        <v>OH ASSY</v>
      </c>
    </row>
    <row r="1340" spans="1:17" hidden="1" x14ac:dyDescent="0.25">
      <c r="A1340" t="s">
        <v>7674</v>
      </c>
      <c r="B1340" s="22" t="s">
        <v>3611</v>
      </c>
      <c r="C1340">
        <v>2</v>
      </c>
      <c r="D1340" t="s">
        <v>7358</v>
      </c>
      <c r="E1340" t="s">
        <v>7901</v>
      </c>
      <c r="F1340" t="s">
        <v>3612</v>
      </c>
      <c r="G1340" t="s">
        <v>3614</v>
      </c>
      <c r="H1340" t="s">
        <v>3613</v>
      </c>
      <c r="I1340" t="s">
        <v>299</v>
      </c>
      <c r="J1340" t="s">
        <v>7682</v>
      </c>
      <c r="K1340" t="s">
        <v>7826</v>
      </c>
      <c r="L1340" t="s">
        <v>7826</v>
      </c>
      <c r="N1340" t="str" cm="1">
        <f t="array" ref="N1340">IFERROR(LOOKUP(2,1/SEARCH($S$2:$S$65,G1340),$T$2:$T$65),"Misc")</f>
        <v>OH P/N</v>
      </c>
      <c r="O1340" t="str" cm="1">
        <f t="array" ref="O1340">IFERROR(LOOKUP(2,1/SEARCH($V$2:$V$65,G1340),$W$2:$W$65),"Misc")</f>
        <v>OH Part</v>
      </c>
      <c r="P1340" t="str" cm="1">
        <f t="array" ref="P1340">IFERROR(LOOKUP(2,1/SEARCH($Y$2:$Y$65,G1340),$Z$2:$Z$65),"Not Defined")</f>
        <v>OH Part</v>
      </c>
      <c r="Q1340" t="str" cm="1">
        <f t="array" ref="Q1340">IFERROR(LOOKUP(2,1/SEARCH($S$2:$S$65,H1340),$T$2:$T$65),"-")</f>
        <v>-</v>
      </c>
    </row>
    <row r="1341" spans="1:17" hidden="1" x14ac:dyDescent="0.25">
      <c r="A1341" t="s">
        <v>7674</v>
      </c>
      <c r="B1341" s="22" t="s">
        <v>3615</v>
      </c>
      <c r="C1341">
        <v>1</v>
      </c>
      <c r="D1341" t="s">
        <v>7358</v>
      </c>
      <c r="E1341" t="s">
        <v>7901</v>
      </c>
      <c r="F1341" t="s">
        <v>3616</v>
      </c>
      <c r="G1341" t="s">
        <v>3618</v>
      </c>
      <c r="H1341" t="s">
        <v>3617</v>
      </c>
      <c r="I1341" t="s">
        <v>13</v>
      </c>
      <c r="J1341" t="s">
        <v>7682</v>
      </c>
      <c r="K1341" t="s">
        <v>7826</v>
      </c>
      <c r="L1341" t="s">
        <v>7826</v>
      </c>
      <c r="N1341" t="str" cm="1">
        <f t="array" ref="N1341">IFERROR(LOOKUP(2,1/SEARCH($S$2:$S$65,G1341),$T$2:$T$65),"Misc")</f>
        <v>OH P/N</v>
      </c>
      <c r="O1341" t="str" cm="1">
        <f t="array" ref="O1341">IFERROR(LOOKUP(2,1/SEARCH($V$2:$V$65,G1341),$W$2:$W$65),"Misc")</f>
        <v>OH Part</v>
      </c>
      <c r="P1341" t="str" cm="1">
        <f t="array" ref="P1341">IFERROR(LOOKUP(2,1/SEARCH($Y$2:$Y$65,G1341),$Z$2:$Z$65),"Not Defined")</f>
        <v>OH Part</v>
      </c>
      <c r="Q1341" t="str" cm="1">
        <f t="array" ref="Q1341">IFERROR(LOOKUP(2,1/SEARCH($S$2:$S$65,H1341),$T$2:$T$65),"-")</f>
        <v>-</v>
      </c>
    </row>
    <row r="1342" spans="1:17" hidden="1" x14ac:dyDescent="0.25">
      <c r="A1342" t="s">
        <v>7674</v>
      </c>
      <c r="B1342" s="22" t="s">
        <v>3619</v>
      </c>
      <c r="C1342">
        <v>6</v>
      </c>
      <c r="D1342" t="s">
        <v>7358</v>
      </c>
      <c r="E1342" t="s">
        <v>7901</v>
      </c>
      <c r="F1342" t="s">
        <v>3551</v>
      </c>
      <c r="G1342" t="s">
        <v>7379</v>
      </c>
      <c r="H1342" t="s">
        <v>3552</v>
      </c>
      <c r="I1342" t="s">
        <v>228</v>
      </c>
      <c r="J1342" t="s">
        <v>7703</v>
      </c>
      <c r="K1342" t="s">
        <v>7684</v>
      </c>
      <c r="L1342" t="s">
        <v>7692</v>
      </c>
      <c r="N1342" t="str" cm="1">
        <f t="array" ref="N1342">IFERROR(LOOKUP(2,1/SEARCH($S$2:$S$65,G1342),$T$2:$T$65),"Misc")</f>
        <v>COTS</v>
      </c>
      <c r="O1342" t="str" cm="1">
        <f t="array" ref="O1342">IFERROR(LOOKUP(2,1/SEARCH($V$2:$V$65,G1342),$W$2:$W$65),"Misc")</f>
        <v>Fasteners</v>
      </c>
      <c r="P1342" t="str" cm="1">
        <f t="array" ref="P1342">IFERROR(LOOKUP(2,1/SEARCH($Y$2:$Y$65,G1342),$Z$2:$Z$65),"Not Defined")</f>
        <v>WASHER</v>
      </c>
      <c r="Q1342" t="str" cm="1">
        <f t="array" ref="Q1342">IFERROR(LOOKUP(2,1/SEARCH($S$2:$S$65,H1342),$T$2:$T$65),"-")</f>
        <v>COTS</v>
      </c>
    </row>
    <row r="1343" spans="1:17" hidden="1" x14ac:dyDescent="0.25">
      <c r="A1343" t="s">
        <v>7674</v>
      </c>
      <c r="B1343" s="22" t="s">
        <v>3620</v>
      </c>
      <c r="C1343">
        <v>2</v>
      </c>
      <c r="D1343" t="s">
        <v>7358</v>
      </c>
      <c r="E1343" t="s">
        <v>7901</v>
      </c>
      <c r="F1343" t="s">
        <v>3621</v>
      </c>
      <c r="G1343" t="s">
        <v>7390</v>
      </c>
      <c r="H1343" t="s">
        <v>3622</v>
      </c>
      <c r="I1343" t="s">
        <v>228</v>
      </c>
      <c r="J1343" t="s">
        <v>7703</v>
      </c>
      <c r="K1343" t="s">
        <v>7684</v>
      </c>
      <c r="L1343" t="s">
        <v>7739</v>
      </c>
      <c r="N1343" t="str" cm="1">
        <f t="array" ref="N1343">IFERROR(LOOKUP(2,1/SEARCH($S$2:$S$65,G1343),$T$2:$T$65),"Misc")</f>
        <v>COTS</v>
      </c>
      <c r="O1343" t="str" cm="1">
        <f t="array" ref="O1343">IFERROR(LOOKUP(2,1/SEARCH($V$2:$V$65,G1343),$W$2:$W$65),"Misc")</f>
        <v>Fasteners</v>
      </c>
      <c r="P1343" t="str" cm="1">
        <f t="array" ref="P1343">IFERROR(LOOKUP(2,1/SEARCH($Y$2:$Y$65,G1343),$Z$2:$Z$65),"Not Defined")</f>
        <v>BHCS</v>
      </c>
      <c r="Q1343" t="str" cm="1">
        <f t="array" ref="Q1343">IFERROR(LOOKUP(2,1/SEARCH($S$2:$S$65,H1343),$T$2:$T$65),"-")</f>
        <v>COTS</v>
      </c>
    </row>
    <row r="1344" spans="1:17" hidden="1" x14ac:dyDescent="0.25">
      <c r="A1344" t="s">
        <v>7674</v>
      </c>
      <c r="B1344" s="22" t="s">
        <v>3623</v>
      </c>
      <c r="C1344">
        <v>2</v>
      </c>
      <c r="D1344" t="s">
        <v>7358</v>
      </c>
      <c r="E1344" t="s">
        <v>7901</v>
      </c>
      <c r="F1344" t="s">
        <v>3396</v>
      </c>
      <c r="G1344" t="s">
        <v>7361</v>
      </c>
      <c r="H1344" t="s">
        <v>3397</v>
      </c>
      <c r="I1344" t="s">
        <v>228</v>
      </c>
      <c r="J1344" t="s">
        <v>7703</v>
      </c>
      <c r="K1344" t="s">
        <v>7684</v>
      </c>
      <c r="L1344" t="s">
        <v>7685</v>
      </c>
      <c r="N1344" t="str" cm="1">
        <f t="array" ref="N1344">IFERROR(LOOKUP(2,1/SEARCH($S$2:$S$65,G1344),$T$2:$T$65),"Misc")</f>
        <v>COTS</v>
      </c>
      <c r="O1344" t="str" cm="1">
        <f t="array" ref="O1344">IFERROR(LOOKUP(2,1/SEARCH($V$2:$V$65,G1344),$W$2:$W$65),"Misc")</f>
        <v>Fasteners</v>
      </c>
      <c r="P1344" t="str" cm="1">
        <f t="array" ref="P1344">IFERROR(LOOKUP(2,1/SEARCH($Y$2:$Y$65,G1344),$Z$2:$Z$65),"Not Defined")</f>
        <v>NUT</v>
      </c>
      <c r="Q1344" t="str" cm="1">
        <f t="array" ref="Q1344">IFERROR(LOOKUP(2,1/SEARCH($S$2:$S$65,H1344),$T$2:$T$65),"-")</f>
        <v>COTS</v>
      </c>
    </row>
    <row r="1345" spans="1:17" hidden="1" x14ac:dyDescent="0.25">
      <c r="A1345" t="s">
        <v>7674</v>
      </c>
      <c r="B1345" s="22" t="s">
        <v>3624</v>
      </c>
      <c r="C1345">
        <v>1</v>
      </c>
      <c r="D1345" t="s">
        <v>7358</v>
      </c>
      <c r="E1345" t="s">
        <v>7901</v>
      </c>
      <c r="F1345" t="s">
        <v>3625</v>
      </c>
      <c r="G1345" t="s">
        <v>3627</v>
      </c>
      <c r="H1345" t="s">
        <v>3626</v>
      </c>
      <c r="I1345" t="s">
        <v>1265</v>
      </c>
      <c r="J1345" t="s">
        <v>7682</v>
      </c>
      <c r="K1345" t="s">
        <v>7826</v>
      </c>
      <c r="L1345" t="s">
        <v>7826</v>
      </c>
      <c r="N1345" t="str" cm="1">
        <f t="array" ref="N1345">IFERROR(LOOKUP(2,1/SEARCH($S$2:$S$65,G1345),$T$2:$T$65),"Misc")</f>
        <v>OH P/N</v>
      </c>
      <c r="O1345" t="str" cm="1">
        <f t="array" ref="O1345">IFERROR(LOOKUP(2,1/SEARCH($V$2:$V$65,G1345),$W$2:$W$65),"Misc")</f>
        <v>OH Part</v>
      </c>
      <c r="P1345" t="str" cm="1">
        <f t="array" ref="P1345">IFERROR(LOOKUP(2,1/SEARCH($Y$2:$Y$65,G1345),$Z$2:$Z$65),"Not Defined")</f>
        <v>OH Part</v>
      </c>
      <c r="Q1345" t="str" cm="1">
        <f t="array" ref="Q1345">IFERROR(LOOKUP(2,1/SEARCH($S$2:$S$65,H1345),$T$2:$T$65),"-")</f>
        <v>-</v>
      </c>
    </row>
    <row r="1346" spans="1:17" hidden="1" x14ac:dyDescent="0.25">
      <c r="A1346" t="s">
        <v>7674</v>
      </c>
      <c r="B1346" s="22" t="s">
        <v>3628</v>
      </c>
      <c r="C1346">
        <v>2</v>
      </c>
      <c r="D1346" t="s">
        <v>7358</v>
      </c>
      <c r="E1346" t="s">
        <v>7901</v>
      </c>
      <c r="F1346" t="s">
        <v>3629</v>
      </c>
      <c r="G1346" t="s">
        <v>7391</v>
      </c>
      <c r="H1346" t="s">
        <v>3630</v>
      </c>
      <c r="I1346" t="s">
        <v>3477</v>
      </c>
      <c r="J1346" t="s">
        <v>7703</v>
      </c>
      <c r="K1346" t="s">
        <v>7683</v>
      </c>
      <c r="L1346" t="s">
        <v>7683</v>
      </c>
      <c r="N1346" t="str" cm="1">
        <f t="array" ref="N1346">IFERROR(LOOKUP(2,1/SEARCH($S$2:$S$65,G1346),$T$2:$T$65),"Misc")</f>
        <v>COTS</v>
      </c>
      <c r="O1346" t="str" cm="1">
        <f t="array" ref="O1346">IFERROR(LOOKUP(2,1/SEARCH($V$2:$V$65,G1346),$W$2:$W$65),"Misc")</f>
        <v>BEARING</v>
      </c>
      <c r="P1346" t="str" cm="1">
        <f t="array" ref="P1346">IFERROR(LOOKUP(2,1/SEARCH($Y$2:$Y$65,G1346),$Z$2:$Z$65),"Not Defined")</f>
        <v>BEARING</v>
      </c>
      <c r="Q1346" t="str" cm="1">
        <f t="array" ref="Q1346">IFERROR(LOOKUP(2,1/SEARCH($S$2:$S$65,H1346),$T$2:$T$65),"-")</f>
        <v>COTS</v>
      </c>
    </row>
    <row r="1347" spans="1:17" hidden="1" x14ac:dyDescent="0.25">
      <c r="A1347" t="s">
        <v>7674</v>
      </c>
      <c r="B1347" s="22" t="s">
        <v>3631</v>
      </c>
      <c r="C1347">
        <v>1</v>
      </c>
      <c r="D1347" t="s">
        <v>7358</v>
      </c>
      <c r="E1347" t="s">
        <v>7902</v>
      </c>
      <c r="F1347" t="s">
        <v>3632</v>
      </c>
      <c r="G1347" t="s">
        <v>3634</v>
      </c>
      <c r="H1347" t="s">
        <v>3633</v>
      </c>
      <c r="J1347" t="s">
        <v>7742</v>
      </c>
      <c r="K1347" t="s">
        <v>7826</v>
      </c>
      <c r="L1347" t="s">
        <v>7826</v>
      </c>
      <c r="N1347" t="str" cm="1">
        <f t="array" ref="N1347">IFERROR(LOOKUP(2,1/SEARCH($S$2:$S$65,G1347),$T$2:$T$65),"Misc")</f>
        <v>OH ASSY</v>
      </c>
      <c r="O1347" t="str" cm="1">
        <f t="array" ref="O1347">IFERROR(LOOKUP(2,1/SEARCH($V$2:$V$65,G1347),$W$2:$W$65),"Misc")</f>
        <v>OH Part</v>
      </c>
      <c r="P1347" t="str" cm="1">
        <f t="array" ref="P1347">IFERROR(LOOKUP(2,1/SEARCH($Y$2:$Y$65,G1347),$Z$2:$Z$65),"Not Defined")</f>
        <v>OH Part</v>
      </c>
      <c r="Q1347" t="str" cm="1">
        <f t="array" ref="Q1347">IFERROR(LOOKUP(2,1/SEARCH($S$2:$S$65,H1347),$T$2:$T$65),"-")</f>
        <v>OH ASSY</v>
      </c>
    </row>
    <row r="1348" spans="1:17" hidden="1" x14ac:dyDescent="0.25">
      <c r="A1348" t="s">
        <v>7674</v>
      </c>
      <c r="B1348" s="22" t="s">
        <v>3635</v>
      </c>
      <c r="C1348">
        <v>2</v>
      </c>
      <c r="D1348" t="s">
        <v>7358</v>
      </c>
      <c r="E1348" t="s">
        <v>7902</v>
      </c>
      <c r="F1348" t="s">
        <v>3636</v>
      </c>
      <c r="G1348" t="s">
        <v>3638</v>
      </c>
      <c r="H1348" t="s">
        <v>3637</v>
      </c>
      <c r="I1348" t="s">
        <v>299</v>
      </c>
      <c r="J1348" t="s">
        <v>7682</v>
      </c>
      <c r="K1348" t="s">
        <v>7826</v>
      </c>
      <c r="L1348" t="s">
        <v>7826</v>
      </c>
      <c r="N1348" t="str" cm="1">
        <f t="array" ref="N1348">IFERROR(LOOKUP(2,1/SEARCH($S$2:$S$65,G1348),$T$2:$T$65),"Misc")</f>
        <v>OH P/N</v>
      </c>
      <c r="O1348" t="str" cm="1">
        <f t="array" ref="O1348">IFERROR(LOOKUP(2,1/SEARCH($V$2:$V$65,G1348),$W$2:$W$65),"Misc")</f>
        <v>OH Part</v>
      </c>
      <c r="P1348" t="str" cm="1">
        <f t="array" ref="P1348">IFERROR(LOOKUP(2,1/SEARCH($Y$2:$Y$65,G1348),$Z$2:$Z$65),"Not Defined")</f>
        <v>OH Part</v>
      </c>
      <c r="Q1348" t="str" cm="1">
        <f t="array" ref="Q1348">IFERROR(LOOKUP(2,1/SEARCH($S$2:$S$65,H1348),$T$2:$T$65),"-")</f>
        <v>-</v>
      </c>
    </row>
    <row r="1349" spans="1:17" hidden="1" x14ac:dyDescent="0.25">
      <c r="A1349" t="s">
        <v>7674</v>
      </c>
      <c r="B1349" s="22" t="s">
        <v>3639</v>
      </c>
      <c r="C1349">
        <v>2</v>
      </c>
      <c r="D1349" t="s">
        <v>7358</v>
      </c>
      <c r="E1349" t="s">
        <v>7902</v>
      </c>
      <c r="F1349" t="s">
        <v>3640</v>
      </c>
      <c r="G1349" t="s">
        <v>3642</v>
      </c>
      <c r="H1349" t="s">
        <v>3641</v>
      </c>
      <c r="I1349" t="s">
        <v>13</v>
      </c>
      <c r="J1349" t="s">
        <v>7682</v>
      </c>
      <c r="K1349" t="s">
        <v>7826</v>
      </c>
      <c r="L1349" t="s">
        <v>7826</v>
      </c>
      <c r="N1349" t="str" cm="1">
        <f t="array" ref="N1349">IFERROR(LOOKUP(2,1/SEARCH($S$2:$S$65,G1349),$T$2:$T$65),"Misc")</f>
        <v>OH P/N</v>
      </c>
      <c r="O1349" t="str" cm="1">
        <f t="array" ref="O1349">IFERROR(LOOKUP(2,1/SEARCH($V$2:$V$65,G1349),$W$2:$W$65),"Misc")</f>
        <v>OH Part</v>
      </c>
      <c r="P1349" t="str" cm="1">
        <f t="array" ref="P1349">IFERROR(LOOKUP(2,1/SEARCH($Y$2:$Y$65,G1349),$Z$2:$Z$65),"Not Defined")</f>
        <v>OH Part</v>
      </c>
      <c r="Q1349" t="str" cm="1">
        <f t="array" ref="Q1349">IFERROR(LOOKUP(2,1/SEARCH($S$2:$S$65,H1349),$T$2:$T$65),"-")</f>
        <v>COTS</v>
      </c>
    </row>
    <row r="1350" spans="1:17" hidden="1" x14ac:dyDescent="0.25">
      <c r="A1350" t="s">
        <v>7674</v>
      </c>
      <c r="B1350" s="22" t="s">
        <v>3643</v>
      </c>
      <c r="C1350">
        <v>2</v>
      </c>
      <c r="D1350" t="s">
        <v>7358</v>
      </c>
      <c r="E1350" t="s">
        <v>7902</v>
      </c>
      <c r="F1350" t="s">
        <v>3644</v>
      </c>
      <c r="G1350" t="s">
        <v>3646</v>
      </c>
      <c r="H1350" t="s">
        <v>3645</v>
      </c>
      <c r="I1350" t="s">
        <v>299</v>
      </c>
      <c r="J1350" t="s">
        <v>7682</v>
      </c>
      <c r="K1350" t="s">
        <v>7826</v>
      </c>
      <c r="L1350" t="s">
        <v>7826</v>
      </c>
      <c r="N1350" t="str" cm="1">
        <f t="array" ref="N1350">IFERROR(LOOKUP(2,1/SEARCH($S$2:$S$65,G1350),$T$2:$T$65),"Misc")</f>
        <v>OH P/N</v>
      </c>
      <c r="O1350" t="str" cm="1">
        <f t="array" ref="O1350">IFERROR(LOOKUP(2,1/SEARCH($V$2:$V$65,G1350),$W$2:$W$65),"Misc")</f>
        <v>OH Part</v>
      </c>
      <c r="P1350" t="str" cm="1">
        <f t="array" ref="P1350">IFERROR(LOOKUP(2,1/SEARCH($Y$2:$Y$65,G1350),$Z$2:$Z$65),"Not Defined")</f>
        <v>OH Part</v>
      </c>
      <c r="Q1350" t="str" cm="1">
        <f t="array" ref="Q1350">IFERROR(LOOKUP(2,1/SEARCH($S$2:$S$65,H1350),$T$2:$T$65),"-")</f>
        <v>-</v>
      </c>
    </row>
    <row r="1351" spans="1:17" hidden="1" x14ac:dyDescent="0.25">
      <c r="A1351" t="s">
        <v>7674</v>
      </c>
      <c r="B1351" s="22" t="s">
        <v>3647</v>
      </c>
      <c r="C1351">
        <v>1</v>
      </c>
      <c r="D1351" t="s">
        <v>7358</v>
      </c>
      <c r="E1351" t="s">
        <v>7902</v>
      </c>
      <c r="F1351" t="s">
        <v>3648</v>
      </c>
      <c r="G1351" t="s">
        <v>3650</v>
      </c>
      <c r="H1351" t="s">
        <v>3649</v>
      </c>
      <c r="I1351" t="s">
        <v>13</v>
      </c>
      <c r="J1351" t="s">
        <v>7682</v>
      </c>
      <c r="K1351" t="s">
        <v>7826</v>
      </c>
      <c r="L1351" t="s">
        <v>7826</v>
      </c>
      <c r="N1351" t="str" cm="1">
        <f t="array" ref="N1351">IFERROR(LOOKUP(2,1/SEARCH($S$2:$S$65,G1351),$T$2:$T$65),"Misc")</f>
        <v>OH P/N</v>
      </c>
      <c r="O1351" t="str" cm="1">
        <f t="array" ref="O1351">IFERROR(LOOKUP(2,1/SEARCH($V$2:$V$65,G1351),$W$2:$W$65),"Misc")</f>
        <v>OH Part</v>
      </c>
      <c r="P1351" t="str" cm="1">
        <f t="array" ref="P1351">IFERROR(LOOKUP(2,1/SEARCH($Y$2:$Y$65,G1351),$Z$2:$Z$65),"Not Defined")</f>
        <v>OH Part</v>
      </c>
      <c r="Q1351" t="str" cm="1">
        <f t="array" ref="Q1351">IFERROR(LOOKUP(2,1/SEARCH($S$2:$S$65,H1351),$T$2:$T$65),"-")</f>
        <v>-</v>
      </c>
    </row>
    <row r="1352" spans="1:17" hidden="1" x14ac:dyDescent="0.25">
      <c r="A1352" t="s">
        <v>7674</v>
      </c>
      <c r="B1352" s="22" t="s">
        <v>3651</v>
      </c>
      <c r="C1352">
        <v>6</v>
      </c>
      <c r="D1352" t="s">
        <v>7358</v>
      </c>
      <c r="E1352" t="s">
        <v>7902</v>
      </c>
      <c r="F1352" t="s">
        <v>3551</v>
      </c>
      <c r="G1352" t="s">
        <v>7379</v>
      </c>
      <c r="H1352" t="s">
        <v>3552</v>
      </c>
      <c r="I1352" t="s">
        <v>228</v>
      </c>
      <c r="J1352" t="s">
        <v>7703</v>
      </c>
      <c r="K1352" t="s">
        <v>7684</v>
      </c>
      <c r="L1352" t="s">
        <v>7692</v>
      </c>
      <c r="N1352" t="str" cm="1">
        <f t="array" ref="N1352">IFERROR(LOOKUP(2,1/SEARCH($S$2:$S$65,G1352),$T$2:$T$65),"Misc")</f>
        <v>COTS</v>
      </c>
      <c r="O1352" t="str" cm="1">
        <f t="array" ref="O1352">IFERROR(LOOKUP(2,1/SEARCH($V$2:$V$65,G1352),$W$2:$W$65),"Misc")</f>
        <v>Fasteners</v>
      </c>
      <c r="P1352" t="str" cm="1">
        <f t="array" ref="P1352">IFERROR(LOOKUP(2,1/SEARCH($Y$2:$Y$65,G1352),$Z$2:$Z$65),"Not Defined")</f>
        <v>WASHER</v>
      </c>
      <c r="Q1352" t="str" cm="1">
        <f t="array" ref="Q1352">IFERROR(LOOKUP(2,1/SEARCH($S$2:$S$65,H1352),$T$2:$T$65),"-")</f>
        <v>COTS</v>
      </c>
    </row>
    <row r="1353" spans="1:17" hidden="1" x14ac:dyDescent="0.25">
      <c r="A1353" t="s">
        <v>7674</v>
      </c>
      <c r="B1353" s="22" t="s">
        <v>3652</v>
      </c>
      <c r="C1353">
        <v>2</v>
      </c>
      <c r="D1353" t="s">
        <v>7358</v>
      </c>
      <c r="E1353" t="s">
        <v>7902</v>
      </c>
      <c r="F1353" t="s">
        <v>3621</v>
      </c>
      <c r="G1353" t="s">
        <v>7390</v>
      </c>
      <c r="H1353" t="s">
        <v>3622</v>
      </c>
      <c r="I1353" t="s">
        <v>228</v>
      </c>
      <c r="J1353" t="s">
        <v>7703</v>
      </c>
      <c r="K1353" t="s">
        <v>7684</v>
      </c>
      <c r="L1353" t="s">
        <v>7739</v>
      </c>
      <c r="N1353" t="str" cm="1">
        <f t="array" ref="N1353">IFERROR(LOOKUP(2,1/SEARCH($S$2:$S$65,G1353),$T$2:$T$65),"Misc")</f>
        <v>COTS</v>
      </c>
      <c r="O1353" t="str" cm="1">
        <f t="array" ref="O1353">IFERROR(LOOKUP(2,1/SEARCH($V$2:$V$65,G1353),$W$2:$W$65),"Misc")</f>
        <v>Fasteners</v>
      </c>
      <c r="P1353" t="str" cm="1">
        <f t="array" ref="P1353">IFERROR(LOOKUP(2,1/SEARCH($Y$2:$Y$65,G1353),$Z$2:$Z$65),"Not Defined")</f>
        <v>BHCS</v>
      </c>
      <c r="Q1353" t="str" cm="1">
        <f t="array" ref="Q1353">IFERROR(LOOKUP(2,1/SEARCH($S$2:$S$65,H1353),$T$2:$T$65),"-")</f>
        <v>COTS</v>
      </c>
    </row>
    <row r="1354" spans="1:17" hidden="1" x14ac:dyDescent="0.25">
      <c r="A1354" t="s">
        <v>7674</v>
      </c>
      <c r="B1354" s="22" t="s">
        <v>3653</v>
      </c>
      <c r="C1354">
        <v>2</v>
      </c>
      <c r="D1354" t="s">
        <v>7358</v>
      </c>
      <c r="E1354" t="s">
        <v>7902</v>
      </c>
      <c r="F1354" t="s">
        <v>3396</v>
      </c>
      <c r="G1354" t="s">
        <v>7361</v>
      </c>
      <c r="H1354" t="s">
        <v>3397</v>
      </c>
      <c r="I1354" t="s">
        <v>228</v>
      </c>
      <c r="J1354" t="s">
        <v>7703</v>
      </c>
      <c r="K1354" t="s">
        <v>7684</v>
      </c>
      <c r="L1354" t="s">
        <v>7685</v>
      </c>
      <c r="N1354" t="str" cm="1">
        <f t="array" ref="N1354">IFERROR(LOOKUP(2,1/SEARCH($S$2:$S$65,G1354),$T$2:$T$65),"Misc")</f>
        <v>COTS</v>
      </c>
      <c r="O1354" t="str" cm="1">
        <f t="array" ref="O1354">IFERROR(LOOKUP(2,1/SEARCH($V$2:$V$65,G1354),$W$2:$W$65),"Misc")</f>
        <v>Fasteners</v>
      </c>
      <c r="P1354" t="str" cm="1">
        <f t="array" ref="P1354">IFERROR(LOOKUP(2,1/SEARCH($Y$2:$Y$65,G1354),$Z$2:$Z$65),"Not Defined")</f>
        <v>NUT</v>
      </c>
      <c r="Q1354" t="str" cm="1">
        <f t="array" ref="Q1354">IFERROR(LOOKUP(2,1/SEARCH($S$2:$S$65,H1354),$T$2:$T$65),"-")</f>
        <v>COTS</v>
      </c>
    </row>
    <row r="1355" spans="1:17" hidden="1" x14ac:dyDescent="0.25">
      <c r="A1355" t="s">
        <v>7674</v>
      </c>
      <c r="B1355" s="22" t="s">
        <v>3654</v>
      </c>
      <c r="C1355">
        <v>1</v>
      </c>
      <c r="D1355" t="s">
        <v>7358</v>
      </c>
      <c r="E1355" t="s">
        <v>7902</v>
      </c>
      <c r="F1355" t="s">
        <v>3625</v>
      </c>
      <c r="G1355" t="s">
        <v>3627</v>
      </c>
      <c r="H1355" t="s">
        <v>3626</v>
      </c>
      <c r="I1355" t="s">
        <v>1265</v>
      </c>
      <c r="J1355" t="s">
        <v>7682</v>
      </c>
      <c r="K1355" t="s">
        <v>7826</v>
      </c>
      <c r="L1355" t="s">
        <v>7826</v>
      </c>
      <c r="N1355" t="str" cm="1">
        <f t="array" ref="N1355">IFERROR(LOOKUP(2,1/SEARCH($S$2:$S$65,G1355),$T$2:$T$65),"Misc")</f>
        <v>OH P/N</v>
      </c>
      <c r="O1355" t="str" cm="1">
        <f t="array" ref="O1355">IFERROR(LOOKUP(2,1/SEARCH($V$2:$V$65,G1355),$W$2:$W$65),"Misc")</f>
        <v>OH Part</v>
      </c>
      <c r="P1355" t="str" cm="1">
        <f t="array" ref="P1355">IFERROR(LOOKUP(2,1/SEARCH($Y$2:$Y$65,G1355),$Z$2:$Z$65),"Not Defined")</f>
        <v>OH Part</v>
      </c>
      <c r="Q1355" t="str" cm="1">
        <f t="array" ref="Q1355">IFERROR(LOOKUP(2,1/SEARCH($S$2:$S$65,H1355),$T$2:$T$65),"-")</f>
        <v>-</v>
      </c>
    </row>
    <row r="1356" spans="1:17" hidden="1" x14ac:dyDescent="0.25">
      <c r="A1356" t="s">
        <v>7674</v>
      </c>
      <c r="B1356" s="22" t="s">
        <v>3655</v>
      </c>
      <c r="C1356">
        <v>2</v>
      </c>
      <c r="D1356" t="s">
        <v>7358</v>
      </c>
      <c r="E1356" t="s">
        <v>7902</v>
      </c>
      <c r="F1356" t="s">
        <v>3629</v>
      </c>
      <c r="G1356" t="s">
        <v>7391</v>
      </c>
      <c r="H1356" t="s">
        <v>3630</v>
      </c>
      <c r="I1356" t="s">
        <v>3477</v>
      </c>
      <c r="J1356" t="s">
        <v>7703</v>
      </c>
      <c r="K1356" t="s">
        <v>7683</v>
      </c>
      <c r="L1356" t="s">
        <v>7683</v>
      </c>
      <c r="N1356" t="str" cm="1">
        <f t="array" ref="N1356">IFERROR(LOOKUP(2,1/SEARCH($S$2:$S$65,G1356),$T$2:$T$65),"Misc")</f>
        <v>COTS</v>
      </c>
      <c r="O1356" t="str" cm="1">
        <f t="array" ref="O1356">IFERROR(LOOKUP(2,1/SEARCH($V$2:$V$65,G1356),$W$2:$W$65),"Misc")</f>
        <v>BEARING</v>
      </c>
      <c r="P1356" t="str" cm="1">
        <f t="array" ref="P1356">IFERROR(LOOKUP(2,1/SEARCH($Y$2:$Y$65,G1356),$Z$2:$Z$65),"Not Defined")</f>
        <v>BEARING</v>
      </c>
      <c r="Q1356" t="str" cm="1">
        <f t="array" ref="Q1356">IFERROR(LOOKUP(2,1/SEARCH($S$2:$S$65,H1356),$T$2:$T$65),"-")</f>
        <v>COTS</v>
      </c>
    </row>
    <row r="1357" spans="1:17" hidden="1" x14ac:dyDescent="0.25">
      <c r="A1357" t="s">
        <v>7674</v>
      </c>
      <c r="B1357" s="22" t="s">
        <v>3656</v>
      </c>
      <c r="C1357">
        <v>4</v>
      </c>
      <c r="D1357" t="s">
        <v>7358</v>
      </c>
      <c r="E1357" t="s">
        <v>7900</v>
      </c>
      <c r="F1357" t="s">
        <v>3657</v>
      </c>
      <c r="G1357" t="s">
        <v>3659</v>
      </c>
      <c r="H1357" t="s">
        <v>3658</v>
      </c>
      <c r="I1357" t="s">
        <v>13</v>
      </c>
      <c r="J1357" t="s">
        <v>7682</v>
      </c>
      <c r="K1357" t="s">
        <v>7826</v>
      </c>
      <c r="L1357" t="s">
        <v>7826</v>
      </c>
      <c r="N1357" t="str" cm="1">
        <f t="array" ref="N1357">IFERROR(LOOKUP(2,1/SEARCH($S$2:$S$65,G1357),$T$2:$T$65),"Misc")</f>
        <v>OH P/N</v>
      </c>
      <c r="O1357" t="str" cm="1">
        <f t="array" ref="O1357">IFERROR(LOOKUP(2,1/SEARCH($V$2:$V$65,G1357),$W$2:$W$65),"Misc")</f>
        <v>OH Part</v>
      </c>
      <c r="P1357" t="str" cm="1">
        <f t="array" ref="P1357">IFERROR(LOOKUP(2,1/SEARCH($Y$2:$Y$65,G1357),$Z$2:$Z$65),"Not Defined")</f>
        <v>OH Part</v>
      </c>
      <c r="Q1357" t="str" cm="1">
        <f t="array" ref="Q1357">IFERROR(LOOKUP(2,1/SEARCH($S$2:$S$65,H1357),$T$2:$T$65),"-")</f>
        <v>COTS</v>
      </c>
    </row>
    <row r="1358" spans="1:17" hidden="1" x14ac:dyDescent="0.25">
      <c r="A1358" s="4" t="s">
        <v>7674</v>
      </c>
      <c r="B1358" s="22" t="s">
        <v>3660</v>
      </c>
      <c r="C1358">
        <v>3</v>
      </c>
      <c r="D1358" t="s">
        <v>7358</v>
      </c>
      <c r="E1358" t="s">
        <v>7900</v>
      </c>
      <c r="F1358" t="s">
        <v>3661</v>
      </c>
      <c r="G1358" t="s">
        <v>7810</v>
      </c>
      <c r="H1358" t="s">
        <v>7811</v>
      </c>
      <c r="I1358" t="s">
        <v>484</v>
      </c>
      <c r="J1358" t="s">
        <v>7703</v>
      </c>
      <c r="K1358" t="s">
        <v>7719</v>
      </c>
      <c r="L1358" t="s">
        <v>7688</v>
      </c>
      <c r="N1358" t="str" cm="1">
        <f t="array" ref="N1358">IFERROR(LOOKUP(2,1/SEARCH($S$2:$S$65,G1358),$T$2:$T$65),"Misc")</f>
        <v>COTS</v>
      </c>
      <c r="O1358" t="str" cm="1">
        <f t="array" ref="O1358">IFERROR(LOOKUP(2,1/SEARCH($V$2:$V$65,G1358),$W$2:$W$65),"Misc")</f>
        <v>Misc</v>
      </c>
      <c r="P1358" t="str" cm="1">
        <f t="array" ref="P1358">IFERROR(LOOKUP(2,1/SEARCH($Y$2:$Y$65,G1358),$Z$2:$Z$65),"Not Defined")</f>
        <v>SPRING</v>
      </c>
      <c r="Q1358" t="str" cm="1">
        <f t="array" ref="Q1358">IFERROR(LOOKUP(2,1/SEARCH($S$2:$S$65,H1358),$T$2:$T$65),"-")</f>
        <v>COTS</v>
      </c>
    </row>
    <row r="1359" spans="1:17" hidden="1" x14ac:dyDescent="0.25">
      <c r="A1359" t="s">
        <v>7674</v>
      </c>
      <c r="B1359" s="22" t="s">
        <v>3662</v>
      </c>
      <c r="C1359">
        <v>6</v>
      </c>
      <c r="D1359" t="s">
        <v>7358</v>
      </c>
      <c r="E1359" t="s">
        <v>7900</v>
      </c>
      <c r="F1359" t="s">
        <v>3663</v>
      </c>
      <c r="G1359" t="s">
        <v>7392</v>
      </c>
      <c r="H1359" t="s">
        <v>3664</v>
      </c>
      <c r="I1359" t="s">
        <v>228</v>
      </c>
      <c r="J1359" t="s">
        <v>7703</v>
      </c>
      <c r="K1359" t="s">
        <v>7684</v>
      </c>
      <c r="L1359" t="s">
        <v>7692</v>
      </c>
      <c r="N1359" t="str" cm="1">
        <f t="array" ref="N1359">IFERROR(LOOKUP(2,1/SEARCH($S$2:$S$65,G1359),$T$2:$T$65),"Misc")</f>
        <v>COTS</v>
      </c>
      <c r="O1359" t="str" cm="1">
        <f t="array" ref="O1359">IFERROR(LOOKUP(2,1/SEARCH($V$2:$V$65,G1359),$W$2:$W$65),"Misc")</f>
        <v>Fasteners</v>
      </c>
      <c r="P1359" t="str" cm="1">
        <f t="array" ref="P1359">IFERROR(LOOKUP(2,1/SEARCH($Y$2:$Y$65,G1359),$Z$2:$Z$65),"Not Defined")</f>
        <v>WASHER</v>
      </c>
      <c r="Q1359" t="str" cm="1">
        <f t="array" ref="Q1359">IFERROR(LOOKUP(2,1/SEARCH($S$2:$S$65,H1359),$T$2:$T$65),"-")</f>
        <v>COTS</v>
      </c>
    </row>
    <row r="1360" spans="1:17" hidden="1" x14ac:dyDescent="0.25">
      <c r="A1360" t="s">
        <v>7674</v>
      </c>
      <c r="B1360" s="22" t="s">
        <v>3665</v>
      </c>
      <c r="C1360">
        <v>2</v>
      </c>
      <c r="D1360" t="s">
        <v>7358</v>
      </c>
      <c r="E1360" t="s">
        <v>7900</v>
      </c>
      <c r="F1360" t="s">
        <v>3666</v>
      </c>
      <c r="G1360" t="s">
        <v>7393</v>
      </c>
      <c r="H1360" t="s">
        <v>3667</v>
      </c>
      <c r="I1360" t="s">
        <v>228</v>
      </c>
      <c r="J1360" t="s">
        <v>7703</v>
      </c>
      <c r="K1360" t="s">
        <v>7684</v>
      </c>
      <c r="L1360" t="s">
        <v>7739</v>
      </c>
      <c r="N1360" t="str" cm="1">
        <f t="array" ref="N1360">IFERROR(LOOKUP(2,1/SEARCH($S$2:$S$65,G1360),$T$2:$T$65),"Misc")</f>
        <v>COTS</v>
      </c>
      <c r="O1360" t="str" cm="1">
        <f t="array" ref="O1360">IFERROR(LOOKUP(2,1/SEARCH($V$2:$V$65,G1360),$W$2:$W$65),"Misc")</f>
        <v>Fasteners</v>
      </c>
      <c r="P1360" t="str" cm="1">
        <f t="array" ref="P1360">IFERROR(LOOKUP(2,1/SEARCH($Y$2:$Y$65,G1360),$Z$2:$Z$65),"Not Defined")</f>
        <v>BHCS</v>
      </c>
      <c r="Q1360" t="str" cm="1">
        <f t="array" ref="Q1360">IFERROR(LOOKUP(2,1/SEARCH($S$2:$S$65,H1360),$T$2:$T$65),"-")</f>
        <v>COTS</v>
      </c>
    </row>
    <row r="1361" spans="1:17" hidden="1" x14ac:dyDescent="0.25">
      <c r="A1361" t="s">
        <v>7674</v>
      </c>
      <c r="B1361" s="22" t="s">
        <v>3668</v>
      </c>
      <c r="C1361">
        <v>2</v>
      </c>
      <c r="D1361" t="s">
        <v>7358</v>
      </c>
      <c r="E1361" t="s">
        <v>7900</v>
      </c>
      <c r="F1361" t="s">
        <v>3669</v>
      </c>
      <c r="G1361" t="s">
        <v>7394</v>
      </c>
      <c r="H1361" t="s">
        <v>3670</v>
      </c>
      <c r="I1361" t="s">
        <v>228</v>
      </c>
      <c r="J1361" t="s">
        <v>7703</v>
      </c>
      <c r="K1361" t="s">
        <v>7684</v>
      </c>
      <c r="L1361" t="s">
        <v>7685</v>
      </c>
      <c r="N1361" t="str" cm="1">
        <f t="array" ref="N1361">IFERROR(LOOKUP(2,1/SEARCH($S$2:$S$65,G1361),$T$2:$T$65),"Misc")</f>
        <v>COTS</v>
      </c>
      <c r="O1361" t="str" cm="1">
        <f t="array" ref="O1361">IFERROR(LOOKUP(2,1/SEARCH($V$2:$V$65,G1361),$W$2:$W$65),"Misc")</f>
        <v>Fasteners</v>
      </c>
      <c r="P1361" t="str" cm="1">
        <f t="array" ref="P1361">IFERROR(LOOKUP(2,1/SEARCH($Y$2:$Y$65,G1361),$Z$2:$Z$65),"Not Defined")</f>
        <v>NUT</v>
      </c>
      <c r="Q1361" t="str" cm="1">
        <f t="array" ref="Q1361">IFERROR(LOOKUP(2,1/SEARCH($S$2:$S$65,H1361),$T$2:$T$65),"-")</f>
        <v>COTS</v>
      </c>
    </row>
    <row r="1362" spans="1:17" hidden="1" x14ac:dyDescent="0.25">
      <c r="A1362" t="s">
        <v>7674</v>
      </c>
      <c r="B1362" s="2" t="s">
        <v>3671</v>
      </c>
      <c r="C1362">
        <v>1</v>
      </c>
      <c r="D1362" t="s">
        <v>7358</v>
      </c>
      <c r="E1362" t="s">
        <v>7903</v>
      </c>
      <c r="F1362" t="s">
        <v>3672</v>
      </c>
      <c r="G1362" t="s">
        <v>3674</v>
      </c>
      <c r="H1362" t="s">
        <v>3673</v>
      </c>
      <c r="J1362" t="s">
        <v>7742</v>
      </c>
      <c r="K1362" t="s">
        <v>7826</v>
      </c>
      <c r="L1362" t="s">
        <v>7822</v>
      </c>
      <c r="N1362" t="str" cm="1">
        <f t="array" ref="N1362">IFERROR(LOOKUP(2,1/SEARCH($S$2:$S$65,G1362),$T$2:$T$65),"Misc")</f>
        <v>OH ASSY</v>
      </c>
      <c r="O1362" t="str" cm="1">
        <f t="array" ref="O1362">IFERROR(LOOKUP(2,1/SEARCH($V$2:$V$65,G1362),$W$2:$W$65),"Misc")</f>
        <v>OH Part</v>
      </c>
      <c r="P1362" t="str" cm="1">
        <f t="array" ref="P1362">IFERROR(LOOKUP(2,1/SEARCH($Y$2:$Y$65,G1362),$Z$2:$Z$65),"Not Defined")</f>
        <v>DAMPER</v>
      </c>
      <c r="Q1362" t="str" cm="1">
        <f t="array" ref="Q1362">IFERROR(LOOKUP(2,1/SEARCH($S$2:$S$65,H1362),$T$2:$T$65),"-")</f>
        <v>OH ASSY</v>
      </c>
    </row>
    <row r="1363" spans="1:17" hidden="1" x14ac:dyDescent="0.25">
      <c r="A1363" t="s">
        <v>7674</v>
      </c>
      <c r="B1363" s="2" t="s">
        <v>3675</v>
      </c>
      <c r="C1363">
        <v>1</v>
      </c>
      <c r="D1363" t="s">
        <v>7358</v>
      </c>
      <c r="E1363" t="s">
        <v>7903</v>
      </c>
      <c r="F1363" t="s">
        <v>3676</v>
      </c>
      <c r="G1363" t="s">
        <v>3678</v>
      </c>
      <c r="H1363" t="s">
        <v>3677</v>
      </c>
      <c r="I1363" t="s">
        <v>13</v>
      </c>
      <c r="J1363" t="s">
        <v>7682</v>
      </c>
      <c r="K1363" t="s">
        <v>7826</v>
      </c>
      <c r="L1363" t="s">
        <v>7822</v>
      </c>
      <c r="N1363" t="str" cm="1">
        <f t="array" ref="N1363">IFERROR(LOOKUP(2,1/SEARCH($S$2:$S$65,G1363),$T$2:$T$65),"Misc")</f>
        <v>OH P/N</v>
      </c>
      <c r="O1363" t="str" cm="1">
        <f t="array" ref="O1363">IFERROR(LOOKUP(2,1/SEARCH($V$2:$V$65,G1363),$W$2:$W$65),"Misc")</f>
        <v>OH Part</v>
      </c>
      <c r="P1363" t="str" cm="1">
        <f t="array" ref="P1363">IFERROR(LOOKUP(2,1/SEARCH($Y$2:$Y$65,G1363),$Z$2:$Z$65),"Not Defined")</f>
        <v>DAMPER</v>
      </c>
      <c r="Q1363" t="str" cm="1">
        <f t="array" ref="Q1363">IFERROR(LOOKUP(2,1/SEARCH($S$2:$S$65,H1363),$T$2:$T$65),"-")</f>
        <v>COTS</v>
      </c>
    </row>
    <row r="1364" spans="1:17" hidden="1" x14ac:dyDescent="0.25">
      <c r="A1364" t="s">
        <v>7674</v>
      </c>
      <c r="B1364" s="2" t="s">
        <v>3679</v>
      </c>
      <c r="C1364">
        <v>1</v>
      </c>
      <c r="D1364" t="s">
        <v>7358</v>
      </c>
      <c r="E1364" t="s">
        <v>7903</v>
      </c>
      <c r="F1364" t="s">
        <v>3555</v>
      </c>
      <c r="G1364" t="s">
        <v>3556</v>
      </c>
      <c r="H1364" t="s">
        <v>3556</v>
      </c>
      <c r="I1364" t="s">
        <v>228</v>
      </c>
      <c r="J1364" t="s">
        <v>7703</v>
      </c>
      <c r="K1364" t="s">
        <v>7684</v>
      </c>
      <c r="L1364" t="s">
        <v>7692</v>
      </c>
      <c r="N1364" t="str" cm="1">
        <f t="array" ref="N1364">IFERROR(LOOKUP(2,1/SEARCH($S$2:$S$65,G1364),$T$2:$T$65),"Misc")</f>
        <v>COTS</v>
      </c>
      <c r="O1364" t="str" cm="1">
        <f t="array" ref="O1364">IFERROR(LOOKUP(2,1/SEARCH($V$2:$V$65,G1364),$W$2:$W$65),"Misc")</f>
        <v>Fasteners</v>
      </c>
      <c r="P1364" t="str" cm="1">
        <f t="array" ref="P1364">IFERROR(LOOKUP(2,1/SEARCH($Y$2:$Y$65,G1364),$Z$2:$Z$65),"Not Defined")</f>
        <v>WASHER</v>
      </c>
      <c r="Q1364" t="str" cm="1">
        <f t="array" ref="Q1364">IFERROR(LOOKUP(2,1/SEARCH($S$2:$S$65,H1364),$T$2:$T$65),"-")</f>
        <v>COTS</v>
      </c>
    </row>
    <row r="1365" spans="1:17" hidden="1" x14ac:dyDescent="0.25">
      <c r="A1365" t="s">
        <v>7674</v>
      </c>
      <c r="B1365" s="2" t="s">
        <v>3680</v>
      </c>
      <c r="C1365">
        <v>1</v>
      </c>
      <c r="D1365" t="s">
        <v>7358</v>
      </c>
      <c r="E1365" t="s">
        <v>7903</v>
      </c>
      <c r="F1365" t="s">
        <v>3681</v>
      </c>
      <c r="G1365" t="s">
        <v>7395</v>
      </c>
      <c r="H1365" t="s">
        <v>3682</v>
      </c>
      <c r="I1365" t="s">
        <v>228</v>
      </c>
      <c r="J1365" t="s">
        <v>7703</v>
      </c>
      <c r="K1365" t="s">
        <v>7684</v>
      </c>
      <c r="L1365" t="s">
        <v>7685</v>
      </c>
      <c r="N1365" t="str" cm="1">
        <f t="array" ref="N1365">IFERROR(LOOKUP(2,1/SEARCH($S$2:$S$65,G1365),$T$2:$T$65),"Misc")</f>
        <v>COTS</v>
      </c>
      <c r="O1365" t="str" cm="1">
        <f t="array" ref="O1365">IFERROR(LOOKUP(2,1/SEARCH($V$2:$V$65,G1365),$W$2:$W$65),"Misc")</f>
        <v>Fasteners</v>
      </c>
      <c r="P1365" t="str" cm="1">
        <f t="array" ref="P1365">IFERROR(LOOKUP(2,1/SEARCH($Y$2:$Y$65,G1365),$Z$2:$Z$65),"Not Defined")</f>
        <v>NUT</v>
      </c>
      <c r="Q1365" t="str" cm="1">
        <f t="array" ref="Q1365">IFERROR(LOOKUP(2,1/SEARCH($S$2:$S$65,H1365),$T$2:$T$65),"-")</f>
        <v>COTS</v>
      </c>
    </row>
    <row r="1366" spans="1:17" hidden="1" x14ac:dyDescent="0.25">
      <c r="A1366" t="s">
        <v>7674</v>
      </c>
      <c r="B1366" s="2" t="s">
        <v>3683</v>
      </c>
      <c r="C1366">
        <v>3</v>
      </c>
      <c r="D1366" t="s">
        <v>7358</v>
      </c>
      <c r="E1366" t="s">
        <v>7903</v>
      </c>
      <c r="F1366" t="s">
        <v>3669</v>
      </c>
      <c r="G1366" t="s">
        <v>7394</v>
      </c>
      <c r="H1366" t="s">
        <v>3670</v>
      </c>
      <c r="I1366" t="s">
        <v>228</v>
      </c>
      <c r="J1366" t="s">
        <v>7703</v>
      </c>
      <c r="K1366" t="s">
        <v>7684</v>
      </c>
      <c r="L1366" t="s">
        <v>7685</v>
      </c>
      <c r="N1366" t="str" cm="1">
        <f t="array" ref="N1366">IFERROR(LOOKUP(2,1/SEARCH($S$2:$S$65,G1366),$T$2:$T$65),"Misc")</f>
        <v>COTS</v>
      </c>
      <c r="O1366" t="str" cm="1">
        <f t="array" ref="O1366">IFERROR(LOOKUP(2,1/SEARCH($V$2:$V$65,G1366),$W$2:$W$65),"Misc")</f>
        <v>Fasteners</v>
      </c>
      <c r="P1366" t="str" cm="1">
        <f t="array" ref="P1366">IFERROR(LOOKUP(2,1/SEARCH($Y$2:$Y$65,G1366),$Z$2:$Z$65),"Not Defined")</f>
        <v>NUT</v>
      </c>
      <c r="Q1366" t="str" cm="1">
        <f t="array" ref="Q1366">IFERROR(LOOKUP(2,1/SEARCH($S$2:$S$65,H1366),$T$2:$T$65),"-")</f>
        <v>COTS</v>
      </c>
    </row>
    <row r="1367" spans="1:17" hidden="1" x14ac:dyDescent="0.25">
      <c r="A1367" t="s">
        <v>7674</v>
      </c>
      <c r="B1367" s="2" t="s">
        <v>3684</v>
      </c>
      <c r="C1367">
        <v>1</v>
      </c>
      <c r="D1367" t="s">
        <v>7358</v>
      </c>
      <c r="E1367" t="s">
        <v>7904</v>
      </c>
      <c r="F1367" t="s">
        <v>3685</v>
      </c>
      <c r="G1367" t="s">
        <v>3687</v>
      </c>
      <c r="H1367" t="s">
        <v>3686</v>
      </c>
      <c r="J1367" t="s">
        <v>7742</v>
      </c>
      <c r="K1367" t="s">
        <v>7826</v>
      </c>
      <c r="L1367" t="s">
        <v>7822</v>
      </c>
      <c r="N1367" t="str" cm="1">
        <f t="array" ref="N1367">IFERROR(LOOKUP(2,1/SEARCH($S$2:$S$65,G1367),$T$2:$T$65),"Misc")</f>
        <v>OH ASSY</v>
      </c>
      <c r="O1367" t="str" cm="1">
        <f t="array" ref="O1367">IFERROR(LOOKUP(2,1/SEARCH($V$2:$V$65,G1367),$W$2:$W$65),"Misc")</f>
        <v>OH Part</v>
      </c>
      <c r="P1367" t="str" cm="1">
        <f t="array" ref="P1367">IFERROR(LOOKUP(2,1/SEARCH($Y$2:$Y$65,G1367),$Z$2:$Z$65),"Not Defined")</f>
        <v>DAMPER</v>
      </c>
      <c r="Q1367" t="str" cm="1">
        <f t="array" ref="Q1367">IFERROR(LOOKUP(2,1/SEARCH($S$2:$S$65,H1367),$T$2:$T$65),"-")</f>
        <v>OH ASSY</v>
      </c>
    </row>
    <row r="1368" spans="1:17" hidden="1" x14ac:dyDescent="0.25">
      <c r="A1368" t="s">
        <v>7674</v>
      </c>
      <c r="B1368" s="2" t="s">
        <v>3688</v>
      </c>
      <c r="C1368">
        <v>1</v>
      </c>
      <c r="D1368" t="s">
        <v>7358</v>
      </c>
      <c r="E1368" t="s">
        <v>7904</v>
      </c>
      <c r="F1368" t="s">
        <v>3689</v>
      </c>
      <c r="G1368" t="s">
        <v>3691</v>
      </c>
      <c r="H1368" t="s">
        <v>3690</v>
      </c>
      <c r="I1368" t="s">
        <v>13</v>
      </c>
      <c r="J1368" t="s">
        <v>7682</v>
      </c>
      <c r="K1368" t="s">
        <v>7826</v>
      </c>
      <c r="L1368" t="s">
        <v>7822</v>
      </c>
      <c r="N1368" t="str" cm="1">
        <f t="array" ref="N1368">IFERROR(LOOKUP(2,1/SEARCH($S$2:$S$65,G1368),$T$2:$T$65),"Misc")</f>
        <v>OH P/N</v>
      </c>
      <c r="O1368" t="str" cm="1">
        <f t="array" ref="O1368">IFERROR(LOOKUP(2,1/SEARCH($V$2:$V$65,G1368),$W$2:$W$65),"Misc")</f>
        <v>OH Part</v>
      </c>
      <c r="P1368" t="str" cm="1">
        <f t="array" ref="P1368">IFERROR(LOOKUP(2,1/SEARCH($Y$2:$Y$65,G1368),$Z$2:$Z$65),"Not Defined")</f>
        <v>DAMPER</v>
      </c>
      <c r="Q1368" t="str" cm="1">
        <f t="array" ref="Q1368">IFERROR(LOOKUP(2,1/SEARCH($S$2:$S$65,H1368),$T$2:$T$65),"-")</f>
        <v>COTS</v>
      </c>
    </row>
    <row r="1369" spans="1:17" hidden="1" x14ac:dyDescent="0.25">
      <c r="A1369" t="s">
        <v>7674</v>
      </c>
      <c r="B1369" s="2" t="s">
        <v>3692</v>
      </c>
      <c r="C1369">
        <v>1</v>
      </c>
      <c r="D1369" t="s">
        <v>7358</v>
      </c>
      <c r="E1369" t="s">
        <v>7904</v>
      </c>
      <c r="F1369" t="s">
        <v>3555</v>
      </c>
      <c r="G1369" t="s">
        <v>3556</v>
      </c>
      <c r="H1369" t="s">
        <v>3556</v>
      </c>
      <c r="I1369" t="s">
        <v>228</v>
      </c>
      <c r="J1369" t="s">
        <v>7703</v>
      </c>
      <c r="K1369" t="s">
        <v>7684</v>
      </c>
      <c r="L1369" t="s">
        <v>7692</v>
      </c>
      <c r="N1369" t="str" cm="1">
        <f t="array" ref="N1369">IFERROR(LOOKUP(2,1/SEARCH($S$2:$S$65,G1369),$T$2:$T$65),"Misc")</f>
        <v>COTS</v>
      </c>
      <c r="O1369" t="str" cm="1">
        <f t="array" ref="O1369">IFERROR(LOOKUP(2,1/SEARCH($V$2:$V$65,G1369),$W$2:$W$65),"Misc")</f>
        <v>Fasteners</v>
      </c>
      <c r="P1369" t="str" cm="1">
        <f t="array" ref="P1369">IFERROR(LOOKUP(2,1/SEARCH($Y$2:$Y$65,G1369),$Z$2:$Z$65),"Not Defined")</f>
        <v>WASHER</v>
      </c>
      <c r="Q1369" t="str" cm="1">
        <f t="array" ref="Q1369">IFERROR(LOOKUP(2,1/SEARCH($S$2:$S$65,H1369),$T$2:$T$65),"-")</f>
        <v>COTS</v>
      </c>
    </row>
    <row r="1370" spans="1:17" hidden="1" x14ac:dyDescent="0.25">
      <c r="A1370" t="s">
        <v>7674</v>
      </c>
      <c r="B1370" s="2" t="s">
        <v>3693</v>
      </c>
      <c r="C1370">
        <v>3</v>
      </c>
      <c r="D1370" t="s">
        <v>7358</v>
      </c>
      <c r="E1370" t="s">
        <v>7904</v>
      </c>
      <c r="F1370" t="s">
        <v>3669</v>
      </c>
      <c r="G1370" t="s">
        <v>7394</v>
      </c>
      <c r="H1370" t="s">
        <v>3670</v>
      </c>
      <c r="I1370" t="s">
        <v>228</v>
      </c>
      <c r="J1370" t="s">
        <v>7703</v>
      </c>
      <c r="K1370" t="s">
        <v>7684</v>
      </c>
      <c r="L1370" t="s">
        <v>7685</v>
      </c>
      <c r="N1370" t="str" cm="1">
        <f t="array" ref="N1370">IFERROR(LOOKUP(2,1/SEARCH($S$2:$S$65,G1370),$T$2:$T$65),"Misc")</f>
        <v>COTS</v>
      </c>
      <c r="O1370" t="str" cm="1">
        <f t="array" ref="O1370">IFERROR(LOOKUP(2,1/SEARCH($V$2:$V$65,G1370),$W$2:$W$65),"Misc")</f>
        <v>Fasteners</v>
      </c>
      <c r="P1370" t="str" cm="1">
        <f t="array" ref="P1370">IFERROR(LOOKUP(2,1/SEARCH($Y$2:$Y$65,G1370),$Z$2:$Z$65),"Not Defined")</f>
        <v>NUT</v>
      </c>
      <c r="Q1370" t="str" cm="1">
        <f t="array" ref="Q1370">IFERROR(LOOKUP(2,1/SEARCH($S$2:$S$65,H1370),$T$2:$T$65),"-")</f>
        <v>COTS</v>
      </c>
    </row>
    <row r="1371" spans="1:17" hidden="1" x14ac:dyDescent="0.25">
      <c r="A1371" t="s">
        <v>7674</v>
      </c>
      <c r="B1371" s="2" t="s">
        <v>3694</v>
      </c>
      <c r="C1371">
        <v>1</v>
      </c>
      <c r="D1371" t="s">
        <v>7358</v>
      </c>
      <c r="E1371" t="s">
        <v>7904</v>
      </c>
      <c r="F1371" t="s">
        <v>3681</v>
      </c>
      <c r="G1371" t="s">
        <v>7395</v>
      </c>
      <c r="H1371" t="s">
        <v>3682</v>
      </c>
      <c r="I1371" t="s">
        <v>228</v>
      </c>
      <c r="J1371" t="s">
        <v>7703</v>
      </c>
      <c r="K1371" t="s">
        <v>7684</v>
      </c>
      <c r="L1371" t="s">
        <v>7685</v>
      </c>
      <c r="N1371" t="str" cm="1">
        <f t="array" ref="N1371">IFERROR(LOOKUP(2,1/SEARCH($S$2:$S$65,G1371),$T$2:$T$65),"Misc")</f>
        <v>COTS</v>
      </c>
      <c r="O1371" t="str" cm="1">
        <f t="array" ref="O1371">IFERROR(LOOKUP(2,1/SEARCH($V$2:$V$65,G1371),$W$2:$W$65),"Misc")</f>
        <v>Fasteners</v>
      </c>
      <c r="P1371" t="str" cm="1">
        <f t="array" ref="P1371">IFERROR(LOOKUP(2,1/SEARCH($Y$2:$Y$65,G1371),$Z$2:$Z$65),"Not Defined")</f>
        <v>NUT</v>
      </c>
      <c r="Q1371" t="str" cm="1">
        <f t="array" ref="Q1371">IFERROR(LOOKUP(2,1/SEARCH($S$2:$S$65,H1371),$T$2:$T$65),"-")</f>
        <v>COTS</v>
      </c>
    </row>
    <row r="1372" spans="1:17" hidden="1" x14ac:dyDescent="0.25">
      <c r="A1372" t="s">
        <v>7674</v>
      </c>
      <c r="B1372" s="2" t="s">
        <v>3695</v>
      </c>
      <c r="C1372">
        <v>1</v>
      </c>
      <c r="D1372" t="s">
        <v>7358</v>
      </c>
      <c r="E1372" t="s">
        <v>7905</v>
      </c>
      <c r="F1372" t="s">
        <v>3696</v>
      </c>
      <c r="G1372" t="s">
        <v>3698</v>
      </c>
      <c r="H1372" t="s">
        <v>3697</v>
      </c>
      <c r="J1372" t="s">
        <v>7742</v>
      </c>
      <c r="K1372" t="s">
        <v>7826</v>
      </c>
      <c r="L1372" t="s">
        <v>7822</v>
      </c>
      <c r="N1372" t="str" cm="1">
        <f t="array" ref="N1372">IFERROR(LOOKUP(2,1/SEARCH($S$2:$S$65,G1372),$T$2:$T$65),"Misc")</f>
        <v>OH ASSY</v>
      </c>
      <c r="O1372" t="str" cm="1">
        <f t="array" ref="O1372">IFERROR(LOOKUP(2,1/SEARCH($V$2:$V$65,G1372),$W$2:$W$65),"Misc")</f>
        <v>OH Part</v>
      </c>
      <c r="P1372" t="str" cm="1">
        <f t="array" ref="P1372">IFERROR(LOOKUP(2,1/SEARCH($Y$2:$Y$65,G1372),$Z$2:$Z$65),"Not Defined")</f>
        <v>DAMPER</v>
      </c>
      <c r="Q1372" t="str" cm="1">
        <f t="array" ref="Q1372">IFERROR(LOOKUP(2,1/SEARCH($S$2:$S$65,H1372),$T$2:$T$65),"-")</f>
        <v>OH ASSY</v>
      </c>
    </row>
    <row r="1373" spans="1:17" hidden="1" x14ac:dyDescent="0.25">
      <c r="A1373" t="s">
        <v>7674</v>
      </c>
      <c r="B1373" s="2" t="s">
        <v>3699</v>
      </c>
      <c r="C1373">
        <v>1</v>
      </c>
      <c r="D1373" t="s">
        <v>7358</v>
      </c>
      <c r="E1373" t="s">
        <v>7905</v>
      </c>
      <c r="F1373" t="s">
        <v>3700</v>
      </c>
      <c r="G1373" t="s">
        <v>7396</v>
      </c>
      <c r="H1373" t="s">
        <v>3701</v>
      </c>
      <c r="J1373" t="s">
        <v>7703</v>
      </c>
      <c r="K1373" t="s">
        <v>7822</v>
      </c>
      <c r="L1373" t="s">
        <v>7822</v>
      </c>
      <c r="N1373" t="str" cm="1">
        <f t="array" ref="N1373">IFERROR(LOOKUP(2,1/SEARCH($S$2:$S$65,G1373),$T$2:$T$65),"Misc")</f>
        <v>COTS</v>
      </c>
      <c r="O1373" t="str" cm="1">
        <f t="array" ref="O1373">IFERROR(LOOKUP(2,1/SEARCH($V$2:$V$65,G1373),$W$2:$W$65),"Misc")</f>
        <v>DAMPER</v>
      </c>
      <c r="P1373" t="str" cm="1">
        <f t="array" ref="P1373">IFERROR(LOOKUP(2,1/SEARCH($Y$2:$Y$65,G1373),$Z$2:$Z$65),"Not Defined")</f>
        <v>DAMPER</v>
      </c>
      <c r="Q1373" t="str" cm="1">
        <f t="array" ref="Q1373">IFERROR(LOOKUP(2,1/SEARCH($S$2:$S$65,H1373),$T$2:$T$65),"-")</f>
        <v>COTS</v>
      </c>
    </row>
    <row r="1374" spans="1:17" hidden="1" x14ac:dyDescent="0.25">
      <c r="A1374" t="s">
        <v>7674</v>
      </c>
      <c r="B1374" s="2" t="s">
        <v>3702</v>
      </c>
      <c r="C1374">
        <v>1</v>
      </c>
      <c r="D1374" t="s">
        <v>7358</v>
      </c>
      <c r="E1374" t="s">
        <v>7905</v>
      </c>
      <c r="F1374" t="s">
        <v>3703</v>
      </c>
      <c r="G1374" t="s">
        <v>7397</v>
      </c>
      <c r="H1374" t="s">
        <v>3704</v>
      </c>
      <c r="J1374" t="s">
        <v>7703</v>
      </c>
      <c r="K1374" t="s">
        <v>7822</v>
      </c>
      <c r="L1374" t="s">
        <v>7822</v>
      </c>
      <c r="N1374" t="str" cm="1">
        <f t="array" ref="N1374">IFERROR(LOOKUP(2,1/SEARCH($S$2:$S$65,G1374),$T$2:$T$65),"Misc")</f>
        <v>COTS</v>
      </c>
      <c r="O1374" t="str" cm="1">
        <f t="array" ref="O1374">IFERROR(LOOKUP(2,1/SEARCH($V$2:$V$65,G1374),$W$2:$W$65),"Misc")</f>
        <v>DAMPER</v>
      </c>
      <c r="P1374" t="str" cm="1">
        <f t="array" ref="P1374">IFERROR(LOOKUP(2,1/SEARCH($Y$2:$Y$65,G1374),$Z$2:$Z$65),"Not Defined")</f>
        <v>DAMPER</v>
      </c>
      <c r="Q1374" t="str" cm="1">
        <f t="array" ref="Q1374">IFERROR(LOOKUP(2,1/SEARCH($S$2:$S$65,H1374),$T$2:$T$65),"-")</f>
        <v>COTS</v>
      </c>
    </row>
    <row r="1375" spans="1:17" hidden="1" x14ac:dyDescent="0.25">
      <c r="A1375" t="s">
        <v>7674</v>
      </c>
      <c r="B1375" s="2" t="s">
        <v>3705</v>
      </c>
      <c r="C1375">
        <v>1</v>
      </c>
      <c r="D1375" t="s">
        <v>7358</v>
      </c>
      <c r="E1375" t="s">
        <v>7905</v>
      </c>
      <c r="F1375" t="s">
        <v>3706</v>
      </c>
      <c r="G1375" t="s">
        <v>7398</v>
      </c>
      <c r="H1375" t="s">
        <v>3707</v>
      </c>
      <c r="I1375" t="s">
        <v>228</v>
      </c>
      <c r="J1375" t="s">
        <v>7703</v>
      </c>
      <c r="K1375" t="s">
        <v>7684</v>
      </c>
      <c r="L1375" t="s">
        <v>7739</v>
      </c>
      <c r="N1375" t="str" cm="1">
        <f t="array" ref="N1375">IFERROR(LOOKUP(2,1/SEARCH($S$2:$S$65,G1375),$T$2:$T$65),"Misc")</f>
        <v>COTS</v>
      </c>
      <c r="O1375" t="str" cm="1">
        <f t="array" ref="O1375">IFERROR(LOOKUP(2,1/SEARCH($V$2:$V$65,G1375),$W$2:$W$65),"Misc")</f>
        <v>Fasteners</v>
      </c>
      <c r="P1375" t="str" cm="1">
        <f t="array" ref="P1375">IFERROR(LOOKUP(2,1/SEARCH($Y$2:$Y$65,G1375),$Z$2:$Z$65),"Not Defined")</f>
        <v>BHCS</v>
      </c>
      <c r="Q1375" t="str" cm="1">
        <f t="array" ref="Q1375">IFERROR(LOOKUP(2,1/SEARCH($S$2:$S$65,H1375),$T$2:$T$65),"-")</f>
        <v>COTS</v>
      </c>
    </row>
    <row r="1376" spans="1:17" hidden="1" x14ac:dyDescent="0.25">
      <c r="A1376" t="s">
        <v>7674</v>
      </c>
      <c r="B1376" s="2" t="s">
        <v>3708</v>
      </c>
      <c r="C1376">
        <v>6</v>
      </c>
      <c r="D1376" t="s">
        <v>7358</v>
      </c>
      <c r="E1376" t="s">
        <v>7905</v>
      </c>
      <c r="F1376" t="s">
        <v>3555</v>
      </c>
      <c r="G1376" t="s">
        <v>3556</v>
      </c>
      <c r="H1376" t="s">
        <v>3556</v>
      </c>
      <c r="I1376" t="s">
        <v>228</v>
      </c>
      <c r="J1376" t="s">
        <v>7703</v>
      </c>
      <c r="K1376" t="s">
        <v>7684</v>
      </c>
      <c r="L1376" t="s">
        <v>7692</v>
      </c>
      <c r="N1376" t="str" cm="1">
        <f t="array" ref="N1376">IFERROR(LOOKUP(2,1/SEARCH($S$2:$S$65,G1376),$T$2:$T$65),"Misc")</f>
        <v>COTS</v>
      </c>
      <c r="O1376" t="str" cm="1">
        <f t="array" ref="O1376">IFERROR(LOOKUP(2,1/SEARCH($V$2:$V$65,G1376),$W$2:$W$65),"Misc")</f>
        <v>Fasteners</v>
      </c>
      <c r="P1376" t="str" cm="1">
        <f t="array" ref="P1376">IFERROR(LOOKUP(2,1/SEARCH($Y$2:$Y$65,G1376),$Z$2:$Z$65),"Not Defined")</f>
        <v>WASHER</v>
      </c>
      <c r="Q1376" t="str" cm="1">
        <f t="array" ref="Q1376">IFERROR(LOOKUP(2,1/SEARCH($S$2:$S$65,H1376),$T$2:$T$65),"-")</f>
        <v>COTS</v>
      </c>
    </row>
    <row r="1377" spans="1:17" hidden="1" x14ac:dyDescent="0.25">
      <c r="A1377" t="s">
        <v>7674</v>
      </c>
      <c r="B1377" s="2" t="s">
        <v>3709</v>
      </c>
      <c r="C1377">
        <v>1</v>
      </c>
      <c r="D1377" t="s">
        <v>7358</v>
      </c>
      <c r="E1377" t="s">
        <v>7906</v>
      </c>
      <c r="F1377" t="s">
        <v>3710</v>
      </c>
      <c r="G1377" t="s">
        <v>3712</v>
      </c>
      <c r="H1377" t="s">
        <v>3711</v>
      </c>
      <c r="J1377" t="s">
        <v>7742</v>
      </c>
      <c r="K1377" t="s">
        <v>7826</v>
      </c>
      <c r="L1377" t="s">
        <v>7822</v>
      </c>
      <c r="N1377" t="str" cm="1">
        <f t="array" ref="N1377">IFERROR(LOOKUP(2,1/SEARCH($S$2:$S$65,G1377),$T$2:$T$65),"Misc")</f>
        <v>OH ASSY</v>
      </c>
      <c r="O1377" t="str" cm="1">
        <f t="array" ref="O1377">IFERROR(LOOKUP(2,1/SEARCH($V$2:$V$65,G1377),$W$2:$W$65),"Misc")</f>
        <v>OH Part</v>
      </c>
      <c r="P1377" t="str" cm="1">
        <f t="array" ref="P1377">IFERROR(LOOKUP(2,1/SEARCH($Y$2:$Y$65,G1377),$Z$2:$Z$65),"Not Defined")</f>
        <v>DAMPER</v>
      </c>
      <c r="Q1377" t="str" cm="1">
        <f t="array" ref="Q1377">IFERROR(LOOKUP(2,1/SEARCH($S$2:$S$65,H1377),$T$2:$T$65),"-")</f>
        <v>OH ASSY</v>
      </c>
    </row>
    <row r="1378" spans="1:17" hidden="1" x14ac:dyDescent="0.25">
      <c r="A1378" t="s">
        <v>7674</v>
      </c>
      <c r="B1378" s="2" t="s">
        <v>3713</v>
      </c>
      <c r="C1378">
        <v>1</v>
      </c>
      <c r="D1378" t="s">
        <v>7358</v>
      </c>
      <c r="E1378" t="s">
        <v>7906</v>
      </c>
      <c r="F1378" t="s">
        <v>3700</v>
      </c>
      <c r="G1378" t="s">
        <v>7396</v>
      </c>
      <c r="H1378" t="s">
        <v>3701</v>
      </c>
      <c r="J1378" t="s">
        <v>7703</v>
      </c>
      <c r="K1378" t="s">
        <v>7822</v>
      </c>
      <c r="L1378" t="s">
        <v>7822</v>
      </c>
      <c r="N1378" t="str" cm="1">
        <f t="array" ref="N1378">IFERROR(LOOKUP(2,1/SEARCH($S$2:$S$65,G1378),$T$2:$T$65),"Misc")</f>
        <v>COTS</v>
      </c>
      <c r="O1378" t="str" cm="1">
        <f t="array" ref="O1378">IFERROR(LOOKUP(2,1/SEARCH($V$2:$V$65,G1378),$W$2:$W$65),"Misc")</f>
        <v>DAMPER</v>
      </c>
      <c r="P1378" t="str" cm="1">
        <f t="array" ref="P1378">IFERROR(LOOKUP(2,1/SEARCH($Y$2:$Y$65,G1378),$Z$2:$Z$65),"Not Defined")</f>
        <v>DAMPER</v>
      </c>
      <c r="Q1378" t="str" cm="1">
        <f t="array" ref="Q1378">IFERROR(LOOKUP(2,1/SEARCH($S$2:$S$65,H1378),$T$2:$T$65),"-")</f>
        <v>COTS</v>
      </c>
    </row>
    <row r="1379" spans="1:17" hidden="1" x14ac:dyDescent="0.25">
      <c r="A1379" t="s">
        <v>7674</v>
      </c>
      <c r="B1379" s="2" t="s">
        <v>3714</v>
      </c>
      <c r="C1379">
        <v>1</v>
      </c>
      <c r="D1379" t="s">
        <v>7358</v>
      </c>
      <c r="E1379" t="s">
        <v>7906</v>
      </c>
      <c r="F1379" t="s">
        <v>3703</v>
      </c>
      <c r="G1379" t="s">
        <v>7397</v>
      </c>
      <c r="H1379" t="s">
        <v>3704</v>
      </c>
      <c r="J1379" t="s">
        <v>7703</v>
      </c>
      <c r="K1379" t="s">
        <v>7822</v>
      </c>
      <c r="L1379" t="s">
        <v>7822</v>
      </c>
      <c r="N1379" t="str" cm="1">
        <f t="array" ref="N1379">IFERROR(LOOKUP(2,1/SEARCH($S$2:$S$65,G1379),$T$2:$T$65),"Misc")</f>
        <v>COTS</v>
      </c>
      <c r="O1379" t="str" cm="1">
        <f t="array" ref="O1379">IFERROR(LOOKUP(2,1/SEARCH($V$2:$V$65,G1379),$W$2:$W$65),"Misc")</f>
        <v>DAMPER</v>
      </c>
      <c r="P1379" t="str" cm="1">
        <f t="array" ref="P1379">IFERROR(LOOKUP(2,1/SEARCH($Y$2:$Y$65,G1379),$Z$2:$Z$65),"Not Defined")</f>
        <v>DAMPER</v>
      </c>
      <c r="Q1379" t="str" cm="1">
        <f t="array" ref="Q1379">IFERROR(LOOKUP(2,1/SEARCH($S$2:$S$65,H1379),$T$2:$T$65),"-")</f>
        <v>COTS</v>
      </c>
    </row>
    <row r="1380" spans="1:17" hidden="1" x14ac:dyDescent="0.25">
      <c r="A1380" t="s">
        <v>7674</v>
      </c>
      <c r="B1380" s="2" t="s">
        <v>3715</v>
      </c>
      <c r="C1380">
        <v>1</v>
      </c>
      <c r="D1380" t="s">
        <v>7358</v>
      </c>
      <c r="E1380" t="s">
        <v>7906</v>
      </c>
      <c r="F1380" t="s">
        <v>3706</v>
      </c>
      <c r="G1380" t="s">
        <v>7398</v>
      </c>
      <c r="H1380" t="s">
        <v>3707</v>
      </c>
      <c r="I1380" t="s">
        <v>228</v>
      </c>
      <c r="J1380" t="s">
        <v>7703</v>
      </c>
      <c r="K1380" t="s">
        <v>7684</v>
      </c>
      <c r="L1380" t="s">
        <v>7739</v>
      </c>
      <c r="N1380" t="str" cm="1">
        <f t="array" ref="N1380">IFERROR(LOOKUP(2,1/SEARCH($S$2:$S$65,G1380),$T$2:$T$65),"Misc")</f>
        <v>COTS</v>
      </c>
      <c r="O1380" t="str" cm="1">
        <f t="array" ref="O1380">IFERROR(LOOKUP(2,1/SEARCH($V$2:$V$65,G1380),$W$2:$W$65),"Misc")</f>
        <v>Fasteners</v>
      </c>
      <c r="P1380" t="str" cm="1">
        <f t="array" ref="P1380">IFERROR(LOOKUP(2,1/SEARCH($Y$2:$Y$65,G1380),$Z$2:$Z$65),"Not Defined")</f>
        <v>BHCS</v>
      </c>
      <c r="Q1380" t="str" cm="1">
        <f t="array" ref="Q1380">IFERROR(LOOKUP(2,1/SEARCH($S$2:$S$65,H1380),$T$2:$T$65),"-")</f>
        <v>COTS</v>
      </c>
    </row>
    <row r="1381" spans="1:17" hidden="1" x14ac:dyDescent="0.25">
      <c r="A1381" t="s">
        <v>7674</v>
      </c>
      <c r="B1381" s="2" t="s">
        <v>3716</v>
      </c>
      <c r="C1381">
        <v>4</v>
      </c>
      <c r="D1381" t="s">
        <v>7358</v>
      </c>
      <c r="E1381" t="s">
        <v>3379</v>
      </c>
      <c r="F1381" t="s">
        <v>3717</v>
      </c>
      <c r="G1381" t="s">
        <v>7399</v>
      </c>
      <c r="H1381" t="s">
        <v>3718</v>
      </c>
      <c r="I1381" t="s">
        <v>228</v>
      </c>
      <c r="J1381" t="s">
        <v>7703</v>
      </c>
      <c r="K1381" t="s">
        <v>7684</v>
      </c>
      <c r="L1381" t="s">
        <v>7692</v>
      </c>
      <c r="N1381" t="str" cm="1">
        <f t="array" ref="N1381">IFERROR(LOOKUP(2,1/SEARCH($S$2:$S$65,G1381),$T$2:$T$65),"Misc")</f>
        <v>COTS</v>
      </c>
      <c r="O1381" t="str" cm="1">
        <f t="array" ref="O1381">IFERROR(LOOKUP(2,1/SEARCH($V$2:$V$65,G1381),$W$2:$W$65),"Misc")</f>
        <v>Fasteners</v>
      </c>
      <c r="P1381" t="str" cm="1">
        <f t="array" ref="P1381">IFERROR(LOOKUP(2,1/SEARCH($Y$2:$Y$65,G1381),$Z$2:$Z$65),"Not Defined")</f>
        <v>WASHER</v>
      </c>
      <c r="Q1381" t="str" cm="1">
        <f t="array" ref="Q1381">IFERROR(LOOKUP(2,1/SEARCH($S$2:$S$65,H1381),$T$2:$T$65),"-")</f>
        <v>COTS</v>
      </c>
    </row>
    <row r="1382" spans="1:17" hidden="1" x14ac:dyDescent="0.25">
      <c r="A1382" t="s">
        <v>7674</v>
      </c>
      <c r="B1382" s="2" t="s">
        <v>3719</v>
      </c>
      <c r="C1382">
        <v>1</v>
      </c>
      <c r="D1382" t="s">
        <v>7358</v>
      </c>
      <c r="E1382" t="s">
        <v>3379</v>
      </c>
      <c r="F1382" t="s">
        <v>3720</v>
      </c>
      <c r="G1382" t="s">
        <v>3722</v>
      </c>
      <c r="H1382" t="s">
        <v>3721</v>
      </c>
      <c r="I1382" t="s">
        <v>38</v>
      </c>
      <c r="J1382" t="s">
        <v>7682</v>
      </c>
      <c r="K1382" t="s">
        <v>7826</v>
      </c>
      <c r="L1382" t="s">
        <v>7826</v>
      </c>
      <c r="N1382" t="str" cm="1">
        <f t="array" ref="N1382">IFERROR(LOOKUP(2,1/SEARCH($S$2:$S$65,G1382),$T$2:$T$65),"Misc")</f>
        <v>OH P/N</v>
      </c>
      <c r="O1382" t="str" cm="1">
        <f t="array" ref="O1382">IFERROR(LOOKUP(2,1/SEARCH($V$2:$V$65,G1382),$W$2:$W$65),"Misc")</f>
        <v>OH Part</v>
      </c>
      <c r="P1382" t="str" cm="1">
        <f t="array" ref="P1382">IFERROR(LOOKUP(2,1/SEARCH($Y$2:$Y$65,G1382),$Z$2:$Z$65),"Not Defined")</f>
        <v>OH Part</v>
      </c>
      <c r="Q1382" t="str" cm="1">
        <f t="array" ref="Q1382">IFERROR(LOOKUP(2,1/SEARCH($S$2:$S$65,H1382),$T$2:$T$65),"-")</f>
        <v>-</v>
      </c>
    </row>
    <row r="1383" spans="1:17" hidden="1" x14ac:dyDescent="0.25">
      <c r="A1383" t="s">
        <v>7674</v>
      </c>
      <c r="B1383" s="2" t="s">
        <v>3723</v>
      </c>
      <c r="C1383">
        <v>2</v>
      </c>
      <c r="D1383" t="s">
        <v>7358</v>
      </c>
      <c r="E1383" t="s">
        <v>3379</v>
      </c>
      <c r="F1383" t="s">
        <v>3724</v>
      </c>
      <c r="G1383" t="s">
        <v>3726</v>
      </c>
      <c r="H1383" t="s">
        <v>3725</v>
      </c>
      <c r="I1383" t="s">
        <v>13</v>
      </c>
      <c r="J1383" t="s">
        <v>7682</v>
      </c>
      <c r="K1383" t="s">
        <v>7826</v>
      </c>
      <c r="L1383" t="s">
        <v>7826</v>
      </c>
      <c r="N1383" t="str" cm="1">
        <f t="array" ref="N1383">IFERROR(LOOKUP(2,1/SEARCH($S$2:$S$65,G1383),$T$2:$T$65),"Misc")</f>
        <v>OH P/N</v>
      </c>
      <c r="O1383" t="str" cm="1">
        <f t="array" ref="O1383">IFERROR(LOOKUP(2,1/SEARCH($V$2:$V$65,G1383),$W$2:$W$65),"Misc")</f>
        <v>OH Part</v>
      </c>
      <c r="P1383" t="str" cm="1">
        <f t="array" ref="P1383">IFERROR(LOOKUP(2,1/SEARCH($Y$2:$Y$65,G1383),$Z$2:$Z$65),"Not Defined")</f>
        <v>OH Part</v>
      </c>
      <c r="Q1383" t="str" cm="1">
        <f t="array" ref="Q1383">IFERROR(LOOKUP(2,1/SEARCH($S$2:$S$65,H1383),$T$2:$T$65),"-")</f>
        <v>COTS</v>
      </c>
    </row>
    <row r="1384" spans="1:17" hidden="1" x14ac:dyDescent="0.25">
      <c r="A1384" t="s">
        <v>7674</v>
      </c>
      <c r="B1384" s="2" t="s">
        <v>3727</v>
      </c>
      <c r="C1384">
        <v>2</v>
      </c>
      <c r="D1384" t="s">
        <v>7358</v>
      </c>
      <c r="E1384" t="s">
        <v>3379</v>
      </c>
      <c r="F1384" t="s">
        <v>3728</v>
      </c>
      <c r="G1384" t="s">
        <v>7400</v>
      </c>
      <c r="H1384" t="s">
        <v>3729</v>
      </c>
      <c r="J1384" t="s">
        <v>7703</v>
      </c>
      <c r="K1384" t="s">
        <v>7683</v>
      </c>
      <c r="L1384" t="s">
        <v>7683</v>
      </c>
      <c r="N1384" t="str" cm="1">
        <f t="array" ref="N1384">IFERROR(LOOKUP(2,1/SEARCH($S$2:$S$65,G1384),$T$2:$T$65),"Misc")</f>
        <v>COTS</v>
      </c>
      <c r="O1384" t="str" cm="1">
        <f t="array" ref="O1384">IFERROR(LOOKUP(2,1/SEARCH($V$2:$V$65,G1384),$W$2:$W$65),"Misc")</f>
        <v>BEARING</v>
      </c>
      <c r="P1384" t="str" cm="1">
        <f t="array" ref="P1384">IFERROR(LOOKUP(2,1/SEARCH($Y$2:$Y$65,G1384),$Z$2:$Z$65),"Not Defined")</f>
        <v>BEARING</v>
      </c>
      <c r="Q1384" t="str" cm="1">
        <f t="array" ref="Q1384">IFERROR(LOOKUP(2,1/SEARCH($S$2:$S$65,H1384),$T$2:$T$65),"-")</f>
        <v>COTS</v>
      </c>
    </row>
    <row r="1385" spans="1:17" hidden="1" x14ac:dyDescent="0.25">
      <c r="A1385" t="s">
        <v>7674</v>
      </c>
      <c r="B1385" s="2" t="s">
        <v>3730</v>
      </c>
      <c r="C1385">
        <v>1</v>
      </c>
      <c r="D1385" t="s">
        <v>7358</v>
      </c>
      <c r="E1385" t="s">
        <v>7907</v>
      </c>
      <c r="F1385" t="s">
        <v>3731</v>
      </c>
      <c r="G1385" t="s">
        <v>3733</v>
      </c>
      <c r="H1385" t="s">
        <v>3732</v>
      </c>
      <c r="J1385" t="s">
        <v>7742</v>
      </c>
      <c r="K1385" t="s">
        <v>7826</v>
      </c>
      <c r="L1385" t="s">
        <v>7826</v>
      </c>
      <c r="N1385" t="str" cm="1">
        <f t="array" ref="N1385">IFERROR(LOOKUP(2,1/SEARCH($S$2:$S$65,G1385),$T$2:$T$65),"Misc")</f>
        <v>OH ASSY</v>
      </c>
      <c r="O1385" t="str" cm="1">
        <f t="array" ref="O1385">IFERROR(LOOKUP(2,1/SEARCH($V$2:$V$65,G1385),$W$2:$W$65),"Misc")</f>
        <v>OH Part</v>
      </c>
      <c r="P1385" t="str" cm="1">
        <f t="array" ref="P1385">IFERROR(LOOKUP(2,1/SEARCH($Y$2:$Y$65,G1385),$Z$2:$Z$65),"Not Defined")</f>
        <v>OH Part</v>
      </c>
      <c r="Q1385" t="str" cm="1">
        <f t="array" ref="Q1385">IFERROR(LOOKUP(2,1/SEARCH($S$2:$S$65,H1385),$T$2:$T$65),"-")</f>
        <v>OH ASSY</v>
      </c>
    </row>
    <row r="1386" spans="1:17" hidden="1" x14ac:dyDescent="0.25">
      <c r="A1386" t="s">
        <v>7674</v>
      </c>
      <c r="B1386" s="2" t="s">
        <v>3734</v>
      </c>
      <c r="C1386">
        <v>1</v>
      </c>
      <c r="D1386" t="s">
        <v>7358</v>
      </c>
      <c r="E1386" t="s">
        <v>7907</v>
      </c>
      <c r="F1386" t="s">
        <v>3735</v>
      </c>
      <c r="G1386" t="s">
        <v>3737</v>
      </c>
      <c r="H1386" t="s">
        <v>3736</v>
      </c>
      <c r="I1386" t="s">
        <v>13</v>
      </c>
      <c r="J1386" t="s">
        <v>7682</v>
      </c>
      <c r="K1386" t="s">
        <v>7826</v>
      </c>
      <c r="L1386" t="s">
        <v>7826</v>
      </c>
      <c r="N1386" t="str" cm="1">
        <f t="array" ref="N1386">IFERROR(LOOKUP(2,1/SEARCH($S$2:$S$65,G1386),$T$2:$T$65),"Misc")</f>
        <v>OH P/N</v>
      </c>
      <c r="O1386" t="str" cm="1">
        <f t="array" ref="O1386">IFERROR(LOOKUP(2,1/SEARCH($V$2:$V$65,G1386),$W$2:$W$65),"Misc")</f>
        <v>OH Part</v>
      </c>
      <c r="P1386" t="str" cm="1">
        <f t="array" ref="P1386">IFERROR(LOOKUP(2,1/SEARCH($Y$2:$Y$65,G1386),$Z$2:$Z$65),"Not Defined")</f>
        <v>OH Part</v>
      </c>
      <c r="Q1386" t="str" cm="1">
        <f t="array" ref="Q1386">IFERROR(LOOKUP(2,1/SEARCH($S$2:$S$65,H1386),$T$2:$T$65),"-")</f>
        <v>-</v>
      </c>
    </row>
    <row r="1387" spans="1:17" hidden="1" x14ac:dyDescent="0.25">
      <c r="A1387" t="s">
        <v>7674</v>
      </c>
      <c r="B1387" s="2" t="s">
        <v>3738</v>
      </c>
      <c r="C1387">
        <v>2</v>
      </c>
      <c r="D1387" t="s">
        <v>7358</v>
      </c>
      <c r="E1387" t="s">
        <v>7907</v>
      </c>
      <c r="F1387" t="s">
        <v>3739</v>
      </c>
      <c r="G1387" t="s">
        <v>7401</v>
      </c>
      <c r="H1387" t="s">
        <v>3740</v>
      </c>
      <c r="I1387" t="s">
        <v>228</v>
      </c>
      <c r="J1387" t="s">
        <v>7703</v>
      </c>
      <c r="K1387" t="s">
        <v>7684</v>
      </c>
      <c r="L1387" t="s">
        <v>7685</v>
      </c>
      <c r="N1387" t="str" cm="1">
        <f t="array" ref="N1387">IFERROR(LOOKUP(2,1/SEARCH($S$2:$S$65,G1387),$T$2:$T$65),"Misc")</f>
        <v>COTS</v>
      </c>
      <c r="O1387" t="str" cm="1">
        <f t="array" ref="O1387">IFERROR(LOOKUP(2,1/SEARCH($V$2:$V$65,G1387),$W$2:$W$65),"Misc")</f>
        <v>Fasteners</v>
      </c>
      <c r="P1387" t="str" cm="1">
        <f t="array" ref="P1387">IFERROR(LOOKUP(2,1/SEARCH($Y$2:$Y$65,G1387),$Z$2:$Z$65),"Not Defined")</f>
        <v>NUT</v>
      </c>
      <c r="Q1387" t="str" cm="1">
        <f t="array" ref="Q1387">IFERROR(LOOKUP(2,1/SEARCH($S$2:$S$65,H1387),$T$2:$T$65),"-")</f>
        <v>COTS</v>
      </c>
    </row>
    <row r="1388" spans="1:17" hidden="1" x14ac:dyDescent="0.25">
      <c r="A1388" t="s">
        <v>7674</v>
      </c>
      <c r="B1388" s="2" t="s">
        <v>3741</v>
      </c>
      <c r="C1388">
        <v>1</v>
      </c>
      <c r="D1388" t="s">
        <v>7358</v>
      </c>
      <c r="E1388" t="s">
        <v>7907</v>
      </c>
      <c r="F1388" t="s">
        <v>3669</v>
      </c>
      <c r="G1388" t="s">
        <v>7394</v>
      </c>
      <c r="H1388" t="s">
        <v>3670</v>
      </c>
      <c r="I1388" t="s">
        <v>228</v>
      </c>
      <c r="J1388" t="s">
        <v>7703</v>
      </c>
      <c r="K1388" t="s">
        <v>7684</v>
      </c>
      <c r="L1388" t="s">
        <v>7685</v>
      </c>
      <c r="N1388" t="str" cm="1">
        <f t="array" ref="N1388">IFERROR(LOOKUP(2,1/SEARCH($S$2:$S$65,G1388),$T$2:$T$65),"Misc")</f>
        <v>COTS</v>
      </c>
      <c r="O1388" t="str" cm="1">
        <f t="array" ref="O1388">IFERROR(LOOKUP(2,1/SEARCH($V$2:$V$65,G1388),$W$2:$W$65),"Misc")</f>
        <v>Fasteners</v>
      </c>
      <c r="P1388" t="str" cm="1">
        <f t="array" ref="P1388">IFERROR(LOOKUP(2,1/SEARCH($Y$2:$Y$65,G1388),$Z$2:$Z$65),"Not Defined")</f>
        <v>NUT</v>
      </c>
      <c r="Q1388" t="str" cm="1">
        <f t="array" ref="Q1388">IFERROR(LOOKUP(2,1/SEARCH($S$2:$S$65,H1388),$T$2:$T$65),"-")</f>
        <v>COTS</v>
      </c>
    </row>
    <row r="1389" spans="1:17" hidden="1" x14ac:dyDescent="0.25">
      <c r="A1389" t="s">
        <v>7674</v>
      </c>
      <c r="B1389" s="2" t="s">
        <v>3742</v>
      </c>
      <c r="C1389">
        <v>1</v>
      </c>
      <c r="D1389" t="s">
        <v>7358</v>
      </c>
      <c r="E1389" t="s">
        <v>7907</v>
      </c>
      <c r="F1389" t="s">
        <v>3743</v>
      </c>
      <c r="G1389" t="s">
        <v>7402</v>
      </c>
      <c r="H1389" t="s">
        <v>3744</v>
      </c>
      <c r="I1389" t="s">
        <v>3745</v>
      </c>
      <c r="J1389" t="s">
        <v>7703</v>
      </c>
      <c r="K1389" t="s">
        <v>7814</v>
      </c>
      <c r="L1389" t="s">
        <v>7821</v>
      </c>
      <c r="N1389" t="str" cm="1">
        <f t="array" ref="N1389">IFERROR(LOOKUP(2,1/SEARCH($S$2:$S$65,G1389),$T$2:$T$65),"Misc")</f>
        <v>COTS</v>
      </c>
      <c r="O1389" t="str" cm="1">
        <f t="array" ref="O1389">IFERROR(LOOKUP(2,1/SEARCH($V$2:$V$65,G1389),$W$2:$W$65),"Misc")</f>
        <v>Misc</v>
      </c>
      <c r="P1389" t="str" cm="1">
        <f t="array" ref="P1389">IFERROR(LOOKUP(2,1/SEARCH($Y$2:$Y$65,G1389),$Z$2:$Z$65),"Not Defined")</f>
        <v>BUMPER</v>
      </c>
      <c r="Q1389" t="str" cm="1">
        <f t="array" ref="Q1389">IFERROR(LOOKUP(2,1/SEARCH($S$2:$S$65,H1389),$T$2:$T$65),"-")</f>
        <v>COTS</v>
      </c>
    </row>
    <row r="1390" spans="1:17" hidden="1" x14ac:dyDescent="0.25">
      <c r="A1390" t="s">
        <v>7674</v>
      </c>
      <c r="B1390" s="2" t="s">
        <v>3746</v>
      </c>
      <c r="C1390">
        <v>1</v>
      </c>
      <c r="D1390" t="s">
        <v>7358</v>
      </c>
      <c r="E1390" t="s">
        <v>7907</v>
      </c>
      <c r="F1390" t="s">
        <v>3747</v>
      </c>
      <c r="G1390" t="s">
        <v>7403</v>
      </c>
      <c r="H1390" t="s">
        <v>3748</v>
      </c>
      <c r="I1390" t="s">
        <v>228</v>
      </c>
      <c r="J1390" t="s">
        <v>7703</v>
      </c>
      <c r="K1390" t="s">
        <v>7684</v>
      </c>
      <c r="L1390" t="s">
        <v>7700</v>
      </c>
      <c r="N1390" t="str" cm="1">
        <f t="array" ref="N1390">IFERROR(LOOKUP(2,1/SEARCH($S$2:$S$65,G1390),$T$2:$T$65),"Misc")</f>
        <v>COTS</v>
      </c>
      <c r="O1390" t="str" cm="1">
        <f t="array" ref="O1390">IFERROR(LOOKUP(2,1/SEARCH($V$2:$V$65,G1390),$W$2:$W$65),"Misc")</f>
        <v>Fasteners</v>
      </c>
      <c r="P1390" t="str" cm="1">
        <f t="array" ref="P1390">IFERROR(LOOKUP(2,1/SEARCH($Y$2:$Y$65,G1390),$Z$2:$Z$65),"Not Defined")</f>
        <v>SHCS</v>
      </c>
      <c r="Q1390" t="str" cm="1">
        <f t="array" ref="Q1390">IFERROR(LOOKUP(2,1/SEARCH($S$2:$S$65,H1390),$T$2:$T$65),"-")</f>
        <v>COTS</v>
      </c>
    </row>
    <row r="1391" spans="1:17" hidden="1" x14ac:dyDescent="0.25">
      <c r="A1391" t="s">
        <v>7674</v>
      </c>
      <c r="B1391" s="2" t="s">
        <v>3749</v>
      </c>
      <c r="C1391">
        <v>1</v>
      </c>
      <c r="D1391" t="s">
        <v>7358</v>
      </c>
      <c r="E1391" t="s">
        <v>7908</v>
      </c>
      <c r="F1391" t="s">
        <v>3750</v>
      </c>
      <c r="G1391" t="s">
        <v>3752</v>
      </c>
      <c r="H1391" t="s">
        <v>3751</v>
      </c>
      <c r="J1391" t="s">
        <v>7742</v>
      </c>
      <c r="K1391" t="s">
        <v>7826</v>
      </c>
      <c r="L1391" t="s">
        <v>7826</v>
      </c>
      <c r="N1391" t="str" cm="1">
        <f t="array" ref="N1391">IFERROR(LOOKUP(2,1/SEARCH($S$2:$S$65,G1391),$T$2:$T$65),"Misc")</f>
        <v>OH ASSY</v>
      </c>
      <c r="O1391" t="str" cm="1">
        <f t="array" ref="O1391">IFERROR(LOOKUP(2,1/SEARCH($V$2:$V$65,G1391),$W$2:$W$65),"Misc")</f>
        <v>OH Part</v>
      </c>
      <c r="P1391" t="str" cm="1">
        <f t="array" ref="P1391">IFERROR(LOOKUP(2,1/SEARCH($Y$2:$Y$65,G1391),$Z$2:$Z$65),"Not Defined")</f>
        <v>OH Part</v>
      </c>
      <c r="Q1391" t="str" cm="1">
        <f t="array" ref="Q1391">IFERROR(LOOKUP(2,1/SEARCH($S$2:$S$65,H1391),$T$2:$T$65),"-")</f>
        <v>OH ASSY</v>
      </c>
    </row>
    <row r="1392" spans="1:17" hidden="1" x14ac:dyDescent="0.25">
      <c r="A1392" t="s">
        <v>7674</v>
      </c>
      <c r="B1392" s="2" t="s">
        <v>3753</v>
      </c>
      <c r="C1392">
        <v>2</v>
      </c>
      <c r="D1392" t="s">
        <v>7358</v>
      </c>
      <c r="E1392" t="s">
        <v>7908</v>
      </c>
      <c r="F1392" t="s">
        <v>3739</v>
      </c>
      <c r="G1392" t="s">
        <v>7401</v>
      </c>
      <c r="H1392" t="s">
        <v>3740</v>
      </c>
      <c r="I1392" t="s">
        <v>228</v>
      </c>
      <c r="J1392" t="s">
        <v>7703</v>
      </c>
      <c r="K1392" t="s">
        <v>7684</v>
      </c>
      <c r="L1392" t="s">
        <v>7685</v>
      </c>
      <c r="N1392" t="str" cm="1">
        <f t="array" ref="N1392">IFERROR(LOOKUP(2,1/SEARCH($S$2:$S$65,G1392),$T$2:$T$65),"Misc")</f>
        <v>COTS</v>
      </c>
      <c r="O1392" t="str" cm="1">
        <f t="array" ref="O1392">IFERROR(LOOKUP(2,1/SEARCH($V$2:$V$65,G1392),$W$2:$W$65),"Misc")</f>
        <v>Fasteners</v>
      </c>
      <c r="P1392" t="str" cm="1">
        <f t="array" ref="P1392">IFERROR(LOOKUP(2,1/SEARCH($Y$2:$Y$65,G1392),$Z$2:$Z$65),"Not Defined")</f>
        <v>NUT</v>
      </c>
      <c r="Q1392" t="str" cm="1">
        <f t="array" ref="Q1392">IFERROR(LOOKUP(2,1/SEARCH($S$2:$S$65,H1392),$T$2:$T$65),"-")</f>
        <v>COTS</v>
      </c>
    </row>
    <row r="1393" spans="1:17" hidden="1" x14ac:dyDescent="0.25">
      <c r="A1393" t="s">
        <v>7674</v>
      </c>
      <c r="B1393" s="2" t="s">
        <v>3754</v>
      </c>
      <c r="C1393">
        <v>1</v>
      </c>
      <c r="D1393" t="s">
        <v>7358</v>
      </c>
      <c r="E1393" t="s">
        <v>7908</v>
      </c>
      <c r="F1393" t="s">
        <v>3669</v>
      </c>
      <c r="G1393" t="s">
        <v>7394</v>
      </c>
      <c r="H1393" t="s">
        <v>3670</v>
      </c>
      <c r="I1393" t="s">
        <v>228</v>
      </c>
      <c r="J1393" t="s">
        <v>7703</v>
      </c>
      <c r="K1393" t="s">
        <v>7684</v>
      </c>
      <c r="L1393" t="s">
        <v>7685</v>
      </c>
      <c r="N1393" t="str" cm="1">
        <f t="array" ref="N1393">IFERROR(LOOKUP(2,1/SEARCH($S$2:$S$65,G1393),$T$2:$T$65),"Misc")</f>
        <v>COTS</v>
      </c>
      <c r="O1393" t="str" cm="1">
        <f t="array" ref="O1393">IFERROR(LOOKUP(2,1/SEARCH($V$2:$V$65,G1393),$W$2:$W$65),"Misc")</f>
        <v>Fasteners</v>
      </c>
      <c r="P1393" t="str" cm="1">
        <f t="array" ref="P1393">IFERROR(LOOKUP(2,1/SEARCH($Y$2:$Y$65,G1393),$Z$2:$Z$65),"Not Defined")</f>
        <v>NUT</v>
      </c>
      <c r="Q1393" t="str" cm="1">
        <f t="array" ref="Q1393">IFERROR(LOOKUP(2,1/SEARCH($S$2:$S$65,H1393),$T$2:$T$65),"-")</f>
        <v>COTS</v>
      </c>
    </row>
    <row r="1394" spans="1:17" hidden="1" x14ac:dyDescent="0.25">
      <c r="A1394" t="s">
        <v>7674</v>
      </c>
      <c r="B1394" s="2" t="s">
        <v>3755</v>
      </c>
      <c r="C1394">
        <v>1</v>
      </c>
      <c r="D1394" t="s">
        <v>7358</v>
      </c>
      <c r="E1394" t="s">
        <v>7908</v>
      </c>
      <c r="F1394" t="s">
        <v>3743</v>
      </c>
      <c r="G1394" t="s">
        <v>7402</v>
      </c>
      <c r="H1394" t="s">
        <v>3744</v>
      </c>
      <c r="I1394" t="s">
        <v>3745</v>
      </c>
      <c r="J1394" t="s">
        <v>7703</v>
      </c>
      <c r="K1394" t="s">
        <v>7814</v>
      </c>
      <c r="L1394" t="s">
        <v>7821</v>
      </c>
      <c r="N1394" t="str" cm="1">
        <f t="array" ref="N1394">IFERROR(LOOKUP(2,1/SEARCH($S$2:$S$65,G1394),$T$2:$T$65),"Misc")</f>
        <v>COTS</v>
      </c>
      <c r="O1394" t="str" cm="1">
        <f t="array" ref="O1394">IFERROR(LOOKUP(2,1/SEARCH($V$2:$V$65,G1394),$W$2:$W$65),"Misc")</f>
        <v>Misc</v>
      </c>
      <c r="P1394" t="str" cm="1">
        <f t="array" ref="P1394">IFERROR(LOOKUP(2,1/SEARCH($Y$2:$Y$65,G1394),$Z$2:$Z$65),"Not Defined")</f>
        <v>BUMPER</v>
      </c>
      <c r="Q1394" t="str" cm="1">
        <f t="array" ref="Q1394">IFERROR(LOOKUP(2,1/SEARCH($S$2:$S$65,H1394),$T$2:$T$65),"-")</f>
        <v>COTS</v>
      </c>
    </row>
    <row r="1395" spans="1:17" hidden="1" x14ac:dyDescent="0.25">
      <c r="A1395" t="s">
        <v>7674</v>
      </c>
      <c r="B1395" s="2" t="s">
        <v>3756</v>
      </c>
      <c r="C1395">
        <v>1</v>
      </c>
      <c r="D1395" t="s">
        <v>7358</v>
      </c>
      <c r="E1395" t="s">
        <v>7908</v>
      </c>
      <c r="F1395" t="s">
        <v>3747</v>
      </c>
      <c r="G1395" t="s">
        <v>7403</v>
      </c>
      <c r="H1395" t="s">
        <v>3748</v>
      </c>
      <c r="I1395" t="s">
        <v>228</v>
      </c>
      <c r="J1395" t="s">
        <v>7703</v>
      </c>
      <c r="K1395" t="s">
        <v>7684</v>
      </c>
      <c r="L1395" t="s">
        <v>7700</v>
      </c>
      <c r="N1395" t="str" cm="1">
        <f t="array" ref="N1395">IFERROR(LOOKUP(2,1/SEARCH($S$2:$S$65,G1395),$T$2:$T$65),"Misc")</f>
        <v>COTS</v>
      </c>
      <c r="O1395" t="str" cm="1">
        <f t="array" ref="O1395">IFERROR(LOOKUP(2,1/SEARCH($V$2:$V$65,G1395),$W$2:$W$65),"Misc")</f>
        <v>Fasteners</v>
      </c>
      <c r="P1395" t="str" cm="1">
        <f t="array" ref="P1395">IFERROR(LOOKUP(2,1/SEARCH($Y$2:$Y$65,G1395),$Z$2:$Z$65),"Not Defined")</f>
        <v>SHCS</v>
      </c>
      <c r="Q1395" t="str" cm="1">
        <f t="array" ref="Q1395">IFERROR(LOOKUP(2,1/SEARCH($S$2:$S$65,H1395),$T$2:$T$65),"-")</f>
        <v>COTS</v>
      </c>
    </row>
    <row r="1396" spans="1:17" hidden="1" x14ac:dyDescent="0.25">
      <c r="A1396" t="s">
        <v>7674</v>
      </c>
      <c r="B1396" s="2" t="s">
        <v>3757</v>
      </c>
      <c r="C1396">
        <v>1</v>
      </c>
      <c r="D1396" t="s">
        <v>7358</v>
      </c>
      <c r="E1396" t="s">
        <v>7908</v>
      </c>
      <c r="F1396" t="s">
        <v>3758</v>
      </c>
      <c r="G1396" t="s">
        <v>3760</v>
      </c>
      <c r="H1396" t="s">
        <v>3759</v>
      </c>
      <c r="I1396" t="s">
        <v>13</v>
      </c>
      <c r="J1396" t="s">
        <v>7682</v>
      </c>
      <c r="K1396" t="s">
        <v>7826</v>
      </c>
      <c r="L1396" t="s">
        <v>7826</v>
      </c>
      <c r="N1396" t="str" cm="1">
        <f t="array" ref="N1396">IFERROR(LOOKUP(2,1/SEARCH($S$2:$S$65,G1396),$T$2:$T$65),"Misc")</f>
        <v>OH P/N</v>
      </c>
      <c r="O1396" t="str" cm="1">
        <f t="array" ref="O1396">IFERROR(LOOKUP(2,1/SEARCH($V$2:$V$65,G1396),$W$2:$W$65),"Misc")</f>
        <v>OH Part</v>
      </c>
      <c r="P1396" t="str" cm="1">
        <f t="array" ref="P1396">IFERROR(LOOKUP(2,1/SEARCH($Y$2:$Y$65,G1396),$Z$2:$Z$65),"Not Defined")</f>
        <v>OH Part</v>
      </c>
      <c r="Q1396" t="str" cm="1">
        <f t="array" ref="Q1396">IFERROR(LOOKUP(2,1/SEARCH($S$2:$S$65,H1396),$T$2:$T$65),"-")</f>
        <v>-</v>
      </c>
    </row>
    <row r="1397" spans="1:17" hidden="1" x14ac:dyDescent="0.25">
      <c r="A1397" t="s">
        <v>7674</v>
      </c>
      <c r="B1397" s="2" t="s">
        <v>3761</v>
      </c>
      <c r="C1397">
        <v>1</v>
      </c>
      <c r="D1397" t="s">
        <v>7358</v>
      </c>
      <c r="E1397" t="s">
        <v>7909</v>
      </c>
      <c r="F1397" t="s">
        <v>3762</v>
      </c>
      <c r="G1397" t="s">
        <v>3764</v>
      </c>
      <c r="H1397" t="s">
        <v>3763</v>
      </c>
      <c r="J1397" t="s">
        <v>7742</v>
      </c>
      <c r="K1397" t="s">
        <v>7826</v>
      </c>
      <c r="L1397" t="s">
        <v>7826</v>
      </c>
      <c r="N1397" t="str" cm="1">
        <f t="array" ref="N1397">IFERROR(LOOKUP(2,1/SEARCH($S$2:$S$65,G1397),$T$2:$T$65),"Misc")</f>
        <v>OH ASSY</v>
      </c>
      <c r="O1397" t="str" cm="1">
        <f t="array" ref="O1397">IFERROR(LOOKUP(2,1/SEARCH($V$2:$V$65,G1397),$W$2:$W$65),"Misc")</f>
        <v>OH Part</v>
      </c>
      <c r="P1397" t="str" cm="1">
        <f t="array" ref="P1397">IFERROR(LOOKUP(2,1/SEARCH($Y$2:$Y$65,G1397),$Z$2:$Z$65),"Not Defined")</f>
        <v>OH Part</v>
      </c>
      <c r="Q1397" t="str" cm="1">
        <f t="array" ref="Q1397">IFERROR(LOOKUP(2,1/SEARCH($S$2:$S$65,H1397),$T$2:$T$65),"-")</f>
        <v>OH ASSY</v>
      </c>
    </row>
    <row r="1398" spans="1:17" hidden="1" x14ac:dyDescent="0.25">
      <c r="A1398" t="s">
        <v>7674</v>
      </c>
      <c r="B1398" s="2" t="s">
        <v>3765</v>
      </c>
      <c r="C1398">
        <v>1</v>
      </c>
      <c r="D1398" t="s">
        <v>7358</v>
      </c>
      <c r="E1398" t="s">
        <v>7909</v>
      </c>
      <c r="F1398" t="s">
        <v>3766</v>
      </c>
      <c r="G1398" t="s">
        <v>3768</v>
      </c>
      <c r="H1398" t="s">
        <v>3767</v>
      </c>
      <c r="I1398" t="s">
        <v>13</v>
      </c>
      <c r="J1398" t="s">
        <v>7682</v>
      </c>
      <c r="K1398" t="s">
        <v>7826</v>
      </c>
      <c r="L1398" t="s">
        <v>7826</v>
      </c>
      <c r="N1398" t="str" cm="1">
        <f t="array" ref="N1398">IFERROR(LOOKUP(2,1/SEARCH($S$2:$S$65,G1398),$T$2:$T$65),"Misc")</f>
        <v>OH P/N</v>
      </c>
      <c r="O1398" t="str" cm="1">
        <f t="array" ref="O1398">IFERROR(LOOKUP(2,1/SEARCH($V$2:$V$65,G1398),$W$2:$W$65),"Misc")</f>
        <v>OH Part</v>
      </c>
      <c r="P1398" t="str" cm="1">
        <f t="array" ref="P1398">IFERROR(LOOKUP(2,1/SEARCH($Y$2:$Y$65,G1398),$Z$2:$Z$65),"Not Defined")</f>
        <v>OH Part</v>
      </c>
      <c r="Q1398" t="str" cm="1">
        <f t="array" ref="Q1398">IFERROR(LOOKUP(2,1/SEARCH($S$2:$S$65,H1398),$T$2:$T$65),"-")</f>
        <v>-</v>
      </c>
    </row>
    <row r="1399" spans="1:17" hidden="1" x14ac:dyDescent="0.25">
      <c r="A1399" t="s">
        <v>7674</v>
      </c>
      <c r="B1399" s="2" t="s">
        <v>3769</v>
      </c>
      <c r="C1399">
        <v>1</v>
      </c>
      <c r="D1399" t="s">
        <v>7358</v>
      </c>
      <c r="E1399" t="s">
        <v>7909</v>
      </c>
      <c r="F1399" t="s">
        <v>3739</v>
      </c>
      <c r="G1399" t="s">
        <v>7401</v>
      </c>
      <c r="H1399" t="s">
        <v>3740</v>
      </c>
      <c r="I1399" t="s">
        <v>228</v>
      </c>
      <c r="J1399" t="s">
        <v>7703</v>
      </c>
      <c r="K1399" t="s">
        <v>7684</v>
      </c>
      <c r="L1399" t="s">
        <v>7685</v>
      </c>
      <c r="N1399" t="str" cm="1">
        <f t="array" ref="N1399">IFERROR(LOOKUP(2,1/SEARCH($S$2:$S$65,G1399),$T$2:$T$65),"Misc")</f>
        <v>COTS</v>
      </c>
      <c r="O1399" t="str" cm="1">
        <f t="array" ref="O1399">IFERROR(LOOKUP(2,1/SEARCH($V$2:$V$65,G1399),$W$2:$W$65),"Misc")</f>
        <v>Fasteners</v>
      </c>
      <c r="P1399" t="str" cm="1">
        <f t="array" ref="P1399">IFERROR(LOOKUP(2,1/SEARCH($Y$2:$Y$65,G1399),$Z$2:$Z$65),"Not Defined")</f>
        <v>NUT</v>
      </c>
      <c r="Q1399" t="str" cm="1">
        <f t="array" ref="Q1399">IFERROR(LOOKUP(2,1/SEARCH($S$2:$S$65,H1399),$T$2:$T$65),"-")</f>
        <v>COTS</v>
      </c>
    </row>
    <row r="1400" spans="1:17" hidden="1" x14ac:dyDescent="0.25">
      <c r="A1400" t="s">
        <v>7674</v>
      </c>
      <c r="B1400" s="2" t="s">
        <v>3770</v>
      </c>
      <c r="C1400">
        <v>1</v>
      </c>
      <c r="D1400" t="s">
        <v>7358</v>
      </c>
      <c r="E1400" t="s">
        <v>7909</v>
      </c>
      <c r="F1400" t="s">
        <v>3669</v>
      </c>
      <c r="G1400" t="s">
        <v>7394</v>
      </c>
      <c r="H1400" t="s">
        <v>3670</v>
      </c>
      <c r="I1400" t="s">
        <v>228</v>
      </c>
      <c r="J1400" t="s">
        <v>7703</v>
      </c>
      <c r="K1400" t="s">
        <v>7684</v>
      </c>
      <c r="L1400" t="s">
        <v>7685</v>
      </c>
      <c r="N1400" t="str" cm="1">
        <f t="array" ref="N1400">IFERROR(LOOKUP(2,1/SEARCH($S$2:$S$65,G1400),$T$2:$T$65),"Misc")</f>
        <v>COTS</v>
      </c>
      <c r="O1400" t="str" cm="1">
        <f t="array" ref="O1400">IFERROR(LOOKUP(2,1/SEARCH($V$2:$V$65,G1400),$W$2:$W$65),"Misc")</f>
        <v>Fasteners</v>
      </c>
      <c r="P1400" t="str" cm="1">
        <f t="array" ref="P1400">IFERROR(LOOKUP(2,1/SEARCH($Y$2:$Y$65,G1400),$Z$2:$Z$65),"Not Defined")</f>
        <v>NUT</v>
      </c>
      <c r="Q1400" t="str" cm="1">
        <f t="array" ref="Q1400">IFERROR(LOOKUP(2,1/SEARCH($S$2:$S$65,H1400),$T$2:$T$65),"-")</f>
        <v>COTS</v>
      </c>
    </row>
    <row r="1401" spans="1:17" hidden="1" x14ac:dyDescent="0.25">
      <c r="A1401" t="s">
        <v>7674</v>
      </c>
      <c r="B1401" s="2" t="s">
        <v>3771</v>
      </c>
      <c r="C1401">
        <v>1</v>
      </c>
      <c r="D1401" t="s">
        <v>7358</v>
      </c>
      <c r="E1401" t="s">
        <v>7909</v>
      </c>
      <c r="F1401" t="s">
        <v>3743</v>
      </c>
      <c r="G1401" t="s">
        <v>7402</v>
      </c>
      <c r="H1401" t="s">
        <v>3744</v>
      </c>
      <c r="I1401" t="s">
        <v>3745</v>
      </c>
      <c r="J1401" t="s">
        <v>7703</v>
      </c>
      <c r="K1401" t="s">
        <v>7814</v>
      </c>
      <c r="L1401" t="s">
        <v>7821</v>
      </c>
      <c r="N1401" t="str" cm="1">
        <f t="array" ref="N1401">IFERROR(LOOKUP(2,1/SEARCH($S$2:$S$65,G1401),$T$2:$T$65),"Misc")</f>
        <v>COTS</v>
      </c>
      <c r="O1401" t="str" cm="1">
        <f t="array" ref="O1401">IFERROR(LOOKUP(2,1/SEARCH($V$2:$V$65,G1401),$W$2:$W$65),"Misc")</f>
        <v>Misc</v>
      </c>
      <c r="P1401" t="str" cm="1">
        <f t="array" ref="P1401">IFERROR(LOOKUP(2,1/SEARCH($Y$2:$Y$65,G1401),$Z$2:$Z$65),"Not Defined")</f>
        <v>BUMPER</v>
      </c>
      <c r="Q1401" t="str" cm="1">
        <f t="array" ref="Q1401">IFERROR(LOOKUP(2,1/SEARCH($S$2:$S$65,H1401),$T$2:$T$65),"-")</f>
        <v>COTS</v>
      </c>
    </row>
    <row r="1402" spans="1:17" hidden="1" x14ac:dyDescent="0.25">
      <c r="A1402" t="s">
        <v>7674</v>
      </c>
      <c r="B1402" s="2" t="s">
        <v>3772</v>
      </c>
      <c r="C1402">
        <v>1</v>
      </c>
      <c r="D1402" t="s">
        <v>7358</v>
      </c>
      <c r="E1402" t="s">
        <v>7909</v>
      </c>
      <c r="F1402" t="s">
        <v>3773</v>
      </c>
      <c r="G1402" t="s">
        <v>7404</v>
      </c>
      <c r="H1402" t="s">
        <v>3774</v>
      </c>
      <c r="I1402" t="s">
        <v>228</v>
      </c>
      <c r="J1402" t="s">
        <v>7703</v>
      </c>
      <c r="K1402" t="s">
        <v>7684</v>
      </c>
      <c r="L1402" t="s">
        <v>7700</v>
      </c>
      <c r="N1402" t="str" cm="1">
        <f t="array" ref="N1402">IFERROR(LOOKUP(2,1/SEARCH($S$2:$S$65,G1402),$T$2:$T$65),"Misc")</f>
        <v>COTS</v>
      </c>
      <c r="O1402" t="str" cm="1">
        <f t="array" ref="O1402">IFERROR(LOOKUP(2,1/SEARCH($V$2:$V$65,G1402),$W$2:$W$65),"Misc")</f>
        <v>Fasteners</v>
      </c>
      <c r="P1402" t="str" cm="1">
        <f t="array" ref="P1402">IFERROR(LOOKUP(2,1/SEARCH($Y$2:$Y$65,G1402),$Z$2:$Z$65),"Not Defined")</f>
        <v>SHCS</v>
      </c>
      <c r="Q1402" t="str" cm="1">
        <f t="array" ref="Q1402">IFERROR(LOOKUP(2,1/SEARCH($S$2:$S$65,H1402),$T$2:$T$65),"-")</f>
        <v>COTS</v>
      </c>
    </row>
    <row r="1403" spans="1:17" hidden="1" x14ac:dyDescent="0.25">
      <c r="A1403" t="s">
        <v>7674</v>
      </c>
      <c r="B1403" s="2" t="s">
        <v>3775</v>
      </c>
      <c r="C1403">
        <v>1</v>
      </c>
      <c r="D1403" t="s">
        <v>7358</v>
      </c>
      <c r="E1403" t="s">
        <v>7910</v>
      </c>
      <c r="F1403" t="s">
        <v>3776</v>
      </c>
      <c r="G1403" t="s">
        <v>3778</v>
      </c>
      <c r="H1403" t="s">
        <v>3777</v>
      </c>
      <c r="J1403" t="s">
        <v>7742</v>
      </c>
      <c r="K1403" t="s">
        <v>7826</v>
      </c>
      <c r="L1403" t="s">
        <v>7826</v>
      </c>
      <c r="N1403" t="str" cm="1">
        <f t="array" ref="N1403">IFERROR(LOOKUP(2,1/SEARCH($S$2:$S$65,G1403),$T$2:$T$65),"Misc")</f>
        <v>OH ASSY</v>
      </c>
      <c r="O1403" t="str" cm="1">
        <f t="array" ref="O1403">IFERROR(LOOKUP(2,1/SEARCH($V$2:$V$65,G1403),$W$2:$W$65),"Misc")</f>
        <v>OH Part</v>
      </c>
      <c r="P1403" t="str" cm="1">
        <f t="array" ref="P1403">IFERROR(LOOKUP(2,1/SEARCH($Y$2:$Y$65,G1403),$Z$2:$Z$65),"Not Defined")</f>
        <v>OH Part</v>
      </c>
      <c r="Q1403" t="str" cm="1">
        <f t="array" ref="Q1403">IFERROR(LOOKUP(2,1/SEARCH($S$2:$S$65,H1403),$T$2:$T$65),"-")</f>
        <v>OH ASSY</v>
      </c>
    </row>
    <row r="1404" spans="1:17" hidden="1" x14ac:dyDescent="0.25">
      <c r="A1404" t="s">
        <v>7674</v>
      </c>
      <c r="B1404" s="2" t="s">
        <v>3779</v>
      </c>
      <c r="C1404">
        <v>1</v>
      </c>
      <c r="D1404" t="s">
        <v>7358</v>
      </c>
      <c r="E1404" t="s">
        <v>7910</v>
      </c>
      <c r="F1404" t="s">
        <v>3780</v>
      </c>
      <c r="G1404" t="s">
        <v>3782</v>
      </c>
      <c r="H1404" t="s">
        <v>3781</v>
      </c>
      <c r="I1404" t="s">
        <v>13</v>
      </c>
      <c r="J1404" t="s">
        <v>7682</v>
      </c>
      <c r="K1404" t="s">
        <v>7826</v>
      </c>
      <c r="L1404" t="s">
        <v>7826</v>
      </c>
      <c r="N1404" t="str" cm="1">
        <f t="array" ref="N1404">IFERROR(LOOKUP(2,1/SEARCH($S$2:$S$65,G1404),$T$2:$T$65),"Misc")</f>
        <v>OH P/N</v>
      </c>
      <c r="O1404" t="str" cm="1">
        <f t="array" ref="O1404">IFERROR(LOOKUP(2,1/SEARCH($V$2:$V$65,G1404),$W$2:$W$65),"Misc")</f>
        <v>OH Part</v>
      </c>
      <c r="P1404" t="str" cm="1">
        <f t="array" ref="P1404">IFERROR(LOOKUP(2,1/SEARCH($Y$2:$Y$65,G1404),$Z$2:$Z$65),"Not Defined")</f>
        <v>OH Part</v>
      </c>
      <c r="Q1404" t="str" cm="1">
        <f t="array" ref="Q1404">IFERROR(LOOKUP(2,1/SEARCH($S$2:$S$65,H1404),$T$2:$T$65),"-")</f>
        <v>-</v>
      </c>
    </row>
    <row r="1405" spans="1:17" hidden="1" x14ac:dyDescent="0.25">
      <c r="A1405" t="s">
        <v>7674</v>
      </c>
      <c r="B1405" s="2" t="s">
        <v>3783</v>
      </c>
      <c r="C1405">
        <v>1</v>
      </c>
      <c r="D1405" t="s">
        <v>7358</v>
      </c>
      <c r="E1405" t="s">
        <v>7910</v>
      </c>
      <c r="F1405" t="s">
        <v>3739</v>
      </c>
      <c r="G1405" t="s">
        <v>7401</v>
      </c>
      <c r="H1405" t="s">
        <v>3740</v>
      </c>
      <c r="I1405" t="s">
        <v>228</v>
      </c>
      <c r="J1405" t="s">
        <v>7703</v>
      </c>
      <c r="K1405" t="s">
        <v>7684</v>
      </c>
      <c r="L1405" t="s">
        <v>7685</v>
      </c>
      <c r="N1405" t="str" cm="1">
        <f t="array" ref="N1405">IFERROR(LOOKUP(2,1/SEARCH($S$2:$S$65,G1405),$T$2:$T$65),"Misc")</f>
        <v>COTS</v>
      </c>
      <c r="O1405" t="str" cm="1">
        <f t="array" ref="O1405">IFERROR(LOOKUP(2,1/SEARCH($V$2:$V$65,G1405),$W$2:$W$65),"Misc")</f>
        <v>Fasteners</v>
      </c>
      <c r="P1405" t="str" cm="1">
        <f t="array" ref="P1405">IFERROR(LOOKUP(2,1/SEARCH($Y$2:$Y$65,G1405),$Z$2:$Z$65),"Not Defined")</f>
        <v>NUT</v>
      </c>
      <c r="Q1405" t="str" cm="1">
        <f t="array" ref="Q1405">IFERROR(LOOKUP(2,1/SEARCH($S$2:$S$65,H1405),$T$2:$T$65),"-")</f>
        <v>COTS</v>
      </c>
    </row>
    <row r="1406" spans="1:17" hidden="1" x14ac:dyDescent="0.25">
      <c r="A1406" t="s">
        <v>7674</v>
      </c>
      <c r="B1406" s="2" t="s">
        <v>3784</v>
      </c>
      <c r="C1406">
        <v>1</v>
      </c>
      <c r="D1406" t="s">
        <v>7358</v>
      </c>
      <c r="E1406" t="s">
        <v>7910</v>
      </c>
      <c r="F1406" t="s">
        <v>3669</v>
      </c>
      <c r="G1406" t="s">
        <v>7394</v>
      </c>
      <c r="H1406" t="s">
        <v>3670</v>
      </c>
      <c r="I1406" t="s">
        <v>228</v>
      </c>
      <c r="J1406" t="s">
        <v>7703</v>
      </c>
      <c r="K1406" t="s">
        <v>7684</v>
      </c>
      <c r="L1406" t="s">
        <v>7685</v>
      </c>
      <c r="N1406" t="str" cm="1">
        <f t="array" ref="N1406">IFERROR(LOOKUP(2,1/SEARCH($S$2:$S$65,G1406),$T$2:$T$65),"Misc")</f>
        <v>COTS</v>
      </c>
      <c r="O1406" t="str" cm="1">
        <f t="array" ref="O1406">IFERROR(LOOKUP(2,1/SEARCH($V$2:$V$65,G1406),$W$2:$W$65),"Misc")</f>
        <v>Fasteners</v>
      </c>
      <c r="P1406" t="str" cm="1">
        <f t="array" ref="P1406">IFERROR(LOOKUP(2,1/SEARCH($Y$2:$Y$65,G1406),$Z$2:$Z$65),"Not Defined")</f>
        <v>NUT</v>
      </c>
      <c r="Q1406" t="str" cm="1">
        <f t="array" ref="Q1406">IFERROR(LOOKUP(2,1/SEARCH($S$2:$S$65,H1406),$T$2:$T$65),"-")</f>
        <v>COTS</v>
      </c>
    </row>
    <row r="1407" spans="1:17" hidden="1" x14ac:dyDescent="0.25">
      <c r="A1407" t="s">
        <v>7674</v>
      </c>
      <c r="B1407" s="2" t="s">
        <v>3785</v>
      </c>
      <c r="C1407">
        <v>1</v>
      </c>
      <c r="D1407" t="s">
        <v>7358</v>
      </c>
      <c r="E1407" t="s">
        <v>7910</v>
      </c>
      <c r="F1407" t="s">
        <v>3743</v>
      </c>
      <c r="G1407" t="s">
        <v>7402</v>
      </c>
      <c r="H1407" t="s">
        <v>3744</v>
      </c>
      <c r="I1407" t="s">
        <v>3745</v>
      </c>
      <c r="J1407" t="s">
        <v>7703</v>
      </c>
      <c r="K1407" t="s">
        <v>7814</v>
      </c>
      <c r="L1407" t="s">
        <v>7821</v>
      </c>
      <c r="N1407" t="str" cm="1">
        <f t="array" ref="N1407">IFERROR(LOOKUP(2,1/SEARCH($S$2:$S$65,G1407),$T$2:$T$65),"Misc")</f>
        <v>COTS</v>
      </c>
      <c r="O1407" t="str" cm="1">
        <f t="array" ref="O1407">IFERROR(LOOKUP(2,1/SEARCH($V$2:$V$65,G1407),$W$2:$W$65),"Misc")</f>
        <v>Misc</v>
      </c>
      <c r="P1407" t="str" cm="1">
        <f t="array" ref="P1407">IFERROR(LOOKUP(2,1/SEARCH($Y$2:$Y$65,G1407),$Z$2:$Z$65),"Not Defined")</f>
        <v>BUMPER</v>
      </c>
      <c r="Q1407" t="str" cm="1">
        <f t="array" ref="Q1407">IFERROR(LOOKUP(2,1/SEARCH($S$2:$S$65,H1407),$T$2:$T$65),"-")</f>
        <v>COTS</v>
      </c>
    </row>
    <row r="1408" spans="1:17" hidden="1" x14ac:dyDescent="0.25">
      <c r="A1408" t="s">
        <v>7674</v>
      </c>
      <c r="B1408" s="2" t="s">
        <v>3786</v>
      </c>
      <c r="C1408">
        <v>1</v>
      </c>
      <c r="D1408" t="s">
        <v>7358</v>
      </c>
      <c r="E1408" t="s">
        <v>7910</v>
      </c>
      <c r="F1408" t="s">
        <v>3773</v>
      </c>
      <c r="G1408" t="s">
        <v>7404</v>
      </c>
      <c r="H1408" t="s">
        <v>3774</v>
      </c>
      <c r="I1408" t="s">
        <v>228</v>
      </c>
      <c r="J1408" t="s">
        <v>7703</v>
      </c>
      <c r="K1408" t="s">
        <v>7684</v>
      </c>
      <c r="L1408" t="s">
        <v>7700</v>
      </c>
      <c r="N1408" t="str" cm="1">
        <f t="array" ref="N1408">IFERROR(LOOKUP(2,1/SEARCH($S$2:$S$65,G1408),$T$2:$T$65),"Misc")</f>
        <v>COTS</v>
      </c>
      <c r="O1408" t="str" cm="1">
        <f t="array" ref="O1408">IFERROR(LOOKUP(2,1/SEARCH($V$2:$V$65,G1408),$W$2:$W$65),"Misc")</f>
        <v>Fasteners</v>
      </c>
      <c r="P1408" t="str" cm="1">
        <f t="array" ref="P1408">IFERROR(LOOKUP(2,1/SEARCH($Y$2:$Y$65,G1408),$Z$2:$Z$65),"Not Defined")</f>
        <v>SHCS</v>
      </c>
      <c r="Q1408" t="str" cm="1">
        <f t="array" ref="Q1408">IFERROR(LOOKUP(2,1/SEARCH($S$2:$S$65,H1408),$T$2:$T$65),"-")</f>
        <v>COTS</v>
      </c>
    </row>
    <row r="1409" spans="1:17" hidden="1" x14ac:dyDescent="0.25">
      <c r="A1409" t="s">
        <v>7674</v>
      </c>
      <c r="B1409" s="2" t="s">
        <v>3787</v>
      </c>
      <c r="C1409">
        <v>12</v>
      </c>
      <c r="D1409" t="s">
        <v>7358</v>
      </c>
      <c r="E1409" t="s">
        <v>3379</v>
      </c>
      <c r="F1409" t="s">
        <v>3788</v>
      </c>
      <c r="G1409" t="s">
        <v>7405</v>
      </c>
      <c r="H1409" t="s">
        <v>3789</v>
      </c>
      <c r="I1409" t="s">
        <v>228</v>
      </c>
      <c r="J1409" t="s">
        <v>7703</v>
      </c>
      <c r="K1409" t="s">
        <v>7684</v>
      </c>
      <c r="L1409" t="s">
        <v>7820</v>
      </c>
      <c r="N1409" t="str" cm="1">
        <f t="array" ref="N1409">IFERROR(LOOKUP(2,1/SEARCH($S$2:$S$65,G1409),$T$2:$T$65),"Misc")</f>
        <v>COTS</v>
      </c>
      <c r="O1409" t="str" cm="1">
        <f t="array" ref="O1409">IFERROR(LOOKUP(2,1/SEARCH($V$2:$V$65,G1409),$W$2:$W$65),"Misc")</f>
        <v>Fasteners</v>
      </c>
      <c r="P1409" t="str" cm="1">
        <f t="array" ref="P1409">IFERROR(LOOKUP(2,1/SEARCH($Y$2:$Y$65,G1409),$Z$2:$Z$65),"Not Defined")</f>
        <v>FHCS</v>
      </c>
      <c r="Q1409" t="str" cm="1">
        <f t="array" ref="Q1409">IFERROR(LOOKUP(2,1/SEARCH($S$2:$S$65,H1409),$T$2:$T$65),"-")</f>
        <v>COTS</v>
      </c>
    </row>
    <row r="1410" spans="1:17" hidden="1" x14ac:dyDescent="0.25">
      <c r="A1410" t="s">
        <v>7674</v>
      </c>
      <c r="B1410" s="2" t="s">
        <v>3790</v>
      </c>
      <c r="C1410">
        <v>12</v>
      </c>
      <c r="D1410" t="s">
        <v>7358</v>
      </c>
      <c r="E1410" t="s">
        <v>3379</v>
      </c>
      <c r="F1410" t="s">
        <v>3571</v>
      </c>
      <c r="G1410" t="s">
        <v>7382</v>
      </c>
      <c r="H1410" t="s">
        <v>3572</v>
      </c>
      <c r="I1410" t="s">
        <v>228</v>
      </c>
      <c r="J1410" t="s">
        <v>7703</v>
      </c>
      <c r="K1410" t="s">
        <v>7684</v>
      </c>
      <c r="L1410" t="s">
        <v>7692</v>
      </c>
      <c r="N1410" t="str" cm="1">
        <f t="array" ref="N1410">IFERROR(LOOKUP(2,1/SEARCH($S$2:$S$65,G1410),$T$2:$T$65),"Misc")</f>
        <v>COTS</v>
      </c>
      <c r="O1410" t="str" cm="1">
        <f t="array" ref="O1410">IFERROR(LOOKUP(2,1/SEARCH($V$2:$V$65,G1410),$W$2:$W$65),"Misc")</f>
        <v>Fasteners</v>
      </c>
      <c r="P1410" t="str" cm="1">
        <f t="array" ref="P1410">IFERROR(LOOKUP(2,1/SEARCH($Y$2:$Y$65,G1410),$Z$2:$Z$65),"Not Defined")</f>
        <v>WASHER</v>
      </c>
      <c r="Q1410" t="str" cm="1">
        <f t="array" ref="Q1410">IFERROR(LOOKUP(2,1/SEARCH($S$2:$S$65,H1410),$T$2:$T$65),"-")</f>
        <v>COTS</v>
      </c>
    </row>
    <row r="1411" spans="1:17" hidden="1" x14ac:dyDescent="0.25">
      <c r="A1411" t="s">
        <v>7674</v>
      </c>
      <c r="B1411" s="2" t="s">
        <v>3791</v>
      </c>
      <c r="C1411">
        <v>12</v>
      </c>
      <c r="D1411" t="s">
        <v>7358</v>
      </c>
      <c r="E1411" t="s">
        <v>3379</v>
      </c>
      <c r="F1411" t="s">
        <v>3577</v>
      </c>
      <c r="G1411" t="s">
        <v>7384</v>
      </c>
      <c r="H1411" t="s">
        <v>3578</v>
      </c>
      <c r="I1411" t="s">
        <v>228</v>
      </c>
      <c r="J1411" t="s">
        <v>7703</v>
      </c>
      <c r="K1411" t="s">
        <v>7684</v>
      </c>
      <c r="L1411" t="s">
        <v>7685</v>
      </c>
      <c r="N1411" t="str" cm="1">
        <f t="array" ref="N1411">IFERROR(LOOKUP(2,1/SEARCH($S$2:$S$65,G1411),$T$2:$T$65),"Misc")</f>
        <v>COTS</v>
      </c>
      <c r="O1411" t="str" cm="1">
        <f t="array" ref="O1411">IFERROR(LOOKUP(2,1/SEARCH($V$2:$V$65,G1411),$W$2:$W$65),"Misc")</f>
        <v>Fasteners</v>
      </c>
      <c r="P1411" t="str" cm="1">
        <f t="array" ref="P1411">IFERROR(LOOKUP(2,1/SEARCH($Y$2:$Y$65,G1411),$Z$2:$Z$65),"Not Defined")</f>
        <v>NUT</v>
      </c>
      <c r="Q1411" t="str" cm="1">
        <f t="array" ref="Q1411">IFERROR(LOOKUP(2,1/SEARCH($S$2:$S$65,H1411),$T$2:$T$65),"-")</f>
        <v>COTS</v>
      </c>
    </row>
    <row r="1412" spans="1:17" hidden="1" x14ac:dyDescent="0.25">
      <c r="A1412" t="s">
        <v>7674</v>
      </c>
      <c r="B1412" s="2" t="s">
        <v>3792</v>
      </c>
      <c r="C1412">
        <v>6</v>
      </c>
      <c r="D1412" t="s">
        <v>7358</v>
      </c>
      <c r="E1412" t="s">
        <v>3379</v>
      </c>
      <c r="F1412" t="s">
        <v>3793</v>
      </c>
      <c r="G1412" t="s">
        <v>7406</v>
      </c>
      <c r="H1412" t="s">
        <v>3794</v>
      </c>
      <c r="I1412" t="s">
        <v>228</v>
      </c>
      <c r="J1412" t="s">
        <v>7703</v>
      </c>
      <c r="K1412" t="s">
        <v>7684</v>
      </c>
      <c r="L1412" t="s">
        <v>7820</v>
      </c>
      <c r="N1412" t="str" cm="1">
        <f t="array" ref="N1412">IFERROR(LOOKUP(2,1/SEARCH($S$2:$S$65,G1412),$T$2:$T$65),"Misc")</f>
        <v>COTS</v>
      </c>
      <c r="O1412" t="str" cm="1">
        <f t="array" ref="O1412">IFERROR(LOOKUP(2,1/SEARCH($V$2:$V$65,G1412),$W$2:$W$65),"Misc")</f>
        <v>Fasteners</v>
      </c>
      <c r="P1412" t="str" cm="1">
        <f t="array" ref="P1412">IFERROR(LOOKUP(2,1/SEARCH($Y$2:$Y$65,G1412),$Z$2:$Z$65),"Not Defined")</f>
        <v>FHCS</v>
      </c>
      <c r="Q1412" t="str" cm="1">
        <f t="array" ref="Q1412">IFERROR(LOOKUP(2,1/SEARCH($S$2:$S$65,H1412),$T$2:$T$65),"-")</f>
        <v>COTS</v>
      </c>
    </row>
    <row r="1413" spans="1:17" hidden="1" x14ac:dyDescent="0.25">
      <c r="A1413" t="s">
        <v>7674</v>
      </c>
      <c r="B1413" s="2" t="s">
        <v>3795</v>
      </c>
      <c r="C1413">
        <v>16</v>
      </c>
      <c r="D1413" t="s">
        <v>7358</v>
      </c>
      <c r="E1413" t="s">
        <v>3379</v>
      </c>
      <c r="F1413" t="s">
        <v>3796</v>
      </c>
      <c r="G1413" t="s">
        <v>7407</v>
      </c>
      <c r="H1413" t="s">
        <v>3797</v>
      </c>
      <c r="I1413" t="s">
        <v>228</v>
      </c>
      <c r="J1413" t="s">
        <v>7703</v>
      </c>
      <c r="K1413" t="s">
        <v>7684</v>
      </c>
      <c r="L1413" t="s">
        <v>7820</v>
      </c>
      <c r="N1413" t="str" cm="1">
        <f t="array" ref="N1413">IFERROR(LOOKUP(2,1/SEARCH($S$2:$S$65,G1413),$T$2:$T$65),"Misc")</f>
        <v>COTS</v>
      </c>
      <c r="O1413" t="str" cm="1">
        <f t="array" ref="O1413">IFERROR(LOOKUP(2,1/SEARCH($V$2:$V$65,G1413),$W$2:$W$65),"Misc")</f>
        <v>Fasteners</v>
      </c>
      <c r="P1413" t="str" cm="1">
        <f t="array" ref="P1413">IFERROR(LOOKUP(2,1/SEARCH($Y$2:$Y$65,G1413),$Z$2:$Z$65),"Not Defined")</f>
        <v>FHCS</v>
      </c>
      <c r="Q1413" t="str" cm="1">
        <f t="array" ref="Q1413">IFERROR(LOOKUP(2,1/SEARCH($S$2:$S$65,H1413),$T$2:$T$65),"-")</f>
        <v>COTS</v>
      </c>
    </row>
    <row r="1414" spans="1:17" hidden="1" x14ac:dyDescent="0.25">
      <c r="A1414" t="s">
        <v>7674</v>
      </c>
      <c r="B1414" s="2" t="s">
        <v>3798</v>
      </c>
      <c r="C1414">
        <v>10</v>
      </c>
      <c r="D1414" t="s">
        <v>7358</v>
      </c>
      <c r="E1414" t="s">
        <v>3379</v>
      </c>
      <c r="F1414" t="s">
        <v>3663</v>
      </c>
      <c r="G1414" t="s">
        <v>7392</v>
      </c>
      <c r="H1414" t="s">
        <v>3664</v>
      </c>
      <c r="I1414" t="s">
        <v>228</v>
      </c>
      <c r="J1414" t="s">
        <v>7703</v>
      </c>
      <c r="K1414" t="s">
        <v>7684</v>
      </c>
      <c r="L1414" t="s">
        <v>7692</v>
      </c>
      <c r="N1414" t="str" cm="1">
        <f t="array" ref="N1414">IFERROR(LOOKUP(2,1/SEARCH($S$2:$S$65,G1414),$T$2:$T$65),"Misc")</f>
        <v>COTS</v>
      </c>
      <c r="O1414" t="str" cm="1">
        <f t="array" ref="O1414">IFERROR(LOOKUP(2,1/SEARCH($V$2:$V$65,G1414),$W$2:$W$65),"Misc")</f>
        <v>Fasteners</v>
      </c>
      <c r="P1414" t="str" cm="1">
        <f t="array" ref="P1414">IFERROR(LOOKUP(2,1/SEARCH($Y$2:$Y$65,G1414),$Z$2:$Z$65),"Not Defined")</f>
        <v>WASHER</v>
      </c>
      <c r="Q1414" t="str" cm="1">
        <f t="array" ref="Q1414">IFERROR(LOOKUP(2,1/SEARCH($S$2:$S$65,H1414),$T$2:$T$65),"-")</f>
        <v>COTS</v>
      </c>
    </row>
    <row r="1415" spans="1:17" hidden="1" x14ac:dyDescent="0.25">
      <c r="A1415" t="s">
        <v>7674</v>
      </c>
      <c r="B1415" s="2" t="s">
        <v>3799</v>
      </c>
      <c r="C1415">
        <v>10</v>
      </c>
      <c r="D1415" t="s">
        <v>7358</v>
      </c>
      <c r="E1415" t="s">
        <v>3379</v>
      </c>
      <c r="F1415" t="s">
        <v>3669</v>
      </c>
      <c r="G1415" t="s">
        <v>7394</v>
      </c>
      <c r="H1415" t="s">
        <v>3670</v>
      </c>
      <c r="I1415" t="s">
        <v>228</v>
      </c>
      <c r="J1415" t="s">
        <v>7703</v>
      </c>
      <c r="K1415" t="s">
        <v>7684</v>
      </c>
      <c r="L1415" t="s">
        <v>7685</v>
      </c>
      <c r="N1415" t="str" cm="1">
        <f t="array" ref="N1415">IFERROR(LOOKUP(2,1/SEARCH($S$2:$S$65,G1415),$T$2:$T$65),"Misc")</f>
        <v>COTS</v>
      </c>
      <c r="O1415" t="str" cm="1">
        <f t="array" ref="O1415">IFERROR(LOOKUP(2,1/SEARCH($V$2:$V$65,G1415),$W$2:$W$65),"Misc")</f>
        <v>Fasteners</v>
      </c>
      <c r="P1415" t="str" cm="1">
        <f t="array" ref="P1415">IFERROR(LOOKUP(2,1/SEARCH($Y$2:$Y$65,G1415),$Z$2:$Z$65),"Not Defined")</f>
        <v>NUT</v>
      </c>
      <c r="Q1415" t="str" cm="1">
        <f t="array" ref="Q1415">IFERROR(LOOKUP(2,1/SEARCH($S$2:$S$65,H1415),$T$2:$T$65),"-")</f>
        <v>COTS</v>
      </c>
    </row>
    <row r="1416" spans="1:17" hidden="1" x14ac:dyDescent="0.25">
      <c r="A1416" t="s">
        <v>7674</v>
      </c>
      <c r="B1416" s="2" t="s">
        <v>3800</v>
      </c>
      <c r="C1416">
        <v>2</v>
      </c>
      <c r="D1416" t="s">
        <v>7358</v>
      </c>
      <c r="E1416" t="s">
        <v>3379</v>
      </c>
      <c r="F1416" t="s">
        <v>3801</v>
      </c>
      <c r="G1416" t="s">
        <v>7408</v>
      </c>
      <c r="H1416" t="s">
        <v>3802</v>
      </c>
      <c r="I1416" t="s">
        <v>228</v>
      </c>
      <c r="J1416" t="s">
        <v>7703</v>
      </c>
      <c r="K1416" t="s">
        <v>7684</v>
      </c>
      <c r="L1416" t="s">
        <v>7819</v>
      </c>
      <c r="N1416" t="str" cm="1">
        <f t="array" ref="N1416">IFERROR(LOOKUP(2,1/SEARCH($S$2:$S$65,G1416),$T$2:$T$65),"Misc")</f>
        <v>COTS</v>
      </c>
      <c r="O1416" t="str" cm="1">
        <f t="array" ref="O1416">IFERROR(LOOKUP(2,1/SEARCH($V$2:$V$65,G1416),$W$2:$W$65),"Misc")</f>
        <v>Fasteners</v>
      </c>
      <c r="P1416" t="str" cm="1">
        <f t="array" ref="P1416">IFERROR(LOOKUP(2,1/SEARCH($Y$2:$Y$65,G1416),$Z$2:$Z$65),"Not Defined")</f>
        <v>HHS</v>
      </c>
      <c r="Q1416" t="str" cm="1">
        <f t="array" ref="Q1416">IFERROR(LOOKUP(2,1/SEARCH($S$2:$S$65,H1416),$T$2:$T$65),"-")</f>
        <v>COTS</v>
      </c>
    </row>
    <row r="1417" spans="1:17" hidden="1" x14ac:dyDescent="0.25">
      <c r="A1417" t="s">
        <v>7674</v>
      </c>
      <c r="B1417" s="2" t="s">
        <v>3803</v>
      </c>
      <c r="C1417">
        <v>2</v>
      </c>
      <c r="D1417" t="s">
        <v>7358</v>
      </c>
      <c r="E1417" t="s">
        <v>3379</v>
      </c>
      <c r="F1417" t="s">
        <v>3681</v>
      </c>
      <c r="G1417" t="s">
        <v>7395</v>
      </c>
      <c r="H1417" t="s">
        <v>3682</v>
      </c>
      <c r="I1417" t="s">
        <v>228</v>
      </c>
      <c r="J1417" t="s">
        <v>7703</v>
      </c>
      <c r="K1417" t="s">
        <v>7684</v>
      </c>
      <c r="L1417" t="s">
        <v>7685</v>
      </c>
      <c r="N1417" t="str" cm="1">
        <f t="array" ref="N1417">IFERROR(LOOKUP(2,1/SEARCH($S$2:$S$65,G1417),$T$2:$T$65),"Misc")</f>
        <v>COTS</v>
      </c>
      <c r="O1417" t="str" cm="1">
        <f t="array" ref="O1417">IFERROR(LOOKUP(2,1/SEARCH($V$2:$V$65,G1417),$W$2:$W$65),"Misc")</f>
        <v>Fasteners</v>
      </c>
      <c r="P1417" t="str" cm="1">
        <f t="array" ref="P1417">IFERROR(LOOKUP(2,1/SEARCH($Y$2:$Y$65,G1417),$Z$2:$Z$65),"Not Defined")</f>
        <v>NUT</v>
      </c>
      <c r="Q1417" t="str" cm="1">
        <f t="array" ref="Q1417">IFERROR(LOOKUP(2,1/SEARCH($S$2:$S$65,H1417),$T$2:$T$65),"-")</f>
        <v>COTS</v>
      </c>
    </row>
    <row r="1418" spans="1:17" hidden="1" x14ac:dyDescent="0.25">
      <c r="A1418" t="s">
        <v>7674</v>
      </c>
      <c r="B1418" s="2" t="s">
        <v>3804</v>
      </c>
      <c r="C1418">
        <v>1</v>
      </c>
      <c r="D1418" t="s">
        <v>7358</v>
      </c>
      <c r="E1418" t="s">
        <v>3379</v>
      </c>
      <c r="F1418" t="s">
        <v>3525</v>
      </c>
      <c r="G1418" t="s">
        <v>7376</v>
      </c>
      <c r="H1418" t="s">
        <v>3526</v>
      </c>
      <c r="I1418" t="s">
        <v>255</v>
      </c>
      <c r="J1418" t="s">
        <v>7717</v>
      </c>
      <c r="K1418" t="s">
        <v>7717</v>
      </c>
      <c r="L1418" t="s">
        <v>7717</v>
      </c>
      <c r="N1418" t="str" cm="1">
        <f t="array" ref="N1418">IFERROR(LOOKUP(2,1/SEARCH($S$2:$S$65,G1418),$T$2:$T$65),"Misc")</f>
        <v>ABSIS</v>
      </c>
      <c r="O1418" t="str" cm="1">
        <f t="array" ref="O1418">IFERROR(LOOKUP(2,1/SEARCH($V$2:$V$65,G1418),$W$2:$W$65),"Misc")</f>
        <v>ABSIS</v>
      </c>
      <c r="P1418" t="str" cm="1">
        <f t="array" ref="P1418">IFERROR(LOOKUP(2,1/SEARCH($Y$2:$Y$65,G1418),$Z$2:$Z$65),"Not Defined")</f>
        <v>ABSIS</v>
      </c>
      <c r="Q1418" t="str" cm="1">
        <f t="array" ref="Q1418">IFERROR(LOOKUP(2,1/SEARCH($S$2:$S$65,H1418),$T$2:$T$65),"-")</f>
        <v>ABSIS</v>
      </c>
    </row>
    <row r="1419" spans="1:17" hidden="1" x14ac:dyDescent="0.25">
      <c r="A1419" t="s">
        <v>7674</v>
      </c>
      <c r="B1419" s="2" t="s">
        <v>3805</v>
      </c>
      <c r="C1419">
        <v>1</v>
      </c>
      <c r="D1419" t="s">
        <v>7358</v>
      </c>
      <c r="E1419" t="s">
        <v>3379</v>
      </c>
      <c r="F1419" t="s">
        <v>3806</v>
      </c>
      <c r="G1419" t="s">
        <v>3808</v>
      </c>
      <c r="H1419" t="s">
        <v>3807</v>
      </c>
      <c r="I1419" t="s">
        <v>13</v>
      </c>
      <c r="J1419" t="s">
        <v>7682</v>
      </c>
      <c r="K1419" t="s">
        <v>7826</v>
      </c>
      <c r="L1419" t="s">
        <v>7826</v>
      </c>
      <c r="N1419" t="str" cm="1">
        <f t="array" ref="N1419">IFERROR(LOOKUP(2,1/SEARCH($S$2:$S$65,G1419),$T$2:$T$65),"Misc")</f>
        <v>OH P/N</v>
      </c>
      <c r="O1419" t="str" cm="1">
        <f t="array" ref="O1419">IFERROR(LOOKUP(2,1/SEARCH($V$2:$V$65,G1419),$W$2:$W$65),"Misc")</f>
        <v>OH Part</v>
      </c>
      <c r="P1419" t="str" cm="1">
        <f t="array" ref="P1419">IFERROR(LOOKUP(2,1/SEARCH($Y$2:$Y$65,G1419),$Z$2:$Z$65),"Not Defined")</f>
        <v>OH Part</v>
      </c>
      <c r="Q1419" t="str" cm="1">
        <f t="array" ref="Q1419">IFERROR(LOOKUP(2,1/SEARCH($S$2:$S$65,H1419),$T$2:$T$65),"-")</f>
        <v>COTS</v>
      </c>
    </row>
    <row r="1420" spans="1:17" hidden="1" x14ac:dyDescent="0.25">
      <c r="A1420" t="s">
        <v>7674</v>
      </c>
      <c r="B1420" s="2" t="s">
        <v>3809</v>
      </c>
      <c r="C1420">
        <v>1</v>
      </c>
      <c r="D1420" t="s">
        <v>7358</v>
      </c>
      <c r="E1420" t="s">
        <v>3379</v>
      </c>
      <c r="F1420" t="s">
        <v>3518</v>
      </c>
      <c r="G1420" t="s">
        <v>7375</v>
      </c>
      <c r="H1420" t="s">
        <v>3519</v>
      </c>
      <c r="I1420" t="s">
        <v>255</v>
      </c>
      <c r="J1420" t="s">
        <v>7703</v>
      </c>
      <c r="K1420" t="s">
        <v>7814</v>
      </c>
      <c r="L1420" t="s">
        <v>7702</v>
      </c>
      <c r="N1420" t="str" cm="1">
        <f t="array" ref="N1420">IFERROR(LOOKUP(2,1/SEARCH($S$2:$S$65,G1420),$T$2:$T$65),"Misc")</f>
        <v>COTS</v>
      </c>
      <c r="O1420" t="str" cm="1">
        <f t="array" ref="O1420">IFERROR(LOOKUP(2,1/SEARCH($V$2:$V$65,G1420),$W$2:$W$65),"Misc")</f>
        <v>Misc</v>
      </c>
      <c r="P1420" t="str" cm="1">
        <f t="array" ref="P1420">IFERROR(LOOKUP(2,1/SEARCH($Y$2:$Y$65,G1420),$Z$2:$Z$65),"Not Defined")</f>
        <v>MAGNET</v>
      </c>
      <c r="Q1420" t="str" cm="1">
        <f t="array" ref="Q1420">IFERROR(LOOKUP(2,1/SEARCH($S$2:$S$65,H1420),$T$2:$T$65),"-")</f>
        <v>COTS</v>
      </c>
    </row>
    <row r="1421" spans="1:17" hidden="1" x14ac:dyDescent="0.25">
      <c r="A1421" t="s">
        <v>7674</v>
      </c>
      <c r="B1421" s="2" t="s">
        <v>3810</v>
      </c>
      <c r="C1421">
        <v>6</v>
      </c>
      <c r="D1421" t="s">
        <v>7358</v>
      </c>
      <c r="E1421" t="s">
        <v>3379</v>
      </c>
      <c r="F1421" t="s">
        <v>3535</v>
      </c>
      <c r="G1421" t="s">
        <v>7378</v>
      </c>
      <c r="H1421" t="s">
        <v>3536</v>
      </c>
      <c r="I1421" t="s">
        <v>228</v>
      </c>
      <c r="J1421" t="s">
        <v>7703</v>
      </c>
      <c r="K1421" t="s">
        <v>7684</v>
      </c>
      <c r="L1421" t="s">
        <v>7739</v>
      </c>
      <c r="N1421" t="str" cm="1">
        <f t="array" ref="N1421">IFERROR(LOOKUP(2,1/SEARCH($S$2:$S$65,G1421),$T$2:$T$65),"Misc")</f>
        <v>COTS</v>
      </c>
      <c r="O1421" t="str" cm="1">
        <f t="array" ref="O1421">IFERROR(LOOKUP(2,1/SEARCH($V$2:$V$65,G1421),$W$2:$W$65),"Misc")</f>
        <v>Fasteners</v>
      </c>
      <c r="P1421" t="str" cm="1">
        <f t="array" ref="P1421">IFERROR(LOOKUP(2,1/SEARCH($Y$2:$Y$65,G1421),$Z$2:$Z$65),"Not Defined")</f>
        <v>BHCS</v>
      </c>
      <c r="Q1421" t="str" cm="1">
        <f t="array" ref="Q1421">IFERROR(LOOKUP(2,1/SEARCH($S$2:$S$65,H1421),$T$2:$T$65),"-")</f>
        <v>COTS</v>
      </c>
    </row>
    <row r="1422" spans="1:17" hidden="1" x14ac:dyDescent="0.25">
      <c r="A1422" t="s">
        <v>7674</v>
      </c>
      <c r="B1422" s="2" t="s">
        <v>3811</v>
      </c>
      <c r="C1422">
        <v>4</v>
      </c>
      <c r="D1422" t="s">
        <v>7358</v>
      </c>
      <c r="E1422" t="s">
        <v>3379</v>
      </c>
      <c r="F1422" t="s">
        <v>3532</v>
      </c>
      <c r="G1422" t="s">
        <v>7377</v>
      </c>
      <c r="H1422" t="s">
        <v>3533</v>
      </c>
      <c r="I1422" t="s">
        <v>224</v>
      </c>
      <c r="J1422" t="s">
        <v>7703</v>
      </c>
      <c r="K1422" t="s">
        <v>7684</v>
      </c>
      <c r="L1422" t="s">
        <v>7685</v>
      </c>
      <c r="N1422" t="str" cm="1">
        <f t="array" ref="N1422">IFERROR(LOOKUP(2,1/SEARCH($S$2:$S$65,G1422),$T$2:$T$65),"Misc")</f>
        <v>COTS</v>
      </c>
      <c r="O1422" t="str" cm="1">
        <f t="array" ref="O1422">IFERROR(LOOKUP(2,1/SEARCH($V$2:$V$65,G1422),$W$2:$W$65),"Misc")</f>
        <v>Fasteners</v>
      </c>
      <c r="P1422" t="str" cm="1">
        <f t="array" ref="P1422">IFERROR(LOOKUP(2,1/SEARCH($Y$2:$Y$65,G1422),$Z$2:$Z$65),"Not Defined")</f>
        <v>NUT</v>
      </c>
      <c r="Q1422" t="str" cm="1">
        <f t="array" ref="Q1422">IFERROR(LOOKUP(2,1/SEARCH($S$2:$S$65,H1422),$T$2:$T$65),"-")</f>
        <v>COTS</v>
      </c>
    </row>
    <row r="1423" spans="1:17" hidden="1" x14ac:dyDescent="0.25">
      <c r="A1423" t="s">
        <v>7674</v>
      </c>
      <c r="B1423" s="2" t="s">
        <v>3812</v>
      </c>
      <c r="C1423">
        <v>1</v>
      </c>
      <c r="D1423" t="s">
        <v>7358</v>
      </c>
      <c r="E1423" t="s">
        <v>7911</v>
      </c>
      <c r="F1423" t="s">
        <v>3813</v>
      </c>
      <c r="G1423" t="s">
        <v>7409</v>
      </c>
      <c r="H1423" t="s">
        <v>3814</v>
      </c>
      <c r="I1423" t="s">
        <v>255</v>
      </c>
      <c r="J1423" t="s">
        <v>7742</v>
      </c>
      <c r="K1423" t="s">
        <v>7826</v>
      </c>
      <c r="L1423" t="s">
        <v>7826</v>
      </c>
      <c r="N1423" t="str" cm="1">
        <f t="array" ref="N1423">IFERROR(LOOKUP(2,1/SEARCH($S$2:$S$65,G1423),$T$2:$T$65),"Misc")</f>
        <v>OH ASSY</v>
      </c>
      <c r="O1423" t="str" cm="1">
        <f t="array" ref="O1423">IFERROR(LOOKUP(2,1/SEARCH($V$2:$V$65,G1423),$W$2:$W$65),"Misc")</f>
        <v>OH Part</v>
      </c>
      <c r="P1423" t="str" cm="1">
        <f t="array" ref="P1423">IFERROR(LOOKUP(2,1/SEARCH($Y$2:$Y$65,G1423),$Z$2:$Z$65),"Not Defined")</f>
        <v>OH Part</v>
      </c>
      <c r="Q1423" t="str" cm="1">
        <f t="array" ref="Q1423">IFERROR(LOOKUP(2,1/SEARCH($S$2:$S$65,H1423),$T$2:$T$65),"-")</f>
        <v>OH ASSY</v>
      </c>
    </row>
    <row r="1424" spans="1:17" hidden="1" x14ac:dyDescent="0.25">
      <c r="A1424" t="s">
        <v>7674</v>
      </c>
      <c r="B1424" s="2" t="s">
        <v>3815</v>
      </c>
      <c r="C1424">
        <v>1</v>
      </c>
      <c r="D1424" t="s">
        <v>7358</v>
      </c>
      <c r="E1424" t="s">
        <v>7911</v>
      </c>
      <c r="F1424" t="s">
        <v>3816</v>
      </c>
      <c r="G1424" t="s">
        <v>7410</v>
      </c>
      <c r="H1424" t="s">
        <v>3817</v>
      </c>
      <c r="I1424" t="s">
        <v>255</v>
      </c>
      <c r="J1424" t="s">
        <v>7682</v>
      </c>
      <c r="K1424" t="s">
        <v>7826</v>
      </c>
      <c r="L1424" t="s">
        <v>7826</v>
      </c>
      <c r="N1424" t="str" cm="1">
        <f t="array" ref="N1424">IFERROR(LOOKUP(2,1/SEARCH($S$2:$S$65,G1424),$T$2:$T$65),"Misc")</f>
        <v>OH P/N</v>
      </c>
      <c r="O1424" t="str" cm="1">
        <f t="array" ref="O1424">IFERROR(LOOKUP(2,1/SEARCH($V$2:$V$65,G1424),$W$2:$W$65),"Misc")</f>
        <v>OH Part</v>
      </c>
      <c r="P1424" t="str" cm="1">
        <f t="array" ref="P1424">IFERROR(LOOKUP(2,1/SEARCH($Y$2:$Y$65,G1424),$Z$2:$Z$65),"Not Defined")</f>
        <v>OH Part</v>
      </c>
      <c r="Q1424" t="str" cm="1">
        <f t="array" ref="Q1424">IFERROR(LOOKUP(2,1/SEARCH($S$2:$S$65,H1424),$T$2:$T$65),"-")</f>
        <v>-</v>
      </c>
    </row>
    <row r="1425" spans="1:17" hidden="1" x14ac:dyDescent="0.25">
      <c r="A1425" t="s">
        <v>7674</v>
      </c>
      <c r="B1425" s="2" t="s">
        <v>3818</v>
      </c>
      <c r="C1425">
        <v>1</v>
      </c>
      <c r="D1425" t="s">
        <v>7358</v>
      </c>
      <c r="E1425" t="s">
        <v>7911</v>
      </c>
      <c r="F1425" t="s">
        <v>596</v>
      </c>
      <c r="G1425" t="s">
        <v>7108</v>
      </c>
      <c r="H1425" t="s">
        <v>597</v>
      </c>
      <c r="I1425" t="s">
        <v>255</v>
      </c>
      <c r="J1425" t="s">
        <v>7703</v>
      </c>
      <c r="K1425" t="s">
        <v>7713</v>
      </c>
      <c r="L1425" t="s">
        <v>7713</v>
      </c>
      <c r="N1425" t="str" cm="1">
        <f t="array" ref="N1425">IFERROR(LOOKUP(2,1/SEARCH($S$2:$S$65,G1425),$T$2:$T$65),"Misc")</f>
        <v>COTS</v>
      </c>
      <c r="O1425" t="str" cm="1">
        <f t="array" ref="O1425">IFERROR(LOOKUP(2,1/SEARCH($V$2:$V$65,G1425),$W$2:$W$65),"Misc")</f>
        <v>ARDUINO</v>
      </c>
      <c r="P1425" t="str" cm="1">
        <f t="array" ref="P1425">IFERROR(LOOKUP(2,1/SEARCH($Y$2:$Y$65,G1425),$Z$2:$Z$65),"Not Defined")</f>
        <v>ARDUINO</v>
      </c>
      <c r="Q1425" t="str" cm="1">
        <f t="array" ref="Q1425">IFERROR(LOOKUP(2,1/SEARCH($S$2:$S$65,H1425),$T$2:$T$65),"-")</f>
        <v>COTS</v>
      </c>
    </row>
    <row r="1426" spans="1:17" hidden="1" x14ac:dyDescent="0.25">
      <c r="A1426" t="s">
        <v>7674</v>
      </c>
      <c r="B1426" s="2" t="s">
        <v>3819</v>
      </c>
      <c r="C1426">
        <v>1</v>
      </c>
      <c r="D1426" t="s">
        <v>7358</v>
      </c>
      <c r="E1426" t="s">
        <v>3379</v>
      </c>
      <c r="F1426" t="s">
        <v>3820</v>
      </c>
      <c r="G1426" t="s">
        <v>3822</v>
      </c>
      <c r="H1426" t="s">
        <v>3821</v>
      </c>
      <c r="I1426" t="s">
        <v>13</v>
      </c>
      <c r="J1426" t="s">
        <v>7682</v>
      </c>
      <c r="K1426" t="s">
        <v>7826</v>
      </c>
      <c r="L1426" t="s">
        <v>7826</v>
      </c>
      <c r="N1426" t="str" cm="1">
        <f t="array" ref="N1426">IFERROR(LOOKUP(2,1/SEARCH($S$2:$S$65,G1426),$T$2:$T$65),"Misc")</f>
        <v>OH P/N</v>
      </c>
      <c r="O1426" t="str" cm="1">
        <f t="array" ref="O1426">IFERROR(LOOKUP(2,1/SEARCH($V$2:$V$65,G1426),$W$2:$W$65),"Misc")</f>
        <v>OH Part</v>
      </c>
      <c r="P1426" t="str" cm="1">
        <f t="array" ref="P1426">IFERROR(LOOKUP(2,1/SEARCH($Y$2:$Y$65,G1426),$Z$2:$Z$65),"Not Defined")</f>
        <v>OH Part</v>
      </c>
      <c r="Q1426" t="str" cm="1">
        <f t="array" ref="Q1426">IFERROR(LOOKUP(2,1/SEARCH($S$2:$S$65,H1426),$T$2:$T$65),"-")</f>
        <v>-</v>
      </c>
    </row>
    <row r="1427" spans="1:17" hidden="1" x14ac:dyDescent="0.25">
      <c r="A1427" t="s">
        <v>7674</v>
      </c>
      <c r="B1427" s="2" t="s">
        <v>3823</v>
      </c>
      <c r="C1427">
        <v>2</v>
      </c>
      <c r="D1427" t="s">
        <v>7358</v>
      </c>
      <c r="E1427" t="s">
        <v>3379</v>
      </c>
      <c r="F1427" t="s">
        <v>464</v>
      </c>
      <c r="G1427" t="s">
        <v>7091</v>
      </c>
      <c r="H1427" t="s">
        <v>465</v>
      </c>
      <c r="I1427" t="s">
        <v>224</v>
      </c>
      <c r="J1427" t="s">
        <v>7703</v>
      </c>
      <c r="K1427" t="s">
        <v>7684</v>
      </c>
      <c r="L1427" t="s">
        <v>7685</v>
      </c>
      <c r="N1427" t="str" cm="1">
        <f t="array" ref="N1427">IFERROR(LOOKUP(2,1/SEARCH($S$2:$S$65,G1427),$T$2:$T$65),"Misc")</f>
        <v>COTS</v>
      </c>
      <c r="O1427" t="str" cm="1">
        <f t="array" ref="O1427">IFERROR(LOOKUP(2,1/SEARCH($V$2:$V$65,G1427),$W$2:$W$65),"Misc")</f>
        <v>Fasteners</v>
      </c>
      <c r="P1427" t="str" cm="1">
        <f t="array" ref="P1427">IFERROR(LOOKUP(2,1/SEARCH($Y$2:$Y$65,G1427),$Z$2:$Z$65),"Not Defined")</f>
        <v>NUT</v>
      </c>
      <c r="Q1427" t="str" cm="1">
        <f t="array" ref="Q1427">IFERROR(LOOKUP(2,1/SEARCH($S$2:$S$65,H1427),$T$2:$T$65),"-")</f>
        <v>COTS</v>
      </c>
    </row>
    <row r="1428" spans="1:17" hidden="1" x14ac:dyDescent="0.25">
      <c r="A1428" t="s">
        <v>7674</v>
      </c>
      <c r="B1428" s="24" t="s">
        <v>3824</v>
      </c>
      <c r="C1428">
        <v>1</v>
      </c>
      <c r="D1428" t="s">
        <v>7358</v>
      </c>
      <c r="E1428" t="s">
        <v>3826</v>
      </c>
      <c r="F1428" t="s">
        <v>3825</v>
      </c>
      <c r="G1428" t="s">
        <v>7411</v>
      </c>
      <c r="H1428" t="s">
        <v>3826</v>
      </c>
      <c r="J1428" t="s">
        <v>7742</v>
      </c>
      <c r="K1428" t="s">
        <v>7826</v>
      </c>
      <c r="L1428" t="s">
        <v>7826</v>
      </c>
      <c r="N1428" t="str" cm="1">
        <f t="array" ref="N1428">IFERROR(LOOKUP(2,1/SEARCH($S$2:$S$65,G1428),$T$2:$T$65),"Misc")</f>
        <v>OH ASSY</v>
      </c>
      <c r="O1428" t="str" cm="1">
        <f t="array" ref="O1428">IFERROR(LOOKUP(2,1/SEARCH($V$2:$V$65,G1428),$W$2:$W$65),"Misc")</f>
        <v>OH Part</v>
      </c>
      <c r="P1428" t="str" cm="1">
        <f t="array" ref="P1428">IFERROR(LOOKUP(2,1/SEARCH($Y$2:$Y$65,G1428),$Z$2:$Z$65),"Not Defined")</f>
        <v>OH Part</v>
      </c>
      <c r="Q1428" t="str" cm="1">
        <f t="array" ref="Q1428">IFERROR(LOOKUP(2,1/SEARCH($S$2:$S$65,H1428),$T$2:$T$65),"-")</f>
        <v>OH ASSY</v>
      </c>
    </row>
    <row r="1429" spans="1:17" hidden="1" x14ac:dyDescent="0.25">
      <c r="A1429" t="s">
        <v>7674</v>
      </c>
      <c r="B1429" s="24" t="s">
        <v>3827</v>
      </c>
      <c r="C1429">
        <v>1</v>
      </c>
      <c r="D1429" t="s">
        <v>7358</v>
      </c>
      <c r="E1429" t="s">
        <v>3826</v>
      </c>
      <c r="F1429" t="s">
        <v>3828</v>
      </c>
      <c r="G1429" t="s">
        <v>3830</v>
      </c>
      <c r="H1429" t="s">
        <v>3829</v>
      </c>
      <c r="I1429" t="s">
        <v>38</v>
      </c>
      <c r="J1429" t="s">
        <v>7682</v>
      </c>
      <c r="K1429" t="s">
        <v>7826</v>
      </c>
      <c r="L1429" t="s">
        <v>7826</v>
      </c>
      <c r="N1429" t="str" cm="1">
        <f t="array" ref="N1429">IFERROR(LOOKUP(2,1/SEARCH($S$2:$S$65,G1429),$T$2:$T$65),"Misc")</f>
        <v>OH P/N</v>
      </c>
      <c r="O1429" t="str" cm="1">
        <f t="array" ref="O1429">IFERROR(LOOKUP(2,1/SEARCH($V$2:$V$65,G1429),$W$2:$W$65),"Misc")</f>
        <v>OH Part</v>
      </c>
      <c r="P1429" t="str" cm="1">
        <f t="array" ref="P1429">IFERROR(LOOKUP(2,1/SEARCH($Y$2:$Y$65,G1429),$Z$2:$Z$65),"Not Defined")</f>
        <v>OH Part</v>
      </c>
      <c r="Q1429" t="str" cm="1">
        <f t="array" ref="Q1429">IFERROR(LOOKUP(2,1/SEARCH($S$2:$S$65,H1429),$T$2:$T$65),"-")</f>
        <v>-</v>
      </c>
    </row>
    <row r="1430" spans="1:17" hidden="1" x14ac:dyDescent="0.25">
      <c r="A1430" t="s">
        <v>7674</v>
      </c>
      <c r="B1430" s="24" t="s">
        <v>3831</v>
      </c>
      <c r="C1430">
        <v>2</v>
      </c>
      <c r="D1430" t="s">
        <v>7358</v>
      </c>
      <c r="E1430" t="s">
        <v>3826</v>
      </c>
      <c r="F1430" t="s">
        <v>3832</v>
      </c>
      <c r="G1430" t="s">
        <v>3834</v>
      </c>
      <c r="H1430" t="s">
        <v>3833</v>
      </c>
      <c r="I1430" t="s">
        <v>299</v>
      </c>
      <c r="J1430" t="s">
        <v>7682</v>
      </c>
      <c r="K1430" t="s">
        <v>7826</v>
      </c>
      <c r="L1430" t="s">
        <v>7826</v>
      </c>
      <c r="N1430" t="str" cm="1">
        <f t="array" ref="N1430">IFERROR(LOOKUP(2,1/SEARCH($S$2:$S$65,G1430),$T$2:$T$65),"Misc")</f>
        <v>OH P/N</v>
      </c>
      <c r="O1430" t="str" cm="1">
        <f t="array" ref="O1430">IFERROR(LOOKUP(2,1/SEARCH($V$2:$V$65,G1430),$W$2:$W$65),"Misc")</f>
        <v>OH Part</v>
      </c>
      <c r="P1430" t="str" cm="1">
        <f t="array" ref="P1430">IFERROR(LOOKUP(2,1/SEARCH($Y$2:$Y$65,G1430),$Z$2:$Z$65),"Not Defined")</f>
        <v>OH Part</v>
      </c>
      <c r="Q1430" t="str" cm="1">
        <f t="array" ref="Q1430">IFERROR(LOOKUP(2,1/SEARCH($S$2:$S$65,H1430),$T$2:$T$65),"-")</f>
        <v>-</v>
      </c>
    </row>
    <row r="1431" spans="1:17" hidden="1" x14ac:dyDescent="0.25">
      <c r="A1431" t="s">
        <v>7674</v>
      </c>
      <c r="B1431" s="24" t="s">
        <v>3835</v>
      </c>
      <c r="C1431">
        <v>1</v>
      </c>
      <c r="D1431" t="s">
        <v>7358</v>
      </c>
      <c r="E1431" t="s">
        <v>3826</v>
      </c>
      <c r="F1431" t="s">
        <v>3836</v>
      </c>
      <c r="G1431" t="s">
        <v>3838</v>
      </c>
      <c r="H1431" t="s">
        <v>3837</v>
      </c>
      <c r="I1431" t="s">
        <v>299</v>
      </c>
      <c r="J1431" t="s">
        <v>7682</v>
      </c>
      <c r="K1431" t="s">
        <v>7826</v>
      </c>
      <c r="L1431" t="s">
        <v>7826</v>
      </c>
      <c r="N1431" t="str" cm="1">
        <f t="array" ref="N1431">IFERROR(LOOKUP(2,1/SEARCH($S$2:$S$65,G1431),$T$2:$T$65),"Misc")</f>
        <v>OH P/N</v>
      </c>
      <c r="O1431" t="str" cm="1">
        <f t="array" ref="O1431">IFERROR(LOOKUP(2,1/SEARCH($V$2:$V$65,G1431),$W$2:$W$65),"Misc")</f>
        <v>OH Part</v>
      </c>
      <c r="P1431" t="str" cm="1">
        <f t="array" ref="P1431">IFERROR(LOOKUP(2,1/SEARCH($Y$2:$Y$65,G1431),$Z$2:$Z$65),"Not Defined")</f>
        <v>OH Part</v>
      </c>
      <c r="Q1431" t="str" cm="1">
        <f t="array" ref="Q1431">IFERROR(LOOKUP(2,1/SEARCH($S$2:$S$65,H1431),$T$2:$T$65),"-")</f>
        <v>-</v>
      </c>
    </row>
    <row r="1432" spans="1:17" hidden="1" x14ac:dyDescent="0.25">
      <c r="A1432" t="s">
        <v>7674</v>
      </c>
      <c r="B1432" s="24" t="s">
        <v>3839</v>
      </c>
      <c r="C1432">
        <v>10</v>
      </c>
      <c r="D1432" t="s">
        <v>7358</v>
      </c>
      <c r="E1432" t="s">
        <v>3826</v>
      </c>
      <c r="F1432" t="s">
        <v>3669</v>
      </c>
      <c r="G1432" t="s">
        <v>7394</v>
      </c>
      <c r="H1432" t="s">
        <v>3670</v>
      </c>
      <c r="I1432" t="s">
        <v>228</v>
      </c>
      <c r="J1432" t="s">
        <v>7703</v>
      </c>
      <c r="K1432" t="s">
        <v>7684</v>
      </c>
      <c r="L1432" t="s">
        <v>7685</v>
      </c>
      <c r="N1432" t="str" cm="1">
        <f t="array" ref="N1432">IFERROR(LOOKUP(2,1/SEARCH($S$2:$S$65,G1432),$T$2:$T$65),"Misc")</f>
        <v>COTS</v>
      </c>
      <c r="O1432" t="str" cm="1">
        <f t="array" ref="O1432">IFERROR(LOOKUP(2,1/SEARCH($V$2:$V$65,G1432),$W$2:$W$65),"Misc")</f>
        <v>Fasteners</v>
      </c>
      <c r="P1432" t="str" cm="1">
        <f t="array" ref="P1432">IFERROR(LOOKUP(2,1/SEARCH($Y$2:$Y$65,G1432),$Z$2:$Z$65),"Not Defined")</f>
        <v>NUT</v>
      </c>
      <c r="Q1432" t="str" cm="1">
        <f t="array" ref="Q1432">IFERROR(LOOKUP(2,1/SEARCH($S$2:$S$65,H1432),$T$2:$T$65),"-")</f>
        <v>COTS</v>
      </c>
    </row>
    <row r="1433" spans="1:17" hidden="1" x14ac:dyDescent="0.25">
      <c r="A1433" t="s">
        <v>7674</v>
      </c>
      <c r="B1433" s="24" t="s">
        <v>3840</v>
      </c>
      <c r="C1433">
        <v>10</v>
      </c>
      <c r="D1433" t="s">
        <v>7358</v>
      </c>
      <c r="E1433" t="s">
        <v>3826</v>
      </c>
      <c r="F1433" t="s">
        <v>3663</v>
      </c>
      <c r="G1433" t="s">
        <v>7392</v>
      </c>
      <c r="H1433" t="s">
        <v>3664</v>
      </c>
      <c r="I1433" t="s">
        <v>228</v>
      </c>
      <c r="J1433" t="s">
        <v>7703</v>
      </c>
      <c r="K1433" t="s">
        <v>7684</v>
      </c>
      <c r="L1433" t="s">
        <v>7692</v>
      </c>
      <c r="N1433" t="str" cm="1">
        <f t="array" ref="N1433">IFERROR(LOOKUP(2,1/SEARCH($S$2:$S$65,G1433),$T$2:$T$65),"Misc")</f>
        <v>COTS</v>
      </c>
      <c r="O1433" t="str" cm="1">
        <f t="array" ref="O1433">IFERROR(LOOKUP(2,1/SEARCH($V$2:$V$65,G1433),$W$2:$W$65),"Misc")</f>
        <v>Fasteners</v>
      </c>
      <c r="P1433" t="str" cm="1">
        <f t="array" ref="P1433">IFERROR(LOOKUP(2,1/SEARCH($Y$2:$Y$65,G1433),$Z$2:$Z$65),"Not Defined")</f>
        <v>WASHER</v>
      </c>
      <c r="Q1433" t="str" cm="1">
        <f t="array" ref="Q1433">IFERROR(LOOKUP(2,1/SEARCH($S$2:$S$65,H1433),$T$2:$T$65),"-")</f>
        <v>COTS</v>
      </c>
    </row>
    <row r="1434" spans="1:17" hidden="1" x14ac:dyDescent="0.25">
      <c r="A1434" t="s">
        <v>7674</v>
      </c>
      <c r="B1434" s="24" t="s">
        <v>3841</v>
      </c>
      <c r="C1434">
        <v>10</v>
      </c>
      <c r="D1434" t="s">
        <v>7358</v>
      </c>
      <c r="E1434" t="s">
        <v>3826</v>
      </c>
      <c r="F1434" t="s">
        <v>3796</v>
      </c>
      <c r="G1434" t="s">
        <v>7407</v>
      </c>
      <c r="H1434" t="s">
        <v>3797</v>
      </c>
      <c r="I1434" t="s">
        <v>228</v>
      </c>
      <c r="J1434" t="s">
        <v>7703</v>
      </c>
      <c r="K1434" t="s">
        <v>7684</v>
      </c>
      <c r="L1434" t="s">
        <v>7820</v>
      </c>
      <c r="N1434" t="str" cm="1">
        <f t="array" ref="N1434">IFERROR(LOOKUP(2,1/SEARCH($S$2:$S$65,G1434),$T$2:$T$65),"Misc")</f>
        <v>COTS</v>
      </c>
      <c r="O1434" t="str" cm="1">
        <f t="array" ref="O1434">IFERROR(LOOKUP(2,1/SEARCH($V$2:$V$65,G1434),$W$2:$W$65),"Misc")</f>
        <v>Fasteners</v>
      </c>
      <c r="P1434" t="str" cm="1">
        <f t="array" ref="P1434">IFERROR(LOOKUP(2,1/SEARCH($Y$2:$Y$65,G1434),$Z$2:$Z$65),"Not Defined")</f>
        <v>FHCS</v>
      </c>
      <c r="Q1434" t="str" cm="1">
        <f t="array" ref="Q1434">IFERROR(LOOKUP(2,1/SEARCH($S$2:$S$65,H1434),$T$2:$T$65),"-")</f>
        <v>COTS</v>
      </c>
    </row>
    <row r="1435" spans="1:17" hidden="1" x14ac:dyDescent="0.25">
      <c r="A1435" t="s">
        <v>7674</v>
      </c>
      <c r="B1435" s="2" t="s">
        <v>3842</v>
      </c>
      <c r="C1435">
        <v>2</v>
      </c>
      <c r="D1435" t="s">
        <v>7358</v>
      </c>
      <c r="E1435" t="s">
        <v>3844</v>
      </c>
      <c r="F1435" t="s">
        <v>3843</v>
      </c>
      <c r="G1435" t="s">
        <v>7412</v>
      </c>
      <c r="H1435" t="s">
        <v>3844</v>
      </c>
      <c r="J1435" t="s">
        <v>7742</v>
      </c>
      <c r="K1435" t="s">
        <v>7826</v>
      </c>
      <c r="L1435" t="s">
        <v>7826</v>
      </c>
      <c r="N1435" t="str" cm="1">
        <f t="array" ref="N1435">IFERROR(LOOKUP(2,1/SEARCH($S$2:$S$65,G1435),$T$2:$T$65),"Misc")</f>
        <v>OH ASSY</v>
      </c>
      <c r="O1435" t="str" cm="1">
        <f t="array" ref="O1435">IFERROR(LOOKUP(2,1/SEARCH($V$2:$V$65,G1435),$W$2:$W$65),"Misc")</f>
        <v>OH Part</v>
      </c>
      <c r="P1435" t="str" cm="1">
        <f t="array" ref="P1435">IFERROR(LOOKUP(2,1/SEARCH($Y$2:$Y$65,G1435),$Z$2:$Z$65),"Not Defined")</f>
        <v>OH Part</v>
      </c>
      <c r="Q1435" t="str" cm="1">
        <f t="array" ref="Q1435">IFERROR(LOOKUP(2,1/SEARCH($S$2:$S$65,H1435),$T$2:$T$65),"-")</f>
        <v>OH ASSY</v>
      </c>
    </row>
    <row r="1436" spans="1:17" hidden="1" x14ac:dyDescent="0.25">
      <c r="A1436" t="s">
        <v>7674</v>
      </c>
      <c r="B1436" s="2" t="s">
        <v>3845</v>
      </c>
      <c r="C1436">
        <v>2</v>
      </c>
      <c r="D1436" t="s">
        <v>7358</v>
      </c>
      <c r="E1436" t="s">
        <v>7912</v>
      </c>
      <c r="F1436" t="s">
        <v>3846</v>
      </c>
      <c r="G1436" t="s">
        <v>3848</v>
      </c>
      <c r="H1436" t="s">
        <v>3847</v>
      </c>
      <c r="J1436" t="s">
        <v>7742</v>
      </c>
      <c r="K1436" t="s">
        <v>7826</v>
      </c>
      <c r="L1436" t="s">
        <v>7826</v>
      </c>
      <c r="N1436" t="str" cm="1">
        <f t="array" ref="N1436">IFERROR(LOOKUP(2,1/SEARCH($S$2:$S$65,G1436),$T$2:$T$65),"Misc")</f>
        <v>OH ASSY</v>
      </c>
      <c r="O1436" t="str" cm="1">
        <f t="array" ref="O1436">IFERROR(LOOKUP(2,1/SEARCH($V$2:$V$65,G1436),$W$2:$W$65),"Misc")</f>
        <v>OH Part</v>
      </c>
      <c r="P1436" t="str" cm="1">
        <f t="array" ref="P1436">IFERROR(LOOKUP(2,1/SEARCH($Y$2:$Y$65,G1436),$Z$2:$Z$65),"Not Defined")</f>
        <v>OH Part</v>
      </c>
      <c r="Q1436" t="str" cm="1">
        <f t="array" ref="Q1436">IFERROR(LOOKUP(2,1/SEARCH($S$2:$S$65,H1436),$T$2:$T$65),"-")</f>
        <v>OH ASSY</v>
      </c>
    </row>
    <row r="1437" spans="1:17" hidden="1" x14ac:dyDescent="0.25">
      <c r="A1437" t="s">
        <v>7674</v>
      </c>
      <c r="B1437" s="2" t="s">
        <v>3849</v>
      </c>
      <c r="C1437">
        <v>1</v>
      </c>
      <c r="D1437" t="s">
        <v>7358</v>
      </c>
      <c r="E1437" t="s">
        <v>7912</v>
      </c>
      <c r="F1437" t="s">
        <v>3850</v>
      </c>
      <c r="G1437" t="s">
        <v>3852</v>
      </c>
      <c r="H1437" t="s">
        <v>3851</v>
      </c>
      <c r="I1437" t="s">
        <v>13</v>
      </c>
      <c r="J1437" t="s">
        <v>7682</v>
      </c>
      <c r="K1437" t="s">
        <v>7826</v>
      </c>
      <c r="L1437" t="s">
        <v>7826</v>
      </c>
      <c r="N1437" t="str" cm="1">
        <f t="array" ref="N1437">IFERROR(LOOKUP(2,1/SEARCH($S$2:$S$65,G1437),$T$2:$T$65),"Misc")</f>
        <v>OH P/N</v>
      </c>
      <c r="O1437" t="str" cm="1">
        <f t="array" ref="O1437">IFERROR(LOOKUP(2,1/SEARCH($V$2:$V$65,G1437),$W$2:$W$65),"Misc")</f>
        <v>OH Part</v>
      </c>
      <c r="P1437" t="str" cm="1">
        <f t="array" ref="P1437">IFERROR(LOOKUP(2,1/SEARCH($Y$2:$Y$65,G1437),$Z$2:$Z$65),"Not Defined")</f>
        <v>OH Part</v>
      </c>
      <c r="Q1437" t="str" cm="1">
        <f t="array" ref="Q1437">IFERROR(LOOKUP(2,1/SEARCH($S$2:$S$65,H1437),$T$2:$T$65),"-")</f>
        <v>COTS</v>
      </c>
    </row>
    <row r="1438" spans="1:17" hidden="1" x14ac:dyDescent="0.25">
      <c r="A1438" t="s">
        <v>7674</v>
      </c>
      <c r="B1438" s="2" t="s">
        <v>3853</v>
      </c>
      <c r="C1438">
        <v>1</v>
      </c>
      <c r="D1438" t="s">
        <v>7358</v>
      </c>
      <c r="E1438" t="s">
        <v>7912</v>
      </c>
      <c r="F1438" t="s">
        <v>3854</v>
      </c>
      <c r="G1438" t="s">
        <v>3856</v>
      </c>
      <c r="H1438" t="s">
        <v>3855</v>
      </c>
      <c r="I1438" t="s">
        <v>299</v>
      </c>
      <c r="J1438" t="s">
        <v>7682</v>
      </c>
      <c r="K1438" t="s">
        <v>7826</v>
      </c>
      <c r="L1438" t="s">
        <v>7826</v>
      </c>
      <c r="N1438" t="str" cm="1">
        <f t="array" ref="N1438">IFERROR(LOOKUP(2,1/SEARCH($S$2:$S$65,G1438),$T$2:$T$65),"Misc")</f>
        <v>OH P/N</v>
      </c>
      <c r="O1438" t="str" cm="1">
        <f t="array" ref="O1438">IFERROR(LOOKUP(2,1/SEARCH($V$2:$V$65,G1438),$W$2:$W$65),"Misc")</f>
        <v>OH Part</v>
      </c>
      <c r="P1438" t="str" cm="1">
        <f t="array" ref="P1438">IFERROR(LOOKUP(2,1/SEARCH($Y$2:$Y$65,G1438),$Z$2:$Z$65),"Not Defined")</f>
        <v>OH Part</v>
      </c>
      <c r="Q1438" t="str" cm="1">
        <f t="array" ref="Q1438">IFERROR(LOOKUP(2,1/SEARCH($S$2:$S$65,H1438),$T$2:$T$65),"-")</f>
        <v>COTS</v>
      </c>
    </row>
    <row r="1439" spans="1:17" hidden="1" x14ac:dyDescent="0.25">
      <c r="A1439" t="s">
        <v>7674</v>
      </c>
      <c r="B1439" s="2" t="s">
        <v>3857</v>
      </c>
      <c r="C1439">
        <v>2</v>
      </c>
      <c r="D1439" t="s">
        <v>7358</v>
      </c>
      <c r="E1439" t="s">
        <v>7912</v>
      </c>
      <c r="F1439" t="s">
        <v>3858</v>
      </c>
      <c r="G1439" t="s">
        <v>7829</v>
      </c>
      <c r="H1439" t="s">
        <v>3859</v>
      </c>
      <c r="I1439" t="s">
        <v>210</v>
      </c>
      <c r="J1439" t="s">
        <v>7703</v>
      </c>
      <c r="K1439" t="s">
        <v>7683</v>
      </c>
      <c r="L1439" t="s">
        <v>7683</v>
      </c>
      <c r="N1439" t="str" cm="1">
        <f t="array" ref="N1439">IFERROR(LOOKUP(2,1/SEARCH($S$2:$S$65,G1439),$T$2:$T$65),"Misc")</f>
        <v>COTS</v>
      </c>
      <c r="O1439" t="str" cm="1">
        <f t="array" ref="O1439">IFERROR(LOOKUP(2,1/SEARCH($V$2:$V$65,G1439),$W$2:$W$65),"Misc")</f>
        <v>BEARING</v>
      </c>
      <c r="P1439" t="str" cm="1">
        <f t="array" ref="P1439">IFERROR(LOOKUP(2,1/SEARCH($Y$2:$Y$65,G1439),$Z$2:$Z$65),"Not Defined")</f>
        <v>BEARING</v>
      </c>
      <c r="Q1439" t="str" cm="1">
        <f t="array" ref="Q1439">IFERROR(LOOKUP(2,1/SEARCH($S$2:$S$65,H1439),$T$2:$T$65),"-")</f>
        <v>COTS</v>
      </c>
    </row>
    <row r="1440" spans="1:17" hidden="1" x14ac:dyDescent="0.25">
      <c r="A1440" t="s">
        <v>7674</v>
      </c>
      <c r="B1440" s="2" t="s">
        <v>3860</v>
      </c>
      <c r="C1440">
        <v>1</v>
      </c>
      <c r="D1440" t="s">
        <v>7358</v>
      </c>
      <c r="E1440" t="s">
        <v>7912</v>
      </c>
      <c r="F1440" t="s">
        <v>3861</v>
      </c>
      <c r="G1440" t="s">
        <v>7413</v>
      </c>
      <c r="H1440" t="s">
        <v>3862</v>
      </c>
      <c r="I1440" t="s">
        <v>3477</v>
      </c>
      <c r="J1440" t="s">
        <v>7703</v>
      </c>
      <c r="K1440" t="s">
        <v>7683</v>
      </c>
      <c r="L1440" t="s">
        <v>7683</v>
      </c>
      <c r="N1440" t="str" cm="1">
        <f t="array" ref="N1440">IFERROR(LOOKUP(2,1/SEARCH($S$2:$S$65,G1440),$T$2:$T$65),"Misc")</f>
        <v>COTS</v>
      </c>
      <c r="O1440" t="str" cm="1">
        <f t="array" ref="O1440">IFERROR(LOOKUP(2,1/SEARCH($V$2:$V$65,G1440),$W$2:$W$65),"Misc")</f>
        <v>BEARING</v>
      </c>
      <c r="P1440" t="str" cm="1">
        <f t="array" ref="P1440">IFERROR(LOOKUP(2,1/SEARCH($Y$2:$Y$65,G1440),$Z$2:$Z$65),"Not Defined")</f>
        <v>BEARING</v>
      </c>
      <c r="Q1440" t="str" cm="1">
        <f t="array" ref="Q1440">IFERROR(LOOKUP(2,1/SEARCH($S$2:$S$65,H1440),$T$2:$T$65),"-")</f>
        <v>COTS</v>
      </c>
    </row>
    <row r="1441" spans="1:17" hidden="1" x14ac:dyDescent="0.25">
      <c r="A1441" t="s">
        <v>7674</v>
      </c>
      <c r="B1441" s="2" t="s">
        <v>3863</v>
      </c>
      <c r="C1441">
        <v>4</v>
      </c>
      <c r="D1441" t="s">
        <v>7358</v>
      </c>
      <c r="E1441" t="s">
        <v>7912</v>
      </c>
      <c r="F1441" t="s">
        <v>3864</v>
      </c>
      <c r="G1441" t="s">
        <v>7414</v>
      </c>
      <c r="H1441" t="s">
        <v>3448</v>
      </c>
      <c r="I1441" t="s">
        <v>224</v>
      </c>
      <c r="J1441" t="s">
        <v>7703</v>
      </c>
      <c r="K1441" t="s">
        <v>7684</v>
      </c>
      <c r="L1441" t="s">
        <v>7687</v>
      </c>
      <c r="N1441" t="str" cm="1">
        <f t="array" ref="N1441">IFERROR(LOOKUP(2,1/SEARCH($S$2:$S$65,G1441),$T$2:$T$65),"Misc")</f>
        <v>COTS</v>
      </c>
      <c r="O1441" t="str" cm="1">
        <f t="array" ref="O1441">IFERROR(LOOKUP(2,1/SEARCH($V$2:$V$65,G1441),$W$2:$W$65),"Misc")</f>
        <v>Fasteners</v>
      </c>
      <c r="P1441" t="str" cm="1">
        <f t="array" ref="P1441">IFERROR(LOOKUP(2,1/SEARCH($Y$2:$Y$65,G1441),$Z$2:$Z$65),"Not Defined")</f>
        <v>INSERT</v>
      </c>
      <c r="Q1441" t="str" cm="1">
        <f t="array" ref="Q1441">IFERROR(LOOKUP(2,1/SEARCH($S$2:$S$65,H1441),$T$2:$T$65),"-")</f>
        <v>COTS</v>
      </c>
    </row>
    <row r="1442" spans="1:17" hidden="1" x14ac:dyDescent="0.25">
      <c r="A1442" t="s">
        <v>7674</v>
      </c>
      <c r="B1442" s="2" t="s">
        <v>3865</v>
      </c>
      <c r="C1442">
        <v>4</v>
      </c>
      <c r="D1442" t="s">
        <v>7358</v>
      </c>
      <c r="E1442" t="s">
        <v>7912</v>
      </c>
      <c r="F1442" t="s">
        <v>3866</v>
      </c>
      <c r="G1442" t="s">
        <v>7415</v>
      </c>
      <c r="H1442" t="s">
        <v>3867</v>
      </c>
      <c r="I1442" t="s">
        <v>228</v>
      </c>
      <c r="J1442" t="s">
        <v>7703</v>
      </c>
      <c r="K1442" t="s">
        <v>7684</v>
      </c>
      <c r="L1442" t="s">
        <v>7820</v>
      </c>
      <c r="N1442" t="str" cm="1">
        <f t="array" ref="N1442">IFERROR(LOOKUP(2,1/SEARCH($S$2:$S$65,G1442),$T$2:$T$65),"Misc")</f>
        <v>COTS</v>
      </c>
      <c r="O1442" t="str" cm="1">
        <f t="array" ref="O1442">IFERROR(LOOKUP(2,1/SEARCH($V$2:$V$65,G1442),$W$2:$W$65),"Misc")</f>
        <v>Fasteners</v>
      </c>
      <c r="P1442" t="str" cm="1">
        <f t="array" ref="P1442">IFERROR(LOOKUP(2,1/SEARCH($Y$2:$Y$65,G1442),$Z$2:$Z$65),"Not Defined")</f>
        <v>FHCS</v>
      </c>
      <c r="Q1442" t="str" cm="1">
        <f t="array" ref="Q1442">IFERROR(LOOKUP(2,1/SEARCH($S$2:$S$65,H1442),$T$2:$T$65),"-")</f>
        <v>COTS</v>
      </c>
    </row>
    <row r="1443" spans="1:17" hidden="1" x14ac:dyDescent="0.25">
      <c r="A1443" t="s">
        <v>7674</v>
      </c>
      <c r="B1443" s="22" t="s">
        <v>3868</v>
      </c>
      <c r="C1443">
        <v>1</v>
      </c>
      <c r="D1443" t="s">
        <v>7358</v>
      </c>
      <c r="E1443" t="s">
        <v>7913</v>
      </c>
      <c r="F1443" t="s">
        <v>3869</v>
      </c>
      <c r="G1443" t="s">
        <v>3871</v>
      </c>
      <c r="H1443" t="s">
        <v>3870</v>
      </c>
      <c r="J1443" t="s">
        <v>7742</v>
      </c>
      <c r="K1443" t="s">
        <v>7826</v>
      </c>
      <c r="L1443" t="s">
        <v>7826</v>
      </c>
      <c r="N1443" t="str" cm="1">
        <f t="array" ref="N1443">IFERROR(LOOKUP(2,1/SEARCH($S$2:$S$65,G1443),$T$2:$T$65),"Misc")</f>
        <v>OH ASSY</v>
      </c>
      <c r="O1443" t="str" cm="1">
        <f t="array" ref="O1443">IFERROR(LOOKUP(2,1/SEARCH($V$2:$V$65,G1443),$W$2:$W$65),"Misc")</f>
        <v>OH Part</v>
      </c>
      <c r="P1443" t="str" cm="1">
        <f t="array" ref="P1443">IFERROR(LOOKUP(2,1/SEARCH($Y$2:$Y$65,G1443),$Z$2:$Z$65),"Not Defined")</f>
        <v>OH Part</v>
      </c>
      <c r="Q1443" t="str" cm="1">
        <f t="array" ref="Q1443">IFERROR(LOOKUP(2,1/SEARCH($S$2:$S$65,H1443),$T$2:$T$65),"-")</f>
        <v>OH ASSY</v>
      </c>
    </row>
    <row r="1444" spans="1:17" hidden="1" x14ac:dyDescent="0.25">
      <c r="A1444" t="s">
        <v>7674</v>
      </c>
      <c r="B1444" s="22" t="s">
        <v>3872</v>
      </c>
      <c r="C1444">
        <v>1</v>
      </c>
      <c r="D1444" t="s">
        <v>7358</v>
      </c>
      <c r="E1444" t="s">
        <v>7913</v>
      </c>
      <c r="F1444" t="s">
        <v>3873</v>
      </c>
      <c r="G1444" t="s">
        <v>3875</v>
      </c>
      <c r="H1444" t="s">
        <v>3874</v>
      </c>
      <c r="I1444" t="s">
        <v>13</v>
      </c>
      <c r="J1444" t="s">
        <v>7682</v>
      </c>
      <c r="K1444" t="s">
        <v>7826</v>
      </c>
      <c r="L1444" t="s">
        <v>7826</v>
      </c>
      <c r="N1444" t="str" cm="1">
        <f t="array" ref="N1444">IFERROR(LOOKUP(2,1/SEARCH($S$2:$S$65,G1444),$T$2:$T$65),"Misc")</f>
        <v>OH P/N</v>
      </c>
      <c r="O1444" t="str" cm="1">
        <f t="array" ref="O1444">IFERROR(LOOKUP(2,1/SEARCH($V$2:$V$65,G1444),$W$2:$W$65),"Misc")</f>
        <v>OH Part</v>
      </c>
      <c r="P1444" t="str" cm="1">
        <f t="array" ref="P1444">IFERROR(LOOKUP(2,1/SEARCH($Y$2:$Y$65,G1444),$Z$2:$Z$65),"Not Defined")</f>
        <v>OH Part</v>
      </c>
      <c r="Q1444" t="str" cm="1">
        <f t="array" ref="Q1444">IFERROR(LOOKUP(2,1/SEARCH($S$2:$S$65,H1444),$T$2:$T$65),"-")</f>
        <v>-</v>
      </c>
    </row>
    <row r="1445" spans="1:17" hidden="1" x14ac:dyDescent="0.25">
      <c r="A1445" t="s">
        <v>7674</v>
      </c>
      <c r="B1445" s="22" t="s">
        <v>3876</v>
      </c>
      <c r="C1445">
        <v>1</v>
      </c>
      <c r="D1445" t="s">
        <v>7358</v>
      </c>
      <c r="E1445" t="s">
        <v>7913</v>
      </c>
      <c r="F1445" t="s">
        <v>3877</v>
      </c>
      <c r="G1445" t="s">
        <v>3879</v>
      </c>
      <c r="H1445" t="s">
        <v>3878</v>
      </c>
      <c r="I1445" t="s">
        <v>13</v>
      </c>
      <c r="J1445" t="s">
        <v>7682</v>
      </c>
      <c r="K1445" t="s">
        <v>7826</v>
      </c>
      <c r="L1445" t="s">
        <v>7826</v>
      </c>
      <c r="N1445" t="str" cm="1">
        <f t="array" ref="N1445">IFERROR(LOOKUP(2,1/SEARCH($S$2:$S$65,G1445),$T$2:$T$65),"Misc")</f>
        <v>OH P/N</v>
      </c>
      <c r="O1445" t="str" cm="1">
        <f t="array" ref="O1445">IFERROR(LOOKUP(2,1/SEARCH($V$2:$V$65,G1445),$W$2:$W$65),"Misc")</f>
        <v>OH Part</v>
      </c>
      <c r="P1445" t="str" cm="1">
        <f t="array" ref="P1445">IFERROR(LOOKUP(2,1/SEARCH($Y$2:$Y$65,G1445),$Z$2:$Z$65),"Not Defined")</f>
        <v>OH Part</v>
      </c>
      <c r="Q1445" t="str" cm="1">
        <f t="array" ref="Q1445">IFERROR(LOOKUP(2,1/SEARCH($S$2:$S$65,H1445),$T$2:$T$65),"-")</f>
        <v>-</v>
      </c>
    </row>
    <row r="1446" spans="1:17" hidden="1" x14ac:dyDescent="0.25">
      <c r="A1446" t="s">
        <v>7674</v>
      </c>
      <c r="B1446" s="22" t="s">
        <v>3880</v>
      </c>
      <c r="C1446">
        <v>2</v>
      </c>
      <c r="D1446" t="s">
        <v>7358</v>
      </c>
      <c r="E1446" t="s">
        <v>7914</v>
      </c>
      <c r="F1446" t="s">
        <v>3881</v>
      </c>
      <c r="G1446" t="s">
        <v>3883</v>
      </c>
      <c r="H1446" t="s">
        <v>3882</v>
      </c>
      <c r="J1446" t="s">
        <v>7742</v>
      </c>
      <c r="K1446" t="s">
        <v>7826</v>
      </c>
      <c r="L1446" t="s">
        <v>7826</v>
      </c>
      <c r="N1446" t="str" cm="1">
        <f t="array" ref="N1446">IFERROR(LOOKUP(2,1/SEARCH($S$2:$S$65,G1446),$T$2:$T$65),"Misc")</f>
        <v>OH ASSY</v>
      </c>
      <c r="O1446" t="str" cm="1">
        <f t="array" ref="O1446">IFERROR(LOOKUP(2,1/SEARCH($V$2:$V$65,G1446),$W$2:$W$65),"Misc")</f>
        <v>OH Part</v>
      </c>
      <c r="P1446" t="str" cm="1">
        <f t="array" ref="P1446">IFERROR(LOOKUP(2,1/SEARCH($Y$2:$Y$65,G1446),$Z$2:$Z$65),"Not Defined")</f>
        <v>OH Part</v>
      </c>
      <c r="Q1446" t="str" cm="1">
        <f t="array" ref="Q1446">IFERROR(LOOKUP(2,1/SEARCH($S$2:$S$65,H1446),$T$2:$T$65),"-")</f>
        <v>OH ASSY</v>
      </c>
    </row>
    <row r="1447" spans="1:17" hidden="1" x14ac:dyDescent="0.25">
      <c r="A1447" t="s">
        <v>7674</v>
      </c>
      <c r="B1447" s="22" t="s">
        <v>3884</v>
      </c>
      <c r="C1447">
        <v>1</v>
      </c>
      <c r="D1447" t="s">
        <v>7358</v>
      </c>
      <c r="E1447" t="s">
        <v>7914</v>
      </c>
      <c r="F1447" t="s">
        <v>3885</v>
      </c>
      <c r="G1447" t="s">
        <v>3887</v>
      </c>
      <c r="H1447" t="s">
        <v>3886</v>
      </c>
      <c r="I1447" t="s">
        <v>299</v>
      </c>
      <c r="J1447" t="s">
        <v>7682</v>
      </c>
      <c r="K1447" t="s">
        <v>7826</v>
      </c>
      <c r="L1447" t="s">
        <v>7826</v>
      </c>
      <c r="N1447" t="str" cm="1">
        <f t="array" ref="N1447">IFERROR(LOOKUP(2,1/SEARCH($S$2:$S$65,G1447),$T$2:$T$65),"Misc")</f>
        <v>OH P/N</v>
      </c>
      <c r="O1447" t="str" cm="1">
        <f t="array" ref="O1447">IFERROR(LOOKUP(2,1/SEARCH($V$2:$V$65,G1447),$W$2:$W$65),"Misc")</f>
        <v>OH Part</v>
      </c>
      <c r="P1447" t="str" cm="1">
        <f t="array" ref="P1447">IFERROR(LOOKUP(2,1/SEARCH($Y$2:$Y$65,G1447),$Z$2:$Z$65),"Not Defined")</f>
        <v>OH Part</v>
      </c>
      <c r="Q1447" t="str" cm="1">
        <f t="array" ref="Q1447">IFERROR(LOOKUP(2,1/SEARCH($S$2:$S$65,H1447),$T$2:$T$65),"-")</f>
        <v>COTS</v>
      </c>
    </row>
    <row r="1448" spans="1:17" hidden="1" x14ac:dyDescent="0.25">
      <c r="A1448" t="s">
        <v>7674</v>
      </c>
      <c r="B1448" s="22" t="s">
        <v>3888</v>
      </c>
      <c r="C1448">
        <v>1</v>
      </c>
      <c r="D1448" t="s">
        <v>7358</v>
      </c>
      <c r="E1448" t="s">
        <v>7914</v>
      </c>
      <c r="F1448" t="s">
        <v>3889</v>
      </c>
      <c r="G1448" t="s">
        <v>7416</v>
      </c>
      <c r="H1448" t="s">
        <v>3890</v>
      </c>
      <c r="I1448" t="s">
        <v>210</v>
      </c>
      <c r="J1448" t="s">
        <v>7703</v>
      </c>
      <c r="K1448" t="s">
        <v>7684</v>
      </c>
      <c r="L1448" t="s">
        <v>7721</v>
      </c>
      <c r="N1448" t="str" cm="1">
        <f t="array" ref="N1448">IFERROR(LOOKUP(2,1/SEARCH($S$2:$S$65,G1448),$T$2:$T$65),"Misc")</f>
        <v>COTS</v>
      </c>
      <c r="O1448" t="str" cm="1">
        <f t="array" ref="O1448">IFERROR(LOOKUP(2,1/SEARCH($V$2:$V$65,G1448),$W$2:$W$65),"Misc")</f>
        <v>Fasteners</v>
      </c>
      <c r="P1448" t="str" cm="1">
        <f t="array" ref="P1448">IFERROR(LOOKUP(2,1/SEARCH($Y$2:$Y$65,G1448),$Z$2:$Z$65),"Not Defined")</f>
        <v>SET SCREW</v>
      </c>
      <c r="Q1448" t="str" cm="1">
        <f t="array" ref="Q1448">IFERROR(LOOKUP(2,1/SEARCH($S$2:$S$65,H1448),$T$2:$T$65),"-")</f>
        <v>COTS</v>
      </c>
    </row>
    <row r="1449" spans="1:17" hidden="1" x14ac:dyDescent="0.25">
      <c r="A1449" t="s">
        <v>7674</v>
      </c>
      <c r="B1449" s="22" t="s">
        <v>3891</v>
      </c>
      <c r="C1449">
        <v>1</v>
      </c>
      <c r="D1449" t="s">
        <v>7358</v>
      </c>
      <c r="E1449" t="s">
        <v>7915</v>
      </c>
      <c r="F1449" t="s">
        <v>3892</v>
      </c>
      <c r="G1449" t="s">
        <v>3894</v>
      </c>
      <c r="H1449" t="s">
        <v>3893</v>
      </c>
      <c r="J1449" t="s">
        <v>7742</v>
      </c>
      <c r="K1449" t="s">
        <v>7826</v>
      </c>
      <c r="L1449" t="s">
        <v>7826</v>
      </c>
      <c r="N1449" t="str" cm="1">
        <f t="array" ref="N1449">IFERROR(LOOKUP(2,1/SEARCH($S$2:$S$65,G1449),$T$2:$T$65),"Misc")</f>
        <v>OH ASSY</v>
      </c>
      <c r="O1449" t="str" cm="1">
        <f t="array" ref="O1449">IFERROR(LOOKUP(2,1/SEARCH($V$2:$V$65,G1449),$W$2:$W$65),"Misc")</f>
        <v>OH Part</v>
      </c>
      <c r="P1449" t="str" cm="1">
        <f t="array" ref="P1449">IFERROR(LOOKUP(2,1/SEARCH($Y$2:$Y$65,G1449),$Z$2:$Z$65),"Not Defined")</f>
        <v>OH Part</v>
      </c>
      <c r="Q1449" t="str" cm="1">
        <f t="array" ref="Q1449">IFERROR(LOOKUP(2,1/SEARCH($S$2:$S$65,H1449),$T$2:$T$65),"-")</f>
        <v>OH ASSY</v>
      </c>
    </row>
    <row r="1450" spans="1:17" hidden="1" x14ac:dyDescent="0.25">
      <c r="A1450" t="s">
        <v>7674</v>
      </c>
      <c r="B1450" s="22" t="s">
        <v>3895</v>
      </c>
      <c r="C1450">
        <v>1</v>
      </c>
      <c r="D1450" t="s">
        <v>7358</v>
      </c>
      <c r="E1450" t="s">
        <v>7915</v>
      </c>
      <c r="F1450" t="s">
        <v>3896</v>
      </c>
      <c r="G1450" t="s">
        <v>3898</v>
      </c>
      <c r="H1450" t="s">
        <v>3897</v>
      </c>
      <c r="I1450" t="s">
        <v>484</v>
      </c>
      <c r="J1450" t="s">
        <v>7682</v>
      </c>
      <c r="K1450" t="s">
        <v>7826</v>
      </c>
      <c r="L1450" t="s">
        <v>7826</v>
      </c>
      <c r="N1450" t="str" cm="1">
        <f t="array" ref="N1450">IFERROR(LOOKUP(2,1/SEARCH($S$2:$S$65,G1450),$T$2:$T$65),"Misc")</f>
        <v>OH P/N</v>
      </c>
      <c r="O1450" t="str" cm="1">
        <f t="array" ref="O1450">IFERROR(LOOKUP(2,1/SEARCH($V$2:$V$65,G1450),$W$2:$W$65),"Misc")</f>
        <v>OH Part</v>
      </c>
      <c r="P1450" t="str" cm="1">
        <f t="array" ref="P1450">IFERROR(LOOKUP(2,1/SEARCH($Y$2:$Y$65,G1450),$Z$2:$Z$65),"Not Defined")</f>
        <v>OH Part</v>
      </c>
      <c r="Q1450" t="str" cm="1">
        <f t="array" ref="Q1450">IFERROR(LOOKUP(2,1/SEARCH($S$2:$S$65,H1450),$T$2:$T$65),"-")</f>
        <v>COTS</v>
      </c>
    </row>
    <row r="1451" spans="1:17" hidden="1" x14ac:dyDescent="0.25">
      <c r="A1451" t="s">
        <v>7674</v>
      </c>
      <c r="B1451" s="22" t="s">
        <v>3899</v>
      </c>
      <c r="C1451">
        <v>2</v>
      </c>
      <c r="D1451" t="s">
        <v>7358</v>
      </c>
      <c r="E1451" t="s">
        <v>7915</v>
      </c>
      <c r="F1451" t="s">
        <v>3900</v>
      </c>
      <c r="G1451" t="s">
        <v>7417</v>
      </c>
      <c r="H1451" t="s">
        <v>3901</v>
      </c>
      <c r="I1451" t="s">
        <v>228</v>
      </c>
      <c r="J1451" t="s">
        <v>7703</v>
      </c>
      <c r="K1451" t="s">
        <v>7684</v>
      </c>
      <c r="L1451" t="s">
        <v>7685</v>
      </c>
      <c r="N1451" t="str" cm="1">
        <f t="array" ref="N1451">IFERROR(LOOKUP(2,1/SEARCH($S$2:$S$65,G1451),$T$2:$T$65),"Misc")</f>
        <v>COTS</v>
      </c>
      <c r="O1451" t="str" cm="1">
        <f t="array" ref="O1451">IFERROR(LOOKUP(2,1/SEARCH($V$2:$V$65,G1451),$W$2:$W$65),"Misc")</f>
        <v>Fasteners</v>
      </c>
      <c r="P1451" t="str" cm="1">
        <f t="array" ref="P1451">IFERROR(LOOKUP(2,1/SEARCH($Y$2:$Y$65,G1451),$Z$2:$Z$65),"Not Defined")</f>
        <v>NUT</v>
      </c>
      <c r="Q1451" t="str" cm="1">
        <f t="array" ref="Q1451">IFERROR(LOOKUP(2,1/SEARCH($S$2:$S$65,H1451),$T$2:$T$65),"-")</f>
        <v>COTS</v>
      </c>
    </row>
    <row r="1452" spans="1:17" hidden="1" x14ac:dyDescent="0.25">
      <c r="A1452" t="s">
        <v>7674</v>
      </c>
      <c r="B1452" s="22" t="s">
        <v>3902</v>
      </c>
      <c r="C1452">
        <v>1</v>
      </c>
      <c r="D1452" t="s">
        <v>7358</v>
      </c>
      <c r="E1452" t="s">
        <v>7915</v>
      </c>
      <c r="F1452" t="s">
        <v>3428</v>
      </c>
      <c r="G1452" t="s">
        <v>7366</v>
      </c>
      <c r="H1452" t="s">
        <v>3429</v>
      </c>
      <c r="I1452" t="s">
        <v>228</v>
      </c>
      <c r="J1452" t="s">
        <v>7703</v>
      </c>
      <c r="K1452" t="s">
        <v>7684</v>
      </c>
      <c r="L1452" t="s">
        <v>7692</v>
      </c>
      <c r="N1452" t="str" cm="1">
        <f t="array" ref="N1452">IFERROR(LOOKUP(2,1/SEARCH($S$2:$S$65,G1452),$T$2:$T$65),"Misc")</f>
        <v>COTS</v>
      </c>
      <c r="O1452" t="str" cm="1">
        <f t="array" ref="O1452">IFERROR(LOOKUP(2,1/SEARCH($V$2:$V$65,G1452),$W$2:$W$65),"Misc")</f>
        <v>Fasteners</v>
      </c>
      <c r="P1452" t="str" cm="1">
        <f t="array" ref="P1452">IFERROR(LOOKUP(2,1/SEARCH($Y$2:$Y$65,G1452),$Z$2:$Z$65),"Not Defined")</f>
        <v>WASHER</v>
      </c>
      <c r="Q1452" t="str" cm="1">
        <f t="array" ref="Q1452">IFERROR(LOOKUP(2,1/SEARCH($S$2:$S$65,H1452),$T$2:$T$65),"-")</f>
        <v>COTS</v>
      </c>
    </row>
    <row r="1453" spans="1:17" hidden="1" x14ac:dyDescent="0.25">
      <c r="A1453" t="s">
        <v>7674</v>
      </c>
      <c r="B1453" s="22" t="s">
        <v>3903</v>
      </c>
      <c r="C1453">
        <v>1</v>
      </c>
      <c r="D1453" t="s">
        <v>7358</v>
      </c>
      <c r="E1453" t="s">
        <v>7913</v>
      </c>
      <c r="F1453" t="s">
        <v>3904</v>
      </c>
      <c r="G1453" t="s">
        <v>7418</v>
      </c>
      <c r="H1453" t="s">
        <v>3905</v>
      </c>
      <c r="J1453" t="s">
        <v>7703</v>
      </c>
      <c r="K1453" t="s">
        <v>7684</v>
      </c>
      <c r="L1453" t="s">
        <v>7834</v>
      </c>
      <c r="N1453" t="str" cm="1">
        <f t="array" ref="N1453">IFERROR(LOOKUP(2,1/SEARCH($S$2:$S$65,G1453),$T$2:$T$65),"Misc")</f>
        <v>COTS</v>
      </c>
      <c r="O1453" t="str" cm="1">
        <f t="array" ref="O1453">IFERROR(LOOKUP(2,1/SEARCH($V$2:$V$65,G1453),$W$2:$W$65),"Misc")</f>
        <v>Fasteners</v>
      </c>
      <c r="P1453" t="str" cm="1">
        <f t="array" ref="P1453">IFERROR(LOOKUP(2,1/SEARCH($Y$2:$Y$65,G1453),$Z$2:$Z$65),"Not Defined")</f>
        <v>Not Defined</v>
      </c>
      <c r="Q1453" t="str" cm="1">
        <f t="array" ref="Q1453">IFERROR(LOOKUP(2,1/SEARCH($S$2:$S$65,H1453),$T$2:$T$65),"-")</f>
        <v>COTS</v>
      </c>
    </row>
    <row r="1454" spans="1:17" hidden="1" x14ac:dyDescent="0.25">
      <c r="A1454" s="4" t="s">
        <v>7674</v>
      </c>
      <c r="B1454" s="22" t="s">
        <v>3906</v>
      </c>
      <c r="C1454">
        <v>2</v>
      </c>
      <c r="D1454" t="s">
        <v>7358</v>
      </c>
      <c r="E1454" t="s">
        <v>7913</v>
      </c>
      <c r="F1454" t="s">
        <v>3907</v>
      </c>
      <c r="G1454" t="s">
        <v>7812</v>
      </c>
      <c r="H1454" t="s">
        <v>7813</v>
      </c>
      <c r="I1454" t="s">
        <v>1265</v>
      </c>
      <c r="J1454" t="s">
        <v>7703</v>
      </c>
      <c r="K1454" t="s">
        <v>7684</v>
      </c>
      <c r="L1454" t="s">
        <v>7692</v>
      </c>
      <c r="N1454" t="str" cm="1">
        <f t="array" ref="N1454">IFERROR(LOOKUP(2,1/SEARCH($S$2:$S$65,G1454),$T$2:$T$65),"Misc")</f>
        <v>COTS</v>
      </c>
      <c r="O1454" t="str" cm="1">
        <f t="array" ref="O1454">IFERROR(LOOKUP(2,1/SEARCH($V$2:$V$65,G1454),$W$2:$W$65),"Misc")</f>
        <v>Fasteners</v>
      </c>
      <c r="P1454" t="str" cm="1">
        <f t="array" ref="P1454">IFERROR(LOOKUP(2,1/SEARCH($Y$2:$Y$65,G1454),$Z$2:$Z$65),"Not Defined")</f>
        <v>WASHER</v>
      </c>
      <c r="Q1454" t="str" cm="1">
        <f t="array" ref="Q1454">IFERROR(LOOKUP(2,1/SEARCH($S$2:$S$65,H1454),$T$2:$T$65),"-")</f>
        <v>COTS</v>
      </c>
    </row>
    <row r="1455" spans="1:17" hidden="1" x14ac:dyDescent="0.25">
      <c r="A1455" t="s">
        <v>7674</v>
      </c>
      <c r="B1455" s="22" t="s">
        <v>3908</v>
      </c>
      <c r="C1455">
        <v>10</v>
      </c>
      <c r="D1455" t="s">
        <v>7358</v>
      </c>
      <c r="E1455" t="s">
        <v>7913</v>
      </c>
      <c r="F1455" t="s">
        <v>3909</v>
      </c>
      <c r="G1455" t="s">
        <v>7419</v>
      </c>
      <c r="H1455" t="s">
        <v>3910</v>
      </c>
      <c r="I1455" t="s">
        <v>228</v>
      </c>
      <c r="J1455" t="s">
        <v>7703</v>
      </c>
      <c r="K1455" t="s">
        <v>7684</v>
      </c>
      <c r="L1455" t="s">
        <v>7685</v>
      </c>
      <c r="N1455" t="str" cm="1">
        <f t="array" ref="N1455">IFERROR(LOOKUP(2,1/SEARCH($S$2:$S$65,G1455),$T$2:$T$65),"Misc")</f>
        <v>COTS</v>
      </c>
      <c r="O1455" t="str" cm="1">
        <f t="array" ref="O1455">IFERROR(LOOKUP(2,1/SEARCH($V$2:$V$65,G1455),$W$2:$W$65),"Misc")</f>
        <v>Fasteners</v>
      </c>
      <c r="P1455" t="str" cm="1">
        <f t="array" ref="P1455">IFERROR(LOOKUP(2,1/SEARCH($Y$2:$Y$65,G1455),$Z$2:$Z$65),"Not Defined")</f>
        <v>NUT</v>
      </c>
      <c r="Q1455" t="str" cm="1">
        <f t="array" ref="Q1455">IFERROR(LOOKUP(2,1/SEARCH($S$2:$S$65,H1455),$T$2:$T$65),"-")</f>
        <v>COTS</v>
      </c>
    </row>
    <row r="1456" spans="1:17" hidden="1" x14ac:dyDescent="0.25">
      <c r="A1456" t="s">
        <v>7674</v>
      </c>
      <c r="B1456" s="22" t="s">
        <v>3911</v>
      </c>
      <c r="C1456">
        <v>10</v>
      </c>
      <c r="D1456" t="s">
        <v>7358</v>
      </c>
      <c r="E1456" t="s">
        <v>7913</v>
      </c>
      <c r="F1456" t="s">
        <v>3912</v>
      </c>
      <c r="G1456" t="s">
        <v>7420</v>
      </c>
      <c r="H1456" t="s">
        <v>3913</v>
      </c>
      <c r="I1456" t="s">
        <v>228</v>
      </c>
      <c r="J1456" t="s">
        <v>7703</v>
      </c>
      <c r="K1456" t="s">
        <v>7684</v>
      </c>
      <c r="L1456" t="s">
        <v>7820</v>
      </c>
      <c r="N1456" t="str" cm="1">
        <f t="array" ref="N1456">IFERROR(LOOKUP(2,1/SEARCH($S$2:$S$65,G1456),$T$2:$T$65),"Misc")</f>
        <v>COTS</v>
      </c>
      <c r="O1456" t="str" cm="1">
        <f t="array" ref="O1456">IFERROR(LOOKUP(2,1/SEARCH($V$2:$V$65,G1456),$W$2:$W$65),"Misc")</f>
        <v>Fasteners</v>
      </c>
      <c r="P1456" t="str" cm="1">
        <f t="array" ref="P1456">IFERROR(LOOKUP(2,1/SEARCH($Y$2:$Y$65,G1456),$Z$2:$Z$65),"Not Defined")</f>
        <v>FHCS</v>
      </c>
      <c r="Q1456" t="str" cm="1">
        <f t="array" ref="Q1456">IFERROR(LOOKUP(2,1/SEARCH($S$2:$S$65,H1456),$T$2:$T$65),"-")</f>
        <v>COTS</v>
      </c>
    </row>
    <row r="1457" spans="1:17" hidden="1" x14ac:dyDescent="0.25">
      <c r="A1457" t="s">
        <v>7674</v>
      </c>
      <c r="B1457" s="22" t="s">
        <v>3914</v>
      </c>
      <c r="C1457">
        <v>1</v>
      </c>
      <c r="D1457" t="s">
        <v>7358</v>
      </c>
      <c r="E1457" t="s">
        <v>7913</v>
      </c>
      <c r="F1457" t="s">
        <v>3900</v>
      </c>
      <c r="G1457" t="s">
        <v>7417</v>
      </c>
      <c r="H1457" t="s">
        <v>3901</v>
      </c>
      <c r="I1457" t="s">
        <v>228</v>
      </c>
      <c r="J1457" t="s">
        <v>7703</v>
      </c>
      <c r="K1457" t="s">
        <v>7684</v>
      </c>
      <c r="L1457" t="s">
        <v>7685</v>
      </c>
      <c r="N1457" t="str" cm="1">
        <f t="array" ref="N1457">IFERROR(LOOKUP(2,1/SEARCH($S$2:$S$65,G1457),$T$2:$T$65),"Misc")</f>
        <v>COTS</v>
      </c>
      <c r="O1457" t="str" cm="1">
        <f t="array" ref="O1457">IFERROR(LOOKUP(2,1/SEARCH($V$2:$V$65,G1457),$W$2:$W$65),"Misc")</f>
        <v>Fasteners</v>
      </c>
      <c r="P1457" t="str" cm="1">
        <f t="array" ref="P1457">IFERROR(LOOKUP(2,1/SEARCH($Y$2:$Y$65,G1457),$Z$2:$Z$65),"Not Defined")</f>
        <v>NUT</v>
      </c>
      <c r="Q1457" t="str" cm="1">
        <f t="array" ref="Q1457">IFERROR(LOOKUP(2,1/SEARCH($S$2:$S$65,H1457),$T$2:$T$65),"-")</f>
        <v>COTS</v>
      </c>
    </row>
    <row r="1458" spans="1:17" hidden="1" x14ac:dyDescent="0.25">
      <c r="A1458" t="s">
        <v>7674</v>
      </c>
      <c r="B1458" s="22" t="s">
        <v>3915</v>
      </c>
      <c r="C1458">
        <v>1</v>
      </c>
      <c r="D1458" t="s">
        <v>7358</v>
      </c>
      <c r="E1458" t="s">
        <v>7913</v>
      </c>
      <c r="F1458" t="s">
        <v>3555</v>
      </c>
      <c r="G1458" t="s">
        <v>3556</v>
      </c>
      <c r="H1458" t="s">
        <v>3556</v>
      </c>
      <c r="I1458" t="s">
        <v>228</v>
      </c>
      <c r="J1458" t="s">
        <v>7703</v>
      </c>
      <c r="K1458" t="s">
        <v>7684</v>
      </c>
      <c r="L1458" t="s">
        <v>7692</v>
      </c>
      <c r="N1458" t="str" cm="1">
        <f t="array" ref="N1458">IFERROR(LOOKUP(2,1/SEARCH($S$2:$S$65,G1458),$T$2:$T$65),"Misc")</f>
        <v>COTS</v>
      </c>
      <c r="O1458" t="str" cm="1">
        <f t="array" ref="O1458">IFERROR(LOOKUP(2,1/SEARCH($V$2:$V$65,G1458),$W$2:$W$65),"Misc")</f>
        <v>Fasteners</v>
      </c>
      <c r="P1458" t="str" cm="1">
        <f t="array" ref="P1458">IFERROR(LOOKUP(2,1/SEARCH($Y$2:$Y$65,G1458),$Z$2:$Z$65),"Not Defined")</f>
        <v>WASHER</v>
      </c>
      <c r="Q1458" t="str" cm="1">
        <f t="array" ref="Q1458">IFERROR(LOOKUP(2,1/SEARCH($S$2:$S$65,H1458),$T$2:$T$65),"-")</f>
        <v>COTS</v>
      </c>
    </row>
    <row r="1459" spans="1:17" hidden="1" x14ac:dyDescent="0.25">
      <c r="A1459" t="s">
        <v>7674</v>
      </c>
      <c r="B1459" s="22" t="s">
        <v>3916</v>
      </c>
      <c r="C1459">
        <v>1</v>
      </c>
      <c r="D1459" t="s">
        <v>7358</v>
      </c>
      <c r="E1459" t="s">
        <v>7913</v>
      </c>
      <c r="F1459" t="s">
        <v>3681</v>
      </c>
      <c r="G1459" t="s">
        <v>7395</v>
      </c>
      <c r="H1459" t="s">
        <v>3682</v>
      </c>
      <c r="I1459" t="s">
        <v>228</v>
      </c>
      <c r="J1459" t="s">
        <v>7703</v>
      </c>
      <c r="K1459" t="s">
        <v>7684</v>
      </c>
      <c r="L1459" t="s">
        <v>7685</v>
      </c>
      <c r="N1459" t="str" cm="1">
        <f t="array" ref="N1459">IFERROR(LOOKUP(2,1/SEARCH($S$2:$S$65,G1459),$T$2:$T$65),"Misc")</f>
        <v>COTS</v>
      </c>
      <c r="O1459" t="str" cm="1">
        <f t="array" ref="O1459">IFERROR(LOOKUP(2,1/SEARCH($V$2:$V$65,G1459),$W$2:$W$65),"Misc")</f>
        <v>Fasteners</v>
      </c>
      <c r="P1459" t="str" cm="1">
        <f t="array" ref="P1459">IFERROR(LOOKUP(2,1/SEARCH($Y$2:$Y$65,G1459),$Z$2:$Z$65),"Not Defined")</f>
        <v>NUT</v>
      </c>
      <c r="Q1459" t="str" cm="1">
        <f t="array" ref="Q1459">IFERROR(LOOKUP(2,1/SEARCH($S$2:$S$65,H1459),$T$2:$T$65),"-")</f>
        <v>COTS</v>
      </c>
    </row>
    <row r="1460" spans="1:17" hidden="1" x14ac:dyDescent="0.25">
      <c r="A1460" t="s">
        <v>7674</v>
      </c>
      <c r="B1460" s="22" t="s">
        <v>3917</v>
      </c>
      <c r="C1460">
        <v>1</v>
      </c>
      <c r="D1460" t="s">
        <v>7358</v>
      </c>
      <c r="E1460" t="s">
        <v>7913</v>
      </c>
      <c r="F1460" t="s">
        <v>3428</v>
      </c>
      <c r="G1460" t="s">
        <v>7366</v>
      </c>
      <c r="H1460" t="s">
        <v>3429</v>
      </c>
      <c r="I1460" t="s">
        <v>228</v>
      </c>
      <c r="J1460" t="s">
        <v>7703</v>
      </c>
      <c r="K1460" t="s">
        <v>7684</v>
      </c>
      <c r="L1460" t="s">
        <v>7692</v>
      </c>
      <c r="N1460" t="str" cm="1">
        <f t="array" ref="N1460">IFERROR(LOOKUP(2,1/SEARCH($S$2:$S$65,G1460),$T$2:$T$65),"Misc")</f>
        <v>COTS</v>
      </c>
      <c r="O1460" t="str" cm="1">
        <f t="array" ref="O1460">IFERROR(LOOKUP(2,1/SEARCH($V$2:$V$65,G1460),$W$2:$W$65),"Misc")</f>
        <v>Fasteners</v>
      </c>
      <c r="P1460" t="str" cm="1">
        <f t="array" ref="P1460">IFERROR(LOOKUP(2,1/SEARCH($Y$2:$Y$65,G1460),$Z$2:$Z$65),"Not Defined")</f>
        <v>WASHER</v>
      </c>
      <c r="Q1460" t="str" cm="1">
        <f t="array" ref="Q1460">IFERROR(LOOKUP(2,1/SEARCH($S$2:$S$65,H1460),$T$2:$T$65),"-")</f>
        <v>COTS</v>
      </c>
    </row>
    <row r="1461" spans="1:17" hidden="1" x14ac:dyDescent="0.25">
      <c r="A1461" t="s">
        <v>7674</v>
      </c>
      <c r="B1461" s="2" t="s">
        <v>3918</v>
      </c>
      <c r="C1461">
        <v>1</v>
      </c>
      <c r="D1461" t="s">
        <v>7358</v>
      </c>
      <c r="E1461" t="s">
        <v>3844</v>
      </c>
      <c r="F1461" t="s">
        <v>3919</v>
      </c>
      <c r="G1461" t="s">
        <v>7421</v>
      </c>
      <c r="H1461" t="s">
        <v>3920</v>
      </c>
      <c r="I1461" t="s">
        <v>210</v>
      </c>
      <c r="J1461" t="s">
        <v>7703</v>
      </c>
      <c r="K1461" t="s">
        <v>7719</v>
      </c>
      <c r="L1461" t="s">
        <v>7688</v>
      </c>
      <c r="N1461" t="str" cm="1">
        <f t="array" ref="N1461">IFERROR(LOOKUP(2,1/SEARCH($S$2:$S$65,G1461),$T$2:$T$65),"Misc")</f>
        <v>COTS</v>
      </c>
      <c r="O1461" t="str" cm="1">
        <f t="array" ref="O1461">IFERROR(LOOKUP(2,1/SEARCH($V$2:$V$65,G1461),$W$2:$W$65),"Misc")</f>
        <v>Misc</v>
      </c>
      <c r="P1461" t="str" cm="1">
        <f t="array" ref="P1461">IFERROR(LOOKUP(2,1/SEARCH($Y$2:$Y$65,G1461),$Z$2:$Z$65),"Not Defined")</f>
        <v>SPRING</v>
      </c>
      <c r="Q1461" t="str" cm="1">
        <f t="array" ref="Q1461">IFERROR(LOOKUP(2,1/SEARCH($S$2:$S$65,H1461),$T$2:$T$65),"-")</f>
        <v>COTS</v>
      </c>
    </row>
    <row r="1462" spans="1:17" hidden="1" x14ac:dyDescent="0.25">
      <c r="A1462" t="s">
        <v>7674</v>
      </c>
      <c r="B1462" s="2" t="s">
        <v>3921</v>
      </c>
      <c r="C1462">
        <v>3</v>
      </c>
      <c r="D1462" t="s">
        <v>7358</v>
      </c>
      <c r="E1462" t="s">
        <v>3844</v>
      </c>
      <c r="F1462" t="s">
        <v>3922</v>
      </c>
      <c r="G1462" t="s">
        <v>7422</v>
      </c>
      <c r="H1462" t="s">
        <v>3923</v>
      </c>
      <c r="I1462" t="s">
        <v>210</v>
      </c>
      <c r="J1462" t="s">
        <v>7703</v>
      </c>
      <c r="K1462" t="s">
        <v>7698</v>
      </c>
      <c r="L1462" t="s">
        <v>7707</v>
      </c>
      <c r="N1462" t="str" cm="1">
        <f t="array" ref="N1462">IFERROR(LOOKUP(2,1/SEARCH($S$2:$S$65,G1462),$T$2:$T$65),"Misc")</f>
        <v>COTS</v>
      </c>
      <c r="O1462" t="str" cm="1">
        <f t="array" ref="O1462">IFERROR(LOOKUP(2,1/SEARCH($V$2:$V$65,G1462),$W$2:$W$65),"Misc")</f>
        <v>Pins</v>
      </c>
      <c r="P1462" t="str" cm="1">
        <f t="array" ref="P1462">IFERROR(LOOKUP(2,1/SEARCH($Y$2:$Y$65,G1462),$Z$2:$Z$65),"Not Defined")</f>
        <v>PIN</v>
      </c>
      <c r="Q1462" t="str" cm="1">
        <f t="array" ref="Q1462">IFERROR(LOOKUP(2,1/SEARCH($S$2:$S$65,H1462),$T$2:$T$65),"-")</f>
        <v>COTS</v>
      </c>
    </row>
    <row r="1463" spans="1:17" hidden="1" x14ac:dyDescent="0.25">
      <c r="A1463" t="s">
        <v>7674</v>
      </c>
      <c r="B1463" s="2" t="s">
        <v>3924</v>
      </c>
      <c r="C1463">
        <v>3</v>
      </c>
      <c r="D1463" t="s">
        <v>7358</v>
      </c>
      <c r="E1463" t="s">
        <v>3844</v>
      </c>
      <c r="F1463" t="s">
        <v>3925</v>
      </c>
      <c r="G1463" t="s">
        <v>7423</v>
      </c>
      <c r="H1463" t="s">
        <v>3926</v>
      </c>
      <c r="I1463" t="s">
        <v>1265</v>
      </c>
      <c r="J1463" t="s">
        <v>7703</v>
      </c>
      <c r="K1463" t="s">
        <v>7684</v>
      </c>
      <c r="L1463" t="s">
        <v>7692</v>
      </c>
      <c r="N1463" t="str" cm="1">
        <f t="array" ref="N1463">IFERROR(LOOKUP(2,1/SEARCH($S$2:$S$65,G1463),$T$2:$T$65),"Misc")</f>
        <v>COTS</v>
      </c>
      <c r="O1463" t="str" cm="1">
        <f t="array" ref="O1463">IFERROR(LOOKUP(2,1/SEARCH($V$2:$V$65,G1463),$W$2:$W$65),"Misc")</f>
        <v>Fasteners</v>
      </c>
      <c r="P1463" t="str" cm="1">
        <f t="array" ref="P1463">IFERROR(LOOKUP(2,1/SEARCH($Y$2:$Y$65,G1463),$Z$2:$Z$65),"Not Defined")</f>
        <v>WASHER</v>
      </c>
      <c r="Q1463" t="str" cm="1">
        <f t="array" ref="Q1463">IFERROR(LOOKUP(2,1/SEARCH($S$2:$S$65,H1463),$T$2:$T$65),"-")</f>
        <v>COTS</v>
      </c>
    </row>
    <row r="1464" spans="1:17" hidden="1" x14ac:dyDescent="0.25">
      <c r="A1464" t="s">
        <v>7674</v>
      </c>
      <c r="B1464" s="2" t="s">
        <v>3927</v>
      </c>
      <c r="C1464">
        <v>1</v>
      </c>
      <c r="D1464" t="s">
        <v>7358</v>
      </c>
      <c r="E1464" t="s">
        <v>7916</v>
      </c>
      <c r="F1464" t="s">
        <v>3928</v>
      </c>
      <c r="G1464" t="s">
        <v>3930</v>
      </c>
      <c r="H1464" t="s">
        <v>3929</v>
      </c>
      <c r="J1464" t="s">
        <v>7742</v>
      </c>
      <c r="K1464" t="s">
        <v>7826</v>
      </c>
      <c r="L1464" t="s">
        <v>7826</v>
      </c>
      <c r="N1464" t="str" cm="1">
        <f t="array" ref="N1464">IFERROR(LOOKUP(2,1/SEARCH($S$2:$S$65,G1464),$T$2:$T$65),"Misc")</f>
        <v>OH ASSY</v>
      </c>
      <c r="O1464" t="str" cm="1">
        <f t="array" ref="O1464">IFERROR(LOOKUP(2,1/SEARCH($V$2:$V$65,G1464),$W$2:$W$65),"Misc")</f>
        <v>OH Part</v>
      </c>
      <c r="P1464" t="str" cm="1">
        <f t="array" ref="P1464">IFERROR(LOOKUP(2,1/SEARCH($Y$2:$Y$65,G1464),$Z$2:$Z$65),"Not Defined")</f>
        <v>OH Part</v>
      </c>
      <c r="Q1464" t="str" cm="1">
        <f t="array" ref="Q1464">IFERROR(LOOKUP(2,1/SEARCH($S$2:$S$65,H1464),$T$2:$T$65),"-")</f>
        <v>OH ASSY</v>
      </c>
    </row>
    <row r="1465" spans="1:17" hidden="1" x14ac:dyDescent="0.25">
      <c r="A1465" t="s">
        <v>7674</v>
      </c>
      <c r="B1465" s="2" t="s">
        <v>3931</v>
      </c>
      <c r="C1465">
        <v>1</v>
      </c>
      <c r="D1465" t="s">
        <v>7358</v>
      </c>
      <c r="E1465" t="s">
        <v>7916</v>
      </c>
      <c r="F1465" t="s">
        <v>3932</v>
      </c>
      <c r="G1465" t="s">
        <v>3934</v>
      </c>
      <c r="H1465" t="s">
        <v>3933</v>
      </c>
      <c r="I1465" t="s">
        <v>484</v>
      </c>
      <c r="J1465" t="s">
        <v>7682</v>
      </c>
      <c r="K1465" t="s">
        <v>7826</v>
      </c>
      <c r="L1465" t="s">
        <v>7826</v>
      </c>
      <c r="N1465" t="str" cm="1">
        <f t="array" ref="N1465">IFERROR(LOOKUP(2,1/SEARCH($S$2:$S$65,G1465),$T$2:$T$65),"Misc")</f>
        <v>OH P/N</v>
      </c>
      <c r="O1465" t="str" cm="1">
        <f t="array" ref="O1465">IFERROR(LOOKUP(2,1/SEARCH($V$2:$V$65,G1465),$W$2:$W$65),"Misc")</f>
        <v>OH Part</v>
      </c>
      <c r="P1465" t="str" cm="1">
        <f t="array" ref="P1465">IFERROR(LOOKUP(2,1/SEARCH($Y$2:$Y$65,G1465),$Z$2:$Z$65),"Not Defined")</f>
        <v>OH Part</v>
      </c>
      <c r="Q1465" t="str" cm="1">
        <f t="array" ref="Q1465">IFERROR(LOOKUP(2,1/SEARCH($S$2:$S$65,H1465),$T$2:$T$65),"-")</f>
        <v>COTS</v>
      </c>
    </row>
    <row r="1466" spans="1:17" hidden="1" x14ac:dyDescent="0.25">
      <c r="A1466" t="s">
        <v>7674</v>
      </c>
      <c r="B1466" s="2" t="s">
        <v>3935</v>
      </c>
      <c r="C1466">
        <v>1</v>
      </c>
      <c r="D1466" t="s">
        <v>7358</v>
      </c>
      <c r="E1466" t="s">
        <v>7916</v>
      </c>
      <c r="F1466" t="s">
        <v>3922</v>
      </c>
      <c r="G1466" t="s">
        <v>7422</v>
      </c>
      <c r="H1466" t="s">
        <v>3923</v>
      </c>
      <c r="I1466" t="s">
        <v>210</v>
      </c>
      <c r="J1466" t="s">
        <v>7703</v>
      </c>
      <c r="K1466" t="s">
        <v>7698</v>
      </c>
      <c r="L1466" t="s">
        <v>7707</v>
      </c>
      <c r="N1466" t="str" cm="1">
        <f t="array" ref="N1466">IFERROR(LOOKUP(2,1/SEARCH($S$2:$S$65,G1466),$T$2:$T$65),"Misc")</f>
        <v>COTS</v>
      </c>
      <c r="O1466" t="str" cm="1">
        <f t="array" ref="O1466">IFERROR(LOOKUP(2,1/SEARCH($V$2:$V$65,G1466),$W$2:$W$65),"Misc")</f>
        <v>Pins</v>
      </c>
      <c r="P1466" t="str" cm="1">
        <f t="array" ref="P1466">IFERROR(LOOKUP(2,1/SEARCH($Y$2:$Y$65,G1466),$Z$2:$Z$65),"Not Defined")</f>
        <v>PIN</v>
      </c>
      <c r="Q1466" t="str" cm="1">
        <f t="array" ref="Q1466">IFERROR(LOOKUP(2,1/SEARCH($S$2:$S$65,H1466),$T$2:$T$65),"-")</f>
        <v>COTS</v>
      </c>
    </row>
    <row r="1467" spans="1:17" hidden="1" x14ac:dyDescent="0.25">
      <c r="A1467" t="s">
        <v>7674</v>
      </c>
      <c r="B1467" s="2" t="s">
        <v>3936</v>
      </c>
      <c r="C1467">
        <v>1</v>
      </c>
      <c r="D1467" t="s">
        <v>7358</v>
      </c>
      <c r="E1467" t="s">
        <v>7916</v>
      </c>
      <c r="F1467" t="s">
        <v>3925</v>
      </c>
      <c r="G1467" t="s">
        <v>7423</v>
      </c>
      <c r="H1467" t="s">
        <v>3926</v>
      </c>
      <c r="I1467" t="s">
        <v>1265</v>
      </c>
      <c r="J1467" t="s">
        <v>7703</v>
      </c>
      <c r="K1467" t="s">
        <v>7684</v>
      </c>
      <c r="L1467" t="s">
        <v>7692</v>
      </c>
      <c r="N1467" t="str" cm="1">
        <f t="array" ref="N1467">IFERROR(LOOKUP(2,1/SEARCH($S$2:$S$65,G1467),$T$2:$T$65),"Misc")</f>
        <v>COTS</v>
      </c>
      <c r="O1467" t="str" cm="1">
        <f t="array" ref="O1467">IFERROR(LOOKUP(2,1/SEARCH($V$2:$V$65,G1467),$W$2:$W$65),"Misc")</f>
        <v>Fasteners</v>
      </c>
      <c r="P1467" t="str" cm="1">
        <f t="array" ref="P1467">IFERROR(LOOKUP(2,1/SEARCH($Y$2:$Y$65,G1467),$Z$2:$Z$65),"Not Defined")</f>
        <v>WASHER</v>
      </c>
      <c r="Q1467" t="str" cm="1">
        <f t="array" ref="Q1467">IFERROR(LOOKUP(2,1/SEARCH($S$2:$S$65,H1467),$T$2:$T$65),"-")</f>
        <v>COTS</v>
      </c>
    </row>
    <row r="1468" spans="1:17" hidden="1" x14ac:dyDescent="0.25">
      <c r="A1468" t="s">
        <v>7674</v>
      </c>
      <c r="B1468" s="2" t="s">
        <v>3937</v>
      </c>
      <c r="C1468">
        <v>1</v>
      </c>
      <c r="D1468" t="s">
        <v>7358</v>
      </c>
      <c r="E1468" t="s">
        <v>7917</v>
      </c>
      <c r="F1468" t="s">
        <v>3938</v>
      </c>
      <c r="G1468" t="s">
        <v>3940</v>
      </c>
      <c r="H1468" t="s">
        <v>3939</v>
      </c>
      <c r="J1468" t="s">
        <v>7742</v>
      </c>
      <c r="K1468" t="s">
        <v>7826</v>
      </c>
      <c r="L1468" t="s">
        <v>7826</v>
      </c>
      <c r="N1468" t="str" cm="1">
        <f t="array" ref="N1468">IFERROR(LOOKUP(2,1/SEARCH($S$2:$S$65,G1468),$T$2:$T$65),"Misc")</f>
        <v>OH ASSY</v>
      </c>
      <c r="O1468" t="str" cm="1">
        <f t="array" ref="O1468">IFERROR(LOOKUP(2,1/SEARCH($V$2:$V$65,G1468),$W$2:$W$65),"Misc")</f>
        <v>OH Part</v>
      </c>
      <c r="P1468" t="str" cm="1">
        <f t="array" ref="P1468">IFERROR(LOOKUP(2,1/SEARCH($Y$2:$Y$65,G1468),$Z$2:$Z$65),"Not Defined")</f>
        <v>OH Part</v>
      </c>
      <c r="Q1468" t="str" cm="1">
        <f t="array" ref="Q1468">IFERROR(LOOKUP(2,1/SEARCH($S$2:$S$65,H1468),$T$2:$T$65),"-")</f>
        <v>OH ASSY</v>
      </c>
    </row>
    <row r="1469" spans="1:17" hidden="1" x14ac:dyDescent="0.25">
      <c r="A1469" t="s">
        <v>7674</v>
      </c>
      <c r="B1469" s="2" t="s">
        <v>3941</v>
      </c>
      <c r="C1469">
        <v>1</v>
      </c>
      <c r="D1469" t="s">
        <v>7358</v>
      </c>
      <c r="E1469" t="s">
        <v>7917</v>
      </c>
      <c r="F1469" t="s">
        <v>3942</v>
      </c>
      <c r="G1469" t="s">
        <v>3944</v>
      </c>
      <c r="H1469" t="s">
        <v>3943</v>
      </c>
      <c r="I1469" t="s">
        <v>484</v>
      </c>
      <c r="J1469" t="s">
        <v>7682</v>
      </c>
      <c r="K1469" t="s">
        <v>7826</v>
      </c>
      <c r="L1469" t="s">
        <v>7826</v>
      </c>
      <c r="N1469" t="str" cm="1">
        <f t="array" ref="N1469">IFERROR(LOOKUP(2,1/SEARCH($S$2:$S$65,G1469),$T$2:$T$65),"Misc")</f>
        <v>OH P/N</v>
      </c>
      <c r="O1469" t="str" cm="1">
        <f t="array" ref="O1469">IFERROR(LOOKUP(2,1/SEARCH($V$2:$V$65,G1469),$W$2:$W$65),"Misc")</f>
        <v>OH Part</v>
      </c>
      <c r="P1469" t="str" cm="1">
        <f t="array" ref="P1469">IFERROR(LOOKUP(2,1/SEARCH($Y$2:$Y$65,G1469),$Z$2:$Z$65),"Not Defined")</f>
        <v>OH Part</v>
      </c>
      <c r="Q1469" t="str" cm="1">
        <f t="array" ref="Q1469">IFERROR(LOOKUP(2,1/SEARCH($S$2:$S$65,H1469),$T$2:$T$65),"-")</f>
        <v>COTS</v>
      </c>
    </row>
    <row r="1470" spans="1:17" hidden="1" x14ac:dyDescent="0.25">
      <c r="A1470" t="s">
        <v>7674</v>
      </c>
      <c r="B1470" s="2" t="s">
        <v>3945</v>
      </c>
      <c r="C1470">
        <v>1</v>
      </c>
      <c r="D1470" t="s">
        <v>7358</v>
      </c>
      <c r="E1470" t="s">
        <v>7917</v>
      </c>
      <c r="F1470" t="s">
        <v>3946</v>
      </c>
      <c r="G1470" t="s">
        <v>7424</v>
      </c>
      <c r="H1470" t="s">
        <v>3947</v>
      </c>
      <c r="J1470" t="s">
        <v>7703</v>
      </c>
      <c r="K1470" t="s">
        <v>7684</v>
      </c>
      <c r="L1470" t="s">
        <v>7721</v>
      </c>
      <c r="N1470" t="str" cm="1">
        <f t="array" ref="N1470">IFERROR(LOOKUP(2,1/SEARCH($S$2:$S$65,G1470),$T$2:$T$65),"Misc")</f>
        <v>COTS</v>
      </c>
      <c r="O1470" t="str" cm="1">
        <f t="array" ref="O1470">IFERROR(LOOKUP(2,1/SEARCH($V$2:$V$65,G1470),$W$2:$W$65),"Misc")</f>
        <v>Fasteners</v>
      </c>
      <c r="P1470" t="str" cm="1">
        <f t="array" ref="P1470">IFERROR(LOOKUP(2,1/SEARCH($Y$2:$Y$65,G1470),$Z$2:$Z$65),"Not Defined")</f>
        <v>SET SCREW</v>
      </c>
      <c r="Q1470" t="str" cm="1">
        <f t="array" ref="Q1470">IFERROR(LOOKUP(2,1/SEARCH($S$2:$S$65,H1470),$T$2:$T$65),"-")</f>
        <v>COTS</v>
      </c>
    </row>
    <row r="1471" spans="1:17" hidden="1" x14ac:dyDescent="0.25">
      <c r="A1471" t="s">
        <v>7674</v>
      </c>
      <c r="B1471" s="2" t="s">
        <v>3948</v>
      </c>
      <c r="C1471">
        <v>2</v>
      </c>
      <c r="D1471" t="s">
        <v>7358</v>
      </c>
      <c r="E1471" t="s">
        <v>7917</v>
      </c>
      <c r="F1471" t="s">
        <v>3555</v>
      </c>
      <c r="G1471" t="s">
        <v>3556</v>
      </c>
      <c r="H1471" t="s">
        <v>3556</v>
      </c>
      <c r="I1471" t="s">
        <v>228</v>
      </c>
      <c r="J1471" t="s">
        <v>7703</v>
      </c>
      <c r="K1471" t="s">
        <v>7684</v>
      </c>
      <c r="L1471" t="s">
        <v>7692</v>
      </c>
      <c r="N1471" t="str" cm="1">
        <f t="array" ref="N1471">IFERROR(LOOKUP(2,1/SEARCH($S$2:$S$65,G1471),$T$2:$T$65),"Misc")</f>
        <v>COTS</v>
      </c>
      <c r="O1471" t="str" cm="1">
        <f t="array" ref="O1471">IFERROR(LOOKUP(2,1/SEARCH($V$2:$V$65,G1471),$W$2:$W$65),"Misc")</f>
        <v>Fasteners</v>
      </c>
      <c r="P1471" t="str" cm="1">
        <f t="array" ref="P1471">IFERROR(LOOKUP(2,1/SEARCH($Y$2:$Y$65,G1471),$Z$2:$Z$65),"Not Defined")</f>
        <v>WASHER</v>
      </c>
      <c r="Q1471" t="str" cm="1">
        <f t="array" ref="Q1471">IFERROR(LOOKUP(2,1/SEARCH($S$2:$S$65,H1471),$T$2:$T$65),"-")</f>
        <v>COTS</v>
      </c>
    </row>
    <row r="1472" spans="1:17" hidden="1" x14ac:dyDescent="0.25">
      <c r="A1472" t="s">
        <v>7674</v>
      </c>
      <c r="B1472" s="2" t="s">
        <v>3949</v>
      </c>
      <c r="C1472">
        <v>2</v>
      </c>
      <c r="D1472" t="s">
        <v>7358</v>
      </c>
      <c r="E1472" t="s">
        <v>7917</v>
      </c>
      <c r="F1472" t="s">
        <v>3900</v>
      </c>
      <c r="G1472" t="s">
        <v>7417</v>
      </c>
      <c r="H1472" t="s">
        <v>3901</v>
      </c>
      <c r="I1472" t="s">
        <v>228</v>
      </c>
      <c r="J1472" t="s">
        <v>7703</v>
      </c>
      <c r="K1472" t="s">
        <v>7684</v>
      </c>
      <c r="L1472" t="s">
        <v>7685</v>
      </c>
      <c r="N1472" t="str" cm="1">
        <f t="array" ref="N1472">IFERROR(LOOKUP(2,1/SEARCH($S$2:$S$65,G1472),$T$2:$T$65),"Misc")</f>
        <v>COTS</v>
      </c>
      <c r="O1472" t="str" cm="1">
        <f t="array" ref="O1472">IFERROR(LOOKUP(2,1/SEARCH($V$2:$V$65,G1472),$W$2:$W$65),"Misc")</f>
        <v>Fasteners</v>
      </c>
      <c r="P1472" t="str" cm="1">
        <f t="array" ref="P1472">IFERROR(LOOKUP(2,1/SEARCH($Y$2:$Y$65,G1472),$Z$2:$Z$65),"Not Defined")</f>
        <v>NUT</v>
      </c>
      <c r="Q1472" t="str" cm="1">
        <f t="array" ref="Q1472">IFERROR(LOOKUP(2,1/SEARCH($S$2:$S$65,H1472),$T$2:$T$65),"-")</f>
        <v>COTS</v>
      </c>
    </row>
    <row r="1473" spans="1:17" hidden="1" x14ac:dyDescent="0.25">
      <c r="A1473" t="s">
        <v>7674</v>
      </c>
      <c r="B1473" s="2" t="s">
        <v>3950</v>
      </c>
      <c r="C1473">
        <v>1</v>
      </c>
      <c r="D1473" t="s">
        <v>7358</v>
      </c>
      <c r="E1473" t="s">
        <v>7917</v>
      </c>
      <c r="F1473" t="s">
        <v>3904</v>
      </c>
      <c r="G1473" t="s">
        <v>7418</v>
      </c>
      <c r="H1473" t="s">
        <v>3905</v>
      </c>
      <c r="J1473" t="s">
        <v>7703</v>
      </c>
      <c r="K1473" t="s">
        <v>7684</v>
      </c>
      <c r="L1473" t="s">
        <v>7834</v>
      </c>
      <c r="N1473" t="str" cm="1">
        <f t="array" ref="N1473">IFERROR(LOOKUP(2,1/SEARCH($S$2:$S$65,G1473),$T$2:$T$65),"Misc")</f>
        <v>COTS</v>
      </c>
      <c r="O1473" t="str" cm="1">
        <f t="array" ref="O1473">IFERROR(LOOKUP(2,1/SEARCH($V$2:$V$65,G1473),$W$2:$W$65),"Misc")</f>
        <v>Fasteners</v>
      </c>
      <c r="P1473" t="str" cm="1">
        <f t="array" ref="P1473">IFERROR(LOOKUP(2,1/SEARCH($Y$2:$Y$65,G1473),$Z$2:$Z$65),"Not Defined")</f>
        <v>Not Defined</v>
      </c>
      <c r="Q1473" t="str" cm="1">
        <f t="array" ref="Q1473">IFERROR(LOOKUP(2,1/SEARCH($S$2:$S$65,H1473),$T$2:$T$65),"-")</f>
        <v>COTS</v>
      </c>
    </row>
    <row r="1474" spans="1:17" hidden="1" x14ac:dyDescent="0.25">
      <c r="A1474" t="s">
        <v>7674</v>
      </c>
      <c r="B1474" t="s">
        <v>3951</v>
      </c>
      <c r="C1474">
        <v>10</v>
      </c>
      <c r="D1474" t="s">
        <v>7358</v>
      </c>
      <c r="F1474" t="s">
        <v>3555</v>
      </c>
      <c r="G1474" t="s">
        <v>3556</v>
      </c>
      <c r="H1474" t="s">
        <v>3556</v>
      </c>
      <c r="I1474" t="s">
        <v>228</v>
      </c>
      <c r="J1474" t="s">
        <v>7703</v>
      </c>
      <c r="K1474" t="s">
        <v>7684</v>
      </c>
      <c r="L1474" t="s">
        <v>7692</v>
      </c>
      <c r="N1474" t="str" cm="1">
        <f t="array" ref="N1474">IFERROR(LOOKUP(2,1/SEARCH($S$2:$S$65,G1474),$T$2:$T$65),"Misc")</f>
        <v>COTS</v>
      </c>
      <c r="O1474" t="str" cm="1">
        <f t="array" ref="O1474">IFERROR(LOOKUP(2,1/SEARCH($V$2:$V$65,G1474),$W$2:$W$65),"Misc")</f>
        <v>Fasteners</v>
      </c>
      <c r="P1474" t="str" cm="1">
        <f t="array" ref="P1474">IFERROR(LOOKUP(2,1/SEARCH($Y$2:$Y$65,G1474),$Z$2:$Z$65),"Not Defined")</f>
        <v>WASHER</v>
      </c>
      <c r="Q1474" t="str" cm="1">
        <f t="array" ref="Q1474">IFERROR(LOOKUP(2,1/SEARCH($S$2:$S$65,H1474),$T$2:$T$65),"-")</f>
        <v>COTS</v>
      </c>
    </row>
    <row r="1475" spans="1:17" hidden="1" x14ac:dyDescent="0.25">
      <c r="A1475" t="s">
        <v>7674</v>
      </c>
      <c r="B1475" t="s">
        <v>3952</v>
      </c>
      <c r="C1475">
        <v>4</v>
      </c>
      <c r="D1475" t="s">
        <v>7358</v>
      </c>
      <c r="F1475" t="s">
        <v>3681</v>
      </c>
      <c r="G1475" t="s">
        <v>7395</v>
      </c>
      <c r="H1475" t="s">
        <v>3682</v>
      </c>
      <c r="I1475" t="s">
        <v>228</v>
      </c>
      <c r="J1475" t="s">
        <v>7703</v>
      </c>
      <c r="K1475" t="s">
        <v>7684</v>
      </c>
      <c r="L1475" t="s">
        <v>7685</v>
      </c>
      <c r="N1475" t="str" cm="1">
        <f t="array" ref="N1475">IFERROR(LOOKUP(2,1/SEARCH($S$2:$S$65,G1475),$T$2:$T$65),"Misc")</f>
        <v>COTS</v>
      </c>
      <c r="O1475" t="str" cm="1">
        <f t="array" ref="O1475">IFERROR(LOOKUP(2,1/SEARCH($V$2:$V$65,G1475),$W$2:$W$65),"Misc")</f>
        <v>Fasteners</v>
      </c>
      <c r="P1475" t="str" cm="1">
        <f t="array" ref="P1475">IFERROR(LOOKUP(2,1/SEARCH($Y$2:$Y$65,G1475),$Z$2:$Z$65),"Not Defined")</f>
        <v>NUT</v>
      </c>
      <c r="Q1475" t="str" cm="1">
        <f t="array" ref="Q1475">IFERROR(LOOKUP(2,1/SEARCH($S$2:$S$65,H1475),$T$2:$T$65),"-")</f>
        <v>COTS</v>
      </c>
    </row>
    <row r="1476" spans="1:17" hidden="1" x14ac:dyDescent="0.25">
      <c r="A1476" t="s">
        <v>7674</v>
      </c>
      <c r="B1476" t="s">
        <v>3953</v>
      </c>
      <c r="C1476">
        <v>2</v>
      </c>
      <c r="D1476" t="s">
        <v>7358</v>
      </c>
      <c r="F1476" t="s">
        <v>3425</v>
      </c>
      <c r="G1476" t="s">
        <v>7365</v>
      </c>
      <c r="H1476" t="s">
        <v>3426</v>
      </c>
      <c r="I1476" t="s">
        <v>228</v>
      </c>
      <c r="J1476" t="s">
        <v>7703</v>
      </c>
      <c r="K1476" t="s">
        <v>7684</v>
      </c>
      <c r="L1476" t="s">
        <v>7819</v>
      </c>
      <c r="N1476" t="str" cm="1">
        <f t="array" ref="N1476">IFERROR(LOOKUP(2,1/SEARCH($S$2:$S$65,G1476),$T$2:$T$65),"Misc")</f>
        <v>COTS</v>
      </c>
      <c r="O1476" t="str" cm="1">
        <f t="array" ref="O1476">IFERROR(LOOKUP(2,1/SEARCH($V$2:$V$65,G1476),$W$2:$W$65),"Misc")</f>
        <v>Fasteners</v>
      </c>
      <c r="P1476" t="str" cm="1">
        <f t="array" ref="P1476">IFERROR(LOOKUP(2,1/SEARCH($Y$2:$Y$65,G1476),$Z$2:$Z$65),"Not Defined")</f>
        <v>HHS</v>
      </c>
      <c r="Q1476" t="str" cm="1">
        <f t="array" ref="Q1476">IFERROR(LOOKUP(2,1/SEARCH($S$2:$S$65,H1476),$T$2:$T$65),"-")</f>
        <v>COTS</v>
      </c>
    </row>
    <row r="1477" spans="1:17" hidden="1" x14ac:dyDescent="0.25">
      <c r="A1477" t="s">
        <v>7674</v>
      </c>
      <c r="B1477" t="s">
        <v>3954</v>
      </c>
      <c r="C1477">
        <v>1</v>
      </c>
      <c r="D1477" t="s">
        <v>7358</v>
      </c>
      <c r="E1477" t="s">
        <v>3956</v>
      </c>
      <c r="F1477" t="s">
        <v>3955</v>
      </c>
      <c r="G1477" t="s">
        <v>7425</v>
      </c>
      <c r="H1477" t="s">
        <v>3956</v>
      </c>
      <c r="J1477" t="s">
        <v>7742</v>
      </c>
      <c r="K1477" t="s">
        <v>7826</v>
      </c>
      <c r="L1477" t="s">
        <v>7826</v>
      </c>
      <c r="N1477" t="str" cm="1">
        <f t="array" ref="N1477">IFERROR(LOOKUP(2,1/SEARCH($S$2:$S$65,G1477),$T$2:$T$65),"Misc")</f>
        <v>OH ASSY</v>
      </c>
      <c r="O1477" t="str" cm="1">
        <f t="array" ref="O1477">IFERROR(LOOKUP(2,1/SEARCH($V$2:$V$65,G1477),$W$2:$W$65),"Misc")</f>
        <v>OH Part</v>
      </c>
      <c r="P1477" t="str" cm="1">
        <f t="array" ref="P1477">IFERROR(LOOKUP(2,1/SEARCH($Y$2:$Y$65,G1477),$Z$2:$Z$65),"Not Defined")</f>
        <v>OH Part</v>
      </c>
      <c r="Q1477" t="str" cm="1">
        <f t="array" ref="Q1477">IFERROR(LOOKUP(2,1/SEARCH($S$2:$S$65,H1477),$T$2:$T$65),"-")</f>
        <v>OH ASSY</v>
      </c>
    </row>
    <row r="1478" spans="1:17" hidden="1" x14ac:dyDescent="0.25">
      <c r="A1478" t="s">
        <v>7674</v>
      </c>
      <c r="B1478" t="s">
        <v>3957</v>
      </c>
      <c r="C1478">
        <v>1</v>
      </c>
      <c r="D1478" t="s">
        <v>7358</v>
      </c>
      <c r="E1478" t="s">
        <v>3956</v>
      </c>
      <c r="F1478" t="s">
        <v>3958</v>
      </c>
      <c r="G1478" t="s">
        <v>3960</v>
      </c>
      <c r="H1478" t="s">
        <v>3959</v>
      </c>
      <c r="I1478" t="s">
        <v>13</v>
      </c>
      <c r="J1478" t="s">
        <v>7682</v>
      </c>
      <c r="K1478" t="s">
        <v>7826</v>
      </c>
      <c r="L1478" t="s">
        <v>7826</v>
      </c>
      <c r="N1478" t="str" cm="1">
        <f t="array" ref="N1478">IFERROR(LOOKUP(2,1/SEARCH($S$2:$S$65,G1478),$T$2:$T$65),"Misc")</f>
        <v>OH P/N</v>
      </c>
      <c r="O1478" t="str" cm="1">
        <f t="array" ref="O1478">IFERROR(LOOKUP(2,1/SEARCH($V$2:$V$65,G1478),$W$2:$W$65),"Misc")</f>
        <v>OH Part</v>
      </c>
      <c r="P1478" t="str" cm="1">
        <f t="array" ref="P1478">IFERROR(LOOKUP(2,1/SEARCH($Y$2:$Y$65,G1478),$Z$2:$Z$65),"Not Defined")</f>
        <v>OH Part</v>
      </c>
      <c r="Q1478" t="str" cm="1">
        <f t="array" ref="Q1478">IFERROR(LOOKUP(2,1/SEARCH($S$2:$S$65,H1478),$T$2:$T$65),"-")</f>
        <v>-</v>
      </c>
    </row>
    <row r="1479" spans="1:17" hidden="1" x14ac:dyDescent="0.25">
      <c r="A1479" t="s">
        <v>7674</v>
      </c>
      <c r="B1479" t="s">
        <v>3961</v>
      </c>
      <c r="C1479">
        <v>1</v>
      </c>
      <c r="D1479" t="s">
        <v>7358</v>
      </c>
      <c r="E1479" t="s">
        <v>3956</v>
      </c>
      <c r="F1479" t="s">
        <v>3962</v>
      </c>
      <c r="G1479" t="s">
        <v>3964</v>
      </c>
      <c r="H1479" t="s">
        <v>3963</v>
      </c>
      <c r="I1479" t="s">
        <v>299</v>
      </c>
      <c r="J1479" t="s">
        <v>7682</v>
      </c>
      <c r="K1479" t="s">
        <v>7826</v>
      </c>
      <c r="L1479" t="s">
        <v>7826</v>
      </c>
      <c r="N1479" t="str" cm="1">
        <f t="array" ref="N1479">IFERROR(LOOKUP(2,1/SEARCH($S$2:$S$65,G1479),$T$2:$T$65),"Misc")</f>
        <v>OH P/N</v>
      </c>
      <c r="O1479" t="str" cm="1">
        <f t="array" ref="O1479">IFERROR(LOOKUP(2,1/SEARCH($V$2:$V$65,G1479),$W$2:$W$65),"Misc")</f>
        <v>OH Part</v>
      </c>
      <c r="P1479" t="str" cm="1">
        <f t="array" ref="P1479">IFERROR(LOOKUP(2,1/SEARCH($Y$2:$Y$65,G1479),$Z$2:$Z$65),"Not Defined")</f>
        <v>OH Part</v>
      </c>
      <c r="Q1479" t="str" cm="1">
        <f t="array" ref="Q1479">IFERROR(LOOKUP(2,1/SEARCH($S$2:$S$65,H1479),$T$2:$T$65),"-")</f>
        <v>-</v>
      </c>
    </row>
    <row r="1480" spans="1:17" hidden="1" x14ac:dyDescent="0.25">
      <c r="A1480" t="s">
        <v>7674</v>
      </c>
      <c r="B1480" t="s">
        <v>3965</v>
      </c>
      <c r="C1480">
        <v>1</v>
      </c>
      <c r="D1480" t="s">
        <v>7358</v>
      </c>
      <c r="E1480" t="s">
        <v>3956</v>
      </c>
      <c r="F1480">
        <v>2960812</v>
      </c>
      <c r="G1480" t="s">
        <v>3967</v>
      </c>
      <c r="H1480" t="s">
        <v>3966</v>
      </c>
      <c r="I1480" t="s">
        <v>255</v>
      </c>
      <c r="J1480" t="s">
        <v>7703</v>
      </c>
      <c r="K1480" t="s">
        <v>7814</v>
      </c>
      <c r="L1480" t="s">
        <v>7834</v>
      </c>
      <c r="N1480" t="str" cm="1">
        <f t="array" ref="N1480">IFERROR(LOOKUP(2,1/SEARCH($S$2:$S$65,G1480),$T$2:$T$65),"Misc")</f>
        <v>Misc</v>
      </c>
      <c r="O1480" t="str" cm="1">
        <f t="array" ref="O1480">IFERROR(LOOKUP(2,1/SEARCH($V$2:$V$65,G1480),$W$2:$W$65),"Misc")</f>
        <v>Misc</v>
      </c>
      <c r="P1480" t="str" cm="1">
        <f t="array" ref="P1480">IFERROR(LOOKUP(2,1/SEARCH($Y$2:$Y$65,G1480),$Z$2:$Z$65),"Not Defined")</f>
        <v>Not Defined</v>
      </c>
      <c r="Q1480" t="str" cm="1">
        <f t="array" ref="Q1480">IFERROR(LOOKUP(2,1/SEARCH($S$2:$S$65,H1480),$T$2:$T$65),"-")</f>
        <v>-</v>
      </c>
    </row>
    <row r="1481" spans="1:17" hidden="1" x14ac:dyDescent="0.25">
      <c r="A1481" t="s">
        <v>7674</v>
      </c>
      <c r="B1481" t="s">
        <v>3968</v>
      </c>
      <c r="C1481">
        <v>1</v>
      </c>
      <c r="D1481" t="s">
        <v>7358</v>
      </c>
      <c r="E1481" t="s">
        <v>3956</v>
      </c>
      <c r="F1481" t="s">
        <v>3969</v>
      </c>
      <c r="G1481" t="s">
        <v>3971</v>
      </c>
      <c r="H1481" t="s">
        <v>3970</v>
      </c>
      <c r="I1481" t="s">
        <v>13</v>
      </c>
      <c r="J1481" t="s">
        <v>7682</v>
      </c>
      <c r="K1481" t="s">
        <v>7826</v>
      </c>
      <c r="L1481" t="s">
        <v>7826</v>
      </c>
      <c r="N1481" t="str" cm="1">
        <f t="array" ref="N1481">IFERROR(LOOKUP(2,1/SEARCH($S$2:$S$65,G1481),$T$2:$T$65),"Misc")</f>
        <v>OH P/N</v>
      </c>
      <c r="O1481" t="str" cm="1">
        <f t="array" ref="O1481">IFERROR(LOOKUP(2,1/SEARCH($V$2:$V$65,G1481),$W$2:$W$65),"Misc")</f>
        <v>OH Part</v>
      </c>
      <c r="P1481" t="str" cm="1">
        <f t="array" ref="P1481">IFERROR(LOOKUP(2,1/SEARCH($Y$2:$Y$65,G1481),$Z$2:$Z$65),"Not Defined")</f>
        <v>OH Part</v>
      </c>
      <c r="Q1481" t="str" cm="1">
        <f t="array" ref="Q1481">IFERROR(LOOKUP(2,1/SEARCH($S$2:$S$65,H1481),$T$2:$T$65),"-")</f>
        <v>-</v>
      </c>
    </row>
    <row r="1482" spans="1:17" hidden="1" x14ac:dyDescent="0.25">
      <c r="A1482" t="s">
        <v>7674</v>
      </c>
      <c r="B1482" t="s">
        <v>3972</v>
      </c>
      <c r="C1482">
        <v>4</v>
      </c>
      <c r="D1482" t="s">
        <v>7358</v>
      </c>
      <c r="E1482" t="s">
        <v>3956</v>
      </c>
      <c r="F1482" t="s">
        <v>265</v>
      </c>
      <c r="G1482" t="s">
        <v>7099</v>
      </c>
      <c r="H1482" t="s">
        <v>266</v>
      </c>
      <c r="I1482" t="s">
        <v>224</v>
      </c>
      <c r="J1482" t="s">
        <v>7703</v>
      </c>
      <c r="K1482" t="s">
        <v>7684</v>
      </c>
      <c r="L1482" t="s">
        <v>7687</v>
      </c>
      <c r="N1482" t="str" cm="1">
        <f t="array" ref="N1482">IFERROR(LOOKUP(2,1/SEARCH($S$2:$S$65,G1482),$T$2:$T$65),"Misc")</f>
        <v>COTS</v>
      </c>
      <c r="O1482" t="str" cm="1">
        <f t="array" ref="O1482">IFERROR(LOOKUP(2,1/SEARCH($V$2:$V$65,G1482),$W$2:$W$65),"Misc")</f>
        <v>Fasteners</v>
      </c>
      <c r="P1482" t="str" cm="1">
        <f t="array" ref="P1482">IFERROR(LOOKUP(2,1/SEARCH($Y$2:$Y$65,G1482),$Z$2:$Z$65),"Not Defined")</f>
        <v>INSERT</v>
      </c>
      <c r="Q1482" t="str" cm="1">
        <f t="array" ref="Q1482">IFERROR(LOOKUP(2,1/SEARCH($S$2:$S$65,H1482),$T$2:$T$65),"-")</f>
        <v>COTS</v>
      </c>
    </row>
    <row r="1483" spans="1:17" hidden="1" x14ac:dyDescent="0.25">
      <c r="A1483" t="s">
        <v>7674</v>
      </c>
      <c r="B1483" t="s">
        <v>3973</v>
      </c>
      <c r="C1483">
        <v>4</v>
      </c>
      <c r="D1483" t="s">
        <v>7358</v>
      </c>
      <c r="E1483" t="s">
        <v>3956</v>
      </c>
      <c r="F1483" t="s">
        <v>3974</v>
      </c>
      <c r="G1483" t="s">
        <v>7426</v>
      </c>
      <c r="H1483" t="s">
        <v>3975</v>
      </c>
      <c r="I1483" t="s">
        <v>210</v>
      </c>
      <c r="J1483" t="s">
        <v>7703</v>
      </c>
      <c r="K1483" t="s">
        <v>7684</v>
      </c>
      <c r="L1483" t="s">
        <v>7691</v>
      </c>
      <c r="N1483" t="str" cm="1">
        <f t="array" ref="N1483">IFERROR(LOOKUP(2,1/SEARCH($S$2:$S$65,G1483),$T$2:$T$65),"Misc")</f>
        <v>COTS</v>
      </c>
      <c r="O1483" t="str" cm="1">
        <f t="array" ref="O1483">IFERROR(LOOKUP(2,1/SEARCH($V$2:$V$65,G1483),$W$2:$W$65),"Misc")</f>
        <v>Fasteners</v>
      </c>
      <c r="P1483" t="str" cm="1">
        <f t="array" ref="P1483">IFERROR(LOOKUP(2,1/SEARCH($Y$2:$Y$65,G1483),$Z$2:$Z$65),"Not Defined")</f>
        <v>FHS</v>
      </c>
      <c r="Q1483" t="str" cm="1">
        <f t="array" ref="Q1483">IFERROR(LOOKUP(2,1/SEARCH($S$2:$S$65,H1483),$T$2:$T$65),"-")</f>
        <v>COTS</v>
      </c>
    </row>
    <row r="1484" spans="1:17" hidden="1" x14ac:dyDescent="0.25">
      <c r="A1484" t="s">
        <v>7674</v>
      </c>
      <c r="B1484" t="s">
        <v>3976</v>
      </c>
      <c r="C1484">
        <v>1</v>
      </c>
      <c r="D1484" t="s">
        <v>7358</v>
      </c>
      <c r="E1484" t="s">
        <v>3956</v>
      </c>
      <c r="F1484" t="s">
        <v>3977</v>
      </c>
      <c r="G1484" t="s">
        <v>7427</v>
      </c>
      <c r="H1484" t="s">
        <v>3978</v>
      </c>
      <c r="I1484" t="s">
        <v>255</v>
      </c>
      <c r="J1484" t="s">
        <v>7703</v>
      </c>
      <c r="K1484" t="s">
        <v>7818</v>
      </c>
      <c r="L1484" t="s">
        <v>7818</v>
      </c>
      <c r="N1484" t="str" cm="1">
        <f t="array" ref="N1484">IFERROR(LOOKUP(2,1/SEARCH($S$2:$S$65,G1484),$T$2:$T$65),"Misc")</f>
        <v>COTS</v>
      </c>
      <c r="O1484" t="str" cm="1">
        <f t="array" ref="O1484">IFERROR(LOOKUP(2,1/SEARCH($V$2:$V$65,G1484),$W$2:$W$65),"Misc")</f>
        <v>Connector</v>
      </c>
      <c r="P1484" t="str" cm="1">
        <f t="array" ref="P1484">IFERROR(LOOKUP(2,1/SEARCH($Y$2:$Y$65,G1484),$Z$2:$Z$65),"Not Defined")</f>
        <v>Connector</v>
      </c>
      <c r="Q1484" t="str" cm="1">
        <f t="array" ref="Q1484">IFERROR(LOOKUP(2,1/SEARCH($S$2:$S$65,H1484),$T$2:$T$65),"-")</f>
        <v>COTS</v>
      </c>
    </row>
    <row r="1485" spans="1:17" hidden="1" x14ac:dyDescent="0.25">
      <c r="A1485" t="s">
        <v>7674</v>
      </c>
      <c r="B1485" t="s">
        <v>3979</v>
      </c>
      <c r="C1485">
        <v>1</v>
      </c>
      <c r="D1485" t="s">
        <v>7358</v>
      </c>
      <c r="E1485" t="s">
        <v>3956</v>
      </c>
      <c r="F1485" t="s">
        <v>3980</v>
      </c>
      <c r="G1485" t="s">
        <v>7428</v>
      </c>
      <c r="H1485" t="s">
        <v>3981</v>
      </c>
      <c r="I1485" t="s">
        <v>255</v>
      </c>
      <c r="J1485" t="s">
        <v>7703</v>
      </c>
      <c r="K1485" t="s">
        <v>7818</v>
      </c>
      <c r="L1485" t="s">
        <v>7818</v>
      </c>
      <c r="N1485" t="str" cm="1">
        <f t="array" ref="N1485">IFERROR(LOOKUP(2,1/SEARCH($S$2:$S$65,G1485),$T$2:$T$65),"Misc")</f>
        <v>COTS</v>
      </c>
      <c r="O1485" t="str" cm="1">
        <f t="array" ref="O1485">IFERROR(LOOKUP(2,1/SEARCH($V$2:$V$65,G1485),$W$2:$W$65),"Misc")</f>
        <v>Misc</v>
      </c>
      <c r="P1485" t="str" cm="1">
        <f t="array" ref="P1485">IFERROR(LOOKUP(2,1/SEARCH($Y$2:$Y$65,G1485),$Z$2:$Z$65),"Not Defined")</f>
        <v>Misc</v>
      </c>
      <c r="Q1485" t="str" cm="1">
        <f t="array" ref="Q1485">IFERROR(LOOKUP(2,1/SEARCH($S$2:$S$65,H1485),$T$2:$T$65),"-")</f>
        <v>COTS</v>
      </c>
    </row>
    <row r="1486" spans="1:17" hidden="1" x14ac:dyDescent="0.25">
      <c r="A1486" t="s">
        <v>7674</v>
      </c>
      <c r="B1486" t="s">
        <v>3982</v>
      </c>
      <c r="C1486">
        <v>2</v>
      </c>
      <c r="D1486" t="s">
        <v>7358</v>
      </c>
      <c r="E1486" t="s">
        <v>3956</v>
      </c>
      <c r="F1486" t="s">
        <v>3507</v>
      </c>
      <c r="G1486" t="s">
        <v>7374</v>
      </c>
      <c r="H1486" t="s">
        <v>3508</v>
      </c>
      <c r="I1486" t="s">
        <v>228</v>
      </c>
      <c r="J1486" t="s">
        <v>7703</v>
      </c>
      <c r="K1486" t="s">
        <v>7684</v>
      </c>
      <c r="L1486" t="s">
        <v>7739</v>
      </c>
      <c r="N1486" t="str" cm="1">
        <f t="array" ref="N1486">IFERROR(LOOKUP(2,1/SEARCH($S$2:$S$65,G1486),$T$2:$T$65),"Misc")</f>
        <v>COTS</v>
      </c>
      <c r="O1486" t="str" cm="1">
        <f t="array" ref="O1486">IFERROR(LOOKUP(2,1/SEARCH($V$2:$V$65,G1486),$W$2:$W$65),"Misc")</f>
        <v>Fasteners</v>
      </c>
      <c r="P1486" t="str" cm="1">
        <f t="array" ref="P1486">IFERROR(LOOKUP(2,1/SEARCH($Y$2:$Y$65,G1486),$Z$2:$Z$65),"Not Defined")</f>
        <v>BHCS</v>
      </c>
      <c r="Q1486" t="str" cm="1">
        <f t="array" ref="Q1486">IFERROR(LOOKUP(2,1/SEARCH($S$2:$S$65,H1486),$T$2:$T$65),"-")</f>
        <v>COTS</v>
      </c>
    </row>
    <row r="1487" spans="1:17" hidden="1" x14ac:dyDescent="0.25">
      <c r="A1487" t="s">
        <v>7674</v>
      </c>
      <c r="B1487" t="s">
        <v>3983</v>
      </c>
      <c r="C1487">
        <v>2</v>
      </c>
      <c r="D1487" t="s">
        <v>7358</v>
      </c>
      <c r="E1487" t="s">
        <v>3956</v>
      </c>
      <c r="F1487" t="s">
        <v>3551</v>
      </c>
      <c r="G1487" t="s">
        <v>7379</v>
      </c>
      <c r="H1487" t="s">
        <v>3552</v>
      </c>
      <c r="I1487" t="s">
        <v>228</v>
      </c>
      <c r="J1487" t="s">
        <v>7703</v>
      </c>
      <c r="K1487" t="s">
        <v>7684</v>
      </c>
      <c r="L1487" t="s">
        <v>7692</v>
      </c>
      <c r="N1487" t="str" cm="1">
        <f t="array" ref="N1487">IFERROR(LOOKUP(2,1/SEARCH($S$2:$S$65,G1487),$T$2:$T$65),"Misc")</f>
        <v>COTS</v>
      </c>
      <c r="O1487" t="str" cm="1">
        <f t="array" ref="O1487">IFERROR(LOOKUP(2,1/SEARCH($V$2:$V$65,G1487),$W$2:$W$65),"Misc")</f>
        <v>Fasteners</v>
      </c>
      <c r="P1487" t="str" cm="1">
        <f t="array" ref="P1487">IFERROR(LOOKUP(2,1/SEARCH($Y$2:$Y$65,G1487),$Z$2:$Z$65),"Not Defined")</f>
        <v>WASHER</v>
      </c>
      <c r="Q1487" t="str" cm="1">
        <f t="array" ref="Q1487">IFERROR(LOOKUP(2,1/SEARCH($S$2:$S$65,H1487),$T$2:$T$65),"-")</f>
        <v>COTS</v>
      </c>
    </row>
    <row r="1488" spans="1:17" hidden="1" x14ac:dyDescent="0.25">
      <c r="A1488" t="s">
        <v>7674</v>
      </c>
      <c r="B1488" t="s">
        <v>3984</v>
      </c>
      <c r="C1488">
        <v>1</v>
      </c>
      <c r="D1488" t="s">
        <v>7358</v>
      </c>
      <c r="E1488" t="s">
        <v>3956</v>
      </c>
      <c r="F1488" t="s">
        <v>3985</v>
      </c>
      <c r="G1488" t="s">
        <v>7429</v>
      </c>
      <c r="H1488" t="s">
        <v>3986</v>
      </c>
      <c r="I1488" t="s">
        <v>255</v>
      </c>
      <c r="J1488" t="s">
        <v>7703</v>
      </c>
      <c r="K1488" t="s">
        <v>7818</v>
      </c>
      <c r="L1488" t="s">
        <v>7818</v>
      </c>
      <c r="N1488" t="str" cm="1">
        <f t="array" ref="N1488">IFERROR(LOOKUP(2,1/SEARCH($S$2:$S$65,G1488),$T$2:$T$65),"Misc")</f>
        <v>COTS</v>
      </c>
      <c r="O1488" t="str" cm="1">
        <f t="array" ref="O1488">IFERROR(LOOKUP(2,1/SEARCH($V$2:$V$65,G1488),$W$2:$W$65),"Misc")</f>
        <v>Connector</v>
      </c>
      <c r="P1488" t="str" cm="1">
        <f t="array" ref="P1488">IFERROR(LOOKUP(2,1/SEARCH($Y$2:$Y$65,G1488),$Z$2:$Z$65),"Not Defined")</f>
        <v>Connector</v>
      </c>
      <c r="Q1488" t="str" cm="1">
        <f t="array" ref="Q1488">IFERROR(LOOKUP(2,1/SEARCH($S$2:$S$65,H1488),$T$2:$T$65),"-")</f>
        <v>COTS</v>
      </c>
    </row>
    <row r="1489" spans="1:17" hidden="1" x14ac:dyDescent="0.25">
      <c r="A1489" t="s">
        <v>7674</v>
      </c>
      <c r="B1489" t="s">
        <v>3987</v>
      </c>
      <c r="C1489">
        <v>1</v>
      </c>
      <c r="D1489" t="s">
        <v>7358</v>
      </c>
      <c r="E1489" t="s">
        <v>3956</v>
      </c>
      <c r="F1489" t="s">
        <v>3988</v>
      </c>
      <c r="G1489" t="s">
        <v>3990</v>
      </c>
      <c r="H1489" t="s">
        <v>3989</v>
      </c>
      <c r="I1489" t="s">
        <v>13</v>
      </c>
      <c r="J1489" t="s">
        <v>7682</v>
      </c>
      <c r="K1489" t="s">
        <v>7826</v>
      </c>
      <c r="L1489" t="s">
        <v>7826</v>
      </c>
      <c r="N1489" t="str" cm="1">
        <f t="array" ref="N1489">IFERROR(LOOKUP(2,1/SEARCH($S$2:$S$65,G1489),$T$2:$T$65),"Misc")</f>
        <v>OH P/N</v>
      </c>
      <c r="O1489" t="str" cm="1">
        <f t="array" ref="O1489">IFERROR(LOOKUP(2,1/SEARCH($V$2:$V$65,G1489),$W$2:$W$65),"Misc")</f>
        <v>OH Part</v>
      </c>
      <c r="P1489" t="str" cm="1">
        <f t="array" ref="P1489">IFERROR(LOOKUP(2,1/SEARCH($Y$2:$Y$65,G1489),$Z$2:$Z$65),"Not Defined")</f>
        <v>OH Part</v>
      </c>
      <c r="Q1489" t="str" cm="1">
        <f t="array" ref="Q1489">IFERROR(LOOKUP(2,1/SEARCH($S$2:$S$65,H1489),$T$2:$T$65),"-")</f>
        <v>COTS</v>
      </c>
    </row>
    <row r="1490" spans="1:17" hidden="1" x14ac:dyDescent="0.25">
      <c r="A1490" t="s">
        <v>7674</v>
      </c>
      <c r="B1490" t="s">
        <v>3991</v>
      </c>
      <c r="C1490">
        <v>2</v>
      </c>
      <c r="D1490" t="s">
        <v>7358</v>
      </c>
      <c r="E1490" t="s">
        <v>3956</v>
      </c>
      <c r="F1490" t="s">
        <v>3396</v>
      </c>
      <c r="G1490" t="s">
        <v>7361</v>
      </c>
      <c r="H1490" t="s">
        <v>3397</v>
      </c>
      <c r="I1490" t="s">
        <v>228</v>
      </c>
      <c r="J1490" t="s">
        <v>7703</v>
      </c>
      <c r="K1490" t="s">
        <v>7684</v>
      </c>
      <c r="L1490" t="s">
        <v>7685</v>
      </c>
      <c r="N1490" t="str" cm="1">
        <f t="array" ref="N1490">IFERROR(LOOKUP(2,1/SEARCH($S$2:$S$65,G1490),$T$2:$T$65),"Misc")</f>
        <v>COTS</v>
      </c>
      <c r="O1490" t="str" cm="1">
        <f t="array" ref="O1490">IFERROR(LOOKUP(2,1/SEARCH($V$2:$V$65,G1490),$W$2:$W$65),"Misc")</f>
        <v>Fasteners</v>
      </c>
      <c r="P1490" t="str" cm="1">
        <f t="array" ref="P1490">IFERROR(LOOKUP(2,1/SEARCH($Y$2:$Y$65,G1490),$Z$2:$Z$65),"Not Defined")</f>
        <v>NUT</v>
      </c>
      <c r="Q1490" t="str" cm="1">
        <f t="array" ref="Q1490">IFERROR(LOOKUP(2,1/SEARCH($S$2:$S$65,H1490),$T$2:$T$65),"-")</f>
        <v>COTS</v>
      </c>
    </row>
    <row r="1491" spans="1:17" hidden="1" x14ac:dyDescent="0.25">
      <c r="A1491" t="s">
        <v>7674</v>
      </c>
      <c r="B1491" t="s">
        <v>3992</v>
      </c>
      <c r="C1491">
        <v>1</v>
      </c>
      <c r="D1491" t="s">
        <v>7358</v>
      </c>
      <c r="E1491" t="s">
        <v>3956</v>
      </c>
      <c r="F1491" t="s">
        <v>3993</v>
      </c>
      <c r="G1491" t="s">
        <v>3995</v>
      </c>
      <c r="H1491" t="s">
        <v>3994</v>
      </c>
      <c r="I1491" t="s">
        <v>13</v>
      </c>
      <c r="J1491" t="s">
        <v>7682</v>
      </c>
      <c r="K1491" t="s">
        <v>7826</v>
      </c>
      <c r="L1491" t="s">
        <v>7826</v>
      </c>
      <c r="N1491" t="str" cm="1">
        <f t="array" ref="N1491">IFERROR(LOOKUP(2,1/SEARCH($S$2:$S$65,G1491),$T$2:$T$65),"Misc")</f>
        <v>OH P/N</v>
      </c>
      <c r="O1491" t="str" cm="1">
        <f t="array" ref="O1491">IFERROR(LOOKUP(2,1/SEARCH($V$2:$V$65,G1491),$W$2:$W$65),"Misc")</f>
        <v>OH Part</v>
      </c>
      <c r="P1491" t="str" cm="1">
        <f t="array" ref="P1491">IFERROR(LOOKUP(2,1/SEARCH($Y$2:$Y$65,G1491),$Z$2:$Z$65),"Not Defined")</f>
        <v>OH Part</v>
      </c>
      <c r="Q1491" t="str" cm="1">
        <f t="array" ref="Q1491">IFERROR(LOOKUP(2,1/SEARCH($S$2:$S$65,H1491),$T$2:$T$65),"-")</f>
        <v>COTS</v>
      </c>
    </row>
    <row r="1492" spans="1:17" hidden="1" x14ac:dyDescent="0.25">
      <c r="A1492" t="s">
        <v>7674</v>
      </c>
      <c r="B1492" t="s">
        <v>3996</v>
      </c>
      <c r="C1492">
        <v>1</v>
      </c>
      <c r="D1492" t="s">
        <v>7358</v>
      </c>
      <c r="F1492" t="s">
        <v>3997</v>
      </c>
      <c r="G1492" t="s">
        <v>7430</v>
      </c>
      <c r="H1492" t="s">
        <v>3998</v>
      </c>
      <c r="I1492" t="s">
        <v>2537</v>
      </c>
      <c r="J1492" t="s">
        <v>7742</v>
      </c>
      <c r="K1492" t="s">
        <v>7826</v>
      </c>
      <c r="L1492" t="s">
        <v>7826</v>
      </c>
      <c r="N1492" t="str" cm="1">
        <f t="array" ref="N1492">IFERROR(LOOKUP(2,1/SEARCH($S$2:$S$65,G1492),$T$2:$T$65),"Misc")</f>
        <v>OH ASSY</v>
      </c>
      <c r="O1492" t="str" cm="1">
        <f t="array" ref="O1492">IFERROR(LOOKUP(2,1/SEARCH($V$2:$V$65,G1492),$W$2:$W$65),"Misc")</f>
        <v>OH Part</v>
      </c>
      <c r="P1492" t="str" cm="1">
        <f t="array" ref="P1492">IFERROR(LOOKUP(2,1/SEARCH($Y$2:$Y$65,G1492),$Z$2:$Z$65),"Not Defined")</f>
        <v>OH Part</v>
      </c>
      <c r="Q1492" t="str" cm="1">
        <f t="array" ref="Q1492">IFERROR(LOOKUP(2,1/SEARCH($S$2:$S$65,H1492),$T$2:$T$65),"-")</f>
        <v>OH ASSY</v>
      </c>
    </row>
    <row r="1493" spans="1:17" hidden="1" x14ac:dyDescent="0.25">
      <c r="A1493" t="s">
        <v>7674</v>
      </c>
      <c r="B1493" t="s">
        <v>3999</v>
      </c>
      <c r="C1493">
        <v>4</v>
      </c>
      <c r="D1493" t="s">
        <v>7358</v>
      </c>
      <c r="F1493" t="s">
        <v>3551</v>
      </c>
      <c r="G1493" t="s">
        <v>7379</v>
      </c>
      <c r="H1493" t="s">
        <v>3552</v>
      </c>
      <c r="I1493" t="s">
        <v>228</v>
      </c>
      <c r="J1493" t="s">
        <v>7703</v>
      </c>
      <c r="K1493" t="s">
        <v>7684</v>
      </c>
      <c r="L1493" t="s">
        <v>7692</v>
      </c>
      <c r="N1493" t="str" cm="1">
        <f t="array" ref="N1493">IFERROR(LOOKUP(2,1/SEARCH($S$2:$S$65,G1493),$T$2:$T$65),"Misc")</f>
        <v>COTS</v>
      </c>
      <c r="O1493" t="str" cm="1">
        <f t="array" ref="O1493">IFERROR(LOOKUP(2,1/SEARCH($V$2:$V$65,G1493),$W$2:$W$65),"Misc")</f>
        <v>Fasteners</v>
      </c>
      <c r="P1493" t="str" cm="1">
        <f t="array" ref="P1493">IFERROR(LOOKUP(2,1/SEARCH($Y$2:$Y$65,G1493),$Z$2:$Z$65),"Not Defined")</f>
        <v>WASHER</v>
      </c>
      <c r="Q1493" t="str" cm="1">
        <f t="array" ref="Q1493">IFERROR(LOOKUP(2,1/SEARCH($S$2:$S$65,H1493),$T$2:$T$65),"-")</f>
        <v>COTS</v>
      </c>
    </row>
    <row r="1494" spans="1:17" hidden="1" x14ac:dyDescent="0.25">
      <c r="A1494" t="s">
        <v>7674</v>
      </c>
      <c r="B1494" t="s">
        <v>4000</v>
      </c>
      <c r="C1494">
        <v>2</v>
      </c>
      <c r="D1494" t="s">
        <v>7358</v>
      </c>
      <c r="F1494" t="s">
        <v>3396</v>
      </c>
      <c r="G1494" t="s">
        <v>7361</v>
      </c>
      <c r="H1494" t="s">
        <v>3397</v>
      </c>
      <c r="I1494" t="s">
        <v>228</v>
      </c>
      <c r="J1494" t="s">
        <v>7703</v>
      </c>
      <c r="K1494" t="s">
        <v>7684</v>
      </c>
      <c r="L1494" t="s">
        <v>7685</v>
      </c>
      <c r="N1494" t="str" cm="1">
        <f t="array" ref="N1494">IFERROR(LOOKUP(2,1/SEARCH($S$2:$S$65,G1494),$T$2:$T$65),"Misc")</f>
        <v>COTS</v>
      </c>
      <c r="O1494" t="str" cm="1">
        <f t="array" ref="O1494">IFERROR(LOOKUP(2,1/SEARCH($V$2:$V$65,G1494),$W$2:$W$65),"Misc")</f>
        <v>Fasteners</v>
      </c>
      <c r="P1494" t="str" cm="1">
        <f t="array" ref="P1494">IFERROR(LOOKUP(2,1/SEARCH($Y$2:$Y$65,G1494),$Z$2:$Z$65),"Not Defined")</f>
        <v>NUT</v>
      </c>
      <c r="Q1494" t="str" cm="1">
        <f t="array" ref="Q1494">IFERROR(LOOKUP(2,1/SEARCH($S$2:$S$65,H1494),$T$2:$T$65),"-")</f>
        <v>COTS</v>
      </c>
    </row>
    <row r="1495" spans="1:17" hidden="1" x14ac:dyDescent="0.25">
      <c r="A1495" t="s">
        <v>7674</v>
      </c>
      <c r="B1495" t="s">
        <v>4001</v>
      </c>
      <c r="C1495">
        <v>2</v>
      </c>
      <c r="D1495" t="s">
        <v>7358</v>
      </c>
      <c r="F1495" t="s">
        <v>3621</v>
      </c>
      <c r="G1495" t="s">
        <v>7390</v>
      </c>
      <c r="H1495" t="s">
        <v>3622</v>
      </c>
      <c r="I1495" t="s">
        <v>228</v>
      </c>
      <c r="J1495" t="s">
        <v>7703</v>
      </c>
      <c r="K1495" t="s">
        <v>7684</v>
      </c>
      <c r="L1495" t="s">
        <v>7739</v>
      </c>
      <c r="N1495" t="str" cm="1">
        <f t="array" ref="N1495">IFERROR(LOOKUP(2,1/SEARCH($S$2:$S$65,G1495),$T$2:$T$65),"Misc")</f>
        <v>COTS</v>
      </c>
      <c r="O1495" t="str" cm="1">
        <f t="array" ref="O1495">IFERROR(LOOKUP(2,1/SEARCH($V$2:$V$65,G1495),$W$2:$W$65),"Misc")</f>
        <v>Fasteners</v>
      </c>
      <c r="P1495" t="str" cm="1">
        <f t="array" ref="P1495">IFERROR(LOOKUP(2,1/SEARCH($Y$2:$Y$65,G1495),$Z$2:$Z$65),"Not Defined")</f>
        <v>BHCS</v>
      </c>
      <c r="Q1495" t="str" cm="1">
        <f t="array" ref="Q1495">IFERROR(LOOKUP(2,1/SEARCH($S$2:$S$65,H1495),$T$2:$T$65),"-")</f>
        <v>COTS</v>
      </c>
    </row>
    <row r="1496" spans="1:17" x14ac:dyDescent="0.25">
      <c r="A1496" t="s">
        <v>7675</v>
      </c>
      <c r="B1496" s="18">
        <v>3</v>
      </c>
      <c r="C1496">
        <v>1</v>
      </c>
      <c r="D1496" t="s">
        <v>7431</v>
      </c>
      <c r="F1496" t="s">
        <v>4002</v>
      </c>
      <c r="G1496" t="s">
        <v>7431</v>
      </c>
      <c r="H1496" t="s">
        <v>4003</v>
      </c>
      <c r="J1496" t="s">
        <v>7742</v>
      </c>
      <c r="K1496" t="s">
        <v>7826</v>
      </c>
      <c r="L1496" t="s">
        <v>7826</v>
      </c>
      <c r="N1496" t="str" cm="1">
        <f t="array" ref="N1496">IFERROR(LOOKUP(2,1/SEARCH($S$2:$S$65,G1496),$T$2:$T$65),"Misc")</f>
        <v>OH ASSY</v>
      </c>
      <c r="O1496" t="str" cm="1">
        <f t="array" ref="O1496">IFERROR(LOOKUP(2,1/SEARCH($V$2:$V$65,G1496),$W$2:$W$65),"Misc")</f>
        <v>OH Part</v>
      </c>
      <c r="P1496" t="str" cm="1">
        <f t="array" ref="P1496">IFERROR(LOOKUP(2,1/SEARCH($Y$2:$Y$65,G1496),$Z$2:$Z$65),"Not Defined")</f>
        <v>OH Part</v>
      </c>
      <c r="Q1496" t="str" cm="1">
        <f t="array" ref="Q1496">IFERROR(LOOKUP(2,1/SEARCH($S$2:$S$65,H1496),$T$2:$T$65),"-")</f>
        <v>OH ASSY</v>
      </c>
    </row>
    <row r="1497" spans="1:17" x14ac:dyDescent="0.25">
      <c r="A1497" t="s">
        <v>7675</v>
      </c>
      <c r="B1497" s="18">
        <v>3.1</v>
      </c>
      <c r="C1497">
        <v>1</v>
      </c>
      <c r="D1497" t="s">
        <v>7431</v>
      </c>
      <c r="F1497" t="s">
        <v>4004</v>
      </c>
      <c r="G1497" t="s">
        <v>4006</v>
      </c>
      <c r="H1497" t="s">
        <v>4005</v>
      </c>
      <c r="I1497" t="s">
        <v>26</v>
      </c>
      <c r="J1497" t="s">
        <v>7682</v>
      </c>
      <c r="K1497" t="s">
        <v>7826</v>
      </c>
      <c r="L1497" t="s">
        <v>7826</v>
      </c>
      <c r="N1497" t="str" cm="1">
        <f t="array" ref="N1497">IFERROR(LOOKUP(2,1/SEARCH($S$2:$S$65,G1497),$T$2:$T$65),"Misc")</f>
        <v>OH P/N</v>
      </c>
      <c r="O1497" t="str" cm="1">
        <f t="array" ref="O1497">IFERROR(LOOKUP(2,1/SEARCH($V$2:$V$65,G1497),$W$2:$W$65),"Misc")</f>
        <v>OH Part</v>
      </c>
      <c r="P1497" t="str" cm="1">
        <f t="array" ref="P1497">IFERROR(LOOKUP(2,1/SEARCH($Y$2:$Y$65,G1497),$Z$2:$Z$65),"Not Defined")</f>
        <v>OH Part</v>
      </c>
      <c r="Q1497" t="str" cm="1">
        <f t="array" ref="Q1497">IFERROR(LOOKUP(2,1/SEARCH($S$2:$S$65,H1497),$T$2:$T$65),"-")</f>
        <v>-</v>
      </c>
    </row>
    <row r="1498" spans="1:17" hidden="1" x14ac:dyDescent="0.25">
      <c r="A1498" t="s">
        <v>7675</v>
      </c>
      <c r="B1498" s="18">
        <v>3.2</v>
      </c>
      <c r="C1498">
        <v>1</v>
      </c>
      <c r="D1498" t="s">
        <v>7431</v>
      </c>
      <c r="E1498" t="s">
        <v>4008</v>
      </c>
      <c r="F1498" t="s">
        <v>4007</v>
      </c>
      <c r="G1498" t="s">
        <v>4009</v>
      </c>
      <c r="H1498" t="s">
        <v>4008</v>
      </c>
      <c r="J1498" t="s">
        <v>7682</v>
      </c>
      <c r="K1498" t="s">
        <v>7826</v>
      </c>
      <c r="L1498" t="s">
        <v>7826</v>
      </c>
      <c r="N1498" t="str" cm="1">
        <f t="array" ref="N1498">IFERROR(LOOKUP(2,1/SEARCH($S$2:$S$65,G1498),$T$2:$T$65),"Misc")</f>
        <v>OH P/N</v>
      </c>
      <c r="O1498" t="str" cm="1">
        <f t="array" ref="O1498">IFERROR(LOOKUP(2,1/SEARCH($V$2:$V$65,G1498),$W$2:$W$65),"Misc")</f>
        <v>OH Part</v>
      </c>
      <c r="P1498" t="str" cm="1">
        <f t="array" ref="P1498">IFERROR(LOOKUP(2,1/SEARCH($Y$2:$Y$65,G1498),$Z$2:$Z$65),"Not Defined")</f>
        <v>OH Part</v>
      </c>
      <c r="Q1498" t="str" cm="1">
        <f t="array" ref="Q1498">IFERROR(LOOKUP(2,1/SEARCH($S$2:$S$65,H1498),$T$2:$T$65),"-")</f>
        <v>-</v>
      </c>
    </row>
    <row r="1499" spans="1:17" hidden="1" x14ac:dyDescent="0.25">
      <c r="A1499" t="s">
        <v>7675</v>
      </c>
      <c r="B1499" t="s">
        <v>4010</v>
      </c>
      <c r="C1499">
        <v>1</v>
      </c>
      <c r="D1499" t="s">
        <v>7431</v>
      </c>
      <c r="E1499" t="s">
        <v>4008</v>
      </c>
      <c r="F1499" t="s">
        <v>4011</v>
      </c>
      <c r="G1499" t="s">
        <v>4013</v>
      </c>
      <c r="H1499" t="s">
        <v>4012</v>
      </c>
      <c r="I1499" t="s">
        <v>13</v>
      </c>
      <c r="J1499" t="s">
        <v>7682</v>
      </c>
      <c r="K1499" t="s">
        <v>7826</v>
      </c>
      <c r="L1499" t="s">
        <v>7826</v>
      </c>
      <c r="N1499" t="str" cm="1">
        <f t="array" ref="N1499">IFERROR(LOOKUP(2,1/SEARCH($S$2:$S$65,G1499),$T$2:$T$65),"Misc")</f>
        <v>OH P/N</v>
      </c>
      <c r="O1499" t="str" cm="1">
        <f t="array" ref="O1499">IFERROR(LOOKUP(2,1/SEARCH($V$2:$V$65,G1499),$W$2:$W$65),"Misc")</f>
        <v>OH Part</v>
      </c>
      <c r="P1499" t="str" cm="1">
        <f t="array" ref="P1499">IFERROR(LOOKUP(2,1/SEARCH($Y$2:$Y$65,G1499),$Z$2:$Z$65),"Not Defined")</f>
        <v>OH Part</v>
      </c>
      <c r="Q1499" t="str" cm="1">
        <f t="array" ref="Q1499">IFERROR(LOOKUP(2,1/SEARCH($S$2:$S$65,H1499),$T$2:$T$65),"-")</f>
        <v>-</v>
      </c>
    </row>
    <row r="1500" spans="1:17" hidden="1" x14ac:dyDescent="0.25">
      <c r="A1500" t="s">
        <v>7675</v>
      </c>
      <c r="B1500" t="s">
        <v>4014</v>
      </c>
      <c r="C1500">
        <v>1</v>
      </c>
      <c r="D1500" t="s">
        <v>7431</v>
      </c>
      <c r="E1500" t="s">
        <v>4008</v>
      </c>
      <c r="F1500" t="s">
        <v>4015</v>
      </c>
      <c r="G1500" t="s">
        <v>4017</v>
      </c>
      <c r="H1500" t="s">
        <v>4016</v>
      </c>
      <c r="I1500" t="s">
        <v>281</v>
      </c>
      <c r="J1500" t="s">
        <v>7682</v>
      </c>
      <c r="K1500" t="s">
        <v>7826</v>
      </c>
      <c r="L1500" t="s">
        <v>7826</v>
      </c>
      <c r="N1500" t="str" cm="1">
        <f t="array" ref="N1500">IFERROR(LOOKUP(2,1/SEARCH($S$2:$S$65,G1500),$T$2:$T$65),"Misc")</f>
        <v>OH P/N</v>
      </c>
      <c r="O1500" t="str" cm="1">
        <f t="array" ref="O1500">IFERROR(LOOKUP(2,1/SEARCH($V$2:$V$65,G1500),$W$2:$W$65),"Misc")</f>
        <v>OH Part</v>
      </c>
      <c r="P1500" t="str" cm="1">
        <f t="array" ref="P1500">IFERROR(LOOKUP(2,1/SEARCH($Y$2:$Y$65,G1500),$Z$2:$Z$65),"Not Defined")</f>
        <v>OH Part</v>
      </c>
      <c r="Q1500" t="str" cm="1">
        <f t="array" ref="Q1500">IFERROR(LOOKUP(2,1/SEARCH($S$2:$S$65,H1500),$T$2:$T$65),"-")</f>
        <v>-</v>
      </c>
    </row>
    <row r="1501" spans="1:17" hidden="1" x14ac:dyDescent="0.25">
      <c r="A1501" t="s">
        <v>7675</v>
      </c>
      <c r="B1501" t="s">
        <v>4018</v>
      </c>
      <c r="C1501">
        <v>1</v>
      </c>
      <c r="D1501" t="s">
        <v>7431</v>
      </c>
      <c r="E1501" t="s">
        <v>4008</v>
      </c>
      <c r="F1501" t="s">
        <v>4019</v>
      </c>
      <c r="G1501" t="s">
        <v>4021</v>
      </c>
      <c r="H1501" t="s">
        <v>4020</v>
      </c>
      <c r="I1501" t="s">
        <v>13</v>
      </c>
      <c r="J1501" t="s">
        <v>7682</v>
      </c>
      <c r="K1501" t="s">
        <v>7826</v>
      </c>
      <c r="L1501" t="s">
        <v>7826</v>
      </c>
      <c r="N1501" t="str" cm="1">
        <f t="array" ref="N1501">IFERROR(LOOKUP(2,1/SEARCH($S$2:$S$65,G1501),$T$2:$T$65),"Misc")</f>
        <v>OH P/N</v>
      </c>
      <c r="O1501" t="str" cm="1">
        <f t="array" ref="O1501">IFERROR(LOOKUP(2,1/SEARCH($V$2:$V$65,G1501),$W$2:$W$65),"Misc")</f>
        <v>OH Part</v>
      </c>
      <c r="P1501" t="str" cm="1">
        <f t="array" ref="P1501">IFERROR(LOOKUP(2,1/SEARCH($Y$2:$Y$65,G1501),$Z$2:$Z$65),"Not Defined")</f>
        <v>OH Part</v>
      </c>
      <c r="Q1501" t="str" cm="1">
        <f t="array" ref="Q1501">IFERROR(LOOKUP(2,1/SEARCH($S$2:$S$65,H1501),$T$2:$T$65),"-")</f>
        <v>-</v>
      </c>
    </row>
    <row r="1502" spans="1:17" hidden="1" x14ac:dyDescent="0.25">
      <c r="A1502" t="s">
        <v>7675</v>
      </c>
      <c r="B1502" t="s">
        <v>4022</v>
      </c>
      <c r="C1502">
        <v>1</v>
      </c>
      <c r="D1502" t="s">
        <v>7431</v>
      </c>
      <c r="E1502" t="s">
        <v>4008</v>
      </c>
      <c r="F1502" t="s">
        <v>4023</v>
      </c>
      <c r="G1502" t="s">
        <v>4025</v>
      </c>
      <c r="H1502" t="s">
        <v>4024</v>
      </c>
      <c r="I1502" t="s">
        <v>281</v>
      </c>
      <c r="J1502" t="s">
        <v>7682</v>
      </c>
      <c r="K1502" t="s">
        <v>7826</v>
      </c>
      <c r="L1502" t="s">
        <v>7826</v>
      </c>
      <c r="N1502" t="str" cm="1">
        <f t="array" ref="N1502">IFERROR(LOOKUP(2,1/SEARCH($S$2:$S$65,G1502),$T$2:$T$65),"Misc")</f>
        <v>OH P/N</v>
      </c>
      <c r="O1502" t="str" cm="1">
        <f t="array" ref="O1502">IFERROR(LOOKUP(2,1/SEARCH($V$2:$V$65,G1502),$W$2:$W$65),"Misc")</f>
        <v>OH Part</v>
      </c>
      <c r="P1502" t="str" cm="1">
        <f t="array" ref="P1502">IFERROR(LOOKUP(2,1/SEARCH($Y$2:$Y$65,G1502),$Z$2:$Z$65),"Not Defined")</f>
        <v>OH Part</v>
      </c>
      <c r="Q1502" t="str" cm="1">
        <f t="array" ref="Q1502">IFERROR(LOOKUP(2,1/SEARCH($S$2:$S$65,H1502),$T$2:$T$65),"-")</f>
        <v>-</v>
      </c>
    </row>
    <row r="1503" spans="1:17" hidden="1" x14ac:dyDescent="0.25">
      <c r="A1503" t="s">
        <v>7675</v>
      </c>
      <c r="B1503" t="s">
        <v>4026</v>
      </c>
      <c r="C1503">
        <v>3</v>
      </c>
      <c r="D1503" t="s">
        <v>7431</v>
      </c>
      <c r="E1503" t="s">
        <v>4008</v>
      </c>
      <c r="F1503" t="s">
        <v>4027</v>
      </c>
      <c r="G1503" t="s">
        <v>4029</v>
      </c>
      <c r="H1503" t="s">
        <v>4028</v>
      </c>
      <c r="J1503" t="s">
        <v>7703</v>
      </c>
      <c r="K1503" t="s">
        <v>7814</v>
      </c>
      <c r="L1503" t="s">
        <v>7834</v>
      </c>
      <c r="N1503" t="str" cm="1">
        <f t="array" ref="N1503">IFERROR(LOOKUP(2,1/SEARCH($S$2:$S$65,G1503),$T$2:$T$65),"Misc")</f>
        <v>Misc</v>
      </c>
      <c r="O1503" t="str" cm="1">
        <f t="array" ref="O1503">IFERROR(LOOKUP(2,1/SEARCH($V$2:$V$65,G1503),$W$2:$W$65),"Misc")</f>
        <v>Misc</v>
      </c>
      <c r="P1503" t="str" cm="1">
        <f t="array" ref="P1503">IFERROR(LOOKUP(2,1/SEARCH($Y$2:$Y$65,G1503),$Z$2:$Z$65),"Not Defined")</f>
        <v>Not Defined</v>
      </c>
      <c r="Q1503" t="str" cm="1">
        <f t="array" ref="Q1503">IFERROR(LOOKUP(2,1/SEARCH($S$2:$S$65,H1503),$T$2:$T$65),"-")</f>
        <v>-</v>
      </c>
    </row>
    <row r="1504" spans="1:17" hidden="1" x14ac:dyDescent="0.25">
      <c r="A1504" t="s">
        <v>7675</v>
      </c>
      <c r="B1504" t="s">
        <v>4030</v>
      </c>
      <c r="C1504">
        <v>1</v>
      </c>
      <c r="D1504" t="s">
        <v>7431</v>
      </c>
      <c r="E1504" t="s">
        <v>4008</v>
      </c>
      <c r="F1504" t="s">
        <v>4031</v>
      </c>
      <c r="G1504" t="s">
        <v>4033</v>
      </c>
      <c r="H1504" t="s">
        <v>4032</v>
      </c>
      <c r="I1504" t="s">
        <v>13</v>
      </c>
      <c r="J1504" t="s">
        <v>7682</v>
      </c>
      <c r="K1504" t="s">
        <v>7826</v>
      </c>
      <c r="L1504" t="s">
        <v>7826</v>
      </c>
      <c r="N1504" t="str" cm="1">
        <f t="array" ref="N1504">IFERROR(LOOKUP(2,1/SEARCH($S$2:$S$65,G1504),$T$2:$T$65),"Misc")</f>
        <v>OH P/N</v>
      </c>
      <c r="O1504" t="str" cm="1">
        <f t="array" ref="O1504">IFERROR(LOOKUP(2,1/SEARCH($V$2:$V$65,G1504),$W$2:$W$65),"Misc")</f>
        <v>OH Part</v>
      </c>
      <c r="P1504" t="str" cm="1">
        <f t="array" ref="P1504">IFERROR(LOOKUP(2,1/SEARCH($Y$2:$Y$65,G1504),$Z$2:$Z$65),"Not Defined")</f>
        <v>OH Part</v>
      </c>
      <c r="Q1504" t="str" cm="1">
        <f t="array" ref="Q1504">IFERROR(LOOKUP(2,1/SEARCH($S$2:$S$65,H1504),$T$2:$T$65),"-")</f>
        <v>-</v>
      </c>
    </row>
    <row r="1505" spans="1:17" hidden="1" x14ac:dyDescent="0.25">
      <c r="A1505" t="s">
        <v>7675</v>
      </c>
      <c r="B1505" t="s">
        <v>4034</v>
      </c>
      <c r="C1505">
        <v>1</v>
      </c>
      <c r="D1505" t="s">
        <v>7431</v>
      </c>
      <c r="E1505" t="s">
        <v>4008</v>
      </c>
      <c r="F1505" t="s">
        <v>4035</v>
      </c>
      <c r="G1505" t="s">
        <v>4037</v>
      </c>
      <c r="H1505" t="s">
        <v>4036</v>
      </c>
      <c r="I1505" t="s">
        <v>13</v>
      </c>
      <c r="J1505" t="s">
        <v>7682</v>
      </c>
      <c r="K1505" t="s">
        <v>7826</v>
      </c>
      <c r="L1505" t="s">
        <v>7826</v>
      </c>
      <c r="N1505" t="str" cm="1">
        <f t="array" ref="N1505">IFERROR(LOOKUP(2,1/SEARCH($S$2:$S$65,G1505),$T$2:$T$65),"Misc")</f>
        <v>OH P/N</v>
      </c>
      <c r="O1505" t="str" cm="1">
        <f t="array" ref="O1505">IFERROR(LOOKUP(2,1/SEARCH($V$2:$V$65,G1505),$W$2:$W$65),"Misc")</f>
        <v>OH Part</v>
      </c>
      <c r="P1505" t="str" cm="1">
        <f t="array" ref="P1505">IFERROR(LOOKUP(2,1/SEARCH($Y$2:$Y$65,G1505),$Z$2:$Z$65),"Not Defined")</f>
        <v>OH Part</v>
      </c>
      <c r="Q1505" t="str" cm="1">
        <f t="array" ref="Q1505">IFERROR(LOOKUP(2,1/SEARCH($S$2:$S$65,H1505),$T$2:$T$65),"-")</f>
        <v>-</v>
      </c>
    </row>
    <row r="1506" spans="1:17" hidden="1" x14ac:dyDescent="0.25">
      <c r="A1506" t="s">
        <v>7675</v>
      </c>
      <c r="B1506" t="s">
        <v>4038</v>
      </c>
      <c r="C1506">
        <v>6</v>
      </c>
      <c r="D1506" t="s">
        <v>7431</v>
      </c>
      <c r="E1506" t="s">
        <v>4008</v>
      </c>
      <c r="F1506" t="s">
        <v>442</v>
      </c>
      <c r="G1506" t="s">
        <v>7087</v>
      </c>
      <c r="H1506" t="s">
        <v>443</v>
      </c>
      <c r="I1506" t="s">
        <v>228</v>
      </c>
      <c r="J1506" t="s">
        <v>7703</v>
      </c>
      <c r="K1506" t="s">
        <v>7684</v>
      </c>
      <c r="L1506" t="s">
        <v>7692</v>
      </c>
      <c r="N1506" t="str" cm="1">
        <f t="array" ref="N1506">IFERROR(LOOKUP(2,1/SEARCH($S$2:$S$65,G1506),$T$2:$T$65),"Misc")</f>
        <v>COTS</v>
      </c>
      <c r="O1506" t="str" cm="1">
        <f t="array" ref="O1506">IFERROR(LOOKUP(2,1/SEARCH($V$2:$V$65,G1506),$W$2:$W$65),"Misc")</f>
        <v>Fasteners</v>
      </c>
      <c r="P1506" t="str" cm="1">
        <f t="array" ref="P1506">IFERROR(LOOKUP(2,1/SEARCH($Y$2:$Y$65,G1506),$Z$2:$Z$65),"Not Defined")</f>
        <v>WASHER</v>
      </c>
      <c r="Q1506" t="str" cm="1">
        <f t="array" ref="Q1506">IFERROR(LOOKUP(2,1/SEARCH($S$2:$S$65,H1506),$T$2:$T$65),"-")</f>
        <v>COTS</v>
      </c>
    </row>
    <row r="1507" spans="1:17" hidden="1" x14ac:dyDescent="0.25">
      <c r="A1507" t="s">
        <v>7675</v>
      </c>
      <c r="B1507" t="s">
        <v>4039</v>
      </c>
      <c r="C1507">
        <v>6</v>
      </c>
      <c r="D1507" t="s">
        <v>7431</v>
      </c>
      <c r="E1507" t="s">
        <v>4008</v>
      </c>
      <c r="F1507" t="s">
        <v>445</v>
      </c>
      <c r="G1507" t="s">
        <v>7088</v>
      </c>
      <c r="H1507" t="s">
        <v>446</v>
      </c>
      <c r="I1507" t="s">
        <v>228</v>
      </c>
      <c r="J1507" t="s">
        <v>7703</v>
      </c>
      <c r="K1507" t="s">
        <v>7684</v>
      </c>
      <c r="L1507" t="s">
        <v>7693</v>
      </c>
      <c r="N1507" t="str" cm="1">
        <f t="array" ref="N1507">IFERROR(LOOKUP(2,1/SEARCH($S$2:$S$65,G1507),$T$2:$T$65),"Misc")</f>
        <v>COTS</v>
      </c>
      <c r="O1507" t="str" cm="1">
        <f t="array" ref="O1507">IFERROR(LOOKUP(2,1/SEARCH($V$2:$V$65,G1507),$W$2:$W$65),"Misc")</f>
        <v>Fasteners</v>
      </c>
      <c r="P1507" t="str" cm="1">
        <f t="array" ref="P1507">IFERROR(LOOKUP(2,1/SEARCH($Y$2:$Y$65,G1507),$Z$2:$Z$65),"Not Defined")</f>
        <v>PHS</v>
      </c>
      <c r="Q1507" t="str" cm="1">
        <f t="array" ref="Q1507">IFERROR(LOOKUP(2,1/SEARCH($S$2:$S$65,H1507),$T$2:$T$65),"-")</f>
        <v>COTS</v>
      </c>
    </row>
    <row r="1508" spans="1:17" hidden="1" x14ac:dyDescent="0.25">
      <c r="A1508" t="s">
        <v>7675</v>
      </c>
      <c r="B1508" t="s">
        <v>4040</v>
      </c>
      <c r="C1508">
        <v>6</v>
      </c>
      <c r="D1508" t="s">
        <v>7431</v>
      </c>
      <c r="E1508" t="s">
        <v>4008</v>
      </c>
      <c r="F1508" t="s">
        <v>439</v>
      </c>
      <c r="G1508" t="s">
        <v>7086</v>
      </c>
      <c r="H1508" t="s">
        <v>440</v>
      </c>
      <c r="I1508" t="s">
        <v>224</v>
      </c>
      <c r="J1508" t="s">
        <v>7703</v>
      </c>
      <c r="K1508" t="s">
        <v>7684</v>
      </c>
      <c r="L1508" t="s">
        <v>7687</v>
      </c>
      <c r="N1508" t="str" cm="1">
        <f t="array" ref="N1508">IFERROR(LOOKUP(2,1/SEARCH($S$2:$S$65,G1508),$T$2:$T$65),"Misc")</f>
        <v>COTS</v>
      </c>
      <c r="O1508" t="str" cm="1">
        <f t="array" ref="O1508">IFERROR(LOOKUP(2,1/SEARCH($V$2:$V$65,G1508),$W$2:$W$65),"Misc")</f>
        <v>Fasteners</v>
      </c>
      <c r="P1508" t="str" cm="1">
        <f t="array" ref="P1508">IFERROR(LOOKUP(2,1/SEARCH($Y$2:$Y$65,G1508),$Z$2:$Z$65),"Not Defined")</f>
        <v>INSERT</v>
      </c>
      <c r="Q1508" t="str" cm="1">
        <f t="array" ref="Q1508">IFERROR(LOOKUP(2,1/SEARCH($S$2:$S$65,H1508),$T$2:$T$65),"-")</f>
        <v>COTS</v>
      </c>
    </row>
    <row r="1509" spans="1:17" hidden="1" x14ac:dyDescent="0.25">
      <c r="A1509" t="s">
        <v>7675</v>
      </c>
      <c r="B1509" s="18">
        <v>3.3</v>
      </c>
      <c r="C1509">
        <v>1</v>
      </c>
      <c r="D1509" t="s">
        <v>7431</v>
      </c>
      <c r="E1509" t="s">
        <v>4008</v>
      </c>
      <c r="F1509" t="s">
        <v>4041</v>
      </c>
      <c r="G1509" t="s">
        <v>4043</v>
      </c>
      <c r="H1509" t="s">
        <v>4042</v>
      </c>
      <c r="I1509" t="s">
        <v>293</v>
      </c>
      <c r="J1509" t="s">
        <v>7682</v>
      </c>
      <c r="K1509" t="s">
        <v>7826</v>
      </c>
      <c r="L1509" t="s">
        <v>7826</v>
      </c>
      <c r="N1509" t="str" cm="1">
        <f t="array" ref="N1509">IFERROR(LOOKUP(2,1/SEARCH($S$2:$S$65,G1509),$T$2:$T$65),"Misc")</f>
        <v>OH P/N</v>
      </c>
      <c r="O1509" t="str" cm="1">
        <f t="array" ref="O1509">IFERROR(LOOKUP(2,1/SEARCH($V$2:$V$65,G1509),$W$2:$W$65),"Misc")</f>
        <v>OH Part</v>
      </c>
      <c r="P1509" t="str" cm="1">
        <f t="array" ref="P1509">IFERROR(LOOKUP(2,1/SEARCH($Y$2:$Y$65,G1509),$Z$2:$Z$65),"Not Defined")</f>
        <v>OH Part</v>
      </c>
      <c r="Q1509" t="str" cm="1">
        <f t="array" ref="Q1509">IFERROR(LOOKUP(2,1/SEARCH($S$2:$S$65,H1509),$T$2:$T$65),"-")</f>
        <v>-</v>
      </c>
    </row>
    <row r="1510" spans="1:17" x14ac:dyDescent="0.25">
      <c r="A1510" t="s">
        <v>7675</v>
      </c>
      <c r="B1510" s="18">
        <v>3.4</v>
      </c>
      <c r="C1510">
        <v>1</v>
      </c>
      <c r="D1510" t="s">
        <v>7432</v>
      </c>
      <c r="F1510" t="s">
        <v>4044</v>
      </c>
      <c r="G1510" t="s">
        <v>7432</v>
      </c>
      <c r="H1510" t="s">
        <v>4045</v>
      </c>
      <c r="J1510" t="s">
        <v>7742</v>
      </c>
      <c r="K1510" t="s">
        <v>7826</v>
      </c>
      <c r="L1510" t="s">
        <v>7826</v>
      </c>
      <c r="N1510" t="str" cm="1">
        <f t="array" ref="N1510">IFERROR(LOOKUP(2,1/SEARCH($S$2:$S$65,G1510),$T$2:$T$65),"Misc")</f>
        <v>OH ASSY</v>
      </c>
      <c r="O1510" t="str" cm="1">
        <f t="array" ref="O1510">IFERROR(LOOKUP(2,1/SEARCH($V$2:$V$65,G1510),$W$2:$W$65),"Misc")</f>
        <v>OH Part</v>
      </c>
      <c r="P1510" t="str" cm="1">
        <f t="array" ref="P1510">IFERROR(LOOKUP(2,1/SEARCH($Y$2:$Y$65,G1510),$Z$2:$Z$65),"Not Defined")</f>
        <v>OH Part</v>
      </c>
      <c r="Q1510" t="str" cm="1">
        <f t="array" ref="Q1510">IFERROR(LOOKUP(2,1/SEARCH($S$2:$S$65,H1510),$T$2:$T$65),"-")</f>
        <v>OH ASSY</v>
      </c>
    </row>
    <row r="1511" spans="1:17" x14ac:dyDescent="0.25">
      <c r="A1511" t="s">
        <v>7675</v>
      </c>
      <c r="B1511" t="s">
        <v>4046</v>
      </c>
      <c r="C1511">
        <v>1</v>
      </c>
      <c r="D1511" t="s">
        <v>7432</v>
      </c>
      <c r="F1511" t="s">
        <v>4047</v>
      </c>
      <c r="G1511" t="s">
        <v>4049</v>
      </c>
      <c r="H1511" t="s">
        <v>4048</v>
      </c>
      <c r="I1511" t="s">
        <v>38</v>
      </c>
      <c r="J1511" t="s">
        <v>7682</v>
      </c>
      <c r="K1511" t="s">
        <v>7826</v>
      </c>
      <c r="L1511" t="s">
        <v>7826</v>
      </c>
      <c r="N1511" t="str" cm="1">
        <f t="array" ref="N1511">IFERROR(LOOKUP(2,1/SEARCH($S$2:$S$65,G1511),$T$2:$T$65),"Misc")</f>
        <v>OH P/N</v>
      </c>
      <c r="O1511" t="str" cm="1">
        <f t="array" ref="O1511">IFERROR(LOOKUP(2,1/SEARCH($V$2:$V$65,G1511),$W$2:$W$65),"Misc")</f>
        <v>OH Part</v>
      </c>
      <c r="P1511" t="str" cm="1">
        <f t="array" ref="P1511">IFERROR(LOOKUP(2,1/SEARCH($Y$2:$Y$65,G1511),$Z$2:$Z$65),"Not Defined")</f>
        <v>OH Part</v>
      </c>
      <c r="Q1511" t="str" cm="1">
        <f t="array" ref="Q1511">IFERROR(LOOKUP(2,1/SEARCH($S$2:$S$65,H1511),$T$2:$T$65),"-")</f>
        <v>-</v>
      </c>
    </row>
    <row r="1512" spans="1:17" x14ac:dyDescent="0.25">
      <c r="A1512" t="s">
        <v>7675</v>
      </c>
      <c r="B1512" t="s">
        <v>4050</v>
      </c>
      <c r="C1512">
        <v>1</v>
      </c>
      <c r="D1512" t="s">
        <v>7432</v>
      </c>
      <c r="F1512" t="s">
        <v>4051</v>
      </c>
      <c r="G1512" t="s">
        <v>4053</v>
      </c>
      <c r="H1512" t="s">
        <v>4052</v>
      </c>
      <c r="I1512" t="s">
        <v>38</v>
      </c>
      <c r="J1512" t="s">
        <v>7682</v>
      </c>
      <c r="K1512" t="s">
        <v>7826</v>
      </c>
      <c r="L1512" t="s">
        <v>7826</v>
      </c>
      <c r="N1512" t="str" cm="1">
        <f t="array" ref="N1512">IFERROR(LOOKUP(2,1/SEARCH($S$2:$S$65,G1512),$T$2:$T$65),"Misc")</f>
        <v>OH P/N</v>
      </c>
      <c r="O1512" t="str" cm="1">
        <f t="array" ref="O1512">IFERROR(LOOKUP(2,1/SEARCH($V$2:$V$65,G1512),$W$2:$W$65),"Misc")</f>
        <v>OH Part</v>
      </c>
      <c r="P1512" t="str" cm="1">
        <f t="array" ref="P1512">IFERROR(LOOKUP(2,1/SEARCH($Y$2:$Y$65,G1512),$Z$2:$Z$65),"Not Defined")</f>
        <v>OH Part</v>
      </c>
      <c r="Q1512" t="str" cm="1">
        <f t="array" ref="Q1512">IFERROR(LOOKUP(2,1/SEARCH($S$2:$S$65,H1512),$T$2:$T$65),"-")</f>
        <v>-</v>
      </c>
    </row>
    <row r="1513" spans="1:17" x14ac:dyDescent="0.25">
      <c r="A1513" t="s">
        <v>7675</v>
      </c>
      <c r="B1513" t="s">
        <v>4054</v>
      </c>
      <c r="C1513">
        <v>1</v>
      </c>
      <c r="D1513" t="s">
        <v>7432</v>
      </c>
      <c r="F1513" t="s">
        <v>4055</v>
      </c>
      <c r="G1513" t="s">
        <v>4057</v>
      </c>
      <c r="H1513" t="s">
        <v>4056</v>
      </c>
      <c r="I1513" t="s">
        <v>38</v>
      </c>
      <c r="J1513" t="s">
        <v>7682</v>
      </c>
      <c r="K1513" t="s">
        <v>7826</v>
      </c>
      <c r="L1513" t="s">
        <v>7826</v>
      </c>
      <c r="N1513" t="str" cm="1">
        <f t="array" ref="N1513">IFERROR(LOOKUP(2,1/SEARCH($S$2:$S$65,G1513),$T$2:$T$65),"Misc")</f>
        <v>OH P/N</v>
      </c>
      <c r="O1513" t="str" cm="1">
        <f t="array" ref="O1513">IFERROR(LOOKUP(2,1/SEARCH($V$2:$V$65,G1513),$W$2:$W$65),"Misc")</f>
        <v>OH Part</v>
      </c>
      <c r="P1513" t="str" cm="1">
        <f t="array" ref="P1513">IFERROR(LOOKUP(2,1/SEARCH($Y$2:$Y$65,G1513),$Z$2:$Z$65),"Not Defined")</f>
        <v>OH Part</v>
      </c>
      <c r="Q1513" t="str" cm="1">
        <f t="array" ref="Q1513">IFERROR(LOOKUP(2,1/SEARCH($S$2:$S$65,H1513),$T$2:$T$65),"-")</f>
        <v>-</v>
      </c>
    </row>
    <row r="1514" spans="1:17" x14ac:dyDescent="0.25">
      <c r="A1514" t="s">
        <v>7675</v>
      </c>
      <c r="B1514" t="s">
        <v>4058</v>
      </c>
      <c r="C1514">
        <v>1</v>
      </c>
      <c r="D1514" t="s">
        <v>7432</v>
      </c>
      <c r="F1514" t="s">
        <v>4059</v>
      </c>
      <c r="G1514" t="s">
        <v>4061</v>
      </c>
      <c r="H1514" t="s">
        <v>4060</v>
      </c>
      <c r="I1514" t="s">
        <v>38</v>
      </c>
      <c r="J1514" t="s">
        <v>7682</v>
      </c>
      <c r="K1514" t="s">
        <v>7826</v>
      </c>
      <c r="L1514" t="s">
        <v>7826</v>
      </c>
      <c r="N1514" t="str" cm="1">
        <f t="array" ref="N1514">IFERROR(LOOKUP(2,1/SEARCH($S$2:$S$65,G1514),$T$2:$T$65),"Misc")</f>
        <v>OH P/N</v>
      </c>
      <c r="O1514" t="str" cm="1">
        <f t="array" ref="O1514">IFERROR(LOOKUP(2,1/SEARCH($V$2:$V$65,G1514),$W$2:$W$65),"Misc")</f>
        <v>OH Part</v>
      </c>
      <c r="P1514" t="str" cm="1">
        <f t="array" ref="P1514">IFERROR(LOOKUP(2,1/SEARCH($Y$2:$Y$65,G1514),$Z$2:$Z$65),"Not Defined")</f>
        <v>OH Part</v>
      </c>
      <c r="Q1514" t="str" cm="1">
        <f t="array" ref="Q1514">IFERROR(LOOKUP(2,1/SEARCH($S$2:$S$65,H1514),$T$2:$T$65),"-")</f>
        <v>-</v>
      </c>
    </row>
    <row r="1515" spans="1:17" x14ac:dyDescent="0.25">
      <c r="A1515" t="s">
        <v>7675</v>
      </c>
      <c r="B1515" t="s">
        <v>4062</v>
      </c>
      <c r="C1515">
        <v>1</v>
      </c>
      <c r="D1515" t="s">
        <v>7432</v>
      </c>
      <c r="F1515" t="s">
        <v>4063</v>
      </c>
      <c r="G1515" t="s">
        <v>4065</v>
      </c>
      <c r="H1515" t="s">
        <v>4064</v>
      </c>
      <c r="I1515" t="s">
        <v>38</v>
      </c>
      <c r="J1515" t="s">
        <v>7682</v>
      </c>
      <c r="K1515" t="s">
        <v>7826</v>
      </c>
      <c r="L1515" t="s">
        <v>7826</v>
      </c>
      <c r="N1515" t="str" cm="1">
        <f t="array" ref="N1515">IFERROR(LOOKUP(2,1/SEARCH($S$2:$S$65,G1515),$T$2:$T$65),"Misc")</f>
        <v>OH P/N</v>
      </c>
      <c r="O1515" t="str" cm="1">
        <f t="array" ref="O1515">IFERROR(LOOKUP(2,1/SEARCH($V$2:$V$65,G1515),$W$2:$W$65),"Misc")</f>
        <v>OH Part</v>
      </c>
      <c r="P1515" t="str" cm="1">
        <f t="array" ref="P1515">IFERROR(LOOKUP(2,1/SEARCH($Y$2:$Y$65,G1515),$Z$2:$Z$65),"Not Defined")</f>
        <v>OH Part</v>
      </c>
      <c r="Q1515" t="str" cm="1">
        <f t="array" ref="Q1515">IFERROR(LOOKUP(2,1/SEARCH($S$2:$S$65,H1515),$T$2:$T$65),"-")</f>
        <v>-</v>
      </c>
    </row>
    <row r="1516" spans="1:17" x14ac:dyDescent="0.25">
      <c r="A1516" t="s">
        <v>7675</v>
      </c>
      <c r="B1516" t="s">
        <v>4066</v>
      </c>
      <c r="C1516">
        <v>1</v>
      </c>
      <c r="D1516" t="s">
        <v>7432</v>
      </c>
      <c r="F1516" t="s">
        <v>4067</v>
      </c>
      <c r="G1516" t="s">
        <v>4069</v>
      </c>
      <c r="H1516" t="s">
        <v>4068</v>
      </c>
      <c r="I1516" t="s">
        <v>13</v>
      </c>
      <c r="J1516" t="s">
        <v>7682</v>
      </c>
      <c r="K1516" t="s">
        <v>7826</v>
      </c>
      <c r="L1516" t="s">
        <v>7826</v>
      </c>
      <c r="N1516" t="str" cm="1">
        <f t="array" ref="N1516">IFERROR(LOOKUP(2,1/SEARCH($S$2:$S$65,G1516),$T$2:$T$65),"Misc")</f>
        <v>OH P/N</v>
      </c>
      <c r="O1516" t="str" cm="1">
        <f t="array" ref="O1516">IFERROR(LOOKUP(2,1/SEARCH($V$2:$V$65,G1516),$W$2:$W$65),"Misc")</f>
        <v>OH Part</v>
      </c>
      <c r="P1516" t="str" cm="1">
        <f t="array" ref="P1516">IFERROR(LOOKUP(2,1/SEARCH($Y$2:$Y$65,G1516),$Z$2:$Z$65),"Not Defined")</f>
        <v>OH Part</v>
      </c>
      <c r="Q1516" t="str" cm="1">
        <f t="array" ref="Q1516">IFERROR(LOOKUP(2,1/SEARCH($S$2:$S$65,H1516),$T$2:$T$65),"-")</f>
        <v>COTS</v>
      </c>
    </row>
    <row r="1517" spans="1:17" x14ac:dyDescent="0.25">
      <c r="A1517" t="s">
        <v>7675</v>
      </c>
      <c r="B1517" t="s">
        <v>4070</v>
      </c>
      <c r="C1517">
        <v>1</v>
      </c>
      <c r="D1517" t="s">
        <v>7432</v>
      </c>
      <c r="F1517" t="s">
        <v>4071</v>
      </c>
      <c r="G1517" t="s">
        <v>4073</v>
      </c>
      <c r="H1517" t="s">
        <v>4072</v>
      </c>
      <c r="I1517" t="s">
        <v>13</v>
      </c>
      <c r="J1517" t="s">
        <v>7682</v>
      </c>
      <c r="K1517" t="s">
        <v>7826</v>
      </c>
      <c r="L1517" t="s">
        <v>7826</v>
      </c>
      <c r="N1517" t="str" cm="1">
        <f t="array" ref="N1517">IFERROR(LOOKUP(2,1/SEARCH($S$2:$S$65,G1517),$T$2:$T$65),"Misc")</f>
        <v>OH P/N</v>
      </c>
      <c r="O1517" t="str" cm="1">
        <f t="array" ref="O1517">IFERROR(LOOKUP(2,1/SEARCH($V$2:$V$65,G1517),$W$2:$W$65),"Misc")</f>
        <v>OH Part</v>
      </c>
      <c r="P1517" t="str" cm="1">
        <f t="array" ref="P1517">IFERROR(LOOKUP(2,1/SEARCH($Y$2:$Y$65,G1517),$Z$2:$Z$65),"Not Defined")</f>
        <v>OH Part</v>
      </c>
      <c r="Q1517" t="str" cm="1">
        <f t="array" ref="Q1517">IFERROR(LOOKUP(2,1/SEARCH($S$2:$S$65,H1517),$T$2:$T$65),"-")</f>
        <v>COTS</v>
      </c>
    </row>
    <row r="1518" spans="1:17" x14ac:dyDescent="0.25">
      <c r="A1518" t="s">
        <v>7675</v>
      </c>
      <c r="B1518" t="s">
        <v>4074</v>
      </c>
      <c r="C1518">
        <v>1</v>
      </c>
      <c r="D1518" t="s">
        <v>7432</v>
      </c>
      <c r="F1518" t="s">
        <v>4075</v>
      </c>
      <c r="G1518" t="s">
        <v>4077</v>
      </c>
      <c r="H1518" t="s">
        <v>4076</v>
      </c>
      <c r="I1518" t="s">
        <v>13</v>
      </c>
      <c r="J1518" t="s">
        <v>7682</v>
      </c>
      <c r="K1518" t="s">
        <v>7826</v>
      </c>
      <c r="L1518" t="s">
        <v>7826</v>
      </c>
      <c r="N1518" t="str" cm="1">
        <f t="array" ref="N1518">IFERROR(LOOKUP(2,1/SEARCH($S$2:$S$65,G1518),$T$2:$T$65),"Misc")</f>
        <v>OH P/N</v>
      </c>
      <c r="O1518" t="str" cm="1">
        <f t="array" ref="O1518">IFERROR(LOOKUP(2,1/SEARCH($V$2:$V$65,G1518),$W$2:$W$65),"Misc")</f>
        <v>OH Part</v>
      </c>
      <c r="P1518" t="str" cm="1">
        <f t="array" ref="P1518">IFERROR(LOOKUP(2,1/SEARCH($Y$2:$Y$65,G1518),$Z$2:$Z$65),"Not Defined")</f>
        <v>OH Part</v>
      </c>
      <c r="Q1518" t="str" cm="1">
        <f t="array" ref="Q1518">IFERROR(LOOKUP(2,1/SEARCH($S$2:$S$65,H1518),$T$2:$T$65),"-")</f>
        <v>COTS</v>
      </c>
    </row>
    <row r="1519" spans="1:17" x14ac:dyDescent="0.25">
      <c r="A1519" t="s">
        <v>7675</v>
      </c>
      <c r="B1519" t="s">
        <v>4078</v>
      </c>
      <c r="C1519">
        <v>1</v>
      </c>
      <c r="D1519" t="s">
        <v>7432</v>
      </c>
      <c r="F1519" t="s">
        <v>4079</v>
      </c>
      <c r="G1519" t="s">
        <v>4081</v>
      </c>
      <c r="H1519" t="s">
        <v>4080</v>
      </c>
      <c r="I1519" t="s">
        <v>13</v>
      </c>
      <c r="J1519" t="s">
        <v>7682</v>
      </c>
      <c r="K1519" t="s">
        <v>7826</v>
      </c>
      <c r="L1519" t="s">
        <v>7826</v>
      </c>
      <c r="N1519" t="str" cm="1">
        <f t="array" ref="N1519">IFERROR(LOOKUP(2,1/SEARCH($S$2:$S$65,G1519),$T$2:$T$65),"Misc")</f>
        <v>OH P/N</v>
      </c>
      <c r="O1519" t="str" cm="1">
        <f t="array" ref="O1519">IFERROR(LOOKUP(2,1/SEARCH($V$2:$V$65,G1519),$W$2:$W$65),"Misc")</f>
        <v>OH Part</v>
      </c>
      <c r="P1519" t="str" cm="1">
        <f t="array" ref="P1519">IFERROR(LOOKUP(2,1/SEARCH($Y$2:$Y$65,G1519),$Z$2:$Z$65),"Not Defined")</f>
        <v>OH Part</v>
      </c>
      <c r="Q1519" t="str" cm="1">
        <f t="array" ref="Q1519">IFERROR(LOOKUP(2,1/SEARCH($S$2:$S$65,H1519),$T$2:$T$65),"-")</f>
        <v>COTS</v>
      </c>
    </row>
    <row r="1520" spans="1:17" x14ac:dyDescent="0.25">
      <c r="A1520" t="s">
        <v>7675</v>
      </c>
      <c r="B1520" t="s">
        <v>4082</v>
      </c>
      <c r="C1520">
        <v>1</v>
      </c>
      <c r="D1520" t="s">
        <v>7432</v>
      </c>
      <c r="F1520" t="s">
        <v>4083</v>
      </c>
      <c r="G1520" t="s">
        <v>4085</v>
      </c>
      <c r="H1520" t="s">
        <v>4084</v>
      </c>
      <c r="I1520" t="s">
        <v>13</v>
      </c>
      <c r="J1520" t="s">
        <v>7682</v>
      </c>
      <c r="K1520" t="s">
        <v>7826</v>
      </c>
      <c r="L1520" t="s">
        <v>7826</v>
      </c>
      <c r="N1520" t="str" cm="1">
        <f t="array" ref="N1520">IFERROR(LOOKUP(2,1/SEARCH($S$2:$S$65,G1520),$T$2:$T$65),"Misc")</f>
        <v>OH P/N</v>
      </c>
      <c r="O1520" t="str" cm="1">
        <f t="array" ref="O1520">IFERROR(LOOKUP(2,1/SEARCH($V$2:$V$65,G1520),$W$2:$W$65),"Misc")</f>
        <v>OH Part</v>
      </c>
      <c r="P1520" t="str" cm="1">
        <f t="array" ref="P1520">IFERROR(LOOKUP(2,1/SEARCH($Y$2:$Y$65,G1520),$Z$2:$Z$65),"Not Defined")</f>
        <v>OH Part</v>
      </c>
      <c r="Q1520" t="str" cm="1">
        <f t="array" ref="Q1520">IFERROR(LOOKUP(2,1/SEARCH($S$2:$S$65,H1520),$T$2:$T$65),"-")</f>
        <v>COTS</v>
      </c>
    </row>
    <row r="1521" spans="1:17" x14ac:dyDescent="0.25">
      <c r="A1521" t="s">
        <v>7675</v>
      </c>
      <c r="B1521" t="s">
        <v>4086</v>
      </c>
      <c r="C1521">
        <v>1</v>
      </c>
      <c r="D1521" t="s">
        <v>7432</v>
      </c>
      <c r="F1521" t="s">
        <v>4087</v>
      </c>
      <c r="G1521" t="s">
        <v>4089</v>
      </c>
      <c r="H1521" t="s">
        <v>4088</v>
      </c>
      <c r="I1521" t="s">
        <v>13</v>
      </c>
      <c r="J1521" t="s">
        <v>7682</v>
      </c>
      <c r="K1521" t="s">
        <v>7826</v>
      </c>
      <c r="L1521" t="s">
        <v>7826</v>
      </c>
      <c r="N1521" t="str" cm="1">
        <f t="array" ref="N1521">IFERROR(LOOKUP(2,1/SEARCH($S$2:$S$65,G1521),$T$2:$T$65),"Misc")</f>
        <v>OH P/N</v>
      </c>
      <c r="O1521" t="str" cm="1">
        <f t="array" ref="O1521">IFERROR(LOOKUP(2,1/SEARCH($V$2:$V$65,G1521),$W$2:$W$65),"Misc")</f>
        <v>OH Part</v>
      </c>
      <c r="P1521" t="str" cm="1">
        <f t="array" ref="P1521">IFERROR(LOOKUP(2,1/SEARCH($Y$2:$Y$65,G1521),$Z$2:$Z$65),"Not Defined")</f>
        <v>OH Part</v>
      </c>
      <c r="Q1521" t="str" cm="1">
        <f t="array" ref="Q1521">IFERROR(LOOKUP(2,1/SEARCH($S$2:$S$65,H1521),$T$2:$T$65),"-")</f>
        <v>-</v>
      </c>
    </row>
    <row r="1522" spans="1:17" x14ac:dyDescent="0.25">
      <c r="A1522" t="s">
        <v>7675</v>
      </c>
      <c r="B1522" t="s">
        <v>4090</v>
      </c>
      <c r="C1522">
        <v>1</v>
      </c>
      <c r="D1522" t="s">
        <v>7432</v>
      </c>
      <c r="F1522" t="s">
        <v>4091</v>
      </c>
      <c r="G1522" t="s">
        <v>4093</v>
      </c>
      <c r="H1522" t="s">
        <v>4092</v>
      </c>
      <c r="I1522" t="s">
        <v>13</v>
      </c>
      <c r="J1522" t="s">
        <v>7682</v>
      </c>
      <c r="K1522" t="s">
        <v>7826</v>
      </c>
      <c r="L1522" t="s">
        <v>7826</v>
      </c>
      <c r="N1522" t="str" cm="1">
        <f t="array" ref="N1522">IFERROR(LOOKUP(2,1/SEARCH($S$2:$S$65,G1522),$T$2:$T$65),"Misc")</f>
        <v>OH P/N</v>
      </c>
      <c r="O1522" t="str" cm="1">
        <f t="array" ref="O1522">IFERROR(LOOKUP(2,1/SEARCH($V$2:$V$65,G1522),$W$2:$W$65),"Misc")</f>
        <v>OH Part</v>
      </c>
      <c r="P1522" t="str" cm="1">
        <f t="array" ref="P1522">IFERROR(LOOKUP(2,1/SEARCH($Y$2:$Y$65,G1522),$Z$2:$Z$65),"Not Defined")</f>
        <v>OH Part</v>
      </c>
      <c r="Q1522" t="str" cm="1">
        <f t="array" ref="Q1522">IFERROR(LOOKUP(2,1/SEARCH($S$2:$S$65,H1522),$T$2:$T$65),"-")</f>
        <v>COTS</v>
      </c>
    </row>
    <row r="1523" spans="1:17" x14ac:dyDescent="0.25">
      <c r="A1523" t="s">
        <v>7675</v>
      </c>
      <c r="B1523" t="s">
        <v>4094</v>
      </c>
      <c r="C1523">
        <v>1</v>
      </c>
      <c r="D1523" t="s">
        <v>7432</v>
      </c>
      <c r="F1523" t="s">
        <v>4095</v>
      </c>
      <c r="G1523" t="s">
        <v>4097</v>
      </c>
      <c r="H1523" t="s">
        <v>4096</v>
      </c>
      <c r="I1523" t="s">
        <v>13</v>
      </c>
      <c r="J1523" t="s">
        <v>7682</v>
      </c>
      <c r="K1523" t="s">
        <v>7826</v>
      </c>
      <c r="L1523" t="s">
        <v>7826</v>
      </c>
      <c r="N1523" t="str" cm="1">
        <f t="array" ref="N1523">IFERROR(LOOKUP(2,1/SEARCH($S$2:$S$65,G1523),$T$2:$T$65),"Misc")</f>
        <v>OH P/N</v>
      </c>
      <c r="O1523" t="str" cm="1">
        <f t="array" ref="O1523">IFERROR(LOOKUP(2,1/SEARCH($V$2:$V$65,G1523),$W$2:$W$65),"Misc")</f>
        <v>OH Part</v>
      </c>
      <c r="P1523" t="str" cm="1">
        <f t="array" ref="P1523">IFERROR(LOOKUP(2,1/SEARCH($Y$2:$Y$65,G1523),$Z$2:$Z$65),"Not Defined")</f>
        <v>OH Part</v>
      </c>
      <c r="Q1523" t="str" cm="1">
        <f t="array" ref="Q1523">IFERROR(LOOKUP(2,1/SEARCH($S$2:$S$65,H1523),$T$2:$T$65),"-")</f>
        <v>COTS</v>
      </c>
    </row>
    <row r="1524" spans="1:17" x14ac:dyDescent="0.25">
      <c r="A1524" t="s">
        <v>7675</v>
      </c>
      <c r="B1524" t="s">
        <v>4098</v>
      </c>
      <c r="C1524">
        <v>1</v>
      </c>
      <c r="D1524" t="s">
        <v>7432</v>
      </c>
      <c r="F1524" t="s">
        <v>4099</v>
      </c>
      <c r="G1524" t="s">
        <v>4101</v>
      </c>
      <c r="H1524" t="s">
        <v>4100</v>
      </c>
      <c r="I1524" t="s">
        <v>13</v>
      </c>
      <c r="J1524" t="s">
        <v>7682</v>
      </c>
      <c r="K1524" t="s">
        <v>7826</v>
      </c>
      <c r="L1524" t="s">
        <v>7826</v>
      </c>
      <c r="N1524" t="str" cm="1">
        <f t="array" ref="N1524">IFERROR(LOOKUP(2,1/SEARCH($S$2:$S$65,G1524),$T$2:$T$65),"Misc")</f>
        <v>OH P/N</v>
      </c>
      <c r="O1524" t="str" cm="1">
        <f t="array" ref="O1524">IFERROR(LOOKUP(2,1/SEARCH($V$2:$V$65,G1524),$W$2:$W$65),"Misc")</f>
        <v>OH Part</v>
      </c>
      <c r="P1524" t="str" cm="1">
        <f t="array" ref="P1524">IFERROR(LOOKUP(2,1/SEARCH($Y$2:$Y$65,G1524),$Z$2:$Z$65),"Not Defined")</f>
        <v>OH Part</v>
      </c>
      <c r="Q1524" t="str" cm="1">
        <f t="array" ref="Q1524">IFERROR(LOOKUP(2,1/SEARCH($S$2:$S$65,H1524),$T$2:$T$65),"-")</f>
        <v>COTS</v>
      </c>
    </row>
    <row r="1525" spans="1:17" x14ac:dyDescent="0.25">
      <c r="A1525" t="s">
        <v>7675</v>
      </c>
      <c r="B1525" t="s">
        <v>4102</v>
      </c>
      <c r="C1525">
        <v>1</v>
      </c>
      <c r="D1525" t="s">
        <v>7432</v>
      </c>
      <c r="F1525" t="s">
        <v>4103</v>
      </c>
      <c r="G1525" t="s">
        <v>4105</v>
      </c>
      <c r="H1525" t="s">
        <v>4104</v>
      </c>
      <c r="I1525" t="s">
        <v>13</v>
      </c>
      <c r="J1525" t="s">
        <v>7682</v>
      </c>
      <c r="K1525" t="s">
        <v>7826</v>
      </c>
      <c r="L1525" t="s">
        <v>7826</v>
      </c>
      <c r="N1525" t="str" cm="1">
        <f t="array" ref="N1525">IFERROR(LOOKUP(2,1/SEARCH($S$2:$S$65,G1525),$T$2:$T$65),"Misc")</f>
        <v>OH P/N</v>
      </c>
      <c r="O1525" t="str" cm="1">
        <f t="array" ref="O1525">IFERROR(LOOKUP(2,1/SEARCH($V$2:$V$65,G1525),$W$2:$W$65),"Misc")</f>
        <v>OH Part</v>
      </c>
      <c r="P1525" t="str" cm="1">
        <f t="array" ref="P1525">IFERROR(LOOKUP(2,1/SEARCH($Y$2:$Y$65,G1525),$Z$2:$Z$65),"Not Defined")</f>
        <v>OH Part</v>
      </c>
      <c r="Q1525" t="str" cm="1">
        <f t="array" ref="Q1525">IFERROR(LOOKUP(2,1/SEARCH($S$2:$S$65,H1525),$T$2:$T$65),"-")</f>
        <v>COTS</v>
      </c>
    </row>
    <row r="1526" spans="1:17" x14ac:dyDescent="0.25">
      <c r="A1526" t="s">
        <v>7675</v>
      </c>
      <c r="B1526" t="s">
        <v>4106</v>
      </c>
      <c r="C1526">
        <v>1</v>
      </c>
      <c r="D1526" t="s">
        <v>7432</v>
      </c>
      <c r="F1526" t="s">
        <v>4107</v>
      </c>
      <c r="G1526" t="s">
        <v>4109</v>
      </c>
      <c r="H1526" t="s">
        <v>4108</v>
      </c>
      <c r="I1526" t="s">
        <v>13</v>
      </c>
      <c r="J1526" t="s">
        <v>7682</v>
      </c>
      <c r="K1526" t="s">
        <v>7826</v>
      </c>
      <c r="L1526" t="s">
        <v>7826</v>
      </c>
      <c r="N1526" t="str" cm="1">
        <f t="array" ref="N1526">IFERROR(LOOKUP(2,1/SEARCH($S$2:$S$65,G1526),$T$2:$T$65),"Misc")</f>
        <v>OH P/N</v>
      </c>
      <c r="O1526" t="str" cm="1">
        <f t="array" ref="O1526">IFERROR(LOOKUP(2,1/SEARCH($V$2:$V$65,G1526),$W$2:$W$65),"Misc")</f>
        <v>OH Part</v>
      </c>
      <c r="P1526" t="str" cm="1">
        <f t="array" ref="P1526">IFERROR(LOOKUP(2,1/SEARCH($Y$2:$Y$65,G1526),$Z$2:$Z$65),"Not Defined")</f>
        <v>OH Part</v>
      </c>
      <c r="Q1526" t="str" cm="1">
        <f t="array" ref="Q1526">IFERROR(LOOKUP(2,1/SEARCH($S$2:$S$65,H1526),$T$2:$T$65),"-")</f>
        <v>COTS</v>
      </c>
    </row>
    <row r="1527" spans="1:17" x14ac:dyDescent="0.25">
      <c r="A1527" t="s">
        <v>7675</v>
      </c>
      <c r="B1527" t="s">
        <v>4110</v>
      </c>
      <c r="C1527">
        <v>1</v>
      </c>
      <c r="D1527" t="s">
        <v>7432</v>
      </c>
      <c r="F1527" t="s">
        <v>4111</v>
      </c>
      <c r="G1527" t="s">
        <v>4113</v>
      </c>
      <c r="H1527" t="s">
        <v>4112</v>
      </c>
      <c r="I1527" t="s">
        <v>38</v>
      </c>
      <c r="J1527" t="s">
        <v>7682</v>
      </c>
      <c r="K1527" t="s">
        <v>7826</v>
      </c>
      <c r="L1527" t="s">
        <v>7826</v>
      </c>
      <c r="N1527" t="str" cm="1">
        <f t="array" ref="N1527">IFERROR(LOOKUP(2,1/SEARCH($S$2:$S$65,G1527),$T$2:$T$65),"Misc")</f>
        <v>OH P/N</v>
      </c>
      <c r="O1527" t="str" cm="1">
        <f t="array" ref="O1527">IFERROR(LOOKUP(2,1/SEARCH($V$2:$V$65,G1527),$W$2:$W$65),"Misc")</f>
        <v>OH Part</v>
      </c>
      <c r="P1527" t="str" cm="1">
        <f t="array" ref="P1527">IFERROR(LOOKUP(2,1/SEARCH($Y$2:$Y$65,G1527),$Z$2:$Z$65),"Not Defined")</f>
        <v>OH Part</v>
      </c>
      <c r="Q1527" t="str" cm="1">
        <f t="array" ref="Q1527">IFERROR(LOOKUP(2,1/SEARCH($S$2:$S$65,H1527),$T$2:$T$65),"-")</f>
        <v>-</v>
      </c>
    </row>
    <row r="1528" spans="1:17" x14ac:dyDescent="0.25">
      <c r="A1528" t="s">
        <v>7675</v>
      </c>
      <c r="B1528" t="s">
        <v>4114</v>
      </c>
      <c r="C1528">
        <v>1</v>
      </c>
      <c r="D1528" t="s">
        <v>7432</v>
      </c>
      <c r="F1528" t="s">
        <v>4115</v>
      </c>
      <c r="G1528" t="s">
        <v>4117</v>
      </c>
      <c r="H1528" t="s">
        <v>4116</v>
      </c>
      <c r="I1528" t="s">
        <v>13</v>
      </c>
      <c r="J1528" t="s">
        <v>7682</v>
      </c>
      <c r="K1528" t="s">
        <v>7826</v>
      </c>
      <c r="L1528" t="s">
        <v>7826</v>
      </c>
      <c r="N1528" t="str" cm="1">
        <f t="array" ref="N1528">IFERROR(LOOKUP(2,1/SEARCH($S$2:$S$65,G1528),$T$2:$T$65),"Misc")</f>
        <v>OH P/N</v>
      </c>
      <c r="O1528" t="str" cm="1">
        <f t="array" ref="O1528">IFERROR(LOOKUP(2,1/SEARCH($V$2:$V$65,G1528),$W$2:$W$65),"Misc")</f>
        <v>OH Part</v>
      </c>
      <c r="P1528" t="str" cm="1">
        <f t="array" ref="P1528">IFERROR(LOOKUP(2,1/SEARCH($Y$2:$Y$65,G1528),$Z$2:$Z$65),"Not Defined")</f>
        <v>OH Part</v>
      </c>
      <c r="Q1528" t="str" cm="1">
        <f t="array" ref="Q1528">IFERROR(LOOKUP(2,1/SEARCH($S$2:$S$65,H1528),$T$2:$T$65),"-")</f>
        <v>COTS</v>
      </c>
    </row>
    <row r="1529" spans="1:17" x14ac:dyDescent="0.25">
      <c r="A1529" t="s">
        <v>7675</v>
      </c>
      <c r="B1529" t="s">
        <v>4118</v>
      </c>
      <c r="C1529">
        <v>1</v>
      </c>
      <c r="D1529" t="s">
        <v>7432</v>
      </c>
      <c r="F1529" t="s">
        <v>4119</v>
      </c>
      <c r="G1529" t="s">
        <v>4121</v>
      </c>
      <c r="H1529" t="s">
        <v>4120</v>
      </c>
      <c r="I1529" t="s">
        <v>38</v>
      </c>
      <c r="J1529" t="s">
        <v>7682</v>
      </c>
      <c r="K1529" t="s">
        <v>7826</v>
      </c>
      <c r="L1529" t="s">
        <v>7826</v>
      </c>
      <c r="N1529" t="str" cm="1">
        <f t="array" ref="N1529">IFERROR(LOOKUP(2,1/SEARCH($S$2:$S$65,G1529),$T$2:$T$65),"Misc")</f>
        <v>OH P/N</v>
      </c>
      <c r="O1529" t="str" cm="1">
        <f t="array" ref="O1529">IFERROR(LOOKUP(2,1/SEARCH($V$2:$V$65,G1529),$W$2:$W$65),"Misc")</f>
        <v>OH Part</v>
      </c>
      <c r="P1529" t="str" cm="1">
        <f t="array" ref="P1529">IFERROR(LOOKUP(2,1/SEARCH($Y$2:$Y$65,G1529),$Z$2:$Z$65),"Not Defined")</f>
        <v>OH Part</v>
      </c>
      <c r="Q1529" t="str" cm="1">
        <f t="array" ref="Q1529">IFERROR(LOOKUP(2,1/SEARCH($S$2:$S$65,H1529),$T$2:$T$65),"-")</f>
        <v>-</v>
      </c>
    </row>
    <row r="1530" spans="1:17" x14ac:dyDescent="0.25">
      <c r="A1530" t="s">
        <v>7675</v>
      </c>
      <c r="B1530" t="s">
        <v>4122</v>
      </c>
      <c r="C1530">
        <v>4</v>
      </c>
      <c r="D1530" t="s">
        <v>7432</v>
      </c>
      <c r="F1530" t="s">
        <v>4123</v>
      </c>
      <c r="G1530" t="s">
        <v>4125</v>
      </c>
      <c r="H1530" t="s">
        <v>4124</v>
      </c>
      <c r="I1530" t="s">
        <v>13</v>
      </c>
      <c r="J1530" t="s">
        <v>7682</v>
      </c>
      <c r="K1530" t="s">
        <v>7826</v>
      </c>
      <c r="L1530" t="s">
        <v>7826</v>
      </c>
      <c r="N1530" t="str" cm="1">
        <f t="array" ref="N1530">IFERROR(LOOKUP(2,1/SEARCH($S$2:$S$65,G1530),$T$2:$T$65),"Misc")</f>
        <v>OH P/N</v>
      </c>
      <c r="O1530" t="str" cm="1">
        <f t="array" ref="O1530">IFERROR(LOOKUP(2,1/SEARCH($V$2:$V$65,G1530),$W$2:$W$65),"Misc")</f>
        <v>OH Part</v>
      </c>
      <c r="P1530" t="str" cm="1">
        <f t="array" ref="P1530">IFERROR(LOOKUP(2,1/SEARCH($Y$2:$Y$65,G1530),$Z$2:$Z$65),"Not Defined")</f>
        <v>OH Part</v>
      </c>
      <c r="Q1530" t="str" cm="1">
        <f t="array" ref="Q1530">IFERROR(LOOKUP(2,1/SEARCH($S$2:$S$65,H1530),$T$2:$T$65),"-")</f>
        <v>COTS</v>
      </c>
    </row>
    <row r="1531" spans="1:17" x14ac:dyDescent="0.25">
      <c r="A1531" t="s">
        <v>7675</v>
      </c>
      <c r="B1531" t="s">
        <v>4126</v>
      </c>
      <c r="C1531">
        <v>3</v>
      </c>
      <c r="D1531" t="s">
        <v>7432</v>
      </c>
      <c r="F1531" t="s">
        <v>4127</v>
      </c>
      <c r="G1531" t="s">
        <v>4129</v>
      </c>
      <c r="H1531" t="s">
        <v>4128</v>
      </c>
      <c r="I1531" t="s">
        <v>13</v>
      </c>
      <c r="J1531" t="s">
        <v>7682</v>
      </c>
      <c r="K1531" t="s">
        <v>7826</v>
      </c>
      <c r="L1531" t="s">
        <v>7826</v>
      </c>
      <c r="N1531" t="str" cm="1">
        <f t="array" ref="N1531">IFERROR(LOOKUP(2,1/SEARCH($S$2:$S$65,G1531),$T$2:$T$65),"Misc")</f>
        <v>OH P/N</v>
      </c>
      <c r="O1531" t="str" cm="1">
        <f t="array" ref="O1531">IFERROR(LOOKUP(2,1/SEARCH($V$2:$V$65,G1531),$W$2:$W$65),"Misc")</f>
        <v>OH Part</v>
      </c>
      <c r="P1531" t="str" cm="1">
        <f t="array" ref="P1531">IFERROR(LOOKUP(2,1/SEARCH($Y$2:$Y$65,G1531),$Z$2:$Z$65),"Not Defined")</f>
        <v>OH Part</v>
      </c>
      <c r="Q1531" t="str" cm="1">
        <f t="array" ref="Q1531">IFERROR(LOOKUP(2,1/SEARCH($S$2:$S$65,H1531),$T$2:$T$65),"-")</f>
        <v>COTS</v>
      </c>
    </row>
    <row r="1532" spans="1:17" x14ac:dyDescent="0.25">
      <c r="A1532" t="s">
        <v>7675</v>
      </c>
      <c r="B1532" t="s">
        <v>4130</v>
      </c>
      <c r="C1532">
        <v>1</v>
      </c>
      <c r="D1532" t="s">
        <v>7432</v>
      </c>
      <c r="F1532" t="s">
        <v>4131</v>
      </c>
      <c r="G1532" t="s">
        <v>4133</v>
      </c>
      <c r="H1532" t="s">
        <v>4132</v>
      </c>
      <c r="I1532" t="s">
        <v>13</v>
      </c>
      <c r="J1532" t="s">
        <v>7682</v>
      </c>
      <c r="K1532" t="s">
        <v>7826</v>
      </c>
      <c r="L1532" t="s">
        <v>7826</v>
      </c>
      <c r="N1532" t="str" cm="1">
        <f t="array" ref="N1532">IFERROR(LOOKUP(2,1/SEARCH($S$2:$S$65,G1532),$T$2:$T$65),"Misc")</f>
        <v>OH P/N</v>
      </c>
      <c r="O1532" t="str" cm="1">
        <f t="array" ref="O1532">IFERROR(LOOKUP(2,1/SEARCH($V$2:$V$65,G1532),$W$2:$W$65),"Misc")</f>
        <v>OH Part</v>
      </c>
      <c r="P1532" t="str" cm="1">
        <f t="array" ref="P1532">IFERROR(LOOKUP(2,1/SEARCH($Y$2:$Y$65,G1532),$Z$2:$Z$65),"Not Defined")</f>
        <v>OH Part</v>
      </c>
      <c r="Q1532" t="str" cm="1">
        <f t="array" ref="Q1532">IFERROR(LOOKUP(2,1/SEARCH($S$2:$S$65,H1532),$T$2:$T$65),"-")</f>
        <v>COTS</v>
      </c>
    </row>
    <row r="1533" spans="1:17" x14ac:dyDescent="0.25">
      <c r="A1533" t="s">
        <v>7675</v>
      </c>
      <c r="B1533" t="s">
        <v>4134</v>
      </c>
      <c r="C1533">
        <v>1</v>
      </c>
      <c r="D1533" t="s">
        <v>7432</v>
      </c>
      <c r="F1533" t="s">
        <v>4135</v>
      </c>
      <c r="G1533" t="s">
        <v>4137</v>
      </c>
      <c r="H1533" t="s">
        <v>4136</v>
      </c>
      <c r="I1533" t="s">
        <v>38</v>
      </c>
      <c r="J1533" t="s">
        <v>7682</v>
      </c>
      <c r="K1533" t="s">
        <v>7826</v>
      </c>
      <c r="L1533" t="s">
        <v>7826</v>
      </c>
      <c r="N1533" t="str" cm="1">
        <f t="array" ref="N1533">IFERROR(LOOKUP(2,1/SEARCH($S$2:$S$65,G1533),$T$2:$T$65),"Misc")</f>
        <v>OH P/N</v>
      </c>
      <c r="O1533" t="str" cm="1">
        <f t="array" ref="O1533">IFERROR(LOOKUP(2,1/SEARCH($V$2:$V$65,G1533),$W$2:$W$65),"Misc")</f>
        <v>OH Part</v>
      </c>
      <c r="P1533" t="str" cm="1">
        <f t="array" ref="P1533">IFERROR(LOOKUP(2,1/SEARCH($Y$2:$Y$65,G1533),$Z$2:$Z$65),"Not Defined")</f>
        <v>OH Part</v>
      </c>
      <c r="Q1533" t="str" cm="1">
        <f t="array" ref="Q1533">IFERROR(LOOKUP(2,1/SEARCH($S$2:$S$65,H1533),$T$2:$T$65),"-")</f>
        <v>-</v>
      </c>
    </row>
    <row r="1534" spans="1:17" x14ac:dyDescent="0.25">
      <c r="A1534" t="s">
        <v>7675</v>
      </c>
      <c r="B1534" t="s">
        <v>4138</v>
      </c>
      <c r="C1534">
        <v>1</v>
      </c>
      <c r="D1534" t="s">
        <v>7432</v>
      </c>
      <c r="F1534" t="s">
        <v>4139</v>
      </c>
      <c r="G1534" t="s">
        <v>4141</v>
      </c>
      <c r="H1534" t="s">
        <v>4140</v>
      </c>
      <c r="I1534" t="s">
        <v>38</v>
      </c>
      <c r="J1534" t="s">
        <v>7682</v>
      </c>
      <c r="K1534" t="s">
        <v>7826</v>
      </c>
      <c r="L1534" t="s">
        <v>7826</v>
      </c>
      <c r="N1534" t="str" cm="1">
        <f t="array" ref="N1534">IFERROR(LOOKUP(2,1/SEARCH($S$2:$S$65,G1534),$T$2:$T$65),"Misc")</f>
        <v>OH P/N</v>
      </c>
      <c r="O1534" t="str" cm="1">
        <f t="array" ref="O1534">IFERROR(LOOKUP(2,1/SEARCH($V$2:$V$65,G1534),$W$2:$W$65),"Misc")</f>
        <v>OH Part</v>
      </c>
      <c r="P1534" t="str" cm="1">
        <f t="array" ref="P1534">IFERROR(LOOKUP(2,1/SEARCH($Y$2:$Y$65,G1534),$Z$2:$Z$65),"Not Defined")</f>
        <v>OH Part</v>
      </c>
      <c r="Q1534" t="str" cm="1">
        <f t="array" ref="Q1534">IFERROR(LOOKUP(2,1/SEARCH($S$2:$S$65,H1534),$T$2:$T$65),"-")</f>
        <v>-</v>
      </c>
    </row>
    <row r="1535" spans="1:17" x14ac:dyDescent="0.25">
      <c r="A1535" t="s">
        <v>7675</v>
      </c>
      <c r="B1535" t="s">
        <v>4142</v>
      </c>
      <c r="C1535">
        <v>1</v>
      </c>
      <c r="D1535" t="s">
        <v>7432</v>
      </c>
      <c r="F1535" t="s">
        <v>4143</v>
      </c>
      <c r="G1535" t="s">
        <v>4145</v>
      </c>
      <c r="H1535" t="s">
        <v>4144</v>
      </c>
      <c r="I1535" t="s">
        <v>38</v>
      </c>
      <c r="J1535" t="s">
        <v>7682</v>
      </c>
      <c r="K1535" t="s">
        <v>7826</v>
      </c>
      <c r="L1535" t="s">
        <v>7826</v>
      </c>
      <c r="N1535" t="str" cm="1">
        <f t="array" ref="N1535">IFERROR(LOOKUP(2,1/SEARCH($S$2:$S$65,G1535),$T$2:$T$65),"Misc")</f>
        <v>OH P/N</v>
      </c>
      <c r="O1535" t="str" cm="1">
        <f t="array" ref="O1535">IFERROR(LOOKUP(2,1/SEARCH($V$2:$V$65,G1535),$W$2:$W$65),"Misc")</f>
        <v>OH Part</v>
      </c>
      <c r="P1535" t="str" cm="1">
        <f t="array" ref="P1535">IFERROR(LOOKUP(2,1/SEARCH($Y$2:$Y$65,G1535),$Z$2:$Z$65),"Not Defined")</f>
        <v>OH Part</v>
      </c>
      <c r="Q1535" t="str" cm="1">
        <f t="array" ref="Q1535">IFERROR(LOOKUP(2,1/SEARCH($S$2:$S$65,H1535),$T$2:$T$65),"-")</f>
        <v>-</v>
      </c>
    </row>
    <row r="1536" spans="1:17" x14ac:dyDescent="0.25">
      <c r="A1536" t="s">
        <v>7675</v>
      </c>
      <c r="B1536" t="s">
        <v>4146</v>
      </c>
      <c r="C1536">
        <v>1</v>
      </c>
      <c r="D1536" t="s">
        <v>7432</v>
      </c>
      <c r="F1536" t="s">
        <v>4147</v>
      </c>
      <c r="G1536" t="s">
        <v>4149</v>
      </c>
      <c r="H1536" t="s">
        <v>4148</v>
      </c>
      <c r="I1536" t="s">
        <v>38</v>
      </c>
      <c r="J1536" t="s">
        <v>7682</v>
      </c>
      <c r="K1536" t="s">
        <v>7826</v>
      </c>
      <c r="L1536" t="s">
        <v>7826</v>
      </c>
      <c r="N1536" t="str" cm="1">
        <f t="array" ref="N1536">IFERROR(LOOKUP(2,1/SEARCH($S$2:$S$65,G1536),$T$2:$T$65),"Misc")</f>
        <v>OH P/N</v>
      </c>
      <c r="O1536" t="str" cm="1">
        <f t="array" ref="O1536">IFERROR(LOOKUP(2,1/SEARCH($V$2:$V$65,G1536),$W$2:$W$65),"Misc")</f>
        <v>OH Part</v>
      </c>
      <c r="P1536" t="str" cm="1">
        <f t="array" ref="P1536">IFERROR(LOOKUP(2,1/SEARCH($Y$2:$Y$65,G1536),$Z$2:$Z$65),"Not Defined")</f>
        <v>OH Part</v>
      </c>
      <c r="Q1536" t="str" cm="1">
        <f t="array" ref="Q1536">IFERROR(LOOKUP(2,1/SEARCH($S$2:$S$65,H1536),$T$2:$T$65),"-")</f>
        <v>-</v>
      </c>
    </row>
    <row r="1537" spans="1:17" x14ac:dyDescent="0.25">
      <c r="A1537" t="s">
        <v>7675</v>
      </c>
      <c r="B1537" t="s">
        <v>4150</v>
      </c>
      <c r="C1537">
        <v>1</v>
      </c>
      <c r="D1537" t="s">
        <v>7432</v>
      </c>
      <c r="F1537" t="s">
        <v>4151</v>
      </c>
      <c r="G1537" t="s">
        <v>4153</v>
      </c>
      <c r="H1537" t="s">
        <v>4152</v>
      </c>
      <c r="I1537" t="s">
        <v>38</v>
      </c>
      <c r="J1537" t="s">
        <v>7682</v>
      </c>
      <c r="K1537" t="s">
        <v>7826</v>
      </c>
      <c r="L1537" t="s">
        <v>7826</v>
      </c>
      <c r="N1537" t="str" cm="1">
        <f t="array" ref="N1537">IFERROR(LOOKUP(2,1/SEARCH($S$2:$S$65,G1537),$T$2:$T$65),"Misc")</f>
        <v>OH P/N</v>
      </c>
      <c r="O1537" t="str" cm="1">
        <f t="array" ref="O1537">IFERROR(LOOKUP(2,1/SEARCH($V$2:$V$65,G1537),$W$2:$W$65),"Misc")</f>
        <v>OH Part</v>
      </c>
      <c r="P1537" t="str" cm="1">
        <f t="array" ref="P1537">IFERROR(LOOKUP(2,1/SEARCH($Y$2:$Y$65,G1537),$Z$2:$Z$65),"Not Defined")</f>
        <v>OH Part</v>
      </c>
      <c r="Q1537" t="str" cm="1">
        <f t="array" ref="Q1537">IFERROR(LOOKUP(2,1/SEARCH($S$2:$S$65,H1537),$T$2:$T$65),"-")</f>
        <v>-</v>
      </c>
    </row>
    <row r="1538" spans="1:17" x14ac:dyDescent="0.25">
      <c r="A1538" t="s">
        <v>7675</v>
      </c>
      <c r="B1538" t="s">
        <v>4154</v>
      </c>
      <c r="C1538">
        <v>1</v>
      </c>
      <c r="D1538" t="s">
        <v>7432</v>
      </c>
      <c r="F1538" t="s">
        <v>4155</v>
      </c>
      <c r="G1538" t="s">
        <v>4157</v>
      </c>
      <c r="H1538" t="s">
        <v>4156</v>
      </c>
      <c r="I1538" t="s">
        <v>13</v>
      </c>
      <c r="J1538" t="s">
        <v>7682</v>
      </c>
      <c r="K1538" t="s">
        <v>7826</v>
      </c>
      <c r="L1538" t="s">
        <v>7826</v>
      </c>
      <c r="N1538" t="str" cm="1">
        <f t="array" ref="N1538">IFERROR(LOOKUP(2,1/SEARCH($S$2:$S$65,G1538),$T$2:$T$65),"Misc")</f>
        <v>OH P/N</v>
      </c>
      <c r="O1538" t="str" cm="1">
        <f t="array" ref="O1538">IFERROR(LOOKUP(2,1/SEARCH($V$2:$V$65,G1538),$W$2:$W$65),"Misc")</f>
        <v>OH Part</v>
      </c>
      <c r="P1538" t="str" cm="1">
        <f t="array" ref="P1538">IFERROR(LOOKUP(2,1/SEARCH($Y$2:$Y$65,G1538),$Z$2:$Z$65),"Not Defined")</f>
        <v>OH Part</v>
      </c>
      <c r="Q1538" t="str" cm="1">
        <f t="array" ref="Q1538">IFERROR(LOOKUP(2,1/SEARCH($S$2:$S$65,H1538),$T$2:$T$65),"-")</f>
        <v>-</v>
      </c>
    </row>
    <row r="1539" spans="1:17" x14ac:dyDescent="0.25">
      <c r="A1539" t="s">
        <v>7675</v>
      </c>
      <c r="B1539" t="s">
        <v>4158</v>
      </c>
      <c r="C1539">
        <v>1</v>
      </c>
      <c r="D1539" t="s">
        <v>7432</v>
      </c>
      <c r="F1539" t="s">
        <v>4159</v>
      </c>
      <c r="G1539" t="s">
        <v>4161</v>
      </c>
      <c r="H1539" t="s">
        <v>4160</v>
      </c>
      <c r="I1539" t="s">
        <v>38</v>
      </c>
      <c r="J1539" t="s">
        <v>7682</v>
      </c>
      <c r="K1539" t="s">
        <v>7826</v>
      </c>
      <c r="L1539" t="s">
        <v>7826</v>
      </c>
      <c r="N1539" t="str" cm="1">
        <f t="array" ref="N1539">IFERROR(LOOKUP(2,1/SEARCH($S$2:$S$65,G1539),$T$2:$T$65),"Misc")</f>
        <v>OH P/N</v>
      </c>
      <c r="O1539" t="str" cm="1">
        <f t="array" ref="O1539">IFERROR(LOOKUP(2,1/SEARCH($V$2:$V$65,G1539),$W$2:$W$65),"Misc")</f>
        <v>OH Part</v>
      </c>
      <c r="P1539" t="str" cm="1">
        <f t="array" ref="P1539">IFERROR(LOOKUP(2,1/SEARCH($Y$2:$Y$65,G1539),$Z$2:$Z$65),"Not Defined")</f>
        <v>OH Part</v>
      </c>
      <c r="Q1539" t="str" cm="1">
        <f t="array" ref="Q1539">IFERROR(LOOKUP(2,1/SEARCH($S$2:$S$65,H1539),$T$2:$T$65),"-")</f>
        <v>-</v>
      </c>
    </row>
    <row r="1540" spans="1:17" x14ac:dyDescent="0.25">
      <c r="A1540" t="s">
        <v>7675</v>
      </c>
      <c r="B1540" t="s">
        <v>4162</v>
      </c>
      <c r="C1540">
        <v>1</v>
      </c>
      <c r="D1540" t="s">
        <v>7432</v>
      </c>
      <c r="F1540" t="s">
        <v>4163</v>
      </c>
      <c r="G1540" t="s">
        <v>4165</v>
      </c>
      <c r="H1540" t="s">
        <v>4164</v>
      </c>
      <c r="I1540" t="s">
        <v>38</v>
      </c>
      <c r="J1540" t="s">
        <v>7682</v>
      </c>
      <c r="K1540" t="s">
        <v>7826</v>
      </c>
      <c r="L1540" t="s">
        <v>7826</v>
      </c>
      <c r="N1540" t="str" cm="1">
        <f t="array" ref="N1540">IFERROR(LOOKUP(2,1/SEARCH($S$2:$S$65,G1540),$T$2:$T$65),"Misc")</f>
        <v>OH P/N</v>
      </c>
      <c r="O1540" t="str" cm="1">
        <f t="array" ref="O1540">IFERROR(LOOKUP(2,1/SEARCH($V$2:$V$65,G1540),$W$2:$W$65),"Misc")</f>
        <v>OH Part</v>
      </c>
      <c r="P1540" t="str" cm="1">
        <f t="array" ref="P1540">IFERROR(LOOKUP(2,1/SEARCH($Y$2:$Y$65,G1540),$Z$2:$Z$65),"Not Defined")</f>
        <v>OH Part</v>
      </c>
      <c r="Q1540" t="str" cm="1">
        <f t="array" ref="Q1540">IFERROR(LOOKUP(2,1/SEARCH($S$2:$S$65,H1540),$T$2:$T$65),"-")</f>
        <v>-</v>
      </c>
    </row>
    <row r="1541" spans="1:17" x14ac:dyDescent="0.25">
      <c r="A1541" t="s">
        <v>7675</v>
      </c>
      <c r="B1541" t="s">
        <v>4166</v>
      </c>
      <c r="C1541">
        <v>2</v>
      </c>
      <c r="D1541" t="s">
        <v>7432</v>
      </c>
      <c r="F1541" t="s">
        <v>4167</v>
      </c>
      <c r="G1541" t="s">
        <v>4169</v>
      </c>
      <c r="H1541" t="s">
        <v>4168</v>
      </c>
      <c r="I1541" t="s">
        <v>38</v>
      </c>
      <c r="J1541" t="s">
        <v>7682</v>
      </c>
      <c r="K1541" t="s">
        <v>7826</v>
      </c>
      <c r="L1541" t="s">
        <v>7826</v>
      </c>
      <c r="N1541" t="str" cm="1">
        <f t="array" ref="N1541">IFERROR(LOOKUP(2,1/SEARCH($S$2:$S$65,G1541),$T$2:$T$65),"Misc")</f>
        <v>OH P/N</v>
      </c>
      <c r="O1541" t="str" cm="1">
        <f t="array" ref="O1541">IFERROR(LOOKUP(2,1/SEARCH($V$2:$V$65,G1541),$W$2:$W$65),"Misc")</f>
        <v>OH Part</v>
      </c>
      <c r="P1541" t="str" cm="1">
        <f t="array" ref="P1541">IFERROR(LOOKUP(2,1/SEARCH($Y$2:$Y$65,G1541),$Z$2:$Z$65),"Not Defined")</f>
        <v>OH Part</v>
      </c>
      <c r="Q1541" t="str" cm="1">
        <f t="array" ref="Q1541">IFERROR(LOOKUP(2,1/SEARCH($S$2:$S$65,H1541),$T$2:$T$65),"-")</f>
        <v>-</v>
      </c>
    </row>
    <row r="1542" spans="1:17" x14ac:dyDescent="0.25">
      <c r="A1542" t="s">
        <v>7675</v>
      </c>
      <c r="B1542" t="s">
        <v>4170</v>
      </c>
      <c r="C1542">
        <v>2</v>
      </c>
      <c r="D1542" t="s">
        <v>7432</v>
      </c>
      <c r="F1542" t="s">
        <v>4171</v>
      </c>
      <c r="G1542" t="s">
        <v>4173</v>
      </c>
      <c r="H1542" t="s">
        <v>4172</v>
      </c>
      <c r="I1542" t="s">
        <v>38</v>
      </c>
      <c r="J1542" t="s">
        <v>7682</v>
      </c>
      <c r="K1542" t="s">
        <v>7826</v>
      </c>
      <c r="L1542" t="s">
        <v>7826</v>
      </c>
      <c r="N1542" t="str" cm="1">
        <f t="array" ref="N1542">IFERROR(LOOKUP(2,1/SEARCH($S$2:$S$65,G1542),$T$2:$T$65),"Misc")</f>
        <v>OH P/N</v>
      </c>
      <c r="O1542" t="str" cm="1">
        <f t="array" ref="O1542">IFERROR(LOOKUP(2,1/SEARCH($V$2:$V$65,G1542),$W$2:$W$65),"Misc")</f>
        <v>OH Part</v>
      </c>
      <c r="P1542" t="str" cm="1">
        <f t="array" ref="P1542">IFERROR(LOOKUP(2,1/SEARCH($Y$2:$Y$65,G1542),$Z$2:$Z$65),"Not Defined")</f>
        <v>OH Part</v>
      </c>
      <c r="Q1542" t="str" cm="1">
        <f t="array" ref="Q1542">IFERROR(LOOKUP(2,1/SEARCH($S$2:$S$65,H1542),$T$2:$T$65),"-")</f>
        <v>-</v>
      </c>
    </row>
    <row r="1543" spans="1:17" x14ac:dyDescent="0.25">
      <c r="A1543" t="s">
        <v>7675</v>
      </c>
      <c r="B1543" t="s">
        <v>4174</v>
      </c>
      <c r="C1543">
        <v>2</v>
      </c>
      <c r="D1543" t="s">
        <v>7432</v>
      </c>
      <c r="F1543" t="s">
        <v>4175</v>
      </c>
      <c r="G1543" t="s">
        <v>4177</v>
      </c>
      <c r="H1543" t="s">
        <v>4176</v>
      </c>
      <c r="I1543" t="s">
        <v>38</v>
      </c>
      <c r="J1543" t="s">
        <v>7682</v>
      </c>
      <c r="K1543" t="s">
        <v>7826</v>
      </c>
      <c r="L1543" t="s">
        <v>7826</v>
      </c>
      <c r="N1543" t="str" cm="1">
        <f t="array" ref="N1543">IFERROR(LOOKUP(2,1/SEARCH($S$2:$S$65,G1543),$T$2:$T$65),"Misc")</f>
        <v>OH P/N</v>
      </c>
      <c r="O1543" t="str" cm="1">
        <f t="array" ref="O1543">IFERROR(LOOKUP(2,1/SEARCH($V$2:$V$65,G1543),$W$2:$W$65),"Misc")</f>
        <v>OH Part</v>
      </c>
      <c r="P1543" t="str" cm="1">
        <f t="array" ref="P1543">IFERROR(LOOKUP(2,1/SEARCH($Y$2:$Y$65,G1543),$Z$2:$Z$65),"Not Defined")</f>
        <v>OH Part</v>
      </c>
      <c r="Q1543" t="str" cm="1">
        <f t="array" ref="Q1543">IFERROR(LOOKUP(2,1/SEARCH($S$2:$S$65,H1543),$T$2:$T$65),"-")</f>
        <v>-</v>
      </c>
    </row>
    <row r="1544" spans="1:17" x14ac:dyDescent="0.25">
      <c r="A1544" t="s">
        <v>7675</v>
      </c>
      <c r="B1544" t="s">
        <v>4178</v>
      </c>
      <c r="C1544">
        <v>1</v>
      </c>
      <c r="D1544" t="s">
        <v>7432</v>
      </c>
      <c r="F1544" t="s">
        <v>4179</v>
      </c>
      <c r="G1544" t="s">
        <v>4181</v>
      </c>
      <c r="H1544" t="s">
        <v>4180</v>
      </c>
      <c r="I1544" t="s">
        <v>299</v>
      </c>
      <c r="J1544" t="s">
        <v>7682</v>
      </c>
      <c r="K1544" t="s">
        <v>7826</v>
      </c>
      <c r="L1544" t="s">
        <v>7826</v>
      </c>
      <c r="N1544" t="str" cm="1">
        <f t="array" ref="N1544">IFERROR(LOOKUP(2,1/SEARCH($S$2:$S$65,G1544),$T$2:$T$65),"Misc")</f>
        <v>OH P/N</v>
      </c>
      <c r="O1544" t="str" cm="1">
        <f t="array" ref="O1544">IFERROR(LOOKUP(2,1/SEARCH($V$2:$V$65,G1544),$W$2:$W$65),"Misc")</f>
        <v>OH Part</v>
      </c>
      <c r="P1544" t="str" cm="1">
        <f t="array" ref="P1544">IFERROR(LOOKUP(2,1/SEARCH($Y$2:$Y$65,G1544),$Z$2:$Z$65),"Not Defined")</f>
        <v>OH Part</v>
      </c>
      <c r="Q1544" t="str" cm="1">
        <f t="array" ref="Q1544">IFERROR(LOOKUP(2,1/SEARCH($S$2:$S$65,H1544),$T$2:$T$65),"-")</f>
        <v>-</v>
      </c>
    </row>
    <row r="1545" spans="1:17" x14ac:dyDescent="0.25">
      <c r="A1545" t="s">
        <v>7675</v>
      </c>
      <c r="B1545" t="s">
        <v>4182</v>
      </c>
      <c r="C1545">
        <v>1</v>
      </c>
      <c r="D1545" t="s">
        <v>7432</v>
      </c>
      <c r="F1545" t="s">
        <v>4183</v>
      </c>
      <c r="G1545" t="s">
        <v>4185</v>
      </c>
      <c r="H1545" t="s">
        <v>4184</v>
      </c>
      <c r="I1545" t="s">
        <v>13</v>
      </c>
      <c r="J1545" t="s">
        <v>7682</v>
      </c>
      <c r="K1545" t="s">
        <v>7826</v>
      </c>
      <c r="L1545" t="s">
        <v>7826</v>
      </c>
      <c r="N1545" t="str" cm="1">
        <f t="array" ref="N1545">IFERROR(LOOKUP(2,1/SEARCH($S$2:$S$65,G1545),$T$2:$T$65),"Misc")</f>
        <v>COTS</v>
      </c>
      <c r="O1545" t="str" cm="1">
        <f t="array" ref="O1545">IFERROR(LOOKUP(2,1/SEARCH($V$2:$V$65,G1545),$W$2:$W$65),"Misc")</f>
        <v>Misc</v>
      </c>
      <c r="P1545" t="str" cm="1">
        <f t="array" ref="P1545">IFERROR(LOOKUP(2,1/SEARCH($Y$2:$Y$65,G1545),$Z$2:$Z$65),"Not Defined")</f>
        <v>Misc</v>
      </c>
      <c r="Q1545" t="str" cm="1">
        <f t="array" ref="Q1545">IFERROR(LOOKUP(2,1/SEARCH($S$2:$S$65,H1545),$T$2:$T$65),"-")</f>
        <v>COTS</v>
      </c>
    </row>
    <row r="1546" spans="1:17" x14ac:dyDescent="0.25">
      <c r="A1546" t="s">
        <v>7675</v>
      </c>
      <c r="B1546" t="s">
        <v>4186</v>
      </c>
      <c r="C1546">
        <v>1</v>
      </c>
      <c r="D1546" t="s">
        <v>7432</v>
      </c>
      <c r="F1546" t="s">
        <v>4187</v>
      </c>
      <c r="G1546" t="s">
        <v>4189</v>
      </c>
      <c r="H1546" t="s">
        <v>4188</v>
      </c>
      <c r="I1546" t="s">
        <v>293</v>
      </c>
      <c r="J1546" t="s">
        <v>7682</v>
      </c>
      <c r="K1546" t="s">
        <v>7826</v>
      </c>
      <c r="L1546" t="s">
        <v>7826</v>
      </c>
      <c r="N1546" t="str" cm="1">
        <f t="array" ref="N1546">IFERROR(LOOKUP(2,1/SEARCH($S$2:$S$65,G1546),$T$2:$T$65),"Misc")</f>
        <v>OH P/N</v>
      </c>
      <c r="O1546" t="str" cm="1">
        <f t="array" ref="O1546">IFERROR(LOOKUP(2,1/SEARCH($V$2:$V$65,G1546),$W$2:$W$65),"Misc")</f>
        <v>OH Part</v>
      </c>
      <c r="P1546" t="str" cm="1">
        <f t="array" ref="P1546">IFERROR(LOOKUP(2,1/SEARCH($Y$2:$Y$65,G1546),$Z$2:$Z$65),"Not Defined")</f>
        <v>OH Part</v>
      </c>
      <c r="Q1546" t="str" cm="1">
        <f t="array" ref="Q1546">IFERROR(LOOKUP(2,1/SEARCH($S$2:$S$65,H1546),$T$2:$T$65),"-")</f>
        <v>-</v>
      </c>
    </row>
    <row r="1547" spans="1:17" x14ac:dyDescent="0.25">
      <c r="A1547" t="s">
        <v>7675</v>
      </c>
      <c r="B1547" t="s">
        <v>4190</v>
      </c>
      <c r="C1547">
        <v>1</v>
      </c>
      <c r="D1547" t="s">
        <v>7432</v>
      </c>
      <c r="F1547" t="s">
        <v>4191</v>
      </c>
      <c r="G1547" t="s">
        <v>4193</v>
      </c>
      <c r="H1547" t="s">
        <v>4192</v>
      </c>
      <c r="I1547" t="s">
        <v>13</v>
      </c>
      <c r="J1547" t="s">
        <v>7682</v>
      </c>
      <c r="K1547" t="s">
        <v>7826</v>
      </c>
      <c r="L1547" t="s">
        <v>7826</v>
      </c>
      <c r="N1547" t="str" cm="1">
        <f t="array" ref="N1547">IFERROR(LOOKUP(2,1/SEARCH($S$2:$S$65,G1547),$T$2:$T$65),"Misc")</f>
        <v>OH P/N</v>
      </c>
      <c r="O1547" t="str" cm="1">
        <f t="array" ref="O1547">IFERROR(LOOKUP(2,1/SEARCH($V$2:$V$65,G1547),$W$2:$W$65),"Misc")</f>
        <v>OH Part</v>
      </c>
      <c r="P1547" t="str" cm="1">
        <f t="array" ref="P1547">IFERROR(LOOKUP(2,1/SEARCH($Y$2:$Y$65,G1547),$Z$2:$Z$65),"Not Defined")</f>
        <v>OH Part</v>
      </c>
      <c r="Q1547" t="str" cm="1">
        <f t="array" ref="Q1547">IFERROR(LOOKUP(2,1/SEARCH($S$2:$S$65,H1547),$T$2:$T$65),"-")</f>
        <v>COTS</v>
      </c>
    </row>
    <row r="1548" spans="1:17" x14ac:dyDescent="0.25">
      <c r="A1548" t="s">
        <v>7675</v>
      </c>
      <c r="B1548" t="s">
        <v>4194</v>
      </c>
      <c r="C1548">
        <v>1</v>
      </c>
      <c r="D1548" t="s">
        <v>7432</v>
      </c>
      <c r="F1548" t="s">
        <v>4195</v>
      </c>
      <c r="G1548" t="s">
        <v>4197</v>
      </c>
      <c r="H1548" t="s">
        <v>4196</v>
      </c>
      <c r="I1548" t="s">
        <v>13</v>
      </c>
      <c r="J1548" t="s">
        <v>7682</v>
      </c>
      <c r="K1548" t="s">
        <v>7826</v>
      </c>
      <c r="L1548" t="s">
        <v>7826</v>
      </c>
      <c r="N1548" t="str" cm="1">
        <f t="array" ref="N1548">IFERROR(LOOKUP(2,1/SEARCH($S$2:$S$65,G1548),$T$2:$T$65),"Misc")</f>
        <v>OH P/N</v>
      </c>
      <c r="O1548" t="str" cm="1">
        <f t="array" ref="O1548">IFERROR(LOOKUP(2,1/SEARCH($V$2:$V$65,G1548),$W$2:$W$65),"Misc")</f>
        <v>OH Part</v>
      </c>
      <c r="P1548" t="str" cm="1">
        <f t="array" ref="P1548">IFERROR(LOOKUP(2,1/SEARCH($Y$2:$Y$65,G1548),$Z$2:$Z$65),"Not Defined")</f>
        <v>OH Part</v>
      </c>
      <c r="Q1548" t="str" cm="1">
        <f t="array" ref="Q1548">IFERROR(LOOKUP(2,1/SEARCH($S$2:$S$65,H1548),$T$2:$T$65),"-")</f>
        <v>COTS</v>
      </c>
    </row>
    <row r="1549" spans="1:17" x14ac:dyDescent="0.25">
      <c r="A1549" t="s">
        <v>7675</v>
      </c>
      <c r="B1549" t="s">
        <v>4198</v>
      </c>
      <c r="C1549">
        <v>1</v>
      </c>
      <c r="D1549" t="s">
        <v>7432</v>
      </c>
      <c r="F1549" t="s">
        <v>4199</v>
      </c>
      <c r="G1549" t="s">
        <v>4201</v>
      </c>
      <c r="H1549" t="s">
        <v>4200</v>
      </c>
      <c r="I1549" t="s">
        <v>13</v>
      </c>
      <c r="J1549" t="s">
        <v>7682</v>
      </c>
      <c r="K1549" t="s">
        <v>7826</v>
      </c>
      <c r="L1549" t="s">
        <v>7826</v>
      </c>
      <c r="N1549" t="str" cm="1">
        <f t="array" ref="N1549">IFERROR(LOOKUP(2,1/SEARCH($S$2:$S$65,G1549),$T$2:$T$65),"Misc")</f>
        <v>OH P/N</v>
      </c>
      <c r="O1549" t="str" cm="1">
        <f t="array" ref="O1549">IFERROR(LOOKUP(2,1/SEARCH($V$2:$V$65,G1549),$W$2:$W$65),"Misc")</f>
        <v>OH Part</v>
      </c>
      <c r="P1549" t="str" cm="1">
        <f t="array" ref="P1549">IFERROR(LOOKUP(2,1/SEARCH($Y$2:$Y$65,G1549),$Z$2:$Z$65),"Not Defined")</f>
        <v>OH Part</v>
      </c>
      <c r="Q1549" t="str" cm="1">
        <f t="array" ref="Q1549">IFERROR(LOOKUP(2,1/SEARCH($S$2:$S$65,H1549),$T$2:$T$65),"-")</f>
        <v>COTS</v>
      </c>
    </row>
    <row r="1550" spans="1:17" x14ac:dyDescent="0.25">
      <c r="A1550" t="s">
        <v>7675</v>
      </c>
      <c r="B1550" t="s">
        <v>4202</v>
      </c>
      <c r="C1550">
        <v>1</v>
      </c>
      <c r="D1550" t="s">
        <v>7432</v>
      </c>
      <c r="F1550" t="s">
        <v>4203</v>
      </c>
      <c r="G1550" t="s">
        <v>4205</v>
      </c>
      <c r="H1550" t="s">
        <v>4204</v>
      </c>
      <c r="I1550" t="s">
        <v>13</v>
      </c>
      <c r="J1550" t="s">
        <v>7682</v>
      </c>
      <c r="K1550" t="s">
        <v>7826</v>
      </c>
      <c r="L1550" t="s">
        <v>7826</v>
      </c>
      <c r="N1550" t="str" cm="1">
        <f t="array" ref="N1550">IFERROR(LOOKUP(2,1/SEARCH($S$2:$S$65,G1550),$T$2:$T$65),"Misc")</f>
        <v>OH P/N</v>
      </c>
      <c r="O1550" t="str" cm="1">
        <f t="array" ref="O1550">IFERROR(LOOKUP(2,1/SEARCH($V$2:$V$65,G1550),$W$2:$W$65),"Misc")</f>
        <v>OH Part</v>
      </c>
      <c r="P1550" t="str" cm="1">
        <f t="array" ref="P1550">IFERROR(LOOKUP(2,1/SEARCH($Y$2:$Y$65,G1550),$Z$2:$Z$65),"Not Defined")</f>
        <v>OH Part</v>
      </c>
      <c r="Q1550" t="str" cm="1">
        <f t="array" ref="Q1550">IFERROR(LOOKUP(2,1/SEARCH($S$2:$S$65,H1550),$T$2:$T$65),"-")</f>
        <v>COTS</v>
      </c>
    </row>
    <row r="1551" spans="1:17" x14ac:dyDescent="0.25">
      <c r="A1551" t="s">
        <v>7675</v>
      </c>
      <c r="B1551" t="s">
        <v>4206</v>
      </c>
      <c r="C1551">
        <v>75</v>
      </c>
      <c r="D1551" t="s">
        <v>7432</v>
      </c>
      <c r="F1551" t="s">
        <v>208</v>
      </c>
      <c r="G1551" t="s">
        <v>7049</v>
      </c>
      <c r="H1551" t="s">
        <v>209</v>
      </c>
      <c r="I1551" t="s">
        <v>210</v>
      </c>
      <c r="J1551" t="s">
        <v>7703</v>
      </c>
      <c r="K1551" t="s">
        <v>7684</v>
      </c>
      <c r="L1551" t="s">
        <v>7738</v>
      </c>
      <c r="N1551" t="str" cm="1">
        <f t="array" ref="N1551">IFERROR(LOOKUP(2,1/SEARCH($S$2:$S$65,G1551),$T$2:$T$65),"Misc")</f>
        <v>COTS</v>
      </c>
      <c r="O1551" t="str" cm="1">
        <f t="array" ref="O1551">IFERROR(LOOKUP(2,1/SEARCH($V$2:$V$65,G1551),$W$2:$W$65),"Misc")</f>
        <v>Fasteners</v>
      </c>
      <c r="P1551" t="str" cm="1">
        <f t="array" ref="P1551">IFERROR(LOOKUP(2,1/SEARCH($Y$2:$Y$65,G1551),$Z$2:$Z$65),"Not Defined")</f>
        <v>FHWS</v>
      </c>
      <c r="Q1551" t="str" cm="1">
        <f t="array" ref="Q1551">IFERROR(LOOKUP(2,1/SEARCH($S$2:$S$65,H1551),$T$2:$T$65),"-")</f>
        <v>COTS</v>
      </c>
    </row>
    <row r="1552" spans="1:17" x14ac:dyDescent="0.25">
      <c r="A1552" t="s">
        <v>7675</v>
      </c>
      <c r="B1552" t="s">
        <v>4207</v>
      </c>
      <c r="C1552">
        <v>29</v>
      </c>
      <c r="D1552" t="s">
        <v>7432</v>
      </c>
      <c r="F1552" t="s">
        <v>219</v>
      </c>
      <c r="G1552" t="s">
        <v>7052</v>
      </c>
      <c r="H1552" t="s">
        <v>220</v>
      </c>
      <c r="I1552" t="s">
        <v>210</v>
      </c>
      <c r="J1552" t="s">
        <v>7703</v>
      </c>
      <c r="K1552" t="s">
        <v>7684</v>
      </c>
      <c r="L1552" t="s">
        <v>7691</v>
      </c>
      <c r="N1552" t="str" cm="1">
        <f t="array" ref="N1552">IFERROR(LOOKUP(2,1/SEARCH($S$2:$S$65,G1552),$T$2:$T$65),"Misc")</f>
        <v>COTS</v>
      </c>
      <c r="O1552" t="str" cm="1">
        <f t="array" ref="O1552">IFERROR(LOOKUP(2,1/SEARCH($V$2:$V$65,G1552),$W$2:$W$65),"Misc")</f>
        <v>Fasteners</v>
      </c>
      <c r="P1552" t="str" cm="1">
        <f t="array" ref="P1552">IFERROR(LOOKUP(2,1/SEARCH($Y$2:$Y$65,G1552),$Z$2:$Z$65),"Not Defined")</f>
        <v>FHS</v>
      </c>
      <c r="Q1552" t="str" cm="1">
        <f t="array" ref="Q1552">IFERROR(LOOKUP(2,1/SEARCH($S$2:$S$65,H1552),$T$2:$T$65),"-")</f>
        <v>COTS</v>
      </c>
    </row>
    <row r="1553" spans="1:17" x14ac:dyDescent="0.25">
      <c r="A1553" t="s">
        <v>7675</v>
      </c>
      <c r="B1553" t="s">
        <v>4208</v>
      </c>
      <c r="C1553">
        <v>32</v>
      </c>
      <c r="D1553" t="s">
        <v>7432</v>
      </c>
      <c r="F1553" t="s">
        <v>216</v>
      </c>
      <c r="G1553" t="s">
        <v>7051</v>
      </c>
      <c r="H1553" t="s">
        <v>217</v>
      </c>
      <c r="I1553" t="s">
        <v>210</v>
      </c>
      <c r="J1553" t="s">
        <v>7703</v>
      </c>
      <c r="K1553" t="s">
        <v>7684</v>
      </c>
      <c r="L1553" t="s">
        <v>7691</v>
      </c>
      <c r="N1553" t="str" cm="1">
        <f t="array" ref="N1553">IFERROR(LOOKUP(2,1/SEARCH($S$2:$S$65,G1553),$T$2:$T$65),"Misc")</f>
        <v>COTS</v>
      </c>
      <c r="O1553" t="str" cm="1">
        <f t="array" ref="O1553">IFERROR(LOOKUP(2,1/SEARCH($V$2:$V$65,G1553),$W$2:$W$65),"Misc")</f>
        <v>Fasteners</v>
      </c>
      <c r="P1553" t="str" cm="1">
        <f t="array" ref="P1553">IFERROR(LOOKUP(2,1/SEARCH($Y$2:$Y$65,G1553),$Z$2:$Z$65),"Not Defined")</f>
        <v>FHS</v>
      </c>
      <c r="Q1553" t="str" cm="1">
        <f t="array" ref="Q1553">IFERROR(LOOKUP(2,1/SEARCH($S$2:$S$65,H1553),$T$2:$T$65),"-")</f>
        <v>COTS</v>
      </c>
    </row>
    <row r="1554" spans="1:17" x14ac:dyDescent="0.25">
      <c r="A1554" t="s">
        <v>7675</v>
      </c>
      <c r="B1554" t="s">
        <v>4209</v>
      </c>
      <c r="C1554">
        <v>36</v>
      </c>
      <c r="D1554" t="s">
        <v>7432</v>
      </c>
      <c r="F1554" t="s">
        <v>212</v>
      </c>
      <c r="G1554" t="s">
        <v>7050</v>
      </c>
      <c r="H1554" t="s">
        <v>213</v>
      </c>
      <c r="I1554" t="s">
        <v>214</v>
      </c>
      <c r="J1554" t="s">
        <v>7703</v>
      </c>
      <c r="K1554" t="s">
        <v>7684</v>
      </c>
      <c r="L1554" t="s">
        <v>7707</v>
      </c>
      <c r="N1554" t="str" cm="1">
        <f t="array" ref="N1554">IFERROR(LOOKUP(2,1/SEARCH($S$2:$S$65,G1554),$T$2:$T$65),"Misc")</f>
        <v>COTS</v>
      </c>
      <c r="O1554" t="str" cm="1">
        <f t="array" ref="O1554">IFERROR(LOOKUP(2,1/SEARCH($V$2:$V$65,G1554),$W$2:$W$65),"Misc")</f>
        <v>Fasteners</v>
      </c>
      <c r="P1554" t="str" cm="1">
        <f t="array" ref="P1554">IFERROR(LOOKUP(2,1/SEARCH($Y$2:$Y$65,G1554),$Z$2:$Z$65),"Not Defined")</f>
        <v>PIN</v>
      </c>
      <c r="Q1554" t="str" cm="1">
        <f t="array" ref="Q1554">IFERROR(LOOKUP(2,1/SEARCH($S$2:$S$65,H1554),$T$2:$T$65),"-")</f>
        <v>COTS</v>
      </c>
    </row>
    <row r="1555" spans="1:17" x14ac:dyDescent="0.25">
      <c r="A1555" t="s">
        <v>7675</v>
      </c>
      <c r="B1555" t="s">
        <v>4210</v>
      </c>
      <c r="C1555">
        <v>70</v>
      </c>
      <c r="D1555" t="s">
        <v>7432</v>
      </c>
      <c r="F1555" t="s">
        <v>230</v>
      </c>
      <c r="G1555" t="s">
        <v>7055</v>
      </c>
      <c r="H1555" t="s">
        <v>231</v>
      </c>
      <c r="I1555" t="s">
        <v>210</v>
      </c>
      <c r="J1555" t="s">
        <v>7703</v>
      </c>
      <c r="K1555" t="s">
        <v>7684</v>
      </c>
      <c r="L1555" t="s">
        <v>7692</v>
      </c>
      <c r="N1555" t="str" cm="1">
        <f t="array" ref="N1555">IFERROR(LOOKUP(2,1/SEARCH($S$2:$S$65,G1555),$T$2:$T$65),"Misc")</f>
        <v>COTS</v>
      </c>
      <c r="O1555" t="str" cm="1">
        <f t="array" ref="O1555">IFERROR(LOOKUP(2,1/SEARCH($V$2:$V$65,G1555),$W$2:$W$65),"Misc")</f>
        <v>Fasteners</v>
      </c>
      <c r="P1555" t="str" cm="1">
        <f t="array" ref="P1555">IFERROR(LOOKUP(2,1/SEARCH($Y$2:$Y$65,G1555),$Z$2:$Z$65),"Not Defined")</f>
        <v>WASHER</v>
      </c>
      <c r="Q1555" t="str" cm="1">
        <f t="array" ref="Q1555">IFERROR(LOOKUP(2,1/SEARCH($S$2:$S$65,H1555),$T$2:$T$65),"-")</f>
        <v>COTS</v>
      </c>
    </row>
    <row r="1556" spans="1:17" x14ac:dyDescent="0.25">
      <c r="A1556" t="s">
        <v>7675</v>
      </c>
      <c r="B1556" t="s">
        <v>4211</v>
      </c>
      <c r="C1556">
        <v>48</v>
      </c>
      <c r="D1556" t="s">
        <v>7432</v>
      </c>
      <c r="F1556" t="s">
        <v>233</v>
      </c>
      <c r="G1556" t="s">
        <v>7056</v>
      </c>
      <c r="H1556" t="s">
        <v>234</v>
      </c>
      <c r="I1556" t="s">
        <v>210</v>
      </c>
      <c r="J1556" t="s">
        <v>7703</v>
      </c>
      <c r="K1556" t="s">
        <v>7684</v>
      </c>
      <c r="L1556" t="s">
        <v>7693</v>
      </c>
      <c r="N1556" t="str" cm="1">
        <f t="array" ref="N1556">IFERROR(LOOKUP(2,1/SEARCH($S$2:$S$65,G1556),$T$2:$T$65),"Misc")</f>
        <v>COTS</v>
      </c>
      <c r="O1556" t="str" cm="1">
        <f t="array" ref="O1556">IFERROR(LOOKUP(2,1/SEARCH($V$2:$V$65,G1556),$W$2:$W$65),"Misc")</f>
        <v>Fasteners</v>
      </c>
      <c r="P1556" t="str" cm="1">
        <f t="array" ref="P1556">IFERROR(LOOKUP(2,1/SEARCH($Y$2:$Y$65,G1556),$Z$2:$Z$65),"Not Defined")</f>
        <v>PHS</v>
      </c>
      <c r="Q1556" t="str" cm="1">
        <f t="array" ref="Q1556">IFERROR(LOOKUP(2,1/SEARCH($S$2:$S$65,H1556),$T$2:$T$65),"-")</f>
        <v>COTS</v>
      </c>
    </row>
    <row r="1557" spans="1:17" x14ac:dyDescent="0.25">
      <c r="A1557" t="s">
        <v>7675</v>
      </c>
      <c r="B1557" t="s">
        <v>4212</v>
      </c>
      <c r="C1557">
        <v>79</v>
      </c>
      <c r="D1557" t="s">
        <v>7432</v>
      </c>
      <c r="F1557" t="s">
        <v>226</v>
      </c>
      <c r="G1557" t="s">
        <v>7054</v>
      </c>
      <c r="H1557" t="s">
        <v>227</v>
      </c>
      <c r="I1557" t="s">
        <v>228</v>
      </c>
      <c r="J1557" t="s">
        <v>7703</v>
      </c>
      <c r="K1557" t="s">
        <v>7684</v>
      </c>
      <c r="L1557" t="s">
        <v>7685</v>
      </c>
      <c r="N1557" t="str" cm="1">
        <f t="array" ref="N1557">IFERROR(LOOKUP(2,1/SEARCH($S$2:$S$65,G1557),$T$2:$T$65),"Misc")</f>
        <v>COTS</v>
      </c>
      <c r="O1557" t="str" cm="1">
        <f t="array" ref="O1557">IFERROR(LOOKUP(2,1/SEARCH($V$2:$V$65,G1557),$W$2:$W$65),"Misc")</f>
        <v>Fasteners</v>
      </c>
      <c r="P1557" t="str" cm="1">
        <f t="array" ref="P1557">IFERROR(LOOKUP(2,1/SEARCH($Y$2:$Y$65,G1557),$Z$2:$Z$65),"Not Defined")</f>
        <v>NUT</v>
      </c>
      <c r="Q1557" t="str" cm="1">
        <f t="array" ref="Q1557">IFERROR(LOOKUP(2,1/SEARCH($S$2:$S$65,H1557),$T$2:$T$65),"-")</f>
        <v>COTS</v>
      </c>
    </row>
    <row r="1558" spans="1:17" x14ac:dyDescent="0.25">
      <c r="A1558" t="s">
        <v>7675</v>
      </c>
      <c r="B1558" t="s">
        <v>4213</v>
      </c>
      <c r="C1558">
        <v>5</v>
      </c>
      <c r="D1558" t="s">
        <v>7432</v>
      </c>
      <c r="F1558" t="s">
        <v>4214</v>
      </c>
      <c r="G1558" t="s">
        <v>7433</v>
      </c>
      <c r="H1558" t="s">
        <v>4215</v>
      </c>
      <c r="I1558" t="s">
        <v>228</v>
      </c>
      <c r="J1558" t="s">
        <v>7703</v>
      </c>
      <c r="K1558" t="s">
        <v>7684</v>
      </c>
      <c r="L1558" t="s">
        <v>7693</v>
      </c>
      <c r="N1558" t="str" cm="1">
        <f t="array" ref="N1558">IFERROR(LOOKUP(2,1/SEARCH($S$2:$S$65,G1558),$T$2:$T$65),"Misc")</f>
        <v>COTS</v>
      </c>
      <c r="O1558" t="str" cm="1">
        <f t="array" ref="O1558">IFERROR(LOOKUP(2,1/SEARCH($V$2:$V$65,G1558),$W$2:$W$65),"Misc")</f>
        <v>Fasteners</v>
      </c>
      <c r="P1558" t="str" cm="1">
        <f t="array" ref="P1558">IFERROR(LOOKUP(2,1/SEARCH($Y$2:$Y$65,G1558),$Z$2:$Z$65),"Not Defined")</f>
        <v>PHS</v>
      </c>
      <c r="Q1558" t="str" cm="1">
        <f t="array" ref="Q1558">IFERROR(LOOKUP(2,1/SEARCH($S$2:$S$65,H1558),$T$2:$T$65),"-")</f>
        <v>COTS</v>
      </c>
    </row>
    <row r="1559" spans="1:17" x14ac:dyDescent="0.25">
      <c r="A1559" t="s">
        <v>7675</v>
      </c>
      <c r="B1559" t="s">
        <v>4216</v>
      </c>
      <c r="C1559">
        <v>66</v>
      </c>
      <c r="D1559" t="s">
        <v>7432</v>
      </c>
      <c r="F1559" t="s">
        <v>222</v>
      </c>
      <c r="G1559" t="s">
        <v>7053</v>
      </c>
      <c r="H1559" t="s">
        <v>223</v>
      </c>
      <c r="I1559" t="s">
        <v>224</v>
      </c>
      <c r="J1559" t="s">
        <v>7703</v>
      </c>
      <c r="K1559" t="s">
        <v>7684</v>
      </c>
      <c r="L1559" t="s">
        <v>7687</v>
      </c>
      <c r="N1559" t="str" cm="1">
        <f t="array" ref="N1559">IFERROR(LOOKUP(2,1/SEARCH($S$2:$S$65,G1559),$T$2:$T$65),"Misc")</f>
        <v>COTS</v>
      </c>
      <c r="O1559" t="str" cm="1">
        <f t="array" ref="O1559">IFERROR(LOOKUP(2,1/SEARCH($V$2:$V$65,G1559),$W$2:$W$65),"Misc")</f>
        <v>Fasteners</v>
      </c>
      <c r="P1559" t="str" cm="1">
        <f t="array" ref="P1559">IFERROR(LOOKUP(2,1/SEARCH($Y$2:$Y$65,G1559),$Z$2:$Z$65),"Not Defined")</f>
        <v>INSERT</v>
      </c>
      <c r="Q1559" t="str" cm="1">
        <f t="array" ref="Q1559">IFERROR(LOOKUP(2,1/SEARCH($S$2:$S$65,H1559),$T$2:$T$65),"-")</f>
        <v>COTS</v>
      </c>
    </row>
    <row r="1560" spans="1:17" x14ac:dyDescent="0.25">
      <c r="A1560" t="s">
        <v>7675</v>
      </c>
      <c r="B1560" t="s">
        <v>4217</v>
      </c>
      <c r="C1560">
        <v>13</v>
      </c>
      <c r="D1560" t="s">
        <v>7432</v>
      </c>
      <c r="F1560" t="s">
        <v>265</v>
      </c>
      <c r="G1560" t="s">
        <v>7099</v>
      </c>
      <c r="H1560" t="s">
        <v>266</v>
      </c>
      <c r="I1560" t="s">
        <v>224</v>
      </c>
      <c r="J1560" t="s">
        <v>7703</v>
      </c>
      <c r="K1560" t="s">
        <v>7684</v>
      </c>
      <c r="L1560" t="s">
        <v>7687</v>
      </c>
      <c r="N1560" t="str" cm="1">
        <f t="array" ref="N1560">IFERROR(LOOKUP(2,1/SEARCH($S$2:$S$65,G1560),$T$2:$T$65),"Misc")</f>
        <v>COTS</v>
      </c>
      <c r="O1560" t="str" cm="1">
        <f t="array" ref="O1560">IFERROR(LOOKUP(2,1/SEARCH($V$2:$V$65,G1560),$W$2:$W$65),"Misc")</f>
        <v>Fasteners</v>
      </c>
      <c r="P1560" t="str" cm="1">
        <f t="array" ref="P1560">IFERROR(LOOKUP(2,1/SEARCH($Y$2:$Y$65,G1560),$Z$2:$Z$65),"Not Defined")</f>
        <v>INSERT</v>
      </c>
      <c r="Q1560" t="str" cm="1">
        <f t="array" ref="Q1560">IFERROR(LOOKUP(2,1/SEARCH($S$2:$S$65,H1560),$T$2:$T$65),"-")</f>
        <v>COTS</v>
      </c>
    </row>
    <row r="1561" spans="1:17" x14ac:dyDescent="0.25">
      <c r="A1561" t="s">
        <v>7675</v>
      </c>
      <c r="B1561" t="s">
        <v>4218</v>
      </c>
      <c r="C1561">
        <v>4</v>
      </c>
      <c r="D1561" t="s">
        <v>7432</v>
      </c>
      <c r="F1561" t="s">
        <v>439</v>
      </c>
      <c r="G1561" t="s">
        <v>7086</v>
      </c>
      <c r="H1561" t="s">
        <v>440</v>
      </c>
      <c r="I1561" t="s">
        <v>224</v>
      </c>
      <c r="J1561" t="s">
        <v>7703</v>
      </c>
      <c r="K1561" t="s">
        <v>7684</v>
      </c>
      <c r="L1561" t="s">
        <v>7687</v>
      </c>
      <c r="N1561" t="str" cm="1">
        <f t="array" ref="N1561">IFERROR(LOOKUP(2,1/SEARCH($S$2:$S$65,G1561),$T$2:$T$65),"Misc")</f>
        <v>COTS</v>
      </c>
      <c r="O1561" t="str" cm="1">
        <f t="array" ref="O1561">IFERROR(LOOKUP(2,1/SEARCH($V$2:$V$65,G1561),$W$2:$W$65),"Misc")</f>
        <v>Fasteners</v>
      </c>
      <c r="P1561" t="str" cm="1">
        <f t="array" ref="P1561">IFERROR(LOOKUP(2,1/SEARCH($Y$2:$Y$65,G1561),$Z$2:$Z$65),"Not Defined")</f>
        <v>INSERT</v>
      </c>
      <c r="Q1561" t="str" cm="1">
        <f t="array" ref="Q1561">IFERROR(LOOKUP(2,1/SEARCH($S$2:$S$65,H1561),$T$2:$T$65),"-")</f>
        <v>COTS</v>
      </c>
    </row>
    <row r="1562" spans="1:17" x14ac:dyDescent="0.25">
      <c r="A1562" t="s">
        <v>7675</v>
      </c>
      <c r="B1562" t="s">
        <v>4219</v>
      </c>
      <c r="C1562">
        <v>3</v>
      </c>
      <c r="D1562" t="s">
        <v>7432</v>
      </c>
      <c r="F1562" t="s">
        <v>519</v>
      </c>
      <c r="G1562" t="s">
        <v>7097</v>
      </c>
      <c r="H1562" t="s">
        <v>520</v>
      </c>
      <c r="I1562" t="s">
        <v>228</v>
      </c>
      <c r="J1562" t="s">
        <v>7703</v>
      </c>
      <c r="K1562" t="s">
        <v>7684</v>
      </c>
      <c r="L1562" t="s">
        <v>7693</v>
      </c>
      <c r="N1562" t="str" cm="1">
        <f t="array" ref="N1562">IFERROR(LOOKUP(2,1/SEARCH($S$2:$S$65,G1562),$T$2:$T$65),"Misc")</f>
        <v>COTS</v>
      </c>
      <c r="O1562" t="str" cm="1">
        <f t="array" ref="O1562">IFERROR(LOOKUP(2,1/SEARCH($V$2:$V$65,G1562),$W$2:$W$65),"Misc")</f>
        <v>Fasteners</v>
      </c>
      <c r="P1562" t="str" cm="1">
        <f t="array" ref="P1562">IFERROR(LOOKUP(2,1/SEARCH($Y$2:$Y$65,G1562),$Z$2:$Z$65),"Not Defined")</f>
        <v>PHS</v>
      </c>
      <c r="Q1562" t="str" cm="1">
        <f t="array" ref="Q1562">IFERROR(LOOKUP(2,1/SEARCH($S$2:$S$65,H1562),$T$2:$T$65),"-")</f>
        <v>COTS</v>
      </c>
    </row>
    <row r="1563" spans="1:17" x14ac:dyDescent="0.25">
      <c r="A1563" t="s">
        <v>7675</v>
      </c>
      <c r="B1563" t="s">
        <v>4220</v>
      </c>
      <c r="C1563">
        <v>1</v>
      </c>
      <c r="D1563" t="s">
        <v>7432</v>
      </c>
      <c r="F1563" t="s">
        <v>2651</v>
      </c>
      <c r="G1563" t="s">
        <v>7305</v>
      </c>
      <c r="H1563" t="s">
        <v>2652</v>
      </c>
      <c r="J1563" t="s">
        <v>7703</v>
      </c>
      <c r="K1563" t="s">
        <v>7698</v>
      </c>
      <c r="L1563" t="s">
        <v>7707</v>
      </c>
      <c r="N1563" t="str" cm="1">
        <f t="array" ref="N1563">IFERROR(LOOKUP(2,1/SEARCH($S$2:$S$65,G1563),$T$2:$T$65),"Misc")</f>
        <v>COTS</v>
      </c>
      <c r="O1563" t="str" cm="1">
        <f t="array" ref="O1563">IFERROR(LOOKUP(2,1/SEARCH($V$2:$V$65,G1563),$W$2:$W$65),"Misc")</f>
        <v>Pins</v>
      </c>
      <c r="P1563" t="str" cm="1">
        <f t="array" ref="P1563">IFERROR(LOOKUP(2,1/SEARCH($Y$2:$Y$65,G1563),$Z$2:$Z$65),"Not Defined")</f>
        <v>PIN</v>
      </c>
      <c r="Q1563" t="str" cm="1">
        <f t="array" ref="Q1563">IFERROR(LOOKUP(2,1/SEARCH($S$2:$S$65,H1563),$T$2:$T$65),"-")</f>
        <v>COTS</v>
      </c>
    </row>
    <row r="1564" spans="1:17" x14ac:dyDescent="0.25">
      <c r="A1564" t="s">
        <v>7675</v>
      </c>
      <c r="B1564" t="s">
        <v>4221</v>
      </c>
      <c r="C1564">
        <v>1</v>
      </c>
      <c r="D1564" t="s">
        <v>7432</v>
      </c>
      <c r="F1564" t="s">
        <v>4222</v>
      </c>
      <c r="G1564" t="s">
        <v>7434</v>
      </c>
      <c r="H1564" t="s">
        <v>4223</v>
      </c>
      <c r="I1564" t="s">
        <v>210</v>
      </c>
      <c r="J1564" t="s">
        <v>7703</v>
      </c>
      <c r="K1564" t="s">
        <v>7684</v>
      </c>
      <c r="L1564" t="s">
        <v>7693</v>
      </c>
      <c r="N1564" t="str" cm="1">
        <f t="array" ref="N1564">IFERROR(LOOKUP(2,1/SEARCH($S$2:$S$65,G1564),$T$2:$T$65),"Misc")</f>
        <v>COTS</v>
      </c>
      <c r="O1564" t="str" cm="1">
        <f t="array" ref="O1564">IFERROR(LOOKUP(2,1/SEARCH($V$2:$V$65,G1564),$W$2:$W$65),"Misc")</f>
        <v>Fasteners</v>
      </c>
      <c r="P1564" t="str" cm="1">
        <f t="array" ref="P1564">IFERROR(LOOKUP(2,1/SEARCH($Y$2:$Y$65,G1564),$Z$2:$Z$65),"Not Defined")</f>
        <v>PHS</v>
      </c>
      <c r="Q1564" t="str" cm="1">
        <f t="array" ref="Q1564">IFERROR(LOOKUP(2,1/SEARCH($S$2:$S$65,H1564),$T$2:$T$65),"-")</f>
        <v>COTS</v>
      </c>
    </row>
    <row r="1565" spans="1:17" x14ac:dyDescent="0.25">
      <c r="A1565" t="s">
        <v>7675</v>
      </c>
      <c r="B1565" s="18">
        <v>3.5</v>
      </c>
      <c r="C1565">
        <v>1</v>
      </c>
      <c r="D1565" t="s">
        <v>7435</v>
      </c>
      <c r="F1565" t="s">
        <v>4224</v>
      </c>
      <c r="G1565" t="s">
        <v>7435</v>
      </c>
      <c r="H1565" t="s">
        <v>4225</v>
      </c>
      <c r="J1565" t="s">
        <v>7742</v>
      </c>
      <c r="K1565" t="s">
        <v>7826</v>
      </c>
      <c r="L1565" t="s">
        <v>7826</v>
      </c>
      <c r="N1565" t="str" cm="1">
        <f t="array" ref="N1565">IFERROR(LOOKUP(2,1/SEARCH($S$2:$S$65,G1565),$T$2:$T$65),"Misc")</f>
        <v>OH ASSY</v>
      </c>
      <c r="O1565" t="str" cm="1">
        <f t="array" ref="O1565">IFERROR(LOOKUP(2,1/SEARCH($V$2:$V$65,G1565),$W$2:$W$65),"Misc")</f>
        <v>OH Part</v>
      </c>
      <c r="P1565" t="str" cm="1">
        <f t="array" ref="P1565">IFERROR(LOOKUP(2,1/SEARCH($Y$2:$Y$65,G1565),$Z$2:$Z$65),"Not Defined")</f>
        <v>OH Part</v>
      </c>
      <c r="Q1565" t="str" cm="1">
        <f t="array" ref="Q1565">IFERROR(LOOKUP(2,1/SEARCH($S$2:$S$65,H1565),$T$2:$T$65),"-")</f>
        <v>OH ASSY</v>
      </c>
    </row>
    <row r="1566" spans="1:17" x14ac:dyDescent="0.25">
      <c r="A1566" t="s">
        <v>7675</v>
      </c>
      <c r="B1566" s="18" t="s">
        <v>4226</v>
      </c>
      <c r="C1566">
        <v>1</v>
      </c>
      <c r="D1566" t="s">
        <v>7435</v>
      </c>
      <c r="F1566" t="s">
        <v>4227</v>
      </c>
      <c r="G1566" t="s">
        <v>4229</v>
      </c>
      <c r="H1566" t="s">
        <v>4228</v>
      </c>
      <c r="I1566" t="s">
        <v>13</v>
      </c>
      <c r="J1566" t="s">
        <v>7682</v>
      </c>
      <c r="K1566" t="s">
        <v>7826</v>
      </c>
      <c r="L1566" t="s">
        <v>7826</v>
      </c>
      <c r="N1566" t="str" cm="1">
        <f t="array" ref="N1566">IFERROR(LOOKUP(2,1/SEARCH($S$2:$S$65,G1566),$T$2:$T$65),"Misc")</f>
        <v>OH P/N</v>
      </c>
      <c r="O1566" t="str" cm="1">
        <f t="array" ref="O1566">IFERROR(LOOKUP(2,1/SEARCH($V$2:$V$65,G1566),$W$2:$W$65),"Misc")</f>
        <v>OH Part</v>
      </c>
      <c r="P1566" t="str" cm="1">
        <f t="array" ref="P1566">IFERROR(LOOKUP(2,1/SEARCH($Y$2:$Y$65,G1566),$Z$2:$Z$65),"Not Defined")</f>
        <v>OH Part</v>
      </c>
      <c r="Q1566" t="str" cm="1">
        <f t="array" ref="Q1566">IFERROR(LOOKUP(2,1/SEARCH($S$2:$S$65,H1566),$T$2:$T$65),"-")</f>
        <v>-</v>
      </c>
    </row>
    <row r="1567" spans="1:17" x14ac:dyDescent="0.25">
      <c r="A1567" t="s">
        <v>7675</v>
      </c>
      <c r="B1567" s="25" t="s">
        <v>4230</v>
      </c>
      <c r="C1567">
        <v>1</v>
      </c>
      <c r="D1567" t="s">
        <v>7435</v>
      </c>
      <c r="F1567" t="s">
        <v>4231</v>
      </c>
      <c r="G1567" t="s">
        <v>4233</v>
      </c>
      <c r="H1567" t="s">
        <v>4232</v>
      </c>
      <c r="I1567" t="s">
        <v>358</v>
      </c>
      <c r="J1567" t="s">
        <v>7682</v>
      </c>
      <c r="K1567" t="s">
        <v>7826</v>
      </c>
      <c r="L1567" t="s">
        <v>7826</v>
      </c>
      <c r="N1567" t="str" cm="1">
        <f t="array" ref="N1567">IFERROR(LOOKUP(2,1/SEARCH($S$2:$S$65,G1567),$T$2:$T$65),"Misc")</f>
        <v>OH P/N</v>
      </c>
      <c r="O1567" t="str" cm="1">
        <f t="array" ref="O1567">IFERROR(LOOKUP(2,1/SEARCH($V$2:$V$65,G1567),$W$2:$W$65),"Misc")</f>
        <v>OH Part</v>
      </c>
      <c r="P1567" t="str" cm="1">
        <f t="array" ref="P1567">IFERROR(LOOKUP(2,1/SEARCH($Y$2:$Y$65,G1567),$Z$2:$Z$65),"Not Defined")</f>
        <v>OH Part</v>
      </c>
      <c r="Q1567" t="str" cm="1">
        <f t="array" ref="Q1567">IFERROR(LOOKUP(2,1/SEARCH($S$2:$S$65,H1567),$T$2:$T$65),"-")</f>
        <v>-</v>
      </c>
    </row>
    <row r="1568" spans="1:17" x14ac:dyDescent="0.25">
      <c r="A1568" t="s">
        <v>7675</v>
      </c>
      <c r="B1568" s="25" t="s">
        <v>4234</v>
      </c>
      <c r="C1568">
        <v>1</v>
      </c>
      <c r="D1568" t="s">
        <v>7435</v>
      </c>
      <c r="F1568" t="s">
        <v>4235</v>
      </c>
      <c r="G1568" t="s">
        <v>4237</v>
      </c>
      <c r="H1568" t="s">
        <v>4236</v>
      </c>
      <c r="I1568" t="s">
        <v>358</v>
      </c>
      <c r="J1568" t="s">
        <v>7682</v>
      </c>
      <c r="K1568" t="s">
        <v>7826</v>
      </c>
      <c r="L1568" t="s">
        <v>7826</v>
      </c>
      <c r="N1568" t="str" cm="1">
        <f t="array" ref="N1568">IFERROR(LOOKUP(2,1/SEARCH($S$2:$S$65,G1568),$T$2:$T$65),"Misc")</f>
        <v>OH P/N</v>
      </c>
      <c r="O1568" t="str" cm="1">
        <f t="array" ref="O1568">IFERROR(LOOKUP(2,1/SEARCH($V$2:$V$65,G1568),$W$2:$W$65),"Misc")</f>
        <v>OH Part</v>
      </c>
      <c r="P1568" t="str" cm="1">
        <f t="array" ref="P1568">IFERROR(LOOKUP(2,1/SEARCH($Y$2:$Y$65,G1568),$Z$2:$Z$65),"Not Defined")</f>
        <v>OH Part</v>
      </c>
      <c r="Q1568" t="str" cm="1">
        <f t="array" ref="Q1568">IFERROR(LOOKUP(2,1/SEARCH($S$2:$S$65,H1568),$T$2:$T$65),"-")</f>
        <v>-</v>
      </c>
    </row>
    <row r="1569" spans="1:17" x14ac:dyDescent="0.25">
      <c r="A1569" t="s">
        <v>7675</v>
      </c>
      <c r="B1569" s="18" t="s">
        <v>4238</v>
      </c>
      <c r="C1569">
        <v>1</v>
      </c>
      <c r="D1569" t="s">
        <v>7435</v>
      </c>
      <c r="F1569" t="s">
        <v>4239</v>
      </c>
      <c r="G1569" t="s">
        <v>4241</v>
      </c>
      <c r="H1569" t="s">
        <v>4240</v>
      </c>
      <c r="I1569" t="s">
        <v>299</v>
      </c>
      <c r="J1569" t="s">
        <v>7682</v>
      </c>
      <c r="K1569" t="s">
        <v>7826</v>
      </c>
      <c r="L1569" t="s">
        <v>7826</v>
      </c>
      <c r="N1569" t="str" cm="1">
        <f t="array" ref="N1569">IFERROR(LOOKUP(2,1/SEARCH($S$2:$S$65,G1569),$T$2:$T$65),"Misc")</f>
        <v>OH P/N</v>
      </c>
      <c r="O1569" t="str" cm="1">
        <f t="array" ref="O1569">IFERROR(LOOKUP(2,1/SEARCH($V$2:$V$65,G1569),$W$2:$W$65),"Misc")</f>
        <v>OH Part</v>
      </c>
      <c r="P1569" t="str" cm="1">
        <f t="array" ref="P1569">IFERROR(LOOKUP(2,1/SEARCH($Y$2:$Y$65,G1569),$Z$2:$Z$65),"Not Defined")</f>
        <v>OH Part</v>
      </c>
      <c r="Q1569" t="str" cm="1">
        <f t="array" ref="Q1569">IFERROR(LOOKUP(2,1/SEARCH($S$2:$S$65,H1569),$T$2:$T$65),"-")</f>
        <v>-</v>
      </c>
    </row>
    <row r="1570" spans="1:17" x14ac:dyDescent="0.25">
      <c r="A1570" t="s">
        <v>7675</v>
      </c>
      <c r="B1570" s="18" t="s">
        <v>4242</v>
      </c>
      <c r="C1570">
        <v>4</v>
      </c>
      <c r="D1570" t="s">
        <v>7435</v>
      </c>
      <c r="F1570" t="s">
        <v>222</v>
      </c>
      <c r="G1570" t="s">
        <v>7053</v>
      </c>
      <c r="H1570" t="s">
        <v>223</v>
      </c>
      <c r="I1570" t="s">
        <v>224</v>
      </c>
      <c r="J1570" t="s">
        <v>7703</v>
      </c>
      <c r="K1570" t="s">
        <v>7684</v>
      </c>
      <c r="L1570" t="s">
        <v>7687</v>
      </c>
      <c r="N1570" t="str" cm="1">
        <f t="array" ref="N1570">IFERROR(LOOKUP(2,1/SEARCH($S$2:$S$65,G1570),$T$2:$T$65),"Misc")</f>
        <v>COTS</v>
      </c>
      <c r="O1570" t="str" cm="1">
        <f t="array" ref="O1570">IFERROR(LOOKUP(2,1/SEARCH($V$2:$V$65,G1570),$W$2:$W$65),"Misc")</f>
        <v>Fasteners</v>
      </c>
      <c r="P1570" t="str" cm="1">
        <f t="array" ref="P1570">IFERROR(LOOKUP(2,1/SEARCH($Y$2:$Y$65,G1570),$Z$2:$Z$65),"Not Defined")</f>
        <v>INSERT</v>
      </c>
      <c r="Q1570" t="str" cm="1">
        <f t="array" ref="Q1570">IFERROR(LOOKUP(2,1/SEARCH($S$2:$S$65,H1570),$T$2:$T$65),"-")</f>
        <v>COTS</v>
      </c>
    </row>
    <row r="1571" spans="1:17" x14ac:dyDescent="0.25">
      <c r="A1571" t="s">
        <v>7675</v>
      </c>
      <c r="B1571" s="18" t="s">
        <v>4243</v>
      </c>
      <c r="C1571">
        <v>1</v>
      </c>
      <c r="D1571" t="s">
        <v>7435</v>
      </c>
      <c r="F1571" t="s">
        <v>4244</v>
      </c>
      <c r="G1571" t="s">
        <v>7436</v>
      </c>
      <c r="H1571" t="s">
        <v>4245</v>
      </c>
      <c r="I1571" t="s">
        <v>255</v>
      </c>
      <c r="J1571" t="s">
        <v>7703</v>
      </c>
      <c r="K1571" t="s">
        <v>7677</v>
      </c>
      <c r="L1571" t="s">
        <v>7677</v>
      </c>
      <c r="N1571" t="str" cm="1">
        <f t="array" ref="N1571">IFERROR(LOOKUP(2,1/SEARCH($S$2:$S$65,G1571),$T$2:$T$65),"Misc")</f>
        <v>COTS</v>
      </c>
      <c r="O1571" t="str" cm="1">
        <f t="array" ref="O1571">IFERROR(LOOKUP(2,1/SEARCH($V$2:$V$65,G1571),$W$2:$W$65),"Misc")</f>
        <v>SWITCH</v>
      </c>
      <c r="P1571" t="str" cm="1">
        <f t="array" ref="P1571">IFERROR(LOOKUP(2,1/SEARCH($Y$2:$Y$65,G1571),$Z$2:$Z$65),"Not Defined")</f>
        <v>SWITCH</v>
      </c>
      <c r="Q1571" t="str" cm="1">
        <f t="array" ref="Q1571">IFERROR(LOOKUP(2,1/SEARCH($S$2:$S$65,H1571),$T$2:$T$65),"-")</f>
        <v>COTS</v>
      </c>
    </row>
    <row r="1572" spans="1:17" x14ac:dyDescent="0.25">
      <c r="A1572" t="s">
        <v>7675</v>
      </c>
      <c r="B1572" s="18" t="s">
        <v>4246</v>
      </c>
      <c r="C1572">
        <v>2</v>
      </c>
      <c r="D1572" t="s">
        <v>7435</v>
      </c>
      <c r="F1572" t="s">
        <v>439</v>
      </c>
      <c r="G1572" t="s">
        <v>7086</v>
      </c>
      <c r="H1572" t="s">
        <v>440</v>
      </c>
      <c r="I1572" t="s">
        <v>224</v>
      </c>
      <c r="J1572" t="s">
        <v>7703</v>
      </c>
      <c r="K1572" t="s">
        <v>7684</v>
      </c>
      <c r="L1572" t="s">
        <v>7687</v>
      </c>
      <c r="N1572" t="str" cm="1">
        <f t="array" ref="N1572">IFERROR(LOOKUP(2,1/SEARCH($S$2:$S$65,G1572),$T$2:$T$65),"Misc")</f>
        <v>COTS</v>
      </c>
      <c r="O1572" t="str" cm="1">
        <f t="array" ref="O1572">IFERROR(LOOKUP(2,1/SEARCH($V$2:$V$65,G1572),$W$2:$W$65),"Misc")</f>
        <v>Fasteners</v>
      </c>
      <c r="P1572" t="str" cm="1">
        <f t="array" ref="P1572">IFERROR(LOOKUP(2,1/SEARCH($Y$2:$Y$65,G1572),$Z$2:$Z$65),"Not Defined")</f>
        <v>INSERT</v>
      </c>
      <c r="Q1572" t="str" cm="1">
        <f t="array" ref="Q1572">IFERROR(LOOKUP(2,1/SEARCH($S$2:$S$65,H1572),$T$2:$T$65),"-")</f>
        <v>COTS</v>
      </c>
    </row>
    <row r="1573" spans="1:17" x14ac:dyDescent="0.25">
      <c r="A1573" t="s">
        <v>7675</v>
      </c>
      <c r="B1573" s="18" t="s">
        <v>4247</v>
      </c>
      <c r="C1573">
        <v>2</v>
      </c>
      <c r="D1573" t="s">
        <v>7435</v>
      </c>
      <c r="F1573" t="s">
        <v>4248</v>
      </c>
      <c r="G1573" t="s">
        <v>7437</v>
      </c>
      <c r="H1573" t="s">
        <v>4249</v>
      </c>
      <c r="I1573" t="s">
        <v>228</v>
      </c>
      <c r="J1573" t="s">
        <v>7703</v>
      </c>
      <c r="K1573" t="s">
        <v>7684</v>
      </c>
      <c r="L1573" t="s">
        <v>7693</v>
      </c>
      <c r="N1573" t="str" cm="1">
        <f t="array" ref="N1573">IFERROR(LOOKUP(2,1/SEARCH($S$2:$S$65,G1573),$T$2:$T$65),"Misc")</f>
        <v>COTS</v>
      </c>
      <c r="O1573" t="str" cm="1">
        <f t="array" ref="O1573">IFERROR(LOOKUP(2,1/SEARCH($V$2:$V$65,G1573),$W$2:$W$65),"Misc")</f>
        <v>Fasteners</v>
      </c>
      <c r="P1573" t="str" cm="1">
        <f t="array" ref="P1573">IFERROR(LOOKUP(2,1/SEARCH($Y$2:$Y$65,G1573),$Z$2:$Z$65),"Not Defined")</f>
        <v>PHS</v>
      </c>
      <c r="Q1573" t="str" cm="1">
        <f t="array" ref="Q1573">IFERROR(LOOKUP(2,1/SEARCH($S$2:$S$65,H1573),$T$2:$T$65),"-")</f>
        <v>COTS</v>
      </c>
    </row>
    <row r="1574" spans="1:17" x14ac:dyDescent="0.25">
      <c r="A1574" t="s">
        <v>7675</v>
      </c>
      <c r="B1574" s="18" t="s">
        <v>4250</v>
      </c>
      <c r="C1574">
        <v>2</v>
      </c>
      <c r="D1574" t="s">
        <v>7435</v>
      </c>
      <c r="F1574" t="s">
        <v>4251</v>
      </c>
      <c r="G1574" t="s">
        <v>7438</v>
      </c>
      <c r="H1574" t="s">
        <v>4252</v>
      </c>
      <c r="I1574" t="s">
        <v>3477</v>
      </c>
      <c r="J1574" t="s">
        <v>7703</v>
      </c>
      <c r="K1574" t="s">
        <v>7683</v>
      </c>
      <c r="L1574" t="s">
        <v>7683</v>
      </c>
      <c r="N1574" t="str" cm="1">
        <f t="array" ref="N1574">IFERROR(LOOKUP(2,1/SEARCH($S$2:$S$65,G1574),$T$2:$T$65),"Misc")</f>
        <v>COTS</v>
      </c>
      <c r="O1574" t="str" cm="1">
        <f t="array" ref="O1574">IFERROR(LOOKUP(2,1/SEARCH($V$2:$V$65,G1574),$W$2:$W$65),"Misc")</f>
        <v>BEARING</v>
      </c>
      <c r="P1574" t="str" cm="1">
        <f t="array" ref="P1574">IFERROR(LOOKUP(2,1/SEARCH($Y$2:$Y$65,G1574),$Z$2:$Z$65),"Not Defined")</f>
        <v>BEARING</v>
      </c>
      <c r="Q1574" t="str" cm="1">
        <f t="array" ref="Q1574">IFERROR(LOOKUP(2,1/SEARCH($S$2:$S$65,H1574),$T$2:$T$65),"-")</f>
        <v>COTS</v>
      </c>
    </row>
    <row r="1575" spans="1:17" x14ac:dyDescent="0.25">
      <c r="A1575" t="s">
        <v>7675</v>
      </c>
      <c r="B1575" s="18" t="s">
        <v>4253</v>
      </c>
      <c r="C1575">
        <v>1</v>
      </c>
      <c r="D1575" t="s">
        <v>7435</v>
      </c>
      <c r="F1575" t="s">
        <v>4254</v>
      </c>
      <c r="G1575" t="s">
        <v>7439</v>
      </c>
      <c r="H1575" t="s">
        <v>4255</v>
      </c>
      <c r="I1575" t="s">
        <v>210</v>
      </c>
      <c r="J1575" t="s">
        <v>7703</v>
      </c>
      <c r="K1575" t="s">
        <v>7705</v>
      </c>
      <c r="L1575" t="s">
        <v>7704</v>
      </c>
      <c r="N1575" t="str" cm="1">
        <f t="array" ref="N1575">IFERROR(LOOKUP(2,1/SEARCH($S$2:$S$65,G1575),$T$2:$T$65),"Misc")</f>
        <v>COTS</v>
      </c>
      <c r="O1575" t="str" cm="1">
        <f t="array" ref="O1575">IFERROR(LOOKUP(2,1/SEARCH($V$2:$V$65,G1575),$W$2:$W$65),"Misc")</f>
        <v>Shaft Collars</v>
      </c>
      <c r="P1575" t="str" cm="1">
        <f t="array" ref="P1575">IFERROR(LOOKUP(2,1/SEARCH($Y$2:$Y$65,G1575),$Z$2:$Z$65),"Not Defined")</f>
        <v>COLLAR</v>
      </c>
      <c r="Q1575" t="str" cm="1">
        <f t="array" ref="Q1575">IFERROR(LOOKUP(2,1/SEARCH($S$2:$S$65,H1575),$T$2:$T$65),"-")</f>
        <v>COTS</v>
      </c>
    </row>
    <row r="1576" spans="1:17" x14ac:dyDescent="0.25">
      <c r="A1576" t="s">
        <v>7675</v>
      </c>
      <c r="B1576" s="18" t="s">
        <v>4256</v>
      </c>
      <c r="C1576">
        <v>1</v>
      </c>
      <c r="D1576" t="s">
        <v>7435</v>
      </c>
      <c r="F1576" t="s">
        <v>4257</v>
      </c>
      <c r="G1576" t="s">
        <v>7440</v>
      </c>
      <c r="H1576" t="s">
        <v>4258</v>
      </c>
      <c r="I1576" t="s">
        <v>210</v>
      </c>
      <c r="J1576" t="s">
        <v>7703</v>
      </c>
      <c r="K1576" t="s">
        <v>7719</v>
      </c>
      <c r="L1576" t="s">
        <v>7688</v>
      </c>
      <c r="N1576" t="str" cm="1">
        <f t="array" ref="N1576">IFERROR(LOOKUP(2,1/SEARCH($S$2:$S$65,G1576),$T$2:$T$65),"Misc")</f>
        <v>COTS</v>
      </c>
      <c r="O1576" t="str" cm="1">
        <f t="array" ref="O1576">IFERROR(LOOKUP(2,1/SEARCH($V$2:$V$65,G1576),$W$2:$W$65),"Misc")</f>
        <v>Misc</v>
      </c>
      <c r="P1576" t="str" cm="1">
        <f t="array" ref="P1576">IFERROR(LOOKUP(2,1/SEARCH($Y$2:$Y$65,G1576),$Z$2:$Z$65),"Not Defined")</f>
        <v>SPRING</v>
      </c>
      <c r="Q1576" t="str" cm="1">
        <f t="array" ref="Q1576">IFERROR(LOOKUP(2,1/SEARCH($S$2:$S$65,H1576),$T$2:$T$65),"-")</f>
        <v>COTS</v>
      </c>
    </row>
    <row r="1577" spans="1:17" x14ac:dyDescent="0.25">
      <c r="A1577" t="s">
        <v>7675</v>
      </c>
      <c r="B1577" s="18" t="s">
        <v>4259</v>
      </c>
      <c r="C1577">
        <v>1</v>
      </c>
      <c r="D1577" t="s">
        <v>7435</v>
      </c>
      <c r="F1577" t="s">
        <v>4260</v>
      </c>
      <c r="G1577" t="s">
        <v>7441</v>
      </c>
      <c r="H1577" t="s">
        <v>4261</v>
      </c>
      <c r="I1577" t="s">
        <v>1265</v>
      </c>
      <c r="J1577" t="s">
        <v>7703</v>
      </c>
      <c r="K1577" t="s">
        <v>7684</v>
      </c>
      <c r="L1577" t="s">
        <v>7692</v>
      </c>
      <c r="N1577" t="str" cm="1">
        <f t="array" ref="N1577">IFERROR(LOOKUP(2,1/SEARCH($S$2:$S$65,G1577),$T$2:$T$65),"Misc")</f>
        <v>COTS</v>
      </c>
      <c r="O1577" t="str" cm="1">
        <f t="array" ref="O1577">IFERROR(LOOKUP(2,1/SEARCH($V$2:$V$65,G1577),$W$2:$W$65),"Misc")</f>
        <v>Fasteners</v>
      </c>
      <c r="P1577" t="str" cm="1">
        <f t="array" ref="P1577">IFERROR(LOOKUP(2,1/SEARCH($Y$2:$Y$65,G1577),$Z$2:$Z$65),"Not Defined")</f>
        <v>WASHER</v>
      </c>
      <c r="Q1577" t="str" cm="1">
        <f t="array" ref="Q1577">IFERROR(LOOKUP(2,1/SEARCH($S$2:$S$65,H1577),$T$2:$T$65),"-")</f>
        <v>COTS</v>
      </c>
    </row>
    <row r="1578" spans="1:17" x14ac:dyDescent="0.25">
      <c r="A1578" t="s">
        <v>7675</v>
      </c>
      <c r="B1578" s="18" t="s">
        <v>4262</v>
      </c>
      <c r="C1578">
        <v>1</v>
      </c>
      <c r="D1578" t="s">
        <v>7435</v>
      </c>
      <c r="F1578" t="s">
        <v>226</v>
      </c>
      <c r="G1578" t="s">
        <v>7054</v>
      </c>
      <c r="H1578" t="s">
        <v>227</v>
      </c>
      <c r="I1578" t="s">
        <v>228</v>
      </c>
      <c r="J1578" t="s">
        <v>7703</v>
      </c>
      <c r="K1578" t="s">
        <v>7684</v>
      </c>
      <c r="L1578" t="s">
        <v>7685</v>
      </c>
      <c r="N1578" t="str" cm="1">
        <f t="array" ref="N1578">IFERROR(LOOKUP(2,1/SEARCH($S$2:$S$65,G1578),$T$2:$T$65),"Misc")</f>
        <v>COTS</v>
      </c>
      <c r="O1578" t="str" cm="1">
        <f t="array" ref="O1578">IFERROR(LOOKUP(2,1/SEARCH($V$2:$V$65,G1578),$W$2:$W$65),"Misc")</f>
        <v>Fasteners</v>
      </c>
      <c r="P1578" t="str" cm="1">
        <f t="array" ref="P1578">IFERROR(LOOKUP(2,1/SEARCH($Y$2:$Y$65,G1578),$Z$2:$Z$65),"Not Defined")</f>
        <v>NUT</v>
      </c>
      <c r="Q1578" t="str" cm="1">
        <f t="array" ref="Q1578">IFERROR(LOOKUP(2,1/SEARCH($S$2:$S$65,H1578),$T$2:$T$65),"-")</f>
        <v>COTS</v>
      </c>
    </row>
    <row r="1579" spans="1:17" x14ac:dyDescent="0.25">
      <c r="A1579" t="s">
        <v>7675</v>
      </c>
      <c r="B1579" s="18" t="s">
        <v>4263</v>
      </c>
      <c r="C1579">
        <v>1</v>
      </c>
      <c r="D1579" t="s">
        <v>7435</v>
      </c>
      <c r="F1579" t="s">
        <v>1551</v>
      </c>
      <c r="G1579" t="s">
        <v>7225</v>
      </c>
      <c r="H1579" t="s">
        <v>1552</v>
      </c>
      <c r="I1579" t="s">
        <v>228</v>
      </c>
      <c r="J1579" t="s">
        <v>7703</v>
      </c>
      <c r="K1579" t="s">
        <v>7684</v>
      </c>
      <c r="L1579" t="s">
        <v>7721</v>
      </c>
      <c r="N1579" t="str" cm="1">
        <f t="array" ref="N1579">IFERROR(LOOKUP(2,1/SEARCH($S$2:$S$65,G1579),$T$2:$T$65),"Misc")</f>
        <v>COTS</v>
      </c>
      <c r="O1579" t="str" cm="1">
        <f t="array" ref="O1579">IFERROR(LOOKUP(2,1/SEARCH($V$2:$V$65,G1579),$W$2:$W$65),"Misc")</f>
        <v>Fasteners</v>
      </c>
      <c r="P1579" t="str" cm="1">
        <f t="array" ref="P1579">IFERROR(LOOKUP(2,1/SEARCH($Y$2:$Y$65,G1579),$Z$2:$Z$65),"Not Defined")</f>
        <v>SET SCREW</v>
      </c>
      <c r="Q1579" t="str" cm="1">
        <f t="array" ref="Q1579">IFERROR(LOOKUP(2,1/SEARCH($S$2:$S$65,H1579),$T$2:$T$65),"-")</f>
        <v>COTS</v>
      </c>
    </row>
    <row r="1580" spans="1:17" x14ac:dyDescent="0.25">
      <c r="A1580" t="s">
        <v>7675</v>
      </c>
      <c r="B1580" s="19">
        <v>3.6</v>
      </c>
      <c r="C1580">
        <v>1</v>
      </c>
      <c r="D1580" t="s">
        <v>7442</v>
      </c>
      <c r="F1580" t="s">
        <v>4264</v>
      </c>
      <c r="G1580" t="s">
        <v>7442</v>
      </c>
      <c r="H1580" t="s">
        <v>4265</v>
      </c>
      <c r="J1580" t="s">
        <v>7742</v>
      </c>
      <c r="K1580" t="s">
        <v>7826</v>
      </c>
      <c r="L1580" t="s">
        <v>7826</v>
      </c>
      <c r="N1580" t="str" cm="1">
        <f t="array" ref="N1580">IFERROR(LOOKUP(2,1/SEARCH($S$2:$S$65,G1580),$T$2:$T$65),"Misc")</f>
        <v>OH ASSY</v>
      </c>
      <c r="O1580" t="str" cm="1">
        <f t="array" ref="O1580">IFERROR(LOOKUP(2,1/SEARCH($V$2:$V$65,G1580),$W$2:$W$65),"Misc")</f>
        <v>OH Part</v>
      </c>
      <c r="P1580" t="str" cm="1">
        <f t="array" ref="P1580">IFERROR(LOOKUP(2,1/SEARCH($Y$2:$Y$65,G1580),$Z$2:$Z$65),"Not Defined")</f>
        <v>OH Part</v>
      </c>
      <c r="Q1580" t="str" cm="1">
        <f t="array" ref="Q1580">IFERROR(LOOKUP(2,1/SEARCH($S$2:$S$65,H1580),$T$2:$T$65),"-")</f>
        <v>OH ASSY</v>
      </c>
    </row>
    <row r="1581" spans="1:17" x14ac:dyDescent="0.25">
      <c r="A1581" t="s">
        <v>7675</v>
      </c>
      <c r="B1581" t="s">
        <v>4266</v>
      </c>
      <c r="C1581">
        <v>1</v>
      </c>
      <c r="D1581" t="s">
        <v>7442</v>
      </c>
      <c r="F1581" t="s">
        <v>4267</v>
      </c>
      <c r="G1581" t="s">
        <v>4269</v>
      </c>
      <c r="H1581" t="s">
        <v>4268</v>
      </c>
      <c r="I1581" t="s">
        <v>13</v>
      </c>
      <c r="J1581" t="s">
        <v>7682</v>
      </c>
      <c r="K1581" t="s">
        <v>7826</v>
      </c>
      <c r="L1581" t="s">
        <v>7826</v>
      </c>
      <c r="N1581" t="str" cm="1">
        <f t="array" ref="N1581">IFERROR(LOOKUP(2,1/SEARCH($S$2:$S$65,G1581),$T$2:$T$65),"Misc")</f>
        <v>OH P/N</v>
      </c>
      <c r="O1581" t="str" cm="1">
        <f t="array" ref="O1581">IFERROR(LOOKUP(2,1/SEARCH($V$2:$V$65,G1581),$W$2:$W$65),"Misc")</f>
        <v>OH Part</v>
      </c>
      <c r="P1581" t="str" cm="1">
        <f t="array" ref="P1581">IFERROR(LOOKUP(2,1/SEARCH($Y$2:$Y$65,G1581),$Z$2:$Z$65),"Not Defined")</f>
        <v>OH Part</v>
      </c>
      <c r="Q1581" t="str" cm="1">
        <f t="array" ref="Q1581">IFERROR(LOOKUP(2,1/SEARCH($S$2:$S$65,H1581),$T$2:$T$65),"-")</f>
        <v>COTS</v>
      </c>
    </row>
    <row r="1582" spans="1:17" x14ac:dyDescent="0.25">
      <c r="A1582" t="s">
        <v>7675</v>
      </c>
      <c r="B1582" t="s">
        <v>4270</v>
      </c>
      <c r="C1582">
        <v>1</v>
      </c>
      <c r="D1582" t="s">
        <v>7442</v>
      </c>
      <c r="F1582" t="s">
        <v>4271</v>
      </c>
      <c r="G1582" t="s">
        <v>4273</v>
      </c>
      <c r="H1582" t="s">
        <v>4272</v>
      </c>
      <c r="I1582" t="s">
        <v>281</v>
      </c>
      <c r="J1582" t="s">
        <v>7682</v>
      </c>
      <c r="K1582" t="s">
        <v>7826</v>
      </c>
      <c r="L1582" t="s">
        <v>7826</v>
      </c>
      <c r="N1582" t="str" cm="1">
        <f t="array" ref="N1582">IFERROR(LOOKUP(2,1/SEARCH($S$2:$S$65,G1582),$T$2:$T$65),"Misc")</f>
        <v>OH P/N</v>
      </c>
      <c r="O1582" t="str" cm="1">
        <f t="array" ref="O1582">IFERROR(LOOKUP(2,1/SEARCH($V$2:$V$65,G1582),$W$2:$W$65),"Misc")</f>
        <v>OH Part</v>
      </c>
      <c r="P1582" t="str" cm="1">
        <f t="array" ref="P1582">IFERROR(LOOKUP(2,1/SEARCH($Y$2:$Y$65,G1582),$Z$2:$Z$65),"Not Defined")</f>
        <v>OH Part</v>
      </c>
      <c r="Q1582" t="str" cm="1">
        <f t="array" ref="Q1582">IFERROR(LOOKUP(2,1/SEARCH($S$2:$S$65,H1582),$T$2:$T$65),"-")</f>
        <v>-</v>
      </c>
    </row>
    <row r="1583" spans="1:17" hidden="1" x14ac:dyDescent="0.25">
      <c r="A1583" t="s">
        <v>7675</v>
      </c>
      <c r="B1583" t="s">
        <v>4274</v>
      </c>
      <c r="C1583">
        <v>1</v>
      </c>
      <c r="D1583" t="s">
        <v>7442</v>
      </c>
      <c r="E1583" t="s">
        <v>4276</v>
      </c>
      <c r="F1583" t="s">
        <v>4275</v>
      </c>
      <c r="G1583" t="s">
        <v>7443</v>
      </c>
      <c r="H1583" t="s">
        <v>4276</v>
      </c>
      <c r="J1583" t="s">
        <v>7744</v>
      </c>
      <c r="K1583" t="s">
        <v>7826</v>
      </c>
      <c r="L1583" t="s">
        <v>7826</v>
      </c>
      <c r="N1583" t="str" cm="1">
        <f t="array" ref="N1583">IFERROR(LOOKUP(2,1/SEARCH($S$2:$S$65,G1583),$T$2:$T$65),"Misc")</f>
        <v>OH Common</v>
      </c>
      <c r="O1583" t="str" cm="1">
        <f t="array" ref="O1583">IFERROR(LOOKUP(2,1/SEARCH($V$2:$V$65,G1583),$W$2:$W$65),"Misc")</f>
        <v>OH Part</v>
      </c>
      <c r="P1583" t="str" cm="1">
        <f t="array" ref="P1583">IFERROR(LOOKUP(2,1/SEARCH($Y$2:$Y$65,G1583),$Z$2:$Z$65),"Not Defined")</f>
        <v>OH Part</v>
      </c>
      <c r="Q1583" t="str" cm="1">
        <f t="array" ref="Q1583">IFERROR(LOOKUP(2,1/SEARCH($S$2:$S$65,H1583),$T$2:$T$65),"-")</f>
        <v>OH ASSY</v>
      </c>
    </row>
    <row r="1584" spans="1:17" hidden="1" x14ac:dyDescent="0.25">
      <c r="A1584" t="s">
        <v>7675</v>
      </c>
      <c r="B1584" t="s">
        <v>4277</v>
      </c>
      <c r="C1584">
        <v>1</v>
      </c>
      <c r="D1584" t="s">
        <v>7442</v>
      </c>
      <c r="E1584" t="s">
        <v>4276</v>
      </c>
      <c r="F1584" t="s">
        <v>1522</v>
      </c>
      <c r="G1584" t="s">
        <v>7218</v>
      </c>
      <c r="H1584" t="s">
        <v>1523</v>
      </c>
      <c r="I1584" t="s">
        <v>255</v>
      </c>
      <c r="J1584" t="s">
        <v>7703</v>
      </c>
      <c r="K1584" t="s">
        <v>7677</v>
      </c>
      <c r="L1584" t="s">
        <v>7677</v>
      </c>
      <c r="N1584" t="str" cm="1">
        <f t="array" ref="N1584">IFERROR(LOOKUP(2,1/SEARCH($S$2:$S$65,G1584),$T$2:$T$65),"Misc")</f>
        <v>COTS</v>
      </c>
      <c r="O1584" t="str" cm="1">
        <f t="array" ref="O1584">IFERROR(LOOKUP(2,1/SEARCH($V$2:$V$65,G1584),$W$2:$W$65),"Misc")</f>
        <v>SWITCH</v>
      </c>
      <c r="P1584" t="str" cm="1">
        <f t="array" ref="P1584">IFERROR(LOOKUP(2,1/SEARCH($Y$2:$Y$65,G1584),$Z$2:$Z$65),"Not Defined")</f>
        <v>SWITCH</v>
      </c>
      <c r="Q1584" t="str" cm="1">
        <f t="array" ref="Q1584">IFERROR(LOOKUP(2,1/SEARCH($S$2:$S$65,H1584),$T$2:$T$65),"-")</f>
        <v>COTS</v>
      </c>
    </row>
    <row r="1585" spans="1:17" hidden="1" x14ac:dyDescent="0.25">
      <c r="A1585" t="s">
        <v>7675</v>
      </c>
      <c r="B1585" t="s">
        <v>4278</v>
      </c>
      <c r="C1585">
        <v>1</v>
      </c>
      <c r="D1585" t="s">
        <v>7442</v>
      </c>
      <c r="E1585" t="s">
        <v>4276</v>
      </c>
      <c r="F1585" t="s">
        <v>1516</v>
      </c>
      <c r="G1585" t="s">
        <v>7216</v>
      </c>
      <c r="H1585" t="s">
        <v>1517</v>
      </c>
      <c r="I1585" t="s">
        <v>299</v>
      </c>
      <c r="J1585" t="s">
        <v>7744</v>
      </c>
      <c r="K1585" t="s">
        <v>7826</v>
      </c>
      <c r="L1585" t="s">
        <v>7826</v>
      </c>
      <c r="N1585" t="str" cm="1">
        <f t="array" ref="N1585">IFERROR(LOOKUP(2,1/SEARCH($S$2:$S$65,G1585),$T$2:$T$65),"Misc")</f>
        <v>OH Common</v>
      </c>
      <c r="O1585" t="str" cm="1">
        <f t="array" ref="O1585">IFERROR(LOOKUP(2,1/SEARCH($V$2:$V$65,G1585),$W$2:$W$65),"Misc")</f>
        <v>OH Part</v>
      </c>
      <c r="P1585" t="str" cm="1">
        <f t="array" ref="P1585">IFERROR(LOOKUP(2,1/SEARCH($Y$2:$Y$65,G1585),$Z$2:$Z$65),"Not Defined")</f>
        <v>OH Part</v>
      </c>
      <c r="Q1585" t="str" cm="1">
        <f t="array" ref="Q1585">IFERROR(LOOKUP(2,1/SEARCH($S$2:$S$65,H1585),$T$2:$T$65),"-")</f>
        <v>COTS</v>
      </c>
    </row>
    <row r="1586" spans="1:17" x14ac:dyDescent="0.25">
      <c r="A1586" t="s">
        <v>7675</v>
      </c>
      <c r="B1586" t="s">
        <v>4279</v>
      </c>
      <c r="C1586">
        <v>1</v>
      </c>
      <c r="D1586" t="s">
        <v>7442</v>
      </c>
      <c r="F1586" t="s">
        <v>4280</v>
      </c>
      <c r="G1586" t="s">
        <v>7444</v>
      </c>
      <c r="H1586" t="s">
        <v>4281</v>
      </c>
      <c r="I1586" t="s">
        <v>1265</v>
      </c>
      <c r="J1586" t="s">
        <v>7703</v>
      </c>
      <c r="K1586" t="s">
        <v>7719</v>
      </c>
      <c r="L1586" t="s">
        <v>7677</v>
      </c>
      <c r="N1586" t="str" cm="1">
        <f t="array" ref="N1586">IFERROR(LOOKUP(2,1/SEARCH($S$2:$S$65,G1586),$T$2:$T$65),"Misc")</f>
        <v>COTS</v>
      </c>
      <c r="O1586" t="str" cm="1">
        <f t="array" ref="O1586">IFERROR(LOOKUP(2,1/SEARCH($V$2:$V$65,G1586),$W$2:$W$65),"Misc")</f>
        <v>Misc</v>
      </c>
      <c r="P1586" t="str" cm="1">
        <f t="array" ref="P1586">IFERROR(LOOKUP(2,1/SEARCH($Y$2:$Y$65,G1586),$Z$2:$Z$65),"Not Defined")</f>
        <v>SWITCH</v>
      </c>
      <c r="Q1586" t="str" cm="1">
        <f t="array" ref="Q1586">IFERROR(LOOKUP(2,1/SEARCH($S$2:$S$65,H1586),$T$2:$T$65),"-")</f>
        <v>COTS</v>
      </c>
    </row>
    <row r="1587" spans="1:17" x14ac:dyDescent="0.25">
      <c r="A1587" t="s">
        <v>7675</v>
      </c>
      <c r="B1587" t="s">
        <v>4282</v>
      </c>
      <c r="C1587">
        <v>1</v>
      </c>
      <c r="D1587" t="s">
        <v>7442</v>
      </c>
      <c r="F1587" t="s">
        <v>2089</v>
      </c>
      <c r="G1587" t="s">
        <v>7250</v>
      </c>
      <c r="H1587" t="s">
        <v>2090</v>
      </c>
      <c r="I1587" t="s">
        <v>228</v>
      </c>
      <c r="J1587" t="s">
        <v>7703</v>
      </c>
      <c r="K1587" t="s">
        <v>7684</v>
      </c>
      <c r="L1587" t="s">
        <v>7677</v>
      </c>
      <c r="N1587" t="str" cm="1">
        <f t="array" ref="N1587">IFERROR(LOOKUP(2,1/SEARCH($S$2:$S$65,G1587),$T$2:$T$65),"Misc")</f>
        <v>COTS</v>
      </c>
      <c r="O1587" t="str" cm="1">
        <f t="array" ref="O1587">IFERROR(LOOKUP(2,1/SEARCH($V$2:$V$65,G1587),$W$2:$W$65),"Misc")</f>
        <v>Fasteners</v>
      </c>
      <c r="P1587" t="str" cm="1">
        <f t="array" ref="P1587">IFERROR(LOOKUP(2,1/SEARCH($Y$2:$Y$65,G1587),$Z$2:$Z$65),"Not Defined")</f>
        <v>SWITCH</v>
      </c>
      <c r="Q1587" t="str" cm="1">
        <f t="array" ref="Q1587">IFERROR(LOOKUP(2,1/SEARCH($S$2:$S$65,H1587),$T$2:$T$65),"-")</f>
        <v>COTS</v>
      </c>
    </row>
    <row r="1588" spans="1:17" x14ac:dyDescent="0.25">
      <c r="A1588" t="s">
        <v>7675</v>
      </c>
      <c r="B1588" t="s">
        <v>4283</v>
      </c>
      <c r="C1588">
        <v>1</v>
      </c>
      <c r="D1588" t="s">
        <v>7442</v>
      </c>
      <c r="F1588" t="s">
        <v>1528</v>
      </c>
      <c r="G1588" t="s">
        <v>7220</v>
      </c>
      <c r="H1588" t="s">
        <v>1529</v>
      </c>
      <c r="I1588" t="s">
        <v>228</v>
      </c>
      <c r="J1588" t="s">
        <v>7703</v>
      </c>
      <c r="K1588" t="s">
        <v>7677</v>
      </c>
      <c r="L1588" t="s">
        <v>7685</v>
      </c>
      <c r="N1588" t="str" cm="1">
        <f t="array" ref="N1588">IFERROR(LOOKUP(2,1/SEARCH($S$2:$S$65,G1588),$T$2:$T$65),"Misc")</f>
        <v>COTS</v>
      </c>
      <c r="O1588" t="str" cm="1">
        <f t="array" ref="O1588">IFERROR(LOOKUP(2,1/SEARCH($V$2:$V$65,G1588),$W$2:$W$65),"Misc")</f>
        <v>SWITCH</v>
      </c>
      <c r="P1588" t="str" cm="1">
        <f t="array" ref="P1588">IFERROR(LOOKUP(2,1/SEARCH($Y$2:$Y$65,G1588),$Z$2:$Z$65),"Not Defined")</f>
        <v>NUT</v>
      </c>
      <c r="Q1588" t="str" cm="1">
        <f t="array" ref="Q1588">IFERROR(LOOKUP(2,1/SEARCH($S$2:$S$65,H1588),$T$2:$T$65),"-")</f>
        <v>COTS</v>
      </c>
    </row>
    <row r="1589" spans="1:17" x14ac:dyDescent="0.25">
      <c r="A1589" t="s">
        <v>7675</v>
      </c>
      <c r="B1589" s="19">
        <v>3.7</v>
      </c>
      <c r="C1589">
        <v>1</v>
      </c>
      <c r="D1589" t="s">
        <v>7445</v>
      </c>
      <c r="F1589" t="s">
        <v>4284</v>
      </c>
      <c r="G1589" t="s">
        <v>7445</v>
      </c>
      <c r="H1589" t="s">
        <v>4285</v>
      </c>
      <c r="J1589" t="s">
        <v>7742</v>
      </c>
      <c r="K1589" t="s">
        <v>7826</v>
      </c>
      <c r="L1589" t="s">
        <v>7826</v>
      </c>
      <c r="N1589" t="str" cm="1">
        <f t="array" ref="N1589">IFERROR(LOOKUP(2,1/SEARCH($S$2:$S$65,G1589),$T$2:$T$65),"Misc")</f>
        <v>OH ASSY</v>
      </c>
      <c r="O1589" t="str" cm="1">
        <f t="array" ref="O1589">IFERROR(LOOKUP(2,1/SEARCH($V$2:$V$65,G1589),$W$2:$W$65),"Misc")</f>
        <v>OH Part</v>
      </c>
      <c r="P1589" t="str" cm="1">
        <f t="array" ref="P1589">IFERROR(LOOKUP(2,1/SEARCH($Y$2:$Y$65,G1589),$Z$2:$Z$65),"Not Defined")</f>
        <v>OH Part</v>
      </c>
      <c r="Q1589" t="str" cm="1">
        <f t="array" ref="Q1589">IFERROR(LOOKUP(2,1/SEARCH($S$2:$S$65,H1589),$T$2:$T$65),"-")</f>
        <v>OH ASSY</v>
      </c>
    </row>
    <row r="1590" spans="1:17" x14ac:dyDescent="0.25">
      <c r="A1590" t="s">
        <v>7675</v>
      </c>
      <c r="B1590" t="s">
        <v>4286</v>
      </c>
      <c r="C1590">
        <v>1</v>
      </c>
      <c r="D1590" t="s">
        <v>7445</v>
      </c>
      <c r="F1590" t="s">
        <v>4287</v>
      </c>
      <c r="G1590" t="s">
        <v>4289</v>
      </c>
      <c r="H1590" t="s">
        <v>4288</v>
      </c>
      <c r="I1590" t="s">
        <v>13</v>
      </c>
      <c r="J1590" t="s">
        <v>7682</v>
      </c>
      <c r="K1590" t="s">
        <v>7826</v>
      </c>
      <c r="L1590" t="s">
        <v>7826</v>
      </c>
      <c r="N1590" t="str" cm="1">
        <f t="array" ref="N1590">IFERROR(LOOKUP(2,1/SEARCH($S$2:$S$65,G1590),$T$2:$T$65),"Misc")</f>
        <v>OH P/N</v>
      </c>
      <c r="O1590" t="str" cm="1">
        <f t="array" ref="O1590">IFERROR(LOOKUP(2,1/SEARCH($V$2:$V$65,G1590),$W$2:$W$65),"Misc")</f>
        <v>OH Part</v>
      </c>
      <c r="P1590" t="str" cm="1">
        <f t="array" ref="P1590">IFERROR(LOOKUP(2,1/SEARCH($Y$2:$Y$65,G1590),$Z$2:$Z$65),"Not Defined")</f>
        <v>OH Part</v>
      </c>
      <c r="Q1590" t="str" cm="1">
        <f t="array" ref="Q1590">IFERROR(LOOKUP(2,1/SEARCH($S$2:$S$65,H1590),$T$2:$T$65),"-")</f>
        <v>COTS</v>
      </c>
    </row>
    <row r="1591" spans="1:17" x14ac:dyDescent="0.25">
      <c r="A1591" t="s">
        <v>7675</v>
      </c>
      <c r="B1591" t="s">
        <v>4290</v>
      </c>
      <c r="C1591">
        <v>1</v>
      </c>
      <c r="D1591" t="s">
        <v>7445</v>
      </c>
      <c r="F1591" t="s">
        <v>4291</v>
      </c>
      <c r="G1591" t="s">
        <v>4293</v>
      </c>
      <c r="H1591" t="s">
        <v>4292</v>
      </c>
      <c r="I1591" t="s">
        <v>281</v>
      </c>
      <c r="J1591" t="s">
        <v>7682</v>
      </c>
      <c r="K1591" t="s">
        <v>7826</v>
      </c>
      <c r="L1591" t="s">
        <v>7826</v>
      </c>
      <c r="N1591" t="str" cm="1">
        <f t="array" ref="N1591">IFERROR(LOOKUP(2,1/SEARCH($S$2:$S$65,G1591),$T$2:$T$65),"Misc")</f>
        <v>OH P/N</v>
      </c>
      <c r="O1591" t="str" cm="1">
        <f t="array" ref="O1591">IFERROR(LOOKUP(2,1/SEARCH($V$2:$V$65,G1591),$W$2:$W$65),"Misc")</f>
        <v>OH Part</v>
      </c>
      <c r="P1591" t="str" cm="1">
        <f t="array" ref="P1591">IFERROR(LOOKUP(2,1/SEARCH($Y$2:$Y$65,G1591),$Z$2:$Z$65),"Not Defined")</f>
        <v>OH Part</v>
      </c>
      <c r="Q1591" t="str" cm="1">
        <f t="array" ref="Q1591">IFERROR(LOOKUP(2,1/SEARCH($S$2:$S$65,H1591),$T$2:$T$65),"-")</f>
        <v>-</v>
      </c>
    </row>
    <row r="1592" spans="1:17" x14ac:dyDescent="0.25">
      <c r="A1592" t="s">
        <v>7675</v>
      </c>
      <c r="B1592" t="s">
        <v>4294</v>
      </c>
      <c r="C1592">
        <v>1</v>
      </c>
      <c r="D1592" t="s">
        <v>7445</v>
      </c>
      <c r="F1592" t="s">
        <v>4295</v>
      </c>
      <c r="G1592" t="s">
        <v>4297</v>
      </c>
      <c r="H1592" t="s">
        <v>4296</v>
      </c>
      <c r="I1592" t="s">
        <v>281</v>
      </c>
      <c r="J1592" t="s">
        <v>7682</v>
      </c>
      <c r="K1592" t="s">
        <v>7826</v>
      </c>
      <c r="L1592" t="s">
        <v>7826</v>
      </c>
      <c r="N1592" t="str" cm="1">
        <f t="array" ref="N1592">IFERROR(LOOKUP(2,1/SEARCH($S$2:$S$65,G1592),$T$2:$T$65),"Misc")</f>
        <v>OH P/N</v>
      </c>
      <c r="O1592" t="str" cm="1">
        <f t="array" ref="O1592">IFERROR(LOOKUP(2,1/SEARCH($V$2:$V$65,G1592),$W$2:$W$65),"Misc")</f>
        <v>OH Part</v>
      </c>
      <c r="P1592" t="str" cm="1">
        <f t="array" ref="P1592">IFERROR(LOOKUP(2,1/SEARCH($Y$2:$Y$65,G1592),$Z$2:$Z$65),"Not Defined")</f>
        <v>OH Part</v>
      </c>
      <c r="Q1592" t="str" cm="1">
        <f t="array" ref="Q1592">IFERROR(LOOKUP(2,1/SEARCH($S$2:$S$65,H1592),$T$2:$T$65),"-")</f>
        <v>-</v>
      </c>
    </row>
    <row r="1593" spans="1:17" x14ac:dyDescent="0.25">
      <c r="A1593" t="s">
        <v>7675</v>
      </c>
      <c r="B1593" t="s">
        <v>4298</v>
      </c>
      <c r="C1593">
        <v>2</v>
      </c>
      <c r="D1593" t="s">
        <v>7445</v>
      </c>
      <c r="F1593" t="s">
        <v>4214</v>
      </c>
      <c r="G1593" t="s">
        <v>7433</v>
      </c>
      <c r="H1593" t="s">
        <v>4215</v>
      </c>
      <c r="I1593" t="s">
        <v>228</v>
      </c>
      <c r="J1593" t="s">
        <v>7703</v>
      </c>
      <c r="K1593" t="s">
        <v>7684</v>
      </c>
      <c r="L1593" t="s">
        <v>7693</v>
      </c>
      <c r="N1593" t="str" cm="1">
        <f t="array" ref="N1593">IFERROR(LOOKUP(2,1/SEARCH($S$2:$S$65,G1593),$T$2:$T$65),"Misc")</f>
        <v>COTS</v>
      </c>
      <c r="O1593" t="str" cm="1">
        <f t="array" ref="O1593">IFERROR(LOOKUP(2,1/SEARCH($V$2:$V$65,G1593),$W$2:$W$65),"Misc")</f>
        <v>Fasteners</v>
      </c>
      <c r="P1593" t="str" cm="1">
        <f t="array" ref="P1593">IFERROR(LOOKUP(2,1/SEARCH($Y$2:$Y$65,G1593),$Z$2:$Z$65),"Not Defined")</f>
        <v>PHS</v>
      </c>
      <c r="Q1593" t="str" cm="1">
        <f t="array" ref="Q1593">IFERROR(LOOKUP(2,1/SEARCH($S$2:$S$65,H1593),$T$2:$T$65),"-")</f>
        <v>COTS</v>
      </c>
    </row>
    <row r="1594" spans="1:17" x14ac:dyDescent="0.25">
      <c r="A1594" t="s">
        <v>7675</v>
      </c>
      <c r="B1594" t="s">
        <v>4299</v>
      </c>
      <c r="C1594">
        <v>2</v>
      </c>
      <c r="D1594" t="s">
        <v>7445</v>
      </c>
      <c r="F1594" t="s">
        <v>222</v>
      </c>
      <c r="G1594" t="s">
        <v>7053</v>
      </c>
      <c r="H1594" t="s">
        <v>223</v>
      </c>
      <c r="I1594" t="s">
        <v>224</v>
      </c>
      <c r="J1594" t="s">
        <v>7703</v>
      </c>
      <c r="K1594" t="s">
        <v>7684</v>
      </c>
      <c r="L1594" t="s">
        <v>7687</v>
      </c>
      <c r="N1594" t="str" cm="1">
        <f t="array" ref="N1594">IFERROR(LOOKUP(2,1/SEARCH($S$2:$S$65,G1594),$T$2:$T$65),"Misc")</f>
        <v>COTS</v>
      </c>
      <c r="O1594" t="str" cm="1">
        <f t="array" ref="O1594">IFERROR(LOOKUP(2,1/SEARCH($V$2:$V$65,G1594),$W$2:$W$65),"Misc")</f>
        <v>Fasteners</v>
      </c>
      <c r="P1594" t="str" cm="1">
        <f t="array" ref="P1594">IFERROR(LOOKUP(2,1/SEARCH($Y$2:$Y$65,G1594),$Z$2:$Z$65),"Not Defined")</f>
        <v>INSERT</v>
      </c>
      <c r="Q1594" t="str" cm="1">
        <f t="array" ref="Q1594">IFERROR(LOOKUP(2,1/SEARCH($S$2:$S$65,H1594),$T$2:$T$65),"-")</f>
        <v>COTS</v>
      </c>
    </row>
    <row r="1595" spans="1:17" x14ac:dyDescent="0.25">
      <c r="A1595" t="s">
        <v>7675</v>
      </c>
      <c r="B1595" t="s">
        <v>4300</v>
      </c>
      <c r="C1595">
        <v>4</v>
      </c>
      <c r="D1595" t="s">
        <v>7445</v>
      </c>
      <c r="F1595" t="s">
        <v>4301</v>
      </c>
      <c r="G1595" t="s">
        <v>7446</v>
      </c>
      <c r="H1595" t="s">
        <v>4302</v>
      </c>
      <c r="I1595" t="s">
        <v>255</v>
      </c>
      <c r="J1595" t="s">
        <v>7703</v>
      </c>
      <c r="K1595" t="s">
        <v>7677</v>
      </c>
      <c r="L1595" t="s">
        <v>7677</v>
      </c>
      <c r="N1595" t="str" cm="1">
        <f t="array" ref="N1595">IFERROR(LOOKUP(2,1/SEARCH($S$2:$S$65,G1595),$T$2:$T$65),"Misc")</f>
        <v>COTS</v>
      </c>
      <c r="O1595" t="str" cm="1">
        <f t="array" ref="O1595">IFERROR(LOOKUP(2,1/SEARCH($V$2:$V$65,G1595),$W$2:$W$65),"Misc")</f>
        <v>SWITCH</v>
      </c>
      <c r="P1595" t="str" cm="1">
        <f t="array" ref="P1595">IFERROR(LOOKUP(2,1/SEARCH($Y$2:$Y$65,G1595),$Z$2:$Z$65),"Not Defined")</f>
        <v>SWITCH</v>
      </c>
      <c r="Q1595" t="str" cm="1">
        <f t="array" ref="Q1595">IFERROR(LOOKUP(2,1/SEARCH($S$2:$S$65,H1595),$T$2:$T$65),"-")</f>
        <v>COTS</v>
      </c>
    </row>
    <row r="1596" spans="1:17" x14ac:dyDescent="0.25">
      <c r="A1596" t="s">
        <v>7675</v>
      </c>
      <c r="B1596" t="s">
        <v>4303</v>
      </c>
      <c r="C1596">
        <v>4</v>
      </c>
      <c r="D1596" t="s">
        <v>7445</v>
      </c>
      <c r="F1596" t="s">
        <v>1798</v>
      </c>
      <c r="G1596" t="s">
        <v>7241</v>
      </c>
      <c r="H1596" t="s">
        <v>1799</v>
      </c>
      <c r="I1596" t="s">
        <v>224</v>
      </c>
      <c r="J1596" t="s">
        <v>7703</v>
      </c>
      <c r="K1596" t="s">
        <v>7677</v>
      </c>
      <c r="L1596" t="s">
        <v>7685</v>
      </c>
      <c r="N1596" t="str" cm="1">
        <f t="array" ref="N1596">IFERROR(LOOKUP(2,1/SEARCH($S$2:$S$65,G1596),$T$2:$T$65),"Misc")</f>
        <v>COTS</v>
      </c>
      <c r="O1596" t="str" cm="1">
        <f t="array" ref="O1596">IFERROR(LOOKUP(2,1/SEARCH($V$2:$V$65,G1596),$W$2:$W$65),"Misc")</f>
        <v>SWITCH</v>
      </c>
      <c r="P1596" t="str" cm="1">
        <f t="array" ref="P1596">IFERROR(LOOKUP(2,1/SEARCH($Y$2:$Y$65,G1596),$Z$2:$Z$65),"Not Defined")</f>
        <v>NUT</v>
      </c>
      <c r="Q1596" t="str" cm="1">
        <f t="array" ref="Q1596">IFERROR(LOOKUP(2,1/SEARCH($S$2:$S$65,H1596),$T$2:$T$65),"-")</f>
        <v>COTS</v>
      </c>
    </row>
    <row r="1597" spans="1:17" x14ac:dyDescent="0.25">
      <c r="A1597" t="s">
        <v>7675</v>
      </c>
      <c r="B1597" t="s">
        <v>4304</v>
      </c>
      <c r="C1597">
        <v>4</v>
      </c>
      <c r="D1597" t="s">
        <v>7445</v>
      </c>
      <c r="F1597" t="s">
        <v>1774</v>
      </c>
      <c r="G1597" t="s">
        <v>7447</v>
      </c>
      <c r="H1597" t="s">
        <v>4305</v>
      </c>
      <c r="I1597" t="s">
        <v>210</v>
      </c>
      <c r="J1597" t="s">
        <v>7703</v>
      </c>
      <c r="K1597" t="s">
        <v>7719</v>
      </c>
      <c r="L1597" t="s">
        <v>7719</v>
      </c>
      <c r="N1597" t="str" cm="1">
        <f t="array" ref="N1597">IFERROR(LOOKUP(2,1/SEARCH($S$2:$S$65,G1597),$T$2:$T$65),"Misc")</f>
        <v>COTS</v>
      </c>
      <c r="O1597" t="str" cm="1">
        <f t="array" ref="O1597">IFERROR(LOOKUP(2,1/SEARCH($V$2:$V$65,G1597),$W$2:$W$65),"Misc")</f>
        <v>Misc</v>
      </c>
      <c r="P1597" t="str" cm="1">
        <f t="array" ref="P1597">IFERROR(LOOKUP(2,1/SEARCH($Y$2:$Y$65,G1597),$Z$2:$Z$65),"Not Defined")</f>
        <v>Retaining Rings</v>
      </c>
      <c r="Q1597" t="str" cm="1">
        <f t="array" ref="Q1597">IFERROR(LOOKUP(2,1/SEARCH($S$2:$S$65,H1597),$T$2:$T$65),"-")</f>
        <v>COTS</v>
      </c>
    </row>
    <row r="1598" spans="1:17" x14ac:dyDescent="0.25">
      <c r="A1598" t="s">
        <v>7675</v>
      </c>
      <c r="B1598" t="s">
        <v>4306</v>
      </c>
      <c r="C1598">
        <v>4</v>
      </c>
      <c r="D1598" t="s">
        <v>7445</v>
      </c>
      <c r="F1598" t="s">
        <v>1795</v>
      </c>
      <c r="G1598" t="s">
        <v>7240</v>
      </c>
      <c r="H1598" t="s">
        <v>1796</v>
      </c>
      <c r="I1598" t="s">
        <v>210</v>
      </c>
      <c r="J1598" t="s">
        <v>7703</v>
      </c>
      <c r="K1598" t="s">
        <v>7684</v>
      </c>
      <c r="L1598" t="s">
        <v>7677</v>
      </c>
      <c r="N1598" t="str" cm="1">
        <f t="array" ref="N1598">IFERROR(LOOKUP(2,1/SEARCH($S$2:$S$65,G1598),$T$2:$T$65),"Misc")</f>
        <v>COTS</v>
      </c>
      <c r="O1598" t="str" cm="1">
        <f t="array" ref="O1598">IFERROR(LOOKUP(2,1/SEARCH($V$2:$V$65,G1598),$W$2:$W$65),"Misc")</f>
        <v>Fasteners</v>
      </c>
      <c r="P1598" t="str" cm="1">
        <f t="array" ref="P1598">IFERROR(LOOKUP(2,1/SEARCH($Y$2:$Y$65,G1598),$Z$2:$Z$65),"Not Defined")</f>
        <v>SWITCH</v>
      </c>
      <c r="Q1598" t="str" cm="1">
        <f t="array" ref="Q1598">IFERROR(LOOKUP(2,1/SEARCH($S$2:$S$65,H1598),$T$2:$T$65),"-")</f>
        <v>COTS</v>
      </c>
    </row>
    <row r="1599" spans="1:17" x14ac:dyDescent="0.25">
      <c r="A1599" t="s">
        <v>7675</v>
      </c>
      <c r="B1599" s="26">
        <v>3.8</v>
      </c>
      <c r="C1599">
        <v>1</v>
      </c>
      <c r="D1599" t="s">
        <v>7448</v>
      </c>
      <c r="F1599" t="s">
        <v>4307</v>
      </c>
      <c r="G1599" t="s">
        <v>7448</v>
      </c>
      <c r="H1599" t="s">
        <v>4308</v>
      </c>
      <c r="J1599" t="s">
        <v>7742</v>
      </c>
      <c r="K1599" t="s">
        <v>7826</v>
      </c>
      <c r="L1599" t="s">
        <v>7826</v>
      </c>
      <c r="N1599" t="str" cm="1">
        <f t="array" ref="N1599">IFERROR(LOOKUP(2,1/SEARCH($S$2:$S$65,G1599),$T$2:$T$65),"Misc")</f>
        <v>OH ASSY</v>
      </c>
      <c r="O1599" t="str" cm="1">
        <f t="array" ref="O1599">IFERROR(LOOKUP(2,1/SEARCH($V$2:$V$65,G1599),$W$2:$W$65),"Misc")</f>
        <v>OH Part</v>
      </c>
      <c r="P1599" t="str" cm="1">
        <f t="array" ref="P1599">IFERROR(LOOKUP(2,1/SEARCH($Y$2:$Y$65,G1599),$Z$2:$Z$65),"Not Defined")</f>
        <v>OH Part</v>
      </c>
      <c r="Q1599" t="str" cm="1">
        <f t="array" ref="Q1599">IFERROR(LOOKUP(2,1/SEARCH($S$2:$S$65,H1599),$T$2:$T$65),"-")</f>
        <v>OH ASSY</v>
      </c>
    </row>
    <row r="1600" spans="1:17" x14ac:dyDescent="0.25">
      <c r="A1600" t="s">
        <v>7675</v>
      </c>
      <c r="B1600" s="2" t="s">
        <v>4309</v>
      </c>
      <c r="C1600">
        <v>1</v>
      </c>
      <c r="D1600" t="s">
        <v>7448</v>
      </c>
      <c r="F1600" t="s">
        <v>4310</v>
      </c>
      <c r="G1600" t="s">
        <v>4312</v>
      </c>
      <c r="H1600" t="s">
        <v>4311</v>
      </c>
      <c r="I1600" t="s">
        <v>299</v>
      </c>
      <c r="J1600" t="s">
        <v>7682</v>
      </c>
      <c r="K1600" t="s">
        <v>7826</v>
      </c>
      <c r="L1600" t="s">
        <v>7826</v>
      </c>
      <c r="N1600" t="str" cm="1">
        <f t="array" ref="N1600">IFERROR(LOOKUP(2,1/SEARCH($S$2:$S$65,G1600),$T$2:$T$65),"Misc")</f>
        <v>OH P/N</v>
      </c>
      <c r="O1600" t="str" cm="1">
        <f t="array" ref="O1600">IFERROR(LOOKUP(2,1/SEARCH($V$2:$V$65,G1600),$W$2:$W$65),"Misc")</f>
        <v>OH Part</v>
      </c>
      <c r="P1600" t="str" cm="1">
        <f t="array" ref="P1600">IFERROR(LOOKUP(2,1/SEARCH($Y$2:$Y$65,G1600),$Z$2:$Z$65),"Not Defined")</f>
        <v>OH Part</v>
      </c>
      <c r="Q1600" t="str" cm="1">
        <f t="array" ref="Q1600">IFERROR(LOOKUP(2,1/SEARCH($S$2:$S$65,H1600),$T$2:$T$65),"-")</f>
        <v>-</v>
      </c>
    </row>
    <row r="1601" spans="1:17" x14ac:dyDescent="0.25">
      <c r="A1601" t="s">
        <v>7675</v>
      </c>
      <c r="B1601" s="2" t="s">
        <v>4313</v>
      </c>
      <c r="C1601">
        <v>1</v>
      </c>
      <c r="D1601" t="s">
        <v>7448</v>
      </c>
      <c r="F1601" t="s">
        <v>4314</v>
      </c>
      <c r="G1601" t="s">
        <v>4316</v>
      </c>
      <c r="H1601" t="s">
        <v>4315</v>
      </c>
      <c r="I1601" t="s">
        <v>299</v>
      </c>
      <c r="J1601" t="s">
        <v>7682</v>
      </c>
      <c r="K1601" t="s">
        <v>7826</v>
      </c>
      <c r="L1601" t="s">
        <v>7826</v>
      </c>
      <c r="N1601" t="str" cm="1">
        <f t="array" ref="N1601">IFERROR(LOOKUP(2,1/SEARCH($S$2:$S$65,G1601),$T$2:$T$65),"Misc")</f>
        <v>OH P/N</v>
      </c>
      <c r="O1601" t="str" cm="1">
        <f t="array" ref="O1601">IFERROR(LOOKUP(2,1/SEARCH($V$2:$V$65,G1601),$W$2:$W$65),"Misc")</f>
        <v>OH Part</v>
      </c>
      <c r="P1601" t="str" cm="1">
        <f t="array" ref="P1601">IFERROR(LOOKUP(2,1/SEARCH($Y$2:$Y$65,G1601),$Z$2:$Z$65),"Not Defined")</f>
        <v>OH Part</v>
      </c>
      <c r="Q1601" t="str" cm="1">
        <f t="array" ref="Q1601">IFERROR(LOOKUP(2,1/SEARCH($S$2:$S$65,H1601),$T$2:$T$65),"-")</f>
        <v>-</v>
      </c>
    </row>
    <row r="1602" spans="1:17" x14ac:dyDescent="0.25">
      <c r="A1602" t="s">
        <v>7675</v>
      </c>
      <c r="B1602" s="2" t="s">
        <v>4317</v>
      </c>
      <c r="C1602">
        <v>1</v>
      </c>
      <c r="D1602" t="s">
        <v>7448</v>
      </c>
      <c r="F1602" t="s">
        <v>4318</v>
      </c>
      <c r="G1602" t="s">
        <v>4320</v>
      </c>
      <c r="H1602" t="s">
        <v>4319</v>
      </c>
      <c r="I1602" t="s">
        <v>13</v>
      </c>
      <c r="J1602" t="s">
        <v>7682</v>
      </c>
      <c r="K1602" t="s">
        <v>7826</v>
      </c>
      <c r="L1602" t="s">
        <v>7826</v>
      </c>
      <c r="N1602" t="str" cm="1">
        <f t="array" ref="N1602">IFERROR(LOOKUP(2,1/SEARCH($S$2:$S$65,G1602),$T$2:$T$65),"Misc")</f>
        <v>OH P/N</v>
      </c>
      <c r="O1602" t="str" cm="1">
        <f t="array" ref="O1602">IFERROR(LOOKUP(2,1/SEARCH($V$2:$V$65,G1602),$W$2:$W$65),"Misc")</f>
        <v>OH Part</v>
      </c>
      <c r="P1602" t="str" cm="1">
        <f t="array" ref="P1602">IFERROR(LOOKUP(2,1/SEARCH($Y$2:$Y$65,G1602),$Z$2:$Z$65),"Not Defined")</f>
        <v>OH Part</v>
      </c>
      <c r="Q1602" t="str" cm="1">
        <f t="array" ref="Q1602">IFERROR(LOOKUP(2,1/SEARCH($S$2:$S$65,H1602),$T$2:$T$65),"-")</f>
        <v>-</v>
      </c>
    </row>
    <row r="1603" spans="1:17" x14ac:dyDescent="0.25">
      <c r="A1603" t="s">
        <v>7675</v>
      </c>
      <c r="B1603" s="2" t="s">
        <v>4321</v>
      </c>
      <c r="C1603">
        <v>2</v>
      </c>
      <c r="D1603" t="s">
        <v>7448</v>
      </c>
      <c r="F1603" t="s">
        <v>4322</v>
      </c>
      <c r="G1603" t="s">
        <v>4324</v>
      </c>
      <c r="H1603" t="s">
        <v>4323</v>
      </c>
      <c r="I1603" t="s">
        <v>13</v>
      </c>
      <c r="J1603" t="s">
        <v>7682</v>
      </c>
      <c r="K1603" t="s">
        <v>7826</v>
      </c>
      <c r="L1603" t="s">
        <v>7826</v>
      </c>
      <c r="N1603" t="str" cm="1">
        <f t="array" ref="N1603">IFERROR(LOOKUP(2,1/SEARCH($S$2:$S$65,G1603),$T$2:$T$65),"Misc")</f>
        <v>OH P/N</v>
      </c>
      <c r="O1603" t="str" cm="1">
        <f t="array" ref="O1603">IFERROR(LOOKUP(2,1/SEARCH($V$2:$V$65,G1603),$W$2:$W$65),"Misc")</f>
        <v>OH Part</v>
      </c>
      <c r="P1603" t="str" cm="1">
        <f t="array" ref="P1603">IFERROR(LOOKUP(2,1/SEARCH($Y$2:$Y$65,G1603),$Z$2:$Z$65),"Not Defined")</f>
        <v>OH Part</v>
      </c>
      <c r="Q1603" t="str" cm="1">
        <f t="array" ref="Q1603">IFERROR(LOOKUP(2,1/SEARCH($S$2:$S$65,H1603),$T$2:$T$65),"-")</f>
        <v>-</v>
      </c>
    </row>
    <row r="1604" spans="1:17" x14ac:dyDescent="0.25">
      <c r="A1604" t="s">
        <v>7675</v>
      </c>
      <c r="B1604" s="2" t="s">
        <v>4325</v>
      </c>
      <c r="C1604">
        <v>2</v>
      </c>
      <c r="D1604" t="s">
        <v>7448</v>
      </c>
      <c r="F1604" t="s">
        <v>4326</v>
      </c>
      <c r="G1604" t="s">
        <v>4328</v>
      </c>
      <c r="H1604" t="s">
        <v>4327</v>
      </c>
      <c r="I1604" t="s">
        <v>13</v>
      </c>
      <c r="J1604" t="s">
        <v>7703</v>
      </c>
      <c r="K1604" t="s">
        <v>7826</v>
      </c>
      <c r="L1604" t="s">
        <v>7685</v>
      </c>
      <c r="N1604" t="str" cm="1">
        <f t="array" ref="N1604">IFERROR(LOOKUP(2,1/SEARCH($S$2:$S$65,G1604),$T$2:$T$65),"Misc")</f>
        <v>OH P/N</v>
      </c>
      <c r="O1604" t="str" cm="1">
        <f t="array" ref="O1604">IFERROR(LOOKUP(2,1/SEARCH($V$2:$V$65,G1604),$W$2:$W$65),"Misc")</f>
        <v>OH Part</v>
      </c>
      <c r="P1604" t="str" cm="1">
        <f t="array" ref="P1604">IFERROR(LOOKUP(2,1/SEARCH($Y$2:$Y$65,G1604),$Z$2:$Z$65),"Not Defined")</f>
        <v>NUT</v>
      </c>
      <c r="Q1604" t="str" cm="1">
        <f t="array" ref="Q1604">IFERROR(LOOKUP(2,1/SEARCH($S$2:$S$65,H1604),$T$2:$T$65),"-")</f>
        <v>COTS</v>
      </c>
    </row>
    <row r="1605" spans="1:17" hidden="1" x14ac:dyDescent="0.25">
      <c r="A1605" t="s">
        <v>7675</v>
      </c>
      <c r="B1605" s="22" t="s">
        <v>4329</v>
      </c>
      <c r="C1605">
        <v>1</v>
      </c>
      <c r="D1605" t="s">
        <v>7448</v>
      </c>
      <c r="E1605" t="s">
        <v>4331</v>
      </c>
      <c r="F1605" t="s">
        <v>4330</v>
      </c>
      <c r="G1605" t="s">
        <v>4332</v>
      </c>
      <c r="H1605" t="s">
        <v>4331</v>
      </c>
      <c r="J1605" t="s">
        <v>7742</v>
      </c>
      <c r="K1605" t="s">
        <v>7826</v>
      </c>
      <c r="L1605" t="s">
        <v>7826</v>
      </c>
      <c r="N1605" t="str" cm="1">
        <f t="array" ref="N1605">IFERROR(LOOKUP(2,1/SEARCH($S$2:$S$65,G1605),$T$2:$T$65),"Misc")</f>
        <v>OH ASSY</v>
      </c>
      <c r="O1605" t="str" cm="1">
        <f t="array" ref="O1605">IFERROR(LOOKUP(2,1/SEARCH($V$2:$V$65,G1605),$W$2:$W$65),"Misc")</f>
        <v>OH Part</v>
      </c>
      <c r="P1605" t="str" cm="1">
        <f t="array" ref="P1605">IFERROR(LOOKUP(2,1/SEARCH($Y$2:$Y$65,G1605),$Z$2:$Z$65),"Not Defined")</f>
        <v>OH Part</v>
      </c>
      <c r="Q1605" t="str" cm="1">
        <f t="array" ref="Q1605">IFERROR(LOOKUP(2,1/SEARCH($S$2:$S$65,H1605),$T$2:$T$65),"-")</f>
        <v>OH ASSY</v>
      </c>
    </row>
    <row r="1606" spans="1:17" hidden="1" x14ac:dyDescent="0.25">
      <c r="A1606" t="s">
        <v>7675</v>
      </c>
      <c r="B1606" s="22" t="s">
        <v>4333</v>
      </c>
      <c r="C1606">
        <v>1</v>
      </c>
      <c r="D1606" t="s">
        <v>7448</v>
      </c>
      <c r="E1606" t="s">
        <v>7918</v>
      </c>
      <c r="F1606" t="s">
        <v>4334</v>
      </c>
      <c r="G1606" t="s">
        <v>4336</v>
      </c>
      <c r="H1606" t="s">
        <v>4335</v>
      </c>
      <c r="J1606" t="s">
        <v>7742</v>
      </c>
      <c r="K1606" t="s">
        <v>7826</v>
      </c>
      <c r="L1606" t="s">
        <v>7826</v>
      </c>
      <c r="N1606" t="str" cm="1">
        <f t="array" ref="N1606">IFERROR(LOOKUP(2,1/SEARCH($S$2:$S$65,G1606),$T$2:$T$65),"Misc")</f>
        <v>OH ASSY</v>
      </c>
      <c r="O1606" t="str" cm="1">
        <f t="array" ref="O1606">IFERROR(LOOKUP(2,1/SEARCH($V$2:$V$65,G1606),$W$2:$W$65),"Misc")</f>
        <v>OH Part</v>
      </c>
      <c r="P1606" t="str" cm="1">
        <f t="array" ref="P1606">IFERROR(LOOKUP(2,1/SEARCH($Y$2:$Y$65,G1606),$Z$2:$Z$65),"Not Defined")</f>
        <v>OH Part</v>
      </c>
      <c r="Q1606" t="str" cm="1">
        <f t="array" ref="Q1606">IFERROR(LOOKUP(2,1/SEARCH($S$2:$S$65,H1606),$T$2:$T$65),"-")</f>
        <v>OH ASSY</v>
      </c>
    </row>
    <row r="1607" spans="1:17" hidden="1" x14ac:dyDescent="0.25">
      <c r="A1607" t="s">
        <v>7675</v>
      </c>
      <c r="B1607" s="22" t="s">
        <v>4337</v>
      </c>
      <c r="C1607">
        <v>1</v>
      </c>
      <c r="D1607" t="s">
        <v>7448</v>
      </c>
      <c r="E1607" t="s">
        <v>7918</v>
      </c>
      <c r="F1607" t="s">
        <v>4338</v>
      </c>
      <c r="G1607" t="s">
        <v>4340</v>
      </c>
      <c r="H1607" t="s">
        <v>4339</v>
      </c>
      <c r="I1607" t="s">
        <v>358</v>
      </c>
      <c r="J1607" t="s">
        <v>7682</v>
      </c>
      <c r="K1607" t="s">
        <v>7826</v>
      </c>
      <c r="L1607" t="s">
        <v>7826</v>
      </c>
      <c r="N1607" t="str" cm="1">
        <f t="array" ref="N1607">IFERROR(LOOKUP(2,1/SEARCH($S$2:$S$65,G1607),$T$2:$T$65),"Misc")</f>
        <v>OH P/N</v>
      </c>
      <c r="O1607" t="str" cm="1">
        <f t="array" ref="O1607">IFERROR(LOOKUP(2,1/SEARCH($V$2:$V$65,G1607),$W$2:$W$65),"Misc")</f>
        <v>OH Part</v>
      </c>
      <c r="P1607" t="str" cm="1">
        <f t="array" ref="P1607">IFERROR(LOOKUP(2,1/SEARCH($Y$2:$Y$65,G1607),$Z$2:$Z$65),"Not Defined")</f>
        <v>OH Part</v>
      </c>
      <c r="Q1607" t="str" cm="1">
        <f t="array" ref="Q1607">IFERROR(LOOKUP(2,1/SEARCH($S$2:$S$65,H1607),$T$2:$T$65),"-")</f>
        <v>-</v>
      </c>
    </row>
    <row r="1608" spans="1:17" hidden="1" x14ac:dyDescent="0.25">
      <c r="A1608" t="s">
        <v>7675</v>
      </c>
      <c r="B1608" s="22" t="s">
        <v>4341</v>
      </c>
      <c r="C1608">
        <v>1</v>
      </c>
      <c r="D1608" t="s">
        <v>7448</v>
      </c>
      <c r="E1608" t="s">
        <v>7918</v>
      </c>
      <c r="F1608" t="s">
        <v>4342</v>
      </c>
      <c r="G1608" t="s">
        <v>4344</v>
      </c>
      <c r="H1608" t="s">
        <v>4343</v>
      </c>
      <c r="I1608" t="s">
        <v>358</v>
      </c>
      <c r="J1608" t="s">
        <v>7682</v>
      </c>
      <c r="K1608" t="s">
        <v>7826</v>
      </c>
      <c r="L1608" t="s">
        <v>7826</v>
      </c>
      <c r="N1608" t="str" cm="1">
        <f t="array" ref="N1608">IFERROR(LOOKUP(2,1/SEARCH($S$2:$S$65,G1608),$T$2:$T$65),"Misc")</f>
        <v>OH P/N</v>
      </c>
      <c r="O1608" t="str" cm="1">
        <f t="array" ref="O1608">IFERROR(LOOKUP(2,1/SEARCH($V$2:$V$65,G1608),$W$2:$W$65),"Misc")</f>
        <v>OH Part</v>
      </c>
      <c r="P1608" t="str" cm="1">
        <f t="array" ref="P1608">IFERROR(LOOKUP(2,1/SEARCH($Y$2:$Y$65,G1608),$Z$2:$Z$65),"Not Defined")</f>
        <v>OH Part</v>
      </c>
      <c r="Q1608" t="str" cm="1">
        <f t="array" ref="Q1608">IFERROR(LOOKUP(2,1/SEARCH($S$2:$S$65,H1608),$T$2:$T$65),"-")</f>
        <v>-</v>
      </c>
    </row>
    <row r="1609" spans="1:17" hidden="1" x14ac:dyDescent="0.25">
      <c r="A1609" t="s">
        <v>7675</v>
      </c>
      <c r="B1609" s="22" t="s">
        <v>4345</v>
      </c>
      <c r="C1609">
        <v>1</v>
      </c>
      <c r="D1609" t="s">
        <v>7448</v>
      </c>
      <c r="E1609" t="s">
        <v>7919</v>
      </c>
      <c r="F1609" t="s">
        <v>4346</v>
      </c>
      <c r="G1609" t="s">
        <v>4348</v>
      </c>
      <c r="H1609" t="s">
        <v>4347</v>
      </c>
      <c r="J1609" t="s">
        <v>7742</v>
      </c>
      <c r="K1609" t="s">
        <v>7826</v>
      </c>
      <c r="L1609" t="s">
        <v>7826</v>
      </c>
      <c r="N1609" t="str" cm="1">
        <f t="array" ref="N1609">IFERROR(LOOKUP(2,1/SEARCH($S$2:$S$65,G1609),$T$2:$T$65),"Misc")</f>
        <v>OH ASSY</v>
      </c>
      <c r="O1609" t="str" cm="1">
        <f t="array" ref="O1609">IFERROR(LOOKUP(2,1/SEARCH($V$2:$V$65,G1609),$W$2:$W$65),"Misc")</f>
        <v>OH Part</v>
      </c>
      <c r="P1609" t="str" cm="1">
        <f t="array" ref="P1609">IFERROR(LOOKUP(2,1/SEARCH($Y$2:$Y$65,G1609),$Z$2:$Z$65),"Not Defined")</f>
        <v>OH Part</v>
      </c>
      <c r="Q1609" t="str" cm="1">
        <f t="array" ref="Q1609">IFERROR(LOOKUP(2,1/SEARCH($S$2:$S$65,H1609),$T$2:$T$65),"-")</f>
        <v>OH ASSY</v>
      </c>
    </row>
    <row r="1610" spans="1:17" hidden="1" x14ac:dyDescent="0.25">
      <c r="A1610" t="s">
        <v>7675</v>
      </c>
      <c r="B1610" s="22" t="s">
        <v>4349</v>
      </c>
      <c r="C1610">
        <v>1</v>
      </c>
      <c r="D1610" t="s">
        <v>7448</v>
      </c>
      <c r="E1610" t="s">
        <v>7919</v>
      </c>
      <c r="F1610" t="s">
        <v>4350</v>
      </c>
      <c r="G1610" t="s">
        <v>4352</v>
      </c>
      <c r="H1610" t="s">
        <v>4351</v>
      </c>
      <c r="I1610" t="s">
        <v>13</v>
      </c>
      <c r="J1610" t="s">
        <v>7682</v>
      </c>
      <c r="K1610" t="s">
        <v>7826</v>
      </c>
      <c r="L1610" t="s">
        <v>7826</v>
      </c>
      <c r="N1610" t="str" cm="1">
        <f t="array" ref="N1610">IFERROR(LOOKUP(2,1/SEARCH($S$2:$S$65,G1610),$T$2:$T$65),"Misc")</f>
        <v>OH P/N</v>
      </c>
      <c r="O1610" t="str" cm="1">
        <f t="array" ref="O1610">IFERROR(LOOKUP(2,1/SEARCH($V$2:$V$65,G1610),$W$2:$W$65),"Misc")</f>
        <v>OH Part</v>
      </c>
      <c r="P1610" t="str" cm="1">
        <f t="array" ref="P1610">IFERROR(LOOKUP(2,1/SEARCH($Y$2:$Y$65,G1610),$Z$2:$Z$65),"Not Defined")</f>
        <v>OH Part</v>
      </c>
      <c r="Q1610" t="str" cm="1">
        <f t="array" ref="Q1610">IFERROR(LOOKUP(2,1/SEARCH($S$2:$S$65,H1610),$T$2:$T$65),"-")</f>
        <v>COTS</v>
      </c>
    </row>
    <row r="1611" spans="1:17" hidden="1" x14ac:dyDescent="0.25">
      <c r="A1611" t="s">
        <v>7675</v>
      </c>
      <c r="B1611" s="22" t="s">
        <v>4353</v>
      </c>
      <c r="C1611">
        <v>1</v>
      </c>
      <c r="D1611" t="s">
        <v>7448</v>
      </c>
      <c r="E1611" t="s">
        <v>7919</v>
      </c>
      <c r="F1611" t="s">
        <v>4354</v>
      </c>
      <c r="G1611" t="s">
        <v>4356</v>
      </c>
      <c r="H1611" t="s">
        <v>4355</v>
      </c>
      <c r="I1611" t="s">
        <v>13</v>
      </c>
      <c r="J1611" t="s">
        <v>7682</v>
      </c>
      <c r="K1611" t="s">
        <v>7826</v>
      </c>
      <c r="L1611" t="s">
        <v>7826</v>
      </c>
      <c r="N1611" t="str" cm="1">
        <f t="array" ref="N1611">IFERROR(LOOKUP(2,1/SEARCH($S$2:$S$65,G1611),$T$2:$T$65),"Misc")</f>
        <v>OH P/N</v>
      </c>
      <c r="O1611" t="str" cm="1">
        <f t="array" ref="O1611">IFERROR(LOOKUP(2,1/SEARCH($V$2:$V$65,G1611),$W$2:$W$65),"Misc")</f>
        <v>OH Part</v>
      </c>
      <c r="P1611" t="str" cm="1">
        <f t="array" ref="P1611">IFERROR(LOOKUP(2,1/SEARCH($Y$2:$Y$65,G1611),$Z$2:$Z$65),"Not Defined")</f>
        <v>OH Part</v>
      </c>
      <c r="Q1611" t="str" cm="1">
        <f t="array" ref="Q1611">IFERROR(LOOKUP(2,1/SEARCH($S$2:$S$65,H1611),$T$2:$T$65),"-")</f>
        <v>-</v>
      </c>
    </row>
    <row r="1612" spans="1:17" hidden="1" x14ac:dyDescent="0.25">
      <c r="A1612" t="s">
        <v>7675</v>
      </c>
      <c r="B1612" s="22" t="s">
        <v>4357</v>
      </c>
      <c r="C1612">
        <v>1</v>
      </c>
      <c r="D1612" t="s">
        <v>7448</v>
      </c>
      <c r="E1612" t="s">
        <v>7919</v>
      </c>
      <c r="F1612" t="s">
        <v>4358</v>
      </c>
      <c r="G1612" t="s">
        <v>4360</v>
      </c>
      <c r="H1612" t="s">
        <v>4359</v>
      </c>
      <c r="I1612" t="s">
        <v>13</v>
      </c>
      <c r="J1612" t="s">
        <v>7682</v>
      </c>
      <c r="K1612" t="s">
        <v>7826</v>
      </c>
      <c r="L1612" t="s">
        <v>7826</v>
      </c>
      <c r="N1612" t="str" cm="1">
        <f t="array" ref="N1612">IFERROR(LOOKUP(2,1/SEARCH($S$2:$S$65,G1612),$T$2:$T$65),"Misc")</f>
        <v>OH P/N</v>
      </c>
      <c r="O1612" t="str" cm="1">
        <f t="array" ref="O1612">IFERROR(LOOKUP(2,1/SEARCH($V$2:$V$65,G1612),$W$2:$W$65),"Misc")</f>
        <v>OH Part</v>
      </c>
      <c r="P1612" t="str" cm="1">
        <f t="array" ref="P1612">IFERROR(LOOKUP(2,1/SEARCH($Y$2:$Y$65,G1612),$Z$2:$Z$65),"Not Defined")</f>
        <v>OH Part</v>
      </c>
      <c r="Q1612" t="str" cm="1">
        <f t="array" ref="Q1612">IFERROR(LOOKUP(2,1/SEARCH($S$2:$S$65,H1612),$T$2:$T$65),"-")</f>
        <v>-</v>
      </c>
    </row>
    <row r="1613" spans="1:17" hidden="1" x14ac:dyDescent="0.25">
      <c r="A1613" t="s">
        <v>7675</v>
      </c>
      <c r="B1613" s="22" t="s">
        <v>4361</v>
      </c>
      <c r="C1613">
        <v>2</v>
      </c>
      <c r="D1613" t="s">
        <v>7448</v>
      </c>
      <c r="E1613" t="s">
        <v>7919</v>
      </c>
      <c r="F1613" t="s">
        <v>1921</v>
      </c>
      <c r="G1613" t="s">
        <v>7246</v>
      </c>
      <c r="H1613" t="s">
        <v>1922</v>
      </c>
      <c r="I1613" t="s">
        <v>210</v>
      </c>
      <c r="J1613" t="s">
        <v>7703</v>
      </c>
      <c r="K1613" t="s">
        <v>7684</v>
      </c>
      <c r="L1613" t="s">
        <v>7691</v>
      </c>
      <c r="N1613" t="str" cm="1">
        <f t="array" ref="N1613">IFERROR(LOOKUP(2,1/SEARCH($S$2:$S$65,G1613),$T$2:$T$65),"Misc")</f>
        <v>COTS</v>
      </c>
      <c r="O1613" t="str" cm="1">
        <f t="array" ref="O1613">IFERROR(LOOKUP(2,1/SEARCH($V$2:$V$65,G1613),$W$2:$W$65),"Misc")</f>
        <v>Fasteners</v>
      </c>
      <c r="P1613" t="str" cm="1">
        <f t="array" ref="P1613">IFERROR(LOOKUP(2,1/SEARCH($Y$2:$Y$65,G1613),$Z$2:$Z$65),"Not Defined")</f>
        <v>FHS</v>
      </c>
      <c r="Q1613" t="str" cm="1">
        <f t="array" ref="Q1613">IFERROR(LOOKUP(2,1/SEARCH($S$2:$S$65,H1613),$T$2:$T$65),"-")</f>
        <v>COTS</v>
      </c>
    </row>
    <row r="1614" spans="1:17" hidden="1" x14ac:dyDescent="0.25">
      <c r="A1614" t="s">
        <v>7675</v>
      </c>
      <c r="B1614" s="22" t="s">
        <v>4362</v>
      </c>
      <c r="C1614">
        <v>2</v>
      </c>
      <c r="D1614" t="s">
        <v>7448</v>
      </c>
      <c r="E1614" t="s">
        <v>7919</v>
      </c>
      <c r="F1614" t="s">
        <v>439</v>
      </c>
      <c r="G1614" t="s">
        <v>7086</v>
      </c>
      <c r="H1614" t="s">
        <v>440</v>
      </c>
      <c r="I1614" t="s">
        <v>224</v>
      </c>
      <c r="J1614" t="s">
        <v>7703</v>
      </c>
      <c r="K1614" t="s">
        <v>7684</v>
      </c>
      <c r="L1614" t="s">
        <v>7687</v>
      </c>
      <c r="N1614" t="str" cm="1">
        <f t="array" ref="N1614">IFERROR(LOOKUP(2,1/SEARCH($S$2:$S$65,G1614),$T$2:$T$65),"Misc")</f>
        <v>COTS</v>
      </c>
      <c r="O1614" t="str" cm="1">
        <f t="array" ref="O1614">IFERROR(LOOKUP(2,1/SEARCH($V$2:$V$65,G1614),$W$2:$W$65),"Misc")</f>
        <v>Fasteners</v>
      </c>
      <c r="P1614" t="str" cm="1">
        <f t="array" ref="P1614">IFERROR(LOOKUP(2,1/SEARCH($Y$2:$Y$65,G1614),$Z$2:$Z$65),"Not Defined")</f>
        <v>INSERT</v>
      </c>
      <c r="Q1614" t="str" cm="1">
        <f t="array" ref="Q1614">IFERROR(LOOKUP(2,1/SEARCH($S$2:$S$65,H1614),$T$2:$T$65),"-")</f>
        <v>COTS</v>
      </c>
    </row>
    <row r="1615" spans="1:17" hidden="1" x14ac:dyDescent="0.25">
      <c r="A1615" t="s">
        <v>7675</v>
      </c>
      <c r="B1615" s="22" t="s">
        <v>4363</v>
      </c>
      <c r="C1615">
        <v>1</v>
      </c>
      <c r="D1615" t="s">
        <v>7448</v>
      </c>
      <c r="E1615" t="s">
        <v>7919</v>
      </c>
      <c r="F1615" t="s">
        <v>4364</v>
      </c>
      <c r="G1615" t="s">
        <v>7449</v>
      </c>
      <c r="H1615" t="s">
        <v>4365</v>
      </c>
      <c r="I1615" t="s">
        <v>210</v>
      </c>
      <c r="J1615" t="s">
        <v>7703</v>
      </c>
      <c r="K1615" t="s">
        <v>7719</v>
      </c>
      <c r="L1615" t="s">
        <v>7688</v>
      </c>
      <c r="N1615" t="str" cm="1">
        <f t="array" ref="N1615">IFERROR(LOOKUP(2,1/SEARCH($S$2:$S$65,G1615),$T$2:$T$65),"Misc")</f>
        <v>COTS</v>
      </c>
      <c r="O1615" t="str" cm="1">
        <f t="array" ref="O1615">IFERROR(LOOKUP(2,1/SEARCH($V$2:$V$65,G1615),$W$2:$W$65),"Misc")</f>
        <v>Misc</v>
      </c>
      <c r="P1615" t="str" cm="1">
        <f t="array" ref="P1615">IFERROR(LOOKUP(2,1/SEARCH($Y$2:$Y$65,G1615),$Z$2:$Z$65),"Not Defined")</f>
        <v>SPRING</v>
      </c>
      <c r="Q1615" t="str" cm="1">
        <f t="array" ref="Q1615">IFERROR(LOOKUP(2,1/SEARCH($S$2:$S$65,H1615),$T$2:$T$65),"-")</f>
        <v>COTS</v>
      </c>
    </row>
    <row r="1616" spans="1:17" hidden="1" x14ac:dyDescent="0.25">
      <c r="A1616" t="s">
        <v>7675</v>
      </c>
      <c r="B1616" s="22" t="s">
        <v>4366</v>
      </c>
      <c r="C1616">
        <v>1</v>
      </c>
      <c r="D1616" t="s">
        <v>7448</v>
      </c>
      <c r="E1616" t="s">
        <v>7919</v>
      </c>
      <c r="F1616" t="s">
        <v>4367</v>
      </c>
      <c r="G1616" t="s">
        <v>7450</v>
      </c>
      <c r="H1616" t="s">
        <v>4368</v>
      </c>
      <c r="I1616" t="s">
        <v>210</v>
      </c>
      <c r="J1616" t="s">
        <v>7703</v>
      </c>
      <c r="K1616" t="s">
        <v>7719</v>
      </c>
      <c r="L1616" t="s">
        <v>7688</v>
      </c>
      <c r="N1616" t="str" cm="1">
        <f t="array" ref="N1616">IFERROR(LOOKUP(2,1/SEARCH($S$2:$S$65,G1616),$T$2:$T$65),"Misc")</f>
        <v>COTS</v>
      </c>
      <c r="O1616" t="str" cm="1">
        <f t="array" ref="O1616">IFERROR(LOOKUP(2,1/SEARCH($V$2:$V$65,G1616),$W$2:$W$65),"Misc")</f>
        <v>Misc</v>
      </c>
      <c r="P1616" t="str" cm="1">
        <f t="array" ref="P1616">IFERROR(LOOKUP(2,1/SEARCH($Y$2:$Y$65,G1616),$Z$2:$Z$65),"Not Defined")</f>
        <v>SPRING</v>
      </c>
      <c r="Q1616" t="str" cm="1">
        <f t="array" ref="Q1616">IFERROR(LOOKUP(2,1/SEARCH($S$2:$S$65,H1616),$T$2:$T$65),"-")</f>
        <v>COTS</v>
      </c>
    </row>
    <row r="1617" spans="1:17" hidden="1" x14ac:dyDescent="0.25">
      <c r="A1617" t="s">
        <v>7675</v>
      </c>
      <c r="B1617" s="22" t="s">
        <v>4369</v>
      </c>
      <c r="C1617">
        <v>1</v>
      </c>
      <c r="D1617" t="s">
        <v>7448</v>
      </c>
      <c r="E1617" t="s">
        <v>7919</v>
      </c>
      <c r="F1617" t="s">
        <v>4370</v>
      </c>
      <c r="G1617" t="s">
        <v>7451</v>
      </c>
      <c r="H1617" t="s">
        <v>4371</v>
      </c>
      <c r="I1617" t="s">
        <v>255</v>
      </c>
      <c r="J1617" t="s">
        <v>7703</v>
      </c>
      <c r="K1617" t="s">
        <v>7722</v>
      </c>
      <c r="L1617" t="s">
        <v>7722</v>
      </c>
      <c r="N1617" t="str" cm="1">
        <f t="array" ref="N1617">IFERROR(LOOKUP(2,1/SEARCH($S$2:$S$65,G1617),$T$2:$T$65),"Misc")</f>
        <v>COTS</v>
      </c>
      <c r="O1617" t="str" cm="1">
        <f t="array" ref="O1617">IFERROR(LOOKUP(2,1/SEARCH($V$2:$V$65,G1617),$W$2:$W$65),"Misc")</f>
        <v>POT</v>
      </c>
      <c r="P1617" t="str" cm="1">
        <f t="array" ref="P1617">IFERROR(LOOKUP(2,1/SEARCH($Y$2:$Y$65,G1617),$Z$2:$Z$65),"Not Defined")</f>
        <v>POT</v>
      </c>
      <c r="Q1617" t="str" cm="1">
        <f t="array" ref="Q1617">IFERROR(LOOKUP(2,1/SEARCH($S$2:$S$65,H1617),$T$2:$T$65),"-")</f>
        <v>COTS</v>
      </c>
    </row>
    <row r="1618" spans="1:17" hidden="1" x14ac:dyDescent="0.25">
      <c r="A1618" t="s">
        <v>7675</v>
      </c>
      <c r="B1618" s="22" t="s">
        <v>4372</v>
      </c>
      <c r="C1618">
        <v>1</v>
      </c>
      <c r="D1618" t="s">
        <v>7448</v>
      </c>
      <c r="E1618" t="s">
        <v>7919</v>
      </c>
      <c r="F1618" t="s">
        <v>4373</v>
      </c>
      <c r="G1618" t="s">
        <v>7452</v>
      </c>
      <c r="H1618" t="s">
        <v>4374</v>
      </c>
      <c r="I1618" t="s">
        <v>210</v>
      </c>
      <c r="J1618" t="s">
        <v>7703</v>
      </c>
      <c r="K1618" t="s">
        <v>7722</v>
      </c>
      <c r="L1618" t="s">
        <v>7685</v>
      </c>
      <c r="N1618" t="str" cm="1">
        <f t="array" ref="N1618">IFERROR(LOOKUP(2,1/SEARCH($S$2:$S$65,G1618),$T$2:$T$65),"Misc")</f>
        <v>COTS</v>
      </c>
      <c r="O1618" t="str" cm="1">
        <f t="array" ref="O1618">IFERROR(LOOKUP(2,1/SEARCH($V$2:$V$65,G1618),$W$2:$W$65),"Misc")</f>
        <v>POT</v>
      </c>
      <c r="P1618" t="str" cm="1">
        <f t="array" ref="P1618">IFERROR(LOOKUP(2,1/SEARCH($Y$2:$Y$65,G1618),$Z$2:$Z$65),"Not Defined")</f>
        <v>NUT</v>
      </c>
      <c r="Q1618" t="str" cm="1">
        <f t="array" ref="Q1618">IFERROR(LOOKUP(2,1/SEARCH($S$2:$S$65,H1618),$T$2:$T$65),"-")</f>
        <v>COTS</v>
      </c>
    </row>
    <row r="1619" spans="1:17" hidden="1" x14ac:dyDescent="0.25">
      <c r="A1619" t="s">
        <v>7675</v>
      </c>
      <c r="B1619" s="22" t="s">
        <v>4375</v>
      </c>
      <c r="C1619">
        <v>1</v>
      </c>
      <c r="D1619" t="s">
        <v>7448</v>
      </c>
      <c r="E1619" t="s">
        <v>7920</v>
      </c>
      <c r="F1619" t="s">
        <v>4376</v>
      </c>
      <c r="G1619" t="s">
        <v>4378</v>
      </c>
      <c r="H1619" t="s">
        <v>4377</v>
      </c>
      <c r="J1619" t="s">
        <v>7742</v>
      </c>
      <c r="K1619" t="s">
        <v>7826</v>
      </c>
      <c r="L1619" t="s">
        <v>7826</v>
      </c>
      <c r="N1619" t="str" cm="1">
        <f t="array" ref="N1619">IFERROR(LOOKUP(2,1/SEARCH($S$2:$S$65,G1619),$T$2:$T$65),"Misc")</f>
        <v>OH ASSY</v>
      </c>
      <c r="O1619" t="str" cm="1">
        <f t="array" ref="O1619">IFERROR(LOOKUP(2,1/SEARCH($V$2:$V$65,G1619),$W$2:$W$65),"Misc")</f>
        <v>OH Part</v>
      </c>
      <c r="P1619" t="str" cm="1">
        <f t="array" ref="P1619">IFERROR(LOOKUP(2,1/SEARCH($Y$2:$Y$65,G1619),$Z$2:$Z$65),"Not Defined")</f>
        <v>OH Part</v>
      </c>
      <c r="Q1619" t="str" cm="1">
        <f t="array" ref="Q1619">IFERROR(LOOKUP(2,1/SEARCH($S$2:$S$65,H1619),$T$2:$T$65),"-")</f>
        <v>OH ASSY</v>
      </c>
    </row>
    <row r="1620" spans="1:17" hidden="1" x14ac:dyDescent="0.25">
      <c r="A1620" t="s">
        <v>7675</v>
      </c>
      <c r="B1620" s="22" t="s">
        <v>4379</v>
      </c>
      <c r="C1620">
        <v>1</v>
      </c>
      <c r="D1620" t="s">
        <v>7448</v>
      </c>
      <c r="E1620" t="s">
        <v>7920</v>
      </c>
      <c r="F1620" t="s">
        <v>4380</v>
      </c>
      <c r="G1620" t="s">
        <v>4382</v>
      </c>
      <c r="H1620" t="s">
        <v>4381</v>
      </c>
      <c r="I1620" t="s">
        <v>358</v>
      </c>
      <c r="J1620" t="s">
        <v>7682</v>
      </c>
      <c r="K1620" t="s">
        <v>7826</v>
      </c>
      <c r="L1620" t="s">
        <v>7826</v>
      </c>
      <c r="N1620" t="str" cm="1">
        <f t="array" ref="N1620">IFERROR(LOOKUP(2,1/SEARCH($S$2:$S$65,G1620),$T$2:$T$65),"Misc")</f>
        <v>OH P/N</v>
      </c>
      <c r="O1620" t="str" cm="1">
        <f t="array" ref="O1620">IFERROR(LOOKUP(2,1/SEARCH($V$2:$V$65,G1620),$W$2:$W$65),"Misc")</f>
        <v>OH Part</v>
      </c>
      <c r="P1620" t="str" cm="1">
        <f t="array" ref="P1620">IFERROR(LOOKUP(2,1/SEARCH($Y$2:$Y$65,G1620),$Z$2:$Z$65),"Not Defined")</f>
        <v>OH Part</v>
      </c>
      <c r="Q1620" t="str" cm="1">
        <f t="array" ref="Q1620">IFERROR(LOOKUP(2,1/SEARCH($S$2:$S$65,H1620),$T$2:$T$65),"-")</f>
        <v>COTS</v>
      </c>
    </row>
    <row r="1621" spans="1:17" hidden="1" x14ac:dyDescent="0.25">
      <c r="A1621" t="s">
        <v>7675</v>
      </c>
      <c r="B1621" s="22" t="s">
        <v>4383</v>
      </c>
      <c r="C1621">
        <v>1</v>
      </c>
      <c r="D1621" t="s">
        <v>7448</v>
      </c>
      <c r="E1621" t="s">
        <v>7920</v>
      </c>
      <c r="F1621" t="s">
        <v>4384</v>
      </c>
      <c r="G1621" t="s">
        <v>4386</v>
      </c>
      <c r="H1621" t="s">
        <v>4385</v>
      </c>
      <c r="I1621" t="s">
        <v>358</v>
      </c>
      <c r="J1621" t="s">
        <v>7682</v>
      </c>
      <c r="K1621" t="s">
        <v>7826</v>
      </c>
      <c r="L1621" t="s">
        <v>7826</v>
      </c>
      <c r="N1621" t="str" cm="1">
        <f t="array" ref="N1621">IFERROR(LOOKUP(2,1/SEARCH($S$2:$S$65,G1621),$T$2:$T$65),"Misc")</f>
        <v>OH P/N</v>
      </c>
      <c r="O1621" t="str" cm="1">
        <f t="array" ref="O1621">IFERROR(LOOKUP(2,1/SEARCH($V$2:$V$65,G1621),$W$2:$W$65),"Misc")</f>
        <v>OH Part</v>
      </c>
      <c r="P1621" t="str" cm="1">
        <f t="array" ref="P1621">IFERROR(LOOKUP(2,1/SEARCH($Y$2:$Y$65,G1621),$Z$2:$Z$65),"Not Defined")</f>
        <v>OH Part</v>
      </c>
      <c r="Q1621" t="str" cm="1">
        <f t="array" ref="Q1621">IFERROR(LOOKUP(2,1/SEARCH($S$2:$S$65,H1621),$T$2:$T$65),"-")</f>
        <v>COTS</v>
      </c>
    </row>
    <row r="1622" spans="1:17" hidden="1" x14ac:dyDescent="0.25">
      <c r="A1622" t="s">
        <v>7675</v>
      </c>
      <c r="B1622" s="22" t="s">
        <v>4387</v>
      </c>
      <c r="C1622">
        <v>1</v>
      </c>
      <c r="D1622" t="s">
        <v>7448</v>
      </c>
      <c r="E1622" t="s">
        <v>7920</v>
      </c>
      <c r="F1622" t="s">
        <v>4388</v>
      </c>
      <c r="G1622" t="s">
        <v>4390</v>
      </c>
      <c r="H1622" t="s">
        <v>4389</v>
      </c>
      <c r="I1622" t="s">
        <v>358</v>
      </c>
      <c r="J1622" t="s">
        <v>7682</v>
      </c>
      <c r="K1622" t="s">
        <v>7826</v>
      </c>
      <c r="L1622" t="s">
        <v>7826</v>
      </c>
      <c r="N1622" t="str" cm="1">
        <f t="array" ref="N1622">IFERROR(LOOKUP(2,1/SEARCH($S$2:$S$65,G1622),$T$2:$T$65),"Misc")</f>
        <v>OH P/N</v>
      </c>
      <c r="O1622" t="str" cm="1">
        <f t="array" ref="O1622">IFERROR(LOOKUP(2,1/SEARCH($V$2:$V$65,G1622),$W$2:$W$65),"Misc")</f>
        <v>OH Part</v>
      </c>
      <c r="P1622" t="str" cm="1">
        <f t="array" ref="P1622">IFERROR(LOOKUP(2,1/SEARCH($Y$2:$Y$65,G1622),$Z$2:$Z$65),"Not Defined")</f>
        <v>OH Part</v>
      </c>
      <c r="Q1622" t="str" cm="1">
        <f t="array" ref="Q1622">IFERROR(LOOKUP(2,1/SEARCH($S$2:$S$65,H1622),$T$2:$T$65),"-")</f>
        <v>COTS</v>
      </c>
    </row>
    <row r="1623" spans="1:17" hidden="1" x14ac:dyDescent="0.25">
      <c r="A1623" t="s">
        <v>7675</v>
      </c>
      <c r="B1623" s="22" t="s">
        <v>4391</v>
      </c>
      <c r="C1623">
        <v>1</v>
      </c>
      <c r="D1623" t="s">
        <v>7448</v>
      </c>
      <c r="E1623" t="s">
        <v>7920</v>
      </c>
      <c r="F1623" t="s">
        <v>4392</v>
      </c>
      <c r="G1623" t="s">
        <v>4394</v>
      </c>
      <c r="H1623" t="s">
        <v>4393</v>
      </c>
      <c r="I1623" t="s">
        <v>255</v>
      </c>
      <c r="J1623" t="s">
        <v>7682</v>
      </c>
      <c r="K1623" t="s">
        <v>7826</v>
      </c>
      <c r="L1623" t="s">
        <v>7826</v>
      </c>
      <c r="N1623" t="str" cm="1">
        <f t="array" ref="N1623">IFERROR(LOOKUP(2,1/SEARCH($S$2:$S$65,G1623),$T$2:$T$65),"Misc")</f>
        <v>OH P/N</v>
      </c>
      <c r="O1623" t="str" cm="1">
        <f t="array" ref="O1623">IFERROR(LOOKUP(2,1/SEARCH($V$2:$V$65,G1623),$W$2:$W$65),"Misc")</f>
        <v>OH Part</v>
      </c>
      <c r="P1623" t="str" cm="1">
        <f t="array" ref="P1623">IFERROR(LOOKUP(2,1/SEARCH($Y$2:$Y$65,G1623),$Z$2:$Z$65),"Not Defined")</f>
        <v>OH Part</v>
      </c>
      <c r="Q1623" t="str" cm="1">
        <f t="array" ref="Q1623">IFERROR(LOOKUP(2,1/SEARCH($S$2:$S$65,H1623),$T$2:$T$65),"-")</f>
        <v>-</v>
      </c>
    </row>
    <row r="1624" spans="1:17" hidden="1" x14ac:dyDescent="0.25">
      <c r="A1624" t="s">
        <v>7675</v>
      </c>
      <c r="B1624" s="22" t="s">
        <v>4395</v>
      </c>
      <c r="C1624">
        <v>1</v>
      </c>
      <c r="D1624" t="s">
        <v>7448</v>
      </c>
      <c r="E1624" t="s">
        <v>7921</v>
      </c>
      <c r="F1624" t="s">
        <v>4396</v>
      </c>
      <c r="G1624" t="s">
        <v>4398</v>
      </c>
      <c r="H1624" t="s">
        <v>4397</v>
      </c>
      <c r="J1624" t="s">
        <v>7742</v>
      </c>
      <c r="K1624" t="s">
        <v>7826</v>
      </c>
      <c r="L1624" t="s">
        <v>7826</v>
      </c>
      <c r="N1624" t="str" cm="1">
        <f t="array" ref="N1624">IFERROR(LOOKUP(2,1/SEARCH($S$2:$S$65,G1624),$T$2:$T$65),"Misc")</f>
        <v>OH ASSY</v>
      </c>
      <c r="O1624" t="str" cm="1">
        <f t="array" ref="O1624">IFERROR(LOOKUP(2,1/SEARCH($V$2:$V$65,G1624),$W$2:$W$65),"Misc")</f>
        <v>OH Part</v>
      </c>
      <c r="P1624" t="str" cm="1">
        <f t="array" ref="P1624">IFERROR(LOOKUP(2,1/SEARCH($Y$2:$Y$65,G1624),$Z$2:$Z$65),"Not Defined")</f>
        <v>OH Part</v>
      </c>
      <c r="Q1624" t="str" cm="1">
        <f t="array" ref="Q1624">IFERROR(LOOKUP(2,1/SEARCH($S$2:$S$65,H1624),$T$2:$T$65),"-")</f>
        <v>OH ASSY</v>
      </c>
    </row>
    <row r="1625" spans="1:17" hidden="1" x14ac:dyDescent="0.25">
      <c r="A1625" t="s">
        <v>7675</v>
      </c>
      <c r="B1625" s="22" t="s">
        <v>4399</v>
      </c>
      <c r="C1625">
        <v>1</v>
      </c>
      <c r="D1625" t="s">
        <v>7448</v>
      </c>
      <c r="E1625" t="s">
        <v>7921</v>
      </c>
      <c r="F1625" t="s">
        <v>4400</v>
      </c>
      <c r="G1625" t="s">
        <v>4402</v>
      </c>
      <c r="H1625" t="s">
        <v>4401</v>
      </c>
      <c r="I1625" t="s">
        <v>358</v>
      </c>
      <c r="J1625" t="s">
        <v>7682</v>
      </c>
      <c r="K1625" t="s">
        <v>7826</v>
      </c>
      <c r="L1625" t="s">
        <v>7826</v>
      </c>
      <c r="N1625" t="str" cm="1">
        <f t="array" ref="N1625">IFERROR(LOOKUP(2,1/SEARCH($S$2:$S$65,G1625),$T$2:$T$65),"Misc")</f>
        <v>OH P/N</v>
      </c>
      <c r="O1625" t="str" cm="1">
        <f t="array" ref="O1625">IFERROR(LOOKUP(2,1/SEARCH($V$2:$V$65,G1625),$W$2:$W$65),"Misc")</f>
        <v>OH Part</v>
      </c>
      <c r="P1625" t="str" cm="1">
        <f t="array" ref="P1625">IFERROR(LOOKUP(2,1/SEARCH($Y$2:$Y$65,G1625),$Z$2:$Z$65),"Not Defined")</f>
        <v>OH Part</v>
      </c>
      <c r="Q1625" t="str" cm="1">
        <f t="array" ref="Q1625">IFERROR(LOOKUP(2,1/SEARCH($S$2:$S$65,H1625),$T$2:$T$65),"-")</f>
        <v>COTS</v>
      </c>
    </row>
    <row r="1626" spans="1:17" hidden="1" x14ac:dyDescent="0.25">
      <c r="A1626" t="s">
        <v>7675</v>
      </c>
      <c r="B1626" s="22" t="s">
        <v>4403</v>
      </c>
      <c r="C1626">
        <v>1</v>
      </c>
      <c r="D1626" t="s">
        <v>7448</v>
      </c>
      <c r="E1626" t="s">
        <v>7921</v>
      </c>
      <c r="F1626" t="s">
        <v>4404</v>
      </c>
      <c r="G1626" t="s">
        <v>4406</v>
      </c>
      <c r="H1626" t="s">
        <v>4405</v>
      </c>
      <c r="I1626" t="s">
        <v>358</v>
      </c>
      <c r="J1626" t="s">
        <v>7682</v>
      </c>
      <c r="K1626" t="s">
        <v>7826</v>
      </c>
      <c r="L1626" t="s">
        <v>7826</v>
      </c>
      <c r="N1626" t="str" cm="1">
        <f t="array" ref="N1626">IFERROR(LOOKUP(2,1/SEARCH($S$2:$S$65,G1626),$T$2:$T$65),"Misc")</f>
        <v>OH P/N</v>
      </c>
      <c r="O1626" t="str" cm="1">
        <f t="array" ref="O1626">IFERROR(LOOKUP(2,1/SEARCH($V$2:$V$65,G1626),$W$2:$W$65),"Misc")</f>
        <v>OH Part</v>
      </c>
      <c r="P1626" t="str" cm="1">
        <f t="array" ref="P1626">IFERROR(LOOKUP(2,1/SEARCH($Y$2:$Y$65,G1626),$Z$2:$Z$65),"Not Defined")</f>
        <v>OH Part</v>
      </c>
      <c r="Q1626" t="str" cm="1">
        <f t="array" ref="Q1626">IFERROR(LOOKUP(2,1/SEARCH($S$2:$S$65,H1626),$T$2:$T$65),"-")</f>
        <v>COTS</v>
      </c>
    </row>
    <row r="1627" spans="1:17" hidden="1" x14ac:dyDescent="0.25">
      <c r="A1627" t="s">
        <v>7675</v>
      </c>
      <c r="B1627" s="22" t="s">
        <v>4407</v>
      </c>
      <c r="C1627">
        <v>1</v>
      </c>
      <c r="D1627" t="s">
        <v>7448</v>
      </c>
      <c r="E1627" t="s">
        <v>7921</v>
      </c>
      <c r="F1627" t="s">
        <v>4408</v>
      </c>
      <c r="G1627" t="s">
        <v>7453</v>
      </c>
      <c r="H1627" t="s">
        <v>4409</v>
      </c>
      <c r="I1627" t="s">
        <v>255</v>
      </c>
      <c r="J1627" t="s">
        <v>7703</v>
      </c>
      <c r="K1627" t="s">
        <v>7677</v>
      </c>
      <c r="L1627" t="s">
        <v>7677</v>
      </c>
      <c r="N1627" t="str" cm="1">
        <f t="array" ref="N1627">IFERROR(LOOKUP(2,1/SEARCH($S$2:$S$65,G1627),$T$2:$T$65),"Misc")</f>
        <v>COTS</v>
      </c>
      <c r="O1627" t="str" cm="1">
        <f t="array" ref="O1627">IFERROR(LOOKUP(2,1/SEARCH($V$2:$V$65,G1627),$W$2:$W$65),"Misc")</f>
        <v>SWITCH</v>
      </c>
      <c r="P1627" t="str" cm="1">
        <f t="array" ref="P1627">IFERROR(LOOKUP(2,1/SEARCH($Y$2:$Y$65,G1627),$Z$2:$Z$65),"Not Defined")</f>
        <v>SWITCH</v>
      </c>
      <c r="Q1627" t="str" cm="1">
        <f t="array" ref="Q1627">IFERROR(LOOKUP(2,1/SEARCH($S$2:$S$65,H1627),$T$2:$T$65),"-")</f>
        <v>COTS</v>
      </c>
    </row>
    <row r="1628" spans="1:17" hidden="1" x14ac:dyDescent="0.25">
      <c r="A1628" t="s">
        <v>7675</v>
      </c>
      <c r="B1628" s="22" t="s">
        <v>4410</v>
      </c>
      <c r="C1628">
        <v>1</v>
      </c>
      <c r="D1628" t="s">
        <v>7448</v>
      </c>
      <c r="E1628" t="s">
        <v>7918</v>
      </c>
      <c r="F1628" t="s">
        <v>4411</v>
      </c>
      <c r="G1628" t="s">
        <v>4413</v>
      </c>
      <c r="H1628" t="s">
        <v>4412</v>
      </c>
      <c r="I1628" t="s">
        <v>358</v>
      </c>
      <c r="J1628" t="s">
        <v>7682</v>
      </c>
      <c r="K1628" t="s">
        <v>7826</v>
      </c>
      <c r="L1628" t="s">
        <v>7826</v>
      </c>
      <c r="N1628" t="str" cm="1">
        <f t="array" ref="N1628">IFERROR(LOOKUP(2,1/SEARCH($S$2:$S$65,G1628),$T$2:$T$65),"Misc")</f>
        <v>OH P/N</v>
      </c>
      <c r="O1628" t="str" cm="1">
        <f t="array" ref="O1628">IFERROR(LOOKUP(2,1/SEARCH($V$2:$V$65,G1628),$W$2:$W$65),"Misc")</f>
        <v>OH Part</v>
      </c>
      <c r="P1628" t="str" cm="1">
        <f t="array" ref="P1628">IFERROR(LOOKUP(2,1/SEARCH($Y$2:$Y$65,G1628),$Z$2:$Z$65),"Not Defined")</f>
        <v>OH Part</v>
      </c>
      <c r="Q1628" t="str" cm="1">
        <f t="array" ref="Q1628">IFERROR(LOOKUP(2,1/SEARCH($S$2:$S$65,H1628),$T$2:$T$65),"-")</f>
        <v>COTS</v>
      </c>
    </row>
    <row r="1629" spans="1:17" hidden="1" x14ac:dyDescent="0.25">
      <c r="A1629" t="s">
        <v>7675</v>
      </c>
      <c r="B1629" s="22" t="s">
        <v>4414</v>
      </c>
      <c r="C1629">
        <v>1</v>
      </c>
      <c r="D1629" t="s">
        <v>7448</v>
      </c>
      <c r="E1629" t="s">
        <v>7918</v>
      </c>
      <c r="F1629" t="s">
        <v>4415</v>
      </c>
      <c r="G1629" t="s">
        <v>4417</v>
      </c>
      <c r="H1629" t="s">
        <v>4416</v>
      </c>
      <c r="I1629" t="s">
        <v>255</v>
      </c>
      <c r="J1629" t="s">
        <v>7682</v>
      </c>
      <c r="K1629" t="s">
        <v>7826</v>
      </c>
      <c r="L1629" t="s">
        <v>7826</v>
      </c>
      <c r="N1629" t="str" cm="1">
        <f t="array" ref="N1629">IFERROR(LOOKUP(2,1/SEARCH($S$2:$S$65,G1629),$T$2:$T$65),"Misc")</f>
        <v>OH P/N</v>
      </c>
      <c r="O1629" t="str" cm="1">
        <f t="array" ref="O1629">IFERROR(LOOKUP(2,1/SEARCH($V$2:$V$65,G1629),$W$2:$W$65),"Misc")</f>
        <v>OH Part</v>
      </c>
      <c r="P1629" t="str" cm="1">
        <f t="array" ref="P1629">IFERROR(LOOKUP(2,1/SEARCH($Y$2:$Y$65,G1629),$Z$2:$Z$65),"Not Defined")</f>
        <v>OH Part</v>
      </c>
      <c r="Q1629" t="str" cm="1">
        <f t="array" ref="Q1629">IFERROR(LOOKUP(2,1/SEARCH($S$2:$S$65,H1629),$T$2:$T$65),"-")</f>
        <v>COTS</v>
      </c>
    </row>
    <row r="1630" spans="1:17" hidden="1" x14ac:dyDescent="0.25">
      <c r="A1630" t="s">
        <v>7675</v>
      </c>
      <c r="B1630" s="22" t="s">
        <v>4418</v>
      </c>
      <c r="C1630">
        <v>1</v>
      </c>
      <c r="D1630" t="s">
        <v>7448</v>
      </c>
      <c r="E1630" t="s">
        <v>7922</v>
      </c>
      <c r="F1630" t="s">
        <v>4419</v>
      </c>
      <c r="G1630" t="s">
        <v>4421</v>
      </c>
      <c r="H1630" t="s">
        <v>4420</v>
      </c>
      <c r="J1630" t="s">
        <v>7742</v>
      </c>
      <c r="K1630" t="s">
        <v>7826</v>
      </c>
      <c r="L1630" t="s">
        <v>7826</v>
      </c>
      <c r="N1630" t="str" cm="1">
        <f t="array" ref="N1630">IFERROR(LOOKUP(2,1/SEARCH($S$2:$S$65,G1630),$T$2:$T$65),"Misc")</f>
        <v>OH ASSY</v>
      </c>
      <c r="O1630" t="str" cm="1">
        <f t="array" ref="O1630">IFERROR(LOOKUP(2,1/SEARCH($V$2:$V$65,G1630),$W$2:$W$65),"Misc")</f>
        <v>OH Part</v>
      </c>
      <c r="P1630" t="str" cm="1">
        <f t="array" ref="P1630">IFERROR(LOOKUP(2,1/SEARCH($Y$2:$Y$65,G1630),$Z$2:$Z$65),"Not Defined")</f>
        <v>OH Part</v>
      </c>
      <c r="Q1630" t="str" cm="1">
        <f t="array" ref="Q1630">IFERROR(LOOKUP(2,1/SEARCH($S$2:$S$65,H1630),$T$2:$T$65),"-")</f>
        <v>OH ASSY</v>
      </c>
    </row>
    <row r="1631" spans="1:17" hidden="1" x14ac:dyDescent="0.25">
      <c r="A1631" t="s">
        <v>7675</v>
      </c>
      <c r="B1631" s="22" t="s">
        <v>4422</v>
      </c>
      <c r="C1631">
        <v>1</v>
      </c>
      <c r="D1631" t="s">
        <v>7448</v>
      </c>
      <c r="E1631" t="s">
        <v>7922</v>
      </c>
      <c r="F1631" t="s">
        <v>4400</v>
      </c>
      <c r="G1631" t="s">
        <v>4402</v>
      </c>
      <c r="H1631" t="s">
        <v>4401</v>
      </c>
      <c r="I1631" t="s">
        <v>358</v>
      </c>
      <c r="J1631" t="s">
        <v>7682</v>
      </c>
      <c r="K1631" t="s">
        <v>7826</v>
      </c>
      <c r="L1631" t="s">
        <v>7826</v>
      </c>
      <c r="N1631" t="str" cm="1">
        <f t="array" ref="N1631">IFERROR(LOOKUP(2,1/SEARCH($S$2:$S$65,G1631),$T$2:$T$65),"Misc")</f>
        <v>OH P/N</v>
      </c>
      <c r="O1631" t="str" cm="1">
        <f t="array" ref="O1631">IFERROR(LOOKUP(2,1/SEARCH($V$2:$V$65,G1631),$W$2:$W$65),"Misc")</f>
        <v>OH Part</v>
      </c>
      <c r="P1631" t="str" cm="1">
        <f t="array" ref="P1631">IFERROR(LOOKUP(2,1/SEARCH($Y$2:$Y$65,G1631),$Z$2:$Z$65),"Not Defined")</f>
        <v>OH Part</v>
      </c>
      <c r="Q1631" t="str" cm="1">
        <f t="array" ref="Q1631">IFERROR(LOOKUP(2,1/SEARCH($S$2:$S$65,H1631),$T$2:$T$65),"-")</f>
        <v>COTS</v>
      </c>
    </row>
    <row r="1632" spans="1:17" hidden="1" x14ac:dyDescent="0.25">
      <c r="A1632" t="s">
        <v>7675</v>
      </c>
      <c r="B1632" s="22" t="s">
        <v>4423</v>
      </c>
      <c r="C1632">
        <v>1</v>
      </c>
      <c r="D1632" t="s">
        <v>7448</v>
      </c>
      <c r="E1632" t="s">
        <v>7922</v>
      </c>
      <c r="F1632" t="s">
        <v>4404</v>
      </c>
      <c r="G1632" t="s">
        <v>4406</v>
      </c>
      <c r="H1632" t="s">
        <v>4405</v>
      </c>
      <c r="I1632" t="s">
        <v>358</v>
      </c>
      <c r="J1632" t="s">
        <v>7682</v>
      </c>
      <c r="K1632" t="s">
        <v>7826</v>
      </c>
      <c r="L1632" t="s">
        <v>7826</v>
      </c>
      <c r="N1632" t="str" cm="1">
        <f t="array" ref="N1632">IFERROR(LOOKUP(2,1/SEARCH($S$2:$S$65,G1632),$T$2:$T$65),"Misc")</f>
        <v>OH P/N</v>
      </c>
      <c r="O1632" t="str" cm="1">
        <f t="array" ref="O1632">IFERROR(LOOKUP(2,1/SEARCH($V$2:$V$65,G1632),$W$2:$W$65),"Misc")</f>
        <v>OH Part</v>
      </c>
      <c r="P1632" t="str" cm="1">
        <f t="array" ref="P1632">IFERROR(LOOKUP(2,1/SEARCH($Y$2:$Y$65,G1632),$Z$2:$Z$65),"Not Defined")</f>
        <v>OH Part</v>
      </c>
      <c r="Q1632" t="str" cm="1">
        <f t="array" ref="Q1632">IFERROR(LOOKUP(2,1/SEARCH($S$2:$S$65,H1632),$T$2:$T$65),"-")</f>
        <v>COTS</v>
      </c>
    </row>
    <row r="1633" spans="1:17" hidden="1" x14ac:dyDescent="0.25">
      <c r="A1633" t="s">
        <v>7675</v>
      </c>
      <c r="B1633" s="22" t="s">
        <v>4424</v>
      </c>
      <c r="C1633">
        <v>1</v>
      </c>
      <c r="D1633" t="s">
        <v>7448</v>
      </c>
      <c r="E1633" t="s">
        <v>7922</v>
      </c>
      <c r="F1633" t="s">
        <v>4425</v>
      </c>
      <c r="G1633" t="s">
        <v>7454</v>
      </c>
      <c r="H1633" t="s">
        <v>4426</v>
      </c>
      <c r="I1633" t="s">
        <v>255</v>
      </c>
      <c r="J1633" t="s">
        <v>7703</v>
      </c>
      <c r="K1633" t="s">
        <v>7677</v>
      </c>
      <c r="L1633" t="s">
        <v>7677</v>
      </c>
      <c r="N1633" t="str" cm="1">
        <f t="array" ref="N1633">IFERROR(LOOKUP(2,1/SEARCH($S$2:$S$65,G1633),$T$2:$T$65),"Misc")</f>
        <v>COTS</v>
      </c>
      <c r="O1633" t="str" cm="1">
        <f t="array" ref="O1633">IFERROR(LOOKUP(2,1/SEARCH($V$2:$V$65,G1633),$W$2:$W$65),"Misc")</f>
        <v>SWITCH</v>
      </c>
      <c r="P1633" t="str" cm="1">
        <f t="array" ref="P1633">IFERROR(LOOKUP(2,1/SEARCH($Y$2:$Y$65,G1633),$Z$2:$Z$65),"Not Defined")</f>
        <v>SWITCH</v>
      </c>
      <c r="Q1633" t="str" cm="1">
        <f t="array" ref="Q1633">IFERROR(LOOKUP(2,1/SEARCH($S$2:$S$65,H1633),$T$2:$T$65),"-")</f>
        <v>COTS</v>
      </c>
    </row>
    <row r="1634" spans="1:17" hidden="1" x14ac:dyDescent="0.25">
      <c r="A1634" t="s">
        <v>7675</v>
      </c>
      <c r="B1634" s="22" t="s">
        <v>4427</v>
      </c>
      <c r="C1634">
        <v>1</v>
      </c>
      <c r="D1634" t="s">
        <v>7448</v>
      </c>
      <c r="E1634" t="s">
        <v>7918</v>
      </c>
      <c r="F1634" t="s">
        <v>4428</v>
      </c>
      <c r="G1634" t="s">
        <v>4430</v>
      </c>
      <c r="H1634" t="s">
        <v>4429</v>
      </c>
      <c r="I1634" t="s">
        <v>255</v>
      </c>
      <c r="J1634" t="s">
        <v>7682</v>
      </c>
      <c r="K1634" t="s">
        <v>7826</v>
      </c>
      <c r="L1634" t="s">
        <v>7826</v>
      </c>
      <c r="N1634" t="str" cm="1">
        <f t="array" ref="N1634">IFERROR(LOOKUP(2,1/SEARCH($S$2:$S$65,G1634),$T$2:$T$65),"Misc")</f>
        <v>OH P/N</v>
      </c>
      <c r="O1634" t="str" cm="1">
        <f t="array" ref="O1634">IFERROR(LOOKUP(2,1/SEARCH($V$2:$V$65,G1634),$W$2:$W$65),"Misc")</f>
        <v>OH Part</v>
      </c>
      <c r="P1634" t="str" cm="1">
        <f t="array" ref="P1634">IFERROR(LOOKUP(2,1/SEARCH($Y$2:$Y$65,G1634),$Z$2:$Z$65),"Not Defined")</f>
        <v>OH Part</v>
      </c>
      <c r="Q1634" t="str" cm="1">
        <f t="array" ref="Q1634">IFERROR(LOOKUP(2,1/SEARCH($S$2:$S$65,H1634),$T$2:$T$65),"-")</f>
        <v>-</v>
      </c>
    </row>
    <row r="1635" spans="1:17" hidden="1" x14ac:dyDescent="0.25">
      <c r="A1635" t="s">
        <v>7675</v>
      </c>
      <c r="B1635" s="22" t="s">
        <v>4431</v>
      </c>
      <c r="C1635">
        <v>5</v>
      </c>
      <c r="D1635" t="s">
        <v>7448</v>
      </c>
      <c r="E1635" t="s">
        <v>7918</v>
      </c>
      <c r="F1635" t="s">
        <v>222</v>
      </c>
      <c r="G1635" t="s">
        <v>7053</v>
      </c>
      <c r="H1635" t="s">
        <v>223</v>
      </c>
      <c r="I1635" t="s">
        <v>224</v>
      </c>
      <c r="J1635" t="s">
        <v>7703</v>
      </c>
      <c r="K1635" t="s">
        <v>7684</v>
      </c>
      <c r="L1635" t="s">
        <v>7687</v>
      </c>
      <c r="N1635" t="str" cm="1">
        <f t="array" ref="N1635">IFERROR(LOOKUP(2,1/SEARCH($S$2:$S$65,G1635),$T$2:$T$65),"Misc")</f>
        <v>COTS</v>
      </c>
      <c r="O1635" t="str" cm="1">
        <f t="array" ref="O1635">IFERROR(LOOKUP(2,1/SEARCH($V$2:$V$65,G1635),$W$2:$W$65),"Misc")</f>
        <v>Fasteners</v>
      </c>
      <c r="P1635" t="str" cm="1">
        <f t="array" ref="P1635">IFERROR(LOOKUP(2,1/SEARCH($Y$2:$Y$65,G1635),$Z$2:$Z$65),"Not Defined")</f>
        <v>INSERT</v>
      </c>
      <c r="Q1635" t="str" cm="1">
        <f t="array" ref="Q1635">IFERROR(LOOKUP(2,1/SEARCH($S$2:$S$65,H1635),$T$2:$T$65),"-")</f>
        <v>COTS</v>
      </c>
    </row>
    <row r="1636" spans="1:17" hidden="1" x14ac:dyDescent="0.25">
      <c r="A1636" t="s">
        <v>7675</v>
      </c>
      <c r="B1636" s="22" t="s">
        <v>4432</v>
      </c>
      <c r="C1636">
        <v>3</v>
      </c>
      <c r="D1636" t="s">
        <v>7448</v>
      </c>
      <c r="E1636" t="s">
        <v>7918</v>
      </c>
      <c r="F1636" t="s">
        <v>915</v>
      </c>
      <c r="G1636" t="s">
        <v>7129</v>
      </c>
      <c r="H1636" t="s">
        <v>916</v>
      </c>
      <c r="I1636" t="s">
        <v>228</v>
      </c>
      <c r="J1636" t="s">
        <v>7703</v>
      </c>
      <c r="K1636" t="s">
        <v>7684</v>
      </c>
      <c r="L1636" t="s">
        <v>7693</v>
      </c>
      <c r="N1636" t="str" cm="1">
        <f t="array" ref="N1636">IFERROR(LOOKUP(2,1/SEARCH($S$2:$S$65,G1636),$T$2:$T$65),"Misc")</f>
        <v>COTS</v>
      </c>
      <c r="O1636" t="str" cm="1">
        <f t="array" ref="O1636">IFERROR(LOOKUP(2,1/SEARCH($V$2:$V$65,G1636),$W$2:$W$65),"Misc")</f>
        <v>Fasteners</v>
      </c>
      <c r="P1636" t="str" cm="1">
        <f t="array" ref="P1636">IFERROR(LOOKUP(2,1/SEARCH($Y$2:$Y$65,G1636),$Z$2:$Z$65),"Not Defined")</f>
        <v>PHS</v>
      </c>
      <c r="Q1636" t="str" cm="1">
        <f t="array" ref="Q1636">IFERROR(LOOKUP(2,1/SEARCH($S$2:$S$65,H1636),$T$2:$T$65),"-")</f>
        <v>COTS</v>
      </c>
    </row>
    <row r="1637" spans="1:17" hidden="1" x14ac:dyDescent="0.25">
      <c r="A1637" t="s">
        <v>7675</v>
      </c>
      <c r="B1637" s="22" t="s">
        <v>4433</v>
      </c>
      <c r="C1637">
        <v>3</v>
      </c>
      <c r="D1637" t="s">
        <v>7448</v>
      </c>
      <c r="E1637" t="s">
        <v>7918</v>
      </c>
      <c r="F1637" t="s">
        <v>1921</v>
      </c>
      <c r="G1637" t="s">
        <v>7246</v>
      </c>
      <c r="H1637" t="s">
        <v>1922</v>
      </c>
      <c r="I1637" t="s">
        <v>210</v>
      </c>
      <c r="J1637" t="s">
        <v>7703</v>
      </c>
      <c r="K1637" t="s">
        <v>7684</v>
      </c>
      <c r="L1637" t="s">
        <v>7691</v>
      </c>
      <c r="N1637" t="str" cm="1">
        <f t="array" ref="N1637">IFERROR(LOOKUP(2,1/SEARCH($S$2:$S$65,G1637),$T$2:$T$65),"Misc")</f>
        <v>COTS</v>
      </c>
      <c r="O1637" t="str" cm="1">
        <f t="array" ref="O1637">IFERROR(LOOKUP(2,1/SEARCH($V$2:$V$65,G1637),$W$2:$W$65),"Misc")</f>
        <v>Fasteners</v>
      </c>
      <c r="P1637" t="str" cm="1">
        <f t="array" ref="P1637">IFERROR(LOOKUP(2,1/SEARCH($Y$2:$Y$65,G1637),$Z$2:$Z$65),"Not Defined")</f>
        <v>FHS</v>
      </c>
      <c r="Q1637" t="str" cm="1">
        <f t="array" ref="Q1637">IFERROR(LOOKUP(2,1/SEARCH($S$2:$S$65,H1637),$T$2:$T$65),"-")</f>
        <v>COTS</v>
      </c>
    </row>
    <row r="1638" spans="1:17" hidden="1" x14ac:dyDescent="0.25">
      <c r="A1638" t="s">
        <v>7675</v>
      </c>
      <c r="B1638" s="22" t="s">
        <v>4434</v>
      </c>
      <c r="C1638">
        <v>6</v>
      </c>
      <c r="D1638" t="s">
        <v>7448</v>
      </c>
      <c r="E1638" t="s">
        <v>7918</v>
      </c>
      <c r="F1638" t="s">
        <v>439</v>
      </c>
      <c r="G1638" t="s">
        <v>7086</v>
      </c>
      <c r="H1638" t="s">
        <v>440</v>
      </c>
      <c r="I1638" t="s">
        <v>224</v>
      </c>
      <c r="J1638" t="s">
        <v>7703</v>
      </c>
      <c r="K1638" t="s">
        <v>7684</v>
      </c>
      <c r="L1638" t="s">
        <v>7687</v>
      </c>
      <c r="N1638" t="str" cm="1">
        <f t="array" ref="N1638">IFERROR(LOOKUP(2,1/SEARCH($S$2:$S$65,G1638),$T$2:$T$65),"Misc")</f>
        <v>COTS</v>
      </c>
      <c r="O1638" t="str" cm="1">
        <f t="array" ref="O1638">IFERROR(LOOKUP(2,1/SEARCH($V$2:$V$65,G1638),$W$2:$W$65),"Misc")</f>
        <v>Fasteners</v>
      </c>
      <c r="P1638" t="str" cm="1">
        <f t="array" ref="P1638">IFERROR(LOOKUP(2,1/SEARCH($Y$2:$Y$65,G1638),$Z$2:$Z$65),"Not Defined")</f>
        <v>INSERT</v>
      </c>
      <c r="Q1638" t="str" cm="1">
        <f t="array" ref="Q1638">IFERROR(LOOKUP(2,1/SEARCH($S$2:$S$65,H1638),$T$2:$T$65),"-")</f>
        <v>COTS</v>
      </c>
    </row>
    <row r="1639" spans="1:17" hidden="1" x14ac:dyDescent="0.25">
      <c r="A1639" t="s">
        <v>7675</v>
      </c>
      <c r="B1639" s="22" t="s">
        <v>4435</v>
      </c>
      <c r="C1639">
        <v>3</v>
      </c>
      <c r="D1639" t="s">
        <v>7448</v>
      </c>
      <c r="E1639" t="s">
        <v>7918</v>
      </c>
      <c r="F1639" t="s">
        <v>442</v>
      </c>
      <c r="G1639" t="s">
        <v>7087</v>
      </c>
      <c r="H1639" t="s">
        <v>443</v>
      </c>
      <c r="I1639" t="s">
        <v>228</v>
      </c>
      <c r="J1639" t="s">
        <v>7703</v>
      </c>
      <c r="K1639" t="s">
        <v>7684</v>
      </c>
      <c r="L1639" t="s">
        <v>7692</v>
      </c>
      <c r="N1639" t="str" cm="1">
        <f t="array" ref="N1639">IFERROR(LOOKUP(2,1/SEARCH($S$2:$S$65,G1639),$T$2:$T$65),"Misc")</f>
        <v>COTS</v>
      </c>
      <c r="O1639" t="str" cm="1">
        <f t="array" ref="O1639">IFERROR(LOOKUP(2,1/SEARCH($V$2:$V$65,G1639),$W$2:$W$65),"Misc")</f>
        <v>Fasteners</v>
      </c>
      <c r="P1639" t="str" cm="1">
        <f t="array" ref="P1639">IFERROR(LOOKUP(2,1/SEARCH($Y$2:$Y$65,G1639),$Z$2:$Z$65),"Not Defined")</f>
        <v>WASHER</v>
      </c>
      <c r="Q1639" t="str" cm="1">
        <f t="array" ref="Q1639">IFERROR(LOOKUP(2,1/SEARCH($S$2:$S$65,H1639),$T$2:$T$65),"-")</f>
        <v>COTS</v>
      </c>
    </row>
    <row r="1640" spans="1:17" hidden="1" x14ac:dyDescent="0.25">
      <c r="A1640" t="s">
        <v>7675</v>
      </c>
      <c r="B1640" s="22" t="s">
        <v>4436</v>
      </c>
      <c r="C1640">
        <v>3</v>
      </c>
      <c r="D1640" t="s">
        <v>7448</v>
      </c>
      <c r="E1640" t="s">
        <v>7918</v>
      </c>
      <c r="F1640" t="s">
        <v>4437</v>
      </c>
      <c r="G1640" t="s">
        <v>7455</v>
      </c>
      <c r="H1640" t="s">
        <v>4438</v>
      </c>
      <c r="I1640" t="s">
        <v>210</v>
      </c>
      <c r="J1640" t="s">
        <v>7703</v>
      </c>
      <c r="K1640" t="s">
        <v>7684</v>
      </c>
      <c r="L1640" t="s">
        <v>7693</v>
      </c>
      <c r="N1640" t="str" cm="1">
        <f t="array" ref="N1640">IFERROR(LOOKUP(2,1/SEARCH($S$2:$S$65,G1640),$T$2:$T$65),"Misc")</f>
        <v>COTS</v>
      </c>
      <c r="O1640" t="str" cm="1">
        <f t="array" ref="O1640">IFERROR(LOOKUP(2,1/SEARCH($V$2:$V$65,G1640),$W$2:$W$65),"Misc")</f>
        <v>Fasteners</v>
      </c>
      <c r="P1640" t="str" cm="1">
        <f t="array" ref="P1640">IFERROR(LOOKUP(2,1/SEARCH($Y$2:$Y$65,G1640),$Z$2:$Z$65),"Not Defined")</f>
        <v>PHS</v>
      </c>
      <c r="Q1640" t="str" cm="1">
        <f t="array" ref="Q1640">IFERROR(LOOKUP(2,1/SEARCH($S$2:$S$65,H1640),$T$2:$T$65),"-")</f>
        <v>COTS</v>
      </c>
    </row>
    <row r="1641" spans="1:17" hidden="1" x14ac:dyDescent="0.25">
      <c r="A1641" t="s">
        <v>7675</v>
      </c>
      <c r="B1641" s="22" t="s">
        <v>4439</v>
      </c>
      <c r="C1641">
        <v>1</v>
      </c>
      <c r="D1641" t="s">
        <v>7448</v>
      </c>
      <c r="E1641" t="s">
        <v>7918</v>
      </c>
      <c r="F1641" t="s">
        <v>4440</v>
      </c>
      <c r="G1641" t="s">
        <v>7456</v>
      </c>
      <c r="H1641" t="s">
        <v>4441</v>
      </c>
      <c r="I1641" t="s">
        <v>255</v>
      </c>
      <c r="J1641" t="s">
        <v>7703</v>
      </c>
      <c r="K1641" t="s">
        <v>7677</v>
      </c>
      <c r="L1641" t="s">
        <v>7677</v>
      </c>
      <c r="N1641" t="str" cm="1">
        <f t="array" ref="N1641">IFERROR(LOOKUP(2,1/SEARCH($S$2:$S$65,G1641),$T$2:$T$65),"Misc")</f>
        <v>COTS</v>
      </c>
      <c r="O1641" t="str" cm="1">
        <f t="array" ref="O1641">IFERROR(LOOKUP(2,1/SEARCH($V$2:$V$65,G1641),$W$2:$W$65),"Misc")</f>
        <v>SWITCH</v>
      </c>
      <c r="P1641" t="str" cm="1">
        <f t="array" ref="P1641">IFERROR(LOOKUP(2,1/SEARCH($Y$2:$Y$65,G1641),$Z$2:$Z$65),"Not Defined")</f>
        <v>SWITCH</v>
      </c>
      <c r="Q1641" t="str" cm="1">
        <f t="array" ref="Q1641">IFERROR(LOOKUP(2,1/SEARCH($S$2:$S$65,H1641),$T$2:$T$65),"-")</f>
        <v>COTS</v>
      </c>
    </row>
    <row r="1642" spans="1:17" hidden="1" x14ac:dyDescent="0.25">
      <c r="A1642" t="s">
        <v>7675</v>
      </c>
      <c r="B1642" s="22" t="s">
        <v>4442</v>
      </c>
      <c r="C1642">
        <v>2</v>
      </c>
      <c r="D1642" t="s">
        <v>7448</v>
      </c>
      <c r="E1642" t="s">
        <v>7918</v>
      </c>
      <c r="F1642" t="s">
        <v>460</v>
      </c>
      <c r="G1642" t="s">
        <v>7090</v>
      </c>
      <c r="H1642" t="s">
        <v>461</v>
      </c>
      <c r="I1642" t="s">
        <v>224</v>
      </c>
      <c r="J1642" t="s">
        <v>7703</v>
      </c>
      <c r="K1642" t="s">
        <v>7684</v>
      </c>
      <c r="L1642" t="s">
        <v>7693</v>
      </c>
      <c r="N1642" t="str" cm="1">
        <f t="array" ref="N1642">IFERROR(LOOKUP(2,1/SEARCH($S$2:$S$65,G1642),$T$2:$T$65),"Misc")</f>
        <v>COTS</v>
      </c>
      <c r="O1642" t="str" cm="1">
        <f t="array" ref="O1642">IFERROR(LOOKUP(2,1/SEARCH($V$2:$V$65,G1642),$W$2:$W$65),"Misc")</f>
        <v>Fasteners</v>
      </c>
      <c r="P1642" t="str" cm="1">
        <f t="array" ref="P1642">IFERROR(LOOKUP(2,1/SEARCH($Y$2:$Y$65,G1642),$Z$2:$Z$65),"Not Defined")</f>
        <v>PHS</v>
      </c>
      <c r="Q1642" t="str" cm="1">
        <f t="array" ref="Q1642">IFERROR(LOOKUP(2,1/SEARCH($S$2:$S$65,H1642),$T$2:$T$65),"-")</f>
        <v>COTS</v>
      </c>
    </row>
    <row r="1643" spans="1:17" hidden="1" x14ac:dyDescent="0.25">
      <c r="A1643" t="s">
        <v>7675</v>
      </c>
      <c r="B1643" s="22" t="s">
        <v>4443</v>
      </c>
      <c r="C1643">
        <v>2</v>
      </c>
      <c r="D1643" t="s">
        <v>7448</v>
      </c>
      <c r="E1643" t="s">
        <v>7918</v>
      </c>
      <c r="F1643" t="s">
        <v>268</v>
      </c>
      <c r="G1643" t="s">
        <v>7061</v>
      </c>
      <c r="H1643" t="s">
        <v>269</v>
      </c>
      <c r="I1643" t="s">
        <v>224</v>
      </c>
      <c r="J1643" t="s">
        <v>7703</v>
      </c>
      <c r="K1643" t="s">
        <v>7684</v>
      </c>
      <c r="L1643" t="s">
        <v>7687</v>
      </c>
      <c r="N1643" t="str" cm="1">
        <f t="array" ref="N1643">IFERROR(LOOKUP(2,1/SEARCH($S$2:$S$65,G1643),$T$2:$T$65),"Misc")</f>
        <v>COTS</v>
      </c>
      <c r="O1643" t="str" cm="1">
        <f t="array" ref="O1643">IFERROR(LOOKUP(2,1/SEARCH($V$2:$V$65,G1643),$W$2:$W$65),"Misc")</f>
        <v>Fasteners</v>
      </c>
      <c r="P1643" t="str" cm="1">
        <f t="array" ref="P1643">IFERROR(LOOKUP(2,1/SEARCH($Y$2:$Y$65,G1643),$Z$2:$Z$65),"Not Defined")</f>
        <v>INSERT</v>
      </c>
      <c r="Q1643" t="str" cm="1">
        <f t="array" ref="Q1643">IFERROR(LOOKUP(2,1/SEARCH($S$2:$S$65,H1643),$T$2:$T$65),"-")</f>
        <v>COTS</v>
      </c>
    </row>
    <row r="1644" spans="1:17" hidden="1" x14ac:dyDescent="0.25">
      <c r="A1644" t="s">
        <v>7675</v>
      </c>
      <c r="B1644" s="22" t="s">
        <v>4444</v>
      </c>
      <c r="C1644">
        <v>3</v>
      </c>
      <c r="D1644" t="s">
        <v>7448</v>
      </c>
      <c r="E1644" t="s">
        <v>7918</v>
      </c>
      <c r="F1644" t="s">
        <v>4445</v>
      </c>
      <c r="G1644" t="s">
        <v>7457</v>
      </c>
      <c r="H1644" t="s">
        <v>4446</v>
      </c>
      <c r="I1644" t="s">
        <v>210</v>
      </c>
      <c r="J1644" t="s">
        <v>7703</v>
      </c>
      <c r="K1644" t="s">
        <v>7698</v>
      </c>
      <c r="L1644" t="s">
        <v>7707</v>
      </c>
      <c r="N1644" t="str" cm="1">
        <f t="array" ref="N1644">IFERROR(LOOKUP(2,1/SEARCH($S$2:$S$65,G1644),$T$2:$T$65),"Misc")</f>
        <v>COTS</v>
      </c>
      <c r="O1644" t="str" cm="1">
        <f t="array" ref="O1644">IFERROR(LOOKUP(2,1/SEARCH($V$2:$V$65,G1644),$W$2:$W$65),"Misc")</f>
        <v>Pins</v>
      </c>
      <c r="P1644" t="str" cm="1">
        <f t="array" ref="P1644">IFERROR(LOOKUP(2,1/SEARCH($Y$2:$Y$65,G1644),$Z$2:$Z$65),"Not Defined")</f>
        <v>PIN</v>
      </c>
      <c r="Q1644" t="str" cm="1">
        <f t="array" ref="Q1644">IFERROR(LOOKUP(2,1/SEARCH($S$2:$S$65,H1644),$T$2:$T$65),"-")</f>
        <v>COTS</v>
      </c>
    </row>
    <row r="1645" spans="1:17" hidden="1" x14ac:dyDescent="0.25">
      <c r="A1645" t="s">
        <v>7675</v>
      </c>
      <c r="B1645" s="22" t="s">
        <v>4447</v>
      </c>
      <c r="C1645">
        <v>1</v>
      </c>
      <c r="D1645" t="s">
        <v>7448</v>
      </c>
      <c r="E1645" t="s">
        <v>4331</v>
      </c>
      <c r="F1645" t="s">
        <v>4448</v>
      </c>
      <c r="G1645" t="s">
        <v>4450</v>
      </c>
      <c r="H1645" t="s">
        <v>4449</v>
      </c>
      <c r="I1645" t="s">
        <v>13</v>
      </c>
      <c r="J1645" t="s">
        <v>7682</v>
      </c>
      <c r="K1645" t="s">
        <v>7826</v>
      </c>
      <c r="L1645" t="s">
        <v>7826</v>
      </c>
      <c r="N1645" t="str" cm="1">
        <f t="array" ref="N1645">IFERROR(LOOKUP(2,1/SEARCH($S$2:$S$65,G1645),$T$2:$T$65),"Misc")</f>
        <v>OH P/N</v>
      </c>
      <c r="O1645" t="str" cm="1">
        <f t="array" ref="O1645">IFERROR(LOOKUP(2,1/SEARCH($V$2:$V$65,G1645),$W$2:$W$65),"Misc")</f>
        <v>OH Part</v>
      </c>
      <c r="P1645" t="str" cm="1">
        <f t="array" ref="P1645">IFERROR(LOOKUP(2,1/SEARCH($Y$2:$Y$65,G1645),$Z$2:$Z$65),"Not Defined")</f>
        <v>OH Part</v>
      </c>
      <c r="Q1645" t="str" cm="1">
        <f t="array" ref="Q1645">IFERROR(LOOKUP(2,1/SEARCH($S$2:$S$65,H1645),$T$2:$T$65),"-")</f>
        <v>-</v>
      </c>
    </row>
    <row r="1646" spans="1:17" hidden="1" x14ac:dyDescent="0.25">
      <c r="A1646" t="s">
        <v>7675</v>
      </c>
      <c r="B1646" s="22" t="s">
        <v>4451</v>
      </c>
      <c r="C1646">
        <v>1</v>
      </c>
      <c r="D1646" t="s">
        <v>7448</v>
      </c>
      <c r="E1646" t="s">
        <v>4331</v>
      </c>
      <c r="F1646" t="s">
        <v>4452</v>
      </c>
      <c r="G1646" t="s">
        <v>4454</v>
      </c>
      <c r="H1646" t="s">
        <v>4453</v>
      </c>
      <c r="I1646" t="s">
        <v>299</v>
      </c>
      <c r="J1646" t="s">
        <v>7682</v>
      </c>
      <c r="K1646" t="s">
        <v>7826</v>
      </c>
      <c r="L1646" t="s">
        <v>7826</v>
      </c>
      <c r="N1646" t="str" cm="1">
        <f t="array" ref="N1646">IFERROR(LOOKUP(2,1/SEARCH($S$2:$S$65,G1646),$T$2:$T$65),"Misc")</f>
        <v>OH P/N</v>
      </c>
      <c r="O1646" t="str" cm="1">
        <f t="array" ref="O1646">IFERROR(LOOKUP(2,1/SEARCH($V$2:$V$65,G1646),$W$2:$W$65),"Misc")</f>
        <v>OH Part</v>
      </c>
      <c r="P1646" t="str" cm="1">
        <f t="array" ref="P1646">IFERROR(LOOKUP(2,1/SEARCH($Y$2:$Y$65,G1646),$Z$2:$Z$65),"Not Defined")</f>
        <v>OH Part</v>
      </c>
      <c r="Q1646" t="str" cm="1">
        <f t="array" ref="Q1646">IFERROR(LOOKUP(2,1/SEARCH($S$2:$S$65,H1646),$T$2:$T$65),"-")</f>
        <v>-</v>
      </c>
    </row>
    <row r="1647" spans="1:17" hidden="1" x14ac:dyDescent="0.25">
      <c r="A1647" t="s">
        <v>7675</v>
      </c>
      <c r="B1647" s="22" t="s">
        <v>4455</v>
      </c>
      <c r="C1647">
        <v>1</v>
      </c>
      <c r="D1647" t="s">
        <v>7448</v>
      </c>
      <c r="E1647" t="s">
        <v>4331</v>
      </c>
      <c r="F1647" t="s">
        <v>4456</v>
      </c>
      <c r="G1647" t="s">
        <v>4458</v>
      </c>
      <c r="H1647" t="s">
        <v>4457</v>
      </c>
      <c r="I1647" t="s">
        <v>13</v>
      </c>
      <c r="J1647" t="s">
        <v>7682</v>
      </c>
      <c r="K1647" t="s">
        <v>7826</v>
      </c>
      <c r="L1647" t="s">
        <v>7826</v>
      </c>
      <c r="N1647" t="str" cm="1">
        <f t="array" ref="N1647">IFERROR(LOOKUP(2,1/SEARCH($S$2:$S$65,G1647),$T$2:$T$65),"Misc")</f>
        <v>OH P/N</v>
      </c>
      <c r="O1647" t="str" cm="1">
        <f t="array" ref="O1647">IFERROR(LOOKUP(2,1/SEARCH($V$2:$V$65,G1647),$W$2:$W$65),"Misc")</f>
        <v>OH Part</v>
      </c>
      <c r="P1647" t="str" cm="1">
        <f t="array" ref="P1647">IFERROR(LOOKUP(2,1/SEARCH($Y$2:$Y$65,G1647),$Z$2:$Z$65),"Not Defined")</f>
        <v>OH Part</v>
      </c>
      <c r="Q1647" t="str" cm="1">
        <f t="array" ref="Q1647">IFERROR(LOOKUP(2,1/SEARCH($S$2:$S$65,H1647),$T$2:$T$65),"-")</f>
        <v>COTS</v>
      </c>
    </row>
    <row r="1648" spans="1:17" hidden="1" x14ac:dyDescent="0.25">
      <c r="A1648" t="s">
        <v>7675</v>
      </c>
      <c r="B1648" s="22" t="s">
        <v>4459</v>
      </c>
      <c r="C1648">
        <v>1</v>
      </c>
      <c r="D1648" t="s">
        <v>7448</v>
      </c>
      <c r="E1648" t="s">
        <v>4331</v>
      </c>
      <c r="F1648" t="s">
        <v>4460</v>
      </c>
      <c r="G1648" t="s">
        <v>4462</v>
      </c>
      <c r="H1648" t="s">
        <v>4461</v>
      </c>
      <c r="I1648" t="s">
        <v>13</v>
      </c>
      <c r="J1648" t="s">
        <v>7682</v>
      </c>
      <c r="K1648" t="s">
        <v>7826</v>
      </c>
      <c r="L1648" t="s">
        <v>7826</v>
      </c>
      <c r="N1648" t="str" cm="1">
        <f t="array" ref="N1648">IFERROR(LOOKUP(2,1/SEARCH($S$2:$S$65,G1648),$T$2:$T$65),"Misc")</f>
        <v>OH P/N</v>
      </c>
      <c r="O1648" t="str" cm="1">
        <f t="array" ref="O1648">IFERROR(LOOKUP(2,1/SEARCH($V$2:$V$65,G1648),$W$2:$W$65),"Misc")</f>
        <v>OH Part</v>
      </c>
      <c r="P1648" t="str" cm="1">
        <f t="array" ref="P1648">IFERROR(LOOKUP(2,1/SEARCH($Y$2:$Y$65,G1648),$Z$2:$Z$65),"Not Defined")</f>
        <v>OH Part</v>
      </c>
      <c r="Q1648" t="str" cm="1">
        <f t="array" ref="Q1648">IFERROR(LOOKUP(2,1/SEARCH($S$2:$S$65,H1648),$T$2:$T$65),"-")</f>
        <v>-</v>
      </c>
    </row>
    <row r="1649" spans="1:17" hidden="1" x14ac:dyDescent="0.25">
      <c r="A1649" t="s">
        <v>7675</v>
      </c>
      <c r="B1649" s="22" t="s">
        <v>4463</v>
      </c>
      <c r="C1649">
        <v>1</v>
      </c>
      <c r="D1649" t="s">
        <v>7448</v>
      </c>
      <c r="E1649" t="s">
        <v>4331</v>
      </c>
      <c r="F1649" t="s">
        <v>4464</v>
      </c>
      <c r="G1649" t="s">
        <v>4466</v>
      </c>
      <c r="H1649" t="s">
        <v>4465</v>
      </c>
      <c r="I1649" t="s">
        <v>299</v>
      </c>
      <c r="J1649" t="s">
        <v>7682</v>
      </c>
      <c r="K1649" t="s">
        <v>7826</v>
      </c>
      <c r="L1649" t="s">
        <v>7826</v>
      </c>
      <c r="N1649" t="str" cm="1">
        <f t="array" ref="N1649">IFERROR(LOOKUP(2,1/SEARCH($S$2:$S$65,G1649),$T$2:$T$65),"Misc")</f>
        <v>OH P/N</v>
      </c>
      <c r="O1649" t="str" cm="1">
        <f t="array" ref="O1649">IFERROR(LOOKUP(2,1/SEARCH($V$2:$V$65,G1649),$W$2:$W$65),"Misc")</f>
        <v>OH Part</v>
      </c>
      <c r="P1649" t="str" cm="1">
        <f t="array" ref="P1649">IFERROR(LOOKUP(2,1/SEARCH($Y$2:$Y$65,G1649),$Z$2:$Z$65),"Not Defined")</f>
        <v>OH Part</v>
      </c>
      <c r="Q1649" t="str" cm="1">
        <f t="array" ref="Q1649">IFERROR(LOOKUP(2,1/SEARCH($S$2:$S$65,H1649),$T$2:$T$65),"-")</f>
        <v>-</v>
      </c>
    </row>
    <row r="1650" spans="1:17" hidden="1" x14ac:dyDescent="0.25">
      <c r="A1650" t="s">
        <v>7675</v>
      </c>
      <c r="B1650" s="22" t="s">
        <v>4467</v>
      </c>
      <c r="C1650">
        <v>10</v>
      </c>
      <c r="D1650" t="s">
        <v>7448</v>
      </c>
      <c r="E1650" t="s">
        <v>4331</v>
      </c>
      <c r="F1650" t="s">
        <v>4468</v>
      </c>
      <c r="G1650" t="s">
        <v>7458</v>
      </c>
      <c r="H1650" t="s">
        <v>4469</v>
      </c>
      <c r="I1650" t="s">
        <v>228</v>
      </c>
      <c r="J1650" t="s">
        <v>7703</v>
      </c>
      <c r="K1650" t="s">
        <v>7684</v>
      </c>
      <c r="L1650" t="s">
        <v>7691</v>
      </c>
      <c r="N1650" t="str" cm="1">
        <f t="array" ref="N1650">IFERROR(LOOKUP(2,1/SEARCH($S$2:$S$65,G1650),$T$2:$T$65),"Misc")</f>
        <v>COTS</v>
      </c>
      <c r="O1650" t="str" cm="1">
        <f t="array" ref="O1650">IFERROR(LOOKUP(2,1/SEARCH($V$2:$V$65,G1650),$W$2:$W$65),"Misc")</f>
        <v>Fasteners</v>
      </c>
      <c r="P1650" t="str" cm="1">
        <f t="array" ref="P1650">IFERROR(LOOKUP(2,1/SEARCH($Y$2:$Y$65,G1650),$Z$2:$Z$65),"Not Defined")</f>
        <v>FHS</v>
      </c>
      <c r="Q1650" t="str" cm="1">
        <f t="array" ref="Q1650">IFERROR(LOOKUP(2,1/SEARCH($S$2:$S$65,H1650),$T$2:$T$65),"-")</f>
        <v>COTS</v>
      </c>
    </row>
    <row r="1651" spans="1:17" hidden="1" x14ac:dyDescent="0.25">
      <c r="A1651" t="s">
        <v>7675</v>
      </c>
      <c r="B1651" s="22" t="s">
        <v>4470</v>
      </c>
      <c r="C1651">
        <v>2</v>
      </c>
      <c r="D1651" t="s">
        <v>7448</v>
      </c>
      <c r="E1651" t="s">
        <v>4331</v>
      </c>
      <c r="F1651" t="s">
        <v>219</v>
      </c>
      <c r="G1651" t="s">
        <v>7052</v>
      </c>
      <c r="H1651" t="s">
        <v>220</v>
      </c>
      <c r="I1651" t="s">
        <v>210</v>
      </c>
      <c r="J1651" t="s">
        <v>7703</v>
      </c>
      <c r="K1651" t="s">
        <v>7684</v>
      </c>
      <c r="L1651" t="s">
        <v>7691</v>
      </c>
      <c r="N1651" t="str" cm="1">
        <f t="array" ref="N1651">IFERROR(LOOKUP(2,1/SEARCH($S$2:$S$65,G1651),$T$2:$T$65),"Misc")</f>
        <v>COTS</v>
      </c>
      <c r="O1651" t="str" cm="1">
        <f t="array" ref="O1651">IFERROR(LOOKUP(2,1/SEARCH($V$2:$V$65,G1651),$W$2:$W$65),"Misc")</f>
        <v>Fasteners</v>
      </c>
      <c r="P1651" t="str" cm="1">
        <f t="array" ref="P1651">IFERROR(LOOKUP(2,1/SEARCH($Y$2:$Y$65,G1651),$Z$2:$Z$65),"Not Defined")</f>
        <v>FHS</v>
      </c>
      <c r="Q1651" t="str" cm="1">
        <f t="array" ref="Q1651">IFERROR(LOOKUP(2,1/SEARCH($S$2:$S$65,H1651),$T$2:$T$65),"-")</f>
        <v>COTS</v>
      </c>
    </row>
    <row r="1652" spans="1:17" hidden="1" x14ac:dyDescent="0.25">
      <c r="A1652" t="s">
        <v>7675</v>
      </c>
      <c r="B1652" s="22" t="s">
        <v>4471</v>
      </c>
      <c r="C1652">
        <v>10</v>
      </c>
      <c r="D1652" t="s">
        <v>7448</v>
      </c>
      <c r="E1652" t="s">
        <v>4331</v>
      </c>
      <c r="F1652" t="s">
        <v>265</v>
      </c>
      <c r="G1652" t="s">
        <v>7099</v>
      </c>
      <c r="H1652" t="s">
        <v>266</v>
      </c>
      <c r="I1652" t="s">
        <v>224</v>
      </c>
      <c r="J1652" t="s">
        <v>7703</v>
      </c>
      <c r="K1652" t="s">
        <v>7684</v>
      </c>
      <c r="L1652" t="s">
        <v>7687</v>
      </c>
      <c r="N1652" t="str" cm="1">
        <f t="array" ref="N1652">IFERROR(LOOKUP(2,1/SEARCH($S$2:$S$65,G1652),$T$2:$T$65),"Misc")</f>
        <v>COTS</v>
      </c>
      <c r="O1652" t="str" cm="1">
        <f t="array" ref="O1652">IFERROR(LOOKUP(2,1/SEARCH($V$2:$V$65,G1652),$W$2:$W$65),"Misc")</f>
        <v>Fasteners</v>
      </c>
      <c r="P1652" t="str" cm="1">
        <f t="array" ref="P1652">IFERROR(LOOKUP(2,1/SEARCH($Y$2:$Y$65,G1652),$Z$2:$Z$65),"Not Defined")</f>
        <v>INSERT</v>
      </c>
      <c r="Q1652" t="str" cm="1">
        <f t="array" ref="Q1652">IFERROR(LOOKUP(2,1/SEARCH($S$2:$S$65,H1652),$T$2:$T$65),"-")</f>
        <v>COTS</v>
      </c>
    </row>
    <row r="1653" spans="1:17" hidden="1" x14ac:dyDescent="0.25">
      <c r="A1653" t="s">
        <v>7675</v>
      </c>
      <c r="B1653" s="22" t="s">
        <v>4472</v>
      </c>
      <c r="C1653">
        <v>1</v>
      </c>
      <c r="D1653" t="s">
        <v>7448</v>
      </c>
      <c r="E1653" t="s">
        <v>4331</v>
      </c>
      <c r="F1653" t="s">
        <v>4473</v>
      </c>
      <c r="G1653" t="s">
        <v>7459</v>
      </c>
      <c r="H1653" t="s">
        <v>4474</v>
      </c>
      <c r="J1653" t="s">
        <v>7703</v>
      </c>
      <c r="K1653" t="s">
        <v>7719</v>
      </c>
      <c r="L1653" t="s">
        <v>7718</v>
      </c>
      <c r="N1653" t="str" cm="1">
        <f t="array" ref="N1653">IFERROR(LOOKUP(2,1/SEARCH($S$2:$S$65,G1653),$T$2:$T$65),"Misc")</f>
        <v>COTS</v>
      </c>
      <c r="O1653" t="str" cm="1">
        <f t="array" ref="O1653">IFERROR(LOOKUP(2,1/SEARCH($V$2:$V$65,G1653),$W$2:$W$65),"Misc")</f>
        <v>Misc</v>
      </c>
      <c r="P1653" t="str" cm="1">
        <f t="array" ref="P1653">IFERROR(LOOKUP(2,1/SEARCH($Y$2:$Y$65,G1653),$Z$2:$Z$65),"Not Defined")</f>
        <v>LED</v>
      </c>
      <c r="Q1653" t="str" cm="1">
        <f t="array" ref="Q1653">IFERROR(LOOKUP(2,1/SEARCH($S$2:$S$65,H1653),$T$2:$T$65),"-")</f>
        <v>COTS</v>
      </c>
    </row>
    <row r="1654" spans="1:17" hidden="1" x14ac:dyDescent="0.25">
      <c r="A1654" t="s">
        <v>7675</v>
      </c>
      <c r="B1654" s="22" t="s">
        <v>4475</v>
      </c>
      <c r="C1654">
        <v>1</v>
      </c>
      <c r="D1654" t="s">
        <v>7448</v>
      </c>
      <c r="E1654" t="s">
        <v>4331</v>
      </c>
      <c r="F1654" t="s">
        <v>2204</v>
      </c>
      <c r="G1654" t="s">
        <v>7261</v>
      </c>
      <c r="H1654" t="s">
        <v>2205</v>
      </c>
      <c r="I1654" t="s">
        <v>228</v>
      </c>
      <c r="J1654" t="s">
        <v>7703</v>
      </c>
      <c r="K1654" t="s">
        <v>7684</v>
      </c>
      <c r="L1654" t="s">
        <v>7692</v>
      </c>
      <c r="N1654" t="str" cm="1">
        <f t="array" ref="N1654">IFERROR(LOOKUP(2,1/SEARCH($S$2:$S$65,G1654),$T$2:$T$65),"Misc")</f>
        <v>COTS</v>
      </c>
      <c r="O1654" t="str" cm="1">
        <f t="array" ref="O1654">IFERROR(LOOKUP(2,1/SEARCH($V$2:$V$65,G1654),$W$2:$W$65),"Misc")</f>
        <v>Fasteners</v>
      </c>
      <c r="P1654" t="str" cm="1">
        <f t="array" ref="P1654">IFERROR(LOOKUP(2,1/SEARCH($Y$2:$Y$65,G1654),$Z$2:$Z$65),"Not Defined")</f>
        <v>WASHER</v>
      </c>
      <c r="Q1654" t="str" cm="1">
        <f t="array" ref="Q1654">IFERROR(LOOKUP(2,1/SEARCH($S$2:$S$65,H1654),$T$2:$T$65),"-")</f>
        <v>COTS</v>
      </c>
    </row>
    <row r="1655" spans="1:17" hidden="1" x14ac:dyDescent="0.25">
      <c r="A1655" t="s">
        <v>7675</v>
      </c>
      <c r="B1655" s="22" t="s">
        <v>4476</v>
      </c>
      <c r="C1655">
        <v>1</v>
      </c>
      <c r="D1655" t="s">
        <v>7448</v>
      </c>
      <c r="E1655" t="s">
        <v>4331</v>
      </c>
      <c r="F1655" t="s">
        <v>445</v>
      </c>
      <c r="G1655" t="s">
        <v>7088</v>
      </c>
      <c r="H1655" t="s">
        <v>446</v>
      </c>
      <c r="I1655" t="s">
        <v>228</v>
      </c>
      <c r="J1655" t="s">
        <v>7703</v>
      </c>
      <c r="K1655" t="s">
        <v>7684</v>
      </c>
      <c r="L1655" t="s">
        <v>7693</v>
      </c>
      <c r="N1655" t="str" cm="1">
        <f t="array" ref="N1655">IFERROR(LOOKUP(2,1/SEARCH($S$2:$S$65,G1655),$T$2:$T$65),"Misc")</f>
        <v>COTS</v>
      </c>
      <c r="O1655" t="str" cm="1">
        <f t="array" ref="O1655">IFERROR(LOOKUP(2,1/SEARCH($V$2:$V$65,G1655),$W$2:$W$65),"Misc")</f>
        <v>Fasteners</v>
      </c>
      <c r="P1655" t="str" cm="1">
        <f t="array" ref="P1655">IFERROR(LOOKUP(2,1/SEARCH($Y$2:$Y$65,G1655),$Z$2:$Z$65),"Not Defined")</f>
        <v>PHS</v>
      </c>
      <c r="Q1655" t="str" cm="1">
        <f t="array" ref="Q1655">IFERROR(LOOKUP(2,1/SEARCH($S$2:$S$65,H1655),$T$2:$T$65),"-")</f>
        <v>COTS</v>
      </c>
    </row>
    <row r="1656" spans="1:17" hidden="1" x14ac:dyDescent="0.25">
      <c r="A1656" t="s">
        <v>7675</v>
      </c>
      <c r="B1656" s="22" t="s">
        <v>4477</v>
      </c>
      <c r="C1656">
        <v>1</v>
      </c>
      <c r="D1656" t="s">
        <v>7448</v>
      </c>
      <c r="E1656" t="s">
        <v>4331</v>
      </c>
      <c r="F1656" t="s">
        <v>932</v>
      </c>
      <c r="G1656" t="s">
        <v>7133</v>
      </c>
      <c r="H1656" t="s">
        <v>933</v>
      </c>
      <c r="I1656" t="s">
        <v>210</v>
      </c>
      <c r="J1656" t="s">
        <v>7703</v>
      </c>
      <c r="K1656" t="s">
        <v>7684</v>
      </c>
      <c r="L1656" t="s">
        <v>7685</v>
      </c>
      <c r="N1656" t="str" cm="1">
        <f t="array" ref="N1656">IFERROR(LOOKUP(2,1/SEARCH($S$2:$S$65,G1656),$T$2:$T$65),"Misc")</f>
        <v>COTS</v>
      </c>
      <c r="O1656" t="str" cm="1">
        <f t="array" ref="O1656">IFERROR(LOOKUP(2,1/SEARCH($V$2:$V$65,G1656),$W$2:$W$65),"Misc")</f>
        <v>Fasteners</v>
      </c>
      <c r="P1656" t="str" cm="1">
        <f t="array" ref="P1656">IFERROR(LOOKUP(2,1/SEARCH($Y$2:$Y$65,G1656),$Z$2:$Z$65),"Not Defined")</f>
        <v>NUT</v>
      </c>
      <c r="Q1656" t="str" cm="1">
        <f t="array" ref="Q1656">IFERROR(LOOKUP(2,1/SEARCH($S$2:$S$65,H1656),$T$2:$T$65),"-")</f>
        <v>COTS</v>
      </c>
    </row>
    <row r="1657" spans="1:17" hidden="1" x14ac:dyDescent="0.25">
      <c r="A1657" t="s">
        <v>7675</v>
      </c>
      <c r="B1657" s="22" t="s">
        <v>4478</v>
      </c>
      <c r="C1657">
        <v>1</v>
      </c>
      <c r="D1657" t="s">
        <v>7448</v>
      </c>
      <c r="E1657" t="s">
        <v>4331</v>
      </c>
      <c r="F1657" t="s">
        <v>4479</v>
      </c>
      <c r="G1657" t="s">
        <v>7460</v>
      </c>
      <c r="H1657" t="s">
        <v>4480</v>
      </c>
      <c r="I1657" t="s">
        <v>228</v>
      </c>
      <c r="J1657" t="s">
        <v>7703</v>
      </c>
      <c r="K1657" t="s">
        <v>7684</v>
      </c>
      <c r="L1657" t="s">
        <v>7693</v>
      </c>
      <c r="N1657" t="str" cm="1">
        <f t="array" ref="N1657">IFERROR(LOOKUP(2,1/SEARCH($S$2:$S$65,G1657),$T$2:$T$65),"Misc")</f>
        <v>COTS</v>
      </c>
      <c r="O1657" t="str" cm="1">
        <f t="array" ref="O1657">IFERROR(LOOKUP(2,1/SEARCH($V$2:$V$65,G1657),$W$2:$W$65),"Misc")</f>
        <v>Fasteners</v>
      </c>
      <c r="P1657" t="str" cm="1">
        <f t="array" ref="P1657">IFERROR(LOOKUP(2,1/SEARCH($Y$2:$Y$65,G1657),$Z$2:$Z$65),"Not Defined")</f>
        <v>PHS</v>
      </c>
      <c r="Q1657" t="str" cm="1">
        <f t="array" ref="Q1657">IFERROR(LOOKUP(2,1/SEARCH($S$2:$S$65,H1657),$T$2:$T$65),"-")</f>
        <v>COTS</v>
      </c>
    </row>
    <row r="1658" spans="1:17" hidden="1" x14ac:dyDescent="0.25">
      <c r="A1658" t="s">
        <v>7675</v>
      </c>
      <c r="B1658" s="22" t="s">
        <v>4481</v>
      </c>
      <c r="C1658">
        <v>1</v>
      </c>
      <c r="D1658" t="s">
        <v>7448</v>
      </c>
      <c r="E1658" t="s">
        <v>4331</v>
      </c>
      <c r="F1658" t="s">
        <v>4482</v>
      </c>
      <c r="G1658" t="s">
        <v>7461</v>
      </c>
      <c r="H1658" t="s">
        <v>4483</v>
      </c>
      <c r="I1658" t="s">
        <v>929</v>
      </c>
      <c r="J1658" t="s">
        <v>7703</v>
      </c>
      <c r="K1658" t="s">
        <v>7684</v>
      </c>
      <c r="L1658" t="s">
        <v>7696</v>
      </c>
      <c r="N1658" t="str" cm="1">
        <f t="array" ref="N1658">IFERROR(LOOKUP(2,1/SEARCH($S$2:$S$65,G1658),$T$2:$T$65),"Misc")</f>
        <v>COTS</v>
      </c>
      <c r="O1658" t="str" cm="1">
        <f t="array" ref="O1658">IFERROR(LOOKUP(2,1/SEARCH($V$2:$V$65,G1658),$W$2:$W$65),"Misc")</f>
        <v>Fasteners</v>
      </c>
      <c r="P1658" t="str" cm="1">
        <f t="array" ref="P1658">IFERROR(LOOKUP(2,1/SEARCH($Y$2:$Y$65,G1658),$Z$2:$Z$65),"Not Defined")</f>
        <v>SPACER</v>
      </c>
      <c r="Q1658" t="str" cm="1">
        <f t="array" ref="Q1658">IFERROR(LOOKUP(2,1/SEARCH($S$2:$S$65,H1658),$T$2:$T$65),"-")</f>
        <v>COTS</v>
      </c>
    </row>
    <row r="1659" spans="1:17" hidden="1" x14ac:dyDescent="0.25">
      <c r="A1659" t="s">
        <v>7675</v>
      </c>
      <c r="B1659" s="22" t="s">
        <v>4484</v>
      </c>
      <c r="C1659">
        <v>1</v>
      </c>
      <c r="D1659" t="s">
        <v>7448</v>
      </c>
      <c r="E1659" t="s">
        <v>4331</v>
      </c>
      <c r="F1659" t="s">
        <v>439</v>
      </c>
      <c r="G1659" t="s">
        <v>7086</v>
      </c>
      <c r="H1659" t="s">
        <v>440</v>
      </c>
      <c r="I1659" t="s">
        <v>224</v>
      </c>
      <c r="J1659" t="s">
        <v>7703</v>
      </c>
      <c r="K1659" t="s">
        <v>7684</v>
      </c>
      <c r="L1659" t="s">
        <v>7687</v>
      </c>
      <c r="N1659" t="str" cm="1">
        <f t="array" ref="N1659">IFERROR(LOOKUP(2,1/SEARCH($S$2:$S$65,G1659),$T$2:$T$65),"Misc")</f>
        <v>COTS</v>
      </c>
      <c r="O1659" t="str" cm="1">
        <f t="array" ref="O1659">IFERROR(LOOKUP(2,1/SEARCH($V$2:$V$65,G1659),$W$2:$W$65),"Misc")</f>
        <v>Fasteners</v>
      </c>
      <c r="P1659" t="str" cm="1">
        <f t="array" ref="P1659">IFERROR(LOOKUP(2,1/SEARCH($Y$2:$Y$65,G1659),$Z$2:$Z$65),"Not Defined")</f>
        <v>INSERT</v>
      </c>
      <c r="Q1659" t="str" cm="1">
        <f t="array" ref="Q1659">IFERROR(LOOKUP(2,1/SEARCH($S$2:$S$65,H1659),$T$2:$T$65),"-")</f>
        <v>COTS</v>
      </c>
    </row>
    <row r="1660" spans="1:17" hidden="1" x14ac:dyDescent="0.25">
      <c r="A1660" t="s">
        <v>7675</v>
      </c>
      <c r="B1660" s="22" t="s">
        <v>4485</v>
      </c>
      <c r="C1660">
        <v>1</v>
      </c>
      <c r="D1660" t="s">
        <v>7448</v>
      </c>
      <c r="E1660" t="s">
        <v>4331</v>
      </c>
      <c r="F1660" t="s">
        <v>4486</v>
      </c>
      <c r="G1660" t="s">
        <v>7462</v>
      </c>
      <c r="H1660" t="s">
        <v>4487</v>
      </c>
      <c r="I1660" t="s">
        <v>929</v>
      </c>
      <c r="J1660" t="s">
        <v>7703</v>
      </c>
      <c r="K1660" t="s">
        <v>7684</v>
      </c>
      <c r="L1660" t="s">
        <v>7696</v>
      </c>
      <c r="N1660" t="str" cm="1">
        <f t="array" ref="N1660">IFERROR(LOOKUP(2,1/SEARCH($S$2:$S$65,G1660),$T$2:$T$65),"Misc")</f>
        <v>COTS</v>
      </c>
      <c r="O1660" t="str" cm="1">
        <f t="array" ref="O1660">IFERROR(LOOKUP(2,1/SEARCH($V$2:$V$65,G1660),$W$2:$W$65),"Misc")</f>
        <v>Fasteners</v>
      </c>
      <c r="P1660" t="str" cm="1">
        <f t="array" ref="P1660">IFERROR(LOOKUP(2,1/SEARCH($Y$2:$Y$65,G1660),$Z$2:$Z$65),"Not Defined")</f>
        <v>SPACER</v>
      </c>
      <c r="Q1660" t="str" cm="1">
        <f t="array" ref="Q1660">IFERROR(LOOKUP(2,1/SEARCH($S$2:$S$65,H1660),$T$2:$T$65),"-")</f>
        <v>COTS</v>
      </c>
    </row>
    <row r="1661" spans="1:17" hidden="1" x14ac:dyDescent="0.25">
      <c r="A1661" t="s">
        <v>7675</v>
      </c>
      <c r="B1661" s="22" t="s">
        <v>4488</v>
      </c>
      <c r="C1661">
        <v>1</v>
      </c>
      <c r="D1661" t="s">
        <v>7448</v>
      </c>
      <c r="E1661" t="s">
        <v>4331</v>
      </c>
      <c r="F1661" t="s">
        <v>2279</v>
      </c>
      <c r="G1661" t="s">
        <v>7269</v>
      </c>
      <c r="H1661" t="s">
        <v>2280</v>
      </c>
      <c r="I1661" t="s">
        <v>210</v>
      </c>
      <c r="J1661" t="s">
        <v>7703</v>
      </c>
      <c r="K1661" t="s">
        <v>7684</v>
      </c>
      <c r="L1661" t="s">
        <v>7700</v>
      </c>
      <c r="N1661" t="str" cm="1">
        <f t="array" ref="N1661">IFERROR(LOOKUP(2,1/SEARCH($S$2:$S$65,G1661),$T$2:$T$65),"Misc")</f>
        <v>COTS</v>
      </c>
      <c r="O1661" t="str" cm="1">
        <f t="array" ref="O1661">IFERROR(LOOKUP(2,1/SEARCH($V$2:$V$65,G1661),$W$2:$W$65),"Misc")</f>
        <v>Fasteners</v>
      </c>
      <c r="P1661" t="str" cm="1">
        <f t="array" ref="P1661">IFERROR(LOOKUP(2,1/SEARCH($Y$2:$Y$65,G1661),$Z$2:$Z$65),"Not Defined")</f>
        <v>SHCS</v>
      </c>
      <c r="Q1661" t="str" cm="1">
        <f t="array" ref="Q1661">IFERROR(LOOKUP(2,1/SEARCH($S$2:$S$65,H1661),$T$2:$T$65),"-")</f>
        <v>COTS</v>
      </c>
    </row>
    <row r="1662" spans="1:17" hidden="1" x14ac:dyDescent="0.25">
      <c r="A1662" t="s">
        <v>7675</v>
      </c>
      <c r="B1662" s="22" t="s">
        <v>4489</v>
      </c>
      <c r="C1662">
        <v>1</v>
      </c>
      <c r="D1662" t="s">
        <v>7448</v>
      </c>
      <c r="E1662" t="s">
        <v>4331</v>
      </c>
      <c r="F1662" t="s">
        <v>1626</v>
      </c>
      <c r="G1662" t="s">
        <v>7232</v>
      </c>
      <c r="H1662" t="s">
        <v>1627</v>
      </c>
      <c r="I1662" t="s">
        <v>224</v>
      </c>
      <c r="J1662" t="s">
        <v>7703</v>
      </c>
      <c r="K1662" t="s">
        <v>7684</v>
      </c>
      <c r="L1662" t="s">
        <v>7687</v>
      </c>
      <c r="N1662" t="str" cm="1">
        <f t="array" ref="N1662">IFERROR(LOOKUP(2,1/SEARCH($S$2:$S$65,G1662),$T$2:$T$65),"Misc")</f>
        <v>COTS</v>
      </c>
      <c r="O1662" t="str" cm="1">
        <f t="array" ref="O1662">IFERROR(LOOKUP(2,1/SEARCH($V$2:$V$65,G1662),$W$2:$W$65),"Misc")</f>
        <v>Fasteners</v>
      </c>
      <c r="P1662" t="str" cm="1">
        <f t="array" ref="P1662">IFERROR(LOOKUP(2,1/SEARCH($Y$2:$Y$65,G1662),$Z$2:$Z$65),"Not Defined")</f>
        <v>INSERT</v>
      </c>
      <c r="Q1662" t="str" cm="1">
        <f t="array" ref="Q1662">IFERROR(LOOKUP(2,1/SEARCH($S$2:$S$65,H1662),$T$2:$T$65),"-")</f>
        <v>COTS</v>
      </c>
    </row>
    <row r="1663" spans="1:17" hidden="1" x14ac:dyDescent="0.25">
      <c r="A1663" t="s">
        <v>7675</v>
      </c>
      <c r="B1663" s="22" t="s">
        <v>4490</v>
      </c>
      <c r="C1663">
        <v>1</v>
      </c>
      <c r="D1663" t="s">
        <v>7448</v>
      </c>
      <c r="E1663" t="s">
        <v>4331</v>
      </c>
      <c r="F1663" t="s">
        <v>4491</v>
      </c>
      <c r="G1663" t="s">
        <v>7463</v>
      </c>
      <c r="H1663" t="s">
        <v>4492</v>
      </c>
      <c r="I1663" t="s">
        <v>210</v>
      </c>
      <c r="J1663" t="s">
        <v>7703</v>
      </c>
      <c r="K1663" t="s">
        <v>7719</v>
      </c>
      <c r="L1663" t="s">
        <v>7688</v>
      </c>
      <c r="N1663" t="str" cm="1">
        <f t="array" ref="N1663">IFERROR(LOOKUP(2,1/SEARCH($S$2:$S$65,G1663),$T$2:$T$65),"Misc")</f>
        <v>COTS</v>
      </c>
      <c r="O1663" t="str" cm="1">
        <f t="array" ref="O1663">IFERROR(LOOKUP(2,1/SEARCH($V$2:$V$65,G1663),$W$2:$W$65),"Misc")</f>
        <v>Misc</v>
      </c>
      <c r="P1663" t="str" cm="1">
        <f t="array" ref="P1663">IFERROR(LOOKUP(2,1/SEARCH($Y$2:$Y$65,G1663),$Z$2:$Z$65),"Not Defined")</f>
        <v>SPRING</v>
      </c>
      <c r="Q1663" t="str" cm="1">
        <f t="array" ref="Q1663">IFERROR(LOOKUP(2,1/SEARCH($S$2:$S$65,H1663),$T$2:$T$65),"-")</f>
        <v>COTS</v>
      </c>
    </row>
    <row r="1664" spans="1:17" hidden="1" x14ac:dyDescent="0.25">
      <c r="A1664" t="s">
        <v>7675</v>
      </c>
      <c r="B1664" s="23" t="s">
        <v>4493</v>
      </c>
      <c r="C1664">
        <v>1</v>
      </c>
      <c r="D1664" t="s">
        <v>7448</v>
      </c>
      <c r="E1664" t="s">
        <v>4495</v>
      </c>
      <c r="F1664" t="s">
        <v>4494</v>
      </c>
      <c r="G1664" t="s">
        <v>4496</v>
      </c>
      <c r="H1664" t="s">
        <v>4495</v>
      </c>
      <c r="J1664" t="s">
        <v>7742</v>
      </c>
      <c r="K1664" t="s">
        <v>7826</v>
      </c>
      <c r="L1664" t="s">
        <v>7826</v>
      </c>
      <c r="N1664" t="str" cm="1">
        <f t="array" ref="N1664">IFERROR(LOOKUP(2,1/SEARCH($S$2:$S$65,G1664),$T$2:$T$65),"Misc")</f>
        <v>OH ASSY</v>
      </c>
      <c r="O1664" t="str" cm="1">
        <f t="array" ref="O1664">IFERROR(LOOKUP(2,1/SEARCH($V$2:$V$65,G1664),$W$2:$W$65),"Misc")</f>
        <v>OH Part</v>
      </c>
      <c r="P1664" t="str" cm="1">
        <f t="array" ref="P1664">IFERROR(LOOKUP(2,1/SEARCH($Y$2:$Y$65,G1664),$Z$2:$Z$65),"Not Defined")</f>
        <v>OH Part</v>
      </c>
      <c r="Q1664" t="str" cm="1">
        <f t="array" ref="Q1664">IFERROR(LOOKUP(2,1/SEARCH($S$2:$S$65,H1664),$T$2:$T$65),"-")</f>
        <v>OH ASSY</v>
      </c>
    </row>
    <row r="1665" spans="1:17" hidden="1" x14ac:dyDescent="0.25">
      <c r="A1665" t="s">
        <v>7675</v>
      </c>
      <c r="B1665" s="23" t="s">
        <v>4497</v>
      </c>
      <c r="C1665">
        <v>1</v>
      </c>
      <c r="D1665" t="s">
        <v>7448</v>
      </c>
      <c r="E1665" t="s">
        <v>4495</v>
      </c>
      <c r="F1665" t="s">
        <v>4498</v>
      </c>
      <c r="G1665" t="s">
        <v>4500</v>
      </c>
      <c r="H1665" t="s">
        <v>4499</v>
      </c>
      <c r="I1665" t="s">
        <v>299</v>
      </c>
      <c r="J1665" t="s">
        <v>7682</v>
      </c>
      <c r="K1665" t="s">
        <v>7826</v>
      </c>
      <c r="L1665" t="s">
        <v>7826</v>
      </c>
      <c r="N1665" t="str" cm="1">
        <f t="array" ref="N1665">IFERROR(LOOKUP(2,1/SEARCH($S$2:$S$65,G1665),$T$2:$T$65),"Misc")</f>
        <v>OH P/N</v>
      </c>
      <c r="O1665" t="str" cm="1">
        <f t="array" ref="O1665">IFERROR(LOOKUP(2,1/SEARCH($V$2:$V$65,G1665),$W$2:$W$65),"Misc")</f>
        <v>OH Part</v>
      </c>
      <c r="P1665" t="str" cm="1">
        <f t="array" ref="P1665">IFERROR(LOOKUP(2,1/SEARCH($Y$2:$Y$65,G1665),$Z$2:$Z$65),"Not Defined")</f>
        <v>OH Part</v>
      </c>
      <c r="Q1665" t="str" cm="1">
        <f t="array" ref="Q1665">IFERROR(LOOKUP(2,1/SEARCH($S$2:$S$65,H1665),$T$2:$T$65),"-")</f>
        <v>-</v>
      </c>
    </row>
    <row r="1666" spans="1:17" hidden="1" x14ac:dyDescent="0.25">
      <c r="A1666" t="s">
        <v>7675</v>
      </c>
      <c r="B1666" s="23" t="s">
        <v>4501</v>
      </c>
      <c r="C1666">
        <v>1</v>
      </c>
      <c r="D1666" t="s">
        <v>7448</v>
      </c>
      <c r="E1666" t="s">
        <v>4495</v>
      </c>
      <c r="F1666" t="s">
        <v>4502</v>
      </c>
      <c r="G1666" t="s">
        <v>4504</v>
      </c>
      <c r="H1666" t="s">
        <v>4503</v>
      </c>
      <c r="I1666" t="s">
        <v>13</v>
      </c>
      <c r="J1666" t="s">
        <v>7682</v>
      </c>
      <c r="K1666" t="s">
        <v>7826</v>
      </c>
      <c r="L1666" t="s">
        <v>7826</v>
      </c>
      <c r="N1666" t="str" cm="1">
        <f t="array" ref="N1666">IFERROR(LOOKUP(2,1/SEARCH($S$2:$S$65,G1666),$T$2:$T$65),"Misc")</f>
        <v>OH P/N</v>
      </c>
      <c r="O1666" t="str" cm="1">
        <f t="array" ref="O1666">IFERROR(LOOKUP(2,1/SEARCH($V$2:$V$65,G1666),$W$2:$W$65),"Misc")</f>
        <v>OH Part</v>
      </c>
      <c r="P1666" t="str" cm="1">
        <f t="array" ref="P1666">IFERROR(LOOKUP(2,1/SEARCH($Y$2:$Y$65,G1666),$Z$2:$Z$65),"Not Defined")</f>
        <v>OH Part</v>
      </c>
      <c r="Q1666" t="str" cm="1">
        <f t="array" ref="Q1666">IFERROR(LOOKUP(2,1/SEARCH($S$2:$S$65,H1666),$T$2:$T$65),"-")</f>
        <v>COTS</v>
      </c>
    </row>
    <row r="1667" spans="1:17" hidden="1" x14ac:dyDescent="0.25">
      <c r="A1667" t="s">
        <v>7675</v>
      </c>
      <c r="B1667" s="23" t="s">
        <v>4505</v>
      </c>
      <c r="C1667">
        <v>1</v>
      </c>
      <c r="D1667" t="s">
        <v>7448</v>
      </c>
      <c r="E1667" t="s">
        <v>4495</v>
      </c>
      <c r="F1667" t="s">
        <v>4506</v>
      </c>
      <c r="G1667" t="s">
        <v>4508</v>
      </c>
      <c r="H1667" t="s">
        <v>4507</v>
      </c>
      <c r="I1667" t="s">
        <v>299</v>
      </c>
      <c r="J1667" t="s">
        <v>7682</v>
      </c>
      <c r="K1667" t="s">
        <v>7826</v>
      </c>
      <c r="L1667" t="s">
        <v>7826</v>
      </c>
      <c r="N1667" t="str" cm="1">
        <f t="array" ref="N1667">IFERROR(LOOKUP(2,1/SEARCH($S$2:$S$65,G1667),$T$2:$T$65),"Misc")</f>
        <v>OH P/N</v>
      </c>
      <c r="O1667" t="str" cm="1">
        <f t="array" ref="O1667">IFERROR(LOOKUP(2,1/SEARCH($V$2:$V$65,G1667),$W$2:$W$65),"Misc")</f>
        <v>OH Part</v>
      </c>
      <c r="P1667" t="str" cm="1">
        <f t="array" ref="P1667">IFERROR(LOOKUP(2,1/SEARCH($Y$2:$Y$65,G1667),$Z$2:$Z$65),"Not Defined")</f>
        <v>OH Part</v>
      </c>
      <c r="Q1667" t="str" cm="1">
        <f t="array" ref="Q1667">IFERROR(LOOKUP(2,1/SEARCH($S$2:$S$65,H1667),$T$2:$T$65),"-")</f>
        <v>-</v>
      </c>
    </row>
    <row r="1668" spans="1:17" hidden="1" x14ac:dyDescent="0.25">
      <c r="A1668" t="s">
        <v>7675</v>
      </c>
      <c r="B1668" s="23" t="s">
        <v>4509</v>
      </c>
      <c r="C1668">
        <v>1</v>
      </c>
      <c r="D1668" t="s">
        <v>7448</v>
      </c>
      <c r="E1668" t="s">
        <v>4495</v>
      </c>
      <c r="F1668" t="s">
        <v>4510</v>
      </c>
      <c r="G1668" t="s">
        <v>4512</v>
      </c>
      <c r="H1668" t="s">
        <v>4511</v>
      </c>
      <c r="I1668" t="s">
        <v>13</v>
      </c>
      <c r="J1668" t="s">
        <v>7682</v>
      </c>
      <c r="K1668" t="s">
        <v>7826</v>
      </c>
      <c r="L1668" t="s">
        <v>7826</v>
      </c>
      <c r="N1668" t="str" cm="1">
        <f t="array" ref="N1668">IFERROR(LOOKUP(2,1/SEARCH($S$2:$S$65,G1668),$T$2:$T$65),"Misc")</f>
        <v>OH P/N</v>
      </c>
      <c r="O1668" t="str" cm="1">
        <f t="array" ref="O1668">IFERROR(LOOKUP(2,1/SEARCH($V$2:$V$65,G1668),$W$2:$W$65),"Misc")</f>
        <v>OH Part</v>
      </c>
      <c r="P1668" t="str" cm="1">
        <f t="array" ref="P1668">IFERROR(LOOKUP(2,1/SEARCH($Y$2:$Y$65,G1668),$Z$2:$Z$65),"Not Defined")</f>
        <v>OH Part</v>
      </c>
      <c r="Q1668" t="str" cm="1">
        <f t="array" ref="Q1668">IFERROR(LOOKUP(2,1/SEARCH($S$2:$S$65,H1668),$T$2:$T$65),"-")</f>
        <v>-</v>
      </c>
    </row>
    <row r="1669" spans="1:17" hidden="1" x14ac:dyDescent="0.25">
      <c r="A1669" t="s">
        <v>7675</v>
      </c>
      <c r="B1669" s="23" t="s">
        <v>4513</v>
      </c>
      <c r="C1669">
        <v>1</v>
      </c>
      <c r="D1669" t="s">
        <v>7448</v>
      </c>
      <c r="E1669" t="s">
        <v>7923</v>
      </c>
      <c r="F1669" t="s">
        <v>4514</v>
      </c>
      <c r="G1669" t="s">
        <v>4516</v>
      </c>
      <c r="H1669" t="s">
        <v>4515</v>
      </c>
      <c r="J1669" t="s">
        <v>7742</v>
      </c>
      <c r="K1669" t="s">
        <v>7826</v>
      </c>
      <c r="L1669" t="s">
        <v>7826</v>
      </c>
      <c r="N1669" t="str" cm="1">
        <f t="array" ref="N1669">IFERROR(LOOKUP(2,1/SEARCH($S$2:$S$65,G1669),$T$2:$T$65),"Misc")</f>
        <v>OH ASSY</v>
      </c>
      <c r="O1669" t="str" cm="1">
        <f t="array" ref="O1669">IFERROR(LOOKUP(2,1/SEARCH($V$2:$V$65,G1669),$W$2:$W$65),"Misc")</f>
        <v>OH Part</v>
      </c>
      <c r="P1669" t="str" cm="1">
        <f t="array" ref="P1669">IFERROR(LOOKUP(2,1/SEARCH($Y$2:$Y$65,G1669),$Z$2:$Z$65),"Not Defined")</f>
        <v>OH Part</v>
      </c>
      <c r="Q1669" t="str" cm="1">
        <f t="array" ref="Q1669">IFERROR(LOOKUP(2,1/SEARCH($S$2:$S$65,H1669),$T$2:$T$65),"-")</f>
        <v>OH ASSY</v>
      </c>
    </row>
    <row r="1670" spans="1:17" hidden="1" x14ac:dyDescent="0.25">
      <c r="A1670" t="s">
        <v>7675</v>
      </c>
      <c r="B1670" s="23" t="s">
        <v>4517</v>
      </c>
      <c r="C1670">
        <v>1</v>
      </c>
      <c r="D1670" t="s">
        <v>7448</v>
      </c>
      <c r="E1670" t="s">
        <v>7923</v>
      </c>
      <c r="F1670" t="s">
        <v>4518</v>
      </c>
      <c r="G1670" t="s">
        <v>4520</v>
      </c>
      <c r="H1670" t="s">
        <v>4519</v>
      </c>
      <c r="I1670" t="s">
        <v>358</v>
      </c>
      <c r="J1670" t="s">
        <v>7682</v>
      </c>
      <c r="K1670" t="s">
        <v>7826</v>
      </c>
      <c r="L1670" t="s">
        <v>7826</v>
      </c>
      <c r="N1670" t="str" cm="1">
        <f t="array" ref="N1670">IFERROR(LOOKUP(2,1/SEARCH($S$2:$S$65,G1670),$T$2:$T$65),"Misc")</f>
        <v>OH P/N</v>
      </c>
      <c r="O1670" t="str" cm="1">
        <f t="array" ref="O1670">IFERROR(LOOKUP(2,1/SEARCH($V$2:$V$65,G1670),$W$2:$W$65),"Misc")</f>
        <v>OH Part</v>
      </c>
      <c r="P1670" t="str" cm="1">
        <f t="array" ref="P1670">IFERROR(LOOKUP(2,1/SEARCH($Y$2:$Y$65,G1670),$Z$2:$Z$65),"Not Defined")</f>
        <v>OH Part</v>
      </c>
      <c r="Q1670" t="str" cm="1">
        <f t="array" ref="Q1670">IFERROR(LOOKUP(2,1/SEARCH($S$2:$S$65,H1670),$T$2:$T$65),"-")</f>
        <v>-</v>
      </c>
    </row>
    <row r="1671" spans="1:17" hidden="1" x14ac:dyDescent="0.25">
      <c r="A1671" t="s">
        <v>7675</v>
      </c>
      <c r="B1671" s="23" t="s">
        <v>4521</v>
      </c>
      <c r="C1671">
        <v>1</v>
      </c>
      <c r="D1671" t="s">
        <v>7448</v>
      </c>
      <c r="E1671" t="s">
        <v>7923</v>
      </c>
      <c r="F1671" t="s">
        <v>4522</v>
      </c>
      <c r="G1671" t="s">
        <v>4524</v>
      </c>
      <c r="H1671" t="s">
        <v>4523</v>
      </c>
      <c r="I1671" t="s">
        <v>358</v>
      </c>
      <c r="J1671" t="s">
        <v>7682</v>
      </c>
      <c r="K1671" t="s">
        <v>7826</v>
      </c>
      <c r="L1671" t="s">
        <v>7826</v>
      </c>
      <c r="N1671" t="str" cm="1">
        <f t="array" ref="N1671">IFERROR(LOOKUP(2,1/SEARCH($S$2:$S$65,G1671),$T$2:$T$65),"Misc")</f>
        <v>OH P/N</v>
      </c>
      <c r="O1671" t="str" cm="1">
        <f t="array" ref="O1671">IFERROR(LOOKUP(2,1/SEARCH($V$2:$V$65,G1671),$W$2:$W$65),"Misc")</f>
        <v>OH Part</v>
      </c>
      <c r="P1671" t="str" cm="1">
        <f t="array" ref="P1671">IFERROR(LOOKUP(2,1/SEARCH($Y$2:$Y$65,G1671),$Z$2:$Z$65),"Not Defined")</f>
        <v>OH Part</v>
      </c>
      <c r="Q1671" t="str" cm="1">
        <f t="array" ref="Q1671">IFERROR(LOOKUP(2,1/SEARCH($S$2:$S$65,H1671),$T$2:$T$65),"-")</f>
        <v>-</v>
      </c>
    </row>
    <row r="1672" spans="1:17" hidden="1" x14ac:dyDescent="0.25">
      <c r="A1672" t="s">
        <v>7675</v>
      </c>
      <c r="B1672" s="23" t="s">
        <v>4525</v>
      </c>
      <c r="C1672">
        <v>2</v>
      </c>
      <c r="D1672" t="s">
        <v>7448</v>
      </c>
      <c r="E1672" t="s">
        <v>7923</v>
      </c>
      <c r="F1672" t="s">
        <v>4440</v>
      </c>
      <c r="G1672" t="s">
        <v>7456</v>
      </c>
      <c r="H1672" t="s">
        <v>4441</v>
      </c>
      <c r="I1672" t="s">
        <v>255</v>
      </c>
      <c r="J1672" t="s">
        <v>7703</v>
      </c>
      <c r="K1672" t="s">
        <v>7677</v>
      </c>
      <c r="L1672" t="s">
        <v>7677</v>
      </c>
      <c r="N1672" t="str" cm="1">
        <f t="array" ref="N1672">IFERROR(LOOKUP(2,1/SEARCH($S$2:$S$65,G1672),$T$2:$T$65),"Misc")</f>
        <v>COTS</v>
      </c>
      <c r="O1672" t="str" cm="1">
        <f t="array" ref="O1672">IFERROR(LOOKUP(2,1/SEARCH($V$2:$V$65,G1672),$W$2:$W$65),"Misc")</f>
        <v>SWITCH</v>
      </c>
      <c r="P1672" t="str" cm="1">
        <f t="array" ref="P1672">IFERROR(LOOKUP(2,1/SEARCH($Y$2:$Y$65,G1672),$Z$2:$Z$65),"Not Defined")</f>
        <v>SWITCH</v>
      </c>
      <c r="Q1672" t="str" cm="1">
        <f t="array" ref="Q1672">IFERROR(LOOKUP(2,1/SEARCH($S$2:$S$65,H1672),$T$2:$T$65),"-")</f>
        <v>COTS</v>
      </c>
    </row>
    <row r="1673" spans="1:17" hidden="1" x14ac:dyDescent="0.25">
      <c r="A1673" t="s">
        <v>7675</v>
      </c>
      <c r="B1673" s="23" t="s">
        <v>4526</v>
      </c>
      <c r="C1673">
        <v>1</v>
      </c>
      <c r="D1673" t="s">
        <v>7448</v>
      </c>
      <c r="E1673" t="s">
        <v>7923</v>
      </c>
      <c r="F1673" t="s">
        <v>4437</v>
      </c>
      <c r="G1673" t="s">
        <v>7455</v>
      </c>
      <c r="H1673" t="s">
        <v>4438</v>
      </c>
      <c r="I1673" t="s">
        <v>210</v>
      </c>
      <c r="J1673" t="s">
        <v>7703</v>
      </c>
      <c r="K1673" t="s">
        <v>7684</v>
      </c>
      <c r="L1673" t="s">
        <v>7693</v>
      </c>
      <c r="N1673" t="str" cm="1">
        <f t="array" ref="N1673">IFERROR(LOOKUP(2,1/SEARCH($S$2:$S$65,G1673),$T$2:$T$65),"Misc")</f>
        <v>COTS</v>
      </c>
      <c r="O1673" t="str" cm="1">
        <f t="array" ref="O1673">IFERROR(LOOKUP(2,1/SEARCH($V$2:$V$65,G1673),$W$2:$W$65),"Misc")</f>
        <v>Fasteners</v>
      </c>
      <c r="P1673" t="str" cm="1">
        <f t="array" ref="P1673">IFERROR(LOOKUP(2,1/SEARCH($Y$2:$Y$65,G1673),$Z$2:$Z$65),"Not Defined")</f>
        <v>PHS</v>
      </c>
      <c r="Q1673" t="str" cm="1">
        <f t="array" ref="Q1673">IFERROR(LOOKUP(2,1/SEARCH($S$2:$S$65,H1673),$T$2:$T$65),"-")</f>
        <v>COTS</v>
      </c>
    </row>
    <row r="1674" spans="1:17" hidden="1" x14ac:dyDescent="0.25">
      <c r="A1674" t="s">
        <v>7675</v>
      </c>
      <c r="B1674" s="23" t="s">
        <v>4527</v>
      </c>
      <c r="C1674">
        <v>1</v>
      </c>
      <c r="D1674" t="s">
        <v>7448</v>
      </c>
      <c r="E1674" t="s">
        <v>7923</v>
      </c>
      <c r="F1674" t="s">
        <v>2204</v>
      </c>
      <c r="G1674" t="s">
        <v>7261</v>
      </c>
      <c r="H1674" t="s">
        <v>2205</v>
      </c>
      <c r="I1674" t="s">
        <v>228</v>
      </c>
      <c r="J1674" t="s">
        <v>7703</v>
      </c>
      <c r="K1674" t="s">
        <v>7684</v>
      </c>
      <c r="L1674" t="s">
        <v>7692</v>
      </c>
      <c r="N1674" t="str" cm="1">
        <f t="array" ref="N1674">IFERROR(LOOKUP(2,1/SEARCH($S$2:$S$65,G1674),$T$2:$T$65),"Misc")</f>
        <v>COTS</v>
      </c>
      <c r="O1674" t="str" cm="1">
        <f t="array" ref="O1674">IFERROR(LOOKUP(2,1/SEARCH($V$2:$V$65,G1674),$W$2:$W$65),"Misc")</f>
        <v>Fasteners</v>
      </c>
      <c r="P1674" t="str" cm="1">
        <f t="array" ref="P1674">IFERROR(LOOKUP(2,1/SEARCH($Y$2:$Y$65,G1674),$Z$2:$Z$65),"Not Defined")</f>
        <v>WASHER</v>
      </c>
      <c r="Q1674" t="str" cm="1">
        <f t="array" ref="Q1674">IFERROR(LOOKUP(2,1/SEARCH($S$2:$S$65,H1674),$T$2:$T$65),"-")</f>
        <v>COTS</v>
      </c>
    </row>
    <row r="1675" spans="1:17" hidden="1" x14ac:dyDescent="0.25">
      <c r="A1675" t="s">
        <v>7675</v>
      </c>
      <c r="B1675" s="23" t="s">
        <v>4528</v>
      </c>
      <c r="C1675">
        <v>1</v>
      </c>
      <c r="D1675" t="s">
        <v>7448</v>
      </c>
      <c r="E1675" t="s">
        <v>7923</v>
      </c>
      <c r="F1675" t="s">
        <v>439</v>
      </c>
      <c r="G1675" t="s">
        <v>7086</v>
      </c>
      <c r="H1675" t="s">
        <v>440</v>
      </c>
      <c r="I1675" t="s">
        <v>224</v>
      </c>
      <c r="J1675" t="s">
        <v>7703</v>
      </c>
      <c r="K1675" t="s">
        <v>7684</v>
      </c>
      <c r="L1675" t="s">
        <v>7687</v>
      </c>
      <c r="N1675" t="str" cm="1">
        <f t="array" ref="N1675">IFERROR(LOOKUP(2,1/SEARCH($S$2:$S$65,G1675),$T$2:$T$65),"Misc")</f>
        <v>COTS</v>
      </c>
      <c r="O1675" t="str" cm="1">
        <f t="array" ref="O1675">IFERROR(LOOKUP(2,1/SEARCH($V$2:$V$65,G1675),$W$2:$W$65),"Misc")</f>
        <v>Fasteners</v>
      </c>
      <c r="P1675" t="str" cm="1">
        <f t="array" ref="P1675">IFERROR(LOOKUP(2,1/SEARCH($Y$2:$Y$65,G1675),$Z$2:$Z$65),"Not Defined")</f>
        <v>INSERT</v>
      </c>
      <c r="Q1675" t="str" cm="1">
        <f t="array" ref="Q1675">IFERROR(LOOKUP(2,1/SEARCH($S$2:$S$65,H1675),$T$2:$T$65),"-")</f>
        <v>COTS</v>
      </c>
    </row>
    <row r="1676" spans="1:17" hidden="1" x14ac:dyDescent="0.25">
      <c r="A1676" t="s">
        <v>7675</v>
      </c>
      <c r="B1676" s="23" t="s">
        <v>4529</v>
      </c>
      <c r="C1676">
        <v>3</v>
      </c>
      <c r="D1676" t="s">
        <v>7448</v>
      </c>
      <c r="E1676" t="s">
        <v>7923</v>
      </c>
      <c r="F1676" t="s">
        <v>915</v>
      </c>
      <c r="G1676" t="s">
        <v>7129</v>
      </c>
      <c r="H1676" t="s">
        <v>916</v>
      </c>
      <c r="I1676" t="s">
        <v>228</v>
      </c>
      <c r="J1676" t="s">
        <v>7703</v>
      </c>
      <c r="K1676" t="s">
        <v>7684</v>
      </c>
      <c r="L1676" t="s">
        <v>7693</v>
      </c>
      <c r="N1676" t="str" cm="1">
        <f t="array" ref="N1676">IFERROR(LOOKUP(2,1/SEARCH($S$2:$S$65,G1676),$T$2:$T$65),"Misc")</f>
        <v>COTS</v>
      </c>
      <c r="O1676" t="str" cm="1">
        <f t="array" ref="O1676">IFERROR(LOOKUP(2,1/SEARCH($V$2:$V$65,G1676),$W$2:$W$65),"Misc")</f>
        <v>Fasteners</v>
      </c>
      <c r="P1676" t="str" cm="1">
        <f t="array" ref="P1676">IFERROR(LOOKUP(2,1/SEARCH($Y$2:$Y$65,G1676),$Z$2:$Z$65),"Not Defined")</f>
        <v>PHS</v>
      </c>
      <c r="Q1676" t="str" cm="1">
        <f t="array" ref="Q1676">IFERROR(LOOKUP(2,1/SEARCH($S$2:$S$65,H1676),$T$2:$T$65),"-")</f>
        <v>COTS</v>
      </c>
    </row>
    <row r="1677" spans="1:17" hidden="1" x14ac:dyDescent="0.25">
      <c r="A1677" t="s">
        <v>7675</v>
      </c>
      <c r="B1677" s="23" t="s">
        <v>4530</v>
      </c>
      <c r="C1677">
        <v>5</v>
      </c>
      <c r="D1677" t="s">
        <v>7448</v>
      </c>
      <c r="E1677" t="s">
        <v>7923</v>
      </c>
      <c r="F1677" t="s">
        <v>222</v>
      </c>
      <c r="G1677" t="s">
        <v>7053</v>
      </c>
      <c r="H1677" t="s">
        <v>223</v>
      </c>
      <c r="I1677" t="s">
        <v>224</v>
      </c>
      <c r="J1677" t="s">
        <v>7703</v>
      </c>
      <c r="K1677" t="s">
        <v>7684</v>
      </c>
      <c r="L1677" t="s">
        <v>7687</v>
      </c>
      <c r="N1677" t="str" cm="1">
        <f t="array" ref="N1677">IFERROR(LOOKUP(2,1/SEARCH($S$2:$S$65,G1677),$T$2:$T$65),"Misc")</f>
        <v>COTS</v>
      </c>
      <c r="O1677" t="str" cm="1">
        <f t="array" ref="O1677">IFERROR(LOOKUP(2,1/SEARCH($V$2:$V$65,G1677),$W$2:$W$65),"Misc")</f>
        <v>Fasteners</v>
      </c>
      <c r="P1677" t="str" cm="1">
        <f t="array" ref="P1677">IFERROR(LOOKUP(2,1/SEARCH($Y$2:$Y$65,G1677),$Z$2:$Z$65),"Not Defined")</f>
        <v>INSERT</v>
      </c>
      <c r="Q1677" t="str" cm="1">
        <f t="array" ref="Q1677">IFERROR(LOOKUP(2,1/SEARCH($S$2:$S$65,H1677),$T$2:$T$65),"-")</f>
        <v>COTS</v>
      </c>
    </row>
    <row r="1678" spans="1:17" hidden="1" x14ac:dyDescent="0.25">
      <c r="A1678" t="s">
        <v>7675</v>
      </c>
      <c r="B1678" s="23" t="s">
        <v>4531</v>
      </c>
      <c r="C1678">
        <v>1</v>
      </c>
      <c r="D1678" t="s">
        <v>7448</v>
      </c>
      <c r="E1678" t="s">
        <v>7923</v>
      </c>
      <c r="F1678" t="s">
        <v>4445</v>
      </c>
      <c r="G1678" t="s">
        <v>7457</v>
      </c>
      <c r="H1678" t="s">
        <v>4446</v>
      </c>
      <c r="I1678" t="s">
        <v>210</v>
      </c>
      <c r="J1678" t="s">
        <v>7703</v>
      </c>
      <c r="K1678" t="s">
        <v>7698</v>
      </c>
      <c r="L1678" t="s">
        <v>7707</v>
      </c>
      <c r="N1678" t="str" cm="1">
        <f t="array" ref="N1678">IFERROR(LOOKUP(2,1/SEARCH($S$2:$S$65,G1678),$T$2:$T$65),"Misc")</f>
        <v>COTS</v>
      </c>
      <c r="O1678" t="str" cm="1">
        <f t="array" ref="O1678">IFERROR(LOOKUP(2,1/SEARCH($V$2:$V$65,G1678),$W$2:$W$65),"Misc")</f>
        <v>Pins</v>
      </c>
      <c r="P1678" t="str" cm="1">
        <f t="array" ref="P1678">IFERROR(LOOKUP(2,1/SEARCH($Y$2:$Y$65,G1678),$Z$2:$Z$65),"Not Defined")</f>
        <v>PIN</v>
      </c>
      <c r="Q1678" t="str" cm="1">
        <f t="array" ref="Q1678">IFERROR(LOOKUP(2,1/SEARCH($S$2:$S$65,H1678),$T$2:$T$65),"-")</f>
        <v>COTS</v>
      </c>
    </row>
    <row r="1679" spans="1:17" hidden="1" x14ac:dyDescent="0.25">
      <c r="A1679" t="s">
        <v>7675</v>
      </c>
      <c r="B1679" s="23" t="s">
        <v>4532</v>
      </c>
      <c r="C1679">
        <v>1</v>
      </c>
      <c r="D1679" t="s">
        <v>7448</v>
      </c>
      <c r="E1679" t="s">
        <v>7923</v>
      </c>
      <c r="F1679" t="s">
        <v>4533</v>
      </c>
      <c r="G1679" t="s">
        <v>7464</v>
      </c>
      <c r="H1679" t="s">
        <v>4534</v>
      </c>
      <c r="I1679" t="s">
        <v>255</v>
      </c>
      <c r="J1679" t="s">
        <v>7703</v>
      </c>
      <c r="K1679" t="s">
        <v>7677</v>
      </c>
      <c r="L1679" t="s">
        <v>7677</v>
      </c>
      <c r="N1679" t="str" cm="1">
        <f t="array" ref="N1679">IFERROR(LOOKUP(2,1/SEARCH($S$2:$S$65,G1679),$T$2:$T$65),"Misc")</f>
        <v>COTS</v>
      </c>
      <c r="O1679" t="str" cm="1">
        <f t="array" ref="O1679">IFERROR(LOOKUP(2,1/SEARCH($V$2:$V$65,G1679),$W$2:$W$65),"Misc")</f>
        <v>SWITCH</v>
      </c>
      <c r="P1679" t="str" cm="1">
        <f t="array" ref="P1679">IFERROR(LOOKUP(2,1/SEARCH($Y$2:$Y$65,G1679),$Z$2:$Z$65),"Not Defined")</f>
        <v>SWITCH</v>
      </c>
      <c r="Q1679" t="str" cm="1">
        <f t="array" ref="Q1679">IFERROR(LOOKUP(2,1/SEARCH($S$2:$S$65,H1679),$T$2:$T$65),"-")</f>
        <v>COTS</v>
      </c>
    </row>
    <row r="1680" spans="1:17" hidden="1" x14ac:dyDescent="0.25">
      <c r="A1680" t="s">
        <v>7675</v>
      </c>
      <c r="B1680" s="23" t="s">
        <v>4535</v>
      </c>
      <c r="C1680">
        <v>1</v>
      </c>
      <c r="D1680" t="s">
        <v>7448</v>
      </c>
      <c r="E1680" t="s">
        <v>7923</v>
      </c>
      <c r="F1680" t="s">
        <v>1528</v>
      </c>
      <c r="G1680" t="s">
        <v>7220</v>
      </c>
      <c r="H1680" t="s">
        <v>1529</v>
      </c>
      <c r="I1680" t="s">
        <v>228</v>
      </c>
      <c r="J1680" t="s">
        <v>7703</v>
      </c>
      <c r="K1680" t="s">
        <v>7677</v>
      </c>
      <c r="L1680" t="s">
        <v>7685</v>
      </c>
      <c r="N1680" t="str" cm="1">
        <f t="array" ref="N1680">IFERROR(LOOKUP(2,1/SEARCH($S$2:$S$65,G1680),$T$2:$T$65),"Misc")</f>
        <v>COTS</v>
      </c>
      <c r="O1680" t="str" cm="1">
        <f t="array" ref="O1680">IFERROR(LOOKUP(2,1/SEARCH($V$2:$V$65,G1680),$W$2:$W$65),"Misc")</f>
        <v>SWITCH</v>
      </c>
      <c r="P1680" t="str" cm="1">
        <f t="array" ref="P1680">IFERROR(LOOKUP(2,1/SEARCH($Y$2:$Y$65,G1680),$Z$2:$Z$65),"Not Defined")</f>
        <v>NUT</v>
      </c>
      <c r="Q1680" t="str" cm="1">
        <f t="array" ref="Q1680">IFERROR(LOOKUP(2,1/SEARCH($S$2:$S$65,H1680),$T$2:$T$65),"-")</f>
        <v>COTS</v>
      </c>
    </row>
    <row r="1681" spans="1:17" hidden="1" x14ac:dyDescent="0.25">
      <c r="A1681" t="s">
        <v>7675</v>
      </c>
      <c r="B1681" s="23" t="s">
        <v>4536</v>
      </c>
      <c r="C1681">
        <v>1</v>
      </c>
      <c r="D1681" t="s">
        <v>7448</v>
      </c>
      <c r="E1681" t="s">
        <v>7923</v>
      </c>
      <c r="F1681" t="s">
        <v>4537</v>
      </c>
      <c r="G1681" t="s">
        <v>7831</v>
      </c>
      <c r="H1681" t="s">
        <v>7830</v>
      </c>
      <c r="I1681" t="s">
        <v>210</v>
      </c>
      <c r="J1681" t="s">
        <v>7703</v>
      </c>
      <c r="K1681" t="s">
        <v>7719</v>
      </c>
      <c r="L1681" t="s">
        <v>7719</v>
      </c>
      <c r="N1681" t="str" cm="1">
        <f t="array" ref="N1681">IFERROR(LOOKUP(2,1/SEARCH($S$2:$S$65,G1681),$T$2:$T$65),"Misc")</f>
        <v>COTS</v>
      </c>
      <c r="O1681" t="str" cm="1">
        <f t="array" ref="O1681">IFERROR(LOOKUP(2,1/SEARCH($V$2:$V$65,G1681),$W$2:$W$65),"Misc")</f>
        <v>Misc</v>
      </c>
      <c r="P1681" t="str" cm="1">
        <f t="array" ref="P1681">IFERROR(LOOKUP(2,1/SEARCH($Y$2:$Y$65,G1681),$Z$2:$Z$65),"Not Defined")</f>
        <v>Retaining Rings</v>
      </c>
      <c r="Q1681" t="str" cm="1">
        <f t="array" ref="Q1681">IFERROR(LOOKUP(2,1/SEARCH($S$2:$S$65,H1681),$T$2:$T$65),"-")</f>
        <v>COTS</v>
      </c>
    </row>
    <row r="1682" spans="1:17" hidden="1" x14ac:dyDescent="0.25">
      <c r="A1682" t="s">
        <v>7675</v>
      </c>
      <c r="B1682" s="23" t="s">
        <v>4538</v>
      </c>
      <c r="C1682">
        <v>1</v>
      </c>
      <c r="D1682" t="s">
        <v>7448</v>
      </c>
      <c r="E1682" t="s">
        <v>7923</v>
      </c>
      <c r="F1682" t="s">
        <v>2089</v>
      </c>
      <c r="G1682" t="s">
        <v>7250</v>
      </c>
      <c r="H1682" t="s">
        <v>2090</v>
      </c>
      <c r="I1682" t="s">
        <v>228</v>
      </c>
      <c r="J1682" t="s">
        <v>7703</v>
      </c>
      <c r="K1682" t="s">
        <v>7684</v>
      </c>
      <c r="L1682" t="s">
        <v>7677</v>
      </c>
      <c r="N1682" t="str" cm="1">
        <f t="array" ref="N1682">IFERROR(LOOKUP(2,1/SEARCH($S$2:$S$65,G1682),$T$2:$T$65),"Misc")</f>
        <v>COTS</v>
      </c>
      <c r="O1682" t="str" cm="1">
        <f t="array" ref="O1682">IFERROR(LOOKUP(2,1/SEARCH($V$2:$V$65,G1682),$W$2:$W$65),"Misc")</f>
        <v>Fasteners</v>
      </c>
      <c r="P1682" t="str" cm="1">
        <f t="array" ref="P1682">IFERROR(LOOKUP(2,1/SEARCH($Y$2:$Y$65,G1682),$Z$2:$Z$65),"Not Defined")</f>
        <v>SWITCH</v>
      </c>
      <c r="Q1682" t="str" cm="1">
        <f t="array" ref="Q1682">IFERROR(LOOKUP(2,1/SEARCH($S$2:$S$65,H1682),$T$2:$T$65),"-")</f>
        <v>COTS</v>
      </c>
    </row>
    <row r="1683" spans="1:17" hidden="1" x14ac:dyDescent="0.25">
      <c r="A1683" t="s">
        <v>7675</v>
      </c>
      <c r="B1683" s="23" t="s">
        <v>4539</v>
      </c>
      <c r="C1683">
        <v>1</v>
      </c>
      <c r="D1683" t="s">
        <v>7448</v>
      </c>
      <c r="E1683" t="s">
        <v>7923</v>
      </c>
      <c r="F1683" t="s">
        <v>4540</v>
      </c>
      <c r="G1683" t="s">
        <v>7832</v>
      </c>
      <c r="H1683" t="s">
        <v>4541</v>
      </c>
      <c r="I1683" t="s">
        <v>210</v>
      </c>
      <c r="J1683" t="s">
        <v>7703</v>
      </c>
      <c r="K1683" t="s">
        <v>7677</v>
      </c>
      <c r="L1683" t="s">
        <v>7685</v>
      </c>
      <c r="N1683" t="str" cm="1">
        <f t="array" ref="N1683">IFERROR(LOOKUP(2,1/SEARCH($S$2:$S$65,G1683),$T$2:$T$65),"Misc")</f>
        <v>COTS</v>
      </c>
      <c r="O1683" t="str" cm="1">
        <f t="array" ref="O1683">IFERROR(LOOKUP(2,1/SEARCH($V$2:$V$65,G1683),$W$2:$W$65),"Misc")</f>
        <v>SWITCH</v>
      </c>
      <c r="P1683" t="str" cm="1">
        <f t="array" ref="P1683">IFERROR(LOOKUP(2,1/SEARCH($Y$2:$Y$65,G1683),$Z$2:$Z$65),"Not Defined")</f>
        <v>NUT</v>
      </c>
      <c r="Q1683" t="str" cm="1">
        <f t="array" ref="Q1683">IFERROR(LOOKUP(2,1/SEARCH($S$2:$S$65,H1683),$T$2:$T$65),"-")</f>
        <v>COTS</v>
      </c>
    </row>
    <row r="1684" spans="1:17" hidden="1" x14ac:dyDescent="0.25">
      <c r="A1684" t="s">
        <v>7675</v>
      </c>
      <c r="B1684" s="23" t="s">
        <v>4542</v>
      </c>
      <c r="C1684">
        <v>1</v>
      </c>
      <c r="D1684" t="s">
        <v>7448</v>
      </c>
      <c r="E1684" t="s">
        <v>4495</v>
      </c>
      <c r="F1684" t="s">
        <v>4473</v>
      </c>
      <c r="G1684" t="s">
        <v>7459</v>
      </c>
      <c r="H1684" t="s">
        <v>4474</v>
      </c>
      <c r="J1684" t="s">
        <v>7703</v>
      </c>
      <c r="K1684" t="s">
        <v>7719</v>
      </c>
      <c r="L1684" t="s">
        <v>7718</v>
      </c>
      <c r="N1684" t="str" cm="1">
        <f t="array" ref="N1684">IFERROR(LOOKUP(2,1/SEARCH($S$2:$S$65,G1684),$T$2:$T$65),"Misc")</f>
        <v>COTS</v>
      </c>
      <c r="O1684" t="str" cm="1">
        <f t="array" ref="O1684">IFERROR(LOOKUP(2,1/SEARCH($V$2:$V$65,G1684),$W$2:$W$65),"Misc")</f>
        <v>Misc</v>
      </c>
      <c r="P1684" t="str" cm="1">
        <f t="array" ref="P1684">IFERROR(LOOKUP(2,1/SEARCH($Y$2:$Y$65,G1684),$Z$2:$Z$65),"Not Defined")</f>
        <v>LED</v>
      </c>
      <c r="Q1684" t="str" cm="1">
        <f t="array" ref="Q1684">IFERROR(LOOKUP(2,1/SEARCH($S$2:$S$65,H1684),$T$2:$T$65),"-")</f>
        <v>COTS</v>
      </c>
    </row>
    <row r="1685" spans="1:17" hidden="1" x14ac:dyDescent="0.25">
      <c r="A1685" t="s">
        <v>7675</v>
      </c>
      <c r="B1685" s="23" t="s">
        <v>4543</v>
      </c>
      <c r="C1685">
        <v>3</v>
      </c>
      <c r="D1685" t="s">
        <v>7448</v>
      </c>
      <c r="E1685" t="s">
        <v>4495</v>
      </c>
      <c r="F1685" t="s">
        <v>4468</v>
      </c>
      <c r="G1685" t="s">
        <v>7458</v>
      </c>
      <c r="H1685" t="s">
        <v>4469</v>
      </c>
      <c r="I1685" t="s">
        <v>228</v>
      </c>
      <c r="J1685" t="s">
        <v>7703</v>
      </c>
      <c r="K1685" t="s">
        <v>7684</v>
      </c>
      <c r="L1685" t="s">
        <v>7691</v>
      </c>
      <c r="N1685" t="str" cm="1">
        <f t="array" ref="N1685">IFERROR(LOOKUP(2,1/SEARCH($S$2:$S$65,G1685),$T$2:$T$65),"Misc")</f>
        <v>COTS</v>
      </c>
      <c r="O1685" t="str" cm="1">
        <f t="array" ref="O1685">IFERROR(LOOKUP(2,1/SEARCH($V$2:$V$65,G1685),$W$2:$W$65),"Misc")</f>
        <v>Fasteners</v>
      </c>
      <c r="P1685" t="str" cm="1">
        <f t="array" ref="P1685">IFERROR(LOOKUP(2,1/SEARCH($Y$2:$Y$65,G1685),$Z$2:$Z$65),"Not Defined")</f>
        <v>FHS</v>
      </c>
      <c r="Q1685" t="str" cm="1">
        <f t="array" ref="Q1685">IFERROR(LOOKUP(2,1/SEARCH($S$2:$S$65,H1685),$T$2:$T$65),"-")</f>
        <v>COTS</v>
      </c>
    </row>
    <row r="1686" spans="1:17" hidden="1" x14ac:dyDescent="0.25">
      <c r="A1686" t="s">
        <v>7675</v>
      </c>
      <c r="B1686" s="23" t="s">
        <v>4544</v>
      </c>
      <c r="C1686">
        <v>4</v>
      </c>
      <c r="D1686" t="s">
        <v>7448</v>
      </c>
      <c r="E1686" t="s">
        <v>4495</v>
      </c>
      <c r="F1686" t="s">
        <v>4545</v>
      </c>
      <c r="G1686" t="s">
        <v>7465</v>
      </c>
      <c r="H1686" t="s">
        <v>4546</v>
      </c>
      <c r="I1686" t="s">
        <v>228</v>
      </c>
      <c r="J1686" t="s">
        <v>7703</v>
      </c>
      <c r="K1686" t="s">
        <v>7684</v>
      </c>
      <c r="L1686" t="s">
        <v>7691</v>
      </c>
      <c r="N1686" t="str" cm="1">
        <f t="array" ref="N1686">IFERROR(LOOKUP(2,1/SEARCH($S$2:$S$65,G1686),$T$2:$T$65),"Misc")</f>
        <v>COTS</v>
      </c>
      <c r="O1686" t="str" cm="1">
        <f t="array" ref="O1686">IFERROR(LOOKUP(2,1/SEARCH($V$2:$V$65,G1686),$W$2:$W$65),"Misc")</f>
        <v>Fasteners</v>
      </c>
      <c r="P1686" t="str" cm="1">
        <f t="array" ref="P1686">IFERROR(LOOKUP(2,1/SEARCH($Y$2:$Y$65,G1686),$Z$2:$Z$65),"Not Defined")</f>
        <v>FHS</v>
      </c>
      <c r="Q1686" t="str" cm="1">
        <f t="array" ref="Q1686">IFERROR(LOOKUP(2,1/SEARCH($S$2:$S$65,H1686),$T$2:$T$65),"-")</f>
        <v>COTS</v>
      </c>
    </row>
    <row r="1687" spans="1:17" hidden="1" x14ac:dyDescent="0.25">
      <c r="A1687" t="s">
        <v>7675</v>
      </c>
      <c r="B1687" s="23" t="s">
        <v>4547</v>
      </c>
      <c r="C1687">
        <v>2</v>
      </c>
      <c r="D1687" t="s">
        <v>7448</v>
      </c>
      <c r="E1687" t="s">
        <v>4495</v>
      </c>
      <c r="F1687" t="s">
        <v>219</v>
      </c>
      <c r="G1687" t="s">
        <v>7052</v>
      </c>
      <c r="H1687" t="s">
        <v>220</v>
      </c>
      <c r="I1687" t="s">
        <v>210</v>
      </c>
      <c r="J1687" t="s">
        <v>7703</v>
      </c>
      <c r="K1687" t="s">
        <v>7684</v>
      </c>
      <c r="L1687" t="s">
        <v>7691</v>
      </c>
      <c r="N1687" t="str" cm="1">
        <f t="array" ref="N1687">IFERROR(LOOKUP(2,1/SEARCH($S$2:$S$65,G1687),$T$2:$T$65),"Misc")</f>
        <v>COTS</v>
      </c>
      <c r="O1687" t="str" cm="1">
        <f t="array" ref="O1687">IFERROR(LOOKUP(2,1/SEARCH($V$2:$V$65,G1687),$W$2:$W$65),"Misc")</f>
        <v>Fasteners</v>
      </c>
      <c r="P1687" t="str" cm="1">
        <f t="array" ref="P1687">IFERROR(LOOKUP(2,1/SEARCH($Y$2:$Y$65,G1687),$Z$2:$Z$65),"Not Defined")</f>
        <v>FHS</v>
      </c>
      <c r="Q1687" t="str" cm="1">
        <f t="array" ref="Q1687">IFERROR(LOOKUP(2,1/SEARCH($S$2:$S$65,H1687),$T$2:$T$65),"-")</f>
        <v>COTS</v>
      </c>
    </row>
    <row r="1688" spans="1:17" hidden="1" x14ac:dyDescent="0.25">
      <c r="A1688" t="s">
        <v>7675</v>
      </c>
      <c r="B1688" s="23" t="s">
        <v>4548</v>
      </c>
      <c r="C1688">
        <v>7</v>
      </c>
      <c r="D1688" t="s">
        <v>7448</v>
      </c>
      <c r="E1688" t="s">
        <v>4495</v>
      </c>
      <c r="F1688" t="s">
        <v>265</v>
      </c>
      <c r="G1688" t="s">
        <v>7099</v>
      </c>
      <c r="H1688" t="s">
        <v>266</v>
      </c>
      <c r="I1688" t="s">
        <v>224</v>
      </c>
      <c r="J1688" t="s">
        <v>7703</v>
      </c>
      <c r="K1688" t="s">
        <v>7684</v>
      </c>
      <c r="L1688" t="s">
        <v>7687</v>
      </c>
      <c r="N1688" t="str" cm="1">
        <f t="array" ref="N1688">IFERROR(LOOKUP(2,1/SEARCH($S$2:$S$65,G1688),$T$2:$T$65),"Misc")</f>
        <v>COTS</v>
      </c>
      <c r="O1688" t="str" cm="1">
        <f t="array" ref="O1688">IFERROR(LOOKUP(2,1/SEARCH($V$2:$V$65,G1688),$W$2:$W$65),"Misc")</f>
        <v>Fasteners</v>
      </c>
      <c r="P1688" t="str" cm="1">
        <f t="array" ref="P1688">IFERROR(LOOKUP(2,1/SEARCH($Y$2:$Y$65,G1688),$Z$2:$Z$65),"Not Defined")</f>
        <v>INSERT</v>
      </c>
      <c r="Q1688" t="str" cm="1">
        <f t="array" ref="Q1688">IFERROR(LOOKUP(2,1/SEARCH($S$2:$S$65,H1688),$T$2:$T$65),"-")</f>
        <v>COTS</v>
      </c>
    </row>
    <row r="1689" spans="1:17" hidden="1" x14ac:dyDescent="0.25">
      <c r="A1689" t="s">
        <v>7675</v>
      </c>
      <c r="B1689" s="23" t="s">
        <v>4549</v>
      </c>
      <c r="C1689">
        <v>1</v>
      </c>
      <c r="D1689" t="s">
        <v>7448</v>
      </c>
      <c r="E1689" t="s">
        <v>4495</v>
      </c>
      <c r="F1689" t="s">
        <v>445</v>
      </c>
      <c r="G1689" t="s">
        <v>7088</v>
      </c>
      <c r="H1689" t="s">
        <v>446</v>
      </c>
      <c r="I1689" t="s">
        <v>228</v>
      </c>
      <c r="J1689" t="s">
        <v>7703</v>
      </c>
      <c r="K1689" t="s">
        <v>7684</v>
      </c>
      <c r="L1689" t="s">
        <v>7693</v>
      </c>
      <c r="N1689" t="str" cm="1">
        <f t="array" ref="N1689">IFERROR(LOOKUP(2,1/SEARCH($S$2:$S$65,G1689),$T$2:$T$65),"Misc")</f>
        <v>COTS</v>
      </c>
      <c r="O1689" t="str" cm="1">
        <f t="array" ref="O1689">IFERROR(LOOKUP(2,1/SEARCH($V$2:$V$65,G1689),$W$2:$W$65),"Misc")</f>
        <v>Fasteners</v>
      </c>
      <c r="P1689" t="str" cm="1">
        <f t="array" ref="P1689">IFERROR(LOOKUP(2,1/SEARCH($Y$2:$Y$65,G1689),$Z$2:$Z$65),"Not Defined")</f>
        <v>PHS</v>
      </c>
      <c r="Q1689" t="str" cm="1">
        <f t="array" ref="Q1689">IFERROR(LOOKUP(2,1/SEARCH($S$2:$S$65,H1689),$T$2:$T$65),"-")</f>
        <v>COTS</v>
      </c>
    </row>
    <row r="1690" spans="1:17" hidden="1" x14ac:dyDescent="0.25">
      <c r="A1690" t="s">
        <v>7675</v>
      </c>
      <c r="B1690" s="23" t="s">
        <v>4550</v>
      </c>
      <c r="C1690">
        <v>1</v>
      </c>
      <c r="D1690" t="s">
        <v>7448</v>
      </c>
      <c r="E1690" t="s">
        <v>4495</v>
      </c>
      <c r="F1690" t="s">
        <v>2204</v>
      </c>
      <c r="G1690" t="s">
        <v>7261</v>
      </c>
      <c r="H1690" t="s">
        <v>2205</v>
      </c>
      <c r="I1690" t="s">
        <v>228</v>
      </c>
      <c r="J1690" t="s">
        <v>7703</v>
      </c>
      <c r="K1690" t="s">
        <v>7684</v>
      </c>
      <c r="L1690" t="s">
        <v>7692</v>
      </c>
      <c r="N1690" t="str" cm="1">
        <f t="array" ref="N1690">IFERROR(LOOKUP(2,1/SEARCH($S$2:$S$65,G1690),$T$2:$T$65),"Misc")</f>
        <v>COTS</v>
      </c>
      <c r="O1690" t="str" cm="1">
        <f t="array" ref="O1690">IFERROR(LOOKUP(2,1/SEARCH($V$2:$V$65,G1690),$W$2:$W$65),"Misc")</f>
        <v>Fasteners</v>
      </c>
      <c r="P1690" t="str" cm="1">
        <f t="array" ref="P1690">IFERROR(LOOKUP(2,1/SEARCH($Y$2:$Y$65,G1690),$Z$2:$Z$65),"Not Defined")</f>
        <v>WASHER</v>
      </c>
      <c r="Q1690" t="str" cm="1">
        <f t="array" ref="Q1690">IFERROR(LOOKUP(2,1/SEARCH($S$2:$S$65,H1690),$T$2:$T$65),"-")</f>
        <v>COTS</v>
      </c>
    </row>
    <row r="1691" spans="1:17" hidden="1" x14ac:dyDescent="0.25">
      <c r="A1691" t="s">
        <v>7675</v>
      </c>
      <c r="B1691" s="23" t="s">
        <v>4551</v>
      </c>
      <c r="C1691">
        <v>1</v>
      </c>
      <c r="D1691" t="s">
        <v>7448</v>
      </c>
      <c r="E1691" t="s">
        <v>4495</v>
      </c>
      <c r="F1691" t="s">
        <v>4479</v>
      </c>
      <c r="G1691" t="s">
        <v>7460</v>
      </c>
      <c r="H1691" t="s">
        <v>4480</v>
      </c>
      <c r="I1691" t="s">
        <v>228</v>
      </c>
      <c r="J1691" t="s">
        <v>7703</v>
      </c>
      <c r="K1691" t="s">
        <v>7684</v>
      </c>
      <c r="L1691" t="s">
        <v>7693</v>
      </c>
      <c r="N1691" t="str" cm="1">
        <f t="array" ref="N1691">IFERROR(LOOKUP(2,1/SEARCH($S$2:$S$65,G1691),$T$2:$T$65),"Misc")</f>
        <v>COTS</v>
      </c>
      <c r="O1691" t="str" cm="1">
        <f t="array" ref="O1691">IFERROR(LOOKUP(2,1/SEARCH($V$2:$V$65,G1691),$W$2:$W$65),"Misc")</f>
        <v>Fasteners</v>
      </c>
      <c r="P1691" t="str" cm="1">
        <f t="array" ref="P1691">IFERROR(LOOKUP(2,1/SEARCH($Y$2:$Y$65,G1691),$Z$2:$Z$65),"Not Defined")</f>
        <v>PHS</v>
      </c>
      <c r="Q1691" t="str" cm="1">
        <f t="array" ref="Q1691">IFERROR(LOOKUP(2,1/SEARCH($S$2:$S$65,H1691),$T$2:$T$65),"-")</f>
        <v>COTS</v>
      </c>
    </row>
    <row r="1692" spans="1:17" hidden="1" x14ac:dyDescent="0.25">
      <c r="A1692" t="s">
        <v>7675</v>
      </c>
      <c r="B1692" s="23" t="s">
        <v>4552</v>
      </c>
      <c r="C1692">
        <v>1</v>
      </c>
      <c r="D1692" t="s">
        <v>7448</v>
      </c>
      <c r="E1692" t="s">
        <v>4495</v>
      </c>
      <c r="F1692" t="s">
        <v>932</v>
      </c>
      <c r="G1692" t="s">
        <v>7133</v>
      </c>
      <c r="H1692" t="s">
        <v>933</v>
      </c>
      <c r="I1692" t="s">
        <v>210</v>
      </c>
      <c r="J1692" t="s">
        <v>7703</v>
      </c>
      <c r="K1692" t="s">
        <v>7684</v>
      </c>
      <c r="L1692" t="s">
        <v>7685</v>
      </c>
      <c r="N1692" t="str" cm="1">
        <f t="array" ref="N1692">IFERROR(LOOKUP(2,1/SEARCH($S$2:$S$65,G1692),$T$2:$T$65),"Misc")</f>
        <v>COTS</v>
      </c>
      <c r="O1692" t="str" cm="1">
        <f t="array" ref="O1692">IFERROR(LOOKUP(2,1/SEARCH($V$2:$V$65,G1692),$W$2:$W$65),"Misc")</f>
        <v>Fasteners</v>
      </c>
      <c r="P1692" t="str" cm="1">
        <f t="array" ref="P1692">IFERROR(LOOKUP(2,1/SEARCH($Y$2:$Y$65,G1692),$Z$2:$Z$65),"Not Defined")</f>
        <v>NUT</v>
      </c>
      <c r="Q1692" t="str" cm="1">
        <f t="array" ref="Q1692">IFERROR(LOOKUP(2,1/SEARCH($S$2:$S$65,H1692),$T$2:$T$65),"-")</f>
        <v>COTS</v>
      </c>
    </row>
    <row r="1693" spans="1:17" hidden="1" x14ac:dyDescent="0.25">
      <c r="A1693" t="s">
        <v>7675</v>
      </c>
      <c r="B1693" s="23" t="s">
        <v>4553</v>
      </c>
      <c r="C1693">
        <v>1</v>
      </c>
      <c r="D1693" t="s">
        <v>7448</v>
      </c>
      <c r="E1693" t="s">
        <v>4495</v>
      </c>
      <c r="F1693" t="s">
        <v>439</v>
      </c>
      <c r="G1693" t="s">
        <v>7086</v>
      </c>
      <c r="H1693" t="s">
        <v>440</v>
      </c>
      <c r="I1693" t="s">
        <v>224</v>
      </c>
      <c r="J1693" t="s">
        <v>7703</v>
      </c>
      <c r="K1693" t="s">
        <v>7684</v>
      </c>
      <c r="L1693" t="s">
        <v>7687</v>
      </c>
      <c r="N1693" t="str" cm="1">
        <f t="array" ref="N1693">IFERROR(LOOKUP(2,1/SEARCH($S$2:$S$65,G1693),$T$2:$T$65),"Misc")</f>
        <v>COTS</v>
      </c>
      <c r="O1693" t="str" cm="1">
        <f t="array" ref="O1693">IFERROR(LOOKUP(2,1/SEARCH($V$2:$V$65,G1693),$W$2:$W$65),"Misc")</f>
        <v>Fasteners</v>
      </c>
      <c r="P1693" t="str" cm="1">
        <f t="array" ref="P1693">IFERROR(LOOKUP(2,1/SEARCH($Y$2:$Y$65,G1693),$Z$2:$Z$65),"Not Defined")</f>
        <v>INSERT</v>
      </c>
      <c r="Q1693" t="str" cm="1">
        <f t="array" ref="Q1693">IFERROR(LOOKUP(2,1/SEARCH($S$2:$S$65,H1693),$T$2:$T$65),"-")</f>
        <v>COTS</v>
      </c>
    </row>
    <row r="1694" spans="1:17" hidden="1" x14ac:dyDescent="0.25">
      <c r="A1694" t="s">
        <v>7675</v>
      </c>
      <c r="B1694" s="23" t="s">
        <v>4554</v>
      </c>
      <c r="C1694">
        <v>1</v>
      </c>
      <c r="D1694" t="s">
        <v>7448</v>
      </c>
      <c r="E1694" t="s">
        <v>4495</v>
      </c>
      <c r="F1694" t="s">
        <v>4482</v>
      </c>
      <c r="G1694" t="s">
        <v>7461</v>
      </c>
      <c r="H1694" t="s">
        <v>4483</v>
      </c>
      <c r="I1694" t="s">
        <v>929</v>
      </c>
      <c r="J1694" t="s">
        <v>7703</v>
      </c>
      <c r="K1694" t="s">
        <v>7684</v>
      </c>
      <c r="L1694" t="s">
        <v>7696</v>
      </c>
      <c r="N1694" t="str" cm="1">
        <f t="array" ref="N1694">IFERROR(LOOKUP(2,1/SEARCH($S$2:$S$65,G1694),$T$2:$T$65),"Misc")</f>
        <v>COTS</v>
      </c>
      <c r="O1694" t="str" cm="1">
        <f t="array" ref="O1694">IFERROR(LOOKUP(2,1/SEARCH($V$2:$V$65,G1694),$W$2:$W$65),"Misc")</f>
        <v>Fasteners</v>
      </c>
      <c r="P1694" t="str" cm="1">
        <f t="array" ref="P1694">IFERROR(LOOKUP(2,1/SEARCH($Y$2:$Y$65,G1694),$Z$2:$Z$65),"Not Defined")</f>
        <v>SPACER</v>
      </c>
      <c r="Q1694" t="str" cm="1">
        <f t="array" ref="Q1694">IFERROR(LOOKUP(2,1/SEARCH($S$2:$S$65,H1694),$T$2:$T$65),"-")</f>
        <v>COTS</v>
      </c>
    </row>
    <row r="1695" spans="1:17" hidden="1" x14ac:dyDescent="0.25">
      <c r="A1695" t="s">
        <v>7675</v>
      </c>
      <c r="B1695" s="23" t="s">
        <v>4555</v>
      </c>
      <c r="C1695">
        <v>1</v>
      </c>
      <c r="D1695" t="s">
        <v>7448</v>
      </c>
      <c r="E1695" t="s">
        <v>4495</v>
      </c>
      <c r="F1695" t="s">
        <v>4486</v>
      </c>
      <c r="G1695" t="s">
        <v>7462</v>
      </c>
      <c r="H1695" t="s">
        <v>4487</v>
      </c>
      <c r="I1695" t="s">
        <v>929</v>
      </c>
      <c r="J1695" t="s">
        <v>7703</v>
      </c>
      <c r="K1695" t="s">
        <v>7684</v>
      </c>
      <c r="L1695" t="s">
        <v>7696</v>
      </c>
      <c r="N1695" t="str" cm="1">
        <f t="array" ref="N1695">IFERROR(LOOKUP(2,1/SEARCH($S$2:$S$65,G1695),$T$2:$T$65),"Misc")</f>
        <v>COTS</v>
      </c>
      <c r="O1695" t="str" cm="1">
        <f t="array" ref="O1695">IFERROR(LOOKUP(2,1/SEARCH($V$2:$V$65,G1695),$W$2:$W$65),"Misc")</f>
        <v>Fasteners</v>
      </c>
      <c r="P1695" t="str" cm="1">
        <f t="array" ref="P1695">IFERROR(LOOKUP(2,1/SEARCH($Y$2:$Y$65,G1695),$Z$2:$Z$65),"Not Defined")</f>
        <v>SPACER</v>
      </c>
      <c r="Q1695" t="str" cm="1">
        <f t="array" ref="Q1695">IFERROR(LOOKUP(2,1/SEARCH($S$2:$S$65,H1695),$T$2:$T$65),"-")</f>
        <v>COTS</v>
      </c>
    </row>
    <row r="1696" spans="1:17" hidden="1" x14ac:dyDescent="0.25">
      <c r="A1696" t="s">
        <v>7675</v>
      </c>
      <c r="B1696" s="23" t="s">
        <v>4556</v>
      </c>
      <c r="C1696">
        <v>1</v>
      </c>
      <c r="D1696" t="s">
        <v>7448</v>
      </c>
      <c r="E1696" t="s">
        <v>4495</v>
      </c>
      <c r="F1696" t="s">
        <v>2279</v>
      </c>
      <c r="G1696" t="s">
        <v>7269</v>
      </c>
      <c r="H1696" t="s">
        <v>2280</v>
      </c>
      <c r="I1696" t="s">
        <v>210</v>
      </c>
      <c r="J1696" t="s">
        <v>7703</v>
      </c>
      <c r="K1696" t="s">
        <v>7684</v>
      </c>
      <c r="L1696" t="s">
        <v>7700</v>
      </c>
      <c r="N1696" t="str" cm="1">
        <f t="array" ref="N1696">IFERROR(LOOKUP(2,1/SEARCH($S$2:$S$65,G1696),$T$2:$T$65),"Misc")</f>
        <v>COTS</v>
      </c>
      <c r="O1696" t="str" cm="1">
        <f t="array" ref="O1696">IFERROR(LOOKUP(2,1/SEARCH($V$2:$V$65,G1696),$W$2:$W$65),"Misc")</f>
        <v>Fasteners</v>
      </c>
      <c r="P1696" t="str" cm="1">
        <f t="array" ref="P1696">IFERROR(LOOKUP(2,1/SEARCH($Y$2:$Y$65,G1696),$Z$2:$Z$65),"Not Defined")</f>
        <v>SHCS</v>
      </c>
      <c r="Q1696" t="str" cm="1">
        <f t="array" ref="Q1696">IFERROR(LOOKUP(2,1/SEARCH($S$2:$S$65,H1696),$T$2:$T$65),"-")</f>
        <v>COTS</v>
      </c>
    </row>
    <row r="1697" spans="1:17" hidden="1" x14ac:dyDescent="0.25">
      <c r="A1697" t="s">
        <v>7675</v>
      </c>
      <c r="B1697" s="23" t="s">
        <v>4557</v>
      </c>
      <c r="C1697">
        <v>1</v>
      </c>
      <c r="D1697" t="s">
        <v>7448</v>
      </c>
      <c r="E1697" t="s">
        <v>4495</v>
      </c>
      <c r="F1697" t="s">
        <v>1626</v>
      </c>
      <c r="G1697" t="s">
        <v>7232</v>
      </c>
      <c r="H1697" t="s">
        <v>1627</v>
      </c>
      <c r="I1697" t="s">
        <v>224</v>
      </c>
      <c r="J1697" t="s">
        <v>7703</v>
      </c>
      <c r="K1697" t="s">
        <v>7684</v>
      </c>
      <c r="L1697" t="s">
        <v>7687</v>
      </c>
      <c r="N1697" t="str" cm="1">
        <f t="array" ref="N1697">IFERROR(LOOKUP(2,1/SEARCH($S$2:$S$65,G1697),$T$2:$T$65),"Misc")</f>
        <v>COTS</v>
      </c>
      <c r="O1697" t="str" cm="1">
        <f t="array" ref="O1697">IFERROR(LOOKUP(2,1/SEARCH($V$2:$V$65,G1697),$W$2:$W$65),"Misc")</f>
        <v>Fasteners</v>
      </c>
      <c r="P1697" t="str" cm="1">
        <f t="array" ref="P1697">IFERROR(LOOKUP(2,1/SEARCH($Y$2:$Y$65,G1697),$Z$2:$Z$65),"Not Defined")</f>
        <v>INSERT</v>
      </c>
      <c r="Q1697" t="str" cm="1">
        <f t="array" ref="Q1697">IFERROR(LOOKUP(2,1/SEARCH($S$2:$S$65,H1697),$T$2:$T$65),"-")</f>
        <v>COTS</v>
      </c>
    </row>
    <row r="1698" spans="1:17" hidden="1" x14ac:dyDescent="0.25">
      <c r="A1698" t="s">
        <v>7675</v>
      </c>
      <c r="B1698" s="23" t="s">
        <v>4558</v>
      </c>
      <c r="C1698">
        <v>1</v>
      </c>
      <c r="D1698" t="s">
        <v>7448</v>
      </c>
      <c r="E1698" t="s">
        <v>4495</v>
      </c>
      <c r="F1698" t="s">
        <v>4491</v>
      </c>
      <c r="G1698" t="s">
        <v>7463</v>
      </c>
      <c r="H1698" t="s">
        <v>4492</v>
      </c>
      <c r="I1698" t="s">
        <v>210</v>
      </c>
      <c r="J1698" t="s">
        <v>7703</v>
      </c>
      <c r="K1698" t="s">
        <v>7719</v>
      </c>
      <c r="L1698" t="s">
        <v>7688</v>
      </c>
      <c r="N1698" t="str" cm="1">
        <f t="array" ref="N1698">IFERROR(LOOKUP(2,1/SEARCH($S$2:$S$65,G1698),$T$2:$T$65),"Misc")</f>
        <v>COTS</v>
      </c>
      <c r="O1698" t="str" cm="1">
        <f t="array" ref="O1698">IFERROR(LOOKUP(2,1/SEARCH($V$2:$V$65,G1698),$W$2:$W$65),"Misc")</f>
        <v>Misc</v>
      </c>
      <c r="P1698" t="str" cm="1">
        <f t="array" ref="P1698">IFERROR(LOOKUP(2,1/SEARCH($Y$2:$Y$65,G1698),$Z$2:$Z$65),"Not Defined")</f>
        <v>SPRING</v>
      </c>
      <c r="Q1698" t="str" cm="1">
        <f t="array" ref="Q1698">IFERROR(LOOKUP(2,1/SEARCH($S$2:$S$65,H1698),$T$2:$T$65),"-")</f>
        <v>COTS</v>
      </c>
    </row>
    <row r="1699" spans="1:17" hidden="1" x14ac:dyDescent="0.25">
      <c r="A1699" t="s">
        <v>7675</v>
      </c>
      <c r="B1699" s="23" t="s">
        <v>4559</v>
      </c>
      <c r="C1699">
        <v>1</v>
      </c>
      <c r="D1699" t="s">
        <v>7448</v>
      </c>
      <c r="E1699" t="s">
        <v>4495</v>
      </c>
      <c r="F1699" t="s">
        <v>4560</v>
      </c>
      <c r="G1699" t="s">
        <v>4562</v>
      </c>
      <c r="H1699" t="s">
        <v>4561</v>
      </c>
      <c r="I1699" t="s">
        <v>13</v>
      </c>
      <c r="J1699" t="s">
        <v>7682</v>
      </c>
      <c r="K1699" t="s">
        <v>7826</v>
      </c>
      <c r="L1699" t="s">
        <v>7826</v>
      </c>
      <c r="N1699" t="str" cm="1">
        <f t="array" ref="N1699">IFERROR(LOOKUP(2,1/SEARCH($S$2:$S$65,G1699),$T$2:$T$65),"Misc")</f>
        <v>OH P/N</v>
      </c>
      <c r="O1699" t="str" cm="1">
        <f t="array" ref="O1699">IFERROR(LOOKUP(2,1/SEARCH($V$2:$V$65,G1699),$W$2:$W$65),"Misc")</f>
        <v>OH Part</v>
      </c>
      <c r="P1699" t="str" cm="1">
        <f t="array" ref="P1699">IFERROR(LOOKUP(2,1/SEARCH($Y$2:$Y$65,G1699),$Z$2:$Z$65),"Not Defined")</f>
        <v>OH Part</v>
      </c>
      <c r="Q1699" t="str" cm="1">
        <f t="array" ref="Q1699">IFERROR(LOOKUP(2,1/SEARCH($S$2:$S$65,H1699),$T$2:$T$65),"-")</f>
        <v>-</v>
      </c>
    </row>
    <row r="1700" spans="1:17" x14ac:dyDescent="0.25">
      <c r="A1700" t="s">
        <v>7675</v>
      </c>
      <c r="B1700" s="2" t="s">
        <v>4563</v>
      </c>
      <c r="C1700">
        <v>1</v>
      </c>
      <c r="D1700" t="s">
        <v>7448</v>
      </c>
      <c r="F1700" t="s">
        <v>4564</v>
      </c>
      <c r="G1700" t="s">
        <v>4566</v>
      </c>
      <c r="H1700" t="s">
        <v>4565</v>
      </c>
      <c r="I1700" t="s">
        <v>13</v>
      </c>
      <c r="J1700" t="s">
        <v>7682</v>
      </c>
      <c r="K1700" t="s">
        <v>7826</v>
      </c>
      <c r="L1700" t="s">
        <v>7826</v>
      </c>
      <c r="N1700" t="str" cm="1">
        <f t="array" ref="N1700">IFERROR(LOOKUP(2,1/SEARCH($S$2:$S$65,G1700),$T$2:$T$65),"Misc")</f>
        <v>OH P/N</v>
      </c>
      <c r="O1700" t="str" cm="1">
        <f t="array" ref="O1700">IFERROR(LOOKUP(2,1/SEARCH($V$2:$V$65,G1700),$W$2:$W$65),"Misc")</f>
        <v>OH Part</v>
      </c>
      <c r="P1700" t="str" cm="1">
        <f t="array" ref="P1700">IFERROR(LOOKUP(2,1/SEARCH($Y$2:$Y$65,G1700),$Z$2:$Z$65),"Not Defined")</f>
        <v>OH Part</v>
      </c>
      <c r="Q1700" t="str" cm="1">
        <f t="array" ref="Q1700">IFERROR(LOOKUP(2,1/SEARCH($S$2:$S$65,H1700),$T$2:$T$65),"-")</f>
        <v>-</v>
      </c>
    </row>
    <row r="1701" spans="1:17" x14ac:dyDescent="0.25">
      <c r="A1701" t="s">
        <v>7675</v>
      </c>
      <c r="B1701" s="2" t="s">
        <v>4567</v>
      </c>
      <c r="C1701">
        <v>2</v>
      </c>
      <c r="D1701" t="s">
        <v>7448</v>
      </c>
      <c r="F1701" t="s">
        <v>4568</v>
      </c>
      <c r="G1701" t="s">
        <v>4570</v>
      </c>
      <c r="H1701" t="s">
        <v>4569</v>
      </c>
      <c r="I1701" t="s">
        <v>13</v>
      </c>
      <c r="J1701" t="s">
        <v>7682</v>
      </c>
      <c r="K1701" t="s">
        <v>7826</v>
      </c>
      <c r="L1701" t="s">
        <v>7826</v>
      </c>
      <c r="N1701" t="str" cm="1">
        <f t="array" ref="N1701">IFERROR(LOOKUP(2,1/SEARCH($S$2:$S$65,G1701),$T$2:$T$65),"Misc")</f>
        <v>OH P/N</v>
      </c>
      <c r="O1701" t="str" cm="1">
        <f t="array" ref="O1701">IFERROR(LOOKUP(2,1/SEARCH($V$2:$V$65,G1701),$W$2:$W$65),"Misc")</f>
        <v>OH Part</v>
      </c>
      <c r="P1701" t="str" cm="1">
        <f t="array" ref="P1701">IFERROR(LOOKUP(2,1/SEARCH($Y$2:$Y$65,G1701),$Z$2:$Z$65),"Not Defined")</f>
        <v>OH Part</v>
      </c>
      <c r="Q1701" t="str" cm="1">
        <f t="array" ref="Q1701">IFERROR(LOOKUP(2,1/SEARCH($S$2:$S$65,H1701),$T$2:$T$65),"-")</f>
        <v>-</v>
      </c>
    </row>
    <row r="1702" spans="1:17" x14ac:dyDescent="0.25">
      <c r="A1702" t="s">
        <v>7675</v>
      </c>
      <c r="B1702" s="2" t="s">
        <v>4571</v>
      </c>
      <c r="C1702">
        <v>2</v>
      </c>
      <c r="D1702" t="s">
        <v>7448</v>
      </c>
      <c r="F1702" t="s">
        <v>4572</v>
      </c>
      <c r="G1702" t="s">
        <v>4574</v>
      </c>
      <c r="H1702" t="s">
        <v>4573</v>
      </c>
      <c r="I1702" t="s">
        <v>13</v>
      </c>
      <c r="J1702" t="s">
        <v>7682</v>
      </c>
      <c r="K1702" t="s">
        <v>7826</v>
      </c>
      <c r="L1702" t="s">
        <v>7826</v>
      </c>
      <c r="N1702" t="str" cm="1">
        <f t="array" ref="N1702">IFERROR(LOOKUP(2,1/SEARCH($S$2:$S$65,G1702),$T$2:$T$65),"Misc")</f>
        <v>OH P/N</v>
      </c>
      <c r="O1702" t="str" cm="1">
        <f t="array" ref="O1702">IFERROR(LOOKUP(2,1/SEARCH($V$2:$V$65,G1702),$W$2:$W$65),"Misc")</f>
        <v>OH Part</v>
      </c>
      <c r="P1702" t="str" cm="1">
        <f t="array" ref="P1702">IFERROR(LOOKUP(2,1/SEARCH($Y$2:$Y$65,G1702),$Z$2:$Z$65),"Not Defined")</f>
        <v>OH Part</v>
      </c>
      <c r="Q1702" t="str" cm="1">
        <f t="array" ref="Q1702">IFERROR(LOOKUP(2,1/SEARCH($S$2:$S$65,H1702),$T$2:$T$65),"-")</f>
        <v>-</v>
      </c>
    </row>
    <row r="1703" spans="1:17" x14ac:dyDescent="0.25">
      <c r="A1703" t="s">
        <v>7675</v>
      </c>
      <c r="B1703" s="2" t="s">
        <v>4575</v>
      </c>
      <c r="C1703">
        <v>2</v>
      </c>
      <c r="D1703" t="s">
        <v>7448</v>
      </c>
      <c r="F1703" t="s">
        <v>4576</v>
      </c>
      <c r="G1703" t="s">
        <v>4578</v>
      </c>
      <c r="H1703" t="s">
        <v>4577</v>
      </c>
      <c r="I1703" t="s">
        <v>13</v>
      </c>
      <c r="J1703" t="s">
        <v>7682</v>
      </c>
      <c r="K1703" t="s">
        <v>7826</v>
      </c>
      <c r="L1703" t="s">
        <v>7826</v>
      </c>
      <c r="N1703" t="str" cm="1">
        <f t="array" ref="N1703">IFERROR(LOOKUP(2,1/SEARCH($S$2:$S$65,G1703),$T$2:$T$65),"Misc")</f>
        <v>OH P/N</v>
      </c>
      <c r="O1703" t="str" cm="1">
        <f t="array" ref="O1703">IFERROR(LOOKUP(2,1/SEARCH($V$2:$V$65,G1703),$W$2:$W$65),"Misc")</f>
        <v>OH Part</v>
      </c>
      <c r="P1703" t="str" cm="1">
        <f t="array" ref="P1703">IFERROR(LOOKUP(2,1/SEARCH($Y$2:$Y$65,G1703),$Z$2:$Z$65),"Not Defined")</f>
        <v>OH Part</v>
      </c>
      <c r="Q1703" t="str" cm="1">
        <f t="array" ref="Q1703">IFERROR(LOOKUP(2,1/SEARCH($S$2:$S$65,H1703),$T$2:$T$65),"-")</f>
        <v>COTS</v>
      </c>
    </row>
    <row r="1704" spans="1:17" x14ac:dyDescent="0.25">
      <c r="A1704" t="s">
        <v>7675</v>
      </c>
      <c r="B1704" s="2" t="s">
        <v>4579</v>
      </c>
      <c r="C1704">
        <v>1</v>
      </c>
      <c r="D1704" t="s">
        <v>7448</v>
      </c>
      <c r="F1704" t="s">
        <v>4580</v>
      </c>
      <c r="G1704" t="s">
        <v>4582</v>
      </c>
      <c r="H1704" t="s">
        <v>4581</v>
      </c>
      <c r="I1704" t="s">
        <v>13</v>
      </c>
      <c r="J1704" t="s">
        <v>7682</v>
      </c>
      <c r="K1704" t="s">
        <v>7826</v>
      </c>
      <c r="L1704" t="s">
        <v>7826</v>
      </c>
      <c r="N1704" t="str" cm="1">
        <f t="array" ref="N1704">IFERROR(LOOKUP(2,1/SEARCH($S$2:$S$65,G1704),$T$2:$T$65),"Misc")</f>
        <v>OH P/N</v>
      </c>
      <c r="O1704" t="str" cm="1">
        <f t="array" ref="O1704">IFERROR(LOOKUP(2,1/SEARCH($V$2:$V$65,G1704),$W$2:$W$65),"Misc")</f>
        <v>OH Part</v>
      </c>
      <c r="P1704" t="str" cm="1">
        <f t="array" ref="P1704">IFERROR(LOOKUP(2,1/SEARCH($Y$2:$Y$65,G1704),$Z$2:$Z$65),"Not Defined")</f>
        <v>OH Part</v>
      </c>
      <c r="Q1704" t="str" cm="1">
        <f t="array" ref="Q1704">IFERROR(LOOKUP(2,1/SEARCH($S$2:$S$65,H1704),$T$2:$T$65),"-")</f>
        <v>-</v>
      </c>
    </row>
    <row r="1705" spans="1:17" x14ac:dyDescent="0.25">
      <c r="A1705" t="s">
        <v>7675</v>
      </c>
      <c r="B1705" s="2" t="s">
        <v>4583</v>
      </c>
      <c r="C1705">
        <v>2</v>
      </c>
      <c r="D1705" t="s">
        <v>7448</v>
      </c>
      <c r="F1705" t="s">
        <v>4584</v>
      </c>
      <c r="G1705" t="s">
        <v>4586</v>
      </c>
      <c r="H1705" t="s">
        <v>4585</v>
      </c>
      <c r="I1705" t="s">
        <v>13</v>
      </c>
      <c r="J1705" t="s">
        <v>7682</v>
      </c>
      <c r="K1705" t="s">
        <v>7826</v>
      </c>
      <c r="L1705" t="s">
        <v>7826</v>
      </c>
      <c r="N1705" t="str" cm="1">
        <f t="array" ref="N1705">IFERROR(LOOKUP(2,1/SEARCH($S$2:$S$65,G1705),$T$2:$T$65),"Misc")</f>
        <v>OH P/N</v>
      </c>
      <c r="O1705" t="str" cm="1">
        <f t="array" ref="O1705">IFERROR(LOOKUP(2,1/SEARCH($V$2:$V$65,G1705),$W$2:$W$65),"Misc")</f>
        <v>OH Part</v>
      </c>
      <c r="P1705" t="str" cm="1">
        <f t="array" ref="P1705">IFERROR(LOOKUP(2,1/SEARCH($Y$2:$Y$65,G1705),$Z$2:$Z$65),"Not Defined")</f>
        <v>OH Part</v>
      </c>
      <c r="Q1705" t="str" cm="1">
        <f t="array" ref="Q1705">IFERROR(LOOKUP(2,1/SEARCH($S$2:$S$65,H1705),$T$2:$T$65),"-")</f>
        <v>-</v>
      </c>
    </row>
    <row r="1706" spans="1:17" x14ac:dyDescent="0.25">
      <c r="A1706" t="s">
        <v>7675</v>
      </c>
      <c r="B1706" s="2" t="s">
        <v>4587</v>
      </c>
      <c r="C1706">
        <v>2</v>
      </c>
      <c r="D1706" t="s">
        <v>7448</v>
      </c>
      <c r="F1706" t="s">
        <v>4588</v>
      </c>
      <c r="G1706" t="s">
        <v>4590</v>
      </c>
      <c r="H1706" t="s">
        <v>4589</v>
      </c>
      <c r="I1706" t="s">
        <v>255</v>
      </c>
      <c r="J1706" t="s">
        <v>7682</v>
      </c>
      <c r="K1706" t="s">
        <v>7826</v>
      </c>
      <c r="L1706" t="s">
        <v>7826</v>
      </c>
      <c r="N1706" t="str" cm="1">
        <f t="array" ref="N1706">IFERROR(LOOKUP(2,1/SEARCH($S$2:$S$65,G1706),$T$2:$T$65),"Misc")</f>
        <v>OH P/N</v>
      </c>
      <c r="O1706" t="str" cm="1">
        <f t="array" ref="O1706">IFERROR(LOOKUP(2,1/SEARCH($V$2:$V$65,G1706),$W$2:$W$65),"Misc")</f>
        <v>OH Part</v>
      </c>
      <c r="P1706" t="str" cm="1">
        <f t="array" ref="P1706">IFERROR(LOOKUP(2,1/SEARCH($Y$2:$Y$65,G1706),$Z$2:$Z$65),"Not Defined")</f>
        <v>OH Part</v>
      </c>
      <c r="Q1706" t="str" cm="1">
        <f t="array" ref="Q1706">IFERROR(LOOKUP(2,1/SEARCH($S$2:$S$65,H1706),$T$2:$T$65),"-")</f>
        <v>-</v>
      </c>
    </row>
    <row r="1707" spans="1:17" x14ac:dyDescent="0.25">
      <c r="A1707" t="s">
        <v>7675</v>
      </c>
      <c r="B1707" s="2" t="s">
        <v>4591</v>
      </c>
      <c r="C1707">
        <v>2</v>
      </c>
      <c r="D1707" t="s">
        <v>7448</v>
      </c>
      <c r="F1707" t="s">
        <v>4592</v>
      </c>
      <c r="G1707" t="s">
        <v>4594</v>
      </c>
      <c r="H1707" t="s">
        <v>4593</v>
      </c>
      <c r="I1707" t="s">
        <v>13</v>
      </c>
      <c r="J1707" t="s">
        <v>7682</v>
      </c>
      <c r="K1707" t="s">
        <v>7826</v>
      </c>
      <c r="L1707" t="s">
        <v>7826</v>
      </c>
      <c r="N1707" t="str" cm="1">
        <f t="array" ref="N1707">IFERROR(LOOKUP(2,1/SEARCH($S$2:$S$65,G1707),$T$2:$T$65),"Misc")</f>
        <v>OH P/N</v>
      </c>
      <c r="O1707" t="str" cm="1">
        <f t="array" ref="O1707">IFERROR(LOOKUP(2,1/SEARCH($V$2:$V$65,G1707),$W$2:$W$65),"Misc")</f>
        <v>OH Part</v>
      </c>
      <c r="P1707" t="str" cm="1">
        <f t="array" ref="P1707">IFERROR(LOOKUP(2,1/SEARCH($Y$2:$Y$65,G1707),$Z$2:$Z$65),"Not Defined")</f>
        <v>OH Part</v>
      </c>
      <c r="Q1707" t="str" cm="1">
        <f t="array" ref="Q1707">IFERROR(LOOKUP(2,1/SEARCH($S$2:$S$65,H1707),$T$2:$T$65),"-")</f>
        <v>COTS</v>
      </c>
    </row>
    <row r="1708" spans="1:17" x14ac:dyDescent="0.25">
      <c r="A1708" t="s">
        <v>7675</v>
      </c>
      <c r="B1708" s="2" t="s">
        <v>4595</v>
      </c>
      <c r="C1708">
        <v>1</v>
      </c>
      <c r="D1708" t="s">
        <v>7448</v>
      </c>
      <c r="F1708" t="s">
        <v>4596</v>
      </c>
      <c r="G1708" t="s">
        <v>4598</v>
      </c>
      <c r="H1708" t="s">
        <v>4597</v>
      </c>
      <c r="I1708" t="s">
        <v>13</v>
      </c>
      <c r="J1708" t="s">
        <v>7682</v>
      </c>
      <c r="K1708" t="s">
        <v>7826</v>
      </c>
      <c r="L1708" t="s">
        <v>7826</v>
      </c>
      <c r="N1708" t="str" cm="1">
        <f t="array" ref="N1708">IFERROR(LOOKUP(2,1/SEARCH($S$2:$S$65,G1708),$T$2:$T$65),"Misc")</f>
        <v>OH P/N</v>
      </c>
      <c r="O1708" t="str" cm="1">
        <f t="array" ref="O1708">IFERROR(LOOKUP(2,1/SEARCH($V$2:$V$65,G1708),$W$2:$W$65),"Misc")</f>
        <v>OH Part</v>
      </c>
      <c r="P1708" t="str" cm="1">
        <f t="array" ref="P1708">IFERROR(LOOKUP(2,1/SEARCH($Y$2:$Y$65,G1708),$Z$2:$Z$65),"Not Defined")</f>
        <v>OH Part</v>
      </c>
      <c r="Q1708" t="str" cm="1">
        <f t="array" ref="Q1708">IFERROR(LOOKUP(2,1/SEARCH($S$2:$S$65,H1708),$T$2:$T$65),"-")</f>
        <v>-</v>
      </c>
    </row>
    <row r="1709" spans="1:17" x14ac:dyDescent="0.25">
      <c r="A1709" t="s">
        <v>7675</v>
      </c>
      <c r="B1709" s="2" t="s">
        <v>4599</v>
      </c>
      <c r="C1709">
        <v>1</v>
      </c>
      <c r="D1709" t="s">
        <v>7448</v>
      </c>
      <c r="F1709" t="s">
        <v>4600</v>
      </c>
      <c r="G1709" t="s">
        <v>4602</v>
      </c>
      <c r="H1709" t="s">
        <v>4601</v>
      </c>
      <c r="I1709" t="s">
        <v>13</v>
      </c>
      <c r="J1709" t="s">
        <v>7682</v>
      </c>
      <c r="K1709" t="s">
        <v>7826</v>
      </c>
      <c r="L1709" t="s">
        <v>7826</v>
      </c>
      <c r="N1709" t="str" cm="1">
        <f t="array" ref="N1709">IFERROR(LOOKUP(2,1/SEARCH($S$2:$S$65,G1709),$T$2:$T$65),"Misc")</f>
        <v>OH P/N</v>
      </c>
      <c r="O1709" t="str" cm="1">
        <f t="array" ref="O1709">IFERROR(LOOKUP(2,1/SEARCH($V$2:$V$65,G1709),$W$2:$W$65),"Misc")</f>
        <v>OH Part</v>
      </c>
      <c r="P1709" t="str" cm="1">
        <f t="array" ref="P1709">IFERROR(LOOKUP(2,1/SEARCH($Y$2:$Y$65,G1709),$Z$2:$Z$65),"Not Defined")</f>
        <v>OH Part</v>
      </c>
      <c r="Q1709" t="str" cm="1">
        <f t="array" ref="Q1709">IFERROR(LOOKUP(2,1/SEARCH($S$2:$S$65,H1709),$T$2:$T$65),"-")</f>
        <v>-</v>
      </c>
    </row>
    <row r="1710" spans="1:17" x14ac:dyDescent="0.25">
      <c r="A1710" t="s">
        <v>7675</v>
      </c>
      <c r="B1710" s="2" t="s">
        <v>4603</v>
      </c>
      <c r="C1710">
        <v>1</v>
      </c>
      <c r="D1710" t="s">
        <v>7448</v>
      </c>
      <c r="F1710" t="s">
        <v>4604</v>
      </c>
      <c r="G1710" t="s">
        <v>4606</v>
      </c>
      <c r="H1710" t="s">
        <v>4605</v>
      </c>
      <c r="I1710" t="s">
        <v>13</v>
      </c>
      <c r="J1710" t="s">
        <v>7682</v>
      </c>
      <c r="K1710" t="s">
        <v>7826</v>
      </c>
      <c r="L1710" t="s">
        <v>7826</v>
      </c>
      <c r="N1710" t="str" cm="1">
        <f t="array" ref="N1710">IFERROR(LOOKUP(2,1/SEARCH($S$2:$S$65,G1710),$T$2:$T$65),"Misc")</f>
        <v>OH P/N</v>
      </c>
      <c r="O1710" t="str" cm="1">
        <f t="array" ref="O1710">IFERROR(LOOKUP(2,1/SEARCH($V$2:$V$65,G1710),$W$2:$W$65),"Misc")</f>
        <v>OH Part</v>
      </c>
      <c r="P1710" t="str" cm="1">
        <f t="array" ref="P1710">IFERROR(LOOKUP(2,1/SEARCH($Y$2:$Y$65,G1710),$Z$2:$Z$65),"Not Defined")</f>
        <v>OH Part</v>
      </c>
      <c r="Q1710" t="str" cm="1">
        <f t="array" ref="Q1710">IFERROR(LOOKUP(2,1/SEARCH($S$2:$S$65,H1710),$T$2:$T$65),"-")</f>
        <v>-</v>
      </c>
    </row>
    <row r="1711" spans="1:17" x14ac:dyDescent="0.25">
      <c r="A1711" t="s">
        <v>7675</v>
      </c>
      <c r="B1711" s="2" t="s">
        <v>4607</v>
      </c>
      <c r="C1711">
        <v>1</v>
      </c>
      <c r="D1711" t="s">
        <v>7448</v>
      </c>
      <c r="F1711" t="s">
        <v>4608</v>
      </c>
      <c r="G1711" t="s">
        <v>4610</v>
      </c>
      <c r="H1711" t="s">
        <v>4609</v>
      </c>
      <c r="I1711" t="s">
        <v>299</v>
      </c>
      <c r="J1711" t="s">
        <v>7682</v>
      </c>
      <c r="K1711" t="s">
        <v>7826</v>
      </c>
      <c r="L1711" t="s">
        <v>7826</v>
      </c>
      <c r="N1711" t="str" cm="1">
        <f t="array" ref="N1711">IFERROR(LOOKUP(2,1/SEARCH($S$2:$S$65,G1711),$T$2:$T$65),"Misc")</f>
        <v>OH P/N</v>
      </c>
      <c r="O1711" t="str" cm="1">
        <f t="array" ref="O1711">IFERROR(LOOKUP(2,1/SEARCH($V$2:$V$65,G1711),$W$2:$W$65),"Misc")</f>
        <v>OH Part</v>
      </c>
      <c r="P1711" t="str" cm="1">
        <f t="array" ref="P1711">IFERROR(LOOKUP(2,1/SEARCH($Y$2:$Y$65,G1711),$Z$2:$Z$65),"Not Defined")</f>
        <v>OH Part</v>
      </c>
      <c r="Q1711" t="str" cm="1">
        <f t="array" ref="Q1711">IFERROR(LOOKUP(2,1/SEARCH($S$2:$S$65,H1711),$T$2:$T$65),"-")</f>
        <v>-</v>
      </c>
    </row>
    <row r="1712" spans="1:17" x14ac:dyDescent="0.25">
      <c r="A1712" t="s">
        <v>7675</v>
      </c>
      <c r="B1712" s="2" t="s">
        <v>4611</v>
      </c>
      <c r="C1712">
        <v>1</v>
      </c>
      <c r="D1712" t="s">
        <v>7448</v>
      </c>
      <c r="F1712" t="s">
        <v>4612</v>
      </c>
      <c r="G1712" t="s">
        <v>4614</v>
      </c>
      <c r="H1712" t="s">
        <v>4613</v>
      </c>
      <c r="I1712" t="s">
        <v>13</v>
      </c>
      <c r="J1712" t="s">
        <v>7682</v>
      </c>
      <c r="K1712" t="s">
        <v>7826</v>
      </c>
      <c r="L1712" t="s">
        <v>7826</v>
      </c>
      <c r="N1712" t="str" cm="1">
        <f t="array" ref="N1712">IFERROR(LOOKUP(2,1/SEARCH($S$2:$S$65,G1712),$T$2:$T$65),"Misc")</f>
        <v>OH P/N</v>
      </c>
      <c r="O1712" t="str" cm="1">
        <f t="array" ref="O1712">IFERROR(LOOKUP(2,1/SEARCH($V$2:$V$65,G1712),$W$2:$W$65),"Misc")</f>
        <v>OH Part</v>
      </c>
      <c r="P1712" t="str" cm="1">
        <f t="array" ref="P1712">IFERROR(LOOKUP(2,1/SEARCH($Y$2:$Y$65,G1712),$Z$2:$Z$65),"Not Defined")</f>
        <v>OH Part</v>
      </c>
      <c r="Q1712" t="str" cm="1">
        <f t="array" ref="Q1712">IFERROR(LOOKUP(2,1/SEARCH($S$2:$S$65,H1712),$T$2:$T$65),"-")</f>
        <v>-</v>
      </c>
    </row>
    <row r="1713" spans="1:17" hidden="1" x14ac:dyDescent="0.25">
      <c r="A1713" t="s">
        <v>7675</v>
      </c>
      <c r="B1713" s="2" t="s">
        <v>4615</v>
      </c>
      <c r="C1713">
        <v>1</v>
      </c>
      <c r="D1713" t="s">
        <v>7448</v>
      </c>
      <c r="E1713" t="s">
        <v>4617</v>
      </c>
      <c r="F1713" t="s">
        <v>4616</v>
      </c>
      <c r="G1713" t="s">
        <v>4618</v>
      </c>
      <c r="H1713" t="s">
        <v>4617</v>
      </c>
      <c r="J1713" t="s">
        <v>7742</v>
      </c>
      <c r="K1713" t="s">
        <v>7826</v>
      </c>
      <c r="L1713" t="s">
        <v>7826</v>
      </c>
      <c r="N1713" t="str" cm="1">
        <f t="array" ref="N1713">IFERROR(LOOKUP(2,1/SEARCH($S$2:$S$65,G1713),$T$2:$T$65),"Misc")</f>
        <v>OH ASSY</v>
      </c>
      <c r="O1713" t="str" cm="1">
        <f t="array" ref="O1713">IFERROR(LOOKUP(2,1/SEARCH($V$2:$V$65,G1713),$W$2:$W$65),"Misc")</f>
        <v>OH Part</v>
      </c>
      <c r="P1713" t="str" cm="1">
        <f t="array" ref="P1713">IFERROR(LOOKUP(2,1/SEARCH($Y$2:$Y$65,G1713),$Z$2:$Z$65),"Not Defined")</f>
        <v>OH Part</v>
      </c>
      <c r="Q1713" t="str" cm="1">
        <f t="array" ref="Q1713">IFERROR(LOOKUP(2,1/SEARCH($S$2:$S$65,H1713),$T$2:$T$65),"-")</f>
        <v>OH ASSY</v>
      </c>
    </row>
    <row r="1714" spans="1:17" hidden="1" x14ac:dyDescent="0.25">
      <c r="A1714" t="s">
        <v>7675</v>
      </c>
      <c r="B1714" s="2" t="s">
        <v>4619</v>
      </c>
      <c r="C1714">
        <v>1</v>
      </c>
      <c r="D1714" t="s">
        <v>7448</v>
      </c>
      <c r="E1714" t="s">
        <v>4617</v>
      </c>
      <c r="F1714" t="s">
        <v>4620</v>
      </c>
      <c r="G1714" t="s">
        <v>4622</v>
      </c>
      <c r="H1714" t="s">
        <v>4621</v>
      </c>
      <c r="I1714" t="s">
        <v>255</v>
      </c>
      <c r="J1714" t="s">
        <v>7682</v>
      </c>
      <c r="K1714" t="s">
        <v>7826</v>
      </c>
      <c r="L1714" t="s">
        <v>7826</v>
      </c>
      <c r="N1714" t="str" cm="1">
        <f t="array" ref="N1714">IFERROR(LOOKUP(2,1/SEARCH($S$2:$S$65,G1714),$T$2:$T$65),"Misc")</f>
        <v>OH P/N</v>
      </c>
      <c r="O1714" t="str" cm="1">
        <f t="array" ref="O1714">IFERROR(LOOKUP(2,1/SEARCH($V$2:$V$65,G1714),$W$2:$W$65),"Misc")</f>
        <v>OH Part</v>
      </c>
      <c r="P1714" t="str" cm="1">
        <f t="array" ref="P1714">IFERROR(LOOKUP(2,1/SEARCH($Y$2:$Y$65,G1714),$Z$2:$Z$65),"Not Defined")</f>
        <v>OH Part</v>
      </c>
      <c r="Q1714" t="str" cm="1">
        <f t="array" ref="Q1714">IFERROR(LOOKUP(2,1/SEARCH($S$2:$S$65,H1714),$T$2:$T$65),"-")</f>
        <v>-</v>
      </c>
    </row>
    <row r="1715" spans="1:17" hidden="1" x14ac:dyDescent="0.25">
      <c r="A1715" t="s">
        <v>7675</v>
      </c>
      <c r="B1715" s="2" t="s">
        <v>4623</v>
      </c>
      <c r="C1715">
        <v>1</v>
      </c>
      <c r="D1715" t="s">
        <v>7448</v>
      </c>
      <c r="E1715" t="s">
        <v>4617</v>
      </c>
      <c r="F1715" t="s">
        <v>2424</v>
      </c>
      <c r="G1715" t="s">
        <v>7280</v>
      </c>
      <c r="H1715" t="s">
        <v>2425</v>
      </c>
      <c r="J1715" t="s">
        <v>7703</v>
      </c>
      <c r="K1715" t="s">
        <v>7814</v>
      </c>
      <c r="L1715" t="s">
        <v>7834</v>
      </c>
      <c r="N1715" t="str" cm="1">
        <f t="array" ref="N1715">IFERROR(LOOKUP(2,1/SEARCH($S$2:$S$65,G1715),$T$2:$T$65),"Misc")</f>
        <v>Misc</v>
      </c>
      <c r="O1715" t="str" cm="1">
        <f t="array" ref="O1715">IFERROR(LOOKUP(2,1/SEARCH($V$2:$V$65,G1715),$W$2:$W$65),"Misc")</f>
        <v>Misc</v>
      </c>
      <c r="P1715" t="str" cm="1">
        <f t="array" ref="P1715">IFERROR(LOOKUP(2,1/SEARCH($Y$2:$Y$65,G1715),$Z$2:$Z$65),"Not Defined")</f>
        <v>Not Defined</v>
      </c>
      <c r="Q1715" t="str" cm="1">
        <f t="array" ref="Q1715">IFERROR(LOOKUP(2,1/SEARCH($S$2:$S$65,H1715),$T$2:$T$65),"-")</f>
        <v>-</v>
      </c>
    </row>
    <row r="1716" spans="1:17" x14ac:dyDescent="0.25">
      <c r="A1716" t="s">
        <v>7675</v>
      </c>
      <c r="B1716" s="2" t="s">
        <v>4624</v>
      </c>
      <c r="C1716">
        <v>4</v>
      </c>
      <c r="D1716" t="s">
        <v>7448</v>
      </c>
      <c r="F1716" t="s">
        <v>4625</v>
      </c>
      <c r="G1716" t="s">
        <v>7466</v>
      </c>
      <c r="H1716" t="s">
        <v>4626</v>
      </c>
      <c r="I1716" t="s">
        <v>3477</v>
      </c>
      <c r="J1716" t="s">
        <v>7703</v>
      </c>
      <c r="K1716" t="s">
        <v>7683</v>
      </c>
      <c r="L1716" t="s">
        <v>7683</v>
      </c>
      <c r="N1716" t="str" cm="1">
        <f t="array" ref="N1716">IFERROR(LOOKUP(2,1/SEARCH($S$2:$S$65,G1716),$T$2:$T$65),"Misc")</f>
        <v>COTS</v>
      </c>
      <c r="O1716" t="str" cm="1">
        <f t="array" ref="O1716">IFERROR(LOOKUP(2,1/SEARCH($V$2:$V$65,G1716),$W$2:$W$65),"Misc")</f>
        <v>BEARING</v>
      </c>
      <c r="P1716" t="str" cm="1">
        <f t="array" ref="P1716">IFERROR(LOOKUP(2,1/SEARCH($Y$2:$Y$65,G1716),$Z$2:$Z$65),"Not Defined")</f>
        <v>BEARING</v>
      </c>
      <c r="Q1716" t="str" cm="1">
        <f t="array" ref="Q1716">IFERROR(LOOKUP(2,1/SEARCH($S$2:$S$65,H1716),$T$2:$T$65),"-")</f>
        <v>COTS</v>
      </c>
    </row>
    <row r="1717" spans="1:17" x14ac:dyDescent="0.25">
      <c r="A1717" t="s">
        <v>7675</v>
      </c>
      <c r="B1717" s="2" t="s">
        <v>4627</v>
      </c>
      <c r="C1717">
        <v>2</v>
      </c>
      <c r="D1717" t="s">
        <v>7448</v>
      </c>
      <c r="F1717" t="s">
        <v>4628</v>
      </c>
      <c r="G1717" t="s">
        <v>7467</v>
      </c>
      <c r="H1717" t="s">
        <v>4629</v>
      </c>
      <c r="I1717" t="s">
        <v>210</v>
      </c>
      <c r="J1717" t="s">
        <v>7703</v>
      </c>
      <c r="K1717" t="s">
        <v>7683</v>
      </c>
      <c r="L1717" t="s">
        <v>7718</v>
      </c>
      <c r="N1717" t="str" cm="1">
        <f t="array" ref="N1717">IFERROR(LOOKUP(2,1/SEARCH($S$2:$S$65,G1717),$T$2:$T$65),"Misc")</f>
        <v>COTS</v>
      </c>
      <c r="O1717" t="str" cm="1">
        <f t="array" ref="O1717">IFERROR(LOOKUP(2,1/SEARCH($V$2:$V$65,G1717),$W$2:$W$65),"Misc")</f>
        <v>BEARING</v>
      </c>
      <c r="P1717" t="str" cm="1">
        <f t="array" ref="P1717">IFERROR(LOOKUP(2,1/SEARCH($Y$2:$Y$65,G1717),$Z$2:$Z$65),"Not Defined")</f>
        <v>LED</v>
      </c>
      <c r="Q1717" t="str" cm="1">
        <f t="array" ref="Q1717">IFERROR(LOOKUP(2,1/SEARCH($S$2:$S$65,H1717),$T$2:$T$65),"-")</f>
        <v>COTS</v>
      </c>
    </row>
    <row r="1718" spans="1:17" x14ac:dyDescent="0.25">
      <c r="A1718" t="s">
        <v>7675</v>
      </c>
      <c r="B1718" s="2" t="s">
        <v>4630</v>
      </c>
      <c r="C1718">
        <v>4</v>
      </c>
      <c r="D1718" t="s">
        <v>7448</v>
      </c>
      <c r="F1718" t="s">
        <v>4631</v>
      </c>
      <c r="G1718" t="s">
        <v>7468</v>
      </c>
      <c r="H1718" t="s">
        <v>4632</v>
      </c>
      <c r="I1718" t="s">
        <v>3477</v>
      </c>
      <c r="J1718" t="s">
        <v>7703</v>
      </c>
      <c r="K1718" t="s">
        <v>7683</v>
      </c>
      <c r="L1718" t="s">
        <v>7683</v>
      </c>
      <c r="N1718" t="str" cm="1">
        <f t="array" ref="N1718">IFERROR(LOOKUP(2,1/SEARCH($S$2:$S$65,G1718),$T$2:$T$65),"Misc")</f>
        <v>COTS</v>
      </c>
      <c r="O1718" t="str" cm="1">
        <f t="array" ref="O1718">IFERROR(LOOKUP(2,1/SEARCH($V$2:$V$65,G1718),$W$2:$W$65),"Misc")</f>
        <v>BEARING</v>
      </c>
      <c r="P1718" t="str" cm="1">
        <f t="array" ref="P1718">IFERROR(LOOKUP(2,1/SEARCH($Y$2:$Y$65,G1718),$Z$2:$Z$65),"Not Defined")</f>
        <v>BEARING</v>
      </c>
      <c r="Q1718" t="str" cm="1">
        <f t="array" ref="Q1718">IFERROR(LOOKUP(2,1/SEARCH($S$2:$S$65,H1718),$T$2:$T$65),"-")</f>
        <v>COTS</v>
      </c>
    </row>
    <row r="1719" spans="1:17" x14ac:dyDescent="0.25">
      <c r="A1719" t="s">
        <v>7675</v>
      </c>
      <c r="B1719" s="2" t="s">
        <v>4633</v>
      </c>
      <c r="C1719">
        <v>2</v>
      </c>
      <c r="D1719" t="s">
        <v>7448</v>
      </c>
      <c r="F1719" t="s">
        <v>4634</v>
      </c>
      <c r="G1719" t="s">
        <v>7469</v>
      </c>
      <c r="H1719" t="s">
        <v>4635</v>
      </c>
      <c r="I1719" t="s">
        <v>210</v>
      </c>
      <c r="J1719" t="s">
        <v>7703</v>
      </c>
      <c r="K1719" t="s">
        <v>7719</v>
      </c>
      <c r="L1719" t="s">
        <v>7688</v>
      </c>
      <c r="N1719" t="str" cm="1">
        <f t="array" ref="N1719">IFERROR(LOOKUP(2,1/SEARCH($S$2:$S$65,G1719),$T$2:$T$65),"Misc")</f>
        <v>COTS</v>
      </c>
      <c r="O1719" t="str" cm="1">
        <f t="array" ref="O1719">IFERROR(LOOKUP(2,1/SEARCH($V$2:$V$65,G1719),$W$2:$W$65),"Misc")</f>
        <v>Misc</v>
      </c>
      <c r="P1719" t="str" cm="1">
        <f t="array" ref="P1719">IFERROR(LOOKUP(2,1/SEARCH($Y$2:$Y$65,G1719),$Z$2:$Z$65),"Not Defined")</f>
        <v>SPRING</v>
      </c>
      <c r="Q1719" t="str" cm="1">
        <f t="array" ref="Q1719">IFERROR(LOOKUP(2,1/SEARCH($S$2:$S$65,H1719),$T$2:$T$65),"-")</f>
        <v>COTS</v>
      </c>
    </row>
    <row r="1720" spans="1:17" x14ac:dyDescent="0.25">
      <c r="A1720" t="s">
        <v>7675</v>
      </c>
      <c r="B1720" s="2" t="s">
        <v>4636</v>
      </c>
      <c r="C1720">
        <v>2</v>
      </c>
      <c r="D1720" t="s">
        <v>7448</v>
      </c>
      <c r="F1720" t="s">
        <v>4637</v>
      </c>
      <c r="G1720" t="s">
        <v>7833</v>
      </c>
      <c r="H1720" t="s">
        <v>4638</v>
      </c>
      <c r="I1720" t="s">
        <v>255</v>
      </c>
      <c r="J1720" t="s">
        <v>7703</v>
      </c>
      <c r="K1720" t="s">
        <v>7814</v>
      </c>
      <c r="L1720" t="s">
        <v>7834</v>
      </c>
      <c r="N1720" t="str" cm="1">
        <f t="array" ref="N1720">IFERROR(LOOKUP(2,1/SEARCH($S$2:$S$65,G1720),$T$2:$T$65),"Misc")</f>
        <v>Misc</v>
      </c>
      <c r="O1720" t="str" cm="1">
        <f t="array" ref="O1720">IFERROR(LOOKUP(2,1/SEARCH($V$2:$V$65,G1720),$W$2:$W$65),"Misc")</f>
        <v>Misc</v>
      </c>
      <c r="P1720" t="str" cm="1">
        <f t="array" ref="P1720">IFERROR(LOOKUP(2,1/SEARCH($Y$2:$Y$65,G1720),$Z$2:$Z$65),"Not Defined")</f>
        <v>Not Defined</v>
      </c>
      <c r="Q1720" t="str" cm="1">
        <f t="array" ref="Q1720">IFERROR(LOOKUP(2,1/SEARCH($S$2:$S$65,H1720),$T$2:$T$65),"-")</f>
        <v>-</v>
      </c>
    </row>
    <row r="1721" spans="1:17" x14ac:dyDescent="0.25">
      <c r="A1721" t="s">
        <v>7675</v>
      </c>
      <c r="B1721" s="2" t="s">
        <v>4639</v>
      </c>
      <c r="C1721">
        <v>2</v>
      </c>
      <c r="D1721" t="s">
        <v>7448</v>
      </c>
      <c r="F1721" t="s">
        <v>4640</v>
      </c>
      <c r="G1721" t="s">
        <v>7470</v>
      </c>
      <c r="H1721" t="s">
        <v>4641</v>
      </c>
      <c r="I1721" t="s">
        <v>210</v>
      </c>
      <c r="J1721" t="s">
        <v>7703</v>
      </c>
      <c r="K1721" t="s">
        <v>7684</v>
      </c>
      <c r="L1721" t="s">
        <v>7685</v>
      </c>
      <c r="N1721" t="str" cm="1">
        <f t="array" ref="N1721">IFERROR(LOOKUP(2,1/SEARCH($S$2:$S$65,G1721),$T$2:$T$65),"Misc")</f>
        <v>COTS</v>
      </c>
      <c r="O1721" t="str" cm="1">
        <f t="array" ref="O1721">IFERROR(LOOKUP(2,1/SEARCH($V$2:$V$65,G1721),$W$2:$W$65),"Misc")</f>
        <v>Fasteners</v>
      </c>
      <c r="P1721" t="str" cm="1">
        <f t="array" ref="P1721">IFERROR(LOOKUP(2,1/SEARCH($Y$2:$Y$65,G1721),$Z$2:$Z$65),"Not Defined")</f>
        <v>NUT</v>
      </c>
      <c r="Q1721" t="str" cm="1">
        <f t="array" ref="Q1721">IFERROR(LOOKUP(2,1/SEARCH($S$2:$S$65,H1721),$T$2:$T$65),"-")</f>
        <v>COTS</v>
      </c>
    </row>
    <row r="1722" spans="1:17" x14ac:dyDescent="0.25">
      <c r="A1722" t="s">
        <v>7675</v>
      </c>
      <c r="B1722" s="2" t="s">
        <v>4642</v>
      </c>
      <c r="C1722">
        <v>2</v>
      </c>
      <c r="D1722" t="s">
        <v>7448</v>
      </c>
      <c r="F1722" t="s">
        <v>4643</v>
      </c>
      <c r="G1722" t="s">
        <v>7471</v>
      </c>
      <c r="H1722" t="s">
        <v>4644</v>
      </c>
      <c r="I1722" t="s">
        <v>210</v>
      </c>
      <c r="J1722" t="s">
        <v>7703</v>
      </c>
      <c r="K1722" t="s">
        <v>7684</v>
      </c>
      <c r="L1722" t="s">
        <v>7692</v>
      </c>
      <c r="N1722" t="str" cm="1">
        <f t="array" ref="N1722">IFERROR(LOOKUP(2,1/SEARCH($S$2:$S$65,G1722),$T$2:$T$65),"Misc")</f>
        <v>COTS</v>
      </c>
      <c r="O1722" t="str" cm="1">
        <f t="array" ref="O1722">IFERROR(LOOKUP(2,1/SEARCH($V$2:$V$65,G1722),$W$2:$W$65),"Misc")</f>
        <v>Fasteners</v>
      </c>
      <c r="P1722" t="str" cm="1">
        <f t="array" ref="P1722">IFERROR(LOOKUP(2,1/SEARCH($Y$2:$Y$65,G1722),$Z$2:$Z$65),"Not Defined")</f>
        <v>WASHER</v>
      </c>
      <c r="Q1722" t="str" cm="1">
        <f t="array" ref="Q1722">IFERROR(LOOKUP(2,1/SEARCH($S$2:$S$65,H1722),$T$2:$T$65),"-")</f>
        <v>COTS</v>
      </c>
    </row>
    <row r="1723" spans="1:17" x14ac:dyDescent="0.25">
      <c r="A1723" t="s">
        <v>7675</v>
      </c>
      <c r="B1723" s="2" t="s">
        <v>4645</v>
      </c>
      <c r="C1723">
        <v>2</v>
      </c>
      <c r="D1723" t="s">
        <v>7448</v>
      </c>
      <c r="F1723" t="s">
        <v>4646</v>
      </c>
      <c r="G1723" t="s">
        <v>7472</v>
      </c>
      <c r="H1723" t="s">
        <v>4647</v>
      </c>
      <c r="I1723" t="s">
        <v>228</v>
      </c>
      <c r="J1723" t="s">
        <v>7703</v>
      </c>
      <c r="K1723" t="s">
        <v>7698</v>
      </c>
      <c r="L1723" t="s">
        <v>7707</v>
      </c>
      <c r="N1723" t="str" cm="1">
        <f t="array" ref="N1723">IFERROR(LOOKUP(2,1/SEARCH($S$2:$S$65,G1723),$T$2:$T$65),"Misc")</f>
        <v>COTS</v>
      </c>
      <c r="O1723" t="str" cm="1">
        <f t="array" ref="O1723">IFERROR(LOOKUP(2,1/SEARCH($V$2:$V$65,G1723),$W$2:$W$65),"Misc")</f>
        <v>Pins</v>
      </c>
      <c r="P1723" t="str" cm="1">
        <f t="array" ref="P1723">IFERROR(LOOKUP(2,1/SEARCH($Y$2:$Y$65,G1723),$Z$2:$Z$65),"Not Defined")</f>
        <v>PIN</v>
      </c>
      <c r="Q1723" t="str" cm="1">
        <f t="array" ref="Q1723">IFERROR(LOOKUP(2,1/SEARCH($S$2:$S$65,H1723),$T$2:$T$65),"-")</f>
        <v>COTS</v>
      </c>
    </row>
    <row r="1724" spans="1:17" x14ac:dyDescent="0.25">
      <c r="A1724" t="s">
        <v>7675</v>
      </c>
      <c r="B1724" s="2" t="s">
        <v>4648</v>
      </c>
      <c r="C1724">
        <v>2</v>
      </c>
      <c r="D1724" t="s">
        <v>7448</v>
      </c>
      <c r="F1724" t="s">
        <v>4649</v>
      </c>
      <c r="G1724" t="s">
        <v>7473</v>
      </c>
      <c r="H1724" t="s">
        <v>4650</v>
      </c>
      <c r="I1724" t="s">
        <v>228</v>
      </c>
      <c r="J1724" t="s">
        <v>7703</v>
      </c>
      <c r="K1724" t="s">
        <v>7719</v>
      </c>
      <c r="L1724" t="s">
        <v>7707</v>
      </c>
      <c r="N1724" t="str" cm="1">
        <f t="array" ref="N1724">IFERROR(LOOKUP(2,1/SEARCH($S$2:$S$65,G1724),$T$2:$T$65),"Misc")</f>
        <v>COTS</v>
      </c>
      <c r="O1724" t="str" cm="1">
        <f t="array" ref="O1724">IFERROR(LOOKUP(2,1/SEARCH($V$2:$V$65,G1724),$W$2:$W$65),"Misc")</f>
        <v>Misc</v>
      </c>
      <c r="P1724" t="str" cm="1">
        <f t="array" ref="P1724">IFERROR(LOOKUP(2,1/SEARCH($Y$2:$Y$65,G1724),$Z$2:$Z$65),"Not Defined")</f>
        <v>PIN</v>
      </c>
      <c r="Q1724" t="str" cm="1">
        <f t="array" ref="Q1724">IFERROR(LOOKUP(2,1/SEARCH($S$2:$S$65,H1724),$T$2:$T$65),"-")</f>
        <v>COTS</v>
      </c>
    </row>
    <row r="1725" spans="1:17" x14ac:dyDescent="0.25">
      <c r="A1725" t="s">
        <v>7675</v>
      </c>
      <c r="B1725" s="2" t="s">
        <v>4651</v>
      </c>
      <c r="C1725">
        <v>24</v>
      </c>
      <c r="D1725" t="s">
        <v>7448</v>
      </c>
      <c r="F1725" t="s">
        <v>4652</v>
      </c>
      <c r="G1725" t="s">
        <v>7474</v>
      </c>
      <c r="H1725" t="s">
        <v>4653</v>
      </c>
      <c r="I1725" t="s">
        <v>210</v>
      </c>
      <c r="J1725" t="s">
        <v>7703</v>
      </c>
      <c r="K1725" t="s">
        <v>7684</v>
      </c>
      <c r="L1725" t="s">
        <v>7685</v>
      </c>
      <c r="N1725" t="str" cm="1">
        <f t="array" ref="N1725">IFERROR(LOOKUP(2,1/SEARCH($S$2:$S$65,G1725),$T$2:$T$65),"Misc")</f>
        <v>COTS</v>
      </c>
      <c r="O1725" t="str" cm="1">
        <f t="array" ref="O1725">IFERROR(LOOKUP(2,1/SEARCH($V$2:$V$65,G1725),$W$2:$W$65),"Misc")</f>
        <v>Fasteners</v>
      </c>
      <c r="P1725" t="str" cm="1">
        <f t="array" ref="P1725">IFERROR(LOOKUP(2,1/SEARCH($Y$2:$Y$65,G1725),$Z$2:$Z$65),"Not Defined")</f>
        <v>NUT</v>
      </c>
      <c r="Q1725" t="str" cm="1">
        <f t="array" ref="Q1725">IFERROR(LOOKUP(2,1/SEARCH($S$2:$S$65,H1725),$T$2:$T$65),"-")</f>
        <v>COTS</v>
      </c>
    </row>
    <row r="1726" spans="1:17" x14ac:dyDescent="0.25">
      <c r="A1726" t="s">
        <v>7675</v>
      </c>
      <c r="B1726" s="2" t="s">
        <v>4654</v>
      </c>
      <c r="C1726">
        <v>2</v>
      </c>
      <c r="D1726" t="s">
        <v>7448</v>
      </c>
      <c r="F1726" t="s">
        <v>4655</v>
      </c>
      <c r="G1726" t="s">
        <v>7475</v>
      </c>
      <c r="H1726" t="s">
        <v>4656</v>
      </c>
      <c r="I1726" t="s">
        <v>299</v>
      </c>
      <c r="J1726" t="s">
        <v>7703</v>
      </c>
      <c r="K1726" t="s">
        <v>7684</v>
      </c>
      <c r="L1726" t="s">
        <v>7708</v>
      </c>
      <c r="N1726" t="str" cm="1">
        <f t="array" ref="N1726">IFERROR(LOOKUP(2,1/SEARCH($S$2:$S$65,G1726),$T$2:$T$65),"Misc")</f>
        <v>COTS</v>
      </c>
      <c r="O1726" t="str" cm="1">
        <f t="array" ref="O1726">IFERROR(LOOKUP(2,1/SEARCH($V$2:$V$65,G1726),$W$2:$W$65),"Misc")</f>
        <v>Fasteners</v>
      </c>
      <c r="P1726" t="str" cm="1">
        <f t="array" ref="P1726">IFERROR(LOOKUP(2,1/SEARCH($Y$2:$Y$65,G1726),$Z$2:$Z$65),"Not Defined")</f>
        <v>STANDOFF</v>
      </c>
      <c r="Q1726" t="str" cm="1">
        <f t="array" ref="Q1726">IFERROR(LOOKUP(2,1/SEARCH($S$2:$S$65,H1726),$T$2:$T$65),"-")</f>
        <v>COTS</v>
      </c>
    </row>
    <row r="1727" spans="1:17" x14ac:dyDescent="0.25">
      <c r="A1727" t="s">
        <v>7675</v>
      </c>
      <c r="B1727" s="2" t="s">
        <v>4657</v>
      </c>
      <c r="C1727">
        <v>2</v>
      </c>
      <c r="D1727" t="s">
        <v>7448</v>
      </c>
      <c r="F1727" t="s">
        <v>4658</v>
      </c>
      <c r="G1727" t="s">
        <v>7476</v>
      </c>
      <c r="H1727" t="s">
        <v>4659</v>
      </c>
      <c r="I1727" t="s">
        <v>210</v>
      </c>
      <c r="J1727" t="s">
        <v>7703</v>
      </c>
      <c r="K1727" t="s">
        <v>7719</v>
      </c>
      <c r="L1727" t="s">
        <v>7688</v>
      </c>
      <c r="N1727" t="str" cm="1">
        <f t="array" ref="N1727">IFERROR(LOOKUP(2,1/SEARCH($S$2:$S$65,G1727),$T$2:$T$65),"Misc")</f>
        <v>COTS</v>
      </c>
      <c r="O1727" t="str" cm="1">
        <f t="array" ref="O1727">IFERROR(LOOKUP(2,1/SEARCH($V$2:$V$65,G1727),$W$2:$W$65),"Misc")</f>
        <v>Misc</v>
      </c>
      <c r="P1727" t="str" cm="1">
        <f t="array" ref="P1727">IFERROR(LOOKUP(2,1/SEARCH($Y$2:$Y$65,G1727),$Z$2:$Z$65),"Not Defined")</f>
        <v>SPRING</v>
      </c>
      <c r="Q1727" t="str" cm="1">
        <f t="array" ref="Q1727">IFERROR(LOOKUP(2,1/SEARCH($S$2:$S$65,H1727),$T$2:$T$65),"-")</f>
        <v>COTS</v>
      </c>
    </row>
    <row r="1728" spans="1:17" x14ac:dyDescent="0.25">
      <c r="A1728" t="s">
        <v>7675</v>
      </c>
      <c r="B1728" s="2" t="s">
        <v>4660</v>
      </c>
      <c r="C1728">
        <v>8</v>
      </c>
      <c r="D1728" t="s">
        <v>7448</v>
      </c>
      <c r="F1728" t="s">
        <v>4437</v>
      </c>
      <c r="G1728" t="s">
        <v>7455</v>
      </c>
      <c r="H1728" t="s">
        <v>4438</v>
      </c>
      <c r="I1728" t="s">
        <v>210</v>
      </c>
      <c r="J1728" t="s">
        <v>7703</v>
      </c>
      <c r="K1728" t="s">
        <v>7684</v>
      </c>
      <c r="L1728" t="s">
        <v>7693</v>
      </c>
      <c r="N1728" t="str" cm="1">
        <f t="array" ref="N1728">IFERROR(LOOKUP(2,1/SEARCH($S$2:$S$65,G1728),$T$2:$T$65),"Misc")</f>
        <v>COTS</v>
      </c>
      <c r="O1728" t="str" cm="1">
        <f t="array" ref="O1728">IFERROR(LOOKUP(2,1/SEARCH($V$2:$V$65,G1728),$W$2:$W$65),"Misc")</f>
        <v>Fasteners</v>
      </c>
      <c r="P1728" t="str" cm="1">
        <f t="array" ref="P1728">IFERROR(LOOKUP(2,1/SEARCH($Y$2:$Y$65,G1728),$Z$2:$Z$65),"Not Defined")</f>
        <v>PHS</v>
      </c>
      <c r="Q1728" t="str" cm="1">
        <f t="array" ref="Q1728">IFERROR(LOOKUP(2,1/SEARCH($S$2:$S$65,H1728),$T$2:$T$65),"-")</f>
        <v>COTS</v>
      </c>
    </row>
    <row r="1729" spans="1:17" x14ac:dyDescent="0.25">
      <c r="A1729" t="s">
        <v>7675</v>
      </c>
      <c r="B1729" s="2" t="s">
        <v>4661</v>
      </c>
      <c r="C1729">
        <v>16</v>
      </c>
      <c r="D1729" t="s">
        <v>7448</v>
      </c>
      <c r="F1729" t="s">
        <v>4662</v>
      </c>
      <c r="G1729" t="s">
        <v>7477</v>
      </c>
      <c r="H1729" t="s">
        <v>4663</v>
      </c>
      <c r="I1729" t="s">
        <v>210</v>
      </c>
      <c r="J1729" t="s">
        <v>7703</v>
      </c>
      <c r="K1729" t="s">
        <v>7684</v>
      </c>
      <c r="L1729" t="s">
        <v>7693</v>
      </c>
      <c r="N1729" t="str" cm="1">
        <f t="array" ref="N1729">IFERROR(LOOKUP(2,1/SEARCH($S$2:$S$65,G1729),$T$2:$T$65),"Misc")</f>
        <v>COTS</v>
      </c>
      <c r="O1729" t="str" cm="1">
        <f t="array" ref="O1729">IFERROR(LOOKUP(2,1/SEARCH($V$2:$V$65,G1729),$W$2:$W$65),"Misc")</f>
        <v>Fasteners</v>
      </c>
      <c r="P1729" t="str" cm="1">
        <f t="array" ref="P1729">IFERROR(LOOKUP(2,1/SEARCH($Y$2:$Y$65,G1729),$Z$2:$Z$65),"Not Defined")</f>
        <v>PHS</v>
      </c>
      <c r="Q1729" t="str" cm="1">
        <f t="array" ref="Q1729">IFERROR(LOOKUP(2,1/SEARCH($S$2:$S$65,H1729),$T$2:$T$65),"-")</f>
        <v>COTS</v>
      </c>
    </row>
    <row r="1730" spans="1:17" x14ac:dyDescent="0.25">
      <c r="A1730" t="s">
        <v>7675</v>
      </c>
      <c r="B1730" s="2" t="s">
        <v>4664</v>
      </c>
      <c r="C1730">
        <v>12</v>
      </c>
      <c r="D1730" t="s">
        <v>7448</v>
      </c>
      <c r="F1730" t="s">
        <v>4665</v>
      </c>
      <c r="G1730" t="s">
        <v>7478</v>
      </c>
      <c r="H1730" t="s">
        <v>4666</v>
      </c>
      <c r="I1730" t="s">
        <v>299</v>
      </c>
      <c r="J1730" t="s">
        <v>7703</v>
      </c>
      <c r="K1730" t="s">
        <v>7684</v>
      </c>
      <c r="L1730" t="s">
        <v>7708</v>
      </c>
      <c r="N1730" t="str" cm="1">
        <f t="array" ref="N1730">IFERROR(LOOKUP(2,1/SEARCH($S$2:$S$65,G1730),$T$2:$T$65),"Misc")</f>
        <v>COTS</v>
      </c>
      <c r="O1730" t="str" cm="1">
        <f t="array" ref="O1730">IFERROR(LOOKUP(2,1/SEARCH($V$2:$V$65,G1730),$W$2:$W$65),"Misc")</f>
        <v>Fasteners</v>
      </c>
      <c r="P1730" t="str" cm="1">
        <f t="array" ref="P1730">IFERROR(LOOKUP(2,1/SEARCH($Y$2:$Y$65,G1730),$Z$2:$Z$65),"Not Defined")</f>
        <v>STANDOFF</v>
      </c>
      <c r="Q1730" t="str" cm="1">
        <f t="array" ref="Q1730">IFERROR(LOOKUP(2,1/SEARCH($S$2:$S$65,H1730),$T$2:$T$65),"-")</f>
        <v>COTS</v>
      </c>
    </row>
    <row r="1731" spans="1:17" x14ac:dyDescent="0.25">
      <c r="A1731" t="s">
        <v>7675</v>
      </c>
      <c r="B1731" s="2" t="s">
        <v>4667</v>
      </c>
      <c r="C1731">
        <v>18</v>
      </c>
      <c r="D1731" t="s">
        <v>7448</v>
      </c>
      <c r="F1731" t="s">
        <v>563</v>
      </c>
      <c r="G1731" t="s">
        <v>7100</v>
      </c>
      <c r="H1731" t="s">
        <v>564</v>
      </c>
      <c r="I1731" t="s">
        <v>228</v>
      </c>
      <c r="J1731" t="s">
        <v>7703</v>
      </c>
      <c r="K1731" t="s">
        <v>7684</v>
      </c>
      <c r="L1731" t="s">
        <v>7693</v>
      </c>
      <c r="N1731" t="str" cm="1">
        <f t="array" ref="N1731">IFERROR(LOOKUP(2,1/SEARCH($S$2:$S$65,G1731),$T$2:$T$65),"Misc")</f>
        <v>COTS</v>
      </c>
      <c r="O1731" t="str" cm="1">
        <f t="array" ref="O1731">IFERROR(LOOKUP(2,1/SEARCH($V$2:$V$65,G1731),$W$2:$W$65),"Misc")</f>
        <v>Fasteners</v>
      </c>
      <c r="P1731" t="str" cm="1">
        <f t="array" ref="P1731">IFERROR(LOOKUP(2,1/SEARCH($Y$2:$Y$65,G1731),$Z$2:$Z$65),"Not Defined")</f>
        <v>PHS</v>
      </c>
      <c r="Q1731" t="str" cm="1">
        <f t="array" ref="Q1731">IFERROR(LOOKUP(2,1/SEARCH($S$2:$S$65,H1731),$T$2:$T$65),"-")</f>
        <v>COTS</v>
      </c>
    </row>
    <row r="1732" spans="1:17" x14ac:dyDescent="0.25">
      <c r="A1732" t="s">
        <v>7675</v>
      </c>
      <c r="B1732" s="2" t="s">
        <v>4668</v>
      </c>
      <c r="C1732">
        <v>10</v>
      </c>
      <c r="D1732" t="s">
        <v>7448</v>
      </c>
      <c r="F1732" t="s">
        <v>904</v>
      </c>
      <c r="G1732" t="s">
        <v>7126</v>
      </c>
      <c r="H1732" t="s">
        <v>905</v>
      </c>
      <c r="I1732" t="s">
        <v>228</v>
      </c>
      <c r="J1732" t="s">
        <v>7703</v>
      </c>
      <c r="K1732" t="s">
        <v>7684</v>
      </c>
      <c r="L1732" t="s">
        <v>7692</v>
      </c>
      <c r="N1732" t="str" cm="1">
        <f t="array" ref="N1732">IFERROR(LOOKUP(2,1/SEARCH($S$2:$S$65,G1732),$T$2:$T$65),"Misc")</f>
        <v>COTS</v>
      </c>
      <c r="O1732" t="str" cm="1">
        <f t="array" ref="O1732">IFERROR(LOOKUP(2,1/SEARCH($V$2:$V$65,G1732),$W$2:$W$65),"Misc")</f>
        <v>Fasteners</v>
      </c>
      <c r="P1732" t="str" cm="1">
        <f t="array" ref="P1732">IFERROR(LOOKUP(2,1/SEARCH($Y$2:$Y$65,G1732),$Z$2:$Z$65),"Not Defined")</f>
        <v>WASHER</v>
      </c>
      <c r="Q1732" t="str" cm="1">
        <f t="array" ref="Q1732">IFERROR(LOOKUP(2,1/SEARCH($S$2:$S$65,H1732),$T$2:$T$65),"-")</f>
        <v>COTS</v>
      </c>
    </row>
    <row r="1733" spans="1:17" x14ac:dyDescent="0.25">
      <c r="A1733" t="s">
        <v>7675</v>
      </c>
      <c r="B1733" s="2" t="s">
        <v>4669</v>
      </c>
      <c r="C1733">
        <v>8</v>
      </c>
      <c r="D1733" t="s">
        <v>7448</v>
      </c>
      <c r="F1733" t="s">
        <v>4670</v>
      </c>
      <c r="G1733" t="s">
        <v>7479</v>
      </c>
      <c r="H1733" t="s">
        <v>4671</v>
      </c>
      <c r="I1733" t="s">
        <v>210</v>
      </c>
      <c r="J1733" t="s">
        <v>7703</v>
      </c>
      <c r="K1733" t="s">
        <v>7684</v>
      </c>
      <c r="L1733" t="s">
        <v>7693</v>
      </c>
      <c r="N1733" t="str" cm="1">
        <f t="array" ref="N1733">IFERROR(LOOKUP(2,1/SEARCH($S$2:$S$65,G1733),$T$2:$T$65),"Misc")</f>
        <v>COTS</v>
      </c>
      <c r="O1733" t="str" cm="1">
        <f t="array" ref="O1733">IFERROR(LOOKUP(2,1/SEARCH($V$2:$V$65,G1733),$W$2:$W$65),"Misc")</f>
        <v>Fasteners</v>
      </c>
      <c r="P1733" t="str" cm="1">
        <f t="array" ref="P1733">IFERROR(LOOKUP(2,1/SEARCH($Y$2:$Y$65,G1733),$Z$2:$Z$65),"Not Defined")</f>
        <v>PHS</v>
      </c>
      <c r="Q1733" t="str" cm="1">
        <f t="array" ref="Q1733">IFERROR(LOOKUP(2,1/SEARCH($S$2:$S$65,H1733),$T$2:$T$65),"-")</f>
        <v>COTS</v>
      </c>
    </row>
    <row r="1734" spans="1:17" x14ac:dyDescent="0.25">
      <c r="A1734" t="s">
        <v>7675</v>
      </c>
      <c r="B1734" s="2" t="s">
        <v>4672</v>
      </c>
      <c r="C1734">
        <v>4</v>
      </c>
      <c r="D1734" t="s">
        <v>7448</v>
      </c>
      <c r="F1734" t="s">
        <v>460</v>
      </c>
      <c r="G1734" t="s">
        <v>7090</v>
      </c>
      <c r="H1734" t="s">
        <v>461</v>
      </c>
      <c r="I1734" t="s">
        <v>224</v>
      </c>
      <c r="J1734" t="s">
        <v>7703</v>
      </c>
      <c r="K1734" t="s">
        <v>7684</v>
      </c>
      <c r="L1734" t="s">
        <v>7693</v>
      </c>
      <c r="N1734" t="str" cm="1">
        <f t="array" ref="N1734">IFERROR(LOOKUP(2,1/SEARCH($S$2:$S$65,G1734),$T$2:$T$65),"Misc")</f>
        <v>COTS</v>
      </c>
      <c r="O1734" t="str" cm="1">
        <f t="array" ref="O1734">IFERROR(LOOKUP(2,1/SEARCH($V$2:$V$65,G1734),$W$2:$W$65),"Misc")</f>
        <v>Fasteners</v>
      </c>
      <c r="P1734" t="str" cm="1">
        <f t="array" ref="P1734">IFERROR(LOOKUP(2,1/SEARCH($Y$2:$Y$65,G1734),$Z$2:$Z$65),"Not Defined")</f>
        <v>PHS</v>
      </c>
      <c r="Q1734" t="str" cm="1">
        <f t="array" ref="Q1734">IFERROR(LOOKUP(2,1/SEARCH($S$2:$S$65,H1734),$T$2:$T$65),"-")</f>
        <v>COTS</v>
      </c>
    </row>
    <row r="1735" spans="1:17" x14ac:dyDescent="0.25">
      <c r="A1735" t="s">
        <v>7675</v>
      </c>
      <c r="B1735" s="2" t="s">
        <v>4673</v>
      </c>
      <c r="C1735">
        <v>4</v>
      </c>
      <c r="D1735" t="s">
        <v>7448</v>
      </c>
      <c r="F1735" t="s">
        <v>512</v>
      </c>
      <c r="G1735" t="s">
        <v>7096</v>
      </c>
      <c r="H1735" t="s">
        <v>513</v>
      </c>
      <c r="I1735" t="s">
        <v>299</v>
      </c>
      <c r="J1735" t="s">
        <v>7703</v>
      </c>
      <c r="K1735" t="s">
        <v>7684</v>
      </c>
      <c r="L1735" t="s">
        <v>7708</v>
      </c>
      <c r="N1735" t="str" cm="1">
        <f t="array" ref="N1735">IFERROR(LOOKUP(2,1/SEARCH($S$2:$S$65,G1735),$T$2:$T$65),"Misc")</f>
        <v>COTS</v>
      </c>
      <c r="O1735" t="str" cm="1">
        <f t="array" ref="O1735">IFERROR(LOOKUP(2,1/SEARCH($V$2:$V$65,G1735),$W$2:$W$65),"Misc")</f>
        <v>Fasteners</v>
      </c>
      <c r="P1735" t="str" cm="1">
        <f t="array" ref="P1735">IFERROR(LOOKUP(2,1/SEARCH($Y$2:$Y$65,G1735),$Z$2:$Z$65),"Not Defined")</f>
        <v>STANDOFF</v>
      </c>
      <c r="Q1735" t="str" cm="1">
        <f t="array" ref="Q1735">IFERROR(LOOKUP(2,1/SEARCH($S$2:$S$65,H1735),$T$2:$T$65),"-")</f>
        <v>COTS</v>
      </c>
    </row>
    <row r="1736" spans="1:17" x14ac:dyDescent="0.25">
      <c r="A1736" t="s">
        <v>7675</v>
      </c>
      <c r="B1736" s="2" t="s">
        <v>4674</v>
      </c>
      <c r="C1736">
        <v>4</v>
      </c>
      <c r="D1736" t="s">
        <v>7448</v>
      </c>
      <c r="F1736" t="s">
        <v>268</v>
      </c>
      <c r="G1736" t="s">
        <v>7061</v>
      </c>
      <c r="H1736" t="s">
        <v>269</v>
      </c>
      <c r="I1736" t="s">
        <v>224</v>
      </c>
      <c r="J1736" t="s">
        <v>7703</v>
      </c>
      <c r="K1736" t="s">
        <v>7684</v>
      </c>
      <c r="L1736" t="s">
        <v>7687</v>
      </c>
      <c r="N1736" t="str" cm="1">
        <f t="array" ref="N1736">IFERROR(LOOKUP(2,1/SEARCH($S$2:$S$65,G1736),$T$2:$T$65),"Misc")</f>
        <v>COTS</v>
      </c>
      <c r="O1736" t="str" cm="1">
        <f t="array" ref="O1736">IFERROR(LOOKUP(2,1/SEARCH($V$2:$V$65,G1736),$W$2:$W$65),"Misc")</f>
        <v>Fasteners</v>
      </c>
      <c r="P1736" t="str" cm="1">
        <f t="array" ref="P1736">IFERROR(LOOKUP(2,1/SEARCH($Y$2:$Y$65,G1736),$Z$2:$Z$65),"Not Defined")</f>
        <v>INSERT</v>
      </c>
      <c r="Q1736" t="str" cm="1">
        <f t="array" ref="Q1736">IFERROR(LOOKUP(2,1/SEARCH($S$2:$S$65,H1736),$T$2:$T$65),"-")</f>
        <v>COTS</v>
      </c>
    </row>
    <row r="1737" spans="1:17" x14ac:dyDescent="0.25">
      <c r="A1737" t="s">
        <v>7675</v>
      </c>
      <c r="B1737" s="2" t="s">
        <v>4675</v>
      </c>
      <c r="C1737">
        <v>6</v>
      </c>
      <c r="D1737" t="s">
        <v>7448</v>
      </c>
      <c r="F1737" t="s">
        <v>3974</v>
      </c>
      <c r="G1737" t="s">
        <v>7426</v>
      </c>
      <c r="H1737" t="s">
        <v>3975</v>
      </c>
      <c r="I1737" t="s">
        <v>210</v>
      </c>
      <c r="J1737" t="s">
        <v>7703</v>
      </c>
      <c r="K1737" t="s">
        <v>7684</v>
      </c>
      <c r="L1737" t="s">
        <v>7691</v>
      </c>
      <c r="N1737" t="str" cm="1">
        <f t="array" ref="N1737">IFERROR(LOOKUP(2,1/SEARCH($S$2:$S$65,G1737),$T$2:$T$65),"Misc")</f>
        <v>COTS</v>
      </c>
      <c r="O1737" t="str" cm="1">
        <f t="array" ref="O1737">IFERROR(LOOKUP(2,1/SEARCH($V$2:$V$65,G1737),$W$2:$W$65),"Misc")</f>
        <v>Fasteners</v>
      </c>
      <c r="P1737" t="str" cm="1">
        <f t="array" ref="P1737">IFERROR(LOOKUP(2,1/SEARCH($Y$2:$Y$65,G1737),$Z$2:$Z$65),"Not Defined")</f>
        <v>FHS</v>
      </c>
      <c r="Q1737" t="str" cm="1">
        <f t="array" ref="Q1737">IFERROR(LOOKUP(2,1/SEARCH($S$2:$S$65,H1737),$T$2:$T$65),"-")</f>
        <v>COTS</v>
      </c>
    </row>
    <row r="1738" spans="1:17" x14ac:dyDescent="0.25">
      <c r="A1738" t="s">
        <v>7675</v>
      </c>
      <c r="B1738" s="2" t="s">
        <v>4676</v>
      </c>
      <c r="C1738">
        <v>8</v>
      </c>
      <c r="D1738" t="s">
        <v>7448</v>
      </c>
      <c r="F1738" t="s">
        <v>307</v>
      </c>
      <c r="G1738" t="s">
        <v>7068</v>
      </c>
      <c r="H1738" t="s">
        <v>308</v>
      </c>
      <c r="I1738" t="s">
        <v>228</v>
      </c>
      <c r="J1738" t="s">
        <v>7703</v>
      </c>
      <c r="K1738" t="s">
        <v>7684</v>
      </c>
      <c r="L1738" t="s">
        <v>7693</v>
      </c>
      <c r="N1738" t="str" cm="1">
        <f t="array" ref="N1738">IFERROR(LOOKUP(2,1/SEARCH($S$2:$S$65,G1738),$T$2:$T$65),"Misc")</f>
        <v>COTS</v>
      </c>
      <c r="O1738" t="str" cm="1">
        <f t="array" ref="O1738">IFERROR(LOOKUP(2,1/SEARCH($V$2:$V$65,G1738),$W$2:$W$65),"Misc")</f>
        <v>Fasteners</v>
      </c>
      <c r="P1738" t="str" cm="1">
        <f t="array" ref="P1738">IFERROR(LOOKUP(2,1/SEARCH($Y$2:$Y$65,G1738),$Z$2:$Z$65),"Not Defined")</f>
        <v>PHS</v>
      </c>
      <c r="Q1738" t="str" cm="1">
        <f t="array" ref="Q1738">IFERROR(LOOKUP(2,1/SEARCH($S$2:$S$65,H1738),$T$2:$T$65),"-")</f>
        <v>COTS</v>
      </c>
    </row>
    <row r="1739" spans="1:17" x14ac:dyDescent="0.25">
      <c r="A1739" t="s">
        <v>7675</v>
      </c>
      <c r="B1739" s="2" t="s">
        <v>4677</v>
      </c>
      <c r="C1739">
        <v>4</v>
      </c>
      <c r="D1739" t="s">
        <v>7448</v>
      </c>
      <c r="F1739" t="s">
        <v>4678</v>
      </c>
      <c r="G1739" t="s">
        <v>7480</v>
      </c>
      <c r="H1739" t="s">
        <v>4679</v>
      </c>
      <c r="I1739" t="s">
        <v>255</v>
      </c>
      <c r="J1739" t="s">
        <v>7703</v>
      </c>
      <c r="K1739" t="s">
        <v>7677</v>
      </c>
      <c r="L1739" t="s">
        <v>7677</v>
      </c>
      <c r="N1739" t="str" cm="1">
        <f t="array" ref="N1739">IFERROR(LOOKUP(2,1/SEARCH($S$2:$S$65,G1739),$T$2:$T$65),"Misc")</f>
        <v>COTS</v>
      </c>
      <c r="O1739" t="str" cm="1">
        <f t="array" ref="O1739">IFERROR(LOOKUP(2,1/SEARCH($V$2:$V$65,G1739),$W$2:$W$65),"Misc")</f>
        <v>SWITCH</v>
      </c>
      <c r="P1739" t="str" cm="1">
        <f t="array" ref="P1739">IFERROR(LOOKUP(2,1/SEARCH($Y$2:$Y$65,G1739),$Z$2:$Z$65),"Not Defined")</f>
        <v>SWITCH</v>
      </c>
      <c r="Q1739" t="str" cm="1">
        <f t="array" ref="Q1739">IFERROR(LOOKUP(2,1/SEARCH($S$2:$S$65,H1739),$T$2:$T$65),"-")</f>
        <v>COTS</v>
      </c>
    </row>
    <row r="1740" spans="1:17" x14ac:dyDescent="0.25">
      <c r="A1740" t="s">
        <v>7675</v>
      </c>
      <c r="B1740" s="2" t="s">
        <v>4680</v>
      </c>
      <c r="C1740">
        <v>4</v>
      </c>
      <c r="D1740" t="s">
        <v>7448</v>
      </c>
      <c r="F1740" t="s">
        <v>4681</v>
      </c>
      <c r="G1740" t="s">
        <v>7481</v>
      </c>
      <c r="H1740" t="s">
        <v>4682</v>
      </c>
      <c r="I1740" t="s">
        <v>228</v>
      </c>
      <c r="J1740" t="s">
        <v>7703</v>
      </c>
      <c r="K1740" t="s">
        <v>7684</v>
      </c>
      <c r="L1740" t="s">
        <v>7692</v>
      </c>
      <c r="N1740" t="str" cm="1">
        <f t="array" ref="N1740">IFERROR(LOOKUP(2,1/SEARCH($S$2:$S$65,G1740),$T$2:$T$65),"Misc")</f>
        <v>COTS</v>
      </c>
      <c r="O1740" t="str" cm="1">
        <f t="array" ref="O1740">IFERROR(LOOKUP(2,1/SEARCH($V$2:$V$65,G1740),$W$2:$W$65),"Misc")</f>
        <v>Fasteners</v>
      </c>
      <c r="P1740" t="str" cm="1">
        <f t="array" ref="P1740">IFERROR(LOOKUP(2,1/SEARCH($Y$2:$Y$65,G1740),$Z$2:$Z$65),"Not Defined")</f>
        <v>WASHER</v>
      </c>
      <c r="Q1740" t="str" cm="1">
        <f t="array" ref="Q1740">IFERROR(LOOKUP(2,1/SEARCH($S$2:$S$65,H1740),$T$2:$T$65),"-")</f>
        <v>COTS</v>
      </c>
    </row>
    <row r="1741" spans="1:17" x14ac:dyDescent="0.25">
      <c r="A1741" t="s">
        <v>7675</v>
      </c>
      <c r="B1741" s="2" t="s">
        <v>4683</v>
      </c>
      <c r="C1741">
        <v>2</v>
      </c>
      <c r="D1741" t="s">
        <v>7448</v>
      </c>
      <c r="F1741" t="s">
        <v>4684</v>
      </c>
      <c r="G1741" t="s">
        <v>7482</v>
      </c>
      <c r="H1741" t="s">
        <v>4685</v>
      </c>
      <c r="I1741" t="s">
        <v>210</v>
      </c>
      <c r="J1741" t="s">
        <v>7703</v>
      </c>
      <c r="K1741" t="s">
        <v>7684</v>
      </c>
      <c r="L1741" t="s">
        <v>7711</v>
      </c>
      <c r="N1741" t="str" cm="1">
        <f t="array" ref="N1741">IFERROR(LOOKUP(2,1/SEARCH($S$2:$S$65,G1741),$T$2:$T$65),"Misc")</f>
        <v>COTS</v>
      </c>
      <c r="O1741" t="str" cm="1">
        <f t="array" ref="O1741">IFERROR(LOOKUP(2,1/SEARCH($V$2:$V$65,G1741),$W$2:$W$65),"Misc")</f>
        <v>Fasteners</v>
      </c>
      <c r="P1741" t="str" cm="1">
        <f t="array" ref="P1741">IFERROR(LOOKUP(2,1/SEARCH($Y$2:$Y$65,G1741),$Z$2:$Z$65),"Not Defined")</f>
        <v>SHSS</v>
      </c>
      <c r="Q1741" t="str" cm="1">
        <f t="array" ref="Q1741">IFERROR(LOOKUP(2,1/SEARCH($S$2:$S$65,H1741),$T$2:$T$65),"-")</f>
        <v>COTS</v>
      </c>
    </row>
    <row r="1742" spans="1:17" x14ac:dyDescent="0.25">
      <c r="A1742" t="s">
        <v>7675</v>
      </c>
      <c r="B1742" s="2" t="s">
        <v>4686</v>
      </c>
      <c r="C1742">
        <v>2</v>
      </c>
      <c r="D1742" t="s">
        <v>7448</v>
      </c>
      <c r="F1742" t="s">
        <v>1011</v>
      </c>
      <c r="G1742" t="s">
        <v>7158</v>
      </c>
      <c r="H1742" t="s">
        <v>1012</v>
      </c>
      <c r="J1742" t="s">
        <v>7703</v>
      </c>
      <c r="K1742" t="s">
        <v>7684</v>
      </c>
      <c r="L1742" t="s">
        <v>7685</v>
      </c>
      <c r="N1742" t="str" cm="1">
        <f t="array" ref="N1742">IFERROR(LOOKUP(2,1/SEARCH($S$2:$S$65,G1742),$T$2:$T$65),"Misc")</f>
        <v>COTS</v>
      </c>
      <c r="O1742" t="str" cm="1">
        <f t="array" ref="O1742">IFERROR(LOOKUP(2,1/SEARCH($V$2:$V$65,G1742),$W$2:$W$65),"Misc")</f>
        <v>Fasteners</v>
      </c>
      <c r="P1742" t="str" cm="1">
        <f t="array" ref="P1742">IFERROR(LOOKUP(2,1/SEARCH($Y$2:$Y$65,G1742),$Z$2:$Z$65),"Not Defined")</f>
        <v>NUT</v>
      </c>
      <c r="Q1742" t="str" cm="1">
        <f t="array" ref="Q1742">IFERROR(LOOKUP(2,1/SEARCH($S$2:$S$65,H1742),$T$2:$T$65),"-")</f>
        <v>COTS</v>
      </c>
    </row>
    <row r="1743" spans="1:17" x14ac:dyDescent="0.25">
      <c r="A1743" t="s">
        <v>7675</v>
      </c>
      <c r="B1743" s="2" t="s">
        <v>4687</v>
      </c>
      <c r="C1743">
        <v>2</v>
      </c>
      <c r="D1743" t="s">
        <v>7448</v>
      </c>
      <c r="F1743" t="s">
        <v>3518</v>
      </c>
      <c r="G1743" t="s">
        <v>7375</v>
      </c>
      <c r="H1743" t="s">
        <v>3519</v>
      </c>
      <c r="I1743" t="s">
        <v>255</v>
      </c>
      <c r="J1743" t="s">
        <v>7703</v>
      </c>
      <c r="K1743" t="s">
        <v>7814</v>
      </c>
      <c r="L1743" t="s">
        <v>7702</v>
      </c>
      <c r="N1743" t="str" cm="1">
        <f t="array" ref="N1743">IFERROR(LOOKUP(2,1/SEARCH($S$2:$S$65,G1743),$T$2:$T$65),"Misc")</f>
        <v>COTS</v>
      </c>
      <c r="O1743" t="str" cm="1">
        <f t="array" ref="O1743">IFERROR(LOOKUP(2,1/SEARCH($V$2:$V$65,G1743),$W$2:$W$65),"Misc")</f>
        <v>Misc</v>
      </c>
      <c r="P1743" t="str" cm="1">
        <f t="array" ref="P1743">IFERROR(LOOKUP(2,1/SEARCH($Y$2:$Y$65,G1743),$Z$2:$Z$65),"Not Defined")</f>
        <v>MAGNET</v>
      </c>
      <c r="Q1743" t="str" cm="1">
        <f t="array" ref="Q1743">IFERROR(LOOKUP(2,1/SEARCH($S$2:$S$65,H1743),$T$2:$T$65),"-")</f>
        <v>COTS</v>
      </c>
    </row>
    <row r="1744" spans="1:17" x14ac:dyDescent="0.25">
      <c r="A1744" t="s">
        <v>7675</v>
      </c>
      <c r="B1744" s="2" t="s">
        <v>4688</v>
      </c>
      <c r="C1744">
        <v>6</v>
      </c>
      <c r="D1744" t="s">
        <v>7448</v>
      </c>
      <c r="F1744" t="s">
        <v>4689</v>
      </c>
      <c r="G1744" t="s">
        <v>7483</v>
      </c>
      <c r="H1744" t="s">
        <v>4690</v>
      </c>
      <c r="I1744" t="s">
        <v>299</v>
      </c>
      <c r="J1744" t="s">
        <v>7703</v>
      </c>
      <c r="K1744" t="s">
        <v>7684</v>
      </c>
      <c r="L1744" t="s">
        <v>7708</v>
      </c>
      <c r="N1744" t="str" cm="1">
        <f t="array" ref="N1744">IFERROR(LOOKUP(2,1/SEARCH($S$2:$S$65,G1744),$T$2:$T$65),"Misc")</f>
        <v>COTS</v>
      </c>
      <c r="O1744" t="str" cm="1">
        <f t="array" ref="O1744">IFERROR(LOOKUP(2,1/SEARCH($V$2:$V$65,G1744),$W$2:$W$65),"Misc")</f>
        <v>Fasteners</v>
      </c>
      <c r="P1744" t="str" cm="1">
        <f t="array" ref="P1744">IFERROR(LOOKUP(2,1/SEARCH($Y$2:$Y$65,G1744),$Z$2:$Z$65),"Not Defined")</f>
        <v>STANDOFF</v>
      </c>
      <c r="Q1744" t="str" cm="1">
        <f t="array" ref="Q1744">IFERROR(LOOKUP(2,1/SEARCH($S$2:$S$65,H1744),$T$2:$T$65),"-")</f>
        <v>COTS</v>
      </c>
    </row>
    <row r="1745" spans="1:17" x14ac:dyDescent="0.25">
      <c r="A1745" t="s">
        <v>7675</v>
      </c>
      <c r="B1745" s="2" t="s">
        <v>4691</v>
      </c>
      <c r="C1745">
        <v>2</v>
      </c>
      <c r="D1745" t="s">
        <v>7448</v>
      </c>
      <c r="F1745" t="s">
        <v>4692</v>
      </c>
      <c r="G1745" t="s">
        <v>7484</v>
      </c>
      <c r="H1745" t="s">
        <v>4693</v>
      </c>
      <c r="I1745" t="s">
        <v>210</v>
      </c>
      <c r="J1745" t="s">
        <v>7703</v>
      </c>
      <c r="K1745" t="s">
        <v>7705</v>
      </c>
      <c r="L1745" t="s">
        <v>7704</v>
      </c>
      <c r="N1745" t="str" cm="1">
        <f t="array" ref="N1745">IFERROR(LOOKUP(2,1/SEARCH($S$2:$S$65,G1745),$T$2:$T$65),"Misc")</f>
        <v>COTS</v>
      </c>
      <c r="O1745" t="str" cm="1">
        <f t="array" ref="O1745">IFERROR(LOOKUP(2,1/SEARCH($V$2:$V$65,G1745),$W$2:$W$65),"Misc")</f>
        <v>Shaft Collars</v>
      </c>
      <c r="P1745" t="str" cm="1">
        <f t="array" ref="P1745">IFERROR(LOOKUP(2,1/SEARCH($Y$2:$Y$65,G1745),$Z$2:$Z$65),"Not Defined")</f>
        <v>COLLAR</v>
      </c>
      <c r="Q1745" t="str" cm="1">
        <f t="array" ref="Q1745">IFERROR(LOOKUP(2,1/SEARCH($S$2:$S$65,H1745),$T$2:$T$65),"-")</f>
        <v>COTS</v>
      </c>
    </row>
    <row r="1746" spans="1:17" x14ac:dyDescent="0.25">
      <c r="A1746" t="s">
        <v>7675</v>
      </c>
      <c r="B1746" s="2" t="s">
        <v>4694</v>
      </c>
      <c r="C1746">
        <v>1</v>
      </c>
      <c r="D1746" t="s">
        <v>7448</v>
      </c>
      <c r="F1746" t="s">
        <v>1025</v>
      </c>
      <c r="G1746" t="s">
        <v>7161</v>
      </c>
      <c r="H1746" t="s">
        <v>1026</v>
      </c>
      <c r="I1746" t="s">
        <v>210</v>
      </c>
      <c r="J1746" t="s">
        <v>7703</v>
      </c>
      <c r="K1746" t="s">
        <v>7684</v>
      </c>
      <c r="L1746" t="s">
        <v>7692</v>
      </c>
      <c r="N1746" t="str" cm="1">
        <f t="array" ref="N1746">IFERROR(LOOKUP(2,1/SEARCH($S$2:$S$65,G1746),$T$2:$T$65),"Misc")</f>
        <v>COTS</v>
      </c>
      <c r="O1746" t="str" cm="1">
        <f t="array" ref="O1746">IFERROR(LOOKUP(2,1/SEARCH($V$2:$V$65,G1746),$W$2:$W$65),"Misc")</f>
        <v>Fasteners</v>
      </c>
      <c r="P1746" t="str" cm="1">
        <f t="array" ref="P1746">IFERROR(LOOKUP(2,1/SEARCH($Y$2:$Y$65,G1746),$Z$2:$Z$65),"Not Defined")</f>
        <v>WASHER</v>
      </c>
      <c r="Q1746" t="str" cm="1">
        <f t="array" ref="Q1746">IFERROR(LOOKUP(2,1/SEARCH($S$2:$S$65,H1746),$T$2:$T$65),"-")</f>
        <v>COTS</v>
      </c>
    </row>
    <row r="1747" spans="1:17" x14ac:dyDescent="0.25">
      <c r="A1747" t="s">
        <v>7675</v>
      </c>
      <c r="B1747" s="2" t="s">
        <v>4695</v>
      </c>
      <c r="C1747">
        <v>1</v>
      </c>
      <c r="D1747" t="s">
        <v>7448</v>
      </c>
      <c r="F1747" t="s">
        <v>4696</v>
      </c>
      <c r="G1747" t="s">
        <v>7485</v>
      </c>
      <c r="H1747" t="s">
        <v>4697</v>
      </c>
      <c r="J1747" t="s">
        <v>7703</v>
      </c>
      <c r="K1747" t="s">
        <v>7698</v>
      </c>
      <c r="L1747" t="s">
        <v>7707</v>
      </c>
      <c r="N1747" t="str" cm="1">
        <f t="array" ref="N1747">IFERROR(LOOKUP(2,1/SEARCH($S$2:$S$65,G1747),$T$2:$T$65),"Misc")</f>
        <v>COTS</v>
      </c>
      <c r="O1747" t="str" cm="1">
        <f t="array" ref="O1747">IFERROR(LOOKUP(2,1/SEARCH($V$2:$V$65,G1747),$W$2:$W$65),"Misc")</f>
        <v>Pins</v>
      </c>
      <c r="P1747" t="str" cm="1">
        <f t="array" ref="P1747">IFERROR(LOOKUP(2,1/SEARCH($Y$2:$Y$65,G1747),$Z$2:$Z$65),"Not Defined")</f>
        <v>PIN</v>
      </c>
      <c r="Q1747" t="str" cm="1">
        <f t="array" ref="Q1747">IFERROR(LOOKUP(2,1/SEARCH($S$2:$S$65,H1747),$T$2:$T$65),"-")</f>
        <v>COTS</v>
      </c>
    </row>
    <row r="1748" spans="1:17" x14ac:dyDescent="0.25">
      <c r="A1748" t="s">
        <v>7675</v>
      </c>
      <c r="B1748" s="2" t="s">
        <v>4698</v>
      </c>
      <c r="C1748">
        <v>1</v>
      </c>
      <c r="D1748" t="s">
        <v>7448</v>
      </c>
      <c r="F1748" t="s">
        <v>4699</v>
      </c>
      <c r="G1748" t="s">
        <v>7486</v>
      </c>
      <c r="H1748" t="s">
        <v>4700</v>
      </c>
      <c r="I1748" t="s">
        <v>210</v>
      </c>
      <c r="J1748" t="s">
        <v>7703</v>
      </c>
      <c r="K1748" t="s">
        <v>7684</v>
      </c>
      <c r="L1748" t="s">
        <v>7706</v>
      </c>
      <c r="N1748" t="str" cm="1">
        <f t="array" ref="N1748">IFERROR(LOOKUP(2,1/SEARCH($S$2:$S$65,G1748),$T$2:$T$65),"Misc")</f>
        <v>COTS</v>
      </c>
      <c r="O1748" t="str" cm="1">
        <f t="array" ref="O1748">IFERROR(LOOKUP(2,1/SEARCH($V$2:$V$65,G1748),$W$2:$W$65),"Misc")</f>
        <v>Fasteners</v>
      </c>
      <c r="P1748" t="str" cm="1">
        <f t="array" ref="P1748">IFERROR(LOOKUP(2,1/SEARCH($Y$2:$Y$65,G1748),$Z$2:$Z$65),"Not Defined")</f>
        <v>HHCS</v>
      </c>
      <c r="Q1748" t="str" cm="1">
        <f t="array" ref="Q1748">IFERROR(LOOKUP(2,1/SEARCH($S$2:$S$65,H1748),$T$2:$T$65),"-")</f>
        <v>COTS</v>
      </c>
    </row>
    <row r="1749" spans="1:17" x14ac:dyDescent="0.25">
      <c r="A1749" t="s">
        <v>7675</v>
      </c>
      <c r="B1749" s="2" t="s">
        <v>4701</v>
      </c>
      <c r="C1749">
        <v>1</v>
      </c>
      <c r="D1749" t="s">
        <v>7448</v>
      </c>
      <c r="F1749" t="s">
        <v>1309</v>
      </c>
      <c r="G1749" t="s">
        <v>7203</v>
      </c>
      <c r="H1749" t="s">
        <v>1310</v>
      </c>
      <c r="I1749" t="s">
        <v>210</v>
      </c>
      <c r="J1749" t="s">
        <v>7703</v>
      </c>
      <c r="K1749" t="s">
        <v>7684</v>
      </c>
      <c r="L1749" t="s">
        <v>7685</v>
      </c>
      <c r="N1749" t="str" cm="1">
        <f t="array" ref="N1749">IFERROR(LOOKUP(2,1/SEARCH($S$2:$S$65,G1749),$T$2:$T$65),"Misc")</f>
        <v>COTS</v>
      </c>
      <c r="O1749" t="str" cm="1">
        <f t="array" ref="O1749">IFERROR(LOOKUP(2,1/SEARCH($V$2:$V$65,G1749),$W$2:$W$65),"Misc")</f>
        <v>Fasteners</v>
      </c>
      <c r="P1749" t="str" cm="1">
        <f t="array" ref="P1749">IFERROR(LOOKUP(2,1/SEARCH($Y$2:$Y$65,G1749),$Z$2:$Z$65),"Not Defined")</f>
        <v>NUT</v>
      </c>
      <c r="Q1749" t="str" cm="1">
        <f t="array" ref="Q1749">IFERROR(LOOKUP(2,1/SEARCH($S$2:$S$65,H1749),$T$2:$T$65),"-")</f>
        <v>COTS</v>
      </c>
    </row>
    <row r="1750" spans="1:17" x14ac:dyDescent="0.25">
      <c r="A1750" t="s">
        <v>7675</v>
      </c>
      <c r="B1750" s="2" t="s">
        <v>4702</v>
      </c>
      <c r="C1750">
        <v>2</v>
      </c>
      <c r="D1750" t="s">
        <v>7448</v>
      </c>
      <c r="F1750" t="s">
        <v>4703</v>
      </c>
      <c r="G1750" t="s">
        <v>7487</v>
      </c>
      <c r="H1750" t="s">
        <v>4704</v>
      </c>
      <c r="I1750" t="s">
        <v>210</v>
      </c>
      <c r="J1750" t="s">
        <v>7703</v>
      </c>
      <c r="K1750" t="s">
        <v>7683</v>
      </c>
      <c r="L1750" t="s">
        <v>7718</v>
      </c>
      <c r="N1750" t="str" cm="1">
        <f t="array" ref="N1750">IFERROR(LOOKUP(2,1/SEARCH($S$2:$S$65,G1750),$T$2:$T$65),"Misc")</f>
        <v>COTS</v>
      </c>
      <c r="O1750" t="str" cm="1">
        <f t="array" ref="O1750">IFERROR(LOOKUP(2,1/SEARCH($V$2:$V$65,G1750),$W$2:$W$65),"Misc")</f>
        <v>BEARING</v>
      </c>
      <c r="P1750" t="str" cm="1">
        <f t="array" ref="P1750">IFERROR(LOOKUP(2,1/SEARCH($Y$2:$Y$65,G1750),$Z$2:$Z$65),"Not Defined")</f>
        <v>LED</v>
      </c>
      <c r="Q1750" t="str" cm="1">
        <f t="array" ref="Q1750">IFERROR(LOOKUP(2,1/SEARCH($S$2:$S$65,H1750),$T$2:$T$65),"-")</f>
        <v>COTS</v>
      </c>
    </row>
    <row r="1751" spans="1:17" x14ac:dyDescent="0.25">
      <c r="A1751" t="s">
        <v>7675</v>
      </c>
      <c r="B1751" s="2" t="s">
        <v>4705</v>
      </c>
      <c r="C1751">
        <v>2</v>
      </c>
      <c r="D1751" t="s">
        <v>7448</v>
      </c>
      <c r="F1751" t="s">
        <v>3525</v>
      </c>
      <c r="G1751" t="s">
        <v>7376</v>
      </c>
      <c r="H1751" t="s">
        <v>3526</v>
      </c>
      <c r="I1751" t="s">
        <v>255</v>
      </c>
      <c r="J1751" t="s">
        <v>7717</v>
      </c>
      <c r="K1751" t="s">
        <v>7717</v>
      </c>
      <c r="L1751" t="s">
        <v>7717</v>
      </c>
      <c r="N1751" t="str" cm="1">
        <f t="array" ref="N1751">IFERROR(LOOKUP(2,1/SEARCH($S$2:$S$65,G1751),$T$2:$T$65),"Misc")</f>
        <v>ABSIS</v>
      </c>
      <c r="O1751" t="str" cm="1">
        <f t="array" ref="O1751">IFERROR(LOOKUP(2,1/SEARCH($V$2:$V$65,G1751),$W$2:$W$65),"Misc")</f>
        <v>ABSIS</v>
      </c>
      <c r="P1751" t="str" cm="1">
        <f t="array" ref="P1751">IFERROR(LOOKUP(2,1/SEARCH($Y$2:$Y$65,G1751),$Z$2:$Z$65),"Not Defined")</f>
        <v>ABSIS</v>
      </c>
      <c r="Q1751" t="str" cm="1">
        <f t="array" ref="Q1751">IFERROR(LOOKUP(2,1/SEARCH($S$2:$S$65,H1751),$T$2:$T$65),"-")</f>
        <v>ABSIS</v>
      </c>
    </row>
    <row r="1752" spans="1:17" x14ac:dyDescent="0.25">
      <c r="A1752" t="s">
        <v>7675</v>
      </c>
      <c r="B1752">
        <v>3.9</v>
      </c>
      <c r="C1752">
        <v>1</v>
      </c>
      <c r="D1752" t="s">
        <v>7488</v>
      </c>
      <c r="F1752" t="s">
        <v>4706</v>
      </c>
      <c r="G1752" t="s">
        <v>7488</v>
      </c>
      <c r="H1752" t="s">
        <v>4707</v>
      </c>
      <c r="J1752" t="s">
        <v>7742</v>
      </c>
      <c r="K1752" t="s">
        <v>7826</v>
      </c>
      <c r="L1752" t="s">
        <v>7826</v>
      </c>
      <c r="N1752" t="str" cm="1">
        <f t="array" ref="N1752">IFERROR(LOOKUP(2,1/SEARCH($S$2:$S$65,G1752),$T$2:$T$65),"Misc")</f>
        <v>OH ASSY</v>
      </c>
      <c r="O1752" t="str" cm="1">
        <f t="array" ref="O1752">IFERROR(LOOKUP(2,1/SEARCH($V$2:$V$65,G1752),$W$2:$W$65),"Misc")</f>
        <v>OH Part</v>
      </c>
      <c r="P1752" t="str" cm="1">
        <f t="array" ref="P1752">IFERROR(LOOKUP(2,1/SEARCH($Y$2:$Y$65,G1752),$Z$2:$Z$65),"Not Defined")</f>
        <v>OH Part</v>
      </c>
      <c r="Q1752" t="str" cm="1">
        <f t="array" ref="Q1752">IFERROR(LOOKUP(2,1/SEARCH($S$2:$S$65,H1752),$T$2:$T$65),"-")</f>
        <v>OH ASSY</v>
      </c>
    </row>
    <row r="1753" spans="1:17" x14ac:dyDescent="0.25">
      <c r="A1753" t="s">
        <v>7675</v>
      </c>
      <c r="B1753" t="s">
        <v>4708</v>
      </c>
      <c r="C1753">
        <v>1</v>
      </c>
      <c r="D1753" t="s">
        <v>7488</v>
      </c>
      <c r="F1753" t="s">
        <v>4709</v>
      </c>
      <c r="G1753" t="s">
        <v>4711</v>
      </c>
      <c r="H1753" t="s">
        <v>4710</v>
      </c>
      <c r="I1753" t="s">
        <v>255</v>
      </c>
      <c r="J1753" t="s">
        <v>7682</v>
      </c>
      <c r="K1753" t="s">
        <v>7826</v>
      </c>
      <c r="L1753" t="s">
        <v>7826</v>
      </c>
      <c r="N1753" t="str" cm="1">
        <f t="array" ref="N1753">IFERROR(LOOKUP(2,1/SEARCH($S$2:$S$65,G1753),$T$2:$T$65),"Misc")</f>
        <v>OH P/N</v>
      </c>
      <c r="O1753" t="str" cm="1">
        <f t="array" ref="O1753">IFERROR(LOOKUP(2,1/SEARCH($V$2:$V$65,G1753),$W$2:$W$65),"Misc")</f>
        <v>OH Part</v>
      </c>
      <c r="P1753" t="str" cm="1">
        <f t="array" ref="P1753">IFERROR(LOOKUP(2,1/SEARCH($Y$2:$Y$65,G1753),$Z$2:$Z$65),"Not Defined")</f>
        <v>OH Part</v>
      </c>
      <c r="Q1753" t="str" cm="1">
        <f t="array" ref="Q1753">IFERROR(LOOKUP(2,1/SEARCH($S$2:$S$65,H1753),$T$2:$T$65),"-")</f>
        <v>-</v>
      </c>
    </row>
    <row r="1754" spans="1:17" x14ac:dyDescent="0.25">
      <c r="A1754" t="s">
        <v>7675</v>
      </c>
      <c r="B1754" t="s">
        <v>4712</v>
      </c>
      <c r="C1754">
        <v>1</v>
      </c>
      <c r="D1754" t="s">
        <v>7488</v>
      </c>
      <c r="F1754" t="s">
        <v>4713</v>
      </c>
      <c r="G1754" t="s">
        <v>4715</v>
      </c>
      <c r="H1754" t="s">
        <v>4714</v>
      </c>
      <c r="I1754" t="s">
        <v>293</v>
      </c>
      <c r="J1754" t="s">
        <v>7682</v>
      </c>
      <c r="K1754" t="s">
        <v>7826</v>
      </c>
      <c r="L1754" t="s">
        <v>7826</v>
      </c>
      <c r="N1754" t="str" cm="1">
        <f t="array" ref="N1754">IFERROR(LOOKUP(2,1/SEARCH($S$2:$S$65,G1754),$T$2:$T$65),"Misc")</f>
        <v>OH P/N</v>
      </c>
      <c r="O1754" t="str" cm="1">
        <f t="array" ref="O1754">IFERROR(LOOKUP(2,1/SEARCH($V$2:$V$65,G1754),$W$2:$W$65),"Misc")</f>
        <v>OH Part</v>
      </c>
      <c r="P1754" t="str" cm="1">
        <f t="array" ref="P1754">IFERROR(LOOKUP(2,1/SEARCH($Y$2:$Y$65,G1754),$Z$2:$Z$65),"Not Defined")</f>
        <v>OH Part</v>
      </c>
      <c r="Q1754" t="str" cm="1">
        <f t="array" ref="Q1754">IFERROR(LOOKUP(2,1/SEARCH($S$2:$S$65,H1754),$T$2:$T$65),"-")</f>
        <v>-</v>
      </c>
    </row>
    <row r="1755" spans="1:17" x14ac:dyDescent="0.25">
      <c r="A1755" t="s">
        <v>7675</v>
      </c>
      <c r="B1755" t="s">
        <v>4716</v>
      </c>
      <c r="C1755">
        <v>1</v>
      </c>
      <c r="D1755" t="s">
        <v>7488</v>
      </c>
      <c r="F1755" t="s">
        <v>4717</v>
      </c>
      <c r="G1755" t="s">
        <v>4719</v>
      </c>
      <c r="H1755" t="s">
        <v>4718</v>
      </c>
      <c r="I1755" t="s">
        <v>293</v>
      </c>
      <c r="J1755" t="s">
        <v>7682</v>
      </c>
      <c r="K1755" t="s">
        <v>7826</v>
      </c>
      <c r="L1755" t="s">
        <v>7826</v>
      </c>
      <c r="N1755" t="str" cm="1">
        <f t="array" ref="N1755">IFERROR(LOOKUP(2,1/SEARCH($S$2:$S$65,G1755),$T$2:$T$65),"Misc")</f>
        <v>OH P/N</v>
      </c>
      <c r="O1755" t="str" cm="1">
        <f t="array" ref="O1755">IFERROR(LOOKUP(2,1/SEARCH($V$2:$V$65,G1755),$W$2:$W$65),"Misc")</f>
        <v>OH Part</v>
      </c>
      <c r="P1755" t="str" cm="1">
        <f t="array" ref="P1755">IFERROR(LOOKUP(2,1/SEARCH($Y$2:$Y$65,G1755),$Z$2:$Z$65),"Not Defined")</f>
        <v>OH Part</v>
      </c>
      <c r="Q1755" t="str" cm="1">
        <f t="array" ref="Q1755">IFERROR(LOOKUP(2,1/SEARCH($S$2:$S$65,H1755),$T$2:$T$65),"-")</f>
        <v>-</v>
      </c>
    </row>
    <row r="1756" spans="1:17" x14ac:dyDescent="0.25">
      <c r="A1756" t="s">
        <v>7675</v>
      </c>
      <c r="B1756" t="s">
        <v>4720</v>
      </c>
      <c r="C1756">
        <v>1</v>
      </c>
      <c r="D1756" t="s">
        <v>7488</v>
      </c>
      <c r="F1756" t="s">
        <v>4721</v>
      </c>
      <c r="G1756" t="s">
        <v>4723</v>
      </c>
      <c r="H1756" t="s">
        <v>4722</v>
      </c>
      <c r="I1756" t="s">
        <v>281</v>
      </c>
      <c r="J1756" t="s">
        <v>7682</v>
      </c>
      <c r="K1756" t="s">
        <v>7826</v>
      </c>
      <c r="L1756" t="s">
        <v>7826</v>
      </c>
      <c r="N1756" t="str" cm="1">
        <f t="array" ref="N1756">IFERROR(LOOKUP(2,1/SEARCH($S$2:$S$65,G1756),$T$2:$T$65),"Misc")</f>
        <v>OH P/N</v>
      </c>
      <c r="O1756" t="str" cm="1">
        <f t="array" ref="O1756">IFERROR(LOOKUP(2,1/SEARCH($V$2:$V$65,G1756),$W$2:$W$65),"Misc")</f>
        <v>OH Part</v>
      </c>
      <c r="P1756" t="str" cm="1">
        <f t="array" ref="P1756">IFERROR(LOOKUP(2,1/SEARCH($Y$2:$Y$65,G1756),$Z$2:$Z$65),"Not Defined")</f>
        <v>OH Part</v>
      </c>
      <c r="Q1756" t="str" cm="1">
        <f t="array" ref="Q1756">IFERROR(LOOKUP(2,1/SEARCH($S$2:$S$65,H1756),$T$2:$T$65),"-")</f>
        <v>-</v>
      </c>
    </row>
    <row r="1757" spans="1:17" x14ac:dyDescent="0.25">
      <c r="A1757" t="s">
        <v>7675</v>
      </c>
      <c r="B1757" t="s">
        <v>4724</v>
      </c>
      <c r="C1757">
        <v>2</v>
      </c>
      <c r="D1757" t="s">
        <v>7488</v>
      </c>
      <c r="F1757" t="s">
        <v>519</v>
      </c>
      <c r="G1757" t="s">
        <v>7097</v>
      </c>
      <c r="H1757" t="s">
        <v>520</v>
      </c>
      <c r="I1757" t="s">
        <v>228</v>
      </c>
      <c r="J1757" t="s">
        <v>7703</v>
      </c>
      <c r="K1757" t="s">
        <v>7684</v>
      </c>
      <c r="L1757" t="s">
        <v>7693</v>
      </c>
      <c r="N1757" t="str" cm="1">
        <f t="array" ref="N1757">IFERROR(LOOKUP(2,1/SEARCH($S$2:$S$65,G1757),$T$2:$T$65),"Misc")</f>
        <v>COTS</v>
      </c>
      <c r="O1757" t="str" cm="1">
        <f t="array" ref="O1757">IFERROR(LOOKUP(2,1/SEARCH($V$2:$V$65,G1757),$W$2:$W$65),"Misc")</f>
        <v>Fasteners</v>
      </c>
      <c r="P1757" t="str" cm="1">
        <f t="array" ref="P1757">IFERROR(LOOKUP(2,1/SEARCH($Y$2:$Y$65,G1757),$Z$2:$Z$65),"Not Defined")</f>
        <v>PHS</v>
      </c>
      <c r="Q1757" t="str" cm="1">
        <f t="array" ref="Q1757">IFERROR(LOOKUP(2,1/SEARCH($S$2:$S$65,H1757),$T$2:$T$65),"-")</f>
        <v>COTS</v>
      </c>
    </row>
    <row r="1758" spans="1:17" x14ac:dyDescent="0.25">
      <c r="A1758" t="s">
        <v>7675</v>
      </c>
      <c r="B1758" t="s">
        <v>4725</v>
      </c>
      <c r="C1758">
        <v>2</v>
      </c>
      <c r="D1758" t="s">
        <v>7488</v>
      </c>
      <c r="F1758" t="s">
        <v>941</v>
      </c>
      <c r="G1758" t="s">
        <v>7136</v>
      </c>
      <c r="H1758" t="s">
        <v>942</v>
      </c>
      <c r="I1758" t="s">
        <v>210</v>
      </c>
      <c r="J1758" t="s">
        <v>7703</v>
      </c>
      <c r="K1758" t="s">
        <v>7684</v>
      </c>
      <c r="L1758" t="s">
        <v>7685</v>
      </c>
      <c r="N1758" t="str" cm="1">
        <f t="array" ref="N1758">IFERROR(LOOKUP(2,1/SEARCH($S$2:$S$65,G1758),$T$2:$T$65),"Misc")</f>
        <v>COTS</v>
      </c>
      <c r="O1758" t="str" cm="1">
        <f t="array" ref="O1758">IFERROR(LOOKUP(2,1/SEARCH($V$2:$V$65,G1758),$W$2:$W$65),"Misc")</f>
        <v>Fasteners</v>
      </c>
      <c r="P1758" t="str" cm="1">
        <f t="array" ref="P1758">IFERROR(LOOKUP(2,1/SEARCH($Y$2:$Y$65,G1758),$Z$2:$Z$65),"Not Defined")</f>
        <v>NUT</v>
      </c>
      <c r="Q1758" t="str" cm="1">
        <f t="array" ref="Q1758">IFERROR(LOOKUP(2,1/SEARCH($S$2:$S$65,H1758),$T$2:$T$65),"-")</f>
        <v>COTS</v>
      </c>
    </row>
    <row r="1759" spans="1:17" x14ac:dyDescent="0.25">
      <c r="A1759" t="s">
        <v>7675</v>
      </c>
      <c r="B1759" t="s">
        <v>4726</v>
      </c>
      <c r="C1759">
        <v>1</v>
      </c>
      <c r="D1759" t="s">
        <v>7488</v>
      </c>
      <c r="F1759" t="s">
        <v>1274</v>
      </c>
      <c r="G1759" t="s">
        <v>7995</v>
      </c>
      <c r="H1759" t="s">
        <v>1275</v>
      </c>
      <c r="I1759" t="s">
        <v>255</v>
      </c>
      <c r="J1759" t="s">
        <v>7703</v>
      </c>
      <c r="K1759" t="s">
        <v>7677</v>
      </c>
      <c r="L1759" t="s">
        <v>7677</v>
      </c>
      <c r="N1759" t="str" cm="1">
        <f t="array" ref="N1759">IFERROR(LOOKUP(2,1/SEARCH($S$2:$S$65,G1759),$T$2:$T$65),"Misc")</f>
        <v>COTS</v>
      </c>
      <c r="O1759" t="str" cm="1">
        <f t="array" ref="O1759">IFERROR(LOOKUP(2,1/SEARCH($V$2:$V$65,G1759),$W$2:$W$65),"Misc")</f>
        <v>SWITCH</v>
      </c>
      <c r="P1759" t="str" cm="1">
        <f t="array" ref="P1759">IFERROR(LOOKUP(2,1/SEARCH($Y$2:$Y$65,G1759),$Z$2:$Z$65),"Not Defined")</f>
        <v>SWITCH</v>
      </c>
      <c r="Q1759" t="str" cm="1">
        <f t="array" ref="Q1759">IFERROR(LOOKUP(2,1/SEARCH($S$2:$S$65,H1759),$T$2:$T$65),"-")</f>
        <v>COTS</v>
      </c>
    </row>
    <row r="1760" spans="1:17" x14ac:dyDescent="0.25">
      <c r="A1760" t="s">
        <v>7675</v>
      </c>
      <c r="B1760" t="s">
        <v>4727</v>
      </c>
      <c r="C1760">
        <v>1</v>
      </c>
      <c r="D1760" t="s">
        <v>7488</v>
      </c>
      <c r="F1760" t="s">
        <v>695</v>
      </c>
      <c r="G1760" t="s">
        <v>7117</v>
      </c>
      <c r="H1760" t="s">
        <v>696</v>
      </c>
      <c r="I1760" t="s">
        <v>255</v>
      </c>
      <c r="J1760" t="s">
        <v>7703</v>
      </c>
      <c r="K1760" t="s">
        <v>7719</v>
      </c>
      <c r="L1760" t="s">
        <v>7719</v>
      </c>
      <c r="N1760" t="str" cm="1">
        <f t="array" ref="N1760">IFERROR(LOOKUP(2,1/SEARCH($S$2:$S$65,G1760),$T$2:$T$65),"Misc")</f>
        <v>COTS</v>
      </c>
      <c r="O1760" t="str" cm="1">
        <f t="array" ref="O1760">IFERROR(LOOKUP(2,1/SEARCH($V$2:$V$65,G1760),$W$2:$W$65),"Misc")</f>
        <v>Misc</v>
      </c>
      <c r="P1760" t="str" cm="1">
        <f t="array" ref="P1760">IFERROR(LOOKUP(2,1/SEARCH($Y$2:$Y$65,G1760),$Z$2:$Z$65),"Not Defined")</f>
        <v>Retaining Rings</v>
      </c>
      <c r="Q1760" t="str" cm="1">
        <f t="array" ref="Q1760">IFERROR(LOOKUP(2,1/SEARCH($S$2:$S$65,H1760),$T$2:$T$65),"-")</f>
        <v>COTS</v>
      </c>
    </row>
    <row r="1761" spans="1:17" x14ac:dyDescent="0.25">
      <c r="A1761" t="s">
        <v>7675</v>
      </c>
      <c r="B1761" t="s">
        <v>4728</v>
      </c>
      <c r="C1761">
        <v>1</v>
      </c>
      <c r="D1761" t="s">
        <v>7488</v>
      </c>
      <c r="F1761" t="s">
        <v>698</v>
      </c>
      <c r="G1761" t="s">
        <v>7118</v>
      </c>
      <c r="H1761" t="s">
        <v>699</v>
      </c>
      <c r="I1761" t="s">
        <v>255</v>
      </c>
      <c r="J1761" t="s">
        <v>7703</v>
      </c>
      <c r="K1761" t="s">
        <v>7684</v>
      </c>
      <c r="L1761" t="s">
        <v>7692</v>
      </c>
      <c r="N1761" t="str" cm="1">
        <f t="array" ref="N1761">IFERROR(LOOKUP(2,1/SEARCH($S$2:$S$65,G1761),$T$2:$T$65),"Misc")</f>
        <v>COTS</v>
      </c>
      <c r="O1761" t="str" cm="1">
        <f t="array" ref="O1761">IFERROR(LOOKUP(2,1/SEARCH($V$2:$V$65,G1761),$W$2:$W$65),"Misc")</f>
        <v>Fasteners</v>
      </c>
      <c r="P1761" t="str" cm="1">
        <f t="array" ref="P1761">IFERROR(LOOKUP(2,1/SEARCH($Y$2:$Y$65,G1761),$Z$2:$Z$65),"Not Defined")</f>
        <v>WASHER</v>
      </c>
      <c r="Q1761" t="str" cm="1">
        <f t="array" ref="Q1761">IFERROR(LOOKUP(2,1/SEARCH($S$2:$S$65,H1761),$T$2:$T$65),"-")</f>
        <v>COTS</v>
      </c>
    </row>
    <row r="1762" spans="1:17" x14ac:dyDescent="0.25">
      <c r="A1762" t="s">
        <v>7675</v>
      </c>
      <c r="B1762" t="s">
        <v>4729</v>
      </c>
      <c r="C1762">
        <v>2</v>
      </c>
      <c r="D1762" t="s">
        <v>7488</v>
      </c>
      <c r="F1762" t="s">
        <v>701</v>
      </c>
      <c r="G1762" t="s">
        <v>7119</v>
      </c>
      <c r="H1762" t="s">
        <v>702</v>
      </c>
      <c r="I1762" t="s">
        <v>255</v>
      </c>
      <c r="J1762" t="s">
        <v>7703</v>
      </c>
      <c r="K1762" t="s">
        <v>7684</v>
      </c>
      <c r="L1762" t="s">
        <v>7685</v>
      </c>
      <c r="N1762" t="str" cm="1">
        <f t="array" ref="N1762">IFERROR(LOOKUP(2,1/SEARCH($S$2:$S$65,G1762),$T$2:$T$65),"Misc")</f>
        <v>COTS</v>
      </c>
      <c r="O1762" t="str" cm="1">
        <f t="array" ref="O1762">IFERROR(LOOKUP(2,1/SEARCH($V$2:$V$65,G1762),$W$2:$W$65),"Misc")</f>
        <v>Fasteners</v>
      </c>
      <c r="P1762" t="str" cm="1">
        <f t="array" ref="P1762">IFERROR(LOOKUP(2,1/SEARCH($Y$2:$Y$65,G1762),$Z$2:$Z$65),"Not Defined")</f>
        <v>NUT</v>
      </c>
      <c r="Q1762" t="str" cm="1">
        <f t="array" ref="Q1762">IFERROR(LOOKUP(2,1/SEARCH($S$2:$S$65,H1762),$T$2:$T$65),"-")</f>
        <v>COTS</v>
      </c>
    </row>
    <row r="1763" spans="1:17" x14ac:dyDescent="0.25">
      <c r="A1763" t="s">
        <v>7675</v>
      </c>
      <c r="B1763" s="27">
        <v>3.1</v>
      </c>
      <c r="C1763">
        <v>1</v>
      </c>
      <c r="D1763" t="s">
        <v>7489</v>
      </c>
      <c r="F1763" t="s">
        <v>4730</v>
      </c>
      <c r="G1763" t="s">
        <v>7489</v>
      </c>
      <c r="H1763" t="s">
        <v>4731</v>
      </c>
      <c r="J1763" t="s">
        <v>7742</v>
      </c>
      <c r="K1763" t="s">
        <v>7826</v>
      </c>
      <c r="L1763" t="s">
        <v>7826</v>
      </c>
      <c r="N1763" t="str" cm="1">
        <f t="array" ref="N1763">IFERROR(LOOKUP(2,1/SEARCH($S$2:$S$65,G1763),$T$2:$T$65),"Misc")</f>
        <v>OH ASSY</v>
      </c>
      <c r="O1763" t="str" cm="1">
        <f t="array" ref="O1763">IFERROR(LOOKUP(2,1/SEARCH($V$2:$V$65,G1763),$W$2:$W$65),"Misc")</f>
        <v>OH Part</v>
      </c>
      <c r="P1763" t="str" cm="1">
        <f t="array" ref="P1763">IFERROR(LOOKUP(2,1/SEARCH($Y$2:$Y$65,G1763),$Z$2:$Z$65),"Not Defined")</f>
        <v>OH Part</v>
      </c>
      <c r="Q1763" t="str" cm="1">
        <f t="array" ref="Q1763">IFERROR(LOOKUP(2,1/SEARCH($S$2:$S$65,H1763),$T$2:$T$65),"-")</f>
        <v>OH ASSY</v>
      </c>
    </row>
    <row r="1764" spans="1:17" x14ac:dyDescent="0.25">
      <c r="A1764" t="s">
        <v>7675</v>
      </c>
      <c r="B1764" t="s">
        <v>4732</v>
      </c>
      <c r="C1764">
        <v>1</v>
      </c>
      <c r="D1764" t="s">
        <v>7489</v>
      </c>
      <c r="F1764" t="s">
        <v>4733</v>
      </c>
      <c r="G1764" t="s">
        <v>4735</v>
      </c>
      <c r="H1764" t="s">
        <v>4734</v>
      </c>
      <c r="I1764" t="s">
        <v>255</v>
      </c>
      <c r="J1764" t="s">
        <v>7682</v>
      </c>
      <c r="K1764" t="s">
        <v>7826</v>
      </c>
      <c r="L1764" t="s">
        <v>7826</v>
      </c>
      <c r="N1764" t="str" cm="1">
        <f t="array" ref="N1764">IFERROR(LOOKUP(2,1/SEARCH($S$2:$S$65,G1764),$T$2:$T$65),"Misc")</f>
        <v>OH P/N</v>
      </c>
      <c r="O1764" t="str" cm="1">
        <f t="array" ref="O1764">IFERROR(LOOKUP(2,1/SEARCH($V$2:$V$65,G1764),$W$2:$W$65),"Misc")</f>
        <v>OH Part</v>
      </c>
      <c r="P1764" t="str" cm="1">
        <f t="array" ref="P1764">IFERROR(LOOKUP(2,1/SEARCH($Y$2:$Y$65,G1764),$Z$2:$Z$65),"Not Defined")</f>
        <v>OH Part</v>
      </c>
      <c r="Q1764" t="str" cm="1">
        <f t="array" ref="Q1764">IFERROR(LOOKUP(2,1/SEARCH($S$2:$S$65,H1764),$T$2:$T$65),"-")</f>
        <v>-</v>
      </c>
    </row>
    <row r="1765" spans="1:17" x14ac:dyDescent="0.25">
      <c r="A1765" t="s">
        <v>7675</v>
      </c>
      <c r="B1765" t="s">
        <v>4736</v>
      </c>
      <c r="C1765">
        <v>1</v>
      </c>
      <c r="D1765" t="s">
        <v>7489</v>
      </c>
      <c r="F1765" t="s">
        <v>4737</v>
      </c>
      <c r="G1765" t="s">
        <v>4739</v>
      </c>
      <c r="H1765" t="s">
        <v>4738</v>
      </c>
      <c r="I1765" t="s">
        <v>293</v>
      </c>
      <c r="J1765" t="s">
        <v>7682</v>
      </c>
      <c r="K1765" t="s">
        <v>7826</v>
      </c>
      <c r="L1765" t="s">
        <v>7826</v>
      </c>
      <c r="N1765" t="str" cm="1">
        <f t="array" ref="N1765">IFERROR(LOOKUP(2,1/SEARCH($S$2:$S$65,G1765),$T$2:$T$65),"Misc")</f>
        <v>OH P/N</v>
      </c>
      <c r="O1765" t="str" cm="1">
        <f t="array" ref="O1765">IFERROR(LOOKUP(2,1/SEARCH($V$2:$V$65,G1765),$W$2:$W$65),"Misc")</f>
        <v>OH Part</v>
      </c>
      <c r="P1765" t="str" cm="1">
        <f t="array" ref="P1765">IFERROR(LOOKUP(2,1/SEARCH($Y$2:$Y$65,G1765),$Z$2:$Z$65),"Not Defined")</f>
        <v>OH Part</v>
      </c>
      <c r="Q1765" t="str" cm="1">
        <f t="array" ref="Q1765">IFERROR(LOOKUP(2,1/SEARCH($S$2:$S$65,H1765),$T$2:$T$65),"-")</f>
        <v>-</v>
      </c>
    </row>
    <row r="1766" spans="1:17" x14ac:dyDescent="0.25">
      <c r="A1766" t="s">
        <v>7675</v>
      </c>
      <c r="B1766" t="s">
        <v>4740</v>
      </c>
      <c r="C1766">
        <v>1</v>
      </c>
      <c r="D1766" t="s">
        <v>7489</v>
      </c>
      <c r="F1766" t="s">
        <v>4741</v>
      </c>
      <c r="G1766" t="s">
        <v>4743</v>
      </c>
      <c r="H1766" t="s">
        <v>4742</v>
      </c>
      <c r="I1766" t="s">
        <v>293</v>
      </c>
      <c r="J1766" t="s">
        <v>7682</v>
      </c>
      <c r="K1766" t="s">
        <v>7826</v>
      </c>
      <c r="L1766" t="s">
        <v>7826</v>
      </c>
      <c r="N1766" t="str" cm="1">
        <f t="array" ref="N1766">IFERROR(LOOKUP(2,1/SEARCH($S$2:$S$65,G1766),$T$2:$T$65),"Misc")</f>
        <v>OH P/N</v>
      </c>
      <c r="O1766" t="str" cm="1">
        <f t="array" ref="O1766">IFERROR(LOOKUP(2,1/SEARCH($V$2:$V$65,G1766),$W$2:$W$65),"Misc")</f>
        <v>OH Part</v>
      </c>
      <c r="P1766" t="str" cm="1">
        <f t="array" ref="P1766">IFERROR(LOOKUP(2,1/SEARCH($Y$2:$Y$65,G1766),$Z$2:$Z$65),"Not Defined")</f>
        <v>OH Part</v>
      </c>
      <c r="Q1766" t="str" cm="1">
        <f t="array" ref="Q1766">IFERROR(LOOKUP(2,1/SEARCH($S$2:$S$65,H1766),$T$2:$T$65),"-")</f>
        <v>-</v>
      </c>
    </row>
    <row r="1767" spans="1:17" x14ac:dyDescent="0.25">
      <c r="A1767" t="s">
        <v>7675</v>
      </c>
      <c r="B1767" t="s">
        <v>4744</v>
      </c>
      <c r="C1767">
        <v>1</v>
      </c>
      <c r="D1767" t="s">
        <v>7489</v>
      </c>
      <c r="F1767" t="s">
        <v>4745</v>
      </c>
      <c r="G1767" t="s">
        <v>4747</v>
      </c>
      <c r="H1767" t="s">
        <v>4746</v>
      </c>
      <c r="I1767" t="s">
        <v>281</v>
      </c>
      <c r="J1767" t="s">
        <v>7682</v>
      </c>
      <c r="K1767" t="s">
        <v>7826</v>
      </c>
      <c r="L1767" t="s">
        <v>7826</v>
      </c>
      <c r="N1767" t="str" cm="1">
        <f t="array" ref="N1767">IFERROR(LOOKUP(2,1/SEARCH($S$2:$S$65,G1767),$T$2:$T$65),"Misc")</f>
        <v>OH P/N</v>
      </c>
      <c r="O1767" t="str" cm="1">
        <f t="array" ref="O1767">IFERROR(LOOKUP(2,1/SEARCH($V$2:$V$65,G1767),$W$2:$W$65),"Misc")</f>
        <v>OH Part</v>
      </c>
      <c r="P1767" t="str" cm="1">
        <f t="array" ref="P1767">IFERROR(LOOKUP(2,1/SEARCH($Y$2:$Y$65,G1767),$Z$2:$Z$65),"Not Defined")</f>
        <v>OH Part</v>
      </c>
      <c r="Q1767" t="str" cm="1">
        <f t="array" ref="Q1767">IFERROR(LOOKUP(2,1/SEARCH($S$2:$S$65,H1767),$T$2:$T$65),"-")</f>
        <v>-</v>
      </c>
    </row>
    <row r="1768" spans="1:17" x14ac:dyDescent="0.25">
      <c r="A1768" t="s">
        <v>7675</v>
      </c>
      <c r="B1768" t="s">
        <v>4748</v>
      </c>
      <c r="C1768">
        <v>1</v>
      </c>
      <c r="D1768" t="s">
        <v>7489</v>
      </c>
      <c r="F1768" t="s">
        <v>4749</v>
      </c>
      <c r="G1768" t="s">
        <v>4751</v>
      </c>
      <c r="H1768" t="s">
        <v>4750</v>
      </c>
      <c r="I1768" t="s">
        <v>13</v>
      </c>
      <c r="J1768" t="s">
        <v>7682</v>
      </c>
      <c r="K1768" t="s">
        <v>7826</v>
      </c>
      <c r="L1768" t="s">
        <v>7826</v>
      </c>
      <c r="N1768" t="str" cm="1">
        <f t="array" ref="N1768">IFERROR(LOOKUP(2,1/SEARCH($S$2:$S$65,G1768),$T$2:$T$65),"Misc")</f>
        <v>OH P/N</v>
      </c>
      <c r="O1768" t="str" cm="1">
        <f t="array" ref="O1768">IFERROR(LOOKUP(2,1/SEARCH($V$2:$V$65,G1768),$W$2:$W$65),"Misc")</f>
        <v>OH Part</v>
      </c>
      <c r="P1768" t="str" cm="1">
        <f t="array" ref="P1768">IFERROR(LOOKUP(2,1/SEARCH($Y$2:$Y$65,G1768),$Z$2:$Z$65),"Not Defined")</f>
        <v>OH Part</v>
      </c>
      <c r="Q1768" t="str" cm="1">
        <f t="array" ref="Q1768">IFERROR(LOOKUP(2,1/SEARCH($S$2:$S$65,H1768),$T$2:$T$65),"-")</f>
        <v>-</v>
      </c>
    </row>
    <row r="1769" spans="1:17" x14ac:dyDescent="0.25">
      <c r="A1769" t="s">
        <v>7675</v>
      </c>
      <c r="B1769" t="s">
        <v>4752</v>
      </c>
      <c r="C1769">
        <v>3</v>
      </c>
      <c r="D1769" t="s">
        <v>7489</v>
      </c>
      <c r="F1769" t="s">
        <v>519</v>
      </c>
      <c r="G1769" t="s">
        <v>7097</v>
      </c>
      <c r="H1769" t="s">
        <v>520</v>
      </c>
      <c r="I1769" t="s">
        <v>228</v>
      </c>
      <c r="J1769" t="s">
        <v>7703</v>
      </c>
      <c r="K1769" t="s">
        <v>7684</v>
      </c>
      <c r="L1769" t="s">
        <v>7693</v>
      </c>
      <c r="N1769" t="str" cm="1">
        <f t="array" ref="N1769">IFERROR(LOOKUP(2,1/SEARCH($S$2:$S$65,G1769),$T$2:$T$65),"Misc")</f>
        <v>COTS</v>
      </c>
      <c r="O1769" t="str" cm="1">
        <f t="array" ref="O1769">IFERROR(LOOKUP(2,1/SEARCH($V$2:$V$65,G1769),$W$2:$W$65),"Misc")</f>
        <v>Fasteners</v>
      </c>
      <c r="P1769" t="str" cm="1">
        <f t="array" ref="P1769">IFERROR(LOOKUP(2,1/SEARCH($Y$2:$Y$65,G1769),$Z$2:$Z$65),"Not Defined")</f>
        <v>PHS</v>
      </c>
      <c r="Q1769" t="str" cm="1">
        <f t="array" ref="Q1769">IFERROR(LOOKUP(2,1/SEARCH($S$2:$S$65,H1769),$T$2:$T$65),"-")</f>
        <v>COTS</v>
      </c>
    </row>
    <row r="1770" spans="1:17" x14ac:dyDescent="0.25">
      <c r="A1770" t="s">
        <v>7675</v>
      </c>
      <c r="B1770" t="s">
        <v>4753</v>
      </c>
      <c r="C1770">
        <v>2</v>
      </c>
      <c r="D1770" t="s">
        <v>7489</v>
      </c>
      <c r="F1770" t="s">
        <v>445</v>
      </c>
      <c r="G1770" t="s">
        <v>7088</v>
      </c>
      <c r="H1770" t="s">
        <v>446</v>
      </c>
      <c r="I1770" t="s">
        <v>228</v>
      </c>
      <c r="J1770" t="s">
        <v>7703</v>
      </c>
      <c r="K1770" t="s">
        <v>7684</v>
      </c>
      <c r="L1770" t="s">
        <v>7693</v>
      </c>
      <c r="N1770" t="str" cm="1">
        <f t="array" ref="N1770">IFERROR(LOOKUP(2,1/SEARCH($S$2:$S$65,G1770),$T$2:$T$65),"Misc")</f>
        <v>COTS</v>
      </c>
      <c r="O1770" t="str" cm="1">
        <f t="array" ref="O1770">IFERROR(LOOKUP(2,1/SEARCH($V$2:$V$65,G1770),$W$2:$W$65),"Misc")</f>
        <v>Fasteners</v>
      </c>
      <c r="P1770" t="str" cm="1">
        <f t="array" ref="P1770">IFERROR(LOOKUP(2,1/SEARCH($Y$2:$Y$65,G1770),$Z$2:$Z$65),"Not Defined")</f>
        <v>PHS</v>
      </c>
      <c r="Q1770" t="str" cm="1">
        <f t="array" ref="Q1770">IFERROR(LOOKUP(2,1/SEARCH($S$2:$S$65,H1770),$T$2:$T$65),"-")</f>
        <v>COTS</v>
      </c>
    </row>
    <row r="1771" spans="1:17" x14ac:dyDescent="0.25">
      <c r="A1771" t="s">
        <v>7675</v>
      </c>
      <c r="B1771" t="s">
        <v>4754</v>
      </c>
      <c r="C1771">
        <v>2</v>
      </c>
      <c r="D1771" t="s">
        <v>7489</v>
      </c>
      <c r="F1771" t="s">
        <v>932</v>
      </c>
      <c r="G1771" t="s">
        <v>7133</v>
      </c>
      <c r="H1771" t="s">
        <v>933</v>
      </c>
      <c r="I1771" t="s">
        <v>210</v>
      </c>
      <c r="J1771" t="s">
        <v>7703</v>
      </c>
      <c r="K1771" t="s">
        <v>7684</v>
      </c>
      <c r="L1771" t="s">
        <v>7685</v>
      </c>
      <c r="N1771" t="str" cm="1">
        <f t="array" ref="N1771">IFERROR(LOOKUP(2,1/SEARCH($S$2:$S$65,G1771),$T$2:$T$65),"Misc")</f>
        <v>COTS</v>
      </c>
      <c r="O1771" t="str" cm="1">
        <f t="array" ref="O1771">IFERROR(LOOKUP(2,1/SEARCH($V$2:$V$65,G1771),$W$2:$W$65),"Misc")</f>
        <v>Fasteners</v>
      </c>
      <c r="P1771" t="str" cm="1">
        <f t="array" ref="P1771">IFERROR(LOOKUP(2,1/SEARCH($Y$2:$Y$65,G1771),$Z$2:$Z$65),"Not Defined")</f>
        <v>NUT</v>
      </c>
      <c r="Q1771" t="str" cm="1">
        <f t="array" ref="Q1771">IFERROR(LOOKUP(2,1/SEARCH($S$2:$S$65,H1771),$T$2:$T$65),"-")</f>
        <v>COTS</v>
      </c>
    </row>
    <row r="1772" spans="1:17" hidden="1" x14ac:dyDescent="0.25">
      <c r="A1772" t="s">
        <v>7675</v>
      </c>
      <c r="B1772" t="s">
        <v>4755</v>
      </c>
      <c r="C1772">
        <v>1</v>
      </c>
      <c r="D1772" t="s">
        <v>7489</v>
      </c>
      <c r="E1772" t="s">
        <v>1511</v>
      </c>
      <c r="F1772" t="s">
        <v>1510</v>
      </c>
      <c r="G1772" t="s">
        <v>7214</v>
      </c>
      <c r="H1772" t="s">
        <v>1511</v>
      </c>
      <c r="J1772" t="s">
        <v>7744</v>
      </c>
      <c r="K1772" t="s">
        <v>7826</v>
      </c>
      <c r="L1772" t="s">
        <v>7826</v>
      </c>
      <c r="N1772" t="str" cm="1">
        <f t="array" ref="N1772">IFERROR(LOOKUP(2,1/SEARCH($S$2:$S$65,G1772),$T$2:$T$65),"Misc")</f>
        <v>OH Common</v>
      </c>
      <c r="O1772" t="str" cm="1">
        <f t="array" ref="O1772">IFERROR(LOOKUP(2,1/SEARCH($V$2:$V$65,G1772),$W$2:$W$65),"Misc")</f>
        <v>OH Part</v>
      </c>
      <c r="P1772" t="str" cm="1">
        <f t="array" ref="P1772">IFERROR(LOOKUP(2,1/SEARCH($Y$2:$Y$65,G1772),$Z$2:$Z$65),"Not Defined")</f>
        <v>OH Part</v>
      </c>
      <c r="Q1772" t="str" cm="1">
        <f t="array" ref="Q1772">IFERROR(LOOKUP(2,1/SEARCH($S$2:$S$65,H1772),$T$2:$T$65),"-")</f>
        <v>OH ASSY</v>
      </c>
    </row>
    <row r="1773" spans="1:17" hidden="1" x14ac:dyDescent="0.25">
      <c r="A1773" t="s">
        <v>7675</v>
      </c>
      <c r="B1773" t="s">
        <v>4756</v>
      </c>
      <c r="C1773">
        <v>1</v>
      </c>
      <c r="D1773" t="s">
        <v>7489</v>
      </c>
      <c r="E1773" t="s">
        <v>1511</v>
      </c>
      <c r="F1773" t="s">
        <v>1513</v>
      </c>
      <c r="G1773" t="s">
        <v>7215</v>
      </c>
      <c r="H1773" t="s">
        <v>1514</v>
      </c>
      <c r="I1773" t="s">
        <v>255</v>
      </c>
      <c r="J1773" t="s">
        <v>7703</v>
      </c>
      <c r="K1773" t="s">
        <v>7677</v>
      </c>
      <c r="L1773" t="s">
        <v>7677</v>
      </c>
      <c r="N1773" t="str" cm="1">
        <f t="array" ref="N1773">IFERROR(LOOKUP(2,1/SEARCH($S$2:$S$65,G1773),$T$2:$T$65),"Misc")</f>
        <v>COTS</v>
      </c>
      <c r="O1773" t="str" cm="1">
        <f t="array" ref="O1773">IFERROR(LOOKUP(2,1/SEARCH($V$2:$V$65,G1773),$W$2:$W$65),"Misc")</f>
        <v>SWITCH</v>
      </c>
      <c r="P1773" t="str" cm="1">
        <f t="array" ref="P1773">IFERROR(LOOKUP(2,1/SEARCH($Y$2:$Y$65,G1773),$Z$2:$Z$65),"Not Defined")</f>
        <v>SWITCH</v>
      </c>
      <c r="Q1773" t="str" cm="1">
        <f t="array" ref="Q1773">IFERROR(LOOKUP(2,1/SEARCH($S$2:$S$65,H1773),$T$2:$T$65),"-")</f>
        <v>COTS</v>
      </c>
    </row>
    <row r="1774" spans="1:17" hidden="1" x14ac:dyDescent="0.25">
      <c r="A1774" t="s">
        <v>7675</v>
      </c>
      <c r="B1774" t="s">
        <v>4757</v>
      </c>
      <c r="C1774">
        <v>1</v>
      </c>
      <c r="D1774" t="s">
        <v>7489</v>
      </c>
      <c r="E1774" t="s">
        <v>1511</v>
      </c>
      <c r="F1774" t="s">
        <v>1516</v>
      </c>
      <c r="G1774" t="s">
        <v>7216</v>
      </c>
      <c r="H1774" t="s">
        <v>1517</v>
      </c>
      <c r="I1774" t="s">
        <v>299</v>
      </c>
      <c r="J1774" t="s">
        <v>7744</v>
      </c>
      <c r="K1774" t="s">
        <v>7826</v>
      </c>
      <c r="L1774" t="s">
        <v>7826</v>
      </c>
      <c r="N1774" t="str" cm="1">
        <f t="array" ref="N1774">IFERROR(LOOKUP(2,1/SEARCH($S$2:$S$65,G1774),$T$2:$T$65),"Misc")</f>
        <v>OH Common</v>
      </c>
      <c r="O1774" t="str" cm="1">
        <f t="array" ref="O1774">IFERROR(LOOKUP(2,1/SEARCH($V$2:$V$65,G1774),$W$2:$W$65),"Misc")</f>
        <v>OH Part</v>
      </c>
      <c r="P1774" t="str" cm="1">
        <f t="array" ref="P1774">IFERROR(LOOKUP(2,1/SEARCH($Y$2:$Y$65,G1774),$Z$2:$Z$65),"Not Defined")</f>
        <v>OH Part</v>
      </c>
      <c r="Q1774" t="str" cm="1">
        <f t="array" ref="Q1774">IFERROR(LOOKUP(2,1/SEARCH($S$2:$S$65,H1774),$T$2:$T$65),"-")</f>
        <v>COTS</v>
      </c>
    </row>
    <row r="1775" spans="1:17" hidden="1" x14ac:dyDescent="0.25">
      <c r="A1775" t="s">
        <v>7675</v>
      </c>
      <c r="B1775" t="s">
        <v>4758</v>
      </c>
      <c r="C1775">
        <v>2</v>
      </c>
      <c r="D1775" t="s">
        <v>7489</v>
      </c>
      <c r="E1775" t="s">
        <v>4760</v>
      </c>
      <c r="F1775" t="s">
        <v>4759</v>
      </c>
      <c r="G1775" t="s">
        <v>7490</v>
      </c>
      <c r="H1775" t="s">
        <v>4760</v>
      </c>
      <c r="J1775" t="s">
        <v>7744</v>
      </c>
      <c r="K1775" t="s">
        <v>7826</v>
      </c>
      <c r="L1775" t="s">
        <v>7826</v>
      </c>
      <c r="N1775" t="str" cm="1">
        <f t="array" ref="N1775">IFERROR(LOOKUP(2,1/SEARCH($S$2:$S$65,G1775),$T$2:$T$65),"Misc")</f>
        <v>OH Common</v>
      </c>
      <c r="O1775" t="str" cm="1">
        <f t="array" ref="O1775">IFERROR(LOOKUP(2,1/SEARCH($V$2:$V$65,G1775),$W$2:$W$65),"Misc")</f>
        <v>OH Part</v>
      </c>
      <c r="P1775" t="str" cm="1">
        <f t="array" ref="P1775">IFERROR(LOOKUP(2,1/SEARCH($Y$2:$Y$65,G1775),$Z$2:$Z$65),"Not Defined")</f>
        <v>OH Part</v>
      </c>
      <c r="Q1775" t="str" cm="1">
        <f t="array" ref="Q1775">IFERROR(LOOKUP(2,1/SEARCH($S$2:$S$65,H1775),$T$2:$T$65),"-")</f>
        <v>OH ASSY</v>
      </c>
    </row>
    <row r="1776" spans="1:17" hidden="1" x14ac:dyDescent="0.25">
      <c r="A1776" t="s">
        <v>7675</v>
      </c>
      <c r="B1776" t="s">
        <v>4761</v>
      </c>
      <c r="C1776">
        <v>1</v>
      </c>
      <c r="D1776" t="s">
        <v>7489</v>
      </c>
      <c r="E1776" t="s">
        <v>4760</v>
      </c>
      <c r="F1776" t="s">
        <v>1513</v>
      </c>
      <c r="G1776" t="s">
        <v>7215</v>
      </c>
      <c r="H1776" t="s">
        <v>1514</v>
      </c>
      <c r="I1776" t="s">
        <v>255</v>
      </c>
      <c r="J1776" t="s">
        <v>7703</v>
      </c>
      <c r="K1776" t="s">
        <v>7677</v>
      </c>
      <c r="L1776" t="s">
        <v>7677</v>
      </c>
      <c r="N1776" t="str" cm="1">
        <f t="array" ref="N1776">IFERROR(LOOKUP(2,1/SEARCH($S$2:$S$65,G1776),$T$2:$T$65),"Misc")</f>
        <v>COTS</v>
      </c>
      <c r="O1776" t="str" cm="1">
        <f t="array" ref="O1776">IFERROR(LOOKUP(2,1/SEARCH($V$2:$V$65,G1776),$W$2:$W$65),"Misc")</f>
        <v>SWITCH</v>
      </c>
      <c r="P1776" t="str" cm="1">
        <f t="array" ref="P1776">IFERROR(LOOKUP(2,1/SEARCH($Y$2:$Y$65,G1776),$Z$2:$Z$65),"Not Defined")</f>
        <v>SWITCH</v>
      </c>
      <c r="Q1776" t="str" cm="1">
        <f t="array" ref="Q1776">IFERROR(LOOKUP(2,1/SEARCH($S$2:$S$65,H1776),$T$2:$T$65),"-")</f>
        <v>COTS</v>
      </c>
    </row>
    <row r="1777" spans="1:17" hidden="1" x14ac:dyDescent="0.25">
      <c r="A1777" t="s">
        <v>7675</v>
      </c>
      <c r="B1777" t="s">
        <v>4762</v>
      </c>
      <c r="C1777">
        <v>1</v>
      </c>
      <c r="D1777" t="s">
        <v>7489</v>
      </c>
      <c r="E1777" t="s">
        <v>4760</v>
      </c>
      <c r="F1777" t="s">
        <v>4763</v>
      </c>
      <c r="G1777" t="s">
        <v>7491</v>
      </c>
      <c r="H1777" t="s">
        <v>4764</v>
      </c>
      <c r="I1777" t="s">
        <v>299</v>
      </c>
      <c r="J1777" t="s">
        <v>7744</v>
      </c>
      <c r="K1777" t="s">
        <v>7826</v>
      </c>
      <c r="L1777" t="s">
        <v>7826</v>
      </c>
      <c r="N1777" t="str" cm="1">
        <f t="array" ref="N1777">IFERROR(LOOKUP(2,1/SEARCH($S$2:$S$65,G1777),$T$2:$T$65),"Misc")</f>
        <v>OH Common</v>
      </c>
      <c r="O1777" t="str" cm="1">
        <f t="array" ref="O1777">IFERROR(LOOKUP(2,1/SEARCH($V$2:$V$65,G1777),$W$2:$W$65),"Misc")</f>
        <v>OH Part</v>
      </c>
      <c r="P1777" t="str" cm="1">
        <f t="array" ref="P1777">IFERROR(LOOKUP(2,1/SEARCH($Y$2:$Y$65,G1777),$Z$2:$Z$65),"Not Defined")</f>
        <v>OH Part</v>
      </c>
      <c r="Q1777" t="str" cm="1">
        <f t="array" ref="Q1777">IFERROR(LOOKUP(2,1/SEARCH($S$2:$S$65,H1777),$T$2:$T$65),"-")</f>
        <v>COTS</v>
      </c>
    </row>
    <row r="1778" spans="1:17" x14ac:dyDescent="0.25">
      <c r="A1778" t="s">
        <v>7675</v>
      </c>
      <c r="B1778" t="s">
        <v>4765</v>
      </c>
      <c r="C1778">
        <v>3</v>
      </c>
      <c r="D1778" t="s">
        <v>7489</v>
      </c>
      <c r="F1778" t="s">
        <v>4280</v>
      </c>
      <c r="G1778" t="s">
        <v>7444</v>
      </c>
      <c r="H1778" t="s">
        <v>4281</v>
      </c>
      <c r="I1778" t="s">
        <v>1265</v>
      </c>
      <c r="J1778" t="s">
        <v>7703</v>
      </c>
      <c r="K1778" t="s">
        <v>7719</v>
      </c>
      <c r="L1778" t="s">
        <v>7677</v>
      </c>
      <c r="N1778" t="str" cm="1">
        <f t="array" ref="N1778">IFERROR(LOOKUP(2,1/SEARCH($S$2:$S$65,G1778),$T$2:$T$65),"Misc")</f>
        <v>COTS</v>
      </c>
      <c r="O1778" t="str" cm="1">
        <f t="array" ref="O1778">IFERROR(LOOKUP(2,1/SEARCH($V$2:$V$65,G1778),$W$2:$W$65),"Misc")</f>
        <v>Misc</v>
      </c>
      <c r="P1778" t="str" cm="1">
        <f t="array" ref="P1778">IFERROR(LOOKUP(2,1/SEARCH($Y$2:$Y$65,G1778),$Z$2:$Z$65),"Not Defined")</f>
        <v>SWITCH</v>
      </c>
      <c r="Q1778" t="str" cm="1">
        <f t="array" ref="Q1778">IFERROR(LOOKUP(2,1/SEARCH($S$2:$S$65,H1778),$T$2:$T$65),"-")</f>
        <v>COTS</v>
      </c>
    </row>
    <row r="1779" spans="1:17" x14ac:dyDescent="0.25">
      <c r="A1779" t="s">
        <v>7675</v>
      </c>
      <c r="B1779" t="s">
        <v>4766</v>
      </c>
      <c r="C1779">
        <v>3</v>
      </c>
      <c r="D1779" t="s">
        <v>7489</v>
      </c>
      <c r="F1779" t="s">
        <v>2089</v>
      </c>
      <c r="G1779" t="s">
        <v>7250</v>
      </c>
      <c r="H1779" t="s">
        <v>2090</v>
      </c>
      <c r="I1779" t="s">
        <v>228</v>
      </c>
      <c r="J1779" t="s">
        <v>7703</v>
      </c>
      <c r="K1779" t="s">
        <v>7684</v>
      </c>
      <c r="L1779" t="s">
        <v>7677</v>
      </c>
      <c r="N1779" t="str" cm="1">
        <f t="array" ref="N1779">IFERROR(LOOKUP(2,1/SEARCH($S$2:$S$65,G1779),$T$2:$T$65),"Misc")</f>
        <v>COTS</v>
      </c>
      <c r="O1779" t="str" cm="1">
        <f t="array" ref="O1779">IFERROR(LOOKUP(2,1/SEARCH($V$2:$V$65,G1779),$W$2:$W$65),"Misc")</f>
        <v>Fasteners</v>
      </c>
      <c r="P1779" t="str" cm="1">
        <f t="array" ref="P1779">IFERROR(LOOKUP(2,1/SEARCH($Y$2:$Y$65,G1779),$Z$2:$Z$65),"Not Defined")</f>
        <v>SWITCH</v>
      </c>
      <c r="Q1779" t="str" cm="1">
        <f t="array" ref="Q1779">IFERROR(LOOKUP(2,1/SEARCH($S$2:$S$65,H1779),$T$2:$T$65),"-")</f>
        <v>COTS</v>
      </c>
    </row>
    <row r="1780" spans="1:17" x14ac:dyDescent="0.25">
      <c r="A1780" t="s">
        <v>7675</v>
      </c>
      <c r="B1780" t="s">
        <v>4767</v>
      </c>
      <c r="C1780">
        <v>3</v>
      </c>
      <c r="D1780" t="s">
        <v>7489</v>
      </c>
      <c r="F1780" t="s">
        <v>1528</v>
      </c>
      <c r="G1780" t="s">
        <v>7220</v>
      </c>
      <c r="H1780" t="s">
        <v>1529</v>
      </c>
      <c r="I1780" t="s">
        <v>228</v>
      </c>
      <c r="J1780" t="s">
        <v>7703</v>
      </c>
      <c r="K1780" t="s">
        <v>7677</v>
      </c>
      <c r="L1780" t="s">
        <v>7685</v>
      </c>
      <c r="N1780" t="str" cm="1">
        <f t="array" ref="N1780">IFERROR(LOOKUP(2,1/SEARCH($S$2:$S$65,G1780),$T$2:$T$65),"Misc")</f>
        <v>COTS</v>
      </c>
      <c r="O1780" t="str" cm="1">
        <f t="array" ref="O1780">IFERROR(LOOKUP(2,1/SEARCH($V$2:$V$65,G1780),$W$2:$W$65),"Misc")</f>
        <v>SWITCH</v>
      </c>
      <c r="P1780" t="str" cm="1">
        <f t="array" ref="P1780">IFERROR(LOOKUP(2,1/SEARCH($Y$2:$Y$65,G1780),$Z$2:$Z$65),"Not Defined")</f>
        <v>NUT</v>
      </c>
      <c r="Q1780" t="str" cm="1">
        <f t="array" ref="Q1780">IFERROR(LOOKUP(2,1/SEARCH($S$2:$S$65,H1780),$T$2:$T$65),"-")</f>
        <v>COTS</v>
      </c>
    </row>
    <row r="1781" spans="1:17" hidden="1" x14ac:dyDescent="0.25">
      <c r="A1781" t="s">
        <v>7675</v>
      </c>
      <c r="B1781" t="s">
        <v>4768</v>
      </c>
      <c r="C1781">
        <v>1</v>
      </c>
      <c r="D1781" t="s">
        <v>7489</v>
      </c>
      <c r="E1781" t="s">
        <v>4770</v>
      </c>
      <c r="F1781" t="s">
        <v>4769</v>
      </c>
      <c r="G1781" t="s">
        <v>7492</v>
      </c>
      <c r="H1781" t="s">
        <v>4770</v>
      </c>
      <c r="J1781" t="s">
        <v>7744</v>
      </c>
      <c r="K1781" t="s">
        <v>7826</v>
      </c>
      <c r="L1781" t="s">
        <v>7826</v>
      </c>
      <c r="N1781" t="str" cm="1">
        <f t="array" ref="N1781">IFERROR(LOOKUP(2,1/SEARCH($S$2:$S$65,G1781),$T$2:$T$65),"Misc")</f>
        <v>OH Common</v>
      </c>
      <c r="O1781" t="str" cm="1">
        <f t="array" ref="O1781">IFERROR(LOOKUP(2,1/SEARCH($V$2:$V$65,G1781),$W$2:$W$65),"Misc")</f>
        <v>OH Part</v>
      </c>
      <c r="P1781" t="str" cm="1">
        <f t="array" ref="P1781">IFERROR(LOOKUP(2,1/SEARCH($Y$2:$Y$65,G1781),$Z$2:$Z$65),"Not Defined")</f>
        <v>OH Part</v>
      </c>
      <c r="Q1781" t="str" cm="1">
        <f t="array" ref="Q1781">IFERROR(LOOKUP(2,1/SEARCH($S$2:$S$65,H1781),$T$2:$T$65),"-")</f>
        <v>OH ASSY</v>
      </c>
    </row>
    <row r="1782" spans="1:17" hidden="1" x14ac:dyDescent="0.25">
      <c r="A1782" t="s">
        <v>7675</v>
      </c>
      <c r="B1782" t="s">
        <v>4771</v>
      </c>
      <c r="C1782">
        <v>1</v>
      </c>
      <c r="D1782" t="s">
        <v>7489</v>
      </c>
      <c r="E1782" t="s">
        <v>4770</v>
      </c>
      <c r="F1782" t="s">
        <v>4772</v>
      </c>
      <c r="G1782" t="s">
        <v>7493</v>
      </c>
      <c r="H1782" t="s">
        <v>4773</v>
      </c>
      <c r="I1782" t="s">
        <v>210</v>
      </c>
      <c r="J1782" t="s">
        <v>7703</v>
      </c>
      <c r="K1782" t="s">
        <v>7814</v>
      </c>
      <c r="L1782" t="s">
        <v>7702</v>
      </c>
      <c r="N1782" t="str" cm="1">
        <f t="array" ref="N1782">IFERROR(LOOKUP(2,1/SEARCH($S$2:$S$65,G1782),$T$2:$T$65),"Misc")</f>
        <v>COTS</v>
      </c>
      <c r="O1782" t="str" cm="1">
        <f t="array" ref="O1782">IFERROR(LOOKUP(2,1/SEARCH($V$2:$V$65,G1782),$W$2:$W$65),"Misc")</f>
        <v>Misc</v>
      </c>
      <c r="P1782" t="str" cm="1">
        <f t="array" ref="P1782">IFERROR(LOOKUP(2,1/SEARCH($Y$2:$Y$65,G1782),$Z$2:$Z$65),"Not Defined")</f>
        <v>MAGNET</v>
      </c>
      <c r="Q1782" t="str" cm="1">
        <f t="array" ref="Q1782">IFERROR(LOOKUP(2,1/SEARCH($S$2:$S$65,H1782),$T$2:$T$65),"-")</f>
        <v>COTS</v>
      </c>
    </row>
    <row r="1783" spans="1:17" hidden="1" x14ac:dyDescent="0.25">
      <c r="A1783" t="s">
        <v>7675</v>
      </c>
      <c r="B1783" t="s">
        <v>4774</v>
      </c>
      <c r="C1783">
        <v>1</v>
      </c>
      <c r="D1783" t="s">
        <v>7489</v>
      </c>
      <c r="E1783" t="s">
        <v>4770</v>
      </c>
      <c r="F1783" t="s">
        <v>4775</v>
      </c>
      <c r="G1783" t="s">
        <v>7494</v>
      </c>
      <c r="H1783" t="s">
        <v>4776</v>
      </c>
      <c r="I1783" t="s">
        <v>228</v>
      </c>
      <c r="J1783" t="s">
        <v>7703</v>
      </c>
      <c r="K1783" t="s">
        <v>7684</v>
      </c>
      <c r="L1783" t="s">
        <v>7739</v>
      </c>
      <c r="N1783" t="str" cm="1">
        <f t="array" ref="N1783">IFERROR(LOOKUP(2,1/SEARCH($S$2:$S$65,G1783),$T$2:$T$65),"Misc")</f>
        <v>COTS</v>
      </c>
      <c r="O1783" t="str" cm="1">
        <f t="array" ref="O1783">IFERROR(LOOKUP(2,1/SEARCH($V$2:$V$65,G1783),$W$2:$W$65),"Misc")</f>
        <v>Fasteners</v>
      </c>
      <c r="P1783" t="str" cm="1">
        <f t="array" ref="P1783">IFERROR(LOOKUP(2,1/SEARCH($Y$2:$Y$65,G1783),$Z$2:$Z$65),"Not Defined")</f>
        <v>BHCS</v>
      </c>
      <c r="Q1783" t="str" cm="1">
        <f t="array" ref="Q1783">IFERROR(LOOKUP(2,1/SEARCH($S$2:$S$65,H1783),$T$2:$T$65),"-")</f>
        <v>COTS</v>
      </c>
    </row>
    <row r="1784" spans="1:17" hidden="1" x14ac:dyDescent="0.25">
      <c r="A1784" t="s">
        <v>7675</v>
      </c>
      <c r="B1784" t="s">
        <v>4777</v>
      </c>
      <c r="C1784">
        <v>1</v>
      </c>
      <c r="D1784" t="s">
        <v>7489</v>
      </c>
      <c r="E1784" t="s">
        <v>4770</v>
      </c>
      <c r="F1784" t="s">
        <v>4778</v>
      </c>
      <c r="G1784" t="s">
        <v>7495</v>
      </c>
      <c r="H1784" t="s">
        <v>4779</v>
      </c>
      <c r="I1784" t="s">
        <v>210</v>
      </c>
      <c r="J1784" t="s">
        <v>7703</v>
      </c>
      <c r="K1784" t="s">
        <v>7684</v>
      </c>
      <c r="L1784" t="s">
        <v>7692</v>
      </c>
      <c r="N1784" t="str" cm="1">
        <f t="array" ref="N1784">IFERROR(LOOKUP(2,1/SEARCH($S$2:$S$65,G1784),$T$2:$T$65),"Misc")</f>
        <v>COTS</v>
      </c>
      <c r="O1784" t="str" cm="1">
        <f t="array" ref="O1784">IFERROR(LOOKUP(2,1/SEARCH($V$2:$V$65,G1784),$W$2:$W$65),"Misc")</f>
        <v>Fasteners</v>
      </c>
      <c r="P1784" t="str" cm="1">
        <f t="array" ref="P1784">IFERROR(LOOKUP(2,1/SEARCH($Y$2:$Y$65,G1784),$Z$2:$Z$65),"Not Defined")</f>
        <v>WASHER</v>
      </c>
      <c r="Q1784" t="str" cm="1">
        <f t="array" ref="Q1784">IFERROR(LOOKUP(2,1/SEARCH($S$2:$S$65,H1784),$T$2:$T$65),"-")</f>
        <v>COTS</v>
      </c>
    </row>
    <row r="1785" spans="1:17" hidden="1" x14ac:dyDescent="0.25">
      <c r="A1785" t="s">
        <v>7675</v>
      </c>
      <c r="B1785" t="s">
        <v>4780</v>
      </c>
      <c r="C1785">
        <v>1</v>
      </c>
      <c r="D1785" t="s">
        <v>7489</v>
      </c>
      <c r="E1785" t="s">
        <v>4770</v>
      </c>
      <c r="F1785" t="s">
        <v>4781</v>
      </c>
      <c r="G1785" t="s">
        <v>7496</v>
      </c>
      <c r="H1785" t="s">
        <v>4782</v>
      </c>
      <c r="I1785" t="s">
        <v>210</v>
      </c>
      <c r="J1785" t="s">
        <v>7744</v>
      </c>
      <c r="K1785" t="s">
        <v>7826</v>
      </c>
      <c r="L1785" t="s">
        <v>7826</v>
      </c>
      <c r="N1785" t="str" cm="1">
        <f t="array" ref="N1785">IFERROR(LOOKUP(2,1/SEARCH($S$2:$S$65,G1785),$T$2:$T$65),"Misc")</f>
        <v>OH Common</v>
      </c>
      <c r="O1785" t="str" cm="1">
        <f t="array" ref="O1785">IFERROR(LOOKUP(2,1/SEARCH($V$2:$V$65,G1785),$W$2:$W$65),"Misc")</f>
        <v>OH Part</v>
      </c>
      <c r="P1785" t="str" cm="1">
        <f t="array" ref="P1785">IFERROR(LOOKUP(2,1/SEARCH($Y$2:$Y$65,G1785),$Z$2:$Z$65),"Not Defined")</f>
        <v>OH Part</v>
      </c>
      <c r="Q1785" t="str" cm="1">
        <f t="array" ref="Q1785">IFERROR(LOOKUP(2,1/SEARCH($S$2:$S$65,H1785),$T$2:$T$65),"-")</f>
        <v>COTS</v>
      </c>
    </row>
    <row r="1786" spans="1:17" hidden="1" x14ac:dyDescent="0.25">
      <c r="A1786" t="s">
        <v>7675</v>
      </c>
      <c r="B1786" t="s">
        <v>4783</v>
      </c>
      <c r="C1786">
        <v>1</v>
      </c>
      <c r="D1786" t="s">
        <v>7489</v>
      </c>
      <c r="E1786" t="s">
        <v>4770</v>
      </c>
      <c r="F1786" t="s">
        <v>4784</v>
      </c>
      <c r="G1786" t="s">
        <v>7497</v>
      </c>
      <c r="H1786" t="s">
        <v>4785</v>
      </c>
      <c r="I1786" t="s">
        <v>210</v>
      </c>
      <c r="J1786" t="s">
        <v>7703</v>
      </c>
      <c r="K1786" t="s">
        <v>7684</v>
      </c>
      <c r="L1786" t="s">
        <v>7708</v>
      </c>
      <c r="N1786" t="str" cm="1">
        <f t="array" ref="N1786">IFERROR(LOOKUP(2,1/SEARCH($S$2:$S$65,G1786),$T$2:$T$65),"Misc")</f>
        <v>COTS</v>
      </c>
      <c r="O1786" t="str" cm="1">
        <f t="array" ref="O1786">IFERROR(LOOKUP(2,1/SEARCH($V$2:$V$65,G1786),$W$2:$W$65),"Misc")</f>
        <v>Fasteners</v>
      </c>
      <c r="P1786" t="str" cm="1">
        <f t="array" ref="P1786">IFERROR(LOOKUP(2,1/SEARCH($Y$2:$Y$65,G1786),$Z$2:$Z$65),"Not Defined")</f>
        <v>STANDOFF</v>
      </c>
      <c r="Q1786" t="str" cm="1">
        <f t="array" ref="Q1786">IFERROR(LOOKUP(2,1/SEARCH($S$2:$S$65,H1786),$T$2:$T$65),"-")</f>
        <v>COTS</v>
      </c>
    </row>
    <row r="1787" spans="1:17" hidden="1" x14ac:dyDescent="0.25">
      <c r="A1787" t="s">
        <v>7675</v>
      </c>
      <c r="B1787" t="s">
        <v>4786</v>
      </c>
      <c r="C1787">
        <v>1</v>
      </c>
      <c r="D1787" t="s">
        <v>7489</v>
      </c>
      <c r="E1787" t="s">
        <v>4770</v>
      </c>
      <c r="F1787" t="s">
        <v>4787</v>
      </c>
      <c r="G1787" t="s">
        <v>7498</v>
      </c>
      <c r="H1787" t="s">
        <v>4788</v>
      </c>
      <c r="J1787" t="s">
        <v>7703</v>
      </c>
      <c r="K1787" t="s">
        <v>7677</v>
      </c>
      <c r="L1787" t="s">
        <v>7677</v>
      </c>
      <c r="N1787" t="str" cm="1">
        <f t="array" ref="N1787">IFERROR(LOOKUP(2,1/SEARCH($S$2:$S$65,G1787),$T$2:$T$65),"Misc")</f>
        <v>COTS</v>
      </c>
      <c r="O1787" t="str" cm="1">
        <f t="array" ref="O1787">IFERROR(LOOKUP(2,1/SEARCH($V$2:$V$65,G1787),$W$2:$W$65),"Misc")</f>
        <v>SWITCH</v>
      </c>
      <c r="P1787" t="str" cm="1">
        <f t="array" ref="P1787">IFERROR(LOOKUP(2,1/SEARCH($Y$2:$Y$65,G1787),$Z$2:$Z$65),"Not Defined")</f>
        <v>SWITCH</v>
      </c>
      <c r="Q1787" t="str" cm="1">
        <f t="array" ref="Q1787">IFERROR(LOOKUP(2,1/SEARCH($S$2:$S$65,H1787),$T$2:$T$65),"-")</f>
        <v>COTS</v>
      </c>
    </row>
    <row r="1788" spans="1:17" x14ac:dyDescent="0.25">
      <c r="A1788" t="s">
        <v>7675</v>
      </c>
      <c r="B1788" t="s">
        <v>4789</v>
      </c>
      <c r="C1788">
        <v>1</v>
      </c>
      <c r="D1788" t="s">
        <v>7489</v>
      </c>
      <c r="F1788" t="s">
        <v>1516</v>
      </c>
      <c r="G1788" t="s">
        <v>7216</v>
      </c>
      <c r="H1788" t="s">
        <v>1517</v>
      </c>
      <c r="I1788" t="s">
        <v>299</v>
      </c>
      <c r="J1788" t="s">
        <v>7744</v>
      </c>
      <c r="K1788" t="s">
        <v>7826</v>
      </c>
      <c r="L1788" t="s">
        <v>7826</v>
      </c>
      <c r="N1788" t="str" cm="1">
        <f t="array" ref="N1788">IFERROR(LOOKUP(2,1/SEARCH($S$2:$S$65,G1788),$T$2:$T$65),"Misc")</f>
        <v>OH Common</v>
      </c>
      <c r="O1788" t="str" cm="1">
        <f t="array" ref="O1788">IFERROR(LOOKUP(2,1/SEARCH($V$2:$V$65,G1788),$W$2:$W$65),"Misc")</f>
        <v>OH Part</v>
      </c>
      <c r="P1788" t="str" cm="1">
        <f t="array" ref="P1788">IFERROR(LOOKUP(2,1/SEARCH($Y$2:$Y$65,G1788),$Z$2:$Z$65),"Not Defined")</f>
        <v>OH Part</v>
      </c>
      <c r="Q1788" t="str" cm="1">
        <f t="array" ref="Q1788">IFERROR(LOOKUP(2,1/SEARCH($S$2:$S$65,H1788),$T$2:$T$65),"-")</f>
        <v>COTS</v>
      </c>
    </row>
    <row r="1789" spans="1:17" x14ac:dyDescent="0.25">
      <c r="A1789" t="s">
        <v>7675</v>
      </c>
      <c r="B1789" t="s">
        <v>4790</v>
      </c>
      <c r="C1789">
        <v>1</v>
      </c>
      <c r="D1789" t="s">
        <v>7489</v>
      </c>
      <c r="F1789" t="s">
        <v>4791</v>
      </c>
      <c r="G1789" t="s">
        <v>7499</v>
      </c>
      <c r="H1789" t="s">
        <v>4792</v>
      </c>
      <c r="I1789" t="s">
        <v>255</v>
      </c>
      <c r="J1789" t="s">
        <v>7717</v>
      </c>
      <c r="K1789" t="s">
        <v>7717</v>
      </c>
      <c r="L1789" t="s">
        <v>7717</v>
      </c>
      <c r="N1789" t="str" cm="1">
        <f t="array" ref="N1789">IFERROR(LOOKUP(2,1/SEARCH($S$2:$S$65,G1789),$T$2:$T$65),"Misc")</f>
        <v>ABSIS</v>
      </c>
      <c r="O1789" t="str" cm="1">
        <f t="array" ref="O1789">IFERROR(LOOKUP(2,1/SEARCH($V$2:$V$65,G1789),$W$2:$W$65),"Misc")</f>
        <v>ABSIS</v>
      </c>
      <c r="P1789" t="str" cm="1">
        <f t="array" ref="P1789">IFERROR(LOOKUP(2,1/SEARCH($Y$2:$Y$65,G1789),$Z$2:$Z$65),"Not Defined")</f>
        <v>ABSIS</v>
      </c>
      <c r="Q1789" t="str" cm="1">
        <f t="array" ref="Q1789">IFERROR(LOOKUP(2,1/SEARCH($S$2:$S$65,H1789),$T$2:$T$65),"-")</f>
        <v>ABSIS</v>
      </c>
    </row>
    <row r="1790" spans="1:17" x14ac:dyDescent="0.25">
      <c r="A1790" t="s">
        <v>7675</v>
      </c>
      <c r="B1790" t="s">
        <v>4793</v>
      </c>
      <c r="C1790">
        <v>4</v>
      </c>
      <c r="D1790" t="s">
        <v>7489</v>
      </c>
      <c r="F1790" t="s">
        <v>583</v>
      </c>
      <c r="G1790" t="s">
        <v>7106</v>
      </c>
      <c r="H1790" t="s">
        <v>584</v>
      </c>
      <c r="I1790" t="s">
        <v>299</v>
      </c>
      <c r="J1790" t="s">
        <v>7703</v>
      </c>
      <c r="K1790" t="s">
        <v>7684</v>
      </c>
      <c r="L1790" t="s">
        <v>7708</v>
      </c>
      <c r="N1790" t="str" cm="1">
        <f t="array" ref="N1790">IFERROR(LOOKUP(2,1/SEARCH($S$2:$S$65,G1790),$T$2:$T$65),"Misc")</f>
        <v>COTS</v>
      </c>
      <c r="O1790" t="str" cm="1">
        <f t="array" ref="O1790">IFERROR(LOOKUP(2,1/SEARCH($V$2:$V$65,G1790),$W$2:$W$65),"Misc")</f>
        <v>Fasteners</v>
      </c>
      <c r="P1790" t="str" cm="1">
        <f t="array" ref="P1790">IFERROR(LOOKUP(2,1/SEARCH($Y$2:$Y$65,G1790),$Z$2:$Z$65),"Not Defined")</f>
        <v>STANDOFF</v>
      </c>
      <c r="Q1790" t="str" cm="1">
        <f t="array" ref="Q1790">IFERROR(LOOKUP(2,1/SEARCH($S$2:$S$65,H1790),$T$2:$T$65),"-")</f>
        <v>COTS</v>
      </c>
    </row>
    <row r="1791" spans="1:17" x14ac:dyDescent="0.25">
      <c r="A1791" t="s">
        <v>7675</v>
      </c>
      <c r="B1791" t="s">
        <v>4794</v>
      </c>
      <c r="C1791">
        <v>4</v>
      </c>
      <c r="D1791" t="s">
        <v>7489</v>
      </c>
      <c r="F1791" t="s">
        <v>4795</v>
      </c>
      <c r="G1791" t="s">
        <v>7500</v>
      </c>
      <c r="H1791" t="s">
        <v>4796</v>
      </c>
      <c r="I1791" t="s">
        <v>299</v>
      </c>
      <c r="J1791" t="s">
        <v>7703</v>
      </c>
      <c r="K1791" t="s">
        <v>7684</v>
      </c>
      <c r="L1791" t="s">
        <v>7708</v>
      </c>
      <c r="N1791" t="str" cm="1">
        <f t="array" ref="N1791">IFERROR(LOOKUP(2,1/SEARCH($S$2:$S$65,G1791),$T$2:$T$65),"Misc")</f>
        <v>COTS</v>
      </c>
      <c r="O1791" t="str" cm="1">
        <f t="array" ref="O1791">IFERROR(LOOKUP(2,1/SEARCH($V$2:$V$65,G1791),$W$2:$W$65),"Misc")</f>
        <v>Fasteners</v>
      </c>
      <c r="P1791" t="str" cm="1">
        <f t="array" ref="P1791">IFERROR(LOOKUP(2,1/SEARCH($Y$2:$Y$65,G1791),$Z$2:$Z$65),"Not Defined")</f>
        <v>STANDOFF</v>
      </c>
      <c r="Q1791" t="str" cm="1">
        <f t="array" ref="Q1791">IFERROR(LOOKUP(2,1/SEARCH($S$2:$S$65,H1791),$T$2:$T$65),"-")</f>
        <v>COTS</v>
      </c>
    </row>
    <row r="1792" spans="1:17" x14ac:dyDescent="0.25">
      <c r="A1792" t="s">
        <v>7675</v>
      </c>
      <c r="B1792" t="s">
        <v>4797</v>
      </c>
      <c r="C1792">
        <v>8</v>
      </c>
      <c r="D1792" t="s">
        <v>7489</v>
      </c>
      <c r="F1792" t="s">
        <v>460</v>
      </c>
      <c r="G1792" t="s">
        <v>7090</v>
      </c>
      <c r="H1792" t="s">
        <v>461</v>
      </c>
      <c r="I1792" t="s">
        <v>224</v>
      </c>
      <c r="J1792" t="s">
        <v>7703</v>
      </c>
      <c r="K1792" t="s">
        <v>7684</v>
      </c>
      <c r="L1792" t="s">
        <v>7693</v>
      </c>
      <c r="N1792" t="str" cm="1">
        <f t="array" ref="N1792">IFERROR(LOOKUP(2,1/SEARCH($S$2:$S$65,G1792),$T$2:$T$65),"Misc")</f>
        <v>COTS</v>
      </c>
      <c r="O1792" t="str" cm="1">
        <f t="array" ref="O1792">IFERROR(LOOKUP(2,1/SEARCH($V$2:$V$65,G1792),$W$2:$W$65),"Misc")</f>
        <v>Fasteners</v>
      </c>
      <c r="P1792" t="str" cm="1">
        <f t="array" ref="P1792">IFERROR(LOOKUP(2,1/SEARCH($Y$2:$Y$65,G1792),$Z$2:$Z$65),"Not Defined")</f>
        <v>PHS</v>
      </c>
      <c r="Q1792" t="str" cm="1">
        <f t="array" ref="Q1792">IFERROR(LOOKUP(2,1/SEARCH($S$2:$S$65,H1792),$T$2:$T$65),"-")</f>
        <v>COTS</v>
      </c>
    </row>
    <row r="1793" spans="1:17" x14ac:dyDescent="0.25">
      <c r="A1793" t="s">
        <v>7675</v>
      </c>
      <c r="B1793" t="s">
        <v>4798</v>
      </c>
      <c r="C1793">
        <v>3</v>
      </c>
      <c r="D1793" t="s">
        <v>7489</v>
      </c>
      <c r="F1793" t="s">
        <v>577</v>
      </c>
      <c r="G1793" t="s">
        <v>7104</v>
      </c>
      <c r="H1793" t="s">
        <v>578</v>
      </c>
      <c r="I1793" t="s">
        <v>299</v>
      </c>
      <c r="J1793" t="s">
        <v>7703</v>
      </c>
      <c r="K1793" t="s">
        <v>7684</v>
      </c>
      <c r="L1793" t="s">
        <v>7708</v>
      </c>
      <c r="N1793" t="str" cm="1">
        <f t="array" ref="N1793">IFERROR(LOOKUP(2,1/SEARCH($S$2:$S$65,G1793),$T$2:$T$65),"Misc")</f>
        <v>COTS</v>
      </c>
      <c r="O1793" t="str" cm="1">
        <f t="array" ref="O1793">IFERROR(LOOKUP(2,1/SEARCH($V$2:$V$65,G1793),$W$2:$W$65),"Misc")</f>
        <v>Fasteners</v>
      </c>
      <c r="P1793" t="str" cm="1">
        <f t="array" ref="P1793">IFERROR(LOOKUP(2,1/SEARCH($Y$2:$Y$65,G1793),$Z$2:$Z$65),"Not Defined")</f>
        <v>STANDOFF</v>
      </c>
      <c r="Q1793" t="str" cm="1">
        <f t="array" ref="Q1793">IFERROR(LOOKUP(2,1/SEARCH($S$2:$S$65,H1793),$T$2:$T$65),"-")</f>
        <v>COTS</v>
      </c>
    </row>
    <row r="1794" spans="1:17" x14ac:dyDescent="0.25">
      <c r="A1794" t="s">
        <v>7675</v>
      </c>
      <c r="B1794" t="s">
        <v>4799</v>
      </c>
      <c r="C1794">
        <v>1</v>
      </c>
      <c r="D1794" t="s">
        <v>7489</v>
      </c>
      <c r="F1794" t="s">
        <v>4800</v>
      </c>
      <c r="G1794" t="s">
        <v>4802</v>
      </c>
      <c r="H1794" t="s">
        <v>4801</v>
      </c>
      <c r="I1794" t="s">
        <v>13</v>
      </c>
      <c r="J1794" t="s">
        <v>7682</v>
      </c>
      <c r="K1794" t="s">
        <v>7826</v>
      </c>
      <c r="L1794" t="s">
        <v>7826</v>
      </c>
      <c r="N1794" t="str" cm="1">
        <f t="array" ref="N1794">IFERROR(LOOKUP(2,1/SEARCH($S$2:$S$65,G1794),$T$2:$T$65),"Misc")</f>
        <v>OH P/N</v>
      </c>
      <c r="O1794" t="str" cm="1">
        <f t="array" ref="O1794">IFERROR(LOOKUP(2,1/SEARCH($V$2:$V$65,G1794),$W$2:$W$65),"Misc")</f>
        <v>OH Part</v>
      </c>
      <c r="P1794" t="str" cm="1">
        <f t="array" ref="P1794">IFERROR(LOOKUP(2,1/SEARCH($Y$2:$Y$65,G1794),$Z$2:$Z$65),"Not Defined")</f>
        <v>OH Part</v>
      </c>
      <c r="Q1794" t="str" cm="1">
        <f t="array" ref="Q1794">IFERROR(LOOKUP(2,1/SEARCH($S$2:$S$65,H1794),$T$2:$T$65),"-")</f>
        <v>ABSIS</v>
      </c>
    </row>
    <row r="1795" spans="1:17" x14ac:dyDescent="0.25">
      <c r="A1795" t="s">
        <v>7675</v>
      </c>
      <c r="B1795" t="s">
        <v>4803</v>
      </c>
      <c r="C1795">
        <v>3</v>
      </c>
      <c r="D1795" t="s">
        <v>7489</v>
      </c>
      <c r="F1795" t="s">
        <v>1541</v>
      </c>
      <c r="G1795" t="s">
        <v>7223</v>
      </c>
      <c r="H1795" t="s">
        <v>1542</v>
      </c>
      <c r="I1795" t="s">
        <v>210</v>
      </c>
      <c r="J1795" t="s">
        <v>7703</v>
      </c>
      <c r="K1795" t="s">
        <v>7684</v>
      </c>
      <c r="L1795" t="s">
        <v>7693</v>
      </c>
      <c r="N1795" t="str" cm="1">
        <f t="array" ref="N1795">IFERROR(LOOKUP(2,1/SEARCH($S$2:$S$65,G1795),$T$2:$T$65),"Misc")</f>
        <v>COTS</v>
      </c>
      <c r="O1795" t="str" cm="1">
        <f t="array" ref="O1795">IFERROR(LOOKUP(2,1/SEARCH($V$2:$V$65,G1795),$W$2:$W$65),"Misc")</f>
        <v>Fasteners</v>
      </c>
      <c r="P1795" t="str" cm="1">
        <f t="array" ref="P1795">IFERROR(LOOKUP(2,1/SEARCH($Y$2:$Y$65,G1795),$Z$2:$Z$65),"Not Defined")</f>
        <v>PHS</v>
      </c>
      <c r="Q1795" t="str" cm="1">
        <f t="array" ref="Q1795">IFERROR(LOOKUP(2,1/SEARCH($S$2:$S$65,H1795),$T$2:$T$65),"-")</f>
        <v>COTS</v>
      </c>
    </row>
    <row r="1796" spans="1:17" hidden="1" x14ac:dyDescent="0.25">
      <c r="A1796" t="s">
        <v>7675</v>
      </c>
      <c r="B1796" t="s">
        <v>4804</v>
      </c>
      <c r="C1796">
        <v>1</v>
      </c>
      <c r="D1796" t="s">
        <v>7489</v>
      </c>
      <c r="E1796" t="s">
        <v>614</v>
      </c>
      <c r="F1796" s="15" t="s">
        <v>613</v>
      </c>
      <c r="G1796" t="s">
        <v>7110</v>
      </c>
      <c r="H1796" t="s">
        <v>614</v>
      </c>
      <c r="I1796" t="s">
        <v>255</v>
      </c>
      <c r="J1796" t="s">
        <v>7815</v>
      </c>
      <c r="K1796" t="s">
        <v>7717</v>
      </c>
      <c r="L1796" t="s">
        <v>7717</v>
      </c>
      <c r="N1796" t="str" cm="1">
        <f t="array" ref="N1796">IFERROR(LOOKUP(2,1/SEARCH($S$2:$S$65,G1796),$T$2:$T$65),"Misc")</f>
        <v>OH ASSY</v>
      </c>
      <c r="O1796" t="str" cm="1">
        <f t="array" ref="O1796">IFERROR(LOOKUP(2,1/SEARCH($V$2:$V$65,G1796),$W$2:$W$65),"Misc")</f>
        <v>ABSIS</v>
      </c>
      <c r="P1796" t="str" cm="1">
        <f t="array" ref="P1796">IFERROR(LOOKUP(2,1/SEARCH($Y$2:$Y$65,G1796),$Z$2:$Z$65),"Not Defined")</f>
        <v>ABSIS</v>
      </c>
      <c r="Q1796" t="str" cm="1">
        <f t="array" ref="Q1796">IFERROR(LOOKUP(2,1/SEARCH($S$2:$S$65,H1796),$T$2:$T$65),"-")</f>
        <v>OH ASSY</v>
      </c>
    </row>
    <row r="1797" spans="1:17" hidden="1" x14ac:dyDescent="0.25">
      <c r="A1797" t="s">
        <v>7675</v>
      </c>
      <c r="B1797" t="s">
        <v>4805</v>
      </c>
      <c r="C1797">
        <v>1</v>
      </c>
      <c r="D1797" t="s">
        <v>7489</v>
      </c>
      <c r="E1797" t="s">
        <v>614</v>
      </c>
      <c r="F1797" s="4" t="s">
        <v>616</v>
      </c>
      <c r="G1797" t="s">
        <v>7111</v>
      </c>
      <c r="H1797" t="s">
        <v>617</v>
      </c>
      <c r="I1797" t="s">
        <v>255</v>
      </c>
      <c r="J1797" t="s">
        <v>7717</v>
      </c>
      <c r="K1797" t="s">
        <v>7717</v>
      </c>
      <c r="L1797" t="s">
        <v>7717</v>
      </c>
      <c r="N1797" t="str" cm="1">
        <f t="array" ref="N1797">IFERROR(LOOKUP(2,1/SEARCH($S$2:$S$65,G1797),$T$2:$T$65),"Misc")</f>
        <v>ABSIS</v>
      </c>
      <c r="O1797" t="str" cm="1">
        <f t="array" ref="O1797">IFERROR(LOOKUP(2,1/SEARCH($V$2:$V$65,G1797),$W$2:$W$65),"Misc")</f>
        <v>ABSIS</v>
      </c>
      <c r="P1797" t="str" cm="1">
        <f t="array" ref="P1797">IFERROR(LOOKUP(2,1/SEARCH($Y$2:$Y$65,G1797),$Z$2:$Z$65),"Not Defined")</f>
        <v>ABSIS</v>
      </c>
      <c r="Q1797" t="str" cm="1">
        <f t="array" ref="Q1797">IFERROR(LOOKUP(2,1/SEARCH($S$2:$S$65,H1797),$T$2:$T$65),"-")</f>
        <v>ABSIS</v>
      </c>
    </row>
    <row r="1798" spans="1:17" hidden="1" x14ac:dyDescent="0.25">
      <c r="A1798" t="s">
        <v>7675</v>
      </c>
      <c r="B1798" t="s">
        <v>4806</v>
      </c>
      <c r="C1798">
        <v>1</v>
      </c>
      <c r="D1798" t="s">
        <v>7489</v>
      </c>
      <c r="E1798" t="s">
        <v>614</v>
      </c>
      <c r="F1798" t="s">
        <v>596</v>
      </c>
      <c r="G1798" t="s">
        <v>7108</v>
      </c>
      <c r="H1798" t="s">
        <v>597</v>
      </c>
      <c r="I1798" t="s">
        <v>255</v>
      </c>
      <c r="J1798" t="s">
        <v>7703</v>
      </c>
      <c r="K1798" t="s">
        <v>7713</v>
      </c>
      <c r="L1798" t="s">
        <v>7713</v>
      </c>
      <c r="N1798" t="str" cm="1">
        <f t="array" ref="N1798">IFERROR(LOOKUP(2,1/SEARCH($S$2:$S$65,G1798),$T$2:$T$65),"Misc")</f>
        <v>COTS</v>
      </c>
      <c r="O1798" t="str" cm="1">
        <f t="array" ref="O1798">IFERROR(LOOKUP(2,1/SEARCH($V$2:$V$65,G1798),$W$2:$W$65),"Misc")</f>
        <v>ARDUINO</v>
      </c>
      <c r="P1798" t="str" cm="1">
        <f t="array" ref="P1798">IFERROR(LOOKUP(2,1/SEARCH($Y$2:$Y$65,G1798),$Z$2:$Z$65),"Not Defined")</f>
        <v>ARDUINO</v>
      </c>
      <c r="Q1798" t="str" cm="1">
        <f t="array" ref="Q1798">IFERROR(LOOKUP(2,1/SEARCH($S$2:$S$65,H1798),$T$2:$T$65),"-")</f>
        <v>COTS</v>
      </c>
    </row>
    <row r="1799" spans="1:17" x14ac:dyDescent="0.25">
      <c r="A1799" t="s">
        <v>7675</v>
      </c>
      <c r="B1799" t="s">
        <v>4807</v>
      </c>
      <c r="C1799">
        <v>1</v>
      </c>
      <c r="D1799" t="s">
        <v>7489</v>
      </c>
      <c r="F1799" t="s">
        <v>701</v>
      </c>
      <c r="G1799" t="s">
        <v>7119</v>
      </c>
      <c r="H1799" t="s">
        <v>702</v>
      </c>
      <c r="I1799" t="s">
        <v>255</v>
      </c>
      <c r="J1799" t="s">
        <v>7703</v>
      </c>
      <c r="K1799" t="s">
        <v>7684</v>
      </c>
      <c r="L1799" t="s">
        <v>7685</v>
      </c>
      <c r="N1799" t="str" cm="1">
        <f t="array" ref="N1799">IFERROR(LOOKUP(2,1/SEARCH($S$2:$S$65,G1799),$T$2:$T$65),"Misc")</f>
        <v>COTS</v>
      </c>
      <c r="O1799" t="str" cm="1">
        <f t="array" ref="O1799">IFERROR(LOOKUP(2,1/SEARCH($V$2:$V$65,G1799),$W$2:$W$65),"Misc")</f>
        <v>Fasteners</v>
      </c>
      <c r="P1799" t="str" cm="1">
        <f t="array" ref="P1799">IFERROR(LOOKUP(2,1/SEARCH($Y$2:$Y$65,G1799),$Z$2:$Z$65),"Not Defined")</f>
        <v>NUT</v>
      </c>
      <c r="Q1799" t="str" cm="1">
        <f t="array" ref="Q1799">IFERROR(LOOKUP(2,1/SEARCH($S$2:$S$65,H1799),$T$2:$T$65),"-")</f>
        <v>COTS</v>
      </c>
    </row>
    <row r="1800" spans="1:17" x14ac:dyDescent="0.25">
      <c r="A1800" t="s">
        <v>7675</v>
      </c>
      <c r="B1800" s="19">
        <v>3.11</v>
      </c>
      <c r="C1800">
        <v>1</v>
      </c>
      <c r="D1800" t="s">
        <v>7501</v>
      </c>
      <c r="F1800" t="s">
        <v>4808</v>
      </c>
      <c r="G1800" t="s">
        <v>7501</v>
      </c>
      <c r="H1800" t="s">
        <v>4809</v>
      </c>
      <c r="J1800" t="s">
        <v>7742</v>
      </c>
      <c r="K1800" t="s">
        <v>7826</v>
      </c>
      <c r="L1800" t="s">
        <v>7826</v>
      </c>
      <c r="N1800" t="str" cm="1">
        <f t="array" ref="N1800">IFERROR(LOOKUP(2,1/SEARCH($S$2:$S$65,G1800),$T$2:$T$65),"Misc")</f>
        <v>OH ASSY</v>
      </c>
      <c r="O1800" t="str" cm="1">
        <f t="array" ref="O1800">IFERROR(LOOKUP(2,1/SEARCH($V$2:$V$65,G1800),$W$2:$W$65),"Misc")</f>
        <v>OH Part</v>
      </c>
      <c r="P1800" t="str" cm="1">
        <f t="array" ref="P1800">IFERROR(LOOKUP(2,1/SEARCH($Y$2:$Y$65,G1800),$Z$2:$Z$65),"Not Defined")</f>
        <v>OH Part</v>
      </c>
      <c r="Q1800" t="str" cm="1">
        <f t="array" ref="Q1800">IFERROR(LOOKUP(2,1/SEARCH($S$2:$S$65,H1800),$T$2:$T$65),"-")</f>
        <v>OH ASSY</v>
      </c>
    </row>
    <row r="1801" spans="1:17" x14ac:dyDescent="0.25">
      <c r="A1801" t="s">
        <v>7675</v>
      </c>
      <c r="B1801" t="s">
        <v>4810</v>
      </c>
      <c r="C1801">
        <v>1</v>
      </c>
      <c r="D1801" t="s">
        <v>7501</v>
      </c>
      <c r="F1801" t="s">
        <v>4811</v>
      </c>
      <c r="G1801" t="s">
        <v>4813</v>
      </c>
      <c r="H1801" t="s">
        <v>4812</v>
      </c>
      <c r="I1801" t="s">
        <v>255</v>
      </c>
      <c r="J1801" t="s">
        <v>7682</v>
      </c>
      <c r="K1801" t="s">
        <v>7826</v>
      </c>
      <c r="L1801" t="s">
        <v>7826</v>
      </c>
      <c r="N1801" t="str" cm="1">
        <f t="array" ref="N1801">IFERROR(LOOKUP(2,1/SEARCH($S$2:$S$65,G1801),$T$2:$T$65),"Misc")</f>
        <v>OH P/N</v>
      </c>
      <c r="O1801" t="str" cm="1">
        <f t="array" ref="O1801">IFERROR(LOOKUP(2,1/SEARCH($V$2:$V$65,G1801),$W$2:$W$65),"Misc")</f>
        <v>OH Part</v>
      </c>
      <c r="P1801" t="str" cm="1">
        <f t="array" ref="P1801">IFERROR(LOOKUP(2,1/SEARCH($Y$2:$Y$65,G1801),$Z$2:$Z$65),"Not Defined")</f>
        <v>OH Part</v>
      </c>
      <c r="Q1801" t="str" cm="1">
        <f t="array" ref="Q1801">IFERROR(LOOKUP(2,1/SEARCH($S$2:$S$65,H1801),$T$2:$T$65),"-")</f>
        <v>-</v>
      </c>
    </row>
    <row r="1802" spans="1:17" x14ac:dyDescent="0.25">
      <c r="A1802" t="s">
        <v>7675</v>
      </c>
      <c r="B1802" t="s">
        <v>4814</v>
      </c>
      <c r="C1802">
        <v>1</v>
      </c>
      <c r="D1802" t="s">
        <v>7501</v>
      </c>
      <c r="F1802" t="s">
        <v>4815</v>
      </c>
      <c r="G1802" t="s">
        <v>4817</v>
      </c>
      <c r="H1802" t="s">
        <v>4816</v>
      </c>
      <c r="I1802" t="s">
        <v>293</v>
      </c>
      <c r="J1802" t="s">
        <v>7682</v>
      </c>
      <c r="K1802" t="s">
        <v>7826</v>
      </c>
      <c r="L1802" t="s">
        <v>7826</v>
      </c>
      <c r="N1802" t="str" cm="1">
        <f t="array" ref="N1802">IFERROR(LOOKUP(2,1/SEARCH($S$2:$S$65,G1802),$T$2:$T$65),"Misc")</f>
        <v>OH P/N</v>
      </c>
      <c r="O1802" t="str" cm="1">
        <f t="array" ref="O1802">IFERROR(LOOKUP(2,1/SEARCH($V$2:$V$65,G1802),$W$2:$W$65),"Misc")</f>
        <v>OH Part</v>
      </c>
      <c r="P1802" t="str" cm="1">
        <f t="array" ref="P1802">IFERROR(LOOKUP(2,1/SEARCH($Y$2:$Y$65,G1802),$Z$2:$Z$65),"Not Defined")</f>
        <v>OH Part</v>
      </c>
      <c r="Q1802" t="str" cm="1">
        <f t="array" ref="Q1802">IFERROR(LOOKUP(2,1/SEARCH($S$2:$S$65,H1802),$T$2:$T$65),"-")</f>
        <v>-</v>
      </c>
    </row>
    <row r="1803" spans="1:17" x14ac:dyDescent="0.25">
      <c r="A1803" t="s">
        <v>7675</v>
      </c>
      <c r="B1803" t="s">
        <v>4818</v>
      </c>
      <c r="C1803">
        <v>1</v>
      </c>
      <c r="D1803" t="s">
        <v>7501</v>
      </c>
      <c r="F1803" t="s">
        <v>4819</v>
      </c>
      <c r="G1803" t="s">
        <v>4821</v>
      </c>
      <c r="H1803" t="s">
        <v>4820</v>
      </c>
      <c r="I1803" t="s">
        <v>293</v>
      </c>
      <c r="J1803" t="s">
        <v>7682</v>
      </c>
      <c r="K1803" t="s">
        <v>7826</v>
      </c>
      <c r="L1803" t="s">
        <v>7826</v>
      </c>
      <c r="N1803" t="str" cm="1">
        <f t="array" ref="N1803">IFERROR(LOOKUP(2,1/SEARCH($S$2:$S$65,G1803),$T$2:$T$65),"Misc")</f>
        <v>OH P/N</v>
      </c>
      <c r="O1803" t="str" cm="1">
        <f t="array" ref="O1803">IFERROR(LOOKUP(2,1/SEARCH($V$2:$V$65,G1803),$W$2:$W$65),"Misc")</f>
        <v>OH Part</v>
      </c>
      <c r="P1803" t="str" cm="1">
        <f t="array" ref="P1803">IFERROR(LOOKUP(2,1/SEARCH($Y$2:$Y$65,G1803),$Z$2:$Z$65),"Not Defined")</f>
        <v>OH Part</v>
      </c>
      <c r="Q1803" t="str" cm="1">
        <f t="array" ref="Q1803">IFERROR(LOOKUP(2,1/SEARCH($S$2:$S$65,H1803),$T$2:$T$65),"-")</f>
        <v>-</v>
      </c>
    </row>
    <row r="1804" spans="1:17" x14ac:dyDescent="0.25">
      <c r="A1804" t="s">
        <v>7675</v>
      </c>
      <c r="B1804" t="s">
        <v>4822</v>
      </c>
      <c r="C1804">
        <v>1</v>
      </c>
      <c r="D1804" t="s">
        <v>7501</v>
      </c>
      <c r="F1804" t="s">
        <v>4823</v>
      </c>
      <c r="G1804" t="s">
        <v>4825</v>
      </c>
      <c r="H1804" t="s">
        <v>4824</v>
      </c>
      <c r="I1804" t="s">
        <v>281</v>
      </c>
      <c r="J1804" t="s">
        <v>7682</v>
      </c>
      <c r="K1804" t="s">
        <v>7826</v>
      </c>
      <c r="L1804" t="s">
        <v>7826</v>
      </c>
      <c r="N1804" t="str" cm="1">
        <f t="array" ref="N1804">IFERROR(LOOKUP(2,1/SEARCH($S$2:$S$65,G1804),$T$2:$T$65),"Misc")</f>
        <v>OH P/N</v>
      </c>
      <c r="O1804" t="str" cm="1">
        <f t="array" ref="O1804">IFERROR(LOOKUP(2,1/SEARCH($V$2:$V$65,G1804),$W$2:$W$65),"Misc")</f>
        <v>OH Part</v>
      </c>
      <c r="P1804" t="str" cm="1">
        <f t="array" ref="P1804">IFERROR(LOOKUP(2,1/SEARCH($Y$2:$Y$65,G1804),$Z$2:$Z$65),"Not Defined")</f>
        <v>OH Part</v>
      </c>
      <c r="Q1804" t="str" cm="1">
        <f t="array" ref="Q1804">IFERROR(LOOKUP(2,1/SEARCH($S$2:$S$65,H1804),$T$2:$T$65),"-")</f>
        <v>-</v>
      </c>
    </row>
    <row r="1805" spans="1:17" hidden="1" x14ac:dyDescent="0.25">
      <c r="A1805" t="s">
        <v>7675</v>
      </c>
      <c r="B1805" t="s">
        <v>4826</v>
      </c>
      <c r="C1805">
        <v>4</v>
      </c>
      <c r="D1805" t="s">
        <v>7501</v>
      </c>
      <c r="E1805" t="s">
        <v>4828</v>
      </c>
      <c r="F1805" t="s">
        <v>4827</v>
      </c>
      <c r="G1805" t="s">
        <v>7502</v>
      </c>
      <c r="H1805" t="s">
        <v>4828</v>
      </c>
      <c r="J1805" t="s">
        <v>7744</v>
      </c>
      <c r="K1805" t="s">
        <v>7826</v>
      </c>
      <c r="L1805" t="s">
        <v>7826</v>
      </c>
      <c r="N1805" t="str" cm="1">
        <f t="array" ref="N1805">IFERROR(LOOKUP(2,1/SEARCH($S$2:$S$65,G1805),$T$2:$T$65),"Misc")</f>
        <v>OH Common</v>
      </c>
      <c r="O1805" t="str" cm="1">
        <f t="array" ref="O1805">IFERROR(LOOKUP(2,1/SEARCH($V$2:$V$65,G1805),$W$2:$W$65),"Misc")</f>
        <v>OH Part</v>
      </c>
      <c r="P1805" t="str" cm="1">
        <f t="array" ref="P1805">IFERROR(LOOKUP(2,1/SEARCH($Y$2:$Y$65,G1805),$Z$2:$Z$65),"Not Defined")</f>
        <v>OH Part</v>
      </c>
      <c r="Q1805" t="str" cm="1">
        <f t="array" ref="Q1805">IFERROR(LOOKUP(2,1/SEARCH($S$2:$S$65,H1805),$T$2:$T$65),"-")</f>
        <v>OH ASSY</v>
      </c>
    </row>
    <row r="1806" spans="1:17" hidden="1" x14ac:dyDescent="0.25">
      <c r="A1806" t="s">
        <v>7675</v>
      </c>
      <c r="B1806" t="s">
        <v>4829</v>
      </c>
      <c r="C1806">
        <v>1</v>
      </c>
      <c r="D1806" t="s">
        <v>7501</v>
      </c>
      <c r="E1806" t="s">
        <v>4828</v>
      </c>
      <c r="F1806" t="s">
        <v>1513</v>
      </c>
      <c r="G1806" t="s">
        <v>7215</v>
      </c>
      <c r="H1806" t="s">
        <v>1514</v>
      </c>
      <c r="I1806" t="s">
        <v>255</v>
      </c>
      <c r="J1806" t="s">
        <v>7703</v>
      </c>
      <c r="K1806" t="s">
        <v>7677</v>
      </c>
      <c r="L1806" t="s">
        <v>7677</v>
      </c>
      <c r="N1806" t="str" cm="1">
        <f t="array" ref="N1806">IFERROR(LOOKUP(2,1/SEARCH($S$2:$S$65,G1806),$T$2:$T$65),"Misc")</f>
        <v>COTS</v>
      </c>
      <c r="O1806" t="str" cm="1">
        <f t="array" ref="O1806">IFERROR(LOOKUP(2,1/SEARCH($V$2:$V$65,G1806),$W$2:$W$65),"Misc")</f>
        <v>SWITCH</v>
      </c>
      <c r="P1806" t="str" cm="1">
        <f t="array" ref="P1806">IFERROR(LOOKUP(2,1/SEARCH($Y$2:$Y$65,G1806),$Z$2:$Z$65),"Not Defined")</f>
        <v>SWITCH</v>
      </c>
      <c r="Q1806" t="str" cm="1">
        <f t="array" ref="Q1806">IFERROR(LOOKUP(2,1/SEARCH($S$2:$S$65,H1806),$T$2:$T$65),"-")</f>
        <v>COTS</v>
      </c>
    </row>
    <row r="1807" spans="1:17" hidden="1" x14ac:dyDescent="0.25">
      <c r="A1807" t="s">
        <v>7675</v>
      </c>
      <c r="B1807" t="s">
        <v>4830</v>
      </c>
      <c r="C1807">
        <v>1</v>
      </c>
      <c r="D1807" t="s">
        <v>7501</v>
      </c>
      <c r="E1807" t="s">
        <v>4828</v>
      </c>
      <c r="F1807" t="s">
        <v>1525</v>
      </c>
      <c r="G1807" t="s">
        <v>7219</v>
      </c>
      <c r="H1807" t="s">
        <v>1526</v>
      </c>
      <c r="I1807" t="s">
        <v>299</v>
      </c>
      <c r="J1807" t="s">
        <v>7744</v>
      </c>
      <c r="K1807" t="s">
        <v>7826</v>
      </c>
      <c r="L1807" t="s">
        <v>7826</v>
      </c>
      <c r="N1807" t="str" cm="1">
        <f t="array" ref="N1807">IFERROR(LOOKUP(2,1/SEARCH($S$2:$S$65,G1807),$T$2:$T$65),"Misc")</f>
        <v>OH Common</v>
      </c>
      <c r="O1807" t="str" cm="1">
        <f t="array" ref="O1807">IFERROR(LOOKUP(2,1/SEARCH($V$2:$V$65,G1807),$W$2:$W$65),"Misc")</f>
        <v>OH Part</v>
      </c>
      <c r="P1807" t="str" cm="1">
        <f t="array" ref="P1807">IFERROR(LOOKUP(2,1/SEARCH($Y$2:$Y$65,G1807),$Z$2:$Z$65),"Not Defined")</f>
        <v>OH Part</v>
      </c>
      <c r="Q1807" t="str" cm="1">
        <f t="array" ref="Q1807">IFERROR(LOOKUP(2,1/SEARCH($S$2:$S$65,H1807),$T$2:$T$65),"-")</f>
        <v>COTS</v>
      </c>
    </row>
    <row r="1808" spans="1:17" x14ac:dyDescent="0.25">
      <c r="A1808" t="s">
        <v>7675</v>
      </c>
      <c r="B1808" t="s">
        <v>4831</v>
      </c>
      <c r="C1808">
        <v>6</v>
      </c>
      <c r="D1808" t="s">
        <v>7501</v>
      </c>
      <c r="F1808" t="s">
        <v>2089</v>
      </c>
      <c r="G1808" t="s">
        <v>7250</v>
      </c>
      <c r="H1808" t="s">
        <v>2090</v>
      </c>
      <c r="I1808" t="s">
        <v>228</v>
      </c>
      <c r="J1808" t="s">
        <v>7703</v>
      </c>
      <c r="K1808" t="s">
        <v>7684</v>
      </c>
      <c r="L1808" t="s">
        <v>7677</v>
      </c>
      <c r="N1808" t="str" cm="1">
        <f t="array" ref="N1808">IFERROR(LOOKUP(2,1/SEARCH($S$2:$S$65,G1808),$T$2:$T$65),"Misc")</f>
        <v>COTS</v>
      </c>
      <c r="O1808" t="str" cm="1">
        <f t="array" ref="O1808">IFERROR(LOOKUP(2,1/SEARCH($V$2:$V$65,G1808),$W$2:$W$65),"Misc")</f>
        <v>Fasteners</v>
      </c>
      <c r="P1808" t="str" cm="1">
        <f t="array" ref="P1808">IFERROR(LOOKUP(2,1/SEARCH($Y$2:$Y$65,G1808),$Z$2:$Z$65),"Not Defined")</f>
        <v>SWITCH</v>
      </c>
      <c r="Q1808" t="str" cm="1">
        <f t="array" ref="Q1808">IFERROR(LOOKUP(2,1/SEARCH($S$2:$S$65,H1808),$T$2:$T$65),"-")</f>
        <v>COTS</v>
      </c>
    </row>
    <row r="1809" spans="1:17" x14ac:dyDescent="0.25">
      <c r="A1809" t="s">
        <v>7675</v>
      </c>
      <c r="B1809" t="s">
        <v>4832</v>
      </c>
      <c r="C1809">
        <v>6</v>
      </c>
      <c r="D1809" t="s">
        <v>7501</v>
      </c>
      <c r="F1809" t="s">
        <v>4280</v>
      </c>
      <c r="G1809" t="s">
        <v>7444</v>
      </c>
      <c r="H1809" t="s">
        <v>4281</v>
      </c>
      <c r="I1809" t="s">
        <v>1265</v>
      </c>
      <c r="J1809" t="s">
        <v>7703</v>
      </c>
      <c r="K1809" t="s">
        <v>7719</v>
      </c>
      <c r="L1809" t="s">
        <v>7677</v>
      </c>
      <c r="N1809" t="str" cm="1">
        <f t="array" ref="N1809">IFERROR(LOOKUP(2,1/SEARCH($S$2:$S$65,G1809),$T$2:$T$65),"Misc")</f>
        <v>COTS</v>
      </c>
      <c r="O1809" t="str" cm="1">
        <f t="array" ref="O1809">IFERROR(LOOKUP(2,1/SEARCH($V$2:$V$65,G1809),$W$2:$W$65),"Misc")</f>
        <v>Misc</v>
      </c>
      <c r="P1809" t="str" cm="1">
        <f t="array" ref="P1809">IFERROR(LOOKUP(2,1/SEARCH($Y$2:$Y$65,G1809),$Z$2:$Z$65),"Not Defined")</f>
        <v>SWITCH</v>
      </c>
      <c r="Q1809" t="str" cm="1">
        <f t="array" ref="Q1809">IFERROR(LOOKUP(2,1/SEARCH($S$2:$S$65,H1809),$T$2:$T$65),"-")</f>
        <v>COTS</v>
      </c>
    </row>
    <row r="1810" spans="1:17" x14ac:dyDescent="0.25">
      <c r="A1810" t="s">
        <v>7675</v>
      </c>
      <c r="B1810" t="s">
        <v>4833</v>
      </c>
      <c r="C1810">
        <v>6</v>
      </c>
      <c r="D1810" t="s">
        <v>7501</v>
      </c>
      <c r="F1810" t="s">
        <v>1528</v>
      </c>
      <c r="G1810" t="s">
        <v>7220</v>
      </c>
      <c r="H1810" t="s">
        <v>1529</v>
      </c>
      <c r="I1810" t="s">
        <v>228</v>
      </c>
      <c r="J1810" t="s">
        <v>7703</v>
      </c>
      <c r="K1810" t="s">
        <v>7677</v>
      </c>
      <c r="L1810" t="s">
        <v>7685</v>
      </c>
      <c r="N1810" t="str" cm="1">
        <f t="array" ref="N1810">IFERROR(LOOKUP(2,1/SEARCH($S$2:$S$65,G1810),$T$2:$T$65),"Misc")</f>
        <v>COTS</v>
      </c>
      <c r="O1810" t="str" cm="1">
        <f t="array" ref="O1810">IFERROR(LOOKUP(2,1/SEARCH($V$2:$V$65,G1810),$W$2:$W$65),"Misc")</f>
        <v>SWITCH</v>
      </c>
      <c r="P1810" t="str" cm="1">
        <f t="array" ref="P1810">IFERROR(LOOKUP(2,1/SEARCH($Y$2:$Y$65,G1810),$Z$2:$Z$65),"Not Defined")</f>
        <v>NUT</v>
      </c>
      <c r="Q1810" t="str" cm="1">
        <f t="array" ref="Q1810">IFERROR(LOOKUP(2,1/SEARCH($S$2:$S$65,H1810),$T$2:$T$65),"-")</f>
        <v>COTS</v>
      </c>
    </row>
    <row r="1811" spans="1:17" hidden="1" x14ac:dyDescent="0.25">
      <c r="A1811" t="s">
        <v>7675</v>
      </c>
      <c r="B1811" t="s">
        <v>4834</v>
      </c>
      <c r="C1811">
        <v>2</v>
      </c>
      <c r="D1811" t="s">
        <v>7501</v>
      </c>
      <c r="E1811" t="s">
        <v>1520</v>
      </c>
      <c r="F1811" t="s">
        <v>1519</v>
      </c>
      <c r="G1811" t="s">
        <v>7217</v>
      </c>
      <c r="H1811" t="s">
        <v>1520</v>
      </c>
      <c r="J1811" t="s">
        <v>7744</v>
      </c>
      <c r="K1811" t="s">
        <v>7826</v>
      </c>
      <c r="L1811" t="s">
        <v>7826</v>
      </c>
      <c r="N1811" t="str" cm="1">
        <f t="array" ref="N1811">IFERROR(LOOKUP(2,1/SEARCH($S$2:$S$65,G1811),$T$2:$T$65),"Misc")</f>
        <v>OH Common</v>
      </c>
      <c r="O1811" t="str" cm="1">
        <f t="array" ref="O1811">IFERROR(LOOKUP(2,1/SEARCH($V$2:$V$65,G1811),$W$2:$W$65),"Misc")</f>
        <v>OH Part</v>
      </c>
      <c r="P1811" t="str" cm="1">
        <f t="array" ref="P1811">IFERROR(LOOKUP(2,1/SEARCH($Y$2:$Y$65,G1811),$Z$2:$Z$65),"Not Defined")</f>
        <v>OH Part</v>
      </c>
      <c r="Q1811" t="str" cm="1">
        <f t="array" ref="Q1811">IFERROR(LOOKUP(2,1/SEARCH($S$2:$S$65,H1811),$T$2:$T$65),"-")</f>
        <v>OH ASSY</v>
      </c>
    </row>
    <row r="1812" spans="1:17" hidden="1" x14ac:dyDescent="0.25">
      <c r="A1812" t="s">
        <v>7675</v>
      </c>
      <c r="B1812" t="s">
        <v>4835</v>
      </c>
      <c r="C1812">
        <v>1</v>
      </c>
      <c r="D1812" t="s">
        <v>7501</v>
      </c>
      <c r="E1812" t="s">
        <v>1520</v>
      </c>
      <c r="F1812" t="s">
        <v>1522</v>
      </c>
      <c r="G1812" t="s">
        <v>7218</v>
      </c>
      <c r="H1812" t="s">
        <v>1523</v>
      </c>
      <c r="I1812" t="s">
        <v>255</v>
      </c>
      <c r="J1812" t="s">
        <v>7703</v>
      </c>
      <c r="K1812" t="s">
        <v>7677</v>
      </c>
      <c r="L1812" t="s">
        <v>7677</v>
      </c>
      <c r="N1812" t="str" cm="1">
        <f t="array" ref="N1812">IFERROR(LOOKUP(2,1/SEARCH($S$2:$S$65,G1812),$T$2:$T$65),"Misc")</f>
        <v>COTS</v>
      </c>
      <c r="O1812" t="str" cm="1">
        <f t="array" ref="O1812">IFERROR(LOOKUP(2,1/SEARCH($V$2:$V$65,G1812),$W$2:$W$65),"Misc")</f>
        <v>SWITCH</v>
      </c>
      <c r="P1812" t="str" cm="1">
        <f t="array" ref="P1812">IFERROR(LOOKUP(2,1/SEARCH($Y$2:$Y$65,G1812),$Z$2:$Z$65),"Not Defined")</f>
        <v>SWITCH</v>
      </c>
      <c r="Q1812" t="str" cm="1">
        <f t="array" ref="Q1812">IFERROR(LOOKUP(2,1/SEARCH($S$2:$S$65,H1812),$T$2:$T$65),"-")</f>
        <v>COTS</v>
      </c>
    </row>
    <row r="1813" spans="1:17" hidden="1" x14ac:dyDescent="0.25">
      <c r="A1813" t="s">
        <v>7675</v>
      </c>
      <c r="B1813" t="s">
        <v>4836</v>
      </c>
      <c r="C1813">
        <v>1</v>
      </c>
      <c r="D1813" t="s">
        <v>7501</v>
      </c>
      <c r="E1813" t="s">
        <v>1520</v>
      </c>
      <c r="F1813" t="s">
        <v>1525</v>
      </c>
      <c r="G1813" t="s">
        <v>7219</v>
      </c>
      <c r="H1813" t="s">
        <v>1526</v>
      </c>
      <c r="I1813" t="s">
        <v>299</v>
      </c>
      <c r="J1813" t="s">
        <v>7744</v>
      </c>
      <c r="K1813" t="s">
        <v>7826</v>
      </c>
      <c r="L1813" t="s">
        <v>7826</v>
      </c>
      <c r="N1813" t="str" cm="1">
        <f t="array" ref="N1813">IFERROR(LOOKUP(2,1/SEARCH($S$2:$S$65,G1813),$T$2:$T$65),"Misc")</f>
        <v>OH Common</v>
      </c>
      <c r="O1813" t="str" cm="1">
        <f t="array" ref="O1813">IFERROR(LOOKUP(2,1/SEARCH($V$2:$V$65,G1813),$W$2:$W$65),"Misc")</f>
        <v>OH Part</v>
      </c>
      <c r="P1813" t="str" cm="1">
        <f t="array" ref="P1813">IFERROR(LOOKUP(2,1/SEARCH($Y$2:$Y$65,G1813),$Z$2:$Z$65),"Not Defined")</f>
        <v>OH Part</v>
      </c>
      <c r="Q1813" t="str" cm="1">
        <f t="array" ref="Q1813">IFERROR(LOOKUP(2,1/SEARCH($S$2:$S$65,H1813),$T$2:$T$65),"-")</f>
        <v>COTS</v>
      </c>
    </row>
    <row r="1814" spans="1:17" x14ac:dyDescent="0.25">
      <c r="A1814" t="s">
        <v>7675</v>
      </c>
      <c r="B1814" t="s">
        <v>4837</v>
      </c>
      <c r="C1814">
        <v>1</v>
      </c>
      <c r="D1814" t="s">
        <v>7501</v>
      </c>
      <c r="F1814" t="s">
        <v>4838</v>
      </c>
      <c r="G1814" t="s">
        <v>7503</v>
      </c>
      <c r="H1814" t="s">
        <v>4839</v>
      </c>
      <c r="I1814" t="s">
        <v>255</v>
      </c>
      <c r="J1814" t="s">
        <v>7703</v>
      </c>
      <c r="K1814" t="s">
        <v>7677</v>
      </c>
      <c r="L1814" t="s">
        <v>7677</v>
      </c>
      <c r="N1814" t="str" cm="1">
        <f t="array" ref="N1814">IFERROR(LOOKUP(2,1/SEARCH($S$2:$S$65,G1814),$T$2:$T$65),"Misc")</f>
        <v>COTS</v>
      </c>
      <c r="O1814" t="str" cm="1">
        <f t="array" ref="O1814">IFERROR(LOOKUP(2,1/SEARCH($V$2:$V$65,G1814),$W$2:$W$65),"Misc")</f>
        <v>SWITCH</v>
      </c>
      <c r="P1814" t="str" cm="1">
        <f t="array" ref="P1814">IFERROR(LOOKUP(2,1/SEARCH($Y$2:$Y$65,G1814),$Z$2:$Z$65),"Not Defined")</f>
        <v>SWITCH</v>
      </c>
      <c r="Q1814" t="str" cm="1">
        <f t="array" ref="Q1814">IFERROR(LOOKUP(2,1/SEARCH($S$2:$S$65,H1814),$T$2:$T$65),"-")</f>
        <v>COTS</v>
      </c>
    </row>
    <row r="1815" spans="1:17" x14ac:dyDescent="0.25">
      <c r="A1815" t="s">
        <v>7675</v>
      </c>
      <c r="B1815" t="s">
        <v>4840</v>
      </c>
      <c r="C1815">
        <v>1</v>
      </c>
      <c r="D1815" t="s">
        <v>7501</v>
      </c>
      <c r="F1815" t="s">
        <v>4841</v>
      </c>
      <c r="G1815" t="s">
        <v>7504</v>
      </c>
      <c r="H1815" t="s">
        <v>4842</v>
      </c>
      <c r="I1815" t="s">
        <v>210</v>
      </c>
      <c r="J1815" t="s">
        <v>7703</v>
      </c>
      <c r="K1815" t="s">
        <v>7684</v>
      </c>
      <c r="L1815" t="s">
        <v>7677</v>
      </c>
      <c r="N1815" t="str" cm="1">
        <f t="array" ref="N1815">IFERROR(LOOKUP(2,1/SEARCH($S$2:$S$65,G1815),$T$2:$T$65),"Misc")</f>
        <v>COTS</v>
      </c>
      <c r="O1815" t="str" cm="1">
        <f t="array" ref="O1815">IFERROR(LOOKUP(2,1/SEARCH($V$2:$V$65,G1815),$W$2:$W$65),"Misc")</f>
        <v>Fasteners</v>
      </c>
      <c r="P1815" t="str" cm="1">
        <f t="array" ref="P1815">IFERROR(LOOKUP(2,1/SEARCH($Y$2:$Y$65,G1815),$Z$2:$Z$65),"Not Defined")</f>
        <v>SWITCH</v>
      </c>
      <c r="Q1815" t="str" cm="1">
        <f t="array" ref="Q1815">IFERROR(LOOKUP(2,1/SEARCH($S$2:$S$65,H1815),$T$2:$T$65),"-")</f>
        <v>COTS</v>
      </c>
    </row>
    <row r="1816" spans="1:17" x14ac:dyDescent="0.25">
      <c r="A1816" t="s">
        <v>7675</v>
      </c>
      <c r="B1816" t="s">
        <v>4843</v>
      </c>
      <c r="C1816">
        <v>1</v>
      </c>
      <c r="D1816" t="s">
        <v>7501</v>
      </c>
      <c r="F1816" t="s">
        <v>4844</v>
      </c>
      <c r="G1816" t="s">
        <v>7505</v>
      </c>
      <c r="H1816" t="s">
        <v>4845</v>
      </c>
      <c r="I1816" t="s">
        <v>224</v>
      </c>
      <c r="J1816" t="s">
        <v>7703</v>
      </c>
      <c r="K1816" t="s">
        <v>7677</v>
      </c>
      <c r="L1816" t="s">
        <v>7685</v>
      </c>
      <c r="N1816" t="str" cm="1">
        <f t="array" ref="N1816">IFERROR(LOOKUP(2,1/SEARCH($S$2:$S$65,G1816),$T$2:$T$65),"Misc")</f>
        <v>COTS</v>
      </c>
      <c r="O1816" t="str" cm="1">
        <f t="array" ref="O1816">IFERROR(LOOKUP(2,1/SEARCH($V$2:$V$65,G1816),$W$2:$W$65),"Misc")</f>
        <v>SWITCH</v>
      </c>
      <c r="P1816" t="str" cm="1">
        <f t="array" ref="P1816">IFERROR(LOOKUP(2,1/SEARCH($Y$2:$Y$65,G1816),$Z$2:$Z$65),"Not Defined")</f>
        <v>NUT</v>
      </c>
      <c r="Q1816" t="str" cm="1">
        <f t="array" ref="Q1816">IFERROR(LOOKUP(2,1/SEARCH($S$2:$S$65,H1816),$T$2:$T$65),"-")</f>
        <v>COTS</v>
      </c>
    </row>
    <row r="1817" spans="1:17" x14ac:dyDescent="0.25">
      <c r="A1817" t="s">
        <v>7675</v>
      </c>
      <c r="B1817" t="s">
        <v>4846</v>
      </c>
      <c r="C1817">
        <v>8</v>
      </c>
      <c r="D1817" t="s">
        <v>7501</v>
      </c>
      <c r="F1817" t="s">
        <v>2213</v>
      </c>
      <c r="G1817" t="s">
        <v>7262</v>
      </c>
      <c r="H1817" t="s">
        <v>2214</v>
      </c>
      <c r="I1817" t="s">
        <v>255</v>
      </c>
      <c r="J1817" t="s">
        <v>7703</v>
      </c>
      <c r="K1817" t="s">
        <v>7722</v>
      </c>
      <c r="L1817" t="s">
        <v>7722</v>
      </c>
      <c r="N1817" t="str" cm="1">
        <f t="array" ref="N1817">IFERROR(LOOKUP(2,1/SEARCH($S$2:$S$65,G1817),$T$2:$T$65),"Misc")</f>
        <v>COTS</v>
      </c>
      <c r="O1817" t="str" cm="1">
        <f t="array" ref="O1817">IFERROR(LOOKUP(2,1/SEARCH($V$2:$V$65,G1817),$W$2:$W$65),"Misc")</f>
        <v>POT</v>
      </c>
      <c r="P1817" t="str" cm="1">
        <f t="array" ref="P1817">IFERROR(LOOKUP(2,1/SEARCH($Y$2:$Y$65,G1817),$Z$2:$Z$65),"Not Defined")</f>
        <v>POT</v>
      </c>
      <c r="Q1817" t="str" cm="1">
        <f t="array" ref="Q1817">IFERROR(LOOKUP(2,1/SEARCH($S$2:$S$65,H1817),$T$2:$T$65),"-")</f>
        <v>COTS</v>
      </c>
    </row>
    <row r="1818" spans="1:17" x14ac:dyDescent="0.25">
      <c r="A1818" t="s">
        <v>7675</v>
      </c>
      <c r="B1818" t="s">
        <v>4847</v>
      </c>
      <c r="C1818">
        <v>8</v>
      </c>
      <c r="D1818" t="s">
        <v>7501</v>
      </c>
      <c r="F1818" t="s">
        <v>4848</v>
      </c>
      <c r="G1818" t="s">
        <v>7506</v>
      </c>
      <c r="H1818" t="s">
        <v>4849</v>
      </c>
      <c r="I1818" t="s">
        <v>210</v>
      </c>
      <c r="J1818" t="s">
        <v>7703</v>
      </c>
      <c r="K1818" t="s">
        <v>7684</v>
      </c>
      <c r="L1818" t="s">
        <v>7722</v>
      </c>
      <c r="N1818" t="str" cm="1">
        <f t="array" ref="N1818">IFERROR(LOOKUP(2,1/SEARCH($S$2:$S$65,G1818),$T$2:$T$65),"Misc")</f>
        <v>COTS</v>
      </c>
      <c r="O1818" t="str" cm="1">
        <f t="array" ref="O1818">IFERROR(LOOKUP(2,1/SEARCH($V$2:$V$65,G1818),$W$2:$W$65),"Misc")</f>
        <v>Fasteners</v>
      </c>
      <c r="P1818" t="str" cm="1">
        <f t="array" ref="P1818">IFERROR(LOOKUP(2,1/SEARCH($Y$2:$Y$65,G1818),$Z$2:$Z$65),"Not Defined")</f>
        <v>POT</v>
      </c>
      <c r="Q1818" t="str" cm="1">
        <f t="array" ref="Q1818">IFERROR(LOOKUP(2,1/SEARCH($S$2:$S$65,H1818),$T$2:$T$65),"-")</f>
        <v>COTS</v>
      </c>
    </row>
    <row r="1819" spans="1:17" x14ac:dyDescent="0.25">
      <c r="A1819" t="s">
        <v>7675</v>
      </c>
      <c r="B1819" t="s">
        <v>4850</v>
      </c>
      <c r="C1819">
        <v>8</v>
      </c>
      <c r="D1819" t="s">
        <v>7501</v>
      </c>
      <c r="F1819" t="s">
        <v>1428</v>
      </c>
      <c r="G1819" t="s">
        <v>7208</v>
      </c>
      <c r="H1819" t="s">
        <v>1429</v>
      </c>
      <c r="I1819" t="s">
        <v>224</v>
      </c>
      <c r="J1819" t="s">
        <v>7703</v>
      </c>
      <c r="K1819" t="s">
        <v>7722</v>
      </c>
      <c r="L1819" t="s">
        <v>7685</v>
      </c>
      <c r="N1819" t="str" cm="1">
        <f t="array" ref="N1819">IFERROR(LOOKUP(2,1/SEARCH($S$2:$S$65,G1819),$T$2:$T$65),"Misc")</f>
        <v>COTS</v>
      </c>
      <c r="O1819" t="str" cm="1">
        <f t="array" ref="O1819">IFERROR(LOOKUP(2,1/SEARCH($V$2:$V$65,G1819),$W$2:$W$65),"Misc")</f>
        <v>POT</v>
      </c>
      <c r="P1819" t="str" cm="1">
        <f t="array" ref="P1819">IFERROR(LOOKUP(2,1/SEARCH($Y$2:$Y$65,G1819),$Z$2:$Z$65),"Not Defined")</f>
        <v>NUT</v>
      </c>
      <c r="Q1819" t="str" cm="1">
        <f t="array" ref="Q1819">IFERROR(LOOKUP(2,1/SEARCH($S$2:$S$65,H1819),$T$2:$T$65),"-")</f>
        <v>COTS</v>
      </c>
    </row>
    <row r="1820" spans="1:17" x14ac:dyDescent="0.25">
      <c r="A1820" t="s">
        <v>7675</v>
      </c>
      <c r="B1820" t="s">
        <v>4851</v>
      </c>
      <c r="C1820">
        <v>6</v>
      </c>
      <c r="D1820" t="s">
        <v>7501</v>
      </c>
      <c r="F1820" t="s">
        <v>519</v>
      </c>
      <c r="G1820" t="s">
        <v>7097</v>
      </c>
      <c r="H1820" t="s">
        <v>520</v>
      </c>
      <c r="I1820" t="s">
        <v>228</v>
      </c>
      <c r="J1820" t="s">
        <v>7703</v>
      </c>
      <c r="K1820" t="s">
        <v>7684</v>
      </c>
      <c r="L1820" t="s">
        <v>7693</v>
      </c>
      <c r="N1820" t="str" cm="1">
        <f t="array" ref="N1820">IFERROR(LOOKUP(2,1/SEARCH($S$2:$S$65,G1820),$T$2:$T$65),"Misc")</f>
        <v>COTS</v>
      </c>
      <c r="O1820" t="str" cm="1">
        <f t="array" ref="O1820">IFERROR(LOOKUP(2,1/SEARCH($V$2:$V$65,G1820),$W$2:$W$65),"Misc")</f>
        <v>Fasteners</v>
      </c>
      <c r="P1820" t="str" cm="1">
        <f t="array" ref="P1820">IFERROR(LOOKUP(2,1/SEARCH($Y$2:$Y$65,G1820),$Z$2:$Z$65),"Not Defined")</f>
        <v>PHS</v>
      </c>
      <c r="Q1820" t="str" cm="1">
        <f t="array" ref="Q1820">IFERROR(LOOKUP(2,1/SEARCH($S$2:$S$65,H1820),$T$2:$T$65),"-")</f>
        <v>COTS</v>
      </c>
    </row>
    <row r="1821" spans="1:17" x14ac:dyDescent="0.25">
      <c r="A1821" t="s">
        <v>7675</v>
      </c>
      <c r="B1821" t="s">
        <v>4852</v>
      </c>
      <c r="C1821">
        <v>7</v>
      </c>
      <c r="D1821" t="s">
        <v>7501</v>
      </c>
      <c r="F1821" t="s">
        <v>941</v>
      </c>
      <c r="G1821" t="s">
        <v>7136</v>
      </c>
      <c r="H1821" t="s">
        <v>942</v>
      </c>
      <c r="I1821" t="s">
        <v>210</v>
      </c>
      <c r="J1821" t="s">
        <v>7703</v>
      </c>
      <c r="K1821" t="s">
        <v>7684</v>
      </c>
      <c r="L1821" t="s">
        <v>7685</v>
      </c>
      <c r="N1821" t="str" cm="1">
        <f t="array" ref="N1821">IFERROR(LOOKUP(2,1/SEARCH($S$2:$S$65,G1821),$T$2:$T$65),"Misc")</f>
        <v>COTS</v>
      </c>
      <c r="O1821" t="str" cm="1">
        <f t="array" ref="O1821">IFERROR(LOOKUP(2,1/SEARCH($V$2:$V$65,G1821),$W$2:$W$65),"Misc")</f>
        <v>Fasteners</v>
      </c>
      <c r="P1821" t="str" cm="1">
        <f t="array" ref="P1821">IFERROR(LOOKUP(2,1/SEARCH($Y$2:$Y$65,G1821),$Z$2:$Z$65),"Not Defined")</f>
        <v>NUT</v>
      </c>
      <c r="Q1821" t="str" cm="1">
        <f t="array" ref="Q1821">IFERROR(LOOKUP(2,1/SEARCH($S$2:$S$65,H1821),$T$2:$T$65),"-")</f>
        <v>COTS</v>
      </c>
    </row>
    <row r="1822" spans="1:17" hidden="1" x14ac:dyDescent="0.25">
      <c r="A1822" t="s">
        <v>7675</v>
      </c>
      <c r="B1822" t="s">
        <v>4853</v>
      </c>
      <c r="C1822">
        <v>1</v>
      </c>
      <c r="D1822" t="s">
        <v>7501</v>
      </c>
      <c r="E1822" t="s">
        <v>7263</v>
      </c>
      <c r="F1822" t="s">
        <v>2216</v>
      </c>
      <c r="G1822" t="s">
        <v>7263</v>
      </c>
      <c r="H1822" t="s">
        <v>711</v>
      </c>
      <c r="J1822" t="s">
        <v>7744</v>
      </c>
      <c r="K1822" t="s">
        <v>7826</v>
      </c>
      <c r="L1822" t="s">
        <v>7826</v>
      </c>
      <c r="N1822" t="str" cm="1">
        <f t="array" ref="N1822">IFERROR(LOOKUP(2,1/SEARCH($S$2:$S$65,G1822),$T$2:$T$65),"Misc")</f>
        <v>OH Common</v>
      </c>
      <c r="O1822" t="str" cm="1">
        <f t="array" ref="O1822">IFERROR(LOOKUP(2,1/SEARCH($V$2:$V$65,G1822),$W$2:$W$65),"Misc")</f>
        <v>OH Part</v>
      </c>
      <c r="P1822" t="str" cm="1">
        <f t="array" ref="P1822">IFERROR(LOOKUP(2,1/SEARCH($Y$2:$Y$65,G1822),$Z$2:$Z$65),"Not Defined")</f>
        <v>OH Part</v>
      </c>
      <c r="Q1822" t="str" cm="1">
        <f t="array" ref="Q1822">IFERROR(LOOKUP(2,1/SEARCH($S$2:$S$65,H1822),$T$2:$T$65),"-")</f>
        <v>OH ASSY</v>
      </c>
    </row>
    <row r="1823" spans="1:17" hidden="1" x14ac:dyDescent="0.25">
      <c r="A1823" t="s">
        <v>7675</v>
      </c>
      <c r="B1823" t="s">
        <v>4854</v>
      </c>
      <c r="C1823">
        <v>1</v>
      </c>
      <c r="D1823" t="s">
        <v>7501</v>
      </c>
      <c r="E1823" t="s">
        <v>7263</v>
      </c>
      <c r="F1823" t="s">
        <v>2218</v>
      </c>
      <c r="G1823" t="s">
        <v>2219</v>
      </c>
      <c r="H1823" t="s">
        <v>714</v>
      </c>
      <c r="I1823" t="s">
        <v>358</v>
      </c>
      <c r="J1823" t="s">
        <v>7744</v>
      </c>
      <c r="K1823" t="s">
        <v>7826</v>
      </c>
      <c r="L1823" t="s">
        <v>7826</v>
      </c>
      <c r="N1823" t="str" cm="1">
        <f t="array" ref="N1823">IFERROR(LOOKUP(2,1/SEARCH($S$2:$S$65,G1823),$T$2:$T$65),"Misc")</f>
        <v>OH Common</v>
      </c>
      <c r="O1823" t="str" cm="1">
        <f t="array" ref="O1823">IFERROR(LOOKUP(2,1/SEARCH($V$2:$V$65,G1823),$W$2:$W$65),"Misc")</f>
        <v>OH Part</v>
      </c>
      <c r="P1823" t="str" cm="1">
        <f t="array" ref="P1823">IFERROR(LOOKUP(2,1/SEARCH($Y$2:$Y$65,G1823),$Z$2:$Z$65),"Not Defined")</f>
        <v>OH Part</v>
      </c>
      <c r="Q1823" t="str" cm="1">
        <f t="array" ref="Q1823">IFERROR(LOOKUP(2,1/SEARCH($S$2:$S$65,H1823),$T$2:$T$65),"-")</f>
        <v>-</v>
      </c>
    </row>
    <row r="1824" spans="1:17" hidden="1" x14ac:dyDescent="0.25">
      <c r="A1824" t="s">
        <v>7675</v>
      </c>
      <c r="B1824" t="s">
        <v>4855</v>
      </c>
      <c r="C1824">
        <v>2</v>
      </c>
      <c r="D1824" t="s">
        <v>7501</v>
      </c>
      <c r="E1824" t="s">
        <v>7263</v>
      </c>
      <c r="F1824" t="s">
        <v>360</v>
      </c>
      <c r="G1824" t="s">
        <v>7076</v>
      </c>
      <c r="H1824" t="s">
        <v>361</v>
      </c>
      <c r="I1824" t="s">
        <v>228</v>
      </c>
      <c r="J1824" t="s">
        <v>7703</v>
      </c>
      <c r="K1824" t="s">
        <v>7684</v>
      </c>
      <c r="L1824" t="s">
        <v>7721</v>
      </c>
      <c r="N1824" t="str" cm="1">
        <f t="array" ref="N1824">IFERROR(LOOKUP(2,1/SEARCH($S$2:$S$65,G1824),$T$2:$T$65),"Misc")</f>
        <v>COTS</v>
      </c>
      <c r="O1824" t="str" cm="1">
        <f t="array" ref="O1824">IFERROR(LOOKUP(2,1/SEARCH($V$2:$V$65,G1824),$W$2:$W$65),"Misc")</f>
        <v>Fasteners</v>
      </c>
      <c r="P1824" t="str" cm="1">
        <f t="array" ref="P1824">IFERROR(LOOKUP(2,1/SEARCH($Y$2:$Y$65,G1824),$Z$2:$Z$65),"Not Defined")</f>
        <v>SET SCREW</v>
      </c>
      <c r="Q1824" t="str" cm="1">
        <f t="array" ref="Q1824">IFERROR(LOOKUP(2,1/SEARCH($S$2:$S$65,H1824),$T$2:$T$65),"-")</f>
        <v>COTS</v>
      </c>
    </row>
    <row r="1825" spans="1:17" hidden="1" x14ac:dyDescent="0.25">
      <c r="A1825" t="s">
        <v>7675</v>
      </c>
      <c r="B1825" t="s">
        <v>4856</v>
      </c>
      <c r="C1825">
        <v>7</v>
      </c>
      <c r="D1825" t="s">
        <v>7501</v>
      </c>
      <c r="E1825" t="s">
        <v>7258</v>
      </c>
      <c r="F1825" t="s">
        <v>2174</v>
      </c>
      <c r="G1825" t="s">
        <v>7258</v>
      </c>
      <c r="H1825" t="s">
        <v>711</v>
      </c>
      <c r="J1825" t="s">
        <v>7744</v>
      </c>
      <c r="K1825" t="s">
        <v>7826</v>
      </c>
      <c r="L1825" t="s">
        <v>7826</v>
      </c>
      <c r="N1825" t="str" cm="1">
        <f t="array" ref="N1825">IFERROR(LOOKUP(2,1/SEARCH($S$2:$S$65,G1825),$T$2:$T$65),"Misc")</f>
        <v>OH Common</v>
      </c>
      <c r="O1825" t="str" cm="1">
        <f t="array" ref="O1825">IFERROR(LOOKUP(2,1/SEARCH($V$2:$V$65,G1825),$W$2:$W$65),"Misc")</f>
        <v>OH Part</v>
      </c>
      <c r="P1825" t="str" cm="1">
        <f t="array" ref="P1825">IFERROR(LOOKUP(2,1/SEARCH($Y$2:$Y$65,G1825),$Z$2:$Z$65),"Not Defined")</f>
        <v>OH Part</v>
      </c>
      <c r="Q1825" t="str" cm="1">
        <f t="array" ref="Q1825">IFERROR(LOOKUP(2,1/SEARCH($S$2:$S$65,H1825),$T$2:$T$65),"-")</f>
        <v>OH ASSY</v>
      </c>
    </row>
    <row r="1826" spans="1:17" hidden="1" x14ac:dyDescent="0.25">
      <c r="A1826" t="s">
        <v>7675</v>
      </c>
      <c r="B1826" t="s">
        <v>4857</v>
      </c>
      <c r="C1826">
        <v>1</v>
      </c>
      <c r="D1826" t="s">
        <v>7501</v>
      </c>
      <c r="E1826" t="s">
        <v>7258</v>
      </c>
      <c r="F1826" t="s">
        <v>2176</v>
      </c>
      <c r="G1826" t="s">
        <v>2177</v>
      </c>
      <c r="H1826" t="s">
        <v>714</v>
      </c>
      <c r="I1826" t="s">
        <v>358</v>
      </c>
      <c r="J1826" t="s">
        <v>7744</v>
      </c>
      <c r="K1826" t="s">
        <v>7826</v>
      </c>
      <c r="L1826" t="s">
        <v>7826</v>
      </c>
      <c r="N1826" t="str" cm="1">
        <f t="array" ref="N1826">IFERROR(LOOKUP(2,1/SEARCH($S$2:$S$65,G1826),$T$2:$T$65),"Misc")</f>
        <v>OH Common</v>
      </c>
      <c r="O1826" t="str" cm="1">
        <f t="array" ref="O1826">IFERROR(LOOKUP(2,1/SEARCH($V$2:$V$65,G1826),$W$2:$W$65),"Misc")</f>
        <v>OH Part</v>
      </c>
      <c r="P1826" t="str" cm="1">
        <f t="array" ref="P1826">IFERROR(LOOKUP(2,1/SEARCH($Y$2:$Y$65,G1826),$Z$2:$Z$65),"Not Defined")</f>
        <v>OH Part</v>
      </c>
      <c r="Q1826" t="str" cm="1">
        <f t="array" ref="Q1826">IFERROR(LOOKUP(2,1/SEARCH($S$2:$S$65,H1826),$T$2:$T$65),"-")</f>
        <v>-</v>
      </c>
    </row>
    <row r="1827" spans="1:17" hidden="1" x14ac:dyDescent="0.25">
      <c r="A1827" t="s">
        <v>7675</v>
      </c>
      <c r="B1827" t="s">
        <v>4858</v>
      </c>
      <c r="C1827">
        <v>2</v>
      </c>
      <c r="D1827" t="s">
        <v>7501</v>
      </c>
      <c r="E1827" t="s">
        <v>7258</v>
      </c>
      <c r="F1827" t="s">
        <v>2179</v>
      </c>
      <c r="G1827" t="s">
        <v>7259</v>
      </c>
      <c r="H1827" t="s">
        <v>1552</v>
      </c>
      <c r="I1827" t="s">
        <v>228</v>
      </c>
      <c r="J1827" t="s">
        <v>7703</v>
      </c>
      <c r="K1827" t="s">
        <v>7684</v>
      </c>
      <c r="L1827" t="s">
        <v>7721</v>
      </c>
      <c r="N1827" t="str" cm="1">
        <f t="array" ref="N1827">IFERROR(LOOKUP(2,1/SEARCH($S$2:$S$65,G1827),$T$2:$T$65),"Misc")</f>
        <v>COTS</v>
      </c>
      <c r="O1827" t="str" cm="1">
        <f t="array" ref="O1827">IFERROR(LOOKUP(2,1/SEARCH($V$2:$V$65,G1827),$W$2:$W$65),"Misc")</f>
        <v>Fasteners</v>
      </c>
      <c r="P1827" t="str" cm="1">
        <f t="array" ref="P1827">IFERROR(LOOKUP(2,1/SEARCH($Y$2:$Y$65,G1827),$Z$2:$Z$65),"Not Defined")</f>
        <v>SET SCREW</v>
      </c>
      <c r="Q1827" t="str" cm="1">
        <f t="array" ref="Q1827">IFERROR(LOOKUP(2,1/SEARCH($S$2:$S$65,H1827),$T$2:$T$65),"-")</f>
        <v>COTS</v>
      </c>
    </row>
    <row r="1828" spans="1:17" hidden="1" x14ac:dyDescent="0.25">
      <c r="A1828" t="s">
        <v>7675</v>
      </c>
      <c r="B1828" t="s">
        <v>4859</v>
      </c>
      <c r="C1828">
        <v>1</v>
      </c>
      <c r="D1828" t="s">
        <v>7501</v>
      </c>
      <c r="E1828" t="s">
        <v>7507</v>
      </c>
      <c r="F1828" t="s">
        <v>4860</v>
      </c>
      <c r="G1828" t="s">
        <v>7507</v>
      </c>
      <c r="H1828" t="s">
        <v>711</v>
      </c>
      <c r="J1828" t="s">
        <v>7744</v>
      </c>
      <c r="K1828" t="s">
        <v>7826</v>
      </c>
      <c r="L1828" t="s">
        <v>7826</v>
      </c>
      <c r="N1828" t="str" cm="1">
        <f t="array" ref="N1828">IFERROR(LOOKUP(2,1/SEARCH($S$2:$S$65,G1828),$T$2:$T$65),"Misc")</f>
        <v>OH Common</v>
      </c>
      <c r="O1828" t="str" cm="1">
        <f t="array" ref="O1828">IFERROR(LOOKUP(2,1/SEARCH($V$2:$V$65,G1828),$W$2:$W$65),"Misc")</f>
        <v>OH Part</v>
      </c>
      <c r="P1828" t="str" cm="1">
        <f t="array" ref="P1828">IFERROR(LOOKUP(2,1/SEARCH($Y$2:$Y$65,G1828),$Z$2:$Z$65),"Not Defined")</f>
        <v>OH Part</v>
      </c>
      <c r="Q1828" t="str" cm="1">
        <f t="array" ref="Q1828">IFERROR(LOOKUP(2,1/SEARCH($S$2:$S$65,H1828),$T$2:$T$65),"-")</f>
        <v>OH ASSY</v>
      </c>
    </row>
    <row r="1829" spans="1:17" hidden="1" x14ac:dyDescent="0.25">
      <c r="A1829" t="s">
        <v>7675</v>
      </c>
      <c r="B1829" t="s">
        <v>4861</v>
      </c>
      <c r="C1829">
        <v>1</v>
      </c>
      <c r="D1829" t="s">
        <v>7501</v>
      </c>
      <c r="E1829" t="s">
        <v>7507</v>
      </c>
      <c r="F1829" t="s">
        <v>4862</v>
      </c>
      <c r="G1829" t="s">
        <v>4863</v>
      </c>
      <c r="H1829" t="s">
        <v>714</v>
      </c>
      <c r="I1829" t="s">
        <v>358</v>
      </c>
      <c r="J1829" t="s">
        <v>7744</v>
      </c>
      <c r="K1829" t="s">
        <v>7826</v>
      </c>
      <c r="L1829" t="s">
        <v>7826</v>
      </c>
      <c r="N1829" t="str" cm="1">
        <f t="array" ref="N1829">IFERROR(LOOKUP(2,1/SEARCH($S$2:$S$65,G1829),$T$2:$T$65),"Misc")</f>
        <v>OH Common</v>
      </c>
      <c r="O1829" t="str" cm="1">
        <f t="array" ref="O1829">IFERROR(LOOKUP(2,1/SEARCH($V$2:$V$65,G1829),$W$2:$W$65),"Misc")</f>
        <v>OH Part</v>
      </c>
      <c r="P1829" t="str" cm="1">
        <f t="array" ref="P1829">IFERROR(LOOKUP(2,1/SEARCH($Y$2:$Y$65,G1829),$Z$2:$Z$65),"Not Defined")</f>
        <v>OH Part</v>
      </c>
      <c r="Q1829" t="str" cm="1">
        <f t="array" ref="Q1829">IFERROR(LOOKUP(2,1/SEARCH($S$2:$S$65,H1829),$T$2:$T$65),"-")</f>
        <v>-</v>
      </c>
    </row>
    <row r="1830" spans="1:17" hidden="1" x14ac:dyDescent="0.25">
      <c r="A1830" t="s">
        <v>7675</v>
      </c>
      <c r="B1830" t="s">
        <v>4864</v>
      </c>
      <c r="C1830">
        <v>2</v>
      </c>
      <c r="D1830" t="s">
        <v>7501</v>
      </c>
      <c r="E1830" t="s">
        <v>7507</v>
      </c>
      <c r="F1830" t="s">
        <v>2179</v>
      </c>
      <c r="G1830" t="s">
        <v>7259</v>
      </c>
      <c r="H1830" t="s">
        <v>1552</v>
      </c>
      <c r="I1830" t="s">
        <v>228</v>
      </c>
      <c r="J1830" t="s">
        <v>7703</v>
      </c>
      <c r="K1830" t="s">
        <v>7684</v>
      </c>
      <c r="L1830" t="s">
        <v>7721</v>
      </c>
      <c r="N1830" t="str" cm="1">
        <f t="array" ref="N1830">IFERROR(LOOKUP(2,1/SEARCH($S$2:$S$65,G1830),$T$2:$T$65),"Misc")</f>
        <v>COTS</v>
      </c>
      <c r="O1830" t="str" cm="1">
        <f t="array" ref="O1830">IFERROR(LOOKUP(2,1/SEARCH($V$2:$V$65,G1830),$W$2:$W$65),"Misc")</f>
        <v>Fasteners</v>
      </c>
      <c r="P1830" t="str" cm="1">
        <f t="array" ref="P1830">IFERROR(LOOKUP(2,1/SEARCH($Y$2:$Y$65,G1830),$Z$2:$Z$65),"Not Defined")</f>
        <v>SET SCREW</v>
      </c>
      <c r="Q1830" t="str" cm="1">
        <f t="array" ref="Q1830">IFERROR(LOOKUP(2,1/SEARCH($S$2:$S$65,H1830),$T$2:$T$65),"-")</f>
        <v>COTS</v>
      </c>
    </row>
    <row r="1831" spans="1:17" x14ac:dyDescent="0.25">
      <c r="A1831" t="s">
        <v>7675</v>
      </c>
      <c r="B1831" t="s">
        <v>4865</v>
      </c>
      <c r="C1831">
        <v>3</v>
      </c>
      <c r="D1831" t="s">
        <v>7501</v>
      </c>
      <c r="F1831" t="s">
        <v>577</v>
      </c>
      <c r="G1831" t="s">
        <v>7104</v>
      </c>
      <c r="H1831" t="s">
        <v>578</v>
      </c>
      <c r="I1831" t="s">
        <v>299</v>
      </c>
      <c r="J1831" t="s">
        <v>7703</v>
      </c>
      <c r="K1831" t="s">
        <v>7684</v>
      </c>
      <c r="L1831" t="s">
        <v>7708</v>
      </c>
      <c r="N1831" t="str" cm="1">
        <f t="array" ref="N1831">IFERROR(LOOKUP(2,1/SEARCH($S$2:$S$65,G1831),$T$2:$T$65),"Misc")</f>
        <v>COTS</v>
      </c>
      <c r="O1831" t="str" cm="1">
        <f t="array" ref="O1831">IFERROR(LOOKUP(2,1/SEARCH($V$2:$V$65,G1831),$W$2:$W$65),"Misc")</f>
        <v>Fasteners</v>
      </c>
      <c r="P1831" t="str" cm="1">
        <f t="array" ref="P1831">IFERROR(LOOKUP(2,1/SEARCH($Y$2:$Y$65,G1831),$Z$2:$Z$65),"Not Defined")</f>
        <v>STANDOFF</v>
      </c>
      <c r="Q1831" t="str" cm="1">
        <f t="array" ref="Q1831">IFERROR(LOOKUP(2,1/SEARCH($S$2:$S$65,H1831),$T$2:$T$65),"-")</f>
        <v>COTS</v>
      </c>
    </row>
    <row r="1832" spans="1:17" x14ac:dyDescent="0.25">
      <c r="A1832" t="s">
        <v>7675</v>
      </c>
      <c r="B1832" t="s">
        <v>4866</v>
      </c>
      <c r="C1832">
        <v>3</v>
      </c>
      <c r="D1832" t="s">
        <v>7501</v>
      </c>
      <c r="F1832" t="s">
        <v>4867</v>
      </c>
      <c r="G1832" t="s">
        <v>7508</v>
      </c>
      <c r="H1832" t="s">
        <v>4868</v>
      </c>
      <c r="I1832" t="s">
        <v>299</v>
      </c>
      <c r="J1832" t="s">
        <v>7703</v>
      </c>
      <c r="K1832" t="s">
        <v>7684</v>
      </c>
      <c r="L1832" t="s">
        <v>7708</v>
      </c>
      <c r="N1832" t="str" cm="1">
        <f t="array" ref="N1832">IFERROR(LOOKUP(2,1/SEARCH($S$2:$S$65,G1832),$T$2:$T$65),"Misc")</f>
        <v>COTS</v>
      </c>
      <c r="O1832" t="str" cm="1">
        <f t="array" ref="O1832">IFERROR(LOOKUP(2,1/SEARCH($V$2:$V$65,G1832),$W$2:$W$65),"Misc")</f>
        <v>Fasteners</v>
      </c>
      <c r="P1832" t="str" cm="1">
        <f t="array" ref="P1832">IFERROR(LOOKUP(2,1/SEARCH($Y$2:$Y$65,G1832),$Z$2:$Z$65),"Not Defined")</f>
        <v>STANDOFF</v>
      </c>
      <c r="Q1832" t="str" cm="1">
        <f t="array" ref="Q1832">IFERROR(LOOKUP(2,1/SEARCH($S$2:$S$65,H1832),$T$2:$T$65),"-")</f>
        <v>COTS</v>
      </c>
    </row>
    <row r="1833" spans="1:17" hidden="1" x14ac:dyDescent="0.25">
      <c r="A1833" t="s">
        <v>7675</v>
      </c>
      <c r="B1833" t="s">
        <v>4869</v>
      </c>
      <c r="C1833">
        <v>1</v>
      </c>
      <c r="D1833" t="s">
        <v>7501</v>
      </c>
      <c r="E1833" t="s">
        <v>4871</v>
      </c>
      <c r="F1833" t="s">
        <v>4870</v>
      </c>
      <c r="G1833" t="s">
        <v>7509</v>
      </c>
      <c r="H1833" t="s">
        <v>4871</v>
      </c>
      <c r="I1833" t="s">
        <v>255</v>
      </c>
      <c r="J1833" t="s">
        <v>7815</v>
      </c>
      <c r="K1833" t="s">
        <v>7717</v>
      </c>
      <c r="L1833" t="s">
        <v>7717</v>
      </c>
      <c r="N1833" t="str" cm="1">
        <f t="array" ref="N1833">IFERROR(LOOKUP(2,1/SEARCH($S$2:$S$65,G1833),$T$2:$T$65),"Misc")</f>
        <v>OH ASSY</v>
      </c>
      <c r="O1833" t="str" cm="1">
        <f t="array" ref="O1833">IFERROR(LOOKUP(2,1/SEARCH($V$2:$V$65,G1833),$W$2:$W$65),"Misc")</f>
        <v>ABSIS</v>
      </c>
      <c r="P1833" t="str" cm="1">
        <f t="array" ref="P1833">IFERROR(LOOKUP(2,1/SEARCH($Y$2:$Y$65,G1833),$Z$2:$Z$65),"Not Defined")</f>
        <v>ABSIS</v>
      </c>
      <c r="Q1833" t="str" cm="1">
        <f t="array" ref="Q1833">IFERROR(LOOKUP(2,1/SEARCH($S$2:$S$65,H1833),$T$2:$T$65),"-")</f>
        <v>OH ASSY</v>
      </c>
    </row>
    <row r="1834" spans="1:17" hidden="1" x14ac:dyDescent="0.25">
      <c r="A1834" t="s">
        <v>7675</v>
      </c>
      <c r="B1834" t="s">
        <v>4872</v>
      </c>
      <c r="C1834">
        <v>1</v>
      </c>
      <c r="D1834" t="s">
        <v>7501</v>
      </c>
      <c r="E1834" t="s">
        <v>4871</v>
      </c>
      <c r="F1834" t="s">
        <v>4873</v>
      </c>
      <c r="G1834" t="s">
        <v>4875</v>
      </c>
      <c r="H1834" t="s">
        <v>4874</v>
      </c>
      <c r="I1834" t="s">
        <v>255</v>
      </c>
      <c r="J1834" t="s">
        <v>7717</v>
      </c>
      <c r="K1834" t="s">
        <v>7717</v>
      </c>
      <c r="L1834" t="s">
        <v>7717</v>
      </c>
      <c r="N1834" t="str" cm="1">
        <f t="array" ref="N1834">IFERROR(LOOKUP(2,1/SEARCH($S$2:$S$65,G1834),$T$2:$T$65),"Misc")</f>
        <v>ABSIS</v>
      </c>
      <c r="O1834" t="str" cm="1">
        <f t="array" ref="O1834">IFERROR(LOOKUP(2,1/SEARCH($V$2:$V$65,G1834),$W$2:$W$65),"Misc")</f>
        <v>ABSIS</v>
      </c>
      <c r="P1834" t="str" cm="1">
        <f t="array" ref="P1834">IFERROR(LOOKUP(2,1/SEARCH($Y$2:$Y$65,G1834),$Z$2:$Z$65),"Not Defined")</f>
        <v>ABSIS</v>
      </c>
      <c r="Q1834" t="str" cm="1">
        <f t="array" ref="Q1834">IFERROR(LOOKUP(2,1/SEARCH($S$2:$S$65,H1834),$T$2:$T$65),"-")</f>
        <v>ABSIS</v>
      </c>
    </row>
    <row r="1835" spans="1:17" hidden="1" x14ac:dyDescent="0.25">
      <c r="A1835" t="s">
        <v>7675</v>
      </c>
      <c r="B1835" t="s">
        <v>4876</v>
      </c>
      <c r="C1835">
        <v>1</v>
      </c>
      <c r="D1835" t="s">
        <v>7501</v>
      </c>
      <c r="E1835" t="s">
        <v>4871</v>
      </c>
      <c r="F1835" t="s">
        <v>516</v>
      </c>
      <c r="G1835" t="s">
        <v>1075</v>
      </c>
      <c r="H1835" t="s">
        <v>517</v>
      </c>
      <c r="I1835" t="s">
        <v>255</v>
      </c>
      <c r="J1835" t="s">
        <v>7703</v>
      </c>
      <c r="K1835" t="s">
        <v>7713</v>
      </c>
      <c r="L1835" t="s">
        <v>7713</v>
      </c>
      <c r="N1835" t="str" cm="1">
        <f t="array" ref="N1835">IFERROR(LOOKUP(2,1/SEARCH($S$2:$S$65,G1835),$T$2:$T$65),"Misc")</f>
        <v>COTS</v>
      </c>
      <c r="O1835" t="str" cm="1">
        <f t="array" ref="O1835">IFERROR(LOOKUP(2,1/SEARCH($V$2:$V$65,G1835),$W$2:$W$65),"Misc")</f>
        <v>ARDUINO</v>
      </c>
      <c r="P1835" t="str" cm="1">
        <f t="array" ref="P1835">IFERROR(LOOKUP(2,1/SEARCH($Y$2:$Y$65,G1835),$Z$2:$Z$65),"Not Defined")</f>
        <v>ARDUINO</v>
      </c>
      <c r="Q1835" t="str" cm="1">
        <f t="array" ref="Q1835">IFERROR(LOOKUP(2,1/SEARCH($S$2:$S$65,H1835),$T$2:$T$65),"-")</f>
        <v>COTS</v>
      </c>
    </row>
    <row r="1836" spans="1:17" x14ac:dyDescent="0.25">
      <c r="A1836" t="s">
        <v>7675</v>
      </c>
      <c r="B1836" t="s">
        <v>4877</v>
      </c>
      <c r="C1836">
        <v>1</v>
      </c>
      <c r="D1836" t="s">
        <v>7501</v>
      </c>
      <c r="F1836" t="s">
        <v>4878</v>
      </c>
      <c r="G1836" t="s">
        <v>4880</v>
      </c>
      <c r="H1836" t="s">
        <v>4879</v>
      </c>
      <c r="I1836" t="s">
        <v>484</v>
      </c>
      <c r="J1836" t="s">
        <v>7682</v>
      </c>
      <c r="K1836" t="s">
        <v>7826</v>
      </c>
      <c r="L1836" t="s">
        <v>7826</v>
      </c>
      <c r="N1836" t="str" cm="1">
        <f t="array" ref="N1836">IFERROR(LOOKUP(2,1/SEARCH($S$2:$S$65,G1836),$T$2:$T$65),"Misc")</f>
        <v>OH P/N</v>
      </c>
      <c r="O1836" t="str" cm="1">
        <f t="array" ref="O1836">IFERROR(LOOKUP(2,1/SEARCH($V$2:$V$65,G1836),$W$2:$W$65),"Misc")</f>
        <v>OH Part</v>
      </c>
      <c r="P1836" t="str" cm="1">
        <f t="array" ref="P1836">IFERROR(LOOKUP(2,1/SEARCH($Y$2:$Y$65,G1836),$Z$2:$Z$65),"Not Defined")</f>
        <v>OH Part</v>
      </c>
      <c r="Q1836" t="str" cm="1">
        <f t="array" ref="Q1836">IFERROR(LOOKUP(2,1/SEARCH($S$2:$S$65,H1836),$T$2:$T$65),"-")</f>
        <v>ABSIS</v>
      </c>
    </row>
    <row r="1837" spans="1:17" x14ac:dyDescent="0.25">
      <c r="A1837" t="s">
        <v>7675</v>
      </c>
      <c r="B1837" t="s">
        <v>4881</v>
      </c>
      <c r="C1837">
        <v>3</v>
      </c>
      <c r="D1837" t="s">
        <v>7501</v>
      </c>
      <c r="F1837" t="s">
        <v>1541</v>
      </c>
      <c r="G1837" t="s">
        <v>7223</v>
      </c>
      <c r="H1837" t="s">
        <v>1542</v>
      </c>
      <c r="I1837" t="s">
        <v>210</v>
      </c>
      <c r="J1837" t="s">
        <v>7703</v>
      </c>
      <c r="K1837" t="s">
        <v>7684</v>
      </c>
      <c r="L1837" t="s">
        <v>7693</v>
      </c>
      <c r="N1837" t="str" cm="1">
        <f t="array" ref="N1837">IFERROR(LOOKUP(2,1/SEARCH($S$2:$S$65,G1837),$T$2:$T$65),"Misc")</f>
        <v>COTS</v>
      </c>
      <c r="O1837" t="str" cm="1">
        <f t="array" ref="O1837">IFERROR(LOOKUP(2,1/SEARCH($V$2:$V$65,G1837),$W$2:$W$65),"Misc")</f>
        <v>Fasteners</v>
      </c>
      <c r="P1837" t="str" cm="1">
        <f t="array" ref="P1837">IFERROR(LOOKUP(2,1/SEARCH($Y$2:$Y$65,G1837),$Z$2:$Z$65),"Not Defined")</f>
        <v>PHS</v>
      </c>
      <c r="Q1837" t="str" cm="1">
        <f t="array" ref="Q1837">IFERROR(LOOKUP(2,1/SEARCH($S$2:$S$65,H1837),$T$2:$T$65),"-")</f>
        <v>COTS</v>
      </c>
    </row>
    <row r="1838" spans="1:17" x14ac:dyDescent="0.25">
      <c r="A1838" t="s">
        <v>7675</v>
      </c>
      <c r="B1838" t="s">
        <v>4882</v>
      </c>
      <c r="C1838">
        <v>4</v>
      </c>
      <c r="D1838" t="s">
        <v>7501</v>
      </c>
      <c r="F1838" t="s">
        <v>297</v>
      </c>
      <c r="G1838" t="s">
        <v>7065</v>
      </c>
      <c r="H1838" t="s">
        <v>298</v>
      </c>
      <c r="I1838" t="s">
        <v>299</v>
      </c>
      <c r="J1838" t="s">
        <v>7703</v>
      </c>
      <c r="K1838" t="s">
        <v>7684</v>
      </c>
      <c r="L1838" t="s">
        <v>7708</v>
      </c>
      <c r="N1838" t="str" cm="1">
        <f t="array" ref="N1838">IFERROR(LOOKUP(2,1/SEARCH($S$2:$S$65,G1838),$T$2:$T$65),"Misc")</f>
        <v>COTS</v>
      </c>
      <c r="O1838" t="str" cm="1">
        <f t="array" ref="O1838">IFERROR(LOOKUP(2,1/SEARCH($V$2:$V$65,G1838),$W$2:$W$65),"Misc")</f>
        <v>Fasteners</v>
      </c>
      <c r="P1838" t="str" cm="1">
        <f t="array" ref="P1838">IFERROR(LOOKUP(2,1/SEARCH($Y$2:$Y$65,G1838),$Z$2:$Z$65),"Not Defined")</f>
        <v>STANDOFF</v>
      </c>
      <c r="Q1838" t="str" cm="1">
        <f t="array" ref="Q1838">IFERROR(LOOKUP(2,1/SEARCH($S$2:$S$65,H1838),$T$2:$T$65),"-")</f>
        <v>COTS</v>
      </c>
    </row>
    <row r="1839" spans="1:17" x14ac:dyDescent="0.25">
      <c r="A1839" t="s">
        <v>7675</v>
      </c>
      <c r="B1839" t="s">
        <v>4883</v>
      </c>
      <c r="C1839">
        <v>8</v>
      </c>
      <c r="D1839" t="s">
        <v>7501</v>
      </c>
      <c r="F1839" t="s">
        <v>460</v>
      </c>
      <c r="G1839" t="s">
        <v>7090</v>
      </c>
      <c r="H1839" t="s">
        <v>461</v>
      </c>
      <c r="I1839" t="s">
        <v>224</v>
      </c>
      <c r="J1839" t="s">
        <v>7703</v>
      </c>
      <c r="K1839" t="s">
        <v>7684</v>
      </c>
      <c r="L1839" t="s">
        <v>7693</v>
      </c>
      <c r="N1839" t="str" cm="1">
        <f t="array" ref="N1839">IFERROR(LOOKUP(2,1/SEARCH($S$2:$S$65,G1839),$T$2:$T$65),"Misc")</f>
        <v>COTS</v>
      </c>
      <c r="O1839" t="str" cm="1">
        <f t="array" ref="O1839">IFERROR(LOOKUP(2,1/SEARCH($V$2:$V$65,G1839),$W$2:$W$65),"Misc")</f>
        <v>Fasteners</v>
      </c>
      <c r="P1839" t="str" cm="1">
        <f t="array" ref="P1839">IFERROR(LOOKUP(2,1/SEARCH($Y$2:$Y$65,G1839),$Z$2:$Z$65),"Not Defined")</f>
        <v>PHS</v>
      </c>
      <c r="Q1839" t="str" cm="1">
        <f t="array" ref="Q1839">IFERROR(LOOKUP(2,1/SEARCH($S$2:$S$65,H1839),$T$2:$T$65),"-")</f>
        <v>COTS</v>
      </c>
    </row>
    <row r="1840" spans="1:17" x14ac:dyDescent="0.25">
      <c r="A1840" t="s">
        <v>7675</v>
      </c>
      <c r="B1840">
        <v>3.12</v>
      </c>
      <c r="C1840">
        <v>1</v>
      </c>
      <c r="D1840" t="s">
        <v>7510</v>
      </c>
      <c r="F1840" t="s">
        <v>4884</v>
      </c>
      <c r="G1840" t="s">
        <v>7510</v>
      </c>
      <c r="H1840" t="s">
        <v>4885</v>
      </c>
      <c r="J1840" t="s">
        <v>7742</v>
      </c>
      <c r="K1840" t="s">
        <v>7826</v>
      </c>
      <c r="L1840" t="s">
        <v>7826</v>
      </c>
      <c r="N1840" t="str" cm="1">
        <f t="array" ref="N1840">IFERROR(LOOKUP(2,1/SEARCH($S$2:$S$65,G1840),$T$2:$T$65),"Misc")</f>
        <v>OH ASSY</v>
      </c>
      <c r="O1840" t="str" cm="1">
        <f t="array" ref="O1840">IFERROR(LOOKUP(2,1/SEARCH($V$2:$V$65,G1840),$W$2:$W$65),"Misc")</f>
        <v>OH Part</v>
      </c>
      <c r="P1840" t="str" cm="1">
        <f t="array" ref="P1840">IFERROR(LOOKUP(2,1/SEARCH($Y$2:$Y$65,G1840),$Z$2:$Z$65),"Not Defined")</f>
        <v>OH Part</v>
      </c>
      <c r="Q1840" t="str" cm="1">
        <f t="array" ref="Q1840">IFERROR(LOOKUP(2,1/SEARCH($S$2:$S$65,H1840),$T$2:$T$65),"-")</f>
        <v>OH ASSY</v>
      </c>
    </row>
    <row r="1841" spans="1:17" x14ac:dyDescent="0.25">
      <c r="A1841" t="s">
        <v>7675</v>
      </c>
      <c r="B1841" t="s">
        <v>4886</v>
      </c>
      <c r="C1841">
        <v>1</v>
      </c>
      <c r="D1841" t="s">
        <v>7510</v>
      </c>
      <c r="F1841" t="s">
        <v>4887</v>
      </c>
      <c r="G1841" t="s">
        <v>4889</v>
      </c>
      <c r="H1841" t="s">
        <v>4888</v>
      </c>
      <c r="I1841" t="s">
        <v>255</v>
      </c>
      <c r="J1841" t="s">
        <v>7682</v>
      </c>
      <c r="K1841" t="s">
        <v>7826</v>
      </c>
      <c r="L1841" t="s">
        <v>7826</v>
      </c>
      <c r="N1841" t="str" cm="1">
        <f t="array" ref="N1841">IFERROR(LOOKUP(2,1/SEARCH($S$2:$S$65,G1841),$T$2:$T$65),"Misc")</f>
        <v>OH P/N</v>
      </c>
      <c r="O1841" t="str" cm="1">
        <f t="array" ref="O1841">IFERROR(LOOKUP(2,1/SEARCH($V$2:$V$65,G1841),$W$2:$W$65),"Misc")</f>
        <v>OH Part</v>
      </c>
      <c r="P1841" t="str" cm="1">
        <f t="array" ref="P1841">IFERROR(LOOKUP(2,1/SEARCH($Y$2:$Y$65,G1841),$Z$2:$Z$65),"Not Defined")</f>
        <v>OH Part</v>
      </c>
      <c r="Q1841" t="str" cm="1">
        <f t="array" ref="Q1841">IFERROR(LOOKUP(2,1/SEARCH($S$2:$S$65,H1841),$T$2:$T$65),"-")</f>
        <v>-</v>
      </c>
    </row>
    <row r="1842" spans="1:17" x14ac:dyDescent="0.25">
      <c r="A1842" t="s">
        <v>7675</v>
      </c>
      <c r="B1842" t="s">
        <v>4890</v>
      </c>
      <c r="C1842">
        <v>1</v>
      </c>
      <c r="D1842" t="s">
        <v>7510</v>
      </c>
      <c r="F1842" t="s">
        <v>4891</v>
      </c>
      <c r="G1842" t="s">
        <v>4893</v>
      </c>
      <c r="H1842" t="s">
        <v>4892</v>
      </c>
      <c r="I1842" t="s">
        <v>293</v>
      </c>
      <c r="J1842" t="s">
        <v>7682</v>
      </c>
      <c r="K1842" t="s">
        <v>7826</v>
      </c>
      <c r="L1842" t="s">
        <v>7826</v>
      </c>
      <c r="N1842" t="str" cm="1">
        <f t="array" ref="N1842">IFERROR(LOOKUP(2,1/SEARCH($S$2:$S$65,G1842),$T$2:$T$65),"Misc")</f>
        <v>OH P/N</v>
      </c>
      <c r="O1842" t="str" cm="1">
        <f t="array" ref="O1842">IFERROR(LOOKUP(2,1/SEARCH($V$2:$V$65,G1842),$W$2:$W$65),"Misc")</f>
        <v>OH Part</v>
      </c>
      <c r="P1842" t="str" cm="1">
        <f t="array" ref="P1842">IFERROR(LOOKUP(2,1/SEARCH($Y$2:$Y$65,G1842),$Z$2:$Z$65),"Not Defined")</f>
        <v>OH Part</v>
      </c>
      <c r="Q1842" t="str" cm="1">
        <f t="array" ref="Q1842">IFERROR(LOOKUP(2,1/SEARCH($S$2:$S$65,H1842),$T$2:$T$65),"-")</f>
        <v>-</v>
      </c>
    </row>
    <row r="1843" spans="1:17" x14ac:dyDescent="0.25">
      <c r="A1843" t="s">
        <v>7675</v>
      </c>
      <c r="B1843" t="s">
        <v>4894</v>
      </c>
      <c r="C1843">
        <v>1</v>
      </c>
      <c r="D1843" t="s">
        <v>7510</v>
      </c>
      <c r="F1843" t="s">
        <v>4895</v>
      </c>
      <c r="G1843" t="s">
        <v>4897</v>
      </c>
      <c r="H1843" t="s">
        <v>4896</v>
      </c>
      <c r="I1843" t="s">
        <v>293</v>
      </c>
      <c r="J1843" t="s">
        <v>7682</v>
      </c>
      <c r="K1843" t="s">
        <v>7826</v>
      </c>
      <c r="L1843" t="s">
        <v>7826</v>
      </c>
      <c r="N1843" t="str" cm="1">
        <f t="array" ref="N1843">IFERROR(LOOKUP(2,1/SEARCH($S$2:$S$65,G1843),$T$2:$T$65),"Misc")</f>
        <v>OH P/N</v>
      </c>
      <c r="O1843" t="str" cm="1">
        <f t="array" ref="O1843">IFERROR(LOOKUP(2,1/SEARCH($V$2:$V$65,G1843),$W$2:$W$65),"Misc")</f>
        <v>OH Part</v>
      </c>
      <c r="P1843" t="str" cm="1">
        <f t="array" ref="P1843">IFERROR(LOOKUP(2,1/SEARCH($Y$2:$Y$65,G1843),$Z$2:$Z$65),"Not Defined")</f>
        <v>OH Part</v>
      </c>
      <c r="Q1843" t="str" cm="1">
        <f t="array" ref="Q1843">IFERROR(LOOKUP(2,1/SEARCH($S$2:$S$65,H1843),$T$2:$T$65),"-")</f>
        <v>-</v>
      </c>
    </row>
    <row r="1844" spans="1:17" x14ac:dyDescent="0.25">
      <c r="A1844" t="s">
        <v>7675</v>
      </c>
      <c r="B1844" t="s">
        <v>4898</v>
      </c>
      <c r="C1844">
        <v>1</v>
      </c>
      <c r="D1844" t="s">
        <v>7510</v>
      </c>
      <c r="F1844" t="s">
        <v>4899</v>
      </c>
      <c r="G1844" t="s">
        <v>4901</v>
      </c>
      <c r="H1844" t="s">
        <v>4900</v>
      </c>
      <c r="I1844" t="s">
        <v>281</v>
      </c>
      <c r="J1844" t="s">
        <v>7682</v>
      </c>
      <c r="K1844" t="s">
        <v>7826</v>
      </c>
      <c r="L1844" t="s">
        <v>7826</v>
      </c>
      <c r="N1844" t="str" cm="1">
        <f t="array" ref="N1844">IFERROR(LOOKUP(2,1/SEARCH($S$2:$S$65,G1844),$T$2:$T$65),"Misc")</f>
        <v>OH P/N</v>
      </c>
      <c r="O1844" t="str" cm="1">
        <f t="array" ref="O1844">IFERROR(LOOKUP(2,1/SEARCH($V$2:$V$65,G1844),$W$2:$W$65),"Misc")</f>
        <v>OH Part</v>
      </c>
      <c r="P1844" t="str" cm="1">
        <f t="array" ref="P1844">IFERROR(LOOKUP(2,1/SEARCH($Y$2:$Y$65,G1844),$Z$2:$Z$65),"Not Defined")</f>
        <v>OH Part</v>
      </c>
      <c r="Q1844" t="str" cm="1">
        <f t="array" ref="Q1844">IFERROR(LOOKUP(2,1/SEARCH($S$2:$S$65,H1844),$T$2:$T$65),"-")</f>
        <v>-</v>
      </c>
    </row>
    <row r="1845" spans="1:17" hidden="1" x14ac:dyDescent="0.25">
      <c r="A1845" t="s">
        <v>7675</v>
      </c>
      <c r="B1845" t="s">
        <v>4902</v>
      </c>
      <c r="C1845">
        <v>1</v>
      </c>
      <c r="D1845" t="s">
        <v>7510</v>
      </c>
      <c r="E1845" t="s">
        <v>4828</v>
      </c>
      <c r="F1845" t="s">
        <v>4827</v>
      </c>
      <c r="G1845" t="s">
        <v>7502</v>
      </c>
      <c r="H1845" t="s">
        <v>4828</v>
      </c>
      <c r="J1845" t="s">
        <v>7744</v>
      </c>
      <c r="K1845" t="s">
        <v>7826</v>
      </c>
      <c r="L1845" t="s">
        <v>7826</v>
      </c>
      <c r="N1845" t="str" cm="1">
        <f t="array" ref="N1845">IFERROR(LOOKUP(2,1/SEARCH($S$2:$S$65,G1845),$T$2:$T$65),"Misc")</f>
        <v>OH Common</v>
      </c>
      <c r="O1845" t="str" cm="1">
        <f t="array" ref="O1845">IFERROR(LOOKUP(2,1/SEARCH($V$2:$V$65,G1845),$W$2:$W$65),"Misc")</f>
        <v>OH Part</v>
      </c>
      <c r="P1845" t="str" cm="1">
        <f t="array" ref="P1845">IFERROR(LOOKUP(2,1/SEARCH($Y$2:$Y$65,G1845),$Z$2:$Z$65),"Not Defined")</f>
        <v>OH Part</v>
      </c>
      <c r="Q1845" t="str" cm="1">
        <f t="array" ref="Q1845">IFERROR(LOOKUP(2,1/SEARCH($S$2:$S$65,H1845),$T$2:$T$65),"-")</f>
        <v>OH ASSY</v>
      </c>
    </row>
    <row r="1846" spans="1:17" hidden="1" x14ac:dyDescent="0.25">
      <c r="A1846" t="s">
        <v>7675</v>
      </c>
      <c r="B1846" t="s">
        <v>4903</v>
      </c>
      <c r="C1846">
        <v>1</v>
      </c>
      <c r="D1846" t="s">
        <v>7510</v>
      </c>
      <c r="E1846" t="s">
        <v>4828</v>
      </c>
      <c r="F1846" t="s">
        <v>1513</v>
      </c>
      <c r="G1846" t="s">
        <v>7215</v>
      </c>
      <c r="H1846" t="s">
        <v>1514</v>
      </c>
      <c r="I1846" t="s">
        <v>255</v>
      </c>
      <c r="J1846" t="s">
        <v>7703</v>
      </c>
      <c r="K1846" t="s">
        <v>7677</v>
      </c>
      <c r="L1846" t="s">
        <v>7677</v>
      </c>
      <c r="N1846" t="str" cm="1">
        <f t="array" ref="N1846">IFERROR(LOOKUP(2,1/SEARCH($S$2:$S$65,G1846),$T$2:$T$65),"Misc")</f>
        <v>COTS</v>
      </c>
      <c r="O1846" t="str" cm="1">
        <f t="array" ref="O1846">IFERROR(LOOKUP(2,1/SEARCH($V$2:$V$65,G1846),$W$2:$W$65),"Misc")</f>
        <v>SWITCH</v>
      </c>
      <c r="P1846" t="str" cm="1">
        <f t="array" ref="P1846">IFERROR(LOOKUP(2,1/SEARCH($Y$2:$Y$65,G1846),$Z$2:$Z$65),"Not Defined")</f>
        <v>SWITCH</v>
      </c>
      <c r="Q1846" t="str" cm="1">
        <f t="array" ref="Q1846">IFERROR(LOOKUP(2,1/SEARCH($S$2:$S$65,H1846),$T$2:$T$65),"-")</f>
        <v>COTS</v>
      </c>
    </row>
    <row r="1847" spans="1:17" hidden="1" x14ac:dyDescent="0.25">
      <c r="A1847" t="s">
        <v>7675</v>
      </c>
      <c r="B1847" t="s">
        <v>4904</v>
      </c>
      <c r="C1847">
        <v>1</v>
      </c>
      <c r="D1847" t="s">
        <v>7510</v>
      </c>
      <c r="E1847" t="s">
        <v>4828</v>
      </c>
      <c r="F1847" t="s">
        <v>1525</v>
      </c>
      <c r="G1847" t="s">
        <v>7219</v>
      </c>
      <c r="H1847" t="s">
        <v>1526</v>
      </c>
      <c r="I1847" t="s">
        <v>299</v>
      </c>
      <c r="J1847" t="s">
        <v>7744</v>
      </c>
      <c r="K1847" t="s">
        <v>7826</v>
      </c>
      <c r="L1847" t="s">
        <v>7826</v>
      </c>
      <c r="N1847" t="str" cm="1">
        <f t="array" ref="N1847">IFERROR(LOOKUP(2,1/SEARCH($S$2:$S$65,G1847),$T$2:$T$65),"Misc")</f>
        <v>OH Common</v>
      </c>
      <c r="O1847" t="str" cm="1">
        <f t="array" ref="O1847">IFERROR(LOOKUP(2,1/SEARCH($V$2:$V$65,G1847),$W$2:$W$65),"Misc")</f>
        <v>OH Part</v>
      </c>
      <c r="P1847" t="str" cm="1">
        <f t="array" ref="P1847">IFERROR(LOOKUP(2,1/SEARCH($Y$2:$Y$65,G1847),$Z$2:$Z$65),"Not Defined")</f>
        <v>OH Part</v>
      </c>
      <c r="Q1847" t="str" cm="1">
        <f t="array" ref="Q1847">IFERROR(LOOKUP(2,1/SEARCH($S$2:$S$65,H1847),$T$2:$T$65),"-")</f>
        <v>COTS</v>
      </c>
    </row>
    <row r="1848" spans="1:17" x14ac:dyDescent="0.25">
      <c r="A1848" t="s">
        <v>7675</v>
      </c>
      <c r="B1848" t="s">
        <v>4905</v>
      </c>
      <c r="C1848">
        <v>4</v>
      </c>
      <c r="D1848" t="s">
        <v>7510</v>
      </c>
      <c r="F1848" t="s">
        <v>1528</v>
      </c>
      <c r="G1848" t="s">
        <v>7220</v>
      </c>
      <c r="H1848" t="s">
        <v>1529</v>
      </c>
      <c r="I1848" t="s">
        <v>228</v>
      </c>
      <c r="J1848" t="s">
        <v>7703</v>
      </c>
      <c r="K1848" t="s">
        <v>7677</v>
      </c>
      <c r="L1848" t="s">
        <v>7685</v>
      </c>
      <c r="N1848" t="str" cm="1">
        <f t="array" ref="N1848">IFERROR(LOOKUP(2,1/SEARCH($S$2:$S$65,G1848),$T$2:$T$65),"Misc")</f>
        <v>COTS</v>
      </c>
      <c r="O1848" t="str" cm="1">
        <f t="array" ref="O1848">IFERROR(LOOKUP(2,1/SEARCH($V$2:$V$65,G1848),$W$2:$W$65),"Misc")</f>
        <v>SWITCH</v>
      </c>
      <c r="P1848" t="str" cm="1">
        <f t="array" ref="P1848">IFERROR(LOOKUP(2,1/SEARCH($Y$2:$Y$65,G1848),$Z$2:$Z$65),"Not Defined")</f>
        <v>NUT</v>
      </c>
      <c r="Q1848" t="str" cm="1">
        <f t="array" ref="Q1848">IFERROR(LOOKUP(2,1/SEARCH($S$2:$S$65,H1848),$T$2:$T$65),"-")</f>
        <v>COTS</v>
      </c>
    </row>
    <row r="1849" spans="1:17" x14ac:dyDescent="0.25">
      <c r="A1849" t="s">
        <v>7675</v>
      </c>
      <c r="B1849" t="s">
        <v>4906</v>
      </c>
      <c r="C1849">
        <v>4</v>
      </c>
      <c r="D1849" t="s">
        <v>7510</v>
      </c>
      <c r="F1849" t="s">
        <v>2089</v>
      </c>
      <c r="G1849" t="s">
        <v>7250</v>
      </c>
      <c r="H1849" t="s">
        <v>2090</v>
      </c>
      <c r="I1849" t="s">
        <v>228</v>
      </c>
      <c r="J1849" t="s">
        <v>7703</v>
      </c>
      <c r="K1849" t="s">
        <v>7684</v>
      </c>
      <c r="L1849" t="s">
        <v>7677</v>
      </c>
      <c r="N1849" t="str" cm="1">
        <f t="array" ref="N1849">IFERROR(LOOKUP(2,1/SEARCH($S$2:$S$65,G1849),$T$2:$T$65),"Misc")</f>
        <v>COTS</v>
      </c>
      <c r="O1849" t="str" cm="1">
        <f t="array" ref="O1849">IFERROR(LOOKUP(2,1/SEARCH($V$2:$V$65,G1849),$W$2:$W$65),"Misc")</f>
        <v>Fasteners</v>
      </c>
      <c r="P1849" t="str" cm="1">
        <f t="array" ref="P1849">IFERROR(LOOKUP(2,1/SEARCH($Y$2:$Y$65,G1849),$Z$2:$Z$65),"Not Defined")</f>
        <v>SWITCH</v>
      </c>
      <c r="Q1849" t="str" cm="1">
        <f t="array" ref="Q1849">IFERROR(LOOKUP(2,1/SEARCH($S$2:$S$65,H1849),$T$2:$T$65),"-")</f>
        <v>COTS</v>
      </c>
    </row>
    <row r="1850" spans="1:17" x14ac:dyDescent="0.25">
      <c r="A1850" t="s">
        <v>7675</v>
      </c>
      <c r="B1850" t="s">
        <v>4907</v>
      </c>
      <c r="C1850">
        <v>4</v>
      </c>
      <c r="D1850" t="s">
        <v>7510</v>
      </c>
      <c r="F1850" t="s">
        <v>4280</v>
      </c>
      <c r="G1850" t="s">
        <v>7444</v>
      </c>
      <c r="H1850" t="s">
        <v>4281</v>
      </c>
      <c r="I1850" t="s">
        <v>1265</v>
      </c>
      <c r="J1850" t="s">
        <v>7703</v>
      </c>
      <c r="K1850" t="s">
        <v>7719</v>
      </c>
      <c r="L1850" t="s">
        <v>7677</v>
      </c>
      <c r="N1850" t="str" cm="1">
        <f t="array" ref="N1850">IFERROR(LOOKUP(2,1/SEARCH($S$2:$S$65,G1850),$T$2:$T$65),"Misc")</f>
        <v>COTS</v>
      </c>
      <c r="O1850" t="str" cm="1">
        <f t="array" ref="O1850">IFERROR(LOOKUP(2,1/SEARCH($V$2:$V$65,G1850),$W$2:$W$65),"Misc")</f>
        <v>Misc</v>
      </c>
      <c r="P1850" t="str" cm="1">
        <f t="array" ref="P1850">IFERROR(LOOKUP(2,1/SEARCH($Y$2:$Y$65,G1850),$Z$2:$Z$65),"Not Defined")</f>
        <v>SWITCH</v>
      </c>
      <c r="Q1850" t="str" cm="1">
        <f t="array" ref="Q1850">IFERROR(LOOKUP(2,1/SEARCH($S$2:$S$65,H1850),$T$2:$T$65),"-")</f>
        <v>COTS</v>
      </c>
    </row>
    <row r="1851" spans="1:17" hidden="1" x14ac:dyDescent="0.25">
      <c r="A1851" t="s">
        <v>7675</v>
      </c>
      <c r="B1851" t="s">
        <v>4908</v>
      </c>
      <c r="C1851">
        <v>1</v>
      </c>
      <c r="D1851" t="s">
        <v>7510</v>
      </c>
      <c r="E1851" t="s">
        <v>4276</v>
      </c>
      <c r="F1851" t="s">
        <v>4275</v>
      </c>
      <c r="G1851" t="s">
        <v>7443</v>
      </c>
      <c r="H1851" t="s">
        <v>4276</v>
      </c>
      <c r="J1851" t="s">
        <v>7744</v>
      </c>
      <c r="K1851" t="s">
        <v>7826</v>
      </c>
      <c r="L1851" t="s">
        <v>7826</v>
      </c>
      <c r="N1851" t="str" cm="1">
        <f t="array" ref="N1851">IFERROR(LOOKUP(2,1/SEARCH($S$2:$S$65,G1851),$T$2:$T$65),"Misc")</f>
        <v>OH Common</v>
      </c>
      <c r="O1851" t="str" cm="1">
        <f t="array" ref="O1851">IFERROR(LOOKUP(2,1/SEARCH($V$2:$V$65,G1851),$W$2:$W$65),"Misc")</f>
        <v>OH Part</v>
      </c>
      <c r="P1851" t="str" cm="1">
        <f t="array" ref="P1851">IFERROR(LOOKUP(2,1/SEARCH($Y$2:$Y$65,G1851),$Z$2:$Z$65),"Not Defined")</f>
        <v>OH Part</v>
      </c>
      <c r="Q1851" t="str" cm="1">
        <f t="array" ref="Q1851">IFERROR(LOOKUP(2,1/SEARCH($S$2:$S$65,H1851),$T$2:$T$65),"-")</f>
        <v>OH ASSY</v>
      </c>
    </row>
    <row r="1852" spans="1:17" hidden="1" x14ac:dyDescent="0.25">
      <c r="A1852" t="s">
        <v>7675</v>
      </c>
      <c r="B1852" t="s">
        <v>4909</v>
      </c>
      <c r="C1852">
        <v>1</v>
      </c>
      <c r="D1852" t="s">
        <v>7510</v>
      </c>
      <c r="E1852" t="s">
        <v>4276</v>
      </c>
      <c r="F1852" t="s">
        <v>1522</v>
      </c>
      <c r="G1852" t="s">
        <v>7218</v>
      </c>
      <c r="H1852" t="s">
        <v>1523</v>
      </c>
      <c r="I1852" t="s">
        <v>255</v>
      </c>
      <c r="J1852" t="s">
        <v>7703</v>
      </c>
      <c r="K1852" t="s">
        <v>7677</v>
      </c>
      <c r="L1852" t="s">
        <v>7677</v>
      </c>
      <c r="N1852" t="str" cm="1">
        <f t="array" ref="N1852">IFERROR(LOOKUP(2,1/SEARCH($S$2:$S$65,G1852),$T$2:$T$65),"Misc")</f>
        <v>COTS</v>
      </c>
      <c r="O1852" t="str" cm="1">
        <f t="array" ref="O1852">IFERROR(LOOKUP(2,1/SEARCH($V$2:$V$65,G1852),$W$2:$W$65),"Misc")</f>
        <v>SWITCH</v>
      </c>
      <c r="P1852" t="str" cm="1">
        <f t="array" ref="P1852">IFERROR(LOOKUP(2,1/SEARCH($Y$2:$Y$65,G1852),$Z$2:$Z$65),"Not Defined")</f>
        <v>SWITCH</v>
      </c>
      <c r="Q1852" t="str" cm="1">
        <f t="array" ref="Q1852">IFERROR(LOOKUP(2,1/SEARCH($S$2:$S$65,H1852),$T$2:$T$65),"-")</f>
        <v>COTS</v>
      </c>
    </row>
    <row r="1853" spans="1:17" hidden="1" x14ac:dyDescent="0.25">
      <c r="A1853" t="s">
        <v>7675</v>
      </c>
      <c r="B1853" t="s">
        <v>4910</v>
      </c>
      <c r="C1853">
        <v>1</v>
      </c>
      <c r="D1853" t="s">
        <v>7510</v>
      </c>
      <c r="E1853" t="s">
        <v>4276</v>
      </c>
      <c r="F1853" t="s">
        <v>1516</v>
      </c>
      <c r="G1853" t="s">
        <v>7216</v>
      </c>
      <c r="H1853" t="s">
        <v>1517</v>
      </c>
      <c r="I1853" t="s">
        <v>299</v>
      </c>
      <c r="J1853" t="s">
        <v>7744</v>
      </c>
      <c r="K1853" t="s">
        <v>7826</v>
      </c>
      <c r="L1853" t="s">
        <v>7826</v>
      </c>
      <c r="N1853" t="str" cm="1">
        <f t="array" ref="N1853">IFERROR(LOOKUP(2,1/SEARCH($S$2:$S$65,G1853),$T$2:$T$65),"Misc")</f>
        <v>OH Common</v>
      </c>
      <c r="O1853" t="str" cm="1">
        <f t="array" ref="O1853">IFERROR(LOOKUP(2,1/SEARCH($V$2:$V$65,G1853),$W$2:$W$65),"Misc")</f>
        <v>OH Part</v>
      </c>
      <c r="P1853" t="str" cm="1">
        <f t="array" ref="P1853">IFERROR(LOOKUP(2,1/SEARCH($Y$2:$Y$65,G1853),$Z$2:$Z$65),"Not Defined")</f>
        <v>OH Part</v>
      </c>
      <c r="Q1853" t="str" cm="1">
        <f t="array" ref="Q1853">IFERROR(LOOKUP(2,1/SEARCH($S$2:$S$65,H1853),$T$2:$T$65),"-")</f>
        <v>COTS</v>
      </c>
    </row>
    <row r="1854" spans="1:17" x14ac:dyDescent="0.25">
      <c r="A1854" t="s">
        <v>7675</v>
      </c>
      <c r="B1854" t="s">
        <v>4911</v>
      </c>
      <c r="C1854">
        <v>1</v>
      </c>
      <c r="D1854" t="s">
        <v>7510</v>
      </c>
      <c r="F1854" t="s">
        <v>4912</v>
      </c>
      <c r="G1854" t="s">
        <v>7511</v>
      </c>
      <c r="H1854" t="s">
        <v>4913</v>
      </c>
      <c r="I1854" t="s">
        <v>255</v>
      </c>
      <c r="J1854" t="s">
        <v>7703</v>
      </c>
      <c r="K1854" t="s">
        <v>7747</v>
      </c>
      <c r="L1854" t="s">
        <v>7747</v>
      </c>
      <c r="N1854" t="str" cm="1">
        <f t="array" ref="N1854">IFERROR(LOOKUP(2,1/SEARCH($S$2:$S$65,G1854),$T$2:$T$65),"Misc")</f>
        <v>COTS</v>
      </c>
      <c r="O1854" t="str" cm="1">
        <f t="array" ref="O1854">IFERROR(LOOKUP(2,1/SEARCH($V$2:$V$65,G1854),$W$2:$W$65),"Misc")</f>
        <v>Encoder</v>
      </c>
      <c r="P1854" t="str" cm="1">
        <f t="array" ref="P1854">IFERROR(LOOKUP(2,1/SEARCH($Y$2:$Y$65,G1854),$Z$2:$Z$65),"Not Defined")</f>
        <v>Encoder</v>
      </c>
      <c r="Q1854" t="str" cm="1">
        <f t="array" ref="Q1854">IFERROR(LOOKUP(2,1/SEARCH($S$2:$S$65,H1854),$T$2:$T$65),"-")</f>
        <v>COTS</v>
      </c>
    </row>
    <row r="1855" spans="1:17" x14ac:dyDescent="0.25">
      <c r="A1855" t="s">
        <v>7675</v>
      </c>
      <c r="B1855" t="s">
        <v>4914</v>
      </c>
      <c r="C1855">
        <v>1</v>
      </c>
      <c r="D1855" t="s">
        <v>7510</v>
      </c>
      <c r="F1855" t="s">
        <v>366</v>
      </c>
      <c r="G1855" t="s">
        <v>7078</v>
      </c>
      <c r="H1855" t="s">
        <v>367</v>
      </c>
      <c r="I1855" t="s">
        <v>255</v>
      </c>
      <c r="J1855" t="s">
        <v>7703</v>
      </c>
      <c r="K1855" t="s">
        <v>7677</v>
      </c>
      <c r="L1855" t="s">
        <v>7685</v>
      </c>
      <c r="N1855" t="str" cm="1">
        <f t="array" ref="N1855">IFERROR(LOOKUP(2,1/SEARCH($S$2:$S$65,G1855),$T$2:$T$65),"Misc")</f>
        <v>COTS</v>
      </c>
      <c r="O1855" t="str" cm="1">
        <f t="array" ref="O1855">IFERROR(LOOKUP(2,1/SEARCH($V$2:$V$65,G1855),$W$2:$W$65),"Misc")</f>
        <v>SWITCH</v>
      </c>
      <c r="P1855" t="str" cm="1">
        <f t="array" ref="P1855">IFERROR(LOOKUP(2,1/SEARCH($Y$2:$Y$65,G1855),$Z$2:$Z$65),"Not Defined")</f>
        <v>NUT</v>
      </c>
      <c r="Q1855" t="str" cm="1">
        <f t="array" ref="Q1855">IFERROR(LOOKUP(2,1/SEARCH($S$2:$S$65,H1855),$T$2:$T$65),"-")</f>
        <v>COTS</v>
      </c>
    </row>
    <row r="1856" spans="1:17" x14ac:dyDescent="0.25">
      <c r="A1856" t="s">
        <v>7675</v>
      </c>
      <c r="B1856" t="s">
        <v>4915</v>
      </c>
      <c r="C1856">
        <v>2</v>
      </c>
      <c r="D1856" t="s">
        <v>7510</v>
      </c>
      <c r="F1856" t="s">
        <v>519</v>
      </c>
      <c r="G1856" t="s">
        <v>7097</v>
      </c>
      <c r="H1856" t="s">
        <v>520</v>
      </c>
      <c r="I1856" t="s">
        <v>228</v>
      </c>
      <c r="J1856" t="s">
        <v>7703</v>
      </c>
      <c r="K1856" t="s">
        <v>7684</v>
      </c>
      <c r="L1856" t="s">
        <v>7693</v>
      </c>
      <c r="N1856" t="str" cm="1">
        <f t="array" ref="N1856">IFERROR(LOOKUP(2,1/SEARCH($S$2:$S$65,G1856),$T$2:$T$65),"Misc")</f>
        <v>COTS</v>
      </c>
      <c r="O1856" t="str" cm="1">
        <f t="array" ref="O1856">IFERROR(LOOKUP(2,1/SEARCH($V$2:$V$65,G1856),$W$2:$W$65),"Misc")</f>
        <v>Fasteners</v>
      </c>
      <c r="P1856" t="str" cm="1">
        <f t="array" ref="P1856">IFERROR(LOOKUP(2,1/SEARCH($Y$2:$Y$65,G1856),$Z$2:$Z$65),"Not Defined")</f>
        <v>PHS</v>
      </c>
      <c r="Q1856" t="str" cm="1">
        <f t="array" ref="Q1856">IFERROR(LOOKUP(2,1/SEARCH($S$2:$S$65,H1856),$T$2:$T$65),"-")</f>
        <v>COTS</v>
      </c>
    </row>
    <row r="1857" spans="1:17" x14ac:dyDescent="0.25">
      <c r="A1857" t="s">
        <v>7675</v>
      </c>
      <c r="B1857" t="s">
        <v>4916</v>
      </c>
      <c r="C1857">
        <v>2</v>
      </c>
      <c r="D1857" t="s">
        <v>7510</v>
      </c>
      <c r="F1857" t="s">
        <v>941</v>
      </c>
      <c r="G1857" t="s">
        <v>7136</v>
      </c>
      <c r="H1857" t="s">
        <v>942</v>
      </c>
      <c r="I1857" t="s">
        <v>210</v>
      </c>
      <c r="J1857" t="s">
        <v>7703</v>
      </c>
      <c r="K1857" t="s">
        <v>7684</v>
      </c>
      <c r="L1857" t="s">
        <v>7685</v>
      </c>
      <c r="N1857" t="str" cm="1">
        <f t="array" ref="N1857">IFERROR(LOOKUP(2,1/SEARCH($S$2:$S$65,G1857),$T$2:$T$65),"Misc")</f>
        <v>COTS</v>
      </c>
      <c r="O1857" t="str" cm="1">
        <f t="array" ref="O1857">IFERROR(LOOKUP(2,1/SEARCH($V$2:$V$65,G1857),$W$2:$W$65),"Misc")</f>
        <v>Fasteners</v>
      </c>
      <c r="P1857" t="str" cm="1">
        <f t="array" ref="P1857">IFERROR(LOOKUP(2,1/SEARCH($Y$2:$Y$65,G1857),$Z$2:$Z$65),"Not Defined")</f>
        <v>NUT</v>
      </c>
      <c r="Q1857" t="str" cm="1">
        <f t="array" ref="Q1857">IFERROR(LOOKUP(2,1/SEARCH($S$2:$S$65,H1857),$T$2:$T$65),"-")</f>
        <v>COTS</v>
      </c>
    </row>
    <row r="1858" spans="1:17" hidden="1" x14ac:dyDescent="0.25">
      <c r="A1858" t="s">
        <v>7675</v>
      </c>
      <c r="B1858" t="s">
        <v>4917</v>
      </c>
      <c r="C1858">
        <v>1</v>
      </c>
      <c r="D1858" t="s">
        <v>7510</v>
      </c>
      <c r="E1858" t="s">
        <v>7512</v>
      </c>
      <c r="F1858" t="s">
        <v>4918</v>
      </c>
      <c r="G1858" t="s">
        <v>7512</v>
      </c>
      <c r="H1858" t="s">
        <v>711</v>
      </c>
      <c r="J1858" t="s">
        <v>7744</v>
      </c>
      <c r="K1858" t="s">
        <v>7826</v>
      </c>
      <c r="L1858" t="s">
        <v>7826</v>
      </c>
      <c r="N1858" t="str" cm="1">
        <f t="array" ref="N1858">IFERROR(LOOKUP(2,1/SEARCH($S$2:$S$65,G1858),$T$2:$T$65),"Misc")</f>
        <v>OH Common</v>
      </c>
      <c r="O1858" t="str" cm="1">
        <f t="array" ref="O1858">IFERROR(LOOKUP(2,1/SEARCH($V$2:$V$65,G1858),$W$2:$W$65),"Misc")</f>
        <v>OH Part</v>
      </c>
      <c r="P1858" t="str" cm="1">
        <f t="array" ref="P1858">IFERROR(LOOKUP(2,1/SEARCH($Y$2:$Y$65,G1858),$Z$2:$Z$65),"Not Defined")</f>
        <v>OH Part</v>
      </c>
      <c r="Q1858" t="str" cm="1">
        <f t="array" ref="Q1858">IFERROR(LOOKUP(2,1/SEARCH($S$2:$S$65,H1858),$T$2:$T$65),"-")</f>
        <v>OH ASSY</v>
      </c>
    </row>
    <row r="1859" spans="1:17" hidden="1" x14ac:dyDescent="0.25">
      <c r="A1859" t="s">
        <v>7675</v>
      </c>
      <c r="B1859" t="s">
        <v>4919</v>
      </c>
      <c r="C1859">
        <v>1</v>
      </c>
      <c r="D1859" t="s">
        <v>7510</v>
      </c>
      <c r="E1859" t="s">
        <v>7512</v>
      </c>
      <c r="F1859" t="s">
        <v>4920</v>
      </c>
      <c r="G1859" t="s">
        <v>4921</v>
      </c>
      <c r="H1859" t="s">
        <v>714</v>
      </c>
      <c r="I1859" t="s">
        <v>358</v>
      </c>
      <c r="J1859" t="s">
        <v>7744</v>
      </c>
      <c r="K1859" t="s">
        <v>7826</v>
      </c>
      <c r="L1859" t="s">
        <v>7826</v>
      </c>
      <c r="N1859" t="str" cm="1">
        <f t="array" ref="N1859">IFERROR(LOOKUP(2,1/SEARCH($S$2:$S$65,G1859),$T$2:$T$65),"Misc")</f>
        <v>OH Common</v>
      </c>
      <c r="O1859" t="str" cm="1">
        <f t="array" ref="O1859">IFERROR(LOOKUP(2,1/SEARCH($V$2:$V$65,G1859),$W$2:$W$65),"Misc")</f>
        <v>OH Part</v>
      </c>
      <c r="P1859" t="str" cm="1">
        <f t="array" ref="P1859">IFERROR(LOOKUP(2,1/SEARCH($Y$2:$Y$65,G1859),$Z$2:$Z$65),"Not Defined")</f>
        <v>OH Part</v>
      </c>
      <c r="Q1859" t="str" cm="1">
        <f t="array" ref="Q1859">IFERROR(LOOKUP(2,1/SEARCH($S$2:$S$65,H1859),$T$2:$T$65),"-")</f>
        <v>-</v>
      </c>
    </row>
    <row r="1860" spans="1:17" hidden="1" x14ac:dyDescent="0.25">
      <c r="A1860" t="s">
        <v>7675</v>
      </c>
      <c r="B1860" t="s">
        <v>4922</v>
      </c>
      <c r="C1860">
        <v>2</v>
      </c>
      <c r="D1860" t="s">
        <v>7510</v>
      </c>
      <c r="E1860" t="s">
        <v>7512</v>
      </c>
      <c r="F1860" t="s">
        <v>2179</v>
      </c>
      <c r="G1860" t="s">
        <v>7259</v>
      </c>
      <c r="H1860" t="s">
        <v>1552</v>
      </c>
      <c r="I1860" t="s">
        <v>228</v>
      </c>
      <c r="J1860" t="s">
        <v>7703</v>
      </c>
      <c r="K1860" t="s">
        <v>7684</v>
      </c>
      <c r="L1860" t="s">
        <v>7721</v>
      </c>
      <c r="N1860" t="str" cm="1">
        <f t="array" ref="N1860">IFERROR(LOOKUP(2,1/SEARCH($S$2:$S$65,G1860),$T$2:$T$65),"Misc")</f>
        <v>COTS</v>
      </c>
      <c r="O1860" t="str" cm="1">
        <f t="array" ref="O1860">IFERROR(LOOKUP(2,1/SEARCH($V$2:$V$65,G1860),$W$2:$W$65),"Misc")</f>
        <v>Fasteners</v>
      </c>
      <c r="P1860" t="str" cm="1">
        <f t="array" ref="P1860">IFERROR(LOOKUP(2,1/SEARCH($Y$2:$Y$65,G1860),$Z$2:$Z$65),"Not Defined")</f>
        <v>SET SCREW</v>
      </c>
      <c r="Q1860" t="str" cm="1">
        <f t="array" ref="Q1860">IFERROR(LOOKUP(2,1/SEARCH($S$2:$S$65,H1860),$T$2:$T$65),"-")</f>
        <v>COTS</v>
      </c>
    </row>
    <row r="1861" spans="1:17" hidden="1" x14ac:dyDescent="0.25">
      <c r="A1861" s="4" t="s">
        <v>7675</v>
      </c>
      <c r="B1861" t="s">
        <v>4923</v>
      </c>
      <c r="C1861">
        <v>1</v>
      </c>
      <c r="D1861" t="s">
        <v>7510</v>
      </c>
      <c r="E1861" t="s">
        <v>7513</v>
      </c>
      <c r="F1861" t="s">
        <v>1522</v>
      </c>
      <c r="G1861" s="4" t="s">
        <v>7513</v>
      </c>
      <c r="H1861" t="s">
        <v>4924</v>
      </c>
      <c r="J1861" t="s">
        <v>7703</v>
      </c>
      <c r="K1861" t="s">
        <v>7677</v>
      </c>
      <c r="L1861" t="s">
        <v>7677</v>
      </c>
      <c r="N1861" t="str" cm="1">
        <f t="array" ref="N1861">IFERROR(LOOKUP(2,1/SEARCH($S$2:$S$65,G1861),$T$2:$T$65),"Misc")</f>
        <v>COTS</v>
      </c>
      <c r="O1861" t="str" cm="1">
        <f t="array" ref="O1861">IFERROR(LOOKUP(2,1/SEARCH($V$2:$V$65,G1861),$W$2:$W$65),"Misc")</f>
        <v>SWITCH</v>
      </c>
      <c r="P1861" t="str" cm="1">
        <f t="array" ref="P1861">IFERROR(LOOKUP(2,1/SEARCH($Y$2:$Y$65,G1861),$Z$2:$Z$65),"Not Defined")</f>
        <v>SWITCH</v>
      </c>
      <c r="Q1861" t="str" cm="1">
        <f t="array" ref="Q1861">IFERROR(LOOKUP(2,1/SEARCH($S$2:$S$65,H1861),$T$2:$T$65),"-")</f>
        <v>COTS</v>
      </c>
    </row>
    <row r="1862" spans="1:17" hidden="1" x14ac:dyDescent="0.25">
      <c r="A1862" s="4" t="s">
        <v>7675</v>
      </c>
      <c r="B1862" t="s">
        <v>4926</v>
      </c>
      <c r="C1862">
        <v>1</v>
      </c>
      <c r="D1862" t="s">
        <v>7510</v>
      </c>
      <c r="E1862" t="s">
        <v>7513</v>
      </c>
      <c r="F1862" t="s">
        <v>1522</v>
      </c>
      <c r="G1862" s="4" t="s">
        <v>7218</v>
      </c>
      <c r="H1862" t="s">
        <v>1523</v>
      </c>
      <c r="I1862" t="s">
        <v>255</v>
      </c>
      <c r="J1862" t="s">
        <v>7703</v>
      </c>
      <c r="K1862" t="s">
        <v>7677</v>
      </c>
      <c r="L1862" t="s">
        <v>7677</v>
      </c>
      <c r="N1862" t="str" cm="1">
        <f t="array" ref="N1862">IFERROR(LOOKUP(2,1/SEARCH($S$2:$S$65,G1862),$T$2:$T$65),"Misc")</f>
        <v>COTS</v>
      </c>
      <c r="O1862" t="str" cm="1">
        <f t="array" ref="O1862">IFERROR(LOOKUP(2,1/SEARCH($V$2:$V$65,G1862),$W$2:$W$65),"Misc")</f>
        <v>SWITCH</v>
      </c>
      <c r="P1862" t="str" cm="1">
        <f t="array" ref="P1862">IFERROR(LOOKUP(2,1/SEARCH($Y$2:$Y$65,G1862),$Z$2:$Z$65),"Not Defined")</f>
        <v>SWITCH</v>
      </c>
      <c r="Q1862" t="str" cm="1">
        <f t="array" ref="Q1862">IFERROR(LOOKUP(2,1/SEARCH($S$2:$S$65,H1862),$T$2:$T$65),"-")</f>
        <v>COTS</v>
      </c>
    </row>
    <row r="1863" spans="1:17" hidden="1" x14ac:dyDescent="0.25">
      <c r="A1863" s="4" t="s">
        <v>7675</v>
      </c>
      <c r="B1863" t="s">
        <v>4927</v>
      </c>
      <c r="C1863">
        <v>1</v>
      </c>
      <c r="D1863" t="s">
        <v>7510</v>
      </c>
      <c r="E1863" t="s">
        <v>7513</v>
      </c>
      <c r="F1863" t="s">
        <v>4928</v>
      </c>
      <c r="G1863" s="4" t="s">
        <v>7514</v>
      </c>
      <c r="H1863" t="s">
        <v>4929</v>
      </c>
      <c r="I1863" t="s">
        <v>299</v>
      </c>
      <c r="J1863" t="s">
        <v>7703</v>
      </c>
      <c r="K1863" t="s">
        <v>7677</v>
      </c>
      <c r="L1863" t="s">
        <v>7677</v>
      </c>
      <c r="N1863" t="str" cm="1">
        <f t="array" ref="N1863">IFERROR(LOOKUP(2,1/SEARCH($S$2:$S$65,G1863),$T$2:$T$65),"Misc")</f>
        <v>COTS</v>
      </c>
      <c r="O1863" t="str" cm="1">
        <f t="array" ref="O1863">IFERROR(LOOKUP(2,1/SEARCH($V$2:$V$65,G1863),$W$2:$W$65),"Misc")</f>
        <v>SWITCH</v>
      </c>
      <c r="P1863" t="str" cm="1">
        <f t="array" ref="P1863">IFERROR(LOOKUP(2,1/SEARCH($Y$2:$Y$65,G1863),$Z$2:$Z$65),"Not Defined")</f>
        <v>SWITCH</v>
      </c>
      <c r="Q1863" t="str" cm="1">
        <f t="array" ref="Q1863">IFERROR(LOOKUP(2,1/SEARCH($S$2:$S$65,H1863),$T$2:$T$65),"-")</f>
        <v>COTS</v>
      </c>
    </row>
    <row r="1864" spans="1:17" hidden="1" x14ac:dyDescent="0.25">
      <c r="A1864" t="s">
        <v>7675</v>
      </c>
      <c r="B1864" t="s">
        <v>4930</v>
      </c>
      <c r="C1864">
        <v>1</v>
      </c>
      <c r="D1864" t="s">
        <v>7510</v>
      </c>
      <c r="E1864" t="s">
        <v>4760</v>
      </c>
      <c r="F1864" t="s">
        <v>4759</v>
      </c>
      <c r="G1864" t="s">
        <v>7490</v>
      </c>
      <c r="H1864" t="s">
        <v>4760</v>
      </c>
      <c r="J1864" t="s">
        <v>7744</v>
      </c>
      <c r="K1864" t="s">
        <v>7826</v>
      </c>
      <c r="L1864" t="s">
        <v>7826</v>
      </c>
      <c r="N1864" t="str" cm="1">
        <f t="array" ref="N1864">IFERROR(LOOKUP(2,1/SEARCH($S$2:$S$65,G1864),$T$2:$T$65),"Misc")</f>
        <v>OH Common</v>
      </c>
      <c r="O1864" t="str" cm="1">
        <f t="array" ref="O1864">IFERROR(LOOKUP(2,1/SEARCH($V$2:$V$65,G1864),$W$2:$W$65),"Misc")</f>
        <v>OH Part</v>
      </c>
      <c r="P1864" t="str" cm="1">
        <f t="array" ref="P1864">IFERROR(LOOKUP(2,1/SEARCH($Y$2:$Y$65,G1864),$Z$2:$Z$65),"Not Defined")</f>
        <v>OH Part</v>
      </c>
      <c r="Q1864" t="str" cm="1">
        <f t="array" ref="Q1864">IFERROR(LOOKUP(2,1/SEARCH($S$2:$S$65,H1864),$T$2:$T$65),"-")</f>
        <v>OH ASSY</v>
      </c>
    </row>
    <row r="1865" spans="1:17" hidden="1" x14ac:dyDescent="0.25">
      <c r="A1865" t="s">
        <v>7675</v>
      </c>
      <c r="B1865" t="s">
        <v>4931</v>
      </c>
      <c r="C1865">
        <v>1</v>
      </c>
      <c r="D1865" t="s">
        <v>7510</v>
      </c>
      <c r="E1865" t="s">
        <v>4760</v>
      </c>
      <c r="F1865" t="s">
        <v>1513</v>
      </c>
      <c r="G1865" t="s">
        <v>7215</v>
      </c>
      <c r="H1865" t="s">
        <v>1514</v>
      </c>
      <c r="I1865" t="s">
        <v>255</v>
      </c>
      <c r="J1865" t="s">
        <v>7703</v>
      </c>
      <c r="K1865" t="s">
        <v>7677</v>
      </c>
      <c r="L1865" t="s">
        <v>7677</v>
      </c>
      <c r="N1865" t="str" cm="1">
        <f t="array" ref="N1865">IFERROR(LOOKUP(2,1/SEARCH($S$2:$S$65,G1865),$T$2:$T$65),"Misc")</f>
        <v>COTS</v>
      </c>
      <c r="O1865" t="str" cm="1">
        <f t="array" ref="O1865">IFERROR(LOOKUP(2,1/SEARCH($V$2:$V$65,G1865),$W$2:$W$65),"Misc")</f>
        <v>SWITCH</v>
      </c>
      <c r="P1865" t="str" cm="1">
        <f t="array" ref="P1865">IFERROR(LOOKUP(2,1/SEARCH($Y$2:$Y$65,G1865),$Z$2:$Z$65),"Not Defined")</f>
        <v>SWITCH</v>
      </c>
      <c r="Q1865" t="str" cm="1">
        <f t="array" ref="Q1865">IFERROR(LOOKUP(2,1/SEARCH($S$2:$S$65,H1865),$T$2:$T$65),"-")</f>
        <v>COTS</v>
      </c>
    </row>
    <row r="1866" spans="1:17" hidden="1" x14ac:dyDescent="0.25">
      <c r="A1866" t="s">
        <v>7675</v>
      </c>
      <c r="B1866" t="s">
        <v>4932</v>
      </c>
      <c r="C1866">
        <v>1</v>
      </c>
      <c r="D1866" t="s">
        <v>7510</v>
      </c>
      <c r="E1866" t="s">
        <v>4760</v>
      </c>
      <c r="F1866" t="s">
        <v>4763</v>
      </c>
      <c r="G1866" t="s">
        <v>7491</v>
      </c>
      <c r="H1866" t="s">
        <v>4764</v>
      </c>
      <c r="I1866" t="s">
        <v>299</v>
      </c>
      <c r="J1866" t="s">
        <v>7744</v>
      </c>
      <c r="K1866" t="s">
        <v>7826</v>
      </c>
      <c r="L1866" t="s">
        <v>7826</v>
      </c>
      <c r="N1866" t="str" cm="1">
        <f t="array" ref="N1866">IFERROR(LOOKUP(2,1/SEARCH($S$2:$S$65,G1866),$T$2:$T$65),"Misc")</f>
        <v>OH Common</v>
      </c>
      <c r="O1866" t="str" cm="1">
        <f t="array" ref="O1866">IFERROR(LOOKUP(2,1/SEARCH($V$2:$V$65,G1866),$W$2:$W$65),"Misc")</f>
        <v>OH Part</v>
      </c>
      <c r="P1866" t="str" cm="1">
        <f t="array" ref="P1866">IFERROR(LOOKUP(2,1/SEARCH($Y$2:$Y$65,G1866),$Z$2:$Z$65),"Not Defined")</f>
        <v>OH Part</v>
      </c>
      <c r="Q1866" t="str" cm="1">
        <f t="array" ref="Q1866">IFERROR(LOOKUP(2,1/SEARCH($S$2:$S$65,H1866),$T$2:$T$65),"-")</f>
        <v>COTS</v>
      </c>
    </row>
    <row r="1867" spans="1:17" x14ac:dyDescent="0.25">
      <c r="A1867" t="s">
        <v>7675</v>
      </c>
      <c r="B1867" s="19">
        <v>3.13</v>
      </c>
      <c r="C1867">
        <v>1</v>
      </c>
      <c r="D1867" t="s">
        <v>7515</v>
      </c>
      <c r="F1867" t="s">
        <v>4933</v>
      </c>
      <c r="G1867" t="s">
        <v>7515</v>
      </c>
      <c r="H1867" t="s">
        <v>4934</v>
      </c>
      <c r="J1867" t="s">
        <v>7742</v>
      </c>
      <c r="K1867" t="s">
        <v>7826</v>
      </c>
      <c r="L1867" t="s">
        <v>7826</v>
      </c>
      <c r="N1867" t="str" cm="1">
        <f t="array" ref="N1867">IFERROR(LOOKUP(2,1/SEARCH($S$2:$S$65,G1867),$T$2:$T$65),"Misc")</f>
        <v>OH ASSY</v>
      </c>
      <c r="O1867" t="str" cm="1">
        <f t="array" ref="O1867">IFERROR(LOOKUP(2,1/SEARCH($V$2:$V$65,G1867),$W$2:$W$65),"Misc")</f>
        <v>OH Part</v>
      </c>
      <c r="P1867" t="str" cm="1">
        <f t="array" ref="P1867">IFERROR(LOOKUP(2,1/SEARCH($Y$2:$Y$65,G1867),$Z$2:$Z$65),"Not Defined")</f>
        <v>OH Part</v>
      </c>
      <c r="Q1867" t="str" cm="1">
        <f t="array" ref="Q1867">IFERROR(LOOKUP(2,1/SEARCH($S$2:$S$65,H1867),$T$2:$T$65),"-")</f>
        <v>OH ASSY</v>
      </c>
    </row>
    <row r="1868" spans="1:17" x14ac:dyDescent="0.25">
      <c r="A1868" t="s">
        <v>7675</v>
      </c>
      <c r="B1868" t="s">
        <v>4935</v>
      </c>
      <c r="C1868">
        <v>1</v>
      </c>
      <c r="D1868" t="s">
        <v>7515</v>
      </c>
      <c r="F1868" t="s">
        <v>4936</v>
      </c>
      <c r="G1868" t="s">
        <v>4938</v>
      </c>
      <c r="H1868" t="s">
        <v>4937</v>
      </c>
      <c r="I1868" t="s">
        <v>255</v>
      </c>
      <c r="J1868" t="s">
        <v>7682</v>
      </c>
      <c r="K1868" t="s">
        <v>7826</v>
      </c>
      <c r="L1868" t="s">
        <v>7826</v>
      </c>
      <c r="N1868" t="str" cm="1">
        <f t="array" ref="N1868">IFERROR(LOOKUP(2,1/SEARCH($S$2:$S$65,G1868),$T$2:$T$65),"Misc")</f>
        <v>OH P/N</v>
      </c>
      <c r="O1868" t="str" cm="1">
        <f t="array" ref="O1868">IFERROR(LOOKUP(2,1/SEARCH($V$2:$V$65,G1868),$W$2:$W$65),"Misc")</f>
        <v>OH Part</v>
      </c>
      <c r="P1868" t="str" cm="1">
        <f t="array" ref="P1868">IFERROR(LOOKUP(2,1/SEARCH($Y$2:$Y$65,G1868),$Z$2:$Z$65),"Not Defined")</f>
        <v>OH Part</v>
      </c>
      <c r="Q1868" t="str" cm="1">
        <f t="array" ref="Q1868">IFERROR(LOOKUP(2,1/SEARCH($S$2:$S$65,H1868),$T$2:$T$65),"-")</f>
        <v>-</v>
      </c>
    </row>
    <row r="1869" spans="1:17" x14ac:dyDescent="0.25">
      <c r="A1869" t="s">
        <v>7675</v>
      </c>
      <c r="B1869" t="s">
        <v>4939</v>
      </c>
      <c r="C1869">
        <v>1</v>
      </c>
      <c r="D1869" t="s">
        <v>7515</v>
      </c>
      <c r="F1869" t="s">
        <v>4940</v>
      </c>
      <c r="G1869" t="s">
        <v>4942</v>
      </c>
      <c r="H1869" t="s">
        <v>4941</v>
      </c>
      <c r="I1869" t="s">
        <v>293</v>
      </c>
      <c r="J1869" t="s">
        <v>7682</v>
      </c>
      <c r="K1869" t="s">
        <v>7826</v>
      </c>
      <c r="L1869" t="s">
        <v>7826</v>
      </c>
      <c r="N1869" t="str" cm="1">
        <f t="array" ref="N1869">IFERROR(LOOKUP(2,1/SEARCH($S$2:$S$65,G1869),$T$2:$T$65),"Misc")</f>
        <v>OH P/N</v>
      </c>
      <c r="O1869" t="str" cm="1">
        <f t="array" ref="O1869">IFERROR(LOOKUP(2,1/SEARCH($V$2:$V$65,G1869),$W$2:$W$65),"Misc")</f>
        <v>OH Part</v>
      </c>
      <c r="P1869" t="str" cm="1">
        <f t="array" ref="P1869">IFERROR(LOOKUP(2,1/SEARCH($Y$2:$Y$65,G1869),$Z$2:$Z$65),"Not Defined")</f>
        <v>OH Part</v>
      </c>
      <c r="Q1869" t="str" cm="1">
        <f t="array" ref="Q1869">IFERROR(LOOKUP(2,1/SEARCH($S$2:$S$65,H1869),$T$2:$T$65),"-")</f>
        <v>-</v>
      </c>
    </row>
    <row r="1870" spans="1:17" x14ac:dyDescent="0.25">
      <c r="A1870" t="s">
        <v>7675</v>
      </c>
      <c r="B1870" t="s">
        <v>4943</v>
      </c>
      <c r="C1870">
        <v>1</v>
      </c>
      <c r="D1870" t="s">
        <v>7515</v>
      </c>
      <c r="F1870" t="s">
        <v>4944</v>
      </c>
      <c r="G1870" t="s">
        <v>4946</v>
      </c>
      <c r="H1870" t="s">
        <v>4945</v>
      </c>
      <c r="I1870" t="s">
        <v>293</v>
      </c>
      <c r="J1870" t="s">
        <v>7682</v>
      </c>
      <c r="K1870" t="s">
        <v>7826</v>
      </c>
      <c r="L1870" t="s">
        <v>7826</v>
      </c>
      <c r="N1870" t="str" cm="1">
        <f t="array" ref="N1870">IFERROR(LOOKUP(2,1/SEARCH($S$2:$S$65,G1870),$T$2:$T$65),"Misc")</f>
        <v>OH P/N</v>
      </c>
      <c r="O1870" t="str" cm="1">
        <f t="array" ref="O1870">IFERROR(LOOKUP(2,1/SEARCH($V$2:$V$65,G1870),$W$2:$W$65),"Misc")</f>
        <v>OH Part</v>
      </c>
      <c r="P1870" t="str" cm="1">
        <f t="array" ref="P1870">IFERROR(LOOKUP(2,1/SEARCH($Y$2:$Y$65,G1870),$Z$2:$Z$65),"Not Defined")</f>
        <v>OH Part</v>
      </c>
      <c r="Q1870" t="str" cm="1">
        <f t="array" ref="Q1870">IFERROR(LOOKUP(2,1/SEARCH($S$2:$S$65,H1870),$T$2:$T$65),"-")</f>
        <v>-</v>
      </c>
    </row>
    <row r="1871" spans="1:17" x14ac:dyDescent="0.25">
      <c r="A1871" t="s">
        <v>7675</v>
      </c>
      <c r="B1871" t="s">
        <v>4947</v>
      </c>
      <c r="C1871">
        <v>1</v>
      </c>
      <c r="D1871" t="s">
        <v>7515</v>
      </c>
      <c r="F1871" t="s">
        <v>4948</v>
      </c>
      <c r="G1871" t="s">
        <v>4950</v>
      </c>
      <c r="H1871" t="s">
        <v>4949</v>
      </c>
      <c r="I1871" t="s">
        <v>281</v>
      </c>
      <c r="J1871" t="s">
        <v>7682</v>
      </c>
      <c r="K1871" t="s">
        <v>7826</v>
      </c>
      <c r="L1871" t="s">
        <v>7826</v>
      </c>
      <c r="N1871" t="str" cm="1">
        <f t="array" ref="N1871">IFERROR(LOOKUP(2,1/SEARCH($S$2:$S$65,G1871),$T$2:$T$65),"Misc")</f>
        <v>OH P/N</v>
      </c>
      <c r="O1871" t="str" cm="1">
        <f t="array" ref="O1871">IFERROR(LOOKUP(2,1/SEARCH($V$2:$V$65,G1871),$W$2:$W$65),"Misc")</f>
        <v>OH Part</v>
      </c>
      <c r="P1871" t="str" cm="1">
        <f t="array" ref="P1871">IFERROR(LOOKUP(2,1/SEARCH($Y$2:$Y$65,G1871),$Z$2:$Z$65),"Not Defined")</f>
        <v>OH Part</v>
      </c>
      <c r="Q1871" t="str" cm="1">
        <f t="array" ref="Q1871">IFERROR(LOOKUP(2,1/SEARCH($S$2:$S$65,H1871),$T$2:$T$65),"-")</f>
        <v>-</v>
      </c>
    </row>
    <row r="1872" spans="1:17" hidden="1" x14ac:dyDescent="0.25">
      <c r="A1872" t="s">
        <v>7675</v>
      </c>
      <c r="B1872" t="s">
        <v>4951</v>
      </c>
      <c r="C1872">
        <v>1</v>
      </c>
      <c r="D1872" t="s">
        <v>7515</v>
      </c>
      <c r="E1872" t="s">
        <v>4953</v>
      </c>
      <c r="F1872" t="s">
        <v>4952</v>
      </c>
      <c r="G1872" t="s">
        <v>7516</v>
      </c>
      <c r="H1872" t="s">
        <v>4953</v>
      </c>
      <c r="J1872" t="s">
        <v>7744</v>
      </c>
      <c r="K1872" t="s">
        <v>7826</v>
      </c>
      <c r="L1872" t="s">
        <v>7826</v>
      </c>
      <c r="N1872" t="str" cm="1">
        <f t="array" ref="N1872">IFERROR(LOOKUP(2,1/SEARCH($S$2:$S$65,G1872),$T$2:$T$65),"Misc")</f>
        <v>OH Common</v>
      </c>
      <c r="O1872" t="str" cm="1">
        <f t="array" ref="O1872">IFERROR(LOOKUP(2,1/SEARCH($V$2:$V$65,G1872),$W$2:$W$65),"Misc")</f>
        <v>OH Part</v>
      </c>
      <c r="P1872" t="str" cm="1">
        <f t="array" ref="P1872">IFERROR(LOOKUP(2,1/SEARCH($Y$2:$Y$65,G1872),$Z$2:$Z$65),"Not Defined")</f>
        <v>OH Part</v>
      </c>
      <c r="Q1872" t="str" cm="1">
        <f t="array" ref="Q1872">IFERROR(LOOKUP(2,1/SEARCH($S$2:$S$65,H1872),$T$2:$T$65),"-")</f>
        <v>OH ASSY</v>
      </c>
    </row>
    <row r="1873" spans="1:17" hidden="1" x14ac:dyDescent="0.25">
      <c r="A1873" t="s">
        <v>7675</v>
      </c>
      <c r="B1873" t="s">
        <v>4954</v>
      </c>
      <c r="C1873">
        <v>1</v>
      </c>
      <c r="D1873" t="s">
        <v>7515</v>
      </c>
      <c r="E1873" t="s">
        <v>4953</v>
      </c>
      <c r="F1873" t="s">
        <v>1522</v>
      </c>
      <c r="G1873" t="s">
        <v>7218</v>
      </c>
      <c r="H1873" t="s">
        <v>1523</v>
      </c>
      <c r="I1873" t="s">
        <v>255</v>
      </c>
      <c r="J1873" t="s">
        <v>7703</v>
      </c>
      <c r="K1873" t="s">
        <v>7677</v>
      </c>
      <c r="L1873" t="s">
        <v>7677</v>
      </c>
      <c r="N1873" t="str" cm="1">
        <f t="array" ref="N1873">IFERROR(LOOKUP(2,1/SEARCH($S$2:$S$65,G1873),$T$2:$T$65),"Misc")</f>
        <v>COTS</v>
      </c>
      <c r="O1873" t="str" cm="1">
        <f t="array" ref="O1873">IFERROR(LOOKUP(2,1/SEARCH($V$2:$V$65,G1873),$W$2:$W$65),"Misc")</f>
        <v>SWITCH</v>
      </c>
      <c r="P1873" t="str" cm="1">
        <f t="array" ref="P1873">IFERROR(LOOKUP(2,1/SEARCH($Y$2:$Y$65,G1873),$Z$2:$Z$65),"Not Defined")</f>
        <v>SWITCH</v>
      </c>
      <c r="Q1873" t="str" cm="1">
        <f t="array" ref="Q1873">IFERROR(LOOKUP(2,1/SEARCH($S$2:$S$65,H1873),$T$2:$T$65),"-")</f>
        <v>COTS</v>
      </c>
    </row>
    <row r="1874" spans="1:17" hidden="1" x14ac:dyDescent="0.25">
      <c r="A1874" t="s">
        <v>7675</v>
      </c>
      <c r="B1874" t="s">
        <v>4955</v>
      </c>
      <c r="C1874">
        <v>1</v>
      </c>
      <c r="D1874" t="s">
        <v>7515</v>
      </c>
      <c r="E1874" t="s">
        <v>4953</v>
      </c>
      <c r="F1874" t="s">
        <v>4763</v>
      </c>
      <c r="G1874" t="s">
        <v>7491</v>
      </c>
      <c r="H1874" t="s">
        <v>4764</v>
      </c>
      <c r="I1874" t="s">
        <v>299</v>
      </c>
      <c r="J1874" t="s">
        <v>7744</v>
      </c>
      <c r="K1874" t="s">
        <v>7826</v>
      </c>
      <c r="L1874" t="s">
        <v>7826</v>
      </c>
      <c r="N1874" t="str" cm="1">
        <f t="array" ref="N1874">IFERROR(LOOKUP(2,1/SEARCH($S$2:$S$65,G1874),$T$2:$T$65),"Misc")</f>
        <v>OH Common</v>
      </c>
      <c r="O1874" t="str" cm="1">
        <f t="array" ref="O1874">IFERROR(LOOKUP(2,1/SEARCH($V$2:$V$65,G1874),$W$2:$W$65),"Misc")</f>
        <v>OH Part</v>
      </c>
      <c r="P1874" t="str" cm="1">
        <f t="array" ref="P1874">IFERROR(LOOKUP(2,1/SEARCH($Y$2:$Y$65,G1874),$Z$2:$Z$65),"Not Defined")</f>
        <v>OH Part</v>
      </c>
      <c r="Q1874" t="str" cm="1">
        <f t="array" ref="Q1874">IFERROR(LOOKUP(2,1/SEARCH($S$2:$S$65,H1874),$T$2:$T$65),"-")</f>
        <v>COTS</v>
      </c>
    </row>
    <row r="1875" spans="1:17" x14ac:dyDescent="0.25">
      <c r="A1875" t="s">
        <v>7675</v>
      </c>
      <c r="B1875" t="s">
        <v>4956</v>
      </c>
      <c r="C1875">
        <v>1</v>
      </c>
      <c r="D1875" t="s">
        <v>7515</v>
      </c>
      <c r="F1875" t="s">
        <v>1528</v>
      </c>
      <c r="G1875" t="s">
        <v>7220</v>
      </c>
      <c r="H1875" t="s">
        <v>1529</v>
      </c>
      <c r="I1875" t="s">
        <v>228</v>
      </c>
      <c r="J1875" t="s">
        <v>7703</v>
      </c>
      <c r="K1875" t="s">
        <v>7677</v>
      </c>
      <c r="L1875" t="s">
        <v>7685</v>
      </c>
      <c r="N1875" t="str" cm="1">
        <f t="array" ref="N1875">IFERROR(LOOKUP(2,1/SEARCH($S$2:$S$65,G1875),$T$2:$T$65),"Misc")</f>
        <v>COTS</v>
      </c>
      <c r="O1875" t="str" cm="1">
        <f t="array" ref="O1875">IFERROR(LOOKUP(2,1/SEARCH($V$2:$V$65,G1875),$W$2:$W$65),"Misc")</f>
        <v>SWITCH</v>
      </c>
      <c r="P1875" t="str" cm="1">
        <f t="array" ref="P1875">IFERROR(LOOKUP(2,1/SEARCH($Y$2:$Y$65,G1875),$Z$2:$Z$65),"Not Defined")</f>
        <v>NUT</v>
      </c>
      <c r="Q1875" t="str" cm="1">
        <f t="array" ref="Q1875">IFERROR(LOOKUP(2,1/SEARCH($S$2:$S$65,H1875),$T$2:$T$65),"-")</f>
        <v>COTS</v>
      </c>
    </row>
    <row r="1876" spans="1:17" x14ac:dyDescent="0.25">
      <c r="A1876" t="s">
        <v>7675</v>
      </c>
      <c r="B1876" t="s">
        <v>4957</v>
      </c>
      <c r="C1876">
        <v>1</v>
      </c>
      <c r="D1876" t="s">
        <v>7515</v>
      </c>
      <c r="F1876" t="s">
        <v>4280</v>
      </c>
      <c r="G1876" t="s">
        <v>7444</v>
      </c>
      <c r="H1876" t="s">
        <v>4281</v>
      </c>
      <c r="I1876" t="s">
        <v>1265</v>
      </c>
      <c r="J1876" t="s">
        <v>7703</v>
      </c>
      <c r="K1876" t="s">
        <v>7719</v>
      </c>
      <c r="L1876" t="s">
        <v>7677</v>
      </c>
      <c r="N1876" t="str" cm="1">
        <f t="array" ref="N1876">IFERROR(LOOKUP(2,1/SEARCH($S$2:$S$65,G1876),$T$2:$T$65),"Misc")</f>
        <v>COTS</v>
      </c>
      <c r="O1876" t="str" cm="1">
        <f t="array" ref="O1876">IFERROR(LOOKUP(2,1/SEARCH($V$2:$V$65,G1876),$W$2:$W$65),"Misc")</f>
        <v>Misc</v>
      </c>
      <c r="P1876" t="str" cm="1">
        <f t="array" ref="P1876">IFERROR(LOOKUP(2,1/SEARCH($Y$2:$Y$65,G1876),$Z$2:$Z$65),"Not Defined")</f>
        <v>SWITCH</v>
      </c>
      <c r="Q1876" t="str" cm="1">
        <f t="array" ref="Q1876">IFERROR(LOOKUP(2,1/SEARCH($S$2:$S$65,H1876),$T$2:$T$65),"-")</f>
        <v>COTS</v>
      </c>
    </row>
    <row r="1877" spans="1:17" x14ac:dyDescent="0.25">
      <c r="A1877" t="s">
        <v>7675</v>
      </c>
      <c r="B1877" t="s">
        <v>4958</v>
      </c>
      <c r="C1877">
        <v>1</v>
      </c>
      <c r="D1877" t="s">
        <v>7515</v>
      </c>
      <c r="F1877" t="s">
        <v>2089</v>
      </c>
      <c r="G1877" t="s">
        <v>7250</v>
      </c>
      <c r="H1877" t="s">
        <v>2090</v>
      </c>
      <c r="I1877" t="s">
        <v>228</v>
      </c>
      <c r="J1877" t="s">
        <v>7703</v>
      </c>
      <c r="K1877" t="s">
        <v>7684</v>
      </c>
      <c r="L1877" t="s">
        <v>7677</v>
      </c>
      <c r="N1877" t="str" cm="1">
        <f t="array" ref="N1877">IFERROR(LOOKUP(2,1/SEARCH($S$2:$S$65,G1877),$T$2:$T$65),"Misc")</f>
        <v>COTS</v>
      </c>
      <c r="O1877" t="str" cm="1">
        <f t="array" ref="O1877">IFERROR(LOOKUP(2,1/SEARCH($V$2:$V$65,G1877),$W$2:$W$65),"Misc")</f>
        <v>Fasteners</v>
      </c>
      <c r="P1877" t="str" cm="1">
        <f t="array" ref="P1877">IFERROR(LOOKUP(2,1/SEARCH($Y$2:$Y$65,G1877),$Z$2:$Z$65),"Not Defined")</f>
        <v>SWITCH</v>
      </c>
      <c r="Q1877" t="str" cm="1">
        <f t="array" ref="Q1877">IFERROR(LOOKUP(2,1/SEARCH($S$2:$S$65,H1877),$T$2:$T$65),"-")</f>
        <v>COTS</v>
      </c>
    </row>
    <row r="1878" spans="1:17" x14ac:dyDescent="0.25">
      <c r="A1878" t="s">
        <v>7675</v>
      </c>
      <c r="B1878" t="s">
        <v>4959</v>
      </c>
      <c r="C1878">
        <v>1</v>
      </c>
      <c r="D1878" t="s">
        <v>7515</v>
      </c>
      <c r="F1878" t="s">
        <v>692</v>
      </c>
      <c r="G1878" t="s">
        <v>7116</v>
      </c>
      <c r="H1878" t="s">
        <v>693</v>
      </c>
      <c r="I1878" t="s">
        <v>255</v>
      </c>
      <c r="J1878" t="s">
        <v>7703</v>
      </c>
      <c r="K1878" t="s">
        <v>7677</v>
      </c>
      <c r="L1878" t="s">
        <v>7677</v>
      </c>
      <c r="N1878" t="str" cm="1">
        <f t="array" ref="N1878">IFERROR(LOOKUP(2,1/SEARCH($S$2:$S$65,G1878),$T$2:$T$65),"Misc")</f>
        <v>COTS</v>
      </c>
      <c r="O1878" t="str" cm="1">
        <f t="array" ref="O1878">IFERROR(LOOKUP(2,1/SEARCH($V$2:$V$65,G1878),$W$2:$W$65),"Misc")</f>
        <v>SWITCH</v>
      </c>
      <c r="P1878" t="str" cm="1">
        <f t="array" ref="P1878">IFERROR(LOOKUP(2,1/SEARCH($Y$2:$Y$65,G1878),$Z$2:$Z$65),"Not Defined")</f>
        <v>SWITCH</v>
      </c>
      <c r="Q1878" t="str" cm="1">
        <f t="array" ref="Q1878">IFERROR(LOOKUP(2,1/SEARCH($S$2:$S$65,H1878),$T$2:$T$65),"-")</f>
        <v>COTS</v>
      </c>
    </row>
    <row r="1879" spans="1:17" x14ac:dyDescent="0.25">
      <c r="A1879" t="s">
        <v>7675</v>
      </c>
      <c r="B1879" t="s">
        <v>4960</v>
      </c>
      <c r="C1879">
        <v>1</v>
      </c>
      <c r="D1879" t="s">
        <v>7515</v>
      </c>
      <c r="F1879" t="s">
        <v>695</v>
      </c>
      <c r="G1879" t="s">
        <v>7117</v>
      </c>
      <c r="H1879" t="s">
        <v>696</v>
      </c>
      <c r="I1879" t="s">
        <v>255</v>
      </c>
      <c r="J1879" t="s">
        <v>7703</v>
      </c>
      <c r="K1879" t="s">
        <v>7719</v>
      </c>
      <c r="L1879" t="s">
        <v>7719</v>
      </c>
      <c r="N1879" t="str" cm="1">
        <f t="array" ref="N1879">IFERROR(LOOKUP(2,1/SEARCH($S$2:$S$65,G1879),$T$2:$T$65),"Misc")</f>
        <v>COTS</v>
      </c>
      <c r="O1879" t="str" cm="1">
        <f t="array" ref="O1879">IFERROR(LOOKUP(2,1/SEARCH($V$2:$V$65,G1879),$W$2:$W$65),"Misc")</f>
        <v>Misc</v>
      </c>
      <c r="P1879" t="str" cm="1">
        <f t="array" ref="P1879">IFERROR(LOOKUP(2,1/SEARCH($Y$2:$Y$65,G1879),$Z$2:$Z$65),"Not Defined")</f>
        <v>Retaining Rings</v>
      </c>
      <c r="Q1879" t="str" cm="1">
        <f t="array" ref="Q1879">IFERROR(LOOKUP(2,1/SEARCH($S$2:$S$65,H1879),$T$2:$T$65),"-")</f>
        <v>COTS</v>
      </c>
    </row>
    <row r="1880" spans="1:17" x14ac:dyDescent="0.25">
      <c r="A1880" t="s">
        <v>7675</v>
      </c>
      <c r="B1880" t="s">
        <v>4961</v>
      </c>
      <c r="C1880">
        <v>1</v>
      </c>
      <c r="D1880" t="s">
        <v>7515</v>
      </c>
      <c r="F1880" t="s">
        <v>698</v>
      </c>
      <c r="G1880" t="s">
        <v>7118</v>
      </c>
      <c r="H1880" t="s">
        <v>699</v>
      </c>
      <c r="I1880" t="s">
        <v>255</v>
      </c>
      <c r="J1880" t="s">
        <v>7703</v>
      </c>
      <c r="K1880" t="s">
        <v>7684</v>
      </c>
      <c r="L1880" t="s">
        <v>7692</v>
      </c>
      <c r="N1880" t="str" cm="1">
        <f t="array" ref="N1880">IFERROR(LOOKUP(2,1/SEARCH($S$2:$S$65,G1880),$T$2:$T$65),"Misc")</f>
        <v>COTS</v>
      </c>
      <c r="O1880" t="str" cm="1">
        <f t="array" ref="O1880">IFERROR(LOOKUP(2,1/SEARCH($V$2:$V$65,G1880),$W$2:$W$65),"Misc")</f>
        <v>Fasteners</v>
      </c>
      <c r="P1880" t="str" cm="1">
        <f t="array" ref="P1880">IFERROR(LOOKUP(2,1/SEARCH($Y$2:$Y$65,G1880),$Z$2:$Z$65),"Not Defined")</f>
        <v>WASHER</v>
      </c>
      <c r="Q1880" t="str" cm="1">
        <f t="array" ref="Q1880">IFERROR(LOOKUP(2,1/SEARCH($S$2:$S$65,H1880),$T$2:$T$65),"-")</f>
        <v>COTS</v>
      </c>
    </row>
    <row r="1881" spans="1:17" x14ac:dyDescent="0.25">
      <c r="A1881" t="s">
        <v>7675</v>
      </c>
      <c r="B1881" t="s">
        <v>4962</v>
      </c>
      <c r="C1881">
        <v>2</v>
      </c>
      <c r="D1881" t="s">
        <v>7515</v>
      </c>
      <c r="F1881" t="s">
        <v>701</v>
      </c>
      <c r="G1881" t="s">
        <v>7119</v>
      </c>
      <c r="H1881" t="s">
        <v>702</v>
      </c>
      <c r="I1881" t="s">
        <v>255</v>
      </c>
      <c r="J1881" t="s">
        <v>7703</v>
      </c>
      <c r="K1881" t="s">
        <v>7684</v>
      </c>
      <c r="L1881" t="s">
        <v>7685</v>
      </c>
      <c r="N1881" t="str" cm="1">
        <f t="array" ref="N1881">IFERROR(LOOKUP(2,1/SEARCH($S$2:$S$65,G1881),$T$2:$T$65),"Misc")</f>
        <v>COTS</v>
      </c>
      <c r="O1881" t="str" cm="1">
        <f t="array" ref="O1881">IFERROR(LOOKUP(2,1/SEARCH($V$2:$V$65,G1881),$W$2:$W$65),"Misc")</f>
        <v>Fasteners</v>
      </c>
      <c r="P1881" t="str" cm="1">
        <f t="array" ref="P1881">IFERROR(LOOKUP(2,1/SEARCH($Y$2:$Y$65,G1881),$Z$2:$Z$65),"Not Defined")</f>
        <v>NUT</v>
      </c>
      <c r="Q1881" t="str" cm="1">
        <f t="array" ref="Q1881">IFERROR(LOOKUP(2,1/SEARCH($S$2:$S$65,H1881),$T$2:$T$65),"-")</f>
        <v>COTS</v>
      </c>
    </row>
    <row r="1882" spans="1:17" x14ac:dyDescent="0.25">
      <c r="A1882" t="s">
        <v>7675</v>
      </c>
      <c r="B1882" t="s">
        <v>4963</v>
      </c>
      <c r="C1882">
        <v>2</v>
      </c>
      <c r="D1882" t="s">
        <v>7515</v>
      </c>
      <c r="F1882" t="s">
        <v>2213</v>
      </c>
      <c r="G1882" t="s">
        <v>7262</v>
      </c>
      <c r="H1882" t="s">
        <v>2214</v>
      </c>
      <c r="I1882" t="s">
        <v>255</v>
      </c>
      <c r="J1882" t="s">
        <v>7703</v>
      </c>
      <c r="K1882" t="s">
        <v>7722</v>
      </c>
      <c r="L1882" t="s">
        <v>7722</v>
      </c>
      <c r="N1882" t="str" cm="1">
        <f t="array" ref="N1882">IFERROR(LOOKUP(2,1/SEARCH($S$2:$S$65,G1882),$T$2:$T$65),"Misc")</f>
        <v>COTS</v>
      </c>
      <c r="O1882" t="str" cm="1">
        <f t="array" ref="O1882">IFERROR(LOOKUP(2,1/SEARCH($V$2:$V$65,G1882),$W$2:$W$65),"Misc")</f>
        <v>POT</v>
      </c>
      <c r="P1882" t="str" cm="1">
        <f t="array" ref="P1882">IFERROR(LOOKUP(2,1/SEARCH($Y$2:$Y$65,G1882),$Z$2:$Z$65),"Not Defined")</f>
        <v>POT</v>
      </c>
      <c r="Q1882" t="str" cm="1">
        <f t="array" ref="Q1882">IFERROR(LOOKUP(2,1/SEARCH($S$2:$S$65,H1882),$T$2:$T$65),"-")</f>
        <v>COTS</v>
      </c>
    </row>
    <row r="1883" spans="1:17" x14ac:dyDescent="0.25">
      <c r="A1883" t="s">
        <v>7675</v>
      </c>
      <c r="B1883" t="s">
        <v>4964</v>
      </c>
      <c r="C1883">
        <v>2</v>
      </c>
      <c r="D1883" t="s">
        <v>7515</v>
      </c>
      <c r="F1883" t="s">
        <v>4848</v>
      </c>
      <c r="G1883" t="s">
        <v>7506</v>
      </c>
      <c r="H1883" t="s">
        <v>4849</v>
      </c>
      <c r="I1883" t="s">
        <v>210</v>
      </c>
      <c r="J1883" t="s">
        <v>7703</v>
      </c>
      <c r="K1883" t="s">
        <v>7684</v>
      </c>
      <c r="L1883" t="s">
        <v>7722</v>
      </c>
      <c r="N1883" t="str" cm="1">
        <f t="array" ref="N1883">IFERROR(LOOKUP(2,1/SEARCH($S$2:$S$65,G1883),$T$2:$T$65),"Misc")</f>
        <v>COTS</v>
      </c>
      <c r="O1883" t="str" cm="1">
        <f t="array" ref="O1883">IFERROR(LOOKUP(2,1/SEARCH($V$2:$V$65,G1883),$W$2:$W$65),"Misc")</f>
        <v>Fasteners</v>
      </c>
      <c r="P1883" t="str" cm="1">
        <f t="array" ref="P1883">IFERROR(LOOKUP(2,1/SEARCH($Y$2:$Y$65,G1883),$Z$2:$Z$65),"Not Defined")</f>
        <v>POT</v>
      </c>
      <c r="Q1883" t="str" cm="1">
        <f t="array" ref="Q1883">IFERROR(LOOKUP(2,1/SEARCH($S$2:$S$65,H1883),$T$2:$T$65),"-")</f>
        <v>COTS</v>
      </c>
    </row>
    <row r="1884" spans="1:17" x14ac:dyDescent="0.25">
      <c r="A1884" t="s">
        <v>7675</v>
      </c>
      <c r="B1884" t="s">
        <v>4965</v>
      </c>
      <c r="C1884">
        <v>2</v>
      </c>
      <c r="D1884" t="s">
        <v>7515</v>
      </c>
      <c r="F1884" t="s">
        <v>1428</v>
      </c>
      <c r="G1884" t="s">
        <v>7208</v>
      </c>
      <c r="H1884" t="s">
        <v>1429</v>
      </c>
      <c r="I1884" t="s">
        <v>224</v>
      </c>
      <c r="J1884" t="s">
        <v>7703</v>
      </c>
      <c r="K1884" t="s">
        <v>7722</v>
      </c>
      <c r="L1884" t="s">
        <v>7685</v>
      </c>
      <c r="N1884" t="str" cm="1">
        <f t="array" ref="N1884">IFERROR(LOOKUP(2,1/SEARCH($S$2:$S$65,G1884),$T$2:$T$65),"Misc")</f>
        <v>COTS</v>
      </c>
      <c r="O1884" t="str" cm="1">
        <f t="array" ref="O1884">IFERROR(LOOKUP(2,1/SEARCH($V$2:$V$65,G1884),$W$2:$W$65),"Misc")</f>
        <v>POT</v>
      </c>
      <c r="P1884" t="str" cm="1">
        <f t="array" ref="P1884">IFERROR(LOOKUP(2,1/SEARCH($Y$2:$Y$65,G1884),$Z$2:$Z$65),"Not Defined")</f>
        <v>NUT</v>
      </c>
      <c r="Q1884" t="str" cm="1">
        <f t="array" ref="Q1884">IFERROR(LOOKUP(2,1/SEARCH($S$2:$S$65,H1884),$T$2:$T$65),"-")</f>
        <v>COTS</v>
      </c>
    </row>
    <row r="1885" spans="1:17" x14ac:dyDescent="0.25">
      <c r="A1885" t="s">
        <v>7675</v>
      </c>
      <c r="B1885" t="s">
        <v>4966</v>
      </c>
      <c r="C1885">
        <v>3</v>
      </c>
      <c r="D1885" t="s">
        <v>7515</v>
      </c>
      <c r="F1885" t="s">
        <v>941</v>
      </c>
      <c r="G1885" t="s">
        <v>7136</v>
      </c>
      <c r="H1885" t="s">
        <v>942</v>
      </c>
      <c r="I1885" t="s">
        <v>210</v>
      </c>
      <c r="J1885" t="s">
        <v>7703</v>
      </c>
      <c r="K1885" t="s">
        <v>7684</v>
      </c>
      <c r="L1885" t="s">
        <v>7685</v>
      </c>
      <c r="N1885" t="str" cm="1">
        <f t="array" ref="N1885">IFERROR(LOOKUP(2,1/SEARCH($S$2:$S$65,G1885),$T$2:$T$65),"Misc")</f>
        <v>COTS</v>
      </c>
      <c r="O1885" t="str" cm="1">
        <f t="array" ref="O1885">IFERROR(LOOKUP(2,1/SEARCH($V$2:$V$65,G1885),$W$2:$W$65),"Misc")</f>
        <v>Fasteners</v>
      </c>
      <c r="P1885" t="str" cm="1">
        <f t="array" ref="P1885">IFERROR(LOOKUP(2,1/SEARCH($Y$2:$Y$65,G1885),$Z$2:$Z$65),"Not Defined")</f>
        <v>NUT</v>
      </c>
      <c r="Q1885" t="str" cm="1">
        <f t="array" ref="Q1885">IFERROR(LOOKUP(2,1/SEARCH($S$2:$S$65,H1885),$T$2:$T$65),"-")</f>
        <v>COTS</v>
      </c>
    </row>
    <row r="1886" spans="1:17" x14ac:dyDescent="0.25">
      <c r="A1886" t="s">
        <v>7675</v>
      </c>
      <c r="B1886" t="s">
        <v>4967</v>
      </c>
      <c r="C1886">
        <v>3</v>
      </c>
      <c r="D1886" t="s">
        <v>7515</v>
      </c>
      <c r="F1886" t="s">
        <v>519</v>
      </c>
      <c r="G1886" t="s">
        <v>7097</v>
      </c>
      <c r="H1886" t="s">
        <v>520</v>
      </c>
      <c r="I1886" t="s">
        <v>228</v>
      </c>
      <c r="J1886" t="s">
        <v>7703</v>
      </c>
      <c r="K1886" t="s">
        <v>7684</v>
      </c>
      <c r="L1886" t="s">
        <v>7693</v>
      </c>
      <c r="N1886" t="str" cm="1">
        <f t="array" ref="N1886">IFERROR(LOOKUP(2,1/SEARCH($S$2:$S$65,G1886),$T$2:$T$65),"Misc")</f>
        <v>COTS</v>
      </c>
      <c r="O1886" t="str" cm="1">
        <f t="array" ref="O1886">IFERROR(LOOKUP(2,1/SEARCH($V$2:$V$65,G1886),$W$2:$W$65),"Misc")</f>
        <v>Fasteners</v>
      </c>
      <c r="P1886" t="str" cm="1">
        <f t="array" ref="P1886">IFERROR(LOOKUP(2,1/SEARCH($Y$2:$Y$65,G1886),$Z$2:$Z$65),"Not Defined")</f>
        <v>PHS</v>
      </c>
      <c r="Q1886" t="str" cm="1">
        <f t="array" ref="Q1886">IFERROR(LOOKUP(2,1/SEARCH($S$2:$S$65,H1886),$T$2:$T$65),"-")</f>
        <v>COTS</v>
      </c>
    </row>
    <row r="1887" spans="1:17" hidden="1" x14ac:dyDescent="0.25">
      <c r="A1887" t="s">
        <v>7675</v>
      </c>
      <c r="B1887" t="s">
        <v>4968</v>
      </c>
      <c r="C1887">
        <v>2</v>
      </c>
      <c r="D1887" t="s">
        <v>7515</v>
      </c>
      <c r="E1887" t="s">
        <v>7517</v>
      </c>
      <c r="F1887" t="s">
        <v>4969</v>
      </c>
      <c r="G1887" t="s">
        <v>7517</v>
      </c>
      <c r="H1887" t="s">
        <v>711</v>
      </c>
      <c r="J1887" t="s">
        <v>7744</v>
      </c>
      <c r="K1887" t="s">
        <v>7826</v>
      </c>
      <c r="L1887" t="s">
        <v>7826</v>
      </c>
      <c r="N1887" t="str" cm="1">
        <f t="array" ref="N1887">IFERROR(LOOKUP(2,1/SEARCH($S$2:$S$65,G1887),$T$2:$T$65),"Misc")</f>
        <v>OH Common</v>
      </c>
      <c r="O1887" t="str" cm="1">
        <f t="array" ref="O1887">IFERROR(LOOKUP(2,1/SEARCH($V$2:$V$65,G1887),$W$2:$W$65),"Misc")</f>
        <v>OH Part</v>
      </c>
      <c r="P1887" t="str" cm="1">
        <f t="array" ref="P1887">IFERROR(LOOKUP(2,1/SEARCH($Y$2:$Y$65,G1887),$Z$2:$Z$65),"Not Defined")</f>
        <v>OH Part</v>
      </c>
      <c r="Q1887" t="str" cm="1">
        <f t="array" ref="Q1887">IFERROR(LOOKUP(2,1/SEARCH($S$2:$S$65,H1887),$T$2:$T$65),"-")</f>
        <v>OH ASSY</v>
      </c>
    </row>
    <row r="1888" spans="1:17" hidden="1" x14ac:dyDescent="0.25">
      <c r="A1888" t="s">
        <v>7675</v>
      </c>
      <c r="B1888" t="s">
        <v>4970</v>
      </c>
      <c r="C1888">
        <v>1</v>
      </c>
      <c r="D1888" t="s">
        <v>7515</v>
      </c>
      <c r="E1888" t="s">
        <v>7517</v>
      </c>
      <c r="F1888" t="s">
        <v>4971</v>
      </c>
      <c r="G1888" t="s">
        <v>4972</v>
      </c>
      <c r="H1888" t="s">
        <v>714</v>
      </c>
      <c r="I1888" t="s">
        <v>358</v>
      </c>
      <c r="J1888" t="s">
        <v>7744</v>
      </c>
      <c r="K1888" t="s">
        <v>7826</v>
      </c>
      <c r="L1888" t="s">
        <v>7826</v>
      </c>
      <c r="N1888" t="str" cm="1">
        <f t="array" ref="N1888">IFERROR(LOOKUP(2,1/SEARCH($S$2:$S$65,G1888),$T$2:$T$65),"Misc")</f>
        <v>OH Common</v>
      </c>
      <c r="O1888" t="str" cm="1">
        <f t="array" ref="O1888">IFERROR(LOOKUP(2,1/SEARCH($V$2:$V$65,G1888),$W$2:$W$65),"Misc")</f>
        <v>OH Part</v>
      </c>
      <c r="P1888" t="str" cm="1">
        <f t="array" ref="P1888">IFERROR(LOOKUP(2,1/SEARCH($Y$2:$Y$65,G1888),$Z$2:$Z$65),"Not Defined")</f>
        <v>OH Part</v>
      </c>
      <c r="Q1888" t="str" cm="1">
        <f t="array" ref="Q1888">IFERROR(LOOKUP(2,1/SEARCH($S$2:$S$65,H1888),$T$2:$T$65),"-")</f>
        <v>-</v>
      </c>
    </row>
    <row r="1889" spans="1:17" hidden="1" x14ac:dyDescent="0.25">
      <c r="A1889" t="s">
        <v>7675</v>
      </c>
      <c r="B1889" t="s">
        <v>4973</v>
      </c>
      <c r="C1889">
        <v>1</v>
      </c>
      <c r="D1889" t="s">
        <v>7515</v>
      </c>
      <c r="E1889" t="s">
        <v>7517</v>
      </c>
      <c r="F1889" t="s">
        <v>2179</v>
      </c>
      <c r="G1889" t="s">
        <v>7259</v>
      </c>
      <c r="H1889" t="s">
        <v>1552</v>
      </c>
      <c r="I1889" t="s">
        <v>228</v>
      </c>
      <c r="J1889" t="s">
        <v>7703</v>
      </c>
      <c r="K1889" t="s">
        <v>7684</v>
      </c>
      <c r="L1889" t="s">
        <v>7721</v>
      </c>
      <c r="N1889" t="str" cm="1">
        <f t="array" ref="N1889">IFERROR(LOOKUP(2,1/SEARCH($S$2:$S$65,G1889),$T$2:$T$65),"Misc")</f>
        <v>COTS</v>
      </c>
      <c r="O1889" t="str" cm="1">
        <f t="array" ref="O1889">IFERROR(LOOKUP(2,1/SEARCH($V$2:$V$65,G1889),$W$2:$W$65),"Misc")</f>
        <v>Fasteners</v>
      </c>
      <c r="P1889" t="str" cm="1">
        <f t="array" ref="P1889">IFERROR(LOOKUP(2,1/SEARCH($Y$2:$Y$65,G1889),$Z$2:$Z$65),"Not Defined")</f>
        <v>SET SCREW</v>
      </c>
      <c r="Q1889" t="str" cm="1">
        <f t="array" ref="Q1889">IFERROR(LOOKUP(2,1/SEARCH($S$2:$S$65,H1889),$T$2:$T$65),"-")</f>
        <v>COTS</v>
      </c>
    </row>
    <row r="1890" spans="1:17" hidden="1" x14ac:dyDescent="0.25">
      <c r="A1890" t="s">
        <v>7675</v>
      </c>
      <c r="B1890" t="s">
        <v>4974</v>
      </c>
      <c r="C1890">
        <v>1</v>
      </c>
      <c r="D1890" t="s">
        <v>7515</v>
      </c>
      <c r="E1890" t="s">
        <v>7517</v>
      </c>
      <c r="F1890" t="s">
        <v>1551</v>
      </c>
      <c r="G1890" t="s">
        <v>7225</v>
      </c>
      <c r="H1890" t="s">
        <v>1552</v>
      </c>
      <c r="I1890" t="s">
        <v>228</v>
      </c>
      <c r="J1890" t="s">
        <v>7703</v>
      </c>
      <c r="K1890" t="s">
        <v>7684</v>
      </c>
      <c r="L1890" t="s">
        <v>7721</v>
      </c>
      <c r="N1890" t="str" cm="1">
        <f t="array" ref="N1890">IFERROR(LOOKUP(2,1/SEARCH($S$2:$S$65,G1890),$T$2:$T$65),"Misc")</f>
        <v>COTS</v>
      </c>
      <c r="O1890" t="str" cm="1">
        <f t="array" ref="O1890">IFERROR(LOOKUP(2,1/SEARCH($V$2:$V$65,G1890),$W$2:$W$65),"Misc")</f>
        <v>Fasteners</v>
      </c>
      <c r="P1890" t="str" cm="1">
        <f t="array" ref="P1890">IFERROR(LOOKUP(2,1/SEARCH($Y$2:$Y$65,G1890),$Z$2:$Z$65),"Not Defined")</f>
        <v>SET SCREW</v>
      </c>
      <c r="Q1890" t="str" cm="1">
        <f t="array" ref="Q1890">IFERROR(LOOKUP(2,1/SEARCH($S$2:$S$65,H1890),$T$2:$T$65),"-")</f>
        <v>COTS</v>
      </c>
    </row>
    <row r="1891" spans="1:17" x14ac:dyDescent="0.25">
      <c r="A1891" t="s">
        <v>7675</v>
      </c>
      <c r="B1891" t="s">
        <v>4975</v>
      </c>
      <c r="C1891">
        <v>3</v>
      </c>
      <c r="D1891" t="s">
        <v>7515</v>
      </c>
      <c r="F1891" t="s">
        <v>577</v>
      </c>
      <c r="G1891" t="s">
        <v>7104</v>
      </c>
      <c r="H1891" t="s">
        <v>578</v>
      </c>
      <c r="I1891" t="s">
        <v>299</v>
      </c>
      <c r="J1891" t="s">
        <v>7703</v>
      </c>
      <c r="K1891" t="s">
        <v>7684</v>
      </c>
      <c r="L1891" t="s">
        <v>7708</v>
      </c>
      <c r="N1891" t="str" cm="1">
        <f t="array" ref="N1891">IFERROR(LOOKUP(2,1/SEARCH($S$2:$S$65,G1891),$T$2:$T$65),"Misc")</f>
        <v>COTS</v>
      </c>
      <c r="O1891" t="str" cm="1">
        <f t="array" ref="O1891">IFERROR(LOOKUP(2,1/SEARCH($V$2:$V$65,G1891),$W$2:$W$65),"Misc")</f>
        <v>Fasteners</v>
      </c>
      <c r="P1891" t="str" cm="1">
        <f t="array" ref="P1891">IFERROR(LOOKUP(2,1/SEARCH($Y$2:$Y$65,G1891),$Z$2:$Z$65),"Not Defined")</f>
        <v>STANDOFF</v>
      </c>
      <c r="Q1891" t="str" cm="1">
        <f t="array" ref="Q1891">IFERROR(LOOKUP(2,1/SEARCH($S$2:$S$65,H1891),$T$2:$T$65),"-")</f>
        <v>COTS</v>
      </c>
    </row>
    <row r="1892" spans="1:17" x14ac:dyDescent="0.25">
      <c r="A1892" t="s">
        <v>7675</v>
      </c>
      <c r="B1892" t="s">
        <v>4976</v>
      </c>
      <c r="C1892">
        <v>3</v>
      </c>
      <c r="D1892" t="s">
        <v>7515</v>
      </c>
      <c r="F1892" t="s">
        <v>3974</v>
      </c>
      <c r="G1892" t="s">
        <v>7426</v>
      </c>
      <c r="H1892" t="s">
        <v>3975</v>
      </c>
      <c r="I1892" t="s">
        <v>210</v>
      </c>
      <c r="J1892" t="s">
        <v>7703</v>
      </c>
      <c r="K1892" t="s">
        <v>7684</v>
      </c>
      <c r="L1892" t="s">
        <v>7691</v>
      </c>
      <c r="N1892" t="str" cm="1">
        <f t="array" ref="N1892">IFERROR(LOOKUP(2,1/SEARCH($S$2:$S$65,G1892),$T$2:$T$65),"Misc")</f>
        <v>COTS</v>
      </c>
      <c r="O1892" t="str" cm="1">
        <f t="array" ref="O1892">IFERROR(LOOKUP(2,1/SEARCH($V$2:$V$65,G1892),$W$2:$W$65),"Misc")</f>
        <v>Fasteners</v>
      </c>
      <c r="P1892" t="str" cm="1">
        <f t="array" ref="P1892">IFERROR(LOOKUP(2,1/SEARCH($Y$2:$Y$65,G1892),$Z$2:$Z$65),"Not Defined")</f>
        <v>FHS</v>
      </c>
      <c r="Q1892" t="str" cm="1">
        <f t="array" ref="Q1892">IFERROR(LOOKUP(2,1/SEARCH($S$2:$S$65,H1892),$T$2:$T$65),"-")</f>
        <v>COTS</v>
      </c>
    </row>
    <row r="1893" spans="1:17" x14ac:dyDescent="0.25">
      <c r="A1893" t="s">
        <v>7675</v>
      </c>
      <c r="B1893" t="s">
        <v>4977</v>
      </c>
      <c r="C1893">
        <v>3</v>
      </c>
      <c r="D1893" t="s">
        <v>7515</v>
      </c>
      <c r="F1893" t="s">
        <v>1541</v>
      </c>
      <c r="G1893" t="s">
        <v>7223</v>
      </c>
      <c r="H1893" t="s">
        <v>1542</v>
      </c>
      <c r="I1893" t="s">
        <v>210</v>
      </c>
      <c r="J1893" t="s">
        <v>7703</v>
      </c>
      <c r="K1893" t="s">
        <v>7684</v>
      </c>
      <c r="L1893" t="s">
        <v>7693</v>
      </c>
      <c r="N1893" t="str" cm="1">
        <f t="array" ref="N1893">IFERROR(LOOKUP(2,1/SEARCH($S$2:$S$65,G1893),$T$2:$T$65),"Misc")</f>
        <v>COTS</v>
      </c>
      <c r="O1893" t="str" cm="1">
        <f t="array" ref="O1893">IFERROR(LOOKUP(2,1/SEARCH($V$2:$V$65,G1893),$W$2:$W$65),"Misc")</f>
        <v>Fasteners</v>
      </c>
      <c r="P1893" t="str" cm="1">
        <f t="array" ref="P1893">IFERROR(LOOKUP(2,1/SEARCH($Y$2:$Y$65,G1893),$Z$2:$Z$65),"Not Defined")</f>
        <v>PHS</v>
      </c>
      <c r="Q1893" t="str" cm="1">
        <f t="array" ref="Q1893">IFERROR(LOOKUP(2,1/SEARCH($S$2:$S$65,H1893),$T$2:$T$65),"-")</f>
        <v>COTS</v>
      </c>
    </row>
    <row r="1894" spans="1:17" x14ac:dyDescent="0.25">
      <c r="A1894" t="s">
        <v>7675</v>
      </c>
      <c r="B1894" t="s">
        <v>4978</v>
      </c>
      <c r="C1894">
        <v>1</v>
      </c>
      <c r="D1894" t="s">
        <v>7515</v>
      </c>
      <c r="F1894" t="s">
        <v>4979</v>
      </c>
      <c r="G1894" t="s">
        <v>4981</v>
      </c>
      <c r="H1894" t="s">
        <v>4980</v>
      </c>
      <c r="I1894" t="s">
        <v>293</v>
      </c>
      <c r="J1894" t="s">
        <v>7682</v>
      </c>
      <c r="K1894" t="s">
        <v>7826</v>
      </c>
      <c r="L1894" t="s">
        <v>7826</v>
      </c>
      <c r="N1894" t="str" cm="1">
        <f t="array" ref="N1894">IFERROR(LOOKUP(2,1/SEARCH($S$2:$S$65,G1894),$T$2:$T$65),"Misc")</f>
        <v>OH P/N</v>
      </c>
      <c r="O1894" t="str" cm="1">
        <f t="array" ref="O1894">IFERROR(LOOKUP(2,1/SEARCH($V$2:$V$65,G1894),$W$2:$W$65),"Misc")</f>
        <v>OH Part</v>
      </c>
      <c r="P1894" t="str" cm="1">
        <f t="array" ref="P1894">IFERROR(LOOKUP(2,1/SEARCH($Y$2:$Y$65,G1894),$Z$2:$Z$65),"Not Defined")</f>
        <v>OH Part</v>
      </c>
      <c r="Q1894" t="str" cm="1">
        <f t="array" ref="Q1894">IFERROR(LOOKUP(2,1/SEARCH($S$2:$S$65,H1894),$T$2:$T$65),"-")</f>
        <v>ABSIS</v>
      </c>
    </row>
    <row r="1895" spans="1:17" x14ac:dyDescent="0.25">
      <c r="A1895" t="s">
        <v>7675</v>
      </c>
      <c r="B1895" t="s">
        <v>4982</v>
      </c>
      <c r="C1895">
        <v>4</v>
      </c>
      <c r="D1895" t="s">
        <v>7515</v>
      </c>
      <c r="F1895" t="s">
        <v>297</v>
      </c>
      <c r="G1895" t="s">
        <v>7065</v>
      </c>
      <c r="H1895" t="s">
        <v>298</v>
      </c>
      <c r="I1895" t="s">
        <v>299</v>
      </c>
      <c r="J1895" t="s">
        <v>7703</v>
      </c>
      <c r="K1895" t="s">
        <v>7684</v>
      </c>
      <c r="L1895" t="s">
        <v>7708</v>
      </c>
      <c r="N1895" t="str" cm="1">
        <f t="array" ref="N1895">IFERROR(LOOKUP(2,1/SEARCH($S$2:$S$65,G1895),$T$2:$T$65),"Misc")</f>
        <v>COTS</v>
      </c>
      <c r="O1895" t="str" cm="1">
        <f t="array" ref="O1895">IFERROR(LOOKUP(2,1/SEARCH($V$2:$V$65,G1895),$W$2:$W$65),"Misc")</f>
        <v>Fasteners</v>
      </c>
      <c r="P1895" t="str" cm="1">
        <f t="array" ref="P1895">IFERROR(LOOKUP(2,1/SEARCH($Y$2:$Y$65,G1895),$Z$2:$Z$65),"Not Defined")</f>
        <v>STANDOFF</v>
      </c>
      <c r="Q1895" t="str" cm="1">
        <f t="array" ref="Q1895">IFERROR(LOOKUP(2,1/SEARCH($S$2:$S$65,H1895),$T$2:$T$65),"-")</f>
        <v>COTS</v>
      </c>
    </row>
    <row r="1896" spans="1:17" x14ac:dyDescent="0.25">
      <c r="A1896" t="s">
        <v>7675</v>
      </c>
      <c r="B1896" t="s">
        <v>4983</v>
      </c>
      <c r="C1896">
        <v>8</v>
      </c>
      <c r="D1896" t="s">
        <v>7515</v>
      </c>
      <c r="F1896" t="s">
        <v>460</v>
      </c>
      <c r="G1896" t="s">
        <v>7090</v>
      </c>
      <c r="H1896" t="s">
        <v>461</v>
      </c>
      <c r="I1896" t="s">
        <v>224</v>
      </c>
      <c r="J1896" t="s">
        <v>7703</v>
      </c>
      <c r="K1896" t="s">
        <v>7684</v>
      </c>
      <c r="L1896" t="s">
        <v>7693</v>
      </c>
      <c r="N1896" t="str" cm="1">
        <f t="array" ref="N1896">IFERROR(LOOKUP(2,1/SEARCH($S$2:$S$65,G1896),$T$2:$T$65),"Misc")</f>
        <v>COTS</v>
      </c>
      <c r="O1896" t="str" cm="1">
        <f t="array" ref="O1896">IFERROR(LOOKUP(2,1/SEARCH($V$2:$V$65,G1896),$W$2:$W$65),"Misc")</f>
        <v>Fasteners</v>
      </c>
      <c r="P1896" t="str" cm="1">
        <f t="array" ref="P1896">IFERROR(LOOKUP(2,1/SEARCH($Y$2:$Y$65,G1896),$Z$2:$Z$65),"Not Defined")</f>
        <v>PHS</v>
      </c>
      <c r="Q1896" t="str" cm="1">
        <f t="array" ref="Q1896">IFERROR(LOOKUP(2,1/SEARCH($S$2:$S$65,H1896),$T$2:$T$65),"-")</f>
        <v>COTS</v>
      </c>
    </row>
    <row r="1897" spans="1:17" hidden="1" x14ac:dyDescent="0.25">
      <c r="A1897" t="s">
        <v>7675</v>
      </c>
      <c r="B1897" t="s">
        <v>4984</v>
      </c>
      <c r="C1897">
        <v>1</v>
      </c>
      <c r="D1897" t="s">
        <v>7515</v>
      </c>
      <c r="E1897" t="s">
        <v>614</v>
      </c>
      <c r="F1897" s="15" t="s">
        <v>613</v>
      </c>
      <c r="G1897" t="s">
        <v>7110</v>
      </c>
      <c r="H1897" t="s">
        <v>614</v>
      </c>
      <c r="I1897" t="s">
        <v>255</v>
      </c>
      <c r="J1897" t="s">
        <v>7815</v>
      </c>
      <c r="K1897" t="s">
        <v>7717</v>
      </c>
      <c r="L1897" t="s">
        <v>7717</v>
      </c>
      <c r="N1897" t="str" cm="1">
        <f t="array" ref="N1897">IFERROR(LOOKUP(2,1/SEARCH($S$2:$S$65,G1897),$T$2:$T$65),"Misc")</f>
        <v>OH ASSY</v>
      </c>
      <c r="O1897" t="str" cm="1">
        <f t="array" ref="O1897">IFERROR(LOOKUP(2,1/SEARCH($V$2:$V$65,G1897),$W$2:$W$65),"Misc")</f>
        <v>ABSIS</v>
      </c>
      <c r="P1897" t="str" cm="1">
        <f t="array" ref="P1897">IFERROR(LOOKUP(2,1/SEARCH($Y$2:$Y$65,G1897),$Z$2:$Z$65),"Not Defined")</f>
        <v>ABSIS</v>
      </c>
      <c r="Q1897" t="str" cm="1">
        <f t="array" ref="Q1897">IFERROR(LOOKUP(2,1/SEARCH($S$2:$S$65,H1897),$T$2:$T$65),"-")</f>
        <v>OH ASSY</v>
      </c>
    </row>
    <row r="1898" spans="1:17" hidden="1" x14ac:dyDescent="0.25">
      <c r="A1898" t="s">
        <v>7675</v>
      </c>
      <c r="B1898" t="s">
        <v>4985</v>
      </c>
      <c r="C1898">
        <v>1</v>
      </c>
      <c r="D1898" t="s">
        <v>7515</v>
      </c>
      <c r="E1898" t="s">
        <v>614</v>
      </c>
      <c r="F1898" s="4" t="s">
        <v>616</v>
      </c>
      <c r="G1898" t="s">
        <v>7111</v>
      </c>
      <c r="H1898" t="s">
        <v>617</v>
      </c>
      <c r="I1898" t="s">
        <v>255</v>
      </c>
      <c r="J1898" t="s">
        <v>7717</v>
      </c>
      <c r="K1898" t="s">
        <v>7717</v>
      </c>
      <c r="L1898" t="s">
        <v>7717</v>
      </c>
      <c r="N1898" t="str" cm="1">
        <f t="array" ref="N1898">IFERROR(LOOKUP(2,1/SEARCH($S$2:$S$65,G1898),$T$2:$T$65),"Misc")</f>
        <v>ABSIS</v>
      </c>
      <c r="O1898" t="str" cm="1">
        <f t="array" ref="O1898">IFERROR(LOOKUP(2,1/SEARCH($V$2:$V$65,G1898),$W$2:$W$65),"Misc")</f>
        <v>ABSIS</v>
      </c>
      <c r="P1898" t="str" cm="1">
        <f t="array" ref="P1898">IFERROR(LOOKUP(2,1/SEARCH($Y$2:$Y$65,G1898),$Z$2:$Z$65),"Not Defined")</f>
        <v>ABSIS</v>
      </c>
      <c r="Q1898" t="str" cm="1">
        <f t="array" ref="Q1898">IFERROR(LOOKUP(2,1/SEARCH($S$2:$S$65,H1898),$T$2:$T$65),"-")</f>
        <v>ABSIS</v>
      </c>
    </row>
    <row r="1899" spans="1:17" hidden="1" x14ac:dyDescent="0.25">
      <c r="A1899" t="s">
        <v>7675</v>
      </c>
      <c r="B1899" t="s">
        <v>4986</v>
      </c>
      <c r="C1899">
        <v>1</v>
      </c>
      <c r="D1899" t="s">
        <v>7515</v>
      </c>
      <c r="E1899" t="s">
        <v>614</v>
      </c>
      <c r="F1899" t="s">
        <v>596</v>
      </c>
      <c r="G1899" t="s">
        <v>7108</v>
      </c>
      <c r="H1899" t="s">
        <v>597</v>
      </c>
      <c r="I1899" t="s">
        <v>255</v>
      </c>
      <c r="J1899" t="s">
        <v>7703</v>
      </c>
      <c r="K1899" t="s">
        <v>7713</v>
      </c>
      <c r="L1899" t="s">
        <v>7713</v>
      </c>
      <c r="N1899" t="str" cm="1">
        <f t="array" ref="N1899">IFERROR(LOOKUP(2,1/SEARCH($S$2:$S$65,G1899),$T$2:$T$65),"Misc")</f>
        <v>COTS</v>
      </c>
      <c r="O1899" t="str" cm="1">
        <f t="array" ref="O1899">IFERROR(LOOKUP(2,1/SEARCH($V$2:$V$65,G1899),$W$2:$W$65),"Misc")</f>
        <v>ARDUINO</v>
      </c>
      <c r="P1899" t="str" cm="1">
        <f t="array" ref="P1899">IFERROR(LOOKUP(2,1/SEARCH($Y$2:$Y$65,G1899),$Z$2:$Z$65),"Not Defined")</f>
        <v>ARDUINO</v>
      </c>
      <c r="Q1899" t="str" cm="1">
        <f t="array" ref="Q1899">IFERROR(LOOKUP(2,1/SEARCH($S$2:$S$65,H1899),$T$2:$T$65),"-")</f>
        <v>COTS</v>
      </c>
    </row>
    <row r="1900" spans="1:17" x14ac:dyDescent="0.25">
      <c r="A1900" t="s">
        <v>7675</v>
      </c>
      <c r="B1900" s="19">
        <v>3.14</v>
      </c>
      <c r="C1900">
        <v>1</v>
      </c>
      <c r="D1900" t="s">
        <v>7518</v>
      </c>
      <c r="F1900" t="s">
        <v>4987</v>
      </c>
      <c r="G1900" t="s">
        <v>7518</v>
      </c>
      <c r="H1900" t="s">
        <v>4988</v>
      </c>
      <c r="J1900" t="s">
        <v>7742</v>
      </c>
      <c r="K1900" t="s">
        <v>7826</v>
      </c>
      <c r="L1900" t="s">
        <v>7826</v>
      </c>
      <c r="N1900" t="str" cm="1">
        <f t="array" ref="N1900">IFERROR(LOOKUP(2,1/SEARCH($S$2:$S$65,G1900),$T$2:$T$65),"Misc")</f>
        <v>OH ASSY</v>
      </c>
      <c r="O1900" t="str" cm="1">
        <f t="array" ref="O1900">IFERROR(LOOKUP(2,1/SEARCH($V$2:$V$65,G1900),$W$2:$W$65),"Misc")</f>
        <v>OH Part</v>
      </c>
      <c r="P1900" t="str" cm="1">
        <f t="array" ref="P1900">IFERROR(LOOKUP(2,1/SEARCH($Y$2:$Y$65,G1900),$Z$2:$Z$65),"Not Defined")</f>
        <v>OH Part</v>
      </c>
      <c r="Q1900" t="str" cm="1">
        <f t="array" ref="Q1900">IFERROR(LOOKUP(2,1/SEARCH($S$2:$S$65,H1900),$T$2:$T$65),"-")</f>
        <v>OH ASSY</v>
      </c>
    </row>
    <row r="1901" spans="1:17" x14ac:dyDescent="0.25">
      <c r="A1901" t="s">
        <v>7675</v>
      </c>
      <c r="B1901" t="s">
        <v>4989</v>
      </c>
      <c r="C1901">
        <v>1</v>
      </c>
      <c r="D1901" t="s">
        <v>7518</v>
      </c>
      <c r="F1901" t="s">
        <v>4990</v>
      </c>
      <c r="G1901" t="s">
        <v>4992</v>
      </c>
      <c r="H1901" t="s">
        <v>4991</v>
      </c>
      <c r="I1901" t="s">
        <v>255</v>
      </c>
      <c r="J1901" t="s">
        <v>7682</v>
      </c>
      <c r="K1901" t="s">
        <v>7826</v>
      </c>
      <c r="L1901" t="s">
        <v>7826</v>
      </c>
      <c r="N1901" t="str" cm="1">
        <f t="array" ref="N1901">IFERROR(LOOKUP(2,1/SEARCH($S$2:$S$65,G1901),$T$2:$T$65),"Misc")</f>
        <v>OH P/N</v>
      </c>
      <c r="O1901" t="str" cm="1">
        <f t="array" ref="O1901">IFERROR(LOOKUP(2,1/SEARCH($V$2:$V$65,G1901),$W$2:$W$65),"Misc")</f>
        <v>OH Part</v>
      </c>
      <c r="P1901" t="str" cm="1">
        <f t="array" ref="P1901">IFERROR(LOOKUP(2,1/SEARCH($Y$2:$Y$65,G1901),$Z$2:$Z$65),"Not Defined")</f>
        <v>OH Part</v>
      </c>
      <c r="Q1901" t="str" cm="1">
        <f t="array" ref="Q1901">IFERROR(LOOKUP(2,1/SEARCH($S$2:$S$65,H1901),$T$2:$T$65),"-")</f>
        <v>-</v>
      </c>
    </row>
    <row r="1902" spans="1:17" x14ac:dyDescent="0.25">
      <c r="A1902" t="s">
        <v>7675</v>
      </c>
      <c r="B1902" t="s">
        <v>4993</v>
      </c>
      <c r="C1902">
        <v>1</v>
      </c>
      <c r="D1902" t="s">
        <v>7518</v>
      </c>
      <c r="F1902" t="s">
        <v>4994</v>
      </c>
      <c r="G1902" t="s">
        <v>4996</v>
      </c>
      <c r="H1902" t="s">
        <v>4995</v>
      </c>
      <c r="I1902" t="s">
        <v>293</v>
      </c>
      <c r="J1902" t="s">
        <v>7682</v>
      </c>
      <c r="K1902" t="s">
        <v>7826</v>
      </c>
      <c r="L1902" t="s">
        <v>7826</v>
      </c>
      <c r="N1902" t="str" cm="1">
        <f t="array" ref="N1902">IFERROR(LOOKUP(2,1/SEARCH($S$2:$S$65,G1902),$T$2:$T$65),"Misc")</f>
        <v>OH P/N</v>
      </c>
      <c r="O1902" t="str" cm="1">
        <f t="array" ref="O1902">IFERROR(LOOKUP(2,1/SEARCH($V$2:$V$65,G1902),$W$2:$W$65),"Misc")</f>
        <v>OH Part</v>
      </c>
      <c r="P1902" t="str" cm="1">
        <f t="array" ref="P1902">IFERROR(LOOKUP(2,1/SEARCH($Y$2:$Y$65,G1902),$Z$2:$Z$65),"Not Defined")</f>
        <v>OH Part</v>
      </c>
      <c r="Q1902" t="str" cm="1">
        <f t="array" ref="Q1902">IFERROR(LOOKUP(2,1/SEARCH($S$2:$S$65,H1902),$T$2:$T$65),"-")</f>
        <v>-</v>
      </c>
    </row>
    <row r="1903" spans="1:17" x14ac:dyDescent="0.25">
      <c r="A1903" t="s">
        <v>7675</v>
      </c>
      <c r="B1903" t="s">
        <v>4997</v>
      </c>
      <c r="C1903">
        <v>1</v>
      </c>
      <c r="D1903" t="s">
        <v>7518</v>
      </c>
      <c r="F1903" t="s">
        <v>4998</v>
      </c>
      <c r="G1903" t="s">
        <v>5000</v>
      </c>
      <c r="H1903" t="s">
        <v>4999</v>
      </c>
      <c r="I1903" t="s">
        <v>293</v>
      </c>
      <c r="J1903" t="s">
        <v>7682</v>
      </c>
      <c r="K1903" t="s">
        <v>7826</v>
      </c>
      <c r="L1903" t="s">
        <v>7826</v>
      </c>
      <c r="N1903" t="str" cm="1">
        <f t="array" ref="N1903">IFERROR(LOOKUP(2,1/SEARCH($S$2:$S$65,G1903),$T$2:$T$65),"Misc")</f>
        <v>OH P/N</v>
      </c>
      <c r="O1903" t="str" cm="1">
        <f t="array" ref="O1903">IFERROR(LOOKUP(2,1/SEARCH($V$2:$V$65,G1903),$W$2:$W$65),"Misc")</f>
        <v>OH Part</v>
      </c>
      <c r="P1903" t="str" cm="1">
        <f t="array" ref="P1903">IFERROR(LOOKUP(2,1/SEARCH($Y$2:$Y$65,G1903),$Z$2:$Z$65),"Not Defined")</f>
        <v>OH Part</v>
      </c>
      <c r="Q1903" t="str" cm="1">
        <f t="array" ref="Q1903">IFERROR(LOOKUP(2,1/SEARCH($S$2:$S$65,H1903),$T$2:$T$65),"-")</f>
        <v>-</v>
      </c>
    </row>
    <row r="1904" spans="1:17" x14ac:dyDescent="0.25">
      <c r="A1904" t="s">
        <v>7675</v>
      </c>
      <c r="B1904" t="s">
        <v>5001</v>
      </c>
      <c r="C1904">
        <v>1</v>
      </c>
      <c r="D1904" t="s">
        <v>7518</v>
      </c>
      <c r="F1904" t="s">
        <v>5002</v>
      </c>
      <c r="G1904" t="s">
        <v>5004</v>
      </c>
      <c r="H1904" t="s">
        <v>5003</v>
      </c>
      <c r="I1904" t="s">
        <v>281</v>
      </c>
      <c r="J1904" t="s">
        <v>7682</v>
      </c>
      <c r="K1904" t="s">
        <v>7826</v>
      </c>
      <c r="L1904" t="s">
        <v>7826</v>
      </c>
      <c r="N1904" t="str" cm="1">
        <f t="array" ref="N1904">IFERROR(LOOKUP(2,1/SEARCH($S$2:$S$65,G1904),$T$2:$T$65),"Misc")</f>
        <v>OH P/N</v>
      </c>
      <c r="O1904" t="str" cm="1">
        <f t="array" ref="O1904">IFERROR(LOOKUP(2,1/SEARCH($V$2:$V$65,G1904),$W$2:$W$65),"Misc")</f>
        <v>OH Part</v>
      </c>
      <c r="P1904" t="str" cm="1">
        <f t="array" ref="P1904">IFERROR(LOOKUP(2,1/SEARCH($Y$2:$Y$65,G1904),$Z$2:$Z$65),"Not Defined")</f>
        <v>OH Part</v>
      </c>
      <c r="Q1904" t="str" cm="1">
        <f t="array" ref="Q1904">IFERROR(LOOKUP(2,1/SEARCH($S$2:$S$65,H1904),$T$2:$T$65),"-")</f>
        <v>-</v>
      </c>
    </row>
    <row r="1905" spans="1:17" x14ac:dyDescent="0.25">
      <c r="A1905" t="s">
        <v>7675</v>
      </c>
      <c r="B1905" t="s">
        <v>5005</v>
      </c>
      <c r="C1905">
        <v>1</v>
      </c>
      <c r="D1905" t="s">
        <v>7518</v>
      </c>
      <c r="F1905" t="s">
        <v>5006</v>
      </c>
      <c r="G1905" t="s">
        <v>5008</v>
      </c>
      <c r="H1905" t="s">
        <v>5007</v>
      </c>
      <c r="I1905" t="s">
        <v>358</v>
      </c>
      <c r="J1905" t="s">
        <v>7682</v>
      </c>
      <c r="K1905" t="s">
        <v>7826</v>
      </c>
      <c r="L1905" t="s">
        <v>7826</v>
      </c>
      <c r="N1905" t="str" cm="1">
        <f t="array" ref="N1905">IFERROR(LOOKUP(2,1/SEARCH($S$2:$S$65,G1905),$T$2:$T$65),"Misc")</f>
        <v>OH P/N</v>
      </c>
      <c r="O1905" t="str" cm="1">
        <f t="array" ref="O1905">IFERROR(LOOKUP(2,1/SEARCH($V$2:$V$65,G1905),$W$2:$W$65),"Misc")</f>
        <v>OH Part</v>
      </c>
      <c r="P1905" t="str" cm="1">
        <f t="array" ref="P1905">IFERROR(LOOKUP(2,1/SEARCH($Y$2:$Y$65,G1905),$Z$2:$Z$65),"Not Defined")</f>
        <v>OH Part</v>
      </c>
      <c r="Q1905" t="str" cm="1">
        <f t="array" ref="Q1905">IFERROR(LOOKUP(2,1/SEARCH($S$2:$S$65,H1905),$T$2:$T$65),"-")</f>
        <v>-</v>
      </c>
    </row>
    <row r="1906" spans="1:17" x14ac:dyDescent="0.25">
      <c r="A1906" t="s">
        <v>7675</v>
      </c>
      <c r="B1906" t="s">
        <v>5009</v>
      </c>
      <c r="C1906">
        <v>1</v>
      </c>
      <c r="D1906" t="s">
        <v>7518</v>
      </c>
      <c r="F1906" t="s">
        <v>5010</v>
      </c>
      <c r="G1906" t="s">
        <v>7519</v>
      </c>
      <c r="H1906" t="s">
        <v>5011</v>
      </c>
      <c r="I1906" t="s">
        <v>255</v>
      </c>
      <c r="J1906" t="s">
        <v>7703</v>
      </c>
      <c r="K1906" t="s">
        <v>7677</v>
      </c>
      <c r="L1906" t="s">
        <v>7677</v>
      </c>
      <c r="N1906" t="str" cm="1">
        <f t="array" ref="N1906">IFERROR(LOOKUP(2,1/SEARCH($S$2:$S$65,G1906),$T$2:$T$65),"Misc")</f>
        <v>COTS</v>
      </c>
      <c r="O1906" t="str" cm="1">
        <f t="array" ref="O1906">IFERROR(LOOKUP(2,1/SEARCH($V$2:$V$65,G1906),$W$2:$W$65),"Misc")</f>
        <v>SWITCH</v>
      </c>
      <c r="P1906" t="str" cm="1">
        <f t="array" ref="P1906">IFERROR(LOOKUP(2,1/SEARCH($Y$2:$Y$65,G1906),$Z$2:$Z$65),"Not Defined")</f>
        <v>SWITCH</v>
      </c>
      <c r="Q1906" t="str" cm="1">
        <f t="array" ref="Q1906">IFERROR(LOOKUP(2,1/SEARCH($S$2:$S$65,H1906),$T$2:$T$65),"-")</f>
        <v>COTS</v>
      </c>
    </row>
    <row r="1907" spans="1:17" x14ac:dyDescent="0.25">
      <c r="A1907" t="s">
        <v>7675</v>
      </c>
      <c r="B1907" t="s">
        <v>5012</v>
      </c>
      <c r="C1907">
        <v>2</v>
      </c>
      <c r="D1907" t="s">
        <v>7518</v>
      </c>
      <c r="F1907" t="s">
        <v>701</v>
      </c>
      <c r="G1907" t="s">
        <v>7119</v>
      </c>
      <c r="H1907" t="s">
        <v>702</v>
      </c>
      <c r="I1907" t="s">
        <v>255</v>
      </c>
      <c r="J1907" t="s">
        <v>7703</v>
      </c>
      <c r="K1907" t="s">
        <v>7684</v>
      </c>
      <c r="L1907" t="s">
        <v>7685</v>
      </c>
      <c r="N1907" t="str" cm="1">
        <f t="array" ref="N1907">IFERROR(LOOKUP(2,1/SEARCH($S$2:$S$65,G1907),$T$2:$T$65),"Misc")</f>
        <v>COTS</v>
      </c>
      <c r="O1907" t="str" cm="1">
        <f t="array" ref="O1907">IFERROR(LOOKUP(2,1/SEARCH($V$2:$V$65,G1907),$W$2:$W$65),"Misc")</f>
        <v>Fasteners</v>
      </c>
      <c r="P1907" t="str" cm="1">
        <f t="array" ref="P1907">IFERROR(LOOKUP(2,1/SEARCH($Y$2:$Y$65,G1907),$Z$2:$Z$65),"Not Defined")</f>
        <v>NUT</v>
      </c>
      <c r="Q1907" t="str" cm="1">
        <f t="array" ref="Q1907">IFERROR(LOOKUP(2,1/SEARCH($S$2:$S$65,H1907),$T$2:$T$65),"-")</f>
        <v>COTS</v>
      </c>
    </row>
    <row r="1908" spans="1:17" x14ac:dyDescent="0.25">
      <c r="A1908" t="s">
        <v>7675</v>
      </c>
      <c r="B1908" t="s">
        <v>5013</v>
      </c>
      <c r="C1908">
        <v>1</v>
      </c>
      <c r="D1908" t="s">
        <v>7518</v>
      </c>
      <c r="F1908" t="s">
        <v>698</v>
      </c>
      <c r="G1908" t="s">
        <v>7118</v>
      </c>
      <c r="H1908" t="s">
        <v>699</v>
      </c>
      <c r="I1908" t="s">
        <v>255</v>
      </c>
      <c r="J1908" t="s">
        <v>7703</v>
      </c>
      <c r="K1908" t="s">
        <v>7684</v>
      </c>
      <c r="L1908" t="s">
        <v>7692</v>
      </c>
      <c r="N1908" t="str" cm="1">
        <f t="array" ref="N1908">IFERROR(LOOKUP(2,1/SEARCH($S$2:$S$65,G1908),$T$2:$T$65),"Misc")</f>
        <v>COTS</v>
      </c>
      <c r="O1908" t="str" cm="1">
        <f t="array" ref="O1908">IFERROR(LOOKUP(2,1/SEARCH($V$2:$V$65,G1908),$W$2:$W$65),"Misc")</f>
        <v>Fasteners</v>
      </c>
      <c r="P1908" t="str" cm="1">
        <f t="array" ref="P1908">IFERROR(LOOKUP(2,1/SEARCH($Y$2:$Y$65,G1908),$Z$2:$Z$65),"Not Defined")</f>
        <v>WASHER</v>
      </c>
      <c r="Q1908" t="str" cm="1">
        <f t="array" ref="Q1908">IFERROR(LOOKUP(2,1/SEARCH($S$2:$S$65,H1908),$T$2:$T$65),"-")</f>
        <v>COTS</v>
      </c>
    </row>
    <row r="1909" spans="1:17" x14ac:dyDescent="0.25">
      <c r="A1909" t="s">
        <v>7675</v>
      </c>
      <c r="B1909" t="s">
        <v>5014</v>
      </c>
      <c r="C1909">
        <v>1</v>
      </c>
      <c r="D1909" t="s">
        <v>7518</v>
      </c>
      <c r="F1909" t="s">
        <v>695</v>
      </c>
      <c r="G1909" t="s">
        <v>7117</v>
      </c>
      <c r="H1909" t="s">
        <v>696</v>
      </c>
      <c r="I1909" t="s">
        <v>255</v>
      </c>
      <c r="J1909" t="s">
        <v>7703</v>
      </c>
      <c r="K1909" t="s">
        <v>7719</v>
      </c>
      <c r="L1909" t="s">
        <v>7719</v>
      </c>
      <c r="N1909" t="str" cm="1">
        <f t="array" ref="N1909">IFERROR(LOOKUP(2,1/SEARCH($S$2:$S$65,G1909),$T$2:$T$65),"Misc")</f>
        <v>COTS</v>
      </c>
      <c r="O1909" t="str" cm="1">
        <f t="array" ref="O1909">IFERROR(LOOKUP(2,1/SEARCH($V$2:$V$65,G1909),$W$2:$W$65),"Misc")</f>
        <v>Misc</v>
      </c>
      <c r="P1909" t="str" cm="1">
        <f t="array" ref="P1909">IFERROR(LOOKUP(2,1/SEARCH($Y$2:$Y$65,G1909),$Z$2:$Z$65),"Not Defined")</f>
        <v>Retaining Rings</v>
      </c>
      <c r="Q1909" t="str" cm="1">
        <f t="array" ref="Q1909">IFERROR(LOOKUP(2,1/SEARCH($S$2:$S$65,H1909),$T$2:$T$65),"-")</f>
        <v>COTS</v>
      </c>
    </row>
    <row r="1910" spans="1:17" x14ac:dyDescent="0.25">
      <c r="A1910" t="s">
        <v>7675</v>
      </c>
      <c r="B1910" t="s">
        <v>5015</v>
      </c>
      <c r="C1910">
        <v>1</v>
      </c>
      <c r="D1910" t="s">
        <v>7518</v>
      </c>
      <c r="F1910" t="s">
        <v>5016</v>
      </c>
      <c r="G1910" t="s">
        <v>7520</v>
      </c>
      <c r="H1910" t="s">
        <v>5017</v>
      </c>
      <c r="I1910" t="s">
        <v>255</v>
      </c>
      <c r="J1910" t="s">
        <v>7703</v>
      </c>
      <c r="K1910" t="s">
        <v>7729</v>
      </c>
      <c r="L1910" t="s">
        <v>7677</v>
      </c>
      <c r="N1910" t="str" cm="1">
        <f t="array" ref="N1910">IFERROR(LOOKUP(2,1/SEARCH($S$2:$S$65,G1910),$T$2:$T$65),"Misc")</f>
        <v>COTS</v>
      </c>
      <c r="O1910" t="str" cm="1">
        <f t="array" ref="O1910">IFERROR(LOOKUP(2,1/SEARCH($V$2:$V$65,G1910),$W$2:$W$65),"Misc")</f>
        <v>knob</v>
      </c>
      <c r="P1910" t="str" cm="1">
        <f t="array" ref="P1910">IFERROR(LOOKUP(2,1/SEARCH($Y$2:$Y$65,G1910),$Z$2:$Z$65),"Not Defined")</f>
        <v>SWITCH</v>
      </c>
      <c r="Q1910" t="str" cm="1">
        <f t="array" ref="Q1910">IFERROR(LOOKUP(2,1/SEARCH($S$2:$S$65,H1910),$T$2:$T$65),"-")</f>
        <v>COTS</v>
      </c>
    </row>
    <row r="1911" spans="1:17" x14ac:dyDescent="0.25">
      <c r="A1911" t="s">
        <v>7675</v>
      </c>
      <c r="B1911" t="s">
        <v>5018</v>
      </c>
      <c r="C1911">
        <v>4</v>
      </c>
      <c r="D1911" t="s">
        <v>7518</v>
      </c>
      <c r="F1911" t="s">
        <v>519</v>
      </c>
      <c r="G1911" t="s">
        <v>7097</v>
      </c>
      <c r="H1911" t="s">
        <v>520</v>
      </c>
      <c r="I1911" t="s">
        <v>228</v>
      </c>
      <c r="J1911" t="s">
        <v>7703</v>
      </c>
      <c r="K1911" t="s">
        <v>7684</v>
      </c>
      <c r="L1911" t="s">
        <v>7693</v>
      </c>
      <c r="N1911" t="str" cm="1">
        <f t="array" ref="N1911">IFERROR(LOOKUP(2,1/SEARCH($S$2:$S$65,G1911),$T$2:$T$65),"Misc")</f>
        <v>COTS</v>
      </c>
      <c r="O1911" t="str" cm="1">
        <f t="array" ref="O1911">IFERROR(LOOKUP(2,1/SEARCH($V$2:$V$65,G1911),$W$2:$W$65),"Misc")</f>
        <v>Fasteners</v>
      </c>
      <c r="P1911" t="str" cm="1">
        <f t="array" ref="P1911">IFERROR(LOOKUP(2,1/SEARCH($Y$2:$Y$65,G1911),$Z$2:$Z$65),"Not Defined")</f>
        <v>PHS</v>
      </c>
      <c r="Q1911" t="str" cm="1">
        <f t="array" ref="Q1911">IFERROR(LOOKUP(2,1/SEARCH($S$2:$S$65,H1911),$T$2:$T$65),"-")</f>
        <v>COTS</v>
      </c>
    </row>
    <row r="1912" spans="1:17" x14ac:dyDescent="0.25">
      <c r="A1912" t="s">
        <v>7675</v>
      </c>
      <c r="B1912" t="s">
        <v>5019</v>
      </c>
      <c r="C1912">
        <v>1</v>
      </c>
      <c r="D1912" t="s">
        <v>7518</v>
      </c>
      <c r="F1912" t="s">
        <v>941</v>
      </c>
      <c r="G1912" t="s">
        <v>7136</v>
      </c>
      <c r="H1912" t="s">
        <v>942</v>
      </c>
      <c r="I1912" t="s">
        <v>210</v>
      </c>
      <c r="J1912" t="s">
        <v>7703</v>
      </c>
      <c r="K1912" t="s">
        <v>7684</v>
      </c>
      <c r="L1912" t="s">
        <v>7685</v>
      </c>
      <c r="N1912" t="str" cm="1">
        <f t="array" ref="N1912">IFERROR(LOOKUP(2,1/SEARCH($S$2:$S$65,G1912),$T$2:$T$65),"Misc")</f>
        <v>COTS</v>
      </c>
      <c r="O1912" t="str" cm="1">
        <f t="array" ref="O1912">IFERROR(LOOKUP(2,1/SEARCH($V$2:$V$65,G1912),$W$2:$W$65),"Misc")</f>
        <v>Fasteners</v>
      </c>
      <c r="P1912" t="str" cm="1">
        <f t="array" ref="P1912">IFERROR(LOOKUP(2,1/SEARCH($Y$2:$Y$65,G1912),$Z$2:$Z$65),"Not Defined")</f>
        <v>NUT</v>
      </c>
      <c r="Q1912" t="str" cm="1">
        <f t="array" ref="Q1912">IFERROR(LOOKUP(2,1/SEARCH($S$2:$S$65,H1912),$T$2:$T$65),"-")</f>
        <v>COTS</v>
      </c>
    </row>
    <row r="1913" spans="1:17" x14ac:dyDescent="0.25">
      <c r="A1913" t="s">
        <v>7675</v>
      </c>
      <c r="B1913" t="s">
        <v>5020</v>
      </c>
      <c r="C1913">
        <v>4</v>
      </c>
      <c r="D1913" t="s">
        <v>7518</v>
      </c>
      <c r="F1913" t="s">
        <v>580</v>
      </c>
      <c r="G1913" t="s">
        <v>7105</v>
      </c>
      <c r="H1913" t="s">
        <v>581</v>
      </c>
      <c r="I1913" t="s">
        <v>210</v>
      </c>
      <c r="J1913" t="s">
        <v>7703</v>
      </c>
      <c r="K1913" t="s">
        <v>7684</v>
      </c>
      <c r="L1913" t="s">
        <v>7691</v>
      </c>
      <c r="N1913" t="str" cm="1">
        <f t="array" ref="N1913">IFERROR(LOOKUP(2,1/SEARCH($S$2:$S$65,G1913),$T$2:$T$65),"Misc")</f>
        <v>COTS</v>
      </c>
      <c r="O1913" t="str" cm="1">
        <f t="array" ref="O1913">IFERROR(LOOKUP(2,1/SEARCH($V$2:$V$65,G1913),$W$2:$W$65),"Misc")</f>
        <v>Fasteners</v>
      </c>
      <c r="P1913" t="str" cm="1">
        <f t="array" ref="P1913">IFERROR(LOOKUP(2,1/SEARCH($Y$2:$Y$65,G1913),$Z$2:$Z$65),"Not Defined")</f>
        <v>FHS</v>
      </c>
      <c r="Q1913" t="str" cm="1">
        <f t="array" ref="Q1913">IFERROR(LOOKUP(2,1/SEARCH($S$2:$S$65,H1913),$T$2:$T$65),"-")</f>
        <v>COTS</v>
      </c>
    </row>
    <row r="1914" spans="1:17" hidden="1" x14ac:dyDescent="0.25">
      <c r="A1914" t="s">
        <v>7675</v>
      </c>
      <c r="B1914" t="s">
        <v>5021</v>
      </c>
      <c r="C1914">
        <v>1</v>
      </c>
      <c r="D1914" t="s">
        <v>7518</v>
      </c>
      <c r="E1914" t="s">
        <v>7521</v>
      </c>
      <c r="F1914" t="s">
        <v>5022</v>
      </c>
      <c r="G1914" t="s">
        <v>7521</v>
      </c>
      <c r="H1914" t="s">
        <v>5023</v>
      </c>
      <c r="J1914" t="s">
        <v>7744</v>
      </c>
      <c r="K1914" t="s">
        <v>7826</v>
      </c>
      <c r="L1914" t="s">
        <v>7826</v>
      </c>
      <c r="N1914" t="str" cm="1">
        <f t="array" ref="N1914">IFERROR(LOOKUP(2,1/SEARCH($S$2:$S$65,G1914),$T$2:$T$65),"Misc")</f>
        <v>OH Common</v>
      </c>
      <c r="O1914" t="str" cm="1">
        <f t="array" ref="O1914">IFERROR(LOOKUP(2,1/SEARCH($V$2:$V$65,G1914),$W$2:$W$65),"Misc")</f>
        <v>OH Part</v>
      </c>
      <c r="P1914" t="str" cm="1">
        <f t="array" ref="P1914">IFERROR(LOOKUP(2,1/SEARCH($Y$2:$Y$65,G1914),$Z$2:$Z$65),"Not Defined")</f>
        <v>OH Part</v>
      </c>
      <c r="Q1914" t="str" cm="1">
        <f t="array" ref="Q1914">IFERROR(LOOKUP(2,1/SEARCH($S$2:$S$65,H1914),$T$2:$T$65),"-")</f>
        <v>OH ASSY</v>
      </c>
    </row>
    <row r="1915" spans="1:17" hidden="1" x14ac:dyDescent="0.25">
      <c r="A1915" t="s">
        <v>7675</v>
      </c>
      <c r="B1915" t="s">
        <v>5024</v>
      </c>
      <c r="C1915">
        <v>1</v>
      </c>
      <c r="D1915" t="s">
        <v>7518</v>
      </c>
      <c r="E1915" t="s">
        <v>7521</v>
      </c>
      <c r="F1915" t="s">
        <v>5025</v>
      </c>
      <c r="G1915" t="s">
        <v>5027</v>
      </c>
      <c r="H1915" t="s">
        <v>5026</v>
      </c>
      <c r="I1915" t="s">
        <v>358</v>
      </c>
      <c r="J1915" t="s">
        <v>7744</v>
      </c>
      <c r="K1915" t="s">
        <v>7826</v>
      </c>
      <c r="L1915" t="s">
        <v>7826</v>
      </c>
      <c r="N1915" t="str" cm="1">
        <f t="array" ref="N1915">IFERROR(LOOKUP(2,1/SEARCH($S$2:$S$65,G1915),$T$2:$T$65),"Misc")</f>
        <v>OH Common</v>
      </c>
      <c r="O1915" t="str" cm="1">
        <f t="array" ref="O1915">IFERROR(LOOKUP(2,1/SEARCH($V$2:$V$65,G1915),$W$2:$W$65),"Misc")</f>
        <v>OH Part</v>
      </c>
      <c r="P1915" t="str" cm="1">
        <f t="array" ref="P1915">IFERROR(LOOKUP(2,1/SEARCH($Y$2:$Y$65,G1915),$Z$2:$Z$65),"Not Defined")</f>
        <v>OH Part</v>
      </c>
      <c r="Q1915" t="str" cm="1">
        <f t="array" ref="Q1915">IFERROR(LOOKUP(2,1/SEARCH($S$2:$S$65,H1915),$T$2:$T$65),"-")</f>
        <v>-</v>
      </c>
    </row>
    <row r="1916" spans="1:17" hidden="1" x14ac:dyDescent="0.25">
      <c r="A1916" t="s">
        <v>7675</v>
      </c>
      <c r="B1916" t="s">
        <v>5028</v>
      </c>
      <c r="C1916">
        <v>3</v>
      </c>
      <c r="D1916" t="s">
        <v>7518</v>
      </c>
      <c r="E1916" t="s">
        <v>7521</v>
      </c>
      <c r="F1916" t="s">
        <v>1551</v>
      </c>
      <c r="G1916" t="s">
        <v>7225</v>
      </c>
      <c r="H1916" t="s">
        <v>1552</v>
      </c>
      <c r="I1916" t="s">
        <v>228</v>
      </c>
      <c r="J1916" t="s">
        <v>7703</v>
      </c>
      <c r="K1916" t="s">
        <v>7684</v>
      </c>
      <c r="L1916" t="s">
        <v>7721</v>
      </c>
      <c r="N1916" t="str" cm="1">
        <f t="array" ref="N1916">IFERROR(LOOKUP(2,1/SEARCH($S$2:$S$65,G1916),$T$2:$T$65),"Misc")</f>
        <v>COTS</v>
      </c>
      <c r="O1916" t="str" cm="1">
        <f t="array" ref="O1916">IFERROR(LOOKUP(2,1/SEARCH($V$2:$V$65,G1916),$W$2:$W$65),"Misc")</f>
        <v>Fasteners</v>
      </c>
      <c r="P1916" t="str" cm="1">
        <f t="array" ref="P1916">IFERROR(LOOKUP(2,1/SEARCH($Y$2:$Y$65,G1916),$Z$2:$Z$65),"Not Defined")</f>
        <v>SET SCREW</v>
      </c>
      <c r="Q1916" t="str" cm="1">
        <f t="array" ref="Q1916">IFERROR(LOOKUP(2,1/SEARCH($S$2:$S$65,H1916),$T$2:$T$65),"-")</f>
        <v>COTS</v>
      </c>
    </row>
    <row r="1917" spans="1:17" x14ac:dyDescent="0.25">
      <c r="A1917" t="s">
        <v>7675</v>
      </c>
      <c r="B1917" t="s">
        <v>5029</v>
      </c>
      <c r="C1917">
        <v>3</v>
      </c>
      <c r="D1917" t="s">
        <v>7518</v>
      </c>
      <c r="F1917" t="s">
        <v>577</v>
      </c>
      <c r="G1917" t="s">
        <v>7104</v>
      </c>
      <c r="H1917" t="s">
        <v>578</v>
      </c>
      <c r="I1917" t="s">
        <v>299</v>
      </c>
      <c r="J1917" t="s">
        <v>7703</v>
      </c>
      <c r="K1917" t="s">
        <v>7684</v>
      </c>
      <c r="L1917" t="s">
        <v>7708</v>
      </c>
      <c r="N1917" t="str" cm="1">
        <f t="array" ref="N1917">IFERROR(LOOKUP(2,1/SEARCH($S$2:$S$65,G1917),$T$2:$T$65),"Misc")</f>
        <v>COTS</v>
      </c>
      <c r="O1917" t="str" cm="1">
        <f t="array" ref="O1917">IFERROR(LOOKUP(2,1/SEARCH($V$2:$V$65,G1917),$W$2:$W$65),"Misc")</f>
        <v>Fasteners</v>
      </c>
      <c r="P1917" t="str" cm="1">
        <f t="array" ref="P1917">IFERROR(LOOKUP(2,1/SEARCH($Y$2:$Y$65,G1917),$Z$2:$Z$65),"Not Defined")</f>
        <v>STANDOFF</v>
      </c>
      <c r="Q1917" t="str" cm="1">
        <f t="array" ref="Q1917">IFERROR(LOOKUP(2,1/SEARCH($S$2:$S$65,H1917),$T$2:$T$65),"-")</f>
        <v>COTS</v>
      </c>
    </row>
    <row r="1918" spans="1:17" x14ac:dyDescent="0.25">
      <c r="A1918" t="s">
        <v>7675</v>
      </c>
      <c r="B1918" t="s">
        <v>5030</v>
      </c>
      <c r="C1918">
        <v>3</v>
      </c>
      <c r="D1918" t="s">
        <v>7518</v>
      </c>
      <c r="F1918" t="s">
        <v>1541</v>
      </c>
      <c r="G1918" t="s">
        <v>7223</v>
      </c>
      <c r="H1918" t="s">
        <v>1542</v>
      </c>
      <c r="I1918" t="s">
        <v>210</v>
      </c>
      <c r="J1918" t="s">
        <v>7703</v>
      </c>
      <c r="K1918" t="s">
        <v>7684</v>
      </c>
      <c r="L1918" t="s">
        <v>7693</v>
      </c>
      <c r="N1918" t="str" cm="1">
        <f t="array" ref="N1918">IFERROR(LOOKUP(2,1/SEARCH($S$2:$S$65,G1918),$T$2:$T$65),"Misc")</f>
        <v>COTS</v>
      </c>
      <c r="O1918" t="str" cm="1">
        <f t="array" ref="O1918">IFERROR(LOOKUP(2,1/SEARCH($V$2:$V$65,G1918),$W$2:$W$65),"Misc")</f>
        <v>Fasteners</v>
      </c>
      <c r="P1918" t="str" cm="1">
        <f t="array" ref="P1918">IFERROR(LOOKUP(2,1/SEARCH($Y$2:$Y$65,G1918),$Z$2:$Z$65),"Not Defined")</f>
        <v>PHS</v>
      </c>
      <c r="Q1918" t="str" cm="1">
        <f t="array" ref="Q1918">IFERROR(LOOKUP(2,1/SEARCH($S$2:$S$65,H1918),$T$2:$T$65),"-")</f>
        <v>COTS</v>
      </c>
    </row>
    <row r="1919" spans="1:17" x14ac:dyDescent="0.25">
      <c r="A1919" t="s">
        <v>7675</v>
      </c>
      <c r="B1919" t="s">
        <v>5031</v>
      </c>
      <c r="C1919">
        <v>1</v>
      </c>
      <c r="D1919" t="s">
        <v>7518</v>
      </c>
      <c r="F1919" t="s">
        <v>5032</v>
      </c>
      <c r="G1919" t="s">
        <v>5034</v>
      </c>
      <c r="H1919" t="s">
        <v>5033</v>
      </c>
      <c r="I1919" t="s">
        <v>293</v>
      </c>
      <c r="J1919" t="s">
        <v>7682</v>
      </c>
      <c r="K1919" t="s">
        <v>7826</v>
      </c>
      <c r="L1919" t="s">
        <v>7826</v>
      </c>
      <c r="N1919" t="str" cm="1">
        <f t="array" ref="N1919">IFERROR(LOOKUP(2,1/SEARCH($S$2:$S$65,G1919),$T$2:$T$65),"Misc")</f>
        <v>OH P/N</v>
      </c>
      <c r="O1919" t="str" cm="1">
        <f t="array" ref="O1919">IFERROR(LOOKUP(2,1/SEARCH($V$2:$V$65,G1919),$W$2:$W$65),"Misc")</f>
        <v>OH Part</v>
      </c>
      <c r="P1919" t="str" cm="1">
        <f t="array" ref="P1919">IFERROR(LOOKUP(2,1/SEARCH($Y$2:$Y$65,G1919),$Z$2:$Z$65),"Not Defined")</f>
        <v>OH Part</v>
      </c>
      <c r="Q1919" t="str" cm="1">
        <f t="array" ref="Q1919">IFERROR(LOOKUP(2,1/SEARCH($S$2:$S$65,H1919),$T$2:$T$65),"-")</f>
        <v>ABSIS</v>
      </c>
    </row>
    <row r="1920" spans="1:17" x14ac:dyDescent="0.25">
      <c r="A1920" t="s">
        <v>7675</v>
      </c>
      <c r="B1920" t="s">
        <v>5035</v>
      </c>
      <c r="C1920">
        <v>4</v>
      </c>
      <c r="D1920" t="s">
        <v>7518</v>
      </c>
      <c r="F1920" t="s">
        <v>583</v>
      </c>
      <c r="G1920" t="s">
        <v>7106</v>
      </c>
      <c r="H1920" t="s">
        <v>584</v>
      </c>
      <c r="I1920" t="s">
        <v>299</v>
      </c>
      <c r="J1920" t="s">
        <v>7703</v>
      </c>
      <c r="K1920" t="s">
        <v>7684</v>
      </c>
      <c r="L1920" t="s">
        <v>7708</v>
      </c>
      <c r="N1920" t="str" cm="1">
        <f t="array" ref="N1920">IFERROR(LOOKUP(2,1/SEARCH($S$2:$S$65,G1920),$T$2:$T$65),"Misc")</f>
        <v>COTS</v>
      </c>
      <c r="O1920" t="str" cm="1">
        <f t="array" ref="O1920">IFERROR(LOOKUP(2,1/SEARCH($V$2:$V$65,G1920),$W$2:$W$65),"Misc")</f>
        <v>Fasteners</v>
      </c>
      <c r="P1920" t="str" cm="1">
        <f t="array" ref="P1920">IFERROR(LOOKUP(2,1/SEARCH($Y$2:$Y$65,G1920),$Z$2:$Z$65),"Not Defined")</f>
        <v>STANDOFF</v>
      </c>
      <c r="Q1920" t="str" cm="1">
        <f t="array" ref="Q1920">IFERROR(LOOKUP(2,1/SEARCH($S$2:$S$65,H1920),$T$2:$T$65),"-")</f>
        <v>COTS</v>
      </c>
    </row>
    <row r="1921" spans="1:17" x14ac:dyDescent="0.25">
      <c r="A1921" t="s">
        <v>7675</v>
      </c>
      <c r="B1921" t="s">
        <v>5036</v>
      </c>
      <c r="C1921">
        <v>8</v>
      </c>
      <c r="D1921" t="s">
        <v>7518</v>
      </c>
      <c r="F1921" t="s">
        <v>460</v>
      </c>
      <c r="G1921" t="s">
        <v>7090</v>
      </c>
      <c r="H1921" t="s">
        <v>461</v>
      </c>
      <c r="I1921" t="s">
        <v>224</v>
      </c>
      <c r="J1921" t="s">
        <v>7703</v>
      </c>
      <c r="K1921" t="s">
        <v>7684</v>
      </c>
      <c r="L1921" t="s">
        <v>7693</v>
      </c>
      <c r="N1921" t="str" cm="1">
        <f t="array" ref="N1921">IFERROR(LOOKUP(2,1/SEARCH($S$2:$S$65,G1921),$T$2:$T$65),"Misc")</f>
        <v>COTS</v>
      </c>
      <c r="O1921" t="str" cm="1">
        <f t="array" ref="O1921">IFERROR(LOOKUP(2,1/SEARCH($V$2:$V$65,G1921),$W$2:$W$65),"Misc")</f>
        <v>Fasteners</v>
      </c>
      <c r="P1921" t="str" cm="1">
        <f t="array" ref="P1921">IFERROR(LOOKUP(2,1/SEARCH($Y$2:$Y$65,G1921),$Z$2:$Z$65),"Not Defined")</f>
        <v>PHS</v>
      </c>
      <c r="Q1921" t="str" cm="1">
        <f t="array" ref="Q1921">IFERROR(LOOKUP(2,1/SEARCH($S$2:$S$65,H1921),$T$2:$T$65),"-")</f>
        <v>COTS</v>
      </c>
    </row>
    <row r="1922" spans="1:17" hidden="1" x14ac:dyDescent="0.25">
      <c r="A1922" t="s">
        <v>7675</v>
      </c>
      <c r="B1922" t="s">
        <v>5037</v>
      </c>
      <c r="C1922">
        <v>1</v>
      </c>
      <c r="D1922" t="s">
        <v>7518</v>
      </c>
      <c r="E1922" t="s">
        <v>614</v>
      </c>
      <c r="F1922" s="15" t="s">
        <v>613</v>
      </c>
      <c r="G1922" t="s">
        <v>7110</v>
      </c>
      <c r="H1922" t="s">
        <v>614</v>
      </c>
      <c r="I1922" t="s">
        <v>255</v>
      </c>
      <c r="J1922" t="s">
        <v>7815</v>
      </c>
      <c r="K1922" t="s">
        <v>7717</v>
      </c>
      <c r="L1922" t="s">
        <v>7717</v>
      </c>
      <c r="N1922" t="str" cm="1">
        <f t="array" ref="N1922">IFERROR(LOOKUP(2,1/SEARCH($S$2:$S$65,G1922),$T$2:$T$65),"Misc")</f>
        <v>OH ASSY</v>
      </c>
      <c r="O1922" t="str" cm="1">
        <f t="array" ref="O1922">IFERROR(LOOKUP(2,1/SEARCH($V$2:$V$65,G1922),$W$2:$W$65),"Misc")</f>
        <v>ABSIS</v>
      </c>
      <c r="P1922" t="str" cm="1">
        <f t="array" ref="P1922">IFERROR(LOOKUP(2,1/SEARCH($Y$2:$Y$65,G1922),$Z$2:$Z$65),"Not Defined")</f>
        <v>ABSIS</v>
      </c>
      <c r="Q1922" t="str" cm="1">
        <f t="array" ref="Q1922">IFERROR(LOOKUP(2,1/SEARCH($S$2:$S$65,H1922),$T$2:$T$65),"-")</f>
        <v>OH ASSY</v>
      </c>
    </row>
    <row r="1923" spans="1:17" hidden="1" x14ac:dyDescent="0.25">
      <c r="A1923" t="s">
        <v>7675</v>
      </c>
      <c r="B1923" t="s">
        <v>5038</v>
      </c>
      <c r="C1923">
        <v>1</v>
      </c>
      <c r="D1923" t="s">
        <v>7518</v>
      </c>
      <c r="E1923" t="s">
        <v>614</v>
      </c>
      <c r="F1923" s="4" t="s">
        <v>616</v>
      </c>
      <c r="G1923" t="s">
        <v>7111</v>
      </c>
      <c r="H1923" t="s">
        <v>617</v>
      </c>
      <c r="I1923" t="s">
        <v>255</v>
      </c>
      <c r="J1923" t="s">
        <v>7717</v>
      </c>
      <c r="K1923" t="s">
        <v>7717</v>
      </c>
      <c r="L1923" t="s">
        <v>7717</v>
      </c>
      <c r="N1923" t="str" cm="1">
        <f t="array" ref="N1923">IFERROR(LOOKUP(2,1/SEARCH($S$2:$S$65,G1923),$T$2:$T$65),"Misc")</f>
        <v>ABSIS</v>
      </c>
      <c r="O1923" t="str" cm="1">
        <f t="array" ref="O1923">IFERROR(LOOKUP(2,1/SEARCH($V$2:$V$65,G1923),$W$2:$W$65),"Misc")</f>
        <v>ABSIS</v>
      </c>
      <c r="P1923" t="str" cm="1">
        <f t="array" ref="P1923">IFERROR(LOOKUP(2,1/SEARCH($Y$2:$Y$65,G1923),$Z$2:$Z$65),"Not Defined")</f>
        <v>ABSIS</v>
      </c>
      <c r="Q1923" t="str" cm="1">
        <f t="array" ref="Q1923">IFERROR(LOOKUP(2,1/SEARCH($S$2:$S$65,H1923),$T$2:$T$65),"-")</f>
        <v>ABSIS</v>
      </c>
    </row>
    <row r="1924" spans="1:17" hidden="1" x14ac:dyDescent="0.25">
      <c r="A1924" t="s">
        <v>7675</v>
      </c>
      <c r="B1924" t="s">
        <v>5039</v>
      </c>
      <c r="C1924">
        <v>1</v>
      </c>
      <c r="D1924" t="s">
        <v>7518</v>
      </c>
      <c r="E1924" t="s">
        <v>614</v>
      </c>
      <c r="F1924" t="s">
        <v>596</v>
      </c>
      <c r="G1924" t="s">
        <v>7108</v>
      </c>
      <c r="H1924" t="s">
        <v>597</v>
      </c>
      <c r="I1924" t="s">
        <v>255</v>
      </c>
      <c r="J1924" t="s">
        <v>7703</v>
      </c>
      <c r="K1924" t="s">
        <v>7713</v>
      </c>
      <c r="L1924" t="s">
        <v>7713</v>
      </c>
      <c r="N1924" t="str" cm="1">
        <f t="array" ref="N1924">IFERROR(LOOKUP(2,1/SEARCH($S$2:$S$65,G1924),$T$2:$T$65),"Misc")</f>
        <v>COTS</v>
      </c>
      <c r="O1924" t="str" cm="1">
        <f t="array" ref="O1924">IFERROR(LOOKUP(2,1/SEARCH($V$2:$V$65,G1924),$W$2:$W$65),"Misc")</f>
        <v>ARDUINO</v>
      </c>
      <c r="P1924" t="str" cm="1">
        <f t="array" ref="P1924">IFERROR(LOOKUP(2,1/SEARCH($Y$2:$Y$65,G1924),$Z$2:$Z$65),"Not Defined")</f>
        <v>ARDUINO</v>
      </c>
      <c r="Q1924" t="str" cm="1">
        <f t="array" ref="Q1924">IFERROR(LOOKUP(2,1/SEARCH($S$2:$S$65,H1924),$T$2:$T$65),"-")</f>
        <v>COTS</v>
      </c>
    </row>
    <row r="1925" spans="1:17" hidden="1" x14ac:dyDescent="0.25">
      <c r="A1925" t="s">
        <v>7675</v>
      </c>
      <c r="B1925" s="2" t="s">
        <v>5040</v>
      </c>
      <c r="C1925">
        <v>1</v>
      </c>
      <c r="D1925" t="s">
        <v>7518</v>
      </c>
      <c r="E1925" t="s">
        <v>5042</v>
      </c>
      <c r="F1925" t="s">
        <v>5041</v>
      </c>
      <c r="G1925" t="s">
        <v>7522</v>
      </c>
      <c r="H1925" t="s">
        <v>5042</v>
      </c>
      <c r="J1925" t="s">
        <v>7682</v>
      </c>
      <c r="K1925" t="s">
        <v>7826</v>
      </c>
      <c r="L1925" t="s">
        <v>7826</v>
      </c>
      <c r="N1925" t="str" cm="1">
        <f t="array" ref="N1925">IFERROR(LOOKUP(2,1/SEARCH($S$2:$S$65,G1925),$T$2:$T$65),"Misc")</f>
        <v>OH P/N</v>
      </c>
      <c r="O1925" t="str" cm="1">
        <f t="array" ref="O1925">IFERROR(LOOKUP(2,1/SEARCH($V$2:$V$65,G1925),$W$2:$W$65),"Misc")</f>
        <v>OH Part</v>
      </c>
      <c r="P1925" t="str" cm="1">
        <f t="array" ref="P1925">IFERROR(LOOKUP(2,1/SEARCH($Y$2:$Y$65,G1925),$Z$2:$Z$65),"Not Defined")</f>
        <v>OH Part</v>
      </c>
      <c r="Q1925" t="str" cm="1">
        <f t="array" ref="Q1925">IFERROR(LOOKUP(2,1/SEARCH($S$2:$S$65,H1925),$T$2:$T$65),"-")</f>
        <v>-</v>
      </c>
    </row>
    <row r="1926" spans="1:17" hidden="1" x14ac:dyDescent="0.25">
      <c r="A1926" t="s">
        <v>7675</v>
      </c>
      <c r="B1926" s="2" t="s">
        <v>5043</v>
      </c>
      <c r="C1926">
        <v>1</v>
      </c>
      <c r="D1926" t="s">
        <v>7518</v>
      </c>
      <c r="E1926" t="s">
        <v>7924</v>
      </c>
      <c r="F1926" t="s">
        <v>5044</v>
      </c>
      <c r="G1926" t="s">
        <v>5046</v>
      </c>
      <c r="H1926" t="s">
        <v>5045</v>
      </c>
      <c r="J1926" t="s">
        <v>7742</v>
      </c>
      <c r="K1926" t="s">
        <v>7826</v>
      </c>
      <c r="L1926" t="s">
        <v>7826</v>
      </c>
      <c r="N1926" t="str" cm="1">
        <f t="array" ref="N1926">IFERROR(LOOKUP(2,1/SEARCH($S$2:$S$65,G1926),$T$2:$T$65),"Misc")</f>
        <v>OH ASSY</v>
      </c>
      <c r="O1926" t="str" cm="1">
        <f t="array" ref="O1926">IFERROR(LOOKUP(2,1/SEARCH($V$2:$V$65,G1926),$W$2:$W$65),"Misc")</f>
        <v>OH Part</v>
      </c>
      <c r="P1926" t="str" cm="1">
        <f t="array" ref="P1926">IFERROR(LOOKUP(2,1/SEARCH($Y$2:$Y$65,G1926),$Z$2:$Z$65),"Not Defined")</f>
        <v>OH Part</v>
      </c>
      <c r="Q1926" t="str" cm="1">
        <f t="array" ref="Q1926">IFERROR(LOOKUP(2,1/SEARCH($S$2:$S$65,H1926),$T$2:$T$65),"-")</f>
        <v>OH ASSY</v>
      </c>
    </row>
    <row r="1927" spans="1:17" hidden="1" x14ac:dyDescent="0.25">
      <c r="A1927" t="s">
        <v>7675</v>
      </c>
      <c r="B1927" s="2" t="s">
        <v>5047</v>
      </c>
      <c r="C1927">
        <v>1</v>
      </c>
      <c r="D1927" t="s">
        <v>7518</v>
      </c>
      <c r="E1927" t="s">
        <v>7924</v>
      </c>
      <c r="F1927" t="s">
        <v>5048</v>
      </c>
      <c r="G1927" t="s">
        <v>5050</v>
      </c>
      <c r="H1927" t="s">
        <v>5049</v>
      </c>
      <c r="I1927" t="s">
        <v>994</v>
      </c>
      <c r="J1927" t="s">
        <v>7682</v>
      </c>
      <c r="K1927" t="s">
        <v>7826</v>
      </c>
      <c r="L1927" t="s">
        <v>7826</v>
      </c>
      <c r="N1927" t="str" cm="1">
        <f t="array" ref="N1927">IFERROR(LOOKUP(2,1/SEARCH($S$2:$S$65,G1927),$T$2:$T$65),"Misc")</f>
        <v>OH P/N</v>
      </c>
      <c r="O1927" t="str" cm="1">
        <f t="array" ref="O1927">IFERROR(LOOKUP(2,1/SEARCH($V$2:$V$65,G1927),$W$2:$W$65),"Misc")</f>
        <v>OH Part</v>
      </c>
      <c r="P1927" t="str" cm="1">
        <f t="array" ref="P1927">IFERROR(LOOKUP(2,1/SEARCH($Y$2:$Y$65,G1927),$Z$2:$Z$65),"Not Defined")</f>
        <v>OH Part</v>
      </c>
      <c r="Q1927" t="str" cm="1">
        <f t="array" ref="Q1927">IFERROR(LOOKUP(2,1/SEARCH($S$2:$S$65,H1927),$T$2:$T$65),"-")</f>
        <v>COTS</v>
      </c>
    </row>
    <row r="1928" spans="1:17" hidden="1" x14ac:dyDescent="0.25">
      <c r="A1928" t="s">
        <v>7675</v>
      </c>
      <c r="B1928" s="2" t="s">
        <v>5051</v>
      </c>
      <c r="C1928">
        <v>8</v>
      </c>
      <c r="D1928" t="s">
        <v>7518</v>
      </c>
      <c r="E1928" t="s">
        <v>7924</v>
      </c>
      <c r="F1928" t="s">
        <v>265</v>
      </c>
      <c r="G1928" t="s">
        <v>7099</v>
      </c>
      <c r="H1928" t="s">
        <v>266</v>
      </c>
      <c r="I1928" t="s">
        <v>224</v>
      </c>
      <c r="J1928" t="s">
        <v>7703</v>
      </c>
      <c r="K1928" t="s">
        <v>7684</v>
      </c>
      <c r="L1928" t="s">
        <v>7687</v>
      </c>
      <c r="N1928" t="str" cm="1">
        <f t="array" ref="N1928">IFERROR(LOOKUP(2,1/SEARCH($S$2:$S$65,G1928),$T$2:$T$65),"Misc")</f>
        <v>COTS</v>
      </c>
      <c r="O1928" t="str" cm="1">
        <f t="array" ref="O1928">IFERROR(LOOKUP(2,1/SEARCH($V$2:$V$65,G1928),$W$2:$W$65),"Misc")</f>
        <v>Fasteners</v>
      </c>
      <c r="P1928" t="str" cm="1">
        <f t="array" ref="P1928">IFERROR(LOOKUP(2,1/SEARCH($Y$2:$Y$65,G1928),$Z$2:$Z$65),"Not Defined")</f>
        <v>INSERT</v>
      </c>
      <c r="Q1928" t="str" cm="1">
        <f t="array" ref="Q1928">IFERROR(LOOKUP(2,1/SEARCH($S$2:$S$65,H1928),$T$2:$T$65),"-")</f>
        <v>COTS</v>
      </c>
    </row>
    <row r="1929" spans="1:17" hidden="1" x14ac:dyDescent="0.25">
      <c r="A1929" t="s">
        <v>7675</v>
      </c>
      <c r="B1929" s="2" t="s">
        <v>5052</v>
      </c>
      <c r="C1929">
        <v>1</v>
      </c>
      <c r="D1929" t="s">
        <v>7518</v>
      </c>
      <c r="E1929" t="s">
        <v>7924</v>
      </c>
      <c r="F1929" t="s">
        <v>5053</v>
      </c>
      <c r="G1929" t="s">
        <v>7523</v>
      </c>
      <c r="H1929" t="s">
        <v>5054</v>
      </c>
      <c r="I1929" t="s">
        <v>929</v>
      </c>
      <c r="J1929" t="s">
        <v>7703</v>
      </c>
      <c r="K1929" t="s">
        <v>7683</v>
      </c>
      <c r="L1929" t="s">
        <v>7683</v>
      </c>
      <c r="N1929" t="str" cm="1">
        <f t="array" ref="N1929">IFERROR(LOOKUP(2,1/SEARCH($S$2:$S$65,G1929),$T$2:$T$65),"Misc")</f>
        <v>COTS</v>
      </c>
      <c r="O1929" t="str" cm="1">
        <f t="array" ref="O1929">IFERROR(LOOKUP(2,1/SEARCH($V$2:$V$65,G1929),$W$2:$W$65),"Misc")</f>
        <v>BEARING</v>
      </c>
      <c r="P1929" t="str" cm="1">
        <f t="array" ref="P1929">IFERROR(LOOKUP(2,1/SEARCH($Y$2:$Y$65,G1929),$Z$2:$Z$65),"Not Defined")</f>
        <v>BEARING</v>
      </c>
      <c r="Q1929" t="str" cm="1">
        <f t="array" ref="Q1929">IFERROR(LOOKUP(2,1/SEARCH($S$2:$S$65,H1929),$T$2:$T$65),"-")</f>
        <v>COTS</v>
      </c>
    </row>
    <row r="1930" spans="1:17" hidden="1" x14ac:dyDescent="0.25">
      <c r="A1930" t="s">
        <v>7675</v>
      </c>
      <c r="B1930" s="2" t="s">
        <v>5055</v>
      </c>
      <c r="C1930">
        <v>1</v>
      </c>
      <c r="D1930" t="s">
        <v>7518</v>
      </c>
      <c r="E1930" t="s">
        <v>7925</v>
      </c>
      <c r="F1930" t="s">
        <v>5056</v>
      </c>
      <c r="G1930" t="s">
        <v>5058</v>
      </c>
      <c r="H1930" t="s">
        <v>5057</v>
      </c>
      <c r="J1930" t="s">
        <v>7742</v>
      </c>
      <c r="K1930" t="s">
        <v>7826</v>
      </c>
      <c r="L1930" t="s">
        <v>7826</v>
      </c>
      <c r="N1930" t="str" cm="1">
        <f t="array" ref="N1930">IFERROR(LOOKUP(2,1/SEARCH($S$2:$S$65,G1930),$T$2:$T$65),"Misc")</f>
        <v>OH ASSY</v>
      </c>
      <c r="O1930" t="str" cm="1">
        <f t="array" ref="O1930">IFERROR(LOOKUP(2,1/SEARCH($V$2:$V$65,G1930),$W$2:$W$65),"Misc")</f>
        <v>OH Part</v>
      </c>
      <c r="P1930" t="str" cm="1">
        <f t="array" ref="P1930">IFERROR(LOOKUP(2,1/SEARCH($Y$2:$Y$65,G1930),$Z$2:$Z$65),"Not Defined")</f>
        <v>OH Part</v>
      </c>
      <c r="Q1930" t="str" cm="1">
        <f t="array" ref="Q1930">IFERROR(LOOKUP(2,1/SEARCH($S$2:$S$65,H1930),$T$2:$T$65),"-")</f>
        <v>OH ASSY</v>
      </c>
    </row>
    <row r="1931" spans="1:17" hidden="1" x14ac:dyDescent="0.25">
      <c r="A1931" t="s">
        <v>7675</v>
      </c>
      <c r="B1931" s="2" t="s">
        <v>5059</v>
      </c>
      <c r="C1931">
        <v>1</v>
      </c>
      <c r="D1931" t="s">
        <v>7518</v>
      </c>
      <c r="E1931" t="s">
        <v>7925</v>
      </c>
      <c r="F1931" t="s">
        <v>5060</v>
      </c>
      <c r="G1931" t="s">
        <v>5062</v>
      </c>
      <c r="H1931" t="s">
        <v>5061</v>
      </c>
      <c r="I1931" t="s">
        <v>994</v>
      </c>
      <c r="J1931" t="s">
        <v>7682</v>
      </c>
      <c r="K1931" t="s">
        <v>7826</v>
      </c>
      <c r="L1931" t="s">
        <v>7826</v>
      </c>
      <c r="N1931" t="str" cm="1">
        <f t="array" ref="N1931">IFERROR(LOOKUP(2,1/SEARCH($S$2:$S$65,G1931),$T$2:$T$65),"Misc")</f>
        <v>OH P/N</v>
      </c>
      <c r="O1931" t="str" cm="1">
        <f t="array" ref="O1931">IFERROR(LOOKUP(2,1/SEARCH($V$2:$V$65,G1931),$W$2:$W$65),"Misc")</f>
        <v>OH Part</v>
      </c>
      <c r="P1931" t="str" cm="1">
        <f t="array" ref="P1931">IFERROR(LOOKUP(2,1/SEARCH($Y$2:$Y$65,G1931),$Z$2:$Z$65),"Not Defined")</f>
        <v>OH Part</v>
      </c>
      <c r="Q1931" t="str" cm="1">
        <f t="array" ref="Q1931">IFERROR(LOOKUP(2,1/SEARCH($S$2:$S$65,H1931),$T$2:$T$65),"-")</f>
        <v>-</v>
      </c>
    </row>
    <row r="1932" spans="1:17" hidden="1" x14ac:dyDescent="0.25">
      <c r="A1932" t="s">
        <v>7675</v>
      </c>
      <c r="B1932" s="2" t="s">
        <v>5063</v>
      </c>
      <c r="C1932">
        <v>1</v>
      </c>
      <c r="D1932" t="s">
        <v>7518</v>
      </c>
      <c r="E1932" t="s">
        <v>7925</v>
      </c>
      <c r="F1932" t="s">
        <v>5053</v>
      </c>
      <c r="G1932" t="s">
        <v>7523</v>
      </c>
      <c r="H1932" t="s">
        <v>5054</v>
      </c>
      <c r="I1932" t="s">
        <v>929</v>
      </c>
      <c r="J1932" t="s">
        <v>7703</v>
      </c>
      <c r="K1932" t="s">
        <v>7683</v>
      </c>
      <c r="L1932" t="s">
        <v>7683</v>
      </c>
      <c r="N1932" t="str" cm="1">
        <f t="array" ref="N1932">IFERROR(LOOKUP(2,1/SEARCH($S$2:$S$65,G1932),$T$2:$T$65),"Misc")</f>
        <v>COTS</v>
      </c>
      <c r="O1932" t="str" cm="1">
        <f t="array" ref="O1932">IFERROR(LOOKUP(2,1/SEARCH($V$2:$V$65,G1932),$W$2:$W$65),"Misc")</f>
        <v>BEARING</v>
      </c>
      <c r="P1932" t="str" cm="1">
        <f t="array" ref="P1932">IFERROR(LOOKUP(2,1/SEARCH($Y$2:$Y$65,G1932),$Z$2:$Z$65),"Not Defined")</f>
        <v>BEARING</v>
      </c>
      <c r="Q1932" t="str" cm="1">
        <f t="array" ref="Q1932">IFERROR(LOOKUP(2,1/SEARCH($S$2:$S$65,H1932),$T$2:$T$65),"-")</f>
        <v>COTS</v>
      </c>
    </row>
    <row r="1933" spans="1:17" hidden="1" x14ac:dyDescent="0.25">
      <c r="A1933" t="s">
        <v>7675</v>
      </c>
      <c r="B1933" s="2" t="s">
        <v>5064</v>
      </c>
      <c r="C1933">
        <v>1</v>
      </c>
      <c r="D1933" t="s">
        <v>7518</v>
      </c>
      <c r="E1933" t="s">
        <v>7925</v>
      </c>
      <c r="F1933" t="s">
        <v>5065</v>
      </c>
      <c r="G1933" t="s">
        <v>7524</v>
      </c>
      <c r="H1933" t="s">
        <v>5066</v>
      </c>
      <c r="I1933" t="s">
        <v>3477</v>
      </c>
      <c r="J1933" t="s">
        <v>7703</v>
      </c>
      <c r="K1933" t="s">
        <v>7683</v>
      </c>
      <c r="L1933" t="s">
        <v>7683</v>
      </c>
      <c r="N1933" t="str" cm="1">
        <f t="array" ref="N1933">IFERROR(LOOKUP(2,1/SEARCH($S$2:$S$65,G1933),$T$2:$T$65),"Misc")</f>
        <v>COTS</v>
      </c>
      <c r="O1933" t="str" cm="1">
        <f t="array" ref="O1933">IFERROR(LOOKUP(2,1/SEARCH($V$2:$V$65,G1933),$W$2:$W$65),"Misc")</f>
        <v>BEARING</v>
      </c>
      <c r="P1933" t="str" cm="1">
        <f t="array" ref="P1933">IFERROR(LOOKUP(2,1/SEARCH($Y$2:$Y$65,G1933),$Z$2:$Z$65),"Not Defined")</f>
        <v>BEARING</v>
      </c>
      <c r="Q1933" t="str" cm="1">
        <f t="array" ref="Q1933">IFERROR(LOOKUP(2,1/SEARCH($S$2:$S$65,H1933),$T$2:$T$65),"-")</f>
        <v>COTS</v>
      </c>
    </row>
    <row r="1934" spans="1:17" hidden="1" x14ac:dyDescent="0.25">
      <c r="A1934" t="s">
        <v>7675</v>
      </c>
      <c r="B1934" s="2" t="s">
        <v>5067</v>
      </c>
      <c r="C1934">
        <v>1</v>
      </c>
      <c r="D1934" t="s">
        <v>7518</v>
      </c>
      <c r="E1934" t="s">
        <v>5042</v>
      </c>
      <c r="F1934" t="s">
        <v>5068</v>
      </c>
      <c r="G1934" t="s">
        <v>5070</v>
      </c>
      <c r="H1934" t="s">
        <v>5069</v>
      </c>
      <c r="I1934" t="s">
        <v>994</v>
      </c>
      <c r="J1934" t="s">
        <v>7682</v>
      </c>
      <c r="K1934" t="s">
        <v>7826</v>
      </c>
      <c r="L1934" t="s">
        <v>7826</v>
      </c>
      <c r="N1934" t="str" cm="1">
        <f t="array" ref="N1934">IFERROR(LOOKUP(2,1/SEARCH($S$2:$S$65,G1934),$T$2:$T$65),"Misc")</f>
        <v>OH P/N</v>
      </c>
      <c r="O1934" t="str" cm="1">
        <f t="array" ref="O1934">IFERROR(LOOKUP(2,1/SEARCH($V$2:$V$65,G1934),$W$2:$W$65),"Misc")</f>
        <v>OH Part</v>
      </c>
      <c r="P1934" t="str" cm="1">
        <f t="array" ref="P1934">IFERROR(LOOKUP(2,1/SEARCH($Y$2:$Y$65,G1934),$Z$2:$Z$65),"Not Defined")</f>
        <v>OH Part</v>
      </c>
      <c r="Q1934" t="str" cm="1">
        <f t="array" ref="Q1934">IFERROR(LOOKUP(2,1/SEARCH($S$2:$S$65,H1934),$T$2:$T$65),"-")</f>
        <v>COTS</v>
      </c>
    </row>
    <row r="1935" spans="1:17" hidden="1" x14ac:dyDescent="0.25">
      <c r="A1935" t="s">
        <v>7675</v>
      </c>
      <c r="B1935" s="2" t="s">
        <v>5071</v>
      </c>
      <c r="C1935">
        <v>1</v>
      </c>
      <c r="D1935" t="s">
        <v>7518</v>
      </c>
      <c r="E1935" t="s">
        <v>7926</v>
      </c>
      <c r="F1935" t="s">
        <v>5072</v>
      </c>
      <c r="G1935" t="s">
        <v>5074</v>
      </c>
      <c r="H1935" t="s">
        <v>5073</v>
      </c>
      <c r="J1935" t="s">
        <v>7742</v>
      </c>
      <c r="K1935" t="s">
        <v>7826</v>
      </c>
      <c r="L1935" t="s">
        <v>7826</v>
      </c>
      <c r="N1935" t="str" cm="1">
        <f t="array" ref="N1935">IFERROR(LOOKUP(2,1/SEARCH($S$2:$S$65,G1935),$T$2:$T$65),"Misc")</f>
        <v>OH ASSY</v>
      </c>
      <c r="O1935" t="str" cm="1">
        <f t="array" ref="O1935">IFERROR(LOOKUP(2,1/SEARCH($V$2:$V$65,G1935),$W$2:$W$65),"Misc")</f>
        <v>OH Part</v>
      </c>
      <c r="P1935" t="str" cm="1">
        <f t="array" ref="P1935">IFERROR(LOOKUP(2,1/SEARCH($Y$2:$Y$65,G1935),$Z$2:$Z$65),"Not Defined")</f>
        <v>OH Part</v>
      </c>
      <c r="Q1935" t="str" cm="1">
        <f t="array" ref="Q1935">IFERROR(LOOKUP(2,1/SEARCH($S$2:$S$65,H1935),$T$2:$T$65),"-")</f>
        <v>OH ASSY</v>
      </c>
    </row>
    <row r="1936" spans="1:17" hidden="1" x14ac:dyDescent="0.25">
      <c r="A1936" t="s">
        <v>7675</v>
      </c>
      <c r="B1936" s="2" t="s">
        <v>5075</v>
      </c>
      <c r="C1936">
        <v>1</v>
      </c>
      <c r="D1936" t="s">
        <v>7518</v>
      </c>
      <c r="E1936" t="s">
        <v>7926</v>
      </c>
      <c r="F1936" t="s">
        <v>5076</v>
      </c>
      <c r="G1936" t="s">
        <v>5078</v>
      </c>
      <c r="H1936" t="s">
        <v>5077</v>
      </c>
      <c r="I1936" t="s">
        <v>994</v>
      </c>
      <c r="J1936" t="s">
        <v>7682</v>
      </c>
      <c r="K1936" t="s">
        <v>7826</v>
      </c>
      <c r="L1936" t="s">
        <v>7826</v>
      </c>
      <c r="N1936" t="str" cm="1">
        <f t="array" ref="N1936">IFERROR(LOOKUP(2,1/SEARCH($S$2:$S$65,G1936),$T$2:$T$65),"Misc")</f>
        <v>OH P/N</v>
      </c>
      <c r="O1936" t="str" cm="1">
        <f t="array" ref="O1936">IFERROR(LOOKUP(2,1/SEARCH($V$2:$V$65,G1936),$W$2:$W$65),"Misc")</f>
        <v>OH Part</v>
      </c>
      <c r="P1936" t="str" cm="1">
        <f t="array" ref="P1936">IFERROR(LOOKUP(2,1/SEARCH($Y$2:$Y$65,G1936),$Z$2:$Z$65),"Not Defined")</f>
        <v>OH Part</v>
      </c>
      <c r="Q1936" t="str" cm="1">
        <f t="array" ref="Q1936">IFERROR(LOOKUP(2,1/SEARCH($S$2:$S$65,H1936),$T$2:$T$65),"-")</f>
        <v>COTS</v>
      </c>
    </row>
    <row r="1937" spans="1:17" hidden="1" x14ac:dyDescent="0.25">
      <c r="A1937" t="s">
        <v>7675</v>
      </c>
      <c r="B1937" s="2" t="s">
        <v>5079</v>
      </c>
      <c r="C1937">
        <v>4</v>
      </c>
      <c r="D1937" t="s">
        <v>7518</v>
      </c>
      <c r="E1937" t="s">
        <v>7926</v>
      </c>
      <c r="F1937" t="s">
        <v>268</v>
      </c>
      <c r="G1937" t="s">
        <v>7061</v>
      </c>
      <c r="H1937" t="s">
        <v>269</v>
      </c>
      <c r="I1937" t="s">
        <v>224</v>
      </c>
      <c r="J1937" t="s">
        <v>7703</v>
      </c>
      <c r="K1937" t="s">
        <v>7684</v>
      </c>
      <c r="L1937" t="s">
        <v>7687</v>
      </c>
      <c r="N1937" t="str" cm="1">
        <f t="array" ref="N1937">IFERROR(LOOKUP(2,1/SEARCH($S$2:$S$65,G1937),$T$2:$T$65),"Misc")</f>
        <v>COTS</v>
      </c>
      <c r="O1937" t="str" cm="1">
        <f t="array" ref="O1937">IFERROR(LOOKUP(2,1/SEARCH($V$2:$V$65,G1937),$W$2:$W$65),"Misc")</f>
        <v>Fasteners</v>
      </c>
      <c r="P1937" t="str" cm="1">
        <f t="array" ref="P1937">IFERROR(LOOKUP(2,1/SEARCH($Y$2:$Y$65,G1937),$Z$2:$Z$65),"Not Defined")</f>
        <v>INSERT</v>
      </c>
      <c r="Q1937" t="str" cm="1">
        <f t="array" ref="Q1937">IFERROR(LOOKUP(2,1/SEARCH($S$2:$S$65,H1937),$T$2:$T$65),"-")</f>
        <v>COTS</v>
      </c>
    </row>
    <row r="1938" spans="1:17" hidden="1" x14ac:dyDescent="0.25">
      <c r="A1938" t="s">
        <v>7675</v>
      </c>
      <c r="B1938" s="2" t="s">
        <v>5080</v>
      </c>
      <c r="C1938">
        <v>1</v>
      </c>
      <c r="D1938" t="s">
        <v>7518</v>
      </c>
      <c r="E1938" t="s">
        <v>5042</v>
      </c>
      <c r="F1938" t="s">
        <v>5081</v>
      </c>
      <c r="G1938" t="s">
        <v>5083</v>
      </c>
      <c r="H1938" t="s">
        <v>5082</v>
      </c>
      <c r="I1938" t="s">
        <v>299</v>
      </c>
      <c r="J1938" t="s">
        <v>7682</v>
      </c>
      <c r="K1938" t="s">
        <v>7826</v>
      </c>
      <c r="L1938" t="s">
        <v>7826</v>
      </c>
      <c r="N1938" t="str" cm="1">
        <f t="array" ref="N1938">IFERROR(LOOKUP(2,1/SEARCH($S$2:$S$65,G1938),$T$2:$T$65),"Misc")</f>
        <v>OH P/N</v>
      </c>
      <c r="O1938" t="str" cm="1">
        <f t="array" ref="O1938">IFERROR(LOOKUP(2,1/SEARCH($V$2:$V$65,G1938),$W$2:$W$65),"Misc")</f>
        <v>OH Part</v>
      </c>
      <c r="P1938" t="str" cm="1">
        <f t="array" ref="P1938">IFERROR(LOOKUP(2,1/SEARCH($Y$2:$Y$65,G1938),$Z$2:$Z$65),"Not Defined")</f>
        <v>OH Part</v>
      </c>
      <c r="Q1938" t="str" cm="1">
        <f t="array" ref="Q1938">IFERROR(LOOKUP(2,1/SEARCH($S$2:$S$65,H1938),$T$2:$T$65),"-")</f>
        <v>-</v>
      </c>
    </row>
    <row r="1939" spans="1:17" hidden="1" x14ac:dyDescent="0.25">
      <c r="A1939" t="s">
        <v>7675</v>
      </c>
      <c r="B1939" s="2" t="s">
        <v>5084</v>
      </c>
      <c r="C1939">
        <v>1</v>
      </c>
      <c r="D1939" t="s">
        <v>7518</v>
      </c>
      <c r="E1939" t="s">
        <v>5042</v>
      </c>
      <c r="F1939" t="s">
        <v>5085</v>
      </c>
      <c r="G1939" t="s">
        <v>5087</v>
      </c>
      <c r="H1939" t="s">
        <v>5086</v>
      </c>
      <c r="I1939" t="s">
        <v>299</v>
      </c>
      <c r="J1939" t="s">
        <v>7682</v>
      </c>
      <c r="K1939" t="s">
        <v>7826</v>
      </c>
      <c r="L1939" t="s">
        <v>7826</v>
      </c>
      <c r="N1939" t="str" cm="1">
        <f t="array" ref="N1939">IFERROR(LOOKUP(2,1/SEARCH($S$2:$S$65,G1939),$T$2:$T$65),"Misc")</f>
        <v>OH P/N</v>
      </c>
      <c r="O1939" t="str" cm="1">
        <f t="array" ref="O1939">IFERROR(LOOKUP(2,1/SEARCH($V$2:$V$65,G1939),$W$2:$W$65),"Misc")</f>
        <v>OH Part</v>
      </c>
      <c r="P1939" t="str" cm="1">
        <f t="array" ref="P1939">IFERROR(LOOKUP(2,1/SEARCH($Y$2:$Y$65,G1939),$Z$2:$Z$65),"Not Defined")</f>
        <v>OH Part</v>
      </c>
      <c r="Q1939" t="str" cm="1">
        <f t="array" ref="Q1939">IFERROR(LOOKUP(2,1/SEARCH($S$2:$S$65,H1939),$T$2:$T$65),"-")</f>
        <v>-</v>
      </c>
    </row>
    <row r="1940" spans="1:17" hidden="1" x14ac:dyDescent="0.25">
      <c r="A1940" t="s">
        <v>7675</v>
      </c>
      <c r="B1940" s="2" t="s">
        <v>5088</v>
      </c>
      <c r="C1940">
        <v>4</v>
      </c>
      <c r="D1940" t="s">
        <v>7518</v>
      </c>
      <c r="E1940" t="s">
        <v>5042</v>
      </c>
      <c r="F1940" t="s">
        <v>580</v>
      </c>
      <c r="G1940" t="s">
        <v>7105</v>
      </c>
      <c r="H1940" t="s">
        <v>581</v>
      </c>
      <c r="I1940" t="s">
        <v>210</v>
      </c>
      <c r="J1940" t="s">
        <v>7703</v>
      </c>
      <c r="K1940" t="s">
        <v>7684</v>
      </c>
      <c r="L1940" t="s">
        <v>7691</v>
      </c>
      <c r="N1940" t="str" cm="1">
        <f t="array" ref="N1940">IFERROR(LOOKUP(2,1/SEARCH($S$2:$S$65,G1940),$T$2:$T$65),"Misc")</f>
        <v>COTS</v>
      </c>
      <c r="O1940" t="str" cm="1">
        <f t="array" ref="O1940">IFERROR(LOOKUP(2,1/SEARCH($V$2:$V$65,G1940),$W$2:$W$65),"Misc")</f>
        <v>Fasteners</v>
      </c>
      <c r="P1940" t="str" cm="1">
        <f t="array" ref="P1940">IFERROR(LOOKUP(2,1/SEARCH($Y$2:$Y$65,G1940),$Z$2:$Z$65),"Not Defined")</f>
        <v>FHS</v>
      </c>
      <c r="Q1940" t="str" cm="1">
        <f t="array" ref="Q1940">IFERROR(LOOKUP(2,1/SEARCH($S$2:$S$65,H1940),$T$2:$T$65),"-")</f>
        <v>COTS</v>
      </c>
    </row>
    <row r="1941" spans="1:17" hidden="1" x14ac:dyDescent="0.25">
      <c r="A1941" t="s">
        <v>7675</v>
      </c>
      <c r="B1941" s="2" t="s">
        <v>5089</v>
      </c>
      <c r="C1941">
        <v>4</v>
      </c>
      <c r="D1941" t="s">
        <v>7518</v>
      </c>
      <c r="E1941" t="s">
        <v>5042</v>
      </c>
      <c r="F1941" t="s">
        <v>5090</v>
      </c>
      <c r="G1941" t="s">
        <v>7525</v>
      </c>
      <c r="H1941" t="s">
        <v>5091</v>
      </c>
      <c r="I1941" t="s">
        <v>228</v>
      </c>
      <c r="J1941" t="s">
        <v>7703</v>
      </c>
      <c r="K1941" t="s">
        <v>7684</v>
      </c>
      <c r="L1941" t="s">
        <v>7691</v>
      </c>
      <c r="N1941" t="str" cm="1">
        <f t="array" ref="N1941">IFERROR(LOOKUP(2,1/SEARCH($S$2:$S$65,G1941),$T$2:$T$65),"Misc")</f>
        <v>COTS</v>
      </c>
      <c r="O1941" t="str" cm="1">
        <f t="array" ref="O1941">IFERROR(LOOKUP(2,1/SEARCH($V$2:$V$65,G1941),$W$2:$W$65),"Misc")</f>
        <v>Fasteners</v>
      </c>
      <c r="P1941" t="str" cm="1">
        <f t="array" ref="P1941">IFERROR(LOOKUP(2,1/SEARCH($Y$2:$Y$65,G1941),$Z$2:$Z$65),"Not Defined")</f>
        <v>FHS</v>
      </c>
      <c r="Q1941" t="str" cm="1">
        <f t="array" ref="Q1941">IFERROR(LOOKUP(2,1/SEARCH($S$2:$S$65,H1941),$T$2:$T$65),"-")</f>
        <v>COTS</v>
      </c>
    </row>
    <row r="1942" spans="1:17" hidden="1" x14ac:dyDescent="0.25">
      <c r="A1942" t="s">
        <v>7675</v>
      </c>
      <c r="B1942" s="2" t="s">
        <v>5092</v>
      </c>
      <c r="C1942">
        <v>1</v>
      </c>
      <c r="D1942" t="s">
        <v>7518</v>
      </c>
      <c r="E1942" t="s">
        <v>5042</v>
      </c>
      <c r="F1942" t="s">
        <v>5093</v>
      </c>
      <c r="G1942" t="s">
        <v>7526</v>
      </c>
      <c r="H1942" t="s">
        <v>5094</v>
      </c>
      <c r="I1942" t="s">
        <v>255</v>
      </c>
      <c r="J1942" t="s">
        <v>7703</v>
      </c>
      <c r="K1942" t="s">
        <v>7826</v>
      </c>
      <c r="L1942" t="s">
        <v>7722</v>
      </c>
      <c r="N1942" t="str" cm="1">
        <f t="array" ref="N1942">IFERROR(LOOKUP(2,1/SEARCH($S$2:$S$65,G1942),$T$2:$T$65),"Misc")</f>
        <v>OH P/N</v>
      </c>
      <c r="O1942" t="str" cm="1">
        <f t="array" ref="O1942">IFERROR(LOOKUP(2,1/SEARCH($V$2:$V$65,G1942),$W$2:$W$65),"Misc")</f>
        <v>OH Part</v>
      </c>
      <c r="P1942" t="str" cm="1">
        <f t="array" ref="P1942">IFERROR(LOOKUP(2,1/SEARCH($Y$2:$Y$65,G1942),$Z$2:$Z$65),"Not Defined")</f>
        <v>POT</v>
      </c>
      <c r="Q1942" t="str" cm="1">
        <f t="array" ref="Q1942">IFERROR(LOOKUP(2,1/SEARCH($S$2:$S$65,H1942),$T$2:$T$65),"-")</f>
        <v>OH P/N</v>
      </c>
    </row>
    <row r="1943" spans="1:17" hidden="1" x14ac:dyDescent="0.25">
      <c r="A1943" t="s">
        <v>7675</v>
      </c>
      <c r="B1943" s="2" t="s">
        <v>5095</v>
      </c>
      <c r="C1943">
        <v>2</v>
      </c>
      <c r="D1943" t="s">
        <v>7518</v>
      </c>
      <c r="E1943" t="s">
        <v>5042</v>
      </c>
      <c r="F1943" t="s">
        <v>5096</v>
      </c>
      <c r="G1943" t="s">
        <v>7527</v>
      </c>
      <c r="H1943" t="s">
        <v>5097</v>
      </c>
      <c r="I1943" t="s">
        <v>210</v>
      </c>
      <c r="J1943" t="s">
        <v>7703</v>
      </c>
      <c r="K1943" t="s">
        <v>7814</v>
      </c>
      <c r="L1943" t="s">
        <v>7720</v>
      </c>
      <c r="N1943" t="str" cm="1">
        <f t="array" ref="N1943">IFERROR(LOOKUP(2,1/SEARCH($S$2:$S$65,G1943),$T$2:$T$65),"Misc")</f>
        <v>COTS</v>
      </c>
      <c r="O1943" t="str" cm="1">
        <f t="array" ref="O1943">IFERROR(LOOKUP(2,1/SEARCH($V$2:$V$65,G1943),$W$2:$W$65),"Misc")</f>
        <v>Misc</v>
      </c>
      <c r="P1943" t="str" cm="1">
        <f t="array" ref="P1943">IFERROR(LOOKUP(2,1/SEARCH($Y$2:$Y$65,G1943),$Z$2:$Z$65),"Not Defined")</f>
        <v>PINION</v>
      </c>
      <c r="Q1943" t="str" cm="1">
        <f t="array" ref="Q1943">IFERROR(LOOKUP(2,1/SEARCH($S$2:$S$65,H1943),$T$2:$T$65),"-")</f>
        <v>COTS</v>
      </c>
    </row>
    <row r="1944" spans="1:17" hidden="1" x14ac:dyDescent="0.25">
      <c r="A1944" t="s">
        <v>7675</v>
      </c>
      <c r="B1944" s="2" t="s">
        <v>5098</v>
      </c>
      <c r="C1944">
        <v>2</v>
      </c>
      <c r="D1944" t="s">
        <v>7518</v>
      </c>
      <c r="E1944" t="s">
        <v>5042</v>
      </c>
      <c r="F1944" t="s">
        <v>2762</v>
      </c>
      <c r="G1944" t="s">
        <v>7312</v>
      </c>
      <c r="H1944" t="s">
        <v>2763</v>
      </c>
      <c r="I1944" t="s">
        <v>228</v>
      </c>
      <c r="J1944" t="s">
        <v>7703</v>
      </c>
      <c r="K1944" t="s">
        <v>7684</v>
      </c>
      <c r="L1944" t="s">
        <v>7692</v>
      </c>
      <c r="N1944" t="str" cm="1">
        <f t="array" ref="N1944">IFERROR(LOOKUP(2,1/SEARCH($S$2:$S$65,G1944),$T$2:$T$65),"Misc")</f>
        <v>COTS</v>
      </c>
      <c r="O1944" t="str" cm="1">
        <f t="array" ref="O1944">IFERROR(LOOKUP(2,1/SEARCH($V$2:$V$65,G1944),$W$2:$W$65),"Misc")</f>
        <v>Fasteners</v>
      </c>
      <c r="P1944" t="str" cm="1">
        <f t="array" ref="P1944">IFERROR(LOOKUP(2,1/SEARCH($Y$2:$Y$65,G1944),$Z$2:$Z$65),"Not Defined")</f>
        <v>WASHER</v>
      </c>
      <c r="Q1944" t="str" cm="1">
        <f t="array" ref="Q1944">IFERROR(LOOKUP(2,1/SEARCH($S$2:$S$65,H1944),$T$2:$T$65),"-")</f>
        <v>COTS</v>
      </c>
    </row>
    <row r="1945" spans="1:17" hidden="1" x14ac:dyDescent="0.25">
      <c r="A1945" t="s">
        <v>7675</v>
      </c>
      <c r="B1945" s="2" t="s">
        <v>5099</v>
      </c>
      <c r="C1945">
        <v>1</v>
      </c>
      <c r="D1945" t="s">
        <v>7518</v>
      </c>
      <c r="E1945" t="s">
        <v>5042</v>
      </c>
      <c r="F1945" t="s">
        <v>5100</v>
      </c>
      <c r="G1945" t="s">
        <v>7528</v>
      </c>
      <c r="H1945" t="s">
        <v>5101</v>
      </c>
      <c r="I1945" t="s">
        <v>210</v>
      </c>
      <c r="J1945" t="s">
        <v>7703</v>
      </c>
      <c r="K1945" t="s">
        <v>7705</v>
      </c>
      <c r="L1945" t="s">
        <v>7704</v>
      </c>
      <c r="N1945" t="str" cm="1">
        <f t="array" ref="N1945">IFERROR(LOOKUP(2,1/SEARCH($S$2:$S$65,G1945),$T$2:$T$65),"Misc")</f>
        <v>COTS</v>
      </c>
      <c r="O1945" t="str" cm="1">
        <f t="array" ref="O1945">IFERROR(LOOKUP(2,1/SEARCH($V$2:$V$65,G1945),$W$2:$W$65),"Misc")</f>
        <v>Shaft Collars</v>
      </c>
      <c r="P1945" t="str" cm="1">
        <f t="array" ref="P1945">IFERROR(LOOKUP(2,1/SEARCH($Y$2:$Y$65,G1945),$Z$2:$Z$65),"Not Defined")</f>
        <v>COLLAR</v>
      </c>
      <c r="Q1945" t="str" cm="1">
        <f t="array" ref="Q1945">IFERROR(LOOKUP(2,1/SEARCH($S$2:$S$65,H1945),$T$2:$T$65),"-")</f>
        <v>COTS</v>
      </c>
    </row>
    <row r="1946" spans="1:17" hidden="1" x14ac:dyDescent="0.25">
      <c r="A1946" t="s">
        <v>7675</v>
      </c>
      <c r="B1946" s="2" t="s">
        <v>5102</v>
      </c>
      <c r="C1946">
        <v>1</v>
      </c>
      <c r="D1946" t="s">
        <v>7518</v>
      </c>
      <c r="E1946" t="s">
        <v>5042</v>
      </c>
      <c r="F1946" t="s">
        <v>5103</v>
      </c>
      <c r="G1946" t="s">
        <v>5105</v>
      </c>
      <c r="H1946" t="s">
        <v>5104</v>
      </c>
      <c r="I1946" t="s">
        <v>994</v>
      </c>
      <c r="J1946" t="s">
        <v>7682</v>
      </c>
      <c r="K1946" t="s">
        <v>7826</v>
      </c>
      <c r="L1946" t="s">
        <v>7826</v>
      </c>
      <c r="N1946" t="str" cm="1">
        <f t="array" ref="N1946">IFERROR(LOOKUP(2,1/SEARCH($S$2:$S$65,G1946),$T$2:$T$65),"Misc")</f>
        <v>OH P/N</v>
      </c>
      <c r="O1946" t="str" cm="1">
        <f t="array" ref="O1946">IFERROR(LOOKUP(2,1/SEARCH($V$2:$V$65,G1946),$W$2:$W$65),"Misc")</f>
        <v>OH Part</v>
      </c>
      <c r="P1946" t="str" cm="1">
        <f t="array" ref="P1946">IFERROR(LOOKUP(2,1/SEARCH($Y$2:$Y$65,G1946),$Z$2:$Z$65),"Not Defined")</f>
        <v>OH Part</v>
      </c>
      <c r="Q1946" t="str" cm="1">
        <f t="array" ref="Q1946">IFERROR(LOOKUP(2,1/SEARCH($S$2:$S$65,H1946),$T$2:$T$65),"-")</f>
        <v>COTS</v>
      </c>
    </row>
    <row r="1947" spans="1:17" hidden="1" x14ac:dyDescent="0.25">
      <c r="A1947" t="s">
        <v>7675</v>
      </c>
      <c r="B1947" s="2" t="s">
        <v>5106</v>
      </c>
      <c r="C1947">
        <v>1</v>
      </c>
      <c r="D1947" t="s">
        <v>7518</v>
      </c>
      <c r="E1947" t="s">
        <v>5042</v>
      </c>
      <c r="F1947" t="s">
        <v>5107</v>
      </c>
      <c r="G1947" t="s">
        <v>7529</v>
      </c>
      <c r="H1947" t="s">
        <v>5108</v>
      </c>
      <c r="I1947" t="s">
        <v>210</v>
      </c>
      <c r="J1947" t="s">
        <v>7703</v>
      </c>
      <c r="K1947" t="s">
        <v>7719</v>
      </c>
      <c r="L1947" t="s">
        <v>7688</v>
      </c>
      <c r="N1947" t="str" cm="1">
        <f t="array" ref="N1947">IFERROR(LOOKUP(2,1/SEARCH($S$2:$S$65,G1947),$T$2:$T$65),"Misc")</f>
        <v>COTS</v>
      </c>
      <c r="O1947" t="str" cm="1">
        <f t="array" ref="O1947">IFERROR(LOOKUP(2,1/SEARCH($V$2:$V$65,G1947),$W$2:$W$65),"Misc")</f>
        <v>Misc</v>
      </c>
      <c r="P1947" t="str" cm="1">
        <f t="array" ref="P1947">IFERROR(LOOKUP(2,1/SEARCH($Y$2:$Y$65,G1947),$Z$2:$Z$65),"Not Defined")</f>
        <v>SPRING</v>
      </c>
      <c r="Q1947" t="str" cm="1">
        <f t="array" ref="Q1947">IFERROR(LOOKUP(2,1/SEARCH($S$2:$S$65,H1947),$T$2:$T$65),"-")</f>
        <v>COTS</v>
      </c>
    </row>
    <row r="1948" spans="1:17" hidden="1" x14ac:dyDescent="0.25">
      <c r="A1948" t="s">
        <v>7675</v>
      </c>
      <c r="B1948" s="2" t="s">
        <v>5109</v>
      </c>
      <c r="C1948">
        <v>1</v>
      </c>
      <c r="D1948" t="s">
        <v>7518</v>
      </c>
      <c r="E1948" t="s">
        <v>5042</v>
      </c>
      <c r="F1948" t="s">
        <v>4244</v>
      </c>
      <c r="G1948" t="s">
        <v>7436</v>
      </c>
      <c r="H1948" t="s">
        <v>4245</v>
      </c>
      <c r="I1948" t="s">
        <v>255</v>
      </c>
      <c r="J1948" t="s">
        <v>7703</v>
      </c>
      <c r="K1948" t="s">
        <v>7677</v>
      </c>
      <c r="L1948" t="s">
        <v>7677</v>
      </c>
      <c r="N1948" t="str" cm="1">
        <f t="array" ref="N1948">IFERROR(LOOKUP(2,1/SEARCH($S$2:$S$65,G1948),$T$2:$T$65),"Misc")</f>
        <v>COTS</v>
      </c>
      <c r="O1948" t="str" cm="1">
        <f t="array" ref="O1948">IFERROR(LOOKUP(2,1/SEARCH($V$2:$V$65,G1948),$W$2:$W$65),"Misc")</f>
        <v>SWITCH</v>
      </c>
      <c r="P1948" t="str" cm="1">
        <f t="array" ref="P1948">IFERROR(LOOKUP(2,1/SEARCH($Y$2:$Y$65,G1948),$Z$2:$Z$65),"Not Defined")</f>
        <v>SWITCH</v>
      </c>
      <c r="Q1948" t="str" cm="1">
        <f t="array" ref="Q1948">IFERROR(LOOKUP(2,1/SEARCH($S$2:$S$65,H1948),$T$2:$T$65),"-")</f>
        <v>COTS</v>
      </c>
    </row>
    <row r="1949" spans="1:17" hidden="1" x14ac:dyDescent="0.25">
      <c r="A1949" t="s">
        <v>7675</v>
      </c>
      <c r="B1949" s="2" t="s">
        <v>5110</v>
      </c>
      <c r="C1949">
        <v>4</v>
      </c>
      <c r="D1949" t="s">
        <v>7518</v>
      </c>
      <c r="E1949" t="s">
        <v>5042</v>
      </c>
      <c r="F1949" t="s">
        <v>442</v>
      </c>
      <c r="G1949" t="s">
        <v>7087</v>
      </c>
      <c r="H1949" t="s">
        <v>443</v>
      </c>
      <c r="I1949" t="s">
        <v>228</v>
      </c>
      <c r="J1949" t="s">
        <v>7703</v>
      </c>
      <c r="K1949" t="s">
        <v>7684</v>
      </c>
      <c r="L1949" t="s">
        <v>7692</v>
      </c>
      <c r="N1949" t="str" cm="1">
        <f t="array" ref="N1949">IFERROR(LOOKUP(2,1/SEARCH($S$2:$S$65,G1949),$T$2:$T$65),"Misc")</f>
        <v>COTS</v>
      </c>
      <c r="O1949" t="str" cm="1">
        <f t="array" ref="O1949">IFERROR(LOOKUP(2,1/SEARCH($V$2:$V$65,G1949),$W$2:$W$65),"Misc")</f>
        <v>Fasteners</v>
      </c>
      <c r="P1949" t="str" cm="1">
        <f t="array" ref="P1949">IFERROR(LOOKUP(2,1/SEARCH($Y$2:$Y$65,G1949),$Z$2:$Z$65),"Not Defined")</f>
        <v>WASHER</v>
      </c>
      <c r="Q1949" t="str" cm="1">
        <f t="array" ref="Q1949">IFERROR(LOOKUP(2,1/SEARCH($S$2:$S$65,H1949),$T$2:$T$65),"-")</f>
        <v>COTS</v>
      </c>
    </row>
    <row r="1950" spans="1:17" hidden="1" x14ac:dyDescent="0.25">
      <c r="A1950" t="s">
        <v>7675</v>
      </c>
      <c r="B1950" s="2" t="s">
        <v>5111</v>
      </c>
      <c r="C1950">
        <v>2</v>
      </c>
      <c r="D1950" t="s">
        <v>7518</v>
      </c>
      <c r="E1950" t="s">
        <v>5042</v>
      </c>
      <c r="F1950" t="s">
        <v>4479</v>
      </c>
      <c r="G1950" t="s">
        <v>7460</v>
      </c>
      <c r="H1950" t="s">
        <v>4480</v>
      </c>
      <c r="I1950" t="s">
        <v>228</v>
      </c>
      <c r="J1950" t="s">
        <v>7703</v>
      </c>
      <c r="K1950" t="s">
        <v>7684</v>
      </c>
      <c r="L1950" t="s">
        <v>7693</v>
      </c>
      <c r="N1950" t="str" cm="1">
        <f t="array" ref="N1950">IFERROR(LOOKUP(2,1/SEARCH($S$2:$S$65,G1950),$T$2:$T$65),"Misc")</f>
        <v>COTS</v>
      </c>
      <c r="O1950" t="str" cm="1">
        <f t="array" ref="O1950">IFERROR(LOOKUP(2,1/SEARCH($V$2:$V$65,G1950),$W$2:$W$65),"Misc")</f>
        <v>Fasteners</v>
      </c>
      <c r="P1950" t="str" cm="1">
        <f t="array" ref="P1950">IFERROR(LOOKUP(2,1/SEARCH($Y$2:$Y$65,G1950),$Z$2:$Z$65),"Not Defined")</f>
        <v>PHS</v>
      </c>
      <c r="Q1950" t="str" cm="1">
        <f t="array" ref="Q1950">IFERROR(LOOKUP(2,1/SEARCH($S$2:$S$65,H1950),$T$2:$T$65),"-")</f>
        <v>COTS</v>
      </c>
    </row>
    <row r="1951" spans="1:17" hidden="1" x14ac:dyDescent="0.25">
      <c r="A1951" t="s">
        <v>7675</v>
      </c>
      <c r="B1951" s="2" t="s">
        <v>5112</v>
      </c>
      <c r="C1951">
        <v>2</v>
      </c>
      <c r="D1951" t="s">
        <v>7518</v>
      </c>
      <c r="E1951" t="s">
        <v>5042</v>
      </c>
      <c r="F1951" t="s">
        <v>5113</v>
      </c>
      <c r="G1951" t="s">
        <v>7530</v>
      </c>
      <c r="H1951" t="s">
        <v>5114</v>
      </c>
      <c r="I1951" t="s">
        <v>228</v>
      </c>
      <c r="J1951" t="s">
        <v>7703</v>
      </c>
      <c r="K1951" t="s">
        <v>7684</v>
      </c>
      <c r="L1951" t="s">
        <v>7685</v>
      </c>
      <c r="N1951" t="str" cm="1">
        <f t="array" ref="N1951">IFERROR(LOOKUP(2,1/SEARCH($S$2:$S$65,G1951),$T$2:$T$65),"Misc")</f>
        <v>COTS</v>
      </c>
      <c r="O1951" t="str" cm="1">
        <f t="array" ref="O1951">IFERROR(LOOKUP(2,1/SEARCH($V$2:$V$65,G1951),$W$2:$W$65),"Misc")</f>
        <v>Fasteners</v>
      </c>
      <c r="P1951" t="str" cm="1">
        <f t="array" ref="P1951">IFERROR(LOOKUP(2,1/SEARCH($Y$2:$Y$65,G1951),$Z$2:$Z$65),"Not Defined")</f>
        <v>NUT</v>
      </c>
      <c r="Q1951" t="str" cm="1">
        <f t="array" ref="Q1951">IFERROR(LOOKUP(2,1/SEARCH($S$2:$S$65,H1951),$T$2:$T$65),"-")</f>
        <v>COTS</v>
      </c>
    </row>
    <row r="1952" spans="1:17" hidden="1" x14ac:dyDescent="0.25">
      <c r="A1952" t="s">
        <v>7675</v>
      </c>
      <c r="B1952" s="2" t="s">
        <v>5115</v>
      </c>
      <c r="C1952">
        <v>1</v>
      </c>
      <c r="D1952" t="s">
        <v>7518</v>
      </c>
      <c r="E1952" t="s">
        <v>5042</v>
      </c>
      <c r="F1952" t="s">
        <v>5116</v>
      </c>
      <c r="G1952" t="s">
        <v>7531</v>
      </c>
      <c r="H1952" t="s">
        <v>5117</v>
      </c>
      <c r="I1952" t="s">
        <v>228</v>
      </c>
      <c r="J1952" t="s">
        <v>7703</v>
      </c>
      <c r="K1952" t="s">
        <v>7684</v>
      </c>
      <c r="L1952" t="s">
        <v>7721</v>
      </c>
      <c r="N1952" t="str" cm="1">
        <f t="array" ref="N1952">IFERROR(LOOKUP(2,1/SEARCH($S$2:$S$65,G1952),$T$2:$T$65),"Misc")</f>
        <v>COTS</v>
      </c>
      <c r="O1952" t="str" cm="1">
        <f t="array" ref="O1952">IFERROR(LOOKUP(2,1/SEARCH($V$2:$V$65,G1952),$W$2:$W$65),"Misc")</f>
        <v>Fasteners</v>
      </c>
      <c r="P1952" t="str" cm="1">
        <f t="array" ref="P1952">IFERROR(LOOKUP(2,1/SEARCH($Y$2:$Y$65,G1952),$Z$2:$Z$65),"Not Defined")</f>
        <v>SET SCREW</v>
      </c>
      <c r="Q1952" t="str" cm="1">
        <f t="array" ref="Q1952">IFERROR(LOOKUP(2,1/SEARCH($S$2:$S$65,H1952),$T$2:$T$65),"-")</f>
        <v>COTS</v>
      </c>
    </row>
    <row r="1953" spans="1:17" hidden="1" x14ac:dyDescent="0.25">
      <c r="A1953" t="s">
        <v>7675</v>
      </c>
      <c r="B1953" s="2" t="s">
        <v>5118</v>
      </c>
      <c r="C1953">
        <v>1</v>
      </c>
      <c r="D1953" t="s">
        <v>7518</v>
      </c>
      <c r="E1953" t="s">
        <v>5042</v>
      </c>
      <c r="F1953" t="s">
        <v>5119</v>
      </c>
      <c r="G1953" t="s">
        <v>5121</v>
      </c>
      <c r="H1953" t="s">
        <v>5120</v>
      </c>
      <c r="I1953" t="s">
        <v>13</v>
      </c>
      <c r="J1953" t="s">
        <v>7682</v>
      </c>
      <c r="K1953" t="s">
        <v>7826</v>
      </c>
      <c r="L1953" t="s">
        <v>7826</v>
      </c>
      <c r="N1953" t="str" cm="1">
        <f t="array" ref="N1953">IFERROR(LOOKUP(2,1/SEARCH($S$2:$S$65,G1953),$T$2:$T$65),"Misc")</f>
        <v>OH P/N</v>
      </c>
      <c r="O1953" t="str" cm="1">
        <f t="array" ref="O1953">IFERROR(LOOKUP(2,1/SEARCH($V$2:$V$65,G1953),$W$2:$W$65),"Misc")</f>
        <v>OH Part</v>
      </c>
      <c r="P1953" t="str" cm="1">
        <f t="array" ref="P1953">IFERROR(LOOKUP(2,1/SEARCH($Y$2:$Y$65,G1953),$Z$2:$Z$65),"Not Defined")</f>
        <v>OH Part</v>
      </c>
      <c r="Q1953" t="str" cm="1">
        <f t="array" ref="Q1953">IFERROR(LOOKUP(2,1/SEARCH($S$2:$S$65,H1953),$T$2:$T$65),"-")</f>
        <v>-</v>
      </c>
    </row>
    <row r="1954" spans="1:17" x14ac:dyDescent="0.25">
      <c r="A1954" t="s">
        <v>7675</v>
      </c>
      <c r="B1954" t="s">
        <v>5122</v>
      </c>
      <c r="C1954">
        <v>1</v>
      </c>
      <c r="D1954" t="s">
        <v>7518</v>
      </c>
      <c r="F1954" t="s">
        <v>5123</v>
      </c>
      <c r="G1954" t="s">
        <v>7532</v>
      </c>
      <c r="H1954" t="s">
        <v>5124</v>
      </c>
      <c r="I1954" t="s">
        <v>255</v>
      </c>
      <c r="J1954" t="s">
        <v>7703</v>
      </c>
      <c r="K1954" t="s">
        <v>7814</v>
      </c>
      <c r="L1954" t="s">
        <v>7834</v>
      </c>
      <c r="N1954" t="str" cm="1">
        <f t="array" ref="N1954">IFERROR(LOOKUP(2,1/SEARCH($S$2:$S$65,G1954),$T$2:$T$65),"Misc")</f>
        <v>Misc</v>
      </c>
      <c r="O1954" t="str" cm="1">
        <f t="array" ref="O1954">IFERROR(LOOKUP(2,1/SEARCH($V$2:$V$65,G1954),$W$2:$W$65),"Misc")</f>
        <v>Misc</v>
      </c>
      <c r="P1954" t="str" cm="1">
        <f t="array" ref="P1954">IFERROR(LOOKUP(2,1/SEARCH($Y$2:$Y$65,G1954),$Z$2:$Z$65),"Not Defined")</f>
        <v>Not Defined</v>
      </c>
      <c r="Q1954" t="str" cm="1">
        <f t="array" ref="Q1954">IFERROR(LOOKUP(2,1/SEARCH($S$2:$S$65,H1954),$T$2:$T$65),"-")</f>
        <v>-</v>
      </c>
    </row>
    <row r="1955" spans="1:17" x14ac:dyDescent="0.25">
      <c r="A1955" t="s">
        <v>7675</v>
      </c>
      <c r="B1955" t="s">
        <v>5125</v>
      </c>
      <c r="C1955">
        <v>1</v>
      </c>
      <c r="D1955" t="s">
        <v>7518</v>
      </c>
      <c r="F1955" t="s">
        <v>5126</v>
      </c>
      <c r="G1955" t="s">
        <v>5128</v>
      </c>
      <c r="H1955" t="s">
        <v>5127</v>
      </c>
      <c r="I1955" t="s">
        <v>13</v>
      </c>
      <c r="J1955" t="s">
        <v>7682</v>
      </c>
      <c r="K1955" t="s">
        <v>7826</v>
      </c>
      <c r="L1955" t="s">
        <v>7826</v>
      </c>
      <c r="N1955" t="str" cm="1">
        <f t="array" ref="N1955">IFERROR(LOOKUP(2,1/SEARCH($S$2:$S$65,G1955),$T$2:$T$65),"Misc")</f>
        <v>OH P/N</v>
      </c>
      <c r="O1955" t="str" cm="1">
        <f t="array" ref="O1955">IFERROR(LOOKUP(2,1/SEARCH($V$2:$V$65,G1955),$W$2:$W$65),"Misc")</f>
        <v>OH Part</v>
      </c>
      <c r="P1955" t="str" cm="1">
        <f t="array" ref="P1955">IFERROR(LOOKUP(2,1/SEARCH($Y$2:$Y$65,G1955),$Z$2:$Z$65),"Not Defined")</f>
        <v>OH Part</v>
      </c>
      <c r="Q1955" t="str" cm="1">
        <f t="array" ref="Q1955">IFERROR(LOOKUP(2,1/SEARCH($S$2:$S$65,H1955),$T$2:$T$65),"-")</f>
        <v>-</v>
      </c>
    </row>
    <row r="1956" spans="1:17" x14ac:dyDescent="0.25">
      <c r="A1956" t="s">
        <v>7675</v>
      </c>
      <c r="B1956" t="s">
        <v>5129</v>
      </c>
      <c r="C1956">
        <v>3</v>
      </c>
      <c r="D1956" t="s">
        <v>7518</v>
      </c>
      <c r="F1956" t="s">
        <v>4867</v>
      </c>
      <c r="G1956" t="s">
        <v>7508</v>
      </c>
      <c r="H1956" t="s">
        <v>4868</v>
      </c>
      <c r="I1956" t="s">
        <v>299</v>
      </c>
      <c r="J1956" t="s">
        <v>7703</v>
      </c>
      <c r="K1956" t="s">
        <v>7684</v>
      </c>
      <c r="L1956" t="s">
        <v>7708</v>
      </c>
      <c r="N1956" t="str" cm="1">
        <f t="array" ref="N1956">IFERROR(LOOKUP(2,1/SEARCH($S$2:$S$65,G1956),$T$2:$T$65),"Misc")</f>
        <v>COTS</v>
      </c>
      <c r="O1956" t="str" cm="1">
        <f t="array" ref="O1956">IFERROR(LOOKUP(2,1/SEARCH($V$2:$V$65,G1956),$W$2:$W$65),"Misc")</f>
        <v>Fasteners</v>
      </c>
      <c r="P1956" t="str" cm="1">
        <f t="array" ref="P1956">IFERROR(LOOKUP(2,1/SEARCH($Y$2:$Y$65,G1956),$Z$2:$Z$65),"Not Defined")</f>
        <v>STANDOFF</v>
      </c>
      <c r="Q1956" t="str" cm="1">
        <f t="array" ref="Q1956">IFERROR(LOOKUP(2,1/SEARCH($S$2:$S$65,H1956),$T$2:$T$65),"-")</f>
        <v>COTS</v>
      </c>
    </row>
    <row r="1957" spans="1:17" x14ac:dyDescent="0.25">
      <c r="A1957" t="s">
        <v>7675</v>
      </c>
      <c r="B1957" t="s">
        <v>5130</v>
      </c>
      <c r="C1957">
        <v>4</v>
      </c>
      <c r="D1957" t="s">
        <v>7518</v>
      </c>
      <c r="F1957" t="s">
        <v>464</v>
      </c>
      <c r="G1957" t="s">
        <v>7091</v>
      </c>
      <c r="H1957" t="s">
        <v>465</v>
      </c>
      <c r="I1957" t="s">
        <v>224</v>
      </c>
      <c r="J1957" t="s">
        <v>7703</v>
      </c>
      <c r="K1957" t="s">
        <v>7684</v>
      </c>
      <c r="L1957" t="s">
        <v>7685</v>
      </c>
      <c r="N1957" t="str" cm="1">
        <f t="array" ref="N1957">IFERROR(LOOKUP(2,1/SEARCH($S$2:$S$65,G1957),$T$2:$T$65),"Misc")</f>
        <v>COTS</v>
      </c>
      <c r="O1957" t="str" cm="1">
        <f t="array" ref="O1957">IFERROR(LOOKUP(2,1/SEARCH($V$2:$V$65,G1957),$W$2:$W$65),"Misc")</f>
        <v>Fasteners</v>
      </c>
      <c r="P1957" t="str" cm="1">
        <f t="array" ref="P1957">IFERROR(LOOKUP(2,1/SEARCH($Y$2:$Y$65,G1957),$Z$2:$Z$65),"Not Defined")</f>
        <v>NUT</v>
      </c>
      <c r="Q1957" t="str" cm="1">
        <f t="array" ref="Q1957">IFERROR(LOOKUP(2,1/SEARCH($S$2:$S$65,H1957),$T$2:$T$65),"-")</f>
        <v>COTS</v>
      </c>
    </row>
    <row r="1958" spans="1:17" x14ac:dyDescent="0.25">
      <c r="A1958" t="s">
        <v>7675</v>
      </c>
      <c r="B1958" t="s">
        <v>5131</v>
      </c>
      <c r="C1958">
        <v>4</v>
      </c>
      <c r="D1958" t="s">
        <v>7518</v>
      </c>
      <c r="F1958" t="s">
        <v>586</v>
      </c>
      <c r="G1958" t="s">
        <v>7107</v>
      </c>
      <c r="H1958" t="s">
        <v>587</v>
      </c>
      <c r="I1958" t="s">
        <v>210</v>
      </c>
      <c r="J1958" t="s">
        <v>7703</v>
      </c>
      <c r="K1958" t="s">
        <v>7684</v>
      </c>
      <c r="L1958" t="s">
        <v>7693</v>
      </c>
      <c r="N1958" t="str" cm="1">
        <f t="array" ref="N1958">IFERROR(LOOKUP(2,1/SEARCH($S$2:$S$65,G1958),$T$2:$T$65),"Misc")</f>
        <v>COTS</v>
      </c>
      <c r="O1958" t="str" cm="1">
        <f t="array" ref="O1958">IFERROR(LOOKUP(2,1/SEARCH($V$2:$V$65,G1958),$W$2:$W$65),"Misc")</f>
        <v>Fasteners</v>
      </c>
      <c r="P1958" t="str" cm="1">
        <f t="array" ref="P1958">IFERROR(LOOKUP(2,1/SEARCH($Y$2:$Y$65,G1958),$Z$2:$Z$65),"Not Defined")</f>
        <v>PHS</v>
      </c>
      <c r="Q1958" t="str" cm="1">
        <f t="array" ref="Q1958">IFERROR(LOOKUP(2,1/SEARCH($S$2:$S$65,H1958),$T$2:$T$65),"-")</f>
        <v>COTS</v>
      </c>
    </row>
    <row r="1959" spans="1:17" x14ac:dyDescent="0.25">
      <c r="A1959" t="s">
        <v>7675</v>
      </c>
      <c r="B1959" t="s">
        <v>5132</v>
      </c>
      <c r="C1959">
        <v>1</v>
      </c>
      <c r="D1959" t="s">
        <v>7518</v>
      </c>
      <c r="F1959" t="s">
        <v>5133</v>
      </c>
      <c r="G1959" t="s">
        <v>7533</v>
      </c>
      <c r="H1959" t="s">
        <v>5134</v>
      </c>
      <c r="I1959" t="s">
        <v>255</v>
      </c>
      <c r="J1959" t="s">
        <v>7703</v>
      </c>
      <c r="K1959" t="s">
        <v>7677</v>
      </c>
      <c r="L1959" t="s">
        <v>7677</v>
      </c>
      <c r="N1959" t="str" cm="1">
        <f t="array" ref="N1959">IFERROR(LOOKUP(2,1/SEARCH($S$2:$S$65,G1959),$T$2:$T$65),"Misc")</f>
        <v>COTS</v>
      </c>
      <c r="O1959" t="str" cm="1">
        <f t="array" ref="O1959">IFERROR(LOOKUP(2,1/SEARCH($V$2:$V$65,G1959),$W$2:$W$65),"Misc")</f>
        <v>SWITCH</v>
      </c>
      <c r="P1959" t="str" cm="1">
        <f t="array" ref="P1959">IFERROR(LOOKUP(2,1/SEARCH($Y$2:$Y$65,G1959),$Z$2:$Z$65),"Not Defined")</f>
        <v>SWITCH</v>
      </c>
      <c r="Q1959" t="str" cm="1">
        <f t="array" ref="Q1959">IFERROR(LOOKUP(2,1/SEARCH($S$2:$S$65,H1959),$T$2:$T$65),"-")</f>
        <v>COTS</v>
      </c>
    </row>
    <row r="1960" spans="1:17" x14ac:dyDescent="0.25">
      <c r="A1960" t="s">
        <v>7675</v>
      </c>
      <c r="B1960" t="s">
        <v>5135</v>
      </c>
      <c r="C1960">
        <v>1</v>
      </c>
      <c r="D1960" t="s">
        <v>7518</v>
      </c>
      <c r="F1960" t="s">
        <v>5136</v>
      </c>
      <c r="G1960" t="s">
        <v>7534</v>
      </c>
      <c r="H1960" t="s">
        <v>5137</v>
      </c>
      <c r="I1960" t="s">
        <v>228</v>
      </c>
      <c r="J1960" t="s">
        <v>7703</v>
      </c>
      <c r="K1960" t="s">
        <v>7684</v>
      </c>
      <c r="L1960" t="s">
        <v>7685</v>
      </c>
      <c r="N1960" t="str" cm="1">
        <f t="array" ref="N1960">IFERROR(LOOKUP(2,1/SEARCH($S$2:$S$65,G1960),$T$2:$T$65),"Misc")</f>
        <v>COTS</v>
      </c>
      <c r="O1960" t="str" cm="1">
        <f t="array" ref="O1960">IFERROR(LOOKUP(2,1/SEARCH($V$2:$V$65,G1960),$W$2:$W$65),"Misc")</f>
        <v>Fasteners</v>
      </c>
      <c r="P1960" t="str" cm="1">
        <f t="array" ref="P1960">IFERROR(LOOKUP(2,1/SEARCH($Y$2:$Y$65,G1960),$Z$2:$Z$65),"Not Defined")</f>
        <v>NUT</v>
      </c>
      <c r="Q1960" t="str" cm="1">
        <f t="array" ref="Q1960">IFERROR(LOOKUP(2,1/SEARCH($S$2:$S$65,H1960),$T$2:$T$65),"-")</f>
        <v>COTS</v>
      </c>
    </row>
    <row r="1961" spans="1:17" x14ac:dyDescent="0.25">
      <c r="A1961" t="s">
        <v>7675</v>
      </c>
      <c r="B1961" t="s">
        <v>5138</v>
      </c>
      <c r="C1961">
        <v>1</v>
      </c>
      <c r="D1961" t="s">
        <v>7518</v>
      </c>
      <c r="F1961" t="s">
        <v>5139</v>
      </c>
      <c r="G1961" t="s">
        <v>7535</v>
      </c>
      <c r="H1961" t="s">
        <v>5140</v>
      </c>
      <c r="I1961" t="s">
        <v>228</v>
      </c>
      <c r="J1961" t="s">
        <v>7703</v>
      </c>
      <c r="K1961" t="s">
        <v>7684</v>
      </c>
      <c r="L1961" t="s">
        <v>7692</v>
      </c>
      <c r="N1961" t="str" cm="1">
        <f t="array" ref="N1961">IFERROR(LOOKUP(2,1/SEARCH($S$2:$S$65,G1961),$T$2:$T$65),"Misc")</f>
        <v>COTS</v>
      </c>
      <c r="O1961" t="str" cm="1">
        <f t="array" ref="O1961">IFERROR(LOOKUP(2,1/SEARCH($V$2:$V$65,G1961),$W$2:$W$65),"Misc")</f>
        <v>Fasteners</v>
      </c>
      <c r="P1961" t="str" cm="1">
        <f t="array" ref="P1961">IFERROR(LOOKUP(2,1/SEARCH($Y$2:$Y$65,G1961),$Z$2:$Z$65),"Not Defined")</f>
        <v>WASHER</v>
      </c>
      <c r="Q1961" t="str" cm="1">
        <f t="array" ref="Q1961">IFERROR(LOOKUP(2,1/SEARCH($S$2:$S$65,H1961),$T$2:$T$65),"-")</f>
        <v>COTS</v>
      </c>
    </row>
    <row r="1962" spans="1:17" x14ac:dyDescent="0.25">
      <c r="A1962" t="s">
        <v>7675</v>
      </c>
      <c r="B1962" t="s">
        <v>5141</v>
      </c>
      <c r="C1962">
        <v>1</v>
      </c>
      <c r="D1962" t="s">
        <v>7518</v>
      </c>
      <c r="F1962" t="s">
        <v>5142</v>
      </c>
      <c r="G1962" t="s">
        <v>7536</v>
      </c>
      <c r="H1962" t="s">
        <v>5143</v>
      </c>
      <c r="I1962" t="s">
        <v>228</v>
      </c>
      <c r="J1962" t="s">
        <v>7703</v>
      </c>
      <c r="K1962" t="s">
        <v>7684</v>
      </c>
      <c r="L1962" t="s">
        <v>7685</v>
      </c>
      <c r="N1962" t="str" cm="1">
        <f t="array" ref="N1962">IFERROR(LOOKUP(2,1/SEARCH($S$2:$S$65,G1962),$T$2:$T$65),"Misc")</f>
        <v>COTS</v>
      </c>
      <c r="O1962" t="str" cm="1">
        <f t="array" ref="O1962">IFERROR(LOOKUP(2,1/SEARCH($V$2:$V$65,G1962),$W$2:$W$65),"Misc")</f>
        <v>Fasteners</v>
      </c>
      <c r="P1962" t="str" cm="1">
        <f t="array" ref="P1962">IFERROR(LOOKUP(2,1/SEARCH($Y$2:$Y$65,G1962),$Z$2:$Z$65),"Not Defined")</f>
        <v>NUT</v>
      </c>
      <c r="Q1962" t="str" cm="1">
        <f t="array" ref="Q1962">IFERROR(LOOKUP(2,1/SEARCH($S$2:$S$65,H1962),$T$2:$T$65),"-")</f>
        <v>COTS</v>
      </c>
    </row>
    <row r="1963" spans="1:17" x14ac:dyDescent="0.25">
      <c r="A1963" t="s">
        <v>7675</v>
      </c>
      <c r="B1963" t="s">
        <v>5144</v>
      </c>
      <c r="C1963">
        <v>1</v>
      </c>
      <c r="D1963" t="s">
        <v>7518</v>
      </c>
      <c r="F1963" t="s">
        <v>704</v>
      </c>
      <c r="G1963" t="s">
        <v>7120</v>
      </c>
      <c r="H1963" t="s">
        <v>705</v>
      </c>
      <c r="I1963" t="s">
        <v>255</v>
      </c>
      <c r="J1963" t="s">
        <v>7703</v>
      </c>
      <c r="K1963" t="s">
        <v>7677</v>
      </c>
      <c r="L1963" t="s">
        <v>7677</v>
      </c>
      <c r="N1963" t="str" cm="1">
        <f t="array" ref="N1963">IFERROR(LOOKUP(2,1/SEARCH($S$2:$S$65,G1963),$T$2:$T$65),"Misc")</f>
        <v>COTS</v>
      </c>
      <c r="O1963" t="str" cm="1">
        <f t="array" ref="O1963">IFERROR(LOOKUP(2,1/SEARCH($V$2:$V$65,G1963),$W$2:$W$65),"Misc")</f>
        <v>SWITCH</v>
      </c>
      <c r="P1963" t="str" cm="1">
        <f t="array" ref="P1963">IFERROR(LOOKUP(2,1/SEARCH($Y$2:$Y$65,G1963),$Z$2:$Z$65),"Not Defined")</f>
        <v>SWITCH</v>
      </c>
      <c r="Q1963" t="str" cm="1">
        <f t="array" ref="Q1963">IFERROR(LOOKUP(2,1/SEARCH($S$2:$S$65,H1963),$T$2:$T$65),"-")</f>
        <v>COTS</v>
      </c>
    </row>
    <row r="1964" spans="1:17" x14ac:dyDescent="0.25">
      <c r="A1964" t="s">
        <v>7675</v>
      </c>
      <c r="B1964" s="19">
        <v>3.15</v>
      </c>
      <c r="C1964">
        <v>1</v>
      </c>
      <c r="D1964" t="s">
        <v>7537</v>
      </c>
      <c r="F1964" t="s">
        <v>5145</v>
      </c>
      <c r="G1964" t="s">
        <v>7537</v>
      </c>
      <c r="H1964" t="s">
        <v>5146</v>
      </c>
      <c r="J1964" t="s">
        <v>7742</v>
      </c>
      <c r="K1964" t="s">
        <v>7826</v>
      </c>
      <c r="L1964" t="s">
        <v>7826</v>
      </c>
      <c r="N1964" t="str" cm="1">
        <f t="array" ref="N1964">IFERROR(LOOKUP(2,1/SEARCH($S$2:$S$65,G1964),$T$2:$T$65),"Misc")</f>
        <v>OH ASSY</v>
      </c>
      <c r="O1964" t="str" cm="1">
        <f t="array" ref="O1964">IFERROR(LOOKUP(2,1/SEARCH($V$2:$V$65,G1964),$W$2:$W$65),"Misc")</f>
        <v>OH Part</v>
      </c>
      <c r="P1964" t="str" cm="1">
        <f t="array" ref="P1964">IFERROR(LOOKUP(2,1/SEARCH($Y$2:$Y$65,G1964),$Z$2:$Z$65),"Not Defined")</f>
        <v>OH Part</v>
      </c>
      <c r="Q1964" t="str" cm="1">
        <f t="array" ref="Q1964">IFERROR(LOOKUP(2,1/SEARCH($S$2:$S$65,H1964),$T$2:$T$65),"-")</f>
        <v>OH ASSY</v>
      </c>
    </row>
    <row r="1965" spans="1:17" x14ac:dyDescent="0.25">
      <c r="A1965" t="s">
        <v>7675</v>
      </c>
      <c r="B1965" s="4" t="s">
        <v>7930</v>
      </c>
      <c r="C1965">
        <v>1</v>
      </c>
      <c r="D1965" t="s">
        <v>7537</v>
      </c>
      <c r="F1965" s="2" t="s">
        <v>7927</v>
      </c>
      <c r="G1965" s="2" t="s">
        <v>7928</v>
      </c>
      <c r="H1965" s="2" t="s">
        <v>7929</v>
      </c>
      <c r="I1965" t="s">
        <v>255</v>
      </c>
      <c r="J1965" s="2" t="s">
        <v>7682</v>
      </c>
      <c r="K1965" s="2" t="s">
        <v>7826</v>
      </c>
      <c r="L1965" s="2" t="s">
        <v>7826</v>
      </c>
      <c r="N1965" s="2" t="str" cm="1">
        <f t="array" ref="N1965">IFERROR(LOOKUP(2,1/SEARCH($S$2:$S$65,G1965),$T$2:$T$65),"Misc")</f>
        <v>OH P/N</v>
      </c>
      <c r="O1965" t="str" cm="1">
        <f t="array" ref="O1965">IFERROR(LOOKUP(2,1/SEARCH($V$2:$V$65,G1965),$W$2:$W$65),"Misc")</f>
        <v>OH Part</v>
      </c>
      <c r="P1965" t="str" cm="1">
        <f t="array" ref="P1965">IFERROR(LOOKUP(2,1/SEARCH($Y$2:$Y$65,G1965),$Z$2:$Z$65),"Not Defined")</f>
        <v>OH Part</v>
      </c>
      <c r="Q1965" t="str" cm="1">
        <f t="array" ref="Q1965">IFERROR(LOOKUP(2,1/SEARCH($S$2:$S$65,H1965),$T$2:$T$65),"-")</f>
        <v>-</v>
      </c>
    </row>
    <row r="1966" spans="1:17" x14ac:dyDescent="0.25">
      <c r="A1966" t="s">
        <v>7675</v>
      </c>
      <c r="B1966" t="s">
        <v>5147</v>
      </c>
      <c r="C1966">
        <v>1</v>
      </c>
      <c r="D1966" t="s">
        <v>7537</v>
      </c>
      <c r="F1966" t="s">
        <v>5148</v>
      </c>
      <c r="G1966" t="s">
        <v>5150</v>
      </c>
      <c r="H1966" t="s">
        <v>5149</v>
      </c>
      <c r="I1966" t="s">
        <v>293</v>
      </c>
      <c r="J1966" t="s">
        <v>7682</v>
      </c>
      <c r="K1966" t="s">
        <v>7826</v>
      </c>
      <c r="L1966" t="s">
        <v>7826</v>
      </c>
      <c r="N1966" t="str" cm="1">
        <f t="array" ref="N1966">IFERROR(LOOKUP(2,1/SEARCH($S$2:$S$65,G1966),$T$2:$T$65),"Misc")</f>
        <v>OH P/N</v>
      </c>
      <c r="O1966" t="str" cm="1">
        <f t="array" ref="O1966">IFERROR(LOOKUP(2,1/SEARCH($V$2:$V$65,G1966),$W$2:$W$65),"Misc")</f>
        <v>OH Part</v>
      </c>
      <c r="P1966" t="str" cm="1">
        <f t="array" ref="P1966">IFERROR(LOOKUP(2,1/SEARCH($Y$2:$Y$65,G1966),$Z$2:$Z$65),"Not Defined")</f>
        <v>OH Part</v>
      </c>
      <c r="Q1966" t="str" cm="1">
        <f t="array" ref="Q1966">IFERROR(LOOKUP(2,1/SEARCH($S$2:$S$65,H1966),$T$2:$T$65),"-")</f>
        <v>-</v>
      </c>
    </row>
    <row r="1967" spans="1:17" x14ac:dyDescent="0.25">
      <c r="A1967" t="s">
        <v>7675</v>
      </c>
      <c r="B1967" t="s">
        <v>5151</v>
      </c>
      <c r="C1967">
        <v>1</v>
      </c>
      <c r="D1967" t="s">
        <v>7537</v>
      </c>
      <c r="F1967" t="s">
        <v>5152</v>
      </c>
      <c r="G1967" t="s">
        <v>5154</v>
      </c>
      <c r="H1967" t="s">
        <v>5153</v>
      </c>
      <c r="I1967" t="s">
        <v>293</v>
      </c>
      <c r="J1967" t="s">
        <v>7682</v>
      </c>
      <c r="K1967" t="s">
        <v>7826</v>
      </c>
      <c r="L1967" t="s">
        <v>7826</v>
      </c>
      <c r="N1967" t="str" cm="1">
        <f t="array" ref="N1967">IFERROR(LOOKUP(2,1/SEARCH($S$2:$S$65,G1967),$T$2:$T$65),"Misc")</f>
        <v>OH P/N</v>
      </c>
      <c r="O1967" t="str" cm="1">
        <f t="array" ref="O1967">IFERROR(LOOKUP(2,1/SEARCH($V$2:$V$65,G1967),$W$2:$W$65),"Misc")</f>
        <v>OH Part</v>
      </c>
      <c r="P1967" t="str" cm="1">
        <f t="array" ref="P1967">IFERROR(LOOKUP(2,1/SEARCH($Y$2:$Y$65,G1967),$Z$2:$Z$65),"Not Defined")</f>
        <v>OH Part</v>
      </c>
      <c r="Q1967" t="str" cm="1">
        <f t="array" ref="Q1967">IFERROR(LOOKUP(2,1/SEARCH($S$2:$S$65,H1967),$T$2:$T$65),"-")</f>
        <v>-</v>
      </c>
    </row>
    <row r="1968" spans="1:17" x14ac:dyDescent="0.25">
      <c r="A1968" t="s">
        <v>7675</v>
      </c>
      <c r="B1968" t="s">
        <v>5155</v>
      </c>
      <c r="C1968">
        <v>1</v>
      </c>
      <c r="D1968" t="s">
        <v>7537</v>
      </c>
      <c r="F1968" t="s">
        <v>5156</v>
      </c>
      <c r="G1968" t="s">
        <v>5158</v>
      </c>
      <c r="H1968" t="s">
        <v>5157</v>
      </c>
      <c r="I1968" t="s">
        <v>281</v>
      </c>
      <c r="J1968" t="s">
        <v>7682</v>
      </c>
      <c r="K1968" t="s">
        <v>7826</v>
      </c>
      <c r="L1968" t="s">
        <v>7826</v>
      </c>
      <c r="N1968" t="str" cm="1">
        <f t="array" ref="N1968">IFERROR(LOOKUP(2,1/SEARCH($S$2:$S$65,G1968),$T$2:$T$65),"Misc")</f>
        <v>OH P/N</v>
      </c>
      <c r="O1968" t="str" cm="1">
        <f t="array" ref="O1968">IFERROR(LOOKUP(2,1/SEARCH($V$2:$V$65,G1968),$W$2:$W$65),"Misc")</f>
        <v>OH Part</v>
      </c>
      <c r="P1968" t="str" cm="1">
        <f t="array" ref="P1968">IFERROR(LOOKUP(2,1/SEARCH($Y$2:$Y$65,G1968),$Z$2:$Z$65),"Not Defined")</f>
        <v>OH Part</v>
      </c>
      <c r="Q1968" t="str" cm="1">
        <f t="array" ref="Q1968">IFERROR(LOOKUP(2,1/SEARCH($S$2:$S$65,H1968),$T$2:$T$65),"-")</f>
        <v>-</v>
      </c>
    </row>
    <row r="1969" spans="1:17" x14ac:dyDescent="0.25">
      <c r="A1969" t="s">
        <v>7675</v>
      </c>
      <c r="B1969" t="s">
        <v>5159</v>
      </c>
      <c r="C1969">
        <v>1</v>
      </c>
      <c r="D1969" t="s">
        <v>7537</v>
      </c>
      <c r="F1969" t="s">
        <v>704</v>
      </c>
      <c r="G1969" t="s">
        <v>7120</v>
      </c>
      <c r="H1969" t="s">
        <v>705</v>
      </c>
      <c r="I1969" t="s">
        <v>255</v>
      </c>
      <c r="J1969" t="s">
        <v>7703</v>
      </c>
      <c r="K1969" t="s">
        <v>7677</v>
      </c>
      <c r="L1969" t="s">
        <v>7677</v>
      </c>
      <c r="N1969" t="str" cm="1">
        <f t="array" ref="N1969">IFERROR(LOOKUP(2,1/SEARCH($S$2:$S$65,G1969),$T$2:$T$65),"Misc")</f>
        <v>COTS</v>
      </c>
      <c r="O1969" t="str" cm="1">
        <f t="array" ref="O1969">IFERROR(LOOKUP(2,1/SEARCH($V$2:$V$65,G1969),$W$2:$W$65),"Misc")</f>
        <v>SWITCH</v>
      </c>
      <c r="P1969" t="str" cm="1">
        <f t="array" ref="P1969">IFERROR(LOOKUP(2,1/SEARCH($Y$2:$Y$65,G1969),$Z$2:$Z$65),"Not Defined")</f>
        <v>SWITCH</v>
      </c>
      <c r="Q1969" t="str" cm="1">
        <f t="array" ref="Q1969">IFERROR(LOOKUP(2,1/SEARCH($S$2:$S$65,H1969),$T$2:$T$65),"-")</f>
        <v>COTS</v>
      </c>
    </row>
    <row r="1970" spans="1:17" x14ac:dyDescent="0.25">
      <c r="A1970" t="s">
        <v>7675</v>
      </c>
      <c r="B1970" t="s">
        <v>5160</v>
      </c>
      <c r="C1970">
        <v>2</v>
      </c>
      <c r="D1970" t="s">
        <v>7537</v>
      </c>
      <c r="F1970" t="s">
        <v>701</v>
      </c>
      <c r="G1970" t="s">
        <v>7119</v>
      </c>
      <c r="H1970" t="s">
        <v>702</v>
      </c>
      <c r="I1970" t="s">
        <v>255</v>
      </c>
      <c r="J1970" t="s">
        <v>7703</v>
      </c>
      <c r="K1970" t="s">
        <v>7684</v>
      </c>
      <c r="L1970" t="s">
        <v>7685</v>
      </c>
      <c r="N1970" t="str" cm="1">
        <f t="array" ref="N1970">IFERROR(LOOKUP(2,1/SEARCH($S$2:$S$65,G1970),$T$2:$T$65),"Misc")</f>
        <v>COTS</v>
      </c>
      <c r="O1970" t="str" cm="1">
        <f t="array" ref="O1970">IFERROR(LOOKUP(2,1/SEARCH($V$2:$V$65,G1970),$W$2:$W$65),"Misc")</f>
        <v>Fasteners</v>
      </c>
      <c r="P1970" t="str" cm="1">
        <f t="array" ref="P1970">IFERROR(LOOKUP(2,1/SEARCH($Y$2:$Y$65,G1970),$Z$2:$Z$65),"Not Defined")</f>
        <v>NUT</v>
      </c>
      <c r="Q1970" t="str" cm="1">
        <f t="array" ref="Q1970">IFERROR(LOOKUP(2,1/SEARCH($S$2:$S$65,H1970),$T$2:$T$65),"-")</f>
        <v>COTS</v>
      </c>
    </row>
    <row r="1971" spans="1:17" x14ac:dyDescent="0.25">
      <c r="A1971" t="s">
        <v>7675</v>
      </c>
      <c r="B1971" t="s">
        <v>5161</v>
      </c>
      <c r="C1971">
        <v>1</v>
      </c>
      <c r="D1971" t="s">
        <v>7537</v>
      </c>
      <c r="F1971" t="s">
        <v>698</v>
      </c>
      <c r="G1971" t="s">
        <v>7118</v>
      </c>
      <c r="H1971" t="s">
        <v>699</v>
      </c>
      <c r="I1971" t="s">
        <v>255</v>
      </c>
      <c r="J1971" t="s">
        <v>7703</v>
      </c>
      <c r="K1971" t="s">
        <v>7684</v>
      </c>
      <c r="L1971" t="s">
        <v>7692</v>
      </c>
      <c r="N1971" t="str" cm="1">
        <f t="array" ref="N1971">IFERROR(LOOKUP(2,1/SEARCH($S$2:$S$65,G1971),$T$2:$T$65),"Misc")</f>
        <v>COTS</v>
      </c>
      <c r="O1971" t="str" cm="1">
        <f t="array" ref="O1971">IFERROR(LOOKUP(2,1/SEARCH($V$2:$V$65,G1971),$W$2:$W$65),"Misc")</f>
        <v>Fasteners</v>
      </c>
      <c r="P1971" t="str" cm="1">
        <f t="array" ref="P1971">IFERROR(LOOKUP(2,1/SEARCH($Y$2:$Y$65,G1971),$Z$2:$Z$65),"Not Defined")</f>
        <v>WASHER</v>
      </c>
      <c r="Q1971" t="str" cm="1">
        <f t="array" ref="Q1971">IFERROR(LOOKUP(2,1/SEARCH($S$2:$S$65,H1971),$T$2:$T$65),"-")</f>
        <v>COTS</v>
      </c>
    </row>
    <row r="1972" spans="1:17" x14ac:dyDescent="0.25">
      <c r="A1972" t="s">
        <v>7675</v>
      </c>
      <c r="B1972" t="s">
        <v>5162</v>
      </c>
      <c r="C1972">
        <v>1</v>
      </c>
      <c r="D1972" t="s">
        <v>7537</v>
      </c>
      <c r="F1972" t="s">
        <v>695</v>
      </c>
      <c r="G1972" t="s">
        <v>7117</v>
      </c>
      <c r="H1972" t="s">
        <v>696</v>
      </c>
      <c r="I1972" t="s">
        <v>255</v>
      </c>
      <c r="J1972" t="s">
        <v>7703</v>
      </c>
      <c r="K1972" t="s">
        <v>7719</v>
      </c>
      <c r="L1972" t="s">
        <v>7719</v>
      </c>
      <c r="N1972" t="str" cm="1">
        <f t="array" ref="N1972">IFERROR(LOOKUP(2,1/SEARCH($S$2:$S$65,G1972),$T$2:$T$65),"Misc")</f>
        <v>COTS</v>
      </c>
      <c r="O1972" t="str" cm="1">
        <f t="array" ref="O1972">IFERROR(LOOKUP(2,1/SEARCH($V$2:$V$65,G1972),$W$2:$W$65),"Misc")</f>
        <v>Misc</v>
      </c>
      <c r="P1972" t="str" cm="1">
        <f t="array" ref="P1972">IFERROR(LOOKUP(2,1/SEARCH($Y$2:$Y$65,G1972),$Z$2:$Z$65),"Not Defined")</f>
        <v>Retaining Rings</v>
      </c>
      <c r="Q1972" t="str" cm="1">
        <f t="array" ref="Q1972">IFERROR(LOOKUP(2,1/SEARCH($S$2:$S$65,H1972),$T$2:$T$65),"-")</f>
        <v>COTS</v>
      </c>
    </row>
    <row r="1973" spans="1:17" x14ac:dyDescent="0.25">
      <c r="A1973" t="s">
        <v>7675</v>
      </c>
      <c r="B1973" t="s">
        <v>5163</v>
      </c>
      <c r="C1973">
        <v>1</v>
      </c>
      <c r="D1973" t="s">
        <v>7537</v>
      </c>
      <c r="F1973" t="s">
        <v>5016</v>
      </c>
      <c r="G1973" t="s">
        <v>7520</v>
      </c>
      <c r="H1973" t="s">
        <v>5017</v>
      </c>
      <c r="I1973" t="s">
        <v>255</v>
      </c>
      <c r="J1973" t="s">
        <v>7703</v>
      </c>
      <c r="K1973" t="s">
        <v>7729</v>
      </c>
      <c r="L1973" t="s">
        <v>7677</v>
      </c>
      <c r="N1973" t="str" cm="1">
        <f t="array" ref="N1973">IFERROR(LOOKUP(2,1/SEARCH($S$2:$S$65,G1973),$T$2:$T$65),"Misc")</f>
        <v>COTS</v>
      </c>
      <c r="O1973" t="str" cm="1">
        <f t="array" ref="O1973">IFERROR(LOOKUP(2,1/SEARCH($V$2:$V$65,G1973),$W$2:$W$65),"Misc")</f>
        <v>knob</v>
      </c>
      <c r="P1973" t="str" cm="1">
        <f t="array" ref="P1973">IFERROR(LOOKUP(2,1/SEARCH($Y$2:$Y$65,G1973),$Z$2:$Z$65),"Not Defined")</f>
        <v>SWITCH</v>
      </c>
      <c r="Q1973" t="str" cm="1">
        <f t="array" ref="Q1973">IFERROR(LOOKUP(2,1/SEARCH($S$2:$S$65,H1973),$T$2:$T$65),"-")</f>
        <v>COTS</v>
      </c>
    </row>
    <row r="1974" spans="1:17" x14ac:dyDescent="0.25">
      <c r="A1974" t="s">
        <v>7675</v>
      </c>
      <c r="B1974" t="s">
        <v>5164</v>
      </c>
      <c r="C1974">
        <v>3</v>
      </c>
      <c r="D1974" t="s">
        <v>7537</v>
      </c>
      <c r="F1974" t="s">
        <v>519</v>
      </c>
      <c r="G1974" t="s">
        <v>7097</v>
      </c>
      <c r="H1974" t="s">
        <v>520</v>
      </c>
      <c r="I1974" t="s">
        <v>228</v>
      </c>
      <c r="J1974" t="s">
        <v>7703</v>
      </c>
      <c r="K1974" t="s">
        <v>7684</v>
      </c>
      <c r="L1974" t="s">
        <v>7693</v>
      </c>
      <c r="N1974" t="str" cm="1">
        <f t="array" ref="N1974">IFERROR(LOOKUP(2,1/SEARCH($S$2:$S$65,G1974),$T$2:$T$65),"Misc")</f>
        <v>COTS</v>
      </c>
      <c r="O1974" t="str" cm="1">
        <f t="array" ref="O1974">IFERROR(LOOKUP(2,1/SEARCH($V$2:$V$65,G1974),$W$2:$W$65),"Misc")</f>
        <v>Fasteners</v>
      </c>
      <c r="P1974" t="str" cm="1">
        <f t="array" ref="P1974">IFERROR(LOOKUP(2,1/SEARCH($Y$2:$Y$65,G1974),$Z$2:$Z$65),"Not Defined")</f>
        <v>PHS</v>
      </c>
      <c r="Q1974" t="str" cm="1">
        <f t="array" ref="Q1974">IFERROR(LOOKUP(2,1/SEARCH($S$2:$S$65,H1974),$T$2:$T$65),"-")</f>
        <v>COTS</v>
      </c>
    </row>
    <row r="1975" spans="1:17" x14ac:dyDescent="0.25">
      <c r="A1975" t="s">
        <v>7675</v>
      </c>
      <c r="B1975" s="19">
        <v>3.16</v>
      </c>
      <c r="C1975">
        <v>1</v>
      </c>
      <c r="D1975" t="s">
        <v>7538</v>
      </c>
      <c r="F1975" t="s">
        <v>5165</v>
      </c>
      <c r="G1975" t="s">
        <v>7538</v>
      </c>
      <c r="H1975" t="s">
        <v>5166</v>
      </c>
      <c r="J1975" t="s">
        <v>7742</v>
      </c>
      <c r="K1975" t="s">
        <v>7826</v>
      </c>
      <c r="L1975" t="s">
        <v>7826</v>
      </c>
      <c r="N1975" t="str" cm="1">
        <f t="array" ref="N1975">IFERROR(LOOKUP(2,1/SEARCH($S$2:$S$65,G1975),$T$2:$T$65),"Misc")</f>
        <v>OH ASSY</v>
      </c>
      <c r="O1975" t="str" cm="1">
        <f t="array" ref="O1975">IFERROR(LOOKUP(2,1/SEARCH($V$2:$V$65,G1975),$W$2:$W$65),"Misc")</f>
        <v>OH Part</v>
      </c>
      <c r="P1975" t="str" cm="1">
        <f t="array" ref="P1975">IFERROR(LOOKUP(2,1/SEARCH($Y$2:$Y$65,G1975),$Z$2:$Z$65),"Not Defined")</f>
        <v>OH Part</v>
      </c>
      <c r="Q1975" t="str" cm="1">
        <f t="array" ref="Q1975">IFERROR(LOOKUP(2,1/SEARCH($S$2:$S$65,H1975),$T$2:$T$65),"-")</f>
        <v>OH ASSY</v>
      </c>
    </row>
    <row r="1976" spans="1:17" x14ac:dyDescent="0.25">
      <c r="A1976" t="s">
        <v>7675</v>
      </c>
      <c r="B1976" t="s">
        <v>5167</v>
      </c>
      <c r="C1976">
        <v>1</v>
      </c>
      <c r="D1976" t="s">
        <v>7538</v>
      </c>
      <c r="F1976" s="2" t="s">
        <v>5168</v>
      </c>
      <c r="G1976" s="2" t="s">
        <v>5170</v>
      </c>
      <c r="H1976" s="2" t="s">
        <v>5169</v>
      </c>
      <c r="I1976" s="2" t="s">
        <v>484</v>
      </c>
      <c r="J1976" s="2" t="s">
        <v>7682</v>
      </c>
      <c r="K1976" s="2" t="s">
        <v>7826</v>
      </c>
      <c r="L1976" s="2" t="s">
        <v>7826</v>
      </c>
      <c r="N1976" s="2" t="str" cm="1">
        <f t="array" ref="N1976">IFERROR(LOOKUP(2,1/SEARCH($S$2:$S$65,G1976),$T$2:$T$65),"Misc")</f>
        <v>OH P/N</v>
      </c>
      <c r="O1976" t="str" cm="1">
        <f t="array" ref="O1976">IFERROR(LOOKUP(2,1/SEARCH($V$2:$V$65,G1976),$W$2:$W$65),"Misc")</f>
        <v>OH Part</v>
      </c>
      <c r="P1976" t="str" cm="1">
        <f t="array" ref="P1976">IFERROR(LOOKUP(2,1/SEARCH($Y$2:$Y$65,G1976),$Z$2:$Z$65),"Not Defined")</f>
        <v>OH Part</v>
      </c>
      <c r="Q1976" t="str" cm="1">
        <f t="array" ref="Q1976">IFERROR(LOOKUP(2,1/SEARCH($S$2:$S$65,H1976),$T$2:$T$65),"-")</f>
        <v>-</v>
      </c>
    </row>
    <row r="1977" spans="1:17" x14ac:dyDescent="0.25">
      <c r="A1977" t="s">
        <v>7675</v>
      </c>
      <c r="B1977" t="s">
        <v>5171</v>
      </c>
      <c r="C1977">
        <v>1</v>
      </c>
      <c r="D1977" t="s">
        <v>7538</v>
      </c>
      <c r="F1977" t="s">
        <v>5172</v>
      </c>
      <c r="G1977" t="s">
        <v>5174</v>
      </c>
      <c r="H1977" t="s">
        <v>5173</v>
      </c>
      <c r="I1977" t="s">
        <v>293</v>
      </c>
      <c r="J1977" t="s">
        <v>7682</v>
      </c>
      <c r="K1977" t="s">
        <v>7826</v>
      </c>
      <c r="L1977" t="s">
        <v>7826</v>
      </c>
      <c r="N1977" t="str" cm="1">
        <f t="array" ref="N1977">IFERROR(LOOKUP(2,1/SEARCH($S$2:$S$65,G1977),$T$2:$T$65),"Misc")</f>
        <v>OH P/N</v>
      </c>
      <c r="O1977" t="str" cm="1">
        <f t="array" ref="O1977">IFERROR(LOOKUP(2,1/SEARCH($V$2:$V$65,G1977),$W$2:$W$65),"Misc")</f>
        <v>OH Part</v>
      </c>
      <c r="P1977" t="str" cm="1">
        <f t="array" ref="P1977">IFERROR(LOOKUP(2,1/SEARCH($Y$2:$Y$65,G1977),$Z$2:$Z$65),"Not Defined")</f>
        <v>OH Part</v>
      </c>
      <c r="Q1977" t="str" cm="1">
        <f t="array" ref="Q1977">IFERROR(LOOKUP(2,1/SEARCH($S$2:$S$65,H1977),$T$2:$T$65),"-")</f>
        <v>-</v>
      </c>
    </row>
    <row r="1978" spans="1:17" x14ac:dyDescent="0.25">
      <c r="A1978" t="s">
        <v>7675</v>
      </c>
      <c r="B1978" t="s">
        <v>5175</v>
      </c>
      <c r="C1978">
        <v>1</v>
      </c>
      <c r="D1978" t="s">
        <v>7538</v>
      </c>
      <c r="F1978" t="s">
        <v>5176</v>
      </c>
      <c r="G1978" t="s">
        <v>5178</v>
      </c>
      <c r="H1978" t="s">
        <v>5177</v>
      </c>
      <c r="I1978" t="s">
        <v>293</v>
      </c>
      <c r="J1978" t="s">
        <v>7682</v>
      </c>
      <c r="K1978" t="s">
        <v>7826</v>
      </c>
      <c r="L1978" t="s">
        <v>7826</v>
      </c>
      <c r="N1978" t="str" cm="1">
        <f t="array" ref="N1978">IFERROR(LOOKUP(2,1/SEARCH($S$2:$S$65,G1978),$T$2:$T$65),"Misc")</f>
        <v>OH P/N</v>
      </c>
      <c r="O1978" t="str" cm="1">
        <f t="array" ref="O1978">IFERROR(LOOKUP(2,1/SEARCH($V$2:$V$65,G1978),$W$2:$W$65),"Misc")</f>
        <v>OH Part</v>
      </c>
      <c r="P1978" t="str" cm="1">
        <f t="array" ref="P1978">IFERROR(LOOKUP(2,1/SEARCH($Y$2:$Y$65,G1978),$Z$2:$Z$65),"Not Defined")</f>
        <v>OH Part</v>
      </c>
      <c r="Q1978" t="str" cm="1">
        <f t="array" ref="Q1978">IFERROR(LOOKUP(2,1/SEARCH($S$2:$S$65,H1978),$T$2:$T$65),"-")</f>
        <v>-</v>
      </c>
    </row>
    <row r="1979" spans="1:17" x14ac:dyDescent="0.25">
      <c r="A1979" t="s">
        <v>7675</v>
      </c>
      <c r="B1979" t="s">
        <v>5179</v>
      </c>
      <c r="C1979">
        <v>1</v>
      </c>
      <c r="D1979" t="s">
        <v>7538</v>
      </c>
      <c r="F1979" t="s">
        <v>5180</v>
      </c>
      <c r="G1979" t="s">
        <v>5182</v>
      </c>
      <c r="H1979" t="s">
        <v>5181</v>
      </c>
      <c r="I1979" t="s">
        <v>281</v>
      </c>
      <c r="J1979" t="s">
        <v>7682</v>
      </c>
      <c r="K1979" t="s">
        <v>7826</v>
      </c>
      <c r="L1979" t="s">
        <v>7826</v>
      </c>
      <c r="N1979" t="str" cm="1">
        <f t="array" ref="N1979">IFERROR(LOOKUP(2,1/SEARCH($S$2:$S$65,G1979),$T$2:$T$65),"Misc")</f>
        <v>OH P/N</v>
      </c>
      <c r="O1979" t="str" cm="1">
        <f t="array" ref="O1979">IFERROR(LOOKUP(2,1/SEARCH($V$2:$V$65,G1979),$W$2:$W$65),"Misc")</f>
        <v>OH Part</v>
      </c>
      <c r="P1979" t="str" cm="1">
        <f t="array" ref="P1979">IFERROR(LOOKUP(2,1/SEARCH($Y$2:$Y$65,G1979),$Z$2:$Z$65),"Not Defined")</f>
        <v>OH Part</v>
      </c>
      <c r="Q1979" t="str" cm="1">
        <f t="array" ref="Q1979">IFERROR(LOOKUP(2,1/SEARCH($S$2:$S$65,H1979),$T$2:$T$65),"-")</f>
        <v>-</v>
      </c>
    </row>
    <row r="1980" spans="1:17" x14ac:dyDescent="0.25">
      <c r="A1980" t="s">
        <v>7675</v>
      </c>
      <c r="B1980" t="s">
        <v>5183</v>
      </c>
      <c r="C1980">
        <v>4</v>
      </c>
      <c r="D1980" t="s">
        <v>7538</v>
      </c>
      <c r="F1980" t="s">
        <v>701</v>
      </c>
      <c r="G1980" t="s">
        <v>7119</v>
      </c>
      <c r="H1980" t="s">
        <v>702</v>
      </c>
      <c r="I1980" t="s">
        <v>255</v>
      </c>
      <c r="J1980" t="s">
        <v>7703</v>
      </c>
      <c r="K1980" t="s">
        <v>7684</v>
      </c>
      <c r="L1980" t="s">
        <v>7685</v>
      </c>
      <c r="N1980" t="str" cm="1">
        <f t="array" ref="N1980">IFERROR(LOOKUP(2,1/SEARCH($S$2:$S$65,G1980),$T$2:$T$65),"Misc")</f>
        <v>COTS</v>
      </c>
      <c r="O1980" t="str" cm="1">
        <f t="array" ref="O1980">IFERROR(LOOKUP(2,1/SEARCH($V$2:$V$65,G1980),$W$2:$W$65),"Misc")</f>
        <v>Fasteners</v>
      </c>
      <c r="P1980" t="str" cm="1">
        <f t="array" ref="P1980">IFERROR(LOOKUP(2,1/SEARCH($Y$2:$Y$65,G1980),$Z$2:$Z$65),"Not Defined")</f>
        <v>NUT</v>
      </c>
      <c r="Q1980" t="str" cm="1">
        <f t="array" ref="Q1980">IFERROR(LOOKUP(2,1/SEARCH($S$2:$S$65,H1980),$T$2:$T$65),"-")</f>
        <v>COTS</v>
      </c>
    </row>
    <row r="1981" spans="1:17" x14ac:dyDescent="0.25">
      <c r="A1981" t="s">
        <v>7675</v>
      </c>
      <c r="B1981" t="s">
        <v>5184</v>
      </c>
      <c r="C1981">
        <v>2</v>
      </c>
      <c r="D1981" t="s">
        <v>7538</v>
      </c>
      <c r="F1981" t="s">
        <v>698</v>
      </c>
      <c r="G1981" t="s">
        <v>7118</v>
      </c>
      <c r="H1981" t="s">
        <v>699</v>
      </c>
      <c r="I1981" t="s">
        <v>255</v>
      </c>
      <c r="J1981" t="s">
        <v>7703</v>
      </c>
      <c r="K1981" t="s">
        <v>7684</v>
      </c>
      <c r="L1981" t="s">
        <v>7692</v>
      </c>
      <c r="N1981" t="str" cm="1">
        <f t="array" ref="N1981">IFERROR(LOOKUP(2,1/SEARCH($S$2:$S$65,G1981),$T$2:$T$65),"Misc")</f>
        <v>COTS</v>
      </c>
      <c r="O1981" t="str" cm="1">
        <f t="array" ref="O1981">IFERROR(LOOKUP(2,1/SEARCH($V$2:$V$65,G1981),$W$2:$W$65),"Misc")</f>
        <v>Fasteners</v>
      </c>
      <c r="P1981" t="str" cm="1">
        <f t="array" ref="P1981">IFERROR(LOOKUP(2,1/SEARCH($Y$2:$Y$65,G1981),$Z$2:$Z$65),"Not Defined")</f>
        <v>WASHER</v>
      </c>
      <c r="Q1981" t="str" cm="1">
        <f t="array" ref="Q1981">IFERROR(LOOKUP(2,1/SEARCH($S$2:$S$65,H1981),$T$2:$T$65),"-")</f>
        <v>COTS</v>
      </c>
    </row>
    <row r="1982" spans="1:17" x14ac:dyDescent="0.25">
      <c r="A1982" t="s">
        <v>7675</v>
      </c>
      <c r="B1982" t="s">
        <v>5185</v>
      </c>
      <c r="C1982">
        <v>2</v>
      </c>
      <c r="D1982" t="s">
        <v>7538</v>
      </c>
      <c r="F1982" t="s">
        <v>695</v>
      </c>
      <c r="G1982" t="s">
        <v>7117</v>
      </c>
      <c r="H1982" t="s">
        <v>696</v>
      </c>
      <c r="I1982" t="s">
        <v>255</v>
      </c>
      <c r="J1982" t="s">
        <v>7703</v>
      </c>
      <c r="K1982" t="s">
        <v>7719</v>
      </c>
      <c r="L1982" t="s">
        <v>7719</v>
      </c>
      <c r="N1982" t="str" cm="1">
        <f t="array" ref="N1982">IFERROR(LOOKUP(2,1/SEARCH($S$2:$S$65,G1982),$T$2:$T$65),"Misc")</f>
        <v>COTS</v>
      </c>
      <c r="O1982" t="str" cm="1">
        <f t="array" ref="O1982">IFERROR(LOOKUP(2,1/SEARCH($V$2:$V$65,G1982),$W$2:$W$65),"Misc")</f>
        <v>Misc</v>
      </c>
      <c r="P1982" t="str" cm="1">
        <f t="array" ref="P1982">IFERROR(LOOKUP(2,1/SEARCH($Y$2:$Y$65,G1982),$Z$2:$Z$65),"Not Defined")</f>
        <v>Retaining Rings</v>
      </c>
      <c r="Q1982" t="str" cm="1">
        <f t="array" ref="Q1982">IFERROR(LOOKUP(2,1/SEARCH($S$2:$S$65,H1982),$T$2:$T$65),"-")</f>
        <v>COTS</v>
      </c>
    </row>
    <row r="1983" spans="1:17" x14ac:dyDescent="0.25">
      <c r="A1983" t="s">
        <v>7675</v>
      </c>
      <c r="B1983" t="s">
        <v>5186</v>
      </c>
      <c r="C1983">
        <v>2</v>
      </c>
      <c r="D1983" t="s">
        <v>7538</v>
      </c>
      <c r="F1983" t="s">
        <v>692</v>
      </c>
      <c r="G1983" t="s">
        <v>7116</v>
      </c>
      <c r="H1983" t="s">
        <v>693</v>
      </c>
      <c r="I1983" t="s">
        <v>255</v>
      </c>
      <c r="J1983" t="s">
        <v>7703</v>
      </c>
      <c r="K1983" t="s">
        <v>7677</v>
      </c>
      <c r="L1983" t="s">
        <v>7677</v>
      </c>
      <c r="N1983" t="str" cm="1">
        <f t="array" ref="N1983">IFERROR(LOOKUP(2,1/SEARCH($S$2:$S$65,G1983),$T$2:$T$65),"Misc")</f>
        <v>COTS</v>
      </c>
      <c r="O1983" t="str" cm="1">
        <f t="array" ref="O1983">IFERROR(LOOKUP(2,1/SEARCH($V$2:$V$65,G1983),$W$2:$W$65),"Misc")</f>
        <v>SWITCH</v>
      </c>
      <c r="P1983" t="str" cm="1">
        <f t="array" ref="P1983">IFERROR(LOOKUP(2,1/SEARCH($Y$2:$Y$65,G1983),$Z$2:$Z$65),"Not Defined")</f>
        <v>SWITCH</v>
      </c>
      <c r="Q1983" t="str" cm="1">
        <f t="array" ref="Q1983">IFERROR(LOOKUP(2,1/SEARCH($S$2:$S$65,H1983),$T$2:$T$65),"-")</f>
        <v>COTS</v>
      </c>
    </row>
    <row r="1984" spans="1:17" x14ac:dyDescent="0.25">
      <c r="A1984" t="s">
        <v>7675</v>
      </c>
      <c r="B1984" t="s">
        <v>5187</v>
      </c>
      <c r="C1984">
        <v>2</v>
      </c>
      <c r="D1984" t="s">
        <v>7538</v>
      </c>
      <c r="F1984" t="s">
        <v>519</v>
      </c>
      <c r="G1984" t="s">
        <v>7097</v>
      </c>
      <c r="H1984" t="s">
        <v>520</v>
      </c>
      <c r="I1984" t="s">
        <v>228</v>
      </c>
      <c r="J1984" t="s">
        <v>7703</v>
      </c>
      <c r="K1984" t="s">
        <v>7684</v>
      </c>
      <c r="L1984" t="s">
        <v>7693</v>
      </c>
      <c r="N1984" t="str" cm="1">
        <f t="array" ref="N1984">IFERROR(LOOKUP(2,1/SEARCH($S$2:$S$65,G1984),$T$2:$T$65),"Misc")</f>
        <v>COTS</v>
      </c>
      <c r="O1984" t="str" cm="1">
        <f t="array" ref="O1984">IFERROR(LOOKUP(2,1/SEARCH($V$2:$V$65,G1984),$W$2:$W$65),"Misc")</f>
        <v>Fasteners</v>
      </c>
      <c r="P1984" t="str" cm="1">
        <f t="array" ref="P1984">IFERROR(LOOKUP(2,1/SEARCH($Y$2:$Y$65,G1984),$Z$2:$Z$65),"Not Defined")</f>
        <v>PHS</v>
      </c>
      <c r="Q1984" t="str" cm="1">
        <f t="array" ref="Q1984">IFERROR(LOOKUP(2,1/SEARCH($S$2:$S$65,H1984),$T$2:$T$65),"-")</f>
        <v>COTS</v>
      </c>
    </row>
    <row r="1985" spans="1:17" x14ac:dyDescent="0.25">
      <c r="A1985" t="s">
        <v>7675</v>
      </c>
      <c r="B1985" t="s">
        <v>5188</v>
      </c>
      <c r="C1985">
        <v>2</v>
      </c>
      <c r="D1985" t="s">
        <v>7538</v>
      </c>
      <c r="F1985" t="s">
        <v>941</v>
      </c>
      <c r="G1985" t="s">
        <v>7136</v>
      </c>
      <c r="H1985" t="s">
        <v>942</v>
      </c>
      <c r="I1985" t="s">
        <v>210</v>
      </c>
      <c r="J1985" t="s">
        <v>7703</v>
      </c>
      <c r="K1985" t="s">
        <v>7684</v>
      </c>
      <c r="L1985" t="s">
        <v>7685</v>
      </c>
      <c r="N1985" t="str" cm="1">
        <f t="array" ref="N1985">IFERROR(LOOKUP(2,1/SEARCH($S$2:$S$65,G1985),$T$2:$T$65),"Misc")</f>
        <v>COTS</v>
      </c>
      <c r="O1985" t="str" cm="1">
        <f t="array" ref="O1985">IFERROR(LOOKUP(2,1/SEARCH($V$2:$V$65,G1985),$W$2:$W$65),"Misc")</f>
        <v>Fasteners</v>
      </c>
      <c r="P1985" t="str" cm="1">
        <f t="array" ref="P1985">IFERROR(LOOKUP(2,1/SEARCH($Y$2:$Y$65,G1985),$Z$2:$Z$65),"Not Defined")</f>
        <v>NUT</v>
      </c>
      <c r="Q1985" t="str" cm="1">
        <f t="array" ref="Q1985">IFERROR(LOOKUP(2,1/SEARCH($S$2:$S$65,H1985),$T$2:$T$65),"-")</f>
        <v>COTS</v>
      </c>
    </row>
    <row r="1986" spans="1:17" x14ac:dyDescent="0.25">
      <c r="A1986" t="s">
        <v>7675</v>
      </c>
      <c r="B1986" s="19">
        <v>3.17</v>
      </c>
      <c r="C1986">
        <v>1</v>
      </c>
      <c r="D1986" t="s">
        <v>7539</v>
      </c>
      <c r="F1986" t="s">
        <v>5189</v>
      </c>
      <c r="G1986" t="s">
        <v>7539</v>
      </c>
      <c r="H1986" t="s">
        <v>5190</v>
      </c>
      <c r="J1986" t="s">
        <v>7742</v>
      </c>
      <c r="K1986" t="s">
        <v>7826</v>
      </c>
      <c r="L1986" t="s">
        <v>7826</v>
      </c>
      <c r="N1986" t="str" cm="1">
        <f t="array" ref="N1986">IFERROR(LOOKUP(2,1/SEARCH($S$2:$S$65,G1986),$T$2:$T$65),"Misc")</f>
        <v>OH ASSY</v>
      </c>
      <c r="O1986" t="str" cm="1">
        <f t="array" ref="O1986">IFERROR(LOOKUP(2,1/SEARCH($V$2:$V$65,G1986),$W$2:$W$65),"Misc")</f>
        <v>OH Part</v>
      </c>
      <c r="P1986" t="str" cm="1">
        <f t="array" ref="P1986">IFERROR(LOOKUP(2,1/SEARCH($Y$2:$Y$65,G1986),$Z$2:$Z$65),"Not Defined")</f>
        <v>OH Part</v>
      </c>
      <c r="Q1986" t="str" cm="1">
        <f t="array" ref="Q1986">IFERROR(LOOKUP(2,1/SEARCH($S$2:$S$65,H1986),$T$2:$T$65),"-")</f>
        <v>OH ASSY</v>
      </c>
    </row>
    <row r="1987" spans="1:17" x14ac:dyDescent="0.25">
      <c r="A1987" t="s">
        <v>7675</v>
      </c>
      <c r="B1987" t="s">
        <v>5191</v>
      </c>
      <c r="C1987">
        <v>1</v>
      </c>
      <c r="D1987" t="s">
        <v>7539</v>
      </c>
      <c r="F1987" t="s">
        <v>5192</v>
      </c>
      <c r="G1987" t="s">
        <v>5194</v>
      </c>
      <c r="H1987" t="s">
        <v>5193</v>
      </c>
      <c r="I1987" t="s">
        <v>293</v>
      </c>
      <c r="J1987" t="s">
        <v>7682</v>
      </c>
      <c r="K1987" t="s">
        <v>7826</v>
      </c>
      <c r="L1987" t="s">
        <v>7826</v>
      </c>
      <c r="N1987" t="str" cm="1">
        <f t="array" ref="N1987">IFERROR(LOOKUP(2,1/SEARCH($S$2:$S$65,G1987),$T$2:$T$65),"Misc")</f>
        <v>OH P/N</v>
      </c>
      <c r="O1987" t="str" cm="1">
        <f t="array" ref="O1987">IFERROR(LOOKUP(2,1/SEARCH($V$2:$V$65,G1987),$W$2:$W$65),"Misc")</f>
        <v>OH Part</v>
      </c>
      <c r="P1987" t="str" cm="1">
        <f t="array" ref="P1987">IFERROR(LOOKUP(2,1/SEARCH($Y$2:$Y$65,G1987),$Z$2:$Z$65),"Not Defined")</f>
        <v>OH Part</v>
      </c>
      <c r="Q1987" t="str" cm="1">
        <f t="array" ref="Q1987">IFERROR(LOOKUP(2,1/SEARCH($S$2:$S$65,H1987),$T$2:$T$65),"-")</f>
        <v>-</v>
      </c>
    </row>
    <row r="1988" spans="1:17" x14ac:dyDescent="0.25">
      <c r="A1988" t="s">
        <v>7675</v>
      </c>
      <c r="B1988" t="s">
        <v>5195</v>
      </c>
      <c r="C1988">
        <v>1</v>
      </c>
      <c r="D1988" t="s">
        <v>7539</v>
      </c>
      <c r="F1988" t="s">
        <v>5196</v>
      </c>
      <c r="G1988" t="s">
        <v>5198</v>
      </c>
      <c r="H1988" t="s">
        <v>5197</v>
      </c>
      <c r="I1988" t="s">
        <v>293</v>
      </c>
      <c r="J1988" t="s">
        <v>7682</v>
      </c>
      <c r="K1988" t="s">
        <v>7826</v>
      </c>
      <c r="L1988" t="s">
        <v>7826</v>
      </c>
      <c r="N1988" t="str" cm="1">
        <f t="array" ref="N1988">IFERROR(LOOKUP(2,1/SEARCH($S$2:$S$65,G1988),$T$2:$T$65),"Misc")</f>
        <v>OH P/N</v>
      </c>
      <c r="O1988" t="str" cm="1">
        <f t="array" ref="O1988">IFERROR(LOOKUP(2,1/SEARCH($V$2:$V$65,G1988),$W$2:$W$65),"Misc")</f>
        <v>OH Part</v>
      </c>
      <c r="P1988" t="str" cm="1">
        <f t="array" ref="P1988">IFERROR(LOOKUP(2,1/SEARCH($Y$2:$Y$65,G1988),$Z$2:$Z$65),"Not Defined")</f>
        <v>OH Part</v>
      </c>
      <c r="Q1988" t="str" cm="1">
        <f t="array" ref="Q1988">IFERROR(LOOKUP(2,1/SEARCH($S$2:$S$65,H1988),$T$2:$T$65),"-")</f>
        <v>-</v>
      </c>
    </row>
    <row r="1989" spans="1:17" x14ac:dyDescent="0.25">
      <c r="A1989" t="s">
        <v>7675</v>
      </c>
      <c r="B1989" t="s">
        <v>5199</v>
      </c>
      <c r="C1989">
        <v>1</v>
      </c>
      <c r="D1989" t="s">
        <v>7539</v>
      </c>
      <c r="F1989" t="s">
        <v>5200</v>
      </c>
      <c r="G1989" t="s">
        <v>5202</v>
      </c>
      <c r="H1989" t="s">
        <v>5201</v>
      </c>
      <c r="I1989" t="s">
        <v>281</v>
      </c>
      <c r="J1989" t="s">
        <v>7682</v>
      </c>
      <c r="K1989" t="s">
        <v>7826</v>
      </c>
      <c r="L1989" t="s">
        <v>7826</v>
      </c>
      <c r="N1989" t="str" cm="1">
        <f t="array" ref="N1989">IFERROR(LOOKUP(2,1/SEARCH($S$2:$S$65,G1989),$T$2:$T$65),"Misc")</f>
        <v>OH P/N</v>
      </c>
      <c r="O1989" t="str" cm="1">
        <f t="array" ref="O1989">IFERROR(LOOKUP(2,1/SEARCH($V$2:$V$65,G1989),$W$2:$W$65),"Misc")</f>
        <v>OH Part</v>
      </c>
      <c r="P1989" t="str" cm="1">
        <f t="array" ref="P1989">IFERROR(LOOKUP(2,1/SEARCH($Y$2:$Y$65,G1989),$Z$2:$Z$65),"Not Defined")</f>
        <v>OH Part</v>
      </c>
      <c r="Q1989" t="str" cm="1">
        <f t="array" ref="Q1989">IFERROR(LOOKUP(2,1/SEARCH($S$2:$S$65,H1989),$T$2:$T$65),"-")</f>
        <v>-</v>
      </c>
    </row>
    <row r="1990" spans="1:17" x14ac:dyDescent="0.25">
      <c r="A1990" t="s">
        <v>7675</v>
      </c>
      <c r="B1990" t="s">
        <v>5203</v>
      </c>
      <c r="C1990">
        <v>1</v>
      </c>
      <c r="D1990" t="s">
        <v>7539</v>
      </c>
      <c r="F1990" t="s">
        <v>5204</v>
      </c>
      <c r="G1990" s="2" t="s">
        <v>5206</v>
      </c>
      <c r="H1990" s="2" t="s">
        <v>5205</v>
      </c>
      <c r="I1990" s="2" t="s">
        <v>255</v>
      </c>
      <c r="J1990" s="2" t="s">
        <v>7682</v>
      </c>
      <c r="K1990" s="2" t="s">
        <v>7826</v>
      </c>
      <c r="L1990" s="2" t="s">
        <v>7826</v>
      </c>
      <c r="N1990" s="2" t="str" cm="1">
        <f t="array" ref="N1990">IFERROR(LOOKUP(2,1/SEARCH($S$2:$S$65,G1990),$T$2:$T$65),"Misc")</f>
        <v>OH P/N</v>
      </c>
      <c r="O1990" t="str" cm="1">
        <f t="array" ref="O1990">IFERROR(LOOKUP(2,1/SEARCH($V$2:$V$65,G1990),$W$2:$W$65),"Misc")</f>
        <v>OH Part</v>
      </c>
      <c r="P1990" t="str" cm="1">
        <f t="array" ref="P1990">IFERROR(LOOKUP(2,1/SEARCH($Y$2:$Y$65,G1990),$Z$2:$Z$65),"Not Defined")</f>
        <v>OH Part</v>
      </c>
      <c r="Q1990" t="str" cm="1">
        <f t="array" ref="Q1990">IFERROR(LOOKUP(2,1/SEARCH($S$2:$S$65,H1990),$T$2:$T$65),"-")</f>
        <v>-</v>
      </c>
    </row>
    <row r="1991" spans="1:17" x14ac:dyDescent="0.25">
      <c r="A1991" t="s">
        <v>7675</v>
      </c>
      <c r="B1991" t="s">
        <v>5207</v>
      </c>
      <c r="C1991">
        <v>1</v>
      </c>
      <c r="D1991" t="s">
        <v>7539</v>
      </c>
      <c r="F1991" t="s">
        <v>692</v>
      </c>
      <c r="G1991" t="s">
        <v>7116</v>
      </c>
      <c r="H1991" t="s">
        <v>693</v>
      </c>
      <c r="I1991" t="s">
        <v>255</v>
      </c>
      <c r="J1991" t="s">
        <v>7703</v>
      </c>
      <c r="K1991" t="s">
        <v>7677</v>
      </c>
      <c r="L1991" t="s">
        <v>7677</v>
      </c>
      <c r="N1991" t="str" cm="1">
        <f t="array" ref="N1991">IFERROR(LOOKUP(2,1/SEARCH($S$2:$S$65,G1991),$T$2:$T$65),"Misc")</f>
        <v>COTS</v>
      </c>
      <c r="O1991" t="str" cm="1">
        <f t="array" ref="O1991">IFERROR(LOOKUP(2,1/SEARCH($V$2:$V$65,G1991),$W$2:$W$65),"Misc")</f>
        <v>SWITCH</v>
      </c>
      <c r="P1991" t="str" cm="1">
        <f t="array" ref="P1991">IFERROR(LOOKUP(2,1/SEARCH($Y$2:$Y$65,G1991),$Z$2:$Z$65),"Not Defined")</f>
        <v>SWITCH</v>
      </c>
      <c r="Q1991" t="str" cm="1">
        <f t="array" ref="Q1991">IFERROR(LOOKUP(2,1/SEARCH($S$2:$S$65,H1991),$T$2:$T$65),"-")</f>
        <v>COTS</v>
      </c>
    </row>
    <row r="1992" spans="1:17" x14ac:dyDescent="0.25">
      <c r="A1992" t="s">
        <v>7675</v>
      </c>
      <c r="B1992" t="s">
        <v>5208</v>
      </c>
      <c r="C1992">
        <v>4</v>
      </c>
      <c r="D1992" t="s">
        <v>7539</v>
      </c>
      <c r="F1992" t="s">
        <v>701</v>
      </c>
      <c r="G1992" t="s">
        <v>7119</v>
      </c>
      <c r="H1992" t="s">
        <v>702</v>
      </c>
      <c r="I1992" t="s">
        <v>255</v>
      </c>
      <c r="J1992" t="s">
        <v>7703</v>
      </c>
      <c r="K1992" t="s">
        <v>7684</v>
      </c>
      <c r="L1992" t="s">
        <v>7685</v>
      </c>
      <c r="N1992" t="str" cm="1">
        <f t="array" ref="N1992">IFERROR(LOOKUP(2,1/SEARCH($S$2:$S$65,G1992),$T$2:$T$65),"Misc")</f>
        <v>COTS</v>
      </c>
      <c r="O1992" t="str" cm="1">
        <f t="array" ref="O1992">IFERROR(LOOKUP(2,1/SEARCH($V$2:$V$65,G1992),$W$2:$W$65),"Misc")</f>
        <v>Fasteners</v>
      </c>
      <c r="P1992" t="str" cm="1">
        <f t="array" ref="P1992">IFERROR(LOOKUP(2,1/SEARCH($Y$2:$Y$65,G1992),$Z$2:$Z$65),"Not Defined")</f>
        <v>NUT</v>
      </c>
      <c r="Q1992" t="str" cm="1">
        <f t="array" ref="Q1992">IFERROR(LOOKUP(2,1/SEARCH($S$2:$S$65,H1992),$T$2:$T$65),"-")</f>
        <v>COTS</v>
      </c>
    </row>
    <row r="1993" spans="1:17" x14ac:dyDescent="0.25">
      <c r="A1993" t="s">
        <v>7675</v>
      </c>
      <c r="B1993" t="s">
        <v>5209</v>
      </c>
      <c r="C1993">
        <v>2</v>
      </c>
      <c r="D1993" t="s">
        <v>7539</v>
      </c>
      <c r="F1993" t="s">
        <v>698</v>
      </c>
      <c r="G1993" t="s">
        <v>7118</v>
      </c>
      <c r="H1993" t="s">
        <v>699</v>
      </c>
      <c r="I1993" t="s">
        <v>255</v>
      </c>
      <c r="J1993" t="s">
        <v>7703</v>
      </c>
      <c r="K1993" t="s">
        <v>7684</v>
      </c>
      <c r="L1993" t="s">
        <v>7692</v>
      </c>
      <c r="N1993" t="str" cm="1">
        <f t="array" ref="N1993">IFERROR(LOOKUP(2,1/SEARCH($S$2:$S$65,G1993),$T$2:$T$65),"Misc")</f>
        <v>COTS</v>
      </c>
      <c r="O1993" t="str" cm="1">
        <f t="array" ref="O1993">IFERROR(LOOKUP(2,1/SEARCH($V$2:$V$65,G1993),$W$2:$W$65),"Misc")</f>
        <v>Fasteners</v>
      </c>
      <c r="P1993" t="str" cm="1">
        <f t="array" ref="P1993">IFERROR(LOOKUP(2,1/SEARCH($Y$2:$Y$65,G1993),$Z$2:$Z$65),"Not Defined")</f>
        <v>WASHER</v>
      </c>
      <c r="Q1993" t="str" cm="1">
        <f t="array" ref="Q1993">IFERROR(LOOKUP(2,1/SEARCH($S$2:$S$65,H1993),$T$2:$T$65),"-")</f>
        <v>COTS</v>
      </c>
    </row>
    <row r="1994" spans="1:17" x14ac:dyDescent="0.25">
      <c r="A1994" t="s">
        <v>7675</v>
      </c>
      <c r="B1994" t="s">
        <v>5210</v>
      </c>
      <c r="C1994">
        <v>2</v>
      </c>
      <c r="D1994" t="s">
        <v>7539</v>
      </c>
      <c r="F1994" t="s">
        <v>695</v>
      </c>
      <c r="G1994" t="s">
        <v>7117</v>
      </c>
      <c r="H1994" t="s">
        <v>696</v>
      </c>
      <c r="I1994" t="s">
        <v>255</v>
      </c>
      <c r="J1994" t="s">
        <v>7703</v>
      </c>
      <c r="K1994" t="s">
        <v>7719</v>
      </c>
      <c r="L1994" t="s">
        <v>7719</v>
      </c>
      <c r="N1994" t="str" cm="1">
        <f t="array" ref="N1994">IFERROR(LOOKUP(2,1/SEARCH($S$2:$S$65,G1994),$T$2:$T$65),"Misc")</f>
        <v>COTS</v>
      </c>
      <c r="O1994" t="str" cm="1">
        <f t="array" ref="O1994">IFERROR(LOOKUP(2,1/SEARCH($V$2:$V$65,G1994),$W$2:$W$65),"Misc")</f>
        <v>Misc</v>
      </c>
      <c r="P1994" t="str" cm="1">
        <f t="array" ref="P1994">IFERROR(LOOKUP(2,1/SEARCH($Y$2:$Y$65,G1994),$Z$2:$Z$65),"Not Defined")</f>
        <v>Retaining Rings</v>
      </c>
      <c r="Q1994" t="str" cm="1">
        <f t="array" ref="Q1994">IFERROR(LOOKUP(2,1/SEARCH($S$2:$S$65,H1994),$T$2:$T$65),"-")</f>
        <v>COTS</v>
      </c>
    </row>
    <row r="1995" spans="1:17" x14ac:dyDescent="0.25">
      <c r="A1995" t="s">
        <v>7675</v>
      </c>
      <c r="B1995" t="s">
        <v>5211</v>
      </c>
      <c r="C1995">
        <v>1</v>
      </c>
      <c r="D1995" t="s">
        <v>7539</v>
      </c>
      <c r="F1995" t="s">
        <v>5212</v>
      </c>
      <c r="G1995" t="s">
        <v>7540</v>
      </c>
      <c r="H1995" t="s">
        <v>5213</v>
      </c>
      <c r="I1995" t="s">
        <v>255</v>
      </c>
      <c r="J1995" t="s">
        <v>7703</v>
      </c>
      <c r="K1995" t="s">
        <v>7677</v>
      </c>
      <c r="L1995" t="s">
        <v>7677</v>
      </c>
      <c r="N1995" t="str" cm="1">
        <f t="array" ref="N1995">IFERROR(LOOKUP(2,1/SEARCH($S$2:$S$65,G1995),$T$2:$T$65),"Misc")</f>
        <v>COTS</v>
      </c>
      <c r="O1995" t="str" cm="1">
        <f t="array" ref="O1995">IFERROR(LOOKUP(2,1/SEARCH($V$2:$V$65,G1995),$W$2:$W$65),"Misc")</f>
        <v>SWITCH</v>
      </c>
      <c r="P1995" t="str" cm="1">
        <f t="array" ref="P1995">IFERROR(LOOKUP(2,1/SEARCH($Y$2:$Y$65,G1995),$Z$2:$Z$65),"Not Defined")</f>
        <v>SWITCH</v>
      </c>
      <c r="Q1995" t="str" cm="1">
        <f t="array" ref="Q1995">IFERROR(LOOKUP(2,1/SEARCH($S$2:$S$65,H1995),$T$2:$T$65),"-")</f>
        <v>COTS</v>
      </c>
    </row>
    <row r="1996" spans="1:17" x14ac:dyDescent="0.25">
      <c r="A1996" t="s">
        <v>7675</v>
      </c>
      <c r="B1996" t="s">
        <v>5214</v>
      </c>
      <c r="C1996">
        <v>2</v>
      </c>
      <c r="D1996" t="s">
        <v>7539</v>
      </c>
      <c r="F1996" t="s">
        <v>519</v>
      </c>
      <c r="G1996" t="s">
        <v>7097</v>
      </c>
      <c r="H1996" t="s">
        <v>520</v>
      </c>
      <c r="I1996" t="s">
        <v>228</v>
      </c>
      <c r="J1996" t="s">
        <v>7703</v>
      </c>
      <c r="K1996" t="s">
        <v>7684</v>
      </c>
      <c r="L1996" t="s">
        <v>7693</v>
      </c>
      <c r="N1996" t="str" cm="1">
        <f t="array" ref="N1996">IFERROR(LOOKUP(2,1/SEARCH($S$2:$S$65,G1996),$T$2:$T$65),"Misc")</f>
        <v>COTS</v>
      </c>
      <c r="O1996" t="str" cm="1">
        <f t="array" ref="O1996">IFERROR(LOOKUP(2,1/SEARCH($V$2:$V$65,G1996),$W$2:$W$65),"Misc")</f>
        <v>Fasteners</v>
      </c>
      <c r="P1996" t="str" cm="1">
        <f t="array" ref="P1996">IFERROR(LOOKUP(2,1/SEARCH($Y$2:$Y$65,G1996),$Z$2:$Z$65),"Not Defined")</f>
        <v>PHS</v>
      </c>
      <c r="Q1996" t="str" cm="1">
        <f t="array" ref="Q1996">IFERROR(LOOKUP(2,1/SEARCH($S$2:$S$65,H1996),$T$2:$T$65),"-")</f>
        <v>COTS</v>
      </c>
    </row>
    <row r="1997" spans="1:17" x14ac:dyDescent="0.25">
      <c r="A1997" t="s">
        <v>7675</v>
      </c>
      <c r="B1997" t="s">
        <v>5215</v>
      </c>
      <c r="C1997">
        <v>2</v>
      </c>
      <c r="D1997" t="s">
        <v>7539</v>
      </c>
      <c r="F1997" t="s">
        <v>941</v>
      </c>
      <c r="G1997" t="s">
        <v>7136</v>
      </c>
      <c r="H1997" t="s">
        <v>942</v>
      </c>
      <c r="I1997" t="s">
        <v>210</v>
      </c>
      <c r="J1997" t="s">
        <v>7703</v>
      </c>
      <c r="K1997" t="s">
        <v>7684</v>
      </c>
      <c r="L1997" t="s">
        <v>7685</v>
      </c>
      <c r="N1997" t="str" cm="1">
        <f t="array" ref="N1997">IFERROR(LOOKUP(2,1/SEARCH($S$2:$S$65,G1997),$T$2:$T$65),"Misc")</f>
        <v>COTS</v>
      </c>
      <c r="O1997" t="str" cm="1">
        <f t="array" ref="O1997">IFERROR(LOOKUP(2,1/SEARCH($V$2:$V$65,G1997),$W$2:$W$65),"Misc")</f>
        <v>Fasteners</v>
      </c>
      <c r="P1997" t="str" cm="1">
        <f t="array" ref="P1997">IFERROR(LOOKUP(2,1/SEARCH($Y$2:$Y$65,G1997),$Z$2:$Z$65),"Not Defined")</f>
        <v>NUT</v>
      </c>
      <c r="Q1997" t="str" cm="1">
        <f t="array" ref="Q1997">IFERROR(LOOKUP(2,1/SEARCH($S$2:$S$65,H1997),$T$2:$T$65),"-")</f>
        <v>COTS</v>
      </c>
    </row>
    <row r="1998" spans="1:17" x14ac:dyDescent="0.25">
      <c r="A1998" t="s">
        <v>7675</v>
      </c>
      <c r="B1998" s="19">
        <v>3.18</v>
      </c>
      <c r="C1998">
        <v>1</v>
      </c>
      <c r="D1998" t="s">
        <v>7541</v>
      </c>
      <c r="F1998" t="s">
        <v>5216</v>
      </c>
      <c r="G1998" t="s">
        <v>7541</v>
      </c>
      <c r="H1998" t="s">
        <v>5217</v>
      </c>
      <c r="J1998" t="s">
        <v>7742</v>
      </c>
      <c r="K1998" t="s">
        <v>7826</v>
      </c>
      <c r="L1998" t="s">
        <v>7826</v>
      </c>
      <c r="N1998" t="str" cm="1">
        <f t="array" ref="N1998">IFERROR(LOOKUP(2,1/SEARCH($S$2:$S$65,G1998),$T$2:$T$65),"Misc")</f>
        <v>OH ASSY</v>
      </c>
      <c r="O1998" t="str" cm="1">
        <f t="array" ref="O1998">IFERROR(LOOKUP(2,1/SEARCH($V$2:$V$65,G1998),$W$2:$W$65),"Misc")</f>
        <v>OH Part</v>
      </c>
      <c r="P1998" t="str" cm="1">
        <f t="array" ref="P1998">IFERROR(LOOKUP(2,1/SEARCH($Y$2:$Y$65,G1998),$Z$2:$Z$65),"Not Defined")</f>
        <v>OH Part</v>
      </c>
      <c r="Q1998" t="str" cm="1">
        <f t="array" ref="Q1998">IFERROR(LOOKUP(2,1/SEARCH($S$2:$S$65,H1998),$T$2:$T$65),"-")</f>
        <v>OH ASSY</v>
      </c>
    </row>
    <row r="1999" spans="1:17" x14ac:dyDescent="0.25">
      <c r="A1999" t="s">
        <v>7675</v>
      </c>
      <c r="B1999" t="s">
        <v>5218</v>
      </c>
      <c r="C1999">
        <v>1</v>
      </c>
      <c r="D1999" t="s">
        <v>7541</v>
      </c>
      <c r="F1999" t="s">
        <v>5219</v>
      </c>
      <c r="G1999" t="s">
        <v>5221</v>
      </c>
      <c r="H1999" t="s">
        <v>5220</v>
      </c>
      <c r="I1999" t="s">
        <v>255</v>
      </c>
      <c r="J1999" t="s">
        <v>7682</v>
      </c>
      <c r="K1999" t="s">
        <v>7826</v>
      </c>
      <c r="L1999" t="s">
        <v>7826</v>
      </c>
      <c r="N1999" t="str" cm="1">
        <f t="array" ref="N1999">IFERROR(LOOKUP(2,1/SEARCH($S$2:$S$65,G1999),$T$2:$T$65),"Misc")</f>
        <v>OH P/N</v>
      </c>
      <c r="O1999" t="str" cm="1">
        <f t="array" ref="O1999">IFERROR(LOOKUP(2,1/SEARCH($V$2:$V$65,G1999),$W$2:$W$65),"Misc")</f>
        <v>OH Part</v>
      </c>
      <c r="P1999" t="str" cm="1">
        <f t="array" ref="P1999">IFERROR(LOOKUP(2,1/SEARCH($Y$2:$Y$65,G1999),$Z$2:$Z$65),"Not Defined")</f>
        <v>OH Part</v>
      </c>
      <c r="Q1999" t="str" cm="1">
        <f t="array" ref="Q1999">IFERROR(LOOKUP(2,1/SEARCH($S$2:$S$65,H1999),$T$2:$T$65),"-")</f>
        <v>-</v>
      </c>
    </row>
    <row r="2000" spans="1:17" x14ac:dyDescent="0.25">
      <c r="A2000" t="s">
        <v>7675</v>
      </c>
      <c r="B2000" t="s">
        <v>5222</v>
      </c>
      <c r="C2000">
        <v>1</v>
      </c>
      <c r="D2000" t="s">
        <v>7541</v>
      </c>
      <c r="F2000" t="s">
        <v>5223</v>
      </c>
      <c r="G2000" t="s">
        <v>5225</v>
      </c>
      <c r="H2000" t="s">
        <v>5224</v>
      </c>
      <c r="I2000" t="s">
        <v>293</v>
      </c>
      <c r="J2000" t="s">
        <v>7682</v>
      </c>
      <c r="K2000" t="s">
        <v>7826</v>
      </c>
      <c r="L2000" t="s">
        <v>7826</v>
      </c>
      <c r="N2000" t="str" cm="1">
        <f t="array" ref="N2000">IFERROR(LOOKUP(2,1/SEARCH($S$2:$S$65,G2000),$T$2:$T$65),"Misc")</f>
        <v>OH P/N</v>
      </c>
      <c r="O2000" t="str" cm="1">
        <f t="array" ref="O2000">IFERROR(LOOKUP(2,1/SEARCH($V$2:$V$65,G2000),$W$2:$W$65),"Misc")</f>
        <v>OH Part</v>
      </c>
      <c r="P2000" t="str" cm="1">
        <f t="array" ref="P2000">IFERROR(LOOKUP(2,1/SEARCH($Y$2:$Y$65,G2000),$Z$2:$Z$65),"Not Defined")</f>
        <v>OH Part</v>
      </c>
      <c r="Q2000" t="str" cm="1">
        <f t="array" ref="Q2000">IFERROR(LOOKUP(2,1/SEARCH($S$2:$S$65,H2000),$T$2:$T$65),"-")</f>
        <v>-</v>
      </c>
    </row>
    <row r="2001" spans="1:17" x14ac:dyDescent="0.25">
      <c r="A2001" t="s">
        <v>7675</v>
      </c>
      <c r="B2001" t="s">
        <v>5226</v>
      </c>
      <c r="C2001">
        <v>1</v>
      </c>
      <c r="D2001" t="s">
        <v>7541</v>
      </c>
      <c r="F2001" t="s">
        <v>5227</v>
      </c>
      <c r="G2001" t="s">
        <v>5229</v>
      </c>
      <c r="H2001" t="s">
        <v>5228</v>
      </c>
      <c r="I2001" t="s">
        <v>293</v>
      </c>
      <c r="J2001" t="s">
        <v>7682</v>
      </c>
      <c r="K2001" t="s">
        <v>7826</v>
      </c>
      <c r="L2001" t="s">
        <v>7826</v>
      </c>
      <c r="N2001" t="str" cm="1">
        <f t="array" ref="N2001">IFERROR(LOOKUP(2,1/SEARCH($S$2:$S$65,G2001),$T$2:$T$65),"Misc")</f>
        <v>OH P/N</v>
      </c>
      <c r="O2001" t="str" cm="1">
        <f t="array" ref="O2001">IFERROR(LOOKUP(2,1/SEARCH($V$2:$V$65,G2001),$W$2:$W$65),"Misc")</f>
        <v>OH Part</v>
      </c>
      <c r="P2001" t="str" cm="1">
        <f t="array" ref="P2001">IFERROR(LOOKUP(2,1/SEARCH($Y$2:$Y$65,G2001),$Z$2:$Z$65),"Not Defined")</f>
        <v>OH Part</v>
      </c>
      <c r="Q2001" t="str" cm="1">
        <f t="array" ref="Q2001">IFERROR(LOOKUP(2,1/SEARCH($S$2:$S$65,H2001),$T$2:$T$65),"-")</f>
        <v>-</v>
      </c>
    </row>
    <row r="2002" spans="1:17" x14ac:dyDescent="0.25">
      <c r="A2002" t="s">
        <v>7675</v>
      </c>
      <c r="B2002" t="s">
        <v>5230</v>
      </c>
      <c r="C2002">
        <v>1</v>
      </c>
      <c r="D2002" t="s">
        <v>7541</v>
      </c>
      <c r="F2002" t="s">
        <v>5231</v>
      </c>
      <c r="G2002" t="s">
        <v>5233</v>
      </c>
      <c r="H2002" t="s">
        <v>5232</v>
      </c>
      <c r="I2002" t="s">
        <v>281</v>
      </c>
      <c r="J2002" t="s">
        <v>7682</v>
      </c>
      <c r="K2002" t="s">
        <v>7826</v>
      </c>
      <c r="L2002" t="s">
        <v>7826</v>
      </c>
      <c r="N2002" t="str" cm="1">
        <f t="array" ref="N2002">IFERROR(LOOKUP(2,1/SEARCH($S$2:$S$65,G2002),$T$2:$T$65),"Misc")</f>
        <v>OH P/N</v>
      </c>
      <c r="O2002" t="str" cm="1">
        <f t="array" ref="O2002">IFERROR(LOOKUP(2,1/SEARCH($V$2:$V$65,G2002),$W$2:$W$65),"Misc")</f>
        <v>OH Part</v>
      </c>
      <c r="P2002" t="str" cm="1">
        <f t="array" ref="P2002">IFERROR(LOOKUP(2,1/SEARCH($Y$2:$Y$65,G2002),$Z$2:$Z$65),"Not Defined")</f>
        <v>OH Part</v>
      </c>
      <c r="Q2002" t="str" cm="1">
        <f t="array" ref="Q2002">IFERROR(LOOKUP(2,1/SEARCH($S$2:$S$65,H2002),$T$2:$T$65),"-")</f>
        <v>-</v>
      </c>
    </row>
    <row r="2003" spans="1:17" x14ac:dyDescent="0.25">
      <c r="A2003" t="s">
        <v>7675</v>
      </c>
      <c r="B2003" t="s">
        <v>5234</v>
      </c>
      <c r="C2003">
        <v>1</v>
      </c>
      <c r="D2003" t="s">
        <v>7541</v>
      </c>
      <c r="F2003" t="s">
        <v>5235</v>
      </c>
      <c r="G2003" t="s">
        <v>5237</v>
      </c>
      <c r="H2003" t="s">
        <v>5236</v>
      </c>
      <c r="I2003" t="s">
        <v>13</v>
      </c>
      <c r="J2003" t="s">
        <v>7682</v>
      </c>
      <c r="K2003" t="s">
        <v>7826</v>
      </c>
      <c r="L2003" t="s">
        <v>7826</v>
      </c>
      <c r="N2003" t="str" cm="1">
        <f t="array" ref="N2003">IFERROR(LOOKUP(2,1/SEARCH($S$2:$S$65,G2003),$T$2:$T$65),"Misc")</f>
        <v>OH P/N</v>
      </c>
      <c r="O2003" t="str" cm="1">
        <f t="array" ref="O2003">IFERROR(LOOKUP(2,1/SEARCH($V$2:$V$65,G2003),$W$2:$W$65),"Misc")</f>
        <v>OH Part</v>
      </c>
      <c r="P2003" t="str" cm="1">
        <f t="array" ref="P2003">IFERROR(LOOKUP(2,1/SEARCH($Y$2:$Y$65,G2003),$Z$2:$Z$65),"Not Defined")</f>
        <v>OH Part</v>
      </c>
      <c r="Q2003" t="str" cm="1">
        <f t="array" ref="Q2003">IFERROR(LOOKUP(2,1/SEARCH($S$2:$S$65,H2003),$T$2:$T$65),"-")</f>
        <v>-</v>
      </c>
    </row>
    <row r="2004" spans="1:17" hidden="1" x14ac:dyDescent="0.25">
      <c r="A2004" t="s">
        <v>7675</v>
      </c>
      <c r="B2004" t="s">
        <v>5238</v>
      </c>
      <c r="C2004">
        <v>1</v>
      </c>
      <c r="D2004" t="s">
        <v>7541</v>
      </c>
      <c r="E2004" t="s">
        <v>4276</v>
      </c>
      <c r="F2004" t="s">
        <v>4275</v>
      </c>
      <c r="G2004" t="s">
        <v>7443</v>
      </c>
      <c r="H2004" t="s">
        <v>4276</v>
      </c>
      <c r="J2004" t="s">
        <v>7744</v>
      </c>
      <c r="K2004" t="s">
        <v>7826</v>
      </c>
      <c r="L2004" t="s">
        <v>7826</v>
      </c>
      <c r="N2004" t="str" cm="1">
        <f t="array" ref="N2004">IFERROR(LOOKUP(2,1/SEARCH($S$2:$S$65,G2004),$T$2:$T$65),"Misc")</f>
        <v>OH Common</v>
      </c>
      <c r="O2004" t="str" cm="1">
        <f t="array" ref="O2004">IFERROR(LOOKUP(2,1/SEARCH($V$2:$V$65,G2004),$W$2:$W$65),"Misc")</f>
        <v>OH Part</v>
      </c>
      <c r="P2004" t="str" cm="1">
        <f t="array" ref="P2004">IFERROR(LOOKUP(2,1/SEARCH($Y$2:$Y$65,G2004),$Z$2:$Z$65),"Not Defined")</f>
        <v>OH Part</v>
      </c>
      <c r="Q2004" t="str" cm="1">
        <f t="array" ref="Q2004">IFERROR(LOOKUP(2,1/SEARCH($S$2:$S$65,H2004),$T$2:$T$65),"-")</f>
        <v>OH ASSY</v>
      </c>
    </row>
    <row r="2005" spans="1:17" hidden="1" x14ac:dyDescent="0.25">
      <c r="A2005" t="s">
        <v>7675</v>
      </c>
      <c r="B2005" t="s">
        <v>5239</v>
      </c>
      <c r="C2005">
        <v>1</v>
      </c>
      <c r="D2005" t="s">
        <v>7541</v>
      </c>
      <c r="E2005" t="s">
        <v>4276</v>
      </c>
      <c r="F2005" t="s">
        <v>1522</v>
      </c>
      <c r="G2005" t="s">
        <v>7218</v>
      </c>
      <c r="H2005" t="s">
        <v>1523</v>
      </c>
      <c r="I2005" t="s">
        <v>255</v>
      </c>
      <c r="J2005" t="s">
        <v>7703</v>
      </c>
      <c r="K2005" t="s">
        <v>7677</v>
      </c>
      <c r="L2005" t="s">
        <v>7677</v>
      </c>
      <c r="N2005" t="str" cm="1">
        <f t="array" ref="N2005">IFERROR(LOOKUP(2,1/SEARCH($S$2:$S$65,G2005),$T$2:$T$65),"Misc")</f>
        <v>COTS</v>
      </c>
      <c r="O2005" t="str" cm="1">
        <f t="array" ref="O2005">IFERROR(LOOKUP(2,1/SEARCH($V$2:$V$65,G2005),$W$2:$W$65),"Misc")</f>
        <v>SWITCH</v>
      </c>
      <c r="P2005" t="str" cm="1">
        <f t="array" ref="P2005">IFERROR(LOOKUP(2,1/SEARCH($Y$2:$Y$65,G2005),$Z$2:$Z$65),"Not Defined")</f>
        <v>SWITCH</v>
      </c>
      <c r="Q2005" t="str" cm="1">
        <f t="array" ref="Q2005">IFERROR(LOOKUP(2,1/SEARCH($S$2:$S$65,H2005),$T$2:$T$65),"-")</f>
        <v>COTS</v>
      </c>
    </row>
    <row r="2006" spans="1:17" hidden="1" x14ac:dyDescent="0.25">
      <c r="A2006" t="s">
        <v>7675</v>
      </c>
      <c r="B2006" t="s">
        <v>5240</v>
      </c>
      <c r="C2006">
        <v>1</v>
      </c>
      <c r="D2006" t="s">
        <v>7541</v>
      </c>
      <c r="E2006" t="s">
        <v>4276</v>
      </c>
      <c r="F2006" t="s">
        <v>1516</v>
      </c>
      <c r="G2006" t="s">
        <v>7216</v>
      </c>
      <c r="H2006" t="s">
        <v>1517</v>
      </c>
      <c r="I2006" t="s">
        <v>299</v>
      </c>
      <c r="J2006" t="s">
        <v>7744</v>
      </c>
      <c r="K2006" t="s">
        <v>7826</v>
      </c>
      <c r="L2006" t="s">
        <v>7826</v>
      </c>
      <c r="N2006" t="str" cm="1">
        <f t="array" ref="N2006">IFERROR(LOOKUP(2,1/SEARCH($S$2:$S$65,G2006),$T$2:$T$65),"Misc")</f>
        <v>OH Common</v>
      </c>
      <c r="O2006" t="str" cm="1">
        <f t="array" ref="O2006">IFERROR(LOOKUP(2,1/SEARCH($V$2:$V$65,G2006),$W$2:$W$65),"Misc")</f>
        <v>OH Part</v>
      </c>
      <c r="P2006" t="str" cm="1">
        <f t="array" ref="P2006">IFERROR(LOOKUP(2,1/SEARCH($Y$2:$Y$65,G2006),$Z$2:$Z$65),"Not Defined")</f>
        <v>OH Part</v>
      </c>
      <c r="Q2006" t="str" cm="1">
        <f t="array" ref="Q2006">IFERROR(LOOKUP(2,1/SEARCH($S$2:$S$65,H2006),$T$2:$T$65),"-")</f>
        <v>COTS</v>
      </c>
    </row>
    <row r="2007" spans="1:17" x14ac:dyDescent="0.25">
      <c r="A2007" t="s">
        <v>7675</v>
      </c>
      <c r="B2007" t="s">
        <v>5241</v>
      </c>
      <c r="C2007">
        <v>1</v>
      </c>
      <c r="D2007" t="s">
        <v>7541</v>
      </c>
      <c r="F2007" t="s">
        <v>2089</v>
      </c>
      <c r="G2007" t="s">
        <v>7250</v>
      </c>
      <c r="H2007" t="s">
        <v>2090</v>
      </c>
      <c r="I2007" t="s">
        <v>228</v>
      </c>
      <c r="J2007" t="s">
        <v>7703</v>
      </c>
      <c r="K2007" t="s">
        <v>7684</v>
      </c>
      <c r="L2007" t="s">
        <v>7677</v>
      </c>
      <c r="N2007" t="str" cm="1">
        <f t="array" ref="N2007">IFERROR(LOOKUP(2,1/SEARCH($S$2:$S$65,G2007),$T$2:$T$65),"Misc")</f>
        <v>COTS</v>
      </c>
      <c r="O2007" t="str" cm="1">
        <f t="array" ref="O2007">IFERROR(LOOKUP(2,1/SEARCH($V$2:$V$65,G2007),$W$2:$W$65),"Misc")</f>
        <v>Fasteners</v>
      </c>
      <c r="P2007" t="str" cm="1">
        <f t="array" ref="P2007">IFERROR(LOOKUP(2,1/SEARCH($Y$2:$Y$65,G2007),$Z$2:$Z$65),"Not Defined")</f>
        <v>SWITCH</v>
      </c>
      <c r="Q2007" t="str" cm="1">
        <f t="array" ref="Q2007">IFERROR(LOOKUP(2,1/SEARCH($S$2:$S$65,H2007),$T$2:$T$65),"-")</f>
        <v>COTS</v>
      </c>
    </row>
    <row r="2008" spans="1:17" x14ac:dyDescent="0.25">
      <c r="A2008" t="s">
        <v>7675</v>
      </c>
      <c r="B2008" t="s">
        <v>5242</v>
      </c>
      <c r="C2008">
        <v>1</v>
      </c>
      <c r="D2008" t="s">
        <v>7541</v>
      </c>
      <c r="F2008" t="s">
        <v>4280</v>
      </c>
      <c r="G2008" t="s">
        <v>7444</v>
      </c>
      <c r="H2008" t="s">
        <v>4281</v>
      </c>
      <c r="I2008" t="s">
        <v>1265</v>
      </c>
      <c r="J2008" t="s">
        <v>7703</v>
      </c>
      <c r="K2008" t="s">
        <v>7719</v>
      </c>
      <c r="L2008" t="s">
        <v>7677</v>
      </c>
      <c r="N2008" t="str" cm="1">
        <f t="array" ref="N2008">IFERROR(LOOKUP(2,1/SEARCH($S$2:$S$65,G2008),$T$2:$T$65),"Misc")</f>
        <v>COTS</v>
      </c>
      <c r="O2008" t="str" cm="1">
        <f t="array" ref="O2008">IFERROR(LOOKUP(2,1/SEARCH($V$2:$V$65,G2008),$W$2:$W$65),"Misc")</f>
        <v>Misc</v>
      </c>
      <c r="P2008" t="str" cm="1">
        <f t="array" ref="P2008">IFERROR(LOOKUP(2,1/SEARCH($Y$2:$Y$65,G2008),$Z$2:$Z$65),"Not Defined")</f>
        <v>SWITCH</v>
      </c>
      <c r="Q2008" t="str" cm="1">
        <f t="array" ref="Q2008">IFERROR(LOOKUP(2,1/SEARCH($S$2:$S$65,H2008),$T$2:$T$65),"-")</f>
        <v>COTS</v>
      </c>
    </row>
    <row r="2009" spans="1:17" x14ac:dyDescent="0.25">
      <c r="A2009" t="s">
        <v>7675</v>
      </c>
      <c r="B2009" t="s">
        <v>5243</v>
      </c>
      <c r="C2009">
        <v>1</v>
      </c>
      <c r="D2009" t="s">
        <v>7541</v>
      </c>
      <c r="F2009" t="s">
        <v>1528</v>
      </c>
      <c r="G2009" t="s">
        <v>7220</v>
      </c>
      <c r="H2009" t="s">
        <v>1529</v>
      </c>
      <c r="I2009" t="s">
        <v>228</v>
      </c>
      <c r="J2009" t="s">
        <v>7703</v>
      </c>
      <c r="K2009" t="s">
        <v>7677</v>
      </c>
      <c r="L2009" t="s">
        <v>7685</v>
      </c>
      <c r="N2009" t="str" cm="1">
        <f t="array" ref="N2009">IFERROR(LOOKUP(2,1/SEARCH($S$2:$S$65,G2009),$T$2:$T$65),"Misc")</f>
        <v>COTS</v>
      </c>
      <c r="O2009" t="str" cm="1">
        <f t="array" ref="O2009">IFERROR(LOOKUP(2,1/SEARCH($V$2:$V$65,G2009),$W$2:$W$65),"Misc")</f>
        <v>SWITCH</v>
      </c>
      <c r="P2009" t="str" cm="1">
        <f t="array" ref="P2009">IFERROR(LOOKUP(2,1/SEARCH($Y$2:$Y$65,G2009),$Z$2:$Z$65),"Not Defined")</f>
        <v>NUT</v>
      </c>
      <c r="Q2009" t="str" cm="1">
        <f t="array" ref="Q2009">IFERROR(LOOKUP(2,1/SEARCH($S$2:$S$65,H2009),$T$2:$T$65),"-")</f>
        <v>COTS</v>
      </c>
    </row>
    <row r="2010" spans="1:17" x14ac:dyDescent="0.25">
      <c r="A2010" t="s">
        <v>7675</v>
      </c>
      <c r="B2010" t="s">
        <v>5244</v>
      </c>
      <c r="C2010">
        <v>2</v>
      </c>
      <c r="D2010" t="s">
        <v>7541</v>
      </c>
      <c r="F2010" t="s">
        <v>519</v>
      </c>
      <c r="G2010" t="s">
        <v>7097</v>
      </c>
      <c r="H2010" t="s">
        <v>520</v>
      </c>
      <c r="I2010" t="s">
        <v>228</v>
      </c>
      <c r="J2010" t="s">
        <v>7703</v>
      </c>
      <c r="K2010" t="s">
        <v>7684</v>
      </c>
      <c r="L2010" t="s">
        <v>7693</v>
      </c>
      <c r="N2010" t="str" cm="1">
        <f t="array" ref="N2010">IFERROR(LOOKUP(2,1/SEARCH($S$2:$S$65,G2010),$T$2:$T$65),"Misc")</f>
        <v>COTS</v>
      </c>
      <c r="O2010" t="str" cm="1">
        <f t="array" ref="O2010">IFERROR(LOOKUP(2,1/SEARCH($V$2:$V$65,G2010),$W$2:$W$65),"Misc")</f>
        <v>Fasteners</v>
      </c>
      <c r="P2010" t="str" cm="1">
        <f t="array" ref="P2010">IFERROR(LOOKUP(2,1/SEARCH($Y$2:$Y$65,G2010),$Z$2:$Z$65),"Not Defined")</f>
        <v>PHS</v>
      </c>
      <c r="Q2010" t="str" cm="1">
        <f t="array" ref="Q2010">IFERROR(LOOKUP(2,1/SEARCH($S$2:$S$65,H2010),$T$2:$T$65),"-")</f>
        <v>COTS</v>
      </c>
    </row>
    <row r="2011" spans="1:17" x14ac:dyDescent="0.25">
      <c r="A2011" t="s">
        <v>7675</v>
      </c>
      <c r="B2011" t="s">
        <v>5245</v>
      </c>
      <c r="C2011">
        <v>2</v>
      </c>
      <c r="D2011" t="s">
        <v>7541</v>
      </c>
      <c r="F2011" t="s">
        <v>941</v>
      </c>
      <c r="G2011" t="s">
        <v>7136</v>
      </c>
      <c r="H2011" t="s">
        <v>942</v>
      </c>
      <c r="I2011" t="s">
        <v>210</v>
      </c>
      <c r="J2011" t="s">
        <v>7703</v>
      </c>
      <c r="K2011" t="s">
        <v>7684</v>
      </c>
      <c r="L2011" t="s">
        <v>7685</v>
      </c>
      <c r="N2011" t="str" cm="1">
        <f t="array" ref="N2011">IFERROR(LOOKUP(2,1/SEARCH($S$2:$S$65,G2011),$T$2:$T$65),"Misc")</f>
        <v>COTS</v>
      </c>
      <c r="O2011" t="str" cm="1">
        <f t="array" ref="O2011">IFERROR(LOOKUP(2,1/SEARCH($V$2:$V$65,G2011),$W$2:$W$65),"Misc")</f>
        <v>Fasteners</v>
      </c>
      <c r="P2011" t="str" cm="1">
        <f t="array" ref="P2011">IFERROR(LOOKUP(2,1/SEARCH($Y$2:$Y$65,G2011),$Z$2:$Z$65),"Not Defined")</f>
        <v>NUT</v>
      </c>
      <c r="Q2011" t="str" cm="1">
        <f t="array" ref="Q2011">IFERROR(LOOKUP(2,1/SEARCH($S$2:$S$65,H2011),$T$2:$T$65),"-")</f>
        <v>COTS</v>
      </c>
    </row>
    <row r="2012" spans="1:17" x14ac:dyDescent="0.25">
      <c r="A2012" t="s">
        <v>7675</v>
      </c>
      <c r="B2012" t="s">
        <v>5246</v>
      </c>
      <c r="C2012">
        <v>1</v>
      </c>
      <c r="D2012" t="s">
        <v>7541</v>
      </c>
      <c r="F2012" t="s">
        <v>5247</v>
      </c>
      <c r="G2012" t="s">
        <v>7542</v>
      </c>
      <c r="H2012" t="s">
        <v>5248</v>
      </c>
      <c r="I2012" t="s">
        <v>255</v>
      </c>
      <c r="J2012" t="s">
        <v>7703</v>
      </c>
      <c r="K2012" t="s">
        <v>7677</v>
      </c>
      <c r="L2012" t="s">
        <v>7677</v>
      </c>
      <c r="N2012" t="str" cm="1">
        <f t="array" ref="N2012">IFERROR(LOOKUP(2,1/SEARCH($S$2:$S$65,G2012),$T$2:$T$65),"Misc")</f>
        <v>COTS</v>
      </c>
      <c r="O2012" t="str" cm="1">
        <f t="array" ref="O2012">IFERROR(LOOKUP(2,1/SEARCH($V$2:$V$65,G2012),$W$2:$W$65),"Misc")</f>
        <v>SWITCH</v>
      </c>
      <c r="P2012" t="str" cm="1">
        <f t="array" ref="P2012">IFERROR(LOOKUP(2,1/SEARCH($Y$2:$Y$65,G2012),$Z$2:$Z$65),"Not Defined")</f>
        <v>SWITCH</v>
      </c>
      <c r="Q2012" t="str" cm="1">
        <f t="array" ref="Q2012">IFERROR(LOOKUP(2,1/SEARCH($S$2:$S$65,H2012),$T$2:$T$65),"-")</f>
        <v>COTS</v>
      </c>
    </row>
    <row r="2013" spans="1:17" x14ac:dyDescent="0.25">
      <c r="A2013" t="s">
        <v>7675</v>
      </c>
      <c r="B2013" t="s">
        <v>5249</v>
      </c>
      <c r="C2013">
        <v>1</v>
      </c>
      <c r="D2013" t="s">
        <v>7541</v>
      </c>
      <c r="F2013" t="s">
        <v>4844</v>
      </c>
      <c r="G2013" t="s">
        <v>7505</v>
      </c>
      <c r="H2013" t="s">
        <v>4845</v>
      </c>
      <c r="I2013" t="s">
        <v>224</v>
      </c>
      <c r="J2013" t="s">
        <v>7703</v>
      </c>
      <c r="K2013" t="s">
        <v>7677</v>
      </c>
      <c r="L2013" t="s">
        <v>7685</v>
      </c>
      <c r="N2013" t="str" cm="1">
        <f t="array" ref="N2013">IFERROR(LOOKUP(2,1/SEARCH($S$2:$S$65,G2013),$T$2:$T$65),"Misc")</f>
        <v>COTS</v>
      </c>
      <c r="O2013" t="str" cm="1">
        <f t="array" ref="O2013">IFERROR(LOOKUP(2,1/SEARCH($V$2:$V$65,G2013),$W$2:$W$65),"Misc")</f>
        <v>SWITCH</v>
      </c>
      <c r="P2013" t="str" cm="1">
        <f t="array" ref="P2013">IFERROR(LOOKUP(2,1/SEARCH($Y$2:$Y$65,G2013),$Z$2:$Z$65),"Not Defined")</f>
        <v>NUT</v>
      </c>
      <c r="Q2013" t="str" cm="1">
        <f t="array" ref="Q2013">IFERROR(LOOKUP(2,1/SEARCH($S$2:$S$65,H2013),$T$2:$T$65),"-")</f>
        <v>COTS</v>
      </c>
    </row>
    <row r="2014" spans="1:17" x14ac:dyDescent="0.25">
      <c r="A2014" t="s">
        <v>7675</v>
      </c>
      <c r="B2014" t="s">
        <v>5250</v>
      </c>
      <c r="C2014">
        <v>4</v>
      </c>
      <c r="D2014" t="s">
        <v>7541</v>
      </c>
      <c r="F2014" t="s">
        <v>1285</v>
      </c>
      <c r="G2014" t="s">
        <v>7199</v>
      </c>
      <c r="H2014" t="s">
        <v>1286</v>
      </c>
      <c r="I2014" t="s">
        <v>210</v>
      </c>
      <c r="J2014" t="s">
        <v>7703</v>
      </c>
      <c r="K2014" t="s">
        <v>7684</v>
      </c>
      <c r="L2014" t="s">
        <v>7700</v>
      </c>
      <c r="N2014" t="str" cm="1">
        <f t="array" ref="N2014">IFERROR(LOOKUP(2,1/SEARCH($S$2:$S$65,G2014),$T$2:$T$65),"Misc")</f>
        <v>COTS</v>
      </c>
      <c r="O2014" t="str" cm="1">
        <f t="array" ref="O2014">IFERROR(LOOKUP(2,1/SEARCH($V$2:$V$65,G2014),$W$2:$W$65),"Misc")</f>
        <v>Fasteners</v>
      </c>
      <c r="P2014" t="str" cm="1">
        <f t="array" ref="P2014">IFERROR(LOOKUP(2,1/SEARCH($Y$2:$Y$65,G2014),$Z$2:$Z$65),"Not Defined")</f>
        <v>SHCS</v>
      </c>
      <c r="Q2014" t="str" cm="1">
        <f t="array" ref="Q2014">IFERROR(LOOKUP(2,1/SEARCH($S$2:$S$65,H2014),$T$2:$T$65),"-")</f>
        <v>COTS</v>
      </c>
    </row>
    <row r="2015" spans="1:17" hidden="1" x14ac:dyDescent="0.25">
      <c r="A2015" t="s">
        <v>7675</v>
      </c>
      <c r="B2015" t="s">
        <v>5251</v>
      </c>
      <c r="C2015">
        <v>1</v>
      </c>
      <c r="D2015" t="s">
        <v>7541</v>
      </c>
      <c r="E2015" t="s">
        <v>7543</v>
      </c>
      <c r="F2015" t="s">
        <v>5252</v>
      </c>
      <c r="G2015" t="s">
        <v>7543</v>
      </c>
      <c r="H2015" t="s">
        <v>5253</v>
      </c>
      <c r="J2015" t="s">
        <v>7744</v>
      </c>
      <c r="K2015" t="s">
        <v>7826</v>
      </c>
      <c r="L2015" t="s">
        <v>7826</v>
      </c>
      <c r="N2015" t="str" cm="1">
        <f t="array" ref="N2015">IFERROR(LOOKUP(2,1/SEARCH($S$2:$S$65,G2015),$T$2:$T$65),"Misc")</f>
        <v>OH Common</v>
      </c>
      <c r="O2015" t="str" cm="1">
        <f t="array" ref="O2015">IFERROR(LOOKUP(2,1/SEARCH($V$2:$V$65,G2015),$W$2:$W$65),"Misc")</f>
        <v>OH Part</v>
      </c>
      <c r="P2015" t="str" cm="1">
        <f t="array" ref="P2015">IFERROR(LOOKUP(2,1/SEARCH($Y$2:$Y$65,G2015),$Z$2:$Z$65),"Not Defined")</f>
        <v>OH Part</v>
      </c>
      <c r="Q2015" t="str" cm="1">
        <f t="array" ref="Q2015">IFERROR(LOOKUP(2,1/SEARCH($S$2:$S$65,H2015),$T$2:$T$65),"-")</f>
        <v>-</v>
      </c>
    </row>
    <row r="2016" spans="1:17" hidden="1" x14ac:dyDescent="0.25">
      <c r="A2016" t="s">
        <v>7675</v>
      </c>
      <c r="B2016" t="s">
        <v>5254</v>
      </c>
      <c r="C2016">
        <v>1</v>
      </c>
      <c r="D2016" t="s">
        <v>7541</v>
      </c>
      <c r="E2016" t="s">
        <v>7543</v>
      </c>
      <c r="F2016" t="s">
        <v>5255</v>
      </c>
      <c r="G2016" t="s">
        <v>5256</v>
      </c>
      <c r="H2016" t="s">
        <v>5253</v>
      </c>
      <c r="I2016" t="s">
        <v>358</v>
      </c>
      <c r="J2016" t="s">
        <v>7744</v>
      </c>
      <c r="K2016" t="s">
        <v>7826</v>
      </c>
      <c r="L2016" t="s">
        <v>7826</v>
      </c>
      <c r="N2016" t="str" cm="1">
        <f t="array" ref="N2016">IFERROR(LOOKUP(2,1/SEARCH($S$2:$S$65,G2016),$T$2:$T$65),"Misc")</f>
        <v>OH Common</v>
      </c>
      <c r="O2016" t="str" cm="1">
        <f t="array" ref="O2016">IFERROR(LOOKUP(2,1/SEARCH($V$2:$V$65,G2016),$W$2:$W$65),"Misc")</f>
        <v>OH Part</v>
      </c>
      <c r="P2016" t="str" cm="1">
        <f t="array" ref="P2016">IFERROR(LOOKUP(2,1/SEARCH($Y$2:$Y$65,G2016),$Z$2:$Z$65),"Not Defined")</f>
        <v>OH Part</v>
      </c>
      <c r="Q2016" t="str" cm="1">
        <f t="array" ref="Q2016">IFERROR(LOOKUP(2,1/SEARCH($S$2:$S$65,H2016),$T$2:$T$65),"-")</f>
        <v>-</v>
      </c>
    </row>
    <row r="2017" spans="1:17" hidden="1" x14ac:dyDescent="0.25">
      <c r="A2017" t="s">
        <v>7675</v>
      </c>
      <c r="B2017" t="s">
        <v>5257</v>
      </c>
      <c r="C2017">
        <v>1</v>
      </c>
      <c r="D2017" t="s">
        <v>7541</v>
      </c>
      <c r="E2017" t="s">
        <v>7543</v>
      </c>
      <c r="F2017" t="s">
        <v>1551</v>
      </c>
      <c r="G2017" t="s">
        <v>7225</v>
      </c>
      <c r="H2017" t="s">
        <v>1552</v>
      </c>
      <c r="I2017" t="s">
        <v>228</v>
      </c>
      <c r="J2017" t="s">
        <v>7703</v>
      </c>
      <c r="K2017" t="s">
        <v>7684</v>
      </c>
      <c r="L2017" t="s">
        <v>7721</v>
      </c>
      <c r="N2017" t="str" cm="1">
        <f t="array" ref="N2017">IFERROR(LOOKUP(2,1/SEARCH($S$2:$S$65,G2017),$T$2:$T$65),"Misc")</f>
        <v>COTS</v>
      </c>
      <c r="O2017" t="str" cm="1">
        <f t="array" ref="O2017">IFERROR(LOOKUP(2,1/SEARCH($V$2:$V$65,G2017),$W$2:$W$65),"Misc")</f>
        <v>Fasteners</v>
      </c>
      <c r="P2017" t="str" cm="1">
        <f t="array" ref="P2017">IFERROR(LOOKUP(2,1/SEARCH($Y$2:$Y$65,G2017),$Z$2:$Z$65),"Not Defined")</f>
        <v>SET SCREW</v>
      </c>
      <c r="Q2017" t="str" cm="1">
        <f t="array" ref="Q2017">IFERROR(LOOKUP(2,1/SEARCH($S$2:$S$65,H2017),$T$2:$T$65),"-")</f>
        <v>COTS</v>
      </c>
    </row>
    <row r="2018" spans="1:17" x14ac:dyDescent="0.25">
      <c r="A2018" t="s">
        <v>7675</v>
      </c>
      <c r="B2018" t="s">
        <v>5258</v>
      </c>
      <c r="C2018">
        <v>3</v>
      </c>
      <c r="D2018" t="s">
        <v>7541</v>
      </c>
      <c r="F2018" t="s">
        <v>5259</v>
      </c>
      <c r="G2018" t="s">
        <v>7544</v>
      </c>
      <c r="H2018" t="s">
        <v>5260</v>
      </c>
      <c r="I2018" t="s">
        <v>299</v>
      </c>
      <c r="J2018" t="s">
        <v>7703</v>
      </c>
      <c r="K2018" t="s">
        <v>7684</v>
      </c>
      <c r="L2018" t="s">
        <v>7708</v>
      </c>
      <c r="N2018" t="str" cm="1">
        <f t="array" ref="N2018">IFERROR(LOOKUP(2,1/SEARCH($S$2:$S$65,G2018),$T$2:$T$65),"Misc")</f>
        <v>COTS</v>
      </c>
      <c r="O2018" t="str" cm="1">
        <f t="array" ref="O2018">IFERROR(LOOKUP(2,1/SEARCH($V$2:$V$65,G2018),$W$2:$W$65),"Misc")</f>
        <v>Fasteners</v>
      </c>
      <c r="P2018" t="str" cm="1">
        <f t="array" ref="P2018">IFERROR(LOOKUP(2,1/SEARCH($Y$2:$Y$65,G2018),$Z$2:$Z$65),"Not Defined")</f>
        <v>STANDOFF</v>
      </c>
      <c r="Q2018" t="str" cm="1">
        <f t="array" ref="Q2018">IFERROR(LOOKUP(2,1/SEARCH($S$2:$S$65,H2018),$T$2:$T$65),"-")</f>
        <v>COTS</v>
      </c>
    </row>
    <row r="2019" spans="1:17" x14ac:dyDescent="0.25">
      <c r="A2019" t="s">
        <v>7675</v>
      </c>
      <c r="B2019" t="s">
        <v>5261</v>
      </c>
      <c r="C2019">
        <v>1</v>
      </c>
      <c r="D2019" t="s">
        <v>7541</v>
      </c>
      <c r="F2019" t="s">
        <v>932</v>
      </c>
      <c r="G2019" t="s">
        <v>7133</v>
      </c>
      <c r="H2019" t="s">
        <v>933</v>
      </c>
      <c r="I2019" t="s">
        <v>210</v>
      </c>
      <c r="J2019" t="s">
        <v>7703</v>
      </c>
      <c r="K2019" t="s">
        <v>7684</v>
      </c>
      <c r="L2019" t="s">
        <v>7685</v>
      </c>
      <c r="N2019" t="str" cm="1">
        <f t="array" ref="N2019">IFERROR(LOOKUP(2,1/SEARCH($S$2:$S$65,G2019),$T$2:$T$65),"Misc")</f>
        <v>COTS</v>
      </c>
      <c r="O2019" t="str" cm="1">
        <f t="array" ref="O2019">IFERROR(LOOKUP(2,1/SEARCH($V$2:$V$65,G2019),$W$2:$W$65),"Misc")</f>
        <v>Fasteners</v>
      </c>
      <c r="P2019" t="str" cm="1">
        <f t="array" ref="P2019">IFERROR(LOOKUP(2,1/SEARCH($Y$2:$Y$65,G2019),$Z$2:$Z$65),"Not Defined")</f>
        <v>NUT</v>
      </c>
      <c r="Q2019" t="str" cm="1">
        <f t="array" ref="Q2019">IFERROR(LOOKUP(2,1/SEARCH($S$2:$S$65,H2019),$T$2:$T$65),"-")</f>
        <v>COTS</v>
      </c>
    </row>
    <row r="2020" spans="1:17" x14ac:dyDescent="0.25">
      <c r="A2020" t="s">
        <v>7675</v>
      </c>
      <c r="B2020" t="s">
        <v>5262</v>
      </c>
      <c r="C2020">
        <v>4</v>
      </c>
      <c r="D2020" t="s">
        <v>7541</v>
      </c>
      <c r="F2020" t="s">
        <v>583</v>
      </c>
      <c r="G2020" t="s">
        <v>7106</v>
      </c>
      <c r="H2020" t="s">
        <v>584</v>
      </c>
      <c r="I2020" t="s">
        <v>299</v>
      </c>
      <c r="J2020" t="s">
        <v>7703</v>
      </c>
      <c r="K2020" t="s">
        <v>7684</v>
      </c>
      <c r="L2020" t="s">
        <v>7708</v>
      </c>
      <c r="N2020" t="str" cm="1">
        <f t="array" ref="N2020">IFERROR(LOOKUP(2,1/SEARCH($S$2:$S$65,G2020),$T$2:$T$65),"Misc")</f>
        <v>COTS</v>
      </c>
      <c r="O2020" t="str" cm="1">
        <f t="array" ref="O2020">IFERROR(LOOKUP(2,1/SEARCH($V$2:$V$65,G2020),$W$2:$W$65),"Misc")</f>
        <v>Fasteners</v>
      </c>
      <c r="P2020" t="str" cm="1">
        <f t="array" ref="P2020">IFERROR(LOOKUP(2,1/SEARCH($Y$2:$Y$65,G2020),$Z$2:$Z$65),"Not Defined")</f>
        <v>STANDOFF</v>
      </c>
      <c r="Q2020" t="str" cm="1">
        <f t="array" ref="Q2020">IFERROR(LOOKUP(2,1/SEARCH($S$2:$S$65,H2020),$T$2:$T$65),"-")</f>
        <v>COTS</v>
      </c>
    </row>
    <row r="2021" spans="1:17" x14ac:dyDescent="0.25">
      <c r="A2021" t="s">
        <v>7675</v>
      </c>
      <c r="B2021" t="s">
        <v>5263</v>
      </c>
      <c r="C2021">
        <v>1</v>
      </c>
      <c r="D2021" t="s">
        <v>7541</v>
      </c>
      <c r="F2021" t="s">
        <v>5264</v>
      </c>
      <c r="G2021" t="s">
        <v>5266</v>
      </c>
      <c r="H2021" t="s">
        <v>5265</v>
      </c>
      <c r="I2021" t="s">
        <v>293</v>
      </c>
      <c r="J2021" t="s">
        <v>7682</v>
      </c>
      <c r="K2021" t="s">
        <v>7826</v>
      </c>
      <c r="L2021" t="s">
        <v>7826</v>
      </c>
      <c r="N2021" t="str" cm="1">
        <f t="array" ref="N2021">IFERROR(LOOKUP(2,1/SEARCH($S$2:$S$65,G2021),$T$2:$T$65),"Misc")</f>
        <v>OH P/N</v>
      </c>
      <c r="O2021" t="str" cm="1">
        <f t="array" ref="O2021">IFERROR(LOOKUP(2,1/SEARCH($V$2:$V$65,G2021),$W$2:$W$65),"Misc")</f>
        <v>OH Part</v>
      </c>
      <c r="P2021" t="str" cm="1">
        <f t="array" ref="P2021">IFERROR(LOOKUP(2,1/SEARCH($Y$2:$Y$65,G2021),$Z$2:$Z$65),"Not Defined")</f>
        <v>OH Part</v>
      </c>
      <c r="Q2021" t="str" cm="1">
        <f t="array" ref="Q2021">IFERROR(LOOKUP(2,1/SEARCH($S$2:$S$65,H2021),$T$2:$T$65),"-")</f>
        <v>-</v>
      </c>
    </row>
    <row r="2022" spans="1:17" x14ac:dyDescent="0.25">
      <c r="A2022" t="s">
        <v>7675</v>
      </c>
      <c r="B2022" t="s">
        <v>5267</v>
      </c>
      <c r="C2022">
        <v>3</v>
      </c>
      <c r="D2022" t="s">
        <v>7541</v>
      </c>
      <c r="F2022" t="s">
        <v>4437</v>
      </c>
      <c r="G2022" t="s">
        <v>7455</v>
      </c>
      <c r="H2022" t="s">
        <v>4438</v>
      </c>
      <c r="I2022" t="s">
        <v>210</v>
      </c>
      <c r="J2022" t="s">
        <v>7703</v>
      </c>
      <c r="K2022" t="s">
        <v>7684</v>
      </c>
      <c r="L2022" t="s">
        <v>7693</v>
      </c>
      <c r="N2022" t="str" cm="1">
        <f t="array" ref="N2022">IFERROR(LOOKUP(2,1/SEARCH($S$2:$S$65,G2022),$T$2:$T$65),"Misc")</f>
        <v>COTS</v>
      </c>
      <c r="O2022" t="str" cm="1">
        <f t="array" ref="O2022">IFERROR(LOOKUP(2,1/SEARCH($V$2:$V$65,G2022),$W$2:$W$65),"Misc")</f>
        <v>Fasteners</v>
      </c>
      <c r="P2022" t="str" cm="1">
        <f t="array" ref="P2022">IFERROR(LOOKUP(2,1/SEARCH($Y$2:$Y$65,G2022),$Z$2:$Z$65),"Not Defined")</f>
        <v>PHS</v>
      </c>
      <c r="Q2022" t="str" cm="1">
        <f t="array" ref="Q2022">IFERROR(LOOKUP(2,1/SEARCH($S$2:$S$65,H2022),$T$2:$T$65),"-")</f>
        <v>COTS</v>
      </c>
    </row>
    <row r="2023" spans="1:17" x14ac:dyDescent="0.25">
      <c r="A2023" t="s">
        <v>7675</v>
      </c>
      <c r="B2023" t="s">
        <v>5268</v>
      </c>
      <c r="C2023">
        <v>8</v>
      </c>
      <c r="D2023" t="s">
        <v>7541</v>
      </c>
      <c r="F2023" t="s">
        <v>460</v>
      </c>
      <c r="G2023" t="s">
        <v>7090</v>
      </c>
      <c r="H2023" t="s">
        <v>461</v>
      </c>
      <c r="I2023" t="s">
        <v>224</v>
      </c>
      <c r="J2023" t="s">
        <v>7703</v>
      </c>
      <c r="K2023" t="s">
        <v>7684</v>
      </c>
      <c r="L2023" t="s">
        <v>7693</v>
      </c>
      <c r="N2023" t="str" cm="1">
        <f t="array" ref="N2023">IFERROR(LOOKUP(2,1/SEARCH($S$2:$S$65,G2023),$T$2:$T$65),"Misc")</f>
        <v>COTS</v>
      </c>
      <c r="O2023" t="str" cm="1">
        <f t="array" ref="O2023">IFERROR(LOOKUP(2,1/SEARCH($V$2:$V$65,G2023),$W$2:$W$65),"Misc")</f>
        <v>Fasteners</v>
      </c>
      <c r="P2023" t="str" cm="1">
        <f t="array" ref="P2023">IFERROR(LOOKUP(2,1/SEARCH($Y$2:$Y$65,G2023),$Z$2:$Z$65),"Not Defined")</f>
        <v>PHS</v>
      </c>
      <c r="Q2023" t="str" cm="1">
        <f t="array" ref="Q2023">IFERROR(LOOKUP(2,1/SEARCH($S$2:$S$65,H2023),$T$2:$T$65),"-")</f>
        <v>COTS</v>
      </c>
    </row>
    <row r="2024" spans="1:17" hidden="1" x14ac:dyDescent="0.25">
      <c r="A2024" t="s">
        <v>7675</v>
      </c>
      <c r="B2024" t="s">
        <v>5269</v>
      </c>
      <c r="C2024">
        <v>1</v>
      </c>
      <c r="D2024" t="s">
        <v>7541</v>
      </c>
      <c r="E2024" t="s">
        <v>614</v>
      </c>
      <c r="F2024" s="15" t="s">
        <v>613</v>
      </c>
      <c r="G2024" t="s">
        <v>7110</v>
      </c>
      <c r="H2024" t="s">
        <v>614</v>
      </c>
      <c r="I2024" t="s">
        <v>255</v>
      </c>
      <c r="J2024" t="s">
        <v>7815</v>
      </c>
      <c r="K2024" t="s">
        <v>7717</v>
      </c>
      <c r="L2024" t="s">
        <v>7717</v>
      </c>
      <c r="N2024" t="str" cm="1">
        <f t="array" ref="N2024">IFERROR(LOOKUP(2,1/SEARCH($S$2:$S$65,G2024),$T$2:$T$65),"Misc")</f>
        <v>OH ASSY</v>
      </c>
      <c r="O2024" t="str" cm="1">
        <f t="array" ref="O2024">IFERROR(LOOKUP(2,1/SEARCH($V$2:$V$65,G2024),$W$2:$W$65),"Misc")</f>
        <v>ABSIS</v>
      </c>
      <c r="P2024" t="str" cm="1">
        <f t="array" ref="P2024">IFERROR(LOOKUP(2,1/SEARCH($Y$2:$Y$65,G2024),$Z$2:$Z$65),"Not Defined")</f>
        <v>ABSIS</v>
      </c>
      <c r="Q2024" t="str" cm="1">
        <f t="array" ref="Q2024">IFERROR(LOOKUP(2,1/SEARCH($S$2:$S$65,H2024),$T$2:$T$65),"-")</f>
        <v>OH ASSY</v>
      </c>
    </row>
    <row r="2025" spans="1:17" hidden="1" x14ac:dyDescent="0.25">
      <c r="A2025" t="s">
        <v>7675</v>
      </c>
      <c r="B2025" t="s">
        <v>5270</v>
      </c>
      <c r="C2025">
        <v>1</v>
      </c>
      <c r="D2025" t="s">
        <v>7541</v>
      </c>
      <c r="E2025" t="s">
        <v>614</v>
      </c>
      <c r="F2025" s="4" t="s">
        <v>616</v>
      </c>
      <c r="G2025" t="s">
        <v>7111</v>
      </c>
      <c r="H2025" t="s">
        <v>617</v>
      </c>
      <c r="I2025" t="s">
        <v>255</v>
      </c>
      <c r="J2025" t="s">
        <v>7717</v>
      </c>
      <c r="K2025" t="s">
        <v>7717</v>
      </c>
      <c r="L2025" t="s">
        <v>7717</v>
      </c>
      <c r="N2025" t="str" cm="1">
        <f t="array" ref="N2025">IFERROR(LOOKUP(2,1/SEARCH($S$2:$S$65,G2025),$T$2:$T$65),"Misc")</f>
        <v>ABSIS</v>
      </c>
      <c r="O2025" t="str" cm="1">
        <f t="array" ref="O2025">IFERROR(LOOKUP(2,1/SEARCH($V$2:$V$65,G2025),$W$2:$W$65),"Misc")</f>
        <v>ABSIS</v>
      </c>
      <c r="P2025" t="str" cm="1">
        <f t="array" ref="P2025">IFERROR(LOOKUP(2,1/SEARCH($Y$2:$Y$65,G2025),$Z$2:$Z$65),"Not Defined")</f>
        <v>ABSIS</v>
      </c>
      <c r="Q2025" t="str" cm="1">
        <f t="array" ref="Q2025">IFERROR(LOOKUP(2,1/SEARCH($S$2:$S$65,H2025),$T$2:$T$65),"-")</f>
        <v>ABSIS</v>
      </c>
    </row>
    <row r="2026" spans="1:17" hidden="1" x14ac:dyDescent="0.25">
      <c r="A2026" t="s">
        <v>7675</v>
      </c>
      <c r="B2026" t="s">
        <v>5271</v>
      </c>
      <c r="C2026">
        <v>1</v>
      </c>
      <c r="D2026" t="s">
        <v>7541</v>
      </c>
      <c r="E2026" t="s">
        <v>614</v>
      </c>
      <c r="F2026" t="s">
        <v>596</v>
      </c>
      <c r="G2026" t="s">
        <v>7108</v>
      </c>
      <c r="H2026" t="s">
        <v>597</v>
      </c>
      <c r="I2026" t="s">
        <v>255</v>
      </c>
      <c r="J2026" t="s">
        <v>7703</v>
      </c>
      <c r="K2026" t="s">
        <v>7713</v>
      </c>
      <c r="L2026" t="s">
        <v>7713</v>
      </c>
      <c r="N2026" t="str" cm="1">
        <f t="array" ref="N2026">IFERROR(LOOKUP(2,1/SEARCH($S$2:$S$65,G2026),$T$2:$T$65),"Misc")</f>
        <v>COTS</v>
      </c>
      <c r="O2026" t="str" cm="1">
        <f t="array" ref="O2026">IFERROR(LOOKUP(2,1/SEARCH($V$2:$V$65,G2026),$W$2:$W$65),"Misc")</f>
        <v>ARDUINO</v>
      </c>
      <c r="P2026" t="str" cm="1">
        <f t="array" ref="P2026">IFERROR(LOOKUP(2,1/SEARCH($Y$2:$Y$65,G2026),$Z$2:$Z$65),"Not Defined")</f>
        <v>ARDUINO</v>
      </c>
      <c r="Q2026" t="str" cm="1">
        <f t="array" ref="Q2026">IFERROR(LOOKUP(2,1/SEARCH($S$2:$S$65,H2026),$T$2:$T$65),"-")</f>
        <v>COTS</v>
      </c>
    </row>
    <row r="2027" spans="1:17" x14ac:dyDescent="0.25">
      <c r="A2027" t="s">
        <v>7675</v>
      </c>
      <c r="B2027" s="19">
        <v>3.19</v>
      </c>
      <c r="C2027">
        <v>1</v>
      </c>
      <c r="D2027" t="s">
        <v>7545</v>
      </c>
      <c r="F2027" t="s">
        <v>5272</v>
      </c>
      <c r="G2027" t="s">
        <v>7545</v>
      </c>
      <c r="H2027" t="s">
        <v>5273</v>
      </c>
      <c r="J2027" t="s">
        <v>7742</v>
      </c>
      <c r="K2027" t="s">
        <v>7826</v>
      </c>
      <c r="L2027" t="s">
        <v>7826</v>
      </c>
      <c r="N2027" t="str" cm="1">
        <f t="array" ref="N2027">IFERROR(LOOKUP(2,1/SEARCH($S$2:$S$65,G2027),$T$2:$T$65),"Misc")</f>
        <v>OH ASSY</v>
      </c>
      <c r="O2027" t="str" cm="1">
        <f t="array" ref="O2027">IFERROR(LOOKUP(2,1/SEARCH($V$2:$V$65,G2027),$W$2:$W$65),"Misc")</f>
        <v>OH Part</v>
      </c>
      <c r="P2027" t="str" cm="1">
        <f t="array" ref="P2027">IFERROR(LOOKUP(2,1/SEARCH($Y$2:$Y$65,G2027),$Z$2:$Z$65),"Not Defined")</f>
        <v>OH Part</v>
      </c>
      <c r="Q2027" t="str" cm="1">
        <f t="array" ref="Q2027">IFERROR(LOOKUP(2,1/SEARCH($S$2:$S$65,H2027),$T$2:$T$65),"-")</f>
        <v>OH ASSY</v>
      </c>
    </row>
    <row r="2028" spans="1:17" x14ac:dyDescent="0.25">
      <c r="A2028" t="s">
        <v>7675</v>
      </c>
      <c r="B2028" t="s">
        <v>5274</v>
      </c>
      <c r="C2028">
        <v>1</v>
      </c>
      <c r="D2028" t="s">
        <v>7545</v>
      </c>
      <c r="F2028" t="s">
        <v>5275</v>
      </c>
      <c r="G2028" t="s">
        <v>5277</v>
      </c>
      <c r="H2028" t="s">
        <v>5276</v>
      </c>
      <c r="I2028" t="s">
        <v>484</v>
      </c>
      <c r="J2028" t="s">
        <v>7682</v>
      </c>
      <c r="K2028" t="s">
        <v>7826</v>
      </c>
      <c r="L2028" t="s">
        <v>7826</v>
      </c>
      <c r="N2028" t="str" cm="1">
        <f t="array" ref="N2028">IFERROR(LOOKUP(2,1/SEARCH($S$2:$S$65,G2028),$T$2:$T$65),"Misc")</f>
        <v>OH P/N</v>
      </c>
      <c r="O2028" t="str" cm="1">
        <f t="array" ref="O2028">IFERROR(LOOKUP(2,1/SEARCH($V$2:$V$65,G2028),$W$2:$W$65),"Misc")</f>
        <v>OH Part</v>
      </c>
      <c r="P2028" t="str" cm="1">
        <f t="array" ref="P2028">IFERROR(LOOKUP(2,1/SEARCH($Y$2:$Y$65,G2028),$Z$2:$Z$65),"Not Defined")</f>
        <v>OH Part</v>
      </c>
      <c r="Q2028" t="str" cm="1">
        <f t="array" ref="Q2028">IFERROR(LOOKUP(2,1/SEARCH($S$2:$S$65,H2028),$T$2:$T$65),"-")</f>
        <v>-</v>
      </c>
    </row>
    <row r="2029" spans="1:17" x14ac:dyDescent="0.25">
      <c r="A2029" t="s">
        <v>7675</v>
      </c>
      <c r="B2029" t="s">
        <v>5278</v>
      </c>
      <c r="C2029">
        <v>1</v>
      </c>
      <c r="D2029" t="s">
        <v>7545</v>
      </c>
      <c r="F2029" t="s">
        <v>5279</v>
      </c>
      <c r="G2029" t="s">
        <v>5281</v>
      </c>
      <c r="H2029" t="s">
        <v>5280</v>
      </c>
      <c r="I2029" t="s">
        <v>293</v>
      </c>
      <c r="J2029" t="s">
        <v>7682</v>
      </c>
      <c r="K2029" t="s">
        <v>7826</v>
      </c>
      <c r="L2029" t="s">
        <v>7826</v>
      </c>
      <c r="N2029" t="str" cm="1">
        <f t="array" ref="N2029">IFERROR(LOOKUP(2,1/SEARCH($S$2:$S$65,G2029),$T$2:$T$65),"Misc")</f>
        <v>OH P/N</v>
      </c>
      <c r="O2029" t="str" cm="1">
        <f t="array" ref="O2029">IFERROR(LOOKUP(2,1/SEARCH($V$2:$V$65,G2029),$W$2:$W$65),"Misc")</f>
        <v>OH Part</v>
      </c>
      <c r="P2029" t="str" cm="1">
        <f t="array" ref="P2029">IFERROR(LOOKUP(2,1/SEARCH($Y$2:$Y$65,G2029),$Z$2:$Z$65),"Not Defined")</f>
        <v>OH Part</v>
      </c>
      <c r="Q2029" t="str" cm="1">
        <f t="array" ref="Q2029">IFERROR(LOOKUP(2,1/SEARCH($S$2:$S$65,H2029),$T$2:$T$65),"-")</f>
        <v>-</v>
      </c>
    </row>
    <row r="2030" spans="1:17" x14ac:dyDescent="0.25">
      <c r="A2030" t="s">
        <v>7675</v>
      </c>
      <c r="B2030" t="s">
        <v>5282</v>
      </c>
      <c r="C2030">
        <v>1</v>
      </c>
      <c r="D2030" t="s">
        <v>7545</v>
      </c>
      <c r="F2030" t="s">
        <v>5283</v>
      </c>
      <c r="G2030" t="s">
        <v>5285</v>
      </c>
      <c r="H2030" t="s">
        <v>5284</v>
      </c>
      <c r="I2030" t="s">
        <v>293</v>
      </c>
      <c r="J2030" t="s">
        <v>7682</v>
      </c>
      <c r="K2030" t="s">
        <v>7826</v>
      </c>
      <c r="L2030" t="s">
        <v>7826</v>
      </c>
      <c r="N2030" t="str" cm="1">
        <f t="array" ref="N2030">IFERROR(LOOKUP(2,1/SEARCH($S$2:$S$65,G2030),$T$2:$T$65),"Misc")</f>
        <v>OH P/N</v>
      </c>
      <c r="O2030" t="str" cm="1">
        <f t="array" ref="O2030">IFERROR(LOOKUP(2,1/SEARCH($V$2:$V$65,G2030),$W$2:$W$65),"Misc")</f>
        <v>OH Part</v>
      </c>
      <c r="P2030" t="str" cm="1">
        <f t="array" ref="P2030">IFERROR(LOOKUP(2,1/SEARCH($Y$2:$Y$65,G2030),$Z$2:$Z$65),"Not Defined")</f>
        <v>OH Part</v>
      </c>
      <c r="Q2030" t="str" cm="1">
        <f t="array" ref="Q2030">IFERROR(LOOKUP(2,1/SEARCH($S$2:$S$65,H2030),$T$2:$T$65),"-")</f>
        <v>-</v>
      </c>
    </row>
    <row r="2031" spans="1:17" x14ac:dyDescent="0.25">
      <c r="A2031" t="s">
        <v>7675</v>
      </c>
      <c r="B2031" t="s">
        <v>5286</v>
      </c>
      <c r="C2031">
        <v>1</v>
      </c>
      <c r="D2031" t="s">
        <v>7545</v>
      </c>
      <c r="F2031" t="s">
        <v>5287</v>
      </c>
      <c r="G2031" t="s">
        <v>5289</v>
      </c>
      <c r="H2031" t="s">
        <v>5288</v>
      </c>
      <c r="I2031" t="s">
        <v>281</v>
      </c>
      <c r="J2031" t="s">
        <v>7682</v>
      </c>
      <c r="K2031" t="s">
        <v>7826</v>
      </c>
      <c r="L2031" t="s">
        <v>7826</v>
      </c>
      <c r="N2031" t="str" cm="1">
        <f t="array" ref="N2031">IFERROR(LOOKUP(2,1/SEARCH($S$2:$S$65,G2031),$T$2:$T$65),"Misc")</f>
        <v>OH P/N</v>
      </c>
      <c r="O2031" t="str" cm="1">
        <f t="array" ref="O2031">IFERROR(LOOKUP(2,1/SEARCH($V$2:$V$65,G2031),$W$2:$W$65),"Misc")</f>
        <v>OH Part</v>
      </c>
      <c r="P2031" t="str" cm="1">
        <f t="array" ref="P2031">IFERROR(LOOKUP(2,1/SEARCH($Y$2:$Y$65,G2031),$Z$2:$Z$65),"Not Defined")</f>
        <v>OH Part</v>
      </c>
      <c r="Q2031" t="str" cm="1">
        <f t="array" ref="Q2031">IFERROR(LOOKUP(2,1/SEARCH($S$2:$S$65,H2031),$T$2:$T$65),"-")</f>
        <v>-</v>
      </c>
    </row>
    <row r="2032" spans="1:17" x14ac:dyDescent="0.25">
      <c r="A2032" t="s">
        <v>7675</v>
      </c>
      <c r="B2032" t="s">
        <v>5290</v>
      </c>
      <c r="C2032">
        <v>2</v>
      </c>
      <c r="D2032" t="s">
        <v>7545</v>
      </c>
      <c r="F2032" t="s">
        <v>519</v>
      </c>
      <c r="G2032" t="s">
        <v>7097</v>
      </c>
      <c r="H2032" t="s">
        <v>520</v>
      </c>
      <c r="I2032" t="s">
        <v>228</v>
      </c>
      <c r="J2032" t="s">
        <v>7703</v>
      </c>
      <c r="K2032" t="s">
        <v>7684</v>
      </c>
      <c r="L2032" t="s">
        <v>7693</v>
      </c>
      <c r="N2032" t="str" cm="1">
        <f t="array" ref="N2032">IFERROR(LOOKUP(2,1/SEARCH($S$2:$S$65,G2032),$T$2:$T$65),"Misc")</f>
        <v>COTS</v>
      </c>
      <c r="O2032" t="str" cm="1">
        <f t="array" ref="O2032">IFERROR(LOOKUP(2,1/SEARCH($V$2:$V$65,G2032),$W$2:$W$65),"Misc")</f>
        <v>Fasteners</v>
      </c>
      <c r="P2032" t="str" cm="1">
        <f t="array" ref="P2032">IFERROR(LOOKUP(2,1/SEARCH($Y$2:$Y$65,G2032),$Z$2:$Z$65),"Not Defined")</f>
        <v>PHS</v>
      </c>
      <c r="Q2032" t="str" cm="1">
        <f t="array" ref="Q2032">IFERROR(LOOKUP(2,1/SEARCH($S$2:$S$65,H2032),$T$2:$T$65),"-")</f>
        <v>COTS</v>
      </c>
    </row>
    <row r="2033" spans="1:17" x14ac:dyDescent="0.25">
      <c r="A2033" t="s">
        <v>7675</v>
      </c>
      <c r="B2033" t="s">
        <v>5291</v>
      </c>
      <c r="C2033">
        <v>2</v>
      </c>
      <c r="D2033" t="s">
        <v>7545</v>
      </c>
      <c r="F2033" t="s">
        <v>941</v>
      </c>
      <c r="G2033" t="s">
        <v>7136</v>
      </c>
      <c r="H2033" t="s">
        <v>942</v>
      </c>
      <c r="I2033" t="s">
        <v>210</v>
      </c>
      <c r="J2033" t="s">
        <v>7703</v>
      </c>
      <c r="K2033" t="s">
        <v>7684</v>
      </c>
      <c r="L2033" t="s">
        <v>7685</v>
      </c>
      <c r="N2033" t="str" cm="1">
        <f t="array" ref="N2033">IFERROR(LOOKUP(2,1/SEARCH($S$2:$S$65,G2033),$T$2:$T$65),"Misc")</f>
        <v>COTS</v>
      </c>
      <c r="O2033" t="str" cm="1">
        <f t="array" ref="O2033">IFERROR(LOOKUP(2,1/SEARCH($V$2:$V$65,G2033),$W$2:$W$65),"Misc")</f>
        <v>Fasteners</v>
      </c>
      <c r="P2033" t="str" cm="1">
        <f t="array" ref="P2033">IFERROR(LOOKUP(2,1/SEARCH($Y$2:$Y$65,G2033),$Z$2:$Z$65),"Not Defined")</f>
        <v>NUT</v>
      </c>
      <c r="Q2033" t="str" cm="1">
        <f t="array" ref="Q2033">IFERROR(LOOKUP(2,1/SEARCH($S$2:$S$65,H2033),$T$2:$T$65),"-")</f>
        <v>COTS</v>
      </c>
    </row>
    <row r="2034" spans="1:17" x14ac:dyDescent="0.25">
      <c r="A2034" t="s">
        <v>7675</v>
      </c>
      <c r="B2034" t="s">
        <v>5292</v>
      </c>
      <c r="C2034">
        <v>2</v>
      </c>
      <c r="D2034" t="s">
        <v>7545</v>
      </c>
      <c r="F2034" t="s">
        <v>701</v>
      </c>
      <c r="G2034" t="s">
        <v>7119</v>
      </c>
      <c r="H2034" t="s">
        <v>702</v>
      </c>
      <c r="I2034" t="s">
        <v>255</v>
      </c>
      <c r="J2034" t="s">
        <v>7703</v>
      </c>
      <c r="K2034" t="s">
        <v>7684</v>
      </c>
      <c r="L2034" t="s">
        <v>7685</v>
      </c>
      <c r="N2034" t="str" cm="1">
        <f t="array" ref="N2034">IFERROR(LOOKUP(2,1/SEARCH($S$2:$S$65,G2034),$T$2:$T$65),"Misc")</f>
        <v>COTS</v>
      </c>
      <c r="O2034" t="str" cm="1">
        <f t="array" ref="O2034">IFERROR(LOOKUP(2,1/SEARCH($V$2:$V$65,G2034),$W$2:$W$65),"Misc")</f>
        <v>Fasteners</v>
      </c>
      <c r="P2034" t="str" cm="1">
        <f t="array" ref="P2034">IFERROR(LOOKUP(2,1/SEARCH($Y$2:$Y$65,G2034),$Z$2:$Z$65),"Not Defined")</f>
        <v>NUT</v>
      </c>
      <c r="Q2034" t="str" cm="1">
        <f t="array" ref="Q2034">IFERROR(LOOKUP(2,1/SEARCH($S$2:$S$65,H2034),$T$2:$T$65),"-")</f>
        <v>COTS</v>
      </c>
    </row>
    <row r="2035" spans="1:17" x14ac:dyDescent="0.25">
      <c r="A2035" t="s">
        <v>7675</v>
      </c>
      <c r="B2035" t="s">
        <v>5293</v>
      </c>
      <c r="C2035">
        <v>1</v>
      </c>
      <c r="D2035" t="s">
        <v>7545</v>
      </c>
      <c r="F2035" t="s">
        <v>5294</v>
      </c>
      <c r="G2035" t="s">
        <v>7546</v>
      </c>
      <c r="H2035" t="s">
        <v>5295</v>
      </c>
      <c r="I2035" t="s">
        <v>255</v>
      </c>
      <c r="J2035" t="s">
        <v>7703</v>
      </c>
      <c r="K2035" t="s">
        <v>7814</v>
      </c>
      <c r="L2035" t="s">
        <v>7834</v>
      </c>
      <c r="N2035" t="str" cm="1">
        <f t="array" ref="N2035">IFERROR(LOOKUP(2,1/SEARCH($S$2:$S$65,G2035),$T$2:$T$65),"Misc")</f>
        <v>Misc</v>
      </c>
      <c r="O2035" t="str" cm="1">
        <f t="array" ref="O2035">IFERROR(LOOKUP(2,1/SEARCH($V$2:$V$65,G2035),$W$2:$W$65),"Misc")</f>
        <v>Misc</v>
      </c>
      <c r="P2035" t="str" cm="1">
        <f t="array" ref="P2035">IFERROR(LOOKUP(2,1/SEARCH($Y$2:$Y$65,G2035),$Z$2:$Z$65),"Not Defined")</f>
        <v>Not Defined</v>
      </c>
      <c r="Q2035" t="str" cm="1">
        <f t="array" ref="Q2035">IFERROR(LOOKUP(2,1/SEARCH($S$2:$S$65,H2035),$T$2:$T$65),"-")</f>
        <v>-</v>
      </c>
    </row>
    <row r="2036" spans="1:17" x14ac:dyDescent="0.25">
      <c r="A2036" t="s">
        <v>7675</v>
      </c>
      <c r="B2036" t="s">
        <v>5296</v>
      </c>
      <c r="C2036">
        <v>1</v>
      </c>
      <c r="D2036" t="s">
        <v>7545</v>
      </c>
      <c r="F2036" t="s">
        <v>5297</v>
      </c>
      <c r="G2036" t="s">
        <v>7547</v>
      </c>
      <c r="H2036" t="s">
        <v>5298</v>
      </c>
      <c r="I2036" t="s">
        <v>255</v>
      </c>
      <c r="J2036" t="s">
        <v>7703</v>
      </c>
      <c r="K2036" t="s">
        <v>7814</v>
      </c>
      <c r="L2036" t="s">
        <v>7718</v>
      </c>
      <c r="N2036" t="str" cm="1">
        <f t="array" ref="N2036">IFERROR(LOOKUP(2,1/SEARCH($S$2:$S$65,G2036),$T$2:$T$65),"Misc")</f>
        <v>COTS</v>
      </c>
      <c r="O2036" t="str" cm="1">
        <f t="array" ref="O2036">IFERROR(LOOKUP(2,1/SEARCH($V$2:$V$65,G2036),$W$2:$W$65),"Misc")</f>
        <v>Misc</v>
      </c>
      <c r="P2036" t="str" cm="1">
        <f t="array" ref="P2036">IFERROR(LOOKUP(2,1/SEARCH($Y$2:$Y$65,G2036),$Z$2:$Z$65),"Not Defined")</f>
        <v>LED</v>
      </c>
      <c r="Q2036" t="str" cm="1">
        <f t="array" ref="Q2036">IFERROR(LOOKUP(2,1/SEARCH($S$2:$S$65,H2036),$T$2:$T$65),"-")</f>
        <v>COTS</v>
      </c>
    </row>
    <row r="2037" spans="1:17" x14ac:dyDescent="0.25">
      <c r="A2037" t="s">
        <v>7675</v>
      </c>
      <c r="B2037" t="s">
        <v>5299</v>
      </c>
      <c r="C2037">
        <v>1</v>
      </c>
      <c r="D2037" t="s">
        <v>7545</v>
      </c>
      <c r="F2037" t="s">
        <v>5300</v>
      </c>
      <c r="G2037" t="s">
        <v>7548</v>
      </c>
      <c r="H2037" t="s">
        <v>5301</v>
      </c>
      <c r="I2037" t="s">
        <v>255</v>
      </c>
      <c r="J2037" t="s">
        <v>7703</v>
      </c>
      <c r="K2037" t="s">
        <v>7814</v>
      </c>
      <c r="L2037" t="s">
        <v>7834</v>
      </c>
      <c r="N2037" t="str" cm="1">
        <f t="array" ref="N2037">IFERROR(LOOKUP(2,1/SEARCH($S$2:$S$65,G2037),$T$2:$T$65),"Misc")</f>
        <v>Misc</v>
      </c>
      <c r="O2037" t="str" cm="1">
        <f t="array" ref="O2037">IFERROR(LOOKUP(2,1/SEARCH($V$2:$V$65,G2037),$W$2:$W$65),"Misc")</f>
        <v>Misc</v>
      </c>
      <c r="P2037" t="str" cm="1">
        <f t="array" ref="P2037">IFERROR(LOOKUP(2,1/SEARCH($Y$2:$Y$65,G2037),$Z$2:$Z$65),"Not Defined")</f>
        <v>Not Defined</v>
      </c>
      <c r="Q2037" t="str" cm="1">
        <f t="array" ref="Q2037">IFERROR(LOOKUP(2,1/SEARCH($S$2:$S$65,H2037),$T$2:$T$65),"-")</f>
        <v>-</v>
      </c>
    </row>
    <row r="2038" spans="1:17" hidden="1" x14ac:dyDescent="0.25">
      <c r="A2038" t="s">
        <v>7675</v>
      </c>
      <c r="B2038" t="s">
        <v>5302</v>
      </c>
      <c r="C2038">
        <v>1</v>
      </c>
      <c r="D2038" t="s">
        <v>7545</v>
      </c>
      <c r="E2038" t="s">
        <v>4770</v>
      </c>
      <c r="F2038" t="s">
        <v>4769</v>
      </c>
      <c r="G2038" t="s">
        <v>7492</v>
      </c>
      <c r="H2038" t="s">
        <v>4770</v>
      </c>
      <c r="J2038" t="s">
        <v>7744</v>
      </c>
      <c r="K2038" t="s">
        <v>7826</v>
      </c>
      <c r="L2038" t="s">
        <v>7826</v>
      </c>
      <c r="N2038" t="str" cm="1">
        <f t="array" ref="N2038">IFERROR(LOOKUP(2,1/SEARCH($S$2:$S$65,G2038),$T$2:$T$65),"Misc")</f>
        <v>OH Common</v>
      </c>
      <c r="O2038" t="str" cm="1">
        <f t="array" ref="O2038">IFERROR(LOOKUP(2,1/SEARCH($V$2:$V$65,G2038),$W$2:$W$65),"Misc")</f>
        <v>OH Part</v>
      </c>
      <c r="P2038" t="str" cm="1">
        <f t="array" ref="P2038">IFERROR(LOOKUP(2,1/SEARCH($Y$2:$Y$65,G2038),$Z$2:$Z$65),"Not Defined")</f>
        <v>OH Part</v>
      </c>
      <c r="Q2038" t="str" cm="1">
        <f t="array" ref="Q2038">IFERROR(LOOKUP(2,1/SEARCH($S$2:$S$65,H2038),$T$2:$T$65),"-")</f>
        <v>OH ASSY</v>
      </c>
    </row>
    <row r="2039" spans="1:17" hidden="1" x14ac:dyDescent="0.25">
      <c r="A2039" t="s">
        <v>7675</v>
      </c>
      <c r="B2039" t="s">
        <v>5303</v>
      </c>
      <c r="C2039">
        <v>1</v>
      </c>
      <c r="D2039" t="s">
        <v>7545</v>
      </c>
      <c r="E2039" t="s">
        <v>4770</v>
      </c>
      <c r="F2039" t="s">
        <v>4772</v>
      </c>
      <c r="G2039" t="s">
        <v>7493</v>
      </c>
      <c r="H2039" t="s">
        <v>4773</v>
      </c>
      <c r="I2039" t="s">
        <v>210</v>
      </c>
      <c r="J2039" t="s">
        <v>7703</v>
      </c>
      <c r="K2039" t="s">
        <v>7814</v>
      </c>
      <c r="L2039" t="s">
        <v>7702</v>
      </c>
      <c r="N2039" t="str" cm="1">
        <f t="array" ref="N2039">IFERROR(LOOKUP(2,1/SEARCH($S$2:$S$65,G2039),$T$2:$T$65),"Misc")</f>
        <v>COTS</v>
      </c>
      <c r="O2039" t="str" cm="1">
        <f t="array" ref="O2039">IFERROR(LOOKUP(2,1/SEARCH($V$2:$V$65,G2039),$W$2:$W$65),"Misc")</f>
        <v>Misc</v>
      </c>
      <c r="P2039" t="str" cm="1">
        <f t="array" ref="P2039">IFERROR(LOOKUP(2,1/SEARCH($Y$2:$Y$65,G2039),$Z$2:$Z$65),"Not Defined")</f>
        <v>MAGNET</v>
      </c>
      <c r="Q2039" t="str" cm="1">
        <f t="array" ref="Q2039">IFERROR(LOOKUP(2,1/SEARCH($S$2:$S$65,H2039),$T$2:$T$65),"-")</f>
        <v>COTS</v>
      </c>
    </row>
    <row r="2040" spans="1:17" hidden="1" x14ac:dyDescent="0.25">
      <c r="A2040" t="s">
        <v>7675</v>
      </c>
      <c r="B2040" t="s">
        <v>5304</v>
      </c>
      <c r="C2040">
        <v>1</v>
      </c>
      <c r="D2040" t="s">
        <v>7545</v>
      </c>
      <c r="E2040" t="s">
        <v>4770</v>
      </c>
      <c r="F2040" t="s">
        <v>4775</v>
      </c>
      <c r="G2040" t="s">
        <v>7494</v>
      </c>
      <c r="H2040" t="s">
        <v>4776</v>
      </c>
      <c r="I2040" t="s">
        <v>228</v>
      </c>
      <c r="J2040" t="s">
        <v>7703</v>
      </c>
      <c r="K2040" t="s">
        <v>7684</v>
      </c>
      <c r="L2040" t="s">
        <v>7739</v>
      </c>
      <c r="N2040" t="str" cm="1">
        <f t="array" ref="N2040">IFERROR(LOOKUP(2,1/SEARCH($S$2:$S$65,G2040),$T$2:$T$65),"Misc")</f>
        <v>COTS</v>
      </c>
      <c r="O2040" t="str" cm="1">
        <f t="array" ref="O2040">IFERROR(LOOKUP(2,1/SEARCH($V$2:$V$65,G2040),$W$2:$W$65),"Misc")</f>
        <v>Fasteners</v>
      </c>
      <c r="P2040" t="str" cm="1">
        <f t="array" ref="P2040">IFERROR(LOOKUP(2,1/SEARCH($Y$2:$Y$65,G2040),$Z$2:$Z$65),"Not Defined")</f>
        <v>BHCS</v>
      </c>
      <c r="Q2040" t="str" cm="1">
        <f t="array" ref="Q2040">IFERROR(LOOKUP(2,1/SEARCH($S$2:$S$65,H2040),$T$2:$T$65),"-")</f>
        <v>COTS</v>
      </c>
    </row>
    <row r="2041" spans="1:17" hidden="1" x14ac:dyDescent="0.25">
      <c r="A2041" t="s">
        <v>7675</v>
      </c>
      <c r="B2041" t="s">
        <v>5305</v>
      </c>
      <c r="C2041">
        <v>1</v>
      </c>
      <c r="D2041" t="s">
        <v>7545</v>
      </c>
      <c r="E2041" t="s">
        <v>4770</v>
      </c>
      <c r="F2041" t="s">
        <v>4778</v>
      </c>
      <c r="G2041" t="s">
        <v>7495</v>
      </c>
      <c r="H2041" t="s">
        <v>4779</v>
      </c>
      <c r="I2041" t="s">
        <v>210</v>
      </c>
      <c r="J2041" t="s">
        <v>7703</v>
      </c>
      <c r="K2041" t="s">
        <v>7684</v>
      </c>
      <c r="L2041" t="s">
        <v>7692</v>
      </c>
      <c r="N2041" t="str" cm="1">
        <f t="array" ref="N2041">IFERROR(LOOKUP(2,1/SEARCH($S$2:$S$65,G2041),$T$2:$T$65),"Misc")</f>
        <v>COTS</v>
      </c>
      <c r="O2041" t="str" cm="1">
        <f t="array" ref="O2041">IFERROR(LOOKUP(2,1/SEARCH($V$2:$V$65,G2041),$W$2:$W$65),"Misc")</f>
        <v>Fasteners</v>
      </c>
      <c r="P2041" t="str" cm="1">
        <f t="array" ref="P2041">IFERROR(LOOKUP(2,1/SEARCH($Y$2:$Y$65,G2041),$Z$2:$Z$65),"Not Defined")</f>
        <v>WASHER</v>
      </c>
      <c r="Q2041" t="str" cm="1">
        <f t="array" ref="Q2041">IFERROR(LOOKUP(2,1/SEARCH($S$2:$S$65,H2041),$T$2:$T$65),"-")</f>
        <v>COTS</v>
      </c>
    </row>
    <row r="2042" spans="1:17" hidden="1" x14ac:dyDescent="0.25">
      <c r="A2042" t="s">
        <v>7675</v>
      </c>
      <c r="B2042" t="s">
        <v>5306</v>
      </c>
      <c r="C2042">
        <v>1</v>
      </c>
      <c r="D2042" t="s">
        <v>7545</v>
      </c>
      <c r="E2042" t="s">
        <v>4770</v>
      </c>
      <c r="F2042" t="s">
        <v>4781</v>
      </c>
      <c r="G2042" t="s">
        <v>7496</v>
      </c>
      <c r="H2042" t="s">
        <v>4782</v>
      </c>
      <c r="I2042" t="s">
        <v>210</v>
      </c>
      <c r="J2042" t="s">
        <v>7744</v>
      </c>
      <c r="K2042" t="s">
        <v>7826</v>
      </c>
      <c r="L2042" t="s">
        <v>7826</v>
      </c>
      <c r="N2042" t="str" cm="1">
        <f t="array" ref="N2042">IFERROR(LOOKUP(2,1/SEARCH($S$2:$S$65,G2042),$T$2:$T$65),"Misc")</f>
        <v>OH Common</v>
      </c>
      <c r="O2042" t="str" cm="1">
        <f t="array" ref="O2042">IFERROR(LOOKUP(2,1/SEARCH($V$2:$V$65,G2042),$W$2:$W$65),"Misc")</f>
        <v>OH Part</v>
      </c>
      <c r="P2042" t="str" cm="1">
        <f t="array" ref="P2042">IFERROR(LOOKUP(2,1/SEARCH($Y$2:$Y$65,G2042),$Z$2:$Z$65),"Not Defined")</f>
        <v>OH Part</v>
      </c>
      <c r="Q2042" t="str" cm="1">
        <f t="array" ref="Q2042">IFERROR(LOOKUP(2,1/SEARCH($S$2:$S$65,H2042),$T$2:$T$65),"-")</f>
        <v>COTS</v>
      </c>
    </row>
    <row r="2043" spans="1:17" hidden="1" x14ac:dyDescent="0.25">
      <c r="A2043" t="s">
        <v>7675</v>
      </c>
      <c r="B2043" t="s">
        <v>5307</v>
      </c>
      <c r="C2043">
        <v>1</v>
      </c>
      <c r="D2043" t="s">
        <v>7545</v>
      </c>
      <c r="E2043" t="s">
        <v>4770</v>
      </c>
      <c r="F2043" t="s">
        <v>4784</v>
      </c>
      <c r="G2043" t="s">
        <v>7497</v>
      </c>
      <c r="H2043" t="s">
        <v>4785</v>
      </c>
      <c r="I2043" t="s">
        <v>210</v>
      </c>
      <c r="J2043" t="s">
        <v>7703</v>
      </c>
      <c r="K2043" t="s">
        <v>7684</v>
      </c>
      <c r="L2043" t="s">
        <v>7708</v>
      </c>
      <c r="N2043" t="str" cm="1">
        <f t="array" ref="N2043">IFERROR(LOOKUP(2,1/SEARCH($S$2:$S$65,G2043),$T$2:$T$65),"Misc")</f>
        <v>COTS</v>
      </c>
      <c r="O2043" t="str" cm="1">
        <f t="array" ref="O2043">IFERROR(LOOKUP(2,1/SEARCH($V$2:$V$65,G2043),$W$2:$W$65),"Misc")</f>
        <v>Fasteners</v>
      </c>
      <c r="P2043" t="str" cm="1">
        <f t="array" ref="P2043">IFERROR(LOOKUP(2,1/SEARCH($Y$2:$Y$65,G2043),$Z$2:$Z$65),"Not Defined")</f>
        <v>STANDOFF</v>
      </c>
      <c r="Q2043" t="str" cm="1">
        <f t="array" ref="Q2043">IFERROR(LOOKUP(2,1/SEARCH($S$2:$S$65,H2043),$T$2:$T$65),"-")</f>
        <v>COTS</v>
      </c>
    </row>
    <row r="2044" spans="1:17" hidden="1" x14ac:dyDescent="0.25">
      <c r="A2044" t="s">
        <v>7675</v>
      </c>
      <c r="B2044" t="s">
        <v>5308</v>
      </c>
      <c r="C2044">
        <v>1</v>
      </c>
      <c r="D2044" t="s">
        <v>7545</v>
      </c>
      <c r="E2044" t="s">
        <v>4770</v>
      </c>
      <c r="F2044" t="s">
        <v>4787</v>
      </c>
      <c r="G2044" t="s">
        <v>7498</v>
      </c>
      <c r="H2044" t="s">
        <v>4788</v>
      </c>
      <c r="J2044" t="s">
        <v>7703</v>
      </c>
      <c r="K2044" t="s">
        <v>7677</v>
      </c>
      <c r="L2044" t="s">
        <v>7677</v>
      </c>
      <c r="N2044" t="str" cm="1">
        <f t="array" ref="N2044">IFERROR(LOOKUP(2,1/SEARCH($S$2:$S$65,G2044),$T$2:$T$65),"Misc")</f>
        <v>COTS</v>
      </c>
      <c r="O2044" t="str" cm="1">
        <f t="array" ref="O2044">IFERROR(LOOKUP(2,1/SEARCH($V$2:$V$65,G2044),$W$2:$W$65),"Misc")</f>
        <v>SWITCH</v>
      </c>
      <c r="P2044" t="str" cm="1">
        <f t="array" ref="P2044">IFERROR(LOOKUP(2,1/SEARCH($Y$2:$Y$65,G2044),$Z$2:$Z$65),"Not Defined")</f>
        <v>SWITCH</v>
      </c>
      <c r="Q2044" t="str" cm="1">
        <f t="array" ref="Q2044">IFERROR(LOOKUP(2,1/SEARCH($S$2:$S$65,H2044),$T$2:$T$65),"-")</f>
        <v>COTS</v>
      </c>
    </row>
    <row r="2045" spans="1:17" hidden="1" x14ac:dyDescent="0.25">
      <c r="A2045" t="s">
        <v>7675</v>
      </c>
      <c r="B2045" t="s">
        <v>5309</v>
      </c>
      <c r="C2045">
        <v>1</v>
      </c>
      <c r="D2045" t="s">
        <v>7545</v>
      </c>
      <c r="E2045" t="s">
        <v>5311</v>
      </c>
      <c r="F2045" t="s">
        <v>5310</v>
      </c>
      <c r="G2045" t="s">
        <v>7549</v>
      </c>
      <c r="H2045" t="s">
        <v>5311</v>
      </c>
      <c r="J2045" t="s">
        <v>7744</v>
      </c>
      <c r="K2045" t="s">
        <v>7826</v>
      </c>
      <c r="L2045" t="s">
        <v>7826</v>
      </c>
      <c r="N2045" t="str" cm="1">
        <f t="array" ref="N2045">IFERROR(LOOKUP(2,1/SEARCH($S$2:$S$65,G2045),$T$2:$T$65),"Misc")</f>
        <v>OH Common</v>
      </c>
      <c r="O2045" t="str" cm="1">
        <f t="array" ref="O2045">IFERROR(LOOKUP(2,1/SEARCH($V$2:$V$65,G2045),$W$2:$W$65),"Misc")</f>
        <v>OH Part</v>
      </c>
      <c r="P2045" t="str" cm="1">
        <f t="array" ref="P2045">IFERROR(LOOKUP(2,1/SEARCH($Y$2:$Y$65,G2045),$Z$2:$Z$65),"Not Defined")</f>
        <v>OH Part</v>
      </c>
      <c r="Q2045" t="str" cm="1">
        <f t="array" ref="Q2045">IFERROR(LOOKUP(2,1/SEARCH($S$2:$S$65,H2045),$T$2:$T$65),"-")</f>
        <v>OH ASSY</v>
      </c>
    </row>
    <row r="2046" spans="1:17" hidden="1" x14ac:dyDescent="0.25">
      <c r="A2046" t="s">
        <v>7675</v>
      </c>
      <c r="B2046" t="s">
        <v>5312</v>
      </c>
      <c r="C2046">
        <v>2</v>
      </c>
      <c r="D2046" t="s">
        <v>7545</v>
      </c>
      <c r="E2046" t="s">
        <v>5311</v>
      </c>
      <c r="F2046" t="s">
        <v>4772</v>
      </c>
      <c r="G2046" t="s">
        <v>7493</v>
      </c>
      <c r="H2046" t="s">
        <v>4773</v>
      </c>
      <c r="I2046" t="s">
        <v>210</v>
      </c>
      <c r="J2046" t="s">
        <v>7703</v>
      </c>
      <c r="K2046" t="s">
        <v>7814</v>
      </c>
      <c r="L2046" t="s">
        <v>7702</v>
      </c>
      <c r="N2046" t="str" cm="1">
        <f t="array" ref="N2046">IFERROR(LOOKUP(2,1/SEARCH($S$2:$S$65,G2046),$T$2:$T$65),"Misc")</f>
        <v>COTS</v>
      </c>
      <c r="O2046" t="str" cm="1">
        <f t="array" ref="O2046">IFERROR(LOOKUP(2,1/SEARCH($V$2:$V$65,G2046),$W$2:$W$65),"Misc")</f>
        <v>Misc</v>
      </c>
      <c r="P2046" t="str" cm="1">
        <f t="array" ref="P2046">IFERROR(LOOKUP(2,1/SEARCH($Y$2:$Y$65,G2046),$Z$2:$Z$65),"Not Defined")</f>
        <v>MAGNET</v>
      </c>
      <c r="Q2046" t="str" cm="1">
        <f t="array" ref="Q2046">IFERROR(LOOKUP(2,1/SEARCH($S$2:$S$65,H2046),$T$2:$T$65),"-")</f>
        <v>COTS</v>
      </c>
    </row>
    <row r="2047" spans="1:17" hidden="1" x14ac:dyDescent="0.25">
      <c r="A2047" t="s">
        <v>7675</v>
      </c>
      <c r="B2047" t="s">
        <v>5313</v>
      </c>
      <c r="C2047">
        <v>2</v>
      </c>
      <c r="D2047" t="s">
        <v>7545</v>
      </c>
      <c r="E2047" t="s">
        <v>5311</v>
      </c>
      <c r="F2047" t="s">
        <v>4775</v>
      </c>
      <c r="G2047" t="s">
        <v>7494</v>
      </c>
      <c r="H2047" t="s">
        <v>4776</v>
      </c>
      <c r="I2047" t="s">
        <v>228</v>
      </c>
      <c r="J2047" t="s">
        <v>7703</v>
      </c>
      <c r="K2047" t="s">
        <v>7684</v>
      </c>
      <c r="L2047" t="s">
        <v>7739</v>
      </c>
      <c r="N2047" t="str" cm="1">
        <f t="array" ref="N2047">IFERROR(LOOKUP(2,1/SEARCH($S$2:$S$65,G2047),$T$2:$T$65),"Misc")</f>
        <v>COTS</v>
      </c>
      <c r="O2047" t="str" cm="1">
        <f t="array" ref="O2047">IFERROR(LOOKUP(2,1/SEARCH($V$2:$V$65,G2047),$W$2:$W$65),"Misc")</f>
        <v>Fasteners</v>
      </c>
      <c r="P2047" t="str" cm="1">
        <f t="array" ref="P2047">IFERROR(LOOKUP(2,1/SEARCH($Y$2:$Y$65,G2047),$Z$2:$Z$65),"Not Defined")</f>
        <v>BHCS</v>
      </c>
      <c r="Q2047" t="str" cm="1">
        <f t="array" ref="Q2047">IFERROR(LOOKUP(2,1/SEARCH($S$2:$S$65,H2047),$T$2:$T$65),"-")</f>
        <v>COTS</v>
      </c>
    </row>
    <row r="2048" spans="1:17" hidden="1" x14ac:dyDescent="0.25">
      <c r="A2048" t="s">
        <v>7675</v>
      </c>
      <c r="B2048" t="s">
        <v>5314</v>
      </c>
      <c r="C2048">
        <v>2</v>
      </c>
      <c r="D2048" t="s">
        <v>7545</v>
      </c>
      <c r="E2048" t="s">
        <v>5311</v>
      </c>
      <c r="F2048" t="s">
        <v>4778</v>
      </c>
      <c r="G2048" t="s">
        <v>7495</v>
      </c>
      <c r="H2048" t="s">
        <v>4779</v>
      </c>
      <c r="I2048" t="s">
        <v>210</v>
      </c>
      <c r="J2048" t="s">
        <v>7703</v>
      </c>
      <c r="K2048" t="s">
        <v>7684</v>
      </c>
      <c r="L2048" t="s">
        <v>7692</v>
      </c>
      <c r="N2048" t="str" cm="1">
        <f t="array" ref="N2048">IFERROR(LOOKUP(2,1/SEARCH($S$2:$S$65,G2048),$T$2:$T$65),"Misc")</f>
        <v>COTS</v>
      </c>
      <c r="O2048" t="str" cm="1">
        <f t="array" ref="O2048">IFERROR(LOOKUP(2,1/SEARCH($V$2:$V$65,G2048),$W$2:$W$65),"Misc")</f>
        <v>Fasteners</v>
      </c>
      <c r="P2048" t="str" cm="1">
        <f t="array" ref="P2048">IFERROR(LOOKUP(2,1/SEARCH($Y$2:$Y$65,G2048),$Z$2:$Z$65),"Not Defined")</f>
        <v>WASHER</v>
      </c>
      <c r="Q2048" t="str" cm="1">
        <f t="array" ref="Q2048">IFERROR(LOOKUP(2,1/SEARCH($S$2:$S$65,H2048),$T$2:$T$65),"-")</f>
        <v>COTS</v>
      </c>
    </row>
    <row r="2049" spans="1:17" hidden="1" x14ac:dyDescent="0.25">
      <c r="A2049" t="s">
        <v>7675</v>
      </c>
      <c r="B2049" t="s">
        <v>5315</v>
      </c>
      <c r="C2049">
        <v>1</v>
      </c>
      <c r="D2049" t="s">
        <v>7545</v>
      </c>
      <c r="E2049" t="s">
        <v>5311</v>
      </c>
      <c r="F2049" t="s">
        <v>4781</v>
      </c>
      <c r="G2049" t="s">
        <v>7496</v>
      </c>
      <c r="H2049" t="s">
        <v>4782</v>
      </c>
      <c r="I2049" t="s">
        <v>210</v>
      </c>
      <c r="J2049" t="s">
        <v>7744</v>
      </c>
      <c r="K2049" t="s">
        <v>7826</v>
      </c>
      <c r="L2049" t="s">
        <v>7826</v>
      </c>
      <c r="N2049" t="str" cm="1">
        <f t="array" ref="N2049">IFERROR(LOOKUP(2,1/SEARCH($S$2:$S$65,G2049),$T$2:$T$65),"Misc")</f>
        <v>OH Common</v>
      </c>
      <c r="O2049" t="str" cm="1">
        <f t="array" ref="O2049">IFERROR(LOOKUP(2,1/SEARCH($V$2:$V$65,G2049),$W$2:$W$65),"Misc")</f>
        <v>OH Part</v>
      </c>
      <c r="P2049" t="str" cm="1">
        <f t="array" ref="P2049">IFERROR(LOOKUP(2,1/SEARCH($Y$2:$Y$65,G2049),$Z$2:$Z$65),"Not Defined")</f>
        <v>OH Part</v>
      </c>
      <c r="Q2049" t="str" cm="1">
        <f t="array" ref="Q2049">IFERROR(LOOKUP(2,1/SEARCH($S$2:$S$65,H2049),$T$2:$T$65),"-")</f>
        <v>COTS</v>
      </c>
    </row>
    <row r="2050" spans="1:17" hidden="1" x14ac:dyDescent="0.25">
      <c r="A2050" t="s">
        <v>7675</v>
      </c>
      <c r="B2050" t="s">
        <v>5316</v>
      </c>
      <c r="C2050">
        <v>1</v>
      </c>
      <c r="D2050" t="s">
        <v>7545</v>
      </c>
      <c r="E2050" t="s">
        <v>5311</v>
      </c>
      <c r="F2050" t="s">
        <v>4784</v>
      </c>
      <c r="G2050" t="s">
        <v>7497</v>
      </c>
      <c r="H2050" t="s">
        <v>4785</v>
      </c>
      <c r="I2050" t="s">
        <v>210</v>
      </c>
      <c r="J2050" t="s">
        <v>7703</v>
      </c>
      <c r="K2050" t="s">
        <v>7684</v>
      </c>
      <c r="L2050" t="s">
        <v>7708</v>
      </c>
      <c r="N2050" t="str" cm="1">
        <f t="array" ref="N2050">IFERROR(LOOKUP(2,1/SEARCH($S$2:$S$65,G2050),$T$2:$T$65),"Misc")</f>
        <v>COTS</v>
      </c>
      <c r="O2050" t="str" cm="1">
        <f t="array" ref="O2050">IFERROR(LOOKUP(2,1/SEARCH($V$2:$V$65,G2050),$W$2:$W$65),"Misc")</f>
        <v>Fasteners</v>
      </c>
      <c r="P2050" t="str" cm="1">
        <f t="array" ref="P2050">IFERROR(LOOKUP(2,1/SEARCH($Y$2:$Y$65,G2050),$Z$2:$Z$65),"Not Defined")</f>
        <v>STANDOFF</v>
      </c>
      <c r="Q2050" t="str" cm="1">
        <f t="array" ref="Q2050">IFERROR(LOOKUP(2,1/SEARCH($S$2:$S$65,H2050),$T$2:$T$65),"-")</f>
        <v>COTS</v>
      </c>
    </row>
    <row r="2051" spans="1:17" hidden="1" x14ac:dyDescent="0.25">
      <c r="A2051" t="s">
        <v>7675</v>
      </c>
      <c r="B2051" t="s">
        <v>5317</v>
      </c>
      <c r="C2051">
        <v>1</v>
      </c>
      <c r="D2051" t="s">
        <v>7545</v>
      </c>
      <c r="E2051" t="s">
        <v>5311</v>
      </c>
      <c r="F2051" t="s">
        <v>5318</v>
      </c>
      <c r="G2051" t="s">
        <v>7550</v>
      </c>
      <c r="H2051" t="s">
        <v>5319</v>
      </c>
      <c r="J2051" t="s">
        <v>7703</v>
      </c>
      <c r="K2051" t="s">
        <v>7677</v>
      </c>
      <c r="L2051" t="s">
        <v>7677</v>
      </c>
      <c r="N2051" t="str" cm="1">
        <f t="array" ref="N2051">IFERROR(LOOKUP(2,1/SEARCH($S$2:$S$65,G2051),$T$2:$T$65),"Misc")</f>
        <v>COTS</v>
      </c>
      <c r="O2051" t="str" cm="1">
        <f t="array" ref="O2051">IFERROR(LOOKUP(2,1/SEARCH($V$2:$V$65,G2051),$W$2:$W$65),"Misc")</f>
        <v>SWITCH</v>
      </c>
      <c r="P2051" t="str" cm="1">
        <f t="array" ref="P2051">IFERROR(LOOKUP(2,1/SEARCH($Y$2:$Y$65,G2051),$Z$2:$Z$65),"Not Defined")</f>
        <v>SWITCH</v>
      </c>
      <c r="Q2051" t="str" cm="1">
        <f t="array" ref="Q2051">IFERROR(LOOKUP(2,1/SEARCH($S$2:$S$65,H2051),$T$2:$T$65),"-")</f>
        <v>COTS</v>
      </c>
    </row>
    <row r="2052" spans="1:17" x14ac:dyDescent="0.25">
      <c r="A2052" t="s">
        <v>7675</v>
      </c>
      <c r="B2052" t="s">
        <v>5320</v>
      </c>
      <c r="C2052">
        <v>1</v>
      </c>
      <c r="D2052" t="s">
        <v>7545</v>
      </c>
      <c r="F2052" t="s">
        <v>1516</v>
      </c>
      <c r="G2052" t="s">
        <v>7216</v>
      </c>
      <c r="H2052" t="s">
        <v>1517</v>
      </c>
      <c r="I2052" t="s">
        <v>299</v>
      </c>
      <c r="J2052" t="s">
        <v>7744</v>
      </c>
      <c r="K2052" t="s">
        <v>7826</v>
      </c>
      <c r="L2052" t="s">
        <v>7826</v>
      </c>
      <c r="N2052" t="str" cm="1">
        <f t="array" ref="N2052">IFERROR(LOOKUP(2,1/SEARCH($S$2:$S$65,G2052),$T$2:$T$65),"Misc")</f>
        <v>OH Common</v>
      </c>
      <c r="O2052" t="str" cm="1">
        <f t="array" ref="O2052">IFERROR(LOOKUP(2,1/SEARCH($V$2:$V$65,G2052),$W$2:$W$65),"Misc")</f>
        <v>OH Part</v>
      </c>
      <c r="P2052" t="str" cm="1">
        <f t="array" ref="P2052">IFERROR(LOOKUP(2,1/SEARCH($Y$2:$Y$65,G2052),$Z$2:$Z$65),"Not Defined")</f>
        <v>OH Part</v>
      </c>
      <c r="Q2052" t="str" cm="1">
        <f t="array" ref="Q2052">IFERROR(LOOKUP(2,1/SEARCH($S$2:$S$65,H2052),$T$2:$T$65),"-")</f>
        <v>COTS</v>
      </c>
    </row>
    <row r="2053" spans="1:17" x14ac:dyDescent="0.25">
      <c r="A2053" t="s">
        <v>7675</v>
      </c>
      <c r="B2053" s="5">
        <v>3.2</v>
      </c>
      <c r="C2053">
        <v>1</v>
      </c>
      <c r="D2053" t="s">
        <v>7551</v>
      </c>
      <c r="F2053" t="s">
        <v>5321</v>
      </c>
      <c r="G2053" t="s">
        <v>7551</v>
      </c>
      <c r="H2053" t="s">
        <v>5322</v>
      </c>
      <c r="J2053" t="s">
        <v>7742</v>
      </c>
      <c r="K2053" t="s">
        <v>7826</v>
      </c>
      <c r="L2053" t="s">
        <v>7826</v>
      </c>
      <c r="N2053" t="str" cm="1">
        <f t="array" ref="N2053">IFERROR(LOOKUP(2,1/SEARCH($S$2:$S$65,G2053),$T$2:$T$65),"Misc")</f>
        <v>OH ASSY</v>
      </c>
      <c r="O2053" t="str" cm="1">
        <f t="array" ref="O2053">IFERROR(LOOKUP(2,1/SEARCH($V$2:$V$65,G2053),$W$2:$W$65),"Misc")</f>
        <v>OH Part</v>
      </c>
      <c r="P2053" t="str" cm="1">
        <f t="array" ref="P2053">IFERROR(LOOKUP(2,1/SEARCH($Y$2:$Y$65,G2053),$Z$2:$Z$65),"Not Defined")</f>
        <v>OH Part</v>
      </c>
      <c r="Q2053" t="str" cm="1">
        <f t="array" ref="Q2053">IFERROR(LOOKUP(2,1/SEARCH($S$2:$S$65,H2053),$T$2:$T$65),"-")</f>
        <v>OH ASSY</v>
      </c>
    </row>
    <row r="2054" spans="1:17" x14ac:dyDescent="0.25">
      <c r="A2054" t="s">
        <v>7675</v>
      </c>
      <c r="B2054" t="s">
        <v>5323</v>
      </c>
      <c r="C2054">
        <v>1</v>
      </c>
      <c r="D2054" t="s">
        <v>7551</v>
      </c>
      <c r="F2054" t="s">
        <v>5324</v>
      </c>
      <c r="G2054" t="s">
        <v>5326</v>
      </c>
      <c r="H2054" t="s">
        <v>5325</v>
      </c>
      <c r="I2054" t="s">
        <v>293</v>
      </c>
      <c r="J2054" t="s">
        <v>7682</v>
      </c>
      <c r="K2054" t="s">
        <v>7826</v>
      </c>
      <c r="L2054" t="s">
        <v>7826</v>
      </c>
      <c r="N2054" t="str" cm="1">
        <f t="array" ref="N2054">IFERROR(LOOKUP(2,1/SEARCH($S$2:$S$65,G2054),$T$2:$T$65),"Misc")</f>
        <v>OH P/N</v>
      </c>
      <c r="O2054" t="str" cm="1">
        <f t="array" ref="O2054">IFERROR(LOOKUP(2,1/SEARCH($V$2:$V$65,G2054),$W$2:$W$65),"Misc")</f>
        <v>OH Part</v>
      </c>
      <c r="P2054" t="str" cm="1">
        <f t="array" ref="P2054">IFERROR(LOOKUP(2,1/SEARCH($Y$2:$Y$65,G2054),$Z$2:$Z$65),"Not Defined")</f>
        <v>OH Part</v>
      </c>
      <c r="Q2054" t="str" cm="1">
        <f t="array" ref="Q2054">IFERROR(LOOKUP(2,1/SEARCH($S$2:$S$65,H2054),$T$2:$T$65),"-")</f>
        <v>-</v>
      </c>
    </row>
    <row r="2055" spans="1:17" x14ac:dyDescent="0.25">
      <c r="A2055" t="s">
        <v>7675</v>
      </c>
      <c r="B2055" t="s">
        <v>5327</v>
      </c>
      <c r="C2055">
        <v>1</v>
      </c>
      <c r="D2055" t="s">
        <v>7551</v>
      </c>
      <c r="F2055" t="s">
        <v>5328</v>
      </c>
      <c r="G2055" t="s">
        <v>5330</v>
      </c>
      <c r="H2055" t="s">
        <v>5329</v>
      </c>
      <c r="I2055" t="s">
        <v>293</v>
      </c>
      <c r="J2055" t="s">
        <v>7682</v>
      </c>
      <c r="K2055" t="s">
        <v>7826</v>
      </c>
      <c r="L2055" t="s">
        <v>7826</v>
      </c>
      <c r="N2055" t="str" cm="1">
        <f t="array" ref="N2055">IFERROR(LOOKUP(2,1/SEARCH($S$2:$S$65,G2055),$T$2:$T$65),"Misc")</f>
        <v>OH P/N</v>
      </c>
      <c r="O2055" t="str" cm="1">
        <f t="array" ref="O2055">IFERROR(LOOKUP(2,1/SEARCH($V$2:$V$65,G2055),$W$2:$W$65),"Misc")</f>
        <v>OH Part</v>
      </c>
      <c r="P2055" t="str" cm="1">
        <f t="array" ref="P2055">IFERROR(LOOKUP(2,1/SEARCH($Y$2:$Y$65,G2055),$Z$2:$Z$65),"Not Defined")</f>
        <v>OH Part</v>
      </c>
      <c r="Q2055" t="str" cm="1">
        <f t="array" ref="Q2055">IFERROR(LOOKUP(2,1/SEARCH($S$2:$S$65,H2055),$T$2:$T$65),"-")</f>
        <v>-</v>
      </c>
    </row>
    <row r="2056" spans="1:17" x14ac:dyDescent="0.25">
      <c r="A2056" t="s">
        <v>7675</v>
      </c>
      <c r="B2056" t="s">
        <v>5331</v>
      </c>
      <c r="C2056">
        <v>1</v>
      </c>
      <c r="D2056" t="s">
        <v>7551</v>
      </c>
      <c r="F2056" t="s">
        <v>5332</v>
      </c>
      <c r="G2056" t="s">
        <v>5334</v>
      </c>
      <c r="H2056" t="s">
        <v>5333</v>
      </c>
      <c r="I2056" t="s">
        <v>281</v>
      </c>
      <c r="J2056" t="s">
        <v>7682</v>
      </c>
      <c r="K2056" t="s">
        <v>7826</v>
      </c>
      <c r="L2056" t="s">
        <v>7826</v>
      </c>
      <c r="N2056" t="str" cm="1">
        <f t="array" ref="N2056">IFERROR(LOOKUP(2,1/SEARCH($S$2:$S$65,G2056),$T$2:$T$65),"Misc")</f>
        <v>OH P/N</v>
      </c>
      <c r="O2056" t="str" cm="1">
        <f t="array" ref="O2056">IFERROR(LOOKUP(2,1/SEARCH($V$2:$V$65,G2056),$W$2:$W$65),"Misc")</f>
        <v>OH Part</v>
      </c>
      <c r="P2056" t="str" cm="1">
        <f t="array" ref="P2056">IFERROR(LOOKUP(2,1/SEARCH($Y$2:$Y$65,G2056),$Z$2:$Z$65),"Not Defined")</f>
        <v>OH Part</v>
      </c>
      <c r="Q2056" t="str" cm="1">
        <f t="array" ref="Q2056">IFERROR(LOOKUP(2,1/SEARCH($S$2:$S$65,H2056),$T$2:$T$65),"-")</f>
        <v>-</v>
      </c>
    </row>
    <row r="2057" spans="1:17" x14ac:dyDescent="0.25">
      <c r="A2057" t="s">
        <v>7675</v>
      </c>
      <c r="B2057" t="s">
        <v>5335</v>
      </c>
      <c r="C2057">
        <v>1</v>
      </c>
      <c r="D2057" t="s">
        <v>7551</v>
      </c>
      <c r="F2057" t="s">
        <v>5336</v>
      </c>
      <c r="G2057" t="s">
        <v>5338</v>
      </c>
      <c r="H2057" t="s">
        <v>5337</v>
      </c>
      <c r="I2057" t="s">
        <v>299</v>
      </c>
      <c r="J2057" t="s">
        <v>7682</v>
      </c>
      <c r="K2057" t="s">
        <v>7826</v>
      </c>
      <c r="L2057" t="s">
        <v>7826</v>
      </c>
      <c r="N2057" t="str" cm="1">
        <f t="array" ref="N2057">IFERROR(LOOKUP(2,1/SEARCH($S$2:$S$65,G2057),$T$2:$T$65),"Misc")</f>
        <v>OH P/N</v>
      </c>
      <c r="O2057" t="str" cm="1">
        <f t="array" ref="O2057">IFERROR(LOOKUP(2,1/SEARCH($V$2:$V$65,G2057),$W$2:$W$65),"Misc")</f>
        <v>OH Part</v>
      </c>
      <c r="P2057" t="str" cm="1">
        <f t="array" ref="P2057">IFERROR(LOOKUP(2,1/SEARCH($Y$2:$Y$65,G2057),$Z$2:$Z$65),"Not Defined")</f>
        <v>OH Part</v>
      </c>
      <c r="Q2057" t="str" cm="1">
        <f t="array" ref="Q2057">IFERROR(LOOKUP(2,1/SEARCH($S$2:$S$65,H2057),$T$2:$T$65),"-")</f>
        <v>COTS</v>
      </c>
    </row>
    <row r="2058" spans="1:17" x14ac:dyDescent="0.25">
      <c r="A2058" t="s">
        <v>7675</v>
      </c>
      <c r="B2058" t="s">
        <v>5339</v>
      </c>
      <c r="C2058">
        <v>1</v>
      </c>
      <c r="D2058" t="s">
        <v>7551</v>
      </c>
      <c r="F2058" t="s">
        <v>5340</v>
      </c>
      <c r="G2058" t="s">
        <v>5342</v>
      </c>
      <c r="H2058" t="s">
        <v>5341</v>
      </c>
      <c r="I2058" t="s">
        <v>13</v>
      </c>
      <c r="J2058" t="s">
        <v>7682</v>
      </c>
      <c r="K2058" t="s">
        <v>7826</v>
      </c>
      <c r="L2058" t="s">
        <v>7826</v>
      </c>
      <c r="N2058" t="str" cm="1">
        <f t="array" ref="N2058">IFERROR(LOOKUP(2,1/SEARCH($S$2:$S$65,G2058),$T$2:$T$65),"Misc")</f>
        <v>OH P/N</v>
      </c>
      <c r="O2058" t="str" cm="1">
        <f t="array" ref="O2058">IFERROR(LOOKUP(2,1/SEARCH($V$2:$V$65,G2058),$W$2:$W$65),"Misc")</f>
        <v>OH Part</v>
      </c>
      <c r="P2058" t="str" cm="1">
        <f t="array" ref="P2058">IFERROR(LOOKUP(2,1/SEARCH($Y$2:$Y$65,G2058),$Z$2:$Z$65),"Not Defined")</f>
        <v>OH Part</v>
      </c>
      <c r="Q2058" t="str" cm="1">
        <f t="array" ref="Q2058">IFERROR(LOOKUP(2,1/SEARCH($S$2:$S$65,H2058),$T$2:$T$65),"-")</f>
        <v>COTS</v>
      </c>
    </row>
    <row r="2059" spans="1:17" x14ac:dyDescent="0.25">
      <c r="A2059" t="s">
        <v>7675</v>
      </c>
      <c r="B2059" t="s">
        <v>5343</v>
      </c>
      <c r="C2059">
        <v>1</v>
      </c>
      <c r="D2059" t="s">
        <v>7551</v>
      </c>
      <c r="F2059" t="s">
        <v>5344</v>
      </c>
      <c r="G2059" t="s">
        <v>5346</v>
      </c>
      <c r="H2059" t="s">
        <v>5345</v>
      </c>
      <c r="I2059" t="s">
        <v>13</v>
      </c>
      <c r="J2059" t="s">
        <v>7682</v>
      </c>
      <c r="K2059" t="s">
        <v>7826</v>
      </c>
      <c r="L2059" t="s">
        <v>7826</v>
      </c>
      <c r="N2059" t="str" cm="1">
        <f t="array" ref="N2059">IFERROR(LOOKUP(2,1/SEARCH($S$2:$S$65,G2059),$T$2:$T$65),"Misc")</f>
        <v>OH P/N</v>
      </c>
      <c r="O2059" t="str" cm="1">
        <f t="array" ref="O2059">IFERROR(LOOKUP(2,1/SEARCH($V$2:$V$65,G2059),$W$2:$W$65),"Misc")</f>
        <v>OH Part</v>
      </c>
      <c r="P2059" t="str" cm="1">
        <f t="array" ref="P2059">IFERROR(LOOKUP(2,1/SEARCH($Y$2:$Y$65,G2059),$Z$2:$Z$65),"Not Defined")</f>
        <v>OH Part</v>
      </c>
      <c r="Q2059" t="str" cm="1">
        <f t="array" ref="Q2059">IFERROR(LOOKUP(2,1/SEARCH($S$2:$S$65,H2059),$T$2:$T$65),"-")</f>
        <v>COTS</v>
      </c>
    </row>
    <row r="2060" spans="1:17" x14ac:dyDescent="0.25">
      <c r="A2060" t="s">
        <v>7675</v>
      </c>
      <c r="B2060" t="s">
        <v>5347</v>
      </c>
      <c r="C2060">
        <v>1</v>
      </c>
      <c r="D2060" t="s">
        <v>7551</v>
      </c>
      <c r="F2060" t="s">
        <v>5348</v>
      </c>
      <c r="G2060" t="s">
        <v>7552</v>
      </c>
      <c r="H2060" t="s">
        <v>5349</v>
      </c>
      <c r="I2060" t="s">
        <v>255</v>
      </c>
      <c r="J2060" t="s">
        <v>7703</v>
      </c>
      <c r="K2060" t="s">
        <v>7677</v>
      </c>
      <c r="L2060" t="s">
        <v>7677</v>
      </c>
      <c r="N2060" t="str" cm="1">
        <f t="array" ref="N2060">IFERROR(LOOKUP(2,1/SEARCH($S$2:$S$65,G2060),$T$2:$T$65),"Misc")</f>
        <v>COTS</v>
      </c>
      <c r="O2060" t="str" cm="1">
        <f t="array" ref="O2060">IFERROR(LOOKUP(2,1/SEARCH($V$2:$V$65,G2060),$W$2:$W$65),"Misc")</f>
        <v>SWITCH</v>
      </c>
      <c r="P2060" t="str" cm="1">
        <f t="array" ref="P2060">IFERROR(LOOKUP(2,1/SEARCH($Y$2:$Y$65,G2060),$Z$2:$Z$65),"Not Defined")</f>
        <v>SWITCH</v>
      </c>
      <c r="Q2060" t="str" cm="1">
        <f t="array" ref="Q2060">IFERROR(LOOKUP(2,1/SEARCH($S$2:$S$65,H2060),$T$2:$T$65),"-")</f>
        <v>COTS</v>
      </c>
    </row>
    <row r="2061" spans="1:17" x14ac:dyDescent="0.25">
      <c r="A2061" t="s">
        <v>7675</v>
      </c>
      <c r="B2061" t="s">
        <v>5350</v>
      </c>
      <c r="C2061">
        <v>2</v>
      </c>
      <c r="D2061" t="s">
        <v>7551</v>
      </c>
      <c r="F2061" t="s">
        <v>698</v>
      </c>
      <c r="G2061" t="s">
        <v>7118</v>
      </c>
      <c r="H2061" t="s">
        <v>699</v>
      </c>
      <c r="I2061" t="s">
        <v>255</v>
      </c>
      <c r="J2061" t="s">
        <v>7703</v>
      </c>
      <c r="K2061" t="s">
        <v>7684</v>
      </c>
      <c r="L2061" t="s">
        <v>7692</v>
      </c>
      <c r="N2061" t="str" cm="1">
        <f t="array" ref="N2061">IFERROR(LOOKUP(2,1/SEARCH($S$2:$S$65,G2061),$T$2:$T$65),"Misc")</f>
        <v>COTS</v>
      </c>
      <c r="O2061" t="str" cm="1">
        <f t="array" ref="O2061">IFERROR(LOOKUP(2,1/SEARCH($V$2:$V$65,G2061),$W$2:$W$65),"Misc")</f>
        <v>Fasteners</v>
      </c>
      <c r="P2061" t="str" cm="1">
        <f t="array" ref="P2061">IFERROR(LOOKUP(2,1/SEARCH($Y$2:$Y$65,G2061),$Z$2:$Z$65),"Not Defined")</f>
        <v>WASHER</v>
      </c>
      <c r="Q2061" t="str" cm="1">
        <f t="array" ref="Q2061">IFERROR(LOOKUP(2,1/SEARCH($S$2:$S$65,H2061),$T$2:$T$65),"-")</f>
        <v>COTS</v>
      </c>
    </row>
    <row r="2062" spans="1:17" x14ac:dyDescent="0.25">
      <c r="A2062" t="s">
        <v>7675</v>
      </c>
      <c r="B2062" t="s">
        <v>5351</v>
      </c>
      <c r="C2062">
        <v>5</v>
      </c>
      <c r="D2062" t="s">
        <v>7551</v>
      </c>
      <c r="F2062" t="s">
        <v>701</v>
      </c>
      <c r="G2062" t="s">
        <v>7119</v>
      </c>
      <c r="H2062" t="s">
        <v>702</v>
      </c>
      <c r="I2062" t="s">
        <v>255</v>
      </c>
      <c r="J2062" t="s">
        <v>7703</v>
      </c>
      <c r="K2062" t="s">
        <v>7684</v>
      </c>
      <c r="L2062" t="s">
        <v>7685</v>
      </c>
      <c r="N2062" t="str" cm="1">
        <f t="array" ref="N2062">IFERROR(LOOKUP(2,1/SEARCH($S$2:$S$65,G2062),$T$2:$T$65),"Misc")</f>
        <v>COTS</v>
      </c>
      <c r="O2062" t="str" cm="1">
        <f t="array" ref="O2062">IFERROR(LOOKUP(2,1/SEARCH($V$2:$V$65,G2062),$W$2:$W$65),"Misc")</f>
        <v>Fasteners</v>
      </c>
      <c r="P2062" t="str" cm="1">
        <f t="array" ref="P2062">IFERROR(LOOKUP(2,1/SEARCH($Y$2:$Y$65,G2062),$Z$2:$Z$65),"Not Defined")</f>
        <v>NUT</v>
      </c>
      <c r="Q2062" t="str" cm="1">
        <f t="array" ref="Q2062">IFERROR(LOOKUP(2,1/SEARCH($S$2:$S$65,H2062),$T$2:$T$65),"-")</f>
        <v>COTS</v>
      </c>
    </row>
    <row r="2063" spans="1:17" x14ac:dyDescent="0.25">
      <c r="A2063" t="s">
        <v>7675</v>
      </c>
      <c r="B2063" t="s">
        <v>5352</v>
      </c>
      <c r="C2063">
        <v>1</v>
      </c>
      <c r="D2063" t="s">
        <v>7551</v>
      </c>
      <c r="F2063" t="s">
        <v>704</v>
      </c>
      <c r="G2063" t="s">
        <v>7120</v>
      </c>
      <c r="H2063" t="s">
        <v>705</v>
      </c>
      <c r="I2063" t="s">
        <v>255</v>
      </c>
      <c r="J2063" t="s">
        <v>7703</v>
      </c>
      <c r="K2063" t="s">
        <v>7677</v>
      </c>
      <c r="L2063" t="s">
        <v>7677</v>
      </c>
      <c r="N2063" t="str" cm="1">
        <f t="array" ref="N2063">IFERROR(LOOKUP(2,1/SEARCH($S$2:$S$65,G2063),$T$2:$T$65),"Misc")</f>
        <v>COTS</v>
      </c>
      <c r="O2063" t="str" cm="1">
        <f t="array" ref="O2063">IFERROR(LOOKUP(2,1/SEARCH($V$2:$V$65,G2063),$W$2:$W$65),"Misc")</f>
        <v>SWITCH</v>
      </c>
      <c r="P2063" t="str" cm="1">
        <f t="array" ref="P2063">IFERROR(LOOKUP(2,1/SEARCH($Y$2:$Y$65,G2063),$Z$2:$Z$65),"Not Defined")</f>
        <v>SWITCH</v>
      </c>
      <c r="Q2063" t="str" cm="1">
        <f t="array" ref="Q2063">IFERROR(LOOKUP(2,1/SEARCH($S$2:$S$65,H2063),$T$2:$T$65),"-")</f>
        <v>COTS</v>
      </c>
    </row>
    <row r="2064" spans="1:17" x14ac:dyDescent="0.25">
      <c r="A2064" t="s">
        <v>7675</v>
      </c>
      <c r="B2064" t="s">
        <v>5353</v>
      </c>
      <c r="C2064">
        <v>1</v>
      </c>
      <c r="D2064" t="s">
        <v>7551</v>
      </c>
      <c r="F2064" t="s">
        <v>695</v>
      </c>
      <c r="G2064" t="s">
        <v>7117</v>
      </c>
      <c r="H2064" t="s">
        <v>696</v>
      </c>
      <c r="I2064" t="s">
        <v>255</v>
      </c>
      <c r="J2064" t="s">
        <v>7703</v>
      </c>
      <c r="K2064" t="s">
        <v>7719</v>
      </c>
      <c r="L2064" t="s">
        <v>7719</v>
      </c>
      <c r="N2064" t="str" cm="1">
        <f t="array" ref="N2064">IFERROR(LOOKUP(2,1/SEARCH($S$2:$S$65,G2064),$T$2:$T$65),"Misc")</f>
        <v>COTS</v>
      </c>
      <c r="O2064" t="str" cm="1">
        <f t="array" ref="O2064">IFERROR(LOOKUP(2,1/SEARCH($V$2:$V$65,G2064),$W$2:$W$65),"Misc")</f>
        <v>Misc</v>
      </c>
      <c r="P2064" t="str" cm="1">
        <f t="array" ref="P2064">IFERROR(LOOKUP(2,1/SEARCH($Y$2:$Y$65,G2064),$Z$2:$Z$65),"Not Defined")</f>
        <v>Retaining Rings</v>
      </c>
      <c r="Q2064" t="str" cm="1">
        <f t="array" ref="Q2064">IFERROR(LOOKUP(2,1/SEARCH($S$2:$S$65,H2064),$T$2:$T$65),"-")</f>
        <v>COTS</v>
      </c>
    </row>
    <row r="2065" spans="1:17" hidden="1" x14ac:dyDescent="0.25">
      <c r="A2065" t="s">
        <v>7675</v>
      </c>
      <c r="B2065" t="s">
        <v>5354</v>
      </c>
      <c r="C2065">
        <v>1</v>
      </c>
      <c r="D2065" t="s">
        <v>7551</v>
      </c>
      <c r="E2065" t="s">
        <v>4276</v>
      </c>
      <c r="F2065" t="s">
        <v>4275</v>
      </c>
      <c r="G2065" t="s">
        <v>7443</v>
      </c>
      <c r="H2065" t="s">
        <v>4276</v>
      </c>
      <c r="J2065" t="s">
        <v>7744</v>
      </c>
      <c r="K2065" t="s">
        <v>7826</v>
      </c>
      <c r="L2065" t="s">
        <v>7826</v>
      </c>
      <c r="N2065" t="str" cm="1">
        <f t="array" ref="N2065">IFERROR(LOOKUP(2,1/SEARCH($S$2:$S$65,G2065),$T$2:$T$65),"Misc")</f>
        <v>OH Common</v>
      </c>
      <c r="O2065" t="str" cm="1">
        <f t="array" ref="O2065">IFERROR(LOOKUP(2,1/SEARCH($V$2:$V$65,G2065),$W$2:$W$65),"Misc")</f>
        <v>OH Part</v>
      </c>
      <c r="P2065" t="str" cm="1">
        <f t="array" ref="P2065">IFERROR(LOOKUP(2,1/SEARCH($Y$2:$Y$65,G2065),$Z$2:$Z$65),"Not Defined")</f>
        <v>OH Part</v>
      </c>
      <c r="Q2065" t="str" cm="1">
        <f t="array" ref="Q2065">IFERROR(LOOKUP(2,1/SEARCH($S$2:$S$65,H2065),$T$2:$T$65),"-")</f>
        <v>OH ASSY</v>
      </c>
    </row>
    <row r="2066" spans="1:17" hidden="1" x14ac:dyDescent="0.25">
      <c r="A2066" t="s">
        <v>7675</v>
      </c>
      <c r="B2066" t="s">
        <v>5355</v>
      </c>
      <c r="C2066">
        <v>1</v>
      </c>
      <c r="D2066" t="s">
        <v>7551</v>
      </c>
      <c r="E2066" t="s">
        <v>4276</v>
      </c>
      <c r="F2066" t="s">
        <v>1522</v>
      </c>
      <c r="G2066" t="s">
        <v>7218</v>
      </c>
      <c r="H2066" t="s">
        <v>1523</v>
      </c>
      <c r="I2066" t="s">
        <v>255</v>
      </c>
      <c r="J2066" t="s">
        <v>7703</v>
      </c>
      <c r="K2066" t="s">
        <v>7677</v>
      </c>
      <c r="L2066" t="s">
        <v>7677</v>
      </c>
      <c r="N2066" t="str" cm="1">
        <f t="array" ref="N2066">IFERROR(LOOKUP(2,1/SEARCH($S$2:$S$65,G2066),$T$2:$T$65),"Misc")</f>
        <v>COTS</v>
      </c>
      <c r="O2066" t="str" cm="1">
        <f t="array" ref="O2066">IFERROR(LOOKUP(2,1/SEARCH($V$2:$V$65,G2066),$W$2:$W$65),"Misc")</f>
        <v>SWITCH</v>
      </c>
      <c r="P2066" t="str" cm="1">
        <f t="array" ref="P2066">IFERROR(LOOKUP(2,1/SEARCH($Y$2:$Y$65,G2066),$Z$2:$Z$65),"Not Defined")</f>
        <v>SWITCH</v>
      </c>
      <c r="Q2066" t="str" cm="1">
        <f t="array" ref="Q2066">IFERROR(LOOKUP(2,1/SEARCH($S$2:$S$65,H2066),$T$2:$T$65),"-")</f>
        <v>COTS</v>
      </c>
    </row>
    <row r="2067" spans="1:17" hidden="1" x14ac:dyDescent="0.25">
      <c r="A2067" t="s">
        <v>7675</v>
      </c>
      <c r="B2067" t="s">
        <v>5356</v>
      </c>
      <c r="C2067">
        <v>1</v>
      </c>
      <c r="D2067" t="s">
        <v>7551</v>
      </c>
      <c r="E2067" t="s">
        <v>4276</v>
      </c>
      <c r="F2067" t="s">
        <v>1516</v>
      </c>
      <c r="G2067" t="s">
        <v>7216</v>
      </c>
      <c r="H2067" t="s">
        <v>1517</v>
      </c>
      <c r="I2067" t="s">
        <v>299</v>
      </c>
      <c r="J2067" t="s">
        <v>7744</v>
      </c>
      <c r="K2067" t="s">
        <v>7826</v>
      </c>
      <c r="L2067" t="s">
        <v>7826</v>
      </c>
      <c r="N2067" t="str" cm="1">
        <f t="array" ref="N2067">IFERROR(LOOKUP(2,1/SEARCH($S$2:$S$65,G2067),$T$2:$T$65),"Misc")</f>
        <v>OH Common</v>
      </c>
      <c r="O2067" t="str" cm="1">
        <f t="array" ref="O2067">IFERROR(LOOKUP(2,1/SEARCH($V$2:$V$65,G2067),$W$2:$W$65),"Misc")</f>
        <v>OH Part</v>
      </c>
      <c r="P2067" t="str" cm="1">
        <f t="array" ref="P2067">IFERROR(LOOKUP(2,1/SEARCH($Y$2:$Y$65,G2067),$Z$2:$Z$65),"Not Defined")</f>
        <v>OH Part</v>
      </c>
      <c r="Q2067" t="str" cm="1">
        <f t="array" ref="Q2067">IFERROR(LOOKUP(2,1/SEARCH($S$2:$S$65,H2067),$T$2:$T$65),"-")</f>
        <v>COTS</v>
      </c>
    </row>
    <row r="2068" spans="1:17" x14ac:dyDescent="0.25">
      <c r="A2068" t="s">
        <v>7675</v>
      </c>
      <c r="B2068" t="s">
        <v>5357</v>
      </c>
      <c r="C2068">
        <v>1</v>
      </c>
      <c r="D2068" t="s">
        <v>7551</v>
      </c>
      <c r="F2068" t="s">
        <v>4280</v>
      </c>
      <c r="G2068" t="s">
        <v>7444</v>
      </c>
      <c r="H2068" t="s">
        <v>4281</v>
      </c>
      <c r="I2068" t="s">
        <v>1265</v>
      </c>
      <c r="J2068" t="s">
        <v>7703</v>
      </c>
      <c r="K2068" t="s">
        <v>7719</v>
      </c>
      <c r="L2068" t="s">
        <v>7677</v>
      </c>
      <c r="N2068" t="str" cm="1">
        <f t="array" ref="N2068">IFERROR(LOOKUP(2,1/SEARCH($S$2:$S$65,G2068),$T$2:$T$65),"Misc")</f>
        <v>COTS</v>
      </c>
      <c r="O2068" t="str" cm="1">
        <f t="array" ref="O2068">IFERROR(LOOKUP(2,1/SEARCH($V$2:$V$65,G2068),$W$2:$W$65),"Misc")</f>
        <v>Misc</v>
      </c>
      <c r="P2068" t="str" cm="1">
        <f t="array" ref="P2068">IFERROR(LOOKUP(2,1/SEARCH($Y$2:$Y$65,G2068),$Z$2:$Z$65),"Not Defined")</f>
        <v>SWITCH</v>
      </c>
      <c r="Q2068" t="str" cm="1">
        <f t="array" ref="Q2068">IFERROR(LOOKUP(2,1/SEARCH($S$2:$S$65,H2068),$T$2:$T$65),"-")</f>
        <v>COTS</v>
      </c>
    </row>
    <row r="2069" spans="1:17" x14ac:dyDescent="0.25">
      <c r="A2069" t="s">
        <v>7675</v>
      </c>
      <c r="B2069" t="s">
        <v>5358</v>
      </c>
      <c r="C2069">
        <v>1</v>
      </c>
      <c r="D2069" t="s">
        <v>7551</v>
      </c>
      <c r="F2069" t="s">
        <v>2089</v>
      </c>
      <c r="G2069" t="s">
        <v>7250</v>
      </c>
      <c r="H2069" t="s">
        <v>2090</v>
      </c>
      <c r="I2069" t="s">
        <v>228</v>
      </c>
      <c r="J2069" t="s">
        <v>7703</v>
      </c>
      <c r="K2069" t="s">
        <v>7684</v>
      </c>
      <c r="L2069" t="s">
        <v>7677</v>
      </c>
      <c r="N2069" t="str" cm="1">
        <f t="array" ref="N2069">IFERROR(LOOKUP(2,1/SEARCH($S$2:$S$65,G2069),$T$2:$T$65),"Misc")</f>
        <v>COTS</v>
      </c>
      <c r="O2069" t="str" cm="1">
        <f t="array" ref="O2069">IFERROR(LOOKUP(2,1/SEARCH($V$2:$V$65,G2069),$W$2:$W$65),"Misc")</f>
        <v>Fasteners</v>
      </c>
      <c r="P2069" t="str" cm="1">
        <f t="array" ref="P2069">IFERROR(LOOKUP(2,1/SEARCH($Y$2:$Y$65,G2069),$Z$2:$Z$65),"Not Defined")</f>
        <v>SWITCH</v>
      </c>
      <c r="Q2069" t="str" cm="1">
        <f t="array" ref="Q2069">IFERROR(LOOKUP(2,1/SEARCH($S$2:$S$65,H2069),$T$2:$T$65),"-")</f>
        <v>COTS</v>
      </c>
    </row>
    <row r="2070" spans="1:17" x14ac:dyDescent="0.25">
      <c r="A2070" t="s">
        <v>7675</v>
      </c>
      <c r="B2070" t="s">
        <v>5359</v>
      </c>
      <c r="C2070">
        <v>1</v>
      </c>
      <c r="D2070" t="s">
        <v>7551</v>
      </c>
      <c r="F2070" t="s">
        <v>1528</v>
      </c>
      <c r="G2070" t="s">
        <v>7220</v>
      </c>
      <c r="H2070" t="s">
        <v>1529</v>
      </c>
      <c r="I2070" t="s">
        <v>228</v>
      </c>
      <c r="J2070" t="s">
        <v>7703</v>
      </c>
      <c r="K2070" t="s">
        <v>7677</v>
      </c>
      <c r="L2070" t="s">
        <v>7685</v>
      </c>
      <c r="N2070" t="str" cm="1">
        <f t="array" ref="N2070">IFERROR(LOOKUP(2,1/SEARCH($S$2:$S$65,G2070),$T$2:$T$65),"Misc")</f>
        <v>COTS</v>
      </c>
      <c r="O2070" t="str" cm="1">
        <f t="array" ref="O2070">IFERROR(LOOKUP(2,1/SEARCH($V$2:$V$65,G2070),$W$2:$W$65),"Misc")</f>
        <v>SWITCH</v>
      </c>
      <c r="P2070" t="str" cm="1">
        <f t="array" ref="P2070">IFERROR(LOOKUP(2,1/SEARCH($Y$2:$Y$65,G2070),$Z$2:$Z$65),"Not Defined")</f>
        <v>NUT</v>
      </c>
      <c r="Q2070" t="str" cm="1">
        <f t="array" ref="Q2070">IFERROR(LOOKUP(2,1/SEARCH($S$2:$S$65,H2070),$T$2:$T$65),"-")</f>
        <v>COTS</v>
      </c>
    </row>
    <row r="2071" spans="1:17" x14ac:dyDescent="0.25">
      <c r="A2071" t="s">
        <v>7675</v>
      </c>
      <c r="B2071" t="s">
        <v>5360</v>
      </c>
      <c r="C2071">
        <v>1</v>
      </c>
      <c r="D2071" t="s">
        <v>7551</v>
      </c>
      <c r="F2071" t="s">
        <v>5361</v>
      </c>
      <c r="G2071" t="s">
        <v>7553</v>
      </c>
      <c r="H2071" t="s">
        <v>5362</v>
      </c>
      <c r="I2071" t="s">
        <v>210</v>
      </c>
      <c r="J2071" t="s">
        <v>7703</v>
      </c>
      <c r="K2071" t="s">
        <v>7684</v>
      </c>
      <c r="L2071" t="s">
        <v>7691</v>
      </c>
      <c r="N2071" t="str" cm="1">
        <f t="array" ref="N2071">IFERROR(LOOKUP(2,1/SEARCH($S$2:$S$65,G2071),$T$2:$T$65),"Misc")</f>
        <v>COTS</v>
      </c>
      <c r="O2071" t="str" cm="1">
        <f t="array" ref="O2071">IFERROR(LOOKUP(2,1/SEARCH($V$2:$V$65,G2071),$W$2:$W$65),"Misc")</f>
        <v>Fasteners</v>
      </c>
      <c r="P2071" t="str" cm="1">
        <f t="array" ref="P2071">IFERROR(LOOKUP(2,1/SEARCH($Y$2:$Y$65,G2071),$Z$2:$Z$65),"Not Defined")</f>
        <v>FHS</v>
      </c>
      <c r="Q2071" t="str" cm="1">
        <f t="array" ref="Q2071">IFERROR(LOOKUP(2,1/SEARCH($S$2:$S$65,H2071),$T$2:$T$65),"-")</f>
        <v>COTS</v>
      </c>
    </row>
    <row r="2072" spans="1:17" x14ac:dyDescent="0.25">
      <c r="A2072" t="s">
        <v>7675</v>
      </c>
      <c r="B2072" t="s">
        <v>5363</v>
      </c>
      <c r="C2072">
        <v>5</v>
      </c>
      <c r="D2072" t="s">
        <v>7551</v>
      </c>
      <c r="F2072" t="s">
        <v>519</v>
      </c>
      <c r="G2072" t="s">
        <v>7097</v>
      </c>
      <c r="H2072" t="s">
        <v>520</v>
      </c>
      <c r="I2072" t="s">
        <v>228</v>
      </c>
      <c r="J2072" t="s">
        <v>7703</v>
      </c>
      <c r="K2072" t="s">
        <v>7684</v>
      </c>
      <c r="L2072" t="s">
        <v>7693</v>
      </c>
      <c r="N2072" t="str" cm="1">
        <f t="array" ref="N2072">IFERROR(LOOKUP(2,1/SEARCH($S$2:$S$65,G2072),$T$2:$T$65),"Misc")</f>
        <v>COTS</v>
      </c>
      <c r="O2072" t="str" cm="1">
        <f t="array" ref="O2072">IFERROR(LOOKUP(2,1/SEARCH($V$2:$V$65,G2072),$W$2:$W$65),"Misc")</f>
        <v>Fasteners</v>
      </c>
      <c r="P2072" t="str" cm="1">
        <f t="array" ref="P2072">IFERROR(LOOKUP(2,1/SEARCH($Y$2:$Y$65,G2072),$Z$2:$Z$65),"Not Defined")</f>
        <v>PHS</v>
      </c>
      <c r="Q2072" t="str" cm="1">
        <f t="array" ref="Q2072">IFERROR(LOOKUP(2,1/SEARCH($S$2:$S$65,H2072),$T$2:$T$65),"-")</f>
        <v>COTS</v>
      </c>
    </row>
    <row r="2073" spans="1:17" x14ac:dyDescent="0.25">
      <c r="A2073" t="s">
        <v>7675</v>
      </c>
      <c r="B2073" t="s">
        <v>5364</v>
      </c>
      <c r="C2073">
        <v>3</v>
      </c>
      <c r="D2073" t="s">
        <v>7551</v>
      </c>
      <c r="F2073" t="s">
        <v>941</v>
      </c>
      <c r="G2073" t="s">
        <v>7136</v>
      </c>
      <c r="H2073" t="s">
        <v>942</v>
      </c>
      <c r="I2073" t="s">
        <v>210</v>
      </c>
      <c r="J2073" t="s">
        <v>7703</v>
      </c>
      <c r="K2073" t="s">
        <v>7684</v>
      </c>
      <c r="L2073" t="s">
        <v>7685</v>
      </c>
      <c r="N2073" t="str" cm="1">
        <f t="array" ref="N2073">IFERROR(LOOKUP(2,1/SEARCH($S$2:$S$65,G2073),$T$2:$T$65),"Misc")</f>
        <v>COTS</v>
      </c>
      <c r="O2073" t="str" cm="1">
        <f t="array" ref="O2073">IFERROR(LOOKUP(2,1/SEARCH($V$2:$V$65,G2073),$W$2:$W$65),"Misc")</f>
        <v>Fasteners</v>
      </c>
      <c r="P2073" t="str" cm="1">
        <f t="array" ref="P2073">IFERROR(LOOKUP(2,1/SEARCH($Y$2:$Y$65,G2073),$Z$2:$Z$65),"Not Defined")</f>
        <v>NUT</v>
      </c>
      <c r="Q2073" t="str" cm="1">
        <f t="array" ref="Q2073">IFERROR(LOOKUP(2,1/SEARCH($S$2:$S$65,H2073),$T$2:$T$65),"-")</f>
        <v>COTS</v>
      </c>
    </row>
    <row r="2074" spans="1:17" x14ac:dyDescent="0.25">
      <c r="A2074" t="s">
        <v>7675</v>
      </c>
      <c r="B2074" t="s">
        <v>5365</v>
      </c>
      <c r="C2074">
        <v>4</v>
      </c>
      <c r="D2074" t="s">
        <v>7551</v>
      </c>
      <c r="F2074" t="s">
        <v>580</v>
      </c>
      <c r="G2074" t="s">
        <v>7105</v>
      </c>
      <c r="H2074" t="s">
        <v>581</v>
      </c>
      <c r="I2074" t="s">
        <v>210</v>
      </c>
      <c r="J2074" t="s">
        <v>7703</v>
      </c>
      <c r="K2074" t="s">
        <v>7684</v>
      </c>
      <c r="L2074" t="s">
        <v>7691</v>
      </c>
      <c r="N2074" t="str" cm="1">
        <f t="array" ref="N2074">IFERROR(LOOKUP(2,1/SEARCH($S$2:$S$65,G2074),$T$2:$T$65),"Misc")</f>
        <v>COTS</v>
      </c>
      <c r="O2074" t="str" cm="1">
        <f t="array" ref="O2074">IFERROR(LOOKUP(2,1/SEARCH($V$2:$V$65,G2074),$W$2:$W$65),"Misc")</f>
        <v>Fasteners</v>
      </c>
      <c r="P2074" t="str" cm="1">
        <f t="array" ref="P2074">IFERROR(LOOKUP(2,1/SEARCH($Y$2:$Y$65,G2074),$Z$2:$Z$65),"Not Defined")</f>
        <v>FHS</v>
      </c>
      <c r="Q2074" t="str" cm="1">
        <f t="array" ref="Q2074">IFERROR(LOOKUP(2,1/SEARCH($S$2:$S$65,H2074),$T$2:$T$65),"-")</f>
        <v>COTS</v>
      </c>
    </row>
    <row r="2075" spans="1:17" hidden="1" x14ac:dyDescent="0.25">
      <c r="A2075" t="s">
        <v>7675</v>
      </c>
      <c r="B2075" t="s">
        <v>5366</v>
      </c>
      <c r="C2075">
        <v>2</v>
      </c>
      <c r="D2075" t="s">
        <v>7551</v>
      </c>
      <c r="E2075" t="s">
        <v>4770</v>
      </c>
      <c r="F2075" t="s">
        <v>4769</v>
      </c>
      <c r="G2075" t="s">
        <v>7492</v>
      </c>
      <c r="H2075" t="s">
        <v>4770</v>
      </c>
      <c r="J2075" t="s">
        <v>7744</v>
      </c>
      <c r="K2075" t="s">
        <v>7826</v>
      </c>
      <c r="L2075" t="s">
        <v>7826</v>
      </c>
      <c r="N2075" t="str" cm="1">
        <f t="array" ref="N2075">IFERROR(LOOKUP(2,1/SEARCH($S$2:$S$65,G2075),$T$2:$T$65),"Misc")</f>
        <v>OH Common</v>
      </c>
      <c r="O2075" t="str" cm="1">
        <f t="array" ref="O2075">IFERROR(LOOKUP(2,1/SEARCH($V$2:$V$65,G2075),$W$2:$W$65),"Misc")</f>
        <v>OH Part</v>
      </c>
      <c r="P2075" t="str" cm="1">
        <f t="array" ref="P2075">IFERROR(LOOKUP(2,1/SEARCH($Y$2:$Y$65,G2075),$Z$2:$Z$65),"Not Defined")</f>
        <v>OH Part</v>
      </c>
      <c r="Q2075" t="str" cm="1">
        <f t="array" ref="Q2075">IFERROR(LOOKUP(2,1/SEARCH($S$2:$S$65,H2075),$T$2:$T$65),"-")</f>
        <v>OH ASSY</v>
      </c>
    </row>
    <row r="2076" spans="1:17" hidden="1" x14ac:dyDescent="0.25">
      <c r="A2076" t="s">
        <v>7675</v>
      </c>
      <c r="B2076" t="s">
        <v>5367</v>
      </c>
      <c r="C2076">
        <v>1</v>
      </c>
      <c r="D2076" t="s">
        <v>7551</v>
      </c>
      <c r="E2076" t="s">
        <v>4770</v>
      </c>
      <c r="F2076" t="s">
        <v>4772</v>
      </c>
      <c r="G2076" t="s">
        <v>7493</v>
      </c>
      <c r="H2076" t="s">
        <v>4773</v>
      </c>
      <c r="I2076" t="s">
        <v>210</v>
      </c>
      <c r="J2076" t="s">
        <v>7703</v>
      </c>
      <c r="K2076" t="s">
        <v>7814</v>
      </c>
      <c r="L2076" t="s">
        <v>7702</v>
      </c>
      <c r="N2076" t="str" cm="1">
        <f t="array" ref="N2076">IFERROR(LOOKUP(2,1/SEARCH($S$2:$S$65,G2076),$T$2:$T$65),"Misc")</f>
        <v>COTS</v>
      </c>
      <c r="O2076" t="str" cm="1">
        <f t="array" ref="O2076">IFERROR(LOOKUP(2,1/SEARCH($V$2:$V$65,G2076),$W$2:$W$65),"Misc")</f>
        <v>Misc</v>
      </c>
      <c r="P2076" t="str" cm="1">
        <f t="array" ref="P2076">IFERROR(LOOKUP(2,1/SEARCH($Y$2:$Y$65,G2076),$Z$2:$Z$65),"Not Defined")</f>
        <v>MAGNET</v>
      </c>
      <c r="Q2076" t="str" cm="1">
        <f t="array" ref="Q2076">IFERROR(LOOKUP(2,1/SEARCH($S$2:$S$65,H2076),$T$2:$T$65),"-")</f>
        <v>COTS</v>
      </c>
    </row>
    <row r="2077" spans="1:17" hidden="1" x14ac:dyDescent="0.25">
      <c r="A2077" t="s">
        <v>7675</v>
      </c>
      <c r="B2077" t="s">
        <v>5368</v>
      </c>
      <c r="C2077">
        <v>1</v>
      </c>
      <c r="D2077" t="s">
        <v>7551</v>
      </c>
      <c r="E2077" t="s">
        <v>4770</v>
      </c>
      <c r="F2077" t="s">
        <v>4775</v>
      </c>
      <c r="G2077" t="s">
        <v>7494</v>
      </c>
      <c r="H2077" t="s">
        <v>4776</v>
      </c>
      <c r="I2077" t="s">
        <v>228</v>
      </c>
      <c r="J2077" t="s">
        <v>7703</v>
      </c>
      <c r="K2077" t="s">
        <v>7684</v>
      </c>
      <c r="L2077" t="s">
        <v>7739</v>
      </c>
      <c r="N2077" t="str" cm="1">
        <f t="array" ref="N2077">IFERROR(LOOKUP(2,1/SEARCH($S$2:$S$65,G2077),$T$2:$T$65),"Misc")</f>
        <v>COTS</v>
      </c>
      <c r="O2077" t="str" cm="1">
        <f t="array" ref="O2077">IFERROR(LOOKUP(2,1/SEARCH($V$2:$V$65,G2077),$W$2:$W$65),"Misc")</f>
        <v>Fasteners</v>
      </c>
      <c r="P2077" t="str" cm="1">
        <f t="array" ref="P2077">IFERROR(LOOKUP(2,1/SEARCH($Y$2:$Y$65,G2077),$Z$2:$Z$65),"Not Defined")</f>
        <v>BHCS</v>
      </c>
      <c r="Q2077" t="str" cm="1">
        <f t="array" ref="Q2077">IFERROR(LOOKUP(2,1/SEARCH($S$2:$S$65,H2077),$T$2:$T$65),"-")</f>
        <v>COTS</v>
      </c>
    </row>
    <row r="2078" spans="1:17" hidden="1" x14ac:dyDescent="0.25">
      <c r="A2078" t="s">
        <v>7675</v>
      </c>
      <c r="B2078" t="s">
        <v>5369</v>
      </c>
      <c r="C2078">
        <v>1</v>
      </c>
      <c r="D2078" t="s">
        <v>7551</v>
      </c>
      <c r="E2078" t="s">
        <v>4770</v>
      </c>
      <c r="F2078" t="s">
        <v>4778</v>
      </c>
      <c r="G2078" t="s">
        <v>7495</v>
      </c>
      <c r="H2078" t="s">
        <v>4779</v>
      </c>
      <c r="I2078" t="s">
        <v>210</v>
      </c>
      <c r="J2078" t="s">
        <v>7703</v>
      </c>
      <c r="K2078" t="s">
        <v>7684</v>
      </c>
      <c r="L2078" t="s">
        <v>7692</v>
      </c>
      <c r="N2078" t="str" cm="1">
        <f t="array" ref="N2078">IFERROR(LOOKUP(2,1/SEARCH($S$2:$S$65,G2078),$T$2:$T$65),"Misc")</f>
        <v>COTS</v>
      </c>
      <c r="O2078" t="str" cm="1">
        <f t="array" ref="O2078">IFERROR(LOOKUP(2,1/SEARCH($V$2:$V$65,G2078),$W$2:$W$65),"Misc")</f>
        <v>Fasteners</v>
      </c>
      <c r="P2078" t="str" cm="1">
        <f t="array" ref="P2078">IFERROR(LOOKUP(2,1/SEARCH($Y$2:$Y$65,G2078),$Z$2:$Z$65),"Not Defined")</f>
        <v>WASHER</v>
      </c>
      <c r="Q2078" t="str" cm="1">
        <f t="array" ref="Q2078">IFERROR(LOOKUP(2,1/SEARCH($S$2:$S$65,H2078),$T$2:$T$65),"-")</f>
        <v>COTS</v>
      </c>
    </row>
    <row r="2079" spans="1:17" hidden="1" x14ac:dyDescent="0.25">
      <c r="A2079" t="s">
        <v>7675</v>
      </c>
      <c r="B2079" t="s">
        <v>5370</v>
      </c>
      <c r="C2079">
        <v>1</v>
      </c>
      <c r="D2079" t="s">
        <v>7551</v>
      </c>
      <c r="E2079" t="s">
        <v>4770</v>
      </c>
      <c r="F2079" t="s">
        <v>4781</v>
      </c>
      <c r="G2079" t="s">
        <v>7496</v>
      </c>
      <c r="H2079" t="s">
        <v>4782</v>
      </c>
      <c r="I2079" t="s">
        <v>210</v>
      </c>
      <c r="J2079" t="s">
        <v>7744</v>
      </c>
      <c r="K2079" t="s">
        <v>7826</v>
      </c>
      <c r="L2079" t="s">
        <v>7826</v>
      </c>
      <c r="N2079" t="str" cm="1">
        <f t="array" ref="N2079">IFERROR(LOOKUP(2,1/SEARCH($S$2:$S$65,G2079),$T$2:$T$65),"Misc")</f>
        <v>OH Common</v>
      </c>
      <c r="O2079" t="str" cm="1">
        <f t="array" ref="O2079">IFERROR(LOOKUP(2,1/SEARCH($V$2:$V$65,G2079),$W$2:$W$65),"Misc")</f>
        <v>OH Part</v>
      </c>
      <c r="P2079" t="str" cm="1">
        <f t="array" ref="P2079">IFERROR(LOOKUP(2,1/SEARCH($Y$2:$Y$65,G2079),$Z$2:$Z$65),"Not Defined")</f>
        <v>OH Part</v>
      </c>
      <c r="Q2079" t="str" cm="1">
        <f t="array" ref="Q2079">IFERROR(LOOKUP(2,1/SEARCH($S$2:$S$65,H2079),$T$2:$T$65),"-")</f>
        <v>COTS</v>
      </c>
    </row>
    <row r="2080" spans="1:17" hidden="1" x14ac:dyDescent="0.25">
      <c r="A2080" t="s">
        <v>7675</v>
      </c>
      <c r="B2080" t="s">
        <v>5371</v>
      </c>
      <c r="C2080">
        <v>1</v>
      </c>
      <c r="D2080" t="s">
        <v>7551</v>
      </c>
      <c r="E2080" t="s">
        <v>4770</v>
      </c>
      <c r="F2080" t="s">
        <v>4784</v>
      </c>
      <c r="G2080" t="s">
        <v>7497</v>
      </c>
      <c r="H2080" t="s">
        <v>4785</v>
      </c>
      <c r="I2080" t="s">
        <v>210</v>
      </c>
      <c r="J2080" t="s">
        <v>7703</v>
      </c>
      <c r="K2080" t="s">
        <v>7684</v>
      </c>
      <c r="L2080" t="s">
        <v>7708</v>
      </c>
      <c r="N2080" t="str" cm="1">
        <f t="array" ref="N2080">IFERROR(LOOKUP(2,1/SEARCH($S$2:$S$65,G2080),$T$2:$T$65),"Misc")</f>
        <v>COTS</v>
      </c>
      <c r="O2080" t="str" cm="1">
        <f t="array" ref="O2080">IFERROR(LOOKUP(2,1/SEARCH($V$2:$V$65,G2080),$W$2:$W$65),"Misc")</f>
        <v>Fasteners</v>
      </c>
      <c r="P2080" t="str" cm="1">
        <f t="array" ref="P2080">IFERROR(LOOKUP(2,1/SEARCH($Y$2:$Y$65,G2080),$Z$2:$Z$65),"Not Defined")</f>
        <v>STANDOFF</v>
      </c>
      <c r="Q2080" t="str" cm="1">
        <f t="array" ref="Q2080">IFERROR(LOOKUP(2,1/SEARCH($S$2:$S$65,H2080),$T$2:$T$65),"-")</f>
        <v>COTS</v>
      </c>
    </row>
    <row r="2081" spans="1:17" hidden="1" x14ac:dyDescent="0.25">
      <c r="A2081" t="s">
        <v>7675</v>
      </c>
      <c r="B2081" t="s">
        <v>5372</v>
      </c>
      <c r="C2081">
        <v>1</v>
      </c>
      <c r="D2081" t="s">
        <v>7551</v>
      </c>
      <c r="E2081" t="s">
        <v>4770</v>
      </c>
      <c r="F2081" t="s">
        <v>4787</v>
      </c>
      <c r="G2081" t="s">
        <v>7498</v>
      </c>
      <c r="H2081" t="s">
        <v>4788</v>
      </c>
      <c r="J2081" t="s">
        <v>7703</v>
      </c>
      <c r="K2081" t="s">
        <v>7677</v>
      </c>
      <c r="L2081" t="s">
        <v>7677</v>
      </c>
      <c r="N2081" t="str" cm="1">
        <f t="array" ref="N2081">IFERROR(LOOKUP(2,1/SEARCH($S$2:$S$65,G2081),$T$2:$T$65),"Misc")</f>
        <v>COTS</v>
      </c>
      <c r="O2081" t="str" cm="1">
        <f t="array" ref="O2081">IFERROR(LOOKUP(2,1/SEARCH($V$2:$V$65,G2081),$W$2:$W$65),"Misc")</f>
        <v>SWITCH</v>
      </c>
      <c r="P2081" t="str" cm="1">
        <f t="array" ref="P2081">IFERROR(LOOKUP(2,1/SEARCH($Y$2:$Y$65,G2081),$Z$2:$Z$65),"Not Defined")</f>
        <v>SWITCH</v>
      </c>
      <c r="Q2081" t="str" cm="1">
        <f t="array" ref="Q2081">IFERROR(LOOKUP(2,1/SEARCH($S$2:$S$65,H2081),$T$2:$T$65),"-")</f>
        <v>COTS</v>
      </c>
    </row>
    <row r="2082" spans="1:17" hidden="1" x14ac:dyDescent="0.25">
      <c r="A2082" t="s">
        <v>7675</v>
      </c>
      <c r="B2082" s="2" t="s">
        <v>5373</v>
      </c>
      <c r="C2082">
        <v>1</v>
      </c>
      <c r="D2082" t="s">
        <v>7551</v>
      </c>
      <c r="E2082" t="s">
        <v>5375</v>
      </c>
      <c r="F2082" t="s">
        <v>5374</v>
      </c>
      <c r="G2082" t="s">
        <v>7554</v>
      </c>
      <c r="H2082" t="s">
        <v>5375</v>
      </c>
      <c r="J2082" t="s">
        <v>7742</v>
      </c>
      <c r="K2082" t="s">
        <v>7826</v>
      </c>
      <c r="L2082" t="s">
        <v>7826</v>
      </c>
      <c r="N2082" t="str" cm="1">
        <f t="array" ref="N2082">IFERROR(LOOKUP(2,1/SEARCH($S$2:$S$65,G2082),$T$2:$T$65),"Misc")</f>
        <v>OH ASSY</v>
      </c>
      <c r="O2082" t="str" cm="1">
        <f t="array" ref="O2082">IFERROR(LOOKUP(2,1/SEARCH($V$2:$V$65,G2082),$W$2:$W$65),"Misc")</f>
        <v>OH Part</v>
      </c>
      <c r="P2082" t="str" cm="1">
        <f t="array" ref="P2082">IFERROR(LOOKUP(2,1/SEARCH($Y$2:$Y$65,G2082),$Z$2:$Z$65),"Not Defined")</f>
        <v>OH Part</v>
      </c>
      <c r="Q2082" t="str" cm="1">
        <f t="array" ref="Q2082">IFERROR(LOOKUP(2,1/SEARCH($S$2:$S$65,H2082),$T$2:$T$65),"-")</f>
        <v>OH ASSY</v>
      </c>
    </row>
    <row r="2083" spans="1:17" hidden="1" x14ac:dyDescent="0.25">
      <c r="A2083" t="s">
        <v>7675</v>
      </c>
      <c r="B2083" s="2" t="s">
        <v>5376</v>
      </c>
      <c r="C2083">
        <v>1</v>
      </c>
      <c r="D2083" t="s">
        <v>7551</v>
      </c>
      <c r="E2083" t="s">
        <v>7931</v>
      </c>
      <c r="F2083" t="s">
        <v>5377</v>
      </c>
      <c r="G2083" t="s">
        <v>5379</v>
      </c>
      <c r="H2083" t="s">
        <v>5378</v>
      </c>
      <c r="J2083" t="s">
        <v>7742</v>
      </c>
      <c r="K2083" t="s">
        <v>7826</v>
      </c>
      <c r="L2083" t="s">
        <v>7826</v>
      </c>
      <c r="N2083" t="str" cm="1">
        <f t="array" ref="N2083">IFERROR(LOOKUP(2,1/SEARCH($S$2:$S$65,G2083),$T$2:$T$65),"Misc")</f>
        <v>OH ASSY</v>
      </c>
      <c r="O2083" t="str" cm="1">
        <f t="array" ref="O2083">IFERROR(LOOKUP(2,1/SEARCH($V$2:$V$65,G2083),$W$2:$W$65),"Misc")</f>
        <v>OH Part</v>
      </c>
      <c r="P2083" t="str" cm="1">
        <f t="array" ref="P2083">IFERROR(LOOKUP(2,1/SEARCH($Y$2:$Y$65,G2083),$Z$2:$Z$65),"Not Defined")</f>
        <v>OH Part</v>
      </c>
      <c r="Q2083" t="str" cm="1">
        <f t="array" ref="Q2083">IFERROR(LOOKUP(2,1/SEARCH($S$2:$S$65,H2083),$T$2:$T$65),"-")</f>
        <v>OH ASSY</v>
      </c>
    </row>
    <row r="2084" spans="1:17" hidden="1" x14ac:dyDescent="0.25">
      <c r="A2084" t="s">
        <v>7675</v>
      </c>
      <c r="B2084" s="2" t="s">
        <v>5380</v>
      </c>
      <c r="C2084">
        <v>1</v>
      </c>
      <c r="D2084" t="s">
        <v>7551</v>
      </c>
      <c r="E2084" t="s">
        <v>7931</v>
      </c>
      <c r="F2084" t="s">
        <v>5381</v>
      </c>
      <c r="G2084" t="s">
        <v>5383</v>
      </c>
      <c r="H2084" t="s">
        <v>5382</v>
      </c>
      <c r="I2084" t="s">
        <v>13</v>
      </c>
      <c r="J2084" t="s">
        <v>7682</v>
      </c>
      <c r="K2084" t="s">
        <v>7826</v>
      </c>
      <c r="L2084" t="s">
        <v>7826</v>
      </c>
      <c r="N2084" t="str" cm="1">
        <f t="array" ref="N2084">IFERROR(LOOKUP(2,1/SEARCH($S$2:$S$65,G2084),$T$2:$T$65),"Misc")</f>
        <v>OH P/N</v>
      </c>
      <c r="O2084" t="str" cm="1">
        <f t="array" ref="O2084">IFERROR(LOOKUP(2,1/SEARCH($V$2:$V$65,G2084),$W$2:$W$65),"Misc")</f>
        <v>OH Part</v>
      </c>
      <c r="P2084" t="str" cm="1">
        <f t="array" ref="P2084">IFERROR(LOOKUP(2,1/SEARCH($Y$2:$Y$65,G2084),$Z$2:$Z$65),"Not Defined")</f>
        <v>OH Part</v>
      </c>
      <c r="Q2084" t="str" cm="1">
        <f t="array" ref="Q2084">IFERROR(LOOKUP(2,1/SEARCH($S$2:$S$65,H2084),$T$2:$T$65),"-")</f>
        <v>COTS</v>
      </c>
    </row>
    <row r="2085" spans="1:17" hidden="1" x14ac:dyDescent="0.25">
      <c r="A2085" t="s">
        <v>7675</v>
      </c>
      <c r="B2085" s="2" t="s">
        <v>5384</v>
      </c>
      <c r="C2085">
        <v>8</v>
      </c>
      <c r="D2085" t="s">
        <v>7551</v>
      </c>
      <c r="E2085" t="s">
        <v>7931</v>
      </c>
      <c r="F2085" t="s">
        <v>265</v>
      </c>
      <c r="G2085" t="s">
        <v>7099</v>
      </c>
      <c r="H2085" t="s">
        <v>266</v>
      </c>
      <c r="I2085" t="s">
        <v>224</v>
      </c>
      <c r="J2085" t="s">
        <v>7703</v>
      </c>
      <c r="K2085" t="s">
        <v>7684</v>
      </c>
      <c r="L2085" t="s">
        <v>7687</v>
      </c>
      <c r="N2085" t="str" cm="1">
        <f t="array" ref="N2085">IFERROR(LOOKUP(2,1/SEARCH($S$2:$S$65,G2085),$T$2:$T$65),"Misc")</f>
        <v>COTS</v>
      </c>
      <c r="O2085" t="str" cm="1">
        <f t="array" ref="O2085">IFERROR(LOOKUP(2,1/SEARCH($V$2:$V$65,G2085),$W$2:$W$65),"Misc")</f>
        <v>Fasteners</v>
      </c>
      <c r="P2085" t="str" cm="1">
        <f t="array" ref="P2085">IFERROR(LOOKUP(2,1/SEARCH($Y$2:$Y$65,G2085),$Z$2:$Z$65),"Not Defined")</f>
        <v>INSERT</v>
      </c>
      <c r="Q2085" t="str" cm="1">
        <f t="array" ref="Q2085">IFERROR(LOOKUP(2,1/SEARCH($S$2:$S$65,H2085),$T$2:$T$65),"-")</f>
        <v>COTS</v>
      </c>
    </row>
    <row r="2086" spans="1:17" hidden="1" x14ac:dyDescent="0.25">
      <c r="A2086" t="s">
        <v>7675</v>
      </c>
      <c r="B2086" s="2" t="s">
        <v>5385</v>
      </c>
      <c r="C2086">
        <v>1</v>
      </c>
      <c r="D2086" t="s">
        <v>7551</v>
      </c>
      <c r="E2086" t="s">
        <v>7931</v>
      </c>
      <c r="F2086" t="s">
        <v>5053</v>
      </c>
      <c r="G2086" t="s">
        <v>7523</v>
      </c>
      <c r="H2086" t="s">
        <v>5054</v>
      </c>
      <c r="I2086" t="s">
        <v>929</v>
      </c>
      <c r="J2086" t="s">
        <v>7703</v>
      </c>
      <c r="K2086" t="s">
        <v>7683</v>
      </c>
      <c r="L2086" t="s">
        <v>7683</v>
      </c>
      <c r="N2086" t="str" cm="1">
        <f t="array" ref="N2086">IFERROR(LOOKUP(2,1/SEARCH($S$2:$S$65,G2086),$T$2:$T$65),"Misc")</f>
        <v>COTS</v>
      </c>
      <c r="O2086" t="str" cm="1">
        <f t="array" ref="O2086">IFERROR(LOOKUP(2,1/SEARCH($V$2:$V$65,G2086),$W$2:$W$65),"Misc")</f>
        <v>BEARING</v>
      </c>
      <c r="P2086" t="str" cm="1">
        <f t="array" ref="P2086">IFERROR(LOOKUP(2,1/SEARCH($Y$2:$Y$65,G2086),$Z$2:$Z$65),"Not Defined")</f>
        <v>BEARING</v>
      </c>
      <c r="Q2086" t="str" cm="1">
        <f t="array" ref="Q2086">IFERROR(LOOKUP(2,1/SEARCH($S$2:$S$65,H2086),$T$2:$T$65),"-")</f>
        <v>COTS</v>
      </c>
    </row>
    <row r="2087" spans="1:17" hidden="1" x14ac:dyDescent="0.25">
      <c r="A2087" t="s">
        <v>7675</v>
      </c>
      <c r="B2087" s="2" t="s">
        <v>5386</v>
      </c>
      <c r="C2087">
        <v>1</v>
      </c>
      <c r="D2087" t="s">
        <v>7551</v>
      </c>
      <c r="E2087" t="s">
        <v>7932</v>
      </c>
      <c r="F2087" t="s">
        <v>5387</v>
      </c>
      <c r="G2087" t="s">
        <v>5389</v>
      </c>
      <c r="H2087" t="s">
        <v>5388</v>
      </c>
      <c r="J2087" t="s">
        <v>7742</v>
      </c>
      <c r="K2087" t="s">
        <v>7826</v>
      </c>
      <c r="L2087" t="s">
        <v>7826</v>
      </c>
      <c r="N2087" t="str" cm="1">
        <f t="array" ref="N2087">IFERROR(LOOKUP(2,1/SEARCH($S$2:$S$65,G2087),$T$2:$T$65),"Misc")</f>
        <v>OH ASSY</v>
      </c>
      <c r="O2087" t="str" cm="1">
        <f t="array" ref="O2087">IFERROR(LOOKUP(2,1/SEARCH($V$2:$V$65,G2087),$W$2:$W$65),"Misc")</f>
        <v>OH Part</v>
      </c>
      <c r="P2087" t="str" cm="1">
        <f t="array" ref="P2087">IFERROR(LOOKUP(2,1/SEARCH($Y$2:$Y$65,G2087),$Z$2:$Z$65),"Not Defined")</f>
        <v>OH Part</v>
      </c>
      <c r="Q2087" t="str" cm="1">
        <f t="array" ref="Q2087">IFERROR(LOOKUP(2,1/SEARCH($S$2:$S$65,H2087),$T$2:$T$65),"-")</f>
        <v>OH ASSY</v>
      </c>
    </row>
    <row r="2088" spans="1:17" hidden="1" x14ac:dyDescent="0.25">
      <c r="A2088" t="s">
        <v>7675</v>
      </c>
      <c r="B2088" s="2" t="s">
        <v>5390</v>
      </c>
      <c r="C2088">
        <v>1</v>
      </c>
      <c r="D2088" t="s">
        <v>7551</v>
      </c>
      <c r="E2088" t="s">
        <v>7932</v>
      </c>
      <c r="F2088" t="s">
        <v>5391</v>
      </c>
      <c r="G2088" t="s">
        <v>5393</v>
      </c>
      <c r="H2088" t="s">
        <v>5392</v>
      </c>
      <c r="I2088" t="s">
        <v>13</v>
      </c>
      <c r="J2088" t="s">
        <v>7682</v>
      </c>
      <c r="K2088" t="s">
        <v>7826</v>
      </c>
      <c r="L2088" t="s">
        <v>7826</v>
      </c>
      <c r="N2088" t="str" cm="1">
        <f t="array" ref="N2088">IFERROR(LOOKUP(2,1/SEARCH($S$2:$S$65,G2088),$T$2:$T$65),"Misc")</f>
        <v>OH P/N</v>
      </c>
      <c r="O2088" t="str" cm="1">
        <f t="array" ref="O2088">IFERROR(LOOKUP(2,1/SEARCH($V$2:$V$65,G2088),$W$2:$W$65),"Misc")</f>
        <v>OH Part</v>
      </c>
      <c r="P2088" t="str" cm="1">
        <f t="array" ref="P2088">IFERROR(LOOKUP(2,1/SEARCH($Y$2:$Y$65,G2088),$Z$2:$Z$65),"Not Defined")</f>
        <v>OH Part</v>
      </c>
      <c r="Q2088" t="str" cm="1">
        <f t="array" ref="Q2088">IFERROR(LOOKUP(2,1/SEARCH($S$2:$S$65,H2088),$T$2:$T$65),"-")</f>
        <v>-</v>
      </c>
    </row>
    <row r="2089" spans="1:17" hidden="1" x14ac:dyDescent="0.25">
      <c r="A2089" t="s">
        <v>7675</v>
      </c>
      <c r="B2089" s="2" t="s">
        <v>5394</v>
      </c>
      <c r="C2089">
        <v>1</v>
      </c>
      <c r="D2089" t="s">
        <v>7551</v>
      </c>
      <c r="E2089" t="s">
        <v>7932</v>
      </c>
      <c r="F2089" t="s">
        <v>5053</v>
      </c>
      <c r="G2089" t="s">
        <v>7523</v>
      </c>
      <c r="H2089" t="s">
        <v>5054</v>
      </c>
      <c r="I2089" t="s">
        <v>929</v>
      </c>
      <c r="J2089" t="s">
        <v>7703</v>
      </c>
      <c r="K2089" t="s">
        <v>7683</v>
      </c>
      <c r="L2089" t="s">
        <v>7683</v>
      </c>
      <c r="N2089" t="str" cm="1">
        <f t="array" ref="N2089">IFERROR(LOOKUP(2,1/SEARCH($S$2:$S$65,G2089),$T$2:$T$65),"Misc")</f>
        <v>COTS</v>
      </c>
      <c r="O2089" t="str" cm="1">
        <f t="array" ref="O2089">IFERROR(LOOKUP(2,1/SEARCH($V$2:$V$65,G2089),$W$2:$W$65),"Misc")</f>
        <v>BEARING</v>
      </c>
      <c r="P2089" t="str" cm="1">
        <f t="array" ref="P2089">IFERROR(LOOKUP(2,1/SEARCH($Y$2:$Y$65,G2089),$Z$2:$Z$65),"Not Defined")</f>
        <v>BEARING</v>
      </c>
      <c r="Q2089" t="str" cm="1">
        <f t="array" ref="Q2089">IFERROR(LOOKUP(2,1/SEARCH($S$2:$S$65,H2089),$T$2:$T$65),"-")</f>
        <v>COTS</v>
      </c>
    </row>
    <row r="2090" spans="1:17" hidden="1" x14ac:dyDescent="0.25">
      <c r="A2090" t="s">
        <v>7675</v>
      </c>
      <c r="B2090" s="2" t="s">
        <v>5395</v>
      </c>
      <c r="C2090">
        <v>1</v>
      </c>
      <c r="D2090" t="s">
        <v>7551</v>
      </c>
      <c r="E2090" t="s">
        <v>7932</v>
      </c>
      <c r="F2090" t="s">
        <v>5065</v>
      </c>
      <c r="G2090" t="s">
        <v>7524</v>
      </c>
      <c r="H2090" t="s">
        <v>5066</v>
      </c>
      <c r="I2090" t="s">
        <v>3477</v>
      </c>
      <c r="J2090" t="s">
        <v>7703</v>
      </c>
      <c r="K2090" t="s">
        <v>7683</v>
      </c>
      <c r="L2090" t="s">
        <v>7683</v>
      </c>
      <c r="N2090" t="str" cm="1">
        <f t="array" ref="N2090">IFERROR(LOOKUP(2,1/SEARCH($S$2:$S$65,G2090),$T$2:$T$65),"Misc")</f>
        <v>COTS</v>
      </c>
      <c r="O2090" t="str" cm="1">
        <f t="array" ref="O2090">IFERROR(LOOKUP(2,1/SEARCH($V$2:$V$65,G2090),$W$2:$W$65),"Misc")</f>
        <v>BEARING</v>
      </c>
      <c r="P2090" t="str" cm="1">
        <f t="array" ref="P2090">IFERROR(LOOKUP(2,1/SEARCH($Y$2:$Y$65,G2090),$Z$2:$Z$65),"Not Defined")</f>
        <v>BEARING</v>
      </c>
      <c r="Q2090" t="str" cm="1">
        <f t="array" ref="Q2090">IFERROR(LOOKUP(2,1/SEARCH($S$2:$S$65,H2090),$T$2:$T$65),"-")</f>
        <v>COTS</v>
      </c>
    </row>
    <row r="2091" spans="1:17" hidden="1" x14ac:dyDescent="0.25">
      <c r="A2091" t="s">
        <v>7675</v>
      </c>
      <c r="B2091" s="2" t="s">
        <v>5396</v>
      </c>
      <c r="C2091">
        <v>1</v>
      </c>
      <c r="D2091" t="s">
        <v>7551</v>
      </c>
      <c r="E2091" t="s">
        <v>5375</v>
      </c>
      <c r="F2091" t="s">
        <v>5397</v>
      </c>
      <c r="G2091" t="s">
        <v>5399</v>
      </c>
      <c r="H2091" t="s">
        <v>5398</v>
      </c>
      <c r="I2091" t="s">
        <v>299</v>
      </c>
      <c r="J2091" t="s">
        <v>7682</v>
      </c>
      <c r="K2091" t="s">
        <v>7826</v>
      </c>
      <c r="L2091" t="s">
        <v>7826</v>
      </c>
      <c r="N2091" t="str" cm="1">
        <f t="array" ref="N2091">IFERROR(LOOKUP(2,1/SEARCH($S$2:$S$65,G2091),$T$2:$T$65),"Misc")</f>
        <v>OH P/N</v>
      </c>
      <c r="O2091" t="str" cm="1">
        <f t="array" ref="O2091">IFERROR(LOOKUP(2,1/SEARCH($V$2:$V$65,G2091),$W$2:$W$65),"Misc")</f>
        <v>OH Part</v>
      </c>
      <c r="P2091" t="str" cm="1">
        <f t="array" ref="P2091">IFERROR(LOOKUP(2,1/SEARCH($Y$2:$Y$65,G2091),$Z$2:$Z$65),"Not Defined")</f>
        <v>OH Part</v>
      </c>
      <c r="Q2091" t="str" cm="1">
        <f t="array" ref="Q2091">IFERROR(LOOKUP(2,1/SEARCH($S$2:$S$65,H2091),$T$2:$T$65),"-")</f>
        <v>-</v>
      </c>
    </row>
    <row r="2092" spans="1:17" hidden="1" x14ac:dyDescent="0.25">
      <c r="A2092" t="s">
        <v>7675</v>
      </c>
      <c r="B2092" s="2" t="s">
        <v>5400</v>
      </c>
      <c r="C2092">
        <v>1</v>
      </c>
      <c r="D2092" t="s">
        <v>7551</v>
      </c>
      <c r="E2092" t="s">
        <v>5375</v>
      </c>
      <c r="F2092" t="s">
        <v>5401</v>
      </c>
      <c r="G2092" t="s">
        <v>5402</v>
      </c>
      <c r="H2092" t="s">
        <v>5086</v>
      </c>
      <c r="I2092" t="s">
        <v>299</v>
      </c>
      <c r="J2092" t="s">
        <v>7682</v>
      </c>
      <c r="K2092" t="s">
        <v>7826</v>
      </c>
      <c r="L2092" t="s">
        <v>7826</v>
      </c>
      <c r="N2092" t="str" cm="1">
        <f t="array" ref="N2092">IFERROR(LOOKUP(2,1/SEARCH($S$2:$S$65,G2092),$T$2:$T$65),"Misc")</f>
        <v>OH P/N</v>
      </c>
      <c r="O2092" t="str" cm="1">
        <f t="array" ref="O2092">IFERROR(LOOKUP(2,1/SEARCH($V$2:$V$65,G2092),$W$2:$W$65),"Misc")</f>
        <v>OH Part</v>
      </c>
      <c r="P2092" t="str" cm="1">
        <f t="array" ref="P2092">IFERROR(LOOKUP(2,1/SEARCH($Y$2:$Y$65,G2092),$Z$2:$Z$65),"Not Defined")</f>
        <v>OH Part</v>
      </c>
      <c r="Q2092" t="str" cm="1">
        <f t="array" ref="Q2092">IFERROR(LOOKUP(2,1/SEARCH($S$2:$S$65,H2092),$T$2:$T$65),"-")</f>
        <v>-</v>
      </c>
    </row>
    <row r="2093" spans="1:17" hidden="1" x14ac:dyDescent="0.25">
      <c r="A2093" t="s">
        <v>7675</v>
      </c>
      <c r="B2093" s="2" t="s">
        <v>5403</v>
      </c>
      <c r="C2093">
        <v>2</v>
      </c>
      <c r="D2093" t="s">
        <v>7551</v>
      </c>
      <c r="E2093" t="s">
        <v>5375</v>
      </c>
      <c r="F2093" t="s">
        <v>5096</v>
      </c>
      <c r="G2093" t="s">
        <v>7527</v>
      </c>
      <c r="H2093" t="s">
        <v>5097</v>
      </c>
      <c r="I2093" t="s">
        <v>210</v>
      </c>
      <c r="J2093" t="s">
        <v>7703</v>
      </c>
      <c r="K2093" t="s">
        <v>7814</v>
      </c>
      <c r="L2093" t="s">
        <v>7720</v>
      </c>
      <c r="N2093" t="str" cm="1">
        <f t="array" ref="N2093">IFERROR(LOOKUP(2,1/SEARCH($S$2:$S$65,G2093),$T$2:$T$65),"Misc")</f>
        <v>COTS</v>
      </c>
      <c r="O2093" t="str" cm="1">
        <f t="array" ref="O2093">IFERROR(LOOKUP(2,1/SEARCH($V$2:$V$65,G2093),$W$2:$W$65),"Misc")</f>
        <v>Misc</v>
      </c>
      <c r="P2093" t="str" cm="1">
        <f t="array" ref="P2093">IFERROR(LOOKUP(2,1/SEARCH($Y$2:$Y$65,G2093),$Z$2:$Z$65),"Not Defined")</f>
        <v>PINION</v>
      </c>
      <c r="Q2093" t="str" cm="1">
        <f t="array" ref="Q2093">IFERROR(LOOKUP(2,1/SEARCH($S$2:$S$65,H2093),$T$2:$T$65),"-")</f>
        <v>COTS</v>
      </c>
    </row>
    <row r="2094" spans="1:17" hidden="1" x14ac:dyDescent="0.25">
      <c r="A2094" t="s">
        <v>7675</v>
      </c>
      <c r="B2094" s="2" t="s">
        <v>5404</v>
      </c>
      <c r="C2094">
        <v>1</v>
      </c>
      <c r="D2094" t="s">
        <v>7551</v>
      </c>
      <c r="E2094" t="s">
        <v>5375</v>
      </c>
      <c r="F2094" t="s">
        <v>5405</v>
      </c>
      <c r="G2094" t="s">
        <v>7555</v>
      </c>
      <c r="H2094" t="s">
        <v>5406</v>
      </c>
      <c r="I2094" t="s">
        <v>255</v>
      </c>
      <c r="J2094" t="s">
        <v>7703</v>
      </c>
      <c r="K2094" t="s">
        <v>7677</v>
      </c>
      <c r="L2094" t="s">
        <v>7677</v>
      </c>
      <c r="N2094" t="str" cm="1">
        <f t="array" ref="N2094">IFERROR(LOOKUP(2,1/SEARCH($S$2:$S$65,G2094),$T$2:$T$65),"Misc")</f>
        <v>COTS</v>
      </c>
      <c r="O2094" t="str" cm="1">
        <f t="array" ref="O2094">IFERROR(LOOKUP(2,1/SEARCH($V$2:$V$65,G2094),$W$2:$W$65),"Misc")</f>
        <v>SWITCH</v>
      </c>
      <c r="P2094" t="str" cm="1">
        <f t="array" ref="P2094">IFERROR(LOOKUP(2,1/SEARCH($Y$2:$Y$65,G2094),$Z$2:$Z$65),"Not Defined")</f>
        <v>SWITCH</v>
      </c>
      <c r="Q2094" t="str" cm="1">
        <f t="array" ref="Q2094">IFERROR(LOOKUP(2,1/SEARCH($S$2:$S$65,H2094),$T$2:$T$65),"-")</f>
        <v>COTS</v>
      </c>
    </row>
    <row r="2095" spans="1:17" hidden="1" x14ac:dyDescent="0.25">
      <c r="A2095" t="s">
        <v>7675</v>
      </c>
      <c r="B2095" s="2" t="s">
        <v>5407</v>
      </c>
      <c r="C2095">
        <v>1</v>
      </c>
      <c r="D2095" t="s">
        <v>7551</v>
      </c>
      <c r="E2095" t="s">
        <v>5375</v>
      </c>
      <c r="F2095" t="s">
        <v>5408</v>
      </c>
      <c r="G2095" t="s">
        <v>7556</v>
      </c>
      <c r="H2095" t="s">
        <v>5409</v>
      </c>
      <c r="I2095" t="s">
        <v>224</v>
      </c>
      <c r="J2095" t="s">
        <v>7703</v>
      </c>
      <c r="K2095" t="s">
        <v>7677</v>
      </c>
      <c r="L2095" t="s">
        <v>7685</v>
      </c>
      <c r="N2095" t="str" cm="1">
        <f t="array" ref="N2095">IFERROR(LOOKUP(2,1/SEARCH($S$2:$S$65,G2095),$T$2:$T$65),"Misc")</f>
        <v>COTS</v>
      </c>
      <c r="O2095" t="str" cm="1">
        <f t="array" ref="O2095">IFERROR(LOOKUP(2,1/SEARCH($V$2:$V$65,G2095),$W$2:$W$65),"Misc")</f>
        <v>SWITCH</v>
      </c>
      <c r="P2095" t="str" cm="1">
        <f t="array" ref="P2095">IFERROR(LOOKUP(2,1/SEARCH($Y$2:$Y$65,G2095),$Z$2:$Z$65),"Not Defined")</f>
        <v>NUT</v>
      </c>
      <c r="Q2095" t="str" cm="1">
        <f t="array" ref="Q2095">IFERROR(LOOKUP(2,1/SEARCH($S$2:$S$65,H2095),$T$2:$T$65),"-")</f>
        <v>COTS</v>
      </c>
    </row>
    <row r="2096" spans="1:17" hidden="1" x14ac:dyDescent="0.25">
      <c r="A2096" t="s">
        <v>7675</v>
      </c>
      <c r="B2096" s="2" t="s">
        <v>5410</v>
      </c>
      <c r="C2096">
        <v>2</v>
      </c>
      <c r="D2096" t="s">
        <v>7551</v>
      </c>
      <c r="E2096" t="s">
        <v>5375</v>
      </c>
      <c r="F2096" t="s">
        <v>580</v>
      </c>
      <c r="G2096" t="s">
        <v>7105</v>
      </c>
      <c r="H2096" t="s">
        <v>581</v>
      </c>
      <c r="I2096" t="s">
        <v>210</v>
      </c>
      <c r="J2096" t="s">
        <v>7703</v>
      </c>
      <c r="K2096" t="s">
        <v>7684</v>
      </c>
      <c r="L2096" t="s">
        <v>7691</v>
      </c>
      <c r="N2096" t="str" cm="1">
        <f t="array" ref="N2096">IFERROR(LOOKUP(2,1/SEARCH($S$2:$S$65,G2096),$T$2:$T$65),"Misc")</f>
        <v>COTS</v>
      </c>
      <c r="O2096" t="str" cm="1">
        <f t="array" ref="O2096">IFERROR(LOOKUP(2,1/SEARCH($V$2:$V$65,G2096),$W$2:$W$65),"Misc")</f>
        <v>Fasteners</v>
      </c>
      <c r="P2096" t="str" cm="1">
        <f t="array" ref="P2096">IFERROR(LOOKUP(2,1/SEARCH($Y$2:$Y$65,G2096),$Z$2:$Z$65),"Not Defined")</f>
        <v>FHS</v>
      </c>
      <c r="Q2096" t="str" cm="1">
        <f t="array" ref="Q2096">IFERROR(LOOKUP(2,1/SEARCH($S$2:$S$65,H2096),$T$2:$T$65),"-")</f>
        <v>COTS</v>
      </c>
    </row>
    <row r="2097" spans="1:17" hidden="1" x14ac:dyDescent="0.25">
      <c r="A2097" t="s">
        <v>7675</v>
      </c>
      <c r="B2097" s="2" t="s">
        <v>5411</v>
      </c>
      <c r="C2097">
        <v>2</v>
      </c>
      <c r="D2097" t="s">
        <v>7551</v>
      </c>
      <c r="E2097" t="s">
        <v>5375</v>
      </c>
      <c r="F2097" t="s">
        <v>3974</v>
      </c>
      <c r="G2097" t="s">
        <v>7426</v>
      </c>
      <c r="H2097" t="s">
        <v>3975</v>
      </c>
      <c r="I2097" t="s">
        <v>210</v>
      </c>
      <c r="J2097" t="s">
        <v>7703</v>
      </c>
      <c r="K2097" t="s">
        <v>7684</v>
      </c>
      <c r="L2097" t="s">
        <v>7691</v>
      </c>
      <c r="N2097" t="str" cm="1">
        <f t="array" ref="N2097">IFERROR(LOOKUP(2,1/SEARCH($S$2:$S$65,G2097),$T$2:$T$65),"Misc")</f>
        <v>COTS</v>
      </c>
      <c r="O2097" t="str" cm="1">
        <f t="array" ref="O2097">IFERROR(LOOKUP(2,1/SEARCH($V$2:$V$65,G2097),$W$2:$W$65),"Misc")</f>
        <v>Fasteners</v>
      </c>
      <c r="P2097" t="str" cm="1">
        <f t="array" ref="P2097">IFERROR(LOOKUP(2,1/SEARCH($Y$2:$Y$65,G2097),$Z$2:$Z$65),"Not Defined")</f>
        <v>FHS</v>
      </c>
      <c r="Q2097" t="str" cm="1">
        <f t="array" ref="Q2097">IFERROR(LOOKUP(2,1/SEARCH($S$2:$S$65,H2097),$T$2:$T$65),"-")</f>
        <v>COTS</v>
      </c>
    </row>
    <row r="2098" spans="1:17" hidden="1" x14ac:dyDescent="0.25">
      <c r="A2098" t="s">
        <v>7675</v>
      </c>
      <c r="B2098" s="2" t="s">
        <v>5412</v>
      </c>
      <c r="C2098">
        <v>1</v>
      </c>
      <c r="D2098" t="s">
        <v>7551</v>
      </c>
      <c r="E2098" t="s">
        <v>5375</v>
      </c>
      <c r="F2098" t="s">
        <v>5107</v>
      </c>
      <c r="G2098" t="s">
        <v>7529</v>
      </c>
      <c r="H2098" t="s">
        <v>5108</v>
      </c>
      <c r="I2098" t="s">
        <v>210</v>
      </c>
      <c r="J2098" t="s">
        <v>7703</v>
      </c>
      <c r="K2098" t="s">
        <v>7719</v>
      </c>
      <c r="L2098" t="s">
        <v>7688</v>
      </c>
      <c r="N2098" t="str" cm="1">
        <f t="array" ref="N2098">IFERROR(LOOKUP(2,1/SEARCH($S$2:$S$65,G2098),$T$2:$T$65),"Misc")</f>
        <v>COTS</v>
      </c>
      <c r="O2098" t="str" cm="1">
        <f t="array" ref="O2098">IFERROR(LOOKUP(2,1/SEARCH($V$2:$V$65,G2098),$W$2:$W$65),"Misc")</f>
        <v>Misc</v>
      </c>
      <c r="P2098" t="str" cm="1">
        <f t="array" ref="P2098">IFERROR(LOOKUP(2,1/SEARCH($Y$2:$Y$65,G2098),$Z$2:$Z$65),"Not Defined")</f>
        <v>SPRING</v>
      </c>
      <c r="Q2098" t="str" cm="1">
        <f t="array" ref="Q2098">IFERROR(LOOKUP(2,1/SEARCH($S$2:$S$65,H2098),$T$2:$T$65),"-")</f>
        <v>COTS</v>
      </c>
    </row>
    <row r="2099" spans="1:17" hidden="1" x14ac:dyDescent="0.25">
      <c r="A2099" t="s">
        <v>7675</v>
      </c>
      <c r="B2099" s="2" t="s">
        <v>5413</v>
      </c>
      <c r="C2099">
        <v>1</v>
      </c>
      <c r="D2099" t="s">
        <v>7551</v>
      </c>
      <c r="E2099" t="s">
        <v>5375</v>
      </c>
      <c r="F2099" t="s">
        <v>5100</v>
      </c>
      <c r="G2099" t="s">
        <v>7528</v>
      </c>
      <c r="H2099" t="s">
        <v>5101</v>
      </c>
      <c r="I2099" t="s">
        <v>210</v>
      </c>
      <c r="J2099" t="s">
        <v>7703</v>
      </c>
      <c r="K2099" t="s">
        <v>7705</v>
      </c>
      <c r="L2099" t="s">
        <v>7704</v>
      </c>
      <c r="N2099" t="str" cm="1">
        <f t="array" ref="N2099">IFERROR(LOOKUP(2,1/SEARCH($S$2:$S$65,G2099),$T$2:$T$65),"Misc")</f>
        <v>COTS</v>
      </c>
      <c r="O2099" t="str" cm="1">
        <f t="array" ref="O2099">IFERROR(LOOKUP(2,1/SEARCH($V$2:$V$65,G2099),$W$2:$W$65),"Misc")</f>
        <v>Shaft Collars</v>
      </c>
      <c r="P2099" t="str" cm="1">
        <f t="array" ref="P2099">IFERROR(LOOKUP(2,1/SEARCH($Y$2:$Y$65,G2099),$Z$2:$Z$65),"Not Defined")</f>
        <v>COLLAR</v>
      </c>
      <c r="Q2099" t="str" cm="1">
        <f t="array" ref="Q2099">IFERROR(LOOKUP(2,1/SEARCH($S$2:$S$65,H2099),$T$2:$T$65),"-")</f>
        <v>COTS</v>
      </c>
    </row>
    <row r="2100" spans="1:17" hidden="1" x14ac:dyDescent="0.25">
      <c r="A2100" t="s">
        <v>7675</v>
      </c>
      <c r="B2100" s="2" t="s">
        <v>5414</v>
      </c>
      <c r="C2100">
        <v>1</v>
      </c>
      <c r="D2100" t="s">
        <v>7551</v>
      </c>
      <c r="E2100" t="s">
        <v>5375</v>
      </c>
      <c r="F2100" t="s">
        <v>5116</v>
      </c>
      <c r="G2100" t="s">
        <v>7531</v>
      </c>
      <c r="H2100" t="s">
        <v>5117</v>
      </c>
      <c r="I2100" t="s">
        <v>228</v>
      </c>
      <c r="J2100" t="s">
        <v>7703</v>
      </c>
      <c r="K2100" t="s">
        <v>7684</v>
      </c>
      <c r="L2100" t="s">
        <v>7721</v>
      </c>
      <c r="N2100" t="str" cm="1">
        <f t="array" ref="N2100">IFERROR(LOOKUP(2,1/SEARCH($S$2:$S$65,G2100),$T$2:$T$65),"Misc")</f>
        <v>COTS</v>
      </c>
      <c r="O2100" t="str" cm="1">
        <f t="array" ref="O2100">IFERROR(LOOKUP(2,1/SEARCH($V$2:$V$65,G2100),$W$2:$W$65),"Misc")</f>
        <v>Fasteners</v>
      </c>
      <c r="P2100" t="str" cm="1">
        <f t="array" ref="P2100">IFERROR(LOOKUP(2,1/SEARCH($Y$2:$Y$65,G2100),$Z$2:$Z$65),"Not Defined")</f>
        <v>SET SCREW</v>
      </c>
      <c r="Q2100" t="str" cm="1">
        <f t="array" ref="Q2100">IFERROR(LOOKUP(2,1/SEARCH($S$2:$S$65,H2100),$T$2:$T$65),"-")</f>
        <v>COTS</v>
      </c>
    </row>
    <row r="2101" spans="1:17" hidden="1" x14ac:dyDescent="0.25">
      <c r="A2101" t="s">
        <v>7675</v>
      </c>
      <c r="B2101" s="2" t="s">
        <v>5415</v>
      </c>
      <c r="C2101">
        <v>1</v>
      </c>
      <c r="D2101" t="s">
        <v>7551</v>
      </c>
      <c r="E2101" t="s">
        <v>5375</v>
      </c>
      <c r="F2101" t="s">
        <v>5416</v>
      </c>
      <c r="G2101" t="s">
        <v>5418</v>
      </c>
      <c r="H2101" t="s">
        <v>5417</v>
      </c>
      <c r="I2101" t="s">
        <v>210</v>
      </c>
      <c r="J2101" t="s">
        <v>7682</v>
      </c>
      <c r="K2101" t="s">
        <v>7826</v>
      </c>
      <c r="L2101" t="s">
        <v>7826</v>
      </c>
      <c r="N2101" t="str" cm="1">
        <f t="array" ref="N2101">IFERROR(LOOKUP(2,1/SEARCH($S$2:$S$65,G2101),$T$2:$T$65),"Misc")</f>
        <v>OH P/N</v>
      </c>
      <c r="O2101" t="str" cm="1">
        <f t="array" ref="O2101">IFERROR(LOOKUP(2,1/SEARCH($V$2:$V$65,G2101),$W$2:$W$65),"Misc")</f>
        <v>OH Part</v>
      </c>
      <c r="P2101" t="str" cm="1">
        <f t="array" ref="P2101">IFERROR(LOOKUP(2,1/SEARCH($Y$2:$Y$65,G2101),$Z$2:$Z$65),"Not Defined")</f>
        <v>OH Part</v>
      </c>
      <c r="Q2101" t="str" cm="1">
        <f t="array" ref="Q2101">IFERROR(LOOKUP(2,1/SEARCH($S$2:$S$65,H2101),$T$2:$T$65),"-")</f>
        <v>-</v>
      </c>
    </row>
    <row r="2102" spans="1:17" hidden="1" x14ac:dyDescent="0.25">
      <c r="A2102" t="s">
        <v>7675</v>
      </c>
      <c r="B2102" s="2" t="s">
        <v>5419</v>
      </c>
      <c r="C2102">
        <v>1</v>
      </c>
      <c r="D2102" t="s">
        <v>7551</v>
      </c>
      <c r="E2102" t="s">
        <v>7933</v>
      </c>
      <c r="F2102" t="s">
        <v>5420</v>
      </c>
      <c r="G2102" t="s">
        <v>5422</v>
      </c>
      <c r="H2102" t="s">
        <v>5421</v>
      </c>
      <c r="J2102" t="s">
        <v>7742</v>
      </c>
      <c r="K2102" t="s">
        <v>7826</v>
      </c>
      <c r="L2102" t="s">
        <v>7826</v>
      </c>
      <c r="N2102" t="str" cm="1">
        <f t="array" ref="N2102">IFERROR(LOOKUP(2,1/SEARCH($S$2:$S$65,G2102),$T$2:$T$65),"Misc")</f>
        <v>OH ASSY</v>
      </c>
      <c r="O2102" t="str" cm="1">
        <f t="array" ref="O2102">IFERROR(LOOKUP(2,1/SEARCH($V$2:$V$65,G2102),$W$2:$W$65),"Misc")</f>
        <v>OH Part</v>
      </c>
      <c r="P2102" t="str" cm="1">
        <f t="array" ref="P2102">IFERROR(LOOKUP(2,1/SEARCH($Y$2:$Y$65,G2102),$Z$2:$Z$65),"Not Defined")</f>
        <v>OH Part</v>
      </c>
      <c r="Q2102" t="str" cm="1">
        <f t="array" ref="Q2102">IFERROR(LOOKUP(2,1/SEARCH($S$2:$S$65,H2102),$T$2:$T$65),"-")</f>
        <v>OH ASSY</v>
      </c>
    </row>
    <row r="2103" spans="1:17" hidden="1" x14ac:dyDescent="0.25">
      <c r="A2103" t="s">
        <v>7675</v>
      </c>
      <c r="B2103" s="2" t="s">
        <v>5423</v>
      </c>
      <c r="C2103">
        <v>1</v>
      </c>
      <c r="D2103" t="s">
        <v>7551</v>
      </c>
      <c r="E2103" t="s">
        <v>7933</v>
      </c>
      <c r="F2103" t="s">
        <v>5424</v>
      </c>
      <c r="G2103" t="s">
        <v>5426</v>
      </c>
      <c r="H2103" t="s">
        <v>5425</v>
      </c>
      <c r="I2103" t="s">
        <v>13</v>
      </c>
      <c r="J2103" t="s">
        <v>7682</v>
      </c>
      <c r="K2103" t="s">
        <v>7826</v>
      </c>
      <c r="L2103" t="s">
        <v>7826</v>
      </c>
      <c r="N2103" t="str" cm="1">
        <f t="array" ref="N2103">IFERROR(LOOKUP(2,1/SEARCH($S$2:$S$65,G2103),$T$2:$T$65),"Misc")</f>
        <v>OH P/N</v>
      </c>
      <c r="O2103" t="str" cm="1">
        <f t="array" ref="O2103">IFERROR(LOOKUP(2,1/SEARCH($V$2:$V$65,G2103),$W$2:$W$65),"Misc")</f>
        <v>OH Part</v>
      </c>
      <c r="P2103" t="str" cm="1">
        <f t="array" ref="P2103">IFERROR(LOOKUP(2,1/SEARCH($Y$2:$Y$65,G2103),$Z$2:$Z$65),"Not Defined")</f>
        <v>OH Part</v>
      </c>
      <c r="Q2103" t="str" cm="1">
        <f t="array" ref="Q2103">IFERROR(LOOKUP(2,1/SEARCH($S$2:$S$65,H2103),$T$2:$T$65),"-")</f>
        <v>COTS</v>
      </c>
    </row>
    <row r="2104" spans="1:17" hidden="1" x14ac:dyDescent="0.25">
      <c r="A2104" t="s">
        <v>7675</v>
      </c>
      <c r="B2104" s="2" t="s">
        <v>5427</v>
      </c>
      <c r="C2104">
        <v>4</v>
      </c>
      <c r="D2104" t="s">
        <v>7551</v>
      </c>
      <c r="E2104" t="s">
        <v>7933</v>
      </c>
      <c r="F2104" t="s">
        <v>268</v>
      </c>
      <c r="G2104" t="s">
        <v>7061</v>
      </c>
      <c r="H2104" t="s">
        <v>269</v>
      </c>
      <c r="I2104" t="s">
        <v>224</v>
      </c>
      <c r="J2104" t="s">
        <v>7703</v>
      </c>
      <c r="K2104" t="s">
        <v>7684</v>
      </c>
      <c r="L2104" t="s">
        <v>7687</v>
      </c>
      <c r="N2104" t="str" cm="1">
        <f t="array" ref="N2104">IFERROR(LOOKUP(2,1/SEARCH($S$2:$S$65,G2104),$T$2:$T$65),"Misc")</f>
        <v>COTS</v>
      </c>
      <c r="O2104" t="str" cm="1">
        <f t="array" ref="O2104">IFERROR(LOOKUP(2,1/SEARCH($V$2:$V$65,G2104),$W$2:$W$65),"Misc")</f>
        <v>Fasteners</v>
      </c>
      <c r="P2104" t="str" cm="1">
        <f t="array" ref="P2104">IFERROR(LOOKUP(2,1/SEARCH($Y$2:$Y$65,G2104),$Z$2:$Z$65),"Not Defined")</f>
        <v>INSERT</v>
      </c>
      <c r="Q2104" t="str" cm="1">
        <f t="array" ref="Q2104">IFERROR(LOOKUP(2,1/SEARCH($S$2:$S$65,H2104),$T$2:$T$65),"-")</f>
        <v>COTS</v>
      </c>
    </row>
    <row r="2105" spans="1:17" hidden="1" x14ac:dyDescent="0.25">
      <c r="A2105" t="s">
        <v>7675</v>
      </c>
      <c r="B2105" s="2" t="s">
        <v>5428</v>
      </c>
      <c r="C2105">
        <v>1</v>
      </c>
      <c r="D2105" t="s">
        <v>7551</v>
      </c>
      <c r="E2105" t="s">
        <v>5375</v>
      </c>
      <c r="F2105" t="s">
        <v>4244</v>
      </c>
      <c r="G2105" t="s">
        <v>7436</v>
      </c>
      <c r="H2105" t="s">
        <v>4245</v>
      </c>
      <c r="I2105" t="s">
        <v>255</v>
      </c>
      <c r="J2105" t="s">
        <v>7703</v>
      </c>
      <c r="K2105" t="s">
        <v>7677</v>
      </c>
      <c r="L2105" t="s">
        <v>7677</v>
      </c>
      <c r="N2105" t="str" cm="1">
        <f t="array" ref="N2105">IFERROR(LOOKUP(2,1/SEARCH($S$2:$S$65,G2105),$T$2:$T$65),"Misc")</f>
        <v>COTS</v>
      </c>
      <c r="O2105" t="str" cm="1">
        <f t="array" ref="O2105">IFERROR(LOOKUP(2,1/SEARCH($V$2:$V$65,G2105),$W$2:$W$65),"Misc")</f>
        <v>SWITCH</v>
      </c>
      <c r="P2105" t="str" cm="1">
        <f t="array" ref="P2105">IFERROR(LOOKUP(2,1/SEARCH($Y$2:$Y$65,G2105),$Z$2:$Z$65),"Not Defined")</f>
        <v>SWITCH</v>
      </c>
      <c r="Q2105" t="str" cm="1">
        <f t="array" ref="Q2105">IFERROR(LOOKUP(2,1/SEARCH($S$2:$S$65,H2105),$T$2:$T$65),"-")</f>
        <v>COTS</v>
      </c>
    </row>
    <row r="2106" spans="1:17" hidden="1" x14ac:dyDescent="0.25">
      <c r="A2106" t="s">
        <v>7675</v>
      </c>
      <c r="B2106" s="2" t="s">
        <v>5429</v>
      </c>
      <c r="C2106">
        <v>2</v>
      </c>
      <c r="D2106" t="s">
        <v>7551</v>
      </c>
      <c r="E2106" t="s">
        <v>5375</v>
      </c>
      <c r="F2106" t="s">
        <v>2762</v>
      </c>
      <c r="G2106" t="s">
        <v>7312</v>
      </c>
      <c r="H2106" t="s">
        <v>2763</v>
      </c>
      <c r="I2106" t="s">
        <v>228</v>
      </c>
      <c r="J2106" t="s">
        <v>7703</v>
      </c>
      <c r="K2106" t="s">
        <v>7684</v>
      </c>
      <c r="L2106" t="s">
        <v>7692</v>
      </c>
      <c r="N2106" t="str" cm="1">
        <f t="array" ref="N2106">IFERROR(LOOKUP(2,1/SEARCH($S$2:$S$65,G2106),$T$2:$T$65),"Misc")</f>
        <v>COTS</v>
      </c>
      <c r="O2106" t="str" cm="1">
        <f t="array" ref="O2106">IFERROR(LOOKUP(2,1/SEARCH($V$2:$V$65,G2106),$W$2:$W$65),"Misc")</f>
        <v>Fasteners</v>
      </c>
      <c r="P2106" t="str" cm="1">
        <f t="array" ref="P2106">IFERROR(LOOKUP(2,1/SEARCH($Y$2:$Y$65,G2106),$Z$2:$Z$65),"Not Defined")</f>
        <v>WASHER</v>
      </c>
      <c r="Q2106" t="str" cm="1">
        <f t="array" ref="Q2106">IFERROR(LOOKUP(2,1/SEARCH($S$2:$S$65,H2106),$T$2:$T$65),"-")</f>
        <v>COTS</v>
      </c>
    </row>
    <row r="2107" spans="1:17" hidden="1" x14ac:dyDescent="0.25">
      <c r="A2107" t="s">
        <v>7675</v>
      </c>
      <c r="B2107" s="2" t="s">
        <v>5430</v>
      </c>
      <c r="C2107">
        <v>4</v>
      </c>
      <c r="D2107" t="s">
        <v>7551</v>
      </c>
      <c r="E2107" t="s">
        <v>5375</v>
      </c>
      <c r="F2107" t="s">
        <v>442</v>
      </c>
      <c r="G2107" t="s">
        <v>7087</v>
      </c>
      <c r="H2107" t="s">
        <v>443</v>
      </c>
      <c r="I2107" t="s">
        <v>228</v>
      </c>
      <c r="J2107" t="s">
        <v>7703</v>
      </c>
      <c r="K2107" t="s">
        <v>7684</v>
      </c>
      <c r="L2107" t="s">
        <v>7692</v>
      </c>
      <c r="N2107" t="str" cm="1">
        <f t="array" ref="N2107">IFERROR(LOOKUP(2,1/SEARCH($S$2:$S$65,G2107),$T$2:$T$65),"Misc")</f>
        <v>COTS</v>
      </c>
      <c r="O2107" t="str" cm="1">
        <f t="array" ref="O2107">IFERROR(LOOKUP(2,1/SEARCH($V$2:$V$65,G2107),$W$2:$W$65),"Misc")</f>
        <v>Fasteners</v>
      </c>
      <c r="P2107" t="str" cm="1">
        <f t="array" ref="P2107">IFERROR(LOOKUP(2,1/SEARCH($Y$2:$Y$65,G2107),$Z$2:$Z$65),"Not Defined")</f>
        <v>WASHER</v>
      </c>
      <c r="Q2107" t="str" cm="1">
        <f t="array" ref="Q2107">IFERROR(LOOKUP(2,1/SEARCH($S$2:$S$65,H2107),$T$2:$T$65),"-")</f>
        <v>COTS</v>
      </c>
    </row>
    <row r="2108" spans="1:17" hidden="1" x14ac:dyDescent="0.25">
      <c r="A2108" t="s">
        <v>7675</v>
      </c>
      <c r="B2108" s="2" t="s">
        <v>5431</v>
      </c>
      <c r="C2108">
        <v>2</v>
      </c>
      <c r="D2108" t="s">
        <v>7551</v>
      </c>
      <c r="E2108" t="s">
        <v>5375</v>
      </c>
      <c r="F2108" t="s">
        <v>5113</v>
      </c>
      <c r="G2108" t="s">
        <v>7530</v>
      </c>
      <c r="H2108" t="s">
        <v>5114</v>
      </c>
      <c r="I2108" t="s">
        <v>228</v>
      </c>
      <c r="J2108" t="s">
        <v>7703</v>
      </c>
      <c r="K2108" t="s">
        <v>7684</v>
      </c>
      <c r="L2108" t="s">
        <v>7685</v>
      </c>
      <c r="N2108" t="str" cm="1">
        <f t="array" ref="N2108">IFERROR(LOOKUP(2,1/SEARCH($S$2:$S$65,G2108),$T$2:$T$65),"Misc")</f>
        <v>COTS</v>
      </c>
      <c r="O2108" t="str" cm="1">
        <f t="array" ref="O2108">IFERROR(LOOKUP(2,1/SEARCH($V$2:$V$65,G2108),$W$2:$W$65),"Misc")</f>
        <v>Fasteners</v>
      </c>
      <c r="P2108" t="str" cm="1">
        <f t="array" ref="P2108">IFERROR(LOOKUP(2,1/SEARCH($Y$2:$Y$65,G2108),$Z$2:$Z$65),"Not Defined")</f>
        <v>NUT</v>
      </c>
      <c r="Q2108" t="str" cm="1">
        <f t="array" ref="Q2108">IFERROR(LOOKUP(2,1/SEARCH($S$2:$S$65,H2108),$T$2:$T$65),"-")</f>
        <v>COTS</v>
      </c>
    </row>
    <row r="2109" spans="1:17" hidden="1" x14ac:dyDescent="0.25">
      <c r="A2109" t="s">
        <v>7675</v>
      </c>
      <c r="B2109" s="2" t="s">
        <v>5432</v>
      </c>
      <c r="C2109">
        <v>2</v>
      </c>
      <c r="D2109" t="s">
        <v>7551</v>
      </c>
      <c r="E2109" t="s">
        <v>5375</v>
      </c>
      <c r="F2109" t="s">
        <v>4479</v>
      </c>
      <c r="G2109" t="s">
        <v>7460</v>
      </c>
      <c r="H2109" t="s">
        <v>4480</v>
      </c>
      <c r="I2109" t="s">
        <v>228</v>
      </c>
      <c r="J2109" t="s">
        <v>7703</v>
      </c>
      <c r="K2109" t="s">
        <v>7684</v>
      </c>
      <c r="L2109" t="s">
        <v>7693</v>
      </c>
      <c r="N2109" t="str" cm="1">
        <f t="array" ref="N2109">IFERROR(LOOKUP(2,1/SEARCH($S$2:$S$65,G2109),$T$2:$T$65),"Misc")</f>
        <v>COTS</v>
      </c>
      <c r="O2109" t="str" cm="1">
        <f t="array" ref="O2109">IFERROR(LOOKUP(2,1/SEARCH($V$2:$V$65,G2109),$W$2:$W$65),"Misc")</f>
        <v>Fasteners</v>
      </c>
      <c r="P2109" t="str" cm="1">
        <f t="array" ref="P2109">IFERROR(LOOKUP(2,1/SEARCH($Y$2:$Y$65,G2109),$Z$2:$Z$65),"Not Defined")</f>
        <v>PHS</v>
      </c>
      <c r="Q2109" t="str" cm="1">
        <f t="array" ref="Q2109">IFERROR(LOOKUP(2,1/SEARCH($S$2:$S$65,H2109),$T$2:$T$65),"-")</f>
        <v>COTS</v>
      </c>
    </row>
    <row r="2110" spans="1:17" hidden="1" x14ac:dyDescent="0.25">
      <c r="A2110" t="s">
        <v>7675</v>
      </c>
      <c r="B2110" s="2" t="s">
        <v>5433</v>
      </c>
      <c r="C2110">
        <v>4</v>
      </c>
      <c r="D2110" t="s">
        <v>7551</v>
      </c>
      <c r="E2110" t="s">
        <v>5375</v>
      </c>
      <c r="F2110" t="s">
        <v>5090</v>
      </c>
      <c r="G2110" t="s">
        <v>7525</v>
      </c>
      <c r="H2110" t="s">
        <v>5091</v>
      </c>
      <c r="I2110" t="s">
        <v>228</v>
      </c>
      <c r="J2110" t="s">
        <v>7703</v>
      </c>
      <c r="K2110" t="s">
        <v>7684</v>
      </c>
      <c r="L2110" t="s">
        <v>7691</v>
      </c>
      <c r="N2110" t="str" cm="1">
        <f t="array" ref="N2110">IFERROR(LOOKUP(2,1/SEARCH($S$2:$S$65,G2110),$T$2:$T$65),"Misc")</f>
        <v>COTS</v>
      </c>
      <c r="O2110" t="str" cm="1">
        <f t="array" ref="O2110">IFERROR(LOOKUP(2,1/SEARCH($V$2:$V$65,G2110),$W$2:$W$65),"Misc")</f>
        <v>Fasteners</v>
      </c>
      <c r="P2110" t="str" cm="1">
        <f t="array" ref="P2110">IFERROR(LOOKUP(2,1/SEARCH($Y$2:$Y$65,G2110),$Z$2:$Z$65),"Not Defined")</f>
        <v>FHS</v>
      </c>
      <c r="Q2110" t="str" cm="1">
        <f t="array" ref="Q2110">IFERROR(LOOKUP(2,1/SEARCH($S$2:$S$65,H2110),$T$2:$T$65),"-")</f>
        <v>COTS</v>
      </c>
    </row>
    <row r="2111" spans="1:17" hidden="1" x14ac:dyDescent="0.25">
      <c r="A2111" t="s">
        <v>7675</v>
      </c>
      <c r="B2111" s="2" t="s">
        <v>5434</v>
      </c>
      <c r="C2111">
        <v>1</v>
      </c>
      <c r="D2111" t="s">
        <v>7551</v>
      </c>
      <c r="E2111" t="s">
        <v>5375</v>
      </c>
      <c r="F2111" t="s">
        <v>5435</v>
      </c>
      <c r="G2111" t="s">
        <v>5436</v>
      </c>
      <c r="H2111" t="s">
        <v>5104</v>
      </c>
      <c r="I2111" t="s">
        <v>13</v>
      </c>
      <c r="J2111" t="s">
        <v>7682</v>
      </c>
      <c r="K2111" t="s">
        <v>7826</v>
      </c>
      <c r="L2111" t="s">
        <v>7826</v>
      </c>
      <c r="N2111" t="str" cm="1">
        <f t="array" ref="N2111">IFERROR(LOOKUP(2,1/SEARCH($S$2:$S$65,G2111),$T$2:$T$65),"Misc")</f>
        <v>OH P/N</v>
      </c>
      <c r="O2111" t="str" cm="1">
        <f t="array" ref="O2111">IFERROR(LOOKUP(2,1/SEARCH($V$2:$V$65,G2111),$W$2:$W$65),"Misc")</f>
        <v>OH Part</v>
      </c>
      <c r="P2111" t="str" cm="1">
        <f t="array" ref="P2111">IFERROR(LOOKUP(2,1/SEARCH($Y$2:$Y$65,G2111),$Z$2:$Z$65),"Not Defined")</f>
        <v>OH Part</v>
      </c>
      <c r="Q2111" t="str" cm="1">
        <f t="array" ref="Q2111">IFERROR(LOOKUP(2,1/SEARCH($S$2:$S$65,H2111),$T$2:$T$65),"-")</f>
        <v>COTS</v>
      </c>
    </row>
    <row r="2112" spans="1:17" x14ac:dyDescent="0.25">
      <c r="A2112" t="s">
        <v>7675</v>
      </c>
      <c r="B2112" t="s">
        <v>5437</v>
      </c>
      <c r="C2112">
        <v>2</v>
      </c>
      <c r="D2112" t="s">
        <v>7551</v>
      </c>
      <c r="F2112" t="s">
        <v>577</v>
      </c>
      <c r="G2112" t="s">
        <v>7104</v>
      </c>
      <c r="H2112" t="s">
        <v>578</v>
      </c>
      <c r="I2112" t="s">
        <v>299</v>
      </c>
      <c r="J2112" t="s">
        <v>7703</v>
      </c>
      <c r="K2112" t="s">
        <v>7684</v>
      </c>
      <c r="L2112" t="s">
        <v>7708</v>
      </c>
      <c r="N2112" t="str" cm="1">
        <f t="array" ref="N2112">IFERROR(LOOKUP(2,1/SEARCH($S$2:$S$65,G2112),$T$2:$T$65),"Misc")</f>
        <v>COTS</v>
      </c>
      <c r="O2112" t="str" cm="1">
        <f t="array" ref="O2112">IFERROR(LOOKUP(2,1/SEARCH($V$2:$V$65,G2112),$W$2:$W$65),"Misc")</f>
        <v>Fasteners</v>
      </c>
      <c r="P2112" t="str" cm="1">
        <f t="array" ref="P2112">IFERROR(LOOKUP(2,1/SEARCH($Y$2:$Y$65,G2112),$Z$2:$Z$65),"Not Defined")</f>
        <v>STANDOFF</v>
      </c>
      <c r="Q2112" t="str" cm="1">
        <f t="array" ref="Q2112">IFERROR(LOOKUP(2,1/SEARCH($S$2:$S$65,H2112),$T$2:$T$65),"-")</f>
        <v>COTS</v>
      </c>
    </row>
    <row r="2113" spans="1:17" x14ac:dyDescent="0.25">
      <c r="A2113" t="s">
        <v>7675</v>
      </c>
      <c r="B2113" t="s">
        <v>5438</v>
      </c>
      <c r="C2113">
        <v>4</v>
      </c>
      <c r="D2113" t="s">
        <v>7551</v>
      </c>
      <c r="F2113" t="s">
        <v>4867</v>
      </c>
      <c r="G2113" t="s">
        <v>7508</v>
      </c>
      <c r="H2113" t="s">
        <v>4868</v>
      </c>
      <c r="I2113" t="s">
        <v>299</v>
      </c>
      <c r="J2113" t="s">
        <v>7703</v>
      </c>
      <c r="K2113" t="s">
        <v>7684</v>
      </c>
      <c r="L2113" t="s">
        <v>7708</v>
      </c>
      <c r="N2113" t="str" cm="1">
        <f t="array" ref="N2113">IFERROR(LOOKUP(2,1/SEARCH($S$2:$S$65,G2113),$T$2:$T$65),"Misc")</f>
        <v>COTS</v>
      </c>
      <c r="O2113" t="str" cm="1">
        <f t="array" ref="O2113">IFERROR(LOOKUP(2,1/SEARCH($V$2:$V$65,G2113),$W$2:$W$65),"Misc")</f>
        <v>Fasteners</v>
      </c>
      <c r="P2113" t="str" cm="1">
        <f t="array" ref="P2113">IFERROR(LOOKUP(2,1/SEARCH($Y$2:$Y$65,G2113),$Z$2:$Z$65),"Not Defined")</f>
        <v>STANDOFF</v>
      </c>
      <c r="Q2113" t="str" cm="1">
        <f t="array" ref="Q2113">IFERROR(LOOKUP(2,1/SEARCH($S$2:$S$65,H2113),$T$2:$T$65),"-")</f>
        <v>COTS</v>
      </c>
    </row>
    <row r="2114" spans="1:17" x14ac:dyDescent="0.25">
      <c r="A2114" t="s">
        <v>7675</v>
      </c>
      <c r="B2114" t="s">
        <v>5439</v>
      </c>
      <c r="C2114">
        <v>2</v>
      </c>
      <c r="D2114" t="s">
        <v>7551</v>
      </c>
      <c r="F2114" t="s">
        <v>1541</v>
      </c>
      <c r="G2114" t="s">
        <v>7223</v>
      </c>
      <c r="H2114" t="s">
        <v>1542</v>
      </c>
      <c r="I2114" t="s">
        <v>210</v>
      </c>
      <c r="J2114" t="s">
        <v>7703</v>
      </c>
      <c r="K2114" t="s">
        <v>7684</v>
      </c>
      <c r="L2114" t="s">
        <v>7693</v>
      </c>
      <c r="N2114" t="str" cm="1">
        <f t="array" ref="N2114">IFERROR(LOOKUP(2,1/SEARCH($S$2:$S$65,G2114),$T$2:$T$65),"Misc")</f>
        <v>COTS</v>
      </c>
      <c r="O2114" t="str" cm="1">
        <f t="array" ref="O2114">IFERROR(LOOKUP(2,1/SEARCH($V$2:$V$65,G2114),$W$2:$W$65),"Misc")</f>
        <v>Fasteners</v>
      </c>
      <c r="P2114" t="str" cm="1">
        <f t="array" ref="P2114">IFERROR(LOOKUP(2,1/SEARCH($Y$2:$Y$65,G2114),$Z$2:$Z$65),"Not Defined")</f>
        <v>PHS</v>
      </c>
      <c r="Q2114" t="str" cm="1">
        <f t="array" ref="Q2114">IFERROR(LOOKUP(2,1/SEARCH($S$2:$S$65,H2114),$T$2:$T$65),"-")</f>
        <v>COTS</v>
      </c>
    </row>
    <row r="2115" spans="1:17" x14ac:dyDescent="0.25">
      <c r="A2115" t="s">
        <v>7675</v>
      </c>
      <c r="B2115" t="s">
        <v>5440</v>
      </c>
      <c r="C2115">
        <v>1</v>
      </c>
      <c r="D2115" t="s">
        <v>7551</v>
      </c>
      <c r="F2115" t="s">
        <v>5259</v>
      </c>
      <c r="G2115" t="s">
        <v>7544</v>
      </c>
      <c r="H2115" t="s">
        <v>5260</v>
      </c>
      <c r="I2115" t="s">
        <v>299</v>
      </c>
      <c r="J2115" t="s">
        <v>7703</v>
      </c>
      <c r="K2115" t="s">
        <v>7684</v>
      </c>
      <c r="L2115" t="s">
        <v>7708</v>
      </c>
      <c r="N2115" t="str" cm="1">
        <f t="array" ref="N2115">IFERROR(LOOKUP(2,1/SEARCH($S$2:$S$65,G2115),$T$2:$T$65),"Misc")</f>
        <v>COTS</v>
      </c>
      <c r="O2115" t="str" cm="1">
        <f t="array" ref="O2115">IFERROR(LOOKUP(2,1/SEARCH($V$2:$V$65,G2115),$W$2:$W$65),"Misc")</f>
        <v>Fasteners</v>
      </c>
      <c r="P2115" t="str" cm="1">
        <f t="array" ref="P2115">IFERROR(LOOKUP(2,1/SEARCH($Y$2:$Y$65,G2115),$Z$2:$Z$65),"Not Defined")</f>
        <v>STANDOFF</v>
      </c>
      <c r="Q2115" t="str" cm="1">
        <f t="array" ref="Q2115">IFERROR(LOOKUP(2,1/SEARCH($S$2:$S$65,H2115),$T$2:$T$65),"-")</f>
        <v>COTS</v>
      </c>
    </row>
    <row r="2116" spans="1:17" x14ac:dyDescent="0.25">
      <c r="A2116" t="s">
        <v>7675</v>
      </c>
      <c r="B2116" t="s">
        <v>5441</v>
      </c>
      <c r="C2116">
        <v>1</v>
      </c>
      <c r="D2116" t="s">
        <v>7551</v>
      </c>
      <c r="F2116" t="s">
        <v>5442</v>
      </c>
      <c r="G2116" t="s">
        <v>7557</v>
      </c>
      <c r="H2116" t="s">
        <v>5443</v>
      </c>
      <c r="I2116" t="s">
        <v>299</v>
      </c>
      <c r="J2116" t="s">
        <v>7703</v>
      </c>
      <c r="K2116" t="s">
        <v>7684</v>
      </c>
      <c r="L2116" t="s">
        <v>7708</v>
      </c>
      <c r="N2116" t="str" cm="1">
        <f t="array" ref="N2116">IFERROR(LOOKUP(2,1/SEARCH($S$2:$S$65,G2116),$T$2:$T$65),"Misc")</f>
        <v>COTS</v>
      </c>
      <c r="O2116" t="str" cm="1">
        <f t="array" ref="O2116">IFERROR(LOOKUP(2,1/SEARCH($V$2:$V$65,G2116),$W$2:$W$65),"Misc")</f>
        <v>Fasteners</v>
      </c>
      <c r="P2116" t="str" cm="1">
        <f t="array" ref="P2116">IFERROR(LOOKUP(2,1/SEARCH($Y$2:$Y$65,G2116),$Z$2:$Z$65),"Not Defined")</f>
        <v>STANDOFF</v>
      </c>
      <c r="Q2116" t="str" cm="1">
        <f t="array" ref="Q2116">IFERROR(LOOKUP(2,1/SEARCH($S$2:$S$65,H2116),$T$2:$T$65),"-")</f>
        <v>COTS</v>
      </c>
    </row>
    <row r="2117" spans="1:17" x14ac:dyDescent="0.25">
      <c r="A2117" t="s">
        <v>7675</v>
      </c>
      <c r="B2117" t="s">
        <v>5444</v>
      </c>
      <c r="C2117">
        <v>1</v>
      </c>
      <c r="D2117" t="s">
        <v>7551</v>
      </c>
      <c r="F2117" t="s">
        <v>4437</v>
      </c>
      <c r="G2117" t="s">
        <v>7455</v>
      </c>
      <c r="H2117" t="s">
        <v>4438</v>
      </c>
      <c r="I2117" t="s">
        <v>210</v>
      </c>
      <c r="J2117" t="s">
        <v>7703</v>
      </c>
      <c r="K2117" t="s">
        <v>7684</v>
      </c>
      <c r="L2117" t="s">
        <v>7693</v>
      </c>
      <c r="N2117" t="str" cm="1">
        <f t="array" ref="N2117">IFERROR(LOOKUP(2,1/SEARCH($S$2:$S$65,G2117),$T$2:$T$65),"Misc")</f>
        <v>COTS</v>
      </c>
      <c r="O2117" t="str" cm="1">
        <f t="array" ref="O2117">IFERROR(LOOKUP(2,1/SEARCH($V$2:$V$65,G2117),$W$2:$W$65),"Misc")</f>
        <v>Fasteners</v>
      </c>
      <c r="P2117" t="str" cm="1">
        <f t="array" ref="P2117">IFERROR(LOOKUP(2,1/SEARCH($Y$2:$Y$65,G2117),$Z$2:$Z$65),"Not Defined")</f>
        <v>PHS</v>
      </c>
      <c r="Q2117" t="str" cm="1">
        <f t="array" ref="Q2117">IFERROR(LOOKUP(2,1/SEARCH($S$2:$S$65,H2117),$T$2:$T$65),"-")</f>
        <v>COTS</v>
      </c>
    </row>
    <row r="2118" spans="1:17" x14ac:dyDescent="0.25">
      <c r="A2118" t="s">
        <v>7675</v>
      </c>
      <c r="B2118" t="s">
        <v>5445</v>
      </c>
      <c r="C2118">
        <v>1</v>
      </c>
      <c r="D2118" t="s">
        <v>7551</v>
      </c>
      <c r="F2118" t="s">
        <v>5446</v>
      </c>
      <c r="G2118" t="s">
        <v>7558</v>
      </c>
      <c r="H2118" t="s">
        <v>5447</v>
      </c>
      <c r="I2118" t="s">
        <v>210</v>
      </c>
      <c r="J2118" t="s">
        <v>7703</v>
      </c>
      <c r="K2118" t="s">
        <v>7684</v>
      </c>
      <c r="L2118" t="s">
        <v>7700</v>
      </c>
      <c r="N2118" t="str" cm="1">
        <f t="array" ref="N2118">IFERROR(LOOKUP(2,1/SEARCH($S$2:$S$65,G2118),$T$2:$T$65),"Misc")</f>
        <v>COTS</v>
      </c>
      <c r="O2118" t="str" cm="1">
        <f t="array" ref="O2118">IFERROR(LOOKUP(2,1/SEARCH($V$2:$V$65,G2118),$W$2:$W$65),"Misc")</f>
        <v>Fasteners</v>
      </c>
      <c r="P2118" t="str" cm="1">
        <f t="array" ref="P2118">IFERROR(LOOKUP(2,1/SEARCH($Y$2:$Y$65,G2118),$Z$2:$Z$65),"Not Defined")</f>
        <v>SHCS</v>
      </c>
      <c r="Q2118" t="str" cm="1">
        <f t="array" ref="Q2118">IFERROR(LOOKUP(2,1/SEARCH($S$2:$S$65,H2118),$T$2:$T$65),"-")</f>
        <v>COTS</v>
      </c>
    </row>
    <row r="2119" spans="1:17" hidden="1" x14ac:dyDescent="0.25">
      <c r="A2119" t="s">
        <v>7675</v>
      </c>
      <c r="B2119" t="s">
        <v>5448</v>
      </c>
      <c r="C2119">
        <v>1</v>
      </c>
      <c r="D2119" t="s">
        <v>7551</v>
      </c>
      <c r="E2119" t="s">
        <v>5450</v>
      </c>
      <c r="F2119" t="s">
        <v>5449</v>
      </c>
      <c r="G2119" t="s">
        <v>5451</v>
      </c>
      <c r="H2119" t="s">
        <v>5450</v>
      </c>
      <c r="J2119" t="s">
        <v>7742</v>
      </c>
      <c r="K2119" t="s">
        <v>7826</v>
      </c>
      <c r="L2119" t="s">
        <v>7826</v>
      </c>
      <c r="N2119" t="str" cm="1">
        <f t="array" ref="N2119">IFERROR(LOOKUP(2,1/SEARCH($S$2:$S$65,G2119),$T$2:$T$65),"Misc")</f>
        <v>OH ASSY</v>
      </c>
      <c r="O2119" t="str" cm="1">
        <f t="array" ref="O2119">IFERROR(LOOKUP(2,1/SEARCH($V$2:$V$65,G2119),$W$2:$W$65),"Misc")</f>
        <v>OH Part</v>
      </c>
      <c r="P2119" t="str" cm="1">
        <f t="array" ref="P2119">IFERROR(LOOKUP(2,1/SEARCH($Y$2:$Y$65,G2119),$Z$2:$Z$65),"Not Defined")</f>
        <v>OH Part</v>
      </c>
      <c r="Q2119" t="str" cm="1">
        <f t="array" ref="Q2119">IFERROR(LOOKUP(2,1/SEARCH($S$2:$S$65,H2119),$T$2:$T$65),"-")</f>
        <v>OH ASSY</v>
      </c>
    </row>
    <row r="2120" spans="1:17" hidden="1" x14ac:dyDescent="0.25">
      <c r="A2120" t="s">
        <v>7675</v>
      </c>
      <c r="B2120" t="s">
        <v>5452</v>
      </c>
      <c r="C2120">
        <v>1</v>
      </c>
      <c r="D2120" t="s">
        <v>7551</v>
      </c>
      <c r="E2120" t="s">
        <v>5450</v>
      </c>
      <c r="F2120" t="s">
        <v>4791</v>
      </c>
      <c r="G2120" t="s">
        <v>7499</v>
      </c>
      <c r="H2120" t="s">
        <v>4792</v>
      </c>
      <c r="I2120" t="s">
        <v>255</v>
      </c>
      <c r="J2120" t="s">
        <v>7717</v>
      </c>
      <c r="K2120" t="s">
        <v>7717</v>
      </c>
      <c r="L2120" t="s">
        <v>7717</v>
      </c>
      <c r="N2120" t="str" cm="1">
        <f t="array" ref="N2120">IFERROR(LOOKUP(2,1/SEARCH($S$2:$S$65,G2120),$T$2:$T$65),"Misc")</f>
        <v>ABSIS</v>
      </c>
      <c r="O2120" t="str" cm="1">
        <f t="array" ref="O2120">IFERROR(LOOKUP(2,1/SEARCH($V$2:$V$65,G2120),$W$2:$W$65),"Misc")</f>
        <v>ABSIS</v>
      </c>
      <c r="P2120" t="str" cm="1">
        <f t="array" ref="P2120">IFERROR(LOOKUP(2,1/SEARCH($Y$2:$Y$65,G2120),$Z$2:$Z$65),"Not Defined")</f>
        <v>ABSIS</v>
      </c>
      <c r="Q2120" t="str" cm="1">
        <f t="array" ref="Q2120">IFERROR(LOOKUP(2,1/SEARCH($S$2:$S$65,H2120),$T$2:$T$65),"-")</f>
        <v>ABSIS</v>
      </c>
    </row>
    <row r="2121" spans="1:17" hidden="1" x14ac:dyDescent="0.25">
      <c r="A2121" t="s">
        <v>7675</v>
      </c>
      <c r="B2121" t="s">
        <v>5453</v>
      </c>
      <c r="C2121">
        <v>1</v>
      </c>
      <c r="D2121" t="s">
        <v>7551</v>
      </c>
      <c r="E2121" t="s">
        <v>5450</v>
      </c>
      <c r="F2121" t="s">
        <v>5454</v>
      </c>
      <c r="G2121" t="s">
        <v>5456</v>
      </c>
      <c r="H2121" t="s">
        <v>5455</v>
      </c>
      <c r="I2121" t="s">
        <v>293</v>
      </c>
      <c r="J2121" t="s">
        <v>7682</v>
      </c>
      <c r="K2121" t="s">
        <v>7826</v>
      </c>
      <c r="L2121" t="s">
        <v>7826</v>
      </c>
      <c r="N2121" t="str" cm="1">
        <f t="array" ref="N2121">IFERROR(LOOKUP(2,1/SEARCH($S$2:$S$65,G2121),$T$2:$T$65),"Misc")</f>
        <v>OH P/N</v>
      </c>
      <c r="O2121" t="str" cm="1">
        <f t="array" ref="O2121">IFERROR(LOOKUP(2,1/SEARCH($V$2:$V$65,G2121),$W$2:$W$65),"Misc")</f>
        <v>OH Part</v>
      </c>
      <c r="P2121" t="str" cm="1">
        <f t="array" ref="P2121">IFERROR(LOOKUP(2,1/SEARCH($Y$2:$Y$65,G2121),$Z$2:$Z$65),"Not Defined")</f>
        <v>OH Part</v>
      </c>
      <c r="Q2121" t="str" cm="1">
        <f t="array" ref="Q2121">IFERROR(LOOKUP(2,1/SEARCH($S$2:$S$65,H2121),$T$2:$T$65),"-")</f>
        <v>ABSIS</v>
      </c>
    </row>
    <row r="2122" spans="1:17" hidden="1" x14ac:dyDescent="0.25">
      <c r="A2122" t="s">
        <v>7675</v>
      </c>
      <c r="B2122" t="s">
        <v>5457</v>
      </c>
      <c r="C2122">
        <v>4</v>
      </c>
      <c r="D2122" t="s">
        <v>7551</v>
      </c>
      <c r="E2122" t="s">
        <v>5450</v>
      </c>
      <c r="F2122" t="s">
        <v>4795</v>
      </c>
      <c r="G2122" t="s">
        <v>7500</v>
      </c>
      <c r="H2122" t="s">
        <v>4796</v>
      </c>
      <c r="I2122" t="s">
        <v>299</v>
      </c>
      <c r="J2122" t="s">
        <v>7703</v>
      </c>
      <c r="K2122" t="s">
        <v>7684</v>
      </c>
      <c r="L2122" t="s">
        <v>7708</v>
      </c>
      <c r="N2122" t="str" cm="1">
        <f t="array" ref="N2122">IFERROR(LOOKUP(2,1/SEARCH($S$2:$S$65,G2122),$T$2:$T$65),"Misc")</f>
        <v>COTS</v>
      </c>
      <c r="O2122" t="str" cm="1">
        <f t="array" ref="O2122">IFERROR(LOOKUP(2,1/SEARCH($V$2:$V$65,G2122),$W$2:$W$65),"Misc")</f>
        <v>Fasteners</v>
      </c>
      <c r="P2122" t="str" cm="1">
        <f t="array" ref="P2122">IFERROR(LOOKUP(2,1/SEARCH($Y$2:$Y$65,G2122),$Z$2:$Z$65),"Not Defined")</f>
        <v>STANDOFF</v>
      </c>
      <c r="Q2122" t="str" cm="1">
        <f t="array" ref="Q2122">IFERROR(LOOKUP(2,1/SEARCH($S$2:$S$65,H2122),$T$2:$T$65),"-")</f>
        <v>COTS</v>
      </c>
    </row>
    <row r="2123" spans="1:17" hidden="1" x14ac:dyDescent="0.25">
      <c r="A2123" t="s">
        <v>7675</v>
      </c>
      <c r="B2123" t="s">
        <v>5458</v>
      </c>
      <c r="C2123">
        <v>8</v>
      </c>
      <c r="D2123" t="s">
        <v>7551</v>
      </c>
      <c r="E2123" t="s">
        <v>5450</v>
      </c>
      <c r="F2123" t="s">
        <v>583</v>
      </c>
      <c r="G2123" t="s">
        <v>7106</v>
      </c>
      <c r="H2123" t="s">
        <v>584</v>
      </c>
      <c r="I2123" t="s">
        <v>299</v>
      </c>
      <c r="J2123" t="s">
        <v>7703</v>
      </c>
      <c r="K2123" t="s">
        <v>7684</v>
      </c>
      <c r="L2123" t="s">
        <v>7708</v>
      </c>
      <c r="N2123" t="str" cm="1">
        <f t="array" ref="N2123">IFERROR(LOOKUP(2,1/SEARCH($S$2:$S$65,G2123),$T$2:$T$65),"Misc")</f>
        <v>COTS</v>
      </c>
      <c r="O2123" t="str" cm="1">
        <f t="array" ref="O2123">IFERROR(LOOKUP(2,1/SEARCH($V$2:$V$65,G2123),$W$2:$W$65),"Misc")</f>
        <v>Fasteners</v>
      </c>
      <c r="P2123" t="str" cm="1">
        <f t="array" ref="P2123">IFERROR(LOOKUP(2,1/SEARCH($Y$2:$Y$65,G2123),$Z$2:$Z$65),"Not Defined")</f>
        <v>STANDOFF</v>
      </c>
      <c r="Q2123" t="str" cm="1">
        <f t="array" ref="Q2123">IFERROR(LOOKUP(2,1/SEARCH($S$2:$S$65,H2123),$T$2:$T$65),"-")</f>
        <v>COTS</v>
      </c>
    </row>
    <row r="2124" spans="1:17" hidden="1" x14ac:dyDescent="0.25">
      <c r="A2124" t="s">
        <v>7675</v>
      </c>
      <c r="B2124" t="s">
        <v>5459</v>
      </c>
      <c r="C2124">
        <v>16</v>
      </c>
      <c r="D2124" t="s">
        <v>7551</v>
      </c>
      <c r="E2124" t="s">
        <v>5450</v>
      </c>
      <c r="F2124" t="s">
        <v>460</v>
      </c>
      <c r="G2124" t="s">
        <v>7090</v>
      </c>
      <c r="H2124" t="s">
        <v>461</v>
      </c>
      <c r="I2124" t="s">
        <v>224</v>
      </c>
      <c r="J2124" t="s">
        <v>7703</v>
      </c>
      <c r="K2124" t="s">
        <v>7684</v>
      </c>
      <c r="L2124" t="s">
        <v>7693</v>
      </c>
      <c r="N2124" t="str" cm="1">
        <f t="array" ref="N2124">IFERROR(LOOKUP(2,1/SEARCH($S$2:$S$65,G2124),$T$2:$T$65),"Misc")</f>
        <v>COTS</v>
      </c>
      <c r="O2124" t="str" cm="1">
        <f t="array" ref="O2124">IFERROR(LOOKUP(2,1/SEARCH($V$2:$V$65,G2124),$W$2:$W$65),"Misc")</f>
        <v>Fasteners</v>
      </c>
      <c r="P2124" t="str" cm="1">
        <f t="array" ref="P2124">IFERROR(LOOKUP(2,1/SEARCH($Y$2:$Y$65,G2124),$Z$2:$Z$65),"Not Defined")</f>
        <v>PHS</v>
      </c>
      <c r="Q2124" t="str" cm="1">
        <f t="array" ref="Q2124">IFERROR(LOOKUP(2,1/SEARCH($S$2:$S$65,H2124),$T$2:$T$65),"-")</f>
        <v>COTS</v>
      </c>
    </row>
    <row r="2125" spans="1:17" hidden="1" x14ac:dyDescent="0.25">
      <c r="A2125" t="s">
        <v>7675</v>
      </c>
      <c r="B2125" t="s">
        <v>5460</v>
      </c>
      <c r="C2125" s="15">
        <v>2</v>
      </c>
      <c r="D2125" t="s">
        <v>7551</v>
      </c>
      <c r="E2125" t="s">
        <v>7934</v>
      </c>
      <c r="F2125" s="15" t="s">
        <v>613</v>
      </c>
      <c r="G2125" t="s">
        <v>7110</v>
      </c>
      <c r="H2125" t="s">
        <v>614</v>
      </c>
      <c r="I2125" t="s">
        <v>255</v>
      </c>
      <c r="J2125" t="s">
        <v>7815</v>
      </c>
      <c r="K2125" t="s">
        <v>7717</v>
      </c>
      <c r="L2125" t="s">
        <v>7717</v>
      </c>
      <c r="N2125" t="str" cm="1">
        <f t="array" ref="N2125">IFERROR(LOOKUP(2,1/SEARCH($S$2:$S$65,G2125),$T$2:$T$65),"Misc")</f>
        <v>OH ASSY</v>
      </c>
      <c r="O2125" t="str" cm="1">
        <f t="array" ref="O2125">IFERROR(LOOKUP(2,1/SEARCH($V$2:$V$65,G2125),$W$2:$W$65),"Misc")</f>
        <v>ABSIS</v>
      </c>
      <c r="P2125" t="str" cm="1">
        <f t="array" ref="P2125">IFERROR(LOOKUP(2,1/SEARCH($Y$2:$Y$65,G2125),$Z$2:$Z$65),"Not Defined")</f>
        <v>ABSIS</v>
      </c>
      <c r="Q2125" t="str" cm="1">
        <f t="array" ref="Q2125">IFERROR(LOOKUP(2,1/SEARCH($S$2:$S$65,H2125),$T$2:$T$65),"-")</f>
        <v>OH ASSY</v>
      </c>
    </row>
    <row r="2126" spans="1:17" hidden="1" x14ac:dyDescent="0.25">
      <c r="A2126" t="s">
        <v>7675</v>
      </c>
      <c r="B2126" t="s">
        <v>5461</v>
      </c>
      <c r="C2126">
        <v>1</v>
      </c>
      <c r="D2126" t="s">
        <v>7551</v>
      </c>
      <c r="E2126" t="s">
        <v>7934</v>
      </c>
      <c r="F2126" s="4" t="s">
        <v>616</v>
      </c>
      <c r="G2126" t="s">
        <v>7111</v>
      </c>
      <c r="H2126" t="s">
        <v>617</v>
      </c>
      <c r="I2126" t="s">
        <v>255</v>
      </c>
      <c r="J2126" t="s">
        <v>7717</v>
      </c>
      <c r="K2126" t="s">
        <v>7717</v>
      </c>
      <c r="L2126" t="s">
        <v>7717</v>
      </c>
      <c r="N2126" t="str" cm="1">
        <f t="array" ref="N2126">IFERROR(LOOKUP(2,1/SEARCH($S$2:$S$65,G2126),$T$2:$T$65),"Misc")</f>
        <v>ABSIS</v>
      </c>
      <c r="O2126" t="str" cm="1">
        <f t="array" ref="O2126">IFERROR(LOOKUP(2,1/SEARCH($V$2:$V$65,G2126),$W$2:$W$65),"Misc")</f>
        <v>ABSIS</v>
      </c>
      <c r="P2126" t="str" cm="1">
        <f t="array" ref="P2126">IFERROR(LOOKUP(2,1/SEARCH($Y$2:$Y$65,G2126),$Z$2:$Z$65),"Not Defined")</f>
        <v>ABSIS</v>
      </c>
      <c r="Q2126" t="str" cm="1">
        <f t="array" ref="Q2126">IFERROR(LOOKUP(2,1/SEARCH($S$2:$S$65,H2126),$T$2:$T$65),"-")</f>
        <v>ABSIS</v>
      </c>
    </row>
    <row r="2127" spans="1:17" hidden="1" x14ac:dyDescent="0.25">
      <c r="A2127" t="s">
        <v>7675</v>
      </c>
      <c r="B2127" t="s">
        <v>5462</v>
      </c>
      <c r="C2127">
        <v>1</v>
      </c>
      <c r="D2127" t="s">
        <v>7551</v>
      </c>
      <c r="E2127" t="s">
        <v>7934</v>
      </c>
      <c r="F2127" t="s">
        <v>596</v>
      </c>
      <c r="G2127" t="s">
        <v>7108</v>
      </c>
      <c r="H2127" t="s">
        <v>597</v>
      </c>
      <c r="I2127" t="s">
        <v>255</v>
      </c>
      <c r="J2127" t="s">
        <v>7703</v>
      </c>
      <c r="K2127" t="s">
        <v>7713</v>
      </c>
      <c r="L2127" t="s">
        <v>7713</v>
      </c>
      <c r="N2127" t="str" cm="1">
        <f t="array" ref="N2127">IFERROR(LOOKUP(2,1/SEARCH($S$2:$S$65,G2127),$T$2:$T$65),"Misc")</f>
        <v>COTS</v>
      </c>
      <c r="O2127" t="str" cm="1">
        <f t="array" ref="O2127">IFERROR(LOOKUP(2,1/SEARCH($V$2:$V$65,G2127),$W$2:$W$65),"Misc")</f>
        <v>ARDUINO</v>
      </c>
      <c r="P2127" t="str" cm="1">
        <f t="array" ref="P2127">IFERROR(LOOKUP(2,1/SEARCH($Y$2:$Y$65,G2127),$Z$2:$Z$65),"Not Defined")</f>
        <v>ARDUINO</v>
      </c>
      <c r="Q2127" t="str" cm="1">
        <f t="array" ref="Q2127">IFERROR(LOOKUP(2,1/SEARCH($S$2:$S$65,H2127),$T$2:$T$65),"-")</f>
        <v>COTS</v>
      </c>
    </row>
    <row r="2128" spans="1:17" hidden="1" x14ac:dyDescent="0.25">
      <c r="A2128" t="s">
        <v>7675</v>
      </c>
      <c r="B2128" t="s">
        <v>5463</v>
      </c>
      <c r="C2128">
        <v>1</v>
      </c>
      <c r="D2128" t="s">
        <v>7551</v>
      </c>
      <c r="E2128" t="s">
        <v>5465</v>
      </c>
      <c r="F2128" t="s">
        <v>5464</v>
      </c>
      <c r="G2128" t="s">
        <v>7559</v>
      </c>
      <c r="H2128" t="s">
        <v>5465</v>
      </c>
      <c r="J2128" t="s">
        <v>7742</v>
      </c>
      <c r="K2128" t="s">
        <v>7826</v>
      </c>
      <c r="L2128" t="s">
        <v>7826</v>
      </c>
      <c r="N2128" t="str" cm="1">
        <f t="array" ref="N2128">IFERROR(LOOKUP(2,1/SEARCH($S$2:$S$65,G2128),$T$2:$T$65),"Misc")</f>
        <v>OH ASSY</v>
      </c>
      <c r="O2128" t="str" cm="1">
        <f t="array" ref="O2128">IFERROR(LOOKUP(2,1/SEARCH($V$2:$V$65,G2128),$W$2:$W$65),"Misc")</f>
        <v>OH Part</v>
      </c>
      <c r="P2128" t="str" cm="1">
        <f t="array" ref="P2128">IFERROR(LOOKUP(2,1/SEARCH($Y$2:$Y$65,G2128),$Z$2:$Z$65),"Not Defined")</f>
        <v>OH Part</v>
      </c>
      <c r="Q2128" t="str" cm="1">
        <f t="array" ref="Q2128">IFERROR(LOOKUP(2,1/SEARCH($S$2:$S$65,H2128),$T$2:$T$65),"-")</f>
        <v>OH ASSY</v>
      </c>
    </row>
    <row r="2129" spans="1:17" hidden="1" x14ac:dyDescent="0.25">
      <c r="A2129" t="s">
        <v>7675</v>
      </c>
      <c r="B2129" t="s">
        <v>5466</v>
      </c>
      <c r="C2129">
        <v>1</v>
      </c>
      <c r="D2129" t="s">
        <v>7551</v>
      </c>
      <c r="E2129" t="s">
        <v>5465</v>
      </c>
      <c r="F2129" t="s">
        <v>5467</v>
      </c>
      <c r="G2129" t="s">
        <v>5469</v>
      </c>
      <c r="H2129" t="s">
        <v>5468</v>
      </c>
      <c r="I2129" t="s">
        <v>358</v>
      </c>
      <c r="J2129" t="s">
        <v>7682</v>
      </c>
      <c r="K2129" t="s">
        <v>7826</v>
      </c>
      <c r="L2129" t="s">
        <v>7826</v>
      </c>
      <c r="N2129" t="str" cm="1">
        <f t="array" ref="N2129">IFERROR(LOOKUP(2,1/SEARCH($S$2:$S$65,G2129),$T$2:$T$65),"Misc")</f>
        <v>OH P/N</v>
      </c>
      <c r="O2129" t="str" cm="1">
        <f t="array" ref="O2129">IFERROR(LOOKUP(2,1/SEARCH($V$2:$V$65,G2129),$W$2:$W$65),"Misc")</f>
        <v>OH Part</v>
      </c>
      <c r="P2129" t="str" cm="1">
        <f t="array" ref="P2129">IFERROR(LOOKUP(2,1/SEARCH($Y$2:$Y$65,G2129),$Z$2:$Z$65),"Not Defined")</f>
        <v>OH Part</v>
      </c>
      <c r="Q2129" t="str" cm="1">
        <f t="array" ref="Q2129">IFERROR(LOOKUP(2,1/SEARCH($S$2:$S$65,H2129),$T$2:$T$65),"-")</f>
        <v>-</v>
      </c>
    </row>
    <row r="2130" spans="1:17" hidden="1" x14ac:dyDescent="0.25">
      <c r="A2130" t="s">
        <v>7675</v>
      </c>
      <c r="B2130" t="s">
        <v>5470</v>
      </c>
      <c r="C2130">
        <v>1</v>
      </c>
      <c r="D2130" t="s">
        <v>7551</v>
      </c>
      <c r="E2130" t="s">
        <v>5465</v>
      </c>
      <c r="F2130" t="s">
        <v>4254</v>
      </c>
      <c r="G2130" t="s">
        <v>7439</v>
      </c>
      <c r="H2130" t="s">
        <v>4255</v>
      </c>
      <c r="I2130" t="s">
        <v>210</v>
      </c>
      <c r="J2130" t="s">
        <v>7703</v>
      </c>
      <c r="K2130" t="s">
        <v>7705</v>
      </c>
      <c r="L2130" t="s">
        <v>7704</v>
      </c>
      <c r="N2130" t="str" cm="1">
        <f t="array" ref="N2130">IFERROR(LOOKUP(2,1/SEARCH($S$2:$S$65,G2130),$T$2:$T$65),"Misc")</f>
        <v>COTS</v>
      </c>
      <c r="O2130" t="str" cm="1">
        <f t="array" ref="O2130">IFERROR(LOOKUP(2,1/SEARCH($V$2:$V$65,G2130),$W$2:$W$65),"Misc")</f>
        <v>Shaft Collars</v>
      </c>
      <c r="P2130" t="str" cm="1">
        <f t="array" ref="P2130">IFERROR(LOOKUP(2,1/SEARCH($Y$2:$Y$65,G2130),$Z$2:$Z$65),"Not Defined")</f>
        <v>COLLAR</v>
      </c>
      <c r="Q2130" t="str" cm="1">
        <f t="array" ref="Q2130">IFERROR(LOOKUP(2,1/SEARCH($S$2:$S$65,H2130),$T$2:$T$65),"-")</f>
        <v>COTS</v>
      </c>
    </row>
    <row r="2131" spans="1:17" hidden="1" x14ac:dyDescent="0.25">
      <c r="A2131" t="s">
        <v>7675</v>
      </c>
      <c r="B2131" t="s">
        <v>5471</v>
      </c>
      <c r="C2131">
        <v>1</v>
      </c>
      <c r="D2131" t="s">
        <v>7551</v>
      </c>
      <c r="E2131" t="s">
        <v>5465</v>
      </c>
      <c r="F2131" t="s">
        <v>5472</v>
      </c>
      <c r="G2131" t="s">
        <v>7560</v>
      </c>
      <c r="H2131" t="s">
        <v>5473</v>
      </c>
      <c r="I2131" t="s">
        <v>228</v>
      </c>
      <c r="J2131" t="s">
        <v>7703</v>
      </c>
      <c r="K2131" t="s">
        <v>7684</v>
      </c>
      <c r="L2131" t="s">
        <v>7721</v>
      </c>
      <c r="N2131" t="str" cm="1">
        <f t="array" ref="N2131">IFERROR(LOOKUP(2,1/SEARCH($S$2:$S$65,G2131),$T$2:$T$65),"Misc")</f>
        <v>COTS</v>
      </c>
      <c r="O2131" t="str" cm="1">
        <f t="array" ref="O2131">IFERROR(LOOKUP(2,1/SEARCH($V$2:$V$65,G2131),$W$2:$W$65),"Misc")</f>
        <v>Fasteners</v>
      </c>
      <c r="P2131" t="str" cm="1">
        <f t="array" ref="P2131">IFERROR(LOOKUP(2,1/SEARCH($Y$2:$Y$65,G2131),$Z$2:$Z$65),"Not Defined")</f>
        <v>SET SCREW</v>
      </c>
      <c r="Q2131" t="str" cm="1">
        <f t="array" ref="Q2131">IFERROR(LOOKUP(2,1/SEARCH($S$2:$S$65,H2131),$T$2:$T$65),"-")</f>
        <v>COTS</v>
      </c>
    </row>
    <row r="2132" spans="1:17" hidden="1" x14ac:dyDescent="0.25">
      <c r="A2132" t="s">
        <v>7675</v>
      </c>
      <c r="B2132" t="s">
        <v>5474</v>
      </c>
      <c r="C2132">
        <v>1</v>
      </c>
      <c r="D2132" t="s">
        <v>7551</v>
      </c>
      <c r="E2132" t="s">
        <v>5476</v>
      </c>
      <c r="F2132" t="s">
        <v>5475</v>
      </c>
      <c r="G2132" t="s">
        <v>7561</v>
      </c>
      <c r="H2132" t="s">
        <v>5476</v>
      </c>
      <c r="J2132" t="s">
        <v>7742</v>
      </c>
      <c r="K2132" t="s">
        <v>7826</v>
      </c>
      <c r="L2132" t="s">
        <v>7826</v>
      </c>
      <c r="N2132" t="str" cm="1">
        <f t="array" ref="N2132">IFERROR(LOOKUP(2,1/SEARCH($S$2:$S$65,G2132),$T$2:$T$65),"Misc")</f>
        <v>OH ASSY</v>
      </c>
      <c r="O2132" t="str" cm="1">
        <f t="array" ref="O2132">IFERROR(LOOKUP(2,1/SEARCH($V$2:$V$65,G2132),$W$2:$W$65),"Misc")</f>
        <v>OH Part</v>
      </c>
      <c r="P2132" t="str" cm="1">
        <f t="array" ref="P2132">IFERROR(LOOKUP(2,1/SEARCH($Y$2:$Y$65,G2132),$Z$2:$Z$65),"Not Defined")</f>
        <v>OH Part</v>
      </c>
      <c r="Q2132" t="str" cm="1">
        <f t="array" ref="Q2132">IFERROR(LOOKUP(2,1/SEARCH($S$2:$S$65,H2132),$T$2:$T$65),"-")</f>
        <v>OH ASSY</v>
      </c>
    </row>
    <row r="2133" spans="1:17" hidden="1" x14ac:dyDescent="0.25">
      <c r="A2133" t="s">
        <v>7675</v>
      </c>
      <c r="B2133" t="s">
        <v>5477</v>
      </c>
      <c r="C2133">
        <v>1</v>
      </c>
      <c r="D2133" t="s">
        <v>7551</v>
      </c>
      <c r="E2133" t="s">
        <v>5476</v>
      </c>
      <c r="F2133" t="s">
        <v>5478</v>
      </c>
      <c r="G2133" t="s">
        <v>5480</v>
      </c>
      <c r="H2133" t="s">
        <v>5479</v>
      </c>
      <c r="I2133" t="s">
        <v>358</v>
      </c>
      <c r="J2133" t="s">
        <v>7682</v>
      </c>
      <c r="K2133" t="s">
        <v>7826</v>
      </c>
      <c r="L2133" t="s">
        <v>7826</v>
      </c>
      <c r="N2133" t="str" cm="1">
        <f t="array" ref="N2133">IFERROR(LOOKUP(2,1/SEARCH($S$2:$S$65,G2133),$T$2:$T$65),"Misc")</f>
        <v>OH P/N</v>
      </c>
      <c r="O2133" t="str" cm="1">
        <f t="array" ref="O2133">IFERROR(LOOKUP(2,1/SEARCH($V$2:$V$65,G2133),$W$2:$W$65),"Misc")</f>
        <v>OH Part</v>
      </c>
      <c r="P2133" t="str" cm="1">
        <f t="array" ref="P2133">IFERROR(LOOKUP(2,1/SEARCH($Y$2:$Y$65,G2133),$Z$2:$Z$65),"Not Defined")</f>
        <v>OH Part</v>
      </c>
      <c r="Q2133" t="str" cm="1">
        <f t="array" ref="Q2133">IFERROR(LOOKUP(2,1/SEARCH($S$2:$S$65,H2133),$T$2:$T$65),"-")</f>
        <v>-</v>
      </c>
    </row>
    <row r="2134" spans="1:17" hidden="1" x14ac:dyDescent="0.25">
      <c r="A2134" t="s">
        <v>7675</v>
      </c>
      <c r="B2134" t="s">
        <v>5481</v>
      </c>
      <c r="C2134">
        <v>1</v>
      </c>
      <c r="D2134" t="s">
        <v>7551</v>
      </c>
      <c r="E2134" t="s">
        <v>5476</v>
      </c>
      <c r="F2134" t="s">
        <v>5100</v>
      </c>
      <c r="G2134" t="s">
        <v>7528</v>
      </c>
      <c r="H2134" t="s">
        <v>5101</v>
      </c>
      <c r="I2134" t="s">
        <v>210</v>
      </c>
      <c r="J2134" t="s">
        <v>7703</v>
      </c>
      <c r="K2134" t="s">
        <v>7705</v>
      </c>
      <c r="L2134" t="s">
        <v>7704</v>
      </c>
      <c r="N2134" t="str" cm="1">
        <f t="array" ref="N2134">IFERROR(LOOKUP(2,1/SEARCH($S$2:$S$65,G2134),$T$2:$T$65),"Misc")</f>
        <v>COTS</v>
      </c>
      <c r="O2134" t="str" cm="1">
        <f t="array" ref="O2134">IFERROR(LOOKUP(2,1/SEARCH($V$2:$V$65,G2134),$W$2:$W$65),"Misc")</f>
        <v>Shaft Collars</v>
      </c>
      <c r="P2134" t="str" cm="1">
        <f t="array" ref="P2134">IFERROR(LOOKUP(2,1/SEARCH($Y$2:$Y$65,G2134),$Z$2:$Z$65),"Not Defined")</f>
        <v>COLLAR</v>
      </c>
      <c r="Q2134" t="str" cm="1">
        <f t="array" ref="Q2134">IFERROR(LOOKUP(2,1/SEARCH($S$2:$S$65,H2134),$T$2:$T$65),"-")</f>
        <v>COTS</v>
      </c>
    </row>
    <row r="2135" spans="1:17" hidden="1" x14ac:dyDescent="0.25">
      <c r="A2135" t="s">
        <v>7675</v>
      </c>
      <c r="B2135" t="s">
        <v>5482</v>
      </c>
      <c r="C2135">
        <v>1</v>
      </c>
      <c r="D2135" t="s">
        <v>7551</v>
      </c>
      <c r="E2135" t="s">
        <v>5476</v>
      </c>
      <c r="F2135" t="s">
        <v>5116</v>
      </c>
      <c r="G2135" t="s">
        <v>7531</v>
      </c>
      <c r="H2135" t="s">
        <v>5117</v>
      </c>
      <c r="I2135" t="s">
        <v>228</v>
      </c>
      <c r="J2135" t="s">
        <v>7703</v>
      </c>
      <c r="K2135" t="s">
        <v>7684</v>
      </c>
      <c r="L2135" t="s">
        <v>7721</v>
      </c>
      <c r="N2135" t="str" cm="1">
        <f t="array" ref="N2135">IFERROR(LOOKUP(2,1/SEARCH($S$2:$S$65,G2135),$T$2:$T$65),"Misc")</f>
        <v>COTS</v>
      </c>
      <c r="O2135" t="str" cm="1">
        <f t="array" ref="O2135">IFERROR(LOOKUP(2,1/SEARCH($V$2:$V$65,G2135),$W$2:$W$65),"Misc")</f>
        <v>Fasteners</v>
      </c>
      <c r="P2135" t="str" cm="1">
        <f t="array" ref="P2135">IFERROR(LOOKUP(2,1/SEARCH($Y$2:$Y$65,G2135),$Z$2:$Z$65),"Not Defined")</f>
        <v>SET SCREW</v>
      </c>
      <c r="Q2135" t="str" cm="1">
        <f t="array" ref="Q2135">IFERROR(LOOKUP(2,1/SEARCH($S$2:$S$65,H2135),$T$2:$T$65),"-")</f>
        <v>COTS</v>
      </c>
    </row>
    <row r="2136" spans="1:17" x14ac:dyDescent="0.25">
      <c r="A2136" t="s">
        <v>7675</v>
      </c>
      <c r="B2136" t="s">
        <v>5483</v>
      </c>
      <c r="C2136">
        <v>1</v>
      </c>
      <c r="D2136" t="s">
        <v>7551</v>
      </c>
      <c r="F2136" t="s">
        <v>5484</v>
      </c>
      <c r="G2136" t="s">
        <v>5486</v>
      </c>
      <c r="H2136" t="s">
        <v>5485</v>
      </c>
      <c r="I2136" t="s">
        <v>255</v>
      </c>
      <c r="J2136" t="s">
        <v>7682</v>
      </c>
      <c r="K2136" t="s">
        <v>7826</v>
      </c>
      <c r="L2136" t="s">
        <v>7826</v>
      </c>
      <c r="N2136" t="str" cm="1">
        <f t="array" ref="N2136">IFERROR(LOOKUP(2,1/SEARCH($S$2:$S$65,G2136),$T$2:$T$65),"Misc")</f>
        <v>OH P/N</v>
      </c>
      <c r="O2136" t="str" cm="1">
        <f t="array" ref="O2136">IFERROR(LOOKUP(2,1/SEARCH($V$2:$V$65,G2136),$W$2:$W$65),"Misc")</f>
        <v>OH Part</v>
      </c>
      <c r="P2136" t="str" cm="1">
        <f t="array" ref="P2136">IFERROR(LOOKUP(2,1/SEARCH($Y$2:$Y$65,G2136),$Z$2:$Z$65),"Not Defined")</f>
        <v>OH Part</v>
      </c>
      <c r="Q2136" t="str" cm="1">
        <f t="array" ref="Q2136">IFERROR(LOOKUP(2,1/SEARCH($S$2:$S$65,H2136),$T$2:$T$65),"-")</f>
        <v>-</v>
      </c>
    </row>
    <row r="2137" spans="1:17" x14ac:dyDescent="0.25">
      <c r="A2137" t="s">
        <v>7675</v>
      </c>
      <c r="B2137" s="19">
        <v>3.21</v>
      </c>
      <c r="C2137">
        <v>1</v>
      </c>
      <c r="D2137" t="s">
        <v>7562</v>
      </c>
      <c r="F2137" t="s">
        <v>5487</v>
      </c>
      <c r="G2137" t="s">
        <v>7562</v>
      </c>
      <c r="H2137" t="s">
        <v>5488</v>
      </c>
      <c r="J2137" t="s">
        <v>7742</v>
      </c>
      <c r="K2137" t="s">
        <v>7826</v>
      </c>
      <c r="L2137" t="s">
        <v>7826</v>
      </c>
      <c r="N2137" t="str" cm="1">
        <f t="array" ref="N2137">IFERROR(LOOKUP(2,1/SEARCH($S$2:$S$65,G2137),$T$2:$T$65),"Misc")</f>
        <v>OH ASSY</v>
      </c>
      <c r="O2137" t="str" cm="1">
        <f t="array" ref="O2137">IFERROR(LOOKUP(2,1/SEARCH($V$2:$V$65,G2137),$W$2:$W$65),"Misc")</f>
        <v>OH Part</v>
      </c>
      <c r="P2137" t="str" cm="1">
        <f t="array" ref="P2137">IFERROR(LOOKUP(2,1/SEARCH($Y$2:$Y$65,G2137),$Z$2:$Z$65),"Not Defined")</f>
        <v>OH Part</v>
      </c>
      <c r="Q2137" t="str" cm="1">
        <f t="array" ref="Q2137">IFERROR(LOOKUP(2,1/SEARCH($S$2:$S$65,H2137),$T$2:$T$65),"-")</f>
        <v>OH ASSY</v>
      </c>
    </row>
    <row r="2138" spans="1:17" x14ac:dyDescent="0.25">
      <c r="A2138" t="s">
        <v>7675</v>
      </c>
      <c r="B2138" t="s">
        <v>5489</v>
      </c>
      <c r="C2138">
        <v>1</v>
      </c>
      <c r="D2138" t="s">
        <v>7562</v>
      </c>
      <c r="F2138" t="s">
        <v>5490</v>
      </c>
      <c r="G2138" t="s">
        <v>5492</v>
      </c>
      <c r="H2138" t="s">
        <v>5491</v>
      </c>
      <c r="I2138" t="s">
        <v>13</v>
      </c>
      <c r="J2138" t="s">
        <v>7682</v>
      </c>
      <c r="K2138" t="s">
        <v>7826</v>
      </c>
      <c r="L2138" t="s">
        <v>7826</v>
      </c>
      <c r="N2138" t="str" cm="1">
        <f t="array" ref="N2138">IFERROR(LOOKUP(2,1/SEARCH($S$2:$S$65,G2138),$T$2:$T$65),"Misc")</f>
        <v>OH P/N</v>
      </c>
      <c r="O2138" t="str" cm="1">
        <f t="array" ref="O2138">IFERROR(LOOKUP(2,1/SEARCH($V$2:$V$65,G2138),$W$2:$W$65),"Misc")</f>
        <v>OH Part</v>
      </c>
      <c r="P2138" t="str" cm="1">
        <f t="array" ref="P2138">IFERROR(LOOKUP(2,1/SEARCH($Y$2:$Y$65,G2138),$Z$2:$Z$65),"Not Defined")</f>
        <v>OH Part</v>
      </c>
      <c r="Q2138" t="str" cm="1">
        <f t="array" ref="Q2138">IFERROR(LOOKUP(2,1/SEARCH($S$2:$S$65,H2138),$T$2:$T$65),"-")</f>
        <v>-</v>
      </c>
    </row>
    <row r="2139" spans="1:17" x14ac:dyDescent="0.25">
      <c r="A2139" t="s">
        <v>7675</v>
      </c>
      <c r="B2139" t="s">
        <v>5493</v>
      </c>
      <c r="C2139">
        <v>1</v>
      </c>
      <c r="D2139" t="s">
        <v>7562</v>
      </c>
      <c r="F2139" t="s">
        <v>5494</v>
      </c>
      <c r="G2139" t="s">
        <v>5496</v>
      </c>
      <c r="H2139" t="s">
        <v>5495</v>
      </c>
      <c r="I2139" t="s">
        <v>13</v>
      </c>
      <c r="J2139" t="s">
        <v>7682</v>
      </c>
      <c r="K2139" t="s">
        <v>7826</v>
      </c>
      <c r="L2139" t="s">
        <v>7826</v>
      </c>
      <c r="N2139" t="str" cm="1">
        <f t="array" ref="N2139">IFERROR(LOOKUP(2,1/SEARCH($S$2:$S$65,G2139),$T$2:$T$65),"Misc")</f>
        <v>OH P/N</v>
      </c>
      <c r="O2139" t="str" cm="1">
        <f t="array" ref="O2139">IFERROR(LOOKUP(2,1/SEARCH($V$2:$V$65,G2139),$W$2:$W$65),"Misc")</f>
        <v>OH Part</v>
      </c>
      <c r="P2139" t="str" cm="1">
        <f t="array" ref="P2139">IFERROR(LOOKUP(2,1/SEARCH($Y$2:$Y$65,G2139),$Z$2:$Z$65),"Not Defined")</f>
        <v>OH Part</v>
      </c>
      <c r="Q2139" t="str" cm="1">
        <f t="array" ref="Q2139">IFERROR(LOOKUP(2,1/SEARCH($S$2:$S$65,H2139),$T$2:$T$65),"-")</f>
        <v>-</v>
      </c>
    </row>
    <row r="2140" spans="1:17" x14ac:dyDescent="0.25">
      <c r="A2140" t="s">
        <v>7675</v>
      </c>
      <c r="B2140" t="s">
        <v>5497</v>
      </c>
      <c r="C2140">
        <v>1</v>
      </c>
      <c r="D2140" t="s">
        <v>7562</v>
      </c>
      <c r="F2140" t="s">
        <v>5498</v>
      </c>
      <c r="G2140" t="s">
        <v>5500</v>
      </c>
      <c r="H2140" t="s">
        <v>5499</v>
      </c>
      <c r="I2140" t="s">
        <v>210</v>
      </c>
      <c r="J2140" t="s">
        <v>7703</v>
      </c>
      <c r="K2140" t="s">
        <v>7826</v>
      </c>
      <c r="L2140" t="s">
        <v>7685</v>
      </c>
      <c r="N2140" t="str" cm="1">
        <f t="array" ref="N2140">IFERROR(LOOKUP(2,1/SEARCH($S$2:$S$65,G2140),$T$2:$T$65),"Misc")</f>
        <v>OH P/N</v>
      </c>
      <c r="O2140" t="str" cm="1">
        <f t="array" ref="O2140">IFERROR(LOOKUP(2,1/SEARCH($V$2:$V$65,G2140),$W$2:$W$65),"Misc")</f>
        <v>OH Part</v>
      </c>
      <c r="P2140" t="str" cm="1">
        <f t="array" ref="P2140">IFERROR(LOOKUP(2,1/SEARCH($Y$2:$Y$65,G2140),$Z$2:$Z$65),"Not Defined")</f>
        <v>NUT</v>
      </c>
      <c r="Q2140" t="str" cm="1">
        <f t="array" ref="Q2140">IFERROR(LOOKUP(2,1/SEARCH($S$2:$S$65,H2140),$T$2:$T$65),"-")</f>
        <v>COTS</v>
      </c>
    </row>
    <row r="2141" spans="1:17" x14ac:dyDescent="0.25">
      <c r="A2141" t="s">
        <v>7675</v>
      </c>
      <c r="B2141" t="s">
        <v>5501</v>
      </c>
      <c r="C2141">
        <v>1</v>
      </c>
      <c r="D2141" t="s">
        <v>7562</v>
      </c>
      <c r="F2141" t="s">
        <v>5502</v>
      </c>
      <c r="G2141" t="s">
        <v>5504</v>
      </c>
      <c r="H2141" t="s">
        <v>5503</v>
      </c>
      <c r="I2141" t="s">
        <v>13</v>
      </c>
      <c r="J2141" t="s">
        <v>7682</v>
      </c>
      <c r="K2141" t="s">
        <v>7826</v>
      </c>
      <c r="L2141" t="s">
        <v>7826</v>
      </c>
      <c r="N2141" t="str" cm="1">
        <f t="array" ref="N2141">IFERROR(LOOKUP(2,1/SEARCH($S$2:$S$65,G2141),$T$2:$T$65),"Misc")</f>
        <v>OH P/N</v>
      </c>
      <c r="O2141" t="str" cm="1">
        <f t="array" ref="O2141">IFERROR(LOOKUP(2,1/SEARCH($V$2:$V$65,G2141),$W$2:$W$65),"Misc")</f>
        <v>OH Part</v>
      </c>
      <c r="P2141" t="str" cm="1">
        <f t="array" ref="P2141">IFERROR(LOOKUP(2,1/SEARCH($Y$2:$Y$65,G2141),$Z$2:$Z$65),"Not Defined")</f>
        <v>OH Part</v>
      </c>
      <c r="Q2141" t="str" cm="1">
        <f t="array" ref="Q2141">IFERROR(LOOKUP(2,1/SEARCH($S$2:$S$65,H2141),$T$2:$T$65),"-")</f>
        <v>-</v>
      </c>
    </row>
    <row r="2142" spans="1:17" x14ac:dyDescent="0.25">
      <c r="A2142" t="s">
        <v>7675</v>
      </c>
      <c r="B2142" t="s">
        <v>5505</v>
      </c>
      <c r="C2142">
        <v>1</v>
      </c>
      <c r="D2142" t="s">
        <v>7562</v>
      </c>
      <c r="F2142" t="s">
        <v>5506</v>
      </c>
      <c r="G2142" t="s">
        <v>5508</v>
      </c>
      <c r="H2142" t="s">
        <v>5507</v>
      </c>
      <c r="I2142" t="s">
        <v>13</v>
      </c>
      <c r="J2142" t="s">
        <v>7682</v>
      </c>
      <c r="K2142" t="s">
        <v>7826</v>
      </c>
      <c r="L2142" t="s">
        <v>7826</v>
      </c>
      <c r="N2142" t="str" cm="1">
        <f t="array" ref="N2142">IFERROR(LOOKUP(2,1/SEARCH($S$2:$S$65,G2142),$T$2:$T$65),"Misc")</f>
        <v>OH P/N</v>
      </c>
      <c r="O2142" t="str" cm="1">
        <f t="array" ref="O2142">IFERROR(LOOKUP(2,1/SEARCH($V$2:$V$65,G2142),$W$2:$W$65),"Misc")</f>
        <v>OH Part</v>
      </c>
      <c r="P2142" t="str" cm="1">
        <f t="array" ref="P2142">IFERROR(LOOKUP(2,1/SEARCH($Y$2:$Y$65,G2142),$Z$2:$Z$65),"Not Defined")</f>
        <v>OH Part</v>
      </c>
      <c r="Q2142" t="str" cm="1">
        <f t="array" ref="Q2142">IFERROR(LOOKUP(2,1/SEARCH($S$2:$S$65,H2142),$T$2:$T$65),"-")</f>
        <v>-</v>
      </c>
    </row>
    <row r="2143" spans="1:17" x14ac:dyDescent="0.25">
      <c r="A2143" t="s">
        <v>7675</v>
      </c>
      <c r="B2143" t="s">
        <v>5509</v>
      </c>
      <c r="C2143">
        <v>1</v>
      </c>
      <c r="D2143" t="s">
        <v>7562</v>
      </c>
      <c r="F2143" t="s">
        <v>5510</v>
      </c>
      <c r="G2143" t="s">
        <v>5512</v>
      </c>
      <c r="H2143" t="s">
        <v>5511</v>
      </c>
      <c r="I2143" t="s">
        <v>210</v>
      </c>
      <c r="J2143" t="s">
        <v>7682</v>
      </c>
      <c r="K2143" t="s">
        <v>7826</v>
      </c>
      <c r="L2143" t="s">
        <v>7826</v>
      </c>
      <c r="N2143" t="str" cm="1">
        <f t="array" ref="N2143">IFERROR(LOOKUP(2,1/SEARCH($S$2:$S$65,G2143),$T$2:$T$65),"Misc")</f>
        <v>OH P/N</v>
      </c>
      <c r="O2143" t="str" cm="1">
        <f t="array" ref="O2143">IFERROR(LOOKUP(2,1/SEARCH($V$2:$V$65,G2143),$W$2:$W$65),"Misc")</f>
        <v>OH Part</v>
      </c>
      <c r="P2143" t="str" cm="1">
        <f t="array" ref="P2143">IFERROR(LOOKUP(2,1/SEARCH($Y$2:$Y$65,G2143),$Z$2:$Z$65),"Not Defined")</f>
        <v>OH Part</v>
      </c>
      <c r="Q2143" t="str" cm="1">
        <f t="array" ref="Q2143">IFERROR(LOOKUP(2,1/SEARCH($S$2:$S$65,H2143),$T$2:$T$65),"-")</f>
        <v>-</v>
      </c>
    </row>
    <row r="2144" spans="1:17" x14ac:dyDescent="0.25">
      <c r="A2144" t="s">
        <v>7675</v>
      </c>
      <c r="B2144" t="s">
        <v>5513</v>
      </c>
      <c r="C2144">
        <v>2</v>
      </c>
      <c r="D2144" t="s">
        <v>7562</v>
      </c>
      <c r="F2144" t="s">
        <v>4251</v>
      </c>
      <c r="G2144" t="s">
        <v>7438</v>
      </c>
      <c r="H2144" t="s">
        <v>4252</v>
      </c>
      <c r="I2144" t="s">
        <v>3477</v>
      </c>
      <c r="J2144" t="s">
        <v>7703</v>
      </c>
      <c r="K2144" t="s">
        <v>7683</v>
      </c>
      <c r="L2144" t="s">
        <v>7683</v>
      </c>
      <c r="N2144" t="str" cm="1">
        <f t="array" ref="N2144">IFERROR(LOOKUP(2,1/SEARCH($S$2:$S$65,G2144),$T$2:$T$65),"Misc")</f>
        <v>COTS</v>
      </c>
      <c r="O2144" t="str" cm="1">
        <f t="array" ref="O2144">IFERROR(LOOKUP(2,1/SEARCH($V$2:$V$65,G2144),$W$2:$W$65),"Misc")</f>
        <v>BEARING</v>
      </c>
      <c r="P2144" t="str" cm="1">
        <f t="array" ref="P2144">IFERROR(LOOKUP(2,1/SEARCH($Y$2:$Y$65,G2144),$Z$2:$Z$65),"Not Defined")</f>
        <v>BEARING</v>
      </c>
      <c r="Q2144" t="str" cm="1">
        <f t="array" ref="Q2144">IFERROR(LOOKUP(2,1/SEARCH($S$2:$S$65,H2144),$T$2:$T$65),"-")</f>
        <v>COTS</v>
      </c>
    </row>
    <row r="2145" spans="1:17" x14ac:dyDescent="0.25">
      <c r="A2145" t="s">
        <v>7675</v>
      </c>
      <c r="B2145" t="s">
        <v>5514</v>
      </c>
      <c r="C2145">
        <v>8</v>
      </c>
      <c r="D2145" t="s">
        <v>7562</v>
      </c>
      <c r="F2145" t="s">
        <v>5515</v>
      </c>
      <c r="G2145" t="s">
        <v>7563</v>
      </c>
      <c r="H2145" t="s">
        <v>5516</v>
      </c>
      <c r="I2145" t="s">
        <v>224</v>
      </c>
      <c r="J2145" t="s">
        <v>7703</v>
      </c>
      <c r="K2145" t="s">
        <v>7684</v>
      </c>
      <c r="L2145" t="s">
        <v>7687</v>
      </c>
      <c r="N2145" t="str" cm="1">
        <f t="array" ref="N2145">IFERROR(LOOKUP(2,1/SEARCH($S$2:$S$65,G2145),$T$2:$T$65),"Misc")</f>
        <v>COTS</v>
      </c>
      <c r="O2145" t="str" cm="1">
        <f t="array" ref="O2145">IFERROR(LOOKUP(2,1/SEARCH($V$2:$V$65,G2145),$W$2:$W$65),"Misc")</f>
        <v>Fasteners</v>
      </c>
      <c r="P2145" t="str" cm="1">
        <f t="array" ref="P2145">IFERROR(LOOKUP(2,1/SEARCH($Y$2:$Y$65,G2145),$Z$2:$Z$65),"Not Defined")</f>
        <v>INSERT</v>
      </c>
      <c r="Q2145" t="str" cm="1">
        <f t="array" ref="Q2145">IFERROR(LOOKUP(2,1/SEARCH($S$2:$S$65,H2145),$T$2:$T$65),"-")</f>
        <v>COTS</v>
      </c>
    </row>
    <row r="2146" spans="1:17" x14ac:dyDescent="0.25">
      <c r="A2146" t="s">
        <v>7675</v>
      </c>
      <c r="B2146" t="s">
        <v>5517</v>
      </c>
      <c r="C2146">
        <v>8</v>
      </c>
      <c r="D2146" t="s">
        <v>7562</v>
      </c>
      <c r="F2146" t="s">
        <v>5518</v>
      </c>
      <c r="G2146" t="s">
        <v>7564</v>
      </c>
      <c r="H2146" t="s">
        <v>5519</v>
      </c>
      <c r="I2146" t="s">
        <v>228</v>
      </c>
      <c r="J2146" t="s">
        <v>7703</v>
      </c>
      <c r="K2146" t="s">
        <v>7684</v>
      </c>
      <c r="L2146" t="s">
        <v>7691</v>
      </c>
      <c r="N2146" t="str" cm="1">
        <f t="array" ref="N2146">IFERROR(LOOKUP(2,1/SEARCH($S$2:$S$65,G2146),$T$2:$T$65),"Misc")</f>
        <v>COTS</v>
      </c>
      <c r="O2146" t="str" cm="1">
        <f t="array" ref="O2146">IFERROR(LOOKUP(2,1/SEARCH($V$2:$V$65,G2146),$W$2:$W$65),"Misc")</f>
        <v>Fasteners</v>
      </c>
      <c r="P2146" t="str" cm="1">
        <f t="array" ref="P2146">IFERROR(LOOKUP(2,1/SEARCH($Y$2:$Y$65,G2146),$Z$2:$Z$65),"Not Defined")</f>
        <v>FHS</v>
      </c>
      <c r="Q2146" t="str" cm="1">
        <f t="array" ref="Q2146">IFERROR(LOOKUP(2,1/SEARCH($S$2:$S$65,H2146),$T$2:$T$65),"-")</f>
        <v>COTS</v>
      </c>
    </row>
    <row r="2147" spans="1:17" x14ac:dyDescent="0.25">
      <c r="A2147" t="s">
        <v>7675</v>
      </c>
      <c r="B2147" t="s">
        <v>5520</v>
      </c>
      <c r="C2147">
        <v>1</v>
      </c>
      <c r="D2147" t="s">
        <v>7562</v>
      </c>
      <c r="F2147" t="s">
        <v>5521</v>
      </c>
      <c r="G2147" t="s">
        <v>7565</v>
      </c>
      <c r="H2147" t="s">
        <v>5522</v>
      </c>
      <c r="I2147" t="s">
        <v>228</v>
      </c>
      <c r="J2147" t="s">
        <v>7703</v>
      </c>
      <c r="K2147" t="s">
        <v>7684</v>
      </c>
      <c r="L2147" t="s">
        <v>7691</v>
      </c>
      <c r="N2147" t="str" cm="1">
        <f t="array" ref="N2147">IFERROR(LOOKUP(2,1/SEARCH($S$2:$S$65,G2147),$T$2:$T$65),"Misc")</f>
        <v>COTS</v>
      </c>
      <c r="O2147" t="str" cm="1">
        <f t="array" ref="O2147">IFERROR(LOOKUP(2,1/SEARCH($V$2:$V$65,G2147),$W$2:$W$65),"Misc")</f>
        <v>Fasteners</v>
      </c>
      <c r="P2147" t="str" cm="1">
        <f t="array" ref="P2147">IFERROR(LOOKUP(2,1/SEARCH($Y$2:$Y$65,G2147),$Z$2:$Z$65),"Not Defined")</f>
        <v>FHS</v>
      </c>
      <c r="Q2147" t="str" cm="1">
        <f t="array" ref="Q2147">IFERROR(LOOKUP(2,1/SEARCH($S$2:$S$65,H2147),$T$2:$T$65),"-")</f>
        <v>COTS</v>
      </c>
    </row>
    <row r="2148" spans="1:17" x14ac:dyDescent="0.25">
      <c r="A2148" t="s">
        <v>7675</v>
      </c>
      <c r="B2148" t="s">
        <v>5523</v>
      </c>
      <c r="C2148">
        <v>1</v>
      </c>
      <c r="D2148" t="s">
        <v>7562</v>
      </c>
      <c r="F2148" t="s">
        <v>5524</v>
      </c>
      <c r="G2148" t="s">
        <v>7566</v>
      </c>
      <c r="H2148" t="s">
        <v>5525</v>
      </c>
      <c r="I2148" t="s">
        <v>228</v>
      </c>
      <c r="J2148" t="s">
        <v>7703</v>
      </c>
      <c r="K2148" t="s">
        <v>7684</v>
      </c>
      <c r="L2148" t="s">
        <v>7692</v>
      </c>
      <c r="N2148" t="str" cm="1">
        <f t="array" ref="N2148">IFERROR(LOOKUP(2,1/SEARCH($S$2:$S$65,G2148),$T$2:$T$65),"Misc")</f>
        <v>COTS</v>
      </c>
      <c r="O2148" t="str" cm="1">
        <f t="array" ref="O2148">IFERROR(LOOKUP(2,1/SEARCH($V$2:$V$65,G2148),$W$2:$W$65),"Misc")</f>
        <v>Fasteners</v>
      </c>
      <c r="P2148" t="str" cm="1">
        <f t="array" ref="P2148">IFERROR(LOOKUP(2,1/SEARCH($Y$2:$Y$65,G2148),$Z$2:$Z$65),"Not Defined")</f>
        <v>WASHER</v>
      </c>
      <c r="Q2148" t="str" cm="1">
        <f t="array" ref="Q2148">IFERROR(LOOKUP(2,1/SEARCH($S$2:$S$65,H2148),$T$2:$T$65),"-")</f>
        <v>COTS</v>
      </c>
    </row>
    <row r="2149" spans="1:17" x14ac:dyDescent="0.25">
      <c r="A2149" t="s">
        <v>7675</v>
      </c>
      <c r="B2149" t="s">
        <v>5526</v>
      </c>
      <c r="C2149">
        <v>6</v>
      </c>
      <c r="D2149" t="s">
        <v>7562</v>
      </c>
      <c r="F2149" t="s">
        <v>1154</v>
      </c>
      <c r="G2149" t="s">
        <v>7194</v>
      </c>
      <c r="H2149" t="s">
        <v>1155</v>
      </c>
      <c r="I2149" t="s">
        <v>228</v>
      </c>
      <c r="J2149" t="s">
        <v>7703</v>
      </c>
      <c r="K2149" t="s">
        <v>7684</v>
      </c>
      <c r="L2149" t="s">
        <v>7693</v>
      </c>
      <c r="N2149" t="str" cm="1">
        <f t="array" ref="N2149">IFERROR(LOOKUP(2,1/SEARCH($S$2:$S$65,G2149),$T$2:$T$65),"Misc")</f>
        <v>COTS</v>
      </c>
      <c r="O2149" t="str" cm="1">
        <f t="array" ref="O2149">IFERROR(LOOKUP(2,1/SEARCH($V$2:$V$65,G2149),$W$2:$W$65),"Misc")</f>
        <v>Fasteners</v>
      </c>
      <c r="P2149" t="str" cm="1">
        <f t="array" ref="P2149">IFERROR(LOOKUP(2,1/SEARCH($Y$2:$Y$65,G2149),$Z$2:$Z$65),"Not Defined")</f>
        <v>PHS</v>
      </c>
      <c r="Q2149" t="str" cm="1">
        <f t="array" ref="Q2149">IFERROR(LOOKUP(2,1/SEARCH($S$2:$S$65,H2149),$T$2:$T$65),"-")</f>
        <v>COTS</v>
      </c>
    </row>
    <row r="2150" spans="1:17" x14ac:dyDescent="0.25">
      <c r="A2150" t="s">
        <v>7675</v>
      </c>
      <c r="B2150" t="s">
        <v>5527</v>
      </c>
      <c r="C2150">
        <v>6</v>
      </c>
      <c r="D2150" t="s">
        <v>7562</v>
      </c>
      <c r="F2150" t="s">
        <v>5528</v>
      </c>
      <c r="G2150" t="s">
        <v>7567</v>
      </c>
      <c r="H2150" t="s">
        <v>5529</v>
      </c>
      <c r="I2150" t="s">
        <v>228</v>
      </c>
      <c r="J2150" t="s">
        <v>7703</v>
      </c>
      <c r="K2150" t="s">
        <v>7684</v>
      </c>
      <c r="L2150" t="s">
        <v>7685</v>
      </c>
      <c r="N2150" t="str" cm="1">
        <f t="array" ref="N2150">IFERROR(LOOKUP(2,1/SEARCH($S$2:$S$65,G2150),$T$2:$T$65),"Misc")</f>
        <v>COTS</v>
      </c>
      <c r="O2150" t="str" cm="1">
        <f t="array" ref="O2150">IFERROR(LOOKUP(2,1/SEARCH($V$2:$V$65,G2150),$W$2:$W$65),"Misc")</f>
        <v>Fasteners</v>
      </c>
      <c r="P2150" t="str" cm="1">
        <f t="array" ref="P2150">IFERROR(LOOKUP(2,1/SEARCH($Y$2:$Y$65,G2150),$Z$2:$Z$65),"Not Defined")</f>
        <v>NUT</v>
      </c>
      <c r="Q2150" t="str" cm="1">
        <f t="array" ref="Q2150">IFERROR(LOOKUP(2,1/SEARCH($S$2:$S$65,H2150),$T$2:$T$65),"-")</f>
        <v>COTS</v>
      </c>
    </row>
    <row r="2151" spans="1:17" x14ac:dyDescent="0.25">
      <c r="A2151" t="s">
        <v>7675</v>
      </c>
      <c r="B2151" t="s">
        <v>5530</v>
      </c>
      <c r="C2151">
        <v>3</v>
      </c>
      <c r="D2151" t="s">
        <v>7562</v>
      </c>
      <c r="F2151" t="s">
        <v>1626</v>
      </c>
      <c r="G2151" t="s">
        <v>7232</v>
      </c>
      <c r="H2151" t="s">
        <v>1627</v>
      </c>
      <c r="I2151" t="s">
        <v>224</v>
      </c>
      <c r="J2151" t="s">
        <v>7703</v>
      </c>
      <c r="K2151" t="s">
        <v>7684</v>
      </c>
      <c r="L2151" t="s">
        <v>7687</v>
      </c>
      <c r="N2151" t="str" cm="1">
        <f t="array" ref="N2151">IFERROR(LOOKUP(2,1/SEARCH($S$2:$S$65,G2151),$T$2:$T$65),"Misc")</f>
        <v>COTS</v>
      </c>
      <c r="O2151" t="str" cm="1">
        <f t="array" ref="O2151">IFERROR(LOOKUP(2,1/SEARCH($V$2:$V$65,G2151),$W$2:$W$65),"Misc")</f>
        <v>Fasteners</v>
      </c>
      <c r="P2151" t="str" cm="1">
        <f t="array" ref="P2151">IFERROR(LOOKUP(2,1/SEARCH($Y$2:$Y$65,G2151),$Z$2:$Z$65),"Not Defined")</f>
        <v>INSERT</v>
      </c>
      <c r="Q2151" t="str" cm="1">
        <f t="array" ref="Q2151">IFERROR(LOOKUP(2,1/SEARCH($S$2:$S$65,H2151),$T$2:$T$65),"-")</f>
        <v>COTS</v>
      </c>
    </row>
    <row r="2152" spans="1:17" x14ac:dyDescent="0.25">
      <c r="A2152" t="s">
        <v>7675</v>
      </c>
      <c r="B2152" t="s">
        <v>5531</v>
      </c>
      <c r="C2152">
        <v>3</v>
      </c>
      <c r="D2152" t="s">
        <v>7562</v>
      </c>
      <c r="F2152" t="s">
        <v>5532</v>
      </c>
      <c r="G2152" t="s">
        <v>7568</v>
      </c>
      <c r="H2152" t="s">
        <v>5533</v>
      </c>
      <c r="I2152" t="s">
        <v>255</v>
      </c>
      <c r="J2152" t="s">
        <v>7703</v>
      </c>
      <c r="K2152" t="s">
        <v>7677</v>
      </c>
      <c r="L2152" t="s">
        <v>7677</v>
      </c>
      <c r="N2152" t="str" cm="1">
        <f t="array" ref="N2152">IFERROR(LOOKUP(2,1/SEARCH($S$2:$S$65,G2152),$T$2:$T$65),"Misc")</f>
        <v>COTS</v>
      </c>
      <c r="O2152" t="str" cm="1">
        <f t="array" ref="O2152">IFERROR(LOOKUP(2,1/SEARCH($V$2:$V$65,G2152),$W$2:$W$65),"Misc")</f>
        <v>SWITCH</v>
      </c>
      <c r="P2152" t="str" cm="1">
        <f t="array" ref="P2152">IFERROR(LOOKUP(2,1/SEARCH($Y$2:$Y$65,G2152),$Z$2:$Z$65),"Not Defined")</f>
        <v>SWITCH</v>
      </c>
      <c r="Q2152" t="str" cm="1">
        <f t="array" ref="Q2152">IFERROR(LOOKUP(2,1/SEARCH($S$2:$S$65,H2152),$T$2:$T$65),"-")</f>
        <v>COTS</v>
      </c>
    </row>
    <row r="2153" spans="1:17" x14ac:dyDescent="0.25">
      <c r="A2153" t="s">
        <v>7675</v>
      </c>
      <c r="B2153" t="s">
        <v>5534</v>
      </c>
      <c r="C2153">
        <v>1</v>
      </c>
      <c r="D2153" t="s">
        <v>7562</v>
      </c>
      <c r="F2153" t="s">
        <v>927</v>
      </c>
      <c r="G2153" t="s">
        <v>7132</v>
      </c>
      <c r="H2153" t="s">
        <v>928</v>
      </c>
      <c r="I2153" t="s">
        <v>929</v>
      </c>
      <c r="J2153" t="s">
        <v>7703</v>
      </c>
      <c r="K2153" t="s">
        <v>7684</v>
      </c>
      <c r="L2153" t="s">
        <v>7696</v>
      </c>
      <c r="N2153" t="str" cm="1">
        <f t="array" ref="N2153">IFERROR(LOOKUP(2,1/SEARCH($S$2:$S$65,G2153),$T$2:$T$65),"Misc")</f>
        <v>COTS</v>
      </c>
      <c r="O2153" t="str" cm="1">
        <f t="array" ref="O2153">IFERROR(LOOKUP(2,1/SEARCH($V$2:$V$65,G2153),$W$2:$W$65),"Misc")</f>
        <v>Fasteners</v>
      </c>
      <c r="P2153" t="str" cm="1">
        <f t="array" ref="P2153">IFERROR(LOOKUP(2,1/SEARCH($Y$2:$Y$65,G2153),$Z$2:$Z$65),"Not Defined")</f>
        <v>SPACER</v>
      </c>
      <c r="Q2153" t="str" cm="1">
        <f t="array" ref="Q2153">IFERROR(LOOKUP(2,1/SEARCH($S$2:$S$65,H2153),$T$2:$T$65),"-")</f>
        <v>COTS</v>
      </c>
    </row>
    <row r="2154" spans="1:17" x14ac:dyDescent="0.25">
      <c r="A2154" t="s">
        <v>7675</v>
      </c>
      <c r="B2154" t="s">
        <v>5535</v>
      </c>
      <c r="C2154">
        <v>2</v>
      </c>
      <c r="D2154" t="s">
        <v>7562</v>
      </c>
      <c r="F2154" t="s">
        <v>5536</v>
      </c>
      <c r="G2154" t="s">
        <v>7569</v>
      </c>
      <c r="H2154" t="s">
        <v>5537</v>
      </c>
      <c r="I2154" t="s">
        <v>210</v>
      </c>
      <c r="J2154" t="s">
        <v>7703</v>
      </c>
      <c r="K2154" t="s">
        <v>7684</v>
      </c>
      <c r="L2154" t="s">
        <v>7700</v>
      </c>
      <c r="N2154" t="str" cm="1">
        <f t="array" ref="N2154">IFERROR(LOOKUP(2,1/SEARCH($S$2:$S$65,G2154),$T$2:$T$65),"Misc")</f>
        <v>COTS</v>
      </c>
      <c r="O2154" t="str" cm="1">
        <f t="array" ref="O2154">IFERROR(LOOKUP(2,1/SEARCH($V$2:$V$65,G2154),$W$2:$W$65),"Misc")</f>
        <v>Fasteners</v>
      </c>
      <c r="P2154" t="str" cm="1">
        <f t="array" ref="P2154">IFERROR(LOOKUP(2,1/SEARCH($Y$2:$Y$65,G2154),$Z$2:$Z$65),"Not Defined")</f>
        <v>SHCS</v>
      </c>
      <c r="Q2154" t="str" cm="1">
        <f t="array" ref="Q2154">IFERROR(LOOKUP(2,1/SEARCH($S$2:$S$65,H2154),$T$2:$T$65),"-")</f>
        <v>COTS</v>
      </c>
    </row>
    <row r="2155" spans="1:17" x14ac:dyDescent="0.25">
      <c r="A2155" t="s">
        <v>7675</v>
      </c>
      <c r="B2155" t="s">
        <v>5538</v>
      </c>
      <c r="C2155">
        <v>3</v>
      </c>
      <c r="D2155" t="s">
        <v>7562</v>
      </c>
      <c r="F2155" t="s">
        <v>5539</v>
      </c>
      <c r="G2155" t="s">
        <v>7570</v>
      </c>
      <c r="H2155" t="s">
        <v>5540</v>
      </c>
      <c r="J2155" t="s">
        <v>7703</v>
      </c>
      <c r="K2155" t="s">
        <v>7719</v>
      </c>
      <c r="L2155" t="s">
        <v>7688</v>
      </c>
      <c r="N2155" t="str" cm="1">
        <f t="array" ref="N2155">IFERROR(LOOKUP(2,1/SEARCH($S$2:$S$65,G2155),$T$2:$T$65),"Misc")</f>
        <v>COTS</v>
      </c>
      <c r="O2155" t="str" cm="1">
        <f t="array" ref="O2155">IFERROR(LOOKUP(2,1/SEARCH($V$2:$V$65,G2155),$W$2:$W$65),"Misc")</f>
        <v>Misc</v>
      </c>
      <c r="P2155" t="str" cm="1">
        <f t="array" ref="P2155">IFERROR(LOOKUP(2,1/SEARCH($Y$2:$Y$65,G2155),$Z$2:$Z$65),"Not Defined")</f>
        <v>SPRING</v>
      </c>
      <c r="Q2155" t="str" cm="1">
        <f t="array" ref="Q2155">IFERROR(LOOKUP(2,1/SEARCH($S$2:$S$65,H2155),$T$2:$T$65),"-")</f>
        <v>COTS</v>
      </c>
    </row>
    <row r="2156" spans="1:17" x14ac:dyDescent="0.25">
      <c r="A2156" t="s">
        <v>7675</v>
      </c>
      <c r="B2156" s="19">
        <v>3.22</v>
      </c>
      <c r="C2156">
        <v>1</v>
      </c>
      <c r="D2156" t="s">
        <v>7571</v>
      </c>
      <c r="F2156" t="s">
        <v>5541</v>
      </c>
      <c r="G2156" t="s">
        <v>7571</v>
      </c>
      <c r="H2156" t="s">
        <v>5542</v>
      </c>
      <c r="J2156" t="s">
        <v>7742</v>
      </c>
      <c r="K2156" t="s">
        <v>7826</v>
      </c>
      <c r="L2156" t="s">
        <v>7826</v>
      </c>
      <c r="N2156" t="str" cm="1">
        <f t="array" ref="N2156">IFERROR(LOOKUP(2,1/SEARCH($S$2:$S$65,G2156),$T$2:$T$65),"Misc")</f>
        <v>OH ASSY</v>
      </c>
      <c r="O2156" t="str" cm="1">
        <f t="array" ref="O2156">IFERROR(LOOKUP(2,1/SEARCH($V$2:$V$65,G2156),$W$2:$W$65),"Misc")</f>
        <v>OH Part</v>
      </c>
      <c r="P2156" t="str" cm="1">
        <f t="array" ref="P2156">IFERROR(LOOKUP(2,1/SEARCH($Y$2:$Y$65,G2156),$Z$2:$Z$65),"Not Defined")</f>
        <v>OH Part</v>
      </c>
      <c r="Q2156" t="str" cm="1">
        <f t="array" ref="Q2156">IFERROR(LOOKUP(2,1/SEARCH($S$2:$S$65,H2156),$T$2:$T$65),"-")</f>
        <v>OH ASSY</v>
      </c>
    </row>
    <row r="2157" spans="1:17" x14ac:dyDescent="0.25">
      <c r="A2157" t="s">
        <v>7675</v>
      </c>
      <c r="B2157" t="s">
        <v>5543</v>
      </c>
      <c r="C2157">
        <v>1</v>
      </c>
      <c r="D2157" t="s">
        <v>7571</v>
      </c>
      <c r="F2157" t="s">
        <v>5544</v>
      </c>
      <c r="G2157" t="s">
        <v>5546</v>
      </c>
      <c r="H2157" t="s">
        <v>5545</v>
      </c>
      <c r="I2157" t="s">
        <v>13</v>
      </c>
      <c r="J2157" t="s">
        <v>7682</v>
      </c>
      <c r="K2157" t="s">
        <v>7826</v>
      </c>
      <c r="L2157" t="s">
        <v>7826</v>
      </c>
      <c r="N2157" t="str" cm="1">
        <f t="array" ref="N2157">IFERROR(LOOKUP(2,1/SEARCH($S$2:$S$65,G2157),$T$2:$T$65),"Misc")</f>
        <v>OH P/N</v>
      </c>
      <c r="O2157" t="str" cm="1">
        <f t="array" ref="O2157">IFERROR(LOOKUP(2,1/SEARCH($V$2:$V$65,G2157),$W$2:$W$65),"Misc")</f>
        <v>OH Part</v>
      </c>
      <c r="P2157" t="str" cm="1">
        <f t="array" ref="P2157">IFERROR(LOOKUP(2,1/SEARCH($Y$2:$Y$65,G2157),$Z$2:$Z$65),"Not Defined")</f>
        <v>OH Part</v>
      </c>
      <c r="Q2157" t="str" cm="1">
        <f t="array" ref="Q2157">IFERROR(LOOKUP(2,1/SEARCH($S$2:$S$65,H2157),$T$2:$T$65),"-")</f>
        <v>-</v>
      </c>
    </row>
    <row r="2158" spans="1:17" x14ac:dyDescent="0.25">
      <c r="A2158" t="s">
        <v>7675</v>
      </c>
      <c r="B2158" t="s">
        <v>5547</v>
      </c>
      <c r="C2158">
        <v>1</v>
      </c>
      <c r="D2158" t="s">
        <v>7571</v>
      </c>
      <c r="F2158" t="s">
        <v>5548</v>
      </c>
      <c r="G2158" t="s">
        <v>5550</v>
      </c>
      <c r="H2158" t="s">
        <v>5549</v>
      </c>
      <c r="I2158" t="s">
        <v>293</v>
      </c>
      <c r="J2158" t="s">
        <v>7682</v>
      </c>
      <c r="K2158" t="s">
        <v>7826</v>
      </c>
      <c r="L2158" t="s">
        <v>7826</v>
      </c>
      <c r="N2158" t="str" cm="1">
        <f t="array" ref="N2158">IFERROR(LOOKUP(2,1/SEARCH($S$2:$S$65,G2158),$T$2:$T$65),"Misc")</f>
        <v>OH P/N</v>
      </c>
      <c r="O2158" t="str" cm="1">
        <f t="array" ref="O2158">IFERROR(LOOKUP(2,1/SEARCH($V$2:$V$65,G2158),$W$2:$W$65),"Misc")</f>
        <v>OH Part</v>
      </c>
      <c r="P2158" t="str" cm="1">
        <f t="array" ref="P2158">IFERROR(LOOKUP(2,1/SEARCH($Y$2:$Y$65,G2158),$Z$2:$Z$65),"Not Defined")</f>
        <v>OH Part</v>
      </c>
      <c r="Q2158" t="str" cm="1">
        <f t="array" ref="Q2158">IFERROR(LOOKUP(2,1/SEARCH($S$2:$S$65,H2158),$T$2:$T$65),"-")</f>
        <v>-</v>
      </c>
    </row>
    <row r="2159" spans="1:17" x14ac:dyDescent="0.25">
      <c r="A2159" t="s">
        <v>7675</v>
      </c>
      <c r="B2159" t="s">
        <v>5551</v>
      </c>
      <c r="C2159">
        <v>1</v>
      </c>
      <c r="D2159" t="s">
        <v>7571</v>
      </c>
      <c r="F2159" t="s">
        <v>5552</v>
      </c>
      <c r="G2159" t="s">
        <v>5554</v>
      </c>
      <c r="H2159" t="s">
        <v>5553</v>
      </c>
      <c r="I2159" t="s">
        <v>293</v>
      </c>
      <c r="J2159" t="s">
        <v>7682</v>
      </c>
      <c r="K2159" t="s">
        <v>7826</v>
      </c>
      <c r="L2159" t="s">
        <v>7826</v>
      </c>
      <c r="N2159" t="str" cm="1">
        <f t="array" ref="N2159">IFERROR(LOOKUP(2,1/SEARCH($S$2:$S$65,G2159),$T$2:$T$65),"Misc")</f>
        <v>OH P/N</v>
      </c>
      <c r="O2159" t="str" cm="1">
        <f t="array" ref="O2159">IFERROR(LOOKUP(2,1/SEARCH($V$2:$V$65,G2159),$W$2:$W$65),"Misc")</f>
        <v>OH Part</v>
      </c>
      <c r="P2159" t="str" cm="1">
        <f t="array" ref="P2159">IFERROR(LOOKUP(2,1/SEARCH($Y$2:$Y$65,G2159),$Z$2:$Z$65),"Not Defined")</f>
        <v>OH Part</v>
      </c>
      <c r="Q2159" t="str" cm="1">
        <f t="array" ref="Q2159">IFERROR(LOOKUP(2,1/SEARCH($S$2:$S$65,H2159),$T$2:$T$65),"-")</f>
        <v>-</v>
      </c>
    </row>
    <row r="2160" spans="1:17" x14ac:dyDescent="0.25">
      <c r="A2160" t="s">
        <v>7675</v>
      </c>
      <c r="B2160" t="s">
        <v>5555</v>
      </c>
      <c r="C2160">
        <v>1</v>
      </c>
      <c r="D2160" t="s">
        <v>7571</v>
      </c>
      <c r="F2160" t="s">
        <v>5556</v>
      </c>
      <c r="G2160" t="s">
        <v>5558</v>
      </c>
      <c r="H2160" t="s">
        <v>5557</v>
      </c>
      <c r="I2160" t="s">
        <v>293</v>
      </c>
      <c r="J2160" t="s">
        <v>7682</v>
      </c>
      <c r="K2160" t="s">
        <v>7826</v>
      </c>
      <c r="L2160" t="s">
        <v>7826</v>
      </c>
      <c r="N2160" t="str" cm="1">
        <f t="array" ref="N2160">IFERROR(LOOKUP(2,1/SEARCH($S$2:$S$65,G2160),$T$2:$T$65),"Misc")</f>
        <v>OH P/N</v>
      </c>
      <c r="O2160" t="str" cm="1">
        <f t="array" ref="O2160">IFERROR(LOOKUP(2,1/SEARCH($V$2:$V$65,G2160),$W$2:$W$65),"Misc")</f>
        <v>OH Part</v>
      </c>
      <c r="P2160" t="str" cm="1">
        <f t="array" ref="P2160">IFERROR(LOOKUP(2,1/SEARCH($Y$2:$Y$65,G2160),$Z$2:$Z$65),"Not Defined")</f>
        <v>OH Part</v>
      </c>
      <c r="Q2160" t="str" cm="1">
        <f t="array" ref="Q2160">IFERROR(LOOKUP(2,1/SEARCH($S$2:$S$65,H2160),$T$2:$T$65),"-")</f>
        <v>COTS</v>
      </c>
    </row>
    <row r="2161" spans="1:17" x14ac:dyDescent="0.25">
      <c r="A2161" t="s">
        <v>7675</v>
      </c>
      <c r="B2161" t="s">
        <v>5559</v>
      </c>
      <c r="C2161">
        <v>1</v>
      </c>
      <c r="D2161" t="s">
        <v>7571</v>
      </c>
      <c r="F2161" t="s">
        <v>5560</v>
      </c>
      <c r="G2161" t="s">
        <v>5562</v>
      </c>
      <c r="H2161" t="s">
        <v>5561</v>
      </c>
      <c r="I2161" t="s">
        <v>293</v>
      </c>
      <c r="J2161" t="s">
        <v>7682</v>
      </c>
      <c r="K2161" t="s">
        <v>7826</v>
      </c>
      <c r="L2161" t="s">
        <v>7826</v>
      </c>
      <c r="N2161" t="str" cm="1">
        <f t="array" ref="N2161">IFERROR(LOOKUP(2,1/SEARCH($S$2:$S$65,G2161),$T$2:$T$65),"Misc")</f>
        <v>OH P/N</v>
      </c>
      <c r="O2161" t="str" cm="1">
        <f t="array" ref="O2161">IFERROR(LOOKUP(2,1/SEARCH($V$2:$V$65,G2161),$W$2:$W$65),"Misc")</f>
        <v>OH Part</v>
      </c>
      <c r="P2161" t="str" cm="1">
        <f t="array" ref="P2161">IFERROR(LOOKUP(2,1/SEARCH($Y$2:$Y$65,G2161),$Z$2:$Z$65),"Not Defined")</f>
        <v>OH Part</v>
      </c>
      <c r="Q2161" t="str" cm="1">
        <f t="array" ref="Q2161">IFERROR(LOOKUP(2,1/SEARCH($S$2:$S$65,H2161),$T$2:$T$65),"-")</f>
        <v>-</v>
      </c>
    </row>
    <row r="2162" spans="1:17" x14ac:dyDescent="0.25">
      <c r="A2162" t="s">
        <v>7675</v>
      </c>
      <c r="B2162" t="s">
        <v>5563</v>
      </c>
      <c r="C2162">
        <v>1</v>
      </c>
      <c r="D2162" t="s">
        <v>7571</v>
      </c>
      <c r="F2162" t="s">
        <v>5564</v>
      </c>
      <c r="G2162" t="s">
        <v>5566</v>
      </c>
      <c r="H2162" t="s">
        <v>5565</v>
      </c>
      <c r="I2162" t="s">
        <v>293</v>
      </c>
      <c r="J2162" t="s">
        <v>7682</v>
      </c>
      <c r="K2162" t="s">
        <v>7826</v>
      </c>
      <c r="L2162" t="s">
        <v>7826</v>
      </c>
      <c r="N2162" t="str" cm="1">
        <f t="array" ref="N2162">IFERROR(LOOKUP(2,1/SEARCH($S$2:$S$65,G2162),$T$2:$T$65),"Misc")</f>
        <v>OH P/N</v>
      </c>
      <c r="O2162" t="str" cm="1">
        <f t="array" ref="O2162">IFERROR(LOOKUP(2,1/SEARCH($V$2:$V$65,G2162),$W$2:$W$65),"Misc")</f>
        <v>OH Part</v>
      </c>
      <c r="P2162" t="str" cm="1">
        <f t="array" ref="P2162">IFERROR(LOOKUP(2,1/SEARCH($Y$2:$Y$65,G2162),$Z$2:$Z$65),"Not Defined")</f>
        <v>OH Part</v>
      </c>
      <c r="Q2162" t="str" cm="1">
        <f t="array" ref="Q2162">IFERROR(LOOKUP(2,1/SEARCH($S$2:$S$65,H2162),$T$2:$T$65),"-")</f>
        <v>-</v>
      </c>
    </row>
    <row r="2163" spans="1:17" x14ac:dyDescent="0.25">
      <c r="A2163" t="s">
        <v>7675</v>
      </c>
      <c r="B2163" t="s">
        <v>5567</v>
      </c>
      <c r="C2163">
        <v>1</v>
      </c>
      <c r="D2163" t="s">
        <v>7571</v>
      </c>
      <c r="F2163" t="s">
        <v>5568</v>
      </c>
      <c r="G2163" t="s">
        <v>5570</v>
      </c>
      <c r="H2163" t="s">
        <v>5569</v>
      </c>
      <c r="I2163" t="s">
        <v>13</v>
      </c>
      <c r="J2163" t="s">
        <v>7682</v>
      </c>
      <c r="K2163" t="s">
        <v>7826</v>
      </c>
      <c r="L2163" t="s">
        <v>7826</v>
      </c>
      <c r="N2163" t="str" cm="1">
        <f t="array" ref="N2163">IFERROR(LOOKUP(2,1/SEARCH($S$2:$S$65,G2163),$T$2:$T$65),"Misc")</f>
        <v>OH P/N</v>
      </c>
      <c r="O2163" t="str" cm="1">
        <f t="array" ref="O2163">IFERROR(LOOKUP(2,1/SEARCH($V$2:$V$65,G2163),$W$2:$W$65),"Misc")</f>
        <v>OH Part</v>
      </c>
      <c r="P2163" t="str" cm="1">
        <f t="array" ref="P2163">IFERROR(LOOKUP(2,1/SEARCH($Y$2:$Y$65,G2163),$Z$2:$Z$65),"Not Defined")</f>
        <v>OH Part</v>
      </c>
      <c r="Q2163" t="str" cm="1">
        <f t="array" ref="Q2163">IFERROR(LOOKUP(2,1/SEARCH($S$2:$S$65,H2163),$T$2:$T$65),"-")</f>
        <v>COTS</v>
      </c>
    </row>
    <row r="2164" spans="1:17" x14ac:dyDescent="0.25">
      <c r="A2164" t="s">
        <v>7675</v>
      </c>
      <c r="B2164" t="s">
        <v>5571</v>
      </c>
      <c r="C2164">
        <v>1</v>
      </c>
      <c r="D2164" t="s">
        <v>7571</v>
      </c>
      <c r="F2164" t="s">
        <v>310</v>
      </c>
      <c r="G2164" t="s">
        <v>7229</v>
      </c>
      <c r="H2164" t="s">
        <v>1581</v>
      </c>
      <c r="I2164" t="s">
        <v>255</v>
      </c>
      <c r="J2164" t="s">
        <v>7703</v>
      </c>
      <c r="K2164" t="s">
        <v>7814</v>
      </c>
      <c r="L2164" t="s">
        <v>7723</v>
      </c>
      <c r="N2164" t="str" cm="1">
        <f t="array" ref="N2164">IFERROR(LOOKUP(2,1/SEARCH($S$2:$S$65,G2164),$T$2:$T$65),"Misc")</f>
        <v>COTS</v>
      </c>
      <c r="O2164" t="str" cm="1">
        <f t="array" ref="O2164">IFERROR(LOOKUP(2,1/SEARCH($V$2:$V$65,G2164),$W$2:$W$65),"Misc")</f>
        <v>Misc</v>
      </c>
      <c r="P2164" t="str" cm="1">
        <f t="array" ref="P2164">IFERROR(LOOKUP(2,1/SEARCH($Y$2:$Y$65,G2164),$Z$2:$Z$65),"Not Defined")</f>
        <v>MICROSTEPPER</v>
      </c>
      <c r="Q2164" t="str" cm="1">
        <f t="array" ref="Q2164">IFERROR(LOOKUP(2,1/SEARCH($S$2:$S$65,H2164),$T$2:$T$65),"-")</f>
        <v>COTS</v>
      </c>
    </row>
    <row r="2165" spans="1:17" x14ac:dyDescent="0.25">
      <c r="A2165" t="s">
        <v>7675</v>
      </c>
      <c r="B2165" t="s">
        <v>5572</v>
      </c>
      <c r="C2165">
        <v>2</v>
      </c>
      <c r="D2165" t="s">
        <v>7571</v>
      </c>
      <c r="F2165" t="s">
        <v>265</v>
      </c>
      <c r="G2165" t="s">
        <v>7099</v>
      </c>
      <c r="H2165" t="s">
        <v>266</v>
      </c>
      <c r="I2165" t="s">
        <v>224</v>
      </c>
      <c r="J2165" t="s">
        <v>7703</v>
      </c>
      <c r="K2165" t="s">
        <v>7684</v>
      </c>
      <c r="L2165" t="s">
        <v>7687</v>
      </c>
      <c r="N2165" t="str" cm="1">
        <f t="array" ref="N2165">IFERROR(LOOKUP(2,1/SEARCH($S$2:$S$65,G2165),$T$2:$T$65),"Misc")</f>
        <v>COTS</v>
      </c>
      <c r="O2165" t="str" cm="1">
        <f t="array" ref="O2165">IFERROR(LOOKUP(2,1/SEARCH($V$2:$V$65,G2165),$W$2:$W$65),"Misc")</f>
        <v>Fasteners</v>
      </c>
      <c r="P2165" t="str" cm="1">
        <f t="array" ref="P2165">IFERROR(LOOKUP(2,1/SEARCH($Y$2:$Y$65,G2165),$Z$2:$Z$65),"Not Defined")</f>
        <v>INSERT</v>
      </c>
      <c r="Q2165" t="str" cm="1">
        <f t="array" ref="Q2165">IFERROR(LOOKUP(2,1/SEARCH($S$2:$S$65,H2165),$T$2:$T$65),"-")</f>
        <v>COTS</v>
      </c>
    </row>
    <row r="2166" spans="1:17" x14ac:dyDescent="0.25">
      <c r="A2166" t="s">
        <v>7675</v>
      </c>
      <c r="B2166" t="s">
        <v>5573</v>
      </c>
      <c r="C2166">
        <v>2</v>
      </c>
      <c r="D2166" t="s">
        <v>7571</v>
      </c>
      <c r="F2166" t="s">
        <v>2768</v>
      </c>
      <c r="G2166" t="s">
        <v>7314</v>
      </c>
      <c r="H2166" t="s">
        <v>2769</v>
      </c>
      <c r="I2166" t="s">
        <v>224</v>
      </c>
      <c r="J2166" t="s">
        <v>7703</v>
      </c>
      <c r="K2166" t="s">
        <v>7684</v>
      </c>
      <c r="L2166" t="s">
        <v>7687</v>
      </c>
      <c r="N2166" t="str" cm="1">
        <f t="array" ref="N2166">IFERROR(LOOKUP(2,1/SEARCH($S$2:$S$65,G2166),$T$2:$T$65),"Misc")</f>
        <v>COTS</v>
      </c>
      <c r="O2166" t="str" cm="1">
        <f t="array" ref="O2166">IFERROR(LOOKUP(2,1/SEARCH($V$2:$V$65,G2166),$W$2:$W$65),"Misc")</f>
        <v>Fasteners</v>
      </c>
      <c r="P2166" t="str" cm="1">
        <f t="array" ref="P2166">IFERROR(LOOKUP(2,1/SEARCH($Y$2:$Y$65,G2166),$Z$2:$Z$65),"Not Defined")</f>
        <v>INSERT</v>
      </c>
      <c r="Q2166" t="str" cm="1">
        <f t="array" ref="Q2166">IFERROR(LOOKUP(2,1/SEARCH($S$2:$S$65,H2166),$T$2:$T$65),"-")</f>
        <v>COTS</v>
      </c>
    </row>
    <row r="2167" spans="1:17" x14ac:dyDescent="0.25">
      <c r="A2167" t="s">
        <v>7675</v>
      </c>
      <c r="B2167" t="s">
        <v>5574</v>
      </c>
      <c r="C2167">
        <v>2</v>
      </c>
      <c r="D2167" t="s">
        <v>7571</v>
      </c>
      <c r="F2167" t="s">
        <v>2771</v>
      </c>
      <c r="G2167" t="s">
        <v>7315</v>
      </c>
      <c r="H2167" t="s">
        <v>2772</v>
      </c>
      <c r="I2167" t="s">
        <v>228</v>
      </c>
      <c r="J2167" t="s">
        <v>7703</v>
      </c>
      <c r="K2167" t="s">
        <v>7684</v>
      </c>
      <c r="L2167" t="s">
        <v>7693</v>
      </c>
      <c r="N2167" t="str" cm="1">
        <f t="array" ref="N2167">IFERROR(LOOKUP(2,1/SEARCH($S$2:$S$65,G2167),$T$2:$T$65),"Misc")</f>
        <v>COTS</v>
      </c>
      <c r="O2167" t="str" cm="1">
        <f t="array" ref="O2167">IFERROR(LOOKUP(2,1/SEARCH($V$2:$V$65,G2167),$W$2:$W$65),"Misc")</f>
        <v>Fasteners</v>
      </c>
      <c r="P2167" t="str" cm="1">
        <f t="array" ref="P2167">IFERROR(LOOKUP(2,1/SEARCH($Y$2:$Y$65,G2167),$Z$2:$Z$65),"Not Defined")</f>
        <v>PHS</v>
      </c>
      <c r="Q2167" t="str" cm="1">
        <f t="array" ref="Q2167">IFERROR(LOOKUP(2,1/SEARCH($S$2:$S$65,H2167),$T$2:$T$65),"-")</f>
        <v>COTS</v>
      </c>
    </row>
    <row r="2168" spans="1:17" x14ac:dyDescent="0.25">
      <c r="A2168" t="s">
        <v>7675</v>
      </c>
      <c r="B2168" t="s">
        <v>5575</v>
      </c>
      <c r="C2168">
        <v>1</v>
      </c>
      <c r="D2168" t="s">
        <v>7571</v>
      </c>
      <c r="F2168">
        <v>1938</v>
      </c>
      <c r="G2168" t="s">
        <v>7064</v>
      </c>
      <c r="H2168" t="s">
        <v>295</v>
      </c>
      <c r="I2168" t="s">
        <v>255</v>
      </c>
      <c r="J2168" t="s">
        <v>7703</v>
      </c>
      <c r="K2168" t="s">
        <v>7814</v>
      </c>
      <c r="L2168" t="s">
        <v>7718</v>
      </c>
      <c r="N2168" t="str" cm="1">
        <f t="array" ref="N2168">IFERROR(LOOKUP(2,1/SEARCH($S$2:$S$65,G2168),$T$2:$T$65),"Misc")</f>
        <v>COTS</v>
      </c>
      <c r="O2168" t="str" cm="1">
        <f t="array" ref="O2168">IFERROR(LOOKUP(2,1/SEARCH($V$2:$V$65,G2168),$W$2:$W$65),"Misc")</f>
        <v>Misc</v>
      </c>
      <c r="P2168" t="str" cm="1">
        <f t="array" ref="P2168">IFERROR(LOOKUP(2,1/SEARCH($Y$2:$Y$65,G2168),$Z$2:$Z$65),"Not Defined")</f>
        <v>LED</v>
      </c>
      <c r="Q2168" t="str" cm="1">
        <f t="array" ref="Q2168">IFERROR(LOOKUP(2,1/SEARCH($S$2:$S$65,H2168),$T$2:$T$65),"-")</f>
        <v>COTS</v>
      </c>
    </row>
    <row r="2169" spans="1:17" x14ac:dyDescent="0.25">
      <c r="A2169" t="s">
        <v>7675</v>
      </c>
      <c r="B2169">
        <v>3.23</v>
      </c>
      <c r="C2169">
        <v>4</v>
      </c>
      <c r="D2169" t="s">
        <v>7431</v>
      </c>
      <c r="F2169" t="s">
        <v>932</v>
      </c>
      <c r="G2169" t="s">
        <v>7133</v>
      </c>
      <c r="H2169" t="s">
        <v>933</v>
      </c>
      <c r="I2169" t="s">
        <v>210</v>
      </c>
      <c r="J2169" t="s">
        <v>7703</v>
      </c>
      <c r="K2169" t="s">
        <v>7684</v>
      </c>
      <c r="L2169" t="s">
        <v>7685</v>
      </c>
      <c r="N2169" t="str" cm="1">
        <f t="array" ref="N2169">IFERROR(LOOKUP(2,1/SEARCH($S$2:$S$65,G2169),$T$2:$T$65),"Misc")</f>
        <v>COTS</v>
      </c>
      <c r="O2169" t="str" cm="1">
        <f t="array" ref="O2169">IFERROR(LOOKUP(2,1/SEARCH($V$2:$V$65,G2169),$W$2:$W$65),"Misc")</f>
        <v>Fasteners</v>
      </c>
      <c r="P2169" t="str" cm="1">
        <f t="array" ref="P2169">IFERROR(LOOKUP(2,1/SEARCH($Y$2:$Y$65,G2169),$Z$2:$Z$65),"Not Defined")</f>
        <v>NUT</v>
      </c>
      <c r="Q2169" t="str" cm="1">
        <f t="array" ref="Q2169">IFERROR(LOOKUP(2,1/SEARCH($S$2:$S$65,H2169),$T$2:$T$65),"-")</f>
        <v>COTS</v>
      </c>
    </row>
    <row r="2170" spans="1:17" x14ac:dyDescent="0.25">
      <c r="A2170" t="s">
        <v>7675</v>
      </c>
      <c r="B2170">
        <v>3.24</v>
      </c>
      <c r="C2170">
        <v>4</v>
      </c>
      <c r="D2170" t="s">
        <v>7431</v>
      </c>
      <c r="F2170" t="s">
        <v>442</v>
      </c>
      <c r="G2170" t="s">
        <v>7087</v>
      </c>
      <c r="H2170" t="s">
        <v>443</v>
      </c>
      <c r="I2170" t="s">
        <v>228</v>
      </c>
      <c r="J2170" t="s">
        <v>7703</v>
      </c>
      <c r="K2170" t="s">
        <v>7684</v>
      </c>
      <c r="L2170" t="s">
        <v>7692</v>
      </c>
      <c r="N2170" t="str" cm="1">
        <f t="array" ref="N2170">IFERROR(LOOKUP(2,1/SEARCH($S$2:$S$65,G2170),$T$2:$T$65),"Misc")</f>
        <v>COTS</v>
      </c>
      <c r="O2170" t="str" cm="1">
        <f t="array" ref="O2170">IFERROR(LOOKUP(2,1/SEARCH($V$2:$V$65,G2170),$W$2:$W$65),"Misc")</f>
        <v>Fasteners</v>
      </c>
      <c r="P2170" t="str" cm="1">
        <f t="array" ref="P2170">IFERROR(LOOKUP(2,1/SEARCH($Y$2:$Y$65,G2170),$Z$2:$Z$65),"Not Defined")</f>
        <v>WASHER</v>
      </c>
      <c r="Q2170" t="str" cm="1">
        <f t="array" ref="Q2170">IFERROR(LOOKUP(2,1/SEARCH($S$2:$S$65,H2170),$T$2:$T$65),"-")</f>
        <v>COTS</v>
      </c>
    </row>
    <row r="2171" spans="1:17" x14ac:dyDescent="0.25">
      <c r="A2171" t="s">
        <v>7675</v>
      </c>
      <c r="B2171">
        <v>3.25</v>
      </c>
      <c r="C2171">
        <v>2</v>
      </c>
      <c r="D2171" t="s">
        <v>7431</v>
      </c>
      <c r="F2171" t="s">
        <v>4479</v>
      </c>
      <c r="G2171" t="s">
        <v>7460</v>
      </c>
      <c r="H2171" t="s">
        <v>4480</v>
      </c>
      <c r="I2171" t="s">
        <v>228</v>
      </c>
      <c r="J2171" t="s">
        <v>7703</v>
      </c>
      <c r="K2171" t="s">
        <v>7684</v>
      </c>
      <c r="L2171" t="s">
        <v>7693</v>
      </c>
      <c r="N2171" t="str" cm="1">
        <f t="array" ref="N2171">IFERROR(LOOKUP(2,1/SEARCH($S$2:$S$65,G2171),$T$2:$T$65),"Misc")</f>
        <v>COTS</v>
      </c>
      <c r="O2171" t="str" cm="1">
        <f t="array" ref="O2171">IFERROR(LOOKUP(2,1/SEARCH($V$2:$V$65,G2171),$W$2:$W$65),"Misc")</f>
        <v>Fasteners</v>
      </c>
      <c r="P2171" t="str" cm="1">
        <f t="array" ref="P2171">IFERROR(LOOKUP(2,1/SEARCH($Y$2:$Y$65,G2171),$Z$2:$Z$65),"Not Defined")</f>
        <v>PHS</v>
      </c>
      <c r="Q2171" t="str" cm="1">
        <f t="array" ref="Q2171">IFERROR(LOOKUP(2,1/SEARCH($S$2:$S$65,H2171),$T$2:$T$65),"-")</f>
        <v>COTS</v>
      </c>
    </row>
    <row r="2172" spans="1:17" x14ac:dyDescent="0.25">
      <c r="A2172" t="s">
        <v>7675</v>
      </c>
      <c r="B2172">
        <v>3.26</v>
      </c>
      <c r="C2172">
        <v>2</v>
      </c>
      <c r="D2172" t="s">
        <v>7431</v>
      </c>
      <c r="F2172" t="s">
        <v>445</v>
      </c>
      <c r="G2172" t="s">
        <v>7088</v>
      </c>
      <c r="H2172" t="s">
        <v>446</v>
      </c>
      <c r="I2172" t="s">
        <v>228</v>
      </c>
      <c r="J2172" t="s">
        <v>7703</v>
      </c>
      <c r="K2172" t="s">
        <v>7684</v>
      </c>
      <c r="L2172" t="s">
        <v>7693</v>
      </c>
      <c r="N2172" t="str" cm="1">
        <f t="array" ref="N2172">IFERROR(LOOKUP(2,1/SEARCH($S$2:$S$65,G2172),$T$2:$T$65),"Misc")</f>
        <v>COTS</v>
      </c>
      <c r="O2172" t="str" cm="1">
        <f t="array" ref="O2172">IFERROR(LOOKUP(2,1/SEARCH($V$2:$V$65,G2172),$W$2:$W$65),"Misc")</f>
        <v>Fasteners</v>
      </c>
      <c r="P2172" t="str" cm="1">
        <f t="array" ref="P2172">IFERROR(LOOKUP(2,1/SEARCH($Y$2:$Y$65,G2172),$Z$2:$Z$65),"Not Defined")</f>
        <v>PHS</v>
      </c>
      <c r="Q2172" t="str" cm="1">
        <f t="array" ref="Q2172">IFERROR(LOOKUP(2,1/SEARCH($S$2:$S$65,H2172),$T$2:$T$65),"-")</f>
        <v>COTS</v>
      </c>
    </row>
    <row r="2173" spans="1:17" x14ac:dyDescent="0.25">
      <c r="A2173" t="s">
        <v>7675</v>
      </c>
      <c r="B2173">
        <v>3.27</v>
      </c>
      <c r="C2173">
        <v>4</v>
      </c>
      <c r="D2173" t="s">
        <v>7431</v>
      </c>
      <c r="F2173" t="s">
        <v>4437</v>
      </c>
      <c r="G2173" t="s">
        <v>7455</v>
      </c>
      <c r="H2173" t="s">
        <v>4438</v>
      </c>
      <c r="I2173" t="s">
        <v>210</v>
      </c>
      <c r="J2173" t="s">
        <v>7703</v>
      </c>
      <c r="K2173" t="s">
        <v>7684</v>
      </c>
      <c r="L2173" t="s">
        <v>7693</v>
      </c>
      <c r="N2173" t="str" cm="1">
        <f t="array" ref="N2173">IFERROR(LOOKUP(2,1/SEARCH($S$2:$S$65,G2173),$T$2:$T$65),"Misc")</f>
        <v>COTS</v>
      </c>
      <c r="O2173" t="str" cm="1">
        <f t="array" ref="O2173">IFERROR(LOOKUP(2,1/SEARCH($V$2:$V$65,G2173),$W$2:$W$65),"Misc")</f>
        <v>Fasteners</v>
      </c>
      <c r="P2173" t="str" cm="1">
        <f t="array" ref="P2173">IFERROR(LOOKUP(2,1/SEARCH($Y$2:$Y$65,G2173),$Z$2:$Z$65),"Not Defined")</f>
        <v>PHS</v>
      </c>
      <c r="Q2173" t="str" cm="1">
        <f t="array" ref="Q2173">IFERROR(LOOKUP(2,1/SEARCH($S$2:$S$65,H2173),$T$2:$T$65),"-")</f>
        <v>COTS</v>
      </c>
    </row>
    <row r="2174" spans="1:17" x14ac:dyDescent="0.25">
      <c r="A2174" t="s">
        <v>7675</v>
      </c>
      <c r="B2174">
        <v>3.28</v>
      </c>
      <c r="C2174">
        <v>11</v>
      </c>
      <c r="D2174" t="s">
        <v>7431</v>
      </c>
      <c r="F2174" t="s">
        <v>563</v>
      </c>
      <c r="G2174" t="s">
        <v>7100</v>
      </c>
      <c r="H2174" t="s">
        <v>564</v>
      </c>
      <c r="I2174" t="s">
        <v>228</v>
      </c>
      <c r="J2174" t="s">
        <v>7703</v>
      </c>
      <c r="K2174" t="s">
        <v>7684</v>
      </c>
      <c r="L2174" t="s">
        <v>7693</v>
      </c>
      <c r="N2174" t="str" cm="1">
        <f t="array" ref="N2174">IFERROR(LOOKUP(2,1/SEARCH($S$2:$S$65,G2174),$T$2:$T$65),"Misc")</f>
        <v>COTS</v>
      </c>
      <c r="O2174" t="str" cm="1">
        <f t="array" ref="O2174">IFERROR(LOOKUP(2,1/SEARCH($V$2:$V$65,G2174),$W$2:$W$65),"Misc")</f>
        <v>Fasteners</v>
      </c>
      <c r="P2174" t="str" cm="1">
        <f t="array" ref="P2174">IFERROR(LOOKUP(2,1/SEARCH($Y$2:$Y$65,G2174),$Z$2:$Z$65),"Not Defined")</f>
        <v>PHS</v>
      </c>
      <c r="Q2174" t="str" cm="1">
        <f t="array" ref="Q2174">IFERROR(LOOKUP(2,1/SEARCH($S$2:$S$65,H2174),$T$2:$T$65),"-")</f>
        <v>COTS</v>
      </c>
    </row>
    <row r="2175" spans="1:17" x14ac:dyDescent="0.25">
      <c r="A2175" t="s">
        <v>7675</v>
      </c>
      <c r="B2175" t="s">
        <v>7996</v>
      </c>
      <c r="C2175">
        <v>1</v>
      </c>
      <c r="D2175" t="s">
        <v>7431</v>
      </c>
      <c r="F2175" t="s">
        <v>569</v>
      </c>
      <c r="G2175" t="s">
        <v>7102</v>
      </c>
      <c r="H2175" t="s">
        <v>570</v>
      </c>
      <c r="I2175" t="s">
        <v>228</v>
      </c>
      <c r="J2175" t="s">
        <v>7703</v>
      </c>
      <c r="K2175" t="s">
        <v>7684</v>
      </c>
      <c r="L2175" t="s">
        <v>7693</v>
      </c>
      <c r="N2175" t="str" cm="1">
        <f t="array" ref="N2175">IFERROR(LOOKUP(2,1/SEARCH($S$2:$S$65,G2175),$T$2:$T$65),"Misc")</f>
        <v>COTS</v>
      </c>
      <c r="O2175" t="str" cm="1">
        <f t="array" ref="O2175">IFERROR(LOOKUP(2,1/SEARCH($V$2:$V$65,G2175),$W$2:$W$65),"Misc")</f>
        <v>Fasteners</v>
      </c>
      <c r="P2175" t="str" cm="1">
        <f t="array" ref="P2175">IFERROR(LOOKUP(2,1/SEARCH($Y$2:$Y$65,G2175),$Z$2:$Z$65),"Not Defined")</f>
        <v>PHS</v>
      </c>
      <c r="Q2175" t="str" cm="1">
        <f t="array" ref="Q2175">IFERROR(LOOKUP(2,1/SEARCH($S$2:$S$65,H2175),$T$2:$T$65),"-")</f>
        <v>COTS</v>
      </c>
    </row>
    <row r="2176" spans="1:17" x14ac:dyDescent="0.25">
      <c r="A2176" t="s">
        <v>7675</v>
      </c>
      <c r="B2176">
        <v>3.29</v>
      </c>
      <c r="C2176">
        <v>6</v>
      </c>
      <c r="D2176" t="s">
        <v>7431</v>
      </c>
      <c r="F2176" t="s">
        <v>230</v>
      </c>
      <c r="G2176" t="s">
        <v>7055</v>
      </c>
      <c r="H2176" t="s">
        <v>231</v>
      </c>
      <c r="I2176" t="s">
        <v>210</v>
      </c>
      <c r="J2176" t="s">
        <v>7703</v>
      </c>
      <c r="K2176" t="s">
        <v>7684</v>
      </c>
      <c r="L2176" t="s">
        <v>7692</v>
      </c>
      <c r="N2176" t="str" cm="1">
        <f t="array" ref="N2176">IFERROR(LOOKUP(2,1/SEARCH($S$2:$S$65,G2176),$T$2:$T$65),"Misc")</f>
        <v>COTS</v>
      </c>
      <c r="O2176" t="str" cm="1">
        <f t="array" ref="O2176">IFERROR(LOOKUP(2,1/SEARCH($V$2:$V$65,G2176),$W$2:$W$65),"Misc")</f>
        <v>Fasteners</v>
      </c>
      <c r="P2176" t="str" cm="1">
        <f t="array" ref="P2176">IFERROR(LOOKUP(2,1/SEARCH($Y$2:$Y$65,G2176),$Z$2:$Z$65),"Not Defined")</f>
        <v>WASHER</v>
      </c>
      <c r="Q2176" t="str" cm="1">
        <f t="array" ref="Q2176">IFERROR(LOOKUP(2,1/SEARCH($S$2:$S$65,H2176),$T$2:$T$65),"-")</f>
        <v>COTS</v>
      </c>
    </row>
    <row r="2177" spans="1:17" x14ac:dyDescent="0.25">
      <c r="A2177" t="s">
        <v>7675</v>
      </c>
      <c r="B2177" s="5">
        <v>3.3</v>
      </c>
      <c r="C2177">
        <v>12</v>
      </c>
      <c r="D2177" t="s">
        <v>7431</v>
      </c>
      <c r="F2177" t="s">
        <v>236</v>
      </c>
      <c r="G2177" t="s">
        <v>7057</v>
      </c>
      <c r="H2177" t="s">
        <v>237</v>
      </c>
      <c r="I2177" t="s">
        <v>210</v>
      </c>
      <c r="J2177" t="s">
        <v>7703</v>
      </c>
      <c r="K2177" t="s">
        <v>7684</v>
      </c>
      <c r="L2177" t="s">
        <v>7693</v>
      </c>
      <c r="N2177" t="str" cm="1">
        <f t="array" ref="N2177">IFERROR(LOOKUP(2,1/SEARCH($S$2:$S$65,G2177),$T$2:$T$65),"Misc")</f>
        <v>COTS</v>
      </c>
      <c r="O2177" t="str" cm="1">
        <f t="array" ref="O2177">IFERROR(LOOKUP(2,1/SEARCH($V$2:$V$65,G2177),$W$2:$W$65),"Misc")</f>
        <v>Fasteners</v>
      </c>
      <c r="P2177" t="str" cm="1">
        <f t="array" ref="P2177">IFERROR(LOOKUP(2,1/SEARCH($Y$2:$Y$65,G2177),$Z$2:$Z$65),"Not Defined")</f>
        <v>PHS</v>
      </c>
      <c r="Q2177" t="str" cm="1">
        <f t="array" ref="Q2177">IFERROR(LOOKUP(2,1/SEARCH($S$2:$S$65,H2177),$T$2:$T$65),"-")</f>
        <v>COTS</v>
      </c>
    </row>
    <row r="2178" spans="1:17" x14ac:dyDescent="0.25">
      <c r="A2178" t="s">
        <v>7675</v>
      </c>
      <c r="B2178">
        <v>3.31</v>
      </c>
      <c r="C2178">
        <v>6</v>
      </c>
      <c r="D2178" t="s">
        <v>7431</v>
      </c>
      <c r="F2178" t="s">
        <v>4214</v>
      </c>
      <c r="G2178" t="s">
        <v>7433</v>
      </c>
      <c r="H2178" t="s">
        <v>4215</v>
      </c>
      <c r="I2178" t="s">
        <v>228</v>
      </c>
      <c r="J2178" t="s">
        <v>7703</v>
      </c>
      <c r="K2178" t="s">
        <v>7684</v>
      </c>
      <c r="L2178" t="s">
        <v>7693</v>
      </c>
      <c r="N2178" t="str" cm="1">
        <f t="array" ref="N2178">IFERROR(LOOKUP(2,1/SEARCH($S$2:$S$65,G2178),$T$2:$T$65),"Misc")</f>
        <v>COTS</v>
      </c>
      <c r="O2178" t="str" cm="1">
        <f t="array" ref="O2178">IFERROR(LOOKUP(2,1/SEARCH($V$2:$V$65,G2178),$W$2:$W$65),"Misc")</f>
        <v>Fasteners</v>
      </c>
      <c r="P2178" t="str" cm="1">
        <f t="array" ref="P2178">IFERROR(LOOKUP(2,1/SEARCH($Y$2:$Y$65,G2178),$Z$2:$Z$65),"Not Defined")</f>
        <v>PHS</v>
      </c>
      <c r="Q2178" t="str" cm="1">
        <f t="array" ref="Q2178">IFERROR(LOOKUP(2,1/SEARCH($S$2:$S$65,H2178),$T$2:$T$65),"-")</f>
        <v>COTS</v>
      </c>
    </row>
    <row r="2179" spans="1:17" x14ac:dyDescent="0.25">
      <c r="A2179" t="s">
        <v>7675</v>
      </c>
      <c r="B2179">
        <v>3.32</v>
      </c>
      <c r="C2179">
        <v>4</v>
      </c>
      <c r="D2179" t="s">
        <v>7431</v>
      </c>
      <c r="F2179" t="s">
        <v>233</v>
      </c>
      <c r="G2179" t="s">
        <v>7056</v>
      </c>
      <c r="H2179" t="s">
        <v>234</v>
      </c>
      <c r="I2179" t="s">
        <v>210</v>
      </c>
      <c r="J2179" t="s">
        <v>7703</v>
      </c>
      <c r="K2179" t="s">
        <v>7684</v>
      </c>
      <c r="L2179" t="s">
        <v>7693</v>
      </c>
      <c r="N2179" t="str" cm="1">
        <f t="array" ref="N2179">IFERROR(LOOKUP(2,1/SEARCH($S$2:$S$65,G2179),$T$2:$T$65),"Misc")</f>
        <v>COTS</v>
      </c>
      <c r="O2179" t="str" cm="1">
        <f t="array" ref="O2179">IFERROR(LOOKUP(2,1/SEARCH($V$2:$V$65,G2179),$W$2:$W$65),"Misc")</f>
        <v>Fasteners</v>
      </c>
      <c r="P2179" t="str" cm="1">
        <f t="array" ref="P2179">IFERROR(LOOKUP(2,1/SEARCH($Y$2:$Y$65,G2179),$Z$2:$Z$65),"Not Defined")</f>
        <v>PHS</v>
      </c>
      <c r="Q2179" t="str" cm="1">
        <f t="array" ref="Q2179">IFERROR(LOOKUP(2,1/SEARCH($S$2:$S$65,H2179),$T$2:$T$65),"-")</f>
        <v>COTS</v>
      </c>
    </row>
    <row r="2180" spans="1:17" x14ac:dyDescent="0.25">
      <c r="A2180" t="s">
        <v>7675</v>
      </c>
      <c r="B2180">
        <v>3.33</v>
      </c>
      <c r="C2180">
        <v>1</v>
      </c>
      <c r="D2180" t="s">
        <v>7431</v>
      </c>
      <c r="F2180" t="s">
        <v>5576</v>
      </c>
      <c r="G2180" t="s">
        <v>7572</v>
      </c>
      <c r="H2180" t="s">
        <v>5577</v>
      </c>
      <c r="I2180" t="s">
        <v>255</v>
      </c>
      <c r="J2180" t="s">
        <v>7703</v>
      </c>
      <c r="K2180" t="s">
        <v>7814</v>
      </c>
      <c r="L2180" t="s">
        <v>7824</v>
      </c>
      <c r="N2180" t="str" cm="1">
        <f t="array" ref="N2180">IFERROR(LOOKUP(2,1/SEARCH($S$2:$S$65,G2180),$T$2:$T$65),"Misc")</f>
        <v>COTS</v>
      </c>
      <c r="O2180" t="str" cm="1">
        <f t="array" ref="O2180">IFERROR(LOOKUP(2,1/SEARCH($V$2:$V$65,G2180),$W$2:$W$65),"Misc")</f>
        <v>Misc</v>
      </c>
      <c r="P2180" t="str" cm="1">
        <f t="array" ref="P2180">IFERROR(LOOKUP(2,1/SEARCH($Y$2:$Y$65,G2180),$Z$2:$Z$65),"Not Defined")</f>
        <v>Hub</v>
      </c>
      <c r="Q2180" t="str" cm="1">
        <f t="array" ref="Q2180">IFERROR(LOOKUP(2,1/SEARCH($S$2:$S$65,H2180),$T$2:$T$65),"-")</f>
        <v>COTS</v>
      </c>
    </row>
    <row r="2181" spans="1:17" x14ac:dyDescent="0.25">
      <c r="A2181" t="s">
        <v>7675</v>
      </c>
      <c r="B2181">
        <v>3.34</v>
      </c>
      <c r="C2181">
        <v>1</v>
      </c>
      <c r="D2181" t="s">
        <v>7573</v>
      </c>
      <c r="F2181" t="s">
        <v>5578</v>
      </c>
      <c r="G2181" t="s">
        <v>7573</v>
      </c>
      <c r="H2181" t="s">
        <v>5579</v>
      </c>
      <c r="J2181" t="s">
        <v>7742</v>
      </c>
      <c r="K2181" t="s">
        <v>7826</v>
      </c>
      <c r="L2181" t="s">
        <v>7826</v>
      </c>
      <c r="N2181" t="str" cm="1">
        <f t="array" ref="N2181">IFERROR(LOOKUP(2,1/SEARCH($S$2:$S$65,G2181),$T$2:$T$65),"Misc")</f>
        <v>OH ASSY</v>
      </c>
      <c r="O2181" t="str" cm="1">
        <f t="array" ref="O2181">IFERROR(LOOKUP(2,1/SEARCH($V$2:$V$65,G2181),$W$2:$W$65),"Misc")</f>
        <v>OH Part</v>
      </c>
      <c r="P2181" t="str" cm="1">
        <f t="array" ref="P2181">IFERROR(LOOKUP(2,1/SEARCH($Y$2:$Y$65,G2181),$Z$2:$Z$65),"Not Defined")</f>
        <v>OH Part</v>
      </c>
      <c r="Q2181" t="str" cm="1">
        <f t="array" ref="Q2181">IFERROR(LOOKUP(2,1/SEARCH($S$2:$S$65,H2181),$T$2:$T$65),"-")</f>
        <v>OH ASSY</v>
      </c>
    </row>
    <row r="2182" spans="1:17" x14ac:dyDescent="0.25">
      <c r="A2182" t="s">
        <v>7675</v>
      </c>
      <c r="B2182" t="s">
        <v>5580</v>
      </c>
      <c r="C2182">
        <v>1</v>
      </c>
      <c r="D2182" t="s">
        <v>7573</v>
      </c>
      <c r="F2182" t="s">
        <v>5581</v>
      </c>
      <c r="G2182" t="s">
        <v>5583</v>
      </c>
      <c r="H2182" t="s">
        <v>5582</v>
      </c>
      <c r="I2182" t="s">
        <v>255</v>
      </c>
      <c r="J2182" t="s">
        <v>7682</v>
      </c>
      <c r="K2182" t="s">
        <v>7826</v>
      </c>
      <c r="L2182" t="s">
        <v>7826</v>
      </c>
      <c r="N2182" t="str" cm="1">
        <f t="array" ref="N2182">IFERROR(LOOKUP(2,1/SEARCH($S$2:$S$65,G2182),$T$2:$T$65),"Misc")</f>
        <v>OH P/N</v>
      </c>
      <c r="O2182" t="str" cm="1">
        <f t="array" ref="O2182">IFERROR(LOOKUP(2,1/SEARCH($V$2:$V$65,G2182),$W$2:$W$65),"Misc")</f>
        <v>OH Part</v>
      </c>
      <c r="P2182" t="str" cm="1">
        <f t="array" ref="P2182">IFERROR(LOOKUP(2,1/SEARCH($Y$2:$Y$65,G2182),$Z$2:$Z$65),"Not Defined")</f>
        <v>OH Part</v>
      </c>
      <c r="Q2182" t="str" cm="1">
        <f t="array" ref="Q2182">IFERROR(LOOKUP(2,1/SEARCH($S$2:$S$65,H2182),$T$2:$T$65),"-")</f>
        <v>-</v>
      </c>
    </row>
    <row r="2183" spans="1:17" x14ac:dyDescent="0.25">
      <c r="A2183" t="s">
        <v>7675</v>
      </c>
      <c r="B2183" t="s">
        <v>5584</v>
      </c>
      <c r="C2183">
        <v>1</v>
      </c>
      <c r="D2183" t="s">
        <v>7573</v>
      </c>
      <c r="F2183" t="s">
        <v>5585</v>
      </c>
      <c r="G2183" t="s">
        <v>5587</v>
      </c>
      <c r="H2183" t="s">
        <v>5586</v>
      </c>
      <c r="I2183" t="s">
        <v>293</v>
      </c>
      <c r="J2183" t="s">
        <v>7682</v>
      </c>
      <c r="K2183" t="s">
        <v>7826</v>
      </c>
      <c r="L2183" t="s">
        <v>7826</v>
      </c>
      <c r="N2183" t="str" cm="1">
        <f t="array" ref="N2183">IFERROR(LOOKUP(2,1/SEARCH($S$2:$S$65,G2183),$T$2:$T$65),"Misc")</f>
        <v>OH P/N</v>
      </c>
      <c r="O2183" t="str" cm="1">
        <f t="array" ref="O2183">IFERROR(LOOKUP(2,1/SEARCH($V$2:$V$65,G2183),$W$2:$W$65),"Misc")</f>
        <v>OH Part</v>
      </c>
      <c r="P2183" t="str" cm="1">
        <f t="array" ref="P2183">IFERROR(LOOKUP(2,1/SEARCH($Y$2:$Y$65,G2183),$Z$2:$Z$65),"Not Defined")</f>
        <v>OH Part</v>
      </c>
      <c r="Q2183" t="str" cm="1">
        <f t="array" ref="Q2183">IFERROR(LOOKUP(2,1/SEARCH($S$2:$S$65,H2183),$T$2:$T$65),"-")</f>
        <v>-</v>
      </c>
    </row>
    <row r="2184" spans="1:17" x14ac:dyDescent="0.25">
      <c r="A2184" t="s">
        <v>7675</v>
      </c>
      <c r="B2184" t="s">
        <v>5588</v>
      </c>
      <c r="C2184">
        <v>1</v>
      </c>
      <c r="D2184" t="s">
        <v>7573</v>
      </c>
      <c r="F2184" t="s">
        <v>5589</v>
      </c>
      <c r="G2184" t="s">
        <v>5591</v>
      </c>
      <c r="H2184" t="s">
        <v>5590</v>
      </c>
      <c r="I2184" t="s">
        <v>293</v>
      </c>
      <c r="J2184" t="s">
        <v>7682</v>
      </c>
      <c r="K2184" t="s">
        <v>7826</v>
      </c>
      <c r="L2184" t="s">
        <v>7826</v>
      </c>
      <c r="N2184" t="str" cm="1">
        <f t="array" ref="N2184">IFERROR(LOOKUP(2,1/SEARCH($S$2:$S$65,G2184),$T$2:$T$65),"Misc")</f>
        <v>OH P/N</v>
      </c>
      <c r="O2184" t="str" cm="1">
        <f t="array" ref="O2184">IFERROR(LOOKUP(2,1/SEARCH($V$2:$V$65,G2184),$W$2:$W$65),"Misc")</f>
        <v>OH Part</v>
      </c>
      <c r="P2184" t="str" cm="1">
        <f t="array" ref="P2184">IFERROR(LOOKUP(2,1/SEARCH($Y$2:$Y$65,G2184),$Z$2:$Z$65),"Not Defined")</f>
        <v>OH Part</v>
      </c>
      <c r="Q2184" t="str" cm="1">
        <f t="array" ref="Q2184">IFERROR(LOOKUP(2,1/SEARCH($S$2:$S$65,H2184),$T$2:$T$65),"-")</f>
        <v>-</v>
      </c>
    </row>
    <row r="2185" spans="1:17" x14ac:dyDescent="0.25">
      <c r="A2185" t="s">
        <v>7675</v>
      </c>
      <c r="B2185" t="s">
        <v>5592</v>
      </c>
      <c r="C2185">
        <v>1</v>
      </c>
      <c r="D2185" t="s">
        <v>7573</v>
      </c>
      <c r="F2185" t="s">
        <v>5593</v>
      </c>
      <c r="G2185" t="s">
        <v>5595</v>
      </c>
      <c r="H2185" t="s">
        <v>5594</v>
      </c>
      <c r="I2185" t="s">
        <v>281</v>
      </c>
      <c r="J2185" t="s">
        <v>7682</v>
      </c>
      <c r="K2185" t="s">
        <v>7826</v>
      </c>
      <c r="L2185" t="s">
        <v>7826</v>
      </c>
      <c r="N2185" t="str" cm="1">
        <f t="array" ref="N2185">IFERROR(LOOKUP(2,1/SEARCH($S$2:$S$65,G2185),$T$2:$T$65),"Misc")</f>
        <v>OH P/N</v>
      </c>
      <c r="O2185" t="str" cm="1">
        <f t="array" ref="O2185">IFERROR(LOOKUP(2,1/SEARCH($V$2:$V$65,G2185),$W$2:$W$65),"Misc")</f>
        <v>OH Part</v>
      </c>
      <c r="P2185" t="str" cm="1">
        <f t="array" ref="P2185">IFERROR(LOOKUP(2,1/SEARCH($Y$2:$Y$65,G2185),$Z$2:$Z$65),"Not Defined")</f>
        <v>OH Part</v>
      </c>
      <c r="Q2185" t="str" cm="1">
        <f t="array" ref="Q2185">IFERROR(LOOKUP(2,1/SEARCH($S$2:$S$65,H2185),$T$2:$T$65),"-")</f>
        <v>-</v>
      </c>
    </row>
    <row r="2186" spans="1:17" x14ac:dyDescent="0.25">
      <c r="A2186" t="s">
        <v>7675</v>
      </c>
      <c r="B2186" t="s">
        <v>5596</v>
      </c>
      <c r="C2186">
        <v>1</v>
      </c>
      <c r="D2186" t="s">
        <v>7573</v>
      </c>
      <c r="F2186" t="s">
        <v>5597</v>
      </c>
      <c r="G2186" t="s">
        <v>5599</v>
      </c>
      <c r="H2186" t="s">
        <v>5598</v>
      </c>
      <c r="I2186" t="s">
        <v>358</v>
      </c>
      <c r="J2186" t="s">
        <v>7682</v>
      </c>
      <c r="K2186" t="s">
        <v>7826</v>
      </c>
      <c r="L2186" t="s">
        <v>7826</v>
      </c>
      <c r="N2186" t="str" cm="1">
        <f t="array" ref="N2186">IFERROR(LOOKUP(2,1/SEARCH($S$2:$S$65,G2186),$T$2:$T$65),"Misc")</f>
        <v>OH P/N</v>
      </c>
      <c r="O2186" t="str" cm="1">
        <f t="array" ref="O2186">IFERROR(LOOKUP(2,1/SEARCH($V$2:$V$65,G2186),$W$2:$W$65),"Misc")</f>
        <v>OH Part</v>
      </c>
      <c r="P2186" t="str" cm="1">
        <f t="array" ref="P2186">IFERROR(LOOKUP(2,1/SEARCH($Y$2:$Y$65,G2186),$Z$2:$Z$65),"Not Defined")</f>
        <v>OH Part</v>
      </c>
      <c r="Q2186" t="str" cm="1">
        <f t="array" ref="Q2186">IFERROR(LOOKUP(2,1/SEARCH($S$2:$S$65,H2186),$T$2:$T$65),"-")</f>
        <v>COTS</v>
      </c>
    </row>
    <row r="2187" spans="1:17" x14ac:dyDescent="0.25">
      <c r="A2187" t="s">
        <v>7675</v>
      </c>
      <c r="B2187" t="s">
        <v>5600</v>
      </c>
      <c r="C2187">
        <v>1</v>
      </c>
      <c r="D2187" t="s">
        <v>7573</v>
      </c>
      <c r="F2187" t="s">
        <v>4791</v>
      </c>
      <c r="G2187" t="s">
        <v>7499</v>
      </c>
      <c r="H2187" t="s">
        <v>4792</v>
      </c>
      <c r="I2187" t="s">
        <v>255</v>
      </c>
      <c r="J2187" t="s">
        <v>7717</v>
      </c>
      <c r="K2187" t="s">
        <v>7717</v>
      </c>
      <c r="L2187" t="s">
        <v>7717</v>
      </c>
      <c r="N2187" t="str" cm="1">
        <f t="array" ref="N2187">IFERROR(LOOKUP(2,1/SEARCH($S$2:$S$65,G2187),$T$2:$T$65),"Misc")</f>
        <v>ABSIS</v>
      </c>
      <c r="O2187" t="str" cm="1">
        <f t="array" ref="O2187">IFERROR(LOOKUP(2,1/SEARCH($V$2:$V$65,G2187),$W$2:$W$65),"Misc")</f>
        <v>ABSIS</v>
      </c>
      <c r="P2187" t="str" cm="1">
        <f t="array" ref="P2187">IFERROR(LOOKUP(2,1/SEARCH($Y$2:$Y$65,G2187),$Z$2:$Z$65),"Not Defined")</f>
        <v>ABSIS</v>
      </c>
      <c r="Q2187" t="str" cm="1">
        <f t="array" ref="Q2187">IFERROR(LOOKUP(2,1/SEARCH($S$2:$S$65,H2187),$T$2:$T$65),"-")</f>
        <v>ABSIS</v>
      </c>
    </row>
    <row r="2188" spans="1:17" x14ac:dyDescent="0.25">
      <c r="A2188" t="s">
        <v>7675</v>
      </c>
      <c r="B2188" t="s">
        <v>5601</v>
      </c>
      <c r="C2188">
        <v>1</v>
      </c>
      <c r="D2188" t="s">
        <v>7573</v>
      </c>
      <c r="F2188" t="s">
        <v>5602</v>
      </c>
      <c r="G2188" t="s">
        <v>7574</v>
      </c>
      <c r="H2188" t="s">
        <v>5603</v>
      </c>
      <c r="I2188" t="s">
        <v>255</v>
      </c>
      <c r="J2188" t="s">
        <v>7703</v>
      </c>
      <c r="K2188" t="s">
        <v>7677</v>
      </c>
      <c r="L2188" t="s">
        <v>7677</v>
      </c>
      <c r="N2188" t="str" cm="1">
        <f t="array" ref="N2188">IFERROR(LOOKUP(2,1/SEARCH($S$2:$S$65,G2188),$T$2:$T$65),"Misc")</f>
        <v>COTS</v>
      </c>
      <c r="O2188" t="str" cm="1">
        <f t="array" ref="O2188">IFERROR(LOOKUP(2,1/SEARCH($V$2:$V$65,G2188),$W$2:$W$65),"Misc")</f>
        <v>SWITCH</v>
      </c>
      <c r="P2188" t="str" cm="1">
        <f t="array" ref="P2188">IFERROR(LOOKUP(2,1/SEARCH($Y$2:$Y$65,G2188),$Z$2:$Z$65),"Not Defined")</f>
        <v>SWITCH</v>
      </c>
      <c r="Q2188" t="str" cm="1">
        <f t="array" ref="Q2188">IFERROR(LOOKUP(2,1/SEARCH($S$2:$S$65,H2188),$T$2:$T$65),"-")</f>
        <v>COTS</v>
      </c>
    </row>
    <row r="2189" spans="1:17" x14ac:dyDescent="0.25">
      <c r="A2189" t="s">
        <v>7675</v>
      </c>
      <c r="B2189" t="s">
        <v>5604</v>
      </c>
      <c r="C2189">
        <v>1</v>
      </c>
      <c r="D2189" t="s">
        <v>7573</v>
      </c>
      <c r="F2189" t="s">
        <v>2093</v>
      </c>
      <c r="G2189" t="s">
        <v>7251</v>
      </c>
      <c r="H2189" t="s">
        <v>2094</v>
      </c>
      <c r="I2189" t="s">
        <v>255</v>
      </c>
      <c r="J2189" t="s">
        <v>7703</v>
      </c>
      <c r="K2189" t="s">
        <v>7677</v>
      </c>
      <c r="L2189" t="s">
        <v>7677</v>
      </c>
      <c r="N2189" t="str" cm="1">
        <f t="array" ref="N2189">IFERROR(LOOKUP(2,1/SEARCH($S$2:$S$65,G2189),$T$2:$T$65),"Misc")</f>
        <v>COTS</v>
      </c>
      <c r="O2189" t="str" cm="1">
        <f t="array" ref="O2189">IFERROR(LOOKUP(2,1/SEARCH($V$2:$V$65,G2189),$W$2:$W$65),"Misc")</f>
        <v>SWITCH</v>
      </c>
      <c r="P2189" t="str" cm="1">
        <f t="array" ref="P2189">IFERROR(LOOKUP(2,1/SEARCH($Y$2:$Y$65,G2189),$Z$2:$Z$65),"Not Defined")</f>
        <v>SWITCH</v>
      </c>
      <c r="Q2189" t="str" cm="1">
        <f t="array" ref="Q2189">IFERROR(LOOKUP(2,1/SEARCH($S$2:$S$65,H2189),$T$2:$T$65),"-")</f>
        <v>COTS</v>
      </c>
    </row>
    <row r="2190" spans="1:17" x14ac:dyDescent="0.25">
      <c r="A2190" t="s">
        <v>7675</v>
      </c>
      <c r="B2190" t="s">
        <v>5605</v>
      </c>
      <c r="C2190">
        <v>1</v>
      </c>
      <c r="D2190" t="s">
        <v>7573</v>
      </c>
      <c r="F2190" t="s">
        <v>1798</v>
      </c>
      <c r="G2190" t="s">
        <v>7241</v>
      </c>
      <c r="H2190" t="s">
        <v>1799</v>
      </c>
      <c r="I2190" t="s">
        <v>224</v>
      </c>
      <c r="J2190" t="s">
        <v>7703</v>
      </c>
      <c r="K2190" t="s">
        <v>7677</v>
      </c>
      <c r="L2190" t="s">
        <v>7685</v>
      </c>
      <c r="N2190" t="str" cm="1">
        <f t="array" ref="N2190">IFERROR(LOOKUP(2,1/SEARCH($S$2:$S$65,G2190),$T$2:$T$65),"Misc")</f>
        <v>COTS</v>
      </c>
      <c r="O2190" t="str" cm="1">
        <f t="array" ref="O2190">IFERROR(LOOKUP(2,1/SEARCH($V$2:$V$65,G2190),$W$2:$W$65),"Misc")</f>
        <v>SWITCH</v>
      </c>
      <c r="P2190" t="str" cm="1">
        <f t="array" ref="P2190">IFERROR(LOOKUP(2,1/SEARCH($Y$2:$Y$65,G2190),$Z$2:$Z$65),"Not Defined")</f>
        <v>NUT</v>
      </c>
      <c r="Q2190" t="str" cm="1">
        <f t="array" ref="Q2190">IFERROR(LOOKUP(2,1/SEARCH($S$2:$S$65,H2190),$T$2:$T$65),"-")</f>
        <v>COTS</v>
      </c>
    </row>
    <row r="2191" spans="1:17" x14ac:dyDescent="0.25">
      <c r="A2191" t="s">
        <v>7675</v>
      </c>
      <c r="B2191" t="s">
        <v>5606</v>
      </c>
      <c r="C2191">
        <v>2</v>
      </c>
      <c r="D2191" t="s">
        <v>7573</v>
      </c>
      <c r="F2191" t="s">
        <v>519</v>
      </c>
      <c r="G2191" t="s">
        <v>7097</v>
      </c>
      <c r="H2191" t="s">
        <v>520</v>
      </c>
      <c r="I2191" t="s">
        <v>228</v>
      </c>
      <c r="J2191" t="s">
        <v>7703</v>
      </c>
      <c r="K2191" t="s">
        <v>7684</v>
      </c>
      <c r="L2191" t="s">
        <v>7693</v>
      </c>
      <c r="N2191" t="str" cm="1">
        <f t="array" ref="N2191">IFERROR(LOOKUP(2,1/SEARCH($S$2:$S$65,G2191),$T$2:$T$65),"Misc")</f>
        <v>COTS</v>
      </c>
      <c r="O2191" t="str" cm="1">
        <f t="array" ref="O2191">IFERROR(LOOKUP(2,1/SEARCH($V$2:$V$65,G2191),$W$2:$W$65),"Misc")</f>
        <v>Fasteners</v>
      </c>
      <c r="P2191" t="str" cm="1">
        <f t="array" ref="P2191">IFERROR(LOOKUP(2,1/SEARCH($Y$2:$Y$65,G2191),$Z$2:$Z$65),"Not Defined")</f>
        <v>PHS</v>
      </c>
      <c r="Q2191" t="str" cm="1">
        <f t="array" ref="Q2191">IFERROR(LOOKUP(2,1/SEARCH($S$2:$S$65,H2191),$T$2:$T$65),"-")</f>
        <v>COTS</v>
      </c>
    </row>
    <row r="2192" spans="1:17" x14ac:dyDescent="0.25">
      <c r="A2192" t="s">
        <v>7675</v>
      </c>
      <c r="B2192" t="s">
        <v>5607</v>
      </c>
      <c r="C2192">
        <v>8</v>
      </c>
      <c r="D2192" t="s">
        <v>7573</v>
      </c>
      <c r="F2192" t="s">
        <v>512</v>
      </c>
      <c r="G2192" t="s">
        <v>7096</v>
      </c>
      <c r="H2192" t="s">
        <v>513</v>
      </c>
      <c r="I2192" t="s">
        <v>299</v>
      </c>
      <c r="J2192" t="s">
        <v>7703</v>
      </c>
      <c r="K2192" t="s">
        <v>7684</v>
      </c>
      <c r="L2192" t="s">
        <v>7708</v>
      </c>
      <c r="N2192" t="str" cm="1">
        <f t="array" ref="N2192">IFERROR(LOOKUP(2,1/SEARCH($S$2:$S$65,G2192),$T$2:$T$65),"Misc")</f>
        <v>COTS</v>
      </c>
      <c r="O2192" t="str" cm="1">
        <f t="array" ref="O2192">IFERROR(LOOKUP(2,1/SEARCH($V$2:$V$65,G2192),$W$2:$W$65),"Misc")</f>
        <v>Fasteners</v>
      </c>
      <c r="P2192" t="str" cm="1">
        <f t="array" ref="P2192">IFERROR(LOOKUP(2,1/SEARCH($Y$2:$Y$65,G2192),$Z$2:$Z$65),"Not Defined")</f>
        <v>STANDOFF</v>
      </c>
      <c r="Q2192" t="str" cm="1">
        <f t="array" ref="Q2192">IFERROR(LOOKUP(2,1/SEARCH($S$2:$S$65,H2192),$T$2:$T$65),"-")</f>
        <v>COTS</v>
      </c>
    </row>
    <row r="2193" spans="1:17" x14ac:dyDescent="0.25">
      <c r="A2193" t="s">
        <v>7675</v>
      </c>
      <c r="B2193" t="s">
        <v>5608</v>
      </c>
      <c r="C2193">
        <v>4</v>
      </c>
      <c r="D2193" t="s">
        <v>7573</v>
      </c>
      <c r="F2193" t="s">
        <v>460</v>
      </c>
      <c r="G2193" t="s">
        <v>7090</v>
      </c>
      <c r="H2193" t="s">
        <v>461</v>
      </c>
      <c r="I2193" t="s">
        <v>224</v>
      </c>
      <c r="J2193" t="s">
        <v>7703</v>
      </c>
      <c r="K2193" t="s">
        <v>7684</v>
      </c>
      <c r="L2193" t="s">
        <v>7693</v>
      </c>
      <c r="N2193" t="str" cm="1">
        <f t="array" ref="N2193">IFERROR(LOOKUP(2,1/SEARCH($S$2:$S$65,G2193),$T$2:$T$65),"Misc")</f>
        <v>COTS</v>
      </c>
      <c r="O2193" t="str" cm="1">
        <f t="array" ref="O2193">IFERROR(LOOKUP(2,1/SEARCH($V$2:$V$65,G2193),$W$2:$W$65),"Misc")</f>
        <v>Fasteners</v>
      </c>
      <c r="P2193" t="str" cm="1">
        <f t="array" ref="P2193">IFERROR(LOOKUP(2,1/SEARCH($Y$2:$Y$65,G2193),$Z$2:$Z$65),"Not Defined")</f>
        <v>PHS</v>
      </c>
      <c r="Q2193" t="str" cm="1">
        <f t="array" ref="Q2193">IFERROR(LOOKUP(2,1/SEARCH($S$2:$S$65,H2193),$T$2:$T$65),"-")</f>
        <v>COTS</v>
      </c>
    </row>
    <row r="2194" spans="1:17" x14ac:dyDescent="0.25">
      <c r="A2194" t="s">
        <v>7675</v>
      </c>
      <c r="B2194" t="s">
        <v>5609</v>
      </c>
      <c r="C2194">
        <v>4</v>
      </c>
      <c r="D2194" t="s">
        <v>7573</v>
      </c>
      <c r="F2194" t="s">
        <v>4795</v>
      </c>
      <c r="G2194" t="s">
        <v>7500</v>
      </c>
      <c r="H2194" t="s">
        <v>4796</v>
      </c>
      <c r="I2194" t="s">
        <v>299</v>
      </c>
      <c r="J2194" t="s">
        <v>7703</v>
      </c>
      <c r="K2194" t="s">
        <v>7684</v>
      </c>
      <c r="L2194" t="s">
        <v>7708</v>
      </c>
      <c r="N2194" t="str" cm="1">
        <f t="array" ref="N2194">IFERROR(LOOKUP(2,1/SEARCH($S$2:$S$65,G2194),$T$2:$T$65),"Misc")</f>
        <v>COTS</v>
      </c>
      <c r="O2194" t="str" cm="1">
        <f t="array" ref="O2194">IFERROR(LOOKUP(2,1/SEARCH($V$2:$V$65,G2194),$W$2:$W$65),"Misc")</f>
        <v>Fasteners</v>
      </c>
      <c r="P2194" t="str" cm="1">
        <f t="array" ref="P2194">IFERROR(LOOKUP(2,1/SEARCH($Y$2:$Y$65,G2194),$Z$2:$Z$65),"Not Defined")</f>
        <v>STANDOFF</v>
      </c>
      <c r="Q2194" t="str" cm="1">
        <f t="array" ref="Q2194">IFERROR(LOOKUP(2,1/SEARCH($S$2:$S$65,H2194),$T$2:$T$65),"-")</f>
        <v>COTS</v>
      </c>
    </row>
    <row r="2195" spans="1:17" x14ac:dyDescent="0.25">
      <c r="A2195" t="s">
        <v>7675</v>
      </c>
      <c r="B2195" t="s">
        <v>5610</v>
      </c>
      <c r="C2195">
        <v>1</v>
      </c>
      <c r="D2195" t="s">
        <v>7573</v>
      </c>
      <c r="F2195" t="s">
        <v>5611</v>
      </c>
      <c r="G2195" t="s">
        <v>7575</v>
      </c>
      <c r="H2195" t="s">
        <v>5612</v>
      </c>
      <c r="I2195" t="s">
        <v>255</v>
      </c>
      <c r="J2195" t="s">
        <v>7703</v>
      </c>
      <c r="K2195" t="s">
        <v>7677</v>
      </c>
      <c r="L2195" t="s">
        <v>7677</v>
      </c>
      <c r="N2195" t="str" cm="1">
        <f t="array" ref="N2195">IFERROR(LOOKUP(2,1/SEARCH($S$2:$S$65,G2195),$T$2:$T$65),"Misc")</f>
        <v>COTS</v>
      </c>
      <c r="O2195" t="str" cm="1">
        <f t="array" ref="O2195">IFERROR(LOOKUP(2,1/SEARCH($V$2:$V$65,G2195),$W$2:$W$65),"Misc")</f>
        <v>SWITCH</v>
      </c>
      <c r="P2195" t="str" cm="1">
        <f t="array" ref="P2195">IFERROR(LOOKUP(2,1/SEARCH($Y$2:$Y$65,G2195),$Z$2:$Z$65),"Not Defined")</f>
        <v>SWITCH</v>
      </c>
      <c r="Q2195" t="str" cm="1">
        <f t="array" ref="Q2195">IFERROR(LOOKUP(2,1/SEARCH($S$2:$S$65,H2195),$T$2:$T$65),"-")</f>
        <v>COTS</v>
      </c>
    </row>
    <row r="2196" spans="1:17" hidden="1" x14ac:dyDescent="0.25">
      <c r="A2196" t="s">
        <v>7675</v>
      </c>
      <c r="B2196" t="s">
        <v>5613</v>
      </c>
      <c r="C2196">
        <v>1</v>
      </c>
      <c r="D2196" t="s">
        <v>7573</v>
      </c>
      <c r="E2196" t="s">
        <v>614</v>
      </c>
      <c r="F2196" s="15" t="s">
        <v>613</v>
      </c>
      <c r="G2196" t="s">
        <v>7110</v>
      </c>
      <c r="H2196" t="s">
        <v>614</v>
      </c>
      <c r="I2196" t="s">
        <v>255</v>
      </c>
      <c r="J2196" t="s">
        <v>7815</v>
      </c>
      <c r="K2196" t="s">
        <v>7717</v>
      </c>
      <c r="L2196" t="s">
        <v>7717</v>
      </c>
      <c r="N2196" t="str" cm="1">
        <f t="array" ref="N2196">IFERROR(LOOKUP(2,1/SEARCH($S$2:$S$65,G2196),$T$2:$T$65),"Misc")</f>
        <v>OH ASSY</v>
      </c>
      <c r="O2196" t="str" cm="1">
        <f t="array" ref="O2196">IFERROR(LOOKUP(2,1/SEARCH($V$2:$V$65,G2196),$W$2:$W$65),"Misc")</f>
        <v>ABSIS</v>
      </c>
      <c r="P2196" t="str" cm="1">
        <f t="array" ref="P2196">IFERROR(LOOKUP(2,1/SEARCH($Y$2:$Y$65,G2196),$Z$2:$Z$65),"Not Defined")</f>
        <v>ABSIS</v>
      </c>
      <c r="Q2196" t="str" cm="1">
        <f t="array" ref="Q2196">IFERROR(LOOKUP(2,1/SEARCH($S$2:$S$65,H2196),$T$2:$T$65),"-")</f>
        <v>OH ASSY</v>
      </c>
    </row>
    <row r="2197" spans="1:17" hidden="1" x14ac:dyDescent="0.25">
      <c r="A2197" t="s">
        <v>7675</v>
      </c>
      <c r="B2197" t="s">
        <v>5614</v>
      </c>
      <c r="C2197">
        <v>1</v>
      </c>
      <c r="D2197" t="s">
        <v>7573</v>
      </c>
      <c r="E2197" t="s">
        <v>614</v>
      </c>
      <c r="F2197" s="4" t="s">
        <v>616</v>
      </c>
      <c r="G2197" t="s">
        <v>7111</v>
      </c>
      <c r="H2197" t="s">
        <v>617</v>
      </c>
      <c r="I2197" t="s">
        <v>255</v>
      </c>
      <c r="J2197" t="s">
        <v>7717</v>
      </c>
      <c r="K2197" t="s">
        <v>7717</v>
      </c>
      <c r="L2197" t="s">
        <v>7717</v>
      </c>
      <c r="N2197" t="str" cm="1">
        <f t="array" ref="N2197">IFERROR(LOOKUP(2,1/SEARCH($S$2:$S$65,G2197),$T$2:$T$65),"Misc")</f>
        <v>ABSIS</v>
      </c>
      <c r="O2197" t="str" cm="1">
        <f t="array" ref="O2197">IFERROR(LOOKUP(2,1/SEARCH($V$2:$V$65,G2197),$W$2:$W$65),"Misc")</f>
        <v>ABSIS</v>
      </c>
      <c r="P2197" t="str" cm="1">
        <f t="array" ref="P2197">IFERROR(LOOKUP(2,1/SEARCH($Y$2:$Y$65,G2197),$Z$2:$Z$65),"Not Defined")</f>
        <v>ABSIS</v>
      </c>
      <c r="Q2197" t="str" cm="1">
        <f t="array" ref="Q2197">IFERROR(LOOKUP(2,1/SEARCH($S$2:$S$65,H2197),$T$2:$T$65),"-")</f>
        <v>ABSIS</v>
      </c>
    </row>
    <row r="2198" spans="1:17" hidden="1" x14ac:dyDescent="0.25">
      <c r="A2198" t="s">
        <v>7675</v>
      </c>
      <c r="B2198" t="s">
        <v>5615</v>
      </c>
      <c r="C2198">
        <v>1</v>
      </c>
      <c r="D2198" t="s">
        <v>7573</v>
      </c>
      <c r="E2198" t="s">
        <v>614</v>
      </c>
      <c r="F2198" t="s">
        <v>596</v>
      </c>
      <c r="G2198" t="s">
        <v>7108</v>
      </c>
      <c r="H2198" t="s">
        <v>597</v>
      </c>
      <c r="I2198" t="s">
        <v>255</v>
      </c>
      <c r="J2198" t="s">
        <v>7703</v>
      </c>
      <c r="K2198" t="s">
        <v>7713</v>
      </c>
      <c r="L2198" t="s">
        <v>7713</v>
      </c>
      <c r="N2198" t="str" cm="1">
        <f t="array" ref="N2198">IFERROR(LOOKUP(2,1/SEARCH($S$2:$S$65,G2198),$T$2:$T$65),"Misc")</f>
        <v>COTS</v>
      </c>
      <c r="O2198" t="str" cm="1">
        <f t="array" ref="O2198">IFERROR(LOOKUP(2,1/SEARCH($V$2:$V$65,G2198),$W$2:$W$65),"Misc")</f>
        <v>ARDUINO</v>
      </c>
      <c r="P2198" t="str" cm="1">
        <f t="array" ref="P2198">IFERROR(LOOKUP(2,1/SEARCH($Y$2:$Y$65,G2198),$Z$2:$Z$65),"Not Defined")</f>
        <v>ARDUINO</v>
      </c>
      <c r="Q2198" t="str" cm="1">
        <f t="array" ref="Q2198">IFERROR(LOOKUP(2,1/SEARCH($S$2:$S$65,H2198),$T$2:$T$65),"-")</f>
        <v>COTS</v>
      </c>
    </row>
    <row r="2199" spans="1:17" hidden="1" x14ac:dyDescent="0.25">
      <c r="A2199" t="s">
        <v>7675</v>
      </c>
      <c r="B2199" s="2" t="s">
        <v>5616</v>
      </c>
      <c r="C2199">
        <v>1</v>
      </c>
      <c r="D2199" t="s">
        <v>7573</v>
      </c>
      <c r="E2199" t="s">
        <v>5618</v>
      </c>
      <c r="F2199" t="s">
        <v>5617</v>
      </c>
      <c r="G2199" t="s">
        <v>7576</v>
      </c>
      <c r="H2199" t="s">
        <v>5618</v>
      </c>
      <c r="J2199" t="s">
        <v>7742</v>
      </c>
      <c r="K2199" t="s">
        <v>7826</v>
      </c>
      <c r="L2199" t="s">
        <v>7826</v>
      </c>
      <c r="N2199" t="str" cm="1">
        <f t="array" ref="N2199">IFERROR(LOOKUP(2,1/SEARCH($S$2:$S$65,G2199),$T$2:$T$65),"Misc")</f>
        <v>OH ASSY</v>
      </c>
      <c r="O2199" t="str" cm="1">
        <f t="array" ref="O2199">IFERROR(LOOKUP(2,1/SEARCH($V$2:$V$65,G2199),$W$2:$W$65),"Misc")</f>
        <v>OH Part</v>
      </c>
      <c r="P2199" t="str" cm="1">
        <f t="array" ref="P2199">IFERROR(LOOKUP(2,1/SEARCH($Y$2:$Y$65,G2199),$Z$2:$Z$65),"Not Defined")</f>
        <v>OH Part</v>
      </c>
      <c r="Q2199" t="str" cm="1">
        <f t="array" ref="Q2199">IFERROR(LOOKUP(2,1/SEARCH($S$2:$S$65,H2199),$T$2:$T$65),"-")</f>
        <v>OH ASSY</v>
      </c>
    </row>
    <row r="2200" spans="1:17" hidden="1" x14ac:dyDescent="0.25">
      <c r="A2200" t="s">
        <v>7675</v>
      </c>
      <c r="B2200" s="22" t="s">
        <v>5619</v>
      </c>
      <c r="C2200">
        <v>1</v>
      </c>
      <c r="D2200" t="s">
        <v>7573</v>
      </c>
      <c r="E2200" t="s">
        <v>7935</v>
      </c>
      <c r="F2200" t="s">
        <v>5620</v>
      </c>
      <c r="G2200" t="s">
        <v>5622</v>
      </c>
      <c r="H2200" t="s">
        <v>5621</v>
      </c>
      <c r="J2200" t="s">
        <v>7742</v>
      </c>
      <c r="K2200" t="s">
        <v>7826</v>
      </c>
      <c r="L2200" t="s">
        <v>7826</v>
      </c>
      <c r="N2200" t="str" cm="1">
        <f t="array" ref="N2200">IFERROR(LOOKUP(2,1/SEARCH($S$2:$S$65,G2200),$T$2:$T$65),"Misc")</f>
        <v>OH ASSY</v>
      </c>
      <c r="O2200" t="str" cm="1">
        <f t="array" ref="O2200">IFERROR(LOOKUP(2,1/SEARCH($V$2:$V$65,G2200),$W$2:$W$65),"Misc")</f>
        <v>OH Part</v>
      </c>
      <c r="P2200" t="str" cm="1">
        <f t="array" ref="P2200">IFERROR(LOOKUP(2,1/SEARCH($Y$2:$Y$65,G2200),$Z$2:$Z$65),"Not Defined")</f>
        <v>OH Part</v>
      </c>
      <c r="Q2200" t="str" cm="1">
        <f t="array" ref="Q2200">IFERROR(LOOKUP(2,1/SEARCH($S$2:$S$65,H2200),$T$2:$T$65),"-")</f>
        <v>OH ASSY</v>
      </c>
    </row>
    <row r="2201" spans="1:17" hidden="1" x14ac:dyDescent="0.25">
      <c r="A2201" t="s">
        <v>7675</v>
      </c>
      <c r="B2201" s="22" t="s">
        <v>5623</v>
      </c>
      <c r="C2201">
        <v>2</v>
      </c>
      <c r="D2201" t="s">
        <v>7573</v>
      </c>
      <c r="E2201" t="s">
        <v>7935</v>
      </c>
      <c r="F2201" t="s">
        <v>5624</v>
      </c>
      <c r="G2201" t="s">
        <v>5626</v>
      </c>
      <c r="H2201" t="s">
        <v>5625</v>
      </c>
      <c r="I2201" t="s">
        <v>210</v>
      </c>
      <c r="J2201" t="s">
        <v>7682</v>
      </c>
      <c r="K2201" t="s">
        <v>7826</v>
      </c>
      <c r="L2201" t="s">
        <v>7826</v>
      </c>
      <c r="N2201" t="str" cm="1">
        <f t="array" ref="N2201">IFERROR(LOOKUP(2,1/SEARCH($S$2:$S$65,G2201),$T$2:$T$65),"Misc")</f>
        <v>OH P/N</v>
      </c>
      <c r="O2201" t="str" cm="1">
        <f t="array" ref="O2201">IFERROR(LOOKUP(2,1/SEARCH($V$2:$V$65,G2201),$W$2:$W$65),"Misc")</f>
        <v>OH Part</v>
      </c>
      <c r="P2201" t="str" cm="1">
        <f t="array" ref="P2201">IFERROR(LOOKUP(2,1/SEARCH($Y$2:$Y$65,G2201),$Z$2:$Z$65),"Not Defined")</f>
        <v>OH Part</v>
      </c>
      <c r="Q2201" t="str" cm="1">
        <f t="array" ref="Q2201">IFERROR(LOOKUP(2,1/SEARCH($S$2:$S$65,H2201),$T$2:$T$65),"-")</f>
        <v>COTS</v>
      </c>
    </row>
    <row r="2202" spans="1:17" hidden="1" x14ac:dyDescent="0.25">
      <c r="A2202" t="s">
        <v>7675</v>
      </c>
      <c r="B2202" s="22" t="s">
        <v>5627</v>
      </c>
      <c r="C2202">
        <v>1</v>
      </c>
      <c r="D2202" t="s">
        <v>7573</v>
      </c>
      <c r="E2202" t="s">
        <v>7936</v>
      </c>
      <c r="F2202" t="s">
        <v>5628</v>
      </c>
      <c r="G2202" t="s">
        <v>5630</v>
      </c>
      <c r="H2202" t="s">
        <v>5629</v>
      </c>
      <c r="J2202" t="s">
        <v>7742</v>
      </c>
      <c r="K2202" t="s">
        <v>7826</v>
      </c>
      <c r="L2202" t="s">
        <v>7826</v>
      </c>
      <c r="N2202" t="str" cm="1">
        <f t="array" ref="N2202">IFERROR(LOOKUP(2,1/SEARCH($S$2:$S$65,G2202),$T$2:$T$65),"Misc")</f>
        <v>OH ASSY</v>
      </c>
      <c r="O2202" t="str" cm="1">
        <f t="array" ref="O2202">IFERROR(LOOKUP(2,1/SEARCH($V$2:$V$65,G2202),$W$2:$W$65),"Misc")</f>
        <v>OH Part</v>
      </c>
      <c r="P2202" t="str" cm="1">
        <f t="array" ref="P2202">IFERROR(LOOKUP(2,1/SEARCH($Y$2:$Y$65,G2202),$Z$2:$Z$65),"Not Defined")</f>
        <v>OH Part</v>
      </c>
      <c r="Q2202" t="str" cm="1">
        <f t="array" ref="Q2202">IFERROR(LOOKUP(2,1/SEARCH($S$2:$S$65,H2202),$T$2:$T$65),"-")</f>
        <v>OH ASSY</v>
      </c>
    </row>
    <row r="2203" spans="1:17" hidden="1" x14ac:dyDescent="0.25">
      <c r="A2203" t="s">
        <v>7675</v>
      </c>
      <c r="B2203" s="22" t="s">
        <v>5631</v>
      </c>
      <c r="C2203">
        <v>1</v>
      </c>
      <c r="D2203" t="s">
        <v>7573</v>
      </c>
      <c r="E2203" t="s">
        <v>7936</v>
      </c>
      <c r="F2203" t="s">
        <v>5632</v>
      </c>
      <c r="G2203" t="s">
        <v>5634</v>
      </c>
      <c r="H2203" t="s">
        <v>5633</v>
      </c>
      <c r="I2203" t="s">
        <v>13</v>
      </c>
      <c r="J2203" t="s">
        <v>7682</v>
      </c>
      <c r="K2203" t="s">
        <v>7826</v>
      </c>
      <c r="L2203" t="s">
        <v>7826</v>
      </c>
      <c r="N2203" t="str" cm="1">
        <f t="array" ref="N2203">IFERROR(LOOKUP(2,1/SEARCH($S$2:$S$65,G2203),$T$2:$T$65),"Misc")</f>
        <v>OH P/N</v>
      </c>
      <c r="O2203" t="str" cm="1">
        <f t="array" ref="O2203">IFERROR(LOOKUP(2,1/SEARCH($V$2:$V$65,G2203),$W$2:$W$65),"Misc")</f>
        <v>OH Part</v>
      </c>
      <c r="P2203" t="str" cm="1">
        <f t="array" ref="P2203">IFERROR(LOOKUP(2,1/SEARCH($Y$2:$Y$65,G2203),$Z$2:$Z$65),"Not Defined")</f>
        <v>OH Part</v>
      </c>
      <c r="Q2203" t="str" cm="1">
        <f t="array" ref="Q2203">IFERROR(LOOKUP(2,1/SEARCH($S$2:$S$65,H2203),$T$2:$T$65),"-")</f>
        <v>-</v>
      </c>
    </row>
    <row r="2204" spans="1:17" hidden="1" x14ac:dyDescent="0.25">
      <c r="A2204" t="s">
        <v>7675</v>
      </c>
      <c r="B2204" s="22" t="s">
        <v>5635</v>
      </c>
      <c r="C2204">
        <v>7</v>
      </c>
      <c r="D2204" t="s">
        <v>7573</v>
      </c>
      <c r="E2204" t="s">
        <v>7936</v>
      </c>
      <c r="F2204" t="s">
        <v>439</v>
      </c>
      <c r="G2204" t="s">
        <v>7086</v>
      </c>
      <c r="H2204" t="s">
        <v>440</v>
      </c>
      <c r="I2204" t="s">
        <v>224</v>
      </c>
      <c r="J2204" t="s">
        <v>7703</v>
      </c>
      <c r="K2204" t="s">
        <v>7684</v>
      </c>
      <c r="L2204" t="s">
        <v>7687</v>
      </c>
      <c r="N2204" t="str" cm="1">
        <f t="array" ref="N2204">IFERROR(LOOKUP(2,1/SEARCH($S$2:$S$65,G2204),$T$2:$T$65),"Misc")</f>
        <v>COTS</v>
      </c>
      <c r="O2204" t="str" cm="1">
        <f t="array" ref="O2204">IFERROR(LOOKUP(2,1/SEARCH($V$2:$V$65,G2204),$W$2:$W$65),"Misc")</f>
        <v>Fasteners</v>
      </c>
      <c r="P2204" t="str" cm="1">
        <f t="array" ref="P2204">IFERROR(LOOKUP(2,1/SEARCH($Y$2:$Y$65,G2204),$Z$2:$Z$65),"Not Defined")</f>
        <v>INSERT</v>
      </c>
      <c r="Q2204" t="str" cm="1">
        <f t="array" ref="Q2204">IFERROR(LOOKUP(2,1/SEARCH($S$2:$S$65,H2204),$T$2:$T$65),"-")</f>
        <v>COTS</v>
      </c>
    </row>
    <row r="2205" spans="1:17" hidden="1" x14ac:dyDescent="0.25">
      <c r="A2205" t="s">
        <v>7675</v>
      </c>
      <c r="B2205" s="22" t="s">
        <v>5636</v>
      </c>
      <c r="C2205">
        <v>1</v>
      </c>
      <c r="D2205" t="s">
        <v>7573</v>
      </c>
      <c r="E2205" t="s">
        <v>7937</v>
      </c>
      <c r="F2205" t="s">
        <v>5637</v>
      </c>
      <c r="G2205" t="s">
        <v>5639</v>
      </c>
      <c r="H2205" t="s">
        <v>5638</v>
      </c>
      <c r="J2205" t="s">
        <v>7742</v>
      </c>
      <c r="K2205" t="s">
        <v>7826</v>
      </c>
      <c r="L2205" t="s">
        <v>7826</v>
      </c>
      <c r="N2205" t="str" cm="1">
        <f t="array" ref="N2205">IFERROR(LOOKUP(2,1/SEARCH($S$2:$S$65,G2205),$T$2:$T$65),"Misc")</f>
        <v>OH ASSY</v>
      </c>
      <c r="O2205" t="str" cm="1">
        <f t="array" ref="O2205">IFERROR(LOOKUP(2,1/SEARCH($V$2:$V$65,G2205),$W$2:$W$65),"Misc")</f>
        <v>OH Part</v>
      </c>
      <c r="P2205" t="str" cm="1">
        <f t="array" ref="P2205">IFERROR(LOOKUP(2,1/SEARCH($Y$2:$Y$65,G2205),$Z$2:$Z$65),"Not Defined")</f>
        <v>OH Part</v>
      </c>
      <c r="Q2205" t="str" cm="1">
        <f t="array" ref="Q2205">IFERROR(LOOKUP(2,1/SEARCH($S$2:$S$65,H2205),$T$2:$T$65),"-")</f>
        <v>OH ASSY</v>
      </c>
    </row>
    <row r="2206" spans="1:17" hidden="1" x14ac:dyDescent="0.25">
      <c r="A2206" t="s">
        <v>7675</v>
      </c>
      <c r="B2206" s="22" t="s">
        <v>5640</v>
      </c>
      <c r="C2206">
        <v>1</v>
      </c>
      <c r="D2206" t="s">
        <v>7573</v>
      </c>
      <c r="E2206" t="s">
        <v>7937</v>
      </c>
      <c r="F2206" t="s">
        <v>5641</v>
      </c>
      <c r="G2206" t="s">
        <v>5643</v>
      </c>
      <c r="H2206" t="s">
        <v>5642</v>
      </c>
      <c r="I2206" t="s">
        <v>13</v>
      </c>
      <c r="J2206" t="s">
        <v>7682</v>
      </c>
      <c r="K2206" t="s">
        <v>7826</v>
      </c>
      <c r="L2206" t="s">
        <v>7826</v>
      </c>
      <c r="N2206" t="str" cm="1">
        <f t="array" ref="N2206">IFERROR(LOOKUP(2,1/SEARCH($S$2:$S$65,G2206),$T$2:$T$65),"Misc")</f>
        <v>OH P/N</v>
      </c>
      <c r="O2206" t="str" cm="1">
        <f t="array" ref="O2206">IFERROR(LOOKUP(2,1/SEARCH($V$2:$V$65,G2206),$W$2:$W$65),"Misc")</f>
        <v>OH Part</v>
      </c>
      <c r="P2206" t="str" cm="1">
        <f t="array" ref="P2206">IFERROR(LOOKUP(2,1/SEARCH($Y$2:$Y$65,G2206),$Z$2:$Z$65),"Not Defined")</f>
        <v>OH Part</v>
      </c>
      <c r="Q2206" t="str" cm="1">
        <f t="array" ref="Q2206">IFERROR(LOOKUP(2,1/SEARCH($S$2:$S$65,H2206),$T$2:$T$65),"-")</f>
        <v>-</v>
      </c>
    </row>
    <row r="2207" spans="1:17" hidden="1" x14ac:dyDescent="0.25">
      <c r="A2207" t="s">
        <v>7675</v>
      </c>
      <c r="B2207" s="22" t="s">
        <v>5644</v>
      </c>
      <c r="C2207">
        <v>1</v>
      </c>
      <c r="D2207" t="s">
        <v>7573</v>
      </c>
      <c r="E2207" t="s">
        <v>7937</v>
      </c>
      <c r="F2207" t="s">
        <v>5645</v>
      </c>
      <c r="G2207" t="s">
        <v>7577</v>
      </c>
      <c r="H2207" t="s">
        <v>5646</v>
      </c>
      <c r="I2207" t="s">
        <v>3477</v>
      </c>
      <c r="J2207" t="s">
        <v>7703</v>
      </c>
      <c r="K2207" t="s">
        <v>7683</v>
      </c>
      <c r="L2207" t="s">
        <v>7683</v>
      </c>
      <c r="N2207" t="str" cm="1">
        <f t="array" ref="N2207">IFERROR(LOOKUP(2,1/SEARCH($S$2:$S$65,G2207),$T$2:$T$65),"Misc")</f>
        <v>COTS</v>
      </c>
      <c r="O2207" t="str" cm="1">
        <f t="array" ref="O2207">IFERROR(LOOKUP(2,1/SEARCH($V$2:$V$65,G2207),$W$2:$W$65),"Misc")</f>
        <v>BEARING</v>
      </c>
      <c r="P2207" t="str" cm="1">
        <f t="array" ref="P2207">IFERROR(LOOKUP(2,1/SEARCH($Y$2:$Y$65,G2207),$Z$2:$Z$65),"Not Defined")</f>
        <v>BEARING</v>
      </c>
      <c r="Q2207" t="str" cm="1">
        <f t="array" ref="Q2207">IFERROR(LOOKUP(2,1/SEARCH($S$2:$S$65,H2207),$T$2:$T$65),"-")</f>
        <v>COTS</v>
      </c>
    </row>
    <row r="2208" spans="1:17" hidden="1" x14ac:dyDescent="0.25">
      <c r="A2208" t="s">
        <v>7675</v>
      </c>
      <c r="B2208" s="22" t="s">
        <v>5647</v>
      </c>
      <c r="C2208">
        <v>1</v>
      </c>
      <c r="D2208" t="s">
        <v>7573</v>
      </c>
      <c r="E2208" t="s">
        <v>7935</v>
      </c>
      <c r="F2208" t="s">
        <v>5648</v>
      </c>
      <c r="G2208" t="s">
        <v>5650</v>
      </c>
      <c r="H2208" t="s">
        <v>5649</v>
      </c>
      <c r="I2208" t="s">
        <v>13</v>
      </c>
      <c r="J2208" t="s">
        <v>7682</v>
      </c>
      <c r="K2208" t="s">
        <v>7826</v>
      </c>
      <c r="L2208" t="s">
        <v>7826</v>
      </c>
      <c r="N2208" t="str" cm="1">
        <f t="array" ref="N2208">IFERROR(LOOKUP(2,1/SEARCH($S$2:$S$65,G2208),$T$2:$T$65),"Misc")</f>
        <v>OH P/N</v>
      </c>
      <c r="O2208" t="str" cm="1">
        <f t="array" ref="O2208">IFERROR(LOOKUP(2,1/SEARCH($V$2:$V$65,G2208),$W$2:$W$65),"Misc")</f>
        <v>OH Part</v>
      </c>
      <c r="P2208" t="str" cm="1">
        <f t="array" ref="P2208">IFERROR(LOOKUP(2,1/SEARCH($Y$2:$Y$65,G2208),$Z$2:$Z$65),"Not Defined")</f>
        <v>OH Part</v>
      </c>
      <c r="Q2208" t="str" cm="1">
        <f t="array" ref="Q2208">IFERROR(LOOKUP(2,1/SEARCH($S$2:$S$65,H2208),$T$2:$T$65),"-")</f>
        <v>-</v>
      </c>
    </row>
    <row r="2209" spans="1:17" hidden="1" x14ac:dyDescent="0.25">
      <c r="A2209" t="s">
        <v>7675</v>
      </c>
      <c r="B2209" s="22" t="s">
        <v>5651</v>
      </c>
      <c r="C2209">
        <v>1</v>
      </c>
      <c r="D2209" t="s">
        <v>7573</v>
      </c>
      <c r="E2209" t="s">
        <v>7938</v>
      </c>
      <c r="F2209" t="s">
        <v>5652</v>
      </c>
      <c r="G2209" t="s">
        <v>5654</v>
      </c>
      <c r="H2209" t="s">
        <v>5653</v>
      </c>
      <c r="J2209" t="s">
        <v>7742</v>
      </c>
      <c r="K2209" t="s">
        <v>7826</v>
      </c>
      <c r="L2209" t="s">
        <v>7826</v>
      </c>
      <c r="N2209" t="str" cm="1">
        <f t="array" ref="N2209">IFERROR(LOOKUP(2,1/SEARCH($S$2:$S$65,G2209),$T$2:$T$65),"Misc")</f>
        <v>OH ASSY</v>
      </c>
      <c r="O2209" t="str" cm="1">
        <f t="array" ref="O2209">IFERROR(LOOKUP(2,1/SEARCH($V$2:$V$65,G2209),$W$2:$W$65),"Misc")</f>
        <v>OH Part</v>
      </c>
      <c r="P2209" t="str" cm="1">
        <f t="array" ref="P2209">IFERROR(LOOKUP(2,1/SEARCH($Y$2:$Y$65,G2209),$Z$2:$Z$65),"Not Defined")</f>
        <v>OH Part</v>
      </c>
      <c r="Q2209" t="str" cm="1">
        <f t="array" ref="Q2209">IFERROR(LOOKUP(2,1/SEARCH($S$2:$S$65,H2209),$T$2:$T$65),"-")</f>
        <v>OH ASSY</v>
      </c>
    </row>
    <row r="2210" spans="1:17" hidden="1" x14ac:dyDescent="0.25">
      <c r="A2210" t="s">
        <v>7675</v>
      </c>
      <c r="B2210" s="22" t="s">
        <v>5655</v>
      </c>
      <c r="C2210">
        <v>1</v>
      </c>
      <c r="D2210" t="s">
        <v>7573</v>
      </c>
      <c r="E2210" t="s">
        <v>7938</v>
      </c>
      <c r="F2210" t="s">
        <v>5656</v>
      </c>
      <c r="G2210" t="s">
        <v>5658</v>
      </c>
      <c r="H2210" t="s">
        <v>5657</v>
      </c>
      <c r="I2210" t="s">
        <v>13</v>
      </c>
      <c r="J2210" t="s">
        <v>7682</v>
      </c>
      <c r="K2210" t="s">
        <v>7826</v>
      </c>
      <c r="L2210" t="s">
        <v>7826</v>
      </c>
      <c r="N2210" t="str" cm="1">
        <f t="array" ref="N2210">IFERROR(LOOKUP(2,1/SEARCH($S$2:$S$65,G2210),$T$2:$T$65),"Misc")</f>
        <v>OH P/N</v>
      </c>
      <c r="O2210" t="str" cm="1">
        <f t="array" ref="O2210">IFERROR(LOOKUP(2,1/SEARCH($V$2:$V$65,G2210),$W$2:$W$65),"Misc")</f>
        <v>OH Part</v>
      </c>
      <c r="P2210" t="str" cm="1">
        <f t="array" ref="P2210">IFERROR(LOOKUP(2,1/SEARCH($Y$2:$Y$65,G2210),$Z$2:$Z$65),"Not Defined")</f>
        <v>OH Part</v>
      </c>
      <c r="Q2210" t="str" cm="1">
        <f t="array" ref="Q2210">IFERROR(LOOKUP(2,1/SEARCH($S$2:$S$65,H2210),$T$2:$T$65),"-")</f>
        <v>-</v>
      </c>
    </row>
    <row r="2211" spans="1:17" hidden="1" x14ac:dyDescent="0.25">
      <c r="A2211" t="s">
        <v>7675</v>
      </c>
      <c r="B2211" s="22" t="s">
        <v>5659</v>
      </c>
      <c r="C2211">
        <v>2</v>
      </c>
      <c r="D2211" t="s">
        <v>7573</v>
      </c>
      <c r="E2211" t="s">
        <v>7938</v>
      </c>
      <c r="F2211" t="s">
        <v>268</v>
      </c>
      <c r="G2211" t="s">
        <v>7061</v>
      </c>
      <c r="H2211" t="s">
        <v>269</v>
      </c>
      <c r="I2211" t="s">
        <v>224</v>
      </c>
      <c r="J2211" t="s">
        <v>7703</v>
      </c>
      <c r="K2211" t="s">
        <v>7684</v>
      </c>
      <c r="L2211" t="s">
        <v>7687</v>
      </c>
      <c r="N2211" t="str" cm="1">
        <f t="array" ref="N2211">IFERROR(LOOKUP(2,1/SEARCH($S$2:$S$65,G2211),$T$2:$T$65),"Misc")</f>
        <v>COTS</v>
      </c>
      <c r="O2211" t="str" cm="1">
        <f t="array" ref="O2211">IFERROR(LOOKUP(2,1/SEARCH($V$2:$V$65,G2211),$W$2:$W$65),"Misc")</f>
        <v>Fasteners</v>
      </c>
      <c r="P2211" t="str" cm="1">
        <f t="array" ref="P2211">IFERROR(LOOKUP(2,1/SEARCH($Y$2:$Y$65,G2211),$Z$2:$Z$65),"Not Defined")</f>
        <v>INSERT</v>
      </c>
      <c r="Q2211" t="str" cm="1">
        <f t="array" ref="Q2211">IFERROR(LOOKUP(2,1/SEARCH($S$2:$S$65,H2211),$T$2:$T$65),"-")</f>
        <v>COTS</v>
      </c>
    </row>
    <row r="2212" spans="1:17" hidden="1" x14ac:dyDescent="0.25">
      <c r="A2212" t="s">
        <v>7675</v>
      </c>
      <c r="B2212" s="22" t="s">
        <v>5660</v>
      </c>
      <c r="C2212">
        <v>1</v>
      </c>
      <c r="D2212" t="s">
        <v>7573</v>
      </c>
      <c r="E2212" t="s">
        <v>7935</v>
      </c>
      <c r="F2212" t="s">
        <v>5645</v>
      </c>
      <c r="G2212" t="s">
        <v>7577</v>
      </c>
      <c r="H2212" t="s">
        <v>5646</v>
      </c>
      <c r="I2212" t="s">
        <v>3477</v>
      </c>
      <c r="J2212" t="s">
        <v>7703</v>
      </c>
      <c r="K2212" t="s">
        <v>7683</v>
      </c>
      <c r="L2212" t="s">
        <v>7683</v>
      </c>
      <c r="N2212" t="str" cm="1">
        <f t="array" ref="N2212">IFERROR(LOOKUP(2,1/SEARCH($S$2:$S$65,G2212),$T$2:$T$65),"Misc")</f>
        <v>COTS</v>
      </c>
      <c r="O2212" t="str" cm="1">
        <f t="array" ref="O2212">IFERROR(LOOKUP(2,1/SEARCH($V$2:$V$65,G2212),$W$2:$W$65),"Misc")</f>
        <v>BEARING</v>
      </c>
      <c r="P2212" t="str" cm="1">
        <f t="array" ref="P2212">IFERROR(LOOKUP(2,1/SEARCH($Y$2:$Y$65,G2212),$Z$2:$Z$65),"Not Defined")</f>
        <v>BEARING</v>
      </c>
      <c r="Q2212" t="str" cm="1">
        <f t="array" ref="Q2212">IFERROR(LOOKUP(2,1/SEARCH($S$2:$S$65,H2212),$T$2:$T$65),"-")</f>
        <v>COTS</v>
      </c>
    </row>
    <row r="2213" spans="1:17" hidden="1" x14ac:dyDescent="0.25">
      <c r="A2213" t="s">
        <v>7675</v>
      </c>
      <c r="B2213" s="22" t="s">
        <v>5661</v>
      </c>
      <c r="C2213">
        <v>1</v>
      </c>
      <c r="D2213" t="s">
        <v>7573</v>
      </c>
      <c r="E2213" t="s">
        <v>7935</v>
      </c>
      <c r="F2213" t="s">
        <v>5532</v>
      </c>
      <c r="G2213" t="s">
        <v>7568</v>
      </c>
      <c r="H2213" t="s">
        <v>5533</v>
      </c>
      <c r="I2213" t="s">
        <v>255</v>
      </c>
      <c r="J2213" t="s">
        <v>7703</v>
      </c>
      <c r="K2213" t="s">
        <v>7677</v>
      </c>
      <c r="L2213" t="s">
        <v>7677</v>
      </c>
      <c r="N2213" t="str" cm="1">
        <f t="array" ref="N2213">IFERROR(LOOKUP(2,1/SEARCH($S$2:$S$65,G2213),$T$2:$T$65),"Misc")</f>
        <v>COTS</v>
      </c>
      <c r="O2213" t="str" cm="1">
        <f t="array" ref="O2213">IFERROR(LOOKUP(2,1/SEARCH($V$2:$V$65,G2213),$W$2:$W$65),"Misc")</f>
        <v>SWITCH</v>
      </c>
      <c r="P2213" t="str" cm="1">
        <f t="array" ref="P2213">IFERROR(LOOKUP(2,1/SEARCH($Y$2:$Y$65,G2213),$Z$2:$Z$65),"Not Defined")</f>
        <v>SWITCH</v>
      </c>
      <c r="Q2213" t="str" cm="1">
        <f t="array" ref="Q2213">IFERROR(LOOKUP(2,1/SEARCH($S$2:$S$65,H2213),$T$2:$T$65),"-")</f>
        <v>COTS</v>
      </c>
    </row>
    <row r="2214" spans="1:17" hidden="1" x14ac:dyDescent="0.25">
      <c r="A2214" t="s">
        <v>7675</v>
      </c>
      <c r="B2214" s="22" t="s">
        <v>5662</v>
      </c>
      <c r="C2214">
        <v>4</v>
      </c>
      <c r="D2214" t="s">
        <v>7573</v>
      </c>
      <c r="E2214" t="s">
        <v>7935</v>
      </c>
      <c r="F2214" t="s">
        <v>609</v>
      </c>
      <c r="G2214" t="s">
        <v>7109</v>
      </c>
      <c r="H2214" t="s">
        <v>610</v>
      </c>
      <c r="I2214" t="s">
        <v>228</v>
      </c>
      <c r="J2214" t="s">
        <v>7703</v>
      </c>
      <c r="K2214" t="s">
        <v>7684</v>
      </c>
      <c r="L2214" t="s">
        <v>7692</v>
      </c>
      <c r="N2214" t="str" cm="1">
        <f t="array" ref="N2214">IFERROR(LOOKUP(2,1/SEARCH($S$2:$S$65,G2214),$T$2:$T$65),"Misc")</f>
        <v>COTS</v>
      </c>
      <c r="O2214" t="str" cm="1">
        <f t="array" ref="O2214">IFERROR(LOOKUP(2,1/SEARCH($V$2:$V$65,G2214),$W$2:$W$65),"Misc")</f>
        <v>Fasteners</v>
      </c>
      <c r="P2214" t="str" cm="1">
        <f t="array" ref="P2214">IFERROR(LOOKUP(2,1/SEARCH($Y$2:$Y$65,G2214),$Z$2:$Z$65),"Not Defined")</f>
        <v>WASHER</v>
      </c>
      <c r="Q2214" t="str" cm="1">
        <f t="array" ref="Q2214">IFERROR(LOOKUP(2,1/SEARCH($S$2:$S$65,H2214),$T$2:$T$65),"-")</f>
        <v>COTS</v>
      </c>
    </row>
    <row r="2215" spans="1:17" hidden="1" x14ac:dyDescent="0.25">
      <c r="A2215" t="s">
        <v>7675</v>
      </c>
      <c r="B2215" s="22" t="s">
        <v>5663</v>
      </c>
      <c r="C2215">
        <v>2</v>
      </c>
      <c r="D2215" t="s">
        <v>7573</v>
      </c>
      <c r="E2215" t="s">
        <v>7935</v>
      </c>
      <c r="F2215" t="s">
        <v>5664</v>
      </c>
      <c r="G2215" t="s">
        <v>7578</v>
      </c>
      <c r="H2215" t="s">
        <v>5665</v>
      </c>
      <c r="I2215" t="s">
        <v>228</v>
      </c>
      <c r="J2215" t="s">
        <v>7703</v>
      </c>
      <c r="K2215" t="s">
        <v>7684</v>
      </c>
      <c r="L2215" t="s">
        <v>7693</v>
      </c>
      <c r="N2215" t="str" cm="1">
        <f t="array" ref="N2215">IFERROR(LOOKUP(2,1/SEARCH($S$2:$S$65,G2215),$T$2:$T$65),"Misc")</f>
        <v>COTS</v>
      </c>
      <c r="O2215" t="str" cm="1">
        <f t="array" ref="O2215">IFERROR(LOOKUP(2,1/SEARCH($V$2:$V$65,G2215),$W$2:$W$65),"Misc")</f>
        <v>Fasteners</v>
      </c>
      <c r="P2215" t="str" cm="1">
        <f t="array" ref="P2215">IFERROR(LOOKUP(2,1/SEARCH($Y$2:$Y$65,G2215),$Z$2:$Z$65),"Not Defined")</f>
        <v>PHS</v>
      </c>
      <c r="Q2215" t="str" cm="1">
        <f t="array" ref="Q2215">IFERROR(LOOKUP(2,1/SEARCH($S$2:$S$65,H2215),$T$2:$T$65),"-")</f>
        <v>COTS</v>
      </c>
    </row>
    <row r="2216" spans="1:17" hidden="1" x14ac:dyDescent="0.25">
      <c r="A2216" t="s">
        <v>7675</v>
      </c>
      <c r="B2216" s="22" t="s">
        <v>5666</v>
      </c>
      <c r="C2216">
        <v>2</v>
      </c>
      <c r="D2216" t="s">
        <v>7573</v>
      </c>
      <c r="E2216" t="s">
        <v>7935</v>
      </c>
      <c r="F2216" t="s">
        <v>5528</v>
      </c>
      <c r="G2216" t="s">
        <v>7567</v>
      </c>
      <c r="H2216" t="s">
        <v>5529</v>
      </c>
      <c r="I2216" t="s">
        <v>228</v>
      </c>
      <c r="J2216" t="s">
        <v>7703</v>
      </c>
      <c r="K2216" t="s">
        <v>7684</v>
      </c>
      <c r="L2216" t="s">
        <v>7685</v>
      </c>
      <c r="N2216" t="str" cm="1">
        <f t="array" ref="N2216">IFERROR(LOOKUP(2,1/SEARCH($S$2:$S$65,G2216),$T$2:$T$65),"Misc")</f>
        <v>COTS</v>
      </c>
      <c r="O2216" t="str" cm="1">
        <f t="array" ref="O2216">IFERROR(LOOKUP(2,1/SEARCH($V$2:$V$65,G2216),$W$2:$W$65),"Misc")</f>
        <v>Fasteners</v>
      </c>
      <c r="P2216" t="str" cm="1">
        <f t="array" ref="P2216">IFERROR(LOOKUP(2,1/SEARCH($Y$2:$Y$65,G2216),$Z$2:$Z$65),"Not Defined")</f>
        <v>NUT</v>
      </c>
      <c r="Q2216" t="str" cm="1">
        <f t="array" ref="Q2216">IFERROR(LOOKUP(2,1/SEARCH($S$2:$S$65,H2216),$T$2:$T$65),"-")</f>
        <v>COTS</v>
      </c>
    </row>
    <row r="2217" spans="1:17" hidden="1" x14ac:dyDescent="0.25">
      <c r="A2217" t="s">
        <v>7675</v>
      </c>
      <c r="B2217" s="22" t="s">
        <v>5667</v>
      </c>
      <c r="C2217">
        <v>7</v>
      </c>
      <c r="D2217" t="s">
        <v>7573</v>
      </c>
      <c r="E2217" t="s">
        <v>7935</v>
      </c>
      <c r="F2217" t="s">
        <v>1924</v>
      </c>
      <c r="G2217" t="s">
        <v>7247</v>
      </c>
      <c r="H2217" t="s">
        <v>1925</v>
      </c>
      <c r="I2217" t="s">
        <v>228</v>
      </c>
      <c r="J2217" t="s">
        <v>7703</v>
      </c>
      <c r="K2217" t="s">
        <v>7684</v>
      </c>
      <c r="L2217" t="s">
        <v>7691</v>
      </c>
      <c r="N2217" t="str" cm="1">
        <f t="array" ref="N2217">IFERROR(LOOKUP(2,1/SEARCH($S$2:$S$65,G2217),$T$2:$T$65),"Misc")</f>
        <v>COTS</v>
      </c>
      <c r="O2217" t="str" cm="1">
        <f t="array" ref="O2217">IFERROR(LOOKUP(2,1/SEARCH($V$2:$V$65,G2217),$W$2:$W$65),"Misc")</f>
        <v>Fasteners</v>
      </c>
      <c r="P2217" t="str" cm="1">
        <f t="array" ref="P2217">IFERROR(LOOKUP(2,1/SEARCH($Y$2:$Y$65,G2217),$Z$2:$Z$65),"Not Defined")</f>
        <v>FHS</v>
      </c>
      <c r="Q2217" t="str" cm="1">
        <f t="array" ref="Q2217">IFERROR(LOOKUP(2,1/SEARCH($S$2:$S$65,H2217),$T$2:$T$65),"-")</f>
        <v>COTS</v>
      </c>
    </row>
    <row r="2218" spans="1:17" hidden="1" x14ac:dyDescent="0.25">
      <c r="A2218" t="s">
        <v>7675</v>
      </c>
      <c r="B2218" s="22" t="s">
        <v>5668</v>
      </c>
      <c r="C2218">
        <v>1</v>
      </c>
      <c r="D2218" t="s">
        <v>7573</v>
      </c>
      <c r="E2218" t="s">
        <v>7935</v>
      </c>
      <c r="F2218" t="s">
        <v>2786</v>
      </c>
      <c r="G2218" t="s">
        <v>7319</v>
      </c>
      <c r="H2218" t="s">
        <v>2787</v>
      </c>
      <c r="J2218" t="s">
        <v>7703</v>
      </c>
      <c r="K2218" t="s">
        <v>7719</v>
      </c>
      <c r="L2218" t="s">
        <v>7688</v>
      </c>
      <c r="N2218" t="str" cm="1">
        <f t="array" ref="N2218">IFERROR(LOOKUP(2,1/SEARCH($S$2:$S$65,G2218),$T$2:$T$65),"Misc")</f>
        <v>COTS</v>
      </c>
      <c r="O2218" t="str" cm="1">
        <f t="array" ref="O2218">IFERROR(LOOKUP(2,1/SEARCH($V$2:$V$65,G2218),$W$2:$W$65),"Misc")</f>
        <v>Misc</v>
      </c>
      <c r="P2218" t="str" cm="1">
        <f t="array" ref="P2218">IFERROR(LOOKUP(2,1/SEARCH($Y$2:$Y$65,G2218),$Z$2:$Z$65),"Not Defined")</f>
        <v>SPRING</v>
      </c>
      <c r="Q2218" t="str" cm="1">
        <f t="array" ref="Q2218">IFERROR(LOOKUP(2,1/SEARCH($S$2:$S$65,H2218),$T$2:$T$65),"-")</f>
        <v>COTS</v>
      </c>
    </row>
    <row r="2219" spans="1:17" hidden="1" x14ac:dyDescent="0.25">
      <c r="A2219" t="s">
        <v>7675</v>
      </c>
      <c r="B2219" s="22" t="s">
        <v>5669</v>
      </c>
      <c r="C2219">
        <v>1</v>
      </c>
      <c r="D2219" t="s">
        <v>7573</v>
      </c>
      <c r="E2219" t="s">
        <v>7939</v>
      </c>
      <c r="F2219" t="s">
        <v>5670</v>
      </c>
      <c r="G2219" t="s">
        <v>5672</v>
      </c>
      <c r="H2219" t="s">
        <v>5671</v>
      </c>
      <c r="J2219" t="s">
        <v>7742</v>
      </c>
      <c r="K2219" t="s">
        <v>7826</v>
      </c>
      <c r="L2219" t="s">
        <v>7826</v>
      </c>
      <c r="N2219" t="str" cm="1">
        <f t="array" ref="N2219">IFERROR(LOOKUP(2,1/SEARCH($S$2:$S$65,G2219),$T$2:$T$65),"Misc")</f>
        <v>OH ASSY</v>
      </c>
      <c r="O2219" t="str" cm="1">
        <f t="array" ref="O2219">IFERROR(LOOKUP(2,1/SEARCH($V$2:$V$65,G2219),$W$2:$W$65),"Misc")</f>
        <v>OH Part</v>
      </c>
      <c r="P2219" t="str" cm="1">
        <f t="array" ref="P2219">IFERROR(LOOKUP(2,1/SEARCH($Y$2:$Y$65,G2219),$Z$2:$Z$65),"Not Defined")</f>
        <v>OH Part</v>
      </c>
      <c r="Q2219" t="str" cm="1">
        <f t="array" ref="Q2219">IFERROR(LOOKUP(2,1/SEARCH($S$2:$S$65,H2219),$T$2:$T$65),"-")</f>
        <v>OH ASSY</v>
      </c>
    </row>
    <row r="2220" spans="1:17" hidden="1" x14ac:dyDescent="0.25">
      <c r="A2220" t="s">
        <v>7675</v>
      </c>
      <c r="B2220" s="22" t="s">
        <v>5673</v>
      </c>
      <c r="C2220">
        <v>1</v>
      </c>
      <c r="D2220" t="s">
        <v>7573</v>
      </c>
      <c r="E2220" t="s">
        <v>7939</v>
      </c>
      <c r="F2220" t="s">
        <v>5674</v>
      </c>
      <c r="G2220" t="s">
        <v>5676</v>
      </c>
      <c r="H2220" t="s">
        <v>5675</v>
      </c>
      <c r="I2220" t="s">
        <v>299</v>
      </c>
      <c r="J2220" t="s">
        <v>7682</v>
      </c>
      <c r="K2220" t="s">
        <v>7826</v>
      </c>
      <c r="L2220" t="s">
        <v>7826</v>
      </c>
      <c r="N2220" t="str" cm="1">
        <f t="array" ref="N2220">IFERROR(LOOKUP(2,1/SEARCH($S$2:$S$65,G2220),$T$2:$T$65),"Misc")</f>
        <v>OH P/N</v>
      </c>
      <c r="O2220" t="str" cm="1">
        <f t="array" ref="O2220">IFERROR(LOOKUP(2,1/SEARCH($V$2:$V$65,G2220),$W$2:$W$65),"Misc")</f>
        <v>OH Part</v>
      </c>
      <c r="P2220" t="str" cm="1">
        <f t="array" ref="P2220">IFERROR(LOOKUP(2,1/SEARCH($Y$2:$Y$65,G2220),$Z$2:$Z$65),"Not Defined")</f>
        <v>OH Part</v>
      </c>
      <c r="Q2220" t="str" cm="1">
        <f t="array" ref="Q2220">IFERROR(LOOKUP(2,1/SEARCH($S$2:$S$65,H2220),$T$2:$T$65),"-")</f>
        <v>-</v>
      </c>
    </row>
    <row r="2221" spans="1:17" hidden="1" x14ac:dyDescent="0.25">
      <c r="A2221" t="s">
        <v>7675</v>
      </c>
      <c r="B2221" s="22" t="s">
        <v>5677</v>
      </c>
      <c r="C2221">
        <v>1</v>
      </c>
      <c r="D2221" t="s">
        <v>7573</v>
      </c>
      <c r="E2221" t="s">
        <v>7939</v>
      </c>
      <c r="F2221" t="s">
        <v>5678</v>
      </c>
      <c r="G2221" t="s">
        <v>7579</v>
      </c>
      <c r="H2221" t="s">
        <v>5679</v>
      </c>
      <c r="I2221" t="s">
        <v>228</v>
      </c>
      <c r="J2221" t="s">
        <v>7703</v>
      </c>
      <c r="K2221" t="s">
        <v>7684</v>
      </c>
      <c r="L2221" t="s">
        <v>7700</v>
      </c>
      <c r="N2221" t="str" cm="1">
        <f t="array" ref="N2221">IFERROR(LOOKUP(2,1/SEARCH($S$2:$S$65,G2221),$T$2:$T$65),"Misc")</f>
        <v>COTS</v>
      </c>
      <c r="O2221" t="str" cm="1">
        <f t="array" ref="O2221">IFERROR(LOOKUP(2,1/SEARCH($V$2:$V$65,G2221),$W$2:$W$65),"Misc")</f>
        <v>Fasteners</v>
      </c>
      <c r="P2221" t="str" cm="1">
        <f t="array" ref="P2221">IFERROR(LOOKUP(2,1/SEARCH($Y$2:$Y$65,G2221),$Z$2:$Z$65),"Not Defined")</f>
        <v>SHCS</v>
      </c>
      <c r="Q2221" t="str" cm="1">
        <f t="array" ref="Q2221">IFERROR(LOOKUP(2,1/SEARCH($S$2:$S$65,H2221),$T$2:$T$65),"-")</f>
        <v>COTS</v>
      </c>
    </row>
    <row r="2222" spans="1:17" hidden="1" x14ac:dyDescent="0.25">
      <c r="A2222" t="s">
        <v>7675</v>
      </c>
      <c r="B2222" s="2" t="s">
        <v>5680</v>
      </c>
      <c r="C2222">
        <v>1</v>
      </c>
      <c r="D2222" t="s">
        <v>7573</v>
      </c>
      <c r="E2222" t="s">
        <v>7940</v>
      </c>
      <c r="F2222" t="s">
        <v>5670</v>
      </c>
      <c r="G2222" t="s">
        <v>5682</v>
      </c>
      <c r="H2222" t="s">
        <v>5681</v>
      </c>
      <c r="J2222" t="s">
        <v>7742</v>
      </c>
      <c r="K2222" t="s">
        <v>7826</v>
      </c>
      <c r="L2222" t="s">
        <v>7826</v>
      </c>
      <c r="N2222" t="str" cm="1">
        <f t="array" ref="N2222">IFERROR(LOOKUP(2,1/SEARCH($S$2:$S$65,G2222),$T$2:$T$65),"Misc")</f>
        <v>OH ASSY</v>
      </c>
      <c r="O2222" t="str" cm="1">
        <f t="array" ref="O2222">IFERROR(LOOKUP(2,1/SEARCH($V$2:$V$65,G2222),$W$2:$W$65),"Misc")</f>
        <v>OH Part</v>
      </c>
      <c r="P2222" t="str" cm="1">
        <f t="array" ref="P2222">IFERROR(LOOKUP(2,1/SEARCH($Y$2:$Y$65,G2222),$Z$2:$Z$65),"Not Defined")</f>
        <v>OH Part</v>
      </c>
      <c r="Q2222" t="str" cm="1">
        <f t="array" ref="Q2222">IFERROR(LOOKUP(2,1/SEARCH($S$2:$S$65,H2222),$T$2:$T$65),"-")</f>
        <v>OH ASSY</v>
      </c>
    </row>
    <row r="2223" spans="1:17" hidden="1" x14ac:dyDescent="0.25">
      <c r="A2223" t="s">
        <v>7675</v>
      </c>
      <c r="B2223" s="2" t="s">
        <v>5683</v>
      </c>
      <c r="C2223">
        <v>1</v>
      </c>
      <c r="D2223" t="s">
        <v>7573</v>
      </c>
      <c r="E2223" t="s">
        <v>7940</v>
      </c>
      <c r="F2223" t="s">
        <v>5674</v>
      </c>
      <c r="G2223" t="s">
        <v>5685</v>
      </c>
      <c r="H2223" t="s">
        <v>5684</v>
      </c>
      <c r="I2223" t="s">
        <v>13</v>
      </c>
      <c r="J2223" t="s">
        <v>7682</v>
      </c>
      <c r="K2223" t="s">
        <v>7826</v>
      </c>
      <c r="L2223" t="s">
        <v>7826</v>
      </c>
      <c r="N2223" t="str" cm="1">
        <f t="array" ref="N2223">IFERROR(LOOKUP(2,1/SEARCH($S$2:$S$65,G2223),$T$2:$T$65),"Misc")</f>
        <v>OH P/N</v>
      </c>
      <c r="O2223" t="str" cm="1">
        <f t="array" ref="O2223">IFERROR(LOOKUP(2,1/SEARCH($V$2:$V$65,G2223),$W$2:$W$65),"Misc")</f>
        <v>OH Part</v>
      </c>
      <c r="P2223" t="str" cm="1">
        <f t="array" ref="P2223">IFERROR(LOOKUP(2,1/SEARCH($Y$2:$Y$65,G2223),$Z$2:$Z$65),"Not Defined")</f>
        <v>OH Part</v>
      </c>
      <c r="Q2223" t="str" cm="1">
        <f t="array" ref="Q2223">IFERROR(LOOKUP(2,1/SEARCH($S$2:$S$65,H2223),$T$2:$T$65),"-")</f>
        <v>-</v>
      </c>
    </row>
    <row r="2224" spans="1:17" hidden="1" x14ac:dyDescent="0.25">
      <c r="A2224" t="s">
        <v>7675</v>
      </c>
      <c r="B2224" s="2" t="s">
        <v>5686</v>
      </c>
      <c r="C2224">
        <v>7</v>
      </c>
      <c r="D2224" t="s">
        <v>7573</v>
      </c>
      <c r="E2224" t="s">
        <v>7940</v>
      </c>
      <c r="F2224" t="s">
        <v>439</v>
      </c>
      <c r="G2224" t="s">
        <v>7086</v>
      </c>
      <c r="H2224" t="s">
        <v>440</v>
      </c>
      <c r="I2224" t="s">
        <v>224</v>
      </c>
      <c r="J2224" t="s">
        <v>7703</v>
      </c>
      <c r="K2224" t="s">
        <v>7684</v>
      </c>
      <c r="L2224" t="s">
        <v>7687</v>
      </c>
      <c r="N2224" t="str" cm="1">
        <f t="array" ref="N2224">IFERROR(LOOKUP(2,1/SEARCH($S$2:$S$65,G2224),$T$2:$T$65),"Misc")</f>
        <v>COTS</v>
      </c>
      <c r="O2224" t="str" cm="1">
        <f t="array" ref="O2224">IFERROR(LOOKUP(2,1/SEARCH($V$2:$V$65,G2224),$W$2:$W$65),"Misc")</f>
        <v>Fasteners</v>
      </c>
      <c r="P2224" t="str" cm="1">
        <f t="array" ref="P2224">IFERROR(LOOKUP(2,1/SEARCH($Y$2:$Y$65,G2224),$Z$2:$Z$65),"Not Defined")</f>
        <v>INSERT</v>
      </c>
      <c r="Q2224" t="str" cm="1">
        <f t="array" ref="Q2224">IFERROR(LOOKUP(2,1/SEARCH($S$2:$S$65,H2224),$T$2:$T$65),"-")</f>
        <v>COTS</v>
      </c>
    </row>
    <row r="2225" spans="1:17" hidden="1" x14ac:dyDescent="0.25">
      <c r="A2225" t="s">
        <v>7675</v>
      </c>
      <c r="B2225" s="2" t="s">
        <v>5687</v>
      </c>
      <c r="C2225">
        <v>4</v>
      </c>
      <c r="D2225" t="s">
        <v>7573</v>
      </c>
      <c r="E2225" t="s">
        <v>7940</v>
      </c>
      <c r="F2225" t="s">
        <v>5113</v>
      </c>
      <c r="G2225" t="s">
        <v>7530</v>
      </c>
      <c r="H2225" t="s">
        <v>5114</v>
      </c>
      <c r="I2225" t="s">
        <v>228</v>
      </c>
      <c r="J2225" t="s">
        <v>7703</v>
      </c>
      <c r="K2225" t="s">
        <v>7684</v>
      </c>
      <c r="L2225" t="s">
        <v>7685</v>
      </c>
      <c r="N2225" t="str" cm="1">
        <f t="array" ref="N2225">IFERROR(LOOKUP(2,1/SEARCH($S$2:$S$65,G2225),$T$2:$T$65),"Misc")</f>
        <v>COTS</v>
      </c>
      <c r="O2225" t="str" cm="1">
        <f t="array" ref="O2225">IFERROR(LOOKUP(2,1/SEARCH($V$2:$V$65,G2225),$W$2:$W$65),"Misc")</f>
        <v>Fasteners</v>
      </c>
      <c r="P2225" t="str" cm="1">
        <f t="array" ref="P2225">IFERROR(LOOKUP(2,1/SEARCH($Y$2:$Y$65,G2225),$Z$2:$Z$65),"Not Defined")</f>
        <v>NUT</v>
      </c>
      <c r="Q2225" t="str" cm="1">
        <f t="array" ref="Q2225">IFERROR(LOOKUP(2,1/SEARCH($S$2:$S$65,H2225),$T$2:$T$65),"-")</f>
        <v>COTS</v>
      </c>
    </row>
    <row r="2226" spans="1:17" hidden="1" x14ac:dyDescent="0.25">
      <c r="A2226" t="s">
        <v>7675</v>
      </c>
      <c r="B2226" s="2" t="s">
        <v>5688</v>
      </c>
      <c r="C2226">
        <v>1</v>
      </c>
      <c r="D2226" t="s">
        <v>7573</v>
      </c>
      <c r="E2226" t="s">
        <v>7940</v>
      </c>
      <c r="F2226" t="s">
        <v>4251</v>
      </c>
      <c r="G2226" t="s">
        <v>7438</v>
      </c>
      <c r="H2226" t="s">
        <v>4252</v>
      </c>
      <c r="I2226" t="s">
        <v>3477</v>
      </c>
      <c r="J2226" t="s">
        <v>7703</v>
      </c>
      <c r="K2226" t="s">
        <v>7683</v>
      </c>
      <c r="L2226" t="s">
        <v>7683</v>
      </c>
      <c r="N2226" t="str" cm="1">
        <f t="array" ref="N2226">IFERROR(LOOKUP(2,1/SEARCH($S$2:$S$65,G2226),$T$2:$T$65),"Misc")</f>
        <v>COTS</v>
      </c>
      <c r="O2226" t="str" cm="1">
        <f t="array" ref="O2226">IFERROR(LOOKUP(2,1/SEARCH($V$2:$V$65,G2226),$W$2:$W$65),"Misc")</f>
        <v>BEARING</v>
      </c>
      <c r="P2226" t="str" cm="1">
        <f t="array" ref="P2226">IFERROR(LOOKUP(2,1/SEARCH($Y$2:$Y$65,G2226),$Z$2:$Z$65),"Not Defined")</f>
        <v>BEARING</v>
      </c>
      <c r="Q2226" t="str" cm="1">
        <f t="array" ref="Q2226">IFERROR(LOOKUP(2,1/SEARCH($S$2:$S$65,H2226),$T$2:$T$65),"-")</f>
        <v>COTS</v>
      </c>
    </row>
    <row r="2227" spans="1:17" hidden="1" x14ac:dyDescent="0.25">
      <c r="A2227" t="s">
        <v>7675</v>
      </c>
      <c r="B2227" s="2" t="s">
        <v>5689</v>
      </c>
      <c r="C2227">
        <v>6</v>
      </c>
      <c r="D2227" t="s">
        <v>7573</v>
      </c>
      <c r="E2227" t="s">
        <v>7940</v>
      </c>
      <c r="F2227" t="s">
        <v>268</v>
      </c>
      <c r="G2227" t="s">
        <v>7061</v>
      </c>
      <c r="H2227" t="s">
        <v>269</v>
      </c>
      <c r="I2227" t="s">
        <v>224</v>
      </c>
      <c r="J2227" t="s">
        <v>7703</v>
      </c>
      <c r="K2227" t="s">
        <v>7684</v>
      </c>
      <c r="L2227" t="s">
        <v>7687</v>
      </c>
      <c r="N2227" t="str" cm="1">
        <f t="array" ref="N2227">IFERROR(LOOKUP(2,1/SEARCH($S$2:$S$65,G2227),$T$2:$T$65),"Misc")</f>
        <v>COTS</v>
      </c>
      <c r="O2227" t="str" cm="1">
        <f t="array" ref="O2227">IFERROR(LOOKUP(2,1/SEARCH($V$2:$V$65,G2227),$W$2:$W$65),"Misc")</f>
        <v>Fasteners</v>
      </c>
      <c r="P2227" t="str" cm="1">
        <f t="array" ref="P2227">IFERROR(LOOKUP(2,1/SEARCH($Y$2:$Y$65,G2227),$Z$2:$Z$65),"Not Defined")</f>
        <v>INSERT</v>
      </c>
      <c r="Q2227" t="str" cm="1">
        <f t="array" ref="Q2227">IFERROR(LOOKUP(2,1/SEARCH($S$2:$S$65,H2227),$T$2:$T$65),"-")</f>
        <v>COTS</v>
      </c>
    </row>
    <row r="2228" spans="1:17" hidden="1" x14ac:dyDescent="0.25">
      <c r="A2228" t="s">
        <v>7675</v>
      </c>
      <c r="B2228" s="2" t="s">
        <v>5690</v>
      </c>
      <c r="C2228">
        <v>1</v>
      </c>
      <c r="D2228" t="s">
        <v>7573</v>
      </c>
      <c r="E2228" t="s">
        <v>7941</v>
      </c>
      <c r="F2228" t="s">
        <v>5691</v>
      </c>
      <c r="G2228" t="s">
        <v>5693</v>
      </c>
      <c r="H2228" t="s">
        <v>5692</v>
      </c>
      <c r="J2228" t="s">
        <v>7742</v>
      </c>
      <c r="K2228" t="s">
        <v>7826</v>
      </c>
      <c r="L2228" t="s">
        <v>7826</v>
      </c>
      <c r="N2228" t="str" cm="1">
        <f t="array" ref="N2228">IFERROR(LOOKUP(2,1/SEARCH($S$2:$S$65,G2228),$T$2:$T$65),"Misc")</f>
        <v>OH ASSY</v>
      </c>
      <c r="O2228" t="str" cm="1">
        <f t="array" ref="O2228">IFERROR(LOOKUP(2,1/SEARCH($V$2:$V$65,G2228),$W$2:$W$65),"Misc")</f>
        <v>OH Part</v>
      </c>
      <c r="P2228" t="str" cm="1">
        <f t="array" ref="P2228">IFERROR(LOOKUP(2,1/SEARCH($Y$2:$Y$65,G2228),$Z$2:$Z$65),"Not Defined")</f>
        <v>OH Part</v>
      </c>
      <c r="Q2228" t="str" cm="1">
        <f t="array" ref="Q2228">IFERROR(LOOKUP(2,1/SEARCH($S$2:$S$65,H2228),$T$2:$T$65),"-")</f>
        <v>OH ASSY</v>
      </c>
    </row>
    <row r="2229" spans="1:17" hidden="1" x14ac:dyDescent="0.25">
      <c r="A2229" t="s">
        <v>7675</v>
      </c>
      <c r="B2229" s="2" t="s">
        <v>5694</v>
      </c>
      <c r="C2229">
        <v>1</v>
      </c>
      <c r="D2229" t="s">
        <v>7573</v>
      </c>
      <c r="E2229" t="s">
        <v>7941</v>
      </c>
      <c r="F2229" t="s">
        <v>5695</v>
      </c>
      <c r="G2229" t="s">
        <v>5697</v>
      </c>
      <c r="H2229" t="s">
        <v>5696</v>
      </c>
      <c r="I2229" t="s">
        <v>13</v>
      </c>
      <c r="J2229" t="s">
        <v>7682</v>
      </c>
      <c r="K2229" t="s">
        <v>7826</v>
      </c>
      <c r="L2229" t="s">
        <v>7826</v>
      </c>
      <c r="N2229" t="str" cm="1">
        <f t="array" ref="N2229">IFERROR(LOOKUP(2,1/SEARCH($S$2:$S$65,G2229),$T$2:$T$65),"Misc")</f>
        <v>OH P/N</v>
      </c>
      <c r="O2229" t="str" cm="1">
        <f t="array" ref="O2229">IFERROR(LOOKUP(2,1/SEARCH($V$2:$V$65,G2229),$W$2:$W$65),"Misc")</f>
        <v>OH Part</v>
      </c>
      <c r="P2229" t="str" cm="1">
        <f t="array" ref="P2229">IFERROR(LOOKUP(2,1/SEARCH($Y$2:$Y$65,G2229),$Z$2:$Z$65),"Not Defined")</f>
        <v>OH Part</v>
      </c>
      <c r="Q2229" t="str" cm="1">
        <f t="array" ref="Q2229">IFERROR(LOOKUP(2,1/SEARCH($S$2:$S$65,H2229),$T$2:$T$65),"-")</f>
        <v>-</v>
      </c>
    </row>
    <row r="2230" spans="1:17" hidden="1" x14ac:dyDescent="0.25">
      <c r="A2230" t="s">
        <v>7675</v>
      </c>
      <c r="B2230" s="2" t="s">
        <v>5698</v>
      </c>
      <c r="C2230">
        <v>1</v>
      </c>
      <c r="D2230" t="s">
        <v>7573</v>
      </c>
      <c r="E2230" t="s">
        <v>7941</v>
      </c>
      <c r="F2230" t="s">
        <v>4251</v>
      </c>
      <c r="G2230" t="s">
        <v>7438</v>
      </c>
      <c r="H2230" t="s">
        <v>4252</v>
      </c>
      <c r="I2230" t="s">
        <v>3477</v>
      </c>
      <c r="J2230" t="s">
        <v>7703</v>
      </c>
      <c r="K2230" t="s">
        <v>7683</v>
      </c>
      <c r="L2230" t="s">
        <v>7683</v>
      </c>
      <c r="N2230" t="str" cm="1">
        <f t="array" ref="N2230">IFERROR(LOOKUP(2,1/SEARCH($S$2:$S$65,G2230),$T$2:$T$65),"Misc")</f>
        <v>COTS</v>
      </c>
      <c r="O2230" t="str" cm="1">
        <f t="array" ref="O2230">IFERROR(LOOKUP(2,1/SEARCH($V$2:$V$65,G2230),$W$2:$W$65),"Misc")</f>
        <v>BEARING</v>
      </c>
      <c r="P2230" t="str" cm="1">
        <f t="array" ref="P2230">IFERROR(LOOKUP(2,1/SEARCH($Y$2:$Y$65,G2230),$Z$2:$Z$65),"Not Defined")</f>
        <v>BEARING</v>
      </c>
      <c r="Q2230" t="str" cm="1">
        <f t="array" ref="Q2230">IFERROR(LOOKUP(2,1/SEARCH($S$2:$S$65,H2230),$T$2:$T$65),"-")</f>
        <v>COTS</v>
      </c>
    </row>
    <row r="2231" spans="1:17" hidden="1" x14ac:dyDescent="0.25">
      <c r="A2231" t="s">
        <v>7675</v>
      </c>
      <c r="B2231" s="2" t="s">
        <v>5699</v>
      </c>
      <c r="C2231">
        <v>3</v>
      </c>
      <c r="D2231" t="s">
        <v>7573</v>
      </c>
      <c r="E2231" t="s">
        <v>7941</v>
      </c>
      <c r="F2231" t="s">
        <v>439</v>
      </c>
      <c r="G2231" t="s">
        <v>7086</v>
      </c>
      <c r="H2231" t="s">
        <v>440</v>
      </c>
      <c r="I2231" t="s">
        <v>224</v>
      </c>
      <c r="J2231" t="s">
        <v>7703</v>
      </c>
      <c r="K2231" t="s">
        <v>7684</v>
      </c>
      <c r="L2231" t="s">
        <v>7687</v>
      </c>
      <c r="N2231" t="str" cm="1">
        <f t="array" ref="N2231">IFERROR(LOOKUP(2,1/SEARCH($S$2:$S$65,G2231),$T$2:$T$65),"Misc")</f>
        <v>COTS</v>
      </c>
      <c r="O2231" t="str" cm="1">
        <f t="array" ref="O2231">IFERROR(LOOKUP(2,1/SEARCH($V$2:$V$65,G2231),$W$2:$W$65),"Misc")</f>
        <v>Fasteners</v>
      </c>
      <c r="P2231" t="str" cm="1">
        <f t="array" ref="P2231">IFERROR(LOOKUP(2,1/SEARCH($Y$2:$Y$65,G2231),$Z$2:$Z$65),"Not Defined")</f>
        <v>INSERT</v>
      </c>
      <c r="Q2231" t="str" cm="1">
        <f t="array" ref="Q2231">IFERROR(LOOKUP(2,1/SEARCH($S$2:$S$65,H2231),$T$2:$T$65),"-")</f>
        <v>COTS</v>
      </c>
    </row>
    <row r="2232" spans="1:17" hidden="1" x14ac:dyDescent="0.25">
      <c r="A2232" t="s">
        <v>7675</v>
      </c>
      <c r="B2232" s="2" t="s">
        <v>5700</v>
      </c>
      <c r="C2232">
        <v>2</v>
      </c>
      <c r="D2232" t="s">
        <v>7573</v>
      </c>
      <c r="E2232" t="s">
        <v>7941</v>
      </c>
      <c r="F2232" t="s">
        <v>268</v>
      </c>
      <c r="G2232" t="s">
        <v>7061</v>
      </c>
      <c r="H2232" t="s">
        <v>269</v>
      </c>
      <c r="I2232" t="s">
        <v>224</v>
      </c>
      <c r="J2232" t="s">
        <v>7703</v>
      </c>
      <c r="K2232" t="s">
        <v>7684</v>
      </c>
      <c r="L2232" t="s">
        <v>7687</v>
      </c>
      <c r="N2232" t="str" cm="1">
        <f t="array" ref="N2232">IFERROR(LOOKUP(2,1/SEARCH($S$2:$S$65,G2232),$T$2:$T$65),"Misc")</f>
        <v>COTS</v>
      </c>
      <c r="O2232" t="str" cm="1">
        <f t="array" ref="O2232">IFERROR(LOOKUP(2,1/SEARCH($V$2:$V$65,G2232),$W$2:$W$65),"Misc")</f>
        <v>Fasteners</v>
      </c>
      <c r="P2232" t="str" cm="1">
        <f t="array" ref="P2232">IFERROR(LOOKUP(2,1/SEARCH($Y$2:$Y$65,G2232),$Z$2:$Z$65),"Not Defined")</f>
        <v>INSERT</v>
      </c>
      <c r="Q2232" t="str" cm="1">
        <f t="array" ref="Q2232">IFERROR(LOOKUP(2,1/SEARCH($S$2:$S$65,H2232),$T$2:$T$65),"-")</f>
        <v>COTS</v>
      </c>
    </row>
    <row r="2233" spans="1:17" hidden="1" x14ac:dyDescent="0.25">
      <c r="A2233" t="s">
        <v>7675</v>
      </c>
      <c r="B2233" s="2" t="s">
        <v>5701</v>
      </c>
      <c r="C2233">
        <v>1</v>
      </c>
      <c r="D2233" t="s">
        <v>7573</v>
      </c>
      <c r="E2233" t="s">
        <v>7941</v>
      </c>
      <c r="F2233" t="s">
        <v>265</v>
      </c>
      <c r="G2233" t="s">
        <v>7099</v>
      </c>
      <c r="H2233" t="s">
        <v>266</v>
      </c>
      <c r="I2233" t="s">
        <v>224</v>
      </c>
      <c r="J2233" t="s">
        <v>7703</v>
      </c>
      <c r="K2233" t="s">
        <v>7684</v>
      </c>
      <c r="L2233" t="s">
        <v>7687</v>
      </c>
      <c r="N2233" t="str" cm="1">
        <f t="array" ref="N2233">IFERROR(LOOKUP(2,1/SEARCH($S$2:$S$65,G2233),$T$2:$T$65),"Misc")</f>
        <v>COTS</v>
      </c>
      <c r="O2233" t="str" cm="1">
        <f t="array" ref="O2233">IFERROR(LOOKUP(2,1/SEARCH($V$2:$V$65,G2233),$W$2:$W$65),"Misc")</f>
        <v>Fasteners</v>
      </c>
      <c r="P2233" t="str" cm="1">
        <f t="array" ref="P2233">IFERROR(LOOKUP(2,1/SEARCH($Y$2:$Y$65,G2233),$Z$2:$Z$65),"Not Defined")</f>
        <v>INSERT</v>
      </c>
      <c r="Q2233" t="str" cm="1">
        <f t="array" ref="Q2233">IFERROR(LOOKUP(2,1/SEARCH($S$2:$S$65,H2233),$T$2:$T$65),"-")</f>
        <v>COTS</v>
      </c>
    </row>
    <row r="2234" spans="1:17" hidden="1" x14ac:dyDescent="0.25">
      <c r="A2234" t="s">
        <v>7675</v>
      </c>
      <c r="B2234" s="2" t="s">
        <v>5702</v>
      </c>
      <c r="C2234">
        <v>1</v>
      </c>
      <c r="D2234" t="s">
        <v>7573</v>
      </c>
      <c r="E2234" t="s">
        <v>7942</v>
      </c>
      <c r="F2234" t="s">
        <v>5703</v>
      </c>
      <c r="G2234" t="s">
        <v>5705</v>
      </c>
      <c r="H2234" t="s">
        <v>5704</v>
      </c>
      <c r="J2234" t="s">
        <v>7742</v>
      </c>
      <c r="K2234" t="s">
        <v>7826</v>
      </c>
      <c r="L2234" t="s">
        <v>7826</v>
      </c>
      <c r="N2234" t="str" cm="1">
        <f t="array" ref="N2234">IFERROR(LOOKUP(2,1/SEARCH($S$2:$S$65,G2234),$T$2:$T$65),"Misc")</f>
        <v>OH ASSY</v>
      </c>
      <c r="O2234" t="str" cm="1">
        <f t="array" ref="O2234">IFERROR(LOOKUP(2,1/SEARCH($V$2:$V$65,G2234),$W$2:$W$65),"Misc")</f>
        <v>OH Part</v>
      </c>
      <c r="P2234" t="str" cm="1">
        <f t="array" ref="P2234">IFERROR(LOOKUP(2,1/SEARCH($Y$2:$Y$65,G2234),$Z$2:$Z$65),"Not Defined")</f>
        <v>OH Part</v>
      </c>
      <c r="Q2234" t="str" cm="1">
        <f t="array" ref="Q2234">IFERROR(LOOKUP(2,1/SEARCH($S$2:$S$65,H2234),$T$2:$T$65),"-")</f>
        <v>OH ASSY</v>
      </c>
    </row>
    <row r="2235" spans="1:17" hidden="1" x14ac:dyDescent="0.25">
      <c r="A2235" t="s">
        <v>7675</v>
      </c>
      <c r="B2235" s="2" t="s">
        <v>5706</v>
      </c>
      <c r="C2235">
        <v>1</v>
      </c>
      <c r="D2235" t="s">
        <v>7573</v>
      </c>
      <c r="E2235" t="s">
        <v>7942</v>
      </c>
      <c r="F2235" t="s">
        <v>5707</v>
      </c>
      <c r="G2235" t="s">
        <v>5709</v>
      </c>
      <c r="H2235" t="s">
        <v>5708</v>
      </c>
      <c r="I2235" t="s">
        <v>1265</v>
      </c>
      <c r="J2235" t="s">
        <v>7682</v>
      </c>
      <c r="K2235" t="s">
        <v>7826</v>
      </c>
      <c r="L2235" t="s">
        <v>7826</v>
      </c>
      <c r="N2235" t="str" cm="1">
        <f t="array" ref="N2235">IFERROR(LOOKUP(2,1/SEARCH($S$2:$S$65,G2235),$T$2:$T$65),"Misc")</f>
        <v>OH P/N</v>
      </c>
      <c r="O2235" t="str" cm="1">
        <f t="array" ref="O2235">IFERROR(LOOKUP(2,1/SEARCH($V$2:$V$65,G2235),$W$2:$W$65),"Misc")</f>
        <v>OH Part</v>
      </c>
      <c r="P2235" t="str" cm="1">
        <f t="array" ref="P2235">IFERROR(LOOKUP(2,1/SEARCH($Y$2:$Y$65,G2235),$Z$2:$Z$65),"Not Defined")</f>
        <v>OH Part</v>
      </c>
      <c r="Q2235" t="str" cm="1">
        <f t="array" ref="Q2235">IFERROR(LOOKUP(2,1/SEARCH($S$2:$S$65,H2235),$T$2:$T$65),"-")</f>
        <v>-</v>
      </c>
    </row>
    <row r="2236" spans="1:17" hidden="1" x14ac:dyDescent="0.25">
      <c r="A2236" t="s">
        <v>7675</v>
      </c>
      <c r="B2236" s="2" t="s">
        <v>5710</v>
      </c>
      <c r="C2236">
        <v>1</v>
      </c>
      <c r="D2236" t="s">
        <v>7573</v>
      </c>
      <c r="E2236" t="s">
        <v>7942</v>
      </c>
      <c r="F2236" t="s">
        <v>5711</v>
      </c>
      <c r="G2236" t="s">
        <v>5713</v>
      </c>
      <c r="H2236" t="s">
        <v>5712</v>
      </c>
      <c r="I2236" t="s">
        <v>13</v>
      </c>
      <c r="J2236" t="s">
        <v>7682</v>
      </c>
      <c r="K2236" t="s">
        <v>7826</v>
      </c>
      <c r="L2236" t="s">
        <v>7826</v>
      </c>
      <c r="N2236" t="str" cm="1">
        <f t="array" ref="N2236">IFERROR(LOOKUP(2,1/SEARCH($S$2:$S$65,G2236),$T$2:$T$65),"Misc")</f>
        <v>OH P/N</v>
      </c>
      <c r="O2236" t="str" cm="1">
        <f t="array" ref="O2236">IFERROR(LOOKUP(2,1/SEARCH($V$2:$V$65,G2236),$W$2:$W$65),"Misc")</f>
        <v>OH Part</v>
      </c>
      <c r="P2236" t="str" cm="1">
        <f t="array" ref="P2236">IFERROR(LOOKUP(2,1/SEARCH($Y$2:$Y$65,G2236),$Z$2:$Z$65),"Not Defined")</f>
        <v>OH Part</v>
      </c>
      <c r="Q2236" t="str" cm="1">
        <f t="array" ref="Q2236">IFERROR(LOOKUP(2,1/SEARCH($S$2:$S$65,H2236),$T$2:$T$65),"-")</f>
        <v>-</v>
      </c>
    </row>
    <row r="2237" spans="1:17" hidden="1" x14ac:dyDescent="0.25">
      <c r="A2237" t="s">
        <v>7675</v>
      </c>
      <c r="B2237" s="2" t="s">
        <v>5714</v>
      </c>
      <c r="C2237">
        <v>1</v>
      </c>
      <c r="D2237" t="s">
        <v>7573</v>
      </c>
      <c r="E2237" t="s">
        <v>7942</v>
      </c>
      <c r="F2237" t="s">
        <v>5113</v>
      </c>
      <c r="G2237" t="s">
        <v>7530</v>
      </c>
      <c r="H2237" t="s">
        <v>5114</v>
      </c>
      <c r="I2237" t="s">
        <v>228</v>
      </c>
      <c r="J2237" t="s">
        <v>7703</v>
      </c>
      <c r="K2237" t="s">
        <v>7684</v>
      </c>
      <c r="L2237" t="s">
        <v>7685</v>
      </c>
      <c r="N2237" t="str" cm="1">
        <f t="array" ref="N2237">IFERROR(LOOKUP(2,1/SEARCH($S$2:$S$65,G2237),$T$2:$T$65),"Misc")</f>
        <v>COTS</v>
      </c>
      <c r="O2237" t="str" cm="1">
        <f t="array" ref="O2237">IFERROR(LOOKUP(2,1/SEARCH($V$2:$V$65,G2237),$W$2:$W$65),"Misc")</f>
        <v>Fasteners</v>
      </c>
      <c r="P2237" t="str" cm="1">
        <f t="array" ref="P2237">IFERROR(LOOKUP(2,1/SEARCH($Y$2:$Y$65,G2237),$Z$2:$Z$65),"Not Defined")</f>
        <v>NUT</v>
      </c>
      <c r="Q2237" t="str" cm="1">
        <f t="array" ref="Q2237">IFERROR(LOOKUP(2,1/SEARCH($S$2:$S$65,H2237),$T$2:$T$65),"-")</f>
        <v>COTS</v>
      </c>
    </row>
    <row r="2238" spans="1:17" hidden="1" x14ac:dyDescent="0.25">
      <c r="A2238" t="s">
        <v>7675</v>
      </c>
      <c r="B2238" s="2" t="s">
        <v>5715</v>
      </c>
      <c r="C2238">
        <v>1</v>
      </c>
      <c r="D2238" t="s">
        <v>7573</v>
      </c>
      <c r="E2238" t="s">
        <v>7942</v>
      </c>
      <c r="F2238" t="s">
        <v>1285</v>
      </c>
      <c r="G2238" t="s">
        <v>7199</v>
      </c>
      <c r="H2238" t="s">
        <v>1286</v>
      </c>
      <c r="I2238" t="s">
        <v>210</v>
      </c>
      <c r="J2238" t="s">
        <v>7703</v>
      </c>
      <c r="K2238" t="s">
        <v>7684</v>
      </c>
      <c r="L2238" t="s">
        <v>7700</v>
      </c>
      <c r="N2238" t="str" cm="1">
        <f t="array" ref="N2238">IFERROR(LOOKUP(2,1/SEARCH($S$2:$S$65,G2238),$T$2:$T$65),"Misc")</f>
        <v>COTS</v>
      </c>
      <c r="O2238" t="str" cm="1">
        <f t="array" ref="O2238">IFERROR(LOOKUP(2,1/SEARCH($V$2:$V$65,G2238),$W$2:$W$65),"Misc")</f>
        <v>Fasteners</v>
      </c>
      <c r="P2238" t="str" cm="1">
        <f t="array" ref="P2238">IFERROR(LOOKUP(2,1/SEARCH($Y$2:$Y$65,G2238),$Z$2:$Z$65),"Not Defined")</f>
        <v>SHCS</v>
      </c>
      <c r="Q2238" t="str" cm="1">
        <f t="array" ref="Q2238">IFERROR(LOOKUP(2,1/SEARCH($S$2:$S$65,H2238),$T$2:$T$65),"-")</f>
        <v>COTS</v>
      </c>
    </row>
    <row r="2239" spans="1:17" hidden="1" x14ac:dyDescent="0.25">
      <c r="A2239" t="s">
        <v>7675</v>
      </c>
      <c r="B2239" s="2" t="s">
        <v>5716</v>
      </c>
      <c r="C2239">
        <v>1</v>
      </c>
      <c r="D2239" t="s">
        <v>7573</v>
      </c>
      <c r="E2239" t="s">
        <v>5618</v>
      </c>
      <c r="F2239" t="s">
        <v>5717</v>
      </c>
      <c r="G2239" t="s">
        <v>7580</v>
      </c>
      <c r="H2239" t="s">
        <v>5718</v>
      </c>
      <c r="I2239" t="s">
        <v>255</v>
      </c>
      <c r="J2239" t="s">
        <v>7703</v>
      </c>
      <c r="K2239" t="s">
        <v>7814</v>
      </c>
      <c r="L2239" t="s">
        <v>7834</v>
      </c>
      <c r="N2239" t="str" cm="1">
        <f t="array" ref="N2239">IFERROR(LOOKUP(2,1/SEARCH($S$2:$S$65,G2239),$T$2:$T$65),"Misc")</f>
        <v>Misc</v>
      </c>
      <c r="O2239" t="str" cm="1">
        <f t="array" ref="O2239">IFERROR(LOOKUP(2,1/SEARCH($V$2:$V$65,G2239),$W$2:$W$65),"Misc")</f>
        <v>Misc</v>
      </c>
      <c r="P2239" t="str" cm="1">
        <f t="array" ref="P2239">IFERROR(LOOKUP(2,1/SEARCH($Y$2:$Y$65,G2239),$Z$2:$Z$65),"Not Defined")</f>
        <v>Not Defined</v>
      </c>
      <c r="Q2239" t="str" cm="1">
        <f t="array" ref="Q2239">IFERROR(LOOKUP(2,1/SEARCH($S$2:$S$65,H2239),$T$2:$T$65),"-")</f>
        <v>-</v>
      </c>
    </row>
    <row r="2240" spans="1:17" hidden="1" x14ac:dyDescent="0.25">
      <c r="A2240" t="s">
        <v>7675</v>
      </c>
      <c r="B2240" s="2" t="s">
        <v>5719</v>
      </c>
      <c r="C2240">
        <v>2</v>
      </c>
      <c r="D2240" t="s">
        <v>7573</v>
      </c>
      <c r="E2240" t="s">
        <v>5618</v>
      </c>
      <c r="F2240" t="s">
        <v>5720</v>
      </c>
      <c r="G2240" t="s">
        <v>7581</v>
      </c>
      <c r="H2240" t="s">
        <v>5721</v>
      </c>
      <c r="I2240" t="s">
        <v>5722</v>
      </c>
      <c r="J2240" t="s">
        <v>7703</v>
      </c>
      <c r="K2240" t="s">
        <v>7684</v>
      </c>
      <c r="L2240" t="s">
        <v>7692</v>
      </c>
      <c r="N2240" t="str" cm="1">
        <f t="array" ref="N2240">IFERROR(LOOKUP(2,1/SEARCH($S$2:$S$65,G2240),$T$2:$T$65),"Misc")</f>
        <v>COTS</v>
      </c>
      <c r="O2240" t="str" cm="1">
        <f t="array" ref="O2240">IFERROR(LOOKUP(2,1/SEARCH($V$2:$V$65,G2240),$W$2:$W$65),"Misc")</f>
        <v>Fasteners</v>
      </c>
      <c r="P2240" t="str" cm="1">
        <f t="array" ref="P2240">IFERROR(LOOKUP(2,1/SEARCH($Y$2:$Y$65,G2240),$Z$2:$Z$65),"Not Defined")</f>
        <v>WASHER</v>
      </c>
      <c r="Q2240" t="str" cm="1">
        <f t="array" ref="Q2240">IFERROR(LOOKUP(2,1/SEARCH($S$2:$S$65,H2240),$T$2:$T$65),"-")</f>
        <v>COTS</v>
      </c>
    </row>
    <row r="2241" spans="1:17" hidden="1" x14ac:dyDescent="0.25">
      <c r="A2241" t="s">
        <v>7675</v>
      </c>
      <c r="B2241" s="2" t="s">
        <v>5723</v>
      </c>
      <c r="C2241">
        <v>1</v>
      </c>
      <c r="D2241" t="s">
        <v>7573</v>
      </c>
      <c r="E2241" t="s">
        <v>5618</v>
      </c>
      <c r="F2241" t="s">
        <v>5724</v>
      </c>
      <c r="G2241" t="s">
        <v>7582</v>
      </c>
      <c r="H2241" t="s">
        <v>5725</v>
      </c>
      <c r="J2241" t="s">
        <v>7703</v>
      </c>
      <c r="K2241" t="s">
        <v>7719</v>
      </c>
      <c r="L2241" t="s">
        <v>7688</v>
      </c>
      <c r="N2241" t="str" cm="1">
        <f t="array" ref="N2241">IFERROR(LOOKUP(2,1/SEARCH($S$2:$S$65,G2241),$T$2:$T$65),"Misc")</f>
        <v>COTS</v>
      </c>
      <c r="O2241" t="str" cm="1">
        <f t="array" ref="O2241">IFERROR(LOOKUP(2,1/SEARCH($V$2:$V$65,G2241),$W$2:$W$65),"Misc")</f>
        <v>Misc</v>
      </c>
      <c r="P2241" t="str" cm="1">
        <f t="array" ref="P2241">IFERROR(LOOKUP(2,1/SEARCH($Y$2:$Y$65,G2241),$Z$2:$Z$65),"Not Defined")</f>
        <v>SPRING</v>
      </c>
      <c r="Q2241" t="str" cm="1">
        <f t="array" ref="Q2241">IFERROR(LOOKUP(2,1/SEARCH($S$2:$S$65,H2241),$T$2:$T$65),"-")</f>
        <v>COTS</v>
      </c>
    </row>
    <row r="2242" spans="1:17" hidden="1" x14ac:dyDescent="0.25">
      <c r="A2242" t="s">
        <v>7675</v>
      </c>
      <c r="B2242" s="2" t="s">
        <v>5726</v>
      </c>
      <c r="C2242">
        <v>4</v>
      </c>
      <c r="D2242" t="s">
        <v>7573</v>
      </c>
      <c r="E2242" t="s">
        <v>5618</v>
      </c>
      <c r="F2242" t="s">
        <v>442</v>
      </c>
      <c r="G2242" t="s">
        <v>7087</v>
      </c>
      <c r="H2242" t="s">
        <v>443</v>
      </c>
      <c r="I2242" t="s">
        <v>228</v>
      </c>
      <c r="J2242" t="s">
        <v>7703</v>
      </c>
      <c r="K2242" t="s">
        <v>7684</v>
      </c>
      <c r="L2242" t="s">
        <v>7692</v>
      </c>
      <c r="N2242" t="str" cm="1">
        <f t="array" ref="N2242">IFERROR(LOOKUP(2,1/SEARCH($S$2:$S$65,G2242),$T$2:$T$65),"Misc")</f>
        <v>COTS</v>
      </c>
      <c r="O2242" t="str" cm="1">
        <f t="array" ref="O2242">IFERROR(LOOKUP(2,1/SEARCH($V$2:$V$65,G2242),$W$2:$W$65),"Misc")</f>
        <v>Fasteners</v>
      </c>
      <c r="P2242" t="str" cm="1">
        <f t="array" ref="P2242">IFERROR(LOOKUP(2,1/SEARCH($Y$2:$Y$65,G2242),$Z$2:$Z$65),"Not Defined")</f>
        <v>WASHER</v>
      </c>
      <c r="Q2242" t="str" cm="1">
        <f t="array" ref="Q2242">IFERROR(LOOKUP(2,1/SEARCH($S$2:$S$65,H2242),$T$2:$T$65),"-")</f>
        <v>COTS</v>
      </c>
    </row>
    <row r="2243" spans="1:17" hidden="1" x14ac:dyDescent="0.25">
      <c r="A2243" t="s">
        <v>7675</v>
      </c>
      <c r="B2243" s="2" t="s">
        <v>5727</v>
      </c>
      <c r="C2243">
        <v>4</v>
      </c>
      <c r="D2243" t="s">
        <v>7573</v>
      </c>
      <c r="E2243" t="s">
        <v>5618</v>
      </c>
      <c r="F2243" t="s">
        <v>4248</v>
      </c>
      <c r="G2243" t="s">
        <v>7437</v>
      </c>
      <c r="H2243" t="s">
        <v>4249</v>
      </c>
      <c r="I2243" t="s">
        <v>228</v>
      </c>
      <c r="J2243" t="s">
        <v>7703</v>
      </c>
      <c r="K2243" t="s">
        <v>7684</v>
      </c>
      <c r="L2243" t="s">
        <v>7693</v>
      </c>
      <c r="N2243" t="str" cm="1">
        <f t="array" ref="N2243">IFERROR(LOOKUP(2,1/SEARCH($S$2:$S$65,G2243),$T$2:$T$65),"Misc")</f>
        <v>COTS</v>
      </c>
      <c r="O2243" t="str" cm="1">
        <f t="array" ref="O2243">IFERROR(LOOKUP(2,1/SEARCH($V$2:$V$65,G2243),$W$2:$W$65),"Misc")</f>
        <v>Fasteners</v>
      </c>
      <c r="P2243" t="str" cm="1">
        <f t="array" ref="P2243">IFERROR(LOOKUP(2,1/SEARCH($Y$2:$Y$65,G2243),$Z$2:$Z$65),"Not Defined")</f>
        <v>PHS</v>
      </c>
      <c r="Q2243" t="str" cm="1">
        <f t="array" ref="Q2243">IFERROR(LOOKUP(2,1/SEARCH($S$2:$S$65,H2243),$T$2:$T$65),"-")</f>
        <v>COTS</v>
      </c>
    </row>
    <row r="2244" spans="1:17" hidden="1" x14ac:dyDescent="0.25">
      <c r="A2244" t="s">
        <v>7675</v>
      </c>
      <c r="B2244" s="2" t="s">
        <v>5728</v>
      </c>
      <c r="C2244">
        <v>4</v>
      </c>
      <c r="D2244" t="s">
        <v>7573</v>
      </c>
      <c r="E2244" t="s">
        <v>5618</v>
      </c>
      <c r="F2244" t="s">
        <v>5729</v>
      </c>
      <c r="G2244" t="s">
        <v>7583</v>
      </c>
      <c r="H2244" t="s">
        <v>5730</v>
      </c>
      <c r="I2244" t="s">
        <v>228</v>
      </c>
      <c r="J2244" t="s">
        <v>7703</v>
      </c>
      <c r="K2244" t="s">
        <v>7684</v>
      </c>
      <c r="L2244" t="s">
        <v>7691</v>
      </c>
      <c r="N2244" t="str" cm="1">
        <f t="array" ref="N2244">IFERROR(LOOKUP(2,1/SEARCH($S$2:$S$65,G2244),$T$2:$T$65),"Misc")</f>
        <v>COTS</v>
      </c>
      <c r="O2244" t="str" cm="1">
        <f t="array" ref="O2244">IFERROR(LOOKUP(2,1/SEARCH($V$2:$V$65,G2244),$W$2:$W$65),"Misc")</f>
        <v>Fasteners</v>
      </c>
      <c r="P2244" t="str" cm="1">
        <f t="array" ref="P2244">IFERROR(LOOKUP(2,1/SEARCH($Y$2:$Y$65,G2244),$Z$2:$Z$65),"Not Defined")</f>
        <v>FHS</v>
      </c>
      <c r="Q2244" t="str" cm="1">
        <f t="array" ref="Q2244">IFERROR(LOOKUP(2,1/SEARCH($S$2:$S$65,H2244),$T$2:$T$65),"-")</f>
        <v>COTS</v>
      </c>
    </row>
    <row r="2245" spans="1:17" hidden="1" x14ac:dyDescent="0.25">
      <c r="A2245" t="s">
        <v>7675</v>
      </c>
      <c r="B2245" s="2" t="s">
        <v>5731</v>
      </c>
      <c r="C2245">
        <v>6</v>
      </c>
      <c r="D2245" t="s">
        <v>7573</v>
      </c>
      <c r="E2245" t="s">
        <v>5618</v>
      </c>
      <c r="F2245" t="s">
        <v>609</v>
      </c>
      <c r="G2245" t="s">
        <v>7109</v>
      </c>
      <c r="H2245" t="s">
        <v>610</v>
      </c>
      <c r="I2245" t="s">
        <v>228</v>
      </c>
      <c r="J2245" t="s">
        <v>7703</v>
      </c>
      <c r="K2245" t="s">
        <v>7684</v>
      </c>
      <c r="L2245" t="s">
        <v>7692</v>
      </c>
      <c r="N2245" t="str" cm="1">
        <f t="array" ref="N2245">IFERROR(LOOKUP(2,1/SEARCH($S$2:$S$65,G2245),$T$2:$T$65),"Misc")</f>
        <v>COTS</v>
      </c>
      <c r="O2245" t="str" cm="1">
        <f t="array" ref="O2245">IFERROR(LOOKUP(2,1/SEARCH($V$2:$V$65,G2245),$W$2:$W$65),"Misc")</f>
        <v>Fasteners</v>
      </c>
      <c r="P2245" t="str" cm="1">
        <f t="array" ref="P2245">IFERROR(LOOKUP(2,1/SEARCH($Y$2:$Y$65,G2245),$Z$2:$Z$65),"Not Defined")</f>
        <v>WASHER</v>
      </c>
      <c r="Q2245" t="str" cm="1">
        <f t="array" ref="Q2245">IFERROR(LOOKUP(2,1/SEARCH($S$2:$S$65,H2245),$T$2:$T$65),"-")</f>
        <v>COTS</v>
      </c>
    </row>
    <row r="2246" spans="1:17" hidden="1" x14ac:dyDescent="0.25">
      <c r="A2246" t="s">
        <v>7675</v>
      </c>
      <c r="B2246" s="2" t="s">
        <v>5732</v>
      </c>
      <c r="C2246">
        <v>2</v>
      </c>
      <c r="D2246" t="s">
        <v>7573</v>
      </c>
      <c r="E2246" t="s">
        <v>5618</v>
      </c>
      <c r="F2246" t="s">
        <v>5733</v>
      </c>
      <c r="G2246" t="s">
        <v>7584</v>
      </c>
      <c r="H2246" t="s">
        <v>5734</v>
      </c>
      <c r="I2246" t="s">
        <v>255</v>
      </c>
      <c r="J2246" t="s">
        <v>7703</v>
      </c>
      <c r="K2246" t="s">
        <v>7677</v>
      </c>
      <c r="L2246" t="s">
        <v>7677</v>
      </c>
      <c r="N2246" t="str" cm="1">
        <f t="array" ref="N2246">IFERROR(LOOKUP(2,1/SEARCH($S$2:$S$65,G2246),$T$2:$T$65),"Misc")</f>
        <v>COTS</v>
      </c>
      <c r="O2246" t="str" cm="1">
        <f t="array" ref="O2246">IFERROR(LOOKUP(2,1/SEARCH($V$2:$V$65,G2246),$W$2:$W$65),"Misc")</f>
        <v>SWITCH</v>
      </c>
      <c r="P2246" t="str" cm="1">
        <f t="array" ref="P2246">IFERROR(LOOKUP(2,1/SEARCH($Y$2:$Y$65,G2246),$Z$2:$Z$65),"Not Defined")</f>
        <v>SWITCH</v>
      </c>
      <c r="Q2246" t="str" cm="1">
        <f t="array" ref="Q2246">IFERROR(LOOKUP(2,1/SEARCH($S$2:$S$65,H2246),$T$2:$T$65),"-")</f>
        <v>COTS</v>
      </c>
    </row>
    <row r="2247" spans="1:17" hidden="1" x14ac:dyDescent="0.25">
      <c r="A2247" t="s">
        <v>7675</v>
      </c>
      <c r="B2247" s="2" t="s">
        <v>5735</v>
      </c>
      <c r="C2247">
        <v>2</v>
      </c>
      <c r="D2247" t="s">
        <v>7573</v>
      </c>
      <c r="E2247" t="s">
        <v>5618</v>
      </c>
      <c r="F2247" t="s">
        <v>5736</v>
      </c>
      <c r="G2247" t="s">
        <v>7585</v>
      </c>
      <c r="H2247" t="s">
        <v>5737</v>
      </c>
      <c r="I2247" t="s">
        <v>228</v>
      </c>
      <c r="J2247" t="s">
        <v>7703</v>
      </c>
      <c r="K2247" t="s">
        <v>7684</v>
      </c>
      <c r="L2247" t="s">
        <v>7693</v>
      </c>
      <c r="N2247" t="str" cm="1">
        <f t="array" ref="N2247">IFERROR(LOOKUP(2,1/SEARCH($S$2:$S$65,G2247),$T$2:$T$65),"Misc")</f>
        <v>COTS</v>
      </c>
      <c r="O2247" t="str" cm="1">
        <f t="array" ref="O2247">IFERROR(LOOKUP(2,1/SEARCH($V$2:$V$65,G2247),$W$2:$W$65),"Misc")</f>
        <v>Fasteners</v>
      </c>
      <c r="P2247" t="str" cm="1">
        <f t="array" ref="P2247">IFERROR(LOOKUP(2,1/SEARCH($Y$2:$Y$65,G2247),$Z$2:$Z$65),"Not Defined")</f>
        <v>PHS</v>
      </c>
      <c r="Q2247" t="str" cm="1">
        <f t="array" ref="Q2247">IFERROR(LOOKUP(2,1/SEARCH($S$2:$S$65,H2247),$T$2:$T$65),"-")</f>
        <v>COTS</v>
      </c>
    </row>
    <row r="2248" spans="1:17" hidden="1" x14ac:dyDescent="0.25">
      <c r="A2248" t="s">
        <v>7675</v>
      </c>
      <c r="B2248" s="2" t="s">
        <v>5738</v>
      </c>
      <c r="C2248">
        <v>2</v>
      </c>
      <c r="D2248" t="s">
        <v>7573</v>
      </c>
      <c r="E2248" t="s">
        <v>5618</v>
      </c>
      <c r="F2248" t="s">
        <v>586</v>
      </c>
      <c r="G2248" t="s">
        <v>7107</v>
      </c>
      <c r="H2248" t="s">
        <v>587</v>
      </c>
      <c r="I2248" t="s">
        <v>210</v>
      </c>
      <c r="J2248" t="s">
        <v>7703</v>
      </c>
      <c r="K2248" t="s">
        <v>7684</v>
      </c>
      <c r="L2248" t="s">
        <v>7693</v>
      </c>
      <c r="N2248" t="str" cm="1">
        <f t="array" ref="N2248">IFERROR(LOOKUP(2,1/SEARCH($S$2:$S$65,G2248),$T$2:$T$65),"Misc")</f>
        <v>COTS</v>
      </c>
      <c r="O2248" t="str" cm="1">
        <f t="array" ref="O2248">IFERROR(LOOKUP(2,1/SEARCH($V$2:$V$65,G2248),$W$2:$W$65),"Misc")</f>
        <v>Fasteners</v>
      </c>
      <c r="P2248" t="str" cm="1">
        <f t="array" ref="P2248">IFERROR(LOOKUP(2,1/SEARCH($Y$2:$Y$65,G2248),$Z$2:$Z$65),"Not Defined")</f>
        <v>PHS</v>
      </c>
      <c r="Q2248" t="str" cm="1">
        <f t="array" ref="Q2248">IFERROR(LOOKUP(2,1/SEARCH($S$2:$S$65,H2248),$T$2:$T$65),"-")</f>
        <v>COTS</v>
      </c>
    </row>
    <row r="2249" spans="1:17" hidden="1" x14ac:dyDescent="0.25">
      <c r="A2249" t="s">
        <v>7675</v>
      </c>
      <c r="B2249" s="2" t="s">
        <v>5739</v>
      </c>
      <c r="C2249">
        <v>1</v>
      </c>
      <c r="D2249" t="s">
        <v>7573</v>
      </c>
      <c r="E2249" t="s">
        <v>7943</v>
      </c>
      <c r="F2249" t="s">
        <v>5740</v>
      </c>
      <c r="G2249" t="s">
        <v>5742</v>
      </c>
      <c r="H2249" t="s">
        <v>5741</v>
      </c>
      <c r="J2249" t="s">
        <v>7742</v>
      </c>
      <c r="K2249" t="s">
        <v>7826</v>
      </c>
      <c r="L2249" t="s">
        <v>7826</v>
      </c>
      <c r="N2249" t="str" cm="1">
        <f t="array" ref="N2249">IFERROR(LOOKUP(2,1/SEARCH($S$2:$S$65,G2249),$T$2:$T$65),"Misc")</f>
        <v>OH ASSY</v>
      </c>
      <c r="O2249" t="str" cm="1">
        <f t="array" ref="O2249">IFERROR(LOOKUP(2,1/SEARCH($V$2:$V$65,G2249),$W$2:$W$65),"Misc")</f>
        <v>OH Part</v>
      </c>
      <c r="P2249" t="str" cm="1">
        <f t="array" ref="P2249">IFERROR(LOOKUP(2,1/SEARCH($Y$2:$Y$65,G2249),$Z$2:$Z$65),"Not Defined")</f>
        <v>OH Part</v>
      </c>
      <c r="Q2249" t="str" cm="1">
        <f t="array" ref="Q2249">IFERROR(LOOKUP(2,1/SEARCH($S$2:$S$65,H2249),$T$2:$T$65),"-")</f>
        <v>OH ASSY</v>
      </c>
    </row>
    <row r="2250" spans="1:17" hidden="1" x14ac:dyDescent="0.25">
      <c r="A2250" t="s">
        <v>7675</v>
      </c>
      <c r="B2250" s="2" t="s">
        <v>5743</v>
      </c>
      <c r="C2250">
        <v>1</v>
      </c>
      <c r="D2250" t="s">
        <v>7573</v>
      </c>
      <c r="E2250" t="s">
        <v>7943</v>
      </c>
      <c r="F2250" t="s">
        <v>5744</v>
      </c>
      <c r="G2250" t="s">
        <v>5746</v>
      </c>
      <c r="H2250" t="s">
        <v>5745</v>
      </c>
      <c r="I2250" t="s">
        <v>13</v>
      </c>
      <c r="J2250" t="s">
        <v>7682</v>
      </c>
      <c r="K2250" t="s">
        <v>7826</v>
      </c>
      <c r="L2250" t="s">
        <v>7826</v>
      </c>
      <c r="N2250" t="str" cm="1">
        <f t="array" ref="N2250">IFERROR(LOOKUP(2,1/SEARCH($S$2:$S$65,G2250),$T$2:$T$65),"Misc")</f>
        <v>OH P/N</v>
      </c>
      <c r="O2250" t="str" cm="1">
        <f t="array" ref="O2250">IFERROR(LOOKUP(2,1/SEARCH($V$2:$V$65,G2250),$W$2:$W$65),"Misc")</f>
        <v>OH Part</v>
      </c>
      <c r="P2250" t="str" cm="1">
        <f t="array" ref="P2250">IFERROR(LOOKUP(2,1/SEARCH($Y$2:$Y$65,G2250),$Z$2:$Z$65),"Not Defined")</f>
        <v>OH Part</v>
      </c>
      <c r="Q2250" t="str" cm="1">
        <f t="array" ref="Q2250">IFERROR(LOOKUP(2,1/SEARCH($S$2:$S$65,H2250),$T$2:$T$65),"-")</f>
        <v>COTS</v>
      </c>
    </row>
    <row r="2251" spans="1:17" hidden="1" x14ac:dyDescent="0.25">
      <c r="A2251" t="s">
        <v>7675</v>
      </c>
      <c r="B2251" s="2" t="s">
        <v>5747</v>
      </c>
      <c r="C2251">
        <v>2</v>
      </c>
      <c r="D2251" t="s">
        <v>7573</v>
      </c>
      <c r="E2251" t="s">
        <v>7943</v>
      </c>
      <c r="F2251" t="s">
        <v>268</v>
      </c>
      <c r="G2251" t="s">
        <v>7061</v>
      </c>
      <c r="H2251" t="s">
        <v>269</v>
      </c>
      <c r="I2251" t="s">
        <v>224</v>
      </c>
      <c r="J2251" t="s">
        <v>7703</v>
      </c>
      <c r="K2251" t="s">
        <v>7684</v>
      </c>
      <c r="L2251" t="s">
        <v>7687</v>
      </c>
      <c r="N2251" t="str" cm="1">
        <f t="array" ref="N2251">IFERROR(LOOKUP(2,1/SEARCH($S$2:$S$65,G2251),$T$2:$T$65),"Misc")</f>
        <v>COTS</v>
      </c>
      <c r="O2251" t="str" cm="1">
        <f t="array" ref="O2251">IFERROR(LOOKUP(2,1/SEARCH($V$2:$V$65,G2251),$W$2:$W$65),"Misc")</f>
        <v>Fasteners</v>
      </c>
      <c r="P2251" t="str" cm="1">
        <f t="array" ref="P2251">IFERROR(LOOKUP(2,1/SEARCH($Y$2:$Y$65,G2251),$Z$2:$Z$65),"Not Defined")</f>
        <v>INSERT</v>
      </c>
      <c r="Q2251" t="str" cm="1">
        <f t="array" ref="Q2251">IFERROR(LOOKUP(2,1/SEARCH($S$2:$S$65,H2251),$T$2:$T$65),"-")</f>
        <v>COTS</v>
      </c>
    </row>
    <row r="2252" spans="1:17" hidden="1" x14ac:dyDescent="0.25">
      <c r="A2252" t="s">
        <v>7675</v>
      </c>
      <c r="B2252" s="2" t="s">
        <v>5748</v>
      </c>
      <c r="C2252">
        <v>2</v>
      </c>
      <c r="D2252" t="s">
        <v>7573</v>
      </c>
      <c r="E2252" t="s">
        <v>7943</v>
      </c>
      <c r="F2252" t="s">
        <v>5749</v>
      </c>
      <c r="G2252" t="s">
        <v>7586</v>
      </c>
      <c r="H2252" t="s">
        <v>5750</v>
      </c>
      <c r="I2252" t="s">
        <v>228</v>
      </c>
      <c r="J2252" t="s">
        <v>7703</v>
      </c>
      <c r="K2252" t="s">
        <v>7684</v>
      </c>
      <c r="L2252" t="s">
        <v>7693</v>
      </c>
      <c r="N2252" t="str" cm="1">
        <f t="array" ref="N2252">IFERROR(LOOKUP(2,1/SEARCH($S$2:$S$65,G2252),$T$2:$T$65),"Misc")</f>
        <v>COTS</v>
      </c>
      <c r="O2252" t="str" cm="1">
        <f t="array" ref="O2252">IFERROR(LOOKUP(2,1/SEARCH($V$2:$V$65,G2252),$W$2:$W$65),"Misc")</f>
        <v>Fasteners</v>
      </c>
      <c r="P2252" t="str" cm="1">
        <f t="array" ref="P2252">IFERROR(LOOKUP(2,1/SEARCH($Y$2:$Y$65,G2252),$Z$2:$Z$65),"Not Defined")</f>
        <v>PHS</v>
      </c>
      <c r="Q2252" t="str" cm="1">
        <f t="array" ref="Q2252">IFERROR(LOOKUP(2,1/SEARCH($S$2:$S$65,H2252),$T$2:$T$65),"-")</f>
        <v>COTS</v>
      </c>
    </row>
    <row r="2253" spans="1:17" hidden="1" x14ac:dyDescent="0.25">
      <c r="A2253" t="s">
        <v>7675</v>
      </c>
      <c r="B2253" t="s">
        <v>5751</v>
      </c>
      <c r="C2253">
        <v>1</v>
      </c>
      <c r="D2253" t="s">
        <v>7573</v>
      </c>
      <c r="E2253" t="s">
        <v>5753</v>
      </c>
      <c r="F2253" t="s">
        <v>5752</v>
      </c>
      <c r="G2253" t="s">
        <v>5754</v>
      </c>
      <c r="H2253" t="s">
        <v>5753</v>
      </c>
      <c r="J2253" t="s">
        <v>7742</v>
      </c>
      <c r="K2253" t="s">
        <v>7826</v>
      </c>
      <c r="L2253" t="s">
        <v>7826</v>
      </c>
      <c r="N2253" t="str" cm="1">
        <f t="array" ref="N2253">IFERROR(LOOKUP(2,1/SEARCH($S$2:$S$65,G2253),$T$2:$T$65),"Misc")</f>
        <v>OH ASSY</v>
      </c>
      <c r="O2253" t="str" cm="1">
        <f t="array" ref="O2253">IFERROR(LOOKUP(2,1/SEARCH($V$2:$V$65,G2253),$W$2:$W$65),"Misc")</f>
        <v>OH Part</v>
      </c>
      <c r="P2253" t="str" cm="1">
        <f t="array" ref="P2253">IFERROR(LOOKUP(2,1/SEARCH($Y$2:$Y$65,G2253),$Z$2:$Z$65),"Not Defined")</f>
        <v>OH Part</v>
      </c>
      <c r="Q2253" t="str" cm="1">
        <f t="array" ref="Q2253">IFERROR(LOOKUP(2,1/SEARCH($S$2:$S$65,H2253),$T$2:$T$65),"-")</f>
        <v>OH ASSY</v>
      </c>
    </row>
    <row r="2254" spans="1:17" hidden="1" x14ac:dyDescent="0.25">
      <c r="A2254" t="s">
        <v>7675</v>
      </c>
      <c r="B2254" t="s">
        <v>5755</v>
      </c>
      <c r="C2254">
        <v>1</v>
      </c>
      <c r="D2254" t="s">
        <v>7573</v>
      </c>
      <c r="E2254" t="s">
        <v>5753</v>
      </c>
      <c r="F2254" t="s">
        <v>5756</v>
      </c>
      <c r="G2254" t="s">
        <v>5758</v>
      </c>
      <c r="H2254" t="s">
        <v>5757</v>
      </c>
      <c r="I2254" t="s">
        <v>13</v>
      </c>
      <c r="J2254" t="s">
        <v>7682</v>
      </c>
      <c r="K2254" t="s">
        <v>7826</v>
      </c>
      <c r="L2254" t="s">
        <v>7826</v>
      </c>
      <c r="N2254" t="str" cm="1">
        <f t="array" ref="N2254">IFERROR(LOOKUP(2,1/SEARCH($S$2:$S$65,G2254),$T$2:$T$65),"Misc")</f>
        <v>OH P/N</v>
      </c>
      <c r="O2254" t="str" cm="1">
        <f t="array" ref="O2254">IFERROR(LOOKUP(2,1/SEARCH($V$2:$V$65,G2254),$W$2:$W$65),"Misc")</f>
        <v>OH Part</v>
      </c>
      <c r="P2254" t="str" cm="1">
        <f t="array" ref="P2254">IFERROR(LOOKUP(2,1/SEARCH($Y$2:$Y$65,G2254),$Z$2:$Z$65),"Not Defined")</f>
        <v>OH Part</v>
      </c>
      <c r="Q2254" t="str" cm="1">
        <f t="array" ref="Q2254">IFERROR(LOOKUP(2,1/SEARCH($S$2:$S$65,H2254),$T$2:$T$65),"-")</f>
        <v>COTS</v>
      </c>
    </row>
    <row r="2255" spans="1:17" hidden="1" x14ac:dyDescent="0.25">
      <c r="A2255" t="s">
        <v>7675</v>
      </c>
      <c r="B2255" t="s">
        <v>5759</v>
      </c>
      <c r="C2255">
        <v>1</v>
      </c>
      <c r="D2255" t="s">
        <v>7573</v>
      </c>
      <c r="E2255" t="s">
        <v>5753</v>
      </c>
      <c r="F2255" t="s">
        <v>265</v>
      </c>
      <c r="G2255" t="s">
        <v>7099</v>
      </c>
      <c r="H2255" t="s">
        <v>266</v>
      </c>
      <c r="I2255" t="s">
        <v>224</v>
      </c>
      <c r="J2255" t="s">
        <v>7703</v>
      </c>
      <c r="K2255" t="s">
        <v>7684</v>
      </c>
      <c r="L2255" t="s">
        <v>7687</v>
      </c>
      <c r="N2255" t="str" cm="1">
        <f t="array" ref="N2255">IFERROR(LOOKUP(2,1/SEARCH($S$2:$S$65,G2255),$T$2:$T$65),"Misc")</f>
        <v>COTS</v>
      </c>
      <c r="O2255" t="str" cm="1">
        <f t="array" ref="O2255">IFERROR(LOOKUP(2,1/SEARCH($V$2:$V$65,G2255),$W$2:$W$65),"Misc")</f>
        <v>Fasteners</v>
      </c>
      <c r="P2255" t="str" cm="1">
        <f t="array" ref="P2255">IFERROR(LOOKUP(2,1/SEARCH($Y$2:$Y$65,G2255),$Z$2:$Z$65),"Not Defined")</f>
        <v>INSERT</v>
      </c>
      <c r="Q2255" t="str" cm="1">
        <f t="array" ref="Q2255">IFERROR(LOOKUP(2,1/SEARCH($S$2:$S$65,H2255),$T$2:$T$65),"-")</f>
        <v>COTS</v>
      </c>
    </row>
    <row r="2256" spans="1:17" x14ac:dyDescent="0.25">
      <c r="A2256" t="s">
        <v>7675</v>
      </c>
      <c r="B2256" t="s">
        <v>5760</v>
      </c>
      <c r="C2256">
        <v>1</v>
      </c>
      <c r="D2256" t="s">
        <v>7573</v>
      </c>
      <c r="F2256" t="s">
        <v>2527</v>
      </c>
      <c r="G2256" t="s">
        <v>7291</v>
      </c>
      <c r="H2256" t="s">
        <v>2528</v>
      </c>
      <c r="I2256" t="s">
        <v>228</v>
      </c>
      <c r="J2256" t="s">
        <v>7703</v>
      </c>
      <c r="K2256" t="s">
        <v>7684</v>
      </c>
      <c r="L2256" t="s">
        <v>7691</v>
      </c>
      <c r="N2256" t="str" cm="1">
        <f t="array" ref="N2256">IFERROR(LOOKUP(2,1/SEARCH($S$2:$S$65,G2256),$T$2:$T$65),"Misc")</f>
        <v>COTS</v>
      </c>
      <c r="O2256" t="str" cm="1">
        <f t="array" ref="O2256">IFERROR(LOOKUP(2,1/SEARCH($V$2:$V$65,G2256),$W$2:$W$65),"Misc")</f>
        <v>Fasteners</v>
      </c>
      <c r="P2256" t="str" cm="1">
        <f t="array" ref="P2256">IFERROR(LOOKUP(2,1/SEARCH($Y$2:$Y$65,G2256),$Z$2:$Z$65),"Not Defined")</f>
        <v>FHS</v>
      </c>
      <c r="Q2256" t="str" cm="1">
        <f t="array" ref="Q2256">IFERROR(LOOKUP(2,1/SEARCH($S$2:$S$65,H2256),$T$2:$T$65),"-")</f>
        <v>COTS</v>
      </c>
    </row>
    <row r="2257" spans="1:17" x14ac:dyDescent="0.25">
      <c r="A2257" t="s">
        <v>7675</v>
      </c>
      <c r="B2257" t="s">
        <v>5761</v>
      </c>
      <c r="C2257">
        <v>1</v>
      </c>
      <c r="D2257" t="s">
        <v>7573</v>
      </c>
      <c r="F2257" t="s">
        <v>586</v>
      </c>
      <c r="G2257" t="s">
        <v>7107</v>
      </c>
      <c r="H2257" t="s">
        <v>587</v>
      </c>
      <c r="I2257" t="s">
        <v>210</v>
      </c>
      <c r="J2257" t="s">
        <v>7703</v>
      </c>
      <c r="K2257" t="s">
        <v>7684</v>
      </c>
      <c r="L2257" t="s">
        <v>7693</v>
      </c>
      <c r="N2257" t="str" cm="1">
        <f t="array" ref="N2257">IFERROR(LOOKUP(2,1/SEARCH($S$2:$S$65,G2257),$T$2:$T$65),"Misc")</f>
        <v>COTS</v>
      </c>
      <c r="O2257" t="str" cm="1">
        <f t="array" ref="O2257">IFERROR(LOOKUP(2,1/SEARCH($V$2:$V$65,G2257),$W$2:$W$65),"Misc")</f>
        <v>Fasteners</v>
      </c>
      <c r="P2257" t="str" cm="1">
        <f t="array" ref="P2257">IFERROR(LOOKUP(2,1/SEARCH($Y$2:$Y$65,G2257),$Z$2:$Z$65),"Not Defined")</f>
        <v>PHS</v>
      </c>
      <c r="Q2257" t="str" cm="1">
        <f t="array" ref="Q2257">IFERROR(LOOKUP(2,1/SEARCH($S$2:$S$65,H2257),$T$2:$T$65),"-")</f>
        <v>COTS</v>
      </c>
    </row>
    <row r="2258" spans="1:17" hidden="1" x14ac:dyDescent="0.25">
      <c r="A2258" t="s">
        <v>7675</v>
      </c>
      <c r="B2258" t="s">
        <v>5762</v>
      </c>
      <c r="C2258">
        <v>1</v>
      </c>
      <c r="D2258" t="s">
        <v>7573</v>
      </c>
      <c r="E2258" t="s">
        <v>7843</v>
      </c>
      <c r="F2258" t="s">
        <v>5763</v>
      </c>
      <c r="G2258" t="s">
        <v>5764</v>
      </c>
      <c r="H2258" t="s">
        <v>5764</v>
      </c>
      <c r="J2258" t="s">
        <v>7742</v>
      </c>
      <c r="K2258" t="s">
        <v>7826</v>
      </c>
      <c r="L2258" t="s">
        <v>7826</v>
      </c>
      <c r="N2258" t="str" cm="1">
        <f t="array" ref="N2258">IFERROR(LOOKUP(2,1/SEARCH($S$2:$S$65,G2258),$T$2:$T$65),"Misc")</f>
        <v>OH ASSY</v>
      </c>
      <c r="O2258" t="str" cm="1">
        <f t="array" ref="O2258">IFERROR(LOOKUP(2,1/SEARCH($V$2:$V$65,G2258),$W$2:$W$65),"Misc")</f>
        <v>OH Part</v>
      </c>
      <c r="P2258" t="str" cm="1">
        <f t="array" ref="P2258">IFERROR(LOOKUP(2,1/SEARCH($Y$2:$Y$65,G2258),$Z$2:$Z$65),"Not Defined")</f>
        <v>OH Part</v>
      </c>
      <c r="Q2258" t="str" cm="1">
        <f t="array" ref="Q2258">IFERROR(LOOKUP(2,1/SEARCH($S$2:$S$65,H2258),$T$2:$T$65),"-")</f>
        <v>OH ASSY</v>
      </c>
    </row>
    <row r="2259" spans="1:17" hidden="1" x14ac:dyDescent="0.25">
      <c r="A2259" t="s">
        <v>7675</v>
      </c>
      <c r="B2259" t="s">
        <v>5765</v>
      </c>
      <c r="C2259">
        <v>1</v>
      </c>
      <c r="D2259" t="s">
        <v>7573</v>
      </c>
      <c r="E2259" t="s">
        <v>7843</v>
      </c>
      <c r="F2259" t="s">
        <v>5766</v>
      </c>
      <c r="G2259" t="s">
        <v>5768</v>
      </c>
      <c r="H2259" t="s">
        <v>5767</v>
      </c>
      <c r="I2259" t="s">
        <v>358</v>
      </c>
      <c r="J2259" t="s">
        <v>7682</v>
      </c>
      <c r="K2259" t="s">
        <v>7826</v>
      </c>
      <c r="L2259" t="s">
        <v>7826</v>
      </c>
      <c r="N2259" t="str" cm="1">
        <f t="array" ref="N2259">IFERROR(LOOKUP(2,1/SEARCH($S$2:$S$65,G2259),$T$2:$T$65),"Misc")</f>
        <v>OH P/N</v>
      </c>
      <c r="O2259" t="str" cm="1">
        <f t="array" ref="O2259">IFERROR(LOOKUP(2,1/SEARCH($V$2:$V$65,G2259),$W$2:$W$65),"Misc")</f>
        <v>OH Part</v>
      </c>
      <c r="P2259" t="str" cm="1">
        <f t="array" ref="P2259">IFERROR(LOOKUP(2,1/SEARCH($Y$2:$Y$65,G2259),$Z$2:$Z$65),"Not Defined")</f>
        <v>OH Part</v>
      </c>
      <c r="Q2259" t="str" cm="1">
        <f t="array" ref="Q2259">IFERROR(LOOKUP(2,1/SEARCH($S$2:$S$65,H2259),$T$2:$T$65),"-")</f>
        <v>-</v>
      </c>
    </row>
    <row r="2260" spans="1:17" hidden="1" x14ac:dyDescent="0.25">
      <c r="A2260" t="s">
        <v>7675</v>
      </c>
      <c r="B2260" t="s">
        <v>5769</v>
      </c>
      <c r="C2260">
        <v>1</v>
      </c>
      <c r="D2260" t="s">
        <v>7573</v>
      </c>
      <c r="E2260" t="s">
        <v>7843</v>
      </c>
      <c r="F2260" t="s">
        <v>5770</v>
      </c>
      <c r="G2260" t="s">
        <v>5772</v>
      </c>
      <c r="H2260" t="s">
        <v>5771</v>
      </c>
      <c r="I2260" t="s">
        <v>358</v>
      </c>
      <c r="J2260" t="s">
        <v>7682</v>
      </c>
      <c r="K2260" t="s">
        <v>7826</v>
      </c>
      <c r="L2260" t="s">
        <v>7826</v>
      </c>
      <c r="N2260" t="str" cm="1">
        <f t="array" ref="N2260">IFERROR(LOOKUP(2,1/SEARCH($S$2:$S$65,G2260),$T$2:$T$65),"Misc")</f>
        <v>OH P/N</v>
      </c>
      <c r="O2260" t="str" cm="1">
        <f t="array" ref="O2260">IFERROR(LOOKUP(2,1/SEARCH($V$2:$V$65,G2260),$W$2:$W$65),"Misc")</f>
        <v>OH Part</v>
      </c>
      <c r="P2260" t="str" cm="1">
        <f t="array" ref="P2260">IFERROR(LOOKUP(2,1/SEARCH($Y$2:$Y$65,G2260),$Z$2:$Z$65),"Not Defined")</f>
        <v>OH Part</v>
      </c>
      <c r="Q2260" t="str" cm="1">
        <f t="array" ref="Q2260">IFERROR(LOOKUP(2,1/SEARCH($S$2:$S$65,H2260),$T$2:$T$65),"-")</f>
        <v>-</v>
      </c>
    </row>
    <row r="2261" spans="1:17" hidden="1" x14ac:dyDescent="0.25">
      <c r="A2261" t="s">
        <v>7675</v>
      </c>
      <c r="B2261" t="s">
        <v>5773</v>
      </c>
      <c r="C2261">
        <v>1</v>
      </c>
      <c r="D2261" t="s">
        <v>7573</v>
      </c>
      <c r="E2261" t="s">
        <v>7843</v>
      </c>
      <c r="F2261" t="s">
        <v>670</v>
      </c>
      <c r="G2261" t="s">
        <v>7114</v>
      </c>
      <c r="H2261" t="s">
        <v>671</v>
      </c>
      <c r="I2261" t="s">
        <v>224</v>
      </c>
      <c r="J2261" t="s">
        <v>7703</v>
      </c>
      <c r="K2261" t="s">
        <v>7684</v>
      </c>
      <c r="L2261" t="s">
        <v>7685</v>
      </c>
      <c r="N2261" t="str" cm="1">
        <f t="array" ref="N2261">IFERROR(LOOKUP(2,1/SEARCH($S$2:$S$65,G2261),$T$2:$T$65),"Misc")</f>
        <v>COTS</v>
      </c>
      <c r="O2261" t="str" cm="1">
        <f t="array" ref="O2261">IFERROR(LOOKUP(2,1/SEARCH($V$2:$V$65,G2261),$W$2:$W$65),"Misc")</f>
        <v>Fasteners</v>
      </c>
      <c r="P2261" t="str" cm="1">
        <f t="array" ref="P2261">IFERROR(LOOKUP(2,1/SEARCH($Y$2:$Y$65,G2261),$Z$2:$Z$65),"Not Defined")</f>
        <v>NUT</v>
      </c>
      <c r="Q2261" t="str" cm="1">
        <f t="array" ref="Q2261">IFERROR(LOOKUP(2,1/SEARCH($S$2:$S$65,H2261),$T$2:$T$65),"-")</f>
        <v>COTS</v>
      </c>
    </row>
    <row r="2262" spans="1:17" x14ac:dyDescent="0.25">
      <c r="A2262" t="s">
        <v>7675</v>
      </c>
      <c r="B2262" t="s">
        <v>5774</v>
      </c>
      <c r="C2262">
        <v>1</v>
      </c>
      <c r="D2262" t="s">
        <v>7573</v>
      </c>
      <c r="F2262" t="s">
        <v>5775</v>
      </c>
      <c r="G2262" t="s">
        <v>7587</v>
      </c>
      <c r="H2262" t="s">
        <v>5776</v>
      </c>
      <c r="I2262" t="s">
        <v>228</v>
      </c>
      <c r="J2262" t="s">
        <v>7703</v>
      </c>
      <c r="K2262" t="s">
        <v>7684</v>
      </c>
      <c r="L2262" t="s">
        <v>7691</v>
      </c>
      <c r="N2262" t="str" cm="1">
        <f t="array" ref="N2262">IFERROR(LOOKUP(2,1/SEARCH($S$2:$S$65,G2262),$T$2:$T$65),"Misc")</f>
        <v>COTS</v>
      </c>
      <c r="O2262" t="str" cm="1">
        <f t="array" ref="O2262">IFERROR(LOOKUP(2,1/SEARCH($V$2:$V$65,G2262),$W$2:$W$65),"Misc")</f>
        <v>Fasteners</v>
      </c>
      <c r="P2262" t="str" cm="1">
        <f t="array" ref="P2262">IFERROR(LOOKUP(2,1/SEARCH($Y$2:$Y$65,G2262),$Z$2:$Z$65),"Not Defined")</f>
        <v>FHS</v>
      </c>
      <c r="Q2262" t="str" cm="1">
        <f t="array" ref="Q2262">IFERROR(LOOKUP(2,1/SEARCH($S$2:$S$65,H2262),$T$2:$T$65),"-")</f>
        <v>COTS</v>
      </c>
    </row>
    <row r="2263" spans="1:17" x14ac:dyDescent="0.25">
      <c r="A2263" t="s">
        <v>7675</v>
      </c>
      <c r="B2263" t="s">
        <v>5777</v>
      </c>
      <c r="C2263">
        <v>2</v>
      </c>
      <c r="D2263" t="s">
        <v>7573</v>
      </c>
      <c r="F2263">
        <v>462071004</v>
      </c>
      <c r="G2263" t="s">
        <v>7588</v>
      </c>
      <c r="H2263" t="s">
        <v>5778</v>
      </c>
      <c r="I2263" t="s">
        <v>255</v>
      </c>
      <c r="J2263" t="s">
        <v>7703</v>
      </c>
      <c r="K2263" t="s">
        <v>7818</v>
      </c>
      <c r="L2263" t="s">
        <v>7818</v>
      </c>
      <c r="N2263" t="str" cm="1">
        <f t="array" ref="N2263">IFERROR(LOOKUP(2,1/SEARCH($S$2:$S$65,G2263),$T$2:$T$65),"Misc")</f>
        <v>COTS</v>
      </c>
      <c r="O2263" t="str" cm="1">
        <f t="array" ref="O2263">IFERROR(LOOKUP(2,1/SEARCH($V$2:$V$65,G2263),$W$2:$W$65),"Misc")</f>
        <v>Connector</v>
      </c>
      <c r="P2263" t="str" cm="1">
        <f t="array" ref="P2263">IFERROR(LOOKUP(2,1/SEARCH($Y$2:$Y$65,G2263),$Z$2:$Z$65),"Not Defined")</f>
        <v>Connector</v>
      </c>
      <c r="Q2263" t="str" cm="1">
        <f t="array" ref="Q2263">IFERROR(LOOKUP(2,1/SEARCH($S$2:$S$65,H2263),$T$2:$T$65),"-")</f>
        <v>COTS</v>
      </c>
    </row>
    <row r="2264" spans="1:17" x14ac:dyDescent="0.25">
      <c r="A2264" t="s">
        <v>7675</v>
      </c>
      <c r="B2264" t="s">
        <v>5779</v>
      </c>
      <c r="C2264">
        <v>1</v>
      </c>
      <c r="D2264" t="s">
        <v>7573</v>
      </c>
      <c r="F2264" t="s">
        <v>7982</v>
      </c>
      <c r="G2264" t="s">
        <v>7983</v>
      </c>
      <c r="H2264" t="s">
        <v>5780</v>
      </c>
      <c r="I2264" t="s">
        <v>255</v>
      </c>
      <c r="J2264" t="s">
        <v>7703</v>
      </c>
      <c r="K2264" t="s">
        <v>7814</v>
      </c>
      <c r="L2264" t="s">
        <v>7718</v>
      </c>
      <c r="N2264" t="str" cm="1">
        <f t="array" ref="N2264">IFERROR(LOOKUP(2,1/SEARCH($S$2:$S$65,G2264),$T$2:$T$65),"Misc")</f>
        <v>COTS</v>
      </c>
      <c r="O2264" t="str" cm="1">
        <f t="array" ref="O2264">IFERROR(LOOKUP(2,1/SEARCH($V$2:$V$65,G2264),$W$2:$W$65),"Misc")</f>
        <v>Misc</v>
      </c>
      <c r="P2264" t="str" cm="1">
        <f t="array" ref="P2264">IFERROR(LOOKUP(2,1/SEARCH($Y$2:$Y$65,G2264),$Z$2:$Z$65),"Not Defined")</f>
        <v>LED</v>
      </c>
      <c r="Q2264" t="str" cm="1">
        <f t="array" ref="Q2264">IFERROR(LOOKUP(2,1/SEARCH($S$2:$S$65,H2264),$T$2:$T$65),"-")</f>
        <v>COTS</v>
      </c>
    </row>
    <row r="2265" spans="1:17" x14ac:dyDescent="0.25">
      <c r="A2265" t="s">
        <v>7675</v>
      </c>
      <c r="B2265" t="s">
        <v>5781</v>
      </c>
      <c r="C2265">
        <v>1</v>
      </c>
      <c r="D2265" t="s">
        <v>7573</v>
      </c>
      <c r="F2265" t="s">
        <v>5782</v>
      </c>
      <c r="G2265" t="s">
        <v>7589</v>
      </c>
      <c r="H2265" t="s">
        <v>5783</v>
      </c>
      <c r="I2265" t="s">
        <v>13</v>
      </c>
      <c r="J2265" t="s">
        <v>7682</v>
      </c>
      <c r="K2265" t="s">
        <v>7826</v>
      </c>
      <c r="L2265" t="s">
        <v>7826</v>
      </c>
      <c r="N2265" t="str" cm="1">
        <f t="array" ref="N2265">IFERROR(LOOKUP(2,1/SEARCH($S$2:$S$65,G2265),$T$2:$T$65),"Misc")</f>
        <v>OH P/N</v>
      </c>
      <c r="O2265" t="str" cm="1">
        <f t="array" ref="O2265">IFERROR(LOOKUP(2,1/SEARCH($V$2:$V$65,G2265),$W$2:$W$65),"Misc")</f>
        <v>OH Part</v>
      </c>
      <c r="P2265" t="str" cm="1">
        <f t="array" ref="P2265">IFERROR(LOOKUP(2,1/SEARCH($Y$2:$Y$65,G2265),$Z$2:$Z$65),"Not Defined")</f>
        <v>OH Part</v>
      </c>
      <c r="Q2265" t="str" cm="1">
        <f t="array" ref="Q2265">IFERROR(LOOKUP(2,1/SEARCH($S$2:$S$65,H2265),$T$2:$T$65),"-")</f>
        <v>COTS</v>
      </c>
    </row>
    <row r="2266" spans="1:17" x14ac:dyDescent="0.25">
      <c r="A2266" t="s">
        <v>7675</v>
      </c>
      <c r="B2266" t="s">
        <v>5784</v>
      </c>
      <c r="C2266">
        <v>2</v>
      </c>
      <c r="D2266" t="s">
        <v>7573</v>
      </c>
      <c r="F2266" t="s">
        <v>1048</v>
      </c>
      <c r="G2266" t="s">
        <v>7168</v>
      </c>
      <c r="H2266" t="s">
        <v>1049</v>
      </c>
      <c r="I2266" t="s">
        <v>210</v>
      </c>
      <c r="J2266" t="s">
        <v>7703</v>
      </c>
      <c r="K2266" t="s">
        <v>7684</v>
      </c>
      <c r="L2266" t="s">
        <v>7691</v>
      </c>
      <c r="N2266" t="str" cm="1">
        <f t="array" ref="N2266">IFERROR(LOOKUP(2,1/SEARCH($S$2:$S$65,G2266),$T$2:$T$65),"Misc")</f>
        <v>COTS</v>
      </c>
      <c r="O2266" t="str" cm="1">
        <f t="array" ref="O2266">IFERROR(LOOKUP(2,1/SEARCH($V$2:$V$65,G2266),$W$2:$W$65),"Misc")</f>
        <v>Fasteners</v>
      </c>
      <c r="P2266" t="str" cm="1">
        <f t="array" ref="P2266">IFERROR(LOOKUP(2,1/SEARCH($Y$2:$Y$65,G2266),$Z$2:$Z$65),"Not Defined")</f>
        <v>FHS</v>
      </c>
      <c r="Q2266" t="str" cm="1">
        <f t="array" ref="Q2266">IFERROR(LOOKUP(2,1/SEARCH($S$2:$S$65,H2266),$T$2:$T$65),"-")</f>
        <v>COTS</v>
      </c>
    </row>
    <row r="2267" spans="1:17" hidden="1" x14ac:dyDescent="0.25">
      <c r="A2267" t="s">
        <v>7675</v>
      </c>
      <c r="B2267" s="18">
        <v>3.35</v>
      </c>
      <c r="C2267">
        <v>43</v>
      </c>
      <c r="D2267" t="s">
        <v>7431</v>
      </c>
      <c r="E2267" t="s">
        <v>7590</v>
      </c>
      <c r="F2267" t="s">
        <v>5785</v>
      </c>
      <c r="G2267" t="s">
        <v>7590</v>
      </c>
      <c r="H2267" t="s">
        <v>5786</v>
      </c>
      <c r="J2267" t="s">
        <v>7744</v>
      </c>
      <c r="K2267" t="s">
        <v>7826</v>
      </c>
      <c r="L2267" t="s">
        <v>7826</v>
      </c>
      <c r="N2267" t="str" cm="1">
        <f t="array" ref="N2267">IFERROR(LOOKUP(2,1/SEARCH($S$2:$S$65,G2267),$T$2:$T$65),"Misc")</f>
        <v>OH Common</v>
      </c>
      <c r="O2267" t="str" cm="1">
        <f t="array" ref="O2267">IFERROR(LOOKUP(2,1/SEARCH($V$2:$V$65,G2267),$W$2:$W$65),"Misc")</f>
        <v>OH Part</v>
      </c>
      <c r="P2267" t="str" cm="1">
        <f t="array" ref="P2267">IFERROR(LOOKUP(2,1/SEARCH($Y$2:$Y$65,G2267),$Z$2:$Z$65),"Not Defined")</f>
        <v>OH Part</v>
      </c>
      <c r="Q2267" t="str" cm="1">
        <f t="array" ref="Q2267">IFERROR(LOOKUP(2,1/SEARCH($S$2:$S$65,H2267),$T$2:$T$65),"-")</f>
        <v>-</v>
      </c>
    </row>
    <row r="2268" spans="1:17" hidden="1" x14ac:dyDescent="0.25">
      <c r="A2268" t="s">
        <v>7675</v>
      </c>
      <c r="B2268" t="s">
        <v>5787</v>
      </c>
      <c r="C2268">
        <v>1</v>
      </c>
      <c r="D2268" t="s">
        <v>7431</v>
      </c>
      <c r="E2268" t="s">
        <v>7590</v>
      </c>
      <c r="F2268" t="s">
        <v>5788</v>
      </c>
      <c r="G2268" t="s">
        <v>5790</v>
      </c>
      <c r="H2268" t="s">
        <v>5789</v>
      </c>
      <c r="I2268" t="s">
        <v>358</v>
      </c>
      <c r="J2268" t="s">
        <v>7744</v>
      </c>
      <c r="K2268" t="s">
        <v>7826</v>
      </c>
      <c r="L2268" t="s">
        <v>7826</v>
      </c>
      <c r="N2268" t="str" cm="1">
        <f t="array" ref="N2268">IFERROR(LOOKUP(2,1/SEARCH($S$2:$S$65,G2268),$T$2:$T$65),"Misc")</f>
        <v>OH Common</v>
      </c>
      <c r="O2268" t="str" cm="1">
        <f t="array" ref="O2268">IFERROR(LOOKUP(2,1/SEARCH($V$2:$V$65,G2268),$W$2:$W$65),"Misc")</f>
        <v>OH Part</v>
      </c>
      <c r="P2268" t="str" cm="1">
        <f t="array" ref="P2268">IFERROR(LOOKUP(2,1/SEARCH($Y$2:$Y$65,G2268),$Z$2:$Z$65),"Not Defined")</f>
        <v>OH Part</v>
      </c>
      <c r="Q2268" t="str" cm="1">
        <f t="array" ref="Q2268">IFERROR(LOOKUP(2,1/SEARCH($S$2:$S$65,H2268),$T$2:$T$65),"-")</f>
        <v>-</v>
      </c>
    </row>
    <row r="2269" spans="1:17" hidden="1" x14ac:dyDescent="0.25">
      <c r="A2269" t="s">
        <v>7675</v>
      </c>
      <c r="B2269" s="18" t="s">
        <v>5791</v>
      </c>
      <c r="C2269">
        <v>1</v>
      </c>
      <c r="D2269" t="s">
        <v>7431</v>
      </c>
      <c r="E2269" t="s">
        <v>7590</v>
      </c>
      <c r="F2269" t="s">
        <v>3167</v>
      </c>
      <c r="G2269" t="s">
        <v>7341</v>
      </c>
      <c r="H2269" t="s">
        <v>3168</v>
      </c>
      <c r="I2269" t="s">
        <v>210</v>
      </c>
      <c r="J2269" t="s">
        <v>7703</v>
      </c>
      <c r="K2269" t="s">
        <v>7684</v>
      </c>
      <c r="L2269" t="s">
        <v>7691</v>
      </c>
      <c r="N2269" t="str" cm="1">
        <f t="array" ref="N2269">IFERROR(LOOKUP(2,1/SEARCH($S$2:$S$65,G2269),$T$2:$T$65),"Misc")</f>
        <v>COTS</v>
      </c>
      <c r="O2269" t="str" cm="1">
        <f t="array" ref="O2269">IFERROR(LOOKUP(2,1/SEARCH($V$2:$V$65,G2269),$W$2:$W$65),"Misc")</f>
        <v>Fasteners</v>
      </c>
      <c r="P2269" t="str" cm="1">
        <f t="array" ref="P2269">IFERROR(LOOKUP(2,1/SEARCH($Y$2:$Y$65,G2269),$Z$2:$Z$65),"Not Defined")</f>
        <v>FHS</v>
      </c>
      <c r="Q2269" t="str" cm="1">
        <f t="array" ref="Q2269">IFERROR(LOOKUP(2,1/SEARCH($S$2:$S$65,H2269),$T$2:$T$65),"-")</f>
        <v>COTS</v>
      </c>
    </row>
    <row r="2270" spans="1:17" x14ac:dyDescent="0.25">
      <c r="A2270" t="s">
        <v>7675</v>
      </c>
      <c r="B2270" s="18">
        <v>3.36</v>
      </c>
      <c r="C2270">
        <v>1</v>
      </c>
      <c r="D2270" t="s">
        <v>7431</v>
      </c>
      <c r="F2270" t="s">
        <v>4791</v>
      </c>
      <c r="G2270" t="s">
        <v>7499</v>
      </c>
      <c r="H2270" t="s">
        <v>4792</v>
      </c>
      <c r="I2270" t="s">
        <v>255</v>
      </c>
      <c r="J2270" t="s">
        <v>7717</v>
      </c>
      <c r="K2270" t="s">
        <v>7717</v>
      </c>
      <c r="L2270" t="s">
        <v>7717</v>
      </c>
      <c r="N2270" t="str" cm="1">
        <f t="array" ref="N2270">IFERROR(LOOKUP(2,1/SEARCH($S$2:$S$65,G2270),$T$2:$T$65),"Misc")</f>
        <v>ABSIS</v>
      </c>
      <c r="O2270" t="str" cm="1">
        <f t="array" ref="O2270">IFERROR(LOOKUP(2,1/SEARCH($V$2:$V$65,G2270),$W$2:$W$65),"Misc")</f>
        <v>ABSIS</v>
      </c>
      <c r="P2270" t="str" cm="1">
        <f t="array" ref="P2270">IFERROR(LOOKUP(2,1/SEARCH($Y$2:$Y$65,G2270),$Z$2:$Z$65),"Not Defined")</f>
        <v>ABSIS</v>
      </c>
      <c r="Q2270" t="str" cm="1">
        <f t="array" ref="Q2270">IFERROR(LOOKUP(2,1/SEARCH($S$2:$S$65,H2270),$T$2:$T$65),"-")</f>
        <v>ABSIS</v>
      </c>
    </row>
    <row r="2271" spans="1:17" x14ac:dyDescent="0.25">
      <c r="A2271" t="s">
        <v>7675</v>
      </c>
      <c r="B2271" s="18">
        <v>3.37</v>
      </c>
      <c r="C2271">
        <v>1</v>
      </c>
      <c r="D2271" t="s">
        <v>7431</v>
      </c>
      <c r="F2271" t="s">
        <v>5792</v>
      </c>
      <c r="G2271" t="s">
        <v>5794</v>
      </c>
      <c r="H2271" t="s">
        <v>5793</v>
      </c>
      <c r="I2271" t="s">
        <v>293</v>
      </c>
      <c r="J2271" t="s">
        <v>7682</v>
      </c>
      <c r="K2271" t="s">
        <v>7826</v>
      </c>
      <c r="L2271" t="s">
        <v>7826</v>
      </c>
      <c r="N2271" t="str" cm="1">
        <f t="array" ref="N2271">IFERROR(LOOKUP(2,1/SEARCH($S$2:$S$65,G2271),$T$2:$T$65),"Misc")</f>
        <v>OH P/N</v>
      </c>
      <c r="O2271" t="str" cm="1">
        <f t="array" ref="O2271">IFERROR(LOOKUP(2,1/SEARCH($V$2:$V$65,G2271),$W$2:$W$65),"Misc")</f>
        <v>OH Part</v>
      </c>
      <c r="P2271" t="str" cm="1">
        <f t="array" ref="P2271">IFERROR(LOOKUP(2,1/SEARCH($Y$2:$Y$65,G2271),$Z$2:$Z$65),"Not Defined")</f>
        <v>OH Part</v>
      </c>
      <c r="Q2271" t="str" cm="1">
        <f t="array" ref="Q2271">IFERROR(LOOKUP(2,1/SEARCH($S$2:$S$65,H2271),$T$2:$T$65),"-")</f>
        <v>ABSIS</v>
      </c>
    </row>
    <row r="2272" spans="1:17" x14ac:dyDescent="0.25">
      <c r="A2272" t="s">
        <v>7675</v>
      </c>
      <c r="B2272" s="18">
        <v>3.38</v>
      </c>
      <c r="C2272">
        <v>4</v>
      </c>
      <c r="D2272" t="s">
        <v>7431</v>
      </c>
      <c r="F2272" t="s">
        <v>583</v>
      </c>
      <c r="G2272" t="s">
        <v>7106</v>
      </c>
      <c r="H2272" t="s">
        <v>584</v>
      </c>
      <c r="I2272" t="s">
        <v>299</v>
      </c>
      <c r="J2272" t="s">
        <v>7703</v>
      </c>
      <c r="K2272" t="s">
        <v>7684</v>
      </c>
      <c r="L2272" t="s">
        <v>7708</v>
      </c>
      <c r="N2272" t="str" cm="1">
        <f t="array" ref="N2272">IFERROR(LOOKUP(2,1/SEARCH($S$2:$S$65,G2272),$T$2:$T$65),"Misc")</f>
        <v>COTS</v>
      </c>
      <c r="O2272" t="str" cm="1">
        <f t="array" ref="O2272">IFERROR(LOOKUP(2,1/SEARCH($V$2:$V$65,G2272),$W$2:$W$65),"Misc")</f>
        <v>Fasteners</v>
      </c>
      <c r="P2272" t="str" cm="1">
        <f t="array" ref="P2272">IFERROR(LOOKUP(2,1/SEARCH($Y$2:$Y$65,G2272),$Z$2:$Z$65),"Not Defined")</f>
        <v>STANDOFF</v>
      </c>
      <c r="Q2272" t="str" cm="1">
        <f t="array" ref="Q2272">IFERROR(LOOKUP(2,1/SEARCH($S$2:$S$65,H2272),$T$2:$T$65),"-")</f>
        <v>COTS</v>
      </c>
    </row>
    <row r="2273" spans="1:17" x14ac:dyDescent="0.25">
      <c r="A2273" t="s">
        <v>7675</v>
      </c>
      <c r="B2273" s="18">
        <v>3.39</v>
      </c>
      <c r="C2273">
        <v>4</v>
      </c>
      <c r="D2273" t="s">
        <v>7431</v>
      </c>
      <c r="F2273" t="s">
        <v>586</v>
      </c>
      <c r="G2273" t="s">
        <v>7107</v>
      </c>
      <c r="H2273" t="s">
        <v>587</v>
      </c>
      <c r="I2273" t="s">
        <v>210</v>
      </c>
      <c r="J2273" t="s">
        <v>7703</v>
      </c>
      <c r="K2273" t="s">
        <v>7684</v>
      </c>
      <c r="L2273" t="s">
        <v>7693</v>
      </c>
      <c r="N2273" t="str" cm="1">
        <f t="array" ref="N2273">IFERROR(LOOKUP(2,1/SEARCH($S$2:$S$65,G2273),$T$2:$T$65),"Misc")</f>
        <v>COTS</v>
      </c>
      <c r="O2273" t="str" cm="1">
        <f t="array" ref="O2273">IFERROR(LOOKUP(2,1/SEARCH($V$2:$V$65,G2273),$W$2:$W$65),"Misc")</f>
        <v>Fasteners</v>
      </c>
      <c r="P2273" t="str" cm="1">
        <f t="array" ref="P2273">IFERROR(LOOKUP(2,1/SEARCH($Y$2:$Y$65,G2273),$Z$2:$Z$65),"Not Defined")</f>
        <v>PHS</v>
      </c>
      <c r="Q2273" t="str" cm="1">
        <f t="array" ref="Q2273">IFERROR(LOOKUP(2,1/SEARCH($S$2:$S$65,H2273),$T$2:$T$65),"-")</f>
        <v>COTS</v>
      </c>
    </row>
    <row r="2274" spans="1:17" x14ac:dyDescent="0.25">
      <c r="A2274" t="s">
        <v>7675</v>
      </c>
      <c r="B2274" s="28">
        <v>3.4</v>
      </c>
      <c r="C2274">
        <v>4</v>
      </c>
      <c r="D2274" t="s">
        <v>7431</v>
      </c>
      <c r="F2274" t="s">
        <v>460</v>
      </c>
      <c r="G2274" t="s">
        <v>7090</v>
      </c>
      <c r="H2274" t="s">
        <v>461</v>
      </c>
      <c r="I2274" t="s">
        <v>224</v>
      </c>
      <c r="J2274" t="s">
        <v>7703</v>
      </c>
      <c r="K2274" t="s">
        <v>7684</v>
      </c>
      <c r="L2274" t="s">
        <v>7693</v>
      </c>
      <c r="N2274" t="str" cm="1">
        <f t="array" ref="N2274">IFERROR(LOOKUP(2,1/SEARCH($S$2:$S$65,G2274),$T$2:$T$65),"Misc")</f>
        <v>COTS</v>
      </c>
      <c r="O2274" t="str" cm="1">
        <f t="array" ref="O2274">IFERROR(LOOKUP(2,1/SEARCH($V$2:$V$65,G2274),$W$2:$W$65),"Misc")</f>
        <v>Fasteners</v>
      </c>
      <c r="P2274" t="str" cm="1">
        <f t="array" ref="P2274">IFERROR(LOOKUP(2,1/SEARCH($Y$2:$Y$65,G2274),$Z$2:$Z$65),"Not Defined")</f>
        <v>PHS</v>
      </c>
      <c r="Q2274" t="str" cm="1">
        <f t="array" ref="Q2274">IFERROR(LOOKUP(2,1/SEARCH($S$2:$S$65,H2274),$T$2:$T$65),"-")</f>
        <v>COTS</v>
      </c>
    </row>
    <row r="2275" spans="1:17" hidden="1" x14ac:dyDescent="0.25">
      <c r="A2275" t="s">
        <v>7675</v>
      </c>
      <c r="B2275" s="18">
        <v>3.41</v>
      </c>
      <c r="C2275">
        <v>1</v>
      </c>
      <c r="D2275" t="s">
        <v>7431</v>
      </c>
      <c r="E2275" t="s">
        <v>614</v>
      </c>
      <c r="F2275" s="15" t="s">
        <v>613</v>
      </c>
      <c r="G2275" t="s">
        <v>7110</v>
      </c>
      <c r="H2275" t="s">
        <v>614</v>
      </c>
      <c r="I2275" t="s">
        <v>255</v>
      </c>
      <c r="J2275" t="s">
        <v>7815</v>
      </c>
      <c r="K2275" t="s">
        <v>7717</v>
      </c>
      <c r="L2275" t="s">
        <v>7717</v>
      </c>
      <c r="N2275" t="str" cm="1">
        <f t="array" ref="N2275">IFERROR(LOOKUP(2,1/SEARCH($S$2:$S$65,G2275),$T$2:$T$65),"Misc")</f>
        <v>OH ASSY</v>
      </c>
      <c r="O2275" t="str" cm="1">
        <f t="array" ref="O2275">IFERROR(LOOKUP(2,1/SEARCH($V$2:$V$65,G2275),$W$2:$W$65),"Misc")</f>
        <v>ABSIS</v>
      </c>
      <c r="P2275" t="str" cm="1">
        <f t="array" ref="P2275">IFERROR(LOOKUP(2,1/SEARCH($Y$2:$Y$65,G2275),$Z$2:$Z$65),"Not Defined")</f>
        <v>ABSIS</v>
      </c>
      <c r="Q2275" t="str" cm="1">
        <f t="array" ref="Q2275">IFERROR(LOOKUP(2,1/SEARCH($S$2:$S$65,H2275),$T$2:$T$65),"-")</f>
        <v>OH ASSY</v>
      </c>
    </row>
    <row r="2276" spans="1:17" hidden="1" x14ac:dyDescent="0.25">
      <c r="A2276" t="s">
        <v>7675</v>
      </c>
      <c r="B2276" t="s">
        <v>5795</v>
      </c>
      <c r="C2276">
        <v>1</v>
      </c>
      <c r="D2276" t="s">
        <v>7431</v>
      </c>
      <c r="E2276" t="s">
        <v>614</v>
      </c>
      <c r="F2276" s="4" t="s">
        <v>616</v>
      </c>
      <c r="G2276" t="s">
        <v>7111</v>
      </c>
      <c r="H2276" t="s">
        <v>617</v>
      </c>
      <c r="I2276" t="s">
        <v>255</v>
      </c>
      <c r="J2276" t="s">
        <v>7717</v>
      </c>
      <c r="K2276" t="s">
        <v>7717</v>
      </c>
      <c r="L2276" t="s">
        <v>7717</v>
      </c>
      <c r="N2276" t="str" cm="1">
        <f t="array" ref="N2276">IFERROR(LOOKUP(2,1/SEARCH($S$2:$S$65,G2276),$T$2:$T$65),"Misc")</f>
        <v>ABSIS</v>
      </c>
      <c r="O2276" t="str" cm="1">
        <f t="array" ref="O2276">IFERROR(LOOKUP(2,1/SEARCH($V$2:$V$65,G2276),$W$2:$W$65),"Misc")</f>
        <v>ABSIS</v>
      </c>
      <c r="P2276" t="str" cm="1">
        <f t="array" ref="P2276">IFERROR(LOOKUP(2,1/SEARCH($Y$2:$Y$65,G2276),$Z$2:$Z$65),"Not Defined")</f>
        <v>ABSIS</v>
      </c>
      <c r="Q2276" t="str" cm="1">
        <f t="array" ref="Q2276">IFERROR(LOOKUP(2,1/SEARCH($S$2:$S$65,H2276),$T$2:$T$65),"-")</f>
        <v>ABSIS</v>
      </c>
    </row>
    <row r="2277" spans="1:17" hidden="1" x14ac:dyDescent="0.25">
      <c r="A2277" t="s">
        <v>7675</v>
      </c>
      <c r="B2277" t="s">
        <v>5796</v>
      </c>
      <c r="C2277">
        <v>1</v>
      </c>
      <c r="D2277" t="s">
        <v>7431</v>
      </c>
      <c r="E2277" t="s">
        <v>614</v>
      </c>
      <c r="F2277" t="s">
        <v>596</v>
      </c>
      <c r="G2277" t="s">
        <v>7108</v>
      </c>
      <c r="H2277" t="s">
        <v>597</v>
      </c>
      <c r="I2277" t="s">
        <v>255</v>
      </c>
      <c r="J2277" t="s">
        <v>7703</v>
      </c>
      <c r="K2277" t="s">
        <v>7713</v>
      </c>
      <c r="L2277" t="s">
        <v>7713</v>
      </c>
      <c r="N2277" t="str" cm="1">
        <f t="array" ref="N2277">IFERROR(LOOKUP(2,1/SEARCH($S$2:$S$65,G2277),$T$2:$T$65),"Misc")</f>
        <v>COTS</v>
      </c>
      <c r="O2277" t="str" cm="1">
        <f t="array" ref="O2277">IFERROR(LOOKUP(2,1/SEARCH($V$2:$V$65,G2277),$W$2:$W$65),"Misc")</f>
        <v>ARDUINO</v>
      </c>
      <c r="P2277" t="str" cm="1">
        <f t="array" ref="P2277">IFERROR(LOOKUP(2,1/SEARCH($Y$2:$Y$65,G2277),$Z$2:$Z$65),"Not Defined")</f>
        <v>ARDUINO</v>
      </c>
      <c r="Q2277" t="str" cm="1">
        <f t="array" ref="Q2277">IFERROR(LOOKUP(2,1/SEARCH($S$2:$S$65,H2277),$T$2:$T$65),"-")</f>
        <v>COTS</v>
      </c>
    </row>
    <row r="2278" spans="1:17" hidden="1" x14ac:dyDescent="0.25">
      <c r="A2278" t="s">
        <v>7675</v>
      </c>
      <c r="B2278" s="18">
        <v>3.42</v>
      </c>
      <c r="C2278">
        <v>1</v>
      </c>
      <c r="D2278" t="s">
        <v>7431</v>
      </c>
      <c r="E2278" t="s">
        <v>5798</v>
      </c>
      <c r="F2278" t="s">
        <v>5797</v>
      </c>
      <c r="G2278" t="s">
        <v>7591</v>
      </c>
      <c r="H2278" t="s">
        <v>5798</v>
      </c>
      <c r="J2278" t="s">
        <v>7744</v>
      </c>
      <c r="K2278" t="s">
        <v>7826</v>
      </c>
      <c r="L2278" t="s">
        <v>7826</v>
      </c>
      <c r="N2278" t="str" cm="1">
        <f t="array" ref="N2278">IFERROR(LOOKUP(2,1/SEARCH($S$2:$S$65,G2278),$T$2:$T$65),"Misc")</f>
        <v>OH Common</v>
      </c>
      <c r="O2278" t="str" cm="1">
        <f t="array" ref="O2278">IFERROR(LOOKUP(2,1/SEARCH($V$2:$V$65,G2278),$W$2:$W$65),"Misc")</f>
        <v>OH Part</v>
      </c>
      <c r="P2278" t="str" cm="1">
        <f t="array" ref="P2278">IFERROR(LOOKUP(2,1/SEARCH($Y$2:$Y$65,G2278),$Z$2:$Z$65),"Not Defined")</f>
        <v>OH Part</v>
      </c>
      <c r="Q2278" t="str" cm="1">
        <f t="array" ref="Q2278">IFERROR(LOOKUP(2,1/SEARCH($S$2:$S$65,H2278),$T$2:$T$65),"-")</f>
        <v>OH ASSY</v>
      </c>
    </row>
    <row r="2279" spans="1:17" hidden="1" x14ac:dyDescent="0.25">
      <c r="A2279" t="s">
        <v>7675</v>
      </c>
      <c r="B2279" t="s">
        <v>5799</v>
      </c>
      <c r="C2279">
        <v>1</v>
      </c>
      <c r="D2279" t="s">
        <v>7431</v>
      </c>
      <c r="E2279" t="s">
        <v>5798</v>
      </c>
      <c r="F2279" t="s">
        <v>1032</v>
      </c>
      <c r="G2279" t="s">
        <v>7163</v>
      </c>
      <c r="H2279" t="s">
        <v>1033</v>
      </c>
      <c r="I2279" t="s">
        <v>281</v>
      </c>
      <c r="J2279" t="s">
        <v>7744</v>
      </c>
      <c r="K2279" t="s">
        <v>7826</v>
      </c>
      <c r="L2279" t="s">
        <v>7826</v>
      </c>
      <c r="N2279" t="str" cm="1">
        <f t="array" ref="N2279">IFERROR(LOOKUP(2,1/SEARCH($S$2:$S$65,G2279),$T$2:$T$65),"Misc")</f>
        <v>OH Common</v>
      </c>
      <c r="O2279" t="str" cm="1">
        <f t="array" ref="O2279">IFERROR(LOOKUP(2,1/SEARCH($V$2:$V$65,G2279),$W$2:$W$65),"Misc")</f>
        <v>OH Part</v>
      </c>
      <c r="P2279" t="str" cm="1">
        <f t="array" ref="P2279">IFERROR(LOOKUP(2,1/SEARCH($Y$2:$Y$65,G2279),$Z$2:$Z$65),"Not Defined")</f>
        <v>OH Part</v>
      </c>
      <c r="Q2279" t="str" cm="1">
        <f t="array" ref="Q2279">IFERROR(LOOKUP(2,1/SEARCH($S$2:$S$65,H2279),$T$2:$T$65),"-")</f>
        <v>-</v>
      </c>
    </row>
    <row r="2280" spans="1:17" hidden="1" x14ac:dyDescent="0.25">
      <c r="A2280" t="s">
        <v>7675</v>
      </c>
      <c r="B2280" t="s">
        <v>5800</v>
      </c>
      <c r="C2280">
        <v>1</v>
      </c>
      <c r="D2280" t="s">
        <v>7431</v>
      </c>
      <c r="E2280" t="s">
        <v>5798</v>
      </c>
      <c r="F2280" t="s">
        <v>1035</v>
      </c>
      <c r="G2280" t="s">
        <v>7164</v>
      </c>
      <c r="H2280" t="s">
        <v>1036</v>
      </c>
      <c r="I2280" t="s">
        <v>255</v>
      </c>
      <c r="J2280" t="s">
        <v>7703</v>
      </c>
      <c r="K2280" t="s">
        <v>7818</v>
      </c>
      <c r="L2280" t="s">
        <v>7818</v>
      </c>
      <c r="N2280" t="str" cm="1">
        <f t="array" ref="N2280">IFERROR(LOOKUP(2,1/SEARCH($S$2:$S$65,G2280),$T$2:$T$65),"Misc")</f>
        <v>COTS</v>
      </c>
      <c r="O2280" t="str" cm="1">
        <f t="array" ref="O2280">IFERROR(LOOKUP(2,1/SEARCH($V$2:$V$65,G2280),$W$2:$W$65),"Misc")</f>
        <v>Connector</v>
      </c>
      <c r="P2280" t="str" cm="1">
        <f t="array" ref="P2280">IFERROR(LOOKUP(2,1/SEARCH($Y$2:$Y$65,G2280),$Z$2:$Z$65),"Not Defined")</f>
        <v>Connector</v>
      </c>
      <c r="Q2280" t="str" cm="1">
        <f t="array" ref="Q2280">IFERROR(LOOKUP(2,1/SEARCH($S$2:$S$65,H2280),$T$2:$T$65),"-")</f>
        <v>COTS</v>
      </c>
    </row>
    <row r="2281" spans="1:17" hidden="1" x14ac:dyDescent="0.25">
      <c r="A2281" t="s">
        <v>7675</v>
      </c>
      <c r="B2281" t="s">
        <v>5801</v>
      </c>
      <c r="C2281">
        <v>1</v>
      </c>
      <c r="D2281" t="s">
        <v>7431</v>
      </c>
      <c r="E2281" t="s">
        <v>5798</v>
      </c>
      <c r="F2281" t="s">
        <v>1038</v>
      </c>
      <c r="G2281" t="s">
        <v>7165</v>
      </c>
      <c r="H2281" t="s">
        <v>1039</v>
      </c>
      <c r="I2281" t="s">
        <v>255</v>
      </c>
      <c r="J2281" t="s">
        <v>7703</v>
      </c>
      <c r="K2281" t="s">
        <v>7818</v>
      </c>
      <c r="L2281" t="s">
        <v>7818</v>
      </c>
      <c r="N2281" t="str" cm="1">
        <f t="array" ref="N2281">IFERROR(LOOKUP(2,1/SEARCH($S$2:$S$65,G2281),$T$2:$T$65),"Misc")</f>
        <v>COTS</v>
      </c>
      <c r="O2281" t="str" cm="1">
        <f t="array" ref="O2281">IFERROR(LOOKUP(2,1/SEARCH($V$2:$V$65,G2281),$W$2:$W$65),"Misc")</f>
        <v>Connector</v>
      </c>
      <c r="P2281" t="str" cm="1">
        <f t="array" ref="P2281">IFERROR(LOOKUP(2,1/SEARCH($Y$2:$Y$65,G2281),$Z$2:$Z$65),"Not Defined")</f>
        <v>Connector</v>
      </c>
      <c r="Q2281" t="str" cm="1">
        <f t="array" ref="Q2281">IFERROR(LOOKUP(2,1/SEARCH($S$2:$S$65,H2281),$T$2:$T$65),"-")</f>
        <v>COTS</v>
      </c>
    </row>
    <row r="2282" spans="1:17" hidden="1" x14ac:dyDescent="0.25">
      <c r="A2282" t="s">
        <v>7675</v>
      </c>
      <c r="B2282" t="s">
        <v>5802</v>
      </c>
      <c r="C2282">
        <v>2</v>
      </c>
      <c r="D2282" t="s">
        <v>7431</v>
      </c>
      <c r="E2282" t="s">
        <v>5798</v>
      </c>
      <c r="F2282" t="s">
        <v>1041</v>
      </c>
      <c r="G2282" t="s">
        <v>7166</v>
      </c>
      <c r="H2282" t="s">
        <v>1042</v>
      </c>
      <c r="I2282" t="s">
        <v>255</v>
      </c>
      <c r="J2282" t="s">
        <v>7703</v>
      </c>
      <c r="K2282" t="s">
        <v>7818</v>
      </c>
      <c r="L2282" t="s">
        <v>7818</v>
      </c>
      <c r="N2282" t="str" cm="1">
        <f t="array" ref="N2282">IFERROR(LOOKUP(2,1/SEARCH($S$2:$S$65,G2282),$T$2:$T$65),"Misc")</f>
        <v>COTS</v>
      </c>
      <c r="O2282" t="str" cm="1">
        <f t="array" ref="O2282">IFERROR(LOOKUP(2,1/SEARCH($V$2:$V$65,G2282),$W$2:$W$65),"Misc")</f>
        <v>Connector</v>
      </c>
      <c r="P2282" t="str" cm="1">
        <f t="array" ref="P2282">IFERROR(LOOKUP(2,1/SEARCH($Y$2:$Y$65,G2282),$Z$2:$Z$65),"Not Defined")</f>
        <v>Connector</v>
      </c>
      <c r="Q2282" t="str" cm="1">
        <f t="array" ref="Q2282">IFERROR(LOOKUP(2,1/SEARCH($S$2:$S$65,H2282),$T$2:$T$65),"-")</f>
        <v>COTS</v>
      </c>
    </row>
    <row r="2283" spans="1:17" hidden="1" x14ac:dyDescent="0.25">
      <c r="A2283" t="s">
        <v>7675</v>
      </c>
      <c r="B2283" t="s">
        <v>5803</v>
      </c>
      <c r="C2283">
        <v>1</v>
      </c>
      <c r="D2283" t="s">
        <v>7431</v>
      </c>
      <c r="E2283" t="s">
        <v>5798</v>
      </c>
      <c r="F2283" t="s">
        <v>1044</v>
      </c>
      <c r="G2283" t="s">
        <v>7167</v>
      </c>
      <c r="H2283" t="s">
        <v>1045</v>
      </c>
      <c r="I2283" t="s">
        <v>255</v>
      </c>
      <c r="J2283" t="s">
        <v>7703</v>
      </c>
      <c r="K2283" t="s">
        <v>7818</v>
      </c>
      <c r="L2283" t="s">
        <v>7818</v>
      </c>
      <c r="N2283" t="str" cm="1">
        <f t="array" ref="N2283">IFERROR(LOOKUP(2,1/SEARCH($S$2:$S$65,G2283),$T$2:$T$65),"Misc")</f>
        <v>COTS</v>
      </c>
      <c r="O2283" t="str" cm="1">
        <f t="array" ref="O2283">IFERROR(LOOKUP(2,1/SEARCH($V$2:$V$65,G2283),$W$2:$W$65),"Misc")</f>
        <v>Connector</v>
      </c>
      <c r="P2283" t="str" cm="1">
        <f t="array" ref="P2283">IFERROR(LOOKUP(2,1/SEARCH($Y$2:$Y$65,G2283),$Z$2:$Z$65),"Not Defined")</f>
        <v>Connector</v>
      </c>
      <c r="Q2283" t="str" cm="1">
        <f t="array" ref="Q2283">IFERROR(LOOKUP(2,1/SEARCH($S$2:$S$65,H2283),$T$2:$T$65),"-")</f>
        <v>COTS</v>
      </c>
    </row>
    <row r="2284" spans="1:17" hidden="1" x14ac:dyDescent="0.25">
      <c r="A2284" t="s">
        <v>7675</v>
      </c>
      <c r="B2284" t="s">
        <v>5804</v>
      </c>
      <c r="C2284">
        <v>2</v>
      </c>
      <c r="D2284" t="s">
        <v>7431</v>
      </c>
      <c r="E2284" t="s">
        <v>5798</v>
      </c>
      <c r="F2284" t="s">
        <v>932</v>
      </c>
      <c r="G2284" t="s">
        <v>7133</v>
      </c>
      <c r="H2284" t="s">
        <v>933</v>
      </c>
      <c r="I2284" t="s">
        <v>210</v>
      </c>
      <c r="J2284" t="s">
        <v>7703</v>
      </c>
      <c r="K2284" t="s">
        <v>7684</v>
      </c>
      <c r="L2284" t="s">
        <v>7685</v>
      </c>
      <c r="N2284" t="str" cm="1">
        <f t="array" ref="N2284">IFERROR(LOOKUP(2,1/SEARCH($S$2:$S$65,G2284),$T$2:$T$65),"Misc")</f>
        <v>COTS</v>
      </c>
      <c r="O2284" t="str" cm="1">
        <f t="array" ref="O2284">IFERROR(LOOKUP(2,1/SEARCH($V$2:$V$65,G2284),$W$2:$W$65),"Misc")</f>
        <v>Fasteners</v>
      </c>
      <c r="P2284" t="str" cm="1">
        <f t="array" ref="P2284">IFERROR(LOOKUP(2,1/SEARCH($Y$2:$Y$65,G2284),$Z$2:$Z$65),"Not Defined")</f>
        <v>NUT</v>
      </c>
      <c r="Q2284" t="str" cm="1">
        <f t="array" ref="Q2284">IFERROR(LOOKUP(2,1/SEARCH($S$2:$S$65,H2284),$T$2:$T$65),"-")</f>
        <v>COTS</v>
      </c>
    </row>
    <row r="2285" spans="1:17" hidden="1" x14ac:dyDescent="0.25">
      <c r="A2285" t="s">
        <v>7675</v>
      </c>
      <c r="B2285" t="s">
        <v>5805</v>
      </c>
      <c r="C2285">
        <v>2</v>
      </c>
      <c r="D2285" t="s">
        <v>7431</v>
      </c>
      <c r="E2285" t="s">
        <v>5798</v>
      </c>
      <c r="F2285" t="s">
        <v>1048</v>
      </c>
      <c r="G2285" t="s">
        <v>7168</v>
      </c>
      <c r="H2285" t="s">
        <v>1049</v>
      </c>
      <c r="I2285" t="s">
        <v>210</v>
      </c>
      <c r="J2285" t="s">
        <v>7703</v>
      </c>
      <c r="K2285" t="s">
        <v>7684</v>
      </c>
      <c r="L2285" t="s">
        <v>7691</v>
      </c>
      <c r="N2285" t="str" cm="1">
        <f t="array" ref="N2285">IFERROR(LOOKUP(2,1/SEARCH($S$2:$S$65,G2285),$T$2:$T$65),"Misc")</f>
        <v>COTS</v>
      </c>
      <c r="O2285" t="str" cm="1">
        <f t="array" ref="O2285">IFERROR(LOOKUP(2,1/SEARCH($V$2:$V$65,G2285),$W$2:$W$65),"Misc")</f>
        <v>Fasteners</v>
      </c>
      <c r="P2285" t="str" cm="1">
        <f t="array" ref="P2285">IFERROR(LOOKUP(2,1/SEARCH($Y$2:$Y$65,G2285),$Z$2:$Z$65),"Not Defined")</f>
        <v>FHS</v>
      </c>
      <c r="Q2285" t="str" cm="1">
        <f t="array" ref="Q2285">IFERROR(LOOKUP(2,1/SEARCH($S$2:$S$65,H2285),$T$2:$T$65),"-")</f>
        <v>COTS</v>
      </c>
    </row>
    <row r="2286" spans="1:17" hidden="1" x14ac:dyDescent="0.25">
      <c r="A2286" t="s">
        <v>7675</v>
      </c>
      <c r="B2286" t="s">
        <v>5806</v>
      </c>
      <c r="C2286">
        <v>1</v>
      </c>
      <c r="D2286" t="s">
        <v>7431</v>
      </c>
      <c r="E2286" t="s">
        <v>5798</v>
      </c>
      <c r="F2286" t="s">
        <v>5807</v>
      </c>
      <c r="G2286" t="s">
        <v>7592</v>
      </c>
      <c r="H2286" t="s">
        <v>5808</v>
      </c>
      <c r="I2286" t="s">
        <v>255</v>
      </c>
      <c r="J2286" t="s">
        <v>7703</v>
      </c>
      <c r="K2286" t="s">
        <v>7814</v>
      </c>
      <c r="L2286" t="s">
        <v>7823</v>
      </c>
      <c r="N2286" t="str" cm="1">
        <f t="array" ref="N2286">IFERROR(LOOKUP(2,1/SEARCH($S$2:$S$65,G2286),$T$2:$T$65),"Misc")</f>
        <v>COTS</v>
      </c>
      <c r="O2286" t="str" cm="1">
        <f t="array" ref="O2286">IFERROR(LOOKUP(2,1/SEARCH($V$2:$V$65,G2286),$W$2:$W$65),"Misc")</f>
        <v>Misc</v>
      </c>
      <c r="P2286" t="str" cm="1">
        <f t="array" ref="P2286">IFERROR(LOOKUP(2,1/SEARCH($Y$2:$Y$65,G2286),$Z$2:$Z$65),"Not Defined")</f>
        <v>Cable</v>
      </c>
      <c r="Q2286" t="str" cm="1">
        <f t="array" ref="Q2286">IFERROR(LOOKUP(2,1/SEARCH($S$2:$S$65,H2286),$T$2:$T$65),"-")</f>
        <v>COTS</v>
      </c>
    </row>
    <row r="2287" spans="1:17" hidden="1" x14ac:dyDescent="0.25">
      <c r="A2287" t="s">
        <v>7675</v>
      </c>
      <c r="B2287" s="18">
        <v>3.43</v>
      </c>
      <c r="C2287">
        <v>1</v>
      </c>
      <c r="D2287" t="s">
        <v>7431</v>
      </c>
      <c r="E2287" t="s">
        <v>7987</v>
      </c>
      <c r="F2287" t="s">
        <v>7988</v>
      </c>
      <c r="G2287" t="s">
        <v>7990</v>
      </c>
      <c r="H2287" t="s">
        <v>7987</v>
      </c>
      <c r="I2287" t="s">
        <v>255</v>
      </c>
      <c r="J2287" t="s">
        <v>7815</v>
      </c>
      <c r="K2287" t="s">
        <v>7717</v>
      </c>
      <c r="L2287" t="s">
        <v>7717</v>
      </c>
      <c r="N2287" t="str" cm="1">
        <f t="array" ref="N2287">IFERROR(LOOKUP(2,1/SEARCH($S$2:$S$65,G2287),$T$2:$T$65),"Misc")</f>
        <v>OH ASSY</v>
      </c>
      <c r="O2287" t="str" cm="1">
        <f t="array" ref="O2287">IFERROR(LOOKUP(2,1/SEARCH($V$2:$V$65,G2287),$W$2:$W$65),"Misc")</f>
        <v>ABSIS</v>
      </c>
      <c r="P2287" t="str" cm="1">
        <f t="array" ref="P2287">IFERROR(LOOKUP(2,1/SEARCH($Y$2:$Y$65,G2287),$Z$2:$Z$65),"Not Defined")</f>
        <v>ABSIS</v>
      </c>
      <c r="Q2287" t="str" cm="1">
        <f t="array" ref="Q2287">IFERROR(LOOKUP(2,1/SEARCH($S$2:$S$65,H2287),$T$2:$T$65),"-")</f>
        <v>OH ASSY</v>
      </c>
    </row>
    <row r="2288" spans="1:17" hidden="1" x14ac:dyDescent="0.25">
      <c r="A2288" t="s">
        <v>7675</v>
      </c>
      <c r="B2288" t="s">
        <v>5809</v>
      </c>
      <c r="C2288">
        <v>1</v>
      </c>
      <c r="D2288" t="s">
        <v>7431</v>
      </c>
      <c r="E2288" t="s">
        <v>7987</v>
      </c>
      <c r="F2288" t="s">
        <v>7989</v>
      </c>
      <c r="G2288" t="s">
        <v>7991</v>
      </c>
      <c r="H2288" t="s">
        <v>7992</v>
      </c>
      <c r="I2288" t="s">
        <v>255</v>
      </c>
      <c r="J2288" t="s">
        <v>7717</v>
      </c>
      <c r="K2288" t="s">
        <v>7717</v>
      </c>
      <c r="L2288" t="s">
        <v>7717</v>
      </c>
      <c r="N2288" t="str" cm="1">
        <f t="array" ref="N2288">IFERROR(LOOKUP(2,1/SEARCH($S$2:$S$65,G2288),$T$2:$T$65),"Misc")</f>
        <v>ABSIS</v>
      </c>
      <c r="O2288" t="str" cm="1">
        <f t="array" ref="O2288">IFERROR(LOOKUP(2,1/SEARCH($V$2:$V$65,G2288),$W$2:$W$65),"Misc")</f>
        <v>ABSIS</v>
      </c>
      <c r="P2288" t="str" cm="1">
        <f t="array" ref="P2288">IFERROR(LOOKUP(2,1/SEARCH($Y$2:$Y$65,G2288),$Z$2:$Z$65),"Not Defined")</f>
        <v>ABSIS</v>
      </c>
      <c r="Q2288" t="str" cm="1">
        <f t="array" ref="Q2288">IFERROR(LOOKUP(2,1/SEARCH($S$2:$S$65,H2288),$T$2:$T$65),"-")</f>
        <v>ABSIS</v>
      </c>
    </row>
    <row r="2289" spans="1:17" hidden="1" x14ac:dyDescent="0.25">
      <c r="A2289" t="s">
        <v>7675</v>
      </c>
      <c r="B2289" t="s">
        <v>5810</v>
      </c>
      <c r="C2289">
        <v>2</v>
      </c>
      <c r="D2289" t="s">
        <v>7431</v>
      </c>
      <c r="E2289" t="s">
        <v>589</v>
      </c>
      <c r="F2289" t="s">
        <v>592</v>
      </c>
      <c r="G2289" t="s">
        <v>594</v>
      </c>
      <c r="H2289" t="s">
        <v>593</v>
      </c>
      <c r="I2289" t="s">
        <v>255</v>
      </c>
      <c r="J2289" t="s">
        <v>7703</v>
      </c>
      <c r="K2289" t="s">
        <v>7698</v>
      </c>
      <c r="L2289" t="s">
        <v>7707</v>
      </c>
      <c r="N2289" t="str" cm="1">
        <f t="array" ref="N2289">IFERROR(LOOKUP(2,1/SEARCH($S$2:$S$65,G2289),$T$2:$T$65),"Misc")</f>
        <v>COTS</v>
      </c>
      <c r="O2289" t="str" cm="1">
        <f t="array" ref="O2289">IFERROR(LOOKUP(2,1/SEARCH($V$2:$V$65,G2289),$W$2:$W$65),"Misc")</f>
        <v>Pins</v>
      </c>
      <c r="P2289" t="str" cm="1">
        <f t="array" ref="P2289">IFERROR(LOOKUP(2,1/SEARCH($Y$2:$Y$65,G2289),$Z$2:$Z$65),"Not Defined")</f>
        <v>PIN</v>
      </c>
      <c r="Q2289" t="str" cm="1">
        <f t="array" ref="Q2289">IFERROR(LOOKUP(2,1/SEARCH($S$2:$S$65,H2289),$T$2:$T$65),"-")</f>
        <v>COTS</v>
      </c>
    </row>
    <row r="2290" spans="1:17" hidden="1" x14ac:dyDescent="0.25">
      <c r="A2290" t="s">
        <v>7675</v>
      </c>
      <c r="B2290" t="s">
        <v>5811</v>
      </c>
      <c r="C2290">
        <v>1</v>
      </c>
      <c r="D2290" t="s">
        <v>7431</v>
      </c>
      <c r="E2290" t="s">
        <v>589</v>
      </c>
      <c r="F2290" t="s">
        <v>596</v>
      </c>
      <c r="G2290" t="s">
        <v>7108</v>
      </c>
      <c r="H2290" t="s">
        <v>597</v>
      </c>
      <c r="I2290" t="s">
        <v>255</v>
      </c>
      <c r="J2290" t="s">
        <v>7703</v>
      </c>
      <c r="K2290" t="s">
        <v>7713</v>
      </c>
      <c r="L2290" t="s">
        <v>7713</v>
      </c>
      <c r="N2290" t="str" cm="1">
        <f t="array" ref="N2290">IFERROR(LOOKUP(2,1/SEARCH($S$2:$S$65,G2290),$T$2:$T$65),"Misc")</f>
        <v>COTS</v>
      </c>
      <c r="O2290" t="str" cm="1">
        <f t="array" ref="O2290">IFERROR(LOOKUP(2,1/SEARCH($V$2:$V$65,G2290),$W$2:$W$65),"Misc")</f>
        <v>ARDUINO</v>
      </c>
      <c r="P2290" t="str" cm="1">
        <f t="array" ref="P2290">IFERROR(LOOKUP(2,1/SEARCH($Y$2:$Y$65,G2290),$Z$2:$Z$65),"Not Defined")</f>
        <v>ARDUINO</v>
      </c>
      <c r="Q2290" t="str" cm="1">
        <f t="array" ref="Q2290">IFERROR(LOOKUP(2,1/SEARCH($S$2:$S$65,H2290),$T$2:$T$65),"-")</f>
        <v>COTS</v>
      </c>
    </row>
    <row r="2291" spans="1:17" x14ac:dyDescent="0.25">
      <c r="A2291" t="s">
        <v>7675</v>
      </c>
      <c r="B2291" s="18">
        <v>3.44</v>
      </c>
      <c r="C2291">
        <v>8</v>
      </c>
      <c r="D2291" t="s">
        <v>7431</v>
      </c>
      <c r="F2291" t="s">
        <v>226</v>
      </c>
      <c r="G2291" t="s">
        <v>7054</v>
      </c>
      <c r="H2291" t="s">
        <v>227</v>
      </c>
      <c r="I2291" t="s">
        <v>228</v>
      </c>
      <c r="J2291" t="s">
        <v>7703</v>
      </c>
      <c r="K2291" t="s">
        <v>7684</v>
      </c>
      <c r="L2291" t="s">
        <v>7685</v>
      </c>
      <c r="N2291" t="str" cm="1">
        <f t="array" ref="N2291">IFERROR(LOOKUP(2,1/SEARCH($S$2:$S$65,G2291),$T$2:$T$65),"Misc")</f>
        <v>COTS</v>
      </c>
      <c r="O2291" t="str" cm="1">
        <f t="array" ref="O2291">IFERROR(LOOKUP(2,1/SEARCH($V$2:$V$65,G2291),$W$2:$W$65),"Misc")</f>
        <v>Fasteners</v>
      </c>
      <c r="P2291" t="str" cm="1">
        <f t="array" ref="P2291">IFERROR(LOOKUP(2,1/SEARCH($Y$2:$Y$65,G2291),$Z$2:$Z$65),"Not Defined")</f>
        <v>NUT</v>
      </c>
      <c r="Q2291" t="str" cm="1">
        <f t="array" ref="Q2291">IFERROR(LOOKUP(2,1/SEARCH($S$2:$S$65,H2291),$T$2:$T$65),"-")</f>
        <v>COTS</v>
      </c>
    </row>
    <row r="2292" spans="1:17" x14ac:dyDescent="0.25">
      <c r="A2292" t="s">
        <v>7675</v>
      </c>
      <c r="B2292" s="18">
        <v>3.45</v>
      </c>
      <c r="C2292">
        <v>4</v>
      </c>
      <c r="D2292" t="s">
        <v>7431</v>
      </c>
      <c r="F2292" t="s">
        <v>5812</v>
      </c>
      <c r="G2292" t="s">
        <v>7593</v>
      </c>
      <c r="H2292" t="s">
        <v>5813</v>
      </c>
      <c r="I2292" t="s">
        <v>929</v>
      </c>
      <c r="J2292" t="s">
        <v>7703</v>
      </c>
      <c r="K2292" t="s">
        <v>7684</v>
      </c>
      <c r="L2292" t="s">
        <v>7696</v>
      </c>
      <c r="N2292" t="str" cm="1">
        <f t="array" ref="N2292">IFERROR(LOOKUP(2,1/SEARCH($S$2:$S$65,G2292),$T$2:$T$65),"Misc")</f>
        <v>COTS</v>
      </c>
      <c r="O2292" t="str" cm="1">
        <f t="array" ref="O2292">IFERROR(LOOKUP(2,1/SEARCH($V$2:$V$65,G2292),$W$2:$W$65),"Misc")</f>
        <v>Fasteners</v>
      </c>
      <c r="P2292" t="str" cm="1">
        <f t="array" ref="P2292">IFERROR(LOOKUP(2,1/SEARCH($Y$2:$Y$65,G2292),$Z$2:$Z$65),"Not Defined")</f>
        <v>SPACER</v>
      </c>
      <c r="Q2292" t="str" cm="1">
        <f t="array" ref="Q2292">IFERROR(LOOKUP(2,1/SEARCH($S$2:$S$65,H2292),$T$2:$T$65),"-")</f>
        <v>COTS</v>
      </c>
    </row>
    <row r="2293" spans="1:17" x14ac:dyDescent="0.25">
      <c r="A2293" t="s">
        <v>7675</v>
      </c>
      <c r="B2293" s="18">
        <v>3.46</v>
      </c>
      <c r="C2293">
        <v>2</v>
      </c>
      <c r="D2293" t="s">
        <v>7431</v>
      </c>
      <c r="F2293" t="s">
        <v>464</v>
      </c>
      <c r="G2293" t="s">
        <v>7091</v>
      </c>
      <c r="H2293" t="s">
        <v>465</v>
      </c>
      <c r="I2293" t="s">
        <v>224</v>
      </c>
      <c r="J2293" t="s">
        <v>7703</v>
      </c>
      <c r="K2293" t="s">
        <v>7684</v>
      </c>
      <c r="L2293" t="s">
        <v>7685</v>
      </c>
      <c r="N2293" t="str" cm="1">
        <f t="array" ref="N2293">IFERROR(LOOKUP(2,1/SEARCH($S$2:$S$65,G2293),$T$2:$T$65),"Misc")</f>
        <v>COTS</v>
      </c>
      <c r="O2293" t="str" cm="1">
        <f t="array" ref="O2293">IFERROR(LOOKUP(2,1/SEARCH($V$2:$V$65,G2293),$W$2:$W$65),"Misc")</f>
        <v>Fasteners</v>
      </c>
      <c r="P2293" t="str" cm="1">
        <f t="array" ref="P2293">IFERROR(LOOKUP(2,1/SEARCH($Y$2:$Y$65,G2293),$Z$2:$Z$65),"Not Defined")</f>
        <v>NUT</v>
      </c>
      <c r="Q2293" t="str" cm="1">
        <f t="array" ref="Q2293">IFERROR(LOOKUP(2,1/SEARCH($S$2:$S$65,H2293),$T$2:$T$65),"-")</f>
        <v>COTS</v>
      </c>
    </row>
    <row r="2294" spans="1:17" x14ac:dyDescent="0.25">
      <c r="A2294" t="s">
        <v>7675</v>
      </c>
      <c r="B2294" s="18">
        <v>3.47</v>
      </c>
      <c r="C2294">
        <v>2</v>
      </c>
      <c r="D2294" t="s">
        <v>7431</v>
      </c>
      <c r="F2294" t="s">
        <v>5814</v>
      </c>
      <c r="G2294" t="s">
        <v>7594</v>
      </c>
      <c r="H2294" t="s">
        <v>5815</v>
      </c>
      <c r="I2294" t="s">
        <v>228</v>
      </c>
      <c r="J2294" t="s">
        <v>7703</v>
      </c>
      <c r="K2294" t="s">
        <v>7684</v>
      </c>
      <c r="L2294" t="s">
        <v>7693</v>
      </c>
      <c r="N2294" t="str" cm="1">
        <f t="array" ref="N2294">IFERROR(LOOKUP(2,1/SEARCH($S$2:$S$65,G2294),$T$2:$T$65),"Misc")</f>
        <v>COTS</v>
      </c>
      <c r="O2294" t="str" cm="1">
        <f t="array" ref="O2294">IFERROR(LOOKUP(2,1/SEARCH($V$2:$V$65,G2294),$W$2:$W$65),"Misc")</f>
        <v>Fasteners</v>
      </c>
      <c r="P2294" t="str" cm="1">
        <f t="array" ref="P2294">IFERROR(LOOKUP(2,1/SEARCH($Y$2:$Y$65,G2294),$Z$2:$Z$65),"Not Defined")</f>
        <v>PHS</v>
      </c>
      <c r="Q2294" t="str" cm="1">
        <f t="array" ref="Q2294">IFERROR(LOOKUP(2,1/SEARCH($S$2:$S$65,H2294),$T$2:$T$65),"-")</f>
        <v>COTS</v>
      </c>
    </row>
    <row r="2295" spans="1:17" hidden="1" x14ac:dyDescent="0.25">
      <c r="A2295" t="s">
        <v>7675</v>
      </c>
      <c r="B2295" s="18">
        <v>3.48</v>
      </c>
      <c r="C2295">
        <v>1</v>
      </c>
      <c r="D2295" t="s">
        <v>7431</v>
      </c>
      <c r="E2295" t="s">
        <v>5817</v>
      </c>
      <c r="F2295" t="s">
        <v>5816</v>
      </c>
      <c r="G2295" t="s">
        <v>7595</v>
      </c>
      <c r="H2295" t="s">
        <v>5817</v>
      </c>
      <c r="J2295" t="s">
        <v>7742</v>
      </c>
      <c r="K2295" t="s">
        <v>7826</v>
      </c>
      <c r="L2295" t="s">
        <v>7826</v>
      </c>
      <c r="N2295" t="str" cm="1">
        <f t="array" ref="N2295">IFERROR(LOOKUP(2,1/SEARCH($S$2:$S$65,G2295),$T$2:$T$65),"Misc")</f>
        <v>OH ASSY</v>
      </c>
      <c r="O2295" t="str" cm="1">
        <f t="array" ref="O2295">IFERROR(LOOKUP(2,1/SEARCH($V$2:$V$65,G2295),$W$2:$W$65),"Misc")</f>
        <v>OH Part</v>
      </c>
      <c r="P2295" t="str" cm="1">
        <f t="array" ref="P2295">IFERROR(LOOKUP(2,1/SEARCH($Y$2:$Y$65,G2295),$Z$2:$Z$65),"Not Defined")</f>
        <v>OH Part</v>
      </c>
      <c r="Q2295" t="str" cm="1">
        <f t="array" ref="Q2295">IFERROR(LOOKUP(2,1/SEARCH($S$2:$S$65,H2295),$T$2:$T$65),"-")</f>
        <v>OH ASSY</v>
      </c>
    </row>
    <row r="2296" spans="1:17" hidden="1" x14ac:dyDescent="0.25">
      <c r="A2296" t="s">
        <v>7675</v>
      </c>
      <c r="B2296" t="s">
        <v>5818</v>
      </c>
      <c r="C2296">
        <v>1</v>
      </c>
      <c r="D2296" t="s">
        <v>7431</v>
      </c>
      <c r="E2296" t="s">
        <v>5817</v>
      </c>
      <c r="F2296" t="s">
        <v>5819</v>
      </c>
      <c r="G2296" t="s">
        <v>7596</v>
      </c>
      <c r="H2296" t="s">
        <v>5820</v>
      </c>
      <c r="I2296" t="s">
        <v>281</v>
      </c>
      <c r="J2296" t="s">
        <v>7682</v>
      </c>
      <c r="K2296" t="s">
        <v>7826</v>
      </c>
      <c r="L2296" t="s">
        <v>7826</v>
      </c>
      <c r="N2296" t="str" cm="1">
        <f t="array" ref="N2296">IFERROR(LOOKUP(2,1/SEARCH($S$2:$S$65,G2296),$T$2:$T$65),"Misc")</f>
        <v>OH P/N</v>
      </c>
      <c r="O2296" t="str" cm="1">
        <f t="array" ref="O2296">IFERROR(LOOKUP(2,1/SEARCH($V$2:$V$65,G2296),$W$2:$W$65),"Misc")</f>
        <v>OH Part</v>
      </c>
      <c r="P2296" t="str" cm="1">
        <f t="array" ref="P2296">IFERROR(LOOKUP(2,1/SEARCH($Y$2:$Y$65,G2296),$Z$2:$Z$65),"Not Defined")</f>
        <v>OH Part</v>
      </c>
      <c r="Q2296" t="str" cm="1">
        <f t="array" ref="Q2296">IFERROR(LOOKUP(2,1/SEARCH($S$2:$S$65,H2296),$T$2:$T$65),"-")</f>
        <v>-</v>
      </c>
    </row>
    <row r="2297" spans="1:17" hidden="1" x14ac:dyDescent="0.25">
      <c r="A2297" t="s">
        <v>7675</v>
      </c>
      <c r="B2297" t="s">
        <v>5821</v>
      </c>
      <c r="C2297">
        <v>1</v>
      </c>
      <c r="D2297" t="s">
        <v>7431</v>
      </c>
      <c r="E2297" t="s">
        <v>5817</v>
      </c>
      <c r="F2297" t="s">
        <v>5822</v>
      </c>
      <c r="G2297" t="s">
        <v>7597</v>
      </c>
      <c r="H2297" t="s">
        <v>5823</v>
      </c>
      <c r="I2297" t="s">
        <v>255</v>
      </c>
      <c r="J2297" t="s">
        <v>7703</v>
      </c>
      <c r="K2297" t="s">
        <v>7814</v>
      </c>
      <c r="L2297" t="s">
        <v>7823</v>
      </c>
      <c r="N2297" t="str" cm="1">
        <f t="array" ref="N2297">IFERROR(LOOKUP(2,1/SEARCH($S$2:$S$65,G2297),$T$2:$T$65),"Misc")</f>
        <v>COTS</v>
      </c>
      <c r="O2297" t="str" cm="1">
        <f t="array" ref="O2297">IFERROR(LOOKUP(2,1/SEARCH($V$2:$V$65,G2297),$W$2:$W$65),"Misc")</f>
        <v>Misc</v>
      </c>
      <c r="P2297" t="str" cm="1">
        <f t="array" ref="P2297">IFERROR(LOOKUP(2,1/SEARCH($Y$2:$Y$65,G2297),$Z$2:$Z$65),"Not Defined")</f>
        <v>Cable</v>
      </c>
      <c r="Q2297" t="str" cm="1">
        <f t="array" ref="Q2297">IFERROR(LOOKUP(2,1/SEARCH($S$2:$S$65,H2297),$T$2:$T$65),"-")</f>
        <v>COTS</v>
      </c>
    </row>
    <row r="2298" spans="1:17" hidden="1" x14ac:dyDescent="0.25">
      <c r="A2298" t="s">
        <v>7675</v>
      </c>
      <c r="B2298" t="s">
        <v>5824</v>
      </c>
      <c r="C2298">
        <v>1</v>
      </c>
      <c r="D2298" t="s">
        <v>7431</v>
      </c>
      <c r="E2298" t="s">
        <v>5817</v>
      </c>
      <c r="F2298" t="s">
        <v>1044</v>
      </c>
      <c r="G2298" t="s">
        <v>7167</v>
      </c>
      <c r="H2298" t="s">
        <v>1045</v>
      </c>
      <c r="I2298" t="s">
        <v>255</v>
      </c>
      <c r="J2298" t="s">
        <v>7703</v>
      </c>
      <c r="K2298" t="s">
        <v>7818</v>
      </c>
      <c r="L2298" t="s">
        <v>7818</v>
      </c>
      <c r="N2298" t="str" cm="1">
        <f t="array" ref="N2298">IFERROR(LOOKUP(2,1/SEARCH($S$2:$S$65,G2298),$T$2:$T$65),"Misc")</f>
        <v>COTS</v>
      </c>
      <c r="O2298" t="str" cm="1">
        <f t="array" ref="O2298">IFERROR(LOOKUP(2,1/SEARCH($V$2:$V$65,G2298),$W$2:$W$65),"Misc")</f>
        <v>Connector</v>
      </c>
      <c r="P2298" t="str" cm="1">
        <f t="array" ref="P2298">IFERROR(LOOKUP(2,1/SEARCH($Y$2:$Y$65,G2298),$Z$2:$Z$65),"Not Defined")</f>
        <v>Connector</v>
      </c>
      <c r="Q2298" t="str" cm="1">
        <f t="array" ref="Q2298">IFERROR(LOOKUP(2,1/SEARCH($S$2:$S$65,H2298),$T$2:$T$65),"-")</f>
        <v>COTS</v>
      </c>
    </row>
    <row r="2299" spans="1:17" hidden="1" x14ac:dyDescent="0.25">
      <c r="A2299" t="s">
        <v>7675</v>
      </c>
      <c r="B2299" t="s">
        <v>5825</v>
      </c>
      <c r="C2299">
        <v>2</v>
      </c>
      <c r="D2299" t="s">
        <v>7431</v>
      </c>
      <c r="E2299" t="s">
        <v>5817</v>
      </c>
      <c r="F2299" t="s">
        <v>932</v>
      </c>
      <c r="G2299" t="s">
        <v>7133</v>
      </c>
      <c r="H2299" t="s">
        <v>933</v>
      </c>
      <c r="I2299" t="s">
        <v>210</v>
      </c>
      <c r="J2299" t="s">
        <v>7703</v>
      </c>
      <c r="K2299" t="s">
        <v>7684</v>
      </c>
      <c r="L2299" t="s">
        <v>7685</v>
      </c>
      <c r="N2299" t="str" cm="1">
        <f t="array" ref="N2299">IFERROR(LOOKUP(2,1/SEARCH($S$2:$S$65,G2299),$T$2:$T$65),"Misc")</f>
        <v>COTS</v>
      </c>
      <c r="O2299" t="str" cm="1">
        <f t="array" ref="O2299">IFERROR(LOOKUP(2,1/SEARCH($V$2:$V$65,G2299),$W$2:$W$65),"Misc")</f>
        <v>Fasteners</v>
      </c>
      <c r="P2299" t="str" cm="1">
        <f t="array" ref="P2299">IFERROR(LOOKUP(2,1/SEARCH($Y$2:$Y$65,G2299),$Z$2:$Z$65),"Not Defined")</f>
        <v>NUT</v>
      </c>
      <c r="Q2299" t="str" cm="1">
        <f t="array" ref="Q2299">IFERROR(LOOKUP(2,1/SEARCH($S$2:$S$65,H2299),$T$2:$T$65),"-")</f>
        <v>COTS</v>
      </c>
    </row>
    <row r="2300" spans="1:17" hidden="1" x14ac:dyDescent="0.25">
      <c r="A2300" t="s">
        <v>7675</v>
      </c>
      <c r="B2300" t="s">
        <v>5826</v>
      </c>
      <c r="C2300">
        <v>2</v>
      </c>
      <c r="D2300" t="s">
        <v>7431</v>
      </c>
      <c r="E2300" t="s">
        <v>5817</v>
      </c>
      <c r="F2300" t="s">
        <v>1048</v>
      </c>
      <c r="G2300" t="s">
        <v>7168</v>
      </c>
      <c r="H2300" t="s">
        <v>1049</v>
      </c>
      <c r="I2300" t="s">
        <v>210</v>
      </c>
      <c r="J2300" t="s">
        <v>7703</v>
      </c>
      <c r="K2300" t="s">
        <v>7684</v>
      </c>
      <c r="L2300" t="s">
        <v>7691</v>
      </c>
      <c r="N2300" t="str" cm="1">
        <f t="array" ref="N2300">IFERROR(LOOKUP(2,1/SEARCH($S$2:$S$65,G2300),$T$2:$T$65),"Misc")</f>
        <v>COTS</v>
      </c>
      <c r="O2300" t="str" cm="1">
        <f t="array" ref="O2300">IFERROR(LOOKUP(2,1/SEARCH($V$2:$V$65,G2300),$W$2:$W$65),"Misc")</f>
        <v>Fasteners</v>
      </c>
      <c r="P2300" t="str" cm="1">
        <f t="array" ref="P2300">IFERROR(LOOKUP(2,1/SEARCH($Y$2:$Y$65,G2300),$Z$2:$Z$65),"Not Defined")</f>
        <v>FHS</v>
      </c>
      <c r="Q2300" t="str" cm="1">
        <f t="array" ref="Q2300">IFERROR(LOOKUP(2,1/SEARCH($S$2:$S$65,H2300),$T$2:$T$65),"-")</f>
        <v>COTS</v>
      </c>
    </row>
    <row r="2301" spans="1:17" hidden="1" x14ac:dyDescent="0.25">
      <c r="A2301" t="s">
        <v>7675</v>
      </c>
      <c r="B2301" t="s">
        <v>5827</v>
      </c>
      <c r="C2301">
        <v>2</v>
      </c>
      <c r="D2301" t="s">
        <v>7431</v>
      </c>
      <c r="E2301" t="s">
        <v>5817</v>
      </c>
      <c r="F2301" t="s">
        <v>5828</v>
      </c>
      <c r="G2301" t="s">
        <v>7598</v>
      </c>
      <c r="H2301" t="s">
        <v>5829</v>
      </c>
      <c r="I2301" t="s">
        <v>255</v>
      </c>
      <c r="J2301" t="s">
        <v>7703</v>
      </c>
      <c r="K2301" t="s">
        <v>7818</v>
      </c>
      <c r="L2301" t="s">
        <v>7818</v>
      </c>
      <c r="N2301" t="str" cm="1">
        <f t="array" ref="N2301">IFERROR(LOOKUP(2,1/SEARCH($S$2:$S$65,G2301),$T$2:$T$65),"Misc")</f>
        <v>COTS</v>
      </c>
      <c r="O2301" t="str" cm="1">
        <f t="array" ref="O2301">IFERROR(LOOKUP(2,1/SEARCH($V$2:$V$65,G2301),$W$2:$W$65),"Misc")</f>
        <v>Connector</v>
      </c>
      <c r="P2301" t="str" cm="1">
        <f t="array" ref="P2301">IFERROR(LOOKUP(2,1/SEARCH($Y$2:$Y$65,G2301),$Z$2:$Z$65),"Not Defined")</f>
        <v>Connector</v>
      </c>
      <c r="Q2301" t="str" cm="1">
        <f t="array" ref="Q2301">IFERROR(LOOKUP(2,1/SEARCH($S$2:$S$65,H2301),$T$2:$T$65),"-")</f>
        <v>COTS</v>
      </c>
    </row>
    <row r="2302" spans="1:17" x14ac:dyDescent="0.25">
      <c r="A2302" t="s">
        <v>7675</v>
      </c>
      <c r="B2302" s="18">
        <v>3.49</v>
      </c>
      <c r="C2302">
        <v>4</v>
      </c>
      <c r="D2302" t="s">
        <v>7431</v>
      </c>
      <c r="F2302" t="s">
        <v>5830</v>
      </c>
      <c r="G2302" t="s">
        <v>7599</v>
      </c>
      <c r="H2302" t="s">
        <v>5831</v>
      </c>
      <c r="I2302" t="s">
        <v>299</v>
      </c>
      <c r="J2302" t="s">
        <v>7703</v>
      </c>
      <c r="K2302" t="s">
        <v>7684</v>
      </c>
      <c r="L2302" t="s">
        <v>7708</v>
      </c>
      <c r="N2302" t="str" cm="1">
        <f t="array" ref="N2302">IFERROR(LOOKUP(2,1/SEARCH($S$2:$S$65,G2302),$T$2:$T$65),"Misc")</f>
        <v>COTS</v>
      </c>
      <c r="O2302" t="str" cm="1">
        <f t="array" ref="O2302">IFERROR(LOOKUP(2,1/SEARCH($V$2:$V$65,G2302),$W$2:$W$65),"Misc")</f>
        <v>Fasteners</v>
      </c>
      <c r="P2302" t="str" cm="1">
        <f t="array" ref="P2302">IFERROR(LOOKUP(2,1/SEARCH($Y$2:$Y$65,G2302),$Z$2:$Z$65),"Not Defined")</f>
        <v>STANDOFF</v>
      </c>
      <c r="Q2302" t="str" cm="1">
        <f t="array" ref="Q2302">IFERROR(LOOKUP(2,1/SEARCH($S$2:$S$65,H2302),$T$2:$T$65),"-")</f>
        <v>COTS</v>
      </c>
    </row>
    <row r="2303" spans="1:17" x14ac:dyDescent="0.25">
      <c r="A2303" t="s">
        <v>7675</v>
      </c>
      <c r="B2303" s="28">
        <v>3.5</v>
      </c>
      <c r="C2303">
        <v>4</v>
      </c>
      <c r="D2303" t="s">
        <v>7431</v>
      </c>
      <c r="F2303" t="s">
        <v>219</v>
      </c>
      <c r="G2303" t="s">
        <v>7052</v>
      </c>
      <c r="H2303" t="s">
        <v>220</v>
      </c>
      <c r="I2303" t="s">
        <v>210</v>
      </c>
      <c r="J2303" t="s">
        <v>7703</v>
      </c>
      <c r="K2303" t="s">
        <v>7684</v>
      </c>
      <c r="L2303" t="s">
        <v>7691</v>
      </c>
      <c r="N2303" t="str" cm="1">
        <f t="array" ref="N2303">IFERROR(LOOKUP(2,1/SEARCH($S$2:$S$65,G2303),$T$2:$T$65),"Misc")</f>
        <v>COTS</v>
      </c>
      <c r="O2303" t="str" cm="1">
        <f t="array" ref="O2303">IFERROR(LOOKUP(2,1/SEARCH($V$2:$V$65,G2303),$W$2:$W$65),"Misc")</f>
        <v>Fasteners</v>
      </c>
      <c r="P2303" t="str" cm="1">
        <f t="array" ref="P2303">IFERROR(LOOKUP(2,1/SEARCH($Y$2:$Y$65,G2303),$Z$2:$Z$65),"Not Defined")</f>
        <v>FHS</v>
      </c>
      <c r="Q2303" t="str" cm="1">
        <f t="array" ref="Q2303">IFERROR(LOOKUP(2,1/SEARCH($S$2:$S$65,H2303),$T$2:$T$65),"-")</f>
        <v>COTS</v>
      </c>
    </row>
    <row r="2304" spans="1:17" hidden="1" x14ac:dyDescent="0.25">
      <c r="A2304" t="s">
        <v>7675</v>
      </c>
      <c r="B2304" s="19">
        <v>3.51</v>
      </c>
      <c r="C2304">
        <v>1</v>
      </c>
      <c r="D2304" t="s">
        <v>7431</v>
      </c>
      <c r="E2304" t="s">
        <v>5833</v>
      </c>
      <c r="F2304" t="s">
        <v>5832</v>
      </c>
      <c r="G2304" t="s">
        <v>7600</v>
      </c>
      <c r="H2304" t="s">
        <v>5833</v>
      </c>
      <c r="J2304" t="s">
        <v>7742</v>
      </c>
      <c r="K2304" t="s">
        <v>7826</v>
      </c>
      <c r="L2304" t="s">
        <v>7826</v>
      </c>
      <c r="N2304" t="str" cm="1">
        <f t="array" ref="N2304">IFERROR(LOOKUP(2,1/SEARCH($S$2:$S$65,G2304),$T$2:$T$65),"Misc")</f>
        <v>OH ASSY</v>
      </c>
      <c r="O2304" t="str" cm="1">
        <f t="array" ref="O2304">IFERROR(LOOKUP(2,1/SEARCH($V$2:$V$65,G2304),$W$2:$W$65),"Misc")</f>
        <v>OH Part</v>
      </c>
      <c r="P2304" t="str" cm="1">
        <f t="array" ref="P2304">IFERROR(LOOKUP(2,1/SEARCH($Y$2:$Y$65,G2304),$Z$2:$Z$65),"Not Defined")</f>
        <v>OH Part</v>
      </c>
      <c r="Q2304" t="str" cm="1">
        <f t="array" ref="Q2304">IFERROR(LOOKUP(2,1/SEARCH($S$2:$S$65,H2304),$T$2:$T$65),"-")</f>
        <v>OH ASSY</v>
      </c>
    </row>
    <row r="2305" spans="1:17" hidden="1" x14ac:dyDescent="0.25">
      <c r="A2305" t="s">
        <v>7675</v>
      </c>
      <c r="B2305" s="19" t="s">
        <v>5834</v>
      </c>
      <c r="C2305">
        <v>1</v>
      </c>
      <c r="D2305" t="s">
        <v>7431</v>
      </c>
      <c r="E2305" t="s">
        <v>5833</v>
      </c>
      <c r="F2305" t="s">
        <v>2213</v>
      </c>
      <c r="G2305" t="s">
        <v>7262</v>
      </c>
      <c r="H2305" t="s">
        <v>2214</v>
      </c>
      <c r="I2305" t="s">
        <v>255</v>
      </c>
      <c r="J2305" t="s">
        <v>7703</v>
      </c>
      <c r="K2305" t="s">
        <v>7722</v>
      </c>
      <c r="L2305" t="s">
        <v>7722</v>
      </c>
      <c r="N2305" t="str" cm="1">
        <f t="array" ref="N2305">IFERROR(LOOKUP(2,1/SEARCH($S$2:$S$65,G2305),$T$2:$T$65),"Misc")</f>
        <v>COTS</v>
      </c>
      <c r="O2305" t="str" cm="1">
        <f t="array" ref="O2305">IFERROR(LOOKUP(2,1/SEARCH($V$2:$V$65,G2305),$W$2:$W$65),"Misc")</f>
        <v>POT</v>
      </c>
      <c r="P2305" t="str" cm="1">
        <f t="array" ref="P2305">IFERROR(LOOKUP(2,1/SEARCH($Y$2:$Y$65,G2305),$Z$2:$Z$65),"Not Defined")</f>
        <v>POT</v>
      </c>
      <c r="Q2305" t="str" cm="1">
        <f t="array" ref="Q2305">IFERROR(LOOKUP(2,1/SEARCH($S$2:$S$65,H2305),$T$2:$T$65),"-")</f>
        <v>COTS</v>
      </c>
    </row>
    <row r="2306" spans="1:17" hidden="1" x14ac:dyDescent="0.25">
      <c r="A2306" t="s">
        <v>7675</v>
      </c>
      <c r="B2306" s="19" t="s">
        <v>5835</v>
      </c>
      <c r="C2306">
        <v>1</v>
      </c>
      <c r="D2306" t="s">
        <v>7431</v>
      </c>
      <c r="E2306" t="s">
        <v>5833</v>
      </c>
      <c r="F2306" t="s">
        <v>5836</v>
      </c>
      <c r="G2306" t="s">
        <v>7601</v>
      </c>
      <c r="H2306" t="s">
        <v>5837</v>
      </c>
      <c r="I2306" t="s">
        <v>281</v>
      </c>
      <c r="J2306" t="s">
        <v>7682</v>
      </c>
      <c r="K2306" t="s">
        <v>7826</v>
      </c>
      <c r="L2306" t="s">
        <v>7826</v>
      </c>
      <c r="N2306" t="str" cm="1">
        <f t="array" ref="N2306">IFERROR(LOOKUP(2,1/SEARCH($S$2:$S$65,G2306),$T$2:$T$65),"Misc")</f>
        <v>OH P/N</v>
      </c>
      <c r="O2306" t="str" cm="1">
        <f t="array" ref="O2306">IFERROR(LOOKUP(2,1/SEARCH($V$2:$V$65,G2306),$W$2:$W$65),"Misc")</f>
        <v>OH Part</v>
      </c>
      <c r="P2306" t="str" cm="1">
        <f t="array" ref="P2306">IFERROR(LOOKUP(2,1/SEARCH($Y$2:$Y$65,G2306),$Z$2:$Z$65),"Not Defined")</f>
        <v>OH Part</v>
      </c>
      <c r="Q2306" t="str" cm="1">
        <f t="array" ref="Q2306">IFERROR(LOOKUP(2,1/SEARCH($S$2:$S$65,H2306),$T$2:$T$65),"-")</f>
        <v>-</v>
      </c>
    </row>
    <row r="2307" spans="1:17" hidden="1" x14ac:dyDescent="0.25">
      <c r="A2307" t="s">
        <v>7675</v>
      </c>
      <c r="B2307" s="19" t="s">
        <v>5838</v>
      </c>
      <c r="C2307">
        <v>1</v>
      </c>
      <c r="D2307" t="s">
        <v>7431</v>
      </c>
      <c r="E2307" t="s">
        <v>5833</v>
      </c>
      <c r="F2307" t="s">
        <v>2229</v>
      </c>
      <c r="G2307" t="s">
        <v>7265</v>
      </c>
      <c r="H2307" t="s">
        <v>2230</v>
      </c>
      <c r="I2307" t="s">
        <v>224</v>
      </c>
      <c r="J2307" t="s">
        <v>7703</v>
      </c>
      <c r="K2307" t="s">
        <v>7722</v>
      </c>
      <c r="L2307" t="s">
        <v>7685</v>
      </c>
      <c r="N2307" t="str" cm="1">
        <f t="array" ref="N2307">IFERROR(LOOKUP(2,1/SEARCH($S$2:$S$65,G2307),$T$2:$T$65),"Misc")</f>
        <v>COTS</v>
      </c>
      <c r="O2307" t="str" cm="1">
        <f t="array" ref="O2307">IFERROR(LOOKUP(2,1/SEARCH($V$2:$V$65,G2307),$W$2:$W$65),"Misc")</f>
        <v>POT</v>
      </c>
      <c r="P2307" t="str" cm="1">
        <f t="array" ref="P2307">IFERROR(LOOKUP(2,1/SEARCH($Y$2:$Y$65,G2307),$Z$2:$Z$65),"Not Defined")</f>
        <v>NUT</v>
      </c>
      <c r="Q2307" t="str" cm="1">
        <f t="array" ref="Q2307">IFERROR(LOOKUP(2,1/SEARCH($S$2:$S$65,H2307),$T$2:$T$65),"-")</f>
        <v>COTS</v>
      </c>
    </row>
    <row r="2308" spans="1:17" hidden="1" x14ac:dyDescent="0.25">
      <c r="A2308" t="s">
        <v>7675</v>
      </c>
      <c r="B2308" s="19" t="s">
        <v>5839</v>
      </c>
      <c r="C2308">
        <v>1</v>
      </c>
      <c r="D2308" t="s">
        <v>7431</v>
      </c>
      <c r="E2308" t="s">
        <v>5833</v>
      </c>
      <c r="F2308" t="s">
        <v>2417</v>
      </c>
      <c r="G2308" t="s">
        <v>7279</v>
      </c>
      <c r="H2308" t="s">
        <v>2418</v>
      </c>
      <c r="I2308" t="s">
        <v>210</v>
      </c>
      <c r="J2308" t="s">
        <v>7703</v>
      </c>
      <c r="K2308" t="s">
        <v>7684</v>
      </c>
      <c r="L2308" t="s">
        <v>7722</v>
      </c>
      <c r="N2308" t="str" cm="1">
        <f t="array" ref="N2308">IFERROR(LOOKUP(2,1/SEARCH($S$2:$S$65,G2308),$T$2:$T$65),"Misc")</f>
        <v>COTS</v>
      </c>
      <c r="O2308" t="str" cm="1">
        <f t="array" ref="O2308">IFERROR(LOOKUP(2,1/SEARCH($V$2:$V$65,G2308),$W$2:$W$65),"Misc")</f>
        <v>Fasteners</v>
      </c>
      <c r="P2308" t="str" cm="1">
        <f t="array" ref="P2308">IFERROR(LOOKUP(2,1/SEARCH($Y$2:$Y$65,G2308),$Z$2:$Z$65),"Not Defined")</f>
        <v>POT</v>
      </c>
      <c r="Q2308" t="str" cm="1">
        <f t="array" ref="Q2308">IFERROR(LOOKUP(2,1/SEARCH($S$2:$S$65,H2308),$T$2:$T$65),"-")</f>
        <v>COTS</v>
      </c>
    </row>
    <row r="2309" spans="1:17" hidden="1" x14ac:dyDescent="0.25">
      <c r="A2309" t="s">
        <v>7675</v>
      </c>
      <c r="B2309" s="19" t="s">
        <v>5840</v>
      </c>
      <c r="C2309">
        <v>1</v>
      </c>
      <c r="D2309" t="s">
        <v>7431</v>
      </c>
      <c r="E2309" t="s">
        <v>7944</v>
      </c>
      <c r="F2309" t="s">
        <v>4918</v>
      </c>
      <c r="G2309" t="s">
        <v>7512</v>
      </c>
      <c r="H2309" t="s">
        <v>711</v>
      </c>
      <c r="J2309" t="s">
        <v>7744</v>
      </c>
      <c r="K2309" t="s">
        <v>7826</v>
      </c>
      <c r="L2309" t="s">
        <v>7826</v>
      </c>
      <c r="N2309" t="str" cm="1">
        <f t="array" ref="N2309">IFERROR(LOOKUP(2,1/SEARCH($S$2:$S$65,G2309),$T$2:$T$65),"Misc")</f>
        <v>OH Common</v>
      </c>
      <c r="O2309" t="str" cm="1">
        <f t="array" ref="O2309">IFERROR(LOOKUP(2,1/SEARCH($V$2:$V$65,G2309),$W$2:$W$65),"Misc")</f>
        <v>OH Part</v>
      </c>
      <c r="P2309" t="str" cm="1">
        <f t="array" ref="P2309">IFERROR(LOOKUP(2,1/SEARCH($Y$2:$Y$65,G2309),$Z$2:$Z$65),"Not Defined")</f>
        <v>OH Part</v>
      </c>
      <c r="Q2309" t="str" cm="1">
        <f t="array" ref="Q2309">IFERROR(LOOKUP(2,1/SEARCH($S$2:$S$65,H2309),$T$2:$T$65),"-")</f>
        <v>OH ASSY</v>
      </c>
    </row>
    <row r="2310" spans="1:17" hidden="1" x14ac:dyDescent="0.25">
      <c r="A2310" t="s">
        <v>7675</v>
      </c>
      <c r="B2310" s="19" t="s">
        <v>5841</v>
      </c>
      <c r="C2310">
        <v>1</v>
      </c>
      <c r="D2310" t="s">
        <v>7431</v>
      </c>
      <c r="E2310" t="s">
        <v>7944</v>
      </c>
      <c r="F2310" t="s">
        <v>4920</v>
      </c>
      <c r="G2310" t="s">
        <v>4921</v>
      </c>
      <c r="H2310" t="s">
        <v>714</v>
      </c>
      <c r="I2310" t="s">
        <v>358</v>
      </c>
      <c r="J2310" t="s">
        <v>7744</v>
      </c>
      <c r="K2310" t="s">
        <v>7826</v>
      </c>
      <c r="L2310" t="s">
        <v>7826</v>
      </c>
      <c r="N2310" t="str" cm="1">
        <f t="array" ref="N2310">IFERROR(LOOKUP(2,1/SEARCH($S$2:$S$65,G2310),$T$2:$T$65),"Misc")</f>
        <v>OH Common</v>
      </c>
      <c r="O2310" t="str" cm="1">
        <f t="array" ref="O2310">IFERROR(LOOKUP(2,1/SEARCH($V$2:$V$65,G2310),$W$2:$W$65),"Misc")</f>
        <v>OH Part</v>
      </c>
      <c r="P2310" t="str" cm="1">
        <f t="array" ref="P2310">IFERROR(LOOKUP(2,1/SEARCH($Y$2:$Y$65,G2310),$Z$2:$Z$65),"Not Defined")</f>
        <v>OH Part</v>
      </c>
      <c r="Q2310" t="str" cm="1">
        <f t="array" ref="Q2310">IFERROR(LOOKUP(2,1/SEARCH($S$2:$S$65,H2310),$T$2:$T$65),"-")</f>
        <v>-</v>
      </c>
    </row>
    <row r="2311" spans="1:17" hidden="1" x14ac:dyDescent="0.25">
      <c r="A2311" t="s">
        <v>7675</v>
      </c>
      <c r="B2311" s="19" t="s">
        <v>5842</v>
      </c>
      <c r="C2311">
        <v>2</v>
      </c>
      <c r="D2311" t="s">
        <v>7431</v>
      </c>
      <c r="E2311" t="s">
        <v>7944</v>
      </c>
      <c r="F2311" t="s">
        <v>2179</v>
      </c>
      <c r="G2311" t="s">
        <v>7259</v>
      </c>
      <c r="H2311" t="s">
        <v>1552</v>
      </c>
      <c r="I2311" t="s">
        <v>228</v>
      </c>
      <c r="J2311" t="s">
        <v>7703</v>
      </c>
      <c r="K2311" t="s">
        <v>7684</v>
      </c>
      <c r="L2311" t="s">
        <v>7721</v>
      </c>
      <c r="N2311" t="str" cm="1">
        <f t="array" ref="N2311">IFERROR(LOOKUP(2,1/SEARCH($S$2:$S$65,G2311),$T$2:$T$65),"Misc")</f>
        <v>COTS</v>
      </c>
      <c r="O2311" t="str" cm="1">
        <f t="array" ref="O2311">IFERROR(LOOKUP(2,1/SEARCH($V$2:$V$65,G2311),$W$2:$W$65),"Misc")</f>
        <v>Fasteners</v>
      </c>
      <c r="P2311" t="str" cm="1">
        <f t="array" ref="P2311">IFERROR(LOOKUP(2,1/SEARCH($Y$2:$Y$65,G2311),$Z$2:$Z$65),"Not Defined")</f>
        <v>SET SCREW</v>
      </c>
      <c r="Q2311" t="str" cm="1">
        <f t="array" ref="Q2311">IFERROR(LOOKUP(2,1/SEARCH($S$2:$S$65,H2311),$T$2:$T$65),"-")</f>
        <v>COTS</v>
      </c>
    </row>
    <row r="2312" spans="1:17" x14ac:dyDescent="0.25">
      <c r="A2312" t="s">
        <v>7675</v>
      </c>
      <c r="B2312" s="20">
        <v>3.52</v>
      </c>
      <c r="C2312">
        <v>2</v>
      </c>
      <c r="D2312" t="s">
        <v>7431</v>
      </c>
      <c r="F2312" t="s">
        <v>941</v>
      </c>
      <c r="G2312" t="s">
        <v>7136</v>
      </c>
      <c r="H2312" t="s">
        <v>942</v>
      </c>
      <c r="I2312" t="s">
        <v>210</v>
      </c>
      <c r="J2312" t="s">
        <v>7703</v>
      </c>
      <c r="K2312" t="s">
        <v>7684</v>
      </c>
      <c r="L2312" t="s">
        <v>7685</v>
      </c>
      <c r="N2312" t="str" cm="1">
        <f t="array" ref="N2312">IFERROR(LOOKUP(2,1/SEARCH($S$2:$S$65,G2312),$T$2:$T$65),"Misc")</f>
        <v>COTS</v>
      </c>
      <c r="O2312" t="str" cm="1">
        <f t="array" ref="O2312">IFERROR(LOOKUP(2,1/SEARCH($V$2:$V$65,G2312),$W$2:$W$65),"Misc")</f>
        <v>Fasteners</v>
      </c>
      <c r="P2312" t="str" cm="1">
        <f t="array" ref="P2312">IFERROR(LOOKUP(2,1/SEARCH($Y$2:$Y$65,G2312),$Z$2:$Z$65),"Not Defined")</f>
        <v>NUT</v>
      </c>
      <c r="Q2312" t="str" cm="1">
        <f t="array" ref="Q2312">IFERROR(LOOKUP(2,1/SEARCH($S$2:$S$65,H2312),$T$2:$T$65),"-")</f>
        <v>COTS</v>
      </c>
    </row>
    <row r="2313" spans="1:17" x14ac:dyDescent="0.25">
      <c r="A2313" t="s">
        <v>7675</v>
      </c>
      <c r="B2313" s="20">
        <v>3.53</v>
      </c>
      <c r="C2313">
        <v>2</v>
      </c>
      <c r="D2313" t="s">
        <v>7431</v>
      </c>
      <c r="F2313" t="s">
        <v>910</v>
      </c>
      <c r="G2313" t="s">
        <v>7128</v>
      </c>
      <c r="H2313" t="s">
        <v>911</v>
      </c>
      <c r="I2313" t="s">
        <v>228</v>
      </c>
      <c r="J2313" t="s">
        <v>7703</v>
      </c>
      <c r="K2313" t="s">
        <v>7684</v>
      </c>
      <c r="L2313" t="s">
        <v>7693</v>
      </c>
      <c r="N2313" t="str" cm="1">
        <f t="array" ref="N2313">IFERROR(LOOKUP(2,1/SEARCH($S$2:$S$65,G2313),$T$2:$T$65),"Misc")</f>
        <v>COTS</v>
      </c>
      <c r="O2313" t="str" cm="1">
        <f t="array" ref="O2313">IFERROR(LOOKUP(2,1/SEARCH($V$2:$V$65,G2313),$W$2:$W$65),"Misc")</f>
        <v>Fasteners</v>
      </c>
      <c r="P2313" t="str" cm="1">
        <f t="array" ref="P2313">IFERROR(LOOKUP(2,1/SEARCH($Y$2:$Y$65,G2313),$Z$2:$Z$65),"Not Defined")</f>
        <v>PHS</v>
      </c>
      <c r="Q2313" t="str" cm="1">
        <f t="array" ref="Q2313">IFERROR(LOOKUP(2,1/SEARCH($S$2:$S$65,H2313),$T$2:$T$65),"-")</f>
        <v>COTS</v>
      </c>
    </row>
    <row r="2314" spans="1:17" x14ac:dyDescent="0.25">
      <c r="A2314" t="s">
        <v>7675</v>
      </c>
      <c r="B2314" s="20">
        <v>3.54</v>
      </c>
      <c r="C2314">
        <v>3</v>
      </c>
      <c r="D2314" t="s">
        <v>7431</v>
      </c>
      <c r="F2314" t="s">
        <v>1077</v>
      </c>
      <c r="G2314" t="s">
        <v>7174</v>
      </c>
      <c r="H2314" t="s">
        <v>1078</v>
      </c>
      <c r="I2314" t="s">
        <v>255</v>
      </c>
      <c r="J2314" t="s">
        <v>7703</v>
      </c>
      <c r="K2314" t="s">
        <v>7814</v>
      </c>
      <c r="L2314" t="s">
        <v>7824</v>
      </c>
      <c r="N2314" t="str" cm="1">
        <f t="array" ref="N2314">IFERROR(LOOKUP(2,1/SEARCH($S$2:$S$65,G2314),$T$2:$T$65),"Misc")</f>
        <v>COTS</v>
      </c>
      <c r="O2314" t="str" cm="1">
        <f t="array" ref="O2314">IFERROR(LOOKUP(2,1/SEARCH($V$2:$V$65,G2314),$W$2:$W$65),"Misc")</f>
        <v>Misc</v>
      </c>
      <c r="P2314" t="str" cm="1">
        <f t="array" ref="P2314">IFERROR(LOOKUP(2,1/SEARCH($Y$2:$Y$65,G2314),$Z$2:$Z$65),"Not Defined")</f>
        <v>Hub</v>
      </c>
      <c r="Q2314" t="str" cm="1">
        <f t="array" ref="Q2314">IFERROR(LOOKUP(2,1/SEARCH($S$2:$S$65,H2314),$T$2:$T$65),"-")</f>
        <v>COTS</v>
      </c>
    </row>
    <row r="2315" spans="1:17" x14ac:dyDescent="0.25">
      <c r="A2315" t="s">
        <v>7675</v>
      </c>
      <c r="B2315" s="20">
        <v>3.55</v>
      </c>
      <c r="C2315">
        <v>2</v>
      </c>
      <c r="D2315" t="s">
        <v>7431</v>
      </c>
      <c r="F2315" t="s">
        <v>5843</v>
      </c>
      <c r="G2315" t="s">
        <v>7602</v>
      </c>
      <c r="H2315" t="s">
        <v>5844</v>
      </c>
      <c r="I2315" t="s">
        <v>228</v>
      </c>
      <c r="J2315" t="s">
        <v>7703</v>
      </c>
      <c r="K2315" t="s">
        <v>7684</v>
      </c>
      <c r="L2315" t="s">
        <v>7685</v>
      </c>
      <c r="N2315" t="str" cm="1">
        <f t="array" ref="N2315">IFERROR(LOOKUP(2,1/SEARCH($S$2:$S$65,G2315),$T$2:$T$65),"Misc")</f>
        <v>COTS</v>
      </c>
      <c r="O2315" t="str" cm="1">
        <f t="array" ref="O2315">IFERROR(LOOKUP(2,1/SEARCH($V$2:$V$65,G2315),$W$2:$W$65),"Misc")</f>
        <v>Fasteners</v>
      </c>
      <c r="P2315" t="str" cm="1">
        <f t="array" ref="P2315">IFERROR(LOOKUP(2,1/SEARCH($Y$2:$Y$65,G2315),$Z$2:$Z$65),"Not Defined")</f>
        <v>NUT</v>
      </c>
      <c r="Q2315" t="str" cm="1">
        <f t="array" ref="Q2315">IFERROR(LOOKUP(2,1/SEARCH($S$2:$S$65,H2315),$T$2:$T$65),"-")</f>
        <v>COTS</v>
      </c>
    </row>
    <row r="2316" spans="1:17" x14ac:dyDescent="0.25">
      <c r="A2316" t="s">
        <v>7675</v>
      </c>
      <c r="B2316" s="20">
        <v>3.56</v>
      </c>
      <c r="C2316">
        <v>2</v>
      </c>
      <c r="D2316" t="s">
        <v>7431</v>
      </c>
      <c r="F2316" t="s">
        <v>580</v>
      </c>
      <c r="G2316" t="s">
        <v>7105</v>
      </c>
      <c r="H2316" t="s">
        <v>581</v>
      </c>
      <c r="I2316" t="s">
        <v>210</v>
      </c>
      <c r="J2316" t="s">
        <v>7703</v>
      </c>
      <c r="K2316" t="s">
        <v>7684</v>
      </c>
      <c r="L2316" t="s">
        <v>7691</v>
      </c>
      <c r="N2316" t="str" cm="1">
        <f t="array" ref="N2316">IFERROR(LOOKUP(2,1/SEARCH($S$2:$S$65,G2316),$T$2:$T$65),"Misc")</f>
        <v>COTS</v>
      </c>
      <c r="O2316" t="str" cm="1">
        <f t="array" ref="O2316">IFERROR(LOOKUP(2,1/SEARCH($V$2:$V$65,G2316),$W$2:$W$65),"Misc")</f>
        <v>Fasteners</v>
      </c>
      <c r="P2316" t="str" cm="1">
        <f t="array" ref="P2316">IFERROR(LOOKUP(2,1/SEARCH($Y$2:$Y$65,G2316),$Z$2:$Z$65),"Not Defined")</f>
        <v>FHS</v>
      </c>
      <c r="Q2316" t="str" cm="1">
        <f t="array" ref="Q2316">IFERROR(LOOKUP(2,1/SEARCH($S$2:$S$65,H2316),$T$2:$T$65),"-")</f>
        <v>COTS</v>
      </c>
    </row>
    <row r="2317" spans="1:17" x14ac:dyDescent="0.25">
      <c r="A2317" t="s">
        <v>7675</v>
      </c>
      <c r="B2317" s="20">
        <v>3.57</v>
      </c>
      <c r="C2317">
        <v>2</v>
      </c>
      <c r="D2317" t="s">
        <v>7431</v>
      </c>
      <c r="F2317" t="s">
        <v>212</v>
      </c>
      <c r="G2317" t="s">
        <v>7050</v>
      </c>
      <c r="H2317" t="s">
        <v>213</v>
      </c>
      <c r="I2317" t="s">
        <v>214</v>
      </c>
      <c r="J2317" t="s">
        <v>7703</v>
      </c>
      <c r="K2317" t="s">
        <v>7684</v>
      </c>
      <c r="L2317" t="s">
        <v>7707</v>
      </c>
      <c r="N2317" t="str" cm="1">
        <f t="array" ref="N2317">IFERROR(LOOKUP(2,1/SEARCH($S$2:$S$65,G2317),$T$2:$T$65),"Misc")</f>
        <v>COTS</v>
      </c>
      <c r="O2317" t="str" cm="1">
        <f t="array" ref="O2317">IFERROR(LOOKUP(2,1/SEARCH($V$2:$V$65,G2317),$W$2:$W$65),"Misc")</f>
        <v>Fasteners</v>
      </c>
      <c r="P2317" t="str" cm="1">
        <f t="array" ref="P2317">IFERROR(LOOKUP(2,1/SEARCH($Y$2:$Y$65,G2317),$Z$2:$Z$65),"Not Defined")</f>
        <v>PIN</v>
      </c>
      <c r="Q2317" t="str" cm="1">
        <f t="array" ref="Q2317">IFERROR(LOOKUP(2,1/SEARCH($S$2:$S$65,H2317),$T$2:$T$65),"-")</f>
        <v>COTS</v>
      </c>
    </row>
    <row r="2318" spans="1:17" hidden="1" x14ac:dyDescent="0.25">
      <c r="A2318" t="s">
        <v>7676</v>
      </c>
      <c r="B2318" s="18">
        <v>4</v>
      </c>
      <c r="C2318">
        <v>1</v>
      </c>
      <c r="D2318" t="s">
        <v>7603</v>
      </c>
      <c r="F2318" t="s">
        <v>5845</v>
      </c>
      <c r="G2318" t="s">
        <v>7603</v>
      </c>
      <c r="H2318" t="s">
        <v>5846</v>
      </c>
      <c r="J2318" t="s">
        <v>7742</v>
      </c>
      <c r="K2318" t="s">
        <v>7826</v>
      </c>
      <c r="L2318" t="s">
        <v>7826</v>
      </c>
      <c r="N2318" t="str" cm="1">
        <f t="array" ref="N2318">IFERROR(LOOKUP(2,1/SEARCH($S$2:$S$65,G2318),$T$2:$T$65),"Misc")</f>
        <v>OH ASSY</v>
      </c>
      <c r="O2318" t="str" cm="1">
        <f t="array" ref="O2318">IFERROR(LOOKUP(2,1/SEARCH($V$2:$V$65,G2318),$W$2:$W$65),"Misc")</f>
        <v>OH Part</v>
      </c>
      <c r="P2318" t="str" cm="1">
        <f t="array" ref="P2318">IFERROR(LOOKUP(2,1/SEARCH($Y$2:$Y$65,G2318),$Z$2:$Z$65),"Not Defined")</f>
        <v>OH Part</v>
      </c>
      <c r="Q2318" t="str" cm="1">
        <f t="array" ref="Q2318">IFERROR(LOOKUP(2,1/SEARCH($S$2:$S$65,H2318),$T$2:$T$65),"-")</f>
        <v>OH ASSY</v>
      </c>
    </row>
    <row r="2319" spans="1:17" hidden="1" x14ac:dyDescent="0.25">
      <c r="A2319" t="s">
        <v>7676</v>
      </c>
      <c r="B2319" s="18">
        <v>4.0999999999999996</v>
      </c>
      <c r="C2319">
        <v>1</v>
      </c>
      <c r="D2319" t="s">
        <v>7603</v>
      </c>
      <c r="F2319" t="s">
        <v>5847</v>
      </c>
      <c r="G2319" t="s">
        <v>5849</v>
      </c>
      <c r="H2319" t="s">
        <v>5848</v>
      </c>
      <c r="I2319" t="s">
        <v>38</v>
      </c>
      <c r="J2319" t="s">
        <v>7682</v>
      </c>
      <c r="K2319" t="s">
        <v>7826</v>
      </c>
      <c r="L2319" t="s">
        <v>7826</v>
      </c>
      <c r="N2319" t="str" cm="1">
        <f t="array" ref="N2319">IFERROR(LOOKUP(2,1/SEARCH($S$2:$S$65,G2319),$T$2:$T$65),"Misc")</f>
        <v>OH P/N</v>
      </c>
      <c r="O2319" t="str" cm="1">
        <f t="array" ref="O2319">IFERROR(LOOKUP(2,1/SEARCH($V$2:$V$65,G2319),$W$2:$W$65),"Misc")</f>
        <v>OH Part</v>
      </c>
      <c r="P2319" t="str" cm="1">
        <f t="array" ref="P2319">IFERROR(LOOKUP(2,1/SEARCH($Y$2:$Y$65,G2319),$Z$2:$Z$65),"Not Defined")</f>
        <v>OH Part</v>
      </c>
      <c r="Q2319" t="str" cm="1">
        <f t="array" ref="Q2319">IFERROR(LOOKUP(2,1/SEARCH($S$2:$S$65,H2319),$T$2:$T$65),"-")</f>
        <v>-</v>
      </c>
    </row>
    <row r="2320" spans="1:17" hidden="1" x14ac:dyDescent="0.25">
      <c r="A2320" t="s">
        <v>7676</v>
      </c>
      <c r="B2320" s="18">
        <v>4.2</v>
      </c>
      <c r="C2320">
        <v>1</v>
      </c>
      <c r="D2320" t="s">
        <v>7603</v>
      </c>
      <c r="F2320" t="s">
        <v>5850</v>
      </c>
      <c r="G2320" t="s">
        <v>5852</v>
      </c>
      <c r="H2320" t="s">
        <v>5851</v>
      </c>
      <c r="I2320" t="s">
        <v>13</v>
      </c>
      <c r="J2320" t="s">
        <v>7682</v>
      </c>
      <c r="K2320" t="s">
        <v>7826</v>
      </c>
      <c r="L2320" t="s">
        <v>7826</v>
      </c>
      <c r="N2320" t="str" cm="1">
        <f t="array" ref="N2320">IFERROR(LOOKUP(2,1/SEARCH($S$2:$S$65,G2320),$T$2:$T$65),"Misc")</f>
        <v>OH P/N</v>
      </c>
      <c r="O2320" t="str" cm="1">
        <f t="array" ref="O2320">IFERROR(LOOKUP(2,1/SEARCH($V$2:$V$65,G2320),$W$2:$W$65),"Misc")</f>
        <v>OH Part</v>
      </c>
      <c r="P2320" t="str" cm="1">
        <f t="array" ref="P2320">IFERROR(LOOKUP(2,1/SEARCH($Y$2:$Y$65,G2320),$Z$2:$Z$65),"Not Defined")</f>
        <v>OH Part</v>
      </c>
      <c r="Q2320" t="str" cm="1">
        <f t="array" ref="Q2320">IFERROR(LOOKUP(2,1/SEARCH($S$2:$S$65,H2320),$T$2:$T$65),"-")</f>
        <v>-</v>
      </c>
    </row>
    <row r="2321" spans="1:17" hidden="1" x14ac:dyDescent="0.25">
      <c r="A2321" t="s">
        <v>7676</v>
      </c>
      <c r="B2321" s="18">
        <v>4.3</v>
      </c>
      <c r="C2321">
        <v>1</v>
      </c>
      <c r="D2321" t="s">
        <v>7603</v>
      </c>
      <c r="F2321" t="s">
        <v>5853</v>
      </c>
      <c r="G2321" t="s">
        <v>5855</v>
      </c>
      <c r="H2321" t="s">
        <v>5854</v>
      </c>
      <c r="I2321" t="s">
        <v>293</v>
      </c>
      <c r="J2321" t="s">
        <v>7682</v>
      </c>
      <c r="K2321" t="s">
        <v>7826</v>
      </c>
      <c r="L2321" t="s">
        <v>7826</v>
      </c>
      <c r="N2321" t="str" cm="1">
        <f t="array" ref="N2321">IFERROR(LOOKUP(2,1/SEARCH($S$2:$S$65,G2321),$T$2:$T$65),"Misc")</f>
        <v>OH P/N</v>
      </c>
      <c r="O2321" t="str" cm="1">
        <f t="array" ref="O2321">IFERROR(LOOKUP(2,1/SEARCH($V$2:$V$65,G2321),$W$2:$W$65),"Misc")</f>
        <v>OH Part</v>
      </c>
      <c r="P2321" t="str" cm="1">
        <f t="array" ref="P2321">IFERROR(LOOKUP(2,1/SEARCH($Y$2:$Y$65,G2321),$Z$2:$Z$65),"Not Defined")</f>
        <v>OH Part</v>
      </c>
      <c r="Q2321" t="str" cm="1">
        <f t="array" ref="Q2321">IFERROR(LOOKUP(2,1/SEARCH($S$2:$S$65,H2321),$T$2:$T$65),"-")</f>
        <v>-</v>
      </c>
    </row>
    <row r="2322" spans="1:17" hidden="1" x14ac:dyDescent="0.25">
      <c r="A2322" t="s">
        <v>7676</v>
      </c>
      <c r="B2322" s="18">
        <v>4.4000000000000004</v>
      </c>
      <c r="C2322">
        <v>1</v>
      </c>
      <c r="D2322" t="s">
        <v>7604</v>
      </c>
      <c r="F2322" t="s">
        <v>5856</v>
      </c>
      <c r="G2322" t="s">
        <v>7604</v>
      </c>
      <c r="H2322" t="s">
        <v>5857</v>
      </c>
      <c r="J2322" t="s">
        <v>7742</v>
      </c>
      <c r="K2322" t="s">
        <v>7826</v>
      </c>
      <c r="L2322" t="s">
        <v>7826</v>
      </c>
      <c r="N2322" t="str" cm="1">
        <f t="array" ref="N2322">IFERROR(LOOKUP(2,1/SEARCH($S$2:$S$65,G2322),$T$2:$T$65),"Misc")</f>
        <v>OH ASSY</v>
      </c>
      <c r="O2322" t="str" cm="1">
        <f t="array" ref="O2322">IFERROR(LOOKUP(2,1/SEARCH($V$2:$V$65,G2322),$W$2:$W$65),"Misc")</f>
        <v>OH Part</v>
      </c>
      <c r="P2322" t="str" cm="1">
        <f t="array" ref="P2322">IFERROR(LOOKUP(2,1/SEARCH($Y$2:$Y$65,G2322),$Z$2:$Z$65),"Not Defined")</f>
        <v>OH Part</v>
      </c>
      <c r="Q2322" t="str" cm="1">
        <f t="array" ref="Q2322">IFERROR(LOOKUP(2,1/SEARCH($S$2:$S$65,H2322),$T$2:$T$65),"-")</f>
        <v>OH ASSY</v>
      </c>
    </row>
    <row r="2323" spans="1:17" hidden="1" x14ac:dyDescent="0.25">
      <c r="A2323" t="s">
        <v>7676</v>
      </c>
      <c r="B2323" t="s">
        <v>5858</v>
      </c>
      <c r="C2323">
        <v>1</v>
      </c>
      <c r="D2323" t="s">
        <v>7604</v>
      </c>
      <c r="F2323" t="s">
        <v>5859</v>
      </c>
      <c r="G2323" t="s">
        <v>5861</v>
      </c>
      <c r="H2323" t="s">
        <v>5860</v>
      </c>
      <c r="I2323" t="s">
        <v>255</v>
      </c>
      <c r="J2323" t="s">
        <v>7682</v>
      </c>
      <c r="K2323" t="s">
        <v>7826</v>
      </c>
      <c r="L2323" t="s">
        <v>7826</v>
      </c>
      <c r="N2323" t="str" cm="1">
        <f t="array" ref="N2323">IFERROR(LOOKUP(2,1/SEARCH($S$2:$S$65,G2323),$T$2:$T$65),"Misc")</f>
        <v>OH P/N</v>
      </c>
      <c r="O2323" t="str" cm="1">
        <f t="array" ref="O2323">IFERROR(LOOKUP(2,1/SEARCH($V$2:$V$65,G2323),$W$2:$W$65),"Misc")</f>
        <v>OH Part</v>
      </c>
      <c r="P2323" t="str" cm="1">
        <f t="array" ref="P2323">IFERROR(LOOKUP(2,1/SEARCH($Y$2:$Y$65,G2323),$Z$2:$Z$65),"Not Defined")</f>
        <v>OH Part</v>
      </c>
      <c r="Q2323" t="str" cm="1">
        <f t="array" ref="Q2323">IFERROR(LOOKUP(2,1/SEARCH($S$2:$S$65,H2323),$T$2:$T$65),"-")</f>
        <v>-</v>
      </c>
    </row>
    <row r="2324" spans="1:17" hidden="1" x14ac:dyDescent="0.25">
      <c r="A2324" t="s">
        <v>7676</v>
      </c>
      <c r="B2324" t="s">
        <v>5862</v>
      </c>
      <c r="C2324">
        <v>1</v>
      </c>
      <c r="D2324" t="s">
        <v>7604</v>
      </c>
      <c r="F2324" t="s">
        <v>5863</v>
      </c>
      <c r="G2324" t="s">
        <v>5865</v>
      </c>
      <c r="H2324" t="s">
        <v>5864</v>
      </c>
      <c r="I2324" t="s">
        <v>293</v>
      </c>
      <c r="J2324" t="s">
        <v>7682</v>
      </c>
      <c r="K2324" t="s">
        <v>7826</v>
      </c>
      <c r="L2324" t="s">
        <v>7826</v>
      </c>
      <c r="N2324" t="str" cm="1">
        <f t="array" ref="N2324">IFERROR(LOOKUP(2,1/SEARCH($S$2:$S$65,G2324),$T$2:$T$65),"Misc")</f>
        <v>OH P/N</v>
      </c>
      <c r="O2324" t="str" cm="1">
        <f t="array" ref="O2324">IFERROR(LOOKUP(2,1/SEARCH($V$2:$V$65,G2324),$W$2:$W$65),"Misc")</f>
        <v>OH Part</v>
      </c>
      <c r="P2324" t="str" cm="1">
        <f t="array" ref="P2324">IFERROR(LOOKUP(2,1/SEARCH($Y$2:$Y$65,G2324),$Z$2:$Z$65),"Not Defined")</f>
        <v>OH Part</v>
      </c>
      <c r="Q2324" t="str" cm="1">
        <f t="array" ref="Q2324">IFERROR(LOOKUP(2,1/SEARCH($S$2:$S$65,H2324),$T$2:$T$65),"-")</f>
        <v>-</v>
      </c>
    </row>
    <row r="2325" spans="1:17" hidden="1" x14ac:dyDescent="0.25">
      <c r="A2325" t="s">
        <v>7676</v>
      </c>
      <c r="B2325" t="s">
        <v>5866</v>
      </c>
      <c r="C2325">
        <v>1</v>
      </c>
      <c r="D2325" t="s">
        <v>7604</v>
      </c>
      <c r="F2325" t="s">
        <v>5867</v>
      </c>
      <c r="G2325" t="s">
        <v>5869</v>
      </c>
      <c r="H2325" t="s">
        <v>5868</v>
      </c>
      <c r="I2325" t="s">
        <v>293</v>
      </c>
      <c r="J2325" t="s">
        <v>7682</v>
      </c>
      <c r="K2325" t="s">
        <v>7826</v>
      </c>
      <c r="L2325" t="s">
        <v>7826</v>
      </c>
      <c r="N2325" t="str" cm="1">
        <f t="array" ref="N2325">IFERROR(LOOKUP(2,1/SEARCH($S$2:$S$65,G2325),$T$2:$T$65),"Misc")</f>
        <v>OH P/N</v>
      </c>
      <c r="O2325" t="str" cm="1">
        <f t="array" ref="O2325">IFERROR(LOOKUP(2,1/SEARCH($V$2:$V$65,G2325),$W$2:$W$65),"Misc")</f>
        <v>OH Part</v>
      </c>
      <c r="P2325" t="str" cm="1">
        <f t="array" ref="P2325">IFERROR(LOOKUP(2,1/SEARCH($Y$2:$Y$65,G2325),$Z$2:$Z$65),"Not Defined")</f>
        <v>OH Part</v>
      </c>
      <c r="Q2325" t="str" cm="1">
        <f t="array" ref="Q2325">IFERROR(LOOKUP(2,1/SEARCH($S$2:$S$65,H2325),$T$2:$T$65),"-")</f>
        <v>-</v>
      </c>
    </row>
    <row r="2326" spans="1:17" hidden="1" x14ac:dyDescent="0.25">
      <c r="A2326" t="s">
        <v>7676</v>
      </c>
      <c r="B2326" t="s">
        <v>5870</v>
      </c>
      <c r="C2326">
        <v>1</v>
      </c>
      <c r="D2326" t="s">
        <v>7604</v>
      </c>
      <c r="F2326" t="s">
        <v>5871</v>
      </c>
      <c r="G2326" t="s">
        <v>5873</v>
      </c>
      <c r="H2326" t="s">
        <v>5872</v>
      </c>
      <c r="I2326" t="s">
        <v>281</v>
      </c>
      <c r="J2326" t="s">
        <v>7682</v>
      </c>
      <c r="K2326" t="s">
        <v>7826</v>
      </c>
      <c r="L2326" t="s">
        <v>7826</v>
      </c>
      <c r="N2326" t="str" cm="1">
        <f t="array" ref="N2326">IFERROR(LOOKUP(2,1/SEARCH($S$2:$S$65,G2326),$T$2:$T$65),"Misc")</f>
        <v>OH P/N</v>
      </c>
      <c r="O2326" t="str" cm="1">
        <f t="array" ref="O2326">IFERROR(LOOKUP(2,1/SEARCH($V$2:$V$65,G2326),$W$2:$W$65),"Misc")</f>
        <v>OH Part</v>
      </c>
      <c r="P2326" t="str" cm="1">
        <f t="array" ref="P2326">IFERROR(LOOKUP(2,1/SEARCH($Y$2:$Y$65,G2326),$Z$2:$Z$65),"Not Defined")</f>
        <v>OH Part</v>
      </c>
      <c r="Q2326" t="str" cm="1">
        <f t="array" ref="Q2326">IFERROR(LOOKUP(2,1/SEARCH($S$2:$S$65,H2326),$T$2:$T$65),"-")</f>
        <v>-</v>
      </c>
    </row>
    <row r="2327" spans="1:17" hidden="1" x14ac:dyDescent="0.25">
      <c r="A2327" t="s">
        <v>7676</v>
      </c>
      <c r="B2327" t="s">
        <v>5874</v>
      </c>
      <c r="C2327">
        <v>1</v>
      </c>
      <c r="D2327" t="s">
        <v>7604</v>
      </c>
      <c r="E2327" t="s">
        <v>5876</v>
      </c>
      <c r="F2327" t="s">
        <v>5875</v>
      </c>
      <c r="G2327" t="s">
        <v>5877</v>
      </c>
      <c r="H2327" t="s">
        <v>5876</v>
      </c>
      <c r="J2327" t="s">
        <v>7682</v>
      </c>
      <c r="K2327" t="s">
        <v>7826</v>
      </c>
      <c r="L2327" t="s">
        <v>7826</v>
      </c>
      <c r="N2327" t="str" cm="1">
        <f t="array" ref="N2327">IFERROR(LOOKUP(2,1/SEARCH($S$2:$S$65,G2327),$T$2:$T$65),"Misc")</f>
        <v>OH P/N</v>
      </c>
      <c r="O2327" t="str" cm="1">
        <f t="array" ref="O2327">IFERROR(LOOKUP(2,1/SEARCH($V$2:$V$65,G2327),$W$2:$W$65),"Misc")</f>
        <v>OH Part</v>
      </c>
      <c r="P2327" t="str" cm="1">
        <f t="array" ref="P2327">IFERROR(LOOKUP(2,1/SEARCH($Y$2:$Y$65,G2327),$Z$2:$Z$65),"Not Defined")</f>
        <v>OH Part</v>
      </c>
      <c r="Q2327" t="str" cm="1">
        <f t="array" ref="Q2327">IFERROR(LOOKUP(2,1/SEARCH($S$2:$S$65,H2327),$T$2:$T$65),"-")</f>
        <v>-</v>
      </c>
    </row>
    <row r="2328" spans="1:17" hidden="1" x14ac:dyDescent="0.25">
      <c r="A2328" t="s">
        <v>7676</v>
      </c>
      <c r="B2328" t="s">
        <v>5878</v>
      </c>
      <c r="C2328">
        <v>1</v>
      </c>
      <c r="D2328" t="s">
        <v>7604</v>
      </c>
      <c r="E2328" t="s">
        <v>5876</v>
      </c>
      <c r="F2328" t="s">
        <v>5879</v>
      </c>
      <c r="G2328" t="s">
        <v>5881</v>
      </c>
      <c r="H2328" t="s">
        <v>5880</v>
      </c>
      <c r="I2328" t="s">
        <v>13</v>
      </c>
      <c r="J2328" t="s">
        <v>7682</v>
      </c>
      <c r="K2328" t="s">
        <v>7826</v>
      </c>
      <c r="L2328" t="s">
        <v>7826</v>
      </c>
      <c r="N2328" t="str" cm="1">
        <f t="array" ref="N2328">IFERROR(LOOKUP(2,1/SEARCH($S$2:$S$65,G2328),$T$2:$T$65),"Misc")</f>
        <v>OH P/N</v>
      </c>
      <c r="O2328" t="str" cm="1">
        <f t="array" ref="O2328">IFERROR(LOOKUP(2,1/SEARCH($V$2:$V$65,G2328),$W$2:$W$65),"Misc")</f>
        <v>OH Part</v>
      </c>
      <c r="P2328" t="str" cm="1">
        <f t="array" ref="P2328">IFERROR(LOOKUP(2,1/SEARCH($Y$2:$Y$65,G2328),$Z$2:$Z$65),"Not Defined")</f>
        <v>OH Part</v>
      </c>
      <c r="Q2328" t="str" cm="1">
        <f t="array" ref="Q2328">IFERROR(LOOKUP(2,1/SEARCH($S$2:$S$65,H2328),$T$2:$T$65),"-")</f>
        <v>-</v>
      </c>
    </row>
    <row r="2329" spans="1:17" hidden="1" x14ac:dyDescent="0.25">
      <c r="A2329" t="s">
        <v>7676</v>
      </c>
      <c r="B2329" t="s">
        <v>5882</v>
      </c>
      <c r="C2329">
        <v>1</v>
      </c>
      <c r="D2329" t="s">
        <v>7604</v>
      </c>
      <c r="E2329" t="s">
        <v>5876</v>
      </c>
      <c r="F2329" t="s">
        <v>5883</v>
      </c>
      <c r="G2329" t="s">
        <v>5885</v>
      </c>
      <c r="H2329" t="s">
        <v>5884</v>
      </c>
      <c r="I2329" t="s">
        <v>293</v>
      </c>
      <c r="J2329" t="s">
        <v>7682</v>
      </c>
      <c r="K2329" t="s">
        <v>7826</v>
      </c>
      <c r="L2329" t="s">
        <v>7826</v>
      </c>
      <c r="N2329" t="str" cm="1">
        <f t="array" ref="N2329">IFERROR(LOOKUP(2,1/SEARCH($S$2:$S$65,G2329),$T$2:$T$65),"Misc")</f>
        <v>OH P/N</v>
      </c>
      <c r="O2329" t="str" cm="1">
        <f t="array" ref="O2329">IFERROR(LOOKUP(2,1/SEARCH($V$2:$V$65,G2329),$W$2:$W$65),"Misc")</f>
        <v>OH Part</v>
      </c>
      <c r="P2329" t="str" cm="1">
        <f t="array" ref="P2329">IFERROR(LOOKUP(2,1/SEARCH($Y$2:$Y$65,G2329),$Z$2:$Z$65),"Not Defined")</f>
        <v>OH Part</v>
      </c>
      <c r="Q2329" t="str" cm="1">
        <f t="array" ref="Q2329">IFERROR(LOOKUP(2,1/SEARCH($S$2:$S$65,H2329),$T$2:$T$65),"-")</f>
        <v>-</v>
      </c>
    </row>
    <row r="2330" spans="1:17" hidden="1" x14ac:dyDescent="0.25">
      <c r="A2330" t="s">
        <v>7676</v>
      </c>
      <c r="B2330" t="s">
        <v>5886</v>
      </c>
      <c r="C2330">
        <v>1</v>
      </c>
      <c r="D2330" t="s">
        <v>7604</v>
      </c>
      <c r="E2330" t="s">
        <v>5876</v>
      </c>
      <c r="F2330" t="s">
        <v>5887</v>
      </c>
      <c r="G2330" t="s">
        <v>5889</v>
      </c>
      <c r="H2330" t="s">
        <v>5888</v>
      </c>
      <c r="I2330" t="s">
        <v>13</v>
      </c>
      <c r="J2330" t="s">
        <v>7682</v>
      </c>
      <c r="K2330" t="s">
        <v>7826</v>
      </c>
      <c r="L2330" t="s">
        <v>7826</v>
      </c>
      <c r="N2330" t="str" cm="1">
        <f t="array" ref="N2330">IFERROR(LOOKUP(2,1/SEARCH($S$2:$S$65,G2330),$T$2:$T$65),"Misc")</f>
        <v>OH P/N</v>
      </c>
      <c r="O2330" t="str" cm="1">
        <f t="array" ref="O2330">IFERROR(LOOKUP(2,1/SEARCH($V$2:$V$65,G2330),$W$2:$W$65),"Misc")</f>
        <v>OH Part</v>
      </c>
      <c r="P2330" t="str" cm="1">
        <f t="array" ref="P2330">IFERROR(LOOKUP(2,1/SEARCH($Y$2:$Y$65,G2330),$Z$2:$Z$65),"Not Defined")</f>
        <v>OH Part</v>
      </c>
      <c r="Q2330" t="str" cm="1">
        <f t="array" ref="Q2330">IFERROR(LOOKUP(2,1/SEARCH($S$2:$S$65,H2330),$T$2:$T$65),"-")</f>
        <v>COTS</v>
      </c>
    </row>
    <row r="2331" spans="1:17" hidden="1" x14ac:dyDescent="0.25">
      <c r="A2331" t="s">
        <v>7676</v>
      </c>
      <c r="B2331" t="s">
        <v>5890</v>
      </c>
      <c r="C2331">
        <v>1</v>
      </c>
      <c r="D2331" t="s">
        <v>7604</v>
      </c>
      <c r="E2331" t="s">
        <v>5876</v>
      </c>
      <c r="F2331" t="s">
        <v>5891</v>
      </c>
      <c r="G2331" t="s">
        <v>5893</v>
      </c>
      <c r="H2331" t="s">
        <v>5892</v>
      </c>
      <c r="I2331" t="s">
        <v>293</v>
      </c>
      <c r="J2331" t="s">
        <v>7682</v>
      </c>
      <c r="K2331" t="s">
        <v>7826</v>
      </c>
      <c r="L2331" t="s">
        <v>7826</v>
      </c>
      <c r="N2331" t="str" cm="1">
        <f t="array" ref="N2331">IFERROR(LOOKUP(2,1/SEARCH($S$2:$S$65,G2331),$T$2:$T$65),"Misc")</f>
        <v>OH P/N</v>
      </c>
      <c r="O2331" t="str" cm="1">
        <f t="array" ref="O2331">IFERROR(LOOKUP(2,1/SEARCH($V$2:$V$65,G2331),$W$2:$W$65),"Misc")</f>
        <v>OH Part</v>
      </c>
      <c r="P2331" t="str" cm="1">
        <f t="array" ref="P2331">IFERROR(LOOKUP(2,1/SEARCH($Y$2:$Y$65,G2331),$Z$2:$Z$65),"Not Defined")</f>
        <v>OH Part</v>
      </c>
      <c r="Q2331" t="str" cm="1">
        <f t="array" ref="Q2331">IFERROR(LOOKUP(2,1/SEARCH($S$2:$S$65,H2331),$T$2:$T$65),"-")</f>
        <v>-</v>
      </c>
    </row>
    <row r="2332" spans="1:17" hidden="1" x14ac:dyDescent="0.25">
      <c r="A2332" t="s">
        <v>7676</v>
      </c>
      <c r="B2332" t="s">
        <v>5894</v>
      </c>
      <c r="C2332">
        <v>1</v>
      </c>
      <c r="D2332" t="s">
        <v>7604</v>
      </c>
      <c r="E2332" t="s">
        <v>5876</v>
      </c>
      <c r="F2332" t="s">
        <v>5895</v>
      </c>
      <c r="G2332" t="s">
        <v>5897</v>
      </c>
      <c r="H2332" t="s">
        <v>5896</v>
      </c>
      <c r="I2332" t="s">
        <v>293</v>
      </c>
      <c r="J2332" t="s">
        <v>7682</v>
      </c>
      <c r="K2332" t="s">
        <v>7826</v>
      </c>
      <c r="L2332" t="s">
        <v>7826</v>
      </c>
      <c r="N2332" t="str" cm="1">
        <f t="array" ref="N2332">IFERROR(LOOKUP(2,1/SEARCH($S$2:$S$65,G2332),$T$2:$T$65),"Misc")</f>
        <v>OH P/N</v>
      </c>
      <c r="O2332" t="str" cm="1">
        <f t="array" ref="O2332">IFERROR(LOOKUP(2,1/SEARCH($V$2:$V$65,G2332),$W$2:$W$65),"Misc")</f>
        <v>OH Part</v>
      </c>
      <c r="P2332" t="str" cm="1">
        <f t="array" ref="P2332">IFERROR(LOOKUP(2,1/SEARCH($Y$2:$Y$65,G2332),$Z$2:$Z$65),"Not Defined")</f>
        <v>OH Part</v>
      </c>
      <c r="Q2332" t="str" cm="1">
        <f t="array" ref="Q2332">IFERROR(LOOKUP(2,1/SEARCH($S$2:$S$65,H2332),$T$2:$T$65),"-")</f>
        <v>-</v>
      </c>
    </row>
    <row r="2333" spans="1:17" hidden="1" x14ac:dyDescent="0.25">
      <c r="A2333" t="s">
        <v>7676</v>
      </c>
      <c r="B2333" t="s">
        <v>5898</v>
      </c>
      <c r="C2333">
        <v>1</v>
      </c>
      <c r="D2333" t="s">
        <v>7604</v>
      </c>
      <c r="E2333" t="s">
        <v>5876</v>
      </c>
      <c r="F2333" t="s">
        <v>5899</v>
      </c>
      <c r="G2333" t="s">
        <v>5901</v>
      </c>
      <c r="H2333" t="s">
        <v>5900</v>
      </c>
      <c r="I2333" t="s">
        <v>293</v>
      </c>
      <c r="J2333" t="s">
        <v>7682</v>
      </c>
      <c r="K2333" t="s">
        <v>7826</v>
      </c>
      <c r="L2333" t="s">
        <v>7826</v>
      </c>
      <c r="N2333" t="str" cm="1">
        <f t="array" ref="N2333">IFERROR(LOOKUP(2,1/SEARCH($S$2:$S$65,G2333),$T$2:$T$65),"Misc")</f>
        <v>OH P/N</v>
      </c>
      <c r="O2333" t="str" cm="1">
        <f t="array" ref="O2333">IFERROR(LOOKUP(2,1/SEARCH($V$2:$V$65,G2333),$W$2:$W$65),"Misc")</f>
        <v>OH Part</v>
      </c>
      <c r="P2333" t="str" cm="1">
        <f t="array" ref="P2333">IFERROR(LOOKUP(2,1/SEARCH($Y$2:$Y$65,G2333),$Z$2:$Z$65),"Not Defined")</f>
        <v>OH Part</v>
      </c>
      <c r="Q2333" t="str" cm="1">
        <f t="array" ref="Q2333">IFERROR(LOOKUP(2,1/SEARCH($S$2:$S$65,H2333),$T$2:$T$65),"-")</f>
        <v>-</v>
      </c>
    </row>
    <row r="2334" spans="1:17" hidden="1" x14ac:dyDescent="0.25">
      <c r="A2334" t="s">
        <v>7676</v>
      </c>
      <c r="B2334" t="s">
        <v>5902</v>
      </c>
      <c r="C2334">
        <v>1</v>
      </c>
      <c r="D2334" t="s">
        <v>7604</v>
      </c>
      <c r="E2334" t="s">
        <v>5876</v>
      </c>
      <c r="F2334" t="s">
        <v>5903</v>
      </c>
      <c r="G2334" t="s">
        <v>5905</v>
      </c>
      <c r="H2334" t="s">
        <v>5904</v>
      </c>
      <c r="I2334" t="s">
        <v>255</v>
      </c>
      <c r="J2334" t="s">
        <v>7742</v>
      </c>
      <c r="K2334" t="s">
        <v>7717</v>
      </c>
      <c r="L2334" t="s">
        <v>7717</v>
      </c>
      <c r="N2334" t="str" cm="1">
        <f t="array" ref="N2334">IFERROR(LOOKUP(2,1/SEARCH($S$2:$S$65,G2334),$T$2:$T$65),"Misc")</f>
        <v>OH ASSY</v>
      </c>
      <c r="O2334" t="str" cm="1">
        <f t="array" ref="O2334">IFERROR(LOOKUP(2,1/SEARCH($V$2:$V$65,G2334),$W$2:$W$65),"Misc")</f>
        <v>ABSIS</v>
      </c>
      <c r="P2334" t="str" cm="1">
        <f t="array" ref="P2334">IFERROR(LOOKUP(2,1/SEARCH($Y$2:$Y$65,G2334),$Z$2:$Z$65),"Not Defined")</f>
        <v>ABSIS</v>
      </c>
      <c r="Q2334" t="str" cm="1">
        <f t="array" ref="Q2334">IFERROR(LOOKUP(2,1/SEARCH($S$2:$S$65,H2334),$T$2:$T$65),"-")</f>
        <v>OH ASSY</v>
      </c>
    </row>
    <row r="2335" spans="1:17" hidden="1" x14ac:dyDescent="0.25">
      <c r="A2335" t="s">
        <v>7676</v>
      </c>
      <c r="B2335" t="s">
        <v>5906</v>
      </c>
      <c r="C2335">
        <v>1</v>
      </c>
      <c r="D2335" t="s">
        <v>7604</v>
      </c>
      <c r="E2335" t="s">
        <v>5876</v>
      </c>
      <c r="F2335" t="s">
        <v>5907</v>
      </c>
      <c r="G2335" t="s">
        <v>5909</v>
      </c>
      <c r="H2335" t="s">
        <v>5908</v>
      </c>
      <c r="I2335" t="s">
        <v>13</v>
      </c>
      <c r="J2335" t="s">
        <v>7682</v>
      </c>
      <c r="K2335" t="s">
        <v>7826</v>
      </c>
      <c r="L2335" t="s">
        <v>7826</v>
      </c>
      <c r="N2335" t="str" cm="1">
        <f t="array" ref="N2335">IFERROR(LOOKUP(2,1/SEARCH($S$2:$S$65,G2335),$T$2:$T$65),"Misc")</f>
        <v>OH P/N</v>
      </c>
      <c r="O2335" t="str" cm="1">
        <f t="array" ref="O2335">IFERROR(LOOKUP(2,1/SEARCH($V$2:$V$65,G2335),$W$2:$W$65),"Misc")</f>
        <v>OH Part</v>
      </c>
      <c r="P2335" t="str" cm="1">
        <f t="array" ref="P2335">IFERROR(LOOKUP(2,1/SEARCH($Y$2:$Y$65,G2335),$Z$2:$Z$65),"Not Defined")</f>
        <v>OH Part</v>
      </c>
      <c r="Q2335" t="str" cm="1">
        <f t="array" ref="Q2335">IFERROR(LOOKUP(2,1/SEARCH($S$2:$S$65,H2335),$T$2:$T$65),"-")</f>
        <v>-</v>
      </c>
    </row>
    <row r="2336" spans="1:17" hidden="1" x14ac:dyDescent="0.25">
      <c r="A2336" t="s">
        <v>7676</v>
      </c>
      <c r="B2336" t="s">
        <v>5910</v>
      </c>
      <c r="C2336">
        <v>1</v>
      </c>
      <c r="D2336" t="s">
        <v>7604</v>
      </c>
      <c r="E2336" t="s">
        <v>5876</v>
      </c>
      <c r="F2336" t="s">
        <v>5911</v>
      </c>
      <c r="G2336" t="s">
        <v>5913</v>
      </c>
      <c r="H2336" t="s">
        <v>5912</v>
      </c>
      <c r="I2336" t="s">
        <v>13</v>
      </c>
      <c r="J2336" t="s">
        <v>7682</v>
      </c>
      <c r="K2336" t="s">
        <v>7826</v>
      </c>
      <c r="L2336" t="s">
        <v>7826</v>
      </c>
      <c r="N2336" t="str" cm="1">
        <f t="array" ref="N2336">IFERROR(LOOKUP(2,1/SEARCH($S$2:$S$65,G2336),$T$2:$T$65),"Misc")</f>
        <v>OH P/N</v>
      </c>
      <c r="O2336" t="str" cm="1">
        <f t="array" ref="O2336">IFERROR(LOOKUP(2,1/SEARCH($V$2:$V$65,G2336),$W$2:$W$65),"Misc")</f>
        <v>OH Part</v>
      </c>
      <c r="P2336" t="str" cm="1">
        <f t="array" ref="P2336">IFERROR(LOOKUP(2,1/SEARCH($Y$2:$Y$65,G2336),$Z$2:$Z$65),"Not Defined")</f>
        <v>OH Part</v>
      </c>
      <c r="Q2336" t="str" cm="1">
        <f t="array" ref="Q2336">IFERROR(LOOKUP(2,1/SEARCH($S$2:$S$65,H2336),$T$2:$T$65),"-")</f>
        <v>-</v>
      </c>
    </row>
    <row r="2337" spans="1:17" hidden="1" x14ac:dyDescent="0.25">
      <c r="A2337" t="s">
        <v>7676</v>
      </c>
      <c r="B2337" t="s">
        <v>5914</v>
      </c>
      <c r="C2337">
        <v>1</v>
      </c>
      <c r="D2337" t="s">
        <v>7604</v>
      </c>
      <c r="E2337" t="s">
        <v>5876</v>
      </c>
      <c r="F2337" t="s">
        <v>5915</v>
      </c>
      <c r="G2337" t="s">
        <v>5917</v>
      </c>
      <c r="H2337" t="s">
        <v>5916</v>
      </c>
      <c r="I2337" t="s">
        <v>293</v>
      </c>
      <c r="J2337" t="s">
        <v>7682</v>
      </c>
      <c r="K2337" t="s">
        <v>7826</v>
      </c>
      <c r="L2337" t="s">
        <v>7826</v>
      </c>
      <c r="N2337" t="str" cm="1">
        <f t="array" ref="N2337">IFERROR(LOOKUP(2,1/SEARCH($S$2:$S$65,G2337),$T$2:$T$65),"Misc")</f>
        <v>OH P/N</v>
      </c>
      <c r="O2337" t="str" cm="1">
        <f t="array" ref="O2337">IFERROR(LOOKUP(2,1/SEARCH($V$2:$V$65,G2337),$W$2:$W$65),"Misc")</f>
        <v>OH Part</v>
      </c>
      <c r="P2337" t="str" cm="1">
        <f t="array" ref="P2337">IFERROR(LOOKUP(2,1/SEARCH($Y$2:$Y$65,G2337),$Z$2:$Z$65),"Not Defined")</f>
        <v>OH Part</v>
      </c>
      <c r="Q2337" t="str" cm="1">
        <f t="array" ref="Q2337">IFERROR(LOOKUP(2,1/SEARCH($S$2:$S$65,H2337),$T$2:$T$65),"-")</f>
        <v>-</v>
      </c>
    </row>
    <row r="2338" spans="1:17" hidden="1" x14ac:dyDescent="0.25">
      <c r="A2338" t="s">
        <v>7676</v>
      </c>
      <c r="B2338" t="s">
        <v>5918</v>
      </c>
      <c r="C2338">
        <v>1</v>
      </c>
      <c r="D2338" t="s">
        <v>7604</v>
      </c>
      <c r="E2338" t="s">
        <v>5876</v>
      </c>
      <c r="F2338" t="s">
        <v>5919</v>
      </c>
      <c r="G2338" t="s">
        <v>7605</v>
      </c>
      <c r="H2338" t="s">
        <v>5920</v>
      </c>
      <c r="I2338" t="s">
        <v>255</v>
      </c>
      <c r="J2338" t="s">
        <v>7703</v>
      </c>
      <c r="K2338" t="s">
        <v>7814</v>
      </c>
      <c r="L2338" t="s">
        <v>7723</v>
      </c>
      <c r="N2338" t="str" cm="1">
        <f t="array" ref="N2338">IFERROR(LOOKUP(2,1/SEARCH($S$2:$S$65,G2338),$T$2:$T$65),"Misc")</f>
        <v>COTS</v>
      </c>
      <c r="O2338" t="str" cm="1">
        <f t="array" ref="O2338">IFERROR(LOOKUP(2,1/SEARCH($V$2:$V$65,G2338),$W$2:$W$65),"Misc")</f>
        <v>Misc</v>
      </c>
      <c r="P2338" t="str" cm="1">
        <f t="array" ref="P2338">IFERROR(LOOKUP(2,1/SEARCH($Y$2:$Y$65,G2338),$Z$2:$Z$65),"Not Defined")</f>
        <v>MICROSTEPPER</v>
      </c>
      <c r="Q2338" t="str" cm="1">
        <f t="array" ref="Q2338">IFERROR(LOOKUP(2,1/SEARCH($S$2:$S$65,H2338),$T$2:$T$65),"-")</f>
        <v>COTS</v>
      </c>
    </row>
    <row r="2339" spans="1:17" hidden="1" x14ac:dyDescent="0.25">
      <c r="A2339" t="s">
        <v>7676</v>
      </c>
      <c r="B2339" t="s">
        <v>5921</v>
      </c>
      <c r="C2339">
        <v>2</v>
      </c>
      <c r="D2339" t="s">
        <v>7604</v>
      </c>
      <c r="E2339" t="s">
        <v>5876</v>
      </c>
      <c r="F2339" t="s">
        <v>1541</v>
      </c>
      <c r="G2339" t="s">
        <v>7223</v>
      </c>
      <c r="H2339" t="s">
        <v>1542</v>
      </c>
      <c r="I2339" t="s">
        <v>210</v>
      </c>
      <c r="J2339" t="s">
        <v>7703</v>
      </c>
      <c r="K2339" t="s">
        <v>7684</v>
      </c>
      <c r="L2339" t="s">
        <v>7693</v>
      </c>
      <c r="N2339" t="str" cm="1">
        <f t="array" ref="N2339">IFERROR(LOOKUP(2,1/SEARCH($S$2:$S$65,G2339),$T$2:$T$65),"Misc")</f>
        <v>COTS</v>
      </c>
      <c r="O2339" t="str" cm="1">
        <f t="array" ref="O2339">IFERROR(LOOKUP(2,1/SEARCH($V$2:$V$65,G2339),$W$2:$W$65),"Misc")</f>
        <v>Fasteners</v>
      </c>
      <c r="P2339" t="str" cm="1">
        <f t="array" ref="P2339">IFERROR(LOOKUP(2,1/SEARCH($Y$2:$Y$65,G2339),$Z$2:$Z$65),"Not Defined")</f>
        <v>PHS</v>
      </c>
      <c r="Q2339" t="str" cm="1">
        <f t="array" ref="Q2339">IFERROR(LOOKUP(2,1/SEARCH($S$2:$S$65,H2339),$T$2:$T$65),"-")</f>
        <v>COTS</v>
      </c>
    </row>
    <row r="2340" spans="1:17" hidden="1" x14ac:dyDescent="0.25">
      <c r="A2340" t="s">
        <v>7676</v>
      </c>
      <c r="B2340" t="s">
        <v>5922</v>
      </c>
      <c r="C2340">
        <v>4</v>
      </c>
      <c r="D2340" t="s">
        <v>7604</v>
      </c>
      <c r="E2340" t="s">
        <v>5876</v>
      </c>
      <c r="F2340" t="s">
        <v>265</v>
      </c>
      <c r="G2340" t="s">
        <v>7099</v>
      </c>
      <c r="H2340" t="s">
        <v>266</v>
      </c>
      <c r="I2340" t="s">
        <v>224</v>
      </c>
      <c r="J2340" t="s">
        <v>7703</v>
      </c>
      <c r="K2340" t="s">
        <v>7684</v>
      </c>
      <c r="L2340" t="s">
        <v>7687</v>
      </c>
      <c r="N2340" t="str" cm="1">
        <f t="array" ref="N2340">IFERROR(LOOKUP(2,1/SEARCH($S$2:$S$65,G2340),$T$2:$T$65),"Misc")</f>
        <v>COTS</v>
      </c>
      <c r="O2340" t="str" cm="1">
        <f t="array" ref="O2340">IFERROR(LOOKUP(2,1/SEARCH($V$2:$V$65,G2340),$W$2:$W$65),"Misc")</f>
        <v>Fasteners</v>
      </c>
      <c r="P2340" t="str" cm="1">
        <f t="array" ref="P2340">IFERROR(LOOKUP(2,1/SEARCH($Y$2:$Y$65,G2340),$Z$2:$Z$65),"Not Defined")</f>
        <v>INSERT</v>
      </c>
      <c r="Q2340" t="str" cm="1">
        <f t="array" ref="Q2340">IFERROR(LOOKUP(2,1/SEARCH($S$2:$S$65,H2340),$T$2:$T$65),"-")</f>
        <v>COTS</v>
      </c>
    </row>
    <row r="2341" spans="1:17" hidden="1" x14ac:dyDescent="0.25">
      <c r="A2341" t="s">
        <v>7676</v>
      </c>
      <c r="B2341" t="s">
        <v>5923</v>
      </c>
      <c r="C2341">
        <v>3</v>
      </c>
      <c r="D2341" t="s">
        <v>7604</v>
      </c>
      <c r="F2341" t="s">
        <v>519</v>
      </c>
      <c r="G2341" t="s">
        <v>7097</v>
      </c>
      <c r="H2341" t="s">
        <v>520</v>
      </c>
      <c r="I2341" t="s">
        <v>228</v>
      </c>
      <c r="J2341" t="s">
        <v>7703</v>
      </c>
      <c r="K2341" t="s">
        <v>7684</v>
      </c>
      <c r="L2341" t="s">
        <v>7693</v>
      </c>
      <c r="N2341" t="str" cm="1">
        <f t="array" ref="N2341">IFERROR(LOOKUP(2,1/SEARCH($S$2:$S$65,G2341),$T$2:$T$65),"Misc")</f>
        <v>COTS</v>
      </c>
      <c r="O2341" t="str" cm="1">
        <f t="array" ref="O2341">IFERROR(LOOKUP(2,1/SEARCH($V$2:$V$65,G2341),$W$2:$W$65),"Misc")</f>
        <v>Fasteners</v>
      </c>
      <c r="P2341" t="str" cm="1">
        <f t="array" ref="P2341">IFERROR(LOOKUP(2,1/SEARCH($Y$2:$Y$65,G2341),$Z$2:$Z$65),"Not Defined")</f>
        <v>PHS</v>
      </c>
      <c r="Q2341" t="str" cm="1">
        <f t="array" ref="Q2341">IFERROR(LOOKUP(2,1/SEARCH($S$2:$S$65,H2341),$T$2:$T$65),"-")</f>
        <v>COTS</v>
      </c>
    </row>
    <row r="2342" spans="1:17" hidden="1" x14ac:dyDescent="0.25">
      <c r="A2342" t="s">
        <v>7676</v>
      </c>
      <c r="B2342" t="s">
        <v>5924</v>
      </c>
      <c r="C2342">
        <v>1</v>
      </c>
      <c r="D2342" t="s">
        <v>7604</v>
      </c>
      <c r="F2342" t="s">
        <v>941</v>
      </c>
      <c r="G2342" t="s">
        <v>7136</v>
      </c>
      <c r="H2342" t="s">
        <v>942</v>
      </c>
      <c r="I2342" t="s">
        <v>210</v>
      </c>
      <c r="J2342" t="s">
        <v>7703</v>
      </c>
      <c r="K2342" t="s">
        <v>7684</v>
      </c>
      <c r="L2342" t="s">
        <v>7685</v>
      </c>
      <c r="N2342" t="str" cm="1">
        <f t="array" ref="N2342">IFERROR(LOOKUP(2,1/SEARCH($S$2:$S$65,G2342),$T$2:$T$65),"Misc")</f>
        <v>COTS</v>
      </c>
      <c r="O2342" t="str" cm="1">
        <f t="array" ref="O2342">IFERROR(LOOKUP(2,1/SEARCH($V$2:$V$65,G2342),$W$2:$W$65),"Misc")</f>
        <v>Fasteners</v>
      </c>
      <c r="P2342" t="str" cm="1">
        <f t="array" ref="P2342">IFERROR(LOOKUP(2,1/SEARCH($Y$2:$Y$65,G2342),$Z$2:$Z$65),"Not Defined")</f>
        <v>NUT</v>
      </c>
      <c r="Q2342" t="str" cm="1">
        <f t="array" ref="Q2342">IFERROR(LOOKUP(2,1/SEARCH($S$2:$S$65,H2342),$T$2:$T$65),"-")</f>
        <v>COTS</v>
      </c>
    </row>
    <row r="2343" spans="1:17" hidden="1" x14ac:dyDescent="0.25">
      <c r="A2343" t="s">
        <v>7676</v>
      </c>
      <c r="B2343" t="s">
        <v>5925</v>
      </c>
      <c r="C2343">
        <v>2</v>
      </c>
      <c r="D2343" t="s">
        <v>7604</v>
      </c>
      <c r="E2343" t="s">
        <v>1520</v>
      </c>
      <c r="F2343" t="s">
        <v>1519</v>
      </c>
      <c r="G2343" t="s">
        <v>7217</v>
      </c>
      <c r="H2343" t="s">
        <v>1520</v>
      </c>
      <c r="J2343" t="s">
        <v>7744</v>
      </c>
      <c r="K2343" t="s">
        <v>7826</v>
      </c>
      <c r="L2343" t="s">
        <v>7826</v>
      </c>
      <c r="N2343" t="str" cm="1">
        <f t="array" ref="N2343">IFERROR(LOOKUP(2,1/SEARCH($S$2:$S$65,G2343),$T$2:$T$65),"Misc")</f>
        <v>OH Common</v>
      </c>
      <c r="O2343" t="str" cm="1">
        <f t="array" ref="O2343">IFERROR(LOOKUP(2,1/SEARCH($V$2:$V$65,G2343),$W$2:$W$65),"Misc")</f>
        <v>OH Part</v>
      </c>
      <c r="P2343" t="str" cm="1">
        <f t="array" ref="P2343">IFERROR(LOOKUP(2,1/SEARCH($Y$2:$Y$65,G2343),$Z$2:$Z$65),"Not Defined")</f>
        <v>OH Part</v>
      </c>
      <c r="Q2343" t="str" cm="1">
        <f t="array" ref="Q2343">IFERROR(LOOKUP(2,1/SEARCH($S$2:$S$65,H2343),$T$2:$T$65),"-")</f>
        <v>OH ASSY</v>
      </c>
    </row>
    <row r="2344" spans="1:17" hidden="1" x14ac:dyDescent="0.25">
      <c r="A2344" t="s">
        <v>7676</v>
      </c>
      <c r="B2344" t="s">
        <v>5926</v>
      </c>
      <c r="C2344">
        <v>1</v>
      </c>
      <c r="D2344" t="s">
        <v>7604</v>
      </c>
      <c r="E2344" t="s">
        <v>1520</v>
      </c>
      <c r="F2344" t="s">
        <v>1522</v>
      </c>
      <c r="G2344" t="s">
        <v>7218</v>
      </c>
      <c r="H2344" t="s">
        <v>1523</v>
      </c>
      <c r="I2344" t="s">
        <v>255</v>
      </c>
      <c r="J2344" t="s">
        <v>7703</v>
      </c>
      <c r="K2344" t="s">
        <v>7677</v>
      </c>
      <c r="L2344" t="s">
        <v>7677</v>
      </c>
      <c r="N2344" t="str" cm="1">
        <f t="array" ref="N2344">IFERROR(LOOKUP(2,1/SEARCH($S$2:$S$65,G2344),$T$2:$T$65),"Misc")</f>
        <v>COTS</v>
      </c>
      <c r="O2344" t="str" cm="1">
        <f t="array" ref="O2344">IFERROR(LOOKUP(2,1/SEARCH($V$2:$V$65,G2344),$W$2:$W$65),"Misc")</f>
        <v>SWITCH</v>
      </c>
      <c r="P2344" t="str" cm="1">
        <f t="array" ref="P2344">IFERROR(LOOKUP(2,1/SEARCH($Y$2:$Y$65,G2344),$Z$2:$Z$65),"Not Defined")</f>
        <v>SWITCH</v>
      </c>
      <c r="Q2344" t="str" cm="1">
        <f t="array" ref="Q2344">IFERROR(LOOKUP(2,1/SEARCH($S$2:$S$65,H2344),$T$2:$T$65),"-")</f>
        <v>COTS</v>
      </c>
    </row>
    <row r="2345" spans="1:17" hidden="1" x14ac:dyDescent="0.25">
      <c r="A2345" t="s">
        <v>7676</v>
      </c>
      <c r="B2345" t="s">
        <v>5927</v>
      </c>
      <c r="C2345">
        <v>1</v>
      </c>
      <c r="D2345" t="s">
        <v>7604</v>
      </c>
      <c r="E2345" t="s">
        <v>1520</v>
      </c>
      <c r="F2345" t="s">
        <v>1525</v>
      </c>
      <c r="G2345" t="s">
        <v>7219</v>
      </c>
      <c r="H2345" t="s">
        <v>1526</v>
      </c>
      <c r="I2345" t="s">
        <v>299</v>
      </c>
      <c r="J2345" t="s">
        <v>7744</v>
      </c>
      <c r="K2345" t="s">
        <v>7826</v>
      </c>
      <c r="L2345" t="s">
        <v>7826</v>
      </c>
      <c r="N2345" t="str" cm="1">
        <f t="array" ref="N2345">IFERROR(LOOKUP(2,1/SEARCH($S$2:$S$65,G2345),$T$2:$T$65),"Misc")</f>
        <v>OH Common</v>
      </c>
      <c r="O2345" t="str" cm="1">
        <f t="array" ref="O2345">IFERROR(LOOKUP(2,1/SEARCH($V$2:$V$65,G2345),$W$2:$W$65),"Misc")</f>
        <v>OH Part</v>
      </c>
      <c r="P2345" t="str" cm="1">
        <f t="array" ref="P2345">IFERROR(LOOKUP(2,1/SEARCH($Y$2:$Y$65,G2345),$Z$2:$Z$65),"Not Defined")</f>
        <v>OH Part</v>
      </c>
      <c r="Q2345" t="str" cm="1">
        <f t="array" ref="Q2345">IFERROR(LOOKUP(2,1/SEARCH($S$2:$S$65,H2345),$T$2:$T$65),"-")</f>
        <v>COTS</v>
      </c>
    </row>
    <row r="2346" spans="1:17" hidden="1" x14ac:dyDescent="0.25">
      <c r="A2346" t="s">
        <v>7676</v>
      </c>
      <c r="B2346" t="s">
        <v>5928</v>
      </c>
      <c r="C2346">
        <v>3</v>
      </c>
      <c r="D2346" t="s">
        <v>7604</v>
      </c>
      <c r="F2346" t="s">
        <v>2089</v>
      </c>
      <c r="G2346" t="s">
        <v>7250</v>
      </c>
      <c r="H2346" t="s">
        <v>2090</v>
      </c>
      <c r="I2346" t="s">
        <v>228</v>
      </c>
      <c r="J2346" t="s">
        <v>7703</v>
      </c>
      <c r="K2346" t="s">
        <v>7684</v>
      </c>
      <c r="L2346" t="s">
        <v>7677</v>
      </c>
      <c r="N2346" t="str" cm="1">
        <f t="array" ref="N2346">IFERROR(LOOKUP(2,1/SEARCH($S$2:$S$65,G2346),$T$2:$T$65),"Misc")</f>
        <v>COTS</v>
      </c>
      <c r="O2346" t="str" cm="1">
        <f t="array" ref="O2346">IFERROR(LOOKUP(2,1/SEARCH($V$2:$V$65,G2346),$W$2:$W$65),"Misc")</f>
        <v>Fasteners</v>
      </c>
      <c r="P2346" t="str" cm="1">
        <f t="array" ref="P2346">IFERROR(LOOKUP(2,1/SEARCH($Y$2:$Y$65,G2346),$Z$2:$Z$65),"Not Defined")</f>
        <v>SWITCH</v>
      </c>
      <c r="Q2346" t="str" cm="1">
        <f t="array" ref="Q2346">IFERROR(LOOKUP(2,1/SEARCH($S$2:$S$65,H2346),$T$2:$T$65),"-")</f>
        <v>COTS</v>
      </c>
    </row>
    <row r="2347" spans="1:17" hidden="1" x14ac:dyDescent="0.25">
      <c r="A2347" t="s">
        <v>7676</v>
      </c>
      <c r="B2347" t="s">
        <v>5929</v>
      </c>
      <c r="C2347">
        <v>3</v>
      </c>
      <c r="D2347" t="s">
        <v>7604</v>
      </c>
      <c r="F2347" t="s">
        <v>4280</v>
      </c>
      <c r="G2347" t="s">
        <v>7444</v>
      </c>
      <c r="H2347" t="s">
        <v>4281</v>
      </c>
      <c r="I2347" t="s">
        <v>1265</v>
      </c>
      <c r="J2347" t="s">
        <v>7703</v>
      </c>
      <c r="K2347" t="s">
        <v>7719</v>
      </c>
      <c r="L2347" t="s">
        <v>7677</v>
      </c>
      <c r="N2347" t="str" cm="1">
        <f t="array" ref="N2347">IFERROR(LOOKUP(2,1/SEARCH($S$2:$S$65,G2347),$T$2:$T$65),"Misc")</f>
        <v>COTS</v>
      </c>
      <c r="O2347" t="str" cm="1">
        <f t="array" ref="O2347">IFERROR(LOOKUP(2,1/SEARCH($V$2:$V$65,G2347),$W$2:$W$65),"Misc")</f>
        <v>Misc</v>
      </c>
      <c r="P2347" t="str" cm="1">
        <f t="array" ref="P2347">IFERROR(LOOKUP(2,1/SEARCH($Y$2:$Y$65,G2347),$Z$2:$Z$65),"Not Defined")</f>
        <v>SWITCH</v>
      </c>
      <c r="Q2347" t="str" cm="1">
        <f t="array" ref="Q2347">IFERROR(LOOKUP(2,1/SEARCH($S$2:$S$65,H2347),$T$2:$T$65),"-")</f>
        <v>COTS</v>
      </c>
    </row>
    <row r="2348" spans="1:17" hidden="1" x14ac:dyDescent="0.25">
      <c r="A2348" t="s">
        <v>7676</v>
      </c>
      <c r="B2348" t="s">
        <v>5930</v>
      </c>
      <c r="C2348">
        <v>3</v>
      </c>
      <c r="D2348" t="s">
        <v>7604</v>
      </c>
      <c r="F2348" t="s">
        <v>1528</v>
      </c>
      <c r="G2348" t="s">
        <v>7220</v>
      </c>
      <c r="H2348" t="s">
        <v>1529</v>
      </c>
      <c r="I2348" t="s">
        <v>228</v>
      </c>
      <c r="J2348" t="s">
        <v>7703</v>
      </c>
      <c r="K2348" t="s">
        <v>7677</v>
      </c>
      <c r="L2348" t="s">
        <v>7685</v>
      </c>
      <c r="N2348" t="str" cm="1">
        <f t="array" ref="N2348">IFERROR(LOOKUP(2,1/SEARCH($S$2:$S$65,G2348),$T$2:$T$65),"Misc")</f>
        <v>COTS</v>
      </c>
      <c r="O2348" t="str" cm="1">
        <f t="array" ref="O2348">IFERROR(LOOKUP(2,1/SEARCH($V$2:$V$65,G2348),$W$2:$W$65),"Misc")</f>
        <v>SWITCH</v>
      </c>
      <c r="P2348" t="str" cm="1">
        <f t="array" ref="P2348">IFERROR(LOOKUP(2,1/SEARCH($Y$2:$Y$65,G2348),$Z$2:$Z$65),"Not Defined")</f>
        <v>NUT</v>
      </c>
      <c r="Q2348" t="str" cm="1">
        <f t="array" ref="Q2348">IFERROR(LOOKUP(2,1/SEARCH($S$2:$S$65,H2348),$T$2:$T$65),"-")</f>
        <v>COTS</v>
      </c>
    </row>
    <row r="2349" spans="1:17" hidden="1" x14ac:dyDescent="0.25">
      <c r="A2349" t="s">
        <v>7676</v>
      </c>
      <c r="B2349" t="s">
        <v>5931</v>
      </c>
      <c r="C2349">
        <v>1</v>
      </c>
      <c r="D2349" t="s">
        <v>7604</v>
      </c>
      <c r="E2349" t="s">
        <v>1511</v>
      </c>
      <c r="F2349" t="s">
        <v>1510</v>
      </c>
      <c r="G2349" t="s">
        <v>7214</v>
      </c>
      <c r="H2349" t="s">
        <v>1511</v>
      </c>
      <c r="J2349" t="s">
        <v>7744</v>
      </c>
      <c r="K2349" t="s">
        <v>7826</v>
      </c>
      <c r="L2349" t="s">
        <v>7826</v>
      </c>
      <c r="N2349" t="str" cm="1">
        <f t="array" ref="N2349">IFERROR(LOOKUP(2,1/SEARCH($S$2:$S$65,G2349),$T$2:$T$65),"Misc")</f>
        <v>OH Common</v>
      </c>
      <c r="O2349" t="str" cm="1">
        <f t="array" ref="O2349">IFERROR(LOOKUP(2,1/SEARCH($V$2:$V$65,G2349),$W$2:$W$65),"Misc")</f>
        <v>OH Part</v>
      </c>
      <c r="P2349" t="str" cm="1">
        <f t="array" ref="P2349">IFERROR(LOOKUP(2,1/SEARCH($Y$2:$Y$65,G2349),$Z$2:$Z$65),"Not Defined")</f>
        <v>OH Part</v>
      </c>
      <c r="Q2349" t="str" cm="1">
        <f t="array" ref="Q2349">IFERROR(LOOKUP(2,1/SEARCH($S$2:$S$65,H2349),$T$2:$T$65),"-")</f>
        <v>OH ASSY</v>
      </c>
    </row>
    <row r="2350" spans="1:17" hidden="1" x14ac:dyDescent="0.25">
      <c r="A2350" t="s">
        <v>7676</v>
      </c>
      <c r="B2350" t="s">
        <v>5932</v>
      </c>
      <c r="C2350">
        <v>1</v>
      </c>
      <c r="D2350" t="s">
        <v>7604</v>
      </c>
      <c r="E2350" t="s">
        <v>1511</v>
      </c>
      <c r="F2350" t="s">
        <v>1513</v>
      </c>
      <c r="G2350" t="s">
        <v>7215</v>
      </c>
      <c r="H2350" t="s">
        <v>1514</v>
      </c>
      <c r="I2350" t="s">
        <v>255</v>
      </c>
      <c r="J2350" t="s">
        <v>7703</v>
      </c>
      <c r="K2350" t="s">
        <v>7677</v>
      </c>
      <c r="L2350" t="s">
        <v>7677</v>
      </c>
      <c r="N2350" t="str" cm="1">
        <f t="array" ref="N2350">IFERROR(LOOKUP(2,1/SEARCH($S$2:$S$65,G2350),$T$2:$T$65),"Misc")</f>
        <v>COTS</v>
      </c>
      <c r="O2350" t="str" cm="1">
        <f t="array" ref="O2350">IFERROR(LOOKUP(2,1/SEARCH($V$2:$V$65,G2350),$W$2:$W$65),"Misc")</f>
        <v>SWITCH</v>
      </c>
      <c r="P2350" t="str" cm="1">
        <f t="array" ref="P2350">IFERROR(LOOKUP(2,1/SEARCH($Y$2:$Y$65,G2350),$Z$2:$Z$65),"Not Defined")</f>
        <v>SWITCH</v>
      </c>
      <c r="Q2350" t="str" cm="1">
        <f t="array" ref="Q2350">IFERROR(LOOKUP(2,1/SEARCH($S$2:$S$65,H2350),$T$2:$T$65),"-")</f>
        <v>COTS</v>
      </c>
    </row>
    <row r="2351" spans="1:17" hidden="1" x14ac:dyDescent="0.25">
      <c r="A2351" t="s">
        <v>7676</v>
      </c>
      <c r="B2351" t="s">
        <v>5933</v>
      </c>
      <c r="C2351">
        <v>1</v>
      </c>
      <c r="D2351" t="s">
        <v>7604</v>
      </c>
      <c r="E2351" t="s">
        <v>1511</v>
      </c>
      <c r="F2351" t="s">
        <v>1516</v>
      </c>
      <c r="G2351" t="s">
        <v>7216</v>
      </c>
      <c r="H2351" t="s">
        <v>1517</v>
      </c>
      <c r="I2351" t="s">
        <v>299</v>
      </c>
      <c r="J2351" t="s">
        <v>7744</v>
      </c>
      <c r="K2351" t="s">
        <v>7826</v>
      </c>
      <c r="L2351" t="s">
        <v>7826</v>
      </c>
      <c r="N2351" t="str" cm="1">
        <f t="array" ref="N2351">IFERROR(LOOKUP(2,1/SEARCH($S$2:$S$65,G2351),$T$2:$T$65),"Misc")</f>
        <v>OH Common</v>
      </c>
      <c r="O2351" t="str" cm="1">
        <f t="array" ref="O2351">IFERROR(LOOKUP(2,1/SEARCH($V$2:$V$65,G2351),$W$2:$W$65),"Misc")</f>
        <v>OH Part</v>
      </c>
      <c r="P2351" t="str" cm="1">
        <f t="array" ref="P2351">IFERROR(LOOKUP(2,1/SEARCH($Y$2:$Y$65,G2351),$Z$2:$Z$65),"Not Defined")</f>
        <v>OH Part</v>
      </c>
      <c r="Q2351" t="str" cm="1">
        <f t="array" ref="Q2351">IFERROR(LOOKUP(2,1/SEARCH($S$2:$S$65,H2351),$T$2:$T$65),"-")</f>
        <v>COTS</v>
      </c>
    </row>
    <row r="2352" spans="1:17" hidden="1" x14ac:dyDescent="0.25">
      <c r="A2352" t="s">
        <v>7676</v>
      </c>
      <c r="B2352" t="s">
        <v>5934</v>
      </c>
      <c r="C2352">
        <v>2</v>
      </c>
      <c r="D2352" t="s">
        <v>7604</v>
      </c>
      <c r="F2352" t="s">
        <v>1157</v>
      </c>
      <c r="G2352" t="s">
        <v>7195</v>
      </c>
      <c r="H2352" t="s">
        <v>1158</v>
      </c>
      <c r="I2352" t="s">
        <v>210</v>
      </c>
      <c r="J2352" t="s">
        <v>7703</v>
      </c>
      <c r="K2352" t="s">
        <v>7684</v>
      </c>
      <c r="L2352" t="s">
        <v>7691</v>
      </c>
      <c r="N2352" t="str" cm="1">
        <f t="array" ref="N2352">IFERROR(LOOKUP(2,1/SEARCH($S$2:$S$65,G2352),$T$2:$T$65),"Misc")</f>
        <v>COTS</v>
      </c>
      <c r="O2352" t="str" cm="1">
        <f t="array" ref="O2352">IFERROR(LOOKUP(2,1/SEARCH($V$2:$V$65,G2352),$W$2:$W$65),"Misc")</f>
        <v>Fasteners</v>
      </c>
      <c r="P2352" t="str" cm="1">
        <f t="array" ref="P2352">IFERROR(LOOKUP(2,1/SEARCH($Y$2:$Y$65,G2352),$Z$2:$Z$65),"Not Defined")</f>
        <v>FHS</v>
      </c>
      <c r="Q2352" t="str" cm="1">
        <f t="array" ref="Q2352">IFERROR(LOOKUP(2,1/SEARCH($S$2:$S$65,H2352),$T$2:$T$65),"-")</f>
        <v>COTS</v>
      </c>
    </row>
    <row r="2353" spans="1:17" hidden="1" x14ac:dyDescent="0.25">
      <c r="A2353" t="s">
        <v>7676</v>
      </c>
      <c r="B2353" t="s">
        <v>5935</v>
      </c>
      <c r="C2353">
        <v>3</v>
      </c>
      <c r="D2353" t="s">
        <v>7604</v>
      </c>
      <c r="F2353" t="s">
        <v>577</v>
      </c>
      <c r="G2353" t="s">
        <v>7104</v>
      </c>
      <c r="H2353" t="s">
        <v>578</v>
      </c>
      <c r="I2353" t="s">
        <v>299</v>
      </c>
      <c r="J2353" t="s">
        <v>7703</v>
      </c>
      <c r="K2353" t="s">
        <v>7684</v>
      </c>
      <c r="L2353" t="s">
        <v>7708</v>
      </c>
      <c r="N2353" t="str" cm="1">
        <f t="array" ref="N2353">IFERROR(LOOKUP(2,1/SEARCH($S$2:$S$65,G2353),$T$2:$T$65),"Misc")</f>
        <v>COTS</v>
      </c>
      <c r="O2353" t="str" cm="1">
        <f t="array" ref="O2353">IFERROR(LOOKUP(2,1/SEARCH($V$2:$V$65,G2353),$W$2:$W$65),"Misc")</f>
        <v>Fasteners</v>
      </c>
      <c r="P2353" t="str" cm="1">
        <f t="array" ref="P2353">IFERROR(LOOKUP(2,1/SEARCH($Y$2:$Y$65,G2353),$Z$2:$Z$65),"Not Defined")</f>
        <v>STANDOFF</v>
      </c>
      <c r="Q2353" t="str" cm="1">
        <f t="array" ref="Q2353">IFERROR(LOOKUP(2,1/SEARCH($S$2:$S$65,H2353),$T$2:$T$65),"-")</f>
        <v>COTS</v>
      </c>
    </row>
    <row r="2354" spans="1:17" hidden="1" x14ac:dyDescent="0.25">
      <c r="A2354" t="s">
        <v>7676</v>
      </c>
      <c r="B2354" t="s">
        <v>5936</v>
      </c>
      <c r="C2354">
        <v>3</v>
      </c>
      <c r="D2354" t="s">
        <v>7604</v>
      </c>
      <c r="F2354" t="s">
        <v>4689</v>
      </c>
      <c r="G2354" t="s">
        <v>7483</v>
      </c>
      <c r="H2354" t="s">
        <v>4690</v>
      </c>
      <c r="I2354" t="s">
        <v>299</v>
      </c>
      <c r="J2354" t="s">
        <v>7703</v>
      </c>
      <c r="K2354" t="s">
        <v>7684</v>
      </c>
      <c r="L2354" t="s">
        <v>7708</v>
      </c>
      <c r="N2354" t="str" cm="1">
        <f t="array" ref="N2354">IFERROR(LOOKUP(2,1/SEARCH($S$2:$S$65,G2354),$T$2:$T$65),"Misc")</f>
        <v>COTS</v>
      </c>
      <c r="O2354" t="str" cm="1">
        <f t="array" ref="O2354">IFERROR(LOOKUP(2,1/SEARCH($V$2:$V$65,G2354),$W$2:$W$65),"Misc")</f>
        <v>Fasteners</v>
      </c>
      <c r="P2354" t="str" cm="1">
        <f t="array" ref="P2354">IFERROR(LOOKUP(2,1/SEARCH($Y$2:$Y$65,G2354),$Z$2:$Z$65),"Not Defined")</f>
        <v>STANDOFF</v>
      </c>
      <c r="Q2354" t="str" cm="1">
        <f t="array" ref="Q2354">IFERROR(LOOKUP(2,1/SEARCH($S$2:$S$65,H2354),$T$2:$T$65),"-")</f>
        <v>COTS</v>
      </c>
    </row>
    <row r="2355" spans="1:17" hidden="1" x14ac:dyDescent="0.25">
      <c r="A2355" t="s">
        <v>7676</v>
      </c>
      <c r="B2355" t="s">
        <v>5937</v>
      </c>
      <c r="C2355">
        <v>1</v>
      </c>
      <c r="D2355" t="s">
        <v>7604</v>
      </c>
      <c r="F2355" t="s">
        <v>904</v>
      </c>
      <c r="G2355" t="s">
        <v>7126</v>
      </c>
      <c r="H2355" t="s">
        <v>905</v>
      </c>
      <c r="I2355" t="s">
        <v>228</v>
      </c>
      <c r="J2355" t="s">
        <v>7703</v>
      </c>
      <c r="K2355" t="s">
        <v>7684</v>
      </c>
      <c r="L2355" t="s">
        <v>7692</v>
      </c>
      <c r="N2355" t="str" cm="1">
        <f t="array" ref="N2355">IFERROR(LOOKUP(2,1/SEARCH($S$2:$S$65,G2355),$T$2:$T$65),"Misc")</f>
        <v>COTS</v>
      </c>
      <c r="O2355" t="str" cm="1">
        <f t="array" ref="O2355">IFERROR(LOOKUP(2,1/SEARCH($V$2:$V$65,G2355),$W$2:$W$65),"Misc")</f>
        <v>Fasteners</v>
      </c>
      <c r="P2355" t="str" cm="1">
        <f t="array" ref="P2355">IFERROR(LOOKUP(2,1/SEARCH($Y$2:$Y$65,G2355),$Z$2:$Z$65),"Not Defined")</f>
        <v>WASHER</v>
      </c>
      <c r="Q2355" t="str" cm="1">
        <f t="array" ref="Q2355">IFERROR(LOOKUP(2,1/SEARCH($S$2:$S$65,H2355),$T$2:$T$65),"-")</f>
        <v>COTS</v>
      </c>
    </row>
    <row r="2356" spans="1:17" hidden="1" x14ac:dyDescent="0.25">
      <c r="A2356" t="s">
        <v>7676</v>
      </c>
      <c r="B2356" t="s">
        <v>5938</v>
      </c>
      <c r="C2356">
        <v>3</v>
      </c>
      <c r="D2356" t="s">
        <v>7604</v>
      </c>
      <c r="F2356" t="s">
        <v>1541</v>
      </c>
      <c r="G2356" t="s">
        <v>7223</v>
      </c>
      <c r="H2356" t="s">
        <v>1542</v>
      </c>
      <c r="I2356" t="s">
        <v>210</v>
      </c>
      <c r="J2356" t="s">
        <v>7703</v>
      </c>
      <c r="K2356" t="s">
        <v>7684</v>
      </c>
      <c r="L2356" t="s">
        <v>7693</v>
      </c>
      <c r="N2356" t="str" cm="1">
        <f t="array" ref="N2356">IFERROR(LOOKUP(2,1/SEARCH($S$2:$S$65,G2356),$T$2:$T$65),"Misc")</f>
        <v>COTS</v>
      </c>
      <c r="O2356" t="str" cm="1">
        <f t="array" ref="O2356">IFERROR(LOOKUP(2,1/SEARCH($V$2:$V$65,G2356),$W$2:$W$65),"Misc")</f>
        <v>Fasteners</v>
      </c>
      <c r="P2356" t="str" cm="1">
        <f t="array" ref="P2356">IFERROR(LOOKUP(2,1/SEARCH($Y$2:$Y$65,G2356),$Z$2:$Z$65),"Not Defined")</f>
        <v>PHS</v>
      </c>
      <c r="Q2356" t="str" cm="1">
        <f t="array" ref="Q2356">IFERROR(LOOKUP(2,1/SEARCH($S$2:$S$65,H2356),$T$2:$T$65),"-")</f>
        <v>COTS</v>
      </c>
    </row>
    <row r="2357" spans="1:17" hidden="1" x14ac:dyDescent="0.25">
      <c r="A2357" t="s">
        <v>7676</v>
      </c>
      <c r="B2357" t="s">
        <v>5939</v>
      </c>
      <c r="C2357">
        <v>1</v>
      </c>
      <c r="D2357" t="s">
        <v>7604</v>
      </c>
      <c r="E2357" t="s">
        <v>5941</v>
      </c>
      <c r="F2357" t="s">
        <v>5940</v>
      </c>
      <c r="G2357" t="s">
        <v>5942</v>
      </c>
      <c r="H2357" t="s">
        <v>5941</v>
      </c>
      <c r="J2357" t="s">
        <v>7742</v>
      </c>
      <c r="K2357" t="s">
        <v>7826</v>
      </c>
      <c r="L2357" t="s">
        <v>7826</v>
      </c>
      <c r="N2357" t="str" cm="1">
        <f t="array" ref="N2357">IFERROR(LOOKUP(2,1/SEARCH($S$2:$S$65,G2357),$T$2:$T$65),"Misc")</f>
        <v>OH ASSY</v>
      </c>
      <c r="O2357" t="str" cm="1">
        <f t="array" ref="O2357">IFERROR(LOOKUP(2,1/SEARCH($V$2:$V$65,G2357),$W$2:$W$65),"Misc")</f>
        <v>OH Part</v>
      </c>
      <c r="P2357" t="str" cm="1">
        <f t="array" ref="P2357">IFERROR(LOOKUP(2,1/SEARCH($Y$2:$Y$65,G2357),$Z$2:$Z$65),"Not Defined")</f>
        <v>OH Part</v>
      </c>
      <c r="Q2357" t="str" cm="1">
        <f t="array" ref="Q2357">IFERROR(LOOKUP(2,1/SEARCH($S$2:$S$65,H2357),$T$2:$T$65),"-")</f>
        <v>OH ASSY</v>
      </c>
    </row>
    <row r="2358" spans="1:17" hidden="1" x14ac:dyDescent="0.25">
      <c r="A2358" t="s">
        <v>7676</v>
      </c>
      <c r="B2358" t="s">
        <v>5943</v>
      </c>
      <c r="C2358">
        <v>1</v>
      </c>
      <c r="D2358" t="s">
        <v>7604</v>
      </c>
      <c r="E2358" t="s">
        <v>5941</v>
      </c>
      <c r="F2358" t="s">
        <v>5944</v>
      </c>
      <c r="G2358" t="s">
        <v>5946</v>
      </c>
      <c r="H2358" t="s">
        <v>5945</v>
      </c>
      <c r="I2358" t="s">
        <v>13</v>
      </c>
      <c r="J2358" t="s">
        <v>7682</v>
      </c>
      <c r="K2358" t="s">
        <v>7826</v>
      </c>
      <c r="L2358" t="s">
        <v>7826</v>
      </c>
      <c r="N2358" t="str" cm="1">
        <f t="array" ref="N2358">IFERROR(LOOKUP(2,1/SEARCH($S$2:$S$65,G2358),$T$2:$T$65),"Misc")</f>
        <v>OH P/N</v>
      </c>
      <c r="O2358" t="str" cm="1">
        <f t="array" ref="O2358">IFERROR(LOOKUP(2,1/SEARCH($V$2:$V$65,G2358),$W$2:$W$65),"Misc")</f>
        <v>OH Part</v>
      </c>
      <c r="P2358" t="str" cm="1">
        <f t="array" ref="P2358">IFERROR(LOOKUP(2,1/SEARCH($Y$2:$Y$65,G2358),$Z$2:$Z$65),"Not Defined")</f>
        <v>OH Part</v>
      </c>
      <c r="Q2358" t="str" cm="1">
        <f t="array" ref="Q2358">IFERROR(LOOKUP(2,1/SEARCH($S$2:$S$65,H2358),$T$2:$T$65),"-")</f>
        <v>ABSIS</v>
      </c>
    </row>
    <row r="2359" spans="1:17" hidden="1" x14ac:dyDescent="0.25">
      <c r="A2359" t="s">
        <v>7676</v>
      </c>
      <c r="B2359" t="s">
        <v>5947</v>
      </c>
      <c r="C2359">
        <v>4</v>
      </c>
      <c r="D2359" t="s">
        <v>7604</v>
      </c>
      <c r="E2359" t="s">
        <v>5941</v>
      </c>
      <c r="F2359" t="s">
        <v>583</v>
      </c>
      <c r="G2359" t="s">
        <v>7106</v>
      </c>
      <c r="H2359" t="s">
        <v>584</v>
      </c>
      <c r="I2359" t="s">
        <v>299</v>
      </c>
      <c r="J2359" t="s">
        <v>7703</v>
      </c>
      <c r="K2359" t="s">
        <v>7684</v>
      </c>
      <c r="L2359" t="s">
        <v>7708</v>
      </c>
      <c r="N2359" t="str" cm="1">
        <f t="array" ref="N2359">IFERROR(LOOKUP(2,1/SEARCH($S$2:$S$65,G2359),$T$2:$T$65),"Misc")</f>
        <v>COTS</v>
      </c>
      <c r="O2359" t="str" cm="1">
        <f t="array" ref="O2359">IFERROR(LOOKUP(2,1/SEARCH($V$2:$V$65,G2359),$W$2:$W$65),"Misc")</f>
        <v>Fasteners</v>
      </c>
      <c r="P2359" t="str" cm="1">
        <f t="array" ref="P2359">IFERROR(LOOKUP(2,1/SEARCH($Y$2:$Y$65,G2359),$Z$2:$Z$65),"Not Defined")</f>
        <v>STANDOFF</v>
      </c>
      <c r="Q2359" t="str" cm="1">
        <f t="array" ref="Q2359">IFERROR(LOOKUP(2,1/SEARCH($S$2:$S$65,H2359),$T$2:$T$65),"-")</f>
        <v>COTS</v>
      </c>
    </row>
    <row r="2360" spans="1:17" hidden="1" x14ac:dyDescent="0.25">
      <c r="A2360" t="s">
        <v>7676</v>
      </c>
      <c r="B2360" t="s">
        <v>5948</v>
      </c>
      <c r="C2360">
        <v>8</v>
      </c>
      <c r="D2360" t="s">
        <v>7604</v>
      </c>
      <c r="E2360" t="s">
        <v>5941</v>
      </c>
      <c r="F2360" t="s">
        <v>460</v>
      </c>
      <c r="G2360" t="s">
        <v>7090</v>
      </c>
      <c r="H2360" t="s">
        <v>461</v>
      </c>
      <c r="I2360" t="s">
        <v>224</v>
      </c>
      <c r="J2360" t="s">
        <v>7703</v>
      </c>
      <c r="K2360" t="s">
        <v>7684</v>
      </c>
      <c r="L2360" t="s">
        <v>7693</v>
      </c>
      <c r="N2360" t="str" cm="1">
        <f t="array" ref="N2360">IFERROR(LOOKUP(2,1/SEARCH($S$2:$S$65,G2360),$T$2:$T$65),"Misc")</f>
        <v>COTS</v>
      </c>
      <c r="O2360" t="str" cm="1">
        <f t="array" ref="O2360">IFERROR(LOOKUP(2,1/SEARCH($V$2:$V$65,G2360),$W$2:$W$65),"Misc")</f>
        <v>Fasteners</v>
      </c>
      <c r="P2360" t="str" cm="1">
        <f t="array" ref="P2360">IFERROR(LOOKUP(2,1/SEARCH($Y$2:$Y$65,G2360),$Z$2:$Z$65),"Not Defined")</f>
        <v>PHS</v>
      </c>
      <c r="Q2360" t="str" cm="1">
        <f t="array" ref="Q2360">IFERROR(LOOKUP(2,1/SEARCH($S$2:$S$65,H2360),$T$2:$T$65),"-")</f>
        <v>COTS</v>
      </c>
    </row>
    <row r="2361" spans="1:17" hidden="1" x14ac:dyDescent="0.25">
      <c r="A2361" t="s">
        <v>7676</v>
      </c>
      <c r="B2361" t="s">
        <v>5949</v>
      </c>
      <c r="C2361">
        <v>1</v>
      </c>
      <c r="D2361" t="s">
        <v>7604</v>
      </c>
      <c r="E2361" t="s">
        <v>7945</v>
      </c>
      <c r="F2361" t="s">
        <v>613</v>
      </c>
      <c r="G2361" t="s">
        <v>7110</v>
      </c>
      <c r="H2361" t="s">
        <v>614</v>
      </c>
      <c r="I2361" t="s">
        <v>255</v>
      </c>
      <c r="J2361" t="s">
        <v>7815</v>
      </c>
      <c r="K2361" t="s">
        <v>7717</v>
      </c>
      <c r="L2361" t="s">
        <v>7717</v>
      </c>
      <c r="N2361" t="str" cm="1">
        <f t="array" ref="N2361">IFERROR(LOOKUP(2,1/SEARCH($S$2:$S$65,G2361),$T$2:$T$65),"Misc")</f>
        <v>OH ASSY</v>
      </c>
      <c r="O2361" t="str" cm="1">
        <f t="array" ref="O2361">IFERROR(LOOKUP(2,1/SEARCH($V$2:$V$65,G2361),$W$2:$W$65),"Misc")</f>
        <v>ABSIS</v>
      </c>
      <c r="P2361" t="str" cm="1">
        <f t="array" ref="P2361">IFERROR(LOOKUP(2,1/SEARCH($Y$2:$Y$65,G2361),$Z$2:$Z$65),"Not Defined")</f>
        <v>ABSIS</v>
      </c>
      <c r="Q2361" t="str" cm="1">
        <f t="array" ref="Q2361">IFERROR(LOOKUP(2,1/SEARCH($S$2:$S$65,H2361),$T$2:$T$65),"-")</f>
        <v>OH ASSY</v>
      </c>
    </row>
    <row r="2362" spans="1:17" hidden="1" x14ac:dyDescent="0.25">
      <c r="A2362" t="s">
        <v>7676</v>
      </c>
      <c r="B2362" t="s">
        <v>5950</v>
      </c>
      <c r="C2362">
        <v>1</v>
      </c>
      <c r="D2362" t="s">
        <v>7604</v>
      </c>
      <c r="E2362" t="s">
        <v>7945</v>
      </c>
      <c r="F2362" t="s">
        <v>616</v>
      </c>
      <c r="G2362" t="s">
        <v>7111</v>
      </c>
      <c r="H2362" t="s">
        <v>617</v>
      </c>
      <c r="I2362" t="s">
        <v>255</v>
      </c>
      <c r="J2362" t="s">
        <v>7717</v>
      </c>
      <c r="K2362" t="s">
        <v>7717</v>
      </c>
      <c r="L2362" t="s">
        <v>7717</v>
      </c>
      <c r="N2362" t="str" cm="1">
        <f t="array" ref="N2362">IFERROR(LOOKUP(2,1/SEARCH($S$2:$S$65,G2362),$T$2:$T$65),"Misc")</f>
        <v>ABSIS</v>
      </c>
      <c r="O2362" t="str" cm="1">
        <f t="array" ref="O2362">IFERROR(LOOKUP(2,1/SEARCH($V$2:$V$65,G2362),$W$2:$W$65),"Misc")</f>
        <v>ABSIS</v>
      </c>
      <c r="P2362" t="str" cm="1">
        <f t="array" ref="P2362">IFERROR(LOOKUP(2,1/SEARCH($Y$2:$Y$65,G2362),$Z$2:$Z$65),"Not Defined")</f>
        <v>ABSIS</v>
      </c>
      <c r="Q2362" t="str" cm="1">
        <f t="array" ref="Q2362">IFERROR(LOOKUP(2,1/SEARCH($S$2:$S$65,H2362),$T$2:$T$65),"-")</f>
        <v>ABSIS</v>
      </c>
    </row>
    <row r="2363" spans="1:17" hidden="1" x14ac:dyDescent="0.25">
      <c r="A2363" t="s">
        <v>7676</v>
      </c>
      <c r="B2363" t="s">
        <v>5951</v>
      </c>
      <c r="C2363">
        <v>1</v>
      </c>
      <c r="D2363" t="s">
        <v>7604</v>
      </c>
      <c r="E2363" t="s">
        <v>7945</v>
      </c>
      <c r="F2363" t="s">
        <v>596</v>
      </c>
      <c r="G2363" t="s">
        <v>7108</v>
      </c>
      <c r="H2363" t="s">
        <v>597</v>
      </c>
      <c r="I2363" t="s">
        <v>255</v>
      </c>
      <c r="J2363" t="s">
        <v>7703</v>
      </c>
      <c r="K2363" t="s">
        <v>7713</v>
      </c>
      <c r="L2363" t="s">
        <v>7713</v>
      </c>
      <c r="N2363" t="str" cm="1">
        <f t="array" ref="N2363">IFERROR(LOOKUP(2,1/SEARCH($S$2:$S$65,G2363),$T$2:$T$65),"Misc")</f>
        <v>COTS</v>
      </c>
      <c r="O2363" t="str" cm="1">
        <f t="array" ref="O2363">IFERROR(LOOKUP(2,1/SEARCH($V$2:$V$65,G2363),$W$2:$W$65),"Misc")</f>
        <v>ARDUINO</v>
      </c>
      <c r="P2363" t="str" cm="1">
        <f t="array" ref="P2363">IFERROR(LOOKUP(2,1/SEARCH($Y$2:$Y$65,G2363),$Z$2:$Z$65),"Not Defined")</f>
        <v>ARDUINO</v>
      </c>
      <c r="Q2363" t="str" cm="1">
        <f t="array" ref="Q2363">IFERROR(LOOKUP(2,1/SEARCH($S$2:$S$65,H2363),$T$2:$T$65),"-")</f>
        <v>COTS</v>
      </c>
    </row>
    <row r="2364" spans="1:17" hidden="1" x14ac:dyDescent="0.25">
      <c r="A2364" t="s">
        <v>7676</v>
      </c>
      <c r="B2364" s="19">
        <v>4.5</v>
      </c>
      <c r="C2364">
        <v>1</v>
      </c>
      <c r="D2364" t="s">
        <v>7606</v>
      </c>
      <c r="F2364" t="s">
        <v>5952</v>
      </c>
      <c r="G2364" t="s">
        <v>7606</v>
      </c>
      <c r="H2364" t="s">
        <v>5953</v>
      </c>
      <c r="J2364" t="s">
        <v>7742</v>
      </c>
      <c r="K2364" t="s">
        <v>7826</v>
      </c>
      <c r="L2364" t="s">
        <v>7826</v>
      </c>
      <c r="N2364" t="str" cm="1">
        <f t="array" ref="N2364">IFERROR(LOOKUP(2,1/SEARCH($S$2:$S$65,G2364),$T$2:$T$65),"Misc")</f>
        <v>OH ASSY</v>
      </c>
      <c r="O2364" t="str" cm="1">
        <f t="array" ref="O2364">IFERROR(LOOKUP(2,1/SEARCH($V$2:$V$65,G2364),$W$2:$W$65),"Misc")</f>
        <v>OH Part</v>
      </c>
      <c r="P2364" t="str" cm="1">
        <f t="array" ref="P2364">IFERROR(LOOKUP(2,1/SEARCH($Y$2:$Y$65,G2364),$Z$2:$Z$65),"Not Defined")</f>
        <v>OH Part</v>
      </c>
      <c r="Q2364" t="str" cm="1">
        <f t="array" ref="Q2364">IFERROR(LOOKUP(2,1/SEARCH($S$2:$S$65,H2364),$T$2:$T$65),"-")</f>
        <v>OH ASSY</v>
      </c>
    </row>
    <row r="2365" spans="1:17" hidden="1" x14ac:dyDescent="0.25">
      <c r="A2365" t="s">
        <v>7676</v>
      </c>
      <c r="B2365" t="s">
        <v>5954</v>
      </c>
      <c r="C2365">
        <v>1</v>
      </c>
      <c r="D2365" t="s">
        <v>7606</v>
      </c>
      <c r="F2365" t="s">
        <v>5955</v>
      </c>
      <c r="G2365" t="s">
        <v>5957</v>
      </c>
      <c r="H2365" t="s">
        <v>5956</v>
      </c>
      <c r="I2365" t="s">
        <v>38</v>
      </c>
      <c r="J2365" t="s">
        <v>7682</v>
      </c>
      <c r="K2365" t="s">
        <v>7826</v>
      </c>
      <c r="L2365" t="s">
        <v>7826</v>
      </c>
      <c r="N2365" t="str" cm="1">
        <f t="array" ref="N2365">IFERROR(LOOKUP(2,1/SEARCH($S$2:$S$65,G2365),$T$2:$T$65),"Misc")</f>
        <v>OH P/N</v>
      </c>
      <c r="O2365" t="str" cm="1">
        <f t="array" ref="O2365">IFERROR(LOOKUP(2,1/SEARCH($V$2:$V$65,G2365),$W$2:$W$65),"Misc")</f>
        <v>OH Part</v>
      </c>
      <c r="P2365" t="str" cm="1">
        <f t="array" ref="P2365">IFERROR(LOOKUP(2,1/SEARCH($Y$2:$Y$65,G2365),$Z$2:$Z$65),"Not Defined")</f>
        <v>OH Part</v>
      </c>
      <c r="Q2365" t="str" cm="1">
        <f t="array" ref="Q2365">IFERROR(LOOKUP(2,1/SEARCH($S$2:$S$65,H2365),$T$2:$T$65),"-")</f>
        <v>-</v>
      </c>
    </row>
    <row r="2366" spans="1:17" hidden="1" x14ac:dyDescent="0.25">
      <c r="A2366" t="s">
        <v>7676</v>
      </c>
      <c r="B2366" t="s">
        <v>5958</v>
      </c>
      <c r="C2366">
        <v>1</v>
      </c>
      <c r="D2366" t="s">
        <v>7606</v>
      </c>
      <c r="F2366" t="s">
        <v>5959</v>
      </c>
      <c r="G2366" t="s">
        <v>5961</v>
      </c>
      <c r="H2366" t="s">
        <v>5960</v>
      </c>
      <c r="I2366" t="s">
        <v>38</v>
      </c>
      <c r="J2366" t="s">
        <v>7682</v>
      </c>
      <c r="K2366" t="s">
        <v>7826</v>
      </c>
      <c r="L2366" t="s">
        <v>7826</v>
      </c>
      <c r="N2366" t="str" cm="1">
        <f t="array" ref="N2366">IFERROR(LOOKUP(2,1/SEARCH($S$2:$S$65,G2366),$T$2:$T$65),"Misc")</f>
        <v>OH P/N</v>
      </c>
      <c r="O2366" t="str" cm="1">
        <f t="array" ref="O2366">IFERROR(LOOKUP(2,1/SEARCH($V$2:$V$65,G2366),$W$2:$W$65),"Misc")</f>
        <v>OH Part</v>
      </c>
      <c r="P2366" t="str" cm="1">
        <f t="array" ref="P2366">IFERROR(LOOKUP(2,1/SEARCH($Y$2:$Y$65,G2366),$Z$2:$Z$65),"Not Defined")</f>
        <v>OH Part</v>
      </c>
      <c r="Q2366" t="str" cm="1">
        <f t="array" ref="Q2366">IFERROR(LOOKUP(2,1/SEARCH($S$2:$S$65,H2366),$T$2:$T$65),"-")</f>
        <v>-</v>
      </c>
    </row>
    <row r="2367" spans="1:17" hidden="1" x14ac:dyDescent="0.25">
      <c r="A2367" t="s">
        <v>7676</v>
      </c>
      <c r="B2367" t="s">
        <v>5962</v>
      </c>
      <c r="C2367">
        <v>1</v>
      </c>
      <c r="D2367" t="s">
        <v>7606</v>
      </c>
      <c r="F2367" t="s">
        <v>5963</v>
      </c>
      <c r="G2367" t="s">
        <v>5965</v>
      </c>
      <c r="H2367" t="s">
        <v>5964</v>
      </c>
      <c r="I2367" t="s">
        <v>38</v>
      </c>
      <c r="J2367" t="s">
        <v>7682</v>
      </c>
      <c r="K2367" t="s">
        <v>7826</v>
      </c>
      <c r="L2367" t="s">
        <v>7826</v>
      </c>
      <c r="N2367" t="str" cm="1">
        <f t="array" ref="N2367">IFERROR(LOOKUP(2,1/SEARCH($S$2:$S$65,G2367),$T$2:$T$65),"Misc")</f>
        <v>OH P/N</v>
      </c>
      <c r="O2367" t="str" cm="1">
        <f t="array" ref="O2367">IFERROR(LOOKUP(2,1/SEARCH($V$2:$V$65,G2367),$W$2:$W$65),"Misc")</f>
        <v>OH Part</v>
      </c>
      <c r="P2367" t="str" cm="1">
        <f t="array" ref="P2367">IFERROR(LOOKUP(2,1/SEARCH($Y$2:$Y$65,G2367),$Z$2:$Z$65),"Not Defined")</f>
        <v>OH Part</v>
      </c>
      <c r="Q2367" t="str" cm="1">
        <f t="array" ref="Q2367">IFERROR(LOOKUP(2,1/SEARCH($S$2:$S$65,H2367),$T$2:$T$65),"-")</f>
        <v>-</v>
      </c>
    </row>
    <row r="2368" spans="1:17" hidden="1" x14ac:dyDescent="0.25">
      <c r="A2368" t="s">
        <v>7676</v>
      </c>
      <c r="B2368" t="s">
        <v>5966</v>
      </c>
      <c r="C2368">
        <v>1</v>
      </c>
      <c r="D2368" t="s">
        <v>7606</v>
      </c>
      <c r="F2368" t="s">
        <v>5967</v>
      </c>
      <c r="G2368" t="s">
        <v>5969</v>
      </c>
      <c r="H2368" t="s">
        <v>5968</v>
      </c>
      <c r="I2368" t="s">
        <v>38</v>
      </c>
      <c r="J2368" t="s">
        <v>7682</v>
      </c>
      <c r="K2368" t="s">
        <v>7826</v>
      </c>
      <c r="L2368" t="s">
        <v>7826</v>
      </c>
      <c r="N2368" t="str" cm="1">
        <f t="array" ref="N2368">IFERROR(LOOKUP(2,1/SEARCH($S$2:$S$65,G2368),$T$2:$T$65),"Misc")</f>
        <v>OH P/N</v>
      </c>
      <c r="O2368" t="str" cm="1">
        <f t="array" ref="O2368">IFERROR(LOOKUP(2,1/SEARCH($V$2:$V$65,G2368),$W$2:$W$65),"Misc")</f>
        <v>OH Part</v>
      </c>
      <c r="P2368" t="str" cm="1">
        <f t="array" ref="P2368">IFERROR(LOOKUP(2,1/SEARCH($Y$2:$Y$65,G2368),$Z$2:$Z$65),"Not Defined")</f>
        <v>OH Part</v>
      </c>
      <c r="Q2368" t="str" cm="1">
        <f t="array" ref="Q2368">IFERROR(LOOKUP(2,1/SEARCH($S$2:$S$65,H2368),$T$2:$T$65),"-")</f>
        <v>-</v>
      </c>
    </row>
    <row r="2369" spans="1:17" hidden="1" x14ac:dyDescent="0.25">
      <c r="A2369" t="s">
        <v>7676</v>
      </c>
      <c r="B2369" t="s">
        <v>5970</v>
      </c>
      <c r="C2369">
        <v>1</v>
      </c>
      <c r="D2369" t="s">
        <v>7606</v>
      </c>
      <c r="F2369" t="s">
        <v>5971</v>
      </c>
      <c r="G2369" t="s">
        <v>5973</v>
      </c>
      <c r="H2369" t="s">
        <v>5972</v>
      </c>
      <c r="I2369" t="s">
        <v>38</v>
      </c>
      <c r="J2369" t="s">
        <v>7682</v>
      </c>
      <c r="K2369" t="s">
        <v>7826</v>
      </c>
      <c r="L2369" t="s">
        <v>7826</v>
      </c>
      <c r="N2369" t="str" cm="1">
        <f t="array" ref="N2369">IFERROR(LOOKUP(2,1/SEARCH($S$2:$S$65,G2369),$T$2:$T$65),"Misc")</f>
        <v>OH P/N</v>
      </c>
      <c r="O2369" t="str" cm="1">
        <f t="array" ref="O2369">IFERROR(LOOKUP(2,1/SEARCH($V$2:$V$65,G2369),$W$2:$W$65),"Misc")</f>
        <v>OH Part</v>
      </c>
      <c r="P2369" t="str" cm="1">
        <f t="array" ref="P2369">IFERROR(LOOKUP(2,1/SEARCH($Y$2:$Y$65,G2369),$Z$2:$Z$65),"Not Defined")</f>
        <v>OH Part</v>
      </c>
      <c r="Q2369" t="str" cm="1">
        <f t="array" ref="Q2369">IFERROR(LOOKUP(2,1/SEARCH($S$2:$S$65,H2369),$T$2:$T$65),"-")</f>
        <v>-</v>
      </c>
    </row>
    <row r="2370" spans="1:17" hidden="1" x14ac:dyDescent="0.25">
      <c r="A2370" t="s">
        <v>7676</v>
      </c>
      <c r="B2370" t="s">
        <v>5974</v>
      </c>
      <c r="C2370">
        <v>1</v>
      </c>
      <c r="D2370" t="s">
        <v>7606</v>
      </c>
      <c r="F2370" t="s">
        <v>5975</v>
      </c>
      <c r="G2370" t="s">
        <v>5977</v>
      </c>
      <c r="H2370" t="s">
        <v>5976</v>
      </c>
      <c r="I2370" t="s">
        <v>13</v>
      </c>
      <c r="J2370" t="s">
        <v>7682</v>
      </c>
      <c r="K2370" t="s">
        <v>7826</v>
      </c>
      <c r="L2370" t="s">
        <v>7826</v>
      </c>
      <c r="N2370" t="str" cm="1">
        <f t="array" ref="N2370">IFERROR(LOOKUP(2,1/SEARCH($S$2:$S$65,G2370),$T$2:$T$65),"Misc")</f>
        <v>OH P/N</v>
      </c>
      <c r="O2370" t="str" cm="1">
        <f t="array" ref="O2370">IFERROR(LOOKUP(2,1/SEARCH($V$2:$V$65,G2370),$W$2:$W$65),"Misc")</f>
        <v>OH Part</v>
      </c>
      <c r="P2370" t="str" cm="1">
        <f t="array" ref="P2370">IFERROR(LOOKUP(2,1/SEARCH($Y$2:$Y$65,G2370),$Z$2:$Z$65),"Not Defined")</f>
        <v>OH Part</v>
      </c>
      <c r="Q2370" t="str" cm="1">
        <f t="array" ref="Q2370">IFERROR(LOOKUP(2,1/SEARCH($S$2:$S$65,H2370),$T$2:$T$65),"-")</f>
        <v>COTS</v>
      </c>
    </row>
    <row r="2371" spans="1:17" hidden="1" x14ac:dyDescent="0.25">
      <c r="A2371" t="s">
        <v>7676</v>
      </c>
      <c r="B2371" t="s">
        <v>5978</v>
      </c>
      <c r="C2371">
        <v>1</v>
      </c>
      <c r="D2371" t="s">
        <v>7606</v>
      </c>
      <c r="F2371" t="s">
        <v>5979</v>
      </c>
      <c r="G2371" t="s">
        <v>5981</v>
      </c>
      <c r="H2371" t="s">
        <v>5980</v>
      </c>
      <c r="I2371" t="s">
        <v>13</v>
      </c>
      <c r="J2371" t="s">
        <v>7682</v>
      </c>
      <c r="K2371" t="s">
        <v>7826</v>
      </c>
      <c r="L2371" t="s">
        <v>7826</v>
      </c>
      <c r="N2371" t="str" cm="1">
        <f t="array" ref="N2371">IFERROR(LOOKUP(2,1/SEARCH($S$2:$S$65,G2371),$T$2:$T$65),"Misc")</f>
        <v>OH P/N</v>
      </c>
      <c r="O2371" t="str" cm="1">
        <f t="array" ref="O2371">IFERROR(LOOKUP(2,1/SEARCH($V$2:$V$65,G2371),$W$2:$W$65),"Misc")</f>
        <v>OH Part</v>
      </c>
      <c r="P2371" t="str" cm="1">
        <f t="array" ref="P2371">IFERROR(LOOKUP(2,1/SEARCH($Y$2:$Y$65,G2371),$Z$2:$Z$65),"Not Defined")</f>
        <v>OH Part</v>
      </c>
      <c r="Q2371" t="str" cm="1">
        <f t="array" ref="Q2371">IFERROR(LOOKUP(2,1/SEARCH($S$2:$S$65,H2371),$T$2:$T$65),"-")</f>
        <v>COTS</v>
      </c>
    </row>
    <row r="2372" spans="1:17" hidden="1" x14ac:dyDescent="0.25">
      <c r="A2372" t="s">
        <v>7676</v>
      </c>
      <c r="B2372" t="s">
        <v>5982</v>
      </c>
      <c r="C2372">
        <v>1</v>
      </c>
      <c r="D2372" t="s">
        <v>7606</v>
      </c>
      <c r="F2372" t="s">
        <v>5983</v>
      </c>
      <c r="G2372" t="s">
        <v>5985</v>
      </c>
      <c r="H2372" t="s">
        <v>5984</v>
      </c>
      <c r="I2372" t="s">
        <v>13</v>
      </c>
      <c r="J2372" t="s">
        <v>7682</v>
      </c>
      <c r="K2372" t="s">
        <v>7826</v>
      </c>
      <c r="L2372" t="s">
        <v>7826</v>
      </c>
      <c r="N2372" t="str" cm="1">
        <f t="array" ref="N2372">IFERROR(LOOKUP(2,1/SEARCH($S$2:$S$65,G2372),$T$2:$T$65),"Misc")</f>
        <v>OH P/N</v>
      </c>
      <c r="O2372" t="str" cm="1">
        <f t="array" ref="O2372">IFERROR(LOOKUP(2,1/SEARCH($V$2:$V$65,G2372),$W$2:$W$65),"Misc")</f>
        <v>OH Part</v>
      </c>
      <c r="P2372" t="str" cm="1">
        <f t="array" ref="P2372">IFERROR(LOOKUP(2,1/SEARCH($Y$2:$Y$65,G2372),$Z$2:$Z$65),"Not Defined")</f>
        <v>OH Part</v>
      </c>
      <c r="Q2372" t="str" cm="1">
        <f t="array" ref="Q2372">IFERROR(LOOKUP(2,1/SEARCH($S$2:$S$65,H2372),$T$2:$T$65),"-")</f>
        <v>COTS</v>
      </c>
    </row>
    <row r="2373" spans="1:17" hidden="1" x14ac:dyDescent="0.25">
      <c r="A2373" t="s">
        <v>7676</v>
      </c>
      <c r="B2373" t="s">
        <v>5986</v>
      </c>
      <c r="C2373">
        <v>1</v>
      </c>
      <c r="D2373" t="s">
        <v>7606</v>
      </c>
      <c r="F2373" t="s">
        <v>5987</v>
      </c>
      <c r="G2373" t="s">
        <v>5989</v>
      </c>
      <c r="H2373" t="s">
        <v>5988</v>
      </c>
      <c r="I2373" t="s">
        <v>13</v>
      </c>
      <c r="J2373" t="s">
        <v>7682</v>
      </c>
      <c r="K2373" t="s">
        <v>7826</v>
      </c>
      <c r="L2373" t="s">
        <v>7826</v>
      </c>
      <c r="N2373" t="str" cm="1">
        <f t="array" ref="N2373">IFERROR(LOOKUP(2,1/SEARCH($S$2:$S$65,G2373),$T$2:$T$65),"Misc")</f>
        <v>OH P/N</v>
      </c>
      <c r="O2373" t="str" cm="1">
        <f t="array" ref="O2373">IFERROR(LOOKUP(2,1/SEARCH($V$2:$V$65,G2373),$W$2:$W$65),"Misc")</f>
        <v>OH Part</v>
      </c>
      <c r="P2373" t="str" cm="1">
        <f t="array" ref="P2373">IFERROR(LOOKUP(2,1/SEARCH($Y$2:$Y$65,G2373),$Z$2:$Z$65),"Not Defined")</f>
        <v>OH Part</v>
      </c>
      <c r="Q2373" t="str" cm="1">
        <f t="array" ref="Q2373">IFERROR(LOOKUP(2,1/SEARCH($S$2:$S$65,H2373),$T$2:$T$65),"-")</f>
        <v>COTS</v>
      </c>
    </row>
    <row r="2374" spans="1:17" hidden="1" x14ac:dyDescent="0.25">
      <c r="A2374" t="s">
        <v>7676</v>
      </c>
      <c r="B2374" t="s">
        <v>5990</v>
      </c>
      <c r="C2374">
        <v>1</v>
      </c>
      <c r="D2374" t="s">
        <v>7606</v>
      </c>
      <c r="F2374" t="s">
        <v>5991</v>
      </c>
      <c r="G2374" t="s">
        <v>5993</v>
      </c>
      <c r="H2374" t="s">
        <v>5992</v>
      </c>
      <c r="I2374" t="s">
        <v>13</v>
      </c>
      <c r="J2374" t="s">
        <v>7682</v>
      </c>
      <c r="K2374" t="s">
        <v>7826</v>
      </c>
      <c r="L2374" t="s">
        <v>7826</v>
      </c>
      <c r="N2374" t="str" cm="1">
        <f t="array" ref="N2374">IFERROR(LOOKUP(2,1/SEARCH($S$2:$S$65,G2374),$T$2:$T$65),"Misc")</f>
        <v>OH P/N</v>
      </c>
      <c r="O2374" t="str" cm="1">
        <f t="array" ref="O2374">IFERROR(LOOKUP(2,1/SEARCH($V$2:$V$65,G2374),$W$2:$W$65),"Misc")</f>
        <v>OH Part</v>
      </c>
      <c r="P2374" t="str" cm="1">
        <f t="array" ref="P2374">IFERROR(LOOKUP(2,1/SEARCH($Y$2:$Y$65,G2374),$Z$2:$Z$65),"Not Defined")</f>
        <v>OH Part</v>
      </c>
      <c r="Q2374" t="str" cm="1">
        <f t="array" ref="Q2374">IFERROR(LOOKUP(2,1/SEARCH($S$2:$S$65,H2374),$T$2:$T$65),"-")</f>
        <v>COTS</v>
      </c>
    </row>
    <row r="2375" spans="1:17" hidden="1" x14ac:dyDescent="0.25">
      <c r="A2375" t="s">
        <v>7676</v>
      </c>
      <c r="B2375" t="s">
        <v>5994</v>
      </c>
      <c r="C2375">
        <v>1</v>
      </c>
      <c r="D2375" t="s">
        <v>7606</v>
      </c>
      <c r="F2375" t="s">
        <v>5995</v>
      </c>
      <c r="G2375" t="s">
        <v>5997</v>
      </c>
      <c r="H2375" t="s">
        <v>5996</v>
      </c>
      <c r="I2375" t="s">
        <v>13</v>
      </c>
      <c r="J2375" t="s">
        <v>7682</v>
      </c>
      <c r="K2375" t="s">
        <v>7826</v>
      </c>
      <c r="L2375" t="s">
        <v>7826</v>
      </c>
      <c r="N2375" t="str" cm="1">
        <f t="array" ref="N2375">IFERROR(LOOKUP(2,1/SEARCH($S$2:$S$65,G2375),$T$2:$T$65),"Misc")</f>
        <v>OH P/N</v>
      </c>
      <c r="O2375" t="str" cm="1">
        <f t="array" ref="O2375">IFERROR(LOOKUP(2,1/SEARCH($V$2:$V$65,G2375),$W$2:$W$65),"Misc")</f>
        <v>OH Part</v>
      </c>
      <c r="P2375" t="str" cm="1">
        <f t="array" ref="P2375">IFERROR(LOOKUP(2,1/SEARCH($Y$2:$Y$65,G2375),$Z$2:$Z$65),"Not Defined")</f>
        <v>OH Part</v>
      </c>
      <c r="Q2375" t="str" cm="1">
        <f t="array" ref="Q2375">IFERROR(LOOKUP(2,1/SEARCH($S$2:$S$65,H2375),$T$2:$T$65),"-")</f>
        <v>COTS</v>
      </c>
    </row>
    <row r="2376" spans="1:17" hidden="1" x14ac:dyDescent="0.25">
      <c r="A2376" t="s">
        <v>7676</v>
      </c>
      <c r="B2376" t="s">
        <v>5998</v>
      </c>
      <c r="C2376">
        <v>1</v>
      </c>
      <c r="D2376" t="s">
        <v>7606</v>
      </c>
      <c r="F2376" t="s">
        <v>5999</v>
      </c>
      <c r="G2376" t="s">
        <v>6001</v>
      </c>
      <c r="H2376" t="s">
        <v>6000</v>
      </c>
      <c r="I2376" t="s">
        <v>13</v>
      </c>
      <c r="J2376" t="s">
        <v>7682</v>
      </c>
      <c r="K2376" t="s">
        <v>7826</v>
      </c>
      <c r="L2376" t="s">
        <v>7826</v>
      </c>
      <c r="N2376" t="str" cm="1">
        <f t="array" ref="N2376">IFERROR(LOOKUP(2,1/SEARCH($S$2:$S$65,G2376),$T$2:$T$65),"Misc")</f>
        <v>OH P/N</v>
      </c>
      <c r="O2376" t="str" cm="1">
        <f t="array" ref="O2376">IFERROR(LOOKUP(2,1/SEARCH($V$2:$V$65,G2376),$W$2:$W$65),"Misc")</f>
        <v>OH Part</v>
      </c>
      <c r="P2376" t="str" cm="1">
        <f t="array" ref="P2376">IFERROR(LOOKUP(2,1/SEARCH($Y$2:$Y$65,G2376),$Z$2:$Z$65),"Not Defined")</f>
        <v>OH Part</v>
      </c>
      <c r="Q2376" t="str" cm="1">
        <f t="array" ref="Q2376">IFERROR(LOOKUP(2,1/SEARCH($S$2:$S$65,H2376),$T$2:$T$65),"-")</f>
        <v>COTS</v>
      </c>
    </row>
    <row r="2377" spans="1:17" hidden="1" x14ac:dyDescent="0.25">
      <c r="A2377" t="s">
        <v>7676</v>
      </c>
      <c r="B2377" t="s">
        <v>6002</v>
      </c>
      <c r="C2377">
        <v>1</v>
      </c>
      <c r="D2377" t="s">
        <v>7606</v>
      </c>
      <c r="F2377" t="s">
        <v>6003</v>
      </c>
      <c r="G2377" t="s">
        <v>6005</v>
      </c>
      <c r="H2377" t="s">
        <v>6004</v>
      </c>
      <c r="I2377" t="s">
        <v>13</v>
      </c>
      <c r="J2377" t="s">
        <v>7682</v>
      </c>
      <c r="K2377" t="s">
        <v>7826</v>
      </c>
      <c r="L2377" t="s">
        <v>7826</v>
      </c>
      <c r="N2377" t="str" cm="1">
        <f t="array" ref="N2377">IFERROR(LOOKUP(2,1/SEARCH($S$2:$S$65,G2377),$T$2:$T$65),"Misc")</f>
        <v>OH P/N</v>
      </c>
      <c r="O2377" t="str" cm="1">
        <f t="array" ref="O2377">IFERROR(LOOKUP(2,1/SEARCH($V$2:$V$65,G2377),$W$2:$W$65),"Misc")</f>
        <v>OH Part</v>
      </c>
      <c r="P2377" t="str" cm="1">
        <f t="array" ref="P2377">IFERROR(LOOKUP(2,1/SEARCH($Y$2:$Y$65,G2377),$Z$2:$Z$65),"Not Defined")</f>
        <v>OH Part</v>
      </c>
      <c r="Q2377" t="str" cm="1">
        <f t="array" ref="Q2377">IFERROR(LOOKUP(2,1/SEARCH($S$2:$S$65,H2377),$T$2:$T$65),"-")</f>
        <v>COTS</v>
      </c>
    </row>
    <row r="2378" spans="1:17" hidden="1" x14ac:dyDescent="0.25">
      <c r="A2378" t="s">
        <v>7676</v>
      </c>
      <c r="B2378" t="s">
        <v>6006</v>
      </c>
      <c r="C2378">
        <v>1</v>
      </c>
      <c r="D2378" t="s">
        <v>7606</v>
      </c>
      <c r="F2378" t="s">
        <v>6007</v>
      </c>
      <c r="G2378" t="s">
        <v>6009</v>
      </c>
      <c r="H2378" t="s">
        <v>6008</v>
      </c>
      <c r="I2378" t="s">
        <v>13</v>
      </c>
      <c r="J2378" t="s">
        <v>7682</v>
      </c>
      <c r="K2378" t="s">
        <v>7826</v>
      </c>
      <c r="L2378" t="s">
        <v>7826</v>
      </c>
      <c r="N2378" t="str" cm="1">
        <f t="array" ref="N2378">IFERROR(LOOKUP(2,1/SEARCH($S$2:$S$65,G2378),$T$2:$T$65),"Misc")</f>
        <v>OH P/N</v>
      </c>
      <c r="O2378" t="str" cm="1">
        <f t="array" ref="O2378">IFERROR(LOOKUP(2,1/SEARCH($V$2:$V$65,G2378),$W$2:$W$65),"Misc")</f>
        <v>OH Part</v>
      </c>
      <c r="P2378" t="str" cm="1">
        <f t="array" ref="P2378">IFERROR(LOOKUP(2,1/SEARCH($Y$2:$Y$65,G2378),$Z$2:$Z$65),"Not Defined")</f>
        <v>OH Part</v>
      </c>
      <c r="Q2378" t="str" cm="1">
        <f t="array" ref="Q2378">IFERROR(LOOKUP(2,1/SEARCH($S$2:$S$65,H2378),$T$2:$T$65),"-")</f>
        <v>COTS</v>
      </c>
    </row>
    <row r="2379" spans="1:17" hidden="1" x14ac:dyDescent="0.25">
      <c r="A2379" t="s">
        <v>7676</v>
      </c>
      <c r="B2379" t="s">
        <v>6010</v>
      </c>
      <c r="C2379">
        <v>1</v>
      </c>
      <c r="D2379" t="s">
        <v>7606</v>
      </c>
      <c r="F2379" t="s">
        <v>6011</v>
      </c>
      <c r="G2379" t="s">
        <v>6013</v>
      </c>
      <c r="H2379" t="s">
        <v>6012</v>
      </c>
      <c r="I2379" t="s">
        <v>13</v>
      </c>
      <c r="J2379" t="s">
        <v>7682</v>
      </c>
      <c r="K2379" t="s">
        <v>7826</v>
      </c>
      <c r="L2379" t="s">
        <v>7826</v>
      </c>
      <c r="N2379" t="str" cm="1">
        <f t="array" ref="N2379">IFERROR(LOOKUP(2,1/SEARCH($S$2:$S$65,G2379),$T$2:$T$65),"Misc")</f>
        <v>OH P/N</v>
      </c>
      <c r="O2379" t="str" cm="1">
        <f t="array" ref="O2379">IFERROR(LOOKUP(2,1/SEARCH($V$2:$V$65,G2379),$W$2:$W$65),"Misc")</f>
        <v>OH Part</v>
      </c>
      <c r="P2379" t="str" cm="1">
        <f t="array" ref="P2379">IFERROR(LOOKUP(2,1/SEARCH($Y$2:$Y$65,G2379),$Z$2:$Z$65),"Not Defined")</f>
        <v>OH Part</v>
      </c>
      <c r="Q2379" t="str" cm="1">
        <f t="array" ref="Q2379">IFERROR(LOOKUP(2,1/SEARCH($S$2:$S$65,H2379),$T$2:$T$65),"-")</f>
        <v>COTS</v>
      </c>
    </row>
    <row r="2380" spans="1:17" hidden="1" x14ac:dyDescent="0.25">
      <c r="A2380" t="s">
        <v>7676</v>
      </c>
      <c r="B2380" t="s">
        <v>6014</v>
      </c>
      <c r="C2380">
        <v>1</v>
      </c>
      <c r="D2380" t="s">
        <v>7606</v>
      </c>
      <c r="F2380" t="s">
        <v>6015</v>
      </c>
      <c r="G2380" t="s">
        <v>6017</v>
      </c>
      <c r="H2380" t="s">
        <v>6016</v>
      </c>
      <c r="I2380" t="s">
        <v>13</v>
      </c>
      <c r="J2380" t="s">
        <v>7682</v>
      </c>
      <c r="K2380" t="s">
        <v>7826</v>
      </c>
      <c r="L2380" t="s">
        <v>7826</v>
      </c>
      <c r="N2380" t="str" cm="1">
        <f t="array" ref="N2380">IFERROR(LOOKUP(2,1/SEARCH($S$2:$S$65,G2380),$T$2:$T$65),"Misc")</f>
        <v>OH P/N</v>
      </c>
      <c r="O2380" t="str" cm="1">
        <f t="array" ref="O2380">IFERROR(LOOKUP(2,1/SEARCH($V$2:$V$65,G2380),$W$2:$W$65),"Misc")</f>
        <v>OH Part</v>
      </c>
      <c r="P2380" t="str" cm="1">
        <f t="array" ref="P2380">IFERROR(LOOKUP(2,1/SEARCH($Y$2:$Y$65,G2380),$Z$2:$Z$65),"Not Defined")</f>
        <v>OH Part</v>
      </c>
      <c r="Q2380" t="str" cm="1">
        <f t="array" ref="Q2380">IFERROR(LOOKUP(2,1/SEARCH($S$2:$S$65,H2380),$T$2:$T$65),"-")</f>
        <v>COTS</v>
      </c>
    </row>
    <row r="2381" spans="1:17" hidden="1" x14ac:dyDescent="0.25">
      <c r="A2381" t="s">
        <v>7676</v>
      </c>
      <c r="B2381" t="s">
        <v>6018</v>
      </c>
      <c r="C2381">
        <v>1</v>
      </c>
      <c r="D2381" t="s">
        <v>7606</v>
      </c>
      <c r="F2381" t="s">
        <v>6019</v>
      </c>
      <c r="G2381" t="s">
        <v>6020</v>
      </c>
      <c r="H2381" t="s">
        <v>4112</v>
      </c>
      <c r="I2381" t="s">
        <v>38</v>
      </c>
      <c r="J2381" t="s">
        <v>7682</v>
      </c>
      <c r="K2381" t="s">
        <v>7826</v>
      </c>
      <c r="L2381" t="s">
        <v>7826</v>
      </c>
      <c r="N2381" t="str" cm="1">
        <f t="array" ref="N2381">IFERROR(LOOKUP(2,1/SEARCH($S$2:$S$65,G2381),$T$2:$T$65),"Misc")</f>
        <v>OH P/N</v>
      </c>
      <c r="O2381" t="str" cm="1">
        <f t="array" ref="O2381">IFERROR(LOOKUP(2,1/SEARCH($V$2:$V$65,G2381),$W$2:$W$65),"Misc")</f>
        <v>OH Part</v>
      </c>
      <c r="P2381" t="str" cm="1">
        <f t="array" ref="P2381">IFERROR(LOOKUP(2,1/SEARCH($Y$2:$Y$65,G2381),$Z$2:$Z$65),"Not Defined")</f>
        <v>OH Part</v>
      </c>
      <c r="Q2381" t="str" cm="1">
        <f t="array" ref="Q2381">IFERROR(LOOKUP(2,1/SEARCH($S$2:$S$65,H2381),$T$2:$T$65),"-")</f>
        <v>-</v>
      </c>
    </row>
    <row r="2382" spans="1:17" hidden="1" x14ac:dyDescent="0.25">
      <c r="A2382" t="s">
        <v>7676</v>
      </c>
      <c r="B2382" t="s">
        <v>6021</v>
      </c>
      <c r="C2382">
        <v>1</v>
      </c>
      <c r="D2382" t="s">
        <v>7606</v>
      </c>
      <c r="F2382" t="s">
        <v>6022</v>
      </c>
      <c r="G2382" t="s">
        <v>6024</v>
      </c>
      <c r="H2382" t="s">
        <v>6023</v>
      </c>
      <c r="I2382" t="s">
        <v>13</v>
      </c>
      <c r="J2382" t="s">
        <v>7682</v>
      </c>
      <c r="K2382" t="s">
        <v>7826</v>
      </c>
      <c r="L2382" t="s">
        <v>7826</v>
      </c>
      <c r="N2382" t="str" cm="1">
        <f t="array" ref="N2382">IFERROR(LOOKUP(2,1/SEARCH($S$2:$S$65,G2382),$T$2:$T$65),"Misc")</f>
        <v>OH P/N</v>
      </c>
      <c r="O2382" t="str" cm="1">
        <f t="array" ref="O2382">IFERROR(LOOKUP(2,1/SEARCH($V$2:$V$65,G2382),$W$2:$W$65),"Misc")</f>
        <v>OH Part</v>
      </c>
      <c r="P2382" t="str" cm="1">
        <f t="array" ref="P2382">IFERROR(LOOKUP(2,1/SEARCH($Y$2:$Y$65,G2382),$Z$2:$Z$65),"Not Defined")</f>
        <v>OH Part</v>
      </c>
      <c r="Q2382" t="str" cm="1">
        <f t="array" ref="Q2382">IFERROR(LOOKUP(2,1/SEARCH($S$2:$S$65,H2382),$T$2:$T$65),"-")</f>
        <v>COTS</v>
      </c>
    </row>
    <row r="2383" spans="1:17" hidden="1" x14ac:dyDescent="0.25">
      <c r="A2383" t="s">
        <v>7676</v>
      </c>
      <c r="B2383" t="s">
        <v>6025</v>
      </c>
      <c r="C2383">
        <v>1</v>
      </c>
      <c r="D2383" t="s">
        <v>7606</v>
      </c>
      <c r="F2383" t="s">
        <v>6026</v>
      </c>
      <c r="G2383" t="s">
        <v>6027</v>
      </c>
      <c r="H2383" t="s">
        <v>4120</v>
      </c>
      <c r="I2383" t="s">
        <v>38</v>
      </c>
      <c r="J2383" t="s">
        <v>7682</v>
      </c>
      <c r="K2383" t="s">
        <v>7826</v>
      </c>
      <c r="L2383" t="s">
        <v>7826</v>
      </c>
      <c r="N2383" t="str" cm="1">
        <f t="array" ref="N2383">IFERROR(LOOKUP(2,1/SEARCH($S$2:$S$65,G2383),$T$2:$T$65),"Misc")</f>
        <v>OH P/N</v>
      </c>
      <c r="O2383" t="str" cm="1">
        <f t="array" ref="O2383">IFERROR(LOOKUP(2,1/SEARCH($V$2:$V$65,G2383),$W$2:$W$65),"Misc")</f>
        <v>OH Part</v>
      </c>
      <c r="P2383" t="str" cm="1">
        <f t="array" ref="P2383">IFERROR(LOOKUP(2,1/SEARCH($Y$2:$Y$65,G2383),$Z$2:$Z$65),"Not Defined")</f>
        <v>OH Part</v>
      </c>
      <c r="Q2383" t="str" cm="1">
        <f t="array" ref="Q2383">IFERROR(LOOKUP(2,1/SEARCH($S$2:$S$65,H2383),$T$2:$T$65),"-")</f>
        <v>-</v>
      </c>
    </row>
    <row r="2384" spans="1:17" hidden="1" x14ac:dyDescent="0.25">
      <c r="A2384" t="s">
        <v>7676</v>
      </c>
      <c r="B2384" t="s">
        <v>6028</v>
      </c>
      <c r="C2384">
        <v>5</v>
      </c>
      <c r="D2384" t="s">
        <v>7606</v>
      </c>
      <c r="F2384" t="s">
        <v>6029</v>
      </c>
      <c r="G2384" t="s">
        <v>6031</v>
      </c>
      <c r="H2384" t="s">
        <v>6030</v>
      </c>
      <c r="I2384" t="s">
        <v>13</v>
      </c>
      <c r="J2384" t="s">
        <v>7682</v>
      </c>
      <c r="K2384" t="s">
        <v>7826</v>
      </c>
      <c r="L2384" t="s">
        <v>7826</v>
      </c>
      <c r="N2384" t="str" cm="1">
        <f t="array" ref="N2384">IFERROR(LOOKUP(2,1/SEARCH($S$2:$S$65,G2384),$T$2:$T$65),"Misc")</f>
        <v>OH P/N</v>
      </c>
      <c r="O2384" t="str" cm="1">
        <f t="array" ref="O2384">IFERROR(LOOKUP(2,1/SEARCH($V$2:$V$65,G2384),$W$2:$W$65),"Misc")</f>
        <v>OH Part</v>
      </c>
      <c r="P2384" t="str" cm="1">
        <f t="array" ref="P2384">IFERROR(LOOKUP(2,1/SEARCH($Y$2:$Y$65,G2384),$Z$2:$Z$65),"Not Defined")</f>
        <v>OH Part</v>
      </c>
      <c r="Q2384" t="str" cm="1">
        <f t="array" ref="Q2384">IFERROR(LOOKUP(2,1/SEARCH($S$2:$S$65,H2384),$T$2:$T$65),"-")</f>
        <v>COTS</v>
      </c>
    </row>
    <row r="2385" spans="1:17" hidden="1" x14ac:dyDescent="0.25">
      <c r="A2385" t="s">
        <v>7676</v>
      </c>
      <c r="B2385" t="s">
        <v>6032</v>
      </c>
      <c r="C2385">
        <v>4</v>
      </c>
      <c r="D2385" t="s">
        <v>7606</v>
      </c>
      <c r="F2385" t="s">
        <v>6033</v>
      </c>
      <c r="G2385" t="s">
        <v>6035</v>
      </c>
      <c r="H2385" t="s">
        <v>6034</v>
      </c>
      <c r="I2385" t="s">
        <v>13</v>
      </c>
      <c r="J2385" t="s">
        <v>7682</v>
      </c>
      <c r="K2385" t="s">
        <v>7826</v>
      </c>
      <c r="L2385" t="s">
        <v>7826</v>
      </c>
      <c r="N2385" t="str" cm="1">
        <f t="array" ref="N2385">IFERROR(LOOKUP(2,1/SEARCH($S$2:$S$65,G2385),$T$2:$T$65),"Misc")</f>
        <v>OH P/N</v>
      </c>
      <c r="O2385" t="str" cm="1">
        <f t="array" ref="O2385">IFERROR(LOOKUP(2,1/SEARCH($V$2:$V$65,G2385),$W$2:$W$65),"Misc")</f>
        <v>OH Part</v>
      </c>
      <c r="P2385" t="str" cm="1">
        <f t="array" ref="P2385">IFERROR(LOOKUP(2,1/SEARCH($Y$2:$Y$65,G2385),$Z$2:$Z$65),"Not Defined")</f>
        <v>OH Part</v>
      </c>
      <c r="Q2385" t="str" cm="1">
        <f t="array" ref="Q2385">IFERROR(LOOKUP(2,1/SEARCH($S$2:$S$65,H2385),$T$2:$T$65),"-")</f>
        <v>COTS</v>
      </c>
    </row>
    <row r="2386" spans="1:17" hidden="1" x14ac:dyDescent="0.25">
      <c r="A2386" t="s">
        <v>7676</v>
      </c>
      <c r="B2386" t="s">
        <v>6036</v>
      </c>
      <c r="C2386">
        <v>1</v>
      </c>
      <c r="D2386" t="s">
        <v>7606</v>
      </c>
      <c r="F2386" t="s">
        <v>6037</v>
      </c>
      <c r="G2386" t="s">
        <v>6039</v>
      </c>
      <c r="H2386" t="s">
        <v>6038</v>
      </c>
      <c r="I2386" t="s">
        <v>13</v>
      </c>
      <c r="J2386" t="s">
        <v>7682</v>
      </c>
      <c r="K2386" t="s">
        <v>7826</v>
      </c>
      <c r="L2386" t="s">
        <v>7826</v>
      </c>
      <c r="N2386" t="str" cm="1">
        <f t="array" ref="N2386">IFERROR(LOOKUP(2,1/SEARCH($S$2:$S$65,G2386),$T$2:$T$65),"Misc")</f>
        <v>OH P/N</v>
      </c>
      <c r="O2386" t="str" cm="1">
        <f t="array" ref="O2386">IFERROR(LOOKUP(2,1/SEARCH($V$2:$V$65,G2386),$W$2:$W$65),"Misc")</f>
        <v>OH Part</v>
      </c>
      <c r="P2386" t="str" cm="1">
        <f t="array" ref="P2386">IFERROR(LOOKUP(2,1/SEARCH($Y$2:$Y$65,G2386),$Z$2:$Z$65),"Not Defined")</f>
        <v>OH Part</v>
      </c>
      <c r="Q2386" t="str" cm="1">
        <f t="array" ref="Q2386">IFERROR(LOOKUP(2,1/SEARCH($S$2:$S$65,H2386),$T$2:$T$65),"-")</f>
        <v>COTS</v>
      </c>
    </row>
    <row r="2387" spans="1:17" hidden="1" x14ac:dyDescent="0.25">
      <c r="A2387" t="s">
        <v>7676</v>
      </c>
      <c r="B2387" t="s">
        <v>6040</v>
      </c>
      <c r="C2387">
        <v>1</v>
      </c>
      <c r="D2387" t="s">
        <v>7606</v>
      </c>
      <c r="F2387" t="s">
        <v>6041</v>
      </c>
      <c r="G2387" t="s">
        <v>6043</v>
      </c>
      <c r="H2387" t="s">
        <v>6042</v>
      </c>
      <c r="I2387" t="s">
        <v>38</v>
      </c>
      <c r="J2387" t="s">
        <v>7682</v>
      </c>
      <c r="K2387" t="s">
        <v>7826</v>
      </c>
      <c r="L2387" t="s">
        <v>7826</v>
      </c>
      <c r="N2387" t="str" cm="1">
        <f t="array" ref="N2387">IFERROR(LOOKUP(2,1/SEARCH($S$2:$S$65,G2387),$T$2:$T$65),"Misc")</f>
        <v>OH P/N</v>
      </c>
      <c r="O2387" t="str" cm="1">
        <f t="array" ref="O2387">IFERROR(LOOKUP(2,1/SEARCH($V$2:$V$65,G2387),$W$2:$W$65),"Misc")</f>
        <v>OH Part</v>
      </c>
      <c r="P2387" t="str" cm="1">
        <f t="array" ref="P2387">IFERROR(LOOKUP(2,1/SEARCH($Y$2:$Y$65,G2387),$Z$2:$Z$65),"Not Defined")</f>
        <v>OH Part</v>
      </c>
      <c r="Q2387" t="str" cm="1">
        <f t="array" ref="Q2387">IFERROR(LOOKUP(2,1/SEARCH($S$2:$S$65,H2387),$T$2:$T$65),"-")</f>
        <v>-</v>
      </c>
    </row>
    <row r="2388" spans="1:17" hidden="1" x14ac:dyDescent="0.25">
      <c r="A2388" t="s">
        <v>7676</v>
      </c>
      <c r="B2388" t="s">
        <v>6044</v>
      </c>
      <c r="C2388">
        <v>1</v>
      </c>
      <c r="D2388" t="s">
        <v>7606</v>
      </c>
      <c r="F2388" t="s">
        <v>6045</v>
      </c>
      <c r="G2388" t="s">
        <v>6047</v>
      </c>
      <c r="H2388" t="s">
        <v>6046</v>
      </c>
      <c r="I2388" t="s">
        <v>38</v>
      </c>
      <c r="J2388" t="s">
        <v>7682</v>
      </c>
      <c r="K2388" t="s">
        <v>7826</v>
      </c>
      <c r="L2388" t="s">
        <v>7826</v>
      </c>
      <c r="N2388" t="str" cm="1">
        <f t="array" ref="N2388">IFERROR(LOOKUP(2,1/SEARCH($S$2:$S$65,G2388),$T$2:$T$65),"Misc")</f>
        <v>OH P/N</v>
      </c>
      <c r="O2388" t="str" cm="1">
        <f t="array" ref="O2388">IFERROR(LOOKUP(2,1/SEARCH($V$2:$V$65,G2388),$W$2:$W$65),"Misc")</f>
        <v>OH Part</v>
      </c>
      <c r="P2388" t="str" cm="1">
        <f t="array" ref="P2388">IFERROR(LOOKUP(2,1/SEARCH($Y$2:$Y$65,G2388),$Z$2:$Z$65),"Not Defined")</f>
        <v>OH Part</v>
      </c>
      <c r="Q2388" t="str" cm="1">
        <f t="array" ref="Q2388">IFERROR(LOOKUP(2,1/SEARCH($S$2:$S$65,H2388),$T$2:$T$65),"-")</f>
        <v>-</v>
      </c>
    </row>
    <row r="2389" spans="1:17" hidden="1" x14ac:dyDescent="0.25">
      <c r="A2389" t="s">
        <v>7676</v>
      </c>
      <c r="B2389" t="s">
        <v>6048</v>
      </c>
      <c r="C2389">
        <v>1</v>
      </c>
      <c r="D2389" t="s">
        <v>7606</v>
      </c>
      <c r="F2389" t="s">
        <v>6049</v>
      </c>
      <c r="G2389" t="s">
        <v>6051</v>
      </c>
      <c r="H2389" t="s">
        <v>6050</v>
      </c>
      <c r="I2389" t="s">
        <v>38</v>
      </c>
      <c r="J2389" t="s">
        <v>7682</v>
      </c>
      <c r="K2389" t="s">
        <v>7826</v>
      </c>
      <c r="L2389" t="s">
        <v>7826</v>
      </c>
      <c r="N2389" t="str" cm="1">
        <f t="array" ref="N2389">IFERROR(LOOKUP(2,1/SEARCH($S$2:$S$65,G2389),$T$2:$T$65),"Misc")</f>
        <v>OH P/N</v>
      </c>
      <c r="O2389" t="str" cm="1">
        <f t="array" ref="O2389">IFERROR(LOOKUP(2,1/SEARCH($V$2:$V$65,G2389),$W$2:$W$65),"Misc")</f>
        <v>OH Part</v>
      </c>
      <c r="P2389" t="str" cm="1">
        <f t="array" ref="P2389">IFERROR(LOOKUP(2,1/SEARCH($Y$2:$Y$65,G2389),$Z$2:$Z$65),"Not Defined")</f>
        <v>OH Part</v>
      </c>
      <c r="Q2389" t="str" cm="1">
        <f t="array" ref="Q2389">IFERROR(LOOKUP(2,1/SEARCH($S$2:$S$65,H2389),$T$2:$T$65),"-")</f>
        <v>-</v>
      </c>
    </row>
    <row r="2390" spans="1:17" hidden="1" x14ac:dyDescent="0.25">
      <c r="A2390" t="s">
        <v>7676</v>
      </c>
      <c r="B2390" t="s">
        <v>6052</v>
      </c>
      <c r="C2390">
        <v>1</v>
      </c>
      <c r="D2390" t="s">
        <v>7606</v>
      </c>
      <c r="F2390" t="s">
        <v>6053</v>
      </c>
      <c r="G2390" t="s">
        <v>6055</v>
      </c>
      <c r="H2390" t="s">
        <v>6054</v>
      </c>
      <c r="I2390" t="s">
        <v>38</v>
      </c>
      <c r="J2390" t="s">
        <v>7682</v>
      </c>
      <c r="K2390" t="s">
        <v>7826</v>
      </c>
      <c r="L2390" t="s">
        <v>7826</v>
      </c>
      <c r="N2390" t="str" cm="1">
        <f t="array" ref="N2390">IFERROR(LOOKUP(2,1/SEARCH($S$2:$S$65,G2390),$T$2:$T$65),"Misc")</f>
        <v>OH P/N</v>
      </c>
      <c r="O2390" t="str" cm="1">
        <f t="array" ref="O2390">IFERROR(LOOKUP(2,1/SEARCH($V$2:$V$65,G2390),$W$2:$W$65),"Misc")</f>
        <v>OH Part</v>
      </c>
      <c r="P2390" t="str" cm="1">
        <f t="array" ref="P2390">IFERROR(LOOKUP(2,1/SEARCH($Y$2:$Y$65,G2390),$Z$2:$Z$65),"Not Defined")</f>
        <v>OH Part</v>
      </c>
      <c r="Q2390" t="str" cm="1">
        <f t="array" ref="Q2390">IFERROR(LOOKUP(2,1/SEARCH($S$2:$S$65,H2390),$T$2:$T$65),"-")</f>
        <v>-</v>
      </c>
    </row>
    <row r="2391" spans="1:17" hidden="1" x14ac:dyDescent="0.25">
      <c r="A2391" t="s">
        <v>7676</v>
      </c>
      <c r="B2391" t="s">
        <v>6056</v>
      </c>
      <c r="C2391">
        <v>1</v>
      </c>
      <c r="D2391" t="s">
        <v>7606</v>
      </c>
      <c r="F2391" t="s">
        <v>6057</v>
      </c>
      <c r="G2391" t="s">
        <v>6059</v>
      </c>
      <c r="H2391" t="s">
        <v>6058</v>
      </c>
      <c r="I2391" t="s">
        <v>38</v>
      </c>
      <c r="J2391" t="s">
        <v>7682</v>
      </c>
      <c r="K2391" t="s">
        <v>7826</v>
      </c>
      <c r="L2391" t="s">
        <v>7826</v>
      </c>
      <c r="N2391" t="str" cm="1">
        <f t="array" ref="N2391">IFERROR(LOOKUP(2,1/SEARCH($S$2:$S$65,G2391),$T$2:$T$65),"Misc")</f>
        <v>OH P/N</v>
      </c>
      <c r="O2391" t="str" cm="1">
        <f t="array" ref="O2391">IFERROR(LOOKUP(2,1/SEARCH($V$2:$V$65,G2391),$W$2:$W$65),"Misc")</f>
        <v>OH Part</v>
      </c>
      <c r="P2391" t="str" cm="1">
        <f t="array" ref="P2391">IFERROR(LOOKUP(2,1/SEARCH($Y$2:$Y$65,G2391),$Z$2:$Z$65),"Not Defined")</f>
        <v>OH Part</v>
      </c>
      <c r="Q2391" t="str" cm="1">
        <f t="array" ref="Q2391">IFERROR(LOOKUP(2,1/SEARCH($S$2:$S$65,H2391),$T$2:$T$65),"-")</f>
        <v>-</v>
      </c>
    </row>
    <row r="2392" spans="1:17" hidden="1" x14ac:dyDescent="0.25">
      <c r="A2392" t="s">
        <v>7676</v>
      </c>
      <c r="B2392" t="s">
        <v>6060</v>
      </c>
      <c r="C2392">
        <v>2</v>
      </c>
      <c r="D2392" t="s">
        <v>7606</v>
      </c>
      <c r="F2392" t="s">
        <v>6061</v>
      </c>
      <c r="G2392" t="s">
        <v>6062</v>
      </c>
      <c r="H2392" t="s">
        <v>4160</v>
      </c>
      <c r="I2392" t="s">
        <v>38</v>
      </c>
      <c r="J2392" t="s">
        <v>7682</v>
      </c>
      <c r="K2392" t="s">
        <v>7826</v>
      </c>
      <c r="L2392" t="s">
        <v>7826</v>
      </c>
      <c r="N2392" t="str" cm="1">
        <f t="array" ref="N2392">IFERROR(LOOKUP(2,1/SEARCH($S$2:$S$65,G2392),$T$2:$T$65),"Misc")</f>
        <v>OH P/N</v>
      </c>
      <c r="O2392" t="str" cm="1">
        <f t="array" ref="O2392">IFERROR(LOOKUP(2,1/SEARCH($V$2:$V$65,G2392),$W$2:$W$65),"Misc")</f>
        <v>OH Part</v>
      </c>
      <c r="P2392" t="str" cm="1">
        <f t="array" ref="P2392">IFERROR(LOOKUP(2,1/SEARCH($Y$2:$Y$65,G2392),$Z$2:$Z$65),"Not Defined")</f>
        <v>OH Part</v>
      </c>
      <c r="Q2392" t="str" cm="1">
        <f t="array" ref="Q2392">IFERROR(LOOKUP(2,1/SEARCH($S$2:$S$65,H2392),$T$2:$T$65),"-")</f>
        <v>-</v>
      </c>
    </row>
    <row r="2393" spans="1:17" hidden="1" x14ac:dyDescent="0.25">
      <c r="A2393" t="s">
        <v>7676</v>
      </c>
      <c r="B2393" t="s">
        <v>6063</v>
      </c>
      <c r="C2393">
        <v>2</v>
      </c>
      <c r="D2393" t="s">
        <v>7606</v>
      </c>
      <c r="F2393" t="s">
        <v>6064</v>
      </c>
      <c r="G2393" t="s">
        <v>6065</v>
      </c>
      <c r="H2393" t="s">
        <v>4164</v>
      </c>
      <c r="I2393" t="s">
        <v>38</v>
      </c>
      <c r="J2393" t="s">
        <v>7682</v>
      </c>
      <c r="K2393" t="s">
        <v>7826</v>
      </c>
      <c r="L2393" t="s">
        <v>7826</v>
      </c>
      <c r="N2393" t="str" cm="1">
        <f t="array" ref="N2393">IFERROR(LOOKUP(2,1/SEARCH($S$2:$S$65,G2393),$T$2:$T$65),"Misc")</f>
        <v>OH P/N</v>
      </c>
      <c r="O2393" t="str" cm="1">
        <f t="array" ref="O2393">IFERROR(LOOKUP(2,1/SEARCH($V$2:$V$65,G2393),$W$2:$W$65),"Misc")</f>
        <v>OH Part</v>
      </c>
      <c r="P2393" t="str" cm="1">
        <f t="array" ref="P2393">IFERROR(LOOKUP(2,1/SEARCH($Y$2:$Y$65,G2393),$Z$2:$Z$65),"Not Defined")</f>
        <v>OH Part</v>
      </c>
      <c r="Q2393" t="str" cm="1">
        <f t="array" ref="Q2393">IFERROR(LOOKUP(2,1/SEARCH($S$2:$S$65,H2393),$T$2:$T$65),"-")</f>
        <v>-</v>
      </c>
    </row>
    <row r="2394" spans="1:17" hidden="1" x14ac:dyDescent="0.25">
      <c r="A2394" t="s">
        <v>7676</v>
      </c>
      <c r="B2394" t="s">
        <v>6066</v>
      </c>
      <c r="C2394">
        <v>2</v>
      </c>
      <c r="D2394" t="s">
        <v>7606</v>
      </c>
      <c r="F2394" t="s">
        <v>6067</v>
      </c>
      <c r="G2394" t="s">
        <v>6068</v>
      </c>
      <c r="H2394" t="s">
        <v>4168</v>
      </c>
      <c r="I2394" t="s">
        <v>38</v>
      </c>
      <c r="J2394" t="s">
        <v>7682</v>
      </c>
      <c r="K2394" t="s">
        <v>7826</v>
      </c>
      <c r="L2394" t="s">
        <v>7826</v>
      </c>
      <c r="N2394" t="str" cm="1">
        <f t="array" ref="N2394">IFERROR(LOOKUP(2,1/SEARCH($S$2:$S$65,G2394),$T$2:$T$65),"Misc")</f>
        <v>OH P/N</v>
      </c>
      <c r="O2394" t="str" cm="1">
        <f t="array" ref="O2394">IFERROR(LOOKUP(2,1/SEARCH($V$2:$V$65,G2394),$W$2:$W$65),"Misc")</f>
        <v>OH Part</v>
      </c>
      <c r="P2394" t="str" cm="1">
        <f t="array" ref="P2394">IFERROR(LOOKUP(2,1/SEARCH($Y$2:$Y$65,G2394),$Z$2:$Z$65),"Not Defined")</f>
        <v>OH Part</v>
      </c>
      <c r="Q2394" t="str" cm="1">
        <f t="array" ref="Q2394">IFERROR(LOOKUP(2,1/SEARCH($S$2:$S$65,H2394),$T$2:$T$65),"-")</f>
        <v>-</v>
      </c>
    </row>
    <row r="2395" spans="1:17" hidden="1" x14ac:dyDescent="0.25">
      <c r="A2395" t="s">
        <v>7676</v>
      </c>
      <c r="B2395" t="s">
        <v>6069</v>
      </c>
      <c r="C2395">
        <v>2</v>
      </c>
      <c r="D2395" t="s">
        <v>7606</v>
      </c>
      <c r="F2395" t="s">
        <v>6070</v>
      </c>
      <c r="G2395" t="s">
        <v>6071</v>
      </c>
      <c r="H2395" t="s">
        <v>4172</v>
      </c>
      <c r="I2395" t="s">
        <v>38</v>
      </c>
      <c r="J2395" t="s">
        <v>7682</v>
      </c>
      <c r="K2395" t="s">
        <v>7826</v>
      </c>
      <c r="L2395" t="s">
        <v>7826</v>
      </c>
      <c r="N2395" t="str" cm="1">
        <f t="array" ref="N2395">IFERROR(LOOKUP(2,1/SEARCH($S$2:$S$65,G2395),$T$2:$T$65),"Misc")</f>
        <v>OH P/N</v>
      </c>
      <c r="O2395" t="str" cm="1">
        <f t="array" ref="O2395">IFERROR(LOOKUP(2,1/SEARCH($V$2:$V$65,G2395),$W$2:$W$65),"Misc")</f>
        <v>OH Part</v>
      </c>
      <c r="P2395" t="str" cm="1">
        <f t="array" ref="P2395">IFERROR(LOOKUP(2,1/SEARCH($Y$2:$Y$65,G2395),$Z$2:$Z$65),"Not Defined")</f>
        <v>OH Part</v>
      </c>
      <c r="Q2395" t="str" cm="1">
        <f t="array" ref="Q2395">IFERROR(LOOKUP(2,1/SEARCH($S$2:$S$65,H2395),$T$2:$T$65),"-")</f>
        <v>-</v>
      </c>
    </row>
    <row r="2396" spans="1:17" hidden="1" x14ac:dyDescent="0.25">
      <c r="A2396" t="s">
        <v>7676</v>
      </c>
      <c r="B2396" t="s">
        <v>6072</v>
      </c>
      <c r="C2396">
        <v>2</v>
      </c>
      <c r="D2396" t="s">
        <v>7606</v>
      </c>
      <c r="F2396" t="s">
        <v>6073</v>
      </c>
      <c r="G2396" t="s">
        <v>6074</v>
      </c>
      <c r="H2396" t="s">
        <v>4176</v>
      </c>
      <c r="I2396" t="s">
        <v>38</v>
      </c>
      <c r="J2396" t="s">
        <v>7682</v>
      </c>
      <c r="K2396" t="s">
        <v>7826</v>
      </c>
      <c r="L2396" t="s">
        <v>7826</v>
      </c>
      <c r="N2396" t="str" cm="1">
        <f t="array" ref="N2396">IFERROR(LOOKUP(2,1/SEARCH($S$2:$S$65,G2396),$T$2:$T$65),"Misc")</f>
        <v>OH P/N</v>
      </c>
      <c r="O2396" t="str" cm="1">
        <f t="array" ref="O2396">IFERROR(LOOKUP(2,1/SEARCH($V$2:$V$65,G2396),$W$2:$W$65),"Misc")</f>
        <v>OH Part</v>
      </c>
      <c r="P2396" t="str" cm="1">
        <f t="array" ref="P2396">IFERROR(LOOKUP(2,1/SEARCH($Y$2:$Y$65,G2396),$Z$2:$Z$65),"Not Defined")</f>
        <v>OH Part</v>
      </c>
      <c r="Q2396" t="str" cm="1">
        <f t="array" ref="Q2396">IFERROR(LOOKUP(2,1/SEARCH($S$2:$S$65,H2396),$T$2:$T$65),"-")</f>
        <v>-</v>
      </c>
    </row>
    <row r="2397" spans="1:17" hidden="1" x14ac:dyDescent="0.25">
      <c r="A2397" t="s">
        <v>7676</v>
      </c>
      <c r="B2397" t="s">
        <v>6075</v>
      </c>
      <c r="C2397">
        <v>1</v>
      </c>
      <c r="D2397" t="s">
        <v>7606</v>
      </c>
      <c r="F2397" t="s">
        <v>6076</v>
      </c>
      <c r="G2397" t="s">
        <v>6078</v>
      </c>
      <c r="H2397" t="s">
        <v>6077</v>
      </c>
      <c r="I2397" t="s">
        <v>299</v>
      </c>
      <c r="J2397" t="s">
        <v>7682</v>
      </c>
      <c r="K2397" t="s">
        <v>7826</v>
      </c>
      <c r="L2397" t="s">
        <v>7826</v>
      </c>
      <c r="N2397" t="str" cm="1">
        <f t="array" ref="N2397">IFERROR(LOOKUP(2,1/SEARCH($S$2:$S$65,G2397),$T$2:$T$65),"Misc")</f>
        <v>OH P/N</v>
      </c>
      <c r="O2397" t="str" cm="1">
        <f t="array" ref="O2397">IFERROR(LOOKUP(2,1/SEARCH($V$2:$V$65,G2397),$W$2:$W$65),"Misc")</f>
        <v>OH Part</v>
      </c>
      <c r="P2397" t="str" cm="1">
        <f t="array" ref="P2397">IFERROR(LOOKUP(2,1/SEARCH($Y$2:$Y$65,G2397),$Z$2:$Z$65),"Not Defined")</f>
        <v>OH Part</v>
      </c>
      <c r="Q2397" t="str" cm="1">
        <f t="array" ref="Q2397">IFERROR(LOOKUP(2,1/SEARCH($S$2:$S$65,H2397),$T$2:$T$65),"-")</f>
        <v>-</v>
      </c>
    </row>
    <row r="2398" spans="1:17" hidden="1" x14ac:dyDescent="0.25">
      <c r="A2398" t="s">
        <v>7676</v>
      </c>
      <c r="B2398" t="s">
        <v>6079</v>
      </c>
      <c r="C2398">
        <v>1</v>
      </c>
      <c r="D2398" t="s">
        <v>7606</v>
      </c>
      <c r="F2398" t="s">
        <v>6080</v>
      </c>
      <c r="G2398" t="s">
        <v>6082</v>
      </c>
      <c r="H2398" t="s">
        <v>6081</v>
      </c>
      <c r="I2398" t="s">
        <v>13</v>
      </c>
      <c r="J2398" t="s">
        <v>7682</v>
      </c>
      <c r="K2398" t="s">
        <v>7826</v>
      </c>
      <c r="L2398" t="s">
        <v>7826</v>
      </c>
      <c r="N2398" t="str" cm="1">
        <f t="array" ref="N2398">IFERROR(LOOKUP(2,1/SEARCH($S$2:$S$65,G2398),$T$2:$T$65),"Misc")</f>
        <v>OH P/N</v>
      </c>
      <c r="O2398" t="str" cm="1">
        <f t="array" ref="O2398">IFERROR(LOOKUP(2,1/SEARCH($V$2:$V$65,G2398),$W$2:$W$65),"Misc")</f>
        <v>OH Part</v>
      </c>
      <c r="P2398" t="str" cm="1">
        <f t="array" ref="P2398">IFERROR(LOOKUP(2,1/SEARCH($Y$2:$Y$65,G2398),$Z$2:$Z$65),"Not Defined")</f>
        <v>OH Part</v>
      </c>
      <c r="Q2398" t="str" cm="1">
        <f t="array" ref="Q2398">IFERROR(LOOKUP(2,1/SEARCH($S$2:$S$65,H2398),$T$2:$T$65),"-")</f>
        <v>-</v>
      </c>
    </row>
    <row r="2399" spans="1:17" hidden="1" x14ac:dyDescent="0.25">
      <c r="A2399" t="s">
        <v>7676</v>
      </c>
      <c r="B2399" t="s">
        <v>6083</v>
      </c>
      <c r="C2399">
        <v>1</v>
      </c>
      <c r="D2399" t="s">
        <v>7606</v>
      </c>
      <c r="F2399" t="s">
        <v>6084</v>
      </c>
      <c r="G2399" t="s">
        <v>6086</v>
      </c>
      <c r="H2399" t="s">
        <v>6085</v>
      </c>
      <c r="I2399" t="s">
        <v>13</v>
      </c>
      <c r="J2399" t="s">
        <v>7682</v>
      </c>
      <c r="K2399" t="s">
        <v>7826</v>
      </c>
      <c r="L2399" t="s">
        <v>7826</v>
      </c>
      <c r="N2399" t="str" cm="1">
        <f t="array" ref="N2399">IFERROR(LOOKUP(2,1/SEARCH($S$2:$S$65,G2399),$T$2:$T$65),"Misc")</f>
        <v>OH P/N</v>
      </c>
      <c r="O2399" t="str" cm="1">
        <f t="array" ref="O2399">IFERROR(LOOKUP(2,1/SEARCH($V$2:$V$65,G2399),$W$2:$W$65),"Misc")</f>
        <v>OH Part</v>
      </c>
      <c r="P2399" t="str" cm="1">
        <f t="array" ref="P2399">IFERROR(LOOKUP(2,1/SEARCH($Y$2:$Y$65,G2399),$Z$2:$Z$65),"Not Defined")</f>
        <v>OH Part</v>
      </c>
      <c r="Q2399" t="str" cm="1">
        <f t="array" ref="Q2399">IFERROR(LOOKUP(2,1/SEARCH($S$2:$S$65,H2399),$T$2:$T$65),"-")</f>
        <v>COTS</v>
      </c>
    </row>
    <row r="2400" spans="1:17" hidden="1" x14ac:dyDescent="0.25">
      <c r="A2400" t="s">
        <v>7676</v>
      </c>
      <c r="B2400" t="s">
        <v>6087</v>
      </c>
      <c r="C2400">
        <v>1</v>
      </c>
      <c r="D2400" t="s">
        <v>7606</v>
      </c>
      <c r="F2400" t="s">
        <v>6088</v>
      </c>
      <c r="G2400" t="s">
        <v>6090</v>
      </c>
      <c r="H2400" t="s">
        <v>6089</v>
      </c>
      <c r="I2400" t="s">
        <v>13</v>
      </c>
      <c r="J2400" t="s">
        <v>7682</v>
      </c>
      <c r="K2400" t="s">
        <v>7826</v>
      </c>
      <c r="L2400" t="s">
        <v>7826</v>
      </c>
      <c r="N2400" t="str" cm="1">
        <f t="array" ref="N2400">IFERROR(LOOKUP(2,1/SEARCH($S$2:$S$65,G2400),$T$2:$T$65),"Misc")</f>
        <v>OH P/N</v>
      </c>
      <c r="O2400" t="str" cm="1">
        <f t="array" ref="O2400">IFERROR(LOOKUP(2,1/SEARCH($V$2:$V$65,G2400),$W$2:$W$65),"Misc")</f>
        <v>OH Part</v>
      </c>
      <c r="P2400" t="str" cm="1">
        <f t="array" ref="P2400">IFERROR(LOOKUP(2,1/SEARCH($Y$2:$Y$65,G2400),$Z$2:$Z$65),"Not Defined")</f>
        <v>OH Part</v>
      </c>
      <c r="Q2400" t="str" cm="1">
        <f t="array" ref="Q2400">IFERROR(LOOKUP(2,1/SEARCH($S$2:$S$65,H2400),$T$2:$T$65),"-")</f>
        <v>COTS</v>
      </c>
    </row>
    <row r="2401" spans="1:17" hidden="1" x14ac:dyDescent="0.25">
      <c r="A2401" t="s">
        <v>7676</v>
      </c>
      <c r="B2401" t="s">
        <v>6091</v>
      </c>
      <c r="C2401">
        <v>1</v>
      </c>
      <c r="D2401" t="s">
        <v>7606</v>
      </c>
      <c r="F2401" t="s">
        <v>6092</v>
      </c>
      <c r="G2401" t="s">
        <v>6094</v>
      </c>
      <c r="H2401" t="s">
        <v>6093</v>
      </c>
      <c r="I2401" t="s">
        <v>13</v>
      </c>
      <c r="J2401" t="s">
        <v>7682</v>
      </c>
      <c r="K2401" t="s">
        <v>7826</v>
      </c>
      <c r="L2401" t="s">
        <v>7826</v>
      </c>
      <c r="N2401" t="str" cm="1">
        <f t="array" ref="N2401">IFERROR(LOOKUP(2,1/SEARCH($S$2:$S$65,G2401),$T$2:$T$65),"Misc")</f>
        <v>OH P/N</v>
      </c>
      <c r="O2401" t="str" cm="1">
        <f t="array" ref="O2401">IFERROR(LOOKUP(2,1/SEARCH($V$2:$V$65,G2401),$W$2:$W$65),"Misc")</f>
        <v>OH Part</v>
      </c>
      <c r="P2401" t="str" cm="1">
        <f t="array" ref="P2401">IFERROR(LOOKUP(2,1/SEARCH($Y$2:$Y$65,G2401),$Z$2:$Z$65),"Not Defined")</f>
        <v>OH Part</v>
      </c>
      <c r="Q2401" t="str" cm="1">
        <f t="array" ref="Q2401">IFERROR(LOOKUP(2,1/SEARCH($S$2:$S$65,H2401),$T$2:$T$65),"-")</f>
        <v>COTS</v>
      </c>
    </row>
    <row r="2402" spans="1:17" hidden="1" x14ac:dyDescent="0.25">
      <c r="A2402" t="s">
        <v>7676</v>
      </c>
      <c r="B2402" t="s">
        <v>6095</v>
      </c>
      <c r="C2402">
        <v>1</v>
      </c>
      <c r="D2402" t="s">
        <v>7606</v>
      </c>
      <c r="F2402" t="s">
        <v>6096</v>
      </c>
      <c r="G2402" t="s">
        <v>6098</v>
      </c>
      <c r="H2402" t="s">
        <v>6097</v>
      </c>
      <c r="I2402" t="s">
        <v>13</v>
      </c>
      <c r="J2402" t="s">
        <v>7682</v>
      </c>
      <c r="K2402" t="s">
        <v>7826</v>
      </c>
      <c r="L2402" t="s">
        <v>7826</v>
      </c>
      <c r="N2402" t="str" cm="1">
        <f t="array" ref="N2402">IFERROR(LOOKUP(2,1/SEARCH($S$2:$S$65,G2402),$T$2:$T$65),"Misc")</f>
        <v>OH P/N</v>
      </c>
      <c r="O2402" t="str" cm="1">
        <f t="array" ref="O2402">IFERROR(LOOKUP(2,1/SEARCH($V$2:$V$65,G2402),$W$2:$W$65),"Misc")</f>
        <v>OH Part</v>
      </c>
      <c r="P2402" t="str" cm="1">
        <f t="array" ref="P2402">IFERROR(LOOKUP(2,1/SEARCH($Y$2:$Y$65,G2402),$Z$2:$Z$65),"Not Defined")</f>
        <v>OH Part</v>
      </c>
      <c r="Q2402" t="str" cm="1">
        <f t="array" ref="Q2402">IFERROR(LOOKUP(2,1/SEARCH($S$2:$S$65,H2402),$T$2:$T$65),"-")</f>
        <v>COTS</v>
      </c>
    </row>
    <row r="2403" spans="1:17" hidden="1" x14ac:dyDescent="0.25">
      <c r="A2403" t="s">
        <v>7676</v>
      </c>
      <c r="B2403" t="s">
        <v>6099</v>
      </c>
      <c r="C2403">
        <v>1</v>
      </c>
      <c r="D2403" t="s">
        <v>7606</v>
      </c>
      <c r="F2403" t="s">
        <v>6100</v>
      </c>
      <c r="G2403" t="s">
        <v>6102</v>
      </c>
      <c r="H2403" t="s">
        <v>6101</v>
      </c>
      <c r="I2403" t="s">
        <v>13</v>
      </c>
      <c r="J2403" t="s">
        <v>7682</v>
      </c>
      <c r="K2403" t="s">
        <v>7826</v>
      </c>
      <c r="L2403" t="s">
        <v>7826</v>
      </c>
      <c r="N2403" t="str" cm="1">
        <f t="array" ref="N2403">IFERROR(LOOKUP(2,1/SEARCH($S$2:$S$65,G2403),$T$2:$T$65),"Misc")</f>
        <v>COTS</v>
      </c>
      <c r="O2403" t="str" cm="1">
        <f t="array" ref="O2403">IFERROR(LOOKUP(2,1/SEARCH($V$2:$V$65,G2403),$W$2:$W$65),"Misc")</f>
        <v>Misc</v>
      </c>
      <c r="P2403" t="str" cm="1">
        <f t="array" ref="P2403">IFERROR(LOOKUP(2,1/SEARCH($Y$2:$Y$65,G2403),$Z$2:$Z$65),"Not Defined")</f>
        <v>Misc</v>
      </c>
      <c r="Q2403" t="str" cm="1">
        <f t="array" ref="Q2403">IFERROR(LOOKUP(2,1/SEARCH($S$2:$S$65,H2403),$T$2:$T$65),"-")</f>
        <v>COTS</v>
      </c>
    </row>
    <row r="2404" spans="1:17" hidden="1" x14ac:dyDescent="0.25">
      <c r="A2404" t="s">
        <v>7676</v>
      </c>
      <c r="B2404" t="s">
        <v>6103</v>
      </c>
      <c r="C2404">
        <v>87</v>
      </c>
      <c r="D2404" t="s">
        <v>7606</v>
      </c>
      <c r="F2404" t="s">
        <v>208</v>
      </c>
      <c r="G2404" t="s">
        <v>7049</v>
      </c>
      <c r="H2404" t="s">
        <v>209</v>
      </c>
      <c r="I2404" t="s">
        <v>210</v>
      </c>
      <c r="J2404" t="s">
        <v>7703</v>
      </c>
      <c r="K2404" t="s">
        <v>7684</v>
      </c>
      <c r="L2404" t="s">
        <v>7738</v>
      </c>
      <c r="N2404" t="str" cm="1">
        <f t="array" ref="N2404">IFERROR(LOOKUP(2,1/SEARCH($S$2:$S$65,G2404),$T$2:$T$65),"Misc")</f>
        <v>COTS</v>
      </c>
      <c r="O2404" t="str" cm="1">
        <f t="array" ref="O2404">IFERROR(LOOKUP(2,1/SEARCH($V$2:$V$65,G2404),$W$2:$W$65),"Misc")</f>
        <v>Fasteners</v>
      </c>
      <c r="P2404" t="str" cm="1">
        <f t="array" ref="P2404">IFERROR(LOOKUP(2,1/SEARCH($Y$2:$Y$65,G2404),$Z$2:$Z$65),"Not Defined")</f>
        <v>FHWS</v>
      </c>
      <c r="Q2404" t="str" cm="1">
        <f t="array" ref="Q2404">IFERROR(LOOKUP(2,1/SEARCH($S$2:$S$65,H2404),$T$2:$T$65),"-")</f>
        <v>COTS</v>
      </c>
    </row>
    <row r="2405" spans="1:17" hidden="1" x14ac:dyDescent="0.25">
      <c r="A2405" t="s">
        <v>7676</v>
      </c>
      <c r="B2405" t="s">
        <v>6104</v>
      </c>
      <c r="C2405">
        <v>33</v>
      </c>
      <c r="D2405" t="s">
        <v>7606</v>
      </c>
      <c r="F2405" t="s">
        <v>216</v>
      </c>
      <c r="G2405" t="s">
        <v>7051</v>
      </c>
      <c r="H2405" t="s">
        <v>217</v>
      </c>
      <c r="I2405" t="s">
        <v>210</v>
      </c>
      <c r="J2405" t="s">
        <v>7703</v>
      </c>
      <c r="K2405" t="s">
        <v>7684</v>
      </c>
      <c r="L2405" t="s">
        <v>7691</v>
      </c>
      <c r="N2405" t="str" cm="1">
        <f t="array" ref="N2405">IFERROR(LOOKUP(2,1/SEARCH($S$2:$S$65,G2405),$T$2:$T$65),"Misc")</f>
        <v>COTS</v>
      </c>
      <c r="O2405" t="str" cm="1">
        <f t="array" ref="O2405">IFERROR(LOOKUP(2,1/SEARCH($V$2:$V$65,G2405),$W$2:$W$65),"Misc")</f>
        <v>Fasteners</v>
      </c>
      <c r="P2405" t="str" cm="1">
        <f t="array" ref="P2405">IFERROR(LOOKUP(2,1/SEARCH($Y$2:$Y$65,G2405),$Z$2:$Z$65),"Not Defined")</f>
        <v>FHS</v>
      </c>
      <c r="Q2405" t="str" cm="1">
        <f t="array" ref="Q2405">IFERROR(LOOKUP(2,1/SEARCH($S$2:$S$65,H2405),$T$2:$T$65),"-")</f>
        <v>COTS</v>
      </c>
    </row>
    <row r="2406" spans="1:17" hidden="1" x14ac:dyDescent="0.25">
      <c r="A2406" t="s">
        <v>7676</v>
      </c>
      <c r="B2406" t="s">
        <v>6105</v>
      </c>
      <c r="C2406">
        <v>35</v>
      </c>
      <c r="D2406" t="s">
        <v>7606</v>
      </c>
      <c r="F2406" t="s">
        <v>219</v>
      </c>
      <c r="G2406" t="s">
        <v>7052</v>
      </c>
      <c r="H2406" t="s">
        <v>220</v>
      </c>
      <c r="I2406" t="s">
        <v>210</v>
      </c>
      <c r="J2406" t="s">
        <v>7703</v>
      </c>
      <c r="K2406" t="s">
        <v>7684</v>
      </c>
      <c r="L2406" t="s">
        <v>7691</v>
      </c>
      <c r="N2406" t="str" cm="1">
        <f t="array" ref="N2406">IFERROR(LOOKUP(2,1/SEARCH($S$2:$S$65,G2406),$T$2:$T$65),"Misc")</f>
        <v>COTS</v>
      </c>
      <c r="O2406" t="str" cm="1">
        <f t="array" ref="O2406">IFERROR(LOOKUP(2,1/SEARCH($V$2:$V$65,G2406),$W$2:$W$65),"Misc")</f>
        <v>Fasteners</v>
      </c>
      <c r="P2406" t="str" cm="1">
        <f t="array" ref="P2406">IFERROR(LOOKUP(2,1/SEARCH($Y$2:$Y$65,G2406),$Z$2:$Z$65),"Not Defined")</f>
        <v>FHS</v>
      </c>
      <c r="Q2406" t="str" cm="1">
        <f t="array" ref="Q2406">IFERROR(LOOKUP(2,1/SEARCH($S$2:$S$65,H2406),$T$2:$T$65),"-")</f>
        <v>COTS</v>
      </c>
    </row>
    <row r="2407" spans="1:17" hidden="1" x14ac:dyDescent="0.25">
      <c r="A2407" t="s">
        <v>7676</v>
      </c>
      <c r="B2407" t="s">
        <v>6106</v>
      </c>
      <c r="C2407">
        <v>73</v>
      </c>
      <c r="D2407" t="s">
        <v>7606</v>
      </c>
      <c r="F2407" t="s">
        <v>230</v>
      </c>
      <c r="G2407" t="s">
        <v>7055</v>
      </c>
      <c r="H2407" t="s">
        <v>231</v>
      </c>
      <c r="I2407" t="s">
        <v>210</v>
      </c>
      <c r="J2407" t="s">
        <v>7703</v>
      </c>
      <c r="K2407" t="s">
        <v>7684</v>
      </c>
      <c r="L2407" t="s">
        <v>7692</v>
      </c>
      <c r="N2407" t="str" cm="1">
        <f t="array" ref="N2407">IFERROR(LOOKUP(2,1/SEARCH($S$2:$S$65,G2407),$T$2:$T$65),"Misc")</f>
        <v>COTS</v>
      </c>
      <c r="O2407" t="str" cm="1">
        <f t="array" ref="O2407">IFERROR(LOOKUP(2,1/SEARCH($V$2:$V$65,G2407),$W$2:$W$65),"Misc")</f>
        <v>Fasteners</v>
      </c>
      <c r="P2407" t="str" cm="1">
        <f t="array" ref="P2407">IFERROR(LOOKUP(2,1/SEARCH($Y$2:$Y$65,G2407),$Z$2:$Z$65),"Not Defined")</f>
        <v>WASHER</v>
      </c>
      <c r="Q2407" t="str" cm="1">
        <f t="array" ref="Q2407">IFERROR(LOOKUP(2,1/SEARCH($S$2:$S$65,H2407),$T$2:$T$65),"-")</f>
        <v>COTS</v>
      </c>
    </row>
    <row r="2408" spans="1:17" hidden="1" x14ac:dyDescent="0.25">
      <c r="A2408" t="s">
        <v>7676</v>
      </c>
      <c r="B2408" t="s">
        <v>6107</v>
      </c>
      <c r="C2408">
        <v>52</v>
      </c>
      <c r="D2408" t="s">
        <v>7606</v>
      </c>
      <c r="F2408" t="s">
        <v>233</v>
      </c>
      <c r="G2408" t="s">
        <v>7056</v>
      </c>
      <c r="H2408" t="s">
        <v>234</v>
      </c>
      <c r="I2408" t="s">
        <v>210</v>
      </c>
      <c r="J2408" t="s">
        <v>7703</v>
      </c>
      <c r="K2408" t="s">
        <v>7684</v>
      </c>
      <c r="L2408" t="s">
        <v>7693</v>
      </c>
      <c r="N2408" t="str" cm="1">
        <f t="array" ref="N2408">IFERROR(LOOKUP(2,1/SEARCH($S$2:$S$65,G2408),$T$2:$T$65),"Misc")</f>
        <v>COTS</v>
      </c>
      <c r="O2408" t="str" cm="1">
        <f t="array" ref="O2408">IFERROR(LOOKUP(2,1/SEARCH($V$2:$V$65,G2408),$W$2:$W$65),"Misc")</f>
        <v>Fasteners</v>
      </c>
      <c r="P2408" t="str" cm="1">
        <f t="array" ref="P2408">IFERROR(LOOKUP(2,1/SEARCH($Y$2:$Y$65,G2408),$Z$2:$Z$65),"Not Defined")</f>
        <v>PHS</v>
      </c>
      <c r="Q2408" t="str" cm="1">
        <f t="array" ref="Q2408">IFERROR(LOOKUP(2,1/SEARCH($S$2:$S$65,H2408),$T$2:$T$65),"-")</f>
        <v>COTS</v>
      </c>
    </row>
    <row r="2409" spans="1:17" hidden="1" x14ac:dyDescent="0.25">
      <c r="A2409" t="s">
        <v>7676</v>
      </c>
      <c r="B2409" t="s">
        <v>6108</v>
      </c>
      <c r="C2409">
        <v>89</v>
      </c>
      <c r="D2409" t="s">
        <v>7606</v>
      </c>
      <c r="F2409" t="s">
        <v>226</v>
      </c>
      <c r="G2409" t="s">
        <v>7054</v>
      </c>
      <c r="H2409" t="s">
        <v>227</v>
      </c>
      <c r="I2409" t="s">
        <v>228</v>
      </c>
      <c r="J2409" t="s">
        <v>7703</v>
      </c>
      <c r="K2409" t="s">
        <v>7684</v>
      </c>
      <c r="L2409" t="s">
        <v>7685</v>
      </c>
      <c r="N2409" t="str" cm="1">
        <f t="array" ref="N2409">IFERROR(LOOKUP(2,1/SEARCH($S$2:$S$65,G2409),$T$2:$T$65),"Misc")</f>
        <v>COTS</v>
      </c>
      <c r="O2409" t="str" cm="1">
        <f t="array" ref="O2409">IFERROR(LOOKUP(2,1/SEARCH($V$2:$V$65,G2409),$W$2:$W$65),"Misc")</f>
        <v>Fasteners</v>
      </c>
      <c r="P2409" t="str" cm="1">
        <f t="array" ref="P2409">IFERROR(LOOKUP(2,1/SEARCH($Y$2:$Y$65,G2409),$Z$2:$Z$65),"Not Defined")</f>
        <v>NUT</v>
      </c>
      <c r="Q2409" t="str" cm="1">
        <f t="array" ref="Q2409">IFERROR(LOOKUP(2,1/SEARCH($S$2:$S$65,H2409),$T$2:$T$65),"-")</f>
        <v>COTS</v>
      </c>
    </row>
    <row r="2410" spans="1:17" hidden="1" x14ac:dyDescent="0.25">
      <c r="A2410" t="s">
        <v>7676</v>
      </c>
      <c r="B2410" t="s">
        <v>6109</v>
      </c>
      <c r="C2410">
        <v>55</v>
      </c>
      <c r="D2410" t="s">
        <v>7606</v>
      </c>
      <c r="F2410" t="s">
        <v>222</v>
      </c>
      <c r="G2410" t="s">
        <v>7053</v>
      </c>
      <c r="H2410" t="s">
        <v>223</v>
      </c>
      <c r="I2410" t="s">
        <v>224</v>
      </c>
      <c r="J2410" t="s">
        <v>7703</v>
      </c>
      <c r="K2410" t="s">
        <v>7684</v>
      </c>
      <c r="L2410" t="s">
        <v>7687</v>
      </c>
      <c r="N2410" t="str" cm="1">
        <f t="array" ref="N2410">IFERROR(LOOKUP(2,1/SEARCH($S$2:$S$65,G2410),$T$2:$T$65),"Misc")</f>
        <v>COTS</v>
      </c>
      <c r="O2410" t="str" cm="1">
        <f t="array" ref="O2410">IFERROR(LOOKUP(2,1/SEARCH($V$2:$V$65,G2410),$W$2:$W$65),"Misc")</f>
        <v>Fasteners</v>
      </c>
      <c r="P2410" t="str" cm="1">
        <f t="array" ref="P2410">IFERROR(LOOKUP(2,1/SEARCH($Y$2:$Y$65,G2410),$Z$2:$Z$65),"Not Defined")</f>
        <v>INSERT</v>
      </c>
      <c r="Q2410" t="str" cm="1">
        <f t="array" ref="Q2410">IFERROR(LOOKUP(2,1/SEARCH($S$2:$S$65,H2410),$T$2:$T$65),"-")</f>
        <v>COTS</v>
      </c>
    </row>
    <row r="2411" spans="1:17" hidden="1" x14ac:dyDescent="0.25">
      <c r="A2411" t="s">
        <v>7676</v>
      </c>
      <c r="B2411" t="s">
        <v>6110</v>
      </c>
      <c r="C2411">
        <v>18</v>
      </c>
      <c r="D2411" t="s">
        <v>7606</v>
      </c>
      <c r="F2411" t="s">
        <v>265</v>
      </c>
      <c r="G2411" t="s">
        <v>7099</v>
      </c>
      <c r="H2411" t="s">
        <v>266</v>
      </c>
      <c r="I2411" t="s">
        <v>224</v>
      </c>
      <c r="J2411" t="s">
        <v>7703</v>
      </c>
      <c r="K2411" t="s">
        <v>7684</v>
      </c>
      <c r="L2411" t="s">
        <v>7687</v>
      </c>
      <c r="N2411" t="str" cm="1">
        <f t="array" ref="N2411">IFERROR(LOOKUP(2,1/SEARCH($S$2:$S$65,G2411),$T$2:$T$65),"Misc")</f>
        <v>COTS</v>
      </c>
      <c r="O2411" t="str" cm="1">
        <f t="array" ref="O2411">IFERROR(LOOKUP(2,1/SEARCH($V$2:$V$65,G2411),$W$2:$W$65),"Misc")</f>
        <v>Fasteners</v>
      </c>
      <c r="P2411" t="str" cm="1">
        <f t="array" ref="P2411">IFERROR(LOOKUP(2,1/SEARCH($Y$2:$Y$65,G2411),$Z$2:$Z$65),"Not Defined")</f>
        <v>INSERT</v>
      </c>
      <c r="Q2411" t="str" cm="1">
        <f t="array" ref="Q2411">IFERROR(LOOKUP(2,1/SEARCH($S$2:$S$65,H2411),$T$2:$T$65),"-")</f>
        <v>COTS</v>
      </c>
    </row>
    <row r="2412" spans="1:17" hidden="1" x14ac:dyDescent="0.25">
      <c r="A2412" t="s">
        <v>7676</v>
      </c>
      <c r="B2412" t="s">
        <v>6111</v>
      </c>
      <c r="C2412">
        <v>33</v>
      </c>
      <c r="D2412" t="s">
        <v>7606</v>
      </c>
      <c r="F2412" t="s">
        <v>212</v>
      </c>
      <c r="G2412" t="s">
        <v>7050</v>
      </c>
      <c r="H2412" t="s">
        <v>213</v>
      </c>
      <c r="I2412" t="s">
        <v>214</v>
      </c>
      <c r="J2412" t="s">
        <v>7703</v>
      </c>
      <c r="K2412" t="s">
        <v>7684</v>
      </c>
      <c r="L2412" t="s">
        <v>7707</v>
      </c>
      <c r="N2412" t="str" cm="1">
        <f t="array" ref="N2412">IFERROR(LOOKUP(2,1/SEARCH($S$2:$S$65,G2412),$T$2:$T$65),"Misc")</f>
        <v>COTS</v>
      </c>
      <c r="O2412" t="str" cm="1">
        <f t="array" ref="O2412">IFERROR(LOOKUP(2,1/SEARCH($V$2:$V$65,G2412),$W$2:$W$65),"Misc")</f>
        <v>Fasteners</v>
      </c>
      <c r="P2412" t="str" cm="1">
        <f t="array" ref="P2412">IFERROR(LOOKUP(2,1/SEARCH($Y$2:$Y$65,G2412),$Z$2:$Z$65),"Not Defined")</f>
        <v>PIN</v>
      </c>
      <c r="Q2412" t="str" cm="1">
        <f t="array" ref="Q2412">IFERROR(LOOKUP(2,1/SEARCH($S$2:$S$65,H2412),$T$2:$T$65),"-")</f>
        <v>COTS</v>
      </c>
    </row>
    <row r="2413" spans="1:17" hidden="1" x14ac:dyDescent="0.25">
      <c r="A2413" t="s">
        <v>7676</v>
      </c>
      <c r="B2413" t="s">
        <v>6112</v>
      </c>
      <c r="C2413">
        <v>5</v>
      </c>
      <c r="D2413" t="s">
        <v>7606</v>
      </c>
      <c r="F2413" t="s">
        <v>4214</v>
      </c>
      <c r="G2413" t="s">
        <v>7433</v>
      </c>
      <c r="H2413" t="s">
        <v>4215</v>
      </c>
      <c r="I2413" t="s">
        <v>228</v>
      </c>
      <c r="J2413" t="s">
        <v>7703</v>
      </c>
      <c r="K2413" t="s">
        <v>7684</v>
      </c>
      <c r="L2413" t="s">
        <v>7693</v>
      </c>
      <c r="N2413" t="str" cm="1">
        <f t="array" ref="N2413">IFERROR(LOOKUP(2,1/SEARCH($S$2:$S$65,G2413),$T$2:$T$65),"Misc")</f>
        <v>COTS</v>
      </c>
      <c r="O2413" t="str" cm="1">
        <f t="array" ref="O2413">IFERROR(LOOKUP(2,1/SEARCH($V$2:$V$65,G2413),$W$2:$W$65),"Misc")</f>
        <v>Fasteners</v>
      </c>
      <c r="P2413" t="str" cm="1">
        <f t="array" ref="P2413">IFERROR(LOOKUP(2,1/SEARCH($Y$2:$Y$65,G2413),$Z$2:$Z$65),"Not Defined")</f>
        <v>PHS</v>
      </c>
      <c r="Q2413" t="str" cm="1">
        <f t="array" ref="Q2413">IFERROR(LOOKUP(2,1/SEARCH($S$2:$S$65,H2413),$T$2:$T$65),"-")</f>
        <v>COTS</v>
      </c>
    </row>
    <row r="2414" spans="1:17" hidden="1" x14ac:dyDescent="0.25">
      <c r="A2414" t="s">
        <v>7676</v>
      </c>
      <c r="B2414" t="s">
        <v>6113</v>
      </c>
      <c r="C2414">
        <v>3</v>
      </c>
      <c r="D2414" t="s">
        <v>7606</v>
      </c>
      <c r="F2414" t="s">
        <v>2651</v>
      </c>
      <c r="G2414" t="s">
        <v>7305</v>
      </c>
      <c r="H2414" t="s">
        <v>2652</v>
      </c>
      <c r="J2414" t="s">
        <v>7703</v>
      </c>
      <c r="K2414" t="s">
        <v>7698</v>
      </c>
      <c r="L2414" t="s">
        <v>7707</v>
      </c>
      <c r="N2414" t="str" cm="1">
        <f t="array" ref="N2414">IFERROR(LOOKUP(2,1/SEARCH($S$2:$S$65,G2414),$T$2:$T$65),"Misc")</f>
        <v>COTS</v>
      </c>
      <c r="O2414" t="str" cm="1">
        <f t="array" ref="O2414">IFERROR(LOOKUP(2,1/SEARCH($V$2:$V$65,G2414),$W$2:$W$65),"Misc")</f>
        <v>Pins</v>
      </c>
      <c r="P2414" t="str" cm="1">
        <f t="array" ref="P2414">IFERROR(LOOKUP(2,1/SEARCH($Y$2:$Y$65,G2414),$Z$2:$Z$65),"Not Defined")</f>
        <v>PIN</v>
      </c>
      <c r="Q2414" t="str" cm="1">
        <f t="array" ref="Q2414">IFERROR(LOOKUP(2,1/SEARCH($S$2:$S$65,H2414),$T$2:$T$65),"-")</f>
        <v>COTS</v>
      </c>
    </row>
    <row r="2415" spans="1:17" hidden="1" x14ac:dyDescent="0.25">
      <c r="A2415" t="s">
        <v>7676</v>
      </c>
      <c r="B2415" t="s">
        <v>6114</v>
      </c>
      <c r="C2415">
        <v>3</v>
      </c>
      <c r="D2415" t="s">
        <v>7606</v>
      </c>
      <c r="F2415" t="s">
        <v>4222</v>
      </c>
      <c r="G2415" t="s">
        <v>7434</v>
      </c>
      <c r="H2415" t="s">
        <v>4223</v>
      </c>
      <c r="I2415" t="s">
        <v>210</v>
      </c>
      <c r="J2415" t="s">
        <v>7703</v>
      </c>
      <c r="K2415" t="s">
        <v>7684</v>
      </c>
      <c r="L2415" t="s">
        <v>7693</v>
      </c>
      <c r="N2415" t="str" cm="1">
        <f t="array" ref="N2415">IFERROR(LOOKUP(2,1/SEARCH($S$2:$S$65,G2415),$T$2:$T$65),"Misc")</f>
        <v>COTS</v>
      </c>
      <c r="O2415" t="str" cm="1">
        <f t="array" ref="O2415">IFERROR(LOOKUP(2,1/SEARCH($V$2:$V$65,G2415),$W$2:$W$65),"Misc")</f>
        <v>Fasteners</v>
      </c>
      <c r="P2415" t="str" cm="1">
        <f t="array" ref="P2415">IFERROR(LOOKUP(2,1/SEARCH($Y$2:$Y$65,G2415),$Z$2:$Z$65),"Not Defined")</f>
        <v>PHS</v>
      </c>
      <c r="Q2415" t="str" cm="1">
        <f t="array" ref="Q2415">IFERROR(LOOKUP(2,1/SEARCH($S$2:$S$65,H2415),$T$2:$T$65),"-")</f>
        <v>COTS</v>
      </c>
    </row>
    <row r="2416" spans="1:17" hidden="1" x14ac:dyDescent="0.25">
      <c r="A2416" t="s">
        <v>7676</v>
      </c>
      <c r="B2416" t="s">
        <v>6115</v>
      </c>
      <c r="C2416">
        <v>3</v>
      </c>
      <c r="D2416" t="s">
        <v>7606</v>
      </c>
      <c r="F2416" t="s">
        <v>519</v>
      </c>
      <c r="G2416" t="s">
        <v>7097</v>
      </c>
      <c r="H2416" t="s">
        <v>520</v>
      </c>
      <c r="I2416" t="s">
        <v>228</v>
      </c>
      <c r="J2416" t="s">
        <v>7703</v>
      </c>
      <c r="K2416" t="s">
        <v>7684</v>
      </c>
      <c r="L2416" t="s">
        <v>7693</v>
      </c>
      <c r="N2416" t="str" cm="1">
        <f t="array" ref="N2416">IFERROR(LOOKUP(2,1/SEARCH($S$2:$S$65,G2416),$T$2:$T$65),"Misc")</f>
        <v>COTS</v>
      </c>
      <c r="O2416" t="str" cm="1">
        <f t="array" ref="O2416">IFERROR(LOOKUP(2,1/SEARCH($V$2:$V$65,G2416),$W$2:$W$65),"Misc")</f>
        <v>Fasteners</v>
      </c>
      <c r="P2416" t="str" cm="1">
        <f t="array" ref="P2416">IFERROR(LOOKUP(2,1/SEARCH($Y$2:$Y$65,G2416),$Z$2:$Z$65),"Not Defined")</f>
        <v>PHS</v>
      </c>
      <c r="Q2416" t="str" cm="1">
        <f t="array" ref="Q2416">IFERROR(LOOKUP(2,1/SEARCH($S$2:$S$65,H2416),$T$2:$T$65),"-")</f>
        <v>COTS</v>
      </c>
    </row>
    <row r="2417" spans="1:17" hidden="1" x14ac:dyDescent="0.25">
      <c r="A2417" t="s">
        <v>7676</v>
      </c>
      <c r="B2417" t="s">
        <v>6116</v>
      </c>
      <c r="C2417">
        <v>8</v>
      </c>
      <c r="D2417" t="s">
        <v>7606</v>
      </c>
      <c r="F2417" t="s">
        <v>268</v>
      </c>
      <c r="G2417" t="s">
        <v>7061</v>
      </c>
      <c r="H2417" t="s">
        <v>269</v>
      </c>
      <c r="I2417" t="s">
        <v>224</v>
      </c>
      <c r="J2417" t="s">
        <v>7703</v>
      </c>
      <c r="K2417" t="s">
        <v>7684</v>
      </c>
      <c r="L2417" t="s">
        <v>7687</v>
      </c>
      <c r="N2417" t="str" cm="1">
        <f t="array" ref="N2417">IFERROR(LOOKUP(2,1/SEARCH($S$2:$S$65,G2417),$T$2:$T$65),"Misc")</f>
        <v>COTS</v>
      </c>
      <c r="O2417" t="str" cm="1">
        <f t="array" ref="O2417">IFERROR(LOOKUP(2,1/SEARCH($V$2:$V$65,G2417),$W$2:$W$65),"Misc")</f>
        <v>Fasteners</v>
      </c>
      <c r="P2417" t="str" cm="1">
        <f t="array" ref="P2417">IFERROR(LOOKUP(2,1/SEARCH($Y$2:$Y$65,G2417),$Z$2:$Z$65),"Not Defined")</f>
        <v>INSERT</v>
      </c>
      <c r="Q2417" t="str" cm="1">
        <f t="array" ref="Q2417">IFERROR(LOOKUP(2,1/SEARCH($S$2:$S$65,H2417),$T$2:$T$65),"-")</f>
        <v>COTS</v>
      </c>
    </row>
    <row r="2418" spans="1:17" hidden="1" x14ac:dyDescent="0.25">
      <c r="A2418" t="s">
        <v>7676</v>
      </c>
      <c r="B2418" s="19">
        <v>4.5999999999999996</v>
      </c>
      <c r="C2418">
        <v>1</v>
      </c>
      <c r="D2418" t="s">
        <v>7607</v>
      </c>
      <c r="F2418" t="s">
        <v>6117</v>
      </c>
      <c r="G2418" t="s">
        <v>7607</v>
      </c>
      <c r="H2418" t="s">
        <v>6118</v>
      </c>
      <c r="J2418" t="s">
        <v>7742</v>
      </c>
      <c r="K2418" t="s">
        <v>7826</v>
      </c>
      <c r="L2418" t="s">
        <v>7826</v>
      </c>
      <c r="N2418" t="str" cm="1">
        <f t="array" ref="N2418">IFERROR(LOOKUP(2,1/SEARCH($S$2:$S$65,G2418),$T$2:$T$65),"Misc")</f>
        <v>OH ASSY</v>
      </c>
      <c r="O2418" t="str" cm="1">
        <f t="array" ref="O2418">IFERROR(LOOKUP(2,1/SEARCH($V$2:$V$65,G2418),$W$2:$W$65),"Misc")</f>
        <v>OH Part</v>
      </c>
      <c r="P2418" t="str" cm="1">
        <f t="array" ref="P2418">IFERROR(LOOKUP(2,1/SEARCH($Y$2:$Y$65,G2418),$Z$2:$Z$65),"Not Defined")</f>
        <v>OH Part</v>
      </c>
      <c r="Q2418" t="str" cm="1">
        <f t="array" ref="Q2418">IFERROR(LOOKUP(2,1/SEARCH($S$2:$S$65,H2418),$T$2:$T$65),"-")</f>
        <v>OH ASSY</v>
      </c>
    </row>
    <row r="2419" spans="1:17" hidden="1" x14ac:dyDescent="0.25">
      <c r="A2419" t="s">
        <v>7676</v>
      </c>
      <c r="B2419" t="s">
        <v>6119</v>
      </c>
      <c r="C2419">
        <v>1</v>
      </c>
      <c r="D2419" t="s">
        <v>7607</v>
      </c>
      <c r="F2419" t="s">
        <v>6120</v>
      </c>
      <c r="G2419" t="s">
        <v>6122</v>
      </c>
      <c r="H2419" t="s">
        <v>6121</v>
      </c>
      <c r="I2419" t="s">
        <v>255</v>
      </c>
      <c r="J2419" t="s">
        <v>7682</v>
      </c>
      <c r="K2419" t="s">
        <v>7826</v>
      </c>
      <c r="L2419" t="s">
        <v>7826</v>
      </c>
      <c r="N2419" t="str" cm="1">
        <f t="array" ref="N2419">IFERROR(LOOKUP(2,1/SEARCH($S$2:$S$65,G2419),$T$2:$T$65),"Misc")</f>
        <v>OH P/N</v>
      </c>
      <c r="O2419" t="str" cm="1">
        <f t="array" ref="O2419">IFERROR(LOOKUP(2,1/SEARCH($V$2:$V$65,G2419),$W$2:$W$65),"Misc")</f>
        <v>OH Part</v>
      </c>
      <c r="P2419" t="str" cm="1">
        <f t="array" ref="P2419">IFERROR(LOOKUP(2,1/SEARCH($Y$2:$Y$65,G2419),$Z$2:$Z$65),"Not Defined")</f>
        <v>OH Part</v>
      </c>
      <c r="Q2419" t="str" cm="1">
        <f t="array" ref="Q2419">IFERROR(LOOKUP(2,1/SEARCH($S$2:$S$65,H2419),$T$2:$T$65),"-")</f>
        <v>-</v>
      </c>
    </row>
    <row r="2420" spans="1:17" hidden="1" x14ac:dyDescent="0.25">
      <c r="A2420" t="s">
        <v>7676</v>
      </c>
      <c r="B2420" t="s">
        <v>6123</v>
      </c>
      <c r="C2420">
        <v>1</v>
      </c>
      <c r="D2420" t="s">
        <v>7607</v>
      </c>
      <c r="F2420" t="s">
        <v>6124</v>
      </c>
      <c r="G2420" t="s">
        <v>6126</v>
      </c>
      <c r="H2420" t="s">
        <v>6125</v>
      </c>
      <c r="I2420" t="s">
        <v>293</v>
      </c>
      <c r="J2420" t="s">
        <v>7682</v>
      </c>
      <c r="K2420" t="s">
        <v>7826</v>
      </c>
      <c r="L2420" t="s">
        <v>7826</v>
      </c>
      <c r="N2420" t="str" cm="1">
        <f t="array" ref="N2420">IFERROR(LOOKUP(2,1/SEARCH($S$2:$S$65,G2420),$T$2:$T$65),"Misc")</f>
        <v>OH P/N</v>
      </c>
      <c r="O2420" t="str" cm="1">
        <f t="array" ref="O2420">IFERROR(LOOKUP(2,1/SEARCH($V$2:$V$65,G2420),$W$2:$W$65),"Misc")</f>
        <v>OH Part</v>
      </c>
      <c r="P2420" t="str" cm="1">
        <f t="array" ref="P2420">IFERROR(LOOKUP(2,1/SEARCH($Y$2:$Y$65,G2420),$Z$2:$Z$65),"Not Defined")</f>
        <v>OH Part</v>
      </c>
      <c r="Q2420" t="str" cm="1">
        <f t="array" ref="Q2420">IFERROR(LOOKUP(2,1/SEARCH($S$2:$S$65,H2420),$T$2:$T$65),"-")</f>
        <v>-</v>
      </c>
    </row>
    <row r="2421" spans="1:17" hidden="1" x14ac:dyDescent="0.25">
      <c r="A2421" t="s">
        <v>7676</v>
      </c>
      <c r="B2421" t="s">
        <v>6127</v>
      </c>
      <c r="C2421">
        <v>1</v>
      </c>
      <c r="D2421" t="s">
        <v>7607</v>
      </c>
      <c r="F2421" t="s">
        <v>6128</v>
      </c>
      <c r="G2421" t="s">
        <v>6130</v>
      </c>
      <c r="H2421" t="s">
        <v>6129</v>
      </c>
      <c r="I2421" t="s">
        <v>293</v>
      </c>
      <c r="J2421" t="s">
        <v>7682</v>
      </c>
      <c r="K2421" t="s">
        <v>7826</v>
      </c>
      <c r="L2421" t="s">
        <v>7826</v>
      </c>
      <c r="N2421" t="str" cm="1">
        <f t="array" ref="N2421">IFERROR(LOOKUP(2,1/SEARCH($S$2:$S$65,G2421),$T$2:$T$65),"Misc")</f>
        <v>OH P/N</v>
      </c>
      <c r="O2421" t="str" cm="1">
        <f t="array" ref="O2421">IFERROR(LOOKUP(2,1/SEARCH($V$2:$V$65,G2421),$W$2:$W$65),"Misc")</f>
        <v>OH Part</v>
      </c>
      <c r="P2421" t="str" cm="1">
        <f t="array" ref="P2421">IFERROR(LOOKUP(2,1/SEARCH($Y$2:$Y$65,G2421),$Z$2:$Z$65),"Not Defined")</f>
        <v>OH Part</v>
      </c>
      <c r="Q2421" t="str" cm="1">
        <f t="array" ref="Q2421">IFERROR(LOOKUP(2,1/SEARCH($S$2:$S$65,H2421),$T$2:$T$65),"-")</f>
        <v>-</v>
      </c>
    </row>
    <row r="2422" spans="1:17" hidden="1" x14ac:dyDescent="0.25">
      <c r="A2422" t="s">
        <v>7676</v>
      </c>
      <c r="B2422" t="s">
        <v>6131</v>
      </c>
      <c r="C2422">
        <v>1</v>
      </c>
      <c r="D2422" t="s">
        <v>7607</v>
      </c>
      <c r="F2422" t="s">
        <v>6132</v>
      </c>
      <c r="G2422" t="s">
        <v>6134</v>
      </c>
      <c r="H2422" t="s">
        <v>6133</v>
      </c>
      <c r="I2422" t="s">
        <v>281</v>
      </c>
      <c r="J2422" t="s">
        <v>7682</v>
      </c>
      <c r="K2422" t="s">
        <v>7826</v>
      </c>
      <c r="L2422" t="s">
        <v>7826</v>
      </c>
      <c r="N2422" t="str" cm="1">
        <f t="array" ref="N2422">IFERROR(LOOKUP(2,1/SEARCH($S$2:$S$65,G2422),$T$2:$T$65),"Misc")</f>
        <v>OH P/N</v>
      </c>
      <c r="O2422" t="str" cm="1">
        <f t="array" ref="O2422">IFERROR(LOOKUP(2,1/SEARCH($V$2:$V$65,G2422),$W$2:$W$65),"Misc")</f>
        <v>OH Part</v>
      </c>
      <c r="P2422" t="str" cm="1">
        <f t="array" ref="P2422">IFERROR(LOOKUP(2,1/SEARCH($Y$2:$Y$65,G2422),$Z$2:$Z$65),"Not Defined")</f>
        <v>OH Part</v>
      </c>
      <c r="Q2422" t="str" cm="1">
        <f t="array" ref="Q2422">IFERROR(LOOKUP(2,1/SEARCH($S$2:$S$65,H2422),$T$2:$T$65),"-")</f>
        <v>-</v>
      </c>
    </row>
    <row r="2423" spans="1:17" hidden="1" x14ac:dyDescent="0.25">
      <c r="A2423" t="s">
        <v>7676</v>
      </c>
      <c r="B2423" t="s">
        <v>6135</v>
      </c>
      <c r="C2423">
        <v>1</v>
      </c>
      <c r="D2423" t="s">
        <v>7607</v>
      </c>
      <c r="F2423" t="s">
        <v>6136</v>
      </c>
      <c r="G2423" t="s">
        <v>6138</v>
      </c>
      <c r="H2423" t="s">
        <v>6137</v>
      </c>
      <c r="I2423" t="s">
        <v>13</v>
      </c>
      <c r="J2423" t="s">
        <v>7682</v>
      </c>
      <c r="K2423" t="s">
        <v>7826</v>
      </c>
      <c r="L2423" t="s">
        <v>7826</v>
      </c>
      <c r="N2423" t="str" cm="1">
        <f t="array" ref="N2423">IFERROR(LOOKUP(2,1/SEARCH($S$2:$S$65,G2423),$T$2:$T$65),"Misc")</f>
        <v>OH P/N</v>
      </c>
      <c r="O2423" t="str" cm="1">
        <f t="array" ref="O2423">IFERROR(LOOKUP(2,1/SEARCH($V$2:$V$65,G2423),$W$2:$W$65),"Misc")</f>
        <v>OH Part</v>
      </c>
      <c r="P2423" t="str" cm="1">
        <f t="array" ref="P2423">IFERROR(LOOKUP(2,1/SEARCH($Y$2:$Y$65,G2423),$Z$2:$Z$65),"Not Defined")</f>
        <v>OH Part</v>
      </c>
      <c r="Q2423" t="str" cm="1">
        <f t="array" ref="Q2423">IFERROR(LOOKUP(2,1/SEARCH($S$2:$S$65,H2423),$T$2:$T$65),"-")</f>
        <v>ABSIS</v>
      </c>
    </row>
    <row r="2424" spans="1:17" hidden="1" x14ac:dyDescent="0.25">
      <c r="A2424" t="s">
        <v>7676</v>
      </c>
      <c r="B2424" t="s">
        <v>6139</v>
      </c>
      <c r="C2424">
        <v>1</v>
      </c>
      <c r="D2424" t="s">
        <v>7607</v>
      </c>
      <c r="F2424" t="s">
        <v>4791</v>
      </c>
      <c r="G2424" t="s">
        <v>7499</v>
      </c>
      <c r="H2424" t="s">
        <v>4792</v>
      </c>
      <c r="I2424" t="s">
        <v>255</v>
      </c>
      <c r="J2424" t="s">
        <v>7717</v>
      </c>
      <c r="K2424" t="s">
        <v>7717</v>
      </c>
      <c r="L2424" t="s">
        <v>7717</v>
      </c>
      <c r="N2424" t="str" cm="1">
        <f t="array" ref="N2424">IFERROR(LOOKUP(2,1/SEARCH($S$2:$S$65,G2424),$T$2:$T$65),"Misc")</f>
        <v>ABSIS</v>
      </c>
      <c r="O2424" t="str" cm="1">
        <f t="array" ref="O2424">IFERROR(LOOKUP(2,1/SEARCH($V$2:$V$65,G2424),$W$2:$W$65),"Misc")</f>
        <v>ABSIS</v>
      </c>
      <c r="P2424" t="str" cm="1">
        <f t="array" ref="P2424">IFERROR(LOOKUP(2,1/SEARCH($Y$2:$Y$65,G2424),$Z$2:$Z$65),"Not Defined")</f>
        <v>ABSIS</v>
      </c>
      <c r="Q2424" t="str" cm="1">
        <f t="array" ref="Q2424">IFERROR(LOOKUP(2,1/SEARCH($S$2:$S$65,H2424),$T$2:$T$65),"-")</f>
        <v>ABSIS</v>
      </c>
    </row>
    <row r="2425" spans="1:17" hidden="1" x14ac:dyDescent="0.25">
      <c r="A2425" t="s">
        <v>7676</v>
      </c>
      <c r="B2425" t="s">
        <v>6140</v>
      </c>
      <c r="C2425">
        <v>2</v>
      </c>
      <c r="D2425" t="s">
        <v>7607</v>
      </c>
      <c r="E2425" t="s">
        <v>7608</v>
      </c>
      <c r="F2425" t="s">
        <v>6141</v>
      </c>
      <c r="G2425" t="s">
        <v>7608</v>
      </c>
      <c r="H2425" t="s">
        <v>6142</v>
      </c>
      <c r="J2425" t="s">
        <v>7744</v>
      </c>
      <c r="K2425" t="s">
        <v>7826</v>
      </c>
      <c r="L2425" t="s">
        <v>7826</v>
      </c>
      <c r="N2425" t="str" cm="1">
        <f t="array" ref="N2425">IFERROR(LOOKUP(2,1/SEARCH($S$2:$S$65,G2425),$T$2:$T$65),"Misc")</f>
        <v>OH Common</v>
      </c>
      <c r="O2425" t="str" cm="1">
        <f t="array" ref="O2425">IFERROR(LOOKUP(2,1/SEARCH($V$2:$V$65,G2425),$W$2:$W$65),"Misc")</f>
        <v>OH Part</v>
      </c>
      <c r="P2425" t="str" cm="1">
        <f t="array" ref="P2425">IFERROR(LOOKUP(2,1/SEARCH($Y$2:$Y$65,G2425),$Z$2:$Z$65),"Not Defined")</f>
        <v>OH Part</v>
      </c>
      <c r="Q2425" t="str" cm="1">
        <f t="array" ref="Q2425">IFERROR(LOOKUP(2,1/SEARCH($S$2:$S$65,H2425),$T$2:$T$65),"-")</f>
        <v>OH ASSY</v>
      </c>
    </row>
    <row r="2426" spans="1:17" hidden="1" x14ac:dyDescent="0.25">
      <c r="A2426" t="s">
        <v>7676</v>
      </c>
      <c r="B2426" t="s">
        <v>6143</v>
      </c>
      <c r="C2426">
        <v>1</v>
      </c>
      <c r="D2426" t="s">
        <v>7607</v>
      </c>
      <c r="E2426" t="s">
        <v>7608</v>
      </c>
      <c r="F2426" t="s">
        <v>6144</v>
      </c>
      <c r="G2426" t="s">
        <v>6146</v>
      </c>
      <c r="H2426" t="s">
        <v>6145</v>
      </c>
      <c r="I2426" t="s">
        <v>358</v>
      </c>
      <c r="J2426" t="s">
        <v>7744</v>
      </c>
      <c r="K2426" t="s">
        <v>7826</v>
      </c>
      <c r="L2426" t="s">
        <v>7826</v>
      </c>
      <c r="N2426" t="str" cm="1">
        <f t="array" ref="N2426">IFERROR(LOOKUP(2,1/SEARCH($S$2:$S$65,G2426),$T$2:$T$65),"Misc")</f>
        <v>OH Common</v>
      </c>
      <c r="O2426" t="str" cm="1">
        <f t="array" ref="O2426">IFERROR(LOOKUP(2,1/SEARCH($V$2:$V$65,G2426),$W$2:$W$65),"Misc")</f>
        <v>OH Part</v>
      </c>
      <c r="P2426" t="str" cm="1">
        <f t="array" ref="P2426">IFERROR(LOOKUP(2,1/SEARCH($Y$2:$Y$65,G2426),$Z$2:$Z$65),"Not Defined")</f>
        <v>OH Part</v>
      </c>
      <c r="Q2426" t="str" cm="1">
        <f t="array" ref="Q2426">IFERROR(LOOKUP(2,1/SEARCH($S$2:$S$65,H2426),$T$2:$T$65),"-")</f>
        <v>-</v>
      </c>
    </row>
    <row r="2427" spans="1:17" hidden="1" x14ac:dyDescent="0.25">
      <c r="A2427" t="s">
        <v>7676</v>
      </c>
      <c r="B2427" t="s">
        <v>6147</v>
      </c>
      <c r="C2427">
        <v>2</v>
      </c>
      <c r="D2427" t="s">
        <v>7607</v>
      </c>
      <c r="E2427" t="s">
        <v>7608</v>
      </c>
      <c r="F2427" t="s">
        <v>1551</v>
      </c>
      <c r="G2427" t="s">
        <v>7225</v>
      </c>
      <c r="H2427" t="s">
        <v>1552</v>
      </c>
      <c r="I2427" t="s">
        <v>228</v>
      </c>
      <c r="J2427" t="s">
        <v>7703</v>
      </c>
      <c r="K2427" t="s">
        <v>7684</v>
      </c>
      <c r="L2427" t="s">
        <v>7721</v>
      </c>
      <c r="N2427" t="str" cm="1">
        <f t="array" ref="N2427">IFERROR(LOOKUP(2,1/SEARCH($S$2:$S$65,G2427),$T$2:$T$65),"Misc")</f>
        <v>COTS</v>
      </c>
      <c r="O2427" t="str" cm="1">
        <f t="array" ref="O2427">IFERROR(LOOKUP(2,1/SEARCH($V$2:$V$65,G2427),$W$2:$W$65),"Misc")</f>
        <v>Fasteners</v>
      </c>
      <c r="P2427" t="str" cm="1">
        <f t="array" ref="P2427">IFERROR(LOOKUP(2,1/SEARCH($Y$2:$Y$65,G2427),$Z$2:$Z$65),"Not Defined")</f>
        <v>SET SCREW</v>
      </c>
      <c r="Q2427" t="str" cm="1">
        <f t="array" ref="Q2427">IFERROR(LOOKUP(2,1/SEARCH($S$2:$S$65,H2427),$T$2:$T$65),"-")</f>
        <v>COTS</v>
      </c>
    </row>
    <row r="2428" spans="1:17" hidden="1" x14ac:dyDescent="0.25">
      <c r="A2428" t="s">
        <v>7676</v>
      </c>
      <c r="B2428" t="s">
        <v>6148</v>
      </c>
      <c r="C2428">
        <v>2</v>
      </c>
      <c r="D2428" t="s">
        <v>7607</v>
      </c>
      <c r="F2428" t="s">
        <v>519</v>
      </c>
      <c r="G2428" t="s">
        <v>7097</v>
      </c>
      <c r="H2428" t="s">
        <v>520</v>
      </c>
      <c r="I2428" t="s">
        <v>228</v>
      </c>
      <c r="J2428" t="s">
        <v>7703</v>
      </c>
      <c r="K2428" t="s">
        <v>7684</v>
      </c>
      <c r="L2428" t="s">
        <v>7693</v>
      </c>
      <c r="N2428" t="str" cm="1">
        <f t="array" ref="N2428">IFERROR(LOOKUP(2,1/SEARCH($S$2:$S$65,G2428),$T$2:$T$65),"Misc")</f>
        <v>COTS</v>
      </c>
      <c r="O2428" t="str" cm="1">
        <f t="array" ref="O2428">IFERROR(LOOKUP(2,1/SEARCH($V$2:$V$65,G2428),$W$2:$W$65),"Misc")</f>
        <v>Fasteners</v>
      </c>
      <c r="P2428" t="str" cm="1">
        <f t="array" ref="P2428">IFERROR(LOOKUP(2,1/SEARCH($Y$2:$Y$65,G2428),$Z$2:$Z$65),"Not Defined")</f>
        <v>PHS</v>
      </c>
      <c r="Q2428" t="str" cm="1">
        <f t="array" ref="Q2428">IFERROR(LOOKUP(2,1/SEARCH($S$2:$S$65,H2428),$T$2:$T$65),"-")</f>
        <v>COTS</v>
      </c>
    </row>
    <row r="2429" spans="1:17" hidden="1" x14ac:dyDescent="0.25">
      <c r="A2429" t="s">
        <v>7676</v>
      </c>
      <c r="B2429" t="s">
        <v>6149</v>
      </c>
      <c r="C2429">
        <v>1</v>
      </c>
      <c r="D2429" t="s">
        <v>7607</v>
      </c>
      <c r="F2429" t="s">
        <v>941</v>
      </c>
      <c r="G2429" t="s">
        <v>7136</v>
      </c>
      <c r="H2429" t="s">
        <v>942</v>
      </c>
      <c r="I2429" t="s">
        <v>210</v>
      </c>
      <c r="J2429" t="s">
        <v>7703</v>
      </c>
      <c r="K2429" t="s">
        <v>7684</v>
      </c>
      <c r="L2429" t="s">
        <v>7685</v>
      </c>
      <c r="N2429" t="str" cm="1">
        <f t="array" ref="N2429">IFERROR(LOOKUP(2,1/SEARCH($S$2:$S$65,G2429),$T$2:$T$65),"Misc")</f>
        <v>COTS</v>
      </c>
      <c r="O2429" t="str" cm="1">
        <f t="array" ref="O2429">IFERROR(LOOKUP(2,1/SEARCH($V$2:$V$65,G2429),$W$2:$W$65),"Misc")</f>
        <v>Fasteners</v>
      </c>
      <c r="P2429" t="str" cm="1">
        <f t="array" ref="P2429">IFERROR(LOOKUP(2,1/SEARCH($Y$2:$Y$65,G2429),$Z$2:$Z$65),"Not Defined")</f>
        <v>NUT</v>
      </c>
      <c r="Q2429" t="str" cm="1">
        <f t="array" ref="Q2429">IFERROR(LOOKUP(2,1/SEARCH($S$2:$S$65,H2429),$T$2:$T$65),"-")</f>
        <v>COTS</v>
      </c>
    </row>
    <row r="2430" spans="1:17" hidden="1" x14ac:dyDescent="0.25">
      <c r="A2430" t="s">
        <v>7676</v>
      </c>
      <c r="B2430" t="s">
        <v>6150</v>
      </c>
      <c r="C2430">
        <v>1</v>
      </c>
      <c r="D2430" t="s">
        <v>7607</v>
      </c>
      <c r="F2430" t="s">
        <v>692</v>
      </c>
      <c r="G2430" t="s">
        <v>7116</v>
      </c>
      <c r="H2430" t="s">
        <v>693</v>
      </c>
      <c r="I2430" t="s">
        <v>255</v>
      </c>
      <c r="J2430" t="s">
        <v>7703</v>
      </c>
      <c r="K2430" t="s">
        <v>7677</v>
      </c>
      <c r="L2430" t="s">
        <v>7677</v>
      </c>
      <c r="N2430" t="str" cm="1">
        <f t="array" ref="N2430">IFERROR(LOOKUP(2,1/SEARCH($S$2:$S$65,G2430),$T$2:$T$65),"Misc")</f>
        <v>COTS</v>
      </c>
      <c r="O2430" t="str" cm="1">
        <f t="array" ref="O2430">IFERROR(LOOKUP(2,1/SEARCH($V$2:$V$65,G2430),$W$2:$W$65),"Misc")</f>
        <v>SWITCH</v>
      </c>
      <c r="P2430" t="str" cm="1">
        <f t="array" ref="P2430">IFERROR(LOOKUP(2,1/SEARCH($Y$2:$Y$65,G2430),$Z$2:$Z$65),"Not Defined")</f>
        <v>SWITCH</v>
      </c>
      <c r="Q2430" t="str" cm="1">
        <f t="array" ref="Q2430">IFERROR(LOOKUP(2,1/SEARCH($S$2:$S$65,H2430),$T$2:$T$65),"-")</f>
        <v>COTS</v>
      </c>
    </row>
    <row r="2431" spans="1:17" hidden="1" x14ac:dyDescent="0.25">
      <c r="A2431" t="s">
        <v>7676</v>
      </c>
      <c r="B2431" t="s">
        <v>6151</v>
      </c>
      <c r="C2431">
        <v>2</v>
      </c>
      <c r="D2431" t="s">
        <v>7607</v>
      </c>
      <c r="F2431" t="s">
        <v>695</v>
      </c>
      <c r="G2431" t="s">
        <v>7117</v>
      </c>
      <c r="H2431" t="s">
        <v>696</v>
      </c>
      <c r="I2431" t="s">
        <v>255</v>
      </c>
      <c r="J2431" t="s">
        <v>7703</v>
      </c>
      <c r="K2431" t="s">
        <v>7719</v>
      </c>
      <c r="L2431" t="s">
        <v>7719</v>
      </c>
      <c r="N2431" t="str" cm="1">
        <f t="array" ref="N2431">IFERROR(LOOKUP(2,1/SEARCH($S$2:$S$65,G2431),$T$2:$T$65),"Misc")</f>
        <v>COTS</v>
      </c>
      <c r="O2431" t="str" cm="1">
        <f t="array" ref="O2431">IFERROR(LOOKUP(2,1/SEARCH($V$2:$V$65,G2431),$W$2:$W$65),"Misc")</f>
        <v>Misc</v>
      </c>
      <c r="P2431" t="str" cm="1">
        <f t="array" ref="P2431">IFERROR(LOOKUP(2,1/SEARCH($Y$2:$Y$65,G2431),$Z$2:$Z$65),"Not Defined")</f>
        <v>Retaining Rings</v>
      </c>
      <c r="Q2431" t="str" cm="1">
        <f t="array" ref="Q2431">IFERROR(LOOKUP(2,1/SEARCH($S$2:$S$65,H2431),$T$2:$T$65),"-")</f>
        <v>COTS</v>
      </c>
    </row>
    <row r="2432" spans="1:17" hidden="1" x14ac:dyDescent="0.25">
      <c r="A2432" t="s">
        <v>7676</v>
      </c>
      <c r="B2432" t="s">
        <v>6152</v>
      </c>
      <c r="C2432">
        <v>2</v>
      </c>
      <c r="D2432" t="s">
        <v>7607</v>
      </c>
      <c r="F2432" t="s">
        <v>698</v>
      </c>
      <c r="G2432" t="s">
        <v>7118</v>
      </c>
      <c r="H2432" t="s">
        <v>699</v>
      </c>
      <c r="I2432" t="s">
        <v>255</v>
      </c>
      <c r="J2432" t="s">
        <v>7703</v>
      </c>
      <c r="K2432" t="s">
        <v>7684</v>
      </c>
      <c r="L2432" t="s">
        <v>7692</v>
      </c>
      <c r="N2432" t="str" cm="1">
        <f t="array" ref="N2432">IFERROR(LOOKUP(2,1/SEARCH($S$2:$S$65,G2432),$T$2:$T$65),"Misc")</f>
        <v>COTS</v>
      </c>
      <c r="O2432" t="str" cm="1">
        <f t="array" ref="O2432">IFERROR(LOOKUP(2,1/SEARCH($V$2:$V$65,G2432),$W$2:$W$65),"Misc")</f>
        <v>Fasteners</v>
      </c>
      <c r="P2432" t="str" cm="1">
        <f t="array" ref="P2432">IFERROR(LOOKUP(2,1/SEARCH($Y$2:$Y$65,G2432),$Z$2:$Z$65),"Not Defined")</f>
        <v>WASHER</v>
      </c>
      <c r="Q2432" t="str" cm="1">
        <f t="array" ref="Q2432">IFERROR(LOOKUP(2,1/SEARCH($S$2:$S$65,H2432),$T$2:$T$65),"-")</f>
        <v>COTS</v>
      </c>
    </row>
    <row r="2433" spans="1:17" hidden="1" x14ac:dyDescent="0.25">
      <c r="A2433" t="s">
        <v>7676</v>
      </c>
      <c r="B2433" t="s">
        <v>6153</v>
      </c>
      <c r="C2433">
        <v>6</v>
      </c>
      <c r="D2433" t="s">
        <v>7607</v>
      </c>
      <c r="F2433" t="s">
        <v>701</v>
      </c>
      <c r="G2433" t="s">
        <v>7119</v>
      </c>
      <c r="H2433" t="s">
        <v>702</v>
      </c>
      <c r="I2433" t="s">
        <v>255</v>
      </c>
      <c r="J2433" t="s">
        <v>7703</v>
      </c>
      <c r="K2433" t="s">
        <v>7684</v>
      </c>
      <c r="L2433" t="s">
        <v>7685</v>
      </c>
      <c r="N2433" t="str" cm="1">
        <f t="array" ref="N2433">IFERROR(LOOKUP(2,1/SEARCH($S$2:$S$65,G2433),$T$2:$T$65),"Misc")</f>
        <v>COTS</v>
      </c>
      <c r="O2433" t="str" cm="1">
        <f t="array" ref="O2433">IFERROR(LOOKUP(2,1/SEARCH($V$2:$V$65,G2433),$W$2:$W$65),"Misc")</f>
        <v>Fasteners</v>
      </c>
      <c r="P2433" t="str" cm="1">
        <f t="array" ref="P2433">IFERROR(LOOKUP(2,1/SEARCH($Y$2:$Y$65,G2433),$Z$2:$Z$65),"Not Defined")</f>
        <v>NUT</v>
      </c>
      <c r="Q2433" t="str" cm="1">
        <f t="array" ref="Q2433">IFERROR(LOOKUP(2,1/SEARCH($S$2:$S$65,H2433),$T$2:$T$65),"-")</f>
        <v>COTS</v>
      </c>
    </row>
    <row r="2434" spans="1:17" hidden="1" x14ac:dyDescent="0.25">
      <c r="A2434" t="s">
        <v>7676</v>
      </c>
      <c r="B2434" t="s">
        <v>6154</v>
      </c>
      <c r="C2434">
        <v>1</v>
      </c>
      <c r="D2434" t="s">
        <v>7607</v>
      </c>
      <c r="F2434" t="s">
        <v>704</v>
      </c>
      <c r="G2434" t="s">
        <v>7120</v>
      </c>
      <c r="H2434" t="s">
        <v>705</v>
      </c>
      <c r="I2434" t="s">
        <v>255</v>
      </c>
      <c r="J2434" t="s">
        <v>7703</v>
      </c>
      <c r="K2434" t="s">
        <v>7677</v>
      </c>
      <c r="L2434" t="s">
        <v>7677</v>
      </c>
      <c r="N2434" t="str" cm="1">
        <f t="array" ref="N2434">IFERROR(LOOKUP(2,1/SEARCH($S$2:$S$65,G2434),$T$2:$T$65),"Misc")</f>
        <v>COTS</v>
      </c>
      <c r="O2434" t="str" cm="1">
        <f t="array" ref="O2434">IFERROR(LOOKUP(2,1/SEARCH($V$2:$V$65,G2434),$W$2:$W$65),"Misc")</f>
        <v>SWITCH</v>
      </c>
      <c r="P2434" t="str" cm="1">
        <f t="array" ref="P2434">IFERROR(LOOKUP(2,1/SEARCH($Y$2:$Y$65,G2434),$Z$2:$Z$65),"Not Defined")</f>
        <v>SWITCH</v>
      </c>
      <c r="Q2434" t="str" cm="1">
        <f t="array" ref="Q2434">IFERROR(LOOKUP(2,1/SEARCH($S$2:$S$65,H2434),$T$2:$T$65),"-")</f>
        <v>COTS</v>
      </c>
    </row>
    <row r="2435" spans="1:17" hidden="1" x14ac:dyDescent="0.25">
      <c r="A2435" t="s">
        <v>7676</v>
      </c>
      <c r="B2435" t="s">
        <v>6155</v>
      </c>
      <c r="C2435">
        <v>2</v>
      </c>
      <c r="D2435" t="s">
        <v>7607</v>
      </c>
      <c r="F2435" t="s">
        <v>6156</v>
      </c>
      <c r="G2435" t="s">
        <v>7609</v>
      </c>
      <c r="H2435" t="s">
        <v>6157</v>
      </c>
      <c r="I2435" t="s">
        <v>255</v>
      </c>
      <c r="J2435" t="s">
        <v>7703</v>
      </c>
      <c r="K2435" t="s">
        <v>7677</v>
      </c>
      <c r="L2435" t="s">
        <v>7677</v>
      </c>
      <c r="N2435" t="str" cm="1">
        <f t="array" ref="N2435">IFERROR(LOOKUP(2,1/SEARCH($S$2:$S$65,G2435),$T$2:$T$65),"Misc")</f>
        <v>COTS</v>
      </c>
      <c r="O2435" t="str" cm="1">
        <f t="array" ref="O2435">IFERROR(LOOKUP(2,1/SEARCH($V$2:$V$65,G2435),$W$2:$W$65),"Misc")</f>
        <v>SWITCH</v>
      </c>
      <c r="P2435" t="str" cm="1">
        <f t="array" ref="P2435">IFERROR(LOOKUP(2,1/SEARCH($Y$2:$Y$65,G2435),$Z$2:$Z$65),"Not Defined")</f>
        <v>SWITCH</v>
      </c>
      <c r="Q2435" t="str" cm="1">
        <f t="array" ref="Q2435">IFERROR(LOOKUP(2,1/SEARCH($S$2:$S$65,H2435),$T$2:$T$65),"-")</f>
        <v>COTS</v>
      </c>
    </row>
    <row r="2436" spans="1:17" hidden="1" x14ac:dyDescent="0.25">
      <c r="A2436" t="s">
        <v>7676</v>
      </c>
      <c r="B2436" t="s">
        <v>6158</v>
      </c>
      <c r="C2436">
        <v>2</v>
      </c>
      <c r="D2436" t="s">
        <v>7607</v>
      </c>
      <c r="F2436" t="s">
        <v>3046</v>
      </c>
      <c r="G2436" t="s">
        <v>7338</v>
      </c>
      <c r="H2436" t="s">
        <v>3047</v>
      </c>
      <c r="I2436" t="s">
        <v>299</v>
      </c>
      <c r="J2436" t="s">
        <v>7703</v>
      </c>
      <c r="K2436" t="s">
        <v>7684</v>
      </c>
      <c r="L2436" t="s">
        <v>7708</v>
      </c>
      <c r="N2436" t="str" cm="1">
        <f t="array" ref="N2436">IFERROR(LOOKUP(2,1/SEARCH($S$2:$S$65,G2436),$T$2:$T$65),"Misc")</f>
        <v>COTS</v>
      </c>
      <c r="O2436" t="str" cm="1">
        <f t="array" ref="O2436">IFERROR(LOOKUP(2,1/SEARCH($V$2:$V$65,G2436),$W$2:$W$65),"Misc")</f>
        <v>Fasteners</v>
      </c>
      <c r="P2436" t="str" cm="1">
        <f t="array" ref="P2436">IFERROR(LOOKUP(2,1/SEARCH($Y$2:$Y$65,G2436),$Z$2:$Z$65),"Not Defined")</f>
        <v>STANDOFF</v>
      </c>
      <c r="Q2436" t="str" cm="1">
        <f t="array" ref="Q2436">IFERROR(LOOKUP(2,1/SEARCH($S$2:$S$65,H2436),$T$2:$T$65),"-")</f>
        <v>COTS</v>
      </c>
    </row>
    <row r="2437" spans="1:17" hidden="1" x14ac:dyDescent="0.25">
      <c r="A2437" t="s">
        <v>7676</v>
      </c>
      <c r="B2437" t="s">
        <v>6159</v>
      </c>
      <c r="C2437">
        <v>1</v>
      </c>
      <c r="D2437" t="s">
        <v>7607</v>
      </c>
      <c r="F2437" t="s">
        <v>577</v>
      </c>
      <c r="G2437" t="s">
        <v>7104</v>
      </c>
      <c r="H2437" t="s">
        <v>578</v>
      </c>
      <c r="I2437" t="s">
        <v>299</v>
      </c>
      <c r="J2437" t="s">
        <v>7703</v>
      </c>
      <c r="K2437" t="s">
        <v>7684</v>
      </c>
      <c r="L2437" t="s">
        <v>7708</v>
      </c>
      <c r="N2437" t="str" cm="1">
        <f t="array" ref="N2437">IFERROR(LOOKUP(2,1/SEARCH($S$2:$S$65,G2437),$T$2:$T$65),"Misc")</f>
        <v>COTS</v>
      </c>
      <c r="O2437" t="str" cm="1">
        <f t="array" ref="O2437">IFERROR(LOOKUP(2,1/SEARCH($V$2:$V$65,G2437),$W$2:$W$65),"Misc")</f>
        <v>Fasteners</v>
      </c>
      <c r="P2437" t="str" cm="1">
        <f t="array" ref="P2437">IFERROR(LOOKUP(2,1/SEARCH($Y$2:$Y$65,G2437),$Z$2:$Z$65),"Not Defined")</f>
        <v>STANDOFF</v>
      </c>
      <c r="Q2437" t="str" cm="1">
        <f t="array" ref="Q2437">IFERROR(LOOKUP(2,1/SEARCH($S$2:$S$65,H2437),$T$2:$T$65),"-")</f>
        <v>COTS</v>
      </c>
    </row>
    <row r="2438" spans="1:17" hidden="1" x14ac:dyDescent="0.25">
      <c r="A2438" t="s">
        <v>7676</v>
      </c>
      <c r="B2438" t="s">
        <v>6160</v>
      </c>
      <c r="C2438">
        <v>2</v>
      </c>
      <c r="D2438" t="s">
        <v>7607</v>
      </c>
      <c r="F2438" t="s">
        <v>5090</v>
      </c>
      <c r="G2438" t="s">
        <v>7525</v>
      </c>
      <c r="H2438" t="s">
        <v>5091</v>
      </c>
      <c r="I2438" t="s">
        <v>228</v>
      </c>
      <c r="J2438" t="s">
        <v>7703</v>
      </c>
      <c r="K2438" t="s">
        <v>7684</v>
      </c>
      <c r="L2438" t="s">
        <v>7691</v>
      </c>
      <c r="N2438" t="str" cm="1">
        <f t="array" ref="N2438">IFERROR(LOOKUP(2,1/SEARCH($S$2:$S$65,G2438),$T$2:$T$65),"Misc")</f>
        <v>COTS</v>
      </c>
      <c r="O2438" t="str" cm="1">
        <f t="array" ref="O2438">IFERROR(LOOKUP(2,1/SEARCH($V$2:$V$65,G2438),$W$2:$W$65),"Misc")</f>
        <v>Fasteners</v>
      </c>
      <c r="P2438" t="str" cm="1">
        <f t="array" ref="P2438">IFERROR(LOOKUP(2,1/SEARCH($Y$2:$Y$65,G2438),$Z$2:$Z$65),"Not Defined")</f>
        <v>FHS</v>
      </c>
      <c r="Q2438" t="str" cm="1">
        <f t="array" ref="Q2438">IFERROR(LOOKUP(2,1/SEARCH($S$2:$S$65,H2438),$T$2:$T$65),"-")</f>
        <v>COTS</v>
      </c>
    </row>
    <row r="2439" spans="1:17" hidden="1" x14ac:dyDescent="0.25">
      <c r="A2439" t="s">
        <v>7676</v>
      </c>
      <c r="B2439" t="s">
        <v>6161</v>
      </c>
      <c r="C2439">
        <v>8</v>
      </c>
      <c r="D2439" t="s">
        <v>7607</v>
      </c>
      <c r="F2439" t="s">
        <v>460</v>
      </c>
      <c r="G2439" t="s">
        <v>7090</v>
      </c>
      <c r="H2439" t="s">
        <v>461</v>
      </c>
      <c r="I2439" t="s">
        <v>224</v>
      </c>
      <c r="J2439" t="s">
        <v>7703</v>
      </c>
      <c r="K2439" t="s">
        <v>7684</v>
      </c>
      <c r="L2439" t="s">
        <v>7693</v>
      </c>
      <c r="N2439" t="str" cm="1">
        <f t="array" ref="N2439">IFERROR(LOOKUP(2,1/SEARCH($S$2:$S$65,G2439),$T$2:$T$65),"Misc")</f>
        <v>COTS</v>
      </c>
      <c r="O2439" t="str" cm="1">
        <f t="array" ref="O2439">IFERROR(LOOKUP(2,1/SEARCH($V$2:$V$65,G2439),$W$2:$W$65),"Misc")</f>
        <v>Fasteners</v>
      </c>
      <c r="P2439" t="str" cm="1">
        <f t="array" ref="P2439">IFERROR(LOOKUP(2,1/SEARCH($Y$2:$Y$65,G2439),$Z$2:$Z$65),"Not Defined")</f>
        <v>PHS</v>
      </c>
      <c r="Q2439" t="str" cm="1">
        <f t="array" ref="Q2439">IFERROR(LOOKUP(2,1/SEARCH($S$2:$S$65,H2439),$T$2:$T$65),"-")</f>
        <v>COTS</v>
      </c>
    </row>
    <row r="2440" spans="1:17" hidden="1" x14ac:dyDescent="0.25">
      <c r="A2440" t="s">
        <v>7676</v>
      </c>
      <c r="B2440" t="s">
        <v>6162</v>
      </c>
      <c r="C2440">
        <v>1</v>
      </c>
      <c r="D2440" t="s">
        <v>7607</v>
      </c>
      <c r="F2440" t="s">
        <v>1541</v>
      </c>
      <c r="G2440" t="s">
        <v>7223</v>
      </c>
      <c r="H2440" t="s">
        <v>1542</v>
      </c>
      <c r="I2440" t="s">
        <v>210</v>
      </c>
      <c r="J2440" t="s">
        <v>7703</v>
      </c>
      <c r="K2440" t="s">
        <v>7684</v>
      </c>
      <c r="L2440" t="s">
        <v>7693</v>
      </c>
      <c r="N2440" t="str" cm="1">
        <f t="array" ref="N2440">IFERROR(LOOKUP(2,1/SEARCH($S$2:$S$65,G2440),$T$2:$T$65),"Misc")</f>
        <v>COTS</v>
      </c>
      <c r="O2440" t="str" cm="1">
        <f t="array" ref="O2440">IFERROR(LOOKUP(2,1/SEARCH($V$2:$V$65,G2440),$W$2:$W$65),"Misc")</f>
        <v>Fasteners</v>
      </c>
      <c r="P2440" t="str" cm="1">
        <f t="array" ref="P2440">IFERROR(LOOKUP(2,1/SEARCH($Y$2:$Y$65,G2440),$Z$2:$Z$65),"Not Defined")</f>
        <v>PHS</v>
      </c>
      <c r="Q2440" t="str" cm="1">
        <f t="array" ref="Q2440">IFERROR(LOOKUP(2,1/SEARCH($S$2:$S$65,H2440),$T$2:$T$65),"-")</f>
        <v>COTS</v>
      </c>
    </row>
    <row r="2441" spans="1:17" hidden="1" x14ac:dyDescent="0.25">
      <c r="A2441" t="s">
        <v>7676</v>
      </c>
      <c r="B2441" t="s">
        <v>6163</v>
      </c>
      <c r="C2441">
        <v>5</v>
      </c>
      <c r="D2441" t="s">
        <v>7607</v>
      </c>
      <c r="F2441" t="s">
        <v>4795</v>
      </c>
      <c r="G2441" t="s">
        <v>7500</v>
      </c>
      <c r="H2441" t="s">
        <v>4796</v>
      </c>
      <c r="I2441" t="s">
        <v>299</v>
      </c>
      <c r="J2441" t="s">
        <v>7703</v>
      </c>
      <c r="K2441" t="s">
        <v>7684</v>
      </c>
      <c r="L2441" t="s">
        <v>7708</v>
      </c>
      <c r="N2441" t="str" cm="1">
        <f t="array" ref="N2441">IFERROR(LOOKUP(2,1/SEARCH($S$2:$S$65,G2441),$T$2:$T$65),"Misc")</f>
        <v>COTS</v>
      </c>
      <c r="O2441" t="str" cm="1">
        <f t="array" ref="O2441">IFERROR(LOOKUP(2,1/SEARCH($V$2:$V$65,G2441),$W$2:$W$65),"Misc")</f>
        <v>Fasteners</v>
      </c>
      <c r="P2441" t="str" cm="1">
        <f t="array" ref="P2441">IFERROR(LOOKUP(2,1/SEARCH($Y$2:$Y$65,G2441),$Z$2:$Z$65),"Not Defined")</f>
        <v>STANDOFF</v>
      </c>
      <c r="Q2441" t="str" cm="1">
        <f t="array" ref="Q2441">IFERROR(LOOKUP(2,1/SEARCH($S$2:$S$65,H2441),$T$2:$T$65),"-")</f>
        <v>COTS</v>
      </c>
    </row>
    <row r="2442" spans="1:17" hidden="1" x14ac:dyDescent="0.25">
      <c r="A2442" t="s">
        <v>7676</v>
      </c>
      <c r="B2442" t="s">
        <v>6164</v>
      </c>
      <c r="C2442">
        <v>3</v>
      </c>
      <c r="D2442" t="s">
        <v>7607</v>
      </c>
      <c r="F2442" t="s">
        <v>297</v>
      </c>
      <c r="G2442" t="s">
        <v>7065</v>
      </c>
      <c r="H2442" t="s">
        <v>298</v>
      </c>
      <c r="I2442" t="s">
        <v>299</v>
      </c>
      <c r="J2442" t="s">
        <v>7703</v>
      </c>
      <c r="K2442" t="s">
        <v>7684</v>
      </c>
      <c r="L2442" t="s">
        <v>7708</v>
      </c>
      <c r="N2442" t="str" cm="1">
        <f t="array" ref="N2442">IFERROR(LOOKUP(2,1/SEARCH($S$2:$S$65,G2442),$T$2:$T$65),"Misc")</f>
        <v>COTS</v>
      </c>
      <c r="O2442" t="str" cm="1">
        <f t="array" ref="O2442">IFERROR(LOOKUP(2,1/SEARCH($V$2:$V$65,G2442),$W$2:$W$65),"Misc")</f>
        <v>Fasteners</v>
      </c>
      <c r="P2442" t="str" cm="1">
        <f t="array" ref="P2442">IFERROR(LOOKUP(2,1/SEARCH($Y$2:$Y$65,G2442),$Z$2:$Z$65),"Not Defined")</f>
        <v>STANDOFF</v>
      </c>
      <c r="Q2442" t="str" cm="1">
        <f t="array" ref="Q2442">IFERROR(LOOKUP(2,1/SEARCH($S$2:$S$65,H2442),$T$2:$T$65),"-")</f>
        <v>COTS</v>
      </c>
    </row>
    <row r="2443" spans="1:17" hidden="1" x14ac:dyDescent="0.25">
      <c r="A2443" t="s">
        <v>7676</v>
      </c>
      <c r="B2443" t="s">
        <v>6165</v>
      </c>
      <c r="C2443">
        <v>1</v>
      </c>
      <c r="D2443" t="s">
        <v>7607</v>
      </c>
      <c r="E2443" t="s">
        <v>4770</v>
      </c>
      <c r="F2443" t="s">
        <v>4769</v>
      </c>
      <c r="G2443" t="s">
        <v>7492</v>
      </c>
      <c r="H2443" t="s">
        <v>4770</v>
      </c>
      <c r="J2443" t="s">
        <v>7744</v>
      </c>
      <c r="K2443" t="s">
        <v>7826</v>
      </c>
      <c r="L2443" t="s">
        <v>7826</v>
      </c>
      <c r="N2443" t="str" cm="1">
        <f t="array" ref="N2443">IFERROR(LOOKUP(2,1/SEARCH($S$2:$S$65,G2443),$T$2:$T$65),"Misc")</f>
        <v>OH Common</v>
      </c>
      <c r="O2443" t="str" cm="1">
        <f t="array" ref="O2443">IFERROR(LOOKUP(2,1/SEARCH($V$2:$V$65,G2443),$W$2:$W$65),"Misc")</f>
        <v>OH Part</v>
      </c>
      <c r="P2443" t="str" cm="1">
        <f t="array" ref="P2443">IFERROR(LOOKUP(2,1/SEARCH($Y$2:$Y$65,G2443),$Z$2:$Z$65),"Not Defined")</f>
        <v>OH Part</v>
      </c>
      <c r="Q2443" t="str" cm="1">
        <f t="array" ref="Q2443">IFERROR(LOOKUP(2,1/SEARCH($S$2:$S$65,H2443),$T$2:$T$65),"-")</f>
        <v>OH ASSY</v>
      </c>
    </row>
    <row r="2444" spans="1:17" hidden="1" x14ac:dyDescent="0.25">
      <c r="A2444" t="s">
        <v>7676</v>
      </c>
      <c r="B2444" t="s">
        <v>6166</v>
      </c>
      <c r="C2444">
        <v>1</v>
      </c>
      <c r="D2444" t="s">
        <v>7607</v>
      </c>
      <c r="E2444" t="s">
        <v>4770</v>
      </c>
      <c r="F2444" t="s">
        <v>4772</v>
      </c>
      <c r="G2444" t="s">
        <v>7493</v>
      </c>
      <c r="H2444" t="s">
        <v>4773</v>
      </c>
      <c r="I2444" t="s">
        <v>210</v>
      </c>
      <c r="J2444" t="s">
        <v>7703</v>
      </c>
      <c r="K2444" t="s">
        <v>7814</v>
      </c>
      <c r="L2444" t="s">
        <v>7702</v>
      </c>
      <c r="N2444" t="str" cm="1">
        <f t="array" ref="N2444">IFERROR(LOOKUP(2,1/SEARCH($S$2:$S$65,G2444),$T$2:$T$65),"Misc")</f>
        <v>COTS</v>
      </c>
      <c r="O2444" t="str" cm="1">
        <f t="array" ref="O2444">IFERROR(LOOKUP(2,1/SEARCH($V$2:$V$65,G2444),$W$2:$W$65),"Misc")</f>
        <v>Misc</v>
      </c>
      <c r="P2444" t="str" cm="1">
        <f t="array" ref="P2444">IFERROR(LOOKUP(2,1/SEARCH($Y$2:$Y$65,G2444),$Z$2:$Z$65),"Not Defined")</f>
        <v>MAGNET</v>
      </c>
      <c r="Q2444" t="str" cm="1">
        <f t="array" ref="Q2444">IFERROR(LOOKUP(2,1/SEARCH($S$2:$S$65,H2444),$T$2:$T$65),"-")</f>
        <v>COTS</v>
      </c>
    </row>
    <row r="2445" spans="1:17" hidden="1" x14ac:dyDescent="0.25">
      <c r="A2445" t="s">
        <v>7676</v>
      </c>
      <c r="B2445" t="s">
        <v>6167</v>
      </c>
      <c r="C2445">
        <v>1</v>
      </c>
      <c r="D2445" t="s">
        <v>7607</v>
      </c>
      <c r="E2445" t="s">
        <v>4770</v>
      </c>
      <c r="F2445" t="s">
        <v>4775</v>
      </c>
      <c r="G2445" t="s">
        <v>7494</v>
      </c>
      <c r="H2445" t="s">
        <v>4776</v>
      </c>
      <c r="I2445" t="s">
        <v>228</v>
      </c>
      <c r="J2445" t="s">
        <v>7703</v>
      </c>
      <c r="K2445" t="s">
        <v>7684</v>
      </c>
      <c r="L2445" t="s">
        <v>7739</v>
      </c>
      <c r="N2445" t="str" cm="1">
        <f t="array" ref="N2445">IFERROR(LOOKUP(2,1/SEARCH($S$2:$S$65,G2445),$T$2:$T$65),"Misc")</f>
        <v>COTS</v>
      </c>
      <c r="O2445" t="str" cm="1">
        <f t="array" ref="O2445">IFERROR(LOOKUP(2,1/SEARCH($V$2:$V$65,G2445),$W$2:$W$65),"Misc")</f>
        <v>Fasteners</v>
      </c>
      <c r="P2445" t="str" cm="1">
        <f t="array" ref="P2445">IFERROR(LOOKUP(2,1/SEARCH($Y$2:$Y$65,G2445),$Z$2:$Z$65),"Not Defined")</f>
        <v>BHCS</v>
      </c>
      <c r="Q2445" t="str" cm="1">
        <f t="array" ref="Q2445">IFERROR(LOOKUP(2,1/SEARCH($S$2:$S$65,H2445),$T$2:$T$65),"-")</f>
        <v>COTS</v>
      </c>
    </row>
    <row r="2446" spans="1:17" hidden="1" x14ac:dyDescent="0.25">
      <c r="A2446" t="s">
        <v>7676</v>
      </c>
      <c r="B2446" t="s">
        <v>6168</v>
      </c>
      <c r="C2446">
        <v>1</v>
      </c>
      <c r="D2446" t="s">
        <v>7607</v>
      </c>
      <c r="E2446" t="s">
        <v>4770</v>
      </c>
      <c r="F2446" t="s">
        <v>4778</v>
      </c>
      <c r="G2446" t="s">
        <v>7495</v>
      </c>
      <c r="H2446" t="s">
        <v>4779</v>
      </c>
      <c r="I2446" t="s">
        <v>210</v>
      </c>
      <c r="J2446" t="s">
        <v>7703</v>
      </c>
      <c r="K2446" t="s">
        <v>7684</v>
      </c>
      <c r="L2446" t="s">
        <v>7692</v>
      </c>
      <c r="N2446" t="str" cm="1">
        <f t="array" ref="N2446">IFERROR(LOOKUP(2,1/SEARCH($S$2:$S$65,G2446),$T$2:$T$65),"Misc")</f>
        <v>COTS</v>
      </c>
      <c r="O2446" t="str" cm="1">
        <f t="array" ref="O2446">IFERROR(LOOKUP(2,1/SEARCH($V$2:$V$65,G2446),$W$2:$W$65),"Misc")</f>
        <v>Fasteners</v>
      </c>
      <c r="P2446" t="str" cm="1">
        <f t="array" ref="P2446">IFERROR(LOOKUP(2,1/SEARCH($Y$2:$Y$65,G2446),$Z$2:$Z$65),"Not Defined")</f>
        <v>WASHER</v>
      </c>
      <c r="Q2446" t="str" cm="1">
        <f t="array" ref="Q2446">IFERROR(LOOKUP(2,1/SEARCH($S$2:$S$65,H2446),$T$2:$T$65),"-")</f>
        <v>COTS</v>
      </c>
    </row>
    <row r="2447" spans="1:17" hidden="1" x14ac:dyDescent="0.25">
      <c r="A2447" t="s">
        <v>7676</v>
      </c>
      <c r="B2447" t="s">
        <v>6169</v>
      </c>
      <c r="C2447">
        <v>1</v>
      </c>
      <c r="D2447" t="s">
        <v>7607</v>
      </c>
      <c r="E2447" t="s">
        <v>4770</v>
      </c>
      <c r="F2447" t="s">
        <v>4781</v>
      </c>
      <c r="G2447" t="s">
        <v>7496</v>
      </c>
      <c r="H2447" t="s">
        <v>4782</v>
      </c>
      <c r="I2447" t="s">
        <v>210</v>
      </c>
      <c r="J2447" t="s">
        <v>7744</v>
      </c>
      <c r="K2447" t="s">
        <v>7826</v>
      </c>
      <c r="L2447" t="s">
        <v>7826</v>
      </c>
      <c r="N2447" t="str" cm="1">
        <f t="array" ref="N2447">IFERROR(LOOKUP(2,1/SEARCH($S$2:$S$65,G2447),$T$2:$T$65),"Misc")</f>
        <v>OH Common</v>
      </c>
      <c r="O2447" t="str" cm="1">
        <f t="array" ref="O2447">IFERROR(LOOKUP(2,1/SEARCH($V$2:$V$65,G2447),$W$2:$W$65),"Misc")</f>
        <v>OH Part</v>
      </c>
      <c r="P2447" t="str" cm="1">
        <f t="array" ref="P2447">IFERROR(LOOKUP(2,1/SEARCH($Y$2:$Y$65,G2447),$Z$2:$Z$65),"Not Defined")</f>
        <v>OH Part</v>
      </c>
      <c r="Q2447" t="str" cm="1">
        <f t="array" ref="Q2447">IFERROR(LOOKUP(2,1/SEARCH($S$2:$S$65,H2447),$T$2:$T$65),"-")</f>
        <v>COTS</v>
      </c>
    </row>
    <row r="2448" spans="1:17" hidden="1" x14ac:dyDescent="0.25">
      <c r="A2448" t="s">
        <v>7676</v>
      </c>
      <c r="B2448" t="s">
        <v>6170</v>
      </c>
      <c r="C2448">
        <v>1</v>
      </c>
      <c r="D2448" t="s">
        <v>7607</v>
      </c>
      <c r="E2448" t="s">
        <v>4770</v>
      </c>
      <c r="F2448" t="s">
        <v>4784</v>
      </c>
      <c r="G2448" t="s">
        <v>7497</v>
      </c>
      <c r="H2448" t="s">
        <v>4785</v>
      </c>
      <c r="I2448" t="s">
        <v>210</v>
      </c>
      <c r="J2448" t="s">
        <v>7703</v>
      </c>
      <c r="K2448" t="s">
        <v>7684</v>
      </c>
      <c r="L2448" t="s">
        <v>7708</v>
      </c>
      <c r="N2448" t="str" cm="1">
        <f t="array" ref="N2448">IFERROR(LOOKUP(2,1/SEARCH($S$2:$S$65,G2448),$T$2:$T$65),"Misc")</f>
        <v>COTS</v>
      </c>
      <c r="O2448" t="str" cm="1">
        <f t="array" ref="O2448">IFERROR(LOOKUP(2,1/SEARCH($V$2:$V$65,G2448),$W$2:$W$65),"Misc")</f>
        <v>Fasteners</v>
      </c>
      <c r="P2448" t="str" cm="1">
        <f t="array" ref="P2448">IFERROR(LOOKUP(2,1/SEARCH($Y$2:$Y$65,G2448),$Z$2:$Z$65),"Not Defined")</f>
        <v>STANDOFF</v>
      </c>
      <c r="Q2448" t="str" cm="1">
        <f t="array" ref="Q2448">IFERROR(LOOKUP(2,1/SEARCH($S$2:$S$65,H2448),$T$2:$T$65),"-")</f>
        <v>COTS</v>
      </c>
    </row>
    <row r="2449" spans="1:17" hidden="1" x14ac:dyDescent="0.25">
      <c r="A2449" t="s">
        <v>7676</v>
      </c>
      <c r="B2449" t="s">
        <v>6171</v>
      </c>
      <c r="C2449">
        <v>1</v>
      </c>
      <c r="D2449" t="s">
        <v>7607</v>
      </c>
      <c r="E2449" t="s">
        <v>4770</v>
      </c>
      <c r="F2449" t="s">
        <v>4787</v>
      </c>
      <c r="G2449" t="s">
        <v>7498</v>
      </c>
      <c r="H2449" t="s">
        <v>4788</v>
      </c>
      <c r="J2449" t="s">
        <v>7703</v>
      </c>
      <c r="K2449" t="s">
        <v>7677</v>
      </c>
      <c r="L2449" t="s">
        <v>7677</v>
      </c>
      <c r="N2449" t="str" cm="1">
        <f t="array" ref="N2449">IFERROR(LOOKUP(2,1/SEARCH($S$2:$S$65,G2449),$T$2:$T$65),"Misc")</f>
        <v>COTS</v>
      </c>
      <c r="O2449" t="str" cm="1">
        <f t="array" ref="O2449">IFERROR(LOOKUP(2,1/SEARCH($V$2:$V$65,G2449),$W$2:$W$65),"Misc")</f>
        <v>SWITCH</v>
      </c>
      <c r="P2449" t="str" cm="1">
        <f t="array" ref="P2449">IFERROR(LOOKUP(2,1/SEARCH($Y$2:$Y$65,G2449),$Z$2:$Z$65),"Not Defined")</f>
        <v>SWITCH</v>
      </c>
      <c r="Q2449" t="str" cm="1">
        <f t="array" ref="Q2449">IFERROR(LOOKUP(2,1/SEARCH($S$2:$S$65,H2449),$T$2:$T$65),"-")</f>
        <v>COTS</v>
      </c>
    </row>
    <row r="2450" spans="1:17" hidden="1" x14ac:dyDescent="0.25">
      <c r="A2450" t="s">
        <v>7676</v>
      </c>
      <c r="B2450" t="s">
        <v>6172</v>
      </c>
      <c r="C2450">
        <v>1</v>
      </c>
      <c r="D2450" t="s">
        <v>7607</v>
      </c>
      <c r="F2450" t="s">
        <v>1516</v>
      </c>
      <c r="G2450" t="s">
        <v>7216</v>
      </c>
      <c r="H2450" t="s">
        <v>1517</v>
      </c>
      <c r="I2450" t="s">
        <v>299</v>
      </c>
      <c r="J2450" t="s">
        <v>7744</v>
      </c>
      <c r="K2450" t="s">
        <v>7826</v>
      </c>
      <c r="L2450" t="s">
        <v>7826</v>
      </c>
      <c r="N2450" t="str" cm="1">
        <f t="array" ref="N2450">IFERROR(LOOKUP(2,1/SEARCH($S$2:$S$65,G2450),$T$2:$T$65),"Misc")</f>
        <v>OH Common</v>
      </c>
      <c r="O2450" t="str" cm="1">
        <f t="array" ref="O2450">IFERROR(LOOKUP(2,1/SEARCH($V$2:$V$65,G2450),$W$2:$W$65),"Misc")</f>
        <v>OH Part</v>
      </c>
      <c r="P2450" t="str" cm="1">
        <f t="array" ref="P2450">IFERROR(LOOKUP(2,1/SEARCH($Y$2:$Y$65,G2450),$Z$2:$Z$65),"Not Defined")</f>
        <v>OH Part</v>
      </c>
      <c r="Q2450" t="str" cm="1">
        <f t="array" ref="Q2450">IFERROR(LOOKUP(2,1/SEARCH($S$2:$S$65,H2450),$T$2:$T$65),"-")</f>
        <v>COTS</v>
      </c>
    </row>
    <row r="2451" spans="1:17" hidden="1" x14ac:dyDescent="0.25">
      <c r="A2451" t="s">
        <v>7676</v>
      </c>
      <c r="B2451" t="s">
        <v>6173</v>
      </c>
      <c r="C2451">
        <v>1</v>
      </c>
      <c r="D2451" t="s">
        <v>7607</v>
      </c>
      <c r="E2451" t="s">
        <v>614</v>
      </c>
      <c r="F2451" t="s">
        <v>613</v>
      </c>
      <c r="G2451" t="s">
        <v>7110</v>
      </c>
      <c r="H2451" t="s">
        <v>614</v>
      </c>
      <c r="I2451" t="s">
        <v>255</v>
      </c>
      <c r="J2451" t="s">
        <v>7815</v>
      </c>
      <c r="K2451" t="s">
        <v>7717</v>
      </c>
      <c r="L2451" t="s">
        <v>7717</v>
      </c>
      <c r="N2451" t="str" cm="1">
        <f t="array" ref="N2451">IFERROR(LOOKUP(2,1/SEARCH($S$2:$S$65,G2451),$T$2:$T$65),"Misc")</f>
        <v>OH ASSY</v>
      </c>
      <c r="O2451" t="str" cm="1">
        <f t="array" ref="O2451">IFERROR(LOOKUP(2,1/SEARCH($V$2:$V$65,G2451),$W$2:$W$65),"Misc")</f>
        <v>ABSIS</v>
      </c>
      <c r="P2451" t="str" cm="1">
        <f t="array" ref="P2451">IFERROR(LOOKUP(2,1/SEARCH($Y$2:$Y$65,G2451),$Z$2:$Z$65),"Not Defined")</f>
        <v>ABSIS</v>
      </c>
      <c r="Q2451" t="str" cm="1">
        <f t="array" ref="Q2451">IFERROR(LOOKUP(2,1/SEARCH($S$2:$S$65,H2451),$T$2:$T$65),"-")</f>
        <v>OH ASSY</v>
      </c>
    </row>
    <row r="2452" spans="1:17" hidden="1" x14ac:dyDescent="0.25">
      <c r="A2452" t="s">
        <v>7676</v>
      </c>
      <c r="B2452" t="s">
        <v>6174</v>
      </c>
      <c r="C2452">
        <v>1</v>
      </c>
      <c r="D2452" t="s">
        <v>7607</v>
      </c>
      <c r="E2452" t="s">
        <v>614</v>
      </c>
      <c r="F2452" t="s">
        <v>616</v>
      </c>
      <c r="G2452" t="s">
        <v>7111</v>
      </c>
      <c r="H2452" t="s">
        <v>617</v>
      </c>
      <c r="I2452" t="s">
        <v>255</v>
      </c>
      <c r="J2452" t="s">
        <v>7717</v>
      </c>
      <c r="K2452" t="s">
        <v>7717</v>
      </c>
      <c r="L2452" t="s">
        <v>7717</v>
      </c>
      <c r="N2452" t="str" cm="1">
        <f t="array" ref="N2452">IFERROR(LOOKUP(2,1/SEARCH($S$2:$S$65,G2452),$T$2:$T$65),"Misc")</f>
        <v>ABSIS</v>
      </c>
      <c r="O2452" t="str" cm="1">
        <f t="array" ref="O2452">IFERROR(LOOKUP(2,1/SEARCH($V$2:$V$65,G2452),$W$2:$W$65),"Misc")</f>
        <v>ABSIS</v>
      </c>
      <c r="P2452" t="str" cm="1">
        <f t="array" ref="P2452">IFERROR(LOOKUP(2,1/SEARCH($Y$2:$Y$65,G2452),$Z$2:$Z$65),"Not Defined")</f>
        <v>ABSIS</v>
      </c>
      <c r="Q2452" t="str" cm="1">
        <f t="array" ref="Q2452">IFERROR(LOOKUP(2,1/SEARCH($S$2:$S$65,H2452),$T$2:$T$65),"-")</f>
        <v>ABSIS</v>
      </c>
    </row>
    <row r="2453" spans="1:17" hidden="1" x14ac:dyDescent="0.25">
      <c r="A2453" t="s">
        <v>7676</v>
      </c>
      <c r="B2453" t="s">
        <v>6175</v>
      </c>
      <c r="C2453">
        <v>1</v>
      </c>
      <c r="D2453" t="s">
        <v>7607</v>
      </c>
      <c r="E2453" t="s">
        <v>614</v>
      </c>
      <c r="F2453" t="s">
        <v>596</v>
      </c>
      <c r="G2453" t="s">
        <v>7108</v>
      </c>
      <c r="H2453" t="s">
        <v>597</v>
      </c>
      <c r="I2453" t="s">
        <v>255</v>
      </c>
      <c r="J2453" t="s">
        <v>7703</v>
      </c>
      <c r="K2453" t="s">
        <v>7713</v>
      </c>
      <c r="L2453" t="s">
        <v>7713</v>
      </c>
      <c r="N2453" t="str" cm="1">
        <f t="array" ref="N2453">IFERROR(LOOKUP(2,1/SEARCH($S$2:$S$65,G2453),$T$2:$T$65),"Misc")</f>
        <v>COTS</v>
      </c>
      <c r="O2453" t="str" cm="1">
        <f t="array" ref="O2453">IFERROR(LOOKUP(2,1/SEARCH($V$2:$V$65,G2453),$W$2:$W$65),"Misc")</f>
        <v>ARDUINO</v>
      </c>
      <c r="P2453" t="str" cm="1">
        <f t="array" ref="P2453">IFERROR(LOOKUP(2,1/SEARCH($Y$2:$Y$65,G2453),$Z$2:$Z$65),"Not Defined")</f>
        <v>ARDUINO</v>
      </c>
      <c r="Q2453" t="str" cm="1">
        <f t="array" ref="Q2453">IFERROR(LOOKUP(2,1/SEARCH($S$2:$S$65,H2453),$T$2:$T$65),"-")</f>
        <v>COTS</v>
      </c>
    </row>
    <row r="2454" spans="1:17" hidden="1" x14ac:dyDescent="0.25">
      <c r="A2454" t="s">
        <v>7676</v>
      </c>
      <c r="B2454" t="s">
        <v>6176</v>
      </c>
      <c r="C2454">
        <v>2</v>
      </c>
      <c r="D2454" t="s">
        <v>7607</v>
      </c>
      <c r="F2454" t="s">
        <v>4844</v>
      </c>
      <c r="G2454" t="s">
        <v>7505</v>
      </c>
      <c r="H2454" t="s">
        <v>4845</v>
      </c>
      <c r="I2454" t="s">
        <v>224</v>
      </c>
      <c r="J2454" t="s">
        <v>7703</v>
      </c>
      <c r="K2454" t="s">
        <v>7677</v>
      </c>
      <c r="L2454" t="s">
        <v>7685</v>
      </c>
      <c r="N2454" t="str" cm="1">
        <f t="array" ref="N2454">IFERROR(LOOKUP(2,1/SEARCH($S$2:$S$65,G2454),$T$2:$T$65),"Misc")</f>
        <v>COTS</v>
      </c>
      <c r="O2454" t="str" cm="1">
        <f t="array" ref="O2454">IFERROR(LOOKUP(2,1/SEARCH($V$2:$V$65,G2454),$W$2:$W$65),"Misc")</f>
        <v>SWITCH</v>
      </c>
      <c r="P2454" t="str" cm="1">
        <f t="array" ref="P2454">IFERROR(LOOKUP(2,1/SEARCH($Y$2:$Y$65,G2454),$Z$2:$Z$65),"Not Defined")</f>
        <v>NUT</v>
      </c>
      <c r="Q2454" t="str" cm="1">
        <f t="array" ref="Q2454">IFERROR(LOOKUP(2,1/SEARCH($S$2:$S$65,H2454),$T$2:$T$65),"-")</f>
        <v>COTS</v>
      </c>
    </row>
    <row r="2455" spans="1:17" hidden="1" x14ac:dyDescent="0.25">
      <c r="A2455" t="s">
        <v>7676</v>
      </c>
      <c r="B2455" s="19">
        <v>4.7</v>
      </c>
      <c r="C2455">
        <v>1</v>
      </c>
      <c r="D2455" t="s">
        <v>7610</v>
      </c>
      <c r="F2455" t="s">
        <v>6177</v>
      </c>
      <c r="G2455" t="s">
        <v>7610</v>
      </c>
      <c r="H2455" t="s">
        <v>6178</v>
      </c>
      <c r="J2455" t="s">
        <v>7742</v>
      </c>
      <c r="K2455" t="s">
        <v>7826</v>
      </c>
      <c r="L2455" t="s">
        <v>7826</v>
      </c>
      <c r="N2455" t="str" cm="1">
        <f t="array" ref="N2455">IFERROR(LOOKUP(2,1/SEARCH($S$2:$S$65,G2455),$T$2:$T$65),"Misc")</f>
        <v>OH ASSY</v>
      </c>
      <c r="O2455" t="str" cm="1">
        <f t="array" ref="O2455">IFERROR(LOOKUP(2,1/SEARCH($V$2:$V$65,G2455),$W$2:$W$65),"Misc")</f>
        <v>OH Part</v>
      </c>
      <c r="P2455" t="str" cm="1">
        <f t="array" ref="P2455">IFERROR(LOOKUP(2,1/SEARCH($Y$2:$Y$65,G2455),$Z$2:$Z$65),"Not Defined")</f>
        <v>OH Part</v>
      </c>
      <c r="Q2455" t="str" cm="1">
        <f t="array" ref="Q2455">IFERROR(LOOKUP(2,1/SEARCH($S$2:$S$65,H2455),$T$2:$T$65),"-")</f>
        <v>OH ASSY</v>
      </c>
    </row>
    <row r="2456" spans="1:17" hidden="1" x14ac:dyDescent="0.25">
      <c r="A2456" t="s">
        <v>7676</v>
      </c>
      <c r="B2456" t="s">
        <v>6179</v>
      </c>
      <c r="C2456">
        <v>1</v>
      </c>
      <c r="D2456" t="s">
        <v>7610</v>
      </c>
      <c r="F2456" t="s">
        <v>6180</v>
      </c>
      <c r="G2456" t="s">
        <v>6182</v>
      </c>
      <c r="H2456" t="s">
        <v>6181</v>
      </c>
      <c r="I2456" t="s">
        <v>255</v>
      </c>
      <c r="J2456" t="s">
        <v>7682</v>
      </c>
      <c r="K2456" t="s">
        <v>7826</v>
      </c>
      <c r="L2456" t="s">
        <v>7826</v>
      </c>
      <c r="N2456" t="str" cm="1">
        <f t="array" ref="N2456">IFERROR(LOOKUP(2,1/SEARCH($S$2:$S$65,G2456),$T$2:$T$65),"Misc")</f>
        <v>OH P/N</v>
      </c>
      <c r="O2456" t="str" cm="1">
        <f t="array" ref="O2456">IFERROR(LOOKUP(2,1/SEARCH($V$2:$V$65,G2456),$W$2:$W$65),"Misc")</f>
        <v>OH Part</v>
      </c>
      <c r="P2456" t="str" cm="1">
        <f t="array" ref="P2456">IFERROR(LOOKUP(2,1/SEARCH($Y$2:$Y$65,G2456),$Z$2:$Z$65),"Not Defined")</f>
        <v>OH Part</v>
      </c>
      <c r="Q2456" t="str" cm="1">
        <f t="array" ref="Q2456">IFERROR(LOOKUP(2,1/SEARCH($S$2:$S$65,H2456),$T$2:$T$65),"-")</f>
        <v>-</v>
      </c>
    </row>
    <row r="2457" spans="1:17" hidden="1" x14ac:dyDescent="0.25">
      <c r="A2457" t="s">
        <v>7676</v>
      </c>
      <c r="B2457" t="s">
        <v>6183</v>
      </c>
      <c r="C2457">
        <v>1</v>
      </c>
      <c r="D2457" t="s">
        <v>7610</v>
      </c>
      <c r="F2457" t="s">
        <v>6184</v>
      </c>
      <c r="G2457" t="s">
        <v>6186</v>
      </c>
      <c r="H2457" t="s">
        <v>6185</v>
      </c>
      <c r="I2457" t="s">
        <v>293</v>
      </c>
      <c r="J2457" t="s">
        <v>7682</v>
      </c>
      <c r="K2457" t="s">
        <v>7826</v>
      </c>
      <c r="L2457" t="s">
        <v>7826</v>
      </c>
      <c r="N2457" t="str" cm="1">
        <f t="array" ref="N2457">IFERROR(LOOKUP(2,1/SEARCH($S$2:$S$65,G2457),$T$2:$T$65),"Misc")</f>
        <v>OH P/N</v>
      </c>
      <c r="O2457" t="str" cm="1">
        <f t="array" ref="O2457">IFERROR(LOOKUP(2,1/SEARCH($V$2:$V$65,G2457),$W$2:$W$65),"Misc")</f>
        <v>OH Part</v>
      </c>
      <c r="P2457" t="str" cm="1">
        <f t="array" ref="P2457">IFERROR(LOOKUP(2,1/SEARCH($Y$2:$Y$65,G2457),$Z$2:$Z$65),"Not Defined")</f>
        <v>OH Part</v>
      </c>
      <c r="Q2457" t="str" cm="1">
        <f t="array" ref="Q2457">IFERROR(LOOKUP(2,1/SEARCH($S$2:$S$65,H2457),$T$2:$T$65),"-")</f>
        <v>-</v>
      </c>
    </row>
    <row r="2458" spans="1:17" hidden="1" x14ac:dyDescent="0.25">
      <c r="A2458" t="s">
        <v>7676</v>
      </c>
      <c r="B2458" t="s">
        <v>6187</v>
      </c>
      <c r="C2458">
        <v>1</v>
      </c>
      <c r="D2458" t="s">
        <v>7610</v>
      </c>
      <c r="F2458" t="s">
        <v>6188</v>
      </c>
      <c r="G2458" t="s">
        <v>6190</v>
      </c>
      <c r="H2458" t="s">
        <v>6189</v>
      </c>
      <c r="I2458" t="s">
        <v>293</v>
      </c>
      <c r="J2458" t="s">
        <v>7682</v>
      </c>
      <c r="K2458" t="s">
        <v>7826</v>
      </c>
      <c r="L2458" t="s">
        <v>7826</v>
      </c>
      <c r="N2458" t="str" cm="1">
        <f t="array" ref="N2458">IFERROR(LOOKUP(2,1/SEARCH($S$2:$S$65,G2458),$T$2:$T$65),"Misc")</f>
        <v>OH P/N</v>
      </c>
      <c r="O2458" t="str" cm="1">
        <f t="array" ref="O2458">IFERROR(LOOKUP(2,1/SEARCH($V$2:$V$65,G2458),$W$2:$W$65),"Misc")</f>
        <v>OH Part</v>
      </c>
      <c r="P2458" t="str" cm="1">
        <f t="array" ref="P2458">IFERROR(LOOKUP(2,1/SEARCH($Y$2:$Y$65,G2458),$Z$2:$Z$65),"Not Defined")</f>
        <v>OH Part</v>
      </c>
      <c r="Q2458" t="str" cm="1">
        <f t="array" ref="Q2458">IFERROR(LOOKUP(2,1/SEARCH($S$2:$S$65,H2458),$T$2:$T$65),"-")</f>
        <v>-</v>
      </c>
    </row>
    <row r="2459" spans="1:17" hidden="1" x14ac:dyDescent="0.25">
      <c r="A2459" t="s">
        <v>7676</v>
      </c>
      <c r="B2459" t="s">
        <v>6191</v>
      </c>
      <c r="C2459">
        <v>1</v>
      </c>
      <c r="D2459" t="s">
        <v>7610</v>
      </c>
      <c r="F2459" t="s">
        <v>6192</v>
      </c>
      <c r="G2459" t="s">
        <v>6194</v>
      </c>
      <c r="H2459" t="s">
        <v>6193</v>
      </c>
      <c r="I2459" t="s">
        <v>281</v>
      </c>
      <c r="J2459" t="s">
        <v>7682</v>
      </c>
      <c r="K2459" t="s">
        <v>7826</v>
      </c>
      <c r="L2459" t="s">
        <v>7826</v>
      </c>
      <c r="N2459" t="str" cm="1">
        <f t="array" ref="N2459">IFERROR(LOOKUP(2,1/SEARCH($S$2:$S$65,G2459),$T$2:$T$65),"Misc")</f>
        <v>OH P/N</v>
      </c>
      <c r="O2459" t="str" cm="1">
        <f t="array" ref="O2459">IFERROR(LOOKUP(2,1/SEARCH($V$2:$V$65,G2459),$W$2:$W$65),"Misc")</f>
        <v>OH Part</v>
      </c>
      <c r="P2459" t="str" cm="1">
        <f t="array" ref="P2459">IFERROR(LOOKUP(2,1/SEARCH($Y$2:$Y$65,G2459),$Z$2:$Z$65),"Not Defined")</f>
        <v>OH Part</v>
      </c>
      <c r="Q2459" t="str" cm="1">
        <f t="array" ref="Q2459">IFERROR(LOOKUP(2,1/SEARCH($S$2:$S$65,H2459),$T$2:$T$65),"-")</f>
        <v>-</v>
      </c>
    </row>
    <row r="2460" spans="1:17" hidden="1" x14ac:dyDescent="0.25">
      <c r="A2460" t="s">
        <v>7676</v>
      </c>
      <c r="B2460" t="s">
        <v>6195</v>
      </c>
      <c r="C2460">
        <v>1</v>
      </c>
      <c r="D2460" t="s">
        <v>7610</v>
      </c>
      <c r="E2460" t="s">
        <v>4828</v>
      </c>
      <c r="F2460" t="s">
        <v>4827</v>
      </c>
      <c r="G2460" t="s">
        <v>7502</v>
      </c>
      <c r="H2460" t="s">
        <v>4828</v>
      </c>
      <c r="J2460" t="s">
        <v>7744</v>
      </c>
      <c r="K2460" t="s">
        <v>7826</v>
      </c>
      <c r="L2460" t="s">
        <v>7826</v>
      </c>
      <c r="N2460" t="str" cm="1">
        <f t="array" ref="N2460">IFERROR(LOOKUP(2,1/SEARCH($S$2:$S$65,G2460),$T$2:$T$65),"Misc")</f>
        <v>OH Common</v>
      </c>
      <c r="O2460" t="str" cm="1">
        <f t="array" ref="O2460">IFERROR(LOOKUP(2,1/SEARCH($V$2:$V$65,G2460),$W$2:$W$65),"Misc")</f>
        <v>OH Part</v>
      </c>
      <c r="P2460" t="str" cm="1">
        <f t="array" ref="P2460">IFERROR(LOOKUP(2,1/SEARCH($Y$2:$Y$65,G2460),$Z$2:$Z$65),"Not Defined")</f>
        <v>OH Part</v>
      </c>
      <c r="Q2460" t="str" cm="1">
        <f t="array" ref="Q2460">IFERROR(LOOKUP(2,1/SEARCH($S$2:$S$65,H2460),$T$2:$T$65),"-")</f>
        <v>OH ASSY</v>
      </c>
    </row>
    <row r="2461" spans="1:17" hidden="1" x14ac:dyDescent="0.25">
      <c r="A2461" t="s">
        <v>7676</v>
      </c>
      <c r="B2461" t="s">
        <v>6196</v>
      </c>
      <c r="C2461">
        <v>1</v>
      </c>
      <c r="D2461" t="s">
        <v>7610</v>
      </c>
      <c r="E2461" t="s">
        <v>4828</v>
      </c>
      <c r="F2461" t="s">
        <v>1513</v>
      </c>
      <c r="G2461" t="s">
        <v>7215</v>
      </c>
      <c r="H2461" t="s">
        <v>1514</v>
      </c>
      <c r="I2461" t="s">
        <v>255</v>
      </c>
      <c r="J2461" t="s">
        <v>7703</v>
      </c>
      <c r="K2461" t="s">
        <v>7677</v>
      </c>
      <c r="L2461" t="s">
        <v>7677</v>
      </c>
      <c r="N2461" t="str" cm="1">
        <f t="array" ref="N2461">IFERROR(LOOKUP(2,1/SEARCH($S$2:$S$65,G2461),$T$2:$T$65),"Misc")</f>
        <v>COTS</v>
      </c>
      <c r="O2461" t="str" cm="1">
        <f t="array" ref="O2461">IFERROR(LOOKUP(2,1/SEARCH($V$2:$V$65,G2461),$W$2:$W$65),"Misc")</f>
        <v>SWITCH</v>
      </c>
      <c r="P2461" t="str" cm="1">
        <f t="array" ref="P2461">IFERROR(LOOKUP(2,1/SEARCH($Y$2:$Y$65,G2461),$Z$2:$Z$65),"Not Defined")</f>
        <v>SWITCH</v>
      </c>
      <c r="Q2461" t="str" cm="1">
        <f t="array" ref="Q2461">IFERROR(LOOKUP(2,1/SEARCH($S$2:$S$65,H2461),$T$2:$T$65),"-")</f>
        <v>COTS</v>
      </c>
    </row>
    <row r="2462" spans="1:17" hidden="1" x14ac:dyDescent="0.25">
      <c r="A2462" t="s">
        <v>7676</v>
      </c>
      <c r="B2462" t="s">
        <v>6197</v>
      </c>
      <c r="C2462">
        <v>1</v>
      </c>
      <c r="D2462" t="s">
        <v>7610</v>
      </c>
      <c r="E2462" t="s">
        <v>4828</v>
      </c>
      <c r="F2462" t="s">
        <v>1525</v>
      </c>
      <c r="G2462" t="s">
        <v>7219</v>
      </c>
      <c r="H2462" t="s">
        <v>1526</v>
      </c>
      <c r="I2462" t="s">
        <v>299</v>
      </c>
      <c r="J2462" t="s">
        <v>7744</v>
      </c>
      <c r="K2462" t="s">
        <v>7826</v>
      </c>
      <c r="L2462" t="s">
        <v>7826</v>
      </c>
      <c r="N2462" t="str" cm="1">
        <f t="array" ref="N2462">IFERROR(LOOKUP(2,1/SEARCH($S$2:$S$65,G2462),$T$2:$T$65),"Misc")</f>
        <v>OH Common</v>
      </c>
      <c r="O2462" t="str" cm="1">
        <f t="array" ref="O2462">IFERROR(LOOKUP(2,1/SEARCH($V$2:$V$65,G2462),$W$2:$W$65),"Misc")</f>
        <v>OH Part</v>
      </c>
      <c r="P2462" t="str" cm="1">
        <f t="array" ref="P2462">IFERROR(LOOKUP(2,1/SEARCH($Y$2:$Y$65,G2462),$Z$2:$Z$65),"Not Defined")</f>
        <v>OH Part</v>
      </c>
      <c r="Q2462" t="str" cm="1">
        <f t="array" ref="Q2462">IFERROR(LOOKUP(2,1/SEARCH($S$2:$S$65,H2462),$T$2:$T$65),"-")</f>
        <v>COTS</v>
      </c>
    </row>
    <row r="2463" spans="1:17" hidden="1" x14ac:dyDescent="0.25">
      <c r="A2463" t="s">
        <v>7676</v>
      </c>
      <c r="B2463" t="s">
        <v>6198</v>
      </c>
      <c r="C2463">
        <v>1</v>
      </c>
      <c r="D2463" t="s">
        <v>7610</v>
      </c>
      <c r="F2463" t="s">
        <v>4280</v>
      </c>
      <c r="G2463" t="s">
        <v>7444</v>
      </c>
      <c r="H2463" t="s">
        <v>4281</v>
      </c>
      <c r="I2463" t="s">
        <v>1265</v>
      </c>
      <c r="J2463" t="s">
        <v>7703</v>
      </c>
      <c r="K2463" t="s">
        <v>7719</v>
      </c>
      <c r="L2463" t="s">
        <v>7677</v>
      </c>
      <c r="N2463" t="str" cm="1">
        <f t="array" ref="N2463">IFERROR(LOOKUP(2,1/SEARCH($S$2:$S$65,G2463),$T$2:$T$65),"Misc")</f>
        <v>COTS</v>
      </c>
      <c r="O2463" t="str" cm="1">
        <f t="array" ref="O2463">IFERROR(LOOKUP(2,1/SEARCH($V$2:$V$65,G2463),$W$2:$W$65),"Misc")</f>
        <v>Misc</v>
      </c>
      <c r="P2463" t="str" cm="1">
        <f t="array" ref="P2463">IFERROR(LOOKUP(2,1/SEARCH($Y$2:$Y$65,G2463),$Z$2:$Z$65),"Not Defined")</f>
        <v>SWITCH</v>
      </c>
      <c r="Q2463" t="str" cm="1">
        <f t="array" ref="Q2463">IFERROR(LOOKUP(2,1/SEARCH($S$2:$S$65,H2463),$T$2:$T$65),"-")</f>
        <v>COTS</v>
      </c>
    </row>
    <row r="2464" spans="1:17" hidden="1" x14ac:dyDescent="0.25">
      <c r="A2464" t="s">
        <v>7676</v>
      </c>
      <c r="B2464" t="s">
        <v>6199</v>
      </c>
      <c r="C2464">
        <v>1</v>
      </c>
      <c r="D2464" t="s">
        <v>7610</v>
      </c>
      <c r="F2464" t="s">
        <v>2089</v>
      </c>
      <c r="G2464" t="s">
        <v>7250</v>
      </c>
      <c r="H2464" t="s">
        <v>2090</v>
      </c>
      <c r="I2464" t="s">
        <v>228</v>
      </c>
      <c r="J2464" t="s">
        <v>7703</v>
      </c>
      <c r="K2464" t="s">
        <v>7684</v>
      </c>
      <c r="L2464" t="s">
        <v>7677</v>
      </c>
      <c r="N2464" t="str" cm="1">
        <f t="array" ref="N2464">IFERROR(LOOKUP(2,1/SEARCH($S$2:$S$65,G2464),$T$2:$T$65),"Misc")</f>
        <v>COTS</v>
      </c>
      <c r="O2464" t="str" cm="1">
        <f t="array" ref="O2464">IFERROR(LOOKUP(2,1/SEARCH($V$2:$V$65,G2464),$W$2:$W$65),"Misc")</f>
        <v>Fasteners</v>
      </c>
      <c r="P2464" t="str" cm="1">
        <f t="array" ref="P2464">IFERROR(LOOKUP(2,1/SEARCH($Y$2:$Y$65,G2464),$Z$2:$Z$65),"Not Defined")</f>
        <v>SWITCH</v>
      </c>
      <c r="Q2464" t="str" cm="1">
        <f t="array" ref="Q2464">IFERROR(LOOKUP(2,1/SEARCH($S$2:$S$65,H2464),$T$2:$T$65),"-")</f>
        <v>COTS</v>
      </c>
    </row>
    <row r="2465" spans="1:17" hidden="1" x14ac:dyDescent="0.25">
      <c r="A2465" t="s">
        <v>7676</v>
      </c>
      <c r="B2465" t="s">
        <v>6200</v>
      </c>
      <c r="C2465">
        <v>1</v>
      </c>
      <c r="D2465" t="s">
        <v>7610</v>
      </c>
      <c r="F2465" t="s">
        <v>1528</v>
      </c>
      <c r="G2465" t="s">
        <v>7220</v>
      </c>
      <c r="H2465" t="s">
        <v>1529</v>
      </c>
      <c r="I2465" t="s">
        <v>228</v>
      </c>
      <c r="J2465" t="s">
        <v>7703</v>
      </c>
      <c r="K2465" t="s">
        <v>7677</v>
      </c>
      <c r="L2465" t="s">
        <v>7685</v>
      </c>
      <c r="N2465" t="str" cm="1">
        <f t="array" ref="N2465">IFERROR(LOOKUP(2,1/SEARCH($S$2:$S$65,G2465),$T$2:$T$65),"Misc")</f>
        <v>COTS</v>
      </c>
      <c r="O2465" t="str" cm="1">
        <f t="array" ref="O2465">IFERROR(LOOKUP(2,1/SEARCH($V$2:$V$65,G2465),$W$2:$W$65),"Misc")</f>
        <v>SWITCH</v>
      </c>
      <c r="P2465" t="str" cm="1">
        <f t="array" ref="P2465">IFERROR(LOOKUP(2,1/SEARCH($Y$2:$Y$65,G2465),$Z$2:$Z$65),"Not Defined")</f>
        <v>NUT</v>
      </c>
      <c r="Q2465" t="str" cm="1">
        <f t="array" ref="Q2465">IFERROR(LOOKUP(2,1/SEARCH($S$2:$S$65,H2465),$T$2:$T$65),"-")</f>
        <v>COTS</v>
      </c>
    </row>
    <row r="2466" spans="1:17" hidden="1" x14ac:dyDescent="0.25">
      <c r="A2466" t="s">
        <v>7676</v>
      </c>
      <c r="B2466" t="s">
        <v>6201</v>
      </c>
      <c r="C2466">
        <v>2</v>
      </c>
      <c r="D2466" t="s">
        <v>7610</v>
      </c>
      <c r="F2466" t="s">
        <v>563</v>
      </c>
      <c r="G2466" t="s">
        <v>7100</v>
      </c>
      <c r="H2466" t="s">
        <v>564</v>
      </c>
      <c r="I2466" t="s">
        <v>228</v>
      </c>
      <c r="J2466" t="s">
        <v>7703</v>
      </c>
      <c r="K2466" t="s">
        <v>7684</v>
      </c>
      <c r="L2466" t="s">
        <v>7693</v>
      </c>
      <c r="N2466" t="str" cm="1">
        <f t="array" ref="N2466">IFERROR(LOOKUP(2,1/SEARCH($S$2:$S$65,G2466),$T$2:$T$65),"Misc")</f>
        <v>COTS</v>
      </c>
      <c r="O2466" t="str" cm="1">
        <f t="array" ref="O2466">IFERROR(LOOKUP(2,1/SEARCH($V$2:$V$65,G2466),$W$2:$W$65),"Misc")</f>
        <v>Fasteners</v>
      </c>
      <c r="P2466" t="str" cm="1">
        <f t="array" ref="P2466">IFERROR(LOOKUP(2,1/SEARCH($Y$2:$Y$65,G2466),$Z$2:$Z$65),"Not Defined")</f>
        <v>PHS</v>
      </c>
      <c r="Q2466" t="str" cm="1">
        <f t="array" ref="Q2466">IFERROR(LOOKUP(2,1/SEARCH($S$2:$S$65,H2466),$T$2:$T$65),"-")</f>
        <v>COTS</v>
      </c>
    </row>
    <row r="2467" spans="1:17" hidden="1" x14ac:dyDescent="0.25">
      <c r="A2467" t="s">
        <v>7676</v>
      </c>
      <c r="B2467" s="19">
        <v>4.8</v>
      </c>
      <c r="C2467">
        <v>1</v>
      </c>
      <c r="D2467" t="s">
        <v>7611</v>
      </c>
      <c r="F2467" t="s">
        <v>6202</v>
      </c>
      <c r="G2467" t="s">
        <v>7611</v>
      </c>
      <c r="H2467" t="s">
        <v>6203</v>
      </c>
      <c r="J2467" t="s">
        <v>7742</v>
      </c>
      <c r="K2467" t="s">
        <v>7826</v>
      </c>
      <c r="L2467" t="s">
        <v>7826</v>
      </c>
      <c r="N2467" t="str" cm="1">
        <f t="array" ref="N2467">IFERROR(LOOKUP(2,1/SEARCH($S$2:$S$65,G2467),$T$2:$T$65),"Misc")</f>
        <v>OH ASSY</v>
      </c>
      <c r="O2467" t="str" cm="1">
        <f t="array" ref="O2467">IFERROR(LOOKUP(2,1/SEARCH($V$2:$V$65,G2467),$W$2:$W$65),"Misc")</f>
        <v>OH Part</v>
      </c>
      <c r="P2467" t="str" cm="1">
        <f t="array" ref="P2467">IFERROR(LOOKUP(2,1/SEARCH($Y$2:$Y$65,G2467),$Z$2:$Z$65),"Not Defined")</f>
        <v>OH Part</v>
      </c>
      <c r="Q2467" t="str" cm="1">
        <f t="array" ref="Q2467">IFERROR(LOOKUP(2,1/SEARCH($S$2:$S$65,H2467),$T$2:$T$65),"-")</f>
        <v>OH ASSY</v>
      </c>
    </row>
    <row r="2468" spans="1:17" hidden="1" x14ac:dyDescent="0.25">
      <c r="A2468" t="s">
        <v>7676</v>
      </c>
      <c r="B2468" t="s">
        <v>6204</v>
      </c>
      <c r="C2468">
        <v>1</v>
      </c>
      <c r="D2468" t="s">
        <v>7611</v>
      </c>
      <c r="F2468" t="s">
        <v>6205</v>
      </c>
      <c r="G2468" t="s">
        <v>6207</v>
      </c>
      <c r="H2468" t="s">
        <v>6206</v>
      </c>
      <c r="I2468" t="s">
        <v>255</v>
      </c>
      <c r="J2468" t="s">
        <v>7682</v>
      </c>
      <c r="K2468" t="s">
        <v>7826</v>
      </c>
      <c r="L2468" t="s">
        <v>7826</v>
      </c>
      <c r="N2468" t="str" cm="1">
        <f t="array" ref="N2468">IFERROR(LOOKUP(2,1/SEARCH($S$2:$S$65,G2468),$T$2:$T$65),"Misc")</f>
        <v>OH P/N</v>
      </c>
      <c r="O2468" t="str" cm="1">
        <f t="array" ref="O2468">IFERROR(LOOKUP(2,1/SEARCH($V$2:$V$65,G2468),$W$2:$W$65),"Misc")</f>
        <v>OH Part</v>
      </c>
      <c r="P2468" t="str" cm="1">
        <f t="array" ref="P2468">IFERROR(LOOKUP(2,1/SEARCH($Y$2:$Y$65,G2468),$Z$2:$Z$65),"Not Defined")</f>
        <v>OH Part</v>
      </c>
      <c r="Q2468" t="str" cm="1">
        <f t="array" ref="Q2468">IFERROR(LOOKUP(2,1/SEARCH($S$2:$S$65,H2468),$T$2:$T$65),"-")</f>
        <v>-</v>
      </c>
    </row>
    <row r="2469" spans="1:17" hidden="1" x14ac:dyDescent="0.25">
      <c r="A2469" t="s">
        <v>7676</v>
      </c>
      <c r="B2469" t="s">
        <v>6208</v>
      </c>
      <c r="C2469">
        <v>1</v>
      </c>
      <c r="D2469" t="s">
        <v>7611</v>
      </c>
      <c r="F2469" t="s">
        <v>6209</v>
      </c>
      <c r="G2469" t="s">
        <v>6211</v>
      </c>
      <c r="H2469" t="s">
        <v>6210</v>
      </c>
      <c r="I2469" t="s">
        <v>293</v>
      </c>
      <c r="J2469" t="s">
        <v>7682</v>
      </c>
      <c r="K2469" t="s">
        <v>7826</v>
      </c>
      <c r="L2469" t="s">
        <v>7826</v>
      </c>
      <c r="N2469" t="str" cm="1">
        <f t="array" ref="N2469">IFERROR(LOOKUP(2,1/SEARCH($S$2:$S$65,G2469),$T$2:$T$65),"Misc")</f>
        <v>OH P/N</v>
      </c>
      <c r="O2469" t="str" cm="1">
        <f t="array" ref="O2469">IFERROR(LOOKUP(2,1/SEARCH($V$2:$V$65,G2469),$W$2:$W$65),"Misc")</f>
        <v>OH Part</v>
      </c>
      <c r="P2469" t="str" cm="1">
        <f t="array" ref="P2469">IFERROR(LOOKUP(2,1/SEARCH($Y$2:$Y$65,G2469),$Z$2:$Z$65),"Not Defined")</f>
        <v>OH Part</v>
      </c>
      <c r="Q2469" t="str" cm="1">
        <f t="array" ref="Q2469">IFERROR(LOOKUP(2,1/SEARCH($S$2:$S$65,H2469),$T$2:$T$65),"-")</f>
        <v>-</v>
      </c>
    </row>
    <row r="2470" spans="1:17" hidden="1" x14ac:dyDescent="0.25">
      <c r="A2470" t="s">
        <v>7676</v>
      </c>
      <c r="B2470" t="s">
        <v>6212</v>
      </c>
      <c r="C2470">
        <v>1</v>
      </c>
      <c r="D2470" t="s">
        <v>7611</v>
      </c>
      <c r="F2470" t="s">
        <v>6213</v>
      </c>
      <c r="G2470" t="s">
        <v>6215</v>
      </c>
      <c r="H2470" t="s">
        <v>6214</v>
      </c>
      <c r="I2470" t="s">
        <v>293</v>
      </c>
      <c r="J2470" t="s">
        <v>7682</v>
      </c>
      <c r="K2470" t="s">
        <v>7826</v>
      </c>
      <c r="L2470" t="s">
        <v>7826</v>
      </c>
      <c r="N2470" t="str" cm="1">
        <f t="array" ref="N2470">IFERROR(LOOKUP(2,1/SEARCH($S$2:$S$65,G2470),$T$2:$T$65),"Misc")</f>
        <v>OH P/N</v>
      </c>
      <c r="O2470" t="str" cm="1">
        <f t="array" ref="O2470">IFERROR(LOOKUP(2,1/SEARCH($V$2:$V$65,G2470),$W$2:$W$65),"Misc")</f>
        <v>OH Part</v>
      </c>
      <c r="P2470" t="str" cm="1">
        <f t="array" ref="P2470">IFERROR(LOOKUP(2,1/SEARCH($Y$2:$Y$65,G2470),$Z$2:$Z$65),"Not Defined")</f>
        <v>OH Part</v>
      </c>
      <c r="Q2470" t="str" cm="1">
        <f t="array" ref="Q2470">IFERROR(LOOKUP(2,1/SEARCH($S$2:$S$65,H2470),$T$2:$T$65),"-")</f>
        <v>-</v>
      </c>
    </row>
    <row r="2471" spans="1:17" hidden="1" x14ac:dyDescent="0.25">
      <c r="A2471" t="s">
        <v>7676</v>
      </c>
      <c r="B2471" t="s">
        <v>6216</v>
      </c>
      <c r="C2471">
        <v>1</v>
      </c>
      <c r="D2471" t="s">
        <v>7611</v>
      </c>
      <c r="F2471" t="s">
        <v>6217</v>
      </c>
      <c r="G2471" t="s">
        <v>6219</v>
      </c>
      <c r="H2471" t="s">
        <v>6218</v>
      </c>
      <c r="I2471" t="s">
        <v>281</v>
      </c>
      <c r="J2471" t="s">
        <v>7682</v>
      </c>
      <c r="K2471" t="s">
        <v>7826</v>
      </c>
      <c r="L2471" t="s">
        <v>7826</v>
      </c>
      <c r="N2471" t="str" cm="1">
        <f t="array" ref="N2471">IFERROR(LOOKUP(2,1/SEARCH($S$2:$S$65,G2471),$T$2:$T$65),"Misc")</f>
        <v>OH P/N</v>
      </c>
      <c r="O2471" t="str" cm="1">
        <f t="array" ref="O2471">IFERROR(LOOKUP(2,1/SEARCH($V$2:$V$65,G2471),$W$2:$W$65),"Misc")</f>
        <v>OH Part</v>
      </c>
      <c r="P2471" t="str" cm="1">
        <f t="array" ref="P2471">IFERROR(LOOKUP(2,1/SEARCH($Y$2:$Y$65,G2471),$Z$2:$Z$65),"Not Defined")</f>
        <v>OH Part</v>
      </c>
      <c r="Q2471" t="str" cm="1">
        <f t="array" ref="Q2471">IFERROR(LOOKUP(2,1/SEARCH($S$2:$S$65,H2471),$T$2:$T$65),"-")</f>
        <v>-</v>
      </c>
    </row>
    <row r="2472" spans="1:17" hidden="1" x14ac:dyDescent="0.25">
      <c r="A2472" t="s">
        <v>7676</v>
      </c>
      <c r="B2472" t="s">
        <v>6220</v>
      </c>
      <c r="C2472">
        <v>1</v>
      </c>
      <c r="D2472" t="s">
        <v>7611</v>
      </c>
      <c r="F2472" t="s">
        <v>6221</v>
      </c>
      <c r="G2472" t="s">
        <v>6223</v>
      </c>
      <c r="H2472" t="s">
        <v>6222</v>
      </c>
      <c r="I2472" t="s">
        <v>13</v>
      </c>
      <c r="J2472" t="s">
        <v>7682</v>
      </c>
      <c r="K2472" t="s">
        <v>7826</v>
      </c>
      <c r="L2472" t="s">
        <v>7826</v>
      </c>
      <c r="N2472" t="str" cm="1">
        <f t="array" ref="N2472">IFERROR(LOOKUP(2,1/SEARCH($S$2:$S$65,G2472),$T$2:$T$65),"Misc")</f>
        <v>OH P/N</v>
      </c>
      <c r="O2472" t="str" cm="1">
        <f t="array" ref="O2472">IFERROR(LOOKUP(2,1/SEARCH($V$2:$V$65,G2472),$W$2:$W$65),"Misc")</f>
        <v>OH Part</v>
      </c>
      <c r="P2472" t="str" cm="1">
        <f t="array" ref="P2472">IFERROR(LOOKUP(2,1/SEARCH($Y$2:$Y$65,G2472),$Z$2:$Z$65),"Not Defined")</f>
        <v>OH Part</v>
      </c>
      <c r="Q2472" t="str" cm="1">
        <f t="array" ref="Q2472">IFERROR(LOOKUP(2,1/SEARCH($S$2:$S$65,H2472),$T$2:$T$65),"-")</f>
        <v>ABSIS</v>
      </c>
    </row>
    <row r="2473" spans="1:17" hidden="1" x14ac:dyDescent="0.25">
      <c r="A2473" t="s">
        <v>7676</v>
      </c>
      <c r="B2473" t="s">
        <v>6224</v>
      </c>
      <c r="C2473">
        <v>1</v>
      </c>
      <c r="D2473" t="s">
        <v>7611</v>
      </c>
      <c r="E2473" t="s">
        <v>7507</v>
      </c>
      <c r="F2473" t="s">
        <v>4860</v>
      </c>
      <c r="G2473" t="s">
        <v>7507</v>
      </c>
      <c r="H2473" t="s">
        <v>711</v>
      </c>
      <c r="J2473" t="s">
        <v>7744</v>
      </c>
      <c r="K2473" t="s">
        <v>7826</v>
      </c>
      <c r="L2473" t="s">
        <v>7826</v>
      </c>
      <c r="N2473" t="str" cm="1">
        <f t="array" ref="N2473">IFERROR(LOOKUP(2,1/SEARCH($S$2:$S$65,G2473),$T$2:$T$65),"Misc")</f>
        <v>OH Common</v>
      </c>
      <c r="O2473" t="str" cm="1">
        <f t="array" ref="O2473">IFERROR(LOOKUP(2,1/SEARCH($V$2:$V$65,G2473),$W$2:$W$65),"Misc")</f>
        <v>OH Part</v>
      </c>
      <c r="P2473" t="str" cm="1">
        <f t="array" ref="P2473">IFERROR(LOOKUP(2,1/SEARCH($Y$2:$Y$65,G2473),$Z$2:$Z$65),"Not Defined")</f>
        <v>OH Part</v>
      </c>
      <c r="Q2473" t="str" cm="1">
        <f t="array" ref="Q2473">IFERROR(LOOKUP(2,1/SEARCH($S$2:$S$65,H2473),$T$2:$T$65),"-")</f>
        <v>OH ASSY</v>
      </c>
    </row>
    <row r="2474" spans="1:17" hidden="1" x14ac:dyDescent="0.25">
      <c r="A2474" t="s">
        <v>7676</v>
      </c>
      <c r="B2474" t="s">
        <v>6225</v>
      </c>
      <c r="C2474">
        <v>1</v>
      </c>
      <c r="D2474" t="s">
        <v>7611</v>
      </c>
      <c r="E2474" t="s">
        <v>7507</v>
      </c>
      <c r="F2474" t="s">
        <v>4862</v>
      </c>
      <c r="G2474" t="s">
        <v>4863</v>
      </c>
      <c r="H2474" t="s">
        <v>714</v>
      </c>
      <c r="I2474" t="s">
        <v>358</v>
      </c>
      <c r="J2474" t="s">
        <v>7744</v>
      </c>
      <c r="K2474" t="s">
        <v>7826</v>
      </c>
      <c r="L2474" t="s">
        <v>7826</v>
      </c>
      <c r="N2474" t="str" cm="1">
        <f t="array" ref="N2474">IFERROR(LOOKUP(2,1/SEARCH($S$2:$S$65,G2474),$T$2:$T$65),"Misc")</f>
        <v>OH Common</v>
      </c>
      <c r="O2474" t="str" cm="1">
        <f t="array" ref="O2474">IFERROR(LOOKUP(2,1/SEARCH($V$2:$V$65,G2474),$W$2:$W$65),"Misc")</f>
        <v>OH Part</v>
      </c>
      <c r="P2474" t="str" cm="1">
        <f t="array" ref="P2474">IFERROR(LOOKUP(2,1/SEARCH($Y$2:$Y$65,G2474),$Z$2:$Z$65),"Not Defined")</f>
        <v>OH Part</v>
      </c>
      <c r="Q2474" t="str" cm="1">
        <f t="array" ref="Q2474">IFERROR(LOOKUP(2,1/SEARCH($S$2:$S$65,H2474),$T$2:$T$65),"-")</f>
        <v>-</v>
      </c>
    </row>
    <row r="2475" spans="1:17" hidden="1" x14ac:dyDescent="0.25">
      <c r="A2475" t="s">
        <v>7676</v>
      </c>
      <c r="B2475" t="s">
        <v>6226</v>
      </c>
      <c r="C2475">
        <v>2</v>
      </c>
      <c r="D2475" t="s">
        <v>7611</v>
      </c>
      <c r="E2475" t="s">
        <v>7608</v>
      </c>
      <c r="F2475" t="s">
        <v>1551</v>
      </c>
      <c r="G2475" t="s">
        <v>7225</v>
      </c>
      <c r="H2475" t="s">
        <v>1552</v>
      </c>
      <c r="I2475" t="s">
        <v>228</v>
      </c>
      <c r="J2475" t="s">
        <v>7703</v>
      </c>
      <c r="K2475" t="s">
        <v>7684</v>
      </c>
      <c r="L2475" t="s">
        <v>7721</v>
      </c>
      <c r="N2475" t="str" cm="1">
        <f t="array" ref="N2475">IFERROR(LOOKUP(2,1/SEARCH($S$2:$S$65,G2475),$T$2:$T$65),"Misc")</f>
        <v>COTS</v>
      </c>
      <c r="O2475" t="str" cm="1">
        <f t="array" ref="O2475">IFERROR(LOOKUP(2,1/SEARCH($V$2:$V$65,G2475),$W$2:$W$65),"Misc")</f>
        <v>Fasteners</v>
      </c>
      <c r="P2475" t="str" cm="1">
        <f t="array" ref="P2475">IFERROR(LOOKUP(2,1/SEARCH($Y$2:$Y$65,G2475),$Z$2:$Z$65),"Not Defined")</f>
        <v>SET SCREW</v>
      </c>
      <c r="Q2475" t="str" cm="1">
        <f t="array" ref="Q2475">IFERROR(LOOKUP(2,1/SEARCH($S$2:$S$65,H2475),$T$2:$T$65),"-")</f>
        <v>COTS</v>
      </c>
    </row>
    <row r="2476" spans="1:17" hidden="1" x14ac:dyDescent="0.25">
      <c r="A2476" t="s">
        <v>7676</v>
      </c>
      <c r="B2476" t="s">
        <v>6227</v>
      </c>
      <c r="C2476">
        <v>2</v>
      </c>
      <c r="D2476" t="s">
        <v>7611</v>
      </c>
      <c r="F2476" t="s">
        <v>519</v>
      </c>
      <c r="G2476" t="s">
        <v>7097</v>
      </c>
      <c r="H2476" t="s">
        <v>520</v>
      </c>
      <c r="I2476" t="s">
        <v>228</v>
      </c>
      <c r="J2476" t="s">
        <v>7703</v>
      </c>
      <c r="K2476" t="s">
        <v>7684</v>
      </c>
      <c r="L2476" t="s">
        <v>7693</v>
      </c>
      <c r="N2476" t="str" cm="1">
        <f t="array" ref="N2476">IFERROR(LOOKUP(2,1/SEARCH($S$2:$S$65,G2476),$T$2:$T$65),"Misc")</f>
        <v>COTS</v>
      </c>
      <c r="O2476" t="str" cm="1">
        <f t="array" ref="O2476">IFERROR(LOOKUP(2,1/SEARCH($V$2:$V$65,G2476),$W$2:$W$65),"Misc")</f>
        <v>Fasteners</v>
      </c>
      <c r="P2476" t="str" cm="1">
        <f t="array" ref="P2476">IFERROR(LOOKUP(2,1/SEARCH($Y$2:$Y$65,G2476),$Z$2:$Z$65),"Not Defined")</f>
        <v>PHS</v>
      </c>
      <c r="Q2476" t="str" cm="1">
        <f t="array" ref="Q2476">IFERROR(LOOKUP(2,1/SEARCH($S$2:$S$65,H2476),$T$2:$T$65),"-")</f>
        <v>COTS</v>
      </c>
    </row>
    <row r="2477" spans="1:17" hidden="1" x14ac:dyDescent="0.25">
      <c r="A2477" t="s">
        <v>7676</v>
      </c>
      <c r="B2477" t="s">
        <v>6228</v>
      </c>
      <c r="C2477">
        <v>2</v>
      </c>
      <c r="D2477" t="s">
        <v>7611</v>
      </c>
      <c r="F2477" t="s">
        <v>941</v>
      </c>
      <c r="G2477" t="s">
        <v>7136</v>
      </c>
      <c r="H2477" t="s">
        <v>942</v>
      </c>
      <c r="I2477" t="s">
        <v>210</v>
      </c>
      <c r="J2477" t="s">
        <v>7703</v>
      </c>
      <c r="K2477" t="s">
        <v>7684</v>
      </c>
      <c r="L2477" t="s">
        <v>7685</v>
      </c>
      <c r="N2477" t="str" cm="1">
        <f t="array" ref="N2477">IFERROR(LOOKUP(2,1/SEARCH($S$2:$S$65,G2477),$T$2:$T$65),"Misc")</f>
        <v>COTS</v>
      </c>
      <c r="O2477" t="str" cm="1">
        <f t="array" ref="O2477">IFERROR(LOOKUP(2,1/SEARCH($V$2:$V$65,G2477),$W$2:$W$65),"Misc")</f>
        <v>Fasteners</v>
      </c>
      <c r="P2477" t="str" cm="1">
        <f t="array" ref="P2477">IFERROR(LOOKUP(2,1/SEARCH($Y$2:$Y$65,G2477),$Z$2:$Z$65),"Not Defined")</f>
        <v>NUT</v>
      </c>
      <c r="Q2477" t="str" cm="1">
        <f t="array" ref="Q2477">IFERROR(LOOKUP(2,1/SEARCH($S$2:$S$65,H2477),$T$2:$T$65),"-")</f>
        <v>COTS</v>
      </c>
    </row>
    <row r="2478" spans="1:17" hidden="1" x14ac:dyDescent="0.25">
      <c r="A2478" t="s">
        <v>7676</v>
      </c>
      <c r="B2478" t="s">
        <v>6229</v>
      </c>
      <c r="C2478">
        <v>4</v>
      </c>
      <c r="D2478" t="s">
        <v>7611</v>
      </c>
      <c r="F2478" t="s">
        <v>1274</v>
      </c>
      <c r="G2478" t="s">
        <v>7198</v>
      </c>
      <c r="H2478" t="s">
        <v>1275</v>
      </c>
      <c r="I2478" t="s">
        <v>255</v>
      </c>
      <c r="J2478" t="s">
        <v>7703</v>
      </c>
      <c r="K2478" t="s">
        <v>7677</v>
      </c>
      <c r="L2478" t="s">
        <v>7677</v>
      </c>
      <c r="N2478" t="str" cm="1">
        <f t="array" ref="N2478">IFERROR(LOOKUP(2,1/SEARCH($S$2:$S$65,G2478),$T$2:$T$65),"Misc")</f>
        <v>COTS</v>
      </c>
      <c r="O2478" t="str" cm="1">
        <f t="array" ref="O2478">IFERROR(LOOKUP(2,1/SEARCH($V$2:$V$65,G2478),$W$2:$W$65),"Misc")</f>
        <v>SWITCH</v>
      </c>
      <c r="P2478" t="str" cm="1">
        <f t="array" ref="P2478">IFERROR(LOOKUP(2,1/SEARCH($Y$2:$Y$65,G2478),$Z$2:$Z$65),"Not Defined")</f>
        <v>SWITCH</v>
      </c>
      <c r="Q2478" t="str" cm="1">
        <f t="array" ref="Q2478">IFERROR(LOOKUP(2,1/SEARCH($S$2:$S$65,H2478),$T$2:$T$65),"-")</f>
        <v>COTS</v>
      </c>
    </row>
    <row r="2479" spans="1:17" hidden="1" x14ac:dyDescent="0.25">
      <c r="A2479" t="s">
        <v>7676</v>
      </c>
      <c r="B2479" t="s">
        <v>6230</v>
      </c>
      <c r="C2479">
        <v>4</v>
      </c>
      <c r="D2479" t="s">
        <v>7611</v>
      </c>
      <c r="F2479" t="s">
        <v>695</v>
      </c>
      <c r="G2479" t="s">
        <v>7117</v>
      </c>
      <c r="H2479" t="s">
        <v>696</v>
      </c>
      <c r="I2479" t="s">
        <v>255</v>
      </c>
      <c r="J2479" t="s">
        <v>7703</v>
      </c>
      <c r="K2479" t="s">
        <v>7719</v>
      </c>
      <c r="L2479" t="s">
        <v>7719</v>
      </c>
      <c r="N2479" t="str" cm="1">
        <f t="array" ref="N2479">IFERROR(LOOKUP(2,1/SEARCH($S$2:$S$65,G2479),$T$2:$T$65),"Misc")</f>
        <v>COTS</v>
      </c>
      <c r="O2479" t="str" cm="1">
        <f t="array" ref="O2479">IFERROR(LOOKUP(2,1/SEARCH($V$2:$V$65,G2479),$W$2:$W$65),"Misc")</f>
        <v>Misc</v>
      </c>
      <c r="P2479" t="str" cm="1">
        <f t="array" ref="P2479">IFERROR(LOOKUP(2,1/SEARCH($Y$2:$Y$65,G2479),$Z$2:$Z$65),"Not Defined")</f>
        <v>Retaining Rings</v>
      </c>
      <c r="Q2479" t="str" cm="1">
        <f t="array" ref="Q2479">IFERROR(LOOKUP(2,1/SEARCH($S$2:$S$65,H2479),$T$2:$T$65),"-")</f>
        <v>COTS</v>
      </c>
    </row>
    <row r="2480" spans="1:17" hidden="1" x14ac:dyDescent="0.25">
      <c r="A2480" t="s">
        <v>7676</v>
      </c>
      <c r="B2480" t="s">
        <v>6231</v>
      </c>
      <c r="C2480">
        <v>4</v>
      </c>
      <c r="D2480" t="s">
        <v>7611</v>
      </c>
      <c r="F2480" t="s">
        <v>698</v>
      </c>
      <c r="G2480" t="s">
        <v>7118</v>
      </c>
      <c r="H2480" t="s">
        <v>699</v>
      </c>
      <c r="I2480" t="s">
        <v>255</v>
      </c>
      <c r="J2480" t="s">
        <v>7703</v>
      </c>
      <c r="K2480" t="s">
        <v>7684</v>
      </c>
      <c r="L2480" t="s">
        <v>7692</v>
      </c>
      <c r="N2480" t="str" cm="1">
        <f t="array" ref="N2480">IFERROR(LOOKUP(2,1/SEARCH($S$2:$S$65,G2480),$T$2:$T$65),"Misc")</f>
        <v>COTS</v>
      </c>
      <c r="O2480" t="str" cm="1">
        <f t="array" ref="O2480">IFERROR(LOOKUP(2,1/SEARCH($V$2:$V$65,G2480),$W$2:$W$65),"Misc")</f>
        <v>Fasteners</v>
      </c>
      <c r="P2480" t="str" cm="1">
        <f t="array" ref="P2480">IFERROR(LOOKUP(2,1/SEARCH($Y$2:$Y$65,G2480),$Z$2:$Z$65),"Not Defined")</f>
        <v>WASHER</v>
      </c>
      <c r="Q2480" t="str" cm="1">
        <f t="array" ref="Q2480">IFERROR(LOOKUP(2,1/SEARCH($S$2:$S$65,H2480),$T$2:$T$65),"-")</f>
        <v>COTS</v>
      </c>
    </row>
    <row r="2481" spans="1:17" hidden="1" x14ac:dyDescent="0.25">
      <c r="A2481" t="s">
        <v>7676</v>
      </c>
      <c r="B2481" t="s">
        <v>6232</v>
      </c>
      <c r="C2481">
        <v>8</v>
      </c>
      <c r="D2481" t="s">
        <v>7611</v>
      </c>
      <c r="F2481" t="s">
        <v>701</v>
      </c>
      <c r="G2481" t="s">
        <v>7119</v>
      </c>
      <c r="H2481" t="s">
        <v>702</v>
      </c>
      <c r="I2481" t="s">
        <v>255</v>
      </c>
      <c r="J2481" t="s">
        <v>7703</v>
      </c>
      <c r="K2481" t="s">
        <v>7684</v>
      </c>
      <c r="L2481" t="s">
        <v>7685</v>
      </c>
      <c r="N2481" t="str" cm="1">
        <f t="array" ref="N2481">IFERROR(LOOKUP(2,1/SEARCH($S$2:$S$65,G2481),$T$2:$T$65),"Misc")</f>
        <v>COTS</v>
      </c>
      <c r="O2481" t="str" cm="1">
        <f t="array" ref="O2481">IFERROR(LOOKUP(2,1/SEARCH($V$2:$V$65,G2481),$W$2:$W$65),"Misc")</f>
        <v>Fasteners</v>
      </c>
      <c r="P2481" t="str" cm="1">
        <f t="array" ref="P2481">IFERROR(LOOKUP(2,1/SEARCH($Y$2:$Y$65,G2481),$Z$2:$Z$65),"Not Defined")</f>
        <v>NUT</v>
      </c>
      <c r="Q2481" t="str" cm="1">
        <f t="array" ref="Q2481">IFERROR(LOOKUP(2,1/SEARCH($S$2:$S$65,H2481),$T$2:$T$65),"-")</f>
        <v>COTS</v>
      </c>
    </row>
    <row r="2482" spans="1:17" hidden="1" x14ac:dyDescent="0.25">
      <c r="A2482" t="s">
        <v>7676</v>
      </c>
      <c r="B2482" t="s">
        <v>6233</v>
      </c>
      <c r="C2482">
        <v>1</v>
      </c>
      <c r="D2482" t="s">
        <v>7611</v>
      </c>
      <c r="F2482" t="s">
        <v>6156</v>
      </c>
      <c r="G2482" t="s">
        <v>7609</v>
      </c>
      <c r="H2482" t="s">
        <v>6157</v>
      </c>
      <c r="I2482" t="s">
        <v>255</v>
      </c>
      <c r="J2482" t="s">
        <v>7703</v>
      </c>
      <c r="K2482" t="s">
        <v>7677</v>
      </c>
      <c r="L2482" t="s">
        <v>7677</v>
      </c>
      <c r="N2482" t="str" cm="1">
        <f t="array" ref="N2482">IFERROR(LOOKUP(2,1/SEARCH($S$2:$S$65,G2482),$T$2:$T$65),"Misc")</f>
        <v>COTS</v>
      </c>
      <c r="O2482" t="str" cm="1">
        <f t="array" ref="O2482">IFERROR(LOOKUP(2,1/SEARCH($V$2:$V$65,G2482),$W$2:$W$65),"Misc")</f>
        <v>SWITCH</v>
      </c>
      <c r="P2482" t="str" cm="1">
        <f t="array" ref="P2482">IFERROR(LOOKUP(2,1/SEARCH($Y$2:$Y$65,G2482),$Z$2:$Z$65),"Not Defined")</f>
        <v>SWITCH</v>
      </c>
      <c r="Q2482" t="str" cm="1">
        <f t="array" ref="Q2482">IFERROR(LOOKUP(2,1/SEARCH($S$2:$S$65,H2482),$T$2:$T$65),"-")</f>
        <v>COTS</v>
      </c>
    </row>
    <row r="2483" spans="1:17" hidden="1" x14ac:dyDescent="0.25">
      <c r="A2483" t="s">
        <v>7676</v>
      </c>
      <c r="B2483" t="s">
        <v>6234</v>
      </c>
      <c r="C2483">
        <v>4</v>
      </c>
      <c r="D2483" t="s">
        <v>7611</v>
      </c>
      <c r="F2483" t="s">
        <v>3046</v>
      </c>
      <c r="G2483" t="s">
        <v>7338</v>
      </c>
      <c r="H2483" t="s">
        <v>3047</v>
      </c>
      <c r="I2483" t="s">
        <v>299</v>
      </c>
      <c r="J2483" t="s">
        <v>7703</v>
      </c>
      <c r="K2483" t="s">
        <v>7684</v>
      </c>
      <c r="L2483" t="s">
        <v>7708</v>
      </c>
      <c r="N2483" t="str" cm="1">
        <f t="array" ref="N2483">IFERROR(LOOKUP(2,1/SEARCH($S$2:$S$65,G2483),$T$2:$T$65),"Misc")</f>
        <v>COTS</v>
      </c>
      <c r="O2483" t="str" cm="1">
        <f t="array" ref="O2483">IFERROR(LOOKUP(2,1/SEARCH($V$2:$V$65,G2483),$W$2:$W$65),"Misc")</f>
        <v>Fasteners</v>
      </c>
      <c r="P2483" t="str" cm="1">
        <f t="array" ref="P2483">IFERROR(LOOKUP(2,1/SEARCH($Y$2:$Y$65,G2483),$Z$2:$Z$65),"Not Defined")</f>
        <v>STANDOFF</v>
      </c>
      <c r="Q2483" t="str" cm="1">
        <f t="array" ref="Q2483">IFERROR(LOOKUP(2,1/SEARCH($S$2:$S$65,H2483),$T$2:$T$65),"-")</f>
        <v>COTS</v>
      </c>
    </row>
    <row r="2484" spans="1:17" hidden="1" x14ac:dyDescent="0.25">
      <c r="A2484" t="s">
        <v>7676</v>
      </c>
      <c r="B2484" t="s">
        <v>6235</v>
      </c>
      <c r="C2484">
        <v>4</v>
      </c>
      <c r="D2484" t="s">
        <v>7611</v>
      </c>
      <c r="F2484" t="s">
        <v>2527</v>
      </c>
      <c r="G2484" t="s">
        <v>7291</v>
      </c>
      <c r="H2484" t="s">
        <v>2528</v>
      </c>
      <c r="I2484" t="s">
        <v>228</v>
      </c>
      <c r="J2484" t="s">
        <v>7703</v>
      </c>
      <c r="K2484" t="s">
        <v>7684</v>
      </c>
      <c r="L2484" t="s">
        <v>7691</v>
      </c>
      <c r="N2484" t="str" cm="1">
        <f t="array" ref="N2484">IFERROR(LOOKUP(2,1/SEARCH($S$2:$S$65,G2484),$T$2:$T$65),"Misc")</f>
        <v>COTS</v>
      </c>
      <c r="O2484" t="str" cm="1">
        <f t="array" ref="O2484">IFERROR(LOOKUP(2,1/SEARCH($V$2:$V$65,G2484),$W$2:$W$65),"Misc")</f>
        <v>Fasteners</v>
      </c>
      <c r="P2484" t="str" cm="1">
        <f t="array" ref="P2484">IFERROR(LOOKUP(2,1/SEARCH($Y$2:$Y$65,G2484),$Z$2:$Z$65),"Not Defined")</f>
        <v>FHS</v>
      </c>
      <c r="Q2484" t="str" cm="1">
        <f t="array" ref="Q2484">IFERROR(LOOKUP(2,1/SEARCH($S$2:$S$65,H2484),$T$2:$T$65),"-")</f>
        <v>COTS</v>
      </c>
    </row>
    <row r="2485" spans="1:17" hidden="1" x14ac:dyDescent="0.25">
      <c r="A2485" t="s">
        <v>7676</v>
      </c>
      <c r="B2485" t="s">
        <v>6236</v>
      </c>
      <c r="C2485">
        <v>12</v>
      </c>
      <c r="D2485" t="s">
        <v>7611</v>
      </c>
      <c r="F2485" t="s">
        <v>460</v>
      </c>
      <c r="G2485" t="s">
        <v>7090</v>
      </c>
      <c r="H2485" t="s">
        <v>461</v>
      </c>
      <c r="I2485" t="s">
        <v>224</v>
      </c>
      <c r="J2485" t="s">
        <v>7703</v>
      </c>
      <c r="K2485" t="s">
        <v>7684</v>
      </c>
      <c r="L2485" t="s">
        <v>7693</v>
      </c>
      <c r="N2485" t="str" cm="1">
        <f t="array" ref="N2485">IFERROR(LOOKUP(2,1/SEARCH($S$2:$S$65,G2485),$T$2:$T$65),"Misc")</f>
        <v>COTS</v>
      </c>
      <c r="O2485" t="str" cm="1">
        <f t="array" ref="O2485">IFERROR(LOOKUP(2,1/SEARCH($V$2:$V$65,G2485),$W$2:$W$65),"Misc")</f>
        <v>Fasteners</v>
      </c>
      <c r="P2485" t="str" cm="1">
        <f t="array" ref="P2485">IFERROR(LOOKUP(2,1/SEARCH($Y$2:$Y$65,G2485),$Z$2:$Z$65),"Not Defined")</f>
        <v>PHS</v>
      </c>
      <c r="Q2485" t="str" cm="1">
        <f t="array" ref="Q2485">IFERROR(LOOKUP(2,1/SEARCH($S$2:$S$65,H2485),$T$2:$T$65),"-")</f>
        <v>COTS</v>
      </c>
    </row>
    <row r="2486" spans="1:17" hidden="1" x14ac:dyDescent="0.25">
      <c r="A2486" t="s">
        <v>7676</v>
      </c>
      <c r="B2486" t="s">
        <v>6237</v>
      </c>
      <c r="C2486">
        <v>4</v>
      </c>
      <c r="D2486" t="s">
        <v>7611</v>
      </c>
      <c r="F2486" t="s">
        <v>583</v>
      </c>
      <c r="G2486" t="s">
        <v>7106</v>
      </c>
      <c r="H2486" t="s">
        <v>584</v>
      </c>
      <c r="I2486" t="s">
        <v>299</v>
      </c>
      <c r="J2486" t="s">
        <v>7703</v>
      </c>
      <c r="K2486" t="s">
        <v>7684</v>
      </c>
      <c r="L2486" t="s">
        <v>7708</v>
      </c>
      <c r="N2486" t="str" cm="1">
        <f t="array" ref="N2486">IFERROR(LOOKUP(2,1/SEARCH($S$2:$S$65,G2486),$T$2:$T$65),"Misc")</f>
        <v>COTS</v>
      </c>
      <c r="O2486" t="str" cm="1">
        <f t="array" ref="O2486">IFERROR(LOOKUP(2,1/SEARCH($V$2:$V$65,G2486),$W$2:$W$65),"Misc")</f>
        <v>Fasteners</v>
      </c>
      <c r="P2486" t="str" cm="1">
        <f t="array" ref="P2486">IFERROR(LOOKUP(2,1/SEARCH($Y$2:$Y$65,G2486),$Z$2:$Z$65),"Not Defined")</f>
        <v>STANDOFF</v>
      </c>
      <c r="Q2486" t="str" cm="1">
        <f t="array" ref="Q2486">IFERROR(LOOKUP(2,1/SEARCH($S$2:$S$65,H2486),$T$2:$T$65),"-")</f>
        <v>COTS</v>
      </c>
    </row>
    <row r="2487" spans="1:17" hidden="1" x14ac:dyDescent="0.25">
      <c r="A2487" t="s">
        <v>7676</v>
      </c>
      <c r="B2487" t="s">
        <v>6238</v>
      </c>
      <c r="C2487">
        <v>1</v>
      </c>
      <c r="D2487" t="s">
        <v>7611</v>
      </c>
      <c r="E2487" t="s">
        <v>614</v>
      </c>
      <c r="F2487" t="s">
        <v>613</v>
      </c>
      <c r="G2487" t="s">
        <v>7110</v>
      </c>
      <c r="H2487" t="s">
        <v>614</v>
      </c>
      <c r="I2487" t="s">
        <v>255</v>
      </c>
      <c r="J2487" t="s">
        <v>7815</v>
      </c>
      <c r="K2487" t="s">
        <v>7717</v>
      </c>
      <c r="L2487" t="s">
        <v>7717</v>
      </c>
      <c r="N2487" t="str" cm="1">
        <f t="array" ref="N2487">IFERROR(LOOKUP(2,1/SEARCH($S$2:$S$65,G2487),$T$2:$T$65),"Misc")</f>
        <v>OH ASSY</v>
      </c>
      <c r="O2487" t="str" cm="1">
        <f t="array" ref="O2487">IFERROR(LOOKUP(2,1/SEARCH($V$2:$V$65,G2487),$W$2:$W$65),"Misc")</f>
        <v>ABSIS</v>
      </c>
      <c r="P2487" t="str" cm="1">
        <f t="array" ref="P2487">IFERROR(LOOKUP(2,1/SEARCH($Y$2:$Y$65,G2487),$Z$2:$Z$65),"Not Defined")</f>
        <v>ABSIS</v>
      </c>
      <c r="Q2487" t="str" cm="1">
        <f t="array" ref="Q2487">IFERROR(LOOKUP(2,1/SEARCH($S$2:$S$65,H2487),$T$2:$T$65),"-")</f>
        <v>OH ASSY</v>
      </c>
    </row>
    <row r="2488" spans="1:17" hidden="1" x14ac:dyDescent="0.25">
      <c r="A2488" t="s">
        <v>7676</v>
      </c>
      <c r="B2488" t="s">
        <v>6239</v>
      </c>
      <c r="C2488">
        <v>1</v>
      </c>
      <c r="D2488" t="s">
        <v>7611</v>
      </c>
      <c r="E2488" t="s">
        <v>614</v>
      </c>
      <c r="F2488" t="s">
        <v>616</v>
      </c>
      <c r="G2488" t="s">
        <v>7111</v>
      </c>
      <c r="H2488" t="s">
        <v>617</v>
      </c>
      <c r="I2488" t="s">
        <v>255</v>
      </c>
      <c r="J2488" t="s">
        <v>7717</v>
      </c>
      <c r="K2488" t="s">
        <v>7717</v>
      </c>
      <c r="L2488" t="s">
        <v>7717</v>
      </c>
      <c r="N2488" t="str" cm="1">
        <f t="array" ref="N2488">IFERROR(LOOKUP(2,1/SEARCH($S$2:$S$65,G2488),$T$2:$T$65),"Misc")</f>
        <v>ABSIS</v>
      </c>
      <c r="O2488" t="str" cm="1">
        <f t="array" ref="O2488">IFERROR(LOOKUP(2,1/SEARCH($V$2:$V$65,G2488),$W$2:$W$65),"Misc")</f>
        <v>ABSIS</v>
      </c>
      <c r="P2488" t="str" cm="1">
        <f t="array" ref="P2488">IFERROR(LOOKUP(2,1/SEARCH($Y$2:$Y$65,G2488),$Z$2:$Z$65),"Not Defined")</f>
        <v>ABSIS</v>
      </c>
      <c r="Q2488" t="str" cm="1">
        <f t="array" ref="Q2488">IFERROR(LOOKUP(2,1/SEARCH($S$2:$S$65,H2488),$T$2:$T$65),"-")</f>
        <v>ABSIS</v>
      </c>
    </row>
    <row r="2489" spans="1:17" hidden="1" x14ac:dyDescent="0.25">
      <c r="A2489" t="s">
        <v>7676</v>
      </c>
      <c r="B2489" t="s">
        <v>6240</v>
      </c>
      <c r="C2489">
        <v>1</v>
      </c>
      <c r="D2489" t="s">
        <v>7611</v>
      </c>
      <c r="E2489" t="s">
        <v>614</v>
      </c>
      <c r="F2489" t="s">
        <v>596</v>
      </c>
      <c r="G2489" t="s">
        <v>7108</v>
      </c>
      <c r="H2489" t="s">
        <v>597</v>
      </c>
      <c r="I2489" t="s">
        <v>255</v>
      </c>
      <c r="J2489" t="s">
        <v>7703</v>
      </c>
      <c r="K2489" t="s">
        <v>7713</v>
      </c>
      <c r="L2489" t="s">
        <v>7713</v>
      </c>
      <c r="N2489" t="str" cm="1">
        <f t="array" ref="N2489">IFERROR(LOOKUP(2,1/SEARCH($S$2:$S$65,G2489),$T$2:$T$65),"Misc")</f>
        <v>COTS</v>
      </c>
      <c r="O2489" t="str" cm="1">
        <f t="array" ref="O2489">IFERROR(LOOKUP(2,1/SEARCH($V$2:$V$65,G2489),$W$2:$W$65),"Misc")</f>
        <v>ARDUINO</v>
      </c>
      <c r="P2489" t="str" cm="1">
        <f t="array" ref="P2489">IFERROR(LOOKUP(2,1/SEARCH($Y$2:$Y$65,G2489),$Z$2:$Z$65),"Not Defined")</f>
        <v>ARDUINO</v>
      </c>
      <c r="Q2489" t="str" cm="1">
        <f t="array" ref="Q2489">IFERROR(LOOKUP(2,1/SEARCH($S$2:$S$65,H2489),$T$2:$T$65),"-")</f>
        <v>COTS</v>
      </c>
    </row>
    <row r="2490" spans="1:17" hidden="1" x14ac:dyDescent="0.25">
      <c r="A2490" t="s">
        <v>7676</v>
      </c>
      <c r="B2490" t="s">
        <v>6241</v>
      </c>
      <c r="C2490">
        <v>1</v>
      </c>
      <c r="D2490" t="s">
        <v>7611</v>
      </c>
      <c r="F2490" t="s">
        <v>4844</v>
      </c>
      <c r="G2490" t="s">
        <v>7505</v>
      </c>
      <c r="H2490" t="s">
        <v>4845</v>
      </c>
      <c r="I2490" t="s">
        <v>224</v>
      </c>
      <c r="J2490" t="s">
        <v>7703</v>
      </c>
      <c r="K2490" t="s">
        <v>7677</v>
      </c>
      <c r="L2490" t="s">
        <v>7685</v>
      </c>
      <c r="N2490" t="str" cm="1">
        <f t="array" ref="N2490">IFERROR(LOOKUP(2,1/SEARCH($S$2:$S$65,G2490),$T$2:$T$65),"Misc")</f>
        <v>COTS</v>
      </c>
      <c r="O2490" t="str" cm="1">
        <f t="array" ref="O2490">IFERROR(LOOKUP(2,1/SEARCH($V$2:$V$65,G2490),$W$2:$W$65),"Misc")</f>
        <v>SWITCH</v>
      </c>
      <c r="P2490" t="str" cm="1">
        <f t="array" ref="P2490">IFERROR(LOOKUP(2,1/SEARCH($Y$2:$Y$65,G2490),$Z$2:$Z$65),"Not Defined")</f>
        <v>NUT</v>
      </c>
      <c r="Q2490" t="str" cm="1">
        <f t="array" ref="Q2490">IFERROR(LOOKUP(2,1/SEARCH($S$2:$S$65,H2490),$T$2:$T$65),"-")</f>
        <v>COTS</v>
      </c>
    </row>
    <row r="2491" spans="1:17" hidden="1" x14ac:dyDescent="0.25">
      <c r="A2491" t="s">
        <v>7676</v>
      </c>
      <c r="B2491" s="19">
        <v>4.9000000000000004</v>
      </c>
      <c r="C2491">
        <v>1</v>
      </c>
      <c r="D2491" t="s">
        <v>7603</v>
      </c>
      <c r="F2491" t="s">
        <v>4791</v>
      </c>
      <c r="G2491" t="s">
        <v>7499</v>
      </c>
      <c r="H2491" t="s">
        <v>4792</v>
      </c>
      <c r="I2491" t="s">
        <v>255</v>
      </c>
      <c r="J2491" t="s">
        <v>7717</v>
      </c>
      <c r="K2491" t="s">
        <v>7717</v>
      </c>
      <c r="L2491" t="s">
        <v>7717</v>
      </c>
      <c r="N2491" t="str" cm="1">
        <f t="array" ref="N2491">IFERROR(LOOKUP(2,1/SEARCH($S$2:$S$65,G2491),$T$2:$T$65),"Misc")</f>
        <v>ABSIS</v>
      </c>
      <c r="O2491" t="str" cm="1">
        <f t="array" ref="O2491">IFERROR(LOOKUP(2,1/SEARCH($V$2:$V$65,G2491),$W$2:$W$65),"Misc")</f>
        <v>ABSIS</v>
      </c>
      <c r="P2491" t="str" cm="1">
        <f t="array" ref="P2491">IFERROR(LOOKUP(2,1/SEARCH($Y$2:$Y$65,G2491),$Z$2:$Z$65),"Not Defined")</f>
        <v>ABSIS</v>
      </c>
      <c r="Q2491" t="str" cm="1">
        <f t="array" ref="Q2491">IFERROR(LOOKUP(2,1/SEARCH($S$2:$S$65,H2491),$T$2:$T$65),"-")</f>
        <v>ABSIS</v>
      </c>
    </row>
    <row r="2492" spans="1:17" hidden="1" x14ac:dyDescent="0.25">
      <c r="A2492" t="s">
        <v>7676</v>
      </c>
      <c r="B2492" s="27">
        <v>4.0999999999999996</v>
      </c>
      <c r="C2492">
        <v>1</v>
      </c>
      <c r="D2492" t="s">
        <v>7612</v>
      </c>
      <c r="F2492" t="s">
        <v>6242</v>
      </c>
      <c r="G2492" t="s">
        <v>7612</v>
      </c>
      <c r="H2492" t="s">
        <v>6243</v>
      </c>
      <c r="J2492" t="s">
        <v>7742</v>
      </c>
      <c r="K2492" t="s">
        <v>7826</v>
      </c>
      <c r="L2492" t="s">
        <v>7826</v>
      </c>
      <c r="N2492" t="str" cm="1">
        <f t="array" ref="N2492">IFERROR(LOOKUP(2,1/SEARCH($S$2:$S$65,G2492),$T$2:$T$65),"Misc")</f>
        <v>OH ASSY</v>
      </c>
      <c r="O2492" t="str" cm="1">
        <f t="array" ref="O2492">IFERROR(LOOKUP(2,1/SEARCH($V$2:$V$65,G2492),$W$2:$W$65),"Misc")</f>
        <v>OH Part</v>
      </c>
      <c r="P2492" t="str" cm="1">
        <f t="array" ref="P2492">IFERROR(LOOKUP(2,1/SEARCH($Y$2:$Y$65,G2492),$Z$2:$Z$65),"Not Defined")</f>
        <v>OH Part</v>
      </c>
      <c r="Q2492" t="str" cm="1">
        <f t="array" ref="Q2492">IFERROR(LOOKUP(2,1/SEARCH($S$2:$S$65,H2492),$T$2:$T$65),"-")</f>
        <v>OH ASSY</v>
      </c>
    </row>
    <row r="2493" spans="1:17" hidden="1" x14ac:dyDescent="0.25">
      <c r="A2493" t="s">
        <v>7676</v>
      </c>
      <c r="B2493" t="s">
        <v>6244</v>
      </c>
      <c r="C2493">
        <v>1</v>
      </c>
      <c r="D2493" t="s">
        <v>7612</v>
      </c>
      <c r="F2493" t="s">
        <v>6245</v>
      </c>
      <c r="G2493" t="s">
        <v>6247</v>
      </c>
      <c r="H2493" t="s">
        <v>6246</v>
      </c>
      <c r="I2493" t="s">
        <v>13</v>
      </c>
      <c r="J2493" t="s">
        <v>7682</v>
      </c>
      <c r="K2493" t="s">
        <v>7826</v>
      </c>
      <c r="L2493" t="s">
        <v>7826</v>
      </c>
      <c r="N2493" t="str" cm="1">
        <f t="array" ref="N2493">IFERROR(LOOKUP(2,1/SEARCH($S$2:$S$65,G2493),$T$2:$T$65),"Misc")</f>
        <v>OH P/N</v>
      </c>
      <c r="O2493" t="str" cm="1">
        <f t="array" ref="O2493">IFERROR(LOOKUP(2,1/SEARCH($V$2:$V$65,G2493),$W$2:$W$65),"Misc")</f>
        <v>OH Part</v>
      </c>
      <c r="P2493" t="str" cm="1">
        <f t="array" ref="P2493">IFERROR(LOOKUP(2,1/SEARCH($Y$2:$Y$65,G2493),$Z$2:$Z$65),"Not Defined")</f>
        <v>OH Part</v>
      </c>
      <c r="Q2493" t="str" cm="1">
        <f t="array" ref="Q2493">IFERROR(LOOKUP(2,1/SEARCH($S$2:$S$65,H2493),$T$2:$T$65),"-")</f>
        <v>-</v>
      </c>
    </row>
    <row r="2494" spans="1:17" hidden="1" x14ac:dyDescent="0.25">
      <c r="A2494" t="s">
        <v>7676</v>
      </c>
      <c r="B2494" t="s">
        <v>6248</v>
      </c>
      <c r="C2494">
        <v>1</v>
      </c>
      <c r="D2494" t="s">
        <v>7612</v>
      </c>
      <c r="F2494" t="s">
        <v>6249</v>
      </c>
      <c r="G2494" t="s">
        <v>6251</v>
      </c>
      <c r="H2494" t="s">
        <v>6250</v>
      </c>
      <c r="I2494" t="s">
        <v>293</v>
      </c>
      <c r="J2494" t="s">
        <v>7682</v>
      </c>
      <c r="K2494" t="s">
        <v>7826</v>
      </c>
      <c r="L2494" t="s">
        <v>7826</v>
      </c>
      <c r="N2494" t="str" cm="1">
        <f t="array" ref="N2494">IFERROR(LOOKUP(2,1/SEARCH($S$2:$S$65,G2494),$T$2:$T$65),"Misc")</f>
        <v>OH P/N</v>
      </c>
      <c r="O2494" t="str" cm="1">
        <f t="array" ref="O2494">IFERROR(LOOKUP(2,1/SEARCH($V$2:$V$65,G2494),$W$2:$W$65),"Misc")</f>
        <v>OH Part</v>
      </c>
      <c r="P2494" t="str" cm="1">
        <f t="array" ref="P2494">IFERROR(LOOKUP(2,1/SEARCH($Y$2:$Y$65,G2494),$Z$2:$Z$65),"Not Defined")</f>
        <v>OH Part</v>
      </c>
      <c r="Q2494" t="str" cm="1">
        <f t="array" ref="Q2494">IFERROR(LOOKUP(2,1/SEARCH($S$2:$S$65,H2494),$T$2:$T$65),"-")</f>
        <v>-</v>
      </c>
    </row>
    <row r="2495" spans="1:17" hidden="1" x14ac:dyDescent="0.25">
      <c r="A2495" t="s">
        <v>7676</v>
      </c>
      <c r="B2495" t="s">
        <v>6252</v>
      </c>
      <c r="C2495">
        <v>1</v>
      </c>
      <c r="D2495" t="s">
        <v>7612</v>
      </c>
      <c r="F2495" t="s">
        <v>6253</v>
      </c>
      <c r="G2495" t="s">
        <v>6255</v>
      </c>
      <c r="H2495" t="s">
        <v>6254</v>
      </c>
      <c r="I2495" t="s">
        <v>13</v>
      </c>
      <c r="J2495" t="s">
        <v>7682</v>
      </c>
      <c r="K2495" t="s">
        <v>7826</v>
      </c>
      <c r="L2495" t="s">
        <v>7826</v>
      </c>
      <c r="N2495" t="str" cm="1">
        <f t="array" ref="N2495">IFERROR(LOOKUP(2,1/SEARCH($S$2:$S$65,G2495),$T$2:$T$65),"Misc")</f>
        <v>OH P/N</v>
      </c>
      <c r="O2495" t="str" cm="1">
        <f t="array" ref="O2495">IFERROR(LOOKUP(2,1/SEARCH($V$2:$V$65,G2495),$W$2:$W$65),"Misc")</f>
        <v>OH Part</v>
      </c>
      <c r="P2495" t="str" cm="1">
        <f t="array" ref="P2495">IFERROR(LOOKUP(2,1/SEARCH($Y$2:$Y$65,G2495),$Z$2:$Z$65),"Not Defined")</f>
        <v>OH Part</v>
      </c>
      <c r="Q2495" t="str" cm="1">
        <f t="array" ref="Q2495">IFERROR(LOOKUP(2,1/SEARCH($S$2:$S$65,H2495),$T$2:$T$65),"-")</f>
        <v>-</v>
      </c>
    </row>
    <row r="2496" spans="1:17" hidden="1" x14ac:dyDescent="0.25">
      <c r="A2496" t="s">
        <v>7676</v>
      </c>
      <c r="B2496" t="s">
        <v>6256</v>
      </c>
      <c r="C2496">
        <v>1</v>
      </c>
      <c r="D2496" t="s">
        <v>7612</v>
      </c>
      <c r="F2496" t="s">
        <v>6257</v>
      </c>
      <c r="G2496" t="s">
        <v>6259</v>
      </c>
      <c r="H2496" t="s">
        <v>6258</v>
      </c>
      <c r="I2496" t="s">
        <v>281</v>
      </c>
      <c r="J2496" t="s">
        <v>7682</v>
      </c>
      <c r="K2496" t="s">
        <v>7826</v>
      </c>
      <c r="L2496" t="s">
        <v>7826</v>
      </c>
      <c r="N2496" t="str" cm="1">
        <f t="array" ref="N2496">IFERROR(LOOKUP(2,1/SEARCH($S$2:$S$65,G2496),$T$2:$T$65),"Misc")</f>
        <v>OH P/N</v>
      </c>
      <c r="O2496" t="str" cm="1">
        <f t="array" ref="O2496">IFERROR(LOOKUP(2,1/SEARCH($V$2:$V$65,G2496),$W$2:$W$65),"Misc")</f>
        <v>OH Part</v>
      </c>
      <c r="P2496" t="str" cm="1">
        <f t="array" ref="P2496">IFERROR(LOOKUP(2,1/SEARCH($Y$2:$Y$65,G2496),$Z$2:$Z$65),"Not Defined")</f>
        <v>OH Part</v>
      </c>
      <c r="Q2496" t="str" cm="1">
        <f t="array" ref="Q2496">IFERROR(LOOKUP(2,1/SEARCH($S$2:$S$65,H2496),$T$2:$T$65),"-")</f>
        <v>-</v>
      </c>
    </row>
    <row r="2497" spans="1:17" hidden="1" x14ac:dyDescent="0.25">
      <c r="A2497" t="s">
        <v>7676</v>
      </c>
      <c r="B2497" t="s">
        <v>6260</v>
      </c>
      <c r="C2497">
        <v>1</v>
      </c>
      <c r="D2497" t="s">
        <v>7612</v>
      </c>
      <c r="F2497" t="s">
        <v>6261</v>
      </c>
      <c r="G2497" t="s">
        <v>6263</v>
      </c>
      <c r="H2497" t="s">
        <v>6262</v>
      </c>
      <c r="I2497" t="s">
        <v>13</v>
      </c>
      <c r="J2497" t="s">
        <v>7682</v>
      </c>
      <c r="K2497" t="s">
        <v>7826</v>
      </c>
      <c r="L2497" t="s">
        <v>7826</v>
      </c>
      <c r="N2497" t="str" cm="1">
        <f t="array" ref="N2497">IFERROR(LOOKUP(2,1/SEARCH($S$2:$S$65,G2497),$T$2:$T$65),"Misc")</f>
        <v>OH P/N</v>
      </c>
      <c r="O2497" t="str" cm="1">
        <f t="array" ref="O2497">IFERROR(LOOKUP(2,1/SEARCH($V$2:$V$65,G2497),$W$2:$W$65),"Misc")</f>
        <v>OH Part</v>
      </c>
      <c r="P2497" t="str" cm="1">
        <f t="array" ref="P2497">IFERROR(LOOKUP(2,1/SEARCH($Y$2:$Y$65,G2497),$Z$2:$Z$65),"Not Defined")</f>
        <v>OH Part</v>
      </c>
      <c r="Q2497" t="str" cm="1">
        <f t="array" ref="Q2497">IFERROR(LOOKUP(2,1/SEARCH($S$2:$S$65,H2497),$T$2:$T$65),"-")</f>
        <v>-</v>
      </c>
    </row>
    <row r="2498" spans="1:17" hidden="1" x14ac:dyDescent="0.25">
      <c r="A2498" t="s">
        <v>7676</v>
      </c>
      <c r="B2498" t="s">
        <v>6264</v>
      </c>
      <c r="C2498">
        <v>1</v>
      </c>
      <c r="D2498" t="s">
        <v>7612</v>
      </c>
      <c r="F2498" t="s">
        <v>6265</v>
      </c>
      <c r="G2498" t="s">
        <v>6267</v>
      </c>
      <c r="H2498" t="s">
        <v>6266</v>
      </c>
      <c r="I2498" t="s">
        <v>13</v>
      </c>
      <c r="J2498" t="s">
        <v>7682</v>
      </c>
      <c r="K2498" t="s">
        <v>7826</v>
      </c>
      <c r="L2498" t="s">
        <v>7826</v>
      </c>
      <c r="N2498" t="str" cm="1">
        <f t="array" ref="N2498">IFERROR(LOOKUP(2,1/SEARCH($S$2:$S$65,G2498),$T$2:$T$65),"Misc")</f>
        <v>OH P/N</v>
      </c>
      <c r="O2498" t="str" cm="1">
        <f t="array" ref="O2498">IFERROR(LOOKUP(2,1/SEARCH($V$2:$V$65,G2498),$W$2:$W$65),"Misc")</f>
        <v>OH Part</v>
      </c>
      <c r="P2498" t="str" cm="1">
        <f t="array" ref="P2498">IFERROR(LOOKUP(2,1/SEARCH($Y$2:$Y$65,G2498),$Z$2:$Z$65),"Not Defined")</f>
        <v>OH Part</v>
      </c>
      <c r="Q2498" t="str" cm="1">
        <f t="array" ref="Q2498">IFERROR(LOOKUP(2,1/SEARCH($S$2:$S$65,H2498),$T$2:$T$65),"-")</f>
        <v>COTS</v>
      </c>
    </row>
    <row r="2499" spans="1:17" hidden="1" x14ac:dyDescent="0.25">
      <c r="A2499" t="s">
        <v>7676</v>
      </c>
      <c r="B2499" t="s">
        <v>6268</v>
      </c>
      <c r="C2499">
        <v>1</v>
      </c>
      <c r="D2499" t="s">
        <v>7612</v>
      </c>
      <c r="F2499" t="s">
        <v>6269</v>
      </c>
      <c r="G2499" t="s">
        <v>6271</v>
      </c>
      <c r="H2499" t="s">
        <v>6270</v>
      </c>
      <c r="I2499" t="s">
        <v>13</v>
      </c>
      <c r="J2499" t="s">
        <v>7682</v>
      </c>
      <c r="K2499" t="s">
        <v>7826</v>
      </c>
      <c r="L2499" t="s">
        <v>7826</v>
      </c>
      <c r="N2499" t="str" cm="1">
        <f t="array" ref="N2499">IFERROR(LOOKUP(2,1/SEARCH($S$2:$S$65,G2499),$T$2:$T$65),"Misc")</f>
        <v>OH P/N</v>
      </c>
      <c r="O2499" t="str" cm="1">
        <f t="array" ref="O2499">IFERROR(LOOKUP(2,1/SEARCH($V$2:$V$65,G2499),$W$2:$W$65),"Misc")</f>
        <v>OH Part</v>
      </c>
      <c r="P2499" t="str" cm="1">
        <f t="array" ref="P2499">IFERROR(LOOKUP(2,1/SEARCH($Y$2:$Y$65,G2499),$Z$2:$Z$65),"Not Defined")</f>
        <v>OH Part</v>
      </c>
      <c r="Q2499" t="str" cm="1">
        <f t="array" ref="Q2499">IFERROR(LOOKUP(2,1/SEARCH($S$2:$S$65,H2499),$T$2:$T$65),"-")</f>
        <v>-</v>
      </c>
    </row>
    <row r="2500" spans="1:17" hidden="1" x14ac:dyDescent="0.25">
      <c r="A2500" t="s">
        <v>7676</v>
      </c>
      <c r="B2500" t="s">
        <v>6272</v>
      </c>
      <c r="C2500">
        <v>1</v>
      </c>
      <c r="D2500" t="s">
        <v>7612</v>
      </c>
      <c r="F2500" t="s">
        <v>6273</v>
      </c>
      <c r="G2500" t="s">
        <v>6275</v>
      </c>
      <c r="H2500" t="s">
        <v>6274</v>
      </c>
      <c r="I2500" t="s">
        <v>293</v>
      </c>
      <c r="J2500" t="s">
        <v>7682</v>
      </c>
      <c r="K2500" t="s">
        <v>7826</v>
      </c>
      <c r="L2500" t="s">
        <v>7826</v>
      </c>
      <c r="N2500" t="str" cm="1">
        <f t="array" ref="N2500">IFERROR(LOOKUP(2,1/SEARCH($S$2:$S$65,G2500),$T$2:$T$65),"Misc")</f>
        <v>OH P/N</v>
      </c>
      <c r="O2500" t="str" cm="1">
        <f t="array" ref="O2500">IFERROR(LOOKUP(2,1/SEARCH($V$2:$V$65,G2500),$W$2:$W$65),"Misc")</f>
        <v>OH Part</v>
      </c>
      <c r="P2500" t="str" cm="1">
        <f t="array" ref="P2500">IFERROR(LOOKUP(2,1/SEARCH($Y$2:$Y$65,G2500),$Z$2:$Z$65),"Not Defined")</f>
        <v>OH Part</v>
      </c>
      <c r="Q2500" t="str" cm="1">
        <f t="array" ref="Q2500">IFERROR(LOOKUP(2,1/SEARCH($S$2:$S$65,H2500),$T$2:$T$65),"-")</f>
        <v>-</v>
      </c>
    </row>
    <row r="2501" spans="1:17" hidden="1" x14ac:dyDescent="0.25">
      <c r="A2501" t="s">
        <v>7676</v>
      </c>
      <c r="B2501" t="s">
        <v>6276</v>
      </c>
      <c r="C2501">
        <v>1</v>
      </c>
      <c r="D2501" t="s">
        <v>7612</v>
      </c>
      <c r="F2501" t="s">
        <v>6277</v>
      </c>
      <c r="G2501" t="s">
        <v>6279</v>
      </c>
      <c r="H2501" t="s">
        <v>6278</v>
      </c>
      <c r="I2501" t="s">
        <v>13</v>
      </c>
      <c r="J2501" t="s">
        <v>7682</v>
      </c>
      <c r="K2501" t="s">
        <v>7826</v>
      </c>
      <c r="L2501" t="s">
        <v>7826</v>
      </c>
      <c r="N2501" t="str" cm="1">
        <f t="array" ref="N2501">IFERROR(LOOKUP(2,1/SEARCH($S$2:$S$65,G2501),$T$2:$T$65),"Misc")</f>
        <v>OH P/N</v>
      </c>
      <c r="O2501" t="str" cm="1">
        <f t="array" ref="O2501">IFERROR(LOOKUP(2,1/SEARCH($V$2:$V$65,G2501),$W$2:$W$65),"Misc")</f>
        <v>OH Part</v>
      </c>
      <c r="P2501" t="str" cm="1">
        <f t="array" ref="P2501">IFERROR(LOOKUP(2,1/SEARCH($Y$2:$Y$65,G2501),$Z$2:$Z$65),"Not Defined")</f>
        <v>OH Part</v>
      </c>
      <c r="Q2501" t="str" cm="1">
        <f t="array" ref="Q2501">IFERROR(LOOKUP(2,1/SEARCH($S$2:$S$65,H2501),$T$2:$T$65),"-")</f>
        <v>-</v>
      </c>
    </row>
    <row r="2502" spans="1:17" hidden="1" x14ac:dyDescent="0.25">
      <c r="A2502" t="s">
        <v>7676</v>
      </c>
      <c r="B2502" t="s">
        <v>6280</v>
      </c>
      <c r="C2502">
        <v>1</v>
      </c>
      <c r="D2502" t="s">
        <v>7612</v>
      </c>
      <c r="F2502" t="s">
        <v>6281</v>
      </c>
      <c r="G2502" t="s">
        <v>6283</v>
      </c>
      <c r="H2502" t="s">
        <v>6282</v>
      </c>
      <c r="I2502" t="s">
        <v>358</v>
      </c>
      <c r="J2502" t="s">
        <v>7682</v>
      </c>
      <c r="K2502" t="s">
        <v>7826</v>
      </c>
      <c r="L2502" t="s">
        <v>7826</v>
      </c>
      <c r="N2502" t="str" cm="1">
        <f t="array" ref="N2502">IFERROR(LOOKUP(2,1/SEARCH($S$2:$S$65,G2502),$T$2:$T$65),"Misc")</f>
        <v>OH P/N</v>
      </c>
      <c r="O2502" t="str" cm="1">
        <f t="array" ref="O2502">IFERROR(LOOKUP(2,1/SEARCH($V$2:$V$65,G2502),$W$2:$W$65),"Misc")</f>
        <v>OH Part</v>
      </c>
      <c r="P2502" t="str" cm="1">
        <f t="array" ref="P2502">IFERROR(LOOKUP(2,1/SEARCH($Y$2:$Y$65,G2502),$Z$2:$Z$65),"Not Defined")</f>
        <v>OH Part</v>
      </c>
      <c r="Q2502" t="str" cm="1">
        <f t="array" ref="Q2502">IFERROR(LOOKUP(2,1/SEARCH($S$2:$S$65,H2502),$T$2:$T$65),"-")</f>
        <v>-</v>
      </c>
    </row>
    <row r="2503" spans="1:17" hidden="1" x14ac:dyDescent="0.25">
      <c r="A2503" t="s">
        <v>7676</v>
      </c>
      <c r="B2503" t="s">
        <v>6284</v>
      </c>
      <c r="C2503">
        <v>1</v>
      </c>
      <c r="D2503" t="s">
        <v>7612</v>
      </c>
      <c r="F2503" t="s">
        <v>6285</v>
      </c>
      <c r="G2503" t="s">
        <v>6287</v>
      </c>
      <c r="H2503" t="s">
        <v>6286</v>
      </c>
      <c r="I2503" t="s">
        <v>13</v>
      </c>
      <c r="J2503" t="s">
        <v>7682</v>
      </c>
      <c r="K2503" t="s">
        <v>7826</v>
      </c>
      <c r="L2503" t="s">
        <v>7826</v>
      </c>
      <c r="N2503" t="str" cm="1">
        <f t="array" ref="N2503">IFERROR(LOOKUP(2,1/SEARCH($S$2:$S$65,G2503),$T$2:$T$65),"Misc")</f>
        <v>OH P/N</v>
      </c>
      <c r="O2503" t="str" cm="1">
        <f t="array" ref="O2503">IFERROR(LOOKUP(2,1/SEARCH($V$2:$V$65,G2503),$W$2:$W$65),"Misc")</f>
        <v>OH Part</v>
      </c>
      <c r="P2503" t="str" cm="1">
        <f t="array" ref="P2503">IFERROR(LOOKUP(2,1/SEARCH($Y$2:$Y$65,G2503),$Z$2:$Z$65),"Not Defined")</f>
        <v>OH Part</v>
      </c>
      <c r="Q2503" t="str" cm="1">
        <f t="array" ref="Q2503">IFERROR(LOOKUP(2,1/SEARCH($S$2:$S$65,H2503),$T$2:$T$65),"-")</f>
        <v>-</v>
      </c>
    </row>
    <row r="2504" spans="1:17" hidden="1" x14ac:dyDescent="0.25">
      <c r="A2504" t="s">
        <v>7676</v>
      </c>
      <c r="B2504" t="s">
        <v>6288</v>
      </c>
      <c r="C2504">
        <v>1</v>
      </c>
      <c r="D2504" t="s">
        <v>7612</v>
      </c>
      <c r="F2504" t="s">
        <v>6289</v>
      </c>
      <c r="G2504" t="s">
        <v>6291</v>
      </c>
      <c r="H2504" t="s">
        <v>6290</v>
      </c>
      <c r="I2504" t="s">
        <v>13</v>
      </c>
      <c r="J2504" t="s">
        <v>7703</v>
      </c>
      <c r="K2504" t="s">
        <v>7826</v>
      </c>
      <c r="L2504" t="s">
        <v>7722</v>
      </c>
      <c r="N2504" t="str" cm="1">
        <f t="array" ref="N2504">IFERROR(LOOKUP(2,1/SEARCH($S$2:$S$65,G2504),$T$2:$T$65),"Misc")</f>
        <v>OH P/N</v>
      </c>
      <c r="O2504" t="str" cm="1">
        <f t="array" ref="O2504">IFERROR(LOOKUP(2,1/SEARCH($V$2:$V$65,G2504),$W$2:$W$65),"Misc")</f>
        <v>OH Part</v>
      </c>
      <c r="P2504" t="str" cm="1">
        <f t="array" ref="P2504">IFERROR(LOOKUP(2,1/SEARCH($Y$2:$Y$65,G2504),$Z$2:$Z$65),"Not Defined")</f>
        <v>POT</v>
      </c>
      <c r="Q2504" t="str" cm="1">
        <f t="array" ref="Q2504">IFERROR(LOOKUP(2,1/SEARCH($S$2:$S$65,H2504),$T$2:$T$65),"-")</f>
        <v>COTS</v>
      </c>
    </row>
    <row r="2505" spans="1:17" hidden="1" x14ac:dyDescent="0.25">
      <c r="A2505" t="s">
        <v>7676</v>
      </c>
      <c r="B2505" t="s">
        <v>6292</v>
      </c>
      <c r="C2505">
        <v>1</v>
      </c>
      <c r="D2505" t="s">
        <v>7612</v>
      </c>
      <c r="F2505" t="s">
        <v>6293</v>
      </c>
      <c r="G2505" t="s">
        <v>6295</v>
      </c>
      <c r="H2505" t="s">
        <v>6294</v>
      </c>
      <c r="I2505" t="s">
        <v>13</v>
      </c>
      <c r="J2505" t="s">
        <v>7682</v>
      </c>
      <c r="K2505" t="s">
        <v>7826</v>
      </c>
      <c r="L2505" t="s">
        <v>7826</v>
      </c>
      <c r="N2505" t="str" cm="1">
        <f t="array" ref="N2505">IFERROR(LOOKUP(2,1/SEARCH($S$2:$S$65,G2505),$T$2:$T$65),"Misc")</f>
        <v>OH P/N</v>
      </c>
      <c r="O2505" t="str" cm="1">
        <f t="array" ref="O2505">IFERROR(LOOKUP(2,1/SEARCH($V$2:$V$65,G2505),$W$2:$W$65),"Misc")</f>
        <v>OH Part</v>
      </c>
      <c r="P2505" t="str" cm="1">
        <f t="array" ref="P2505">IFERROR(LOOKUP(2,1/SEARCH($Y$2:$Y$65,G2505),$Z$2:$Z$65),"Not Defined")</f>
        <v>OH Part</v>
      </c>
      <c r="Q2505" t="str" cm="1">
        <f t="array" ref="Q2505">IFERROR(LOOKUP(2,1/SEARCH($S$2:$S$65,H2505),$T$2:$T$65),"-")</f>
        <v>-</v>
      </c>
    </row>
    <row r="2506" spans="1:17" hidden="1" x14ac:dyDescent="0.25">
      <c r="A2506" t="s">
        <v>7676</v>
      </c>
      <c r="B2506" t="s">
        <v>6296</v>
      </c>
      <c r="C2506">
        <v>1</v>
      </c>
      <c r="D2506" t="s">
        <v>7612</v>
      </c>
      <c r="E2506" t="s">
        <v>6299</v>
      </c>
      <c r="F2506" t="s">
        <v>6297</v>
      </c>
      <c r="G2506" t="s">
        <v>6299</v>
      </c>
      <c r="H2506" t="s">
        <v>6298</v>
      </c>
      <c r="I2506" t="s">
        <v>255</v>
      </c>
      <c r="J2506" t="s">
        <v>7682</v>
      </c>
      <c r="K2506" t="s">
        <v>7826</v>
      </c>
      <c r="L2506" t="s">
        <v>7826</v>
      </c>
      <c r="N2506" t="str" cm="1">
        <f t="array" ref="N2506">IFERROR(LOOKUP(2,1/SEARCH($S$2:$S$65,G2506),$T$2:$T$65),"Misc")</f>
        <v>OH P/N</v>
      </c>
      <c r="O2506" t="str" cm="1">
        <f t="array" ref="O2506">IFERROR(LOOKUP(2,1/SEARCH($V$2:$V$65,G2506),$W$2:$W$65),"Misc")</f>
        <v>OH Part</v>
      </c>
      <c r="P2506" t="str" cm="1">
        <f t="array" ref="P2506">IFERROR(LOOKUP(2,1/SEARCH($Y$2:$Y$65,G2506),$Z$2:$Z$65),"Not Defined")</f>
        <v>OH Part</v>
      </c>
      <c r="Q2506" t="str" cm="1">
        <f t="array" ref="Q2506">IFERROR(LOOKUP(2,1/SEARCH($S$2:$S$65,H2506),$T$2:$T$65),"-")</f>
        <v>-</v>
      </c>
    </row>
    <row r="2507" spans="1:17" hidden="1" x14ac:dyDescent="0.25">
      <c r="A2507" t="s">
        <v>7676</v>
      </c>
      <c r="B2507" t="s">
        <v>6300</v>
      </c>
      <c r="C2507">
        <v>1</v>
      </c>
      <c r="D2507" t="s">
        <v>7612</v>
      </c>
      <c r="E2507" t="s">
        <v>6299</v>
      </c>
      <c r="F2507" t="s">
        <v>596</v>
      </c>
      <c r="G2507" t="s">
        <v>7108</v>
      </c>
      <c r="H2507" t="s">
        <v>597</v>
      </c>
      <c r="I2507" t="s">
        <v>255</v>
      </c>
      <c r="J2507" t="s">
        <v>7703</v>
      </c>
      <c r="K2507" t="s">
        <v>7713</v>
      </c>
      <c r="L2507" t="s">
        <v>7713</v>
      </c>
      <c r="N2507" t="str" cm="1">
        <f t="array" ref="N2507">IFERROR(LOOKUP(2,1/SEARCH($S$2:$S$65,G2507),$T$2:$T$65),"Misc")</f>
        <v>COTS</v>
      </c>
      <c r="O2507" t="str" cm="1">
        <f t="array" ref="O2507">IFERROR(LOOKUP(2,1/SEARCH($V$2:$V$65,G2507),$W$2:$W$65),"Misc")</f>
        <v>ARDUINO</v>
      </c>
      <c r="P2507" t="str" cm="1">
        <f t="array" ref="P2507">IFERROR(LOOKUP(2,1/SEARCH($Y$2:$Y$65,G2507),$Z$2:$Z$65),"Not Defined")</f>
        <v>ARDUINO</v>
      </c>
      <c r="Q2507" t="str" cm="1">
        <f t="array" ref="Q2507">IFERROR(LOOKUP(2,1/SEARCH($S$2:$S$65,H2507),$T$2:$T$65),"-")</f>
        <v>COTS</v>
      </c>
    </row>
    <row r="2508" spans="1:17" hidden="1" x14ac:dyDescent="0.25">
      <c r="A2508" t="s">
        <v>7676</v>
      </c>
      <c r="B2508" t="s">
        <v>6301</v>
      </c>
      <c r="C2508">
        <v>1</v>
      </c>
      <c r="D2508" t="s">
        <v>7612</v>
      </c>
      <c r="F2508" t="s">
        <v>310</v>
      </c>
      <c r="G2508" t="s">
        <v>7229</v>
      </c>
      <c r="H2508" t="s">
        <v>1581</v>
      </c>
      <c r="I2508" t="s">
        <v>255</v>
      </c>
      <c r="J2508" t="s">
        <v>7703</v>
      </c>
      <c r="K2508" t="s">
        <v>7814</v>
      </c>
      <c r="L2508" t="s">
        <v>7723</v>
      </c>
      <c r="N2508" t="str" cm="1">
        <f t="array" ref="N2508">IFERROR(LOOKUP(2,1/SEARCH($S$2:$S$65,G2508),$T$2:$T$65),"Misc")</f>
        <v>COTS</v>
      </c>
      <c r="O2508" t="str" cm="1">
        <f t="array" ref="O2508">IFERROR(LOOKUP(2,1/SEARCH($V$2:$V$65,G2508),$W$2:$W$65),"Misc")</f>
        <v>Misc</v>
      </c>
      <c r="P2508" t="str" cm="1">
        <f t="array" ref="P2508">IFERROR(LOOKUP(2,1/SEARCH($Y$2:$Y$65,G2508),$Z$2:$Z$65),"Not Defined")</f>
        <v>MICROSTEPPER</v>
      </c>
      <c r="Q2508" t="str" cm="1">
        <f t="array" ref="Q2508">IFERROR(LOOKUP(2,1/SEARCH($S$2:$S$65,H2508),$T$2:$T$65),"-")</f>
        <v>COTS</v>
      </c>
    </row>
    <row r="2509" spans="1:17" hidden="1" x14ac:dyDescent="0.25">
      <c r="A2509" t="s">
        <v>7676</v>
      </c>
      <c r="B2509" t="s">
        <v>6302</v>
      </c>
      <c r="C2509">
        <v>15</v>
      </c>
      <c r="D2509" t="s">
        <v>7612</v>
      </c>
      <c r="F2509" t="s">
        <v>268</v>
      </c>
      <c r="G2509" t="s">
        <v>7061</v>
      </c>
      <c r="H2509" t="s">
        <v>269</v>
      </c>
      <c r="I2509" t="s">
        <v>224</v>
      </c>
      <c r="J2509" t="s">
        <v>7703</v>
      </c>
      <c r="K2509" t="s">
        <v>7684</v>
      </c>
      <c r="L2509" t="s">
        <v>7687</v>
      </c>
      <c r="N2509" t="str" cm="1">
        <f t="array" ref="N2509">IFERROR(LOOKUP(2,1/SEARCH($S$2:$S$65,G2509),$T$2:$T$65),"Misc")</f>
        <v>COTS</v>
      </c>
      <c r="O2509" t="str" cm="1">
        <f t="array" ref="O2509">IFERROR(LOOKUP(2,1/SEARCH($V$2:$V$65,G2509),$W$2:$W$65),"Misc")</f>
        <v>Fasteners</v>
      </c>
      <c r="P2509" t="str" cm="1">
        <f t="array" ref="P2509">IFERROR(LOOKUP(2,1/SEARCH($Y$2:$Y$65,G2509),$Z$2:$Z$65),"Not Defined")</f>
        <v>INSERT</v>
      </c>
      <c r="Q2509" t="str" cm="1">
        <f t="array" ref="Q2509">IFERROR(LOOKUP(2,1/SEARCH($S$2:$S$65,H2509),$T$2:$T$65),"-")</f>
        <v>COTS</v>
      </c>
    </row>
    <row r="2510" spans="1:17" hidden="1" x14ac:dyDescent="0.25">
      <c r="A2510" t="s">
        <v>7676</v>
      </c>
      <c r="B2510" t="s">
        <v>6303</v>
      </c>
      <c r="C2510">
        <v>8</v>
      </c>
      <c r="D2510" t="s">
        <v>7612</v>
      </c>
      <c r="F2510" t="s">
        <v>586</v>
      </c>
      <c r="G2510" t="s">
        <v>7107</v>
      </c>
      <c r="H2510" t="s">
        <v>587</v>
      </c>
      <c r="I2510" t="s">
        <v>210</v>
      </c>
      <c r="J2510" t="s">
        <v>7703</v>
      </c>
      <c r="K2510" t="s">
        <v>7684</v>
      </c>
      <c r="L2510" t="s">
        <v>7693</v>
      </c>
      <c r="N2510" t="str" cm="1">
        <f t="array" ref="N2510">IFERROR(LOOKUP(2,1/SEARCH($S$2:$S$65,G2510),$T$2:$T$65),"Misc")</f>
        <v>COTS</v>
      </c>
      <c r="O2510" t="str" cm="1">
        <f t="array" ref="O2510">IFERROR(LOOKUP(2,1/SEARCH($V$2:$V$65,G2510),$W$2:$W$65),"Misc")</f>
        <v>Fasteners</v>
      </c>
      <c r="P2510" t="str" cm="1">
        <f t="array" ref="P2510">IFERROR(LOOKUP(2,1/SEARCH($Y$2:$Y$65,G2510),$Z$2:$Z$65),"Not Defined")</f>
        <v>PHS</v>
      </c>
      <c r="Q2510" t="str" cm="1">
        <f t="array" ref="Q2510">IFERROR(LOOKUP(2,1/SEARCH($S$2:$S$65,H2510),$T$2:$T$65),"-")</f>
        <v>COTS</v>
      </c>
    </row>
    <row r="2511" spans="1:17" hidden="1" x14ac:dyDescent="0.25">
      <c r="A2511" t="s">
        <v>7676</v>
      </c>
      <c r="B2511" t="s">
        <v>6304</v>
      </c>
      <c r="C2511">
        <v>2</v>
      </c>
      <c r="D2511" t="s">
        <v>7612</v>
      </c>
      <c r="F2511" t="s">
        <v>2771</v>
      </c>
      <c r="G2511" t="s">
        <v>7315</v>
      </c>
      <c r="H2511" t="s">
        <v>2772</v>
      </c>
      <c r="I2511" t="s">
        <v>228</v>
      </c>
      <c r="J2511" t="s">
        <v>7703</v>
      </c>
      <c r="K2511" t="s">
        <v>7684</v>
      </c>
      <c r="L2511" t="s">
        <v>7693</v>
      </c>
      <c r="N2511" t="str" cm="1">
        <f t="array" ref="N2511">IFERROR(LOOKUP(2,1/SEARCH($S$2:$S$65,G2511),$T$2:$T$65),"Misc")</f>
        <v>COTS</v>
      </c>
      <c r="O2511" t="str" cm="1">
        <f t="array" ref="O2511">IFERROR(LOOKUP(2,1/SEARCH($V$2:$V$65,G2511),$W$2:$W$65),"Misc")</f>
        <v>Fasteners</v>
      </c>
      <c r="P2511" t="str" cm="1">
        <f t="array" ref="P2511">IFERROR(LOOKUP(2,1/SEARCH($Y$2:$Y$65,G2511),$Z$2:$Z$65),"Not Defined")</f>
        <v>PHS</v>
      </c>
      <c r="Q2511" t="str" cm="1">
        <f t="array" ref="Q2511">IFERROR(LOOKUP(2,1/SEARCH($S$2:$S$65,H2511),$T$2:$T$65),"-")</f>
        <v>COTS</v>
      </c>
    </row>
    <row r="2512" spans="1:17" hidden="1" x14ac:dyDescent="0.25">
      <c r="A2512" t="s">
        <v>7676</v>
      </c>
      <c r="B2512" t="s">
        <v>6305</v>
      </c>
      <c r="C2512">
        <v>11</v>
      </c>
      <c r="D2512" t="s">
        <v>7612</v>
      </c>
      <c r="F2512" t="s">
        <v>304</v>
      </c>
      <c r="G2512" t="s">
        <v>7067</v>
      </c>
      <c r="H2512" t="s">
        <v>305</v>
      </c>
      <c r="I2512" t="s">
        <v>210</v>
      </c>
      <c r="J2512" t="s">
        <v>7703</v>
      </c>
      <c r="K2512" t="s">
        <v>7684</v>
      </c>
      <c r="L2512" t="s">
        <v>7693</v>
      </c>
      <c r="N2512" t="str" cm="1">
        <f t="array" ref="N2512">IFERROR(LOOKUP(2,1/SEARCH($S$2:$S$65,G2512),$T$2:$T$65),"Misc")</f>
        <v>COTS</v>
      </c>
      <c r="O2512" t="str" cm="1">
        <f t="array" ref="O2512">IFERROR(LOOKUP(2,1/SEARCH($V$2:$V$65,G2512),$W$2:$W$65),"Misc")</f>
        <v>Fasteners</v>
      </c>
      <c r="P2512" t="str" cm="1">
        <f t="array" ref="P2512">IFERROR(LOOKUP(2,1/SEARCH($Y$2:$Y$65,G2512),$Z$2:$Z$65),"Not Defined")</f>
        <v>PHS</v>
      </c>
      <c r="Q2512" t="str" cm="1">
        <f t="array" ref="Q2512">IFERROR(LOOKUP(2,1/SEARCH($S$2:$S$65,H2512),$T$2:$T$65),"-")</f>
        <v>COTS</v>
      </c>
    </row>
    <row r="2513" spans="1:17" hidden="1" x14ac:dyDescent="0.25">
      <c r="A2513" t="s">
        <v>7676</v>
      </c>
      <c r="B2513" t="s">
        <v>6306</v>
      </c>
      <c r="C2513">
        <v>1</v>
      </c>
      <c r="D2513" t="s">
        <v>7612</v>
      </c>
      <c r="F2513" t="s">
        <v>360</v>
      </c>
      <c r="G2513" t="s">
        <v>7076</v>
      </c>
      <c r="H2513" t="s">
        <v>361</v>
      </c>
      <c r="I2513" t="s">
        <v>228</v>
      </c>
      <c r="J2513" t="s">
        <v>7703</v>
      </c>
      <c r="K2513" t="s">
        <v>7684</v>
      </c>
      <c r="L2513" t="s">
        <v>7721</v>
      </c>
      <c r="N2513" t="str" cm="1">
        <f t="array" ref="N2513">IFERROR(LOOKUP(2,1/SEARCH($S$2:$S$65,G2513),$T$2:$T$65),"Misc")</f>
        <v>COTS</v>
      </c>
      <c r="O2513" t="str" cm="1">
        <f t="array" ref="O2513">IFERROR(LOOKUP(2,1/SEARCH($V$2:$V$65,G2513),$W$2:$W$65),"Misc")</f>
        <v>Fasteners</v>
      </c>
      <c r="P2513" t="str" cm="1">
        <f t="array" ref="P2513">IFERROR(LOOKUP(2,1/SEARCH($Y$2:$Y$65,G2513),$Z$2:$Z$65),"Not Defined")</f>
        <v>SET SCREW</v>
      </c>
      <c r="Q2513" t="str" cm="1">
        <f t="array" ref="Q2513">IFERROR(LOOKUP(2,1/SEARCH($S$2:$S$65,H2513),$T$2:$T$65),"-")</f>
        <v>COTS</v>
      </c>
    </row>
    <row r="2514" spans="1:17" hidden="1" x14ac:dyDescent="0.25">
      <c r="A2514" t="s">
        <v>7676</v>
      </c>
      <c r="B2514" t="s">
        <v>6307</v>
      </c>
      <c r="C2514">
        <v>1</v>
      </c>
      <c r="D2514" t="s">
        <v>7612</v>
      </c>
      <c r="F2514" t="s">
        <v>6308</v>
      </c>
      <c r="G2514" t="s">
        <v>7613</v>
      </c>
      <c r="H2514" t="s">
        <v>6309</v>
      </c>
      <c r="I2514" t="s">
        <v>255</v>
      </c>
      <c r="J2514" t="s">
        <v>7703</v>
      </c>
      <c r="K2514" t="s">
        <v>7814</v>
      </c>
      <c r="L2514" t="s">
        <v>7718</v>
      </c>
      <c r="N2514" t="str" cm="1">
        <f t="array" ref="N2514">IFERROR(LOOKUP(2,1/SEARCH($S$2:$S$65,G2514),$T$2:$T$65),"Misc")</f>
        <v>COTS</v>
      </c>
      <c r="O2514" t="str" cm="1">
        <f t="array" ref="O2514">IFERROR(LOOKUP(2,1/SEARCH($V$2:$V$65,G2514),$W$2:$W$65),"Misc")</f>
        <v>Misc</v>
      </c>
      <c r="P2514" t="str" cm="1">
        <f t="array" ref="P2514">IFERROR(LOOKUP(2,1/SEARCH($Y$2:$Y$65,G2514),$Z$2:$Z$65),"Not Defined")</f>
        <v>LED</v>
      </c>
      <c r="Q2514" t="str" cm="1">
        <f t="array" ref="Q2514">IFERROR(LOOKUP(2,1/SEARCH($S$2:$S$65,H2514),$T$2:$T$65),"-")</f>
        <v>COTS</v>
      </c>
    </row>
    <row r="2515" spans="1:17" hidden="1" x14ac:dyDescent="0.25">
      <c r="A2515" t="s">
        <v>7676</v>
      </c>
      <c r="B2515" t="s">
        <v>6310</v>
      </c>
      <c r="C2515">
        <v>1</v>
      </c>
      <c r="D2515" t="s">
        <v>7612</v>
      </c>
      <c r="F2515" t="s">
        <v>6311</v>
      </c>
      <c r="G2515" t="s">
        <v>7614</v>
      </c>
      <c r="H2515" t="s">
        <v>6312</v>
      </c>
      <c r="I2515" t="s">
        <v>255</v>
      </c>
      <c r="J2515" t="s">
        <v>7703</v>
      </c>
      <c r="K2515" t="s">
        <v>7814</v>
      </c>
      <c r="L2515" t="s">
        <v>7718</v>
      </c>
      <c r="N2515" t="str" cm="1">
        <f t="array" ref="N2515">IFERROR(LOOKUP(2,1/SEARCH($S$2:$S$65,G2515),$T$2:$T$65),"Misc")</f>
        <v>COTS</v>
      </c>
      <c r="O2515" t="str" cm="1">
        <f t="array" ref="O2515">IFERROR(LOOKUP(2,1/SEARCH($V$2:$V$65,G2515),$W$2:$W$65),"Misc")</f>
        <v>Misc</v>
      </c>
      <c r="P2515" t="str" cm="1">
        <f t="array" ref="P2515">IFERROR(LOOKUP(2,1/SEARCH($Y$2:$Y$65,G2515),$Z$2:$Z$65),"Not Defined")</f>
        <v>LED</v>
      </c>
      <c r="Q2515" t="str" cm="1">
        <f t="array" ref="Q2515">IFERROR(LOOKUP(2,1/SEARCH($S$2:$S$65,H2515),$T$2:$T$65),"-")</f>
        <v>COTS</v>
      </c>
    </row>
    <row r="2516" spans="1:17" hidden="1" x14ac:dyDescent="0.25">
      <c r="A2516" t="s">
        <v>7676</v>
      </c>
      <c r="B2516" t="s">
        <v>6313</v>
      </c>
      <c r="C2516">
        <v>2</v>
      </c>
      <c r="D2516" t="s">
        <v>7612</v>
      </c>
      <c r="F2516" t="s">
        <v>6314</v>
      </c>
      <c r="G2516" t="s">
        <v>7615</v>
      </c>
      <c r="H2516" t="s">
        <v>6315</v>
      </c>
      <c r="I2516" t="s">
        <v>255</v>
      </c>
      <c r="J2516" t="s">
        <v>7703</v>
      </c>
      <c r="K2516" t="s">
        <v>7814</v>
      </c>
      <c r="L2516" t="s">
        <v>7718</v>
      </c>
      <c r="N2516" t="str" cm="1">
        <f t="array" ref="N2516">IFERROR(LOOKUP(2,1/SEARCH($S$2:$S$65,G2516),$T$2:$T$65),"Misc")</f>
        <v>COTS</v>
      </c>
      <c r="O2516" t="str" cm="1">
        <f t="array" ref="O2516">IFERROR(LOOKUP(2,1/SEARCH($V$2:$V$65,G2516),$W$2:$W$65),"Misc")</f>
        <v>Misc</v>
      </c>
      <c r="P2516" t="str" cm="1">
        <f t="array" ref="P2516">IFERROR(LOOKUP(2,1/SEARCH($Y$2:$Y$65,G2516),$Z$2:$Z$65),"Not Defined")</f>
        <v>LED</v>
      </c>
      <c r="Q2516" t="str" cm="1">
        <f t="array" ref="Q2516">IFERROR(LOOKUP(2,1/SEARCH($S$2:$S$65,H2516),$T$2:$T$65),"-")</f>
        <v>COTS</v>
      </c>
    </row>
    <row r="2517" spans="1:17" hidden="1" x14ac:dyDescent="0.25">
      <c r="A2517" t="s">
        <v>7676</v>
      </c>
      <c r="B2517" t="s">
        <v>6316</v>
      </c>
      <c r="C2517">
        <v>2</v>
      </c>
      <c r="D2517" t="s">
        <v>7612</v>
      </c>
      <c r="F2517" t="s">
        <v>6317</v>
      </c>
      <c r="G2517" t="s">
        <v>6319</v>
      </c>
      <c r="H2517" t="s">
        <v>6318</v>
      </c>
      <c r="I2517" t="s">
        <v>13</v>
      </c>
      <c r="J2517" t="s">
        <v>7682</v>
      </c>
      <c r="K2517" t="s">
        <v>7826</v>
      </c>
      <c r="L2517" t="s">
        <v>7826</v>
      </c>
      <c r="N2517" t="str" cm="1">
        <f t="array" ref="N2517">IFERROR(LOOKUP(2,1/SEARCH($S$2:$S$65,G2517),$T$2:$T$65),"Misc")</f>
        <v>OH P/N</v>
      </c>
      <c r="O2517" t="str" cm="1">
        <f t="array" ref="O2517">IFERROR(LOOKUP(2,1/SEARCH($V$2:$V$65,G2517),$W$2:$W$65),"Misc")</f>
        <v>OH Part</v>
      </c>
      <c r="P2517" t="str" cm="1">
        <f t="array" ref="P2517">IFERROR(LOOKUP(2,1/SEARCH($Y$2:$Y$65,G2517),$Z$2:$Z$65),"Not Defined")</f>
        <v>OH Part</v>
      </c>
      <c r="Q2517" t="str" cm="1">
        <f t="array" ref="Q2517">IFERROR(LOOKUP(2,1/SEARCH($S$2:$S$65,H2517),$T$2:$T$65),"-")</f>
        <v>-</v>
      </c>
    </row>
    <row r="2518" spans="1:17" hidden="1" x14ac:dyDescent="0.25">
      <c r="A2518" t="s">
        <v>7676</v>
      </c>
      <c r="B2518" t="s">
        <v>6320</v>
      </c>
      <c r="C2518">
        <v>1</v>
      </c>
      <c r="D2518" t="s">
        <v>7612</v>
      </c>
      <c r="F2518" t="s">
        <v>6321</v>
      </c>
      <c r="G2518" t="s">
        <v>7616</v>
      </c>
      <c r="H2518" t="s">
        <v>6322</v>
      </c>
      <c r="I2518" t="s">
        <v>228</v>
      </c>
      <c r="J2518" t="s">
        <v>7703</v>
      </c>
      <c r="K2518" t="s">
        <v>7719</v>
      </c>
      <c r="L2518" t="s">
        <v>7688</v>
      </c>
      <c r="N2518" t="str" cm="1">
        <f t="array" ref="N2518">IFERROR(LOOKUP(2,1/SEARCH($S$2:$S$65,G2518),$T$2:$T$65),"Misc")</f>
        <v>COTS</v>
      </c>
      <c r="O2518" t="str" cm="1">
        <f t="array" ref="O2518">IFERROR(LOOKUP(2,1/SEARCH($V$2:$V$65,G2518),$W$2:$W$65),"Misc")</f>
        <v>Misc</v>
      </c>
      <c r="P2518" t="str" cm="1">
        <f t="array" ref="P2518">IFERROR(LOOKUP(2,1/SEARCH($Y$2:$Y$65,G2518),$Z$2:$Z$65),"Not Defined")</f>
        <v>SPRING</v>
      </c>
      <c r="Q2518" t="str" cm="1">
        <f t="array" ref="Q2518">IFERROR(LOOKUP(2,1/SEARCH($S$2:$S$65,H2518),$T$2:$T$65),"-")</f>
        <v>COTS</v>
      </c>
    </row>
    <row r="2519" spans="1:17" hidden="1" x14ac:dyDescent="0.25">
      <c r="A2519" t="s">
        <v>7676</v>
      </c>
      <c r="B2519" t="s">
        <v>6323</v>
      </c>
      <c r="C2519">
        <v>1</v>
      </c>
      <c r="D2519" t="s">
        <v>7612</v>
      </c>
      <c r="F2519">
        <v>634070</v>
      </c>
      <c r="G2519" t="s">
        <v>7617</v>
      </c>
      <c r="H2519" t="s">
        <v>6324</v>
      </c>
      <c r="I2519" t="s">
        <v>228</v>
      </c>
      <c r="J2519" t="s">
        <v>7703</v>
      </c>
      <c r="K2519" t="s">
        <v>7814</v>
      </c>
      <c r="L2519" t="s">
        <v>7834</v>
      </c>
      <c r="N2519" t="str" cm="1">
        <f t="array" ref="N2519">IFERROR(LOOKUP(2,1/SEARCH($S$2:$S$65,G2519),$T$2:$T$65),"Misc")</f>
        <v>Misc</v>
      </c>
      <c r="O2519" t="str" cm="1">
        <f t="array" ref="O2519">IFERROR(LOOKUP(2,1/SEARCH($V$2:$V$65,G2519),$W$2:$W$65),"Misc")</f>
        <v>Misc</v>
      </c>
      <c r="P2519" t="str" cm="1">
        <f t="array" ref="P2519">IFERROR(LOOKUP(2,1/SEARCH($Y$2:$Y$65,G2519),$Z$2:$Z$65),"Not Defined")</f>
        <v>Not Defined</v>
      </c>
      <c r="Q2519" t="str" cm="1">
        <f t="array" ref="Q2519">IFERROR(LOOKUP(2,1/SEARCH($S$2:$S$65,H2519),$T$2:$T$65),"-")</f>
        <v>-</v>
      </c>
    </row>
    <row r="2520" spans="1:17" hidden="1" x14ac:dyDescent="0.25">
      <c r="A2520" t="s">
        <v>7676</v>
      </c>
      <c r="B2520" t="s">
        <v>6325</v>
      </c>
      <c r="C2520">
        <v>1</v>
      </c>
      <c r="D2520" t="s">
        <v>7612</v>
      </c>
      <c r="F2520" t="s">
        <v>6326</v>
      </c>
      <c r="G2520" t="s">
        <v>7618</v>
      </c>
      <c r="H2520" t="s">
        <v>6327</v>
      </c>
      <c r="I2520" t="s">
        <v>255</v>
      </c>
      <c r="J2520" t="s">
        <v>7703</v>
      </c>
      <c r="K2520" t="s">
        <v>7722</v>
      </c>
      <c r="L2520" t="s">
        <v>7722</v>
      </c>
      <c r="N2520" t="str" cm="1">
        <f t="array" ref="N2520">IFERROR(LOOKUP(2,1/SEARCH($S$2:$S$65,G2520),$T$2:$T$65),"Misc")</f>
        <v>COTS</v>
      </c>
      <c r="O2520" t="str" cm="1">
        <f t="array" ref="O2520">IFERROR(LOOKUP(2,1/SEARCH($V$2:$V$65,G2520),$W$2:$W$65),"Misc")</f>
        <v>POT</v>
      </c>
      <c r="P2520" t="str" cm="1">
        <f t="array" ref="P2520">IFERROR(LOOKUP(2,1/SEARCH($Y$2:$Y$65,G2520),$Z$2:$Z$65),"Not Defined")</f>
        <v>POT</v>
      </c>
      <c r="Q2520" t="str" cm="1">
        <f t="array" ref="Q2520">IFERROR(LOOKUP(2,1/SEARCH($S$2:$S$65,H2520),$T$2:$T$65),"-")</f>
        <v>COTS</v>
      </c>
    </row>
    <row r="2521" spans="1:17" hidden="1" x14ac:dyDescent="0.25">
      <c r="A2521" t="s">
        <v>7676</v>
      </c>
      <c r="B2521" t="s">
        <v>6328</v>
      </c>
      <c r="C2521">
        <v>1</v>
      </c>
      <c r="D2521" t="s">
        <v>7612</v>
      </c>
      <c r="F2521" t="s">
        <v>920</v>
      </c>
      <c r="G2521" t="s">
        <v>7130</v>
      </c>
      <c r="H2521" t="s">
        <v>921</v>
      </c>
      <c r="I2521" t="s">
        <v>255</v>
      </c>
      <c r="J2521" t="s">
        <v>7703</v>
      </c>
      <c r="K2521" t="s">
        <v>7677</v>
      </c>
      <c r="L2521" t="s">
        <v>7677</v>
      </c>
      <c r="N2521" t="str" cm="1">
        <f t="array" ref="N2521">IFERROR(LOOKUP(2,1/SEARCH($S$2:$S$65,G2521),$T$2:$T$65),"Misc")</f>
        <v>COTS</v>
      </c>
      <c r="O2521" t="str" cm="1">
        <f t="array" ref="O2521">IFERROR(LOOKUP(2,1/SEARCH($V$2:$V$65,G2521),$W$2:$W$65),"Misc")</f>
        <v>SWITCH</v>
      </c>
      <c r="P2521" t="str" cm="1">
        <f t="array" ref="P2521">IFERROR(LOOKUP(2,1/SEARCH($Y$2:$Y$65,G2521),$Z$2:$Z$65),"Not Defined")</f>
        <v>SWITCH</v>
      </c>
      <c r="Q2521" t="str" cm="1">
        <f t="array" ref="Q2521">IFERROR(LOOKUP(2,1/SEARCH($S$2:$S$65,H2521),$T$2:$T$65),"-")</f>
        <v>COTS</v>
      </c>
    </row>
    <row r="2522" spans="1:17" hidden="1" x14ac:dyDescent="0.25">
      <c r="A2522" t="s">
        <v>7676</v>
      </c>
      <c r="B2522" t="s">
        <v>6329</v>
      </c>
      <c r="C2522">
        <v>2</v>
      </c>
      <c r="D2522" t="s">
        <v>7612</v>
      </c>
      <c r="F2522" t="s">
        <v>4652</v>
      </c>
      <c r="G2522" t="s">
        <v>7474</v>
      </c>
      <c r="H2522" t="s">
        <v>4653</v>
      </c>
      <c r="I2522" t="s">
        <v>210</v>
      </c>
      <c r="J2522" t="s">
        <v>7703</v>
      </c>
      <c r="K2522" t="s">
        <v>7684</v>
      </c>
      <c r="L2522" t="s">
        <v>7685</v>
      </c>
      <c r="N2522" t="str" cm="1">
        <f t="array" ref="N2522">IFERROR(LOOKUP(2,1/SEARCH($S$2:$S$65,G2522),$T$2:$T$65),"Misc")</f>
        <v>COTS</v>
      </c>
      <c r="O2522" t="str" cm="1">
        <f t="array" ref="O2522">IFERROR(LOOKUP(2,1/SEARCH($V$2:$V$65,G2522),$W$2:$W$65),"Misc")</f>
        <v>Fasteners</v>
      </c>
      <c r="P2522" t="str" cm="1">
        <f t="array" ref="P2522">IFERROR(LOOKUP(2,1/SEARCH($Y$2:$Y$65,G2522),$Z$2:$Z$65),"Not Defined")</f>
        <v>NUT</v>
      </c>
      <c r="Q2522" t="str" cm="1">
        <f t="array" ref="Q2522">IFERROR(LOOKUP(2,1/SEARCH($S$2:$S$65,H2522),$T$2:$T$65),"-")</f>
        <v>COTS</v>
      </c>
    </row>
    <row r="2523" spans="1:17" hidden="1" x14ac:dyDescent="0.25">
      <c r="A2523" t="s">
        <v>7676</v>
      </c>
      <c r="B2523" t="s">
        <v>6330</v>
      </c>
      <c r="C2523">
        <v>1</v>
      </c>
      <c r="D2523" t="s">
        <v>7612</v>
      </c>
      <c r="F2523" t="s">
        <v>6331</v>
      </c>
      <c r="G2523" t="s">
        <v>7619</v>
      </c>
      <c r="H2523" t="s">
        <v>6332</v>
      </c>
      <c r="I2523" t="s">
        <v>255</v>
      </c>
      <c r="J2523" t="s">
        <v>7703</v>
      </c>
      <c r="K2523" t="s">
        <v>7814</v>
      </c>
      <c r="L2523" t="s">
        <v>7834</v>
      </c>
      <c r="N2523" t="str" cm="1">
        <f t="array" ref="N2523">IFERROR(LOOKUP(2,1/SEARCH($S$2:$S$65,G2523),$T$2:$T$65),"Misc")</f>
        <v>Misc</v>
      </c>
      <c r="O2523" t="str" cm="1">
        <f t="array" ref="O2523">IFERROR(LOOKUP(2,1/SEARCH($V$2:$V$65,G2523),$W$2:$W$65),"Misc")</f>
        <v>Misc</v>
      </c>
      <c r="P2523" t="str" cm="1">
        <f t="array" ref="P2523">IFERROR(LOOKUP(2,1/SEARCH($Y$2:$Y$65,G2523),$Z$2:$Z$65),"Not Defined")</f>
        <v>Not Defined</v>
      </c>
      <c r="Q2523" t="str" cm="1">
        <f t="array" ref="Q2523">IFERROR(LOOKUP(2,1/SEARCH($S$2:$S$65,H2523),$T$2:$T$65),"-")</f>
        <v>-</v>
      </c>
    </row>
    <row r="2524" spans="1:17" hidden="1" x14ac:dyDescent="0.25">
      <c r="A2524" t="s">
        <v>7676</v>
      </c>
      <c r="B2524" t="s">
        <v>6333</v>
      </c>
      <c r="C2524">
        <v>2</v>
      </c>
      <c r="D2524" t="s">
        <v>7612</v>
      </c>
      <c r="F2524" t="s">
        <v>6334</v>
      </c>
      <c r="G2524" t="s">
        <v>7620</v>
      </c>
      <c r="H2524" t="s">
        <v>6335</v>
      </c>
      <c r="I2524" t="s">
        <v>228</v>
      </c>
      <c r="J2524" t="s">
        <v>7703</v>
      </c>
      <c r="K2524" t="s">
        <v>7698</v>
      </c>
      <c r="L2524" t="s">
        <v>7707</v>
      </c>
      <c r="N2524" t="str" cm="1">
        <f t="array" ref="N2524">IFERROR(LOOKUP(2,1/SEARCH($S$2:$S$65,G2524),$T$2:$T$65),"Misc")</f>
        <v>COTS</v>
      </c>
      <c r="O2524" t="str" cm="1">
        <f t="array" ref="O2524">IFERROR(LOOKUP(2,1/SEARCH($V$2:$V$65,G2524),$W$2:$W$65),"Misc")</f>
        <v>Pins</v>
      </c>
      <c r="P2524" t="str" cm="1">
        <f t="array" ref="P2524">IFERROR(LOOKUP(2,1/SEARCH($Y$2:$Y$65,G2524),$Z$2:$Z$65),"Not Defined")</f>
        <v>PIN</v>
      </c>
      <c r="Q2524" t="str" cm="1">
        <f t="array" ref="Q2524">IFERROR(LOOKUP(2,1/SEARCH($S$2:$S$65,H2524),$T$2:$T$65),"-")</f>
        <v>COTS</v>
      </c>
    </row>
    <row r="2525" spans="1:17" hidden="1" x14ac:dyDescent="0.25">
      <c r="A2525" t="s">
        <v>7676</v>
      </c>
      <c r="B2525" t="s">
        <v>6336</v>
      </c>
      <c r="C2525">
        <v>2</v>
      </c>
      <c r="D2525" t="s">
        <v>7612</v>
      </c>
      <c r="F2525">
        <v>1938</v>
      </c>
      <c r="G2525" t="s">
        <v>7064</v>
      </c>
      <c r="H2525" t="s">
        <v>295</v>
      </c>
      <c r="I2525" t="s">
        <v>255</v>
      </c>
      <c r="J2525" t="s">
        <v>7703</v>
      </c>
      <c r="K2525" t="s">
        <v>7814</v>
      </c>
      <c r="L2525" t="s">
        <v>7718</v>
      </c>
      <c r="N2525" t="str" cm="1">
        <f t="array" ref="N2525">IFERROR(LOOKUP(2,1/SEARCH($S$2:$S$65,G2525),$T$2:$T$65),"Misc")</f>
        <v>COTS</v>
      </c>
      <c r="O2525" t="str" cm="1">
        <f t="array" ref="O2525">IFERROR(LOOKUP(2,1/SEARCH($V$2:$V$65,G2525),$W$2:$W$65),"Misc")</f>
        <v>Misc</v>
      </c>
      <c r="P2525" t="str" cm="1">
        <f t="array" ref="P2525">IFERROR(LOOKUP(2,1/SEARCH($Y$2:$Y$65,G2525),$Z$2:$Z$65),"Not Defined")</f>
        <v>LED</v>
      </c>
      <c r="Q2525" t="str" cm="1">
        <f t="array" ref="Q2525">IFERROR(LOOKUP(2,1/SEARCH($S$2:$S$65,H2525),$T$2:$T$65),"-")</f>
        <v>COTS</v>
      </c>
    </row>
    <row r="2526" spans="1:17" hidden="1" x14ac:dyDescent="0.25">
      <c r="A2526" t="s">
        <v>7676</v>
      </c>
      <c r="B2526" t="s">
        <v>6337</v>
      </c>
      <c r="C2526">
        <v>1</v>
      </c>
      <c r="D2526" t="s">
        <v>7612</v>
      </c>
      <c r="F2526" t="s">
        <v>316</v>
      </c>
      <c r="G2526" t="s">
        <v>7071</v>
      </c>
      <c r="H2526" t="s">
        <v>317</v>
      </c>
      <c r="I2526" t="s">
        <v>255</v>
      </c>
      <c r="J2526" t="s">
        <v>7744</v>
      </c>
      <c r="K2526" t="s">
        <v>7826</v>
      </c>
      <c r="L2526" t="s">
        <v>7826</v>
      </c>
      <c r="N2526" t="str" cm="1">
        <f t="array" ref="N2526">IFERROR(LOOKUP(2,1/SEARCH($S$2:$S$65,G2526),$T$2:$T$65),"Misc")</f>
        <v>OH Common</v>
      </c>
      <c r="O2526" t="str" cm="1">
        <f t="array" ref="O2526">IFERROR(LOOKUP(2,1/SEARCH($V$2:$V$65,G2526),$W$2:$W$65),"Misc")</f>
        <v>OH Part</v>
      </c>
      <c r="P2526" t="str" cm="1">
        <f t="array" ref="P2526">IFERROR(LOOKUP(2,1/SEARCH($Y$2:$Y$65,G2526),$Z$2:$Z$65),"Not Defined")</f>
        <v>OH Part</v>
      </c>
      <c r="Q2526" t="str" cm="1">
        <f t="array" ref="Q2526">IFERROR(LOOKUP(2,1/SEARCH($S$2:$S$65,H2526),$T$2:$T$65),"-")</f>
        <v>-</v>
      </c>
    </row>
    <row r="2527" spans="1:17" hidden="1" x14ac:dyDescent="0.25">
      <c r="A2527" t="s">
        <v>7676</v>
      </c>
      <c r="B2527" t="s">
        <v>6338</v>
      </c>
      <c r="C2527">
        <v>2</v>
      </c>
      <c r="D2527" t="s">
        <v>7612</v>
      </c>
      <c r="F2527" t="s">
        <v>2179</v>
      </c>
      <c r="G2527" t="s">
        <v>7259</v>
      </c>
      <c r="H2527" t="s">
        <v>1552</v>
      </c>
      <c r="I2527" t="s">
        <v>228</v>
      </c>
      <c r="J2527" t="s">
        <v>7703</v>
      </c>
      <c r="K2527" t="s">
        <v>7684</v>
      </c>
      <c r="L2527" t="s">
        <v>7721</v>
      </c>
      <c r="N2527" t="str" cm="1">
        <f t="array" ref="N2527">IFERROR(LOOKUP(2,1/SEARCH($S$2:$S$65,G2527),$T$2:$T$65),"Misc")</f>
        <v>COTS</v>
      </c>
      <c r="O2527" t="str" cm="1">
        <f t="array" ref="O2527">IFERROR(LOOKUP(2,1/SEARCH($V$2:$V$65,G2527),$W$2:$W$65),"Misc")</f>
        <v>Fasteners</v>
      </c>
      <c r="P2527" t="str" cm="1">
        <f t="array" ref="P2527">IFERROR(LOOKUP(2,1/SEARCH($Y$2:$Y$65,G2527),$Z$2:$Z$65),"Not Defined")</f>
        <v>SET SCREW</v>
      </c>
      <c r="Q2527" t="str" cm="1">
        <f t="array" ref="Q2527">IFERROR(LOOKUP(2,1/SEARCH($S$2:$S$65,H2527),$T$2:$T$65),"-")</f>
        <v>COTS</v>
      </c>
    </row>
    <row r="2528" spans="1:17" hidden="1" x14ac:dyDescent="0.25">
      <c r="A2528" t="s">
        <v>7676</v>
      </c>
      <c r="B2528" s="19">
        <v>4.1100000000000003</v>
      </c>
      <c r="C2528">
        <v>1</v>
      </c>
      <c r="D2528" t="s">
        <v>7621</v>
      </c>
      <c r="F2528" t="s">
        <v>6339</v>
      </c>
      <c r="G2528" t="s">
        <v>7621</v>
      </c>
      <c r="H2528" t="s">
        <v>6340</v>
      </c>
      <c r="J2528" t="s">
        <v>7742</v>
      </c>
      <c r="K2528" t="s">
        <v>7826</v>
      </c>
      <c r="L2528" t="s">
        <v>7826</v>
      </c>
      <c r="N2528" t="str" cm="1">
        <f t="array" ref="N2528">IFERROR(LOOKUP(2,1/SEARCH($S$2:$S$65,G2528),$T$2:$T$65),"Misc")</f>
        <v>OH ASSY</v>
      </c>
      <c r="O2528" t="str" cm="1">
        <f t="array" ref="O2528">IFERROR(LOOKUP(2,1/SEARCH($V$2:$V$65,G2528),$W$2:$W$65),"Misc")</f>
        <v>OH Part</v>
      </c>
      <c r="P2528" t="str" cm="1">
        <f t="array" ref="P2528">IFERROR(LOOKUP(2,1/SEARCH($Y$2:$Y$65,G2528),$Z$2:$Z$65),"Not Defined")</f>
        <v>OH Part</v>
      </c>
      <c r="Q2528" t="str" cm="1">
        <f t="array" ref="Q2528">IFERROR(LOOKUP(2,1/SEARCH($S$2:$S$65,H2528),$T$2:$T$65),"-")</f>
        <v>OH ASSY</v>
      </c>
    </row>
    <row r="2529" spans="1:17" hidden="1" x14ac:dyDescent="0.25">
      <c r="A2529" t="s">
        <v>7676</v>
      </c>
      <c r="B2529" t="s">
        <v>6341</v>
      </c>
      <c r="C2529">
        <v>1</v>
      </c>
      <c r="D2529" t="s">
        <v>7621</v>
      </c>
      <c r="F2529" t="s">
        <v>5879</v>
      </c>
      <c r="G2529" t="s">
        <v>5881</v>
      </c>
      <c r="H2529" t="s">
        <v>5880</v>
      </c>
      <c r="I2529" t="s">
        <v>13</v>
      </c>
      <c r="J2529" t="s">
        <v>7682</v>
      </c>
      <c r="K2529" t="s">
        <v>7826</v>
      </c>
      <c r="L2529" t="s">
        <v>7826</v>
      </c>
      <c r="N2529" t="str" cm="1">
        <f t="array" ref="N2529">IFERROR(LOOKUP(2,1/SEARCH($S$2:$S$65,G2529),$T$2:$T$65),"Misc")</f>
        <v>OH P/N</v>
      </c>
      <c r="O2529" t="str" cm="1">
        <f t="array" ref="O2529">IFERROR(LOOKUP(2,1/SEARCH($V$2:$V$65,G2529),$W$2:$W$65),"Misc")</f>
        <v>OH Part</v>
      </c>
      <c r="P2529" t="str" cm="1">
        <f t="array" ref="P2529">IFERROR(LOOKUP(2,1/SEARCH($Y$2:$Y$65,G2529),$Z$2:$Z$65),"Not Defined")</f>
        <v>OH Part</v>
      </c>
      <c r="Q2529" t="str" cm="1">
        <f t="array" ref="Q2529">IFERROR(LOOKUP(2,1/SEARCH($S$2:$S$65,H2529),$T$2:$T$65),"-")</f>
        <v>-</v>
      </c>
    </row>
    <row r="2530" spans="1:17" hidden="1" x14ac:dyDescent="0.25">
      <c r="A2530" t="s">
        <v>7676</v>
      </c>
      <c r="B2530" t="s">
        <v>6342</v>
      </c>
      <c r="C2530">
        <v>1</v>
      </c>
      <c r="D2530" t="s">
        <v>7621</v>
      </c>
      <c r="F2530" t="s">
        <v>5883</v>
      </c>
      <c r="G2530" t="s">
        <v>5885</v>
      </c>
      <c r="H2530" t="s">
        <v>5884</v>
      </c>
      <c r="I2530" t="s">
        <v>293</v>
      </c>
      <c r="J2530" t="s">
        <v>7682</v>
      </c>
      <c r="K2530" t="s">
        <v>7826</v>
      </c>
      <c r="L2530" t="s">
        <v>7826</v>
      </c>
      <c r="N2530" t="str" cm="1">
        <f t="array" ref="N2530">IFERROR(LOOKUP(2,1/SEARCH($S$2:$S$65,G2530),$T$2:$T$65),"Misc")</f>
        <v>OH P/N</v>
      </c>
      <c r="O2530" t="str" cm="1">
        <f t="array" ref="O2530">IFERROR(LOOKUP(2,1/SEARCH($V$2:$V$65,G2530),$W$2:$W$65),"Misc")</f>
        <v>OH Part</v>
      </c>
      <c r="P2530" t="str" cm="1">
        <f t="array" ref="P2530">IFERROR(LOOKUP(2,1/SEARCH($Y$2:$Y$65,G2530),$Z$2:$Z$65),"Not Defined")</f>
        <v>OH Part</v>
      </c>
      <c r="Q2530" t="str" cm="1">
        <f t="array" ref="Q2530">IFERROR(LOOKUP(2,1/SEARCH($S$2:$S$65,H2530),$T$2:$T$65),"-")</f>
        <v>-</v>
      </c>
    </row>
    <row r="2531" spans="1:17" hidden="1" x14ac:dyDescent="0.25">
      <c r="A2531" t="s">
        <v>7676</v>
      </c>
      <c r="B2531" t="s">
        <v>6343</v>
      </c>
      <c r="C2531">
        <v>1</v>
      </c>
      <c r="D2531" t="s">
        <v>7621</v>
      </c>
      <c r="F2531" t="s">
        <v>5887</v>
      </c>
      <c r="G2531" t="s">
        <v>5889</v>
      </c>
      <c r="H2531" t="s">
        <v>5888</v>
      </c>
      <c r="I2531" t="s">
        <v>13</v>
      </c>
      <c r="J2531" t="s">
        <v>7682</v>
      </c>
      <c r="K2531" t="s">
        <v>7826</v>
      </c>
      <c r="L2531" t="s">
        <v>7826</v>
      </c>
      <c r="N2531" t="str" cm="1">
        <f t="array" ref="N2531">IFERROR(LOOKUP(2,1/SEARCH($S$2:$S$65,G2531),$T$2:$T$65),"Misc")</f>
        <v>OH P/N</v>
      </c>
      <c r="O2531" t="str" cm="1">
        <f t="array" ref="O2531">IFERROR(LOOKUP(2,1/SEARCH($V$2:$V$65,G2531),$W$2:$W$65),"Misc")</f>
        <v>OH Part</v>
      </c>
      <c r="P2531" t="str" cm="1">
        <f t="array" ref="P2531">IFERROR(LOOKUP(2,1/SEARCH($Y$2:$Y$65,G2531),$Z$2:$Z$65),"Not Defined")</f>
        <v>OH Part</v>
      </c>
      <c r="Q2531" t="str" cm="1">
        <f t="array" ref="Q2531">IFERROR(LOOKUP(2,1/SEARCH($S$2:$S$65,H2531),$T$2:$T$65),"-")</f>
        <v>COTS</v>
      </c>
    </row>
    <row r="2532" spans="1:17" hidden="1" x14ac:dyDescent="0.25">
      <c r="A2532" t="s">
        <v>7676</v>
      </c>
      <c r="B2532" t="s">
        <v>6344</v>
      </c>
      <c r="C2532">
        <v>1</v>
      </c>
      <c r="D2532" t="s">
        <v>7621</v>
      </c>
      <c r="F2532" t="s">
        <v>6345</v>
      </c>
      <c r="G2532" t="s">
        <v>6347</v>
      </c>
      <c r="H2532" t="s">
        <v>6346</v>
      </c>
      <c r="I2532" t="s">
        <v>281</v>
      </c>
      <c r="J2532" t="s">
        <v>7682</v>
      </c>
      <c r="K2532" t="s">
        <v>7826</v>
      </c>
      <c r="L2532" t="s">
        <v>7826</v>
      </c>
      <c r="N2532" t="str" cm="1">
        <f t="array" ref="N2532">IFERROR(LOOKUP(2,1/SEARCH($S$2:$S$65,G2532),$T$2:$T$65),"Misc")</f>
        <v>OH P/N</v>
      </c>
      <c r="O2532" t="str" cm="1">
        <f t="array" ref="O2532">IFERROR(LOOKUP(2,1/SEARCH($V$2:$V$65,G2532),$W$2:$W$65),"Misc")</f>
        <v>OH Part</v>
      </c>
      <c r="P2532" t="str" cm="1">
        <f t="array" ref="P2532">IFERROR(LOOKUP(2,1/SEARCH($Y$2:$Y$65,G2532),$Z$2:$Z$65),"Not Defined")</f>
        <v>OH Part</v>
      </c>
      <c r="Q2532" t="str" cm="1">
        <f t="array" ref="Q2532">IFERROR(LOOKUP(2,1/SEARCH($S$2:$S$65,H2532),$T$2:$T$65),"-")</f>
        <v>-</v>
      </c>
    </row>
    <row r="2533" spans="1:17" hidden="1" x14ac:dyDescent="0.25">
      <c r="A2533" t="s">
        <v>7676</v>
      </c>
      <c r="B2533" t="s">
        <v>6348</v>
      </c>
      <c r="C2533">
        <v>1</v>
      </c>
      <c r="D2533" t="s">
        <v>7621</v>
      </c>
      <c r="F2533" t="s">
        <v>6349</v>
      </c>
      <c r="G2533" t="s">
        <v>6351</v>
      </c>
      <c r="H2533" t="s">
        <v>6350</v>
      </c>
      <c r="I2533" t="s">
        <v>293</v>
      </c>
      <c r="J2533" t="s">
        <v>7682</v>
      </c>
      <c r="K2533" t="s">
        <v>7826</v>
      </c>
      <c r="L2533" t="s">
        <v>7826</v>
      </c>
      <c r="N2533" t="str" cm="1">
        <f t="array" ref="N2533">IFERROR(LOOKUP(2,1/SEARCH($S$2:$S$65,G2533),$T$2:$T$65),"Misc")</f>
        <v>OH P/N</v>
      </c>
      <c r="O2533" t="str" cm="1">
        <f t="array" ref="O2533">IFERROR(LOOKUP(2,1/SEARCH($V$2:$V$65,G2533),$W$2:$W$65),"Misc")</f>
        <v>OH Part</v>
      </c>
      <c r="P2533" t="str" cm="1">
        <f t="array" ref="P2533">IFERROR(LOOKUP(2,1/SEARCH($Y$2:$Y$65,G2533),$Z$2:$Z$65),"Not Defined")</f>
        <v>OH Part</v>
      </c>
      <c r="Q2533" t="str" cm="1">
        <f t="array" ref="Q2533">IFERROR(LOOKUP(2,1/SEARCH($S$2:$S$65,H2533),$T$2:$T$65),"-")</f>
        <v>-</v>
      </c>
    </row>
    <row r="2534" spans="1:17" hidden="1" x14ac:dyDescent="0.25">
      <c r="A2534" t="s">
        <v>7676</v>
      </c>
      <c r="B2534" t="s">
        <v>6352</v>
      </c>
      <c r="C2534">
        <v>1</v>
      </c>
      <c r="D2534" t="s">
        <v>7621</v>
      </c>
      <c r="F2534" t="s">
        <v>6353</v>
      </c>
      <c r="G2534" t="s">
        <v>6355</v>
      </c>
      <c r="H2534" t="s">
        <v>6354</v>
      </c>
      <c r="I2534" t="s">
        <v>293</v>
      </c>
      <c r="J2534" t="s">
        <v>7682</v>
      </c>
      <c r="K2534" t="s">
        <v>7826</v>
      </c>
      <c r="L2534" t="s">
        <v>7826</v>
      </c>
      <c r="N2534" t="str" cm="1">
        <f t="array" ref="N2534">IFERROR(LOOKUP(2,1/SEARCH($S$2:$S$65,G2534),$T$2:$T$65),"Misc")</f>
        <v>OH P/N</v>
      </c>
      <c r="O2534" t="str" cm="1">
        <f t="array" ref="O2534">IFERROR(LOOKUP(2,1/SEARCH($V$2:$V$65,G2534),$W$2:$W$65),"Misc")</f>
        <v>OH Part</v>
      </c>
      <c r="P2534" t="str" cm="1">
        <f t="array" ref="P2534">IFERROR(LOOKUP(2,1/SEARCH($Y$2:$Y$65,G2534),$Z$2:$Z$65),"Not Defined")</f>
        <v>OH Part</v>
      </c>
      <c r="Q2534" t="str" cm="1">
        <f t="array" ref="Q2534">IFERROR(LOOKUP(2,1/SEARCH($S$2:$S$65,H2534),$T$2:$T$65),"-")</f>
        <v>-</v>
      </c>
    </row>
    <row r="2535" spans="1:17" hidden="1" x14ac:dyDescent="0.25">
      <c r="A2535" t="s">
        <v>7676</v>
      </c>
      <c r="B2535" t="s">
        <v>6356</v>
      </c>
      <c r="C2535">
        <v>1</v>
      </c>
      <c r="D2535" t="s">
        <v>7621</v>
      </c>
      <c r="F2535" t="s">
        <v>5915</v>
      </c>
      <c r="G2535" t="s">
        <v>5917</v>
      </c>
      <c r="H2535" t="s">
        <v>5916</v>
      </c>
      <c r="I2535" t="s">
        <v>293</v>
      </c>
      <c r="J2535" t="s">
        <v>7682</v>
      </c>
      <c r="K2535" t="s">
        <v>7826</v>
      </c>
      <c r="L2535" t="s">
        <v>7826</v>
      </c>
      <c r="N2535" t="str" cm="1">
        <f t="array" ref="N2535">IFERROR(LOOKUP(2,1/SEARCH($S$2:$S$65,G2535),$T$2:$T$65),"Misc")</f>
        <v>OH P/N</v>
      </c>
      <c r="O2535" t="str" cm="1">
        <f t="array" ref="O2535">IFERROR(LOOKUP(2,1/SEARCH($V$2:$V$65,G2535),$W$2:$W$65),"Misc")</f>
        <v>OH Part</v>
      </c>
      <c r="P2535" t="str" cm="1">
        <f t="array" ref="P2535">IFERROR(LOOKUP(2,1/SEARCH($Y$2:$Y$65,G2535),$Z$2:$Z$65),"Not Defined")</f>
        <v>OH Part</v>
      </c>
      <c r="Q2535" t="str" cm="1">
        <f t="array" ref="Q2535">IFERROR(LOOKUP(2,1/SEARCH($S$2:$S$65,H2535),$T$2:$T$65),"-")</f>
        <v>-</v>
      </c>
    </row>
    <row r="2536" spans="1:17" hidden="1" x14ac:dyDescent="0.25">
      <c r="A2536" t="s">
        <v>7676</v>
      </c>
      <c r="B2536" t="s">
        <v>6357</v>
      </c>
      <c r="C2536">
        <v>1</v>
      </c>
      <c r="D2536" t="s">
        <v>7621</v>
      </c>
      <c r="F2536" t="s">
        <v>5903</v>
      </c>
      <c r="G2536" t="s">
        <v>5905</v>
      </c>
      <c r="H2536" t="s">
        <v>5904</v>
      </c>
      <c r="I2536" t="s">
        <v>255</v>
      </c>
      <c r="J2536" t="s">
        <v>7742</v>
      </c>
      <c r="K2536" t="s">
        <v>7717</v>
      </c>
      <c r="L2536" t="s">
        <v>7717</v>
      </c>
      <c r="N2536" t="str" cm="1">
        <f t="array" ref="N2536">IFERROR(LOOKUP(2,1/SEARCH($S$2:$S$65,G2536),$T$2:$T$65),"Misc")</f>
        <v>OH ASSY</v>
      </c>
      <c r="O2536" t="str" cm="1">
        <f t="array" ref="O2536">IFERROR(LOOKUP(2,1/SEARCH($V$2:$V$65,G2536),$W$2:$W$65),"Misc")</f>
        <v>ABSIS</v>
      </c>
      <c r="P2536" t="str" cm="1">
        <f t="array" ref="P2536">IFERROR(LOOKUP(2,1/SEARCH($Y$2:$Y$65,G2536),$Z$2:$Z$65),"Not Defined")</f>
        <v>ABSIS</v>
      </c>
      <c r="Q2536" t="str" cm="1">
        <f t="array" ref="Q2536">IFERROR(LOOKUP(2,1/SEARCH($S$2:$S$65,H2536),$T$2:$T$65),"-")</f>
        <v>OH ASSY</v>
      </c>
    </row>
    <row r="2537" spans="1:17" hidden="1" x14ac:dyDescent="0.25">
      <c r="A2537" t="s">
        <v>7676</v>
      </c>
      <c r="B2537" t="s">
        <v>6358</v>
      </c>
      <c r="C2537">
        <v>1</v>
      </c>
      <c r="D2537" t="s">
        <v>7621</v>
      </c>
      <c r="F2537" t="s">
        <v>5911</v>
      </c>
      <c r="G2537" t="s">
        <v>5913</v>
      </c>
      <c r="H2537" t="s">
        <v>5912</v>
      </c>
      <c r="I2537" t="s">
        <v>13</v>
      </c>
      <c r="J2537" t="s">
        <v>7682</v>
      </c>
      <c r="K2537" t="s">
        <v>7826</v>
      </c>
      <c r="L2537" t="s">
        <v>7826</v>
      </c>
      <c r="N2537" t="str" cm="1">
        <f t="array" ref="N2537">IFERROR(LOOKUP(2,1/SEARCH($S$2:$S$65,G2537),$T$2:$T$65),"Misc")</f>
        <v>OH P/N</v>
      </c>
      <c r="O2537" t="str" cm="1">
        <f t="array" ref="O2537">IFERROR(LOOKUP(2,1/SEARCH($V$2:$V$65,G2537),$W$2:$W$65),"Misc")</f>
        <v>OH Part</v>
      </c>
      <c r="P2537" t="str" cm="1">
        <f t="array" ref="P2537">IFERROR(LOOKUP(2,1/SEARCH($Y$2:$Y$65,G2537),$Z$2:$Z$65),"Not Defined")</f>
        <v>OH Part</v>
      </c>
      <c r="Q2537" t="str" cm="1">
        <f t="array" ref="Q2537">IFERROR(LOOKUP(2,1/SEARCH($S$2:$S$65,H2537),$T$2:$T$65),"-")</f>
        <v>-</v>
      </c>
    </row>
    <row r="2538" spans="1:17" hidden="1" x14ac:dyDescent="0.25">
      <c r="A2538" t="s">
        <v>7676</v>
      </c>
      <c r="B2538" t="s">
        <v>6359</v>
      </c>
      <c r="C2538">
        <v>1</v>
      </c>
      <c r="D2538" t="s">
        <v>7621</v>
      </c>
      <c r="F2538" t="s">
        <v>5907</v>
      </c>
      <c r="G2538" t="s">
        <v>5909</v>
      </c>
      <c r="H2538" t="s">
        <v>5908</v>
      </c>
      <c r="I2538" t="s">
        <v>13</v>
      </c>
      <c r="J2538" t="s">
        <v>7682</v>
      </c>
      <c r="K2538" t="s">
        <v>7826</v>
      </c>
      <c r="L2538" t="s">
        <v>7826</v>
      </c>
      <c r="N2538" t="str" cm="1">
        <f t="array" ref="N2538">IFERROR(LOOKUP(2,1/SEARCH($S$2:$S$65,G2538),$T$2:$T$65),"Misc")</f>
        <v>OH P/N</v>
      </c>
      <c r="O2538" t="str" cm="1">
        <f t="array" ref="O2538">IFERROR(LOOKUP(2,1/SEARCH($V$2:$V$65,G2538),$W$2:$W$65),"Misc")</f>
        <v>OH Part</v>
      </c>
      <c r="P2538" t="str" cm="1">
        <f t="array" ref="P2538">IFERROR(LOOKUP(2,1/SEARCH($Y$2:$Y$65,G2538),$Z$2:$Z$65),"Not Defined")</f>
        <v>OH Part</v>
      </c>
      <c r="Q2538" t="str" cm="1">
        <f t="array" ref="Q2538">IFERROR(LOOKUP(2,1/SEARCH($S$2:$S$65,H2538),$T$2:$T$65),"-")</f>
        <v>-</v>
      </c>
    </row>
    <row r="2539" spans="1:17" hidden="1" x14ac:dyDescent="0.25">
      <c r="A2539" t="s">
        <v>7676</v>
      </c>
      <c r="B2539" t="s">
        <v>6360</v>
      </c>
      <c r="C2539">
        <v>1</v>
      </c>
      <c r="D2539" t="s">
        <v>7621</v>
      </c>
      <c r="F2539" t="s">
        <v>5919</v>
      </c>
      <c r="G2539" t="s">
        <v>7605</v>
      </c>
      <c r="H2539" t="s">
        <v>5920</v>
      </c>
      <c r="I2539" t="s">
        <v>255</v>
      </c>
      <c r="J2539" t="s">
        <v>7703</v>
      </c>
      <c r="K2539" t="s">
        <v>7814</v>
      </c>
      <c r="L2539" t="s">
        <v>7723</v>
      </c>
      <c r="N2539" t="str" cm="1">
        <f t="array" ref="N2539">IFERROR(LOOKUP(2,1/SEARCH($S$2:$S$65,G2539),$T$2:$T$65),"Misc")</f>
        <v>COTS</v>
      </c>
      <c r="O2539" t="str" cm="1">
        <f t="array" ref="O2539">IFERROR(LOOKUP(2,1/SEARCH($V$2:$V$65,G2539),$W$2:$W$65),"Misc")</f>
        <v>Misc</v>
      </c>
      <c r="P2539" t="str" cm="1">
        <f t="array" ref="P2539">IFERROR(LOOKUP(2,1/SEARCH($Y$2:$Y$65,G2539),$Z$2:$Z$65),"Not Defined")</f>
        <v>MICROSTEPPER</v>
      </c>
      <c r="Q2539" t="str" cm="1">
        <f t="array" ref="Q2539">IFERROR(LOOKUP(2,1/SEARCH($S$2:$S$65,H2539),$T$2:$T$65),"-")</f>
        <v>COTS</v>
      </c>
    </row>
    <row r="2540" spans="1:17" hidden="1" x14ac:dyDescent="0.25">
      <c r="A2540" t="s">
        <v>7676</v>
      </c>
      <c r="B2540" t="s">
        <v>6361</v>
      </c>
      <c r="C2540">
        <v>4</v>
      </c>
      <c r="D2540" t="s">
        <v>7621</v>
      </c>
      <c r="F2540" t="s">
        <v>265</v>
      </c>
      <c r="G2540" t="s">
        <v>7099</v>
      </c>
      <c r="H2540" t="s">
        <v>266</v>
      </c>
      <c r="I2540" t="s">
        <v>224</v>
      </c>
      <c r="J2540" t="s">
        <v>7703</v>
      </c>
      <c r="K2540" t="s">
        <v>7684</v>
      </c>
      <c r="L2540" t="s">
        <v>7687</v>
      </c>
      <c r="N2540" t="str" cm="1">
        <f t="array" ref="N2540">IFERROR(LOOKUP(2,1/SEARCH($S$2:$S$65,G2540),$T$2:$T$65),"Misc")</f>
        <v>COTS</v>
      </c>
      <c r="O2540" t="str" cm="1">
        <f t="array" ref="O2540">IFERROR(LOOKUP(2,1/SEARCH($V$2:$V$65,G2540),$W$2:$W$65),"Misc")</f>
        <v>Fasteners</v>
      </c>
      <c r="P2540" t="str" cm="1">
        <f t="array" ref="P2540">IFERROR(LOOKUP(2,1/SEARCH($Y$2:$Y$65,G2540),$Z$2:$Z$65),"Not Defined")</f>
        <v>INSERT</v>
      </c>
      <c r="Q2540" t="str" cm="1">
        <f t="array" ref="Q2540">IFERROR(LOOKUP(2,1/SEARCH($S$2:$S$65,H2540),$T$2:$T$65),"-")</f>
        <v>COTS</v>
      </c>
    </row>
    <row r="2541" spans="1:17" hidden="1" x14ac:dyDescent="0.25">
      <c r="A2541" t="s">
        <v>7676</v>
      </c>
      <c r="B2541" t="s">
        <v>6362</v>
      </c>
      <c r="C2541">
        <v>2</v>
      </c>
      <c r="D2541" t="s">
        <v>7621</v>
      </c>
      <c r="F2541" t="s">
        <v>1541</v>
      </c>
      <c r="G2541" t="s">
        <v>7223</v>
      </c>
      <c r="H2541" t="s">
        <v>1542</v>
      </c>
      <c r="I2541" t="s">
        <v>210</v>
      </c>
      <c r="J2541" t="s">
        <v>7703</v>
      </c>
      <c r="K2541" t="s">
        <v>7684</v>
      </c>
      <c r="L2541" t="s">
        <v>7693</v>
      </c>
      <c r="N2541" t="str" cm="1">
        <f t="array" ref="N2541">IFERROR(LOOKUP(2,1/SEARCH($S$2:$S$65,G2541),$T$2:$T$65),"Misc")</f>
        <v>COTS</v>
      </c>
      <c r="O2541" t="str" cm="1">
        <f t="array" ref="O2541">IFERROR(LOOKUP(2,1/SEARCH($V$2:$V$65,G2541),$W$2:$W$65),"Misc")</f>
        <v>Fasteners</v>
      </c>
      <c r="P2541" t="str" cm="1">
        <f t="array" ref="P2541">IFERROR(LOOKUP(2,1/SEARCH($Y$2:$Y$65,G2541),$Z$2:$Z$65),"Not Defined")</f>
        <v>PHS</v>
      </c>
      <c r="Q2541" t="str" cm="1">
        <f t="array" ref="Q2541">IFERROR(LOOKUP(2,1/SEARCH($S$2:$S$65,H2541),$T$2:$T$65),"-")</f>
        <v>COTS</v>
      </c>
    </row>
    <row r="2542" spans="1:17" hidden="1" x14ac:dyDescent="0.25">
      <c r="A2542" t="s">
        <v>7676</v>
      </c>
      <c r="B2542" s="19">
        <v>4.12</v>
      </c>
      <c r="C2542">
        <v>1</v>
      </c>
      <c r="D2542" t="s">
        <v>7622</v>
      </c>
      <c r="F2542" t="s">
        <v>6363</v>
      </c>
      <c r="G2542" t="s">
        <v>7622</v>
      </c>
      <c r="H2542" t="s">
        <v>6364</v>
      </c>
      <c r="J2542" t="s">
        <v>7742</v>
      </c>
      <c r="K2542" t="s">
        <v>7826</v>
      </c>
      <c r="L2542" t="s">
        <v>7826</v>
      </c>
      <c r="N2542" t="str" cm="1">
        <f t="array" ref="N2542">IFERROR(LOOKUP(2,1/SEARCH($S$2:$S$65,G2542),$T$2:$T$65),"Misc")</f>
        <v>OH ASSY</v>
      </c>
      <c r="O2542" t="str" cm="1">
        <f t="array" ref="O2542">IFERROR(LOOKUP(2,1/SEARCH($V$2:$V$65,G2542),$W$2:$W$65),"Misc")</f>
        <v>OH Part</v>
      </c>
      <c r="P2542" t="str" cm="1">
        <f t="array" ref="P2542">IFERROR(LOOKUP(2,1/SEARCH($Y$2:$Y$65,G2542),$Z$2:$Z$65),"Not Defined")</f>
        <v>OH Part</v>
      </c>
      <c r="Q2542" t="str" cm="1">
        <f t="array" ref="Q2542">IFERROR(LOOKUP(2,1/SEARCH($S$2:$S$65,H2542),$T$2:$T$65),"-")</f>
        <v>OH ASSY</v>
      </c>
    </row>
    <row r="2543" spans="1:17" hidden="1" x14ac:dyDescent="0.25">
      <c r="A2543" t="s">
        <v>7676</v>
      </c>
      <c r="B2543" t="s">
        <v>6365</v>
      </c>
      <c r="C2543">
        <v>1</v>
      </c>
      <c r="D2543" t="s">
        <v>7622</v>
      </c>
      <c r="F2543" t="s">
        <v>6366</v>
      </c>
      <c r="G2543" t="s">
        <v>6368</v>
      </c>
      <c r="H2543" t="s">
        <v>6367</v>
      </c>
      <c r="I2543" t="s">
        <v>293</v>
      </c>
      <c r="J2543" t="s">
        <v>7682</v>
      </c>
      <c r="K2543" t="s">
        <v>7826</v>
      </c>
      <c r="L2543" t="s">
        <v>7826</v>
      </c>
      <c r="N2543" t="str" cm="1">
        <f t="array" ref="N2543">IFERROR(LOOKUP(2,1/SEARCH($S$2:$S$65,G2543),$T$2:$T$65),"Misc")</f>
        <v>OH P/N</v>
      </c>
      <c r="O2543" t="str" cm="1">
        <f t="array" ref="O2543">IFERROR(LOOKUP(2,1/SEARCH($V$2:$V$65,G2543),$W$2:$W$65),"Misc")</f>
        <v>OH Part</v>
      </c>
      <c r="P2543" t="str" cm="1">
        <f t="array" ref="P2543">IFERROR(LOOKUP(2,1/SEARCH($Y$2:$Y$65,G2543),$Z$2:$Z$65),"Not Defined")</f>
        <v>OH Part</v>
      </c>
      <c r="Q2543" t="str" cm="1">
        <f t="array" ref="Q2543">IFERROR(LOOKUP(2,1/SEARCH($S$2:$S$65,H2543),$T$2:$T$65),"-")</f>
        <v>-</v>
      </c>
    </row>
    <row r="2544" spans="1:17" hidden="1" x14ac:dyDescent="0.25">
      <c r="A2544" t="s">
        <v>7676</v>
      </c>
      <c r="B2544" t="s">
        <v>6369</v>
      </c>
      <c r="C2544">
        <v>1</v>
      </c>
      <c r="D2544" t="s">
        <v>7622</v>
      </c>
      <c r="F2544" t="s">
        <v>6370</v>
      </c>
      <c r="G2544" t="s">
        <v>6372</v>
      </c>
      <c r="H2544" t="s">
        <v>6371</v>
      </c>
      <c r="I2544" t="s">
        <v>281</v>
      </c>
      <c r="J2544" t="s">
        <v>7682</v>
      </c>
      <c r="K2544" t="s">
        <v>7826</v>
      </c>
      <c r="L2544" t="s">
        <v>7826</v>
      </c>
      <c r="N2544" t="str" cm="1">
        <f t="array" ref="N2544">IFERROR(LOOKUP(2,1/SEARCH($S$2:$S$65,G2544),$T$2:$T$65),"Misc")</f>
        <v>OH P/N</v>
      </c>
      <c r="O2544" t="str" cm="1">
        <f t="array" ref="O2544">IFERROR(LOOKUP(2,1/SEARCH($V$2:$V$65,G2544),$W$2:$W$65),"Misc")</f>
        <v>OH Part</v>
      </c>
      <c r="P2544" t="str" cm="1">
        <f t="array" ref="P2544">IFERROR(LOOKUP(2,1/SEARCH($Y$2:$Y$65,G2544),$Z$2:$Z$65),"Not Defined")</f>
        <v>OH Part</v>
      </c>
      <c r="Q2544" t="str" cm="1">
        <f t="array" ref="Q2544">IFERROR(LOOKUP(2,1/SEARCH($S$2:$S$65,H2544),$T$2:$T$65),"-")</f>
        <v>-</v>
      </c>
    </row>
    <row r="2545" spans="1:17" hidden="1" x14ac:dyDescent="0.25">
      <c r="A2545" t="s">
        <v>7676</v>
      </c>
      <c r="B2545" t="s">
        <v>6373</v>
      </c>
      <c r="C2545">
        <v>2</v>
      </c>
      <c r="D2545" t="s">
        <v>7622</v>
      </c>
      <c r="F2545" t="s">
        <v>563</v>
      </c>
      <c r="G2545" t="s">
        <v>7100</v>
      </c>
      <c r="H2545" t="s">
        <v>564</v>
      </c>
      <c r="I2545" t="s">
        <v>228</v>
      </c>
      <c r="J2545" t="s">
        <v>7703</v>
      </c>
      <c r="K2545" t="s">
        <v>7684</v>
      </c>
      <c r="L2545" t="s">
        <v>7693</v>
      </c>
      <c r="N2545" t="str" cm="1">
        <f t="array" ref="N2545">IFERROR(LOOKUP(2,1/SEARCH($S$2:$S$65,G2545),$T$2:$T$65),"Misc")</f>
        <v>COTS</v>
      </c>
      <c r="O2545" t="str" cm="1">
        <f t="array" ref="O2545">IFERROR(LOOKUP(2,1/SEARCH($V$2:$V$65,G2545),$W$2:$W$65),"Misc")</f>
        <v>Fasteners</v>
      </c>
      <c r="P2545" t="str" cm="1">
        <f t="array" ref="P2545">IFERROR(LOOKUP(2,1/SEARCH($Y$2:$Y$65,G2545),$Z$2:$Z$65),"Not Defined")</f>
        <v>PHS</v>
      </c>
      <c r="Q2545" t="str" cm="1">
        <f t="array" ref="Q2545">IFERROR(LOOKUP(2,1/SEARCH($S$2:$S$65,H2545),$T$2:$T$65),"-")</f>
        <v>COTS</v>
      </c>
    </row>
    <row r="2546" spans="1:17" hidden="1" x14ac:dyDescent="0.25">
      <c r="A2546" t="s">
        <v>7676</v>
      </c>
      <c r="B2546" s="19">
        <v>4.13</v>
      </c>
      <c r="C2546">
        <v>1</v>
      </c>
      <c r="D2546" t="s">
        <v>7623</v>
      </c>
      <c r="F2546" t="s">
        <v>6374</v>
      </c>
      <c r="G2546" t="s">
        <v>7623</v>
      </c>
      <c r="H2546" t="s">
        <v>6375</v>
      </c>
      <c r="J2546" t="s">
        <v>7742</v>
      </c>
      <c r="K2546" t="s">
        <v>7826</v>
      </c>
      <c r="L2546" t="s">
        <v>7826</v>
      </c>
      <c r="N2546" t="str" cm="1">
        <f t="array" ref="N2546">IFERROR(LOOKUP(2,1/SEARCH($S$2:$S$65,G2546),$T$2:$T$65),"Misc")</f>
        <v>OH ASSY</v>
      </c>
      <c r="O2546" t="str" cm="1">
        <f t="array" ref="O2546">IFERROR(LOOKUP(2,1/SEARCH($V$2:$V$65,G2546),$W$2:$W$65),"Misc")</f>
        <v>OH Part</v>
      </c>
      <c r="P2546" t="str" cm="1">
        <f t="array" ref="P2546">IFERROR(LOOKUP(2,1/SEARCH($Y$2:$Y$65,G2546),$Z$2:$Z$65),"Not Defined")</f>
        <v>OH Part</v>
      </c>
      <c r="Q2546" t="str" cm="1">
        <f t="array" ref="Q2546">IFERROR(LOOKUP(2,1/SEARCH($S$2:$S$65,H2546),$T$2:$T$65),"-")</f>
        <v>OH ASSY</v>
      </c>
    </row>
    <row r="2547" spans="1:17" hidden="1" x14ac:dyDescent="0.25">
      <c r="A2547" t="s">
        <v>7676</v>
      </c>
      <c r="B2547" t="s">
        <v>6376</v>
      </c>
      <c r="C2547">
        <v>1</v>
      </c>
      <c r="D2547" t="s">
        <v>7623</v>
      </c>
      <c r="F2547" t="s">
        <v>6377</v>
      </c>
      <c r="G2547" t="s">
        <v>6379</v>
      </c>
      <c r="H2547" t="s">
        <v>6378</v>
      </c>
      <c r="I2547" t="s">
        <v>293</v>
      </c>
      <c r="J2547" t="s">
        <v>7682</v>
      </c>
      <c r="K2547" t="s">
        <v>7826</v>
      </c>
      <c r="L2547" t="s">
        <v>7826</v>
      </c>
      <c r="N2547" t="str" cm="1">
        <f t="array" ref="N2547">IFERROR(LOOKUP(2,1/SEARCH($S$2:$S$65,G2547),$T$2:$T$65),"Misc")</f>
        <v>OH P/N</v>
      </c>
      <c r="O2547" t="str" cm="1">
        <f t="array" ref="O2547">IFERROR(LOOKUP(2,1/SEARCH($V$2:$V$65,G2547),$W$2:$W$65),"Misc")</f>
        <v>OH Part</v>
      </c>
      <c r="P2547" t="str" cm="1">
        <f t="array" ref="P2547">IFERROR(LOOKUP(2,1/SEARCH($Y$2:$Y$65,G2547),$Z$2:$Z$65),"Not Defined")</f>
        <v>OH Part</v>
      </c>
      <c r="Q2547" t="str" cm="1">
        <f t="array" ref="Q2547">IFERROR(LOOKUP(2,1/SEARCH($S$2:$S$65,H2547),$T$2:$T$65),"-")</f>
        <v>-</v>
      </c>
    </row>
    <row r="2548" spans="1:17" hidden="1" x14ac:dyDescent="0.25">
      <c r="A2548" t="s">
        <v>7676</v>
      </c>
      <c r="B2548" t="s">
        <v>6380</v>
      </c>
      <c r="C2548">
        <v>1</v>
      </c>
      <c r="D2548" t="s">
        <v>7623</v>
      </c>
      <c r="F2548" t="s">
        <v>6381</v>
      </c>
      <c r="G2548" t="s">
        <v>6383</v>
      </c>
      <c r="H2548" t="s">
        <v>6382</v>
      </c>
      <c r="I2548" t="s">
        <v>281</v>
      </c>
      <c r="J2548" t="s">
        <v>7682</v>
      </c>
      <c r="K2548" t="s">
        <v>7826</v>
      </c>
      <c r="L2548" t="s">
        <v>7826</v>
      </c>
      <c r="N2548" t="str" cm="1">
        <f t="array" ref="N2548">IFERROR(LOOKUP(2,1/SEARCH($S$2:$S$65,G2548),$T$2:$T$65),"Misc")</f>
        <v>OH P/N</v>
      </c>
      <c r="O2548" t="str" cm="1">
        <f t="array" ref="O2548">IFERROR(LOOKUP(2,1/SEARCH($V$2:$V$65,G2548),$W$2:$W$65),"Misc")</f>
        <v>OH Part</v>
      </c>
      <c r="P2548" t="str" cm="1">
        <f t="array" ref="P2548">IFERROR(LOOKUP(2,1/SEARCH($Y$2:$Y$65,G2548),$Z$2:$Z$65),"Not Defined")</f>
        <v>OH Part</v>
      </c>
      <c r="Q2548" t="str" cm="1">
        <f t="array" ref="Q2548">IFERROR(LOOKUP(2,1/SEARCH($S$2:$S$65,H2548),$T$2:$T$65),"-")</f>
        <v>-</v>
      </c>
    </row>
    <row r="2549" spans="1:17" hidden="1" x14ac:dyDescent="0.25">
      <c r="A2549" t="s">
        <v>7676</v>
      </c>
      <c r="B2549" t="s">
        <v>6384</v>
      </c>
      <c r="C2549">
        <v>1</v>
      </c>
      <c r="D2549" t="s">
        <v>7623</v>
      </c>
      <c r="F2549" t="s">
        <v>6385</v>
      </c>
      <c r="G2549" t="s">
        <v>6387</v>
      </c>
      <c r="H2549" t="s">
        <v>6386</v>
      </c>
      <c r="I2549" t="s">
        <v>255</v>
      </c>
      <c r="J2549" t="s">
        <v>7682</v>
      </c>
      <c r="K2549" t="s">
        <v>7826</v>
      </c>
      <c r="L2549" t="s">
        <v>7826</v>
      </c>
      <c r="N2549" t="str" cm="1">
        <f t="array" ref="N2549">IFERROR(LOOKUP(2,1/SEARCH($S$2:$S$65,G2549),$T$2:$T$65),"Misc")</f>
        <v>OH P/N</v>
      </c>
      <c r="O2549" t="str" cm="1">
        <f t="array" ref="O2549">IFERROR(LOOKUP(2,1/SEARCH($V$2:$V$65,G2549),$W$2:$W$65),"Misc")</f>
        <v>OH Part</v>
      </c>
      <c r="P2549" t="str" cm="1">
        <f t="array" ref="P2549">IFERROR(LOOKUP(2,1/SEARCH($Y$2:$Y$65,G2549),$Z$2:$Z$65),"Not Defined")</f>
        <v>OH Part</v>
      </c>
      <c r="Q2549" t="str" cm="1">
        <f t="array" ref="Q2549">IFERROR(LOOKUP(2,1/SEARCH($S$2:$S$65,H2549),$T$2:$T$65),"-")</f>
        <v>-</v>
      </c>
    </row>
    <row r="2550" spans="1:17" hidden="1" x14ac:dyDescent="0.25">
      <c r="A2550" t="s">
        <v>7676</v>
      </c>
      <c r="B2550" t="s">
        <v>6388</v>
      </c>
      <c r="C2550">
        <v>2</v>
      </c>
      <c r="D2550" t="s">
        <v>7623</v>
      </c>
      <c r="F2550" t="s">
        <v>941</v>
      </c>
      <c r="G2550" t="s">
        <v>7136</v>
      </c>
      <c r="H2550" t="s">
        <v>942</v>
      </c>
      <c r="I2550" t="s">
        <v>210</v>
      </c>
      <c r="J2550" t="s">
        <v>7703</v>
      </c>
      <c r="K2550" t="s">
        <v>7684</v>
      </c>
      <c r="L2550" t="s">
        <v>7685</v>
      </c>
      <c r="N2550" t="str" cm="1">
        <f t="array" ref="N2550">IFERROR(LOOKUP(2,1/SEARCH($S$2:$S$65,G2550),$T$2:$T$65),"Misc")</f>
        <v>COTS</v>
      </c>
      <c r="O2550" t="str" cm="1">
        <f t="array" ref="O2550">IFERROR(LOOKUP(2,1/SEARCH($V$2:$V$65,G2550),$W$2:$W$65),"Misc")</f>
        <v>Fasteners</v>
      </c>
      <c r="P2550" t="str" cm="1">
        <f t="array" ref="P2550">IFERROR(LOOKUP(2,1/SEARCH($Y$2:$Y$65,G2550),$Z$2:$Z$65),"Not Defined")</f>
        <v>NUT</v>
      </c>
      <c r="Q2550" t="str" cm="1">
        <f t="array" ref="Q2550">IFERROR(LOOKUP(2,1/SEARCH($S$2:$S$65,H2550),$T$2:$T$65),"-")</f>
        <v>COTS</v>
      </c>
    </row>
    <row r="2551" spans="1:17" hidden="1" x14ac:dyDescent="0.25">
      <c r="A2551" t="s">
        <v>7676</v>
      </c>
      <c r="B2551" t="s">
        <v>6389</v>
      </c>
      <c r="C2551">
        <v>1</v>
      </c>
      <c r="D2551" t="s">
        <v>7623</v>
      </c>
      <c r="F2551" t="s">
        <v>6390</v>
      </c>
      <c r="G2551" t="s">
        <v>6392</v>
      </c>
      <c r="H2551" t="s">
        <v>6391</v>
      </c>
      <c r="I2551" t="s">
        <v>293</v>
      </c>
      <c r="J2551" t="s">
        <v>7682</v>
      </c>
      <c r="K2551" t="s">
        <v>7826</v>
      </c>
      <c r="L2551" t="s">
        <v>7826</v>
      </c>
      <c r="N2551" t="str" cm="1">
        <f t="array" ref="N2551">IFERROR(LOOKUP(2,1/SEARCH($S$2:$S$65,G2551),$T$2:$T$65),"Misc")</f>
        <v>OH P/N</v>
      </c>
      <c r="O2551" t="str" cm="1">
        <f t="array" ref="O2551">IFERROR(LOOKUP(2,1/SEARCH($V$2:$V$65,G2551),$W$2:$W$65),"Misc")</f>
        <v>OH Part</v>
      </c>
      <c r="P2551" t="str" cm="1">
        <f t="array" ref="P2551">IFERROR(LOOKUP(2,1/SEARCH($Y$2:$Y$65,G2551),$Z$2:$Z$65),"Not Defined")</f>
        <v>OH Part</v>
      </c>
      <c r="Q2551" t="str" cm="1">
        <f t="array" ref="Q2551">IFERROR(LOOKUP(2,1/SEARCH($S$2:$S$65,H2551),$T$2:$T$65),"-")</f>
        <v>-</v>
      </c>
    </row>
    <row r="2552" spans="1:17" hidden="1" x14ac:dyDescent="0.25">
      <c r="A2552" t="s">
        <v>7676</v>
      </c>
      <c r="B2552" t="s">
        <v>6393</v>
      </c>
      <c r="C2552">
        <v>2</v>
      </c>
      <c r="D2552" t="s">
        <v>7623</v>
      </c>
      <c r="F2552" t="s">
        <v>566</v>
      </c>
      <c r="G2552" t="s">
        <v>7101</v>
      </c>
      <c r="H2552" t="s">
        <v>567</v>
      </c>
      <c r="I2552" t="s">
        <v>228</v>
      </c>
      <c r="J2552" t="s">
        <v>7703</v>
      </c>
      <c r="K2552" t="s">
        <v>7684</v>
      </c>
      <c r="L2552" t="s">
        <v>7693</v>
      </c>
      <c r="N2552" t="str" cm="1">
        <f t="array" ref="N2552">IFERROR(LOOKUP(2,1/SEARCH($S$2:$S$65,G2552),$T$2:$T$65),"Misc")</f>
        <v>COTS</v>
      </c>
      <c r="O2552" t="str" cm="1">
        <f t="array" ref="O2552">IFERROR(LOOKUP(2,1/SEARCH($V$2:$V$65,G2552),$W$2:$W$65),"Misc")</f>
        <v>Fasteners</v>
      </c>
      <c r="P2552" t="str" cm="1">
        <f t="array" ref="P2552">IFERROR(LOOKUP(2,1/SEARCH($Y$2:$Y$65,G2552),$Z$2:$Z$65),"Not Defined")</f>
        <v>PHS</v>
      </c>
      <c r="Q2552" t="str" cm="1">
        <f t="array" ref="Q2552">IFERROR(LOOKUP(2,1/SEARCH($S$2:$S$65,H2552),$T$2:$T$65),"-")</f>
        <v>COTS</v>
      </c>
    </row>
    <row r="2553" spans="1:17" hidden="1" x14ac:dyDescent="0.25">
      <c r="A2553" t="s">
        <v>7676</v>
      </c>
      <c r="B2553" s="19">
        <v>4.1399999999999997</v>
      </c>
      <c r="C2553">
        <v>1</v>
      </c>
      <c r="D2553" t="s">
        <v>7624</v>
      </c>
      <c r="F2553" t="s">
        <v>6394</v>
      </c>
      <c r="G2553" t="s">
        <v>7624</v>
      </c>
      <c r="H2553" t="s">
        <v>6395</v>
      </c>
      <c r="J2553" t="s">
        <v>7742</v>
      </c>
      <c r="K2553" t="s">
        <v>7826</v>
      </c>
      <c r="L2553" t="s">
        <v>7826</v>
      </c>
      <c r="N2553" t="str" cm="1">
        <f t="array" ref="N2553">IFERROR(LOOKUP(2,1/SEARCH($S$2:$S$65,G2553),$T$2:$T$65),"Misc")</f>
        <v>OH ASSY</v>
      </c>
      <c r="O2553" t="str" cm="1">
        <f t="array" ref="O2553">IFERROR(LOOKUP(2,1/SEARCH($V$2:$V$65,G2553),$W$2:$W$65),"Misc")</f>
        <v>OH Part</v>
      </c>
      <c r="P2553" t="str" cm="1">
        <f t="array" ref="P2553">IFERROR(LOOKUP(2,1/SEARCH($Y$2:$Y$65,G2553),$Z$2:$Z$65),"Not Defined")</f>
        <v>OH Part</v>
      </c>
      <c r="Q2553" t="str" cm="1">
        <f t="array" ref="Q2553">IFERROR(LOOKUP(2,1/SEARCH($S$2:$S$65,H2553),$T$2:$T$65),"-")</f>
        <v>OH ASSY</v>
      </c>
    </row>
    <row r="2554" spans="1:17" hidden="1" x14ac:dyDescent="0.25">
      <c r="A2554" t="s">
        <v>7676</v>
      </c>
      <c r="B2554" t="s">
        <v>6396</v>
      </c>
      <c r="C2554">
        <v>1</v>
      </c>
      <c r="D2554" t="s">
        <v>7624</v>
      </c>
      <c r="F2554" t="s">
        <v>6397</v>
      </c>
      <c r="G2554" t="s">
        <v>6399</v>
      </c>
      <c r="H2554" t="s">
        <v>6398</v>
      </c>
      <c r="I2554" t="s">
        <v>13</v>
      </c>
      <c r="J2554" t="s">
        <v>7682</v>
      </c>
      <c r="K2554" t="s">
        <v>7826</v>
      </c>
      <c r="L2554" t="s">
        <v>7826</v>
      </c>
      <c r="N2554" t="str" cm="1">
        <f t="array" ref="N2554">IFERROR(LOOKUP(2,1/SEARCH($S$2:$S$65,G2554),$T$2:$T$65),"Misc")</f>
        <v>OH P/N</v>
      </c>
      <c r="O2554" t="str" cm="1">
        <f t="array" ref="O2554">IFERROR(LOOKUP(2,1/SEARCH($V$2:$V$65,G2554),$W$2:$W$65),"Misc")</f>
        <v>OH Part</v>
      </c>
      <c r="P2554" t="str" cm="1">
        <f t="array" ref="P2554">IFERROR(LOOKUP(2,1/SEARCH($Y$2:$Y$65,G2554),$Z$2:$Z$65),"Not Defined")</f>
        <v>OH Part</v>
      </c>
      <c r="Q2554" t="str" cm="1">
        <f t="array" ref="Q2554">IFERROR(LOOKUP(2,1/SEARCH($S$2:$S$65,H2554),$T$2:$T$65),"-")</f>
        <v>-</v>
      </c>
    </row>
    <row r="2555" spans="1:17" hidden="1" x14ac:dyDescent="0.25">
      <c r="A2555" t="s">
        <v>7676</v>
      </c>
      <c r="B2555" t="s">
        <v>6400</v>
      </c>
      <c r="C2555">
        <v>1</v>
      </c>
      <c r="D2555" t="s">
        <v>7624</v>
      </c>
      <c r="F2555" t="s">
        <v>6401</v>
      </c>
      <c r="G2555" t="s">
        <v>6403</v>
      </c>
      <c r="H2555" t="s">
        <v>6402</v>
      </c>
      <c r="I2555" t="s">
        <v>255</v>
      </c>
      <c r="J2555" t="s">
        <v>7682</v>
      </c>
      <c r="K2555" t="s">
        <v>7826</v>
      </c>
      <c r="L2555" t="s">
        <v>7826</v>
      </c>
      <c r="N2555" t="str" cm="1">
        <f t="array" ref="N2555">IFERROR(LOOKUP(2,1/SEARCH($S$2:$S$65,G2555),$T$2:$T$65),"Misc")</f>
        <v>OH P/N</v>
      </c>
      <c r="O2555" t="str" cm="1">
        <f t="array" ref="O2555">IFERROR(LOOKUP(2,1/SEARCH($V$2:$V$65,G2555),$W$2:$W$65),"Misc")</f>
        <v>OH Part</v>
      </c>
      <c r="P2555" t="str" cm="1">
        <f t="array" ref="P2555">IFERROR(LOOKUP(2,1/SEARCH($Y$2:$Y$65,G2555),$Z$2:$Z$65),"Not Defined")</f>
        <v>OH Part</v>
      </c>
      <c r="Q2555" t="str" cm="1">
        <f t="array" ref="Q2555">IFERROR(LOOKUP(2,1/SEARCH($S$2:$S$65,H2555),$T$2:$T$65),"-")</f>
        <v>-</v>
      </c>
    </row>
    <row r="2556" spans="1:17" hidden="1" x14ac:dyDescent="0.25">
      <c r="A2556" t="s">
        <v>7676</v>
      </c>
      <c r="B2556" t="s">
        <v>6404</v>
      </c>
      <c r="C2556">
        <v>12</v>
      </c>
      <c r="D2556" t="s">
        <v>7624</v>
      </c>
      <c r="F2556" t="s">
        <v>6405</v>
      </c>
      <c r="G2556" t="s">
        <v>6407</v>
      </c>
      <c r="H2556" t="s">
        <v>6406</v>
      </c>
      <c r="I2556" t="s">
        <v>293</v>
      </c>
      <c r="J2556" t="s">
        <v>7682</v>
      </c>
      <c r="K2556" t="s">
        <v>7826</v>
      </c>
      <c r="L2556" t="s">
        <v>7826</v>
      </c>
      <c r="N2556" t="str" cm="1">
        <f t="array" ref="N2556">IFERROR(LOOKUP(2,1/SEARCH($S$2:$S$65,G2556),$T$2:$T$65),"Misc")</f>
        <v>OH P/N</v>
      </c>
      <c r="O2556" t="str" cm="1">
        <f t="array" ref="O2556">IFERROR(LOOKUP(2,1/SEARCH($V$2:$V$65,G2556),$W$2:$W$65),"Misc")</f>
        <v>OH Part</v>
      </c>
      <c r="P2556" t="str" cm="1">
        <f t="array" ref="P2556">IFERROR(LOOKUP(2,1/SEARCH($Y$2:$Y$65,G2556),$Z$2:$Z$65),"Not Defined")</f>
        <v>OH Part</v>
      </c>
      <c r="Q2556" t="str" cm="1">
        <f t="array" ref="Q2556">IFERROR(LOOKUP(2,1/SEARCH($S$2:$S$65,H2556),$T$2:$T$65),"-")</f>
        <v>-</v>
      </c>
    </row>
    <row r="2557" spans="1:17" hidden="1" x14ac:dyDescent="0.25">
      <c r="A2557" t="s">
        <v>7676</v>
      </c>
      <c r="B2557" t="s">
        <v>6408</v>
      </c>
      <c r="C2557">
        <v>1</v>
      </c>
      <c r="D2557" t="s">
        <v>7624</v>
      </c>
      <c r="F2557" t="s">
        <v>6409</v>
      </c>
      <c r="G2557" t="s">
        <v>6411</v>
      </c>
      <c r="H2557" t="s">
        <v>6410</v>
      </c>
      <c r="I2557" t="s">
        <v>281</v>
      </c>
      <c r="J2557" t="s">
        <v>7682</v>
      </c>
      <c r="K2557" t="s">
        <v>7826</v>
      </c>
      <c r="L2557" t="s">
        <v>7826</v>
      </c>
      <c r="N2557" t="str" cm="1">
        <f t="array" ref="N2557">IFERROR(LOOKUP(2,1/SEARCH($S$2:$S$65,G2557),$T$2:$T$65),"Misc")</f>
        <v>OH P/N</v>
      </c>
      <c r="O2557" t="str" cm="1">
        <f t="array" ref="O2557">IFERROR(LOOKUP(2,1/SEARCH($V$2:$V$65,G2557),$W$2:$W$65),"Misc")</f>
        <v>OH Part</v>
      </c>
      <c r="P2557" t="str" cm="1">
        <f t="array" ref="P2557">IFERROR(LOOKUP(2,1/SEARCH($Y$2:$Y$65,G2557),$Z$2:$Z$65),"Not Defined")</f>
        <v>OH Part</v>
      </c>
      <c r="Q2557" t="str" cm="1">
        <f t="array" ref="Q2557">IFERROR(LOOKUP(2,1/SEARCH($S$2:$S$65,H2557),$T$2:$T$65),"-")</f>
        <v>-</v>
      </c>
    </row>
    <row r="2558" spans="1:17" hidden="1" x14ac:dyDescent="0.25">
      <c r="A2558" t="s">
        <v>7676</v>
      </c>
      <c r="B2558" t="s">
        <v>6412</v>
      </c>
      <c r="C2558">
        <v>1</v>
      </c>
      <c r="D2558" t="s">
        <v>7624</v>
      </c>
      <c r="F2558" t="s">
        <v>6413</v>
      </c>
      <c r="G2558" t="s">
        <v>6415</v>
      </c>
      <c r="H2558" t="s">
        <v>6414</v>
      </c>
      <c r="I2558" t="s">
        <v>281</v>
      </c>
      <c r="J2558" t="s">
        <v>7682</v>
      </c>
      <c r="K2558" t="s">
        <v>7826</v>
      </c>
      <c r="L2558" t="s">
        <v>7826</v>
      </c>
      <c r="N2558" t="str" cm="1">
        <f t="array" ref="N2558">IFERROR(LOOKUP(2,1/SEARCH($S$2:$S$65,G2558),$T$2:$T$65),"Misc")</f>
        <v>OH P/N</v>
      </c>
      <c r="O2558" t="str" cm="1">
        <f t="array" ref="O2558">IFERROR(LOOKUP(2,1/SEARCH($V$2:$V$65,G2558),$W$2:$W$65),"Misc")</f>
        <v>OH Part</v>
      </c>
      <c r="P2558" t="str" cm="1">
        <f t="array" ref="P2558">IFERROR(LOOKUP(2,1/SEARCH($Y$2:$Y$65,G2558),$Z$2:$Z$65),"Not Defined")</f>
        <v>OH Part</v>
      </c>
      <c r="Q2558" t="str" cm="1">
        <f t="array" ref="Q2558">IFERROR(LOOKUP(2,1/SEARCH($S$2:$S$65,H2558),$T$2:$T$65),"-")</f>
        <v>-</v>
      </c>
    </row>
    <row r="2559" spans="1:17" hidden="1" x14ac:dyDescent="0.25">
      <c r="A2559" t="s">
        <v>7676</v>
      </c>
      <c r="B2559" t="s">
        <v>6416</v>
      </c>
      <c r="C2559">
        <v>1</v>
      </c>
      <c r="D2559" t="s">
        <v>7624</v>
      </c>
      <c r="F2559" t="s">
        <v>6417</v>
      </c>
      <c r="G2559" t="s">
        <v>6419</v>
      </c>
      <c r="H2559" t="s">
        <v>6418</v>
      </c>
      <c r="I2559" t="s">
        <v>281</v>
      </c>
      <c r="J2559" t="s">
        <v>7682</v>
      </c>
      <c r="K2559" t="s">
        <v>7826</v>
      </c>
      <c r="L2559" t="s">
        <v>7826</v>
      </c>
      <c r="N2559" t="str" cm="1">
        <f t="array" ref="N2559">IFERROR(LOOKUP(2,1/SEARCH($S$2:$S$65,G2559),$T$2:$T$65),"Misc")</f>
        <v>OH P/N</v>
      </c>
      <c r="O2559" t="str" cm="1">
        <f t="array" ref="O2559">IFERROR(LOOKUP(2,1/SEARCH($V$2:$V$65,G2559),$W$2:$W$65),"Misc")</f>
        <v>OH Part</v>
      </c>
      <c r="P2559" t="str" cm="1">
        <f t="array" ref="P2559">IFERROR(LOOKUP(2,1/SEARCH($Y$2:$Y$65,G2559),$Z$2:$Z$65),"Not Defined")</f>
        <v>OH Part</v>
      </c>
      <c r="Q2559" t="str" cm="1">
        <f t="array" ref="Q2559">IFERROR(LOOKUP(2,1/SEARCH($S$2:$S$65,H2559),$T$2:$T$65),"-")</f>
        <v>-</v>
      </c>
    </row>
    <row r="2560" spans="1:17" hidden="1" x14ac:dyDescent="0.25">
      <c r="A2560" t="s">
        <v>7676</v>
      </c>
      <c r="B2560" t="s">
        <v>6420</v>
      </c>
      <c r="C2560">
        <v>1</v>
      </c>
      <c r="D2560" t="s">
        <v>7624</v>
      </c>
      <c r="F2560" t="s">
        <v>6421</v>
      </c>
      <c r="G2560" t="s">
        <v>6423</v>
      </c>
      <c r="H2560" t="s">
        <v>6422</v>
      </c>
      <c r="I2560" t="s">
        <v>281</v>
      </c>
      <c r="J2560" t="s">
        <v>7682</v>
      </c>
      <c r="K2560" t="s">
        <v>7826</v>
      </c>
      <c r="L2560" t="s">
        <v>7826</v>
      </c>
      <c r="N2560" t="str" cm="1">
        <f t="array" ref="N2560">IFERROR(LOOKUP(2,1/SEARCH($S$2:$S$65,G2560),$T$2:$T$65),"Misc")</f>
        <v>OH P/N</v>
      </c>
      <c r="O2560" t="str" cm="1">
        <f t="array" ref="O2560">IFERROR(LOOKUP(2,1/SEARCH($V$2:$V$65,G2560),$W$2:$W$65),"Misc")</f>
        <v>OH Part</v>
      </c>
      <c r="P2560" t="str" cm="1">
        <f t="array" ref="P2560">IFERROR(LOOKUP(2,1/SEARCH($Y$2:$Y$65,G2560),$Z$2:$Z$65),"Not Defined")</f>
        <v>OH Part</v>
      </c>
      <c r="Q2560" t="str" cm="1">
        <f t="array" ref="Q2560">IFERROR(LOOKUP(2,1/SEARCH($S$2:$S$65,H2560),$T$2:$T$65),"-")</f>
        <v>-</v>
      </c>
    </row>
    <row r="2561" spans="1:17" hidden="1" x14ac:dyDescent="0.25">
      <c r="A2561" t="s">
        <v>7676</v>
      </c>
      <c r="B2561" t="s">
        <v>6424</v>
      </c>
      <c r="C2561">
        <v>1</v>
      </c>
      <c r="D2561" t="s">
        <v>7624</v>
      </c>
      <c r="F2561" t="s">
        <v>6425</v>
      </c>
      <c r="G2561" t="s">
        <v>6427</v>
      </c>
      <c r="H2561" t="s">
        <v>6426</v>
      </c>
      <c r="I2561" t="s">
        <v>281</v>
      </c>
      <c r="J2561" t="s">
        <v>7682</v>
      </c>
      <c r="K2561" t="s">
        <v>7826</v>
      </c>
      <c r="L2561" t="s">
        <v>7826</v>
      </c>
      <c r="N2561" t="str" cm="1">
        <f t="array" ref="N2561">IFERROR(LOOKUP(2,1/SEARCH($S$2:$S$65,G2561),$T$2:$T$65),"Misc")</f>
        <v>OH P/N</v>
      </c>
      <c r="O2561" t="str" cm="1">
        <f t="array" ref="O2561">IFERROR(LOOKUP(2,1/SEARCH($V$2:$V$65,G2561),$W$2:$W$65),"Misc")</f>
        <v>OH Part</v>
      </c>
      <c r="P2561" t="str" cm="1">
        <f t="array" ref="P2561">IFERROR(LOOKUP(2,1/SEARCH($Y$2:$Y$65,G2561),$Z$2:$Z$65),"Not Defined")</f>
        <v>OH Part</v>
      </c>
      <c r="Q2561" t="str" cm="1">
        <f t="array" ref="Q2561">IFERROR(LOOKUP(2,1/SEARCH($S$2:$S$65,H2561),$T$2:$T$65),"-")</f>
        <v>-</v>
      </c>
    </row>
    <row r="2562" spans="1:17" hidden="1" x14ac:dyDescent="0.25">
      <c r="A2562" t="s">
        <v>7676</v>
      </c>
      <c r="B2562" t="s">
        <v>6428</v>
      </c>
      <c r="C2562">
        <v>1</v>
      </c>
      <c r="D2562" t="s">
        <v>7624</v>
      </c>
      <c r="F2562" t="s">
        <v>6429</v>
      </c>
      <c r="G2562" t="s">
        <v>6431</v>
      </c>
      <c r="H2562" t="s">
        <v>6430</v>
      </c>
      <c r="I2562" t="s">
        <v>281</v>
      </c>
      <c r="J2562" t="s">
        <v>7682</v>
      </c>
      <c r="K2562" t="s">
        <v>7826</v>
      </c>
      <c r="L2562" t="s">
        <v>7826</v>
      </c>
      <c r="N2562" t="str" cm="1">
        <f t="array" ref="N2562">IFERROR(LOOKUP(2,1/SEARCH($S$2:$S$65,G2562),$T$2:$T$65),"Misc")</f>
        <v>OH P/N</v>
      </c>
      <c r="O2562" t="str" cm="1">
        <f t="array" ref="O2562">IFERROR(LOOKUP(2,1/SEARCH($V$2:$V$65,G2562),$W$2:$W$65),"Misc")</f>
        <v>OH Part</v>
      </c>
      <c r="P2562" t="str" cm="1">
        <f t="array" ref="P2562">IFERROR(LOOKUP(2,1/SEARCH($Y$2:$Y$65,G2562),$Z$2:$Z$65),"Not Defined")</f>
        <v>OH Part</v>
      </c>
      <c r="Q2562" t="str" cm="1">
        <f t="array" ref="Q2562">IFERROR(LOOKUP(2,1/SEARCH($S$2:$S$65,H2562),$T$2:$T$65),"-")</f>
        <v>-</v>
      </c>
    </row>
    <row r="2563" spans="1:17" hidden="1" x14ac:dyDescent="0.25">
      <c r="A2563" t="s">
        <v>7676</v>
      </c>
      <c r="B2563" t="s">
        <v>6432</v>
      </c>
      <c r="C2563">
        <v>1</v>
      </c>
      <c r="D2563" t="s">
        <v>7624</v>
      </c>
      <c r="F2563" t="s">
        <v>6433</v>
      </c>
      <c r="G2563" t="s">
        <v>6435</v>
      </c>
      <c r="H2563" t="s">
        <v>6434</v>
      </c>
      <c r="I2563" t="s">
        <v>281</v>
      </c>
      <c r="J2563" t="s">
        <v>7682</v>
      </c>
      <c r="K2563" t="s">
        <v>7826</v>
      </c>
      <c r="L2563" t="s">
        <v>7826</v>
      </c>
      <c r="N2563" t="str" cm="1">
        <f t="array" ref="N2563">IFERROR(LOOKUP(2,1/SEARCH($S$2:$S$65,G2563),$T$2:$T$65),"Misc")</f>
        <v>OH P/N</v>
      </c>
      <c r="O2563" t="str" cm="1">
        <f t="array" ref="O2563">IFERROR(LOOKUP(2,1/SEARCH($V$2:$V$65,G2563),$W$2:$W$65),"Misc")</f>
        <v>OH Part</v>
      </c>
      <c r="P2563" t="str" cm="1">
        <f t="array" ref="P2563">IFERROR(LOOKUP(2,1/SEARCH($Y$2:$Y$65,G2563),$Z$2:$Z$65),"Not Defined")</f>
        <v>OH Part</v>
      </c>
      <c r="Q2563" t="str" cm="1">
        <f t="array" ref="Q2563">IFERROR(LOOKUP(2,1/SEARCH($S$2:$S$65,H2563),$T$2:$T$65),"-")</f>
        <v>-</v>
      </c>
    </row>
    <row r="2564" spans="1:17" hidden="1" x14ac:dyDescent="0.25">
      <c r="A2564" t="s">
        <v>7676</v>
      </c>
      <c r="B2564" t="s">
        <v>6436</v>
      </c>
      <c r="C2564">
        <v>1</v>
      </c>
      <c r="D2564" t="s">
        <v>7624</v>
      </c>
      <c r="F2564" t="s">
        <v>6437</v>
      </c>
      <c r="G2564" t="s">
        <v>6439</v>
      </c>
      <c r="H2564" t="s">
        <v>6438</v>
      </c>
      <c r="I2564" t="s">
        <v>281</v>
      </c>
      <c r="J2564" t="s">
        <v>7682</v>
      </c>
      <c r="K2564" t="s">
        <v>7826</v>
      </c>
      <c r="L2564" t="s">
        <v>7826</v>
      </c>
      <c r="N2564" t="str" cm="1">
        <f t="array" ref="N2564">IFERROR(LOOKUP(2,1/SEARCH($S$2:$S$65,G2564),$T$2:$T$65),"Misc")</f>
        <v>OH P/N</v>
      </c>
      <c r="O2564" t="str" cm="1">
        <f t="array" ref="O2564">IFERROR(LOOKUP(2,1/SEARCH($V$2:$V$65,G2564),$W$2:$W$65),"Misc")</f>
        <v>OH Part</v>
      </c>
      <c r="P2564" t="str" cm="1">
        <f t="array" ref="P2564">IFERROR(LOOKUP(2,1/SEARCH($Y$2:$Y$65,G2564),$Z$2:$Z$65),"Not Defined")</f>
        <v>OH Part</v>
      </c>
      <c r="Q2564" t="str" cm="1">
        <f t="array" ref="Q2564">IFERROR(LOOKUP(2,1/SEARCH($S$2:$S$65,H2564),$T$2:$T$65),"-")</f>
        <v>-</v>
      </c>
    </row>
    <row r="2565" spans="1:17" hidden="1" x14ac:dyDescent="0.25">
      <c r="A2565" t="s">
        <v>7676</v>
      </c>
      <c r="B2565" t="s">
        <v>6440</v>
      </c>
      <c r="C2565">
        <v>1</v>
      </c>
      <c r="D2565" t="s">
        <v>7624</v>
      </c>
      <c r="F2565" t="s">
        <v>6441</v>
      </c>
      <c r="G2565" t="s">
        <v>6443</v>
      </c>
      <c r="H2565" t="s">
        <v>6442</v>
      </c>
      <c r="I2565" t="s">
        <v>281</v>
      </c>
      <c r="J2565" t="s">
        <v>7682</v>
      </c>
      <c r="K2565" t="s">
        <v>7826</v>
      </c>
      <c r="L2565" t="s">
        <v>7826</v>
      </c>
      <c r="N2565" t="str" cm="1">
        <f t="array" ref="N2565">IFERROR(LOOKUP(2,1/SEARCH($S$2:$S$65,G2565),$T$2:$T$65),"Misc")</f>
        <v>OH P/N</v>
      </c>
      <c r="O2565" t="str" cm="1">
        <f t="array" ref="O2565">IFERROR(LOOKUP(2,1/SEARCH($V$2:$V$65,G2565),$W$2:$W$65),"Misc")</f>
        <v>OH Part</v>
      </c>
      <c r="P2565" t="str" cm="1">
        <f t="array" ref="P2565">IFERROR(LOOKUP(2,1/SEARCH($Y$2:$Y$65,G2565),$Z$2:$Z$65),"Not Defined")</f>
        <v>OH Part</v>
      </c>
      <c r="Q2565" t="str" cm="1">
        <f t="array" ref="Q2565">IFERROR(LOOKUP(2,1/SEARCH($S$2:$S$65,H2565),$T$2:$T$65),"-")</f>
        <v>-</v>
      </c>
    </row>
    <row r="2566" spans="1:17" hidden="1" x14ac:dyDescent="0.25">
      <c r="A2566" t="s">
        <v>7676</v>
      </c>
      <c r="B2566" t="s">
        <v>6444</v>
      </c>
      <c r="C2566">
        <v>3</v>
      </c>
      <c r="D2566" t="s">
        <v>7624</v>
      </c>
      <c r="F2566" t="s">
        <v>6445</v>
      </c>
      <c r="G2566" t="s">
        <v>6447</v>
      </c>
      <c r="H2566" t="s">
        <v>6446</v>
      </c>
      <c r="I2566" t="s">
        <v>281</v>
      </c>
      <c r="J2566" t="s">
        <v>7682</v>
      </c>
      <c r="K2566" t="s">
        <v>7826</v>
      </c>
      <c r="L2566" t="s">
        <v>7826</v>
      </c>
      <c r="N2566" t="str" cm="1">
        <f t="array" ref="N2566">IFERROR(LOOKUP(2,1/SEARCH($S$2:$S$65,G2566),$T$2:$T$65),"Misc")</f>
        <v>OH P/N</v>
      </c>
      <c r="O2566" t="str" cm="1">
        <f t="array" ref="O2566">IFERROR(LOOKUP(2,1/SEARCH($V$2:$V$65,G2566),$W$2:$W$65),"Misc")</f>
        <v>OH Part</v>
      </c>
      <c r="P2566" t="str" cm="1">
        <f t="array" ref="P2566">IFERROR(LOOKUP(2,1/SEARCH($Y$2:$Y$65,G2566),$Z$2:$Z$65),"Not Defined")</f>
        <v>OH Part</v>
      </c>
      <c r="Q2566" t="str" cm="1">
        <f t="array" ref="Q2566">IFERROR(LOOKUP(2,1/SEARCH($S$2:$S$65,H2566),$T$2:$T$65),"-")</f>
        <v>-</v>
      </c>
    </row>
    <row r="2567" spans="1:17" hidden="1" x14ac:dyDescent="0.25">
      <c r="A2567" t="s">
        <v>7676</v>
      </c>
      <c r="B2567" t="s">
        <v>6448</v>
      </c>
      <c r="C2567">
        <v>12</v>
      </c>
      <c r="D2567" t="s">
        <v>7624</v>
      </c>
      <c r="F2567" t="s">
        <v>6449</v>
      </c>
      <c r="G2567" t="s">
        <v>6451</v>
      </c>
      <c r="H2567" t="s">
        <v>6450</v>
      </c>
      <c r="I2567" t="s">
        <v>293</v>
      </c>
      <c r="J2567" t="s">
        <v>7682</v>
      </c>
      <c r="K2567" t="s">
        <v>7826</v>
      </c>
      <c r="L2567" t="s">
        <v>7826</v>
      </c>
      <c r="N2567" t="str" cm="1">
        <f t="array" ref="N2567">IFERROR(LOOKUP(2,1/SEARCH($S$2:$S$65,G2567),$T$2:$T$65),"Misc")</f>
        <v>OH P/N</v>
      </c>
      <c r="O2567" t="str" cm="1">
        <f t="array" ref="O2567">IFERROR(LOOKUP(2,1/SEARCH($V$2:$V$65,G2567),$W$2:$W$65),"Misc")</f>
        <v>OH Part</v>
      </c>
      <c r="P2567" t="str" cm="1">
        <f t="array" ref="P2567">IFERROR(LOOKUP(2,1/SEARCH($Y$2:$Y$65,G2567),$Z$2:$Z$65),"Not Defined")</f>
        <v>OH Part</v>
      </c>
      <c r="Q2567" t="str" cm="1">
        <f t="array" ref="Q2567">IFERROR(LOOKUP(2,1/SEARCH($S$2:$S$65,H2567),$T$2:$T$65),"-")</f>
        <v>-</v>
      </c>
    </row>
    <row r="2568" spans="1:17" hidden="1" x14ac:dyDescent="0.25">
      <c r="A2568" t="s">
        <v>7676</v>
      </c>
      <c r="B2568" t="s">
        <v>6452</v>
      </c>
      <c r="C2568">
        <v>4</v>
      </c>
      <c r="D2568" t="s">
        <v>7624</v>
      </c>
      <c r="F2568" t="s">
        <v>268</v>
      </c>
      <c r="G2568" t="s">
        <v>7061</v>
      </c>
      <c r="H2568" t="s">
        <v>269</v>
      </c>
      <c r="I2568" t="s">
        <v>224</v>
      </c>
      <c r="J2568" t="s">
        <v>7703</v>
      </c>
      <c r="K2568" t="s">
        <v>7684</v>
      </c>
      <c r="L2568" t="s">
        <v>7687</v>
      </c>
      <c r="N2568" t="str" cm="1">
        <f t="array" ref="N2568">IFERROR(LOOKUP(2,1/SEARCH($S$2:$S$65,G2568),$T$2:$T$65),"Misc")</f>
        <v>COTS</v>
      </c>
      <c r="O2568" t="str" cm="1">
        <f t="array" ref="O2568">IFERROR(LOOKUP(2,1/SEARCH($V$2:$V$65,G2568),$W$2:$W$65),"Misc")</f>
        <v>Fasteners</v>
      </c>
      <c r="P2568" t="str" cm="1">
        <f t="array" ref="P2568">IFERROR(LOOKUP(2,1/SEARCH($Y$2:$Y$65,G2568),$Z$2:$Z$65),"Not Defined")</f>
        <v>INSERT</v>
      </c>
      <c r="Q2568" t="str" cm="1">
        <f t="array" ref="Q2568">IFERROR(LOOKUP(2,1/SEARCH($S$2:$S$65,H2568),$T$2:$T$65),"-")</f>
        <v>COTS</v>
      </c>
    </row>
    <row r="2569" spans="1:17" hidden="1" x14ac:dyDescent="0.25">
      <c r="A2569" t="s">
        <v>7676</v>
      </c>
      <c r="B2569" t="s">
        <v>6453</v>
      </c>
      <c r="C2569">
        <v>4</v>
      </c>
      <c r="D2569" t="s">
        <v>7624</v>
      </c>
      <c r="F2569" t="s">
        <v>460</v>
      </c>
      <c r="G2569" t="s">
        <v>7090</v>
      </c>
      <c r="H2569" t="s">
        <v>461</v>
      </c>
      <c r="I2569" t="s">
        <v>224</v>
      </c>
      <c r="J2569" t="s">
        <v>7703</v>
      </c>
      <c r="K2569" t="s">
        <v>7684</v>
      </c>
      <c r="L2569" t="s">
        <v>7693</v>
      </c>
      <c r="N2569" t="str" cm="1">
        <f t="array" ref="N2569">IFERROR(LOOKUP(2,1/SEARCH($S$2:$S$65,G2569),$T$2:$T$65),"Misc")</f>
        <v>COTS</v>
      </c>
      <c r="O2569" t="str" cm="1">
        <f t="array" ref="O2569">IFERROR(LOOKUP(2,1/SEARCH($V$2:$V$65,G2569),$W$2:$W$65),"Misc")</f>
        <v>Fasteners</v>
      </c>
      <c r="P2569" t="str" cm="1">
        <f t="array" ref="P2569">IFERROR(LOOKUP(2,1/SEARCH($Y$2:$Y$65,G2569),$Z$2:$Z$65),"Not Defined")</f>
        <v>PHS</v>
      </c>
      <c r="Q2569" t="str" cm="1">
        <f t="array" ref="Q2569">IFERROR(LOOKUP(2,1/SEARCH($S$2:$S$65,H2569),$T$2:$T$65),"-")</f>
        <v>COTS</v>
      </c>
    </row>
    <row r="2570" spans="1:17" hidden="1" x14ac:dyDescent="0.25">
      <c r="A2570" t="s">
        <v>7676</v>
      </c>
      <c r="B2570" t="s">
        <v>6454</v>
      </c>
      <c r="C2570">
        <v>2</v>
      </c>
      <c r="D2570" t="s">
        <v>7624</v>
      </c>
      <c r="F2570" t="s">
        <v>1914</v>
      </c>
      <c r="G2570" t="s">
        <v>7245</v>
      </c>
      <c r="H2570" t="s">
        <v>1915</v>
      </c>
      <c r="I2570" t="s">
        <v>484</v>
      </c>
      <c r="J2570" t="s">
        <v>7703</v>
      </c>
      <c r="K2570" t="s">
        <v>7684</v>
      </c>
      <c r="L2570" t="s">
        <v>7731</v>
      </c>
      <c r="N2570" t="str" cm="1">
        <f t="array" ref="N2570">IFERROR(LOOKUP(2,1/SEARCH($S$2:$S$65,G2570),$T$2:$T$65),"Misc")</f>
        <v>COTS</v>
      </c>
      <c r="O2570" t="str" cm="1">
        <f t="array" ref="O2570">IFERROR(LOOKUP(2,1/SEARCH($V$2:$V$65,G2570),$W$2:$W$65),"Misc")</f>
        <v>Fasteners</v>
      </c>
      <c r="P2570" t="str" cm="1">
        <f t="array" ref="P2570">IFERROR(LOOKUP(2,1/SEARCH($Y$2:$Y$65,G2570),$Z$2:$Z$65),"Not Defined")</f>
        <v>RHS</v>
      </c>
      <c r="Q2570" t="str" cm="1">
        <f t="array" ref="Q2570">IFERROR(LOOKUP(2,1/SEARCH($S$2:$S$65,H2570),$T$2:$T$65),"-")</f>
        <v>COTS</v>
      </c>
    </row>
    <row r="2571" spans="1:17" hidden="1" x14ac:dyDescent="0.25">
      <c r="A2571" t="s">
        <v>7676</v>
      </c>
      <c r="B2571" s="19">
        <v>4.1500000000000004</v>
      </c>
      <c r="C2571">
        <v>1</v>
      </c>
      <c r="D2571" t="s">
        <v>7625</v>
      </c>
      <c r="F2571" t="s">
        <v>6455</v>
      </c>
      <c r="G2571" t="s">
        <v>7625</v>
      </c>
      <c r="H2571" t="s">
        <v>6456</v>
      </c>
      <c r="J2571" t="s">
        <v>7742</v>
      </c>
      <c r="K2571" t="s">
        <v>7826</v>
      </c>
      <c r="L2571" t="s">
        <v>7826</v>
      </c>
      <c r="N2571" t="str" cm="1">
        <f t="array" ref="N2571">IFERROR(LOOKUP(2,1/SEARCH($S$2:$S$65,G2571),$T$2:$T$65),"Misc")</f>
        <v>OH ASSY</v>
      </c>
      <c r="O2571" t="str" cm="1">
        <f t="array" ref="O2571">IFERROR(LOOKUP(2,1/SEARCH($V$2:$V$65,G2571),$W$2:$W$65),"Misc")</f>
        <v>OH Part</v>
      </c>
      <c r="P2571" t="str" cm="1">
        <f t="array" ref="P2571">IFERROR(LOOKUP(2,1/SEARCH($Y$2:$Y$65,G2571),$Z$2:$Z$65),"Not Defined")</f>
        <v>OH Part</v>
      </c>
      <c r="Q2571" t="str" cm="1">
        <f t="array" ref="Q2571">IFERROR(LOOKUP(2,1/SEARCH($S$2:$S$65,H2571),$T$2:$T$65),"-")</f>
        <v>OH ASSY</v>
      </c>
    </row>
    <row r="2572" spans="1:17" hidden="1" x14ac:dyDescent="0.25">
      <c r="A2572" t="s">
        <v>7676</v>
      </c>
      <c r="B2572" t="s">
        <v>6457</v>
      </c>
      <c r="C2572">
        <v>1</v>
      </c>
      <c r="D2572" t="s">
        <v>7625</v>
      </c>
      <c r="F2572" t="s">
        <v>6458</v>
      </c>
      <c r="G2572" t="s">
        <v>6460</v>
      </c>
      <c r="H2572" t="s">
        <v>6459</v>
      </c>
      <c r="I2572" t="s">
        <v>13</v>
      </c>
      <c r="J2572" t="s">
        <v>7682</v>
      </c>
      <c r="K2572" t="s">
        <v>7826</v>
      </c>
      <c r="L2572" t="s">
        <v>7826</v>
      </c>
      <c r="N2572" t="str" cm="1">
        <f t="array" ref="N2572">IFERROR(LOOKUP(2,1/SEARCH($S$2:$S$65,G2572),$T$2:$T$65),"Misc")</f>
        <v>OH P/N</v>
      </c>
      <c r="O2572" t="str" cm="1">
        <f t="array" ref="O2572">IFERROR(LOOKUP(2,1/SEARCH($V$2:$V$65,G2572),$W$2:$W$65),"Misc")</f>
        <v>OH Part</v>
      </c>
      <c r="P2572" t="str" cm="1">
        <f t="array" ref="P2572">IFERROR(LOOKUP(2,1/SEARCH($Y$2:$Y$65,G2572),$Z$2:$Z$65),"Not Defined")</f>
        <v>OH Part</v>
      </c>
      <c r="Q2572" t="str" cm="1">
        <f t="array" ref="Q2572">IFERROR(LOOKUP(2,1/SEARCH($S$2:$S$65,H2572),$T$2:$T$65),"-")</f>
        <v>-</v>
      </c>
    </row>
    <row r="2573" spans="1:17" hidden="1" x14ac:dyDescent="0.25">
      <c r="A2573" t="s">
        <v>7676</v>
      </c>
      <c r="B2573" t="s">
        <v>6461</v>
      </c>
      <c r="C2573">
        <v>1</v>
      </c>
      <c r="D2573" t="s">
        <v>7625</v>
      </c>
      <c r="F2573" t="s">
        <v>6462</v>
      </c>
      <c r="G2573" t="s">
        <v>6464</v>
      </c>
      <c r="H2573" t="s">
        <v>6463</v>
      </c>
      <c r="I2573" t="s">
        <v>13</v>
      </c>
      <c r="J2573" t="s">
        <v>7682</v>
      </c>
      <c r="K2573" t="s">
        <v>7826</v>
      </c>
      <c r="L2573" t="s">
        <v>7826</v>
      </c>
      <c r="N2573" t="str" cm="1">
        <f t="array" ref="N2573">IFERROR(LOOKUP(2,1/SEARCH($S$2:$S$65,G2573),$T$2:$T$65),"Misc")</f>
        <v>OH P/N</v>
      </c>
      <c r="O2573" t="str" cm="1">
        <f t="array" ref="O2573">IFERROR(LOOKUP(2,1/SEARCH($V$2:$V$65,G2573),$W$2:$W$65),"Misc")</f>
        <v>OH Part</v>
      </c>
      <c r="P2573" t="str" cm="1">
        <f t="array" ref="P2573">IFERROR(LOOKUP(2,1/SEARCH($Y$2:$Y$65,G2573),$Z$2:$Z$65),"Not Defined")</f>
        <v>OH Part</v>
      </c>
      <c r="Q2573" t="str" cm="1">
        <f t="array" ref="Q2573">IFERROR(LOOKUP(2,1/SEARCH($S$2:$S$65,H2573),$T$2:$T$65),"-")</f>
        <v>-</v>
      </c>
    </row>
    <row r="2574" spans="1:17" hidden="1" x14ac:dyDescent="0.25">
      <c r="A2574" t="s">
        <v>7676</v>
      </c>
      <c r="B2574" t="s">
        <v>6465</v>
      </c>
      <c r="C2574">
        <v>1</v>
      </c>
      <c r="D2574" t="s">
        <v>7625</v>
      </c>
      <c r="F2574" t="s">
        <v>6466</v>
      </c>
      <c r="G2574" t="s">
        <v>6468</v>
      </c>
      <c r="H2574" t="s">
        <v>6467</v>
      </c>
      <c r="I2574" t="s">
        <v>299</v>
      </c>
      <c r="J2574" t="s">
        <v>7682</v>
      </c>
      <c r="K2574" t="s">
        <v>7826</v>
      </c>
      <c r="L2574" t="s">
        <v>7826</v>
      </c>
      <c r="N2574" t="str" cm="1">
        <f t="array" ref="N2574">IFERROR(LOOKUP(2,1/SEARCH($S$2:$S$65,G2574),$T$2:$T$65),"Misc")</f>
        <v>OH P/N</v>
      </c>
      <c r="O2574" t="str" cm="1">
        <f t="array" ref="O2574">IFERROR(LOOKUP(2,1/SEARCH($V$2:$V$65,G2574),$W$2:$W$65),"Misc")</f>
        <v>OH Part</v>
      </c>
      <c r="P2574" t="str" cm="1">
        <f t="array" ref="P2574">IFERROR(LOOKUP(2,1/SEARCH($Y$2:$Y$65,G2574),$Z$2:$Z$65),"Not Defined")</f>
        <v>OH Part</v>
      </c>
      <c r="Q2574" t="str" cm="1">
        <f t="array" ref="Q2574">IFERROR(LOOKUP(2,1/SEARCH($S$2:$S$65,H2574),$T$2:$T$65),"-")</f>
        <v>-</v>
      </c>
    </row>
    <row r="2575" spans="1:17" hidden="1" x14ac:dyDescent="0.25">
      <c r="A2575" t="s">
        <v>7676</v>
      </c>
      <c r="B2575" t="s">
        <v>6469</v>
      </c>
      <c r="C2575">
        <v>1</v>
      </c>
      <c r="D2575" t="s">
        <v>7625</v>
      </c>
      <c r="E2575" t="s">
        <v>6471</v>
      </c>
      <c r="F2575" t="s">
        <v>6470</v>
      </c>
      <c r="G2575" t="s">
        <v>6472</v>
      </c>
      <c r="H2575" t="s">
        <v>6471</v>
      </c>
      <c r="J2575" t="s">
        <v>7682</v>
      </c>
      <c r="K2575" t="s">
        <v>7826</v>
      </c>
      <c r="L2575" t="s">
        <v>7826</v>
      </c>
      <c r="N2575" t="str" cm="1">
        <f t="array" ref="N2575">IFERROR(LOOKUP(2,1/SEARCH($S$2:$S$65,G2575),$T$2:$T$65),"Misc")</f>
        <v>OH P/N</v>
      </c>
      <c r="O2575" t="str" cm="1">
        <f t="array" ref="O2575">IFERROR(LOOKUP(2,1/SEARCH($V$2:$V$65,G2575),$W$2:$W$65),"Misc")</f>
        <v>OH Part</v>
      </c>
      <c r="P2575" t="str" cm="1">
        <f t="array" ref="P2575">IFERROR(LOOKUP(2,1/SEARCH($Y$2:$Y$65,G2575),$Z$2:$Z$65),"Not Defined")</f>
        <v>OH Part</v>
      </c>
      <c r="Q2575" t="str" cm="1">
        <f t="array" ref="Q2575">IFERROR(LOOKUP(2,1/SEARCH($S$2:$S$65,H2575),$T$2:$T$65),"-")</f>
        <v>-</v>
      </c>
    </row>
    <row r="2576" spans="1:17" hidden="1" x14ac:dyDescent="0.25">
      <c r="A2576" t="s">
        <v>7676</v>
      </c>
      <c r="B2576" t="s">
        <v>6473</v>
      </c>
      <c r="C2576">
        <v>1</v>
      </c>
      <c r="D2576" t="s">
        <v>7625</v>
      </c>
      <c r="E2576" t="s">
        <v>6471</v>
      </c>
      <c r="F2576" t="s">
        <v>4251</v>
      </c>
      <c r="G2576" t="s">
        <v>7438</v>
      </c>
      <c r="H2576" t="s">
        <v>4252</v>
      </c>
      <c r="I2576" t="s">
        <v>3477</v>
      </c>
      <c r="J2576" t="s">
        <v>7703</v>
      </c>
      <c r="K2576" t="s">
        <v>7683</v>
      </c>
      <c r="L2576" t="s">
        <v>7683</v>
      </c>
      <c r="N2576" t="str" cm="1">
        <f t="array" ref="N2576">IFERROR(LOOKUP(2,1/SEARCH($S$2:$S$65,G2576),$T$2:$T$65),"Misc")</f>
        <v>COTS</v>
      </c>
      <c r="O2576" t="str" cm="1">
        <f t="array" ref="O2576">IFERROR(LOOKUP(2,1/SEARCH($V$2:$V$65,G2576),$W$2:$W$65),"Misc")</f>
        <v>BEARING</v>
      </c>
      <c r="P2576" t="str" cm="1">
        <f t="array" ref="P2576">IFERROR(LOOKUP(2,1/SEARCH($Y$2:$Y$65,G2576),$Z$2:$Z$65),"Not Defined")</f>
        <v>BEARING</v>
      </c>
      <c r="Q2576" t="str" cm="1">
        <f t="array" ref="Q2576">IFERROR(LOOKUP(2,1/SEARCH($S$2:$S$65,H2576),$T$2:$T$65),"-")</f>
        <v>COTS</v>
      </c>
    </row>
    <row r="2577" spans="1:17" hidden="1" x14ac:dyDescent="0.25">
      <c r="A2577" t="s">
        <v>7676</v>
      </c>
      <c r="B2577" t="s">
        <v>6474</v>
      </c>
      <c r="C2577">
        <v>1</v>
      </c>
      <c r="D2577" t="s">
        <v>7625</v>
      </c>
      <c r="E2577" t="s">
        <v>6471</v>
      </c>
      <c r="F2577" t="s">
        <v>5515</v>
      </c>
      <c r="G2577" t="s">
        <v>7563</v>
      </c>
      <c r="H2577" t="s">
        <v>5516</v>
      </c>
      <c r="I2577" t="s">
        <v>224</v>
      </c>
      <c r="J2577" t="s">
        <v>7703</v>
      </c>
      <c r="K2577" t="s">
        <v>7684</v>
      </c>
      <c r="L2577" t="s">
        <v>7687</v>
      </c>
      <c r="N2577" t="str" cm="1">
        <f t="array" ref="N2577">IFERROR(LOOKUP(2,1/SEARCH($S$2:$S$65,G2577),$T$2:$T$65),"Misc")</f>
        <v>COTS</v>
      </c>
      <c r="O2577" t="str" cm="1">
        <f t="array" ref="O2577">IFERROR(LOOKUP(2,1/SEARCH($V$2:$V$65,G2577),$W$2:$W$65),"Misc")</f>
        <v>Fasteners</v>
      </c>
      <c r="P2577" t="str" cm="1">
        <f t="array" ref="P2577">IFERROR(LOOKUP(2,1/SEARCH($Y$2:$Y$65,G2577),$Z$2:$Z$65),"Not Defined")</f>
        <v>INSERT</v>
      </c>
      <c r="Q2577" t="str" cm="1">
        <f t="array" ref="Q2577">IFERROR(LOOKUP(2,1/SEARCH($S$2:$S$65,H2577),$T$2:$T$65),"-")</f>
        <v>COTS</v>
      </c>
    </row>
    <row r="2578" spans="1:17" hidden="1" x14ac:dyDescent="0.25">
      <c r="A2578" t="s">
        <v>7676</v>
      </c>
      <c r="B2578" t="s">
        <v>6475</v>
      </c>
      <c r="C2578">
        <v>1</v>
      </c>
      <c r="D2578" t="s">
        <v>7625</v>
      </c>
      <c r="F2578" t="s">
        <v>6476</v>
      </c>
      <c r="G2578" t="s">
        <v>6478</v>
      </c>
      <c r="H2578" t="s">
        <v>6477</v>
      </c>
      <c r="I2578" t="s">
        <v>13</v>
      </c>
      <c r="J2578" t="s">
        <v>7682</v>
      </c>
      <c r="K2578" t="s">
        <v>7826</v>
      </c>
      <c r="L2578" t="s">
        <v>7826</v>
      </c>
      <c r="N2578" t="str" cm="1">
        <f t="array" ref="N2578">IFERROR(LOOKUP(2,1/SEARCH($S$2:$S$65,G2578),$T$2:$T$65),"Misc")</f>
        <v>OH P/N</v>
      </c>
      <c r="O2578" t="str" cm="1">
        <f t="array" ref="O2578">IFERROR(LOOKUP(2,1/SEARCH($V$2:$V$65,G2578),$W$2:$W$65),"Misc")</f>
        <v>OH Part</v>
      </c>
      <c r="P2578" t="str" cm="1">
        <f t="array" ref="P2578">IFERROR(LOOKUP(2,1/SEARCH($Y$2:$Y$65,G2578),$Z$2:$Z$65),"Not Defined")</f>
        <v>OH Part</v>
      </c>
      <c r="Q2578" t="str" cm="1">
        <f t="array" ref="Q2578">IFERROR(LOOKUP(2,1/SEARCH($S$2:$S$65,H2578),$T$2:$T$65),"-")</f>
        <v>-</v>
      </c>
    </row>
    <row r="2579" spans="1:17" hidden="1" x14ac:dyDescent="0.25">
      <c r="A2579" t="s">
        <v>7676</v>
      </c>
      <c r="B2579" t="s">
        <v>6479</v>
      </c>
      <c r="C2579">
        <v>1</v>
      </c>
      <c r="D2579" t="s">
        <v>7625</v>
      </c>
      <c r="F2579" t="s">
        <v>6480</v>
      </c>
      <c r="G2579" t="s">
        <v>6482</v>
      </c>
      <c r="H2579" t="s">
        <v>6481</v>
      </c>
      <c r="I2579" t="s">
        <v>13</v>
      </c>
      <c r="J2579" t="s">
        <v>7682</v>
      </c>
      <c r="K2579" t="s">
        <v>7826</v>
      </c>
      <c r="L2579" t="s">
        <v>7826</v>
      </c>
      <c r="N2579" t="str" cm="1">
        <f t="array" ref="N2579">IFERROR(LOOKUP(2,1/SEARCH($S$2:$S$65,G2579),$T$2:$T$65),"Misc")</f>
        <v>OH P/N</v>
      </c>
      <c r="O2579" t="str" cm="1">
        <f t="array" ref="O2579">IFERROR(LOOKUP(2,1/SEARCH($V$2:$V$65,G2579),$W$2:$W$65),"Misc")</f>
        <v>OH Part</v>
      </c>
      <c r="P2579" t="str" cm="1">
        <f t="array" ref="P2579">IFERROR(LOOKUP(2,1/SEARCH($Y$2:$Y$65,G2579),$Z$2:$Z$65),"Not Defined")</f>
        <v>OH Part</v>
      </c>
      <c r="Q2579" t="str" cm="1">
        <f t="array" ref="Q2579">IFERROR(LOOKUP(2,1/SEARCH($S$2:$S$65,H2579),$T$2:$T$65),"-")</f>
        <v>-</v>
      </c>
    </row>
    <row r="2580" spans="1:17" hidden="1" x14ac:dyDescent="0.25">
      <c r="A2580" t="s">
        <v>7676</v>
      </c>
      <c r="B2580" t="s">
        <v>6483</v>
      </c>
      <c r="C2580">
        <v>1</v>
      </c>
      <c r="D2580" t="s">
        <v>7625</v>
      </c>
      <c r="F2580" t="s">
        <v>6484</v>
      </c>
      <c r="G2580" t="s">
        <v>6486</v>
      </c>
      <c r="H2580" t="s">
        <v>6485</v>
      </c>
      <c r="I2580" t="s">
        <v>13</v>
      </c>
      <c r="J2580" t="s">
        <v>7682</v>
      </c>
      <c r="K2580" t="s">
        <v>7826</v>
      </c>
      <c r="L2580" t="s">
        <v>7826</v>
      </c>
      <c r="N2580" t="str" cm="1">
        <f t="array" ref="N2580">IFERROR(LOOKUP(2,1/SEARCH($S$2:$S$65,G2580),$T$2:$T$65),"Misc")</f>
        <v>OH P/N</v>
      </c>
      <c r="O2580" t="str" cm="1">
        <f t="array" ref="O2580">IFERROR(LOOKUP(2,1/SEARCH($V$2:$V$65,G2580),$W$2:$W$65),"Misc")</f>
        <v>OH Part</v>
      </c>
      <c r="P2580" t="str" cm="1">
        <f t="array" ref="P2580">IFERROR(LOOKUP(2,1/SEARCH($Y$2:$Y$65,G2580),$Z$2:$Z$65),"Not Defined")</f>
        <v>OH Part</v>
      </c>
      <c r="Q2580" t="str" cm="1">
        <f t="array" ref="Q2580">IFERROR(LOOKUP(2,1/SEARCH($S$2:$S$65,H2580),$T$2:$T$65),"-")</f>
        <v>COTS</v>
      </c>
    </row>
    <row r="2581" spans="1:17" hidden="1" x14ac:dyDescent="0.25">
      <c r="A2581" t="s">
        <v>7676</v>
      </c>
      <c r="B2581" t="s">
        <v>6487</v>
      </c>
      <c r="C2581">
        <v>1</v>
      </c>
      <c r="D2581" t="s">
        <v>7625</v>
      </c>
      <c r="F2581" t="s">
        <v>6488</v>
      </c>
      <c r="G2581" t="s">
        <v>6489</v>
      </c>
      <c r="H2581" t="s">
        <v>5499</v>
      </c>
      <c r="I2581" t="s">
        <v>13</v>
      </c>
      <c r="J2581" t="s">
        <v>7703</v>
      </c>
      <c r="K2581" t="s">
        <v>7826</v>
      </c>
      <c r="L2581" t="s">
        <v>7685</v>
      </c>
      <c r="N2581" t="str" cm="1">
        <f t="array" ref="N2581">IFERROR(LOOKUP(2,1/SEARCH($S$2:$S$65,G2581),$T$2:$T$65),"Misc")</f>
        <v>OH P/N</v>
      </c>
      <c r="O2581" t="str" cm="1">
        <f t="array" ref="O2581">IFERROR(LOOKUP(2,1/SEARCH($V$2:$V$65,G2581),$W$2:$W$65),"Misc")</f>
        <v>OH Part</v>
      </c>
      <c r="P2581" t="str" cm="1">
        <f t="array" ref="P2581">IFERROR(LOOKUP(2,1/SEARCH($Y$2:$Y$65,G2581),$Z$2:$Z$65),"Not Defined")</f>
        <v>NUT</v>
      </c>
      <c r="Q2581" t="str" cm="1">
        <f t="array" ref="Q2581">IFERROR(LOOKUP(2,1/SEARCH($S$2:$S$65,H2581),$T$2:$T$65),"-")</f>
        <v>COTS</v>
      </c>
    </row>
    <row r="2582" spans="1:17" hidden="1" x14ac:dyDescent="0.25">
      <c r="A2582" t="s">
        <v>7676</v>
      </c>
      <c r="B2582" t="s">
        <v>6490</v>
      </c>
      <c r="C2582">
        <v>1</v>
      </c>
      <c r="D2582" t="s">
        <v>7625</v>
      </c>
      <c r="F2582" t="s">
        <v>6491</v>
      </c>
      <c r="G2582" t="s">
        <v>6493</v>
      </c>
      <c r="H2582" t="s">
        <v>6492</v>
      </c>
      <c r="I2582" t="s">
        <v>13</v>
      </c>
      <c r="J2582" t="s">
        <v>7682</v>
      </c>
      <c r="K2582" t="s">
        <v>7826</v>
      </c>
      <c r="L2582" t="s">
        <v>7826</v>
      </c>
      <c r="N2582" t="str" cm="1">
        <f t="array" ref="N2582">IFERROR(LOOKUP(2,1/SEARCH($S$2:$S$65,G2582),$T$2:$T$65),"Misc")</f>
        <v>OH P/N</v>
      </c>
      <c r="O2582" t="str" cm="1">
        <f t="array" ref="O2582">IFERROR(LOOKUP(2,1/SEARCH($V$2:$V$65,G2582),$W$2:$W$65),"Misc")</f>
        <v>OH Part</v>
      </c>
      <c r="P2582" t="str" cm="1">
        <f t="array" ref="P2582">IFERROR(LOOKUP(2,1/SEARCH($Y$2:$Y$65,G2582),$Z$2:$Z$65),"Not Defined")</f>
        <v>OH Part</v>
      </c>
      <c r="Q2582" t="str" cm="1">
        <f t="array" ref="Q2582">IFERROR(LOOKUP(2,1/SEARCH($S$2:$S$65,H2582),$T$2:$T$65),"-")</f>
        <v>-</v>
      </c>
    </row>
    <row r="2583" spans="1:17" hidden="1" x14ac:dyDescent="0.25">
      <c r="A2583" t="s">
        <v>7676</v>
      </c>
      <c r="B2583" t="s">
        <v>6494</v>
      </c>
      <c r="C2583">
        <v>1</v>
      </c>
      <c r="D2583" t="s">
        <v>7625</v>
      </c>
      <c r="F2583" t="s">
        <v>6495</v>
      </c>
      <c r="G2583" t="s">
        <v>7626</v>
      </c>
      <c r="H2583" t="s">
        <v>6496</v>
      </c>
      <c r="J2583" t="s">
        <v>7703</v>
      </c>
      <c r="K2583" t="s">
        <v>7719</v>
      </c>
      <c r="L2583" t="s">
        <v>7688</v>
      </c>
      <c r="N2583" t="str" cm="1">
        <f t="array" ref="N2583">IFERROR(LOOKUP(2,1/SEARCH($S$2:$S$65,G2583),$T$2:$T$65),"Misc")</f>
        <v>COTS</v>
      </c>
      <c r="O2583" t="str" cm="1">
        <f t="array" ref="O2583">IFERROR(LOOKUP(2,1/SEARCH($V$2:$V$65,G2583),$W$2:$W$65),"Misc")</f>
        <v>Misc</v>
      </c>
      <c r="P2583" t="str" cm="1">
        <f t="array" ref="P2583">IFERROR(LOOKUP(2,1/SEARCH($Y$2:$Y$65,G2583),$Z$2:$Z$65),"Not Defined")</f>
        <v>SPRING</v>
      </c>
      <c r="Q2583" t="str" cm="1">
        <f t="array" ref="Q2583">IFERROR(LOOKUP(2,1/SEARCH($S$2:$S$65,H2583),$T$2:$T$65),"-")</f>
        <v>COTS</v>
      </c>
    </row>
    <row r="2584" spans="1:17" hidden="1" x14ac:dyDescent="0.25">
      <c r="A2584" t="s">
        <v>7676</v>
      </c>
      <c r="B2584" t="s">
        <v>6497</v>
      </c>
      <c r="C2584">
        <v>1</v>
      </c>
      <c r="D2584" t="s">
        <v>7625</v>
      </c>
      <c r="F2584" t="s">
        <v>6498</v>
      </c>
      <c r="G2584" t="s">
        <v>7627</v>
      </c>
      <c r="H2584" t="s">
        <v>6499</v>
      </c>
      <c r="J2584" t="s">
        <v>7703</v>
      </c>
      <c r="K2584" t="s">
        <v>7719</v>
      </c>
      <c r="L2584" t="s">
        <v>7688</v>
      </c>
      <c r="N2584" t="str" cm="1">
        <f t="array" ref="N2584">IFERROR(LOOKUP(2,1/SEARCH($S$2:$S$65,G2584),$T$2:$T$65),"Misc")</f>
        <v>COTS</v>
      </c>
      <c r="O2584" t="str" cm="1">
        <f t="array" ref="O2584">IFERROR(LOOKUP(2,1/SEARCH($V$2:$V$65,G2584),$W$2:$W$65),"Misc")</f>
        <v>Misc</v>
      </c>
      <c r="P2584" t="str" cm="1">
        <f t="array" ref="P2584">IFERROR(LOOKUP(2,1/SEARCH($Y$2:$Y$65,G2584),$Z$2:$Z$65),"Not Defined")</f>
        <v>SPRING</v>
      </c>
      <c r="Q2584" t="str" cm="1">
        <f t="array" ref="Q2584">IFERROR(LOOKUP(2,1/SEARCH($S$2:$S$65,H2584),$T$2:$T$65),"-")</f>
        <v>COTS</v>
      </c>
    </row>
    <row r="2585" spans="1:17" hidden="1" x14ac:dyDescent="0.25">
      <c r="A2585" t="s">
        <v>7676</v>
      </c>
      <c r="B2585" t="s">
        <v>6500</v>
      </c>
      <c r="C2585">
        <v>10</v>
      </c>
      <c r="D2585" t="s">
        <v>7625</v>
      </c>
      <c r="F2585" t="s">
        <v>5515</v>
      </c>
      <c r="G2585" t="s">
        <v>7563</v>
      </c>
      <c r="H2585" t="s">
        <v>5516</v>
      </c>
      <c r="I2585" t="s">
        <v>224</v>
      </c>
      <c r="J2585" t="s">
        <v>7703</v>
      </c>
      <c r="K2585" t="s">
        <v>7684</v>
      </c>
      <c r="L2585" t="s">
        <v>7687</v>
      </c>
      <c r="N2585" t="str" cm="1">
        <f t="array" ref="N2585">IFERROR(LOOKUP(2,1/SEARCH($S$2:$S$65,G2585),$T$2:$T$65),"Misc")</f>
        <v>COTS</v>
      </c>
      <c r="O2585" t="str" cm="1">
        <f t="array" ref="O2585">IFERROR(LOOKUP(2,1/SEARCH($V$2:$V$65,G2585),$W$2:$W$65),"Misc")</f>
        <v>Fasteners</v>
      </c>
      <c r="P2585" t="str" cm="1">
        <f t="array" ref="P2585">IFERROR(LOOKUP(2,1/SEARCH($Y$2:$Y$65,G2585),$Z$2:$Z$65),"Not Defined")</f>
        <v>INSERT</v>
      </c>
      <c r="Q2585" t="str" cm="1">
        <f t="array" ref="Q2585">IFERROR(LOOKUP(2,1/SEARCH($S$2:$S$65,H2585),$T$2:$T$65),"-")</f>
        <v>COTS</v>
      </c>
    </row>
    <row r="2586" spans="1:17" hidden="1" x14ac:dyDescent="0.25">
      <c r="A2586" t="s">
        <v>7676</v>
      </c>
      <c r="B2586" t="s">
        <v>6501</v>
      </c>
      <c r="C2586">
        <v>1</v>
      </c>
      <c r="D2586" t="s">
        <v>7625</v>
      </c>
      <c r="F2586" t="s">
        <v>4251</v>
      </c>
      <c r="G2586" t="s">
        <v>7438</v>
      </c>
      <c r="H2586" t="s">
        <v>4252</v>
      </c>
      <c r="I2586" t="s">
        <v>3477</v>
      </c>
      <c r="J2586" t="s">
        <v>7703</v>
      </c>
      <c r="K2586" t="s">
        <v>7683</v>
      </c>
      <c r="L2586" t="s">
        <v>7683</v>
      </c>
      <c r="N2586" t="str" cm="1">
        <f t="array" ref="N2586">IFERROR(LOOKUP(2,1/SEARCH($S$2:$S$65,G2586),$T$2:$T$65),"Misc")</f>
        <v>COTS</v>
      </c>
      <c r="O2586" t="str" cm="1">
        <f t="array" ref="O2586">IFERROR(LOOKUP(2,1/SEARCH($V$2:$V$65,G2586),$W$2:$W$65),"Misc")</f>
        <v>BEARING</v>
      </c>
      <c r="P2586" t="str" cm="1">
        <f t="array" ref="P2586">IFERROR(LOOKUP(2,1/SEARCH($Y$2:$Y$65,G2586),$Z$2:$Z$65),"Not Defined")</f>
        <v>BEARING</v>
      </c>
      <c r="Q2586" t="str" cm="1">
        <f t="array" ref="Q2586">IFERROR(LOOKUP(2,1/SEARCH($S$2:$S$65,H2586),$T$2:$T$65),"-")</f>
        <v>COTS</v>
      </c>
    </row>
    <row r="2587" spans="1:17" hidden="1" x14ac:dyDescent="0.25">
      <c r="A2587" t="s">
        <v>7676</v>
      </c>
      <c r="B2587" t="s">
        <v>6502</v>
      </c>
      <c r="C2587">
        <v>1</v>
      </c>
      <c r="D2587" t="s">
        <v>7625</v>
      </c>
      <c r="F2587" t="s">
        <v>5521</v>
      </c>
      <c r="G2587" t="s">
        <v>7565</v>
      </c>
      <c r="H2587" t="s">
        <v>5522</v>
      </c>
      <c r="I2587" t="s">
        <v>228</v>
      </c>
      <c r="J2587" t="s">
        <v>7703</v>
      </c>
      <c r="K2587" t="s">
        <v>7684</v>
      </c>
      <c r="L2587" t="s">
        <v>7691</v>
      </c>
      <c r="N2587" t="str" cm="1">
        <f t="array" ref="N2587">IFERROR(LOOKUP(2,1/SEARCH($S$2:$S$65,G2587),$T$2:$T$65),"Misc")</f>
        <v>COTS</v>
      </c>
      <c r="O2587" t="str" cm="1">
        <f t="array" ref="O2587">IFERROR(LOOKUP(2,1/SEARCH($V$2:$V$65,G2587),$W$2:$W$65),"Misc")</f>
        <v>Fasteners</v>
      </c>
      <c r="P2587" t="str" cm="1">
        <f t="array" ref="P2587">IFERROR(LOOKUP(2,1/SEARCH($Y$2:$Y$65,G2587),$Z$2:$Z$65),"Not Defined")</f>
        <v>FHS</v>
      </c>
      <c r="Q2587" t="str" cm="1">
        <f t="array" ref="Q2587">IFERROR(LOOKUP(2,1/SEARCH($S$2:$S$65,H2587),$T$2:$T$65),"-")</f>
        <v>COTS</v>
      </c>
    </row>
    <row r="2588" spans="1:17" hidden="1" x14ac:dyDescent="0.25">
      <c r="A2588" t="s">
        <v>7676</v>
      </c>
      <c r="B2588" t="s">
        <v>6503</v>
      </c>
      <c r="C2588">
        <v>1</v>
      </c>
      <c r="D2588" t="s">
        <v>7625</v>
      </c>
      <c r="F2588" t="s">
        <v>5524</v>
      </c>
      <c r="G2588" t="s">
        <v>7566</v>
      </c>
      <c r="H2588" t="s">
        <v>5525</v>
      </c>
      <c r="I2588" t="s">
        <v>228</v>
      </c>
      <c r="J2588" t="s">
        <v>7703</v>
      </c>
      <c r="K2588" t="s">
        <v>7684</v>
      </c>
      <c r="L2588" t="s">
        <v>7692</v>
      </c>
      <c r="N2588" t="str" cm="1">
        <f t="array" ref="N2588">IFERROR(LOOKUP(2,1/SEARCH($S$2:$S$65,G2588),$T$2:$T$65),"Misc")</f>
        <v>COTS</v>
      </c>
      <c r="O2588" t="str" cm="1">
        <f t="array" ref="O2588">IFERROR(LOOKUP(2,1/SEARCH($V$2:$V$65,G2588),$W$2:$W$65),"Misc")</f>
        <v>Fasteners</v>
      </c>
      <c r="P2588" t="str" cm="1">
        <f t="array" ref="P2588">IFERROR(LOOKUP(2,1/SEARCH($Y$2:$Y$65,G2588),$Z$2:$Z$65),"Not Defined")</f>
        <v>WASHER</v>
      </c>
      <c r="Q2588" t="str" cm="1">
        <f t="array" ref="Q2588">IFERROR(LOOKUP(2,1/SEARCH($S$2:$S$65,H2588),$T$2:$T$65),"-")</f>
        <v>COTS</v>
      </c>
    </row>
    <row r="2589" spans="1:17" hidden="1" x14ac:dyDescent="0.25">
      <c r="A2589" t="s">
        <v>7676</v>
      </c>
      <c r="B2589" t="s">
        <v>6504</v>
      </c>
      <c r="C2589">
        <v>8</v>
      </c>
      <c r="D2589" t="s">
        <v>7625</v>
      </c>
      <c r="F2589" t="s">
        <v>5518</v>
      </c>
      <c r="G2589" t="s">
        <v>7564</v>
      </c>
      <c r="H2589" t="s">
        <v>5519</v>
      </c>
      <c r="I2589" t="s">
        <v>228</v>
      </c>
      <c r="J2589" t="s">
        <v>7703</v>
      </c>
      <c r="K2589" t="s">
        <v>7684</v>
      </c>
      <c r="L2589" t="s">
        <v>7691</v>
      </c>
      <c r="N2589" t="str" cm="1">
        <f t="array" ref="N2589">IFERROR(LOOKUP(2,1/SEARCH($S$2:$S$65,G2589),$T$2:$T$65),"Misc")</f>
        <v>COTS</v>
      </c>
      <c r="O2589" t="str" cm="1">
        <f t="array" ref="O2589">IFERROR(LOOKUP(2,1/SEARCH($V$2:$V$65,G2589),$W$2:$W$65),"Misc")</f>
        <v>Fasteners</v>
      </c>
      <c r="P2589" t="str" cm="1">
        <f t="array" ref="P2589">IFERROR(LOOKUP(2,1/SEARCH($Y$2:$Y$65,G2589),$Z$2:$Z$65),"Not Defined")</f>
        <v>FHS</v>
      </c>
      <c r="Q2589" t="str" cm="1">
        <f t="array" ref="Q2589">IFERROR(LOOKUP(2,1/SEARCH($S$2:$S$65,H2589),$T$2:$T$65),"-")</f>
        <v>COTS</v>
      </c>
    </row>
    <row r="2590" spans="1:17" hidden="1" x14ac:dyDescent="0.25">
      <c r="A2590" t="s">
        <v>7676</v>
      </c>
      <c r="B2590" t="s">
        <v>6505</v>
      </c>
      <c r="C2590">
        <v>1</v>
      </c>
      <c r="D2590" t="s">
        <v>7625</v>
      </c>
      <c r="F2590" t="s">
        <v>5532</v>
      </c>
      <c r="G2590" t="s">
        <v>7568</v>
      </c>
      <c r="H2590" t="s">
        <v>5533</v>
      </c>
      <c r="I2590" t="s">
        <v>255</v>
      </c>
      <c r="J2590" t="s">
        <v>7703</v>
      </c>
      <c r="K2590" t="s">
        <v>7677</v>
      </c>
      <c r="L2590" t="s">
        <v>7677</v>
      </c>
      <c r="N2590" t="str" cm="1">
        <f t="array" ref="N2590">IFERROR(LOOKUP(2,1/SEARCH($S$2:$S$65,G2590),$T$2:$T$65),"Misc")</f>
        <v>COTS</v>
      </c>
      <c r="O2590" t="str" cm="1">
        <f t="array" ref="O2590">IFERROR(LOOKUP(2,1/SEARCH($V$2:$V$65,G2590),$W$2:$W$65),"Misc")</f>
        <v>SWITCH</v>
      </c>
      <c r="P2590" t="str" cm="1">
        <f t="array" ref="P2590">IFERROR(LOOKUP(2,1/SEARCH($Y$2:$Y$65,G2590),$Z$2:$Z$65),"Not Defined")</f>
        <v>SWITCH</v>
      </c>
      <c r="Q2590" t="str" cm="1">
        <f t="array" ref="Q2590">IFERROR(LOOKUP(2,1/SEARCH($S$2:$S$65,H2590),$T$2:$T$65),"-")</f>
        <v>COTS</v>
      </c>
    </row>
    <row r="2591" spans="1:17" hidden="1" x14ac:dyDescent="0.25">
      <c r="A2591" t="s">
        <v>7676</v>
      </c>
      <c r="B2591" t="s">
        <v>6506</v>
      </c>
      <c r="C2591">
        <v>2</v>
      </c>
      <c r="D2591" t="s">
        <v>7625</v>
      </c>
      <c r="F2591" t="s">
        <v>1154</v>
      </c>
      <c r="G2591" t="s">
        <v>7194</v>
      </c>
      <c r="H2591" t="s">
        <v>1155</v>
      </c>
      <c r="I2591" t="s">
        <v>228</v>
      </c>
      <c r="J2591" t="s">
        <v>7703</v>
      </c>
      <c r="K2591" t="s">
        <v>7684</v>
      </c>
      <c r="L2591" t="s">
        <v>7693</v>
      </c>
      <c r="N2591" t="str" cm="1">
        <f t="array" ref="N2591">IFERROR(LOOKUP(2,1/SEARCH($S$2:$S$65,G2591),$T$2:$T$65),"Misc")</f>
        <v>COTS</v>
      </c>
      <c r="O2591" t="str" cm="1">
        <f t="array" ref="O2591">IFERROR(LOOKUP(2,1/SEARCH($V$2:$V$65,G2591),$W$2:$W$65),"Misc")</f>
        <v>Fasteners</v>
      </c>
      <c r="P2591" t="str" cm="1">
        <f t="array" ref="P2591">IFERROR(LOOKUP(2,1/SEARCH($Y$2:$Y$65,G2591),$Z$2:$Z$65),"Not Defined")</f>
        <v>PHS</v>
      </c>
      <c r="Q2591" t="str" cm="1">
        <f t="array" ref="Q2591">IFERROR(LOOKUP(2,1/SEARCH($S$2:$S$65,H2591),$T$2:$T$65),"-")</f>
        <v>COTS</v>
      </c>
    </row>
    <row r="2592" spans="1:17" hidden="1" x14ac:dyDescent="0.25">
      <c r="A2592" t="s">
        <v>7676</v>
      </c>
      <c r="B2592" t="s">
        <v>6507</v>
      </c>
      <c r="C2592">
        <v>4</v>
      </c>
      <c r="D2592" t="s">
        <v>7625</v>
      </c>
      <c r="F2592" t="s">
        <v>5528</v>
      </c>
      <c r="G2592" t="s">
        <v>7567</v>
      </c>
      <c r="H2592" t="s">
        <v>5529</v>
      </c>
      <c r="I2592" t="s">
        <v>228</v>
      </c>
      <c r="J2592" t="s">
        <v>7703</v>
      </c>
      <c r="K2592" t="s">
        <v>7684</v>
      </c>
      <c r="L2592" t="s">
        <v>7685</v>
      </c>
      <c r="N2592" t="str" cm="1">
        <f t="array" ref="N2592">IFERROR(LOOKUP(2,1/SEARCH($S$2:$S$65,G2592),$T$2:$T$65),"Misc")</f>
        <v>COTS</v>
      </c>
      <c r="O2592" t="str" cm="1">
        <f t="array" ref="O2592">IFERROR(LOOKUP(2,1/SEARCH($V$2:$V$65,G2592),$W$2:$W$65),"Misc")</f>
        <v>Fasteners</v>
      </c>
      <c r="P2592" t="str" cm="1">
        <f t="array" ref="P2592">IFERROR(LOOKUP(2,1/SEARCH($Y$2:$Y$65,G2592),$Z$2:$Z$65),"Not Defined")</f>
        <v>NUT</v>
      </c>
      <c r="Q2592" t="str" cm="1">
        <f t="array" ref="Q2592">IFERROR(LOOKUP(2,1/SEARCH($S$2:$S$65,H2592),$T$2:$T$65),"-")</f>
        <v>COTS</v>
      </c>
    </row>
    <row r="2593" spans="1:17" hidden="1" x14ac:dyDescent="0.25">
      <c r="A2593" t="s">
        <v>7676</v>
      </c>
      <c r="B2593" t="s">
        <v>6508</v>
      </c>
      <c r="C2593">
        <v>2</v>
      </c>
      <c r="D2593" t="s">
        <v>7625</v>
      </c>
      <c r="F2593" t="s">
        <v>5749</v>
      </c>
      <c r="G2593" t="s">
        <v>7586</v>
      </c>
      <c r="H2593" t="s">
        <v>5750</v>
      </c>
      <c r="I2593" t="s">
        <v>228</v>
      </c>
      <c r="J2593" t="s">
        <v>7703</v>
      </c>
      <c r="K2593" t="s">
        <v>7684</v>
      </c>
      <c r="L2593" t="s">
        <v>7693</v>
      </c>
      <c r="N2593" t="str" cm="1">
        <f t="array" ref="N2593">IFERROR(LOOKUP(2,1/SEARCH($S$2:$S$65,G2593),$T$2:$T$65),"Misc")</f>
        <v>COTS</v>
      </c>
      <c r="O2593" t="str" cm="1">
        <f t="array" ref="O2593">IFERROR(LOOKUP(2,1/SEARCH($V$2:$V$65,G2593),$W$2:$W$65),"Misc")</f>
        <v>Fasteners</v>
      </c>
      <c r="P2593" t="str" cm="1">
        <f t="array" ref="P2593">IFERROR(LOOKUP(2,1/SEARCH($Y$2:$Y$65,G2593),$Z$2:$Z$65),"Not Defined")</f>
        <v>PHS</v>
      </c>
      <c r="Q2593" t="str" cm="1">
        <f t="array" ref="Q2593">IFERROR(LOOKUP(2,1/SEARCH($S$2:$S$65,H2593),$T$2:$T$65),"-")</f>
        <v>COTS</v>
      </c>
    </row>
    <row r="2594" spans="1:17" hidden="1" x14ac:dyDescent="0.25">
      <c r="A2594" t="s">
        <v>7676</v>
      </c>
      <c r="B2594" t="s">
        <v>6509</v>
      </c>
      <c r="C2594">
        <v>1</v>
      </c>
      <c r="D2594" t="s">
        <v>7625</v>
      </c>
      <c r="F2594" t="s">
        <v>5472</v>
      </c>
      <c r="G2594" t="s">
        <v>7560</v>
      </c>
      <c r="H2594" t="s">
        <v>5473</v>
      </c>
      <c r="I2594" t="s">
        <v>228</v>
      </c>
      <c r="J2594" t="s">
        <v>7703</v>
      </c>
      <c r="K2594" t="s">
        <v>7684</v>
      </c>
      <c r="L2594" t="s">
        <v>7721</v>
      </c>
      <c r="N2594" t="str" cm="1">
        <f t="array" ref="N2594">IFERROR(LOOKUP(2,1/SEARCH($S$2:$S$65,G2594),$T$2:$T$65),"Misc")</f>
        <v>COTS</v>
      </c>
      <c r="O2594" t="str" cm="1">
        <f t="array" ref="O2594">IFERROR(LOOKUP(2,1/SEARCH($V$2:$V$65,G2594),$W$2:$W$65),"Misc")</f>
        <v>Fasteners</v>
      </c>
      <c r="P2594" t="str" cm="1">
        <f t="array" ref="P2594">IFERROR(LOOKUP(2,1/SEARCH($Y$2:$Y$65,G2594),$Z$2:$Z$65),"Not Defined")</f>
        <v>SET SCREW</v>
      </c>
      <c r="Q2594" t="str" cm="1">
        <f t="array" ref="Q2594">IFERROR(LOOKUP(2,1/SEARCH($S$2:$S$65,H2594),$T$2:$T$65),"-")</f>
        <v>COTS</v>
      </c>
    </row>
    <row r="2595" spans="1:17" hidden="1" x14ac:dyDescent="0.25">
      <c r="A2595" t="s">
        <v>7676</v>
      </c>
      <c r="B2595" t="s">
        <v>6510</v>
      </c>
      <c r="C2595">
        <v>2</v>
      </c>
      <c r="D2595" t="s">
        <v>7625</v>
      </c>
      <c r="F2595" t="s">
        <v>4254</v>
      </c>
      <c r="G2595" t="s">
        <v>7439</v>
      </c>
      <c r="H2595" t="s">
        <v>4255</v>
      </c>
      <c r="I2595" t="s">
        <v>210</v>
      </c>
      <c r="J2595" t="s">
        <v>7703</v>
      </c>
      <c r="K2595" t="s">
        <v>7705</v>
      </c>
      <c r="L2595" t="s">
        <v>7704</v>
      </c>
      <c r="N2595" t="str" cm="1">
        <f t="array" ref="N2595">IFERROR(LOOKUP(2,1/SEARCH($S$2:$S$65,G2595),$T$2:$T$65),"Misc")</f>
        <v>COTS</v>
      </c>
      <c r="O2595" t="str" cm="1">
        <f t="array" ref="O2595">IFERROR(LOOKUP(2,1/SEARCH($V$2:$V$65,G2595),$W$2:$W$65),"Misc")</f>
        <v>Shaft Collars</v>
      </c>
      <c r="P2595" t="str" cm="1">
        <f t="array" ref="P2595">IFERROR(LOOKUP(2,1/SEARCH($Y$2:$Y$65,G2595),$Z$2:$Z$65),"Not Defined")</f>
        <v>COLLAR</v>
      </c>
      <c r="Q2595" t="str" cm="1">
        <f t="array" ref="Q2595">IFERROR(LOOKUP(2,1/SEARCH($S$2:$S$65,H2595),$T$2:$T$65),"-")</f>
        <v>COTS</v>
      </c>
    </row>
    <row r="2596" spans="1:17" hidden="1" x14ac:dyDescent="0.25">
      <c r="A2596" t="s">
        <v>7676</v>
      </c>
      <c r="B2596" t="s">
        <v>6511</v>
      </c>
      <c r="C2596">
        <v>3</v>
      </c>
      <c r="D2596" t="s">
        <v>7625</v>
      </c>
      <c r="F2596" t="s">
        <v>932</v>
      </c>
      <c r="G2596" t="s">
        <v>7133</v>
      </c>
      <c r="H2596" t="s">
        <v>933</v>
      </c>
      <c r="I2596" t="s">
        <v>210</v>
      </c>
      <c r="J2596" t="s">
        <v>7703</v>
      </c>
      <c r="K2596" t="s">
        <v>7684</v>
      </c>
      <c r="L2596" t="s">
        <v>7685</v>
      </c>
      <c r="N2596" t="str" cm="1">
        <f t="array" ref="N2596">IFERROR(LOOKUP(2,1/SEARCH($S$2:$S$65,G2596),$T$2:$T$65),"Misc")</f>
        <v>COTS</v>
      </c>
      <c r="O2596" t="str" cm="1">
        <f t="array" ref="O2596">IFERROR(LOOKUP(2,1/SEARCH($V$2:$V$65,G2596),$W$2:$W$65),"Misc")</f>
        <v>Fasteners</v>
      </c>
      <c r="P2596" t="str" cm="1">
        <f t="array" ref="P2596">IFERROR(LOOKUP(2,1/SEARCH($Y$2:$Y$65,G2596),$Z$2:$Z$65),"Not Defined")</f>
        <v>NUT</v>
      </c>
      <c r="Q2596" t="str" cm="1">
        <f t="array" ref="Q2596">IFERROR(LOOKUP(2,1/SEARCH($S$2:$S$65,H2596),$T$2:$T$65),"-")</f>
        <v>COTS</v>
      </c>
    </row>
    <row r="2597" spans="1:17" hidden="1" x14ac:dyDescent="0.25">
      <c r="A2597" t="s">
        <v>7676</v>
      </c>
      <c r="B2597" t="s">
        <v>6512</v>
      </c>
      <c r="C2597">
        <v>3</v>
      </c>
      <c r="D2597" t="s">
        <v>7625</v>
      </c>
      <c r="F2597" t="s">
        <v>430</v>
      </c>
      <c r="G2597" t="s">
        <v>7083</v>
      </c>
      <c r="H2597" t="s">
        <v>431</v>
      </c>
      <c r="I2597" t="s">
        <v>228</v>
      </c>
      <c r="J2597" t="s">
        <v>7703</v>
      </c>
      <c r="K2597" t="s">
        <v>7684</v>
      </c>
      <c r="L2597" t="s">
        <v>7721</v>
      </c>
      <c r="N2597" t="str" cm="1">
        <f t="array" ref="N2597">IFERROR(LOOKUP(2,1/SEARCH($S$2:$S$65,G2597),$T$2:$T$65),"Misc")</f>
        <v>COTS</v>
      </c>
      <c r="O2597" t="str" cm="1">
        <f t="array" ref="O2597">IFERROR(LOOKUP(2,1/SEARCH($V$2:$V$65,G2597),$W$2:$W$65),"Misc")</f>
        <v>Fasteners</v>
      </c>
      <c r="P2597" t="str" cm="1">
        <f t="array" ref="P2597">IFERROR(LOOKUP(2,1/SEARCH($Y$2:$Y$65,G2597),$Z$2:$Z$65),"Not Defined")</f>
        <v>SET SCREW</v>
      </c>
      <c r="Q2597" t="str" cm="1">
        <f t="array" ref="Q2597">IFERROR(LOOKUP(2,1/SEARCH($S$2:$S$65,H2597),$T$2:$T$65),"-")</f>
        <v>COTS</v>
      </c>
    </row>
    <row r="2598" spans="1:17" hidden="1" x14ac:dyDescent="0.25">
      <c r="A2598" t="s">
        <v>7676</v>
      </c>
      <c r="B2598" t="s">
        <v>6513</v>
      </c>
      <c r="C2598">
        <v>2</v>
      </c>
      <c r="D2598" t="s">
        <v>7625</v>
      </c>
      <c r="F2598" t="s">
        <v>5733</v>
      </c>
      <c r="G2598" t="s">
        <v>7584</v>
      </c>
      <c r="H2598" t="s">
        <v>5734</v>
      </c>
      <c r="I2598" t="s">
        <v>255</v>
      </c>
      <c r="J2598" t="s">
        <v>7703</v>
      </c>
      <c r="K2598" t="s">
        <v>7677</v>
      </c>
      <c r="L2598" t="s">
        <v>7677</v>
      </c>
      <c r="N2598" t="str" cm="1">
        <f t="array" ref="N2598">IFERROR(LOOKUP(2,1/SEARCH($S$2:$S$65,G2598),$T$2:$T$65),"Misc")</f>
        <v>COTS</v>
      </c>
      <c r="O2598" t="str" cm="1">
        <f t="array" ref="O2598">IFERROR(LOOKUP(2,1/SEARCH($V$2:$V$65,G2598),$W$2:$W$65),"Misc")</f>
        <v>SWITCH</v>
      </c>
      <c r="P2598" t="str" cm="1">
        <f t="array" ref="P2598">IFERROR(LOOKUP(2,1/SEARCH($Y$2:$Y$65,G2598),$Z$2:$Z$65),"Not Defined")</f>
        <v>SWITCH</v>
      </c>
      <c r="Q2598" t="str" cm="1">
        <f t="array" ref="Q2598">IFERROR(LOOKUP(2,1/SEARCH($S$2:$S$65,H2598),$T$2:$T$65),"-")</f>
        <v>COTS</v>
      </c>
    </row>
    <row r="2599" spans="1:17" hidden="1" x14ac:dyDescent="0.25">
      <c r="A2599" t="s">
        <v>7676</v>
      </c>
      <c r="B2599" t="s">
        <v>6514</v>
      </c>
      <c r="C2599">
        <v>2</v>
      </c>
      <c r="D2599" t="s">
        <v>7625</v>
      </c>
      <c r="F2599" t="s">
        <v>5814</v>
      </c>
      <c r="G2599" t="s">
        <v>7594</v>
      </c>
      <c r="H2599" t="s">
        <v>5815</v>
      </c>
      <c r="I2599" t="s">
        <v>228</v>
      </c>
      <c r="J2599" t="s">
        <v>7703</v>
      </c>
      <c r="K2599" t="s">
        <v>7684</v>
      </c>
      <c r="L2599" t="s">
        <v>7693</v>
      </c>
      <c r="N2599" t="str" cm="1">
        <f t="array" ref="N2599">IFERROR(LOOKUP(2,1/SEARCH($S$2:$S$65,G2599),$T$2:$T$65),"Misc")</f>
        <v>COTS</v>
      </c>
      <c r="O2599" t="str" cm="1">
        <f t="array" ref="O2599">IFERROR(LOOKUP(2,1/SEARCH($V$2:$V$65,G2599),$W$2:$W$65),"Misc")</f>
        <v>Fasteners</v>
      </c>
      <c r="P2599" t="str" cm="1">
        <f t="array" ref="P2599">IFERROR(LOOKUP(2,1/SEARCH($Y$2:$Y$65,G2599),$Z$2:$Z$65),"Not Defined")</f>
        <v>PHS</v>
      </c>
      <c r="Q2599" t="str" cm="1">
        <f t="array" ref="Q2599">IFERROR(LOOKUP(2,1/SEARCH($S$2:$S$65,H2599),$T$2:$T$65),"-")</f>
        <v>COTS</v>
      </c>
    </row>
    <row r="2600" spans="1:17" hidden="1" x14ac:dyDescent="0.25">
      <c r="A2600" t="s">
        <v>7676</v>
      </c>
      <c r="B2600" t="s">
        <v>6515</v>
      </c>
      <c r="C2600">
        <v>1</v>
      </c>
      <c r="D2600" t="s">
        <v>7625</v>
      </c>
      <c r="F2600" t="s">
        <v>445</v>
      </c>
      <c r="G2600" t="s">
        <v>7088</v>
      </c>
      <c r="H2600" t="s">
        <v>446</v>
      </c>
      <c r="I2600" t="s">
        <v>228</v>
      </c>
      <c r="J2600" t="s">
        <v>7703</v>
      </c>
      <c r="K2600" t="s">
        <v>7684</v>
      </c>
      <c r="L2600" t="s">
        <v>7693</v>
      </c>
      <c r="N2600" t="str" cm="1">
        <f t="array" ref="N2600">IFERROR(LOOKUP(2,1/SEARCH($S$2:$S$65,G2600),$T$2:$T$65),"Misc")</f>
        <v>COTS</v>
      </c>
      <c r="O2600" t="str" cm="1">
        <f t="array" ref="O2600">IFERROR(LOOKUP(2,1/SEARCH($V$2:$V$65,G2600),$W$2:$W$65),"Misc")</f>
        <v>Fasteners</v>
      </c>
      <c r="P2600" t="str" cm="1">
        <f t="array" ref="P2600">IFERROR(LOOKUP(2,1/SEARCH($Y$2:$Y$65,G2600),$Z$2:$Z$65),"Not Defined")</f>
        <v>PHS</v>
      </c>
      <c r="Q2600" t="str" cm="1">
        <f t="array" ref="Q2600">IFERROR(LOOKUP(2,1/SEARCH($S$2:$S$65,H2600),$T$2:$T$65),"-")</f>
        <v>COTS</v>
      </c>
    </row>
    <row r="2601" spans="1:17" hidden="1" x14ac:dyDescent="0.25">
      <c r="A2601" t="s">
        <v>7676</v>
      </c>
      <c r="B2601" t="s">
        <v>6516</v>
      </c>
      <c r="C2601">
        <v>1</v>
      </c>
      <c r="D2601" t="s">
        <v>7625</v>
      </c>
      <c r="F2601" t="s">
        <v>5446</v>
      </c>
      <c r="G2601" t="s">
        <v>7558</v>
      </c>
      <c r="H2601" t="s">
        <v>5447</v>
      </c>
      <c r="I2601" t="s">
        <v>210</v>
      </c>
      <c r="J2601" t="s">
        <v>7703</v>
      </c>
      <c r="K2601" t="s">
        <v>7684</v>
      </c>
      <c r="L2601" t="s">
        <v>7700</v>
      </c>
      <c r="N2601" t="str" cm="1">
        <f t="array" ref="N2601">IFERROR(LOOKUP(2,1/SEARCH($S$2:$S$65,G2601),$T$2:$T$65),"Misc")</f>
        <v>COTS</v>
      </c>
      <c r="O2601" t="str" cm="1">
        <f t="array" ref="O2601">IFERROR(LOOKUP(2,1/SEARCH($V$2:$V$65,G2601),$W$2:$W$65),"Misc")</f>
        <v>Fasteners</v>
      </c>
      <c r="P2601" t="str" cm="1">
        <f t="array" ref="P2601">IFERROR(LOOKUP(2,1/SEARCH($Y$2:$Y$65,G2601),$Z$2:$Z$65),"Not Defined")</f>
        <v>SHCS</v>
      </c>
      <c r="Q2601" t="str" cm="1">
        <f t="array" ref="Q2601">IFERROR(LOOKUP(2,1/SEARCH($S$2:$S$65,H2601),$T$2:$T$65),"-")</f>
        <v>COTS</v>
      </c>
    </row>
    <row r="2602" spans="1:17" hidden="1" x14ac:dyDescent="0.25">
      <c r="A2602" t="s">
        <v>7676</v>
      </c>
      <c r="B2602" s="19">
        <v>4.16</v>
      </c>
      <c r="C2602">
        <v>1</v>
      </c>
      <c r="D2602" t="s">
        <v>7628</v>
      </c>
      <c r="F2602" t="s">
        <v>6517</v>
      </c>
      <c r="G2602" t="s">
        <v>7628</v>
      </c>
      <c r="H2602" t="s">
        <v>6518</v>
      </c>
      <c r="J2602" t="s">
        <v>7742</v>
      </c>
      <c r="K2602" t="s">
        <v>7826</v>
      </c>
      <c r="L2602" t="s">
        <v>7826</v>
      </c>
      <c r="N2602" t="str" cm="1">
        <f t="array" ref="N2602">IFERROR(LOOKUP(2,1/SEARCH($S$2:$S$65,G2602),$T$2:$T$65),"Misc")</f>
        <v>OH ASSY</v>
      </c>
      <c r="O2602" t="str" cm="1">
        <f t="array" ref="O2602">IFERROR(LOOKUP(2,1/SEARCH($V$2:$V$65,G2602),$W$2:$W$65),"Misc")</f>
        <v>OH Part</v>
      </c>
      <c r="P2602" t="str" cm="1">
        <f t="array" ref="P2602">IFERROR(LOOKUP(2,1/SEARCH($Y$2:$Y$65,G2602),$Z$2:$Z$65),"Not Defined")</f>
        <v>OH Part</v>
      </c>
      <c r="Q2602" t="str" cm="1">
        <f t="array" ref="Q2602">IFERROR(LOOKUP(2,1/SEARCH($S$2:$S$65,H2602),$T$2:$T$65),"-")</f>
        <v>OH ASSY</v>
      </c>
    </row>
    <row r="2603" spans="1:17" hidden="1" x14ac:dyDescent="0.25">
      <c r="A2603" t="s">
        <v>7676</v>
      </c>
      <c r="B2603" t="s">
        <v>6519</v>
      </c>
      <c r="C2603">
        <v>1</v>
      </c>
      <c r="D2603" t="s">
        <v>7628</v>
      </c>
      <c r="F2603" t="s">
        <v>6520</v>
      </c>
      <c r="G2603" t="s">
        <v>6522</v>
      </c>
      <c r="H2603" t="s">
        <v>6521</v>
      </c>
      <c r="I2603" t="s">
        <v>293</v>
      </c>
      <c r="J2603" t="s">
        <v>7682</v>
      </c>
      <c r="K2603" t="s">
        <v>7826</v>
      </c>
      <c r="L2603" t="s">
        <v>7826</v>
      </c>
      <c r="N2603" t="str" cm="1">
        <f t="array" ref="N2603">IFERROR(LOOKUP(2,1/SEARCH($S$2:$S$65,G2603),$T$2:$T$65),"Misc")</f>
        <v>OH P/N</v>
      </c>
      <c r="O2603" t="str" cm="1">
        <f t="array" ref="O2603">IFERROR(LOOKUP(2,1/SEARCH($V$2:$V$65,G2603),$W$2:$W$65),"Misc")</f>
        <v>OH Part</v>
      </c>
      <c r="P2603" t="str" cm="1">
        <f t="array" ref="P2603">IFERROR(LOOKUP(2,1/SEARCH($Y$2:$Y$65,G2603),$Z$2:$Z$65),"Not Defined")</f>
        <v>OH Part</v>
      </c>
      <c r="Q2603" t="str" cm="1">
        <f t="array" ref="Q2603">IFERROR(LOOKUP(2,1/SEARCH($S$2:$S$65,H2603),$T$2:$T$65),"-")</f>
        <v>-</v>
      </c>
    </row>
    <row r="2604" spans="1:17" hidden="1" x14ac:dyDescent="0.25">
      <c r="A2604" t="s">
        <v>7676</v>
      </c>
      <c r="B2604" t="s">
        <v>6523</v>
      </c>
      <c r="C2604">
        <v>1</v>
      </c>
      <c r="D2604" t="s">
        <v>7628</v>
      </c>
      <c r="F2604" t="s">
        <v>6524</v>
      </c>
      <c r="G2604" t="s">
        <v>6526</v>
      </c>
      <c r="H2604" t="s">
        <v>6525</v>
      </c>
      <c r="I2604" t="s">
        <v>281</v>
      </c>
      <c r="J2604" t="s">
        <v>7682</v>
      </c>
      <c r="K2604" t="s">
        <v>7826</v>
      </c>
      <c r="L2604" t="s">
        <v>7826</v>
      </c>
      <c r="N2604" t="str" cm="1">
        <f t="array" ref="N2604">IFERROR(LOOKUP(2,1/SEARCH($S$2:$S$65,G2604),$T$2:$T$65),"Misc")</f>
        <v>OH P/N</v>
      </c>
      <c r="O2604" t="str" cm="1">
        <f t="array" ref="O2604">IFERROR(LOOKUP(2,1/SEARCH($V$2:$V$65,G2604),$W$2:$W$65),"Misc")</f>
        <v>OH Part</v>
      </c>
      <c r="P2604" t="str" cm="1">
        <f t="array" ref="P2604">IFERROR(LOOKUP(2,1/SEARCH($Y$2:$Y$65,G2604),$Z$2:$Z$65),"Not Defined")</f>
        <v>OH Part</v>
      </c>
      <c r="Q2604" t="str" cm="1">
        <f t="array" ref="Q2604">IFERROR(LOOKUP(2,1/SEARCH($S$2:$S$65,H2604),$T$2:$T$65),"-")</f>
        <v>-</v>
      </c>
    </row>
    <row r="2605" spans="1:17" hidden="1" x14ac:dyDescent="0.25">
      <c r="A2605" t="s">
        <v>7676</v>
      </c>
      <c r="B2605" t="s">
        <v>6527</v>
      </c>
      <c r="C2605">
        <v>1</v>
      </c>
      <c r="D2605" t="s">
        <v>7628</v>
      </c>
      <c r="F2605" t="s">
        <v>6528</v>
      </c>
      <c r="G2605" t="s">
        <v>6530</v>
      </c>
      <c r="H2605" t="s">
        <v>6529</v>
      </c>
      <c r="I2605" t="s">
        <v>255</v>
      </c>
      <c r="J2605" t="s">
        <v>7682</v>
      </c>
      <c r="K2605" t="s">
        <v>7826</v>
      </c>
      <c r="L2605" t="s">
        <v>7826</v>
      </c>
      <c r="N2605" t="str" cm="1">
        <f t="array" ref="N2605">IFERROR(LOOKUP(2,1/SEARCH($S$2:$S$65,G2605),$T$2:$T$65),"Misc")</f>
        <v>OH P/N</v>
      </c>
      <c r="O2605" t="str" cm="1">
        <f t="array" ref="O2605">IFERROR(LOOKUP(2,1/SEARCH($V$2:$V$65,G2605),$W$2:$W$65),"Misc")</f>
        <v>OH Part</v>
      </c>
      <c r="P2605" t="str" cm="1">
        <f t="array" ref="P2605">IFERROR(LOOKUP(2,1/SEARCH($Y$2:$Y$65,G2605),$Z$2:$Z$65),"Not Defined")</f>
        <v>OH Part</v>
      </c>
      <c r="Q2605" t="str" cm="1">
        <f t="array" ref="Q2605">IFERROR(LOOKUP(2,1/SEARCH($S$2:$S$65,H2605),$T$2:$T$65),"-")</f>
        <v>-</v>
      </c>
    </row>
    <row r="2606" spans="1:17" hidden="1" x14ac:dyDescent="0.25">
      <c r="A2606" t="s">
        <v>7676</v>
      </c>
      <c r="B2606" t="s">
        <v>6531</v>
      </c>
      <c r="C2606">
        <v>1</v>
      </c>
      <c r="D2606" t="s">
        <v>7628</v>
      </c>
      <c r="E2606" t="s">
        <v>4276</v>
      </c>
      <c r="F2606" t="s">
        <v>4275</v>
      </c>
      <c r="G2606" t="s">
        <v>7443</v>
      </c>
      <c r="H2606" t="s">
        <v>4276</v>
      </c>
      <c r="J2606" t="s">
        <v>7744</v>
      </c>
      <c r="K2606" t="s">
        <v>7826</v>
      </c>
      <c r="L2606" t="s">
        <v>7826</v>
      </c>
      <c r="N2606" t="str" cm="1">
        <f t="array" ref="N2606">IFERROR(LOOKUP(2,1/SEARCH($S$2:$S$65,G2606),$T$2:$T$65),"Misc")</f>
        <v>OH Common</v>
      </c>
      <c r="O2606" t="str" cm="1">
        <f t="array" ref="O2606">IFERROR(LOOKUP(2,1/SEARCH($V$2:$V$65,G2606),$W$2:$W$65),"Misc")</f>
        <v>OH Part</v>
      </c>
      <c r="P2606" t="str" cm="1">
        <f t="array" ref="P2606">IFERROR(LOOKUP(2,1/SEARCH($Y$2:$Y$65,G2606),$Z$2:$Z$65),"Not Defined")</f>
        <v>OH Part</v>
      </c>
      <c r="Q2606" t="str" cm="1">
        <f t="array" ref="Q2606">IFERROR(LOOKUP(2,1/SEARCH($S$2:$S$65,H2606),$T$2:$T$65),"-")</f>
        <v>OH ASSY</v>
      </c>
    </row>
    <row r="2607" spans="1:17" hidden="1" x14ac:dyDescent="0.25">
      <c r="A2607" t="s">
        <v>7676</v>
      </c>
      <c r="B2607" t="s">
        <v>6532</v>
      </c>
      <c r="C2607">
        <v>1</v>
      </c>
      <c r="D2607" t="s">
        <v>7628</v>
      </c>
      <c r="E2607" t="s">
        <v>4276</v>
      </c>
      <c r="F2607" t="s">
        <v>1522</v>
      </c>
      <c r="G2607" t="s">
        <v>7218</v>
      </c>
      <c r="H2607" t="s">
        <v>1523</v>
      </c>
      <c r="I2607" t="s">
        <v>255</v>
      </c>
      <c r="J2607" t="s">
        <v>7703</v>
      </c>
      <c r="K2607" t="s">
        <v>7677</v>
      </c>
      <c r="L2607" t="s">
        <v>7677</v>
      </c>
      <c r="N2607" t="str" cm="1">
        <f t="array" ref="N2607">IFERROR(LOOKUP(2,1/SEARCH($S$2:$S$65,G2607),$T$2:$T$65),"Misc")</f>
        <v>COTS</v>
      </c>
      <c r="O2607" t="str" cm="1">
        <f t="array" ref="O2607">IFERROR(LOOKUP(2,1/SEARCH($V$2:$V$65,G2607),$W$2:$W$65),"Misc")</f>
        <v>SWITCH</v>
      </c>
      <c r="P2607" t="str" cm="1">
        <f t="array" ref="P2607">IFERROR(LOOKUP(2,1/SEARCH($Y$2:$Y$65,G2607),$Z$2:$Z$65),"Not Defined")</f>
        <v>SWITCH</v>
      </c>
      <c r="Q2607" t="str" cm="1">
        <f t="array" ref="Q2607">IFERROR(LOOKUP(2,1/SEARCH($S$2:$S$65,H2607),$T$2:$T$65),"-")</f>
        <v>COTS</v>
      </c>
    </row>
    <row r="2608" spans="1:17" hidden="1" x14ac:dyDescent="0.25">
      <c r="A2608" t="s">
        <v>7676</v>
      </c>
      <c r="B2608" t="s">
        <v>6533</v>
      </c>
      <c r="C2608">
        <v>1</v>
      </c>
      <c r="D2608" t="s">
        <v>7628</v>
      </c>
      <c r="E2608" t="s">
        <v>4276</v>
      </c>
      <c r="F2608" t="s">
        <v>1516</v>
      </c>
      <c r="G2608" t="s">
        <v>7216</v>
      </c>
      <c r="H2608" t="s">
        <v>1517</v>
      </c>
      <c r="I2608" t="s">
        <v>299</v>
      </c>
      <c r="J2608" t="s">
        <v>7744</v>
      </c>
      <c r="K2608" t="s">
        <v>7826</v>
      </c>
      <c r="L2608" t="s">
        <v>7826</v>
      </c>
      <c r="N2608" t="str" cm="1">
        <f t="array" ref="N2608">IFERROR(LOOKUP(2,1/SEARCH($S$2:$S$65,G2608),$T$2:$T$65),"Misc")</f>
        <v>OH Common</v>
      </c>
      <c r="O2608" t="str" cm="1">
        <f t="array" ref="O2608">IFERROR(LOOKUP(2,1/SEARCH($V$2:$V$65,G2608),$W$2:$W$65),"Misc")</f>
        <v>OH Part</v>
      </c>
      <c r="P2608" t="str" cm="1">
        <f t="array" ref="P2608">IFERROR(LOOKUP(2,1/SEARCH($Y$2:$Y$65,G2608),$Z$2:$Z$65),"Not Defined")</f>
        <v>OH Part</v>
      </c>
      <c r="Q2608" t="str" cm="1">
        <f t="array" ref="Q2608">IFERROR(LOOKUP(2,1/SEARCH($S$2:$S$65,H2608),$T$2:$T$65),"-")</f>
        <v>COTS</v>
      </c>
    </row>
    <row r="2609" spans="1:17" hidden="1" x14ac:dyDescent="0.25">
      <c r="A2609" t="s">
        <v>7676</v>
      </c>
      <c r="B2609" t="s">
        <v>6534</v>
      </c>
      <c r="C2609">
        <v>1</v>
      </c>
      <c r="D2609" t="s">
        <v>7628</v>
      </c>
      <c r="F2609" t="s">
        <v>4280</v>
      </c>
      <c r="G2609" t="s">
        <v>7444</v>
      </c>
      <c r="H2609" t="s">
        <v>4281</v>
      </c>
      <c r="I2609" t="s">
        <v>1265</v>
      </c>
      <c r="J2609" t="s">
        <v>7703</v>
      </c>
      <c r="K2609" t="s">
        <v>7719</v>
      </c>
      <c r="L2609" t="s">
        <v>7677</v>
      </c>
      <c r="N2609" t="str" cm="1">
        <f t="array" ref="N2609">IFERROR(LOOKUP(2,1/SEARCH($S$2:$S$65,G2609),$T$2:$T$65),"Misc")</f>
        <v>COTS</v>
      </c>
      <c r="O2609" t="str" cm="1">
        <f t="array" ref="O2609">IFERROR(LOOKUP(2,1/SEARCH($V$2:$V$65,G2609),$W$2:$W$65),"Misc")</f>
        <v>Misc</v>
      </c>
      <c r="P2609" t="str" cm="1">
        <f t="array" ref="P2609">IFERROR(LOOKUP(2,1/SEARCH($Y$2:$Y$65,G2609),$Z$2:$Z$65),"Not Defined")</f>
        <v>SWITCH</v>
      </c>
      <c r="Q2609" t="str" cm="1">
        <f t="array" ref="Q2609">IFERROR(LOOKUP(2,1/SEARCH($S$2:$S$65,H2609),$T$2:$T$65),"-")</f>
        <v>COTS</v>
      </c>
    </row>
    <row r="2610" spans="1:17" hidden="1" x14ac:dyDescent="0.25">
      <c r="A2610" t="s">
        <v>7676</v>
      </c>
      <c r="B2610" t="s">
        <v>6535</v>
      </c>
      <c r="C2610">
        <v>1</v>
      </c>
      <c r="D2610" t="s">
        <v>7628</v>
      </c>
      <c r="F2610" t="s">
        <v>2089</v>
      </c>
      <c r="G2610" t="s">
        <v>7250</v>
      </c>
      <c r="H2610" t="s">
        <v>2090</v>
      </c>
      <c r="I2610" t="s">
        <v>228</v>
      </c>
      <c r="J2610" t="s">
        <v>7703</v>
      </c>
      <c r="K2610" t="s">
        <v>7684</v>
      </c>
      <c r="L2610" t="s">
        <v>7677</v>
      </c>
      <c r="N2610" t="str" cm="1">
        <f t="array" ref="N2610">IFERROR(LOOKUP(2,1/SEARCH($S$2:$S$65,G2610),$T$2:$T$65),"Misc")</f>
        <v>COTS</v>
      </c>
      <c r="O2610" t="str" cm="1">
        <f t="array" ref="O2610">IFERROR(LOOKUP(2,1/SEARCH($V$2:$V$65,G2610),$W$2:$W$65),"Misc")</f>
        <v>Fasteners</v>
      </c>
      <c r="P2610" t="str" cm="1">
        <f t="array" ref="P2610">IFERROR(LOOKUP(2,1/SEARCH($Y$2:$Y$65,G2610),$Z$2:$Z$65),"Not Defined")</f>
        <v>SWITCH</v>
      </c>
      <c r="Q2610" t="str" cm="1">
        <f t="array" ref="Q2610">IFERROR(LOOKUP(2,1/SEARCH($S$2:$S$65,H2610),$T$2:$T$65),"-")</f>
        <v>COTS</v>
      </c>
    </row>
    <row r="2611" spans="1:17" hidden="1" x14ac:dyDescent="0.25">
      <c r="A2611" t="s">
        <v>7676</v>
      </c>
      <c r="B2611" t="s">
        <v>6536</v>
      </c>
      <c r="C2611">
        <v>1</v>
      </c>
      <c r="D2611" t="s">
        <v>7628</v>
      </c>
      <c r="F2611" t="s">
        <v>1528</v>
      </c>
      <c r="G2611" t="s">
        <v>7220</v>
      </c>
      <c r="H2611" t="s">
        <v>1529</v>
      </c>
      <c r="I2611" t="s">
        <v>228</v>
      </c>
      <c r="J2611" t="s">
        <v>7703</v>
      </c>
      <c r="K2611" t="s">
        <v>7677</v>
      </c>
      <c r="L2611" t="s">
        <v>7685</v>
      </c>
      <c r="N2611" t="str" cm="1">
        <f t="array" ref="N2611">IFERROR(LOOKUP(2,1/SEARCH($S$2:$S$65,G2611),$T$2:$T$65),"Misc")</f>
        <v>COTS</v>
      </c>
      <c r="O2611" t="str" cm="1">
        <f t="array" ref="O2611">IFERROR(LOOKUP(2,1/SEARCH($V$2:$V$65,G2611),$W$2:$W$65),"Misc")</f>
        <v>SWITCH</v>
      </c>
      <c r="P2611" t="str" cm="1">
        <f t="array" ref="P2611">IFERROR(LOOKUP(2,1/SEARCH($Y$2:$Y$65,G2611),$Z$2:$Z$65),"Not Defined")</f>
        <v>NUT</v>
      </c>
      <c r="Q2611" t="str" cm="1">
        <f t="array" ref="Q2611">IFERROR(LOOKUP(2,1/SEARCH($S$2:$S$65,H2611),$T$2:$T$65),"-")</f>
        <v>COTS</v>
      </c>
    </row>
    <row r="2612" spans="1:17" hidden="1" x14ac:dyDescent="0.25">
      <c r="A2612" t="s">
        <v>7676</v>
      </c>
      <c r="B2612" t="s">
        <v>6537</v>
      </c>
      <c r="C2612">
        <v>1</v>
      </c>
      <c r="D2612" t="s">
        <v>7628</v>
      </c>
      <c r="F2612" t="s">
        <v>6538</v>
      </c>
      <c r="G2612" t="s">
        <v>6540</v>
      </c>
      <c r="H2612" t="s">
        <v>6539</v>
      </c>
      <c r="I2612" t="s">
        <v>293</v>
      </c>
      <c r="J2612" t="s">
        <v>7682</v>
      </c>
      <c r="K2612" t="s">
        <v>7826</v>
      </c>
      <c r="L2612" t="s">
        <v>7826</v>
      </c>
      <c r="N2612" t="str" cm="1">
        <f t="array" ref="N2612">IFERROR(LOOKUP(2,1/SEARCH($S$2:$S$65,G2612),$T$2:$T$65),"Misc")</f>
        <v>OH P/N</v>
      </c>
      <c r="O2612" t="str" cm="1">
        <f t="array" ref="O2612">IFERROR(LOOKUP(2,1/SEARCH($V$2:$V$65,G2612),$W$2:$W$65),"Misc")</f>
        <v>OH Part</v>
      </c>
      <c r="P2612" t="str" cm="1">
        <f t="array" ref="P2612">IFERROR(LOOKUP(2,1/SEARCH($Y$2:$Y$65,G2612),$Z$2:$Z$65),"Not Defined")</f>
        <v>OH Part</v>
      </c>
      <c r="Q2612" t="str" cm="1">
        <f t="array" ref="Q2612">IFERROR(LOOKUP(2,1/SEARCH($S$2:$S$65,H2612),$T$2:$T$65),"-")</f>
        <v>-</v>
      </c>
    </row>
    <row r="2613" spans="1:17" hidden="1" x14ac:dyDescent="0.25">
      <c r="A2613" t="s">
        <v>7676</v>
      </c>
      <c r="B2613" t="s">
        <v>6541</v>
      </c>
      <c r="C2613">
        <v>2</v>
      </c>
      <c r="D2613" t="s">
        <v>7628</v>
      </c>
      <c r="F2613" t="s">
        <v>519</v>
      </c>
      <c r="G2613" t="s">
        <v>7097</v>
      </c>
      <c r="H2613" t="s">
        <v>520</v>
      </c>
      <c r="I2613" t="s">
        <v>228</v>
      </c>
      <c r="J2613" t="s">
        <v>7703</v>
      </c>
      <c r="K2613" t="s">
        <v>7684</v>
      </c>
      <c r="L2613" t="s">
        <v>7693</v>
      </c>
      <c r="N2613" t="str" cm="1">
        <f t="array" ref="N2613">IFERROR(LOOKUP(2,1/SEARCH($S$2:$S$65,G2613),$T$2:$T$65),"Misc")</f>
        <v>COTS</v>
      </c>
      <c r="O2613" t="str" cm="1">
        <f t="array" ref="O2613">IFERROR(LOOKUP(2,1/SEARCH($V$2:$V$65,G2613),$W$2:$W$65),"Misc")</f>
        <v>Fasteners</v>
      </c>
      <c r="P2613" t="str" cm="1">
        <f t="array" ref="P2613">IFERROR(LOOKUP(2,1/SEARCH($Y$2:$Y$65,G2613),$Z$2:$Z$65),"Not Defined")</f>
        <v>PHS</v>
      </c>
      <c r="Q2613" t="str" cm="1">
        <f t="array" ref="Q2613">IFERROR(LOOKUP(2,1/SEARCH($S$2:$S$65,H2613),$T$2:$T$65),"-")</f>
        <v>COTS</v>
      </c>
    </row>
    <row r="2614" spans="1:17" hidden="1" x14ac:dyDescent="0.25">
      <c r="A2614" t="s">
        <v>7676</v>
      </c>
      <c r="B2614" s="19">
        <v>4.17</v>
      </c>
      <c r="C2614">
        <v>1</v>
      </c>
      <c r="D2614" t="s">
        <v>7629</v>
      </c>
      <c r="F2614" t="s">
        <v>6542</v>
      </c>
      <c r="G2614" t="s">
        <v>7629</v>
      </c>
      <c r="H2614" t="s">
        <v>6543</v>
      </c>
      <c r="J2614" t="s">
        <v>7742</v>
      </c>
      <c r="K2614" t="s">
        <v>7826</v>
      </c>
      <c r="L2614" t="s">
        <v>7826</v>
      </c>
      <c r="N2614" t="str" cm="1">
        <f t="array" ref="N2614">IFERROR(LOOKUP(2,1/SEARCH($S$2:$S$65,G2614),$T$2:$T$65),"Misc")</f>
        <v>OH ASSY</v>
      </c>
      <c r="O2614" t="str" cm="1">
        <f t="array" ref="O2614">IFERROR(LOOKUP(2,1/SEARCH($V$2:$V$65,G2614),$W$2:$W$65),"Misc")</f>
        <v>OH Part</v>
      </c>
      <c r="P2614" t="str" cm="1">
        <f t="array" ref="P2614">IFERROR(LOOKUP(2,1/SEARCH($Y$2:$Y$65,G2614),$Z$2:$Z$65),"Not Defined")</f>
        <v>OH Part</v>
      </c>
      <c r="Q2614" t="str" cm="1">
        <f t="array" ref="Q2614">IFERROR(LOOKUP(2,1/SEARCH($S$2:$S$65,H2614),$T$2:$T$65),"-")</f>
        <v>OH ASSY</v>
      </c>
    </row>
    <row r="2615" spans="1:17" hidden="1" x14ac:dyDescent="0.25">
      <c r="A2615" t="s">
        <v>7676</v>
      </c>
      <c r="B2615" t="s">
        <v>6544</v>
      </c>
      <c r="C2615">
        <v>1</v>
      </c>
      <c r="D2615" t="s">
        <v>7629</v>
      </c>
      <c r="F2615" t="s">
        <v>6545</v>
      </c>
      <c r="G2615" t="s">
        <v>6547</v>
      </c>
      <c r="H2615" t="s">
        <v>6546</v>
      </c>
      <c r="I2615" t="s">
        <v>293</v>
      </c>
      <c r="J2615" t="s">
        <v>7682</v>
      </c>
      <c r="K2615" t="s">
        <v>7826</v>
      </c>
      <c r="L2615" t="s">
        <v>7826</v>
      </c>
      <c r="N2615" t="str" cm="1">
        <f t="array" ref="N2615">IFERROR(LOOKUP(2,1/SEARCH($S$2:$S$65,G2615),$T$2:$T$65),"Misc")</f>
        <v>OH P/N</v>
      </c>
      <c r="O2615" t="str" cm="1">
        <f t="array" ref="O2615">IFERROR(LOOKUP(2,1/SEARCH($V$2:$V$65,G2615),$W$2:$W$65),"Misc")</f>
        <v>OH Part</v>
      </c>
      <c r="P2615" t="str" cm="1">
        <f t="array" ref="P2615">IFERROR(LOOKUP(2,1/SEARCH($Y$2:$Y$65,G2615),$Z$2:$Z$65),"Not Defined")</f>
        <v>OH Part</v>
      </c>
      <c r="Q2615" t="str" cm="1">
        <f t="array" ref="Q2615">IFERROR(LOOKUP(2,1/SEARCH($S$2:$S$65,H2615),$T$2:$T$65),"-")</f>
        <v>-</v>
      </c>
    </row>
    <row r="2616" spans="1:17" hidden="1" x14ac:dyDescent="0.25">
      <c r="A2616" t="s">
        <v>7676</v>
      </c>
      <c r="B2616" t="s">
        <v>6548</v>
      </c>
      <c r="C2616">
        <v>1</v>
      </c>
      <c r="D2616" t="s">
        <v>7629</v>
      </c>
      <c r="F2616" t="s">
        <v>6549</v>
      </c>
      <c r="G2616" t="s">
        <v>6551</v>
      </c>
      <c r="H2616" t="s">
        <v>6550</v>
      </c>
      <c r="I2616" t="s">
        <v>281</v>
      </c>
      <c r="J2616" t="s">
        <v>7682</v>
      </c>
      <c r="K2616" t="s">
        <v>7826</v>
      </c>
      <c r="L2616" t="s">
        <v>7826</v>
      </c>
      <c r="N2616" t="str" cm="1">
        <f t="array" ref="N2616">IFERROR(LOOKUP(2,1/SEARCH($S$2:$S$65,G2616),$T$2:$T$65),"Misc")</f>
        <v>OH P/N</v>
      </c>
      <c r="O2616" t="str" cm="1">
        <f t="array" ref="O2616">IFERROR(LOOKUP(2,1/SEARCH($V$2:$V$65,G2616),$W$2:$W$65),"Misc")</f>
        <v>OH Part</v>
      </c>
      <c r="P2616" t="str" cm="1">
        <f t="array" ref="P2616">IFERROR(LOOKUP(2,1/SEARCH($Y$2:$Y$65,G2616),$Z$2:$Z$65),"Not Defined")</f>
        <v>OH Part</v>
      </c>
      <c r="Q2616" t="str" cm="1">
        <f t="array" ref="Q2616">IFERROR(LOOKUP(2,1/SEARCH($S$2:$S$65,H2616),$T$2:$T$65),"-")</f>
        <v>-</v>
      </c>
    </row>
    <row r="2617" spans="1:17" hidden="1" x14ac:dyDescent="0.25">
      <c r="A2617" t="s">
        <v>7676</v>
      </c>
      <c r="B2617" t="s">
        <v>6552</v>
      </c>
      <c r="C2617">
        <v>1</v>
      </c>
      <c r="D2617" t="s">
        <v>7629</v>
      </c>
      <c r="F2617" t="s">
        <v>6553</v>
      </c>
      <c r="G2617" t="s">
        <v>6555</v>
      </c>
      <c r="H2617" t="s">
        <v>6554</v>
      </c>
      <c r="I2617" t="s">
        <v>2537</v>
      </c>
      <c r="J2617" t="s">
        <v>7682</v>
      </c>
      <c r="K2617" t="s">
        <v>7826</v>
      </c>
      <c r="L2617" t="s">
        <v>7826</v>
      </c>
      <c r="N2617" t="str" cm="1">
        <f t="array" ref="N2617">IFERROR(LOOKUP(2,1/SEARCH($S$2:$S$65,G2617),$T$2:$T$65),"Misc")</f>
        <v>OH P/N</v>
      </c>
      <c r="O2617" t="str" cm="1">
        <f t="array" ref="O2617">IFERROR(LOOKUP(2,1/SEARCH($V$2:$V$65,G2617),$W$2:$W$65),"Misc")</f>
        <v>OH Part</v>
      </c>
      <c r="P2617" t="str" cm="1">
        <f t="array" ref="P2617">IFERROR(LOOKUP(2,1/SEARCH($Y$2:$Y$65,G2617),$Z$2:$Z$65),"Not Defined")</f>
        <v>OH Part</v>
      </c>
      <c r="Q2617" t="str" cm="1">
        <f t="array" ref="Q2617">IFERROR(LOOKUP(2,1/SEARCH($S$2:$S$65,H2617),$T$2:$T$65),"-")</f>
        <v>-</v>
      </c>
    </row>
    <row r="2618" spans="1:17" hidden="1" x14ac:dyDescent="0.25">
      <c r="A2618" t="s">
        <v>7676</v>
      </c>
      <c r="B2618" t="s">
        <v>6556</v>
      </c>
      <c r="C2618">
        <v>1</v>
      </c>
      <c r="D2618" t="s">
        <v>7629</v>
      </c>
      <c r="F2618" t="s">
        <v>6557</v>
      </c>
      <c r="G2618" t="s">
        <v>6559</v>
      </c>
      <c r="H2618" t="s">
        <v>6558</v>
      </c>
      <c r="I2618" t="s">
        <v>13</v>
      </c>
      <c r="J2618" t="s">
        <v>7682</v>
      </c>
      <c r="K2618" t="s">
        <v>7826</v>
      </c>
      <c r="L2618" t="s">
        <v>7826</v>
      </c>
      <c r="N2618" t="str" cm="1">
        <f t="array" ref="N2618">IFERROR(LOOKUP(2,1/SEARCH($S$2:$S$65,G2618),$T$2:$T$65),"Misc")</f>
        <v>OH P/N</v>
      </c>
      <c r="O2618" t="str" cm="1">
        <f t="array" ref="O2618">IFERROR(LOOKUP(2,1/SEARCH($V$2:$V$65,G2618),$W$2:$W$65),"Misc")</f>
        <v>OH Part</v>
      </c>
      <c r="P2618" t="str" cm="1">
        <f t="array" ref="P2618">IFERROR(LOOKUP(2,1/SEARCH($Y$2:$Y$65,G2618),$Z$2:$Z$65),"Not Defined")</f>
        <v>OH Part</v>
      </c>
      <c r="Q2618" t="str" cm="1">
        <f t="array" ref="Q2618">IFERROR(LOOKUP(2,1/SEARCH($S$2:$S$65,H2618),$T$2:$T$65),"-")</f>
        <v>COTS</v>
      </c>
    </row>
    <row r="2619" spans="1:17" hidden="1" x14ac:dyDescent="0.25">
      <c r="A2619" t="s">
        <v>7676</v>
      </c>
      <c r="B2619" t="s">
        <v>6560</v>
      </c>
      <c r="C2619">
        <v>4</v>
      </c>
      <c r="D2619" t="s">
        <v>7629</v>
      </c>
      <c r="F2619" t="s">
        <v>1774</v>
      </c>
      <c r="G2619" t="s">
        <v>7447</v>
      </c>
      <c r="H2619" t="s">
        <v>4305</v>
      </c>
      <c r="I2619" t="s">
        <v>210</v>
      </c>
      <c r="J2619" t="s">
        <v>7703</v>
      </c>
      <c r="K2619" t="s">
        <v>7719</v>
      </c>
      <c r="L2619" t="s">
        <v>7719</v>
      </c>
      <c r="N2619" t="str" cm="1">
        <f t="array" ref="N2619">IFERROR(LOOKUP(2,1/SEARCH($S$2:$S$65,G2619),$T$2:$T$65),"Misc")</f>
        <v>COTS</v>
      </c>
      <c r="O2619" t="str" cm="1">
        <f t="array" ref="O2619">IFERROR(LOOKUP(2,1/SEARCH($V$2:$V$65,G2619),$W$2:$W$65),"Misc")</f>
        <v>Misc</v>
      </c>
      <c r="P2619" t="str" cm="1">
        <f t="array" ref="P2619">IFERROR(LOOKUP(2,1/SEARCH($Y$2:$Y$65,G2619),$Z$2:$Z$65),"Not Defined")</f>
        <v>Retaining Rings</v>
      </c>
      <c r="Q2619" t="str" cm="1">
        <f t="array" ref="Q2619">IFERROR(LOOKUP(2,1/SEARCH($S$2:$S$65,H2619),$T$2:$T$65),"-")</f>
        <v>COTS</v>
      </c>
    </row>
    <row r="2620" spans="1:17" hidden="1" x14ac:dyDescent="0.25">
      <c r="A2620" t="s">
        <v>7676</v>
      </c>
      <c r="B2620" t="s">
        <v>6561</v>
      </c>
      <c r="C2620">
        <v>4</v>
      </c>
      <c r="D2620" t="s">
        <v>7629</v>
      </c>
      <c r="F2620" t="s">
        <v>1795</v>
      </c>
      <c r="G2620" t="s">
        <v>7240</v>
      </c>
      <c r="H2620" t="s">
        <v>1796</v>
      </c>
      <c r="I2620" t="s">
        <v>210</v>
      </c>
      <c r="J2620" t="s">
        <v>7703</v>
      </c>
      <c r="K2620" t="s">
        <v>7684</v>
      </c>
      <c r="L2620" t="s">
        <v>7677</v>
      </c>
      <c r="N2620" t="str" cm="1">
        <f t="array" ref="N2620">IFERROR(LOOKUP(2,1/SEARCH($S$2:$S$65,G2620),$T$2:$T$65),"Misc")</f>
        <v>COTS</v>
      </c>
      <c r="O2620" t="str" cm="1">
        <f t="array" ref="O2620">IFERROR(LOOKUP(2,1/SEARCH($V$2:$V$65,G2620),$W$2:$W$65),"Misc")</f>
        <v>Fasteners</v>
      </c>
      <c r="P2620" t="str" cm="1">
        <f t="array" ref="P2620">IFERROR(LOOKUP(2,1/SEARCH($Y$2:$Y$65,G2620),$Z$2:$Z$65),"Not Defined")</f>
        <v>SWITCH</v>
      </c>
      <c r="Q2620" t="str" cm="1">
        <f t="array" ref="Q2620">IFERROR(LOOKUP(2,1/SEARCH($S$2:$S$65,H2620),$T$2:$T$65),"-")</f>
        <v>COTS</v>
      </c>
    </row>
    <row r="2621" spans="1:17" hidden="1" x14ac:dyDescent="0.25">
      <c r="A2621" t="s">
        <v>7676</v>
      </c>
      <c r="B2621" t="s">
        <v>6562</v>
      </c>
      <c r="C2621">
        <v>4</v>
      </c>
      <c r="D2621" t="s">
        <v>7629</v>
      </c>
      <c r="F2621" t="s">
        <v>4301</v>
      </c>
      <c r="G2621" t="s">
        <v>7446</v>
      </c>
      <c r="H2621" t="s">
        <v>4302</v>
      </c>
      <c r="I2621" t="s">
        <v>255</v>
      </c>
      <c r="J2621" t="s">
        <v>7703</v>
      </c>
      <c r="K2621" t="s">
        <v>7677</v>
      </c>
      <c r="L2621" t="s">
        <v>7677</v>
      </c>
      <c r="N2621" t="str" cm="1">
        <f t="array" ref="N2621">IFERROR(LOOKUP(2,1/SEARCH($S$2:$S$65,G2621),$T$2:$T$65),"Misc")</f>
        <v>COTS</v>
      </c>
      <c r="O2621" t="str" cm="1">
        <f t="array" ref="O2621">IFERROR(LOOKUP(2,1/SEARCH($V$2:$V$65,G2621),$W$2:$W$65),"Misc")</f>
        <v>SWITCH</v>
      </c>
      <c r="P2621" t="str" cm="1">
        <f t="array" ref="P2621">IFERROR(LOOKUP(2,1/SEARCH($Y$2:$Y$65,G2621),$Z$2:$Z$65),"Not Defined")</f>
        <v>SWITCH</v>
      </c>
      <c r="Q2621" t="str" cm="1">
        <f t="array" ref="Q2621">IFERROR(LOOKUP(2,1/SEARCH($S$2:$S$65,H2621),$T$2:$T$65),"-")</f>
        <v>COTS</v>
      </c>
    </row>
    <row r="2622" spans="1:17" hidden="1" x14ac:dyDescent="0.25">
      <c r="A2622" t="s">
        <v>7676</v>
      </c>
      <c r="B2622" t="s">
        <v>6563</v>
      </c>
      <c r="C2622">
        <v>4</v>
      </c>
      <c r="D2622" t="s">
        <v>7629</v>
      </c>
      <c r="F2622" t="s">
        <v>1798</v>
      </c>
      <c r="G2622" t="s">
        <v>7241</v>
      </c>
      <c r="H2622" t="s">
        <v>1799</v>
      </c>
      <c r="I2622" t="s">
        <v>224</v>
      </c>
      <c r="J2622" t="s">
        <v>7703</v>
      </c>
      <c r="K2622" t="s">
        <v>7677</v>
      </c>
      <c r="L2622" t="s">
        <v>7685</v>
      </c>
      <c r="N2622" t="str" cm="1">
        <f t="array" ref="N2622">IFERROR(LOOKUP(2,1/SEARCH($S$2:$S$65,G2622),$T$2:$T$65),"Misc")</f>
        <v>COTS</v>
      </c>
      <c r="O2622" t="str" cm="1">
        <f t="array" ref="O2622">IFERROR(LOOKUP(2,1/SEARCH($V$2:$V$65,G2622),$W$2:$W$65),"Misc")</f>
        <v>SWITCH</v>
      </c>
      <c r="P2622" t="str" cm="1">
        <f t="array" ref="P2622">IFERROR(LOOKUP(2,1/SEARCH($Y$2:$Y$65,G2622),$Z$2:$Z$65),"Not Defined")</f>
        <v>NUT</v>
      </c>
      <c r="Q2622" t="str" cm="1">
        <f t="array" ref="Q2622">IFERROR(LOOKUP(2,1/SEARCH($S$2:$S$65,H2622),$T$2:$T$65),"-")</f>
        <v>COTS</v>
      </c>
    </row>
    <row r="2623" spans="1:17" hidden="1" x14ac:dyDescent="0.25">
      <c r="A2623" t="s">
        <v>7676</v>
      </c>
      <c r="B2623" t="s">
        <v>6564</v>
      </c>
      <c r="C2623">
        <v>2</v>
      </c>
      <c r="D2623" t="s">
        <v>7629</v>
      </c>
      <c r="F2623" t="s">
        <v>563</v>
      </c>
      <c r="G2623" t="s">
        <v>7100</v>
      </c>
      <c r="H2623" t="s">
        <v>564</v>
      </c>
      <c r="I2623" t="s">
        <v>228</v>
      </c>
      <c r="J2623" t="s">
        <v>7703</v>
      </c>
      <c r="K2623" t="s">
        <v>7684</v>
      </c>
      <c r="L2623" t="s">
        <v>7693</v>
      </c>
      <c r="N2623" t="str" cm="1">
        <f t="array" ref="N2623">IFERROR(LOOKUP(2,1/SEARCH($S$2:$S$65,G2623),$T$2:$T$65),"Misc")</f>
        <v>COTS</v>
      </c>
      <c r="O2623" t="str" cm="1">
        <f t="array" ref="O2623">IFERROR(LOOKUP(2,1/SEARCH($V$2:$V$65,G2623),$W$2:$W$65),"Misc")</f>
        <v>Fasteners</v>
      </c>
      <c r="P2623" t="str" cm="1">
        <f t="array" ref="P2623">IFERROR(LOOKUP(2,1/SEARCH($Y$2:$Y$65,G2623),$Z$2:$Z$65),"Not Defined")</f>
        <v>PHS</v>
      </c>
      <c r="Q2623" t="str" cm="1">
        <f t="array" ref="Q2623">IFERROR(LOOKUP(2,1/SEARCH($S$2:$S$65,H2623),$T$2:$T$65),"-")</f>
        <v>COTS</v>
      </c>
    </row>
    <row r="2624" spans="1:17" hidden="1" x14ac:dyDescent="0.25">
      <c r="A2624" t="s">
        <v>7676</v>
      </c>
      <c r="B2624" t="s">
        <v>6565</v>
      </c>
      <c r="C2624">
        <v>2</v>
      </c>
      <c r="D2624" t="s">
        <v>7629</v>
      </c>
      <c r="F2624" t="s">
        <v>941</v>
      </c>
      <c r="G2624" t="s">
        <v>7136</v>
      </c>
      <c r="H2624" t="s">
        <v>942</v>
      </c>
      <c r="I2624" t="s">
        <v>210</v>
      </c>
      <c r="J2624" t="s">
        <v>7703</v>
      </c>
      <c r="K2624" t="s">
        <v>7684</v>
      </c>
      <c r="L2624" t="s">
        <v>7685</v>
      </c>
      <c r="N2624" t="str" cm="1">
        <f t="array" ref="N2624">IFERROR(LOOKUP(2,1/SEARCH($S$2:$S$65,G2624),$T$2:$T$65),"Misc")</f>
        <v>COTS</v>
      </c>
      <c r="O2624" t="str" cm="1">
        <f t="array" ref="O2624">IFERROR(LOOKUP(2,1/SEARCH($V$2:$V$65,G2624),$W$2:$W$65),"Misc")</f>
        <v>Fasteners</v>
      </c>
      <c r="P2624" t="str" cm="1">
        <f t="array" ref="P2624">IFERROR(LOOKUP(2,1/SEARCH($Y$2:$Y$65,G2624),$Z$2:$Z$65),"Not Defined")</f>
        <v>NUT</v>
      </c>
      <c r="Q2624" t="str" cm="1">
        <f t="array" ref="Q2624">IFERROR(LOOKUP(2,1/SEARCH($S$2:$S$65,H2624),$T$2:$T$65),"-")</f>
        <v>COTS</v>
      </c>
    </row>
    <row r="2625" spans="1:17" hidden="1" x14ac:dyDescent="0.25">
      <c r="A2625" t="s">
        <v>7676</v>
      </c>
      <c r="B2625" t="s">
        <v>6566</v>
      </c>
      <c r="C2625">
        <v>1</v>
      </c>
      <c r="D2625" t="s">
        <v>7629</v>
      </c>
      <c r="F2625" t="s">
        <v>2089</v>
      </c>
      <c r="G2625" t="s">
        <v>7250</v>
      </c>
      <c r="H2625" t="s">
        <v>2090</v>
      </c>
      <c r="I2625" t="s">
        <v>228</v>
      </c>
      <c r="J2625" t="s">
        <v>7703</v>
      </c>
      <c r="K2625" t="s">
        <v>7684</v>
      </c>
      <c r="L2625" t="s">
        <v>7677</v>
      </c>
      <c r="N2625" t="str" cm="1">
        <f t="array" ref="N2625">IFERROR(LOOKUP(2,1/SEARCH($S$2:$S$65,G2625),$T$2:$T$65),"Misc")</f>
        <v>COTS</v>
      </c>
      <c r="O2625" t="str" cm="1">
        <f t="array" ref="O2625">IFERROR(LOOKUP(2,1/SEARCH($V$2:$V$65,G2625),$W$2:$W$65),"Misc")</f>
        <v>Fasteners</v>
      </c>
      <c r="P2625" t="str" cm="1">
        <f t="array" ref="P2625">IFERROR(LOOKUP(2,1/SEARCH($Y$2:$Y$65,G2625),$Z$2:$Z$65),"Not Defined")</f>
        <v>SWITCH</v>
      </c>
      <c r="Q2625" t="str" cm="1">
        <f t="array" ref="Q2625">IFERROR(LOOKUP(2,1/SEARCH($S$2:$S$65,H2625),$T$2:$T$65),"-")</f>
        <v>COTS</v>
      </c>
    </row>
    <row r="2626" spans="1:17" hidden="1" x14ac:dyDescent="0.25">
      <c r="A2626" t="s">
        <v>7676</v>
      </c>
      <c r="B2626" t="s">
        <v>6567</v>
      </c>
      <c r="C2626">
        <v>1</v>
      </c>
      <c r="D2626" t="s">
        <v>7629</v>
      </c>
      <c r="F2626" t="s">
        <v>4280</v>
      </c>
      <c r="G2626" t="s">
        <v>7444</v>
      </c>
      <c r="H2626" t="s">
        <v>4281</v>
      </c>
      <c r="I2626" t="s">
        <v>1265</v>
      </c>
      <c r="J2626" t="s">
        <v>7703</v>
      </c>
      <c r="K2626" t="s">
        <v>7719</v>
      </c>
      <c r="L2626" t="s">
        <v>7677</v>
      </c>
      <c r="N2626" t="str" cm="1">
        <f t="array" ref="N2626">IFERROR(LOOKUP(2,1/SEARCH($S$2:$S$65,G2626),$T$2:$T$65),"Misc")</f>
        <v>COTS</v>
      </c>
      <c r="O2626" t="str" cm="1">
        <f t="array" ref="O2626">IFERROR(LOOKUP(2,1/SEARCH($V$2:$V$65,G2626),$W$2:$W$65),"Misc")</f>
        <v>Misc</v>
      </c>
      <c r="P2626" t="str" cm="1">
        <f t="array" ref="P2626">IFERROR(LOOKUP(2,1/SEARCH($Y$2:$Y$65,G2626),$Z$2:$Z$65),"Not Defined")</f>
        <v>SWITCH</v>
      </c>
      <c r="Q2626" t="str" cm="1">
        <f t="array" ref="Q2626">IFERROR(LOOKUP(2,1/SEARCH($S$2:$S$65,H2626),$T$2:$T$65),"-")</f>
        <v>COTS</v>
      </c>
    </row>
    <row r="2627" spans="1:17" hidden="1" x14ac:dyDescent="0.25">
      <c r="A2627" t="s">
        <v>7676</v>
      </c>
      <c r="B2627" t="s">
        <v>6568</v>
      </c>
      <c r="C2627">
        <v>1</v>
      </c>
      <c r="D2627" t="s">
        <v>7629</v>
      </c>
      <c r="F2627" t="s">
        <v>1528</v>
      </c>
      <c r="G2627" t="s">
        <v>7220</v>
      </c>
      <c r="H2627" t="s">
        <v>1529</v>
      </c>
      <c r="I2627" t="s">
        <v>228</v>
      </c>
      <c r="J2627" t="s">
        <v>7703</v>
      </c>
      <c r="K2627" t="s">
        <v>7677</v>
      </c>
      <c r="L2627" t="s">
        <v>7685</v>
      </c>
      <c r="N2627" t="str" cm="1">
        <f t="array" ref="N2627">IFERROR(LOOKUP(2,1/SEARCH($S$2:$S$65,G2627),$T$2:$T$65),"Misc")</f>
        <v>COTS</v>
      </c>
      <c r="O2627" t="str" cm="1">
        <f t="array" ref="O2627">IFERROR(LOOKUP(2,1/SEARCH($V$2:$V$65,G2627),$W$2:$W$65),"Misc")</f>
        <v>SWITCH</v>
      </c>
      <c r="P2627" t="str" cm="1">
        <f t="array" ref="P2627">IFERROR(LOOKUP(2,1/SEARCH($Y$2:$Y$65,G2627),$Z$2:$Z$65),"Not Defined")</f>
        <v>NUT</v>
      </c>
      <c r="Q2627" t="str" cm="1">
        <f t="array" ref="Q2627">IFERROR(LOOKUP(2,1/SEARCH($S$2:$S$65,H2627),$T$2:$T$65),"-")</f>
        <v>COTS</v>
      </c>
    </row>
    <row r="2628" spans="1:17" hidden="1" x14ac:dyDescent="0.25">
      <c r="A2628" t="s">
        <v>7676</v>
      </c>
      <c r="B2628" t="s">
        <v>6569</v>
      </c>
      <c r="C2628">
        <v>1</v>
      </c>
      <c r="D2628" t="s">
        <v>7629</v>
      </c>
      <c r="E2628" t="s">
        <v>4276</v>
      </c>
      <c r="F2628" t="s">
        <v>4275</v>
      </c>
      <c r="G2628" t="s">
        <v>7443</v>
      </c>
      <c r="H2628" t="s">
        <v>4276</v>
      </c>
      <c r="J2628" t="s">
        <v>7744</v>
      </c>
      <c r="K2628" t="s">
        <v>7826</v>
      </c>
      <c r="L2628" t="s">
        <v>7826</v>
      </c>
      <c r="N2628" t="str" cm="1">
        <f t="array" ref="N2628">IFERROR(LOOKUP(2,1/SEARCH($S$2:$S$65,G2628),$T$2:$T$65),"Misc")</f>
        <v>OH Common</v>
      </c>
      <c r="O2628" t="str" cm="1">
        <f t="array" ref="O2628">IFERROR(LOOKUP(2,1/SEARCH($V$2:$V$65,G2628),$W$2:$W$65),"Misc")</f>
        <v>OH Part</v>
      </c>
      <c r="P2628" t="str" cm="1">
        <f t="array" ref="P2628">IFERROR(LOOKUP(2,1/SEARCH($Y$2:$Y$65,G2628),$Z$2:$Z$65),"Not Defined")</f>
        <v>OH Part</v>
      </c>
      <c r="Q2628" t="str" cm="1">
        <f t="array" ref="Q2628">IFERROR(LOOKUP(2,1/SEARCH($S$2:$S$65,H2628),$T$2:$T$65),"-")</f>
        <v>OH ASSY</v>
      </c>
    </row>
    <row r="2629" spans="1:17" hidden="1" x14ac:dyDescent="0.25">
      <c r="A2629" t="s">
        <v>7676</v>
      </c>
      <c r="B2629" t="s">
        <v>6570</v>
      </c>
      <c r="C2629">
        <v>1</v>
      </c>
      <c r="D2629" t="s">
        <v>7629</v>
      </c>
      <c r="E2629" t="s">
        <v>4276</v>
      </c>
      <c r="F2629" t="s">
        <v>1522</v>
      </c>
      <c r="G2629" t="s">
        <v>7218</v>
      </c>
      <c r="H2629" t="s">
        <v>1523</v>
      </c>
      <c r="I2629" t="s">
        <v>255</v>
      </c>
      <c r="J2629" t="s">
        <v>7703</v>
      </c>
      <c r="K2629" t="s">
        <v>7677</v>
      </c>
      <c r="L2629" t="s">
        <v>7677</v>
      </c>
      <c r="N2629" t="str" cm="1">
        <f t="array" ref="N2629">IFERROR(LOOKUP(2,1/SEARCH($S$2:$S$65,G2629),$T$2:$T$65),"Misc")</f>
        <v>COTS</v>
      </c>
      <c r="O2629" t="str" cm="1">
        <f t="array" ref="O2629">IFERROR(LOOKUP(2,1/SEARCH($V$2:$V$65,G2629),$W$2:$W$65),"Misc")</f>
        <v>SWITCH</v>
      </c>
      <c r="P2629" t="str" cm="1">
        <f t="array" ref="P2629">IFERROR(LOOKUP(2,1/SEARCH($Y$2:$Y$65,G2629),$Z$2:$Z$65),"Not Defined")</f>
        <v>SWITCH</v>
      </c>
      <c r="Q2629" t="str" cm="1">
        <f t="array" ref="Q2629">IFERROR(LOOKUP(2,1/SEARCH($S$2:$S$65,H2629),$T$2:$T$65),"-")</f>
        <v>COTS</v>
      </c>
    </row>
    <row r="2630" spans="1:17" hidden="1" x14ac:dyDescent="0.25">
      <c r="A2630" t="s">
        <v>7676</v>
      </c>
      <c r="B2630" t="s">
        <v>6571</v>
      </c>
      <c r="C2630">
        <v>1</v>
      </c>
      <c r="D2630" t="s">
        <v>7629</v>
      </c>
      <c r="E2630" t="s">
        <v>4276</v>
      </c>
      <c r="F2630" t="s">
        <v>1516</v>
      </c>
      <c r="G2630" t="s">
        <v>7216</v>
      </c>
      <c r="H2630" t="s">
        <v>1517</v>
      </c>
      <c r="I2630" t="s">
        <v>299</v>
      </c>
      <c r="J2630" t="s">
        <v>7744</v>
      </c>
      <c r="K2630" t="s">
        <v>7826</v>
      </c>
      <c r="L2630" t="s">
        <v>7826</v>
      </c>
      <c r="N2630" t="str" cm="1">
        <f t="array" ref="N2630">IFERROR(LOOKUP(2,1/SEARCH($S$2:$S$65,G2630),$T$2:$T$65),"Misc")</f>
        <v>OH Common</v>
      </c>
      <c r="O2630" t="str" cm="1">
        <f t="array" ref="O2630">IFERROR(LOOKUP(2,1/SEARCH($V$2:$V$65,G2630),$W$2:$W$65),"Misc")</f>
        <v>OH Part</v>
      </c>
      <c r="P2630" t="str" cm="1">
        <f t="array" ref="P2630">IFERROR(LOOKUP(2,1/SEARCH($Y$2:$Y$65,G2630),$Z$2:$Z$65),"Not Defined")</f>
        <v>OH Part</v>
      </c>
      <c r="Q2630" t="str" cm="1">
        <f t="array" ref="Q2630">IFERROR(LOOKUP(2,1/SEARCH($S$2:$S$65,H2630),$T$2:$T$65),"-")</f>
        <v>COTS</v>
      </c>
    </row>
    <row r="2631" spans="1:17" hidden="1" x14ac:dyDescent="0.25">
      <c r="A2631" t="s">
        <v>7676</v>
      </c>
      <c r="B2631" s="19">
        <v>4.18</v>
      </c>
      <c r="C2631">
        <v>1</v>
      </c>
      <c r="D2631" t="s">
        <v>7630</v>
      </c>
      <c r="E2631" t="s">
        <v>6573</v>
      </c>
      <c r="F2631" t="s">
        <v>6572</v>
      </c>
      <c r="G2631" t="s">
        <v>7630</v>
      </c>
      <c r="H2631" t="s">
        <v>6573</v>
      </c>
      <c r="J2631" t="s">
        <v>7742</v>
      </c>
      <c r="K2631" t="s">
        <v>7826</v>
      </c>
      <c r="L2631" t="s">
        <v>7826</v>
      </c>
      <c r="N2631" t="str" cm="1">
        <f t="array" ref="N2631">IFERROR(LOOKUP(2,1/SEARCH($S$2:$S$65,G2631),$T$2:$T$65),"Misc")</f>
        <v>OH ASSY</v>
      </c>
      <c r="O2631" t="str" cm="1">
        <f t="array" ref="O2631">IFERROR(LOOKUP(2,1/SEARCH($V$2:$V$65,G2631),$W$2:$W$65),"Misc")</f>
        <v>OH Part</v>
      </c>
      <c r="P2631" t="str" cm="1">
        <f t="array" ref="P2631">IFERROR(LOOKUP(2,1/SEARCH($Y$2:$Y$65,G2631),$Z$2:$Z$65),"Not Defined")</f>
        <v>OH Part</v>
      </c>
      <c r="Q2631" t="str" cm="1">
        <f t="array" ref="Q2631">IFERROR(LOOKUP(2,1/SEARCH($S$2:$S$65,H2631),$T$2:$T$65),"-")</f>
        <v>OH ASSY</v>
      </c>
    </row>
    <row r="2632" spans="1:17" hidden="1" x14ac:dyDescent="0.25">
      <c r="A2632" t="s">
        <v>7676</v>
      </c>
      <c r="B2632" t="s">
        <v>6574</v>
      </c>
      <c r="C2632">
        <v>1</v>
      </c>
      <c r="D2632" t="s">
        <v>7630</v>
      </c>
      <c r="F2632" t="s">
        <v>6575</v>
      </c>
      <c r="G2632" t="s">
        <v>6577</v>
      </c>
      <c r="H2632" t="s">
        <v>6576</v>
      </c>
      <c r="I2632" t="s">
        <v>13</v>
      </c>
      <c r="J2632" t="s">
        <v>7682</v>
      </c>
      <c r="K2632" t="s">
        <v>7826</v>
      </c>
      <c r="L2632" t="s">
        <v>7826</v>
      </c>
      <c r="N2632" t="str" cm="1">
        <f t="array" ref="N2632">IFERROR(LOOKUP(2,1/SEARCH($S$2:$S$65,G2632),$T$2:$T$65),"Misc")</f>
        <v>OH P/N</v>
      </c>
      <c r="O2632" t="str" cm="1">
        <f t="array" ref="O2632">IFERROR(LOOKUP(2,1/SEARCH($V$2:$V$65,G2632),$W$2:$W$65),"Misc")</f>
        <v>OH Part</v>
      </c>
      <c r="P2632" t="str" cm="1">
        <f t="array" ref="P2632">IFERROR(LOOKUP(2,1/SEARCH($Y$2:$Y$65,G2632),$Z$2:$Z$65),"Not Defined")</f>
        <v>OH Part</v>
      </c>
      <c r="Q2632" t="str" cm="1">
        <f t="array" ref="Q2632">IFERROR(LOOKUP(2,1/SEARCH($S$2:$S$65,H2632),$T$2:$T$65),"-")</f>
        <v>COTS</v>
      </c>
    </row>
    <row r="2633" spans="1:17" hidden="1" x14ac:dyDescent="0.25">
      <c r="A2633" t="s">
        <v>7676</v>
      </c>
      <c r="B2633" t="s">
        <v>6578</v>
      </c>
      <c r="C2633">
        <v>1</v>
      </c>
      <c r="D2633" t="s">
        <v>7630</v>
      </c>
      <c r="F2633" t="s">
        <v>6579</v>
      </c>
      <c r="G2633" t="s">
        <v>6581</v>
      </c>
      <c r="H2633" t="s">
        <v>6580</v>
      </c>
      <c r="I2633" t="s">
        <v>2537</v>
      </c>
      <c r="J2633" t="s">
        <v>7682</v>
      </c>
      <c r="K2633" t="s">
        <v>7826</v>
      </c>
      <c r="L2633" t="s">
        <v>7826</v>
      </c>
      <c r="N2633" t="str" cm="1">
        <f t="array" ref="N2633">IFERROR(LOOKUP(2,1/SEARCH($S$2:$S$65,G2633),$T$2:$T$65),"Misc")</f>
        <v>OH P/N</v>
      </c>
      <c r="O2633" t="str" cm="1">
        <f t="array" ref="O2633">IFERROR(LOOKUP(2,1/SEARCH($V$2:$V$65,G2633),$W$2:$W$65),"Misc")</f>
        <v>OH Part</v>
      </c>
      <c r="P2633" t="str" cm="1">
        <f t="array" ref="P2633">IFERROR(LOOKUP(2,1/SEARCH($Y$2:$Y$65,G2633),$Z$2:$Z$65),"Not Defined")</f>
        <v>OH Part</v>
      </c>
      <c r="Q2633" t="str" cm="1">
        <f t="array" ref="Q2633">IFERROR(LOOKUP(2,1/SEARCH($S$2:$S$65,H2633),$T$2:$T$65),"-")</f>
        <v>-</v>
      </c>
    </row>
    <row r="2634" spans="1:17" hidden="1" x14ac:dyDescent="0.25">
      <c r="A2634" t="s">
        <v>7676</v>
      </c>
      <c r="B2634" t="s">
        <v>6582</v>
      </c>
      <c r="C2634">
        <v>1</v>
      </c>
      <c r="D2634" t="s">
        <v>7630</v>
      </c>
      <c r="E2634" t="s">
        <v>7844</v>
      </c>
      <c r="F2634" t="s">
        <v>6583</v>
      </c>
      <c r="G2634" t="s">
        <v>7631</v>
      </c>
      <c r="H2634" t="s">
        <v>6584</v>
      </c>
      <c r="J2634" t="s">
        <v>7744</v>
      </c>
      <c r="K2634" t="s">
        <v>7826</v>
      </c>
      <c r="L2634" t="s">
        <v>7826</v>
      </c>
      <c r="N2634" t="str" cm="1">
        <f t="array" ref="N2634">IFERROR(LOOKUP(2,1/SEARCH($S$2:$S$65,G2634),$T$2:$T$65),"Misc")</f>
        <v>OH Common</v>
      </c>
      <c r="O2634" t="str" cm="1">
        <f t="array" ref="O2634">IFERROR(LOOKUP(2,1/SEARCH($V$2:$V$65,G2634),$W$2:$W$65),"Misc")</f>
        <v>OH Part</v>
      </c>
      <c r="P2634" t="str" cm="1">
        <f t="array" ref="P2634">IFERROR(LOOKUP(2,1/SEARCH($Y$2:$Y$65,G2634),$Z$2:$Z$65),"Not Defined")</f>
        <v>OH Part</v>
      </c>
      <c r="Q2634" t="str" cm="1">
        <f t="array" ref="Q2634">IFERROR(LOOKUP(2,1/SEARCH($S$2:$S$65,H2634),$T$2:$T$65),"-")</f>
        <v>OH ASSY</v>
      </c>
    </row>
    <row r="2635" spans="1:17" hidden="1" x14ac:dyDescent="0.25">
      <c r="A2635" t="s">
        <v>7676</v>
      </c>
      <c r="B2635" t="s">
        <v>6585</v>
      </c>
      <c r="C2635">
        <v>1</v>
      </c>
      <c r="D2635" t="s">
        <v>7630</v>
      </c>
      <c r="E2635" t="s">
        <v>7844</v>
      </c>
      <c r="F2635" t="s">
        <v>4772</v>
      </c>
      <c r="G2635" t="s">
        <v>7493</v>
      </c>
      <c r="H2635" t="s">
        <v>4773</v>
      </c>
      <c r="I2635" t="s">
        <v>210</v>
      </c>
      <c r="J2635" t="s">
        <v>7703</v>
      </c>
      <c r="K2635" t="s">
        <v>7814</v>
      </c>
      <c r="L2635" t="s">
        <v>7702</v>
      </c>
      <c r="N2635" t="str" cm="1">
        <f t="array" ref="N2635">IFERROR(LOOKUP(2,1/SEARCH($S$2:$S$65,G2635),$T$2:$T$65),"Misc")</f>
        <v>COTS</v>
      </c>
      <c r="O2635" t="str" cm="1">
        <f t="array" ref="O2635">IFERROR(LOOKUP(2,1/SEARCH($V$2:$V$65,G2635),$W$2:$W$65),"Misc")</f>
        <v>Misc</v>
      </c>
      <c r="P2635" t="str" cm="1">
        <f t="array" ref="P2635">IFERROR(LOOKUP(2,1/SEARCH($Y$2:$Y$65,G2635),$Z$2:$Z$65),"Not Defined")</f>
        <v>MAGNET</v>
      </c>
      <c r="Q2635" t="str" cm="1">
        <f t="array" ref="Q2635">IFERROR(LOOKUP(2,1/SEARCH($S$2:$S$65,H2635),$T$2:$T$65),"-")</f>
        <v>COTS</v>
      </c>
    </row>
    <row r="2636" spans="1:17" hidden="1" x14ac:dyDescent="0.25">
      <c r="A2636" t="s">
        <v>7676</v>
      </c>
      <c r="B2636" t="s">
        <v>6586</v>
      </c>
      <c r="C2636">
        <v>1</v>
      </c>
      <c r="D2636" t="s">
        <v>7630</v>
      </c>
      <c r="E2636" t="s">
        <v>7844</v>
      </c>
      <c r="F2636" t="s">
        <v>4775</v>
      </c>
      <c r="G2636" t="s">
        <v>7494</v>
      </c>
      <c r="H2636" t="s">
        <v>4776</v>
      </c>
      <c r="I2636" t="s">
        <v>228</v>
      </c>
      <c r="J2636" t="s">
        <v>7703</v>
      </c>
      <c r="K2636" t="s">
        <v>7684</v>
      </c>
      <c r="L2636" t="s">
        <v>7739</v>
      </c>
      <c r="N2636" t="str" cm="1">
        <f t="array" ref="N2636">IFERROR(LOOKUP(2,1/SEARCH($S$2:$S$65,G2636),$T$2:$T$65),"Misc")</f>
        <v>COTS</v>
      </c>
      <c r="O2636" t="str" cm="1">
        <f t="array" ref="O2636">IFERROR(LOOKUP(2,1/SEARCH($V$2:$V$65,G2636),$W$2:$W$65),"Misc")</f>
        <v>Fasteners</v>
      </c>
      <c r="P2636" t="str" cm="1">
        <f t="array" ref="P2636">IFERROR(LOOKUP(2,1/SEARCH($Y$2:$Y$65,G2636),$Z$2:$Z$65),"Not Defined")</f>
        <v>BHCS</v>
      </c>
      <c r="Q2636" t="str" cm="1">
        <f t="array" ref="Q2636">IFERROR(LOOKUP(2,1/SEARCH($S$2:$S$65,H2636),$T$2:$T$65),"-")</f>
        <v>COTS</v>
      </c>
    </row>
    <row r="2637" spans="1:17" hidden="1" x14ac:dyDescent="0.25">
      <c r="A2637" t="s">
        <v>7676</v>
      </c>
      <c r="B2637" t="s">
        <v>6587</v>
      </c>
      <c r="C2637">
        <v>1</v>
      </c>
      <c r="D2637" t="s">
        <v>7630</v>
      </c>
      <c r="E2637" t="s">
        <v>7844</v>
      </c>
      <c r="F2637" t="s">
        <v>4778</v>
      </c>
      <c r="G2637" t="s">
        <v>7495</v>
      </c>
      <c r="H2637" t="s">
        <v>4779</v>
      </c>
      <c r="I2637" t="s">
        <v>210</v>
      </c>
      <c r="J2637" t="s">
        <v>7703</v>
      </c>
      <c r="K2637" t="s">
        <v>7684</v>
      </c>
      <c r="L2637" t="s">
        <v>7692</v>
      </c>
      <c r="N2637" t="str" cm="1">
        <f t="array" ref="N2637">IFERROR(LOOKUP(2,1/SEARCH($S$2:$S$65,G2637),$T$2:$T$65),"Misc")</f>
        <v>COTS</v>
      </c>
      <c r="O2637" t="str" cm="1">
        <f t="array" ref="O2637">IFERROR(LOOKUP(2,1/SEARCH($V$2:$V$65,G2637),$W$2:$W$65),"Misc")</f>
        <v>Fasteners</v>
      </c>
      <c r="P2637" t="str" cm="1">
        <f t="array" ref="P2637">IFERROR(LOOKUP(2,1/SEARCH($Y$2:$Y$65,G2637),$Z$2:$Z$65),"Not Defined")</f>
        <v>WASHER</v>
      </c>
      <c r="Q2637" t="str" cm="1">
        <f t="array" ref="Q2637">IFERROR(LOOKUP(2,1/SEARCH($S$2:$S$65,H2637),$T$2:$T$65),"-")</f>
        <v>COTS</v>
      </c>
    </row>
    <row r="2638" spans="1:17" hidden="1" x14ac:dyDescent="0.25">
      <c r="A2638" t="s">
        <v>7676</v>
      </c>
      <c r="B2638" t="s">
        <v>6588</v>
      </c>
      <c r="C2638">
        <v>1</v>
      </c>
      <c r="D2638" t="s">
        <v>7630</v>
      </c>
      <c r="E2638" t="s">
        <v>7844</v>
      </c>
      <c r="F2638" t="s">
        <v>4781</v>
      </c>
      <c r="G2638" t="s">
        <v>7496</v>
      </c>
      <c r="H2638" t="s">
        <v>4782</v>
      </c>
      <c r="I2638" t="s">
        <v>210</v>
      </c>
      <c r="J2638" t="s">
        <v>7744</v>
      </c>
      <c r="K2638" t="s">
        <v>7826</v>
      </c>
      <c r="L2638" t="s">
        <v>7826</v>
      </c>
      <c r="N2638" t="str" cm="1">
        <f t="array" ref="N2638">IFERROR(LOOKUP(2,1/SEARCH($S$2:$S$65,G2638),$T$2:$T$65),"Misc")</f>
        <v>OH Common</v>
      </c>
      <c r="O2638" t="str" cm="1">
        <f t="array" ref="O2638">IFERROR(LOOKUP(2,1/SEARCH($V$2:$V$65,G2638),$W$2:$W$65),"Misc")</f>
        <v>OH Part</v>
      </c>
      <c r="P2638" t="str" cm="1">
        <f t="array" ref="P2638">IFERROR(LOOKUP(2,1/SEARCH($Y$2:$Y$65,G2638),$Z$2:$Z$65),"Not Defined")</f>
        <v>OH Part</v>
      </c>
      <c r="Q2638" t="str" cm="1">
        <f t="array" ref="Q2638">IFERROR(LOOKUP(2,1/SEARCH($S$2:$S$65,H2638),$T$2:$T$65),"-")</f>
        <v>COTS</v>
      </c>
    </row>
    <row r="2639" spans="1:17" hidden="1" x14ac:dyDescent="0.25">
      <c r="A2639" t="s">
        <v>7676</v>
      </c>
      <c r="B2639" t="s">
        <v>6589</v>
      </c>
      <c r="C2639">
        <v>1</v>
      </c>
      <c r="D2639" t="s">
        <v>7630</v>
      </c>
      <c r="E2639" t="s">
        <v>7844</v>
      </c>
      <c r="F2639" t="s">
        <v>4784</v>
      </c>
      <c r="G2639" t="s">
        <v>7497</v>
      </c>
      <c r="H2639" t="s">
        <v>4785</v>
      </c>
      <c r="I2639" t="s">
        <v>210</v>
      </c>
      <c r="J2639" t="s">
        <v>7703</v>
      </c>
      <c r="K2639" t="s">
        <v>7684</v>
      </c>
      <c r="L2639" t="s">
        <v>7708</v>
      </c>
      <c r="N2639" t="str" cm="1">
        <f t="array" ref="N2639">IFERROR(LOOKUP(2,1/SEARCH($S$2:$S$65,G2639),$T$2:$T$65),"Misc")</f>
        <v>COTS</v>
      </c>
      <c r="O2639" t="str" cm="1">
        <f t="array" ref="O2639">IFERROR(LOOKUP(2,1/SEARCH($V$2:$V$65,G2639),$W$2:$W$65),"Misc")</f>
        <v>Fasteners</v>
      </c>
      <c r="P2639" t="str" cm="1">
        <f t="array" ref="P2639">IFERROR(LOOKUP(2,1/SEARCH($Y$2:$Y$65,G2639),$Z$2:$Z$65),"Not Defined")</f>
        <v>STANDOFF</v>
      </c>
      <c r="Q2639" t="str" cm="1">
        <f t="array" ref="Q2639">IFERROR(LOOKUP(2,1/SEARCH($S$2:$S$65,H2639),$T$2:$T$65),"-")</f>
        <v>COTS</v>
      </c>
    </row>
    <row r="2640" spans="1:17" hidden="1" x14ac:dyDescent="0.25">
      <c r="A2640" t="s">
        <v>7676</v>
      </c>
      <c r="B2640" t="s">
        <v>6590</v>
      </c>
      <c r="C2640">
        <v>1</v>
      </c>
      <c r="D2640" t="s">
        <v>7630</v>
      </c>
      <c r="E2640" t="s">
        <v>7844</v>
      </c>
      <c r="F2640" t="s">
        <v>5318</v>
      </c>
      <c r="G2640" t="s">
        <v>7550</v>
      </c>
      <c r="H2640" t="s">
        <v>5319</v>
      </c>
      <c r="J2640" t="s">
        <v>7703</v>
      </c>
      <c r="K2640" t="s">
        <v>7677</v>
      </c>
      <c r="L2640" t="s">
        <v>7677</v>
      </c>
      <c r="N2640" t="str" cm="1">
        <f t="array" ref="N2640">IFERROR(LOOKUP(2,1/SEARCH($S$2:$S$65,G2640),$T$2:$T$65),"Misc")</f>
        <v>COTS</v>
      </c>
      <c r="O2640" t="str" cm="1">
        <f t="array" ref="O2640">IFERROR(LOOKUP(2,1/SEARCH($V$2:$V$65,G2640),$W$2:$W$65),"Misc")</f>
        <v>SWITCH</v>
      </c>
      <c r="P2640" t="str" cm="1">
        <f t="array" ref="P2640">IFERROR(LOOKUP(2,1/SEARCH($Y$2:$Y$65,G2640),$Z$2:$Z$65),"Not Defined")</f>
        <v>SWITCH</v>
      </c>
      <c r="Q2640" t="str" cm="1">
        <f t="array" ref="Q2640">IFERROR(LOOKUP(2,1/SEARCH($S$2:$S$65,H2640),$T$2:$T$65),"-")</f>
        <v>COTS</v>
      </c>
    </row>
    <row r="2641" spans="1:17" hidden="1" x14ac:dyDescent="0.25">
      <c r="A2641" t="s">
        <v>7676</v>
      </c>
      <c r="B2641" t="s">
        <v>6591</v>
      </c>
      <c r="C2641">
        <v>2</v>
      </c>
      <c r="D2641" t="s">
        <v>7630</v>
      </c>
      <c r="F2641" t="s">
        <v>6592</v>
      </c>
      <c r="G2641" t="s">
        <v>7632</v>
      </c>
      <c r="H2641" t="s">
        <v>6593</v>
      </c>
      <c r="I2641" t="s">
        <v>255</v>
      </c>
      <c r="J2641" t="s">
        <v>7703</v>
      </c>
      <c r="K2641" t="s">
        <v>7677</v>
      </c>
      <c r="L2641" t="s">
        <v>7677</v>
      </c>
      <c r="N2641" t="str" cm="1">
        <f t="array" ref="N2641">IFERROR(LOOKUP(2,1/SEARCH($S$2:$S$65,G2641),$T$2:$T$65),"Misc")</f>
        <v>COTS</v>
      </c>
      <c r="O2641" t="str" cm="1">
        <f t="array" ref="O2641">IFERROR(LOOKUP(2,1/SEARCH($V$2:$V$65,G2641),$W$2:$W$65),"Misc")</f>
        <v>SWITCH</v>
      </c>
      <c r="P2641" t="str" cm="1">
        <f t="array" ref="P2641">IFERROR(LOOKUP(2,1/SEARCH($Y$2:$Y$65,G2641),$Z$2:$Z$65),"Not Defined")</f>
        <v>SWITCH</v>
      </c>
      <c r="Q2641" t="str" cm="1">
        <f t="array" ref="Q2641">IFERROR(LOOKUP(2,1/SEARCH($S$2:$S$65,H2641),$T$2:$T$65),"-")</f>
        <v>COTS</v>
      </c>
    </row>
    <row r="2642" spans="1:17" hidden="1" x14ac:dyDescent="0.25">
      <c r="A2642" t="s">
        <v>7676</v>
      </c>
      <c r="B2642" t="s">
        <v>6594</v>
      </c>
      <c r="C2642">
        <v>4</v>
      </c>
      <c r="D2642" t="s">
        <v>7630</v>
      </c>
      <c r="F2642" t="s">
        <v>2748</v>
      </c>
      <c r="G2642" t="s">
        <v>7309</v>
      </c>
      <c r="H2642" t="s">
        <v>2749</v>
      </c>
      <c r="I2642" t="s">
        <v>228</v>
      </c>
      <c r="J2642" t="s">
        <v>7703</v>
      </c>
      <c r="K2642" t="s">
        <v>7684</v>
      </c>
      <c r="L2642" t="s">
        <v>7834</v>
      </c>
      <c r="N2642" t="str" cm="1">
        <f t="array" ref="N2642">IFERROR(LOOKUP(2,1/SEARCH($S$2:$S$65,G2642),$T$2:$T$65),"Misc")</f>
        <v>Misc</v>
      </c>
      <c r="O2642" t="str" cm="1">
        <f t="array" ref="O2642">IFERROR(LOOKUP(2,1/SEARCH($V$2:$V$65,G2642),$W$2:$W$65),"Misc")</f>
        <v>Fasteners</v>
      </c>
      <c r="P2642" t="str" cm="1">
        <f t="array" ref="P2642">IFERROR(LOOKUP(2,1/SEARCH($Y$2:$Y$65,G2642),$Z$2:$Z$65),"Not Defined")</f>
        <v>Not Defined</v>
      </c>
      <c r="Q2642" t="str" cm="1">
        <f t="array" ref="Q2642">IFERROR(LOOKUP(2,1/SEARCH($S$2:$S$65,H2642),$T$2:$T$65),"-")</f>
        <v>-</v>
      </c>
    </row>
    <row r="2643" spans="1:17" hidden="1" x14ac:dyDescent="0.25">
      <c r="A2643" t="s">
        <v>7676</v>
      </c>
      <c r="B2643" t="s">
        <v>6595</v>
      </c>
      <c r="C2643">
        <v>1</v>
      </c>
      <c r="D2643" t="s">
        <v>7630</v>
      </c>
      <c r="F2643" t="s">
        <v>701</v>
      </c>
      <c r="G2643" t="s">
        <v>7119</v>
      </c>
      <c r="H2643" t="s">
        <v>702</v>
      </c>
      <c r="I2643" t="s">
        <v>255</v>
      </c>
      <c r="J2643" t="s">
        <v>7703</v>
      </c>
      <c r="K2643" t="s">
        <v>7684</v>
      </c>
      <c r="L2643" t="s">
        <v>7685</v>
      </c>
      <c r="N2643" t="str" cm="1">
        <f t="array" ref="N2643">IFERROR(LOOKUP(2,1/SEARCH($S$2:$S$65,G2643),$T$2:$T$65),"Misc")</f>
        <v>COTS</v>
      </c>
      <c r="O2643" t="str" cm="1">
        <f t="array" ref="O2643">IFERROR(LOOKUP(2,1/SEARCH($V$2:$V$65,G2643),$W$2:$W$65),"Misc")</f>
        <v>Fasteners</v>
      </c>
      <c r="P2643" t="str" cm="1">
        <f t="array" ref="P2643">IFERROR(LOOKUP(2,1/SEARCH($Y$2:$Y$65,G2643),$Z$2:$Z$65),"Not Defined")</f>
        <v>NUT</v>
      </c>
      <c r="Q2643" t="str" cm="1">
        <f t="array" ref="Q2643">IFERROR(LOOKUP(2,1/SEARCH($S$2:$S$65,H2643),$T$2:$T$65),"-")</f>
        <v>COTS</v>
      </c>
    </row>
    <row r="2644" spans="1:17" hidden="1" x14ac:dyDescent="0.25">
      <c r="A2644" t="s">
        <v>7676</v>
      </c>
      <c r="B2644" t="s">
        <v>6596</v>
      </c>
      <c r="C2644">
        <v>2</v>
      </c>
      <c r="D2644" t="s">
        <v>7630</v>
      </c>
      <c r="F2644" t="s">
        <v>6592</v>
      </c>
      <c r="G2644" t="s">
        <v>6597</v>
      </c>
      <c r="H2644" t="s">
        <v>6597</v>
      </c>
      <c r="I2644" t="s">
        <v>228</v>
      </c>
      <c r="J2644" t="s">
        <v>7703</v>
      </c>
      <c r="K2644" t="s">
        <v>7684</v>
      </c>
      <c r="L2644" t="s">
        <v>7685</v>
      </c>
      <c r="N2644" t="str" cm="1">
        <f t="array" ref="N2644">IFERROR(LOOKUP(2,1/SEARCH($S$2:$S$65,G2644),$T$2:$T$65),"Misc")</f>
        <v>COTS</v>
      </c>
      <c r="O2644" t="str" cm="1">
        <f t="array" ref="O2644">IFERROR(LOOKUP(2,1/SEARCH($V$2:$V$65,G2644),$W$2:$W$65),"Misc")</f>
        <v>Fasteners</v>
      </c>
      <c r="P2644" t="str" cm="1">
        <f t="array" ref="P2644">IFERROR(LOOKUP(2,1/SEARCH($Y$2:$Y$65,G2644),$Z$2:$Z$65),"Not Defined")</f>
        <v>NUT</v>
      </c>
      <c r="Q2644" t="str" cm="1">
        <f t="array" ref="Q2644">IFERROR(LOOKUP(2,1/SEARCH($S$2:$S$65,H2644),$T$2:$T$65),"-")</f>
        <v>COTS</v>
      </c>
    </row>
    <row r="2645" spans="1:17" hidden="1" x14ac:dyDescent="0.25">
      <c r="A2645" t="s">
        <v>7676</v>
      </c>
      <c r="B2645" s="19">
        <v>4.1900000000000004</v>
      </c>
      <c r="C2645">
        <v>1</v>
      </c>
      <c r="D2645" t="s">
        <v>7633</v>
      </c>
      <c r="F2645" t="s">
        <v>6598</v>
      </c>
      <c r="G2645" t="s">
        <v>7633</v>
      </c>
      <c r="H2645" t="s">
        <v>6599</v>
      </c>
      <c r="J2645" t="s">
        <v>7742</v>
      </c>
      <c r="K2645" t="s">
        <v>7826</v>
      </c>
      <c r="L2645" t="s">
        <v>7826</v>
      </c>
      <c r="N2645" t="str" cm="1">
        <f t="array" ref="N2645">IFERROR(LOOKUP(2,1/SEARCH($S$2:$S$65,G2645),$T$2:$T$65),"Misc")</f>
        <v>OH ASSY</v>
      </c>
      <c r="O2645" t="str" cm="1">
        <f t="array" ref="O2645">IFERROR(LOOKUP(2,1/SEARCH($V$2:$V$65,G2645),$W$2:$W$65),"Misc")</f>
        <v>OH Part</v>
      </c>
      <c r="P2645" t="str" cm="1">
        <f t="array" ref="P2645">IFERROR(LOOKUP(2,1/SEARCH($Y$2:$Y$65,G2645),$Z$2:$Z$65),"Not Defined")</f>
        <v>OH Part</v>
      </c>
      <c r="Q2645" t="str" cm="1">
        <f t="array" ref="Q2645">IFERROR(LOOKUP(2,1/SEARCH($S$2:$S$65,H2645),$T$2:$T$65),"-")</f>
        <v>OH ASSY</v>
      </c>
    </row>
    <row r="2646" spans="1:17" hidden="1" x14ac:dyDescent="0.25">
      <c r="A2646" t="s">
        <v>7676</v>
      </c>
      <c r="B2646" t="s">
        <v>6600</v>
      </c>
      <c r="C2646">
        <v>1</v>
      </c>
      <c r="D2646" t="s">
        <v>7633</v>
      </c>
      <c r="F2646" t="s">
        <v>6601</v>
      </c>
      <c r="G2646" t="s">
        <v>6603</v>
      </c>
      <c r="H2646" t="s">
        <v>6602</v>
      </c>
      <c r="I2646" t="s">
        <v>255</v>
      </c>
      <c r="J2646" t="s">
        <v>7682</v>
      </c>
      <c r="K2646" t="s">
        <v>7826</v>
      </c>
      <c r="L2646" t="s">
        <v>7826</v>
      </c>
      <c r="N2646" t="str" cm="1">
        <f t="array" ref="N2646">IFERROR(LOOKUP(2,1/SEARCH($S$2:$S$65,G2646),$T$2:$T$65),"Misc")</f>
        <v>OH P/N</v>
      </c>
      <c r="O2646" t="str" cm="1">
        <f t="array" ref="O2646">IFERROR(LOOKUP(2,1/SEARCH($V$2:$V$65,G2646),$W$2:$W$65),"Misc")</f>
        <v>OH Part</v>
      </c>
      <c r="P2646" t="str" cm="1">
        <f t="array" ref="P2646">IFERROR(LOOKUP(2,1/SEARCH($Y$2:$Y$65,G2646),$Z$2:$Z$65),"Not Defined")</f>
        <v>OH Part</v>
      </c>
      <c r="Q2646" t="str" cm="1">
        <f t="array" ref="Q2646">IFERROR(LOOKUP(2,1/SEARCH($S$2:$S$65,H2646),$T$2:$T$65),"-")</f>
        <v>-</v>
      </c>
    </row>
    <row r="2647" spans="1:17" hidden="1" x14ac:dyDescent="0.25">
      <c r="A2647" t="s">
        <v>7676</v>
      </c>
      <c r="B2647" t="s">
        <v>6604</v>
      </c>
      <c r="C2647">
        <v>1</v>
      </c>
      <c r="D2647" t="s">
        <v>7633</v>
      </c>
      <c r="F2647" t="s">
        <v>6605</v>
      </c>
      <c r="G2647" t="s">
        <v>6607</v>
      </c>
      <c r="H2647" t="s">
        <v>6606</v>
      </c>
      <c r="I2647" t="s">
        <v>293</v>
      </c>
      <c r="J2647" t="s">
        <v>7682</v>
      </c>
      <c r="K2647" t="s">
        <v>7826</v>
      </c>
      <c r="L2647" t="s">
        <v>7826</v>
      </c>
      <c r="N2647" t="str" cm="1">
        <f t="array" ref="N2647">IFERROR(LOOKUP(2,1/SEARCH($S$2:$S$65,G2647),$T$2:$T$65),"Misc")</f>
        <v>OH P/N</v>
      </c>
      <c r="O2647" t="str" cm="1">
        <f t="array" ref="O2647">IFERROR(LOOKUP(2,1/SEARCH($V$2:$V$65,G2647),$W$2:$W$65),"Misc")</f>
        <v>OH Part</v>
      </c>
      <c r="P2647" t="str" cm="1">
        <f t="array" ref="P2647">IFERROR(LOOKUP(2,1/SEARCH($Y$2:$Y$65,G2647),$Z$2:$Z$65),"Not Defined")</f>
        <v>OH Part</v>
      </c>
      <c r="Q2647" t="str" cm="1">
        <f t="array" ref="Q2647">IFERROR(LOOKUP(2,1/SEARCH($S$2:$S$65,H2647),$T$2:$T$65),"-")</f>
        <v>-</v>
      </c>
    </row>
    <row r="2648" spans="1:17" hidden="1" x14ac:dyDescent="0.25">
      <c r="A2648" t="s">
        <v>7676</v>
      </c>
      <c r="B2648" t="s">
        <v>6608</v>
      </c>
      <c r="C2648">
        <v>1</v>
      </c>
      <c r="D2648" t="s">
        <v>7633</v>
      </c>
      <c r="F2648" t="s">
        <v>6609</v>
      </c>
      <c r="G2648" t="s">
        <v>6611</v>
      </c>
      <c r="H2648" t="s">
        <v>6610</v>
      </c>
      <c r="I2648" t="s">
        <v>293</v>
      </c>
      <c r="J2648" t="s">
        <v>7682</v>
      </c>
      <c r="K2648" t="s">
        <v>7826</v>
      </c>
      <c r="L2648" t="s">
        <v>7826</v>
      </c>
      <c r="N2648" t="str" cm="1">
        <f t="array" ref="N2648">IFERROR(LOOKUP(2,1/SEARCH($S$2:$S$65,G2648),$T$2:$T$65),"Misc")</f>
        <v>OH P/N</v>
      </c>
      <c r="O2648" t="str" cm="1">
        <f t="array" ref="O2648">IFERROR(LOOKUP(2,1/SEARCH($V$2:$V$65,G2648),$W$2:$W$65),"Misc")</f>
        <v>OH Part</v>
      </c>
      <c r="P2648" t="str" cm="1">
        <f t="array" ref="P2648">IFERROR(LOOKUP(2,1/SEARCH($Y$2:$Y$65,G2648),$Z$2:$Z$65),"Not Defined")</f>
        <v>OH Part</v>
      </c>
      <c r="Q2648" t="str" cm="1">
        <f t="array" ref="Q2648">IFERROR(LOOKUP(2,1/SEARCH($S$2:$S$65,H2648),$T$2:$T$65),"-")</f>
        <v>-</v>
      </c>
    </row>
    <row r="2649" spans="1:17" hidden="1" x14ac:dyDescent="0.25">
      <c r="A2649" t="s">
        <v>7676</v>
      </c>
      <c r="B2649" t="s">
        <v>6612</v>
      </c>
      <c r="C2649">
        <v>1</v>
      </c>
      <c r="D2649" t="s">
        <v>7633</v>
      </c>
      <c r="F2649" t="s">
        <v>6613</v>
      </c>
      <c r="G2649" t="s">
        <v>6615</v>
      </c>
      <c r="H2649" t="s">
        <v>6614</v>
      </c>
      <c r="I2649" t="s">
        <v>281</v>
      </c>
      <c r="J2649" t="s">
        <v>7682</v>
      </c>
      <c r="K2649" t="s">
        <v>7826</v>
      </c>
      <c r="L2649" t="s">
        <v>7826</v>
      </c>
      <c r="N2649" t="str" cm="1">
        <f t="array" ref="N2649">IFERROR(LOOKUP(2,1/SEARCH($S$2:$S$65,G2649),$T$2:$T$65),"Misc")</f>
        <v>OH P/N</v>
      </c>
      <c r="O2649" t="str" cm="1">
        <f t="array" ref="O2649">IFERROR(LOOKUP(2,1/SEARCH($V$2:$V$65,G2649),$W$2:$W$65),"Misc")</f>
        <v>OH Part</v>
      </c>
      <c r="P2649" t="str" cm="1">
        <f t="array" ref="P2649">IFERROR(LOOKUP(2,1/SEARCH($Y$2:$Y$65,G2649),$Z$2:$Z$65),"Not Defined")</f>
        <v>OH Part</v>
      </c>
      <c r="Q2649" t="str" cm="1">
        <f t="array" ref="Q2649">IFERROR(LOOKUP(2,1/SEARCH($S$2:$S$65,H2649),$T$2:$T$65),"-")</f>
        <v>-</v>
      </c>
    </row>
    <row r="2650" spans="1:17" hidden="1" x14ac:dyDescent="0.25">
      <c r="A2650" t="s">
        <v>7676</v>
      </c>
      <c r="B2650" t="s">
        <v>6616</v>
      </c>
      <c r="C2650">
        <v>1</v>
      </c>
      <c r="D2650" t="s">
        <v>7633</v>
      </c>
      <c r="F2650" t="s">
        <v>6617</v>
      </c>
      <c r="G2650" t="s">
        <v>6619</v>
      </c>
      <c r="H2650" t="s">
        <v>6618</v>
      </c>
      <c r="I2650" t="s">
        <v>293</v>
      </c>
      <c r="J2650" t="s">
        <v>7682</v>
      </c>
      <c r="K2650" t="s">
        <v>7826</v>
      </c>
      <c r="L2650" t="s">
        <v>7826</v>
      </c>
      <c r="N2650" t="str" cm="1">
        <f t="array" ref="N2650">IFERROR(LOOKUP(2,1/SEARCH($S$2:$S$65,G2650),$T$2:$T$65),"Misc")</f>
        <v>OH P/N</v>
      </c>
      <c r="O2650" t="str" cm="1">
        <f t="array" ref="O2650">IFERROR(LOOKUP(2,1/SEARCH($V$2:$V$65,G2650),$W$2:$W$65),"Misc")</f>
        <v>OH Part</v>
      </c>
      <c r="P2650" t="str" cm="1">
        <f t="array" ref="P2650">IFERROR(LOOKUP(2,1/SEARCH($Y$2:$Y$65,G2650),$Z$2:$Z$65),"Not Defined")</f>
        <v>OH Part</v>
      </c>
      <c r="Q2650" t="str" cm="1">
        <f t="array" ref="Q2650">IFERROR(LOOKUP(2,1/SEARCH($S$2:$S$65,H2650),$T$2:$T$65),"-")</f>
        <v>-</v>
      </c>
    </row>
    <row r="2651" spans="1:17" hidden="1" x14ac:dyDescent="0.25">
      <c r="A2651" t="s">
        <v>7676</v>
      </c>
      <c r="B2651" t="s">
        <v>6620</v>
      </c>
      <c r="C2651">
        <v>1</v>
      </c>
      <c r="D2651" t="s">
        <v>7633</v>
      </c>
      <c r="F2651" t="s">
        <v>6621</v>
      </c>
      <c r="G2651" t="s">
        <v>6623</v>
      </c>
      <c r="H2651" t="s">
        <v>6622</v>
      </c>
      <c r="I2651" t="s">
        <v>281</v>
      </c>
      <c r="J2651" t="s">
        <v>7682</v>
      </c>
      <c r="K2651" t="s">
        <v>7826</v>
      </c>
      <c r="L2651" t="s">
        <v>7826</v>
      </c>
      <c r="N2651" t="str" cm="1">
        <f t="array" ref="N2651">IFERROR(LOOKUP(2,1/SEARCH($S$2:$S$65,G2651),$T$2:$T$65),"Misc")</f>
        <v>OH P/N</v>
      </c>
      <c r="O2651" t="str" cm="1">
        <f t="array" ref="O2651">IFERROR(LOOKUP(2,1/SEARCH($V$2:$V$65,G2651),$W$2:$W$65),"Misc")</f>
        <v>OH Part</v>
      </c>
      <c r="P2651" t="str" cm="1">
        <f t="array" ref="P2651">IFERROR(LOOKUP(2,1/SEARCH($Y$2:$Y$65,G2651),$Z$2:$Z$65),"Not Defined")</f>
        <v>OH Part</v>
      </c>
      <c r="Q2651" t="str" cm="1">
        <f t="array" ref="Q2651">IFERROR(LOOKUP(2,1/SEARCH($S$2:$S$65,H2651),$T$2:$T$65),"-")</f>
        <v>-</v>
      </c>
    </row>
    <row r="2652" spans="1:17" hidden="1" x14ac:dyDescent="0.25">
      <c r="A2652" t="s">
        <v>7676</v>
      </c>
      <c r="B2652" t="s">
        <v>6624</v>
      </c>
      <c r="C2652">
        <v>1</v>
      </c>
      <c r="D2652" t="s">
        <v>7633</v>
      </c>
      <c r="F2652" t="s">
        <v>6625</v>
      </c>
      <c r="G2652" t="s">
        <v>6627</v>
      </c>
      <c r="H2652" t="s">
        <v>6626</v>
      </c>
      <c r="I2652" t="s">
        <v>281</v>
      </c>
      <c r="J2652" t="s">
        <v>7682</v>
      </c>
      <c r="K2652" t="s">
        <v>7826</v>
      </c>
      <c r="L2652" t="s">
        <v>7826</v>
      </c>
      <c r="N2652" t="str" cm="1">
        <f t="array" ref="N2652">IFERROR(LOOKUP(2,1/SEARCH($S$2:$S$65,G2652),$T$2:$T$65),"Misc")</f>
        <v>OH P/N</v>
      </c>
      <c r="O2652" t="str" cm="1">
        <f t="array" ref="O2652">IFERROR(LOOKUP(2,1/SEARCH($V$2:$V$65,G2652),$W$2:$W$65),"Misc")</f>
        <v>OH Part</v>
      </c>
      <c r="P2652" t="str" cm="1">
        <f t="array" ref="P2652">IFERROR(LOOKUP(2,1/SEARCH($Y$2:$Y$65,G2652),$Z$2:$Z$65),"Not Defined")</f>
        <v>OH Part</v>
      </c>
      <c r="Q2652" t="str" cm="1">
        <f t="array" ref="Q2652">IFERROR(LOOKUP(2,1/SEARCH($S$2:$S$65,H2652),$T$2:$T$65),"-")</f>
        <v>-</v>
      </c>
    </row>
    <row r="2653" spans="1:17" hidden="1" x14ac:dyDescent="0.25">
      <c r="A2653" t="s">
        <v>7676</v>
      </c>
      <c r="B2653" t="s">
        <v>6628</v>
      </c>
      <c r="C2653">
        <v>1</v>
      </c>
      <c r="D2653" t="s">
        <v>7633</v>
      </c>
      <c r="E2653" t="s">
        <v>7634</v>
      </c>
      <c r="F2653" t="s">
        <v>6629</v>
      </c>
      <c r="G2653" t="s">
        <v>7634</v>
      </c>
      <c r="H2653" t="s">
        <v>6630</v>
      </c>
      <c r="J2653" t="s">
        <v>7703</v>
      </c>
      <c r="K2653" t="str" cm="1">
        <f t="array" ref="K2653">IFERROR(LOOKUP(2,1/SEARCH($V$2:$V$65,C2653),$W$2:$W$65),"Misc")</f>
        <v>Misc</v>
      </c>
      <c r="L2653" t="s">
        <v>7814</v>
      </c>
      <c r="N2653" t="str" cm="1">
        <f t="array" ref="N2653">IFERROR(LOOKUP(2,1/SEARCH($S$2:$S$65,G2653),$T$2:$T$65),"Misc")</f>
        <v>COTS</v>
      </c>
      <c r="O2653" t="str" cm="1">
        <f t="array" ref="O2653">IFERROR(LOOKUP(2,1/SEARCH($V$2:$V$65,G2653),$W$2:$W$65),"Misc")</f>
        <v>Misc</v>
      </c>
      <c r="P2653" t="str" cm="1">
        <f t="array" ref="P2653">IFERROR(LOOKUP(2,1/SEARCH($Y$2:$Y$65,G2653),$Z$2:$Z$65),"Not Defined")</f>
        <v>Misc</v>
      </c>
      <c r="Q2653" t="str" cm="1">
        <f t="array" ref="Q2653">IFERROR(LOOKUP(2,1/SEARCH($S$2:$S$65,H2653),$T$2:$T$65),"-")</f>
        <v>COTS</v>
      </c>
    </row>
    <row r="2654" spans="1:17" hidden="1" x14ac:dyDescent="0.25">
      <c r="A2654" t="s">
        <v>7676</v>
      </c>
      <c r="B2654" t="s">
        <v>6631</v>
      </c>
      <c r="C2654">
        <v>1</v>
      </c>
      <c r="D2654" t="s">
        <v>7633</v>
      </c>
      <c r="E2654" t="s">
        <v>7634</v>
      </c>
      <c r="F2654" t="s">
        <v>6632</v>
      </c>
      <c r="G2654" t="s">
        <v>7635</v>
      </c>
      <c r="H2654" t="s">
        <v>6633</v>
      </c>
      <c r="J2654" t="s">
        <v>7703</v>
      </c>
      <c r="K2654" t="str" cm="1">
        <f t="array" ref="K2654">IFERROR(LOOKUP(2,1/SEARCH($V$2:$V$65,C2654),$W$2:$W$65),"Misc")</f>
        <v>Misc</v>
      </c>
      <c r="L2654" t="s">
        <v>7814</v>
      </c>
      <c r="N2654" t="str" cm="1">
        <f t="array" ref="N2654">IFERROR(LOOKUP(2,1/SEARCH($S$2:$S$65,G2654),$T$2:$T$65),"Misc")</f>
        <v>COTS</v>
      </c>
      <c r="O2654" t="str" cm="1">
        <f t="array" ref="O2654">IFERROR(LOOKUP(2,1/SEARCH($V$2:$V$65,G2654),$W$2:$W$65),"Misc")</f>
        <v>Misc</v>
      </c>
      <c r="P2654" t="str" cm="1">
        <f t="array" ref="P2654">IFERROR(LOOKUP(2,1/SEARCH($Y$2:$Y$65,G2654),$Z$2:$Z$65),"Not Defined")</f>
        <v>Misc</v>
      </c>
      <c r="Q2654" t="str" cm="1">
        <f t="array" ref="Q2654">IFERROR(LOOKUP(2,1/SEARCH($S$2:$S$65,H2654),$T$2:$T$65),"-")</f>
        <v>COTS</v>
      </c>
    </row>
    <row r="2655" spans="1:17" hidden="1" x14ac:dyDescent="0.25">
      <c r="A2655" t="s">
        <v>7676</v>
      </c>
      <c r="B2655" t="s">
        <v>6634</v>
      </c>
      <c r="C2655">
        <v>1</v>
      </c>
      <c r="D2655" t="s">
        <v>7633</v>
      </c>
      <c r="E2655" t="s">
        <v>7634</v>
      </c>
      <c r="F2655" t="s">
        <v>6635</v>
      </c>
      <c r="G2655" t="s">
        <v>7636</v>
      </c>
      <c r="H2655" t="s">
        <v>6636</v>
      </c>
      <c r="I2655" t="s">
        <v>3745</v>
      </c>
      <c r="J2655" t="s">
        <v>7703</v>
      </c>
      <c r="K2655" t="s">
        <v>7719</v>
      </c>
      <c r="L2655" t="s">
        <v>7834</v>
      </c>
      <c r="N2655" t="str" cm="1">
        <f t="array" ref="N2655">IFERROR(LOOKUP(2,1/SEARCH($S$2:$S$65,G2655),$T$2:$T$65),"Misc")</f>
        <v>Misc</v>
      </c>
      <c r="O2655" t="str" cm="1">
        <f t="array" ref="O2655">IFERROR(LOOKUP(2,1/SEARCH($V$2:$V$65,G2655),$W$2:$W$65),"Misc")</f>
        <v>Misc</v>
      </c>
      <c r="P2655" t="str" cm="1">
        <f t="array" ref="P2655">IFERROR(LOOKUP(2,1/SEARCH($Y$2:$Y$65,G2655),$Z$2:$Z$65),"Not Defined")</f>
        <v>Not Defined</v>
      </c>
      <c r="Q2655" t="str" cm="1">
        <f t="array" ref="Q2655">IFERROR(LOOKUP(2,1/SEARCH($S$2:$S$65,H2655),$T$2:$T$65),"-")</f>
        <v>-</v>
      </c>
    </row>
    <row r="2656" spans="1:17" hidden="1" x14ac:dyDescent="0.25">
      <c r="A2656" t="s">
        <v>7676</v>
      </c>
      <c r="B2656" t="s">
        <v>6637</v>
      </c>
      <c r="C2656">
        <v>1</v>
      </c>
      <c r="D2656" t="s">
        <v>7633</v>
      </c>
      <c r="F2656" t="s">
        <v>6638</v>
      </c>
      <c r="G2656" t="s">
        <v>7637</v>
      </c>
      <c r="H2656" t="s">
        <v>6639</v>
      </c>
      <c r="I2656" t="s">
        <v>210</v>
      </c>
      <c r="J2656" t="s">
        <v>7703</v>
      </c>
      <c r="K2656" t="s">
        <v>7684</v>
      </c>
      <c r="L2656" t="s">
        <v>7685</v>
      </c>
      <c r="N2656" t="str" cm="1">
        <f t="array" ref="N2656">IFERROR(LOOKUP(2,1/SEARCH($S$2:$S$65,G2656),$T$2:$T$65),"Misc")</f>
        <v>COTS</v>
      </c>
      <c r="O2656" t="str" cm="1">
        <f t="array" ref="O2656">IFERROR(LOOKUP(2,1/SEARCH($V$2:$V$65,G2656),$W$2:$W$65),"Misc")</f>
        <v>Fasteners</v>
      </c>
      <c r="P2656" t="str" cm="1">
        <f t="array" ref="P2656">IFERROR(LOOKUP(2,1/SEARCH($Y$2:$Y$65,G2656),$Z$2:$Z$65),"Not Defined")</f>
        <v>NUT</v>
      </c>
      <c r="Q2656" t="str" cm="1">
        <f t="array" ref="Q2656">IFERROR(LOOKUP(2,1/SEARCH($S$2:$S$65,H2656),$T$2:$T$65),"-")</f>
        <v>COTS</v>
      </c>
    </row>
    <row r="2657" spans="1:17" hidden="1" x14ac:dyDescent="0.25">
      <c r="A2657" t="s">
        <v>7676</v>
      </c>
      <c r="B2657" t="s">
        <v>6640</v>
      </c>
      <c r="C2657">
        <v>2</v>
      </c>
      <c r="D2657" t="s">
        <v>7633</v>
      </c>
      <c r="E2657" t="s">
        <v>7638</v>
      </c>
      <c r="F2657" t="s">
        <v>6641</v>
      </c>
      <c r="G2657" t="s">
        <v>7638</v>
      </c>
      <c r="H2657" t="s">
        <v>6642</v>
      </c>
      <c r="J2657" t="s">
        <v>7744</v>
      </c>
      <c r="K2657" t="s">
        <v>7826</v>
      </c>
      <c r="L2657" t="s">
        <v>7826</v>
      </c>
      <c r="N2657" t="str" cm="1">
        <f t="array" ref="N2657">IFERROR(LOOKUP(2,1/SEARCH($S$2:$S$65,G2657),$T$2:$T$65),"Misc")</f>
        <v>OH Common</v>
      </c>
      <c r="O2657" t="str" cm="1">
        <f t="array" ref="O2657">IFERROR(LOOKUP(2,1/SEARCH($V$2:$V$65,G2657),$W$2:$W$65),"Misc")</f>
        <v>OH Part</v>
      </c>
      <c r="P2657" t="str" cm="1">
        <f t="array" ref="P2657">IFERROR(LOOKUP(2,1/SEARCH($Y$2:$Y$65,G2657),$Z$2:$Z$65),"Not Defined")</f>
        <v>OH Part</v>
      </c>
      <c r="Q2657" t="str" cm="1">
        <f t="array" ref="Q2657">IFERROR(LOOKUP(2,1/SEARCH($S$2:$S$65,H2657),$T$2:$T$65),"-")</f>
        <v>OH ASSY</v>
      </c>
    </row>
    <row r="2658" spans="1:17" hidden="1" x14ac:dyDescent="0.25">
      <c r="A2658" t="s">
        <v>7676</v>
      </c>
      <c r="B2658" t="s">
        <v>6643</v>
      </c>
      <c r="C2658">
        <v>1</v>
      </c>
      <c r="D2658" t="s">
        <v>7633</v>
      </c>
      <c r="E2658" t="s">
        <v>7638</v>
      </c>
      <c r="F2658" t="s">
        <v>6644</v>
      </c>
      <c r="G2658" t="s">
        <v>6646</v>
      </c>
      <c r="H2658" t="s">
        <v>6645</v>
      </c>
      <c r="I2658" t="s">
        <v>358</v>
      </c>
      <c r="J2658" t="s">
        <v>7744</v>
      </c>
      <c r="K2658" t="s">
        <v>7826</v>
      </c>
      <c r="L2658" t="s">
        <v>7826</v>
      </c>
      <c r="N2658" t="str" cm="1">
        <f t="array" ref="N2658">IFERROR(LOOKUP(2,1/SEARCH($S$2:$S$65,G2658),$T$2:$T$65),"Misc")</f>
        <v>OH Common</v>
      </c>
      <c r="O2658" t="str" cm="1">
        <f t="array" ref="O2658">IFERROR(LOOKUP(2,1/SEARCH($V$2:$V$65,G2658),$W$2:$W$65),"Misc")</f>
        <v>OH Part</v>
      </c>
      <c r="P2658" t="str" cm="1">
        <f t="array" ref="P2658">IFERROR(LOOKUP(2,1/SEARCH($Y$2:$Y$65,G2658),$Z$2:$Z$65),"Not Defined")</f>
        <v>OH Part</v>
      </c>
      <c r="Q2658" t="str" cm="1">
        <f t="array" ref="Q2658">IFERROR(LOOKUP(2,1/SEARCH($S$2:$S$65,H2658),$T$2:$T$65),"-")</f>
        <v>-</v>
      </c>
    </row>
    <row r="2659" spans="1:17" hidden="1" x14ac:dyDescent="0.25">
      <c r="A2659" t="s">
        <v>7676</v>
      </c>
      <c r="B2659" t="s">
        <v>6647</v>
      </c>
      <c r="C2659">
        <v>2</v>
      </c>
      <c r="D2659" t="s">
        <v>7633</v>
      </c>
      <c r="E2659" t="s">
        <v>7638</v>
      </c>
      <c r="F2659" t="s">
        <v>1551</v>
      </c>
      <c r="G2659" t="s">
        <v>7225</v>
      </c>
      <c r="H2659" t="s">
        <v>1552</v>
      </c>
      <c r="I2659" t="s">
        <v>228</v>
      </c>
      <c r="J2659" t="s">
        <v>7703</v>
      </c>
      <c r="K2659" t="s">
        <v>7684</v>
      </c>
      <c r="L2659" t="s">
        <v>7721</v>
      </c>
      <c r="N2659" t="str" cm="1">
        <f t="array" ref="N2659">IFERROR(LOOKUP(2,1/SEARCH($S$2:$S$65,G2659),$T$2:$T$65),"Misc")</f>
        <v>COTS</v>
      </c>
      <c r="O2659" t="str" cm="1">
        <f t="array" ref="O2659">IFERROR(LOOKUP(2,1/SEARCH($V$2:$V$65,G2659),$W$2:$W$65),"Misc")</f>
        <v>Fasteners</v>
      </c>
      <c r="P2659" t="str" cm="1">
        <f t="array" ref="P2659">IFERROR(LOOKUP(2,1/SEARCH($Y$2:$Y$65,G2659),$Z$2:$Z$65),"Not Defined")</f>
        <v>SET SCREW</v>
      </c>
      <c r="Q2659" t="str" cm="1">
        <f t="array" ref="Q2659">IFERROR(LOOKUP(2,1/SEARCH($S$2:$S$65,H2659),$T$2:$T$65),"-")</f>
        <v>COTS</v>
      </c>
    </row>
    <row r="2660" spans="1:17" hidden="1" x14ac:dyDescent="0.25">
      <c r="A2660" t="s">
        <v>7676</v>
      </c>
      <c r="B2660" t="s">
        <v>6648</v>
      </c>
      <c r="C2660">
        <v>1</v>
      </c>
      <c r="D2660" t="s">
        <v>7633</v>
      </c>
      <c r="E2660" t="s">
        <v>7639</v>
      </c>
      <c r="F2660" t="s">
        <v>6649</v>
      </c>
      <c r="G2660" t="s">
        <v>7639</v>
      </c>
      <c r="H2660" t="s">
        <v>6650</v>
      </c>
      <c r="J2660" t="s">
        <v>7744</v>
      </c>
      <c r="K2660" t="s">
        <v>7826</v>
      </c>
      <c r="L2660" t="s">
        <v>7826</v>
      </c>
      <c r="N2660" t="str" cm="1">
        <f t="array" ref="N2660">IFERROR(LOOKUP(2,1/SEARCH($S$2:$S$65,G2660),$T$2:$T$65),"Misc")</f>
        <v>OH Common</v>
      </c>
      <c r="O2660" t="str" cm="1">
        <f t="array" ref="O2660">IFERROR(LOOKUP(2,1/SEARCH($V$2:$V$65,G2660),$W$2:$W$65),"Misc")</f>
        <v>OH Part</v>
      </c>
      <c r="P2660" t="str" cm="1">
        <f t="array" ref="P2660">IFERROR(LOOKUP(2,1/SEARCH($Y$2:$Y$65,G2660),$Z$2:$Z$65),"Not Defined")</f>
        <v>OH Part</v>
      </c>
      <c r="Q2660" t="str" cm="1">
        <f t="array" ref="Q2660">IFERROR(LOOKUP(2,1/SEARCH($S$2:$S$65,H2660),$T$2:$T$65),"-")</f>
        <v>OH ASSY</v>
      </c>
    </row>
    <row r="2661" spans="1:17" hidden="1" x14ac:dyDescent="0.25">
      <c r="A2661" t="s">
        <v>7676</v>
      </c>
      <c r="B2661" t="s">
        <v>6651</v>
      </c>
      <c r="C2661">
        <v>1</v>
      </c>
      <c r="D2661" t="s">
        <v>7633</v>
      </c>
      <c r="E2661" t="s">
        <v>7639</v>
      </c>
      <c r="F2661" t="s">
        <v>6652</v>
      </c>
      <c r="G2661" t="s">
        <v>6654</v>
      </c>
      <c r="H2661" t="s">
        <v>6653</v>
      </c>
      <c r="I2661" t="s">
        <v>358</v>
      </c>
      <c r="J2661" t="s">
        <v>7744</v>
      </c>
      <c r="K2661" t="s">
        <v>7826</v>
      </c>
      <c r="L2661" t="s">
        <v>7826</v>
      </c>
      <c r="N2661" t="str" cm="1">
        <f t="array" ref="N2661">IFERROR(LOOKUP(2,1/SEARCH($S$2:$S$65,G2661),$T$2:$T$65),"Misc")</f>
        <v>OH Common</v>
      </c>
      <c r="O2661" t="str" cm="1">
        <f t="array" ref="O2661">IFERROR(LOOKUP(2,1/SEARCH($V$2:$V$65,G2661),$W$2:$W$65),"Misc")</f>
        <v>OH Part</v>
      </c>
      <c r="P2661" t="str" cm="1">
        <f t="array" ref="P2661">IFERROR(LOOKUP(2,1/SEARCH($Y$2:$Y$65,G2661),$Z$2:$Z$65),"Not Defined")</f>
        <v>OH Part</v>
      </c>
      <c r="Q2661" t="str" cm="1">
        <f t="array" ref="Q2661">IFERROR(LOOKUP(2,1/SEARCH($S$2:$S$65,H2661),$T$2:$T$65),"-")</f>
        <v>-</v>
      </c>
    </row>
    <row r="2662" spans="1:17" hidden="1" x14ac:dyDescent="0.25">
      <c r="A2662" t="s">
        <v>7676</v>
      </c>
      <c r="B2662" t="s">
        <v>6655</v>
      </c>
      <c r="C2662">
        <v>2</v>
      </c>
      <c r="D2662" t="s">
        <v>7633</v>
      </c>
      <c r="E2662" t="s">
        <v>7639</v>
      </c>
      <c r="F2662" t="s">
        <v>1551</v>
      </c>
      <c r="G2662" t="s">
        <v>7225</v>
      </c>
      <c r="H2662" t="s">
        <v>1552</v>
      </c>
      <c r="I2662" t="s">
        <v>228</v>
      </c>
      <c r="J2662" t="s">
        <v>7703</v>
      </c>
      <c r="K2662" t="s">
        <v>7684</v>
      </c>
      <c r="L2662" t="s">
        <v>7721</v>
      </c>
      <c r="N2662" t="str" cm="1">
        <f t="array" ref="N2662">IFERROR(LOOKUP(2,1/SEARCH($S$2:$S$65,G2662),$T$2:$T$65),"Misc")</f>
        <v>COTS</v>
      </c>
      <c r="O2662" t="str" cm="1">
        <f t="array" ref="O2662">IFERROR(LOOKUP(2,1/SEARCH($V$2:$V$65,G2662),$W$2:$W$65),"Misc")</f>
        <v>Fasteners</v>
      </c>
      <c r="P2662" t="str" cm="1">
        <f t="array" ref="P2662">IFERROR(LOOKUP(2,1/SEARCH($Y$2:$Y$65,G2662),$Z$2:$Z$65),"Not Defined")</f>
        <v>SET SCREW</v>
      </c>
      <c r="Q2662" t="str" cm="1">
        <f t="array" ref="Q2662">IFERROR(LOOKUP(2,1/SEARCH($S$2:$S$65,H2662),$T$2:$T$65),"-")</f>
        <v>COTS</v>
      </c>
    </row>
    <row r="2663" spans="1:17" hidden="1" x14ac:dyDescent="0.25">
      <c r="A2663" t="s">
        <v>7676</v>
      </c>
      <c r="B2663" t="s">
        <v>6656</v>
      </c>
      <c r="C2663">
        <v>1</v>
      </c>
      <c r="D2663" t="s">
        <v>7633</v>
      </c>
      <c r="E2663" t="s">
        <v>7640</v>
      </c>
      <c r="F2663" t="s">
        <v>6657</v>
      </c>
      <c r="G2663" t="s">
        <v>7640</v>
      </c>
      <c r="H2663" t="s">
        <v>6658</v>
      </c>
      <c r="J2663" t="s">
        <v>7744</v>
      </c>
      <c r="K2663" t="s">
        <v>7826</v>
      </c>
      <c r="L2663" t="s">
        <v>7826</v>
      </c>
      <c r="N2663" t="str" cm="1">
        <f t="array" ref="N2663">IFERROR(LOOKUP(2,1/SEARCH($S$2:$S$65,G2663),$T$2:$T$65),"Misc")</f>
        <v>OH Common</v>
      </c>
      <c r="O2663" t="str" cm="1">
        <f t="array" ref="O2663">IFERROR(LOOKUP(2,1/SEARCH($V$2:$V$65,G2663),$W$2:$W$65),"Misc")</f>
        <v>OH Part</v>
      </c>
      <c r="P2663" t="str" cm="1">
        <f t="array" ref="P2663">IFERROR(LOOKUP(2,1/SEARCH($Y$2:$Y$65,G2663),$Z$2:$Z$65),"Not Defined")</f>
        <v>OH Part</v>
      </c>
      <c r="Q2663" t="str" cm="1">
        <f t="array" ref="Q2663">IFERROR(LOOKUP(2,1/SEARCH($S$2:$S$65,H2663),$T$2:$T$65),"-")</f>
        <v>OH ASSY</v>
      </c>
    </row>
    <row r="2664" spans="1:17" hidden="1" x14ac:dyDescent="0.25">
      <c r="A2664" t="s">
        <v>7676</v>
      </c>
      <c r="B2664" t="s">
        <v>6659</v>
      </c>
      <c r="C2664">
        <v>1</v>
      </c>
      <c r="D2664" t="s">
        <v>7633</v>
      </c>
      <c r="E2664" t="s">
        <v>7640</v>
      </c>
      <c r="F2664" t="s">
        <v>6660</v>
      </c>
      <c r="G2664" t="s">
        <v>6662</v>
      </c>
      <c r="H2664" t="s">
        <v>6661</v>
      </c>
      <c r="I2664" t="s">
        <v>358</v>
      </c>
      <c r="J2664" t="s">
        <v>7744</v>
      </c>
      <c r="K2664" t="s">
        <v>7826</v>
      </c>
      <c r="L2664" t="s">
        <v>7826</v>
      </c>
      <c r="N2664" t="str" cm="1">
        <f t="array" ref="N2664">IFERROR(LOOKUP(2,1/SEARCH($S$2:$S$65,G2664),$T$2:$T$65),"Misc")</f>
        <v>OH Common</v>
      </c>
      <c r="O2664" t="str" cm="1">
        <f t="array" ref="O2664">IFERROR(LOOKUP(2,1/SEARCH($V$2:$V$65,G2664),$W$2:$W$65),"Misc")</f>
        <v>OH Part</v>
      </c>
      <c r="P2664" t="str" cm="1">
        <f t="array" ref="P2664">IFERROR(LOOKUP(2,1/SEARCH($Y$2:$Y$65,G2664),$Z$2:$Z$65),"Not Defined")</f>
        <v>OH Part</v>
      </c>
      <c r="Q2664" t="str" cm="1">
        <f t="array" ref="Q2664">IFERROR(LOOKUP(2,1/SEARCH($S$2:$S$65,H2664),$T$2:$T$65),"-")</f>
        <v>-</v>
      </c>
    </row>
    <row r="2665" spans="1:17" hidden="1" x14ac:dyDescent="0.25">
      <c r="A2665" t="s">
        <v>7676</v>
      </c>
      <c r="B2665" t="s">
        <v>6663</v>
      </c>
      <c r="C2665">
        <v>2</v>
      </c>
      <c r="D2665" t="s">
        <v>7633</v>
      </c>
      <c r="E2665" t="s">
        <v>7640</v>
      </c>
      <c r="F2665" t="s">
        <v>430</v>
      </c>
      <c r="G2665" t="s">
        <v>7083</v>
      </c>
      <c r="H2665" t="s">
        <v>431</v>
      </c>
      <c r="I2665" t="s">
        <v>228</v>
      </c>
      <c r="J2665" t="s">
        <v>7703</v>
      </c>
      <c r="K2665" t="s">
        <v>7684</v>
      </c>
      <c r="L2665" t="s">
        <v>7721</v>
      </c>
      <c r="N2665" t="str" cm="1">
        <f t="array" ref="N2665">IFERROR(LOOKUP(2,1/SEARCH($S$2:$S$65,G2665),$T$2:$T$65),"Misc")</f>
        <v>COTS</v>
      </c>
      <c r="O2665" t="str" cm="1">
        <f t="array" ref="O2665">IFERROR(LOOKUP(2,1/SEARCH($V$2:$V$65,G2665),$W$2:$W$65),"Misc")</f>
        <v>Fasteners</v>
      </c>
      <c r="P2665" t="str" cm="1">
        <f t="array" ref="P2665">IFERROR(LOOKUP(2,1/SEARCH($Y$2:$Y$65,G2665),$Z$2:$Z$65),"Not Defined")</f>
        <v>SET SCREW</v>
      </c>
      <c r="Q2665" t="str" cm="1">
        <f t="array" ref="Q2665">IFERROR(LOOKUP(2,1/SEARCH($S$2:$S$65,H2665),$T$2:$T$65),"-")</f>
        <v>COTS</v>
      </c>
    </row>
    <row r="2666" spans="1:17" hidden="1" x14ac:dyDescent="0.25">
      <c r="A2666" t="s">
        <v>7676</v>
      </c>
      <c r="B2666" t="s">
        <v>6664</v>
      </c>
      <c r="C2666">
        <v>2</v>
      </c>
      <c r="D2666" t="s">
        <v>7633</v>
      </c>
      <c r="F2666" t="s">
        <v>6156</v>
      </c>
      <c r="G2666" t="s">
        <v>7609</v>
      </c>
      <c r="H2666" t="s">
        <v>6157</v>
      </c>
      <c r="I2666" t="s">
        <v>255</v>
      </c>
      <c r="J2666" t="s">
        <v>7703</v>
      </c>
      <c r="K2666" t="s">
        <v>7677</v>
      </c>
      <c r="L2666" t="s">
        <v>7677</v>
      </c>
      <c r="N2666" t="str" cm="1">
        <f t="array" ref="N2666">IFERROR(LOOKUP(2,1/SEARCH($S$2:$S$65,G2666),$T$2:$T$65),"Misc")</f>
        <v>COTS</v>
      </c>
      <c r="O2666" t="str" cm="1">
        <f t="array" ref="O2666">IFERROR(LOOKUP(2,1/SEARCH($V$2:$V$65,G2666),$W$2:$W$65),"Misc")</f>
        <v>SWITCH</v>
      </c>
      <c r="P2666" t="str" cm="1">
        <f t="array" ref="P2666">IFERROR(LOOKUP(2,1/SEARCH($Y$2:$Y$65,G2666),$Z$2:$Z$65),"Not Defined")</f>
        <v>SWITCH</v>
      </c>
      <c r="Q2666" t="str" cm="1">
        <f t="array" ref="Q2666">IFERROR(LOOKUP(2,1/SEARCH($S$2:$S$65,H2666),$T$2:$T$65),"-")</f>
        <v>COTS</v>
      </c>
    </row>
    <row r="2667" spans="1:17" hidden="1" x14ac:dyDescent="0.25">
      <c r="A2667" t="s">
        <v>7676</v>
      </c>
      <c r="B2667" t="s">
        <v>6665</v>
      </c>
      <c r="C2667">
        <v>8</v>
      </c>
      <c r="D2667" t="s">
        <v>7633</v>
      </c>
      <c r="F2667" t="s">
        <v>519</v>
      </c>
      <c r="G2667" t="s">
        <v>7097</v>
      </c>
      <c r="H2667" t="s">
        <v>520</v>
      </c>
      <c r="I2667" t="s">
        <v>228</v>
      </c>
      <c r="J2667" t="s">
        <v>7703</v>
      </c>
      <c r="K2667" t="s">
        <v>7684</v>
      </c>
      <c r="L2667" t="s">
        <v>7693</v>
      </c>
      <c r="N2667" t="str" cm="1">
        <f t="array" ref="N2667">IFERROR(LOOKUP(2,1/SEARCH($S$2:$S$65,G2667),$T$2:$T$65),"Misc")</f>
        <v>COTS</v>
      </c>
      <c r="O2667" t="str" cm="1">
        <f t="array" ref="O2667">IFERROR(LOOKUP(2,1/SEARCH($V$2:$V$65,G2667),$W$2:$W$65),"Misc")</f>
        <v>Fasteners</v>
      </c>
      <c r="P2667" t="str" cm="1">
        <f t="array" ref="P2667">IFERROR(LOOKUP(2,1/SEARCH($Y$2:$Y$65,G2667),$Z$2:$Z$65),"Not Defined")</f>
        <v>PHS</v>
      </c>
      <c r="Q2667" t="str" cm="1">
        <f t="array" ref="Q2667">IFERROR(LOOKUP(2,1/SEARCH($S$2:$S$65,H2667),$T$2:$T$65),"-")</f>
        <v>COTS</v>
      </c>
    </row>
    <row r="2668" spans="1:17" hidden="1" x14ac:dyDescent="0.25">
      <c r="A2668" t="s">
        <v>7676</v>
      </c>
      <c r="B2668" t="s">
        <v>6666</v>
      </c>
      <c r="C2668">
        <v>8</v>
      </c>
      <c r="D2668" t="s">
        <v>7633</v>
      </c>
      <c r="F2668" t="s">
        <v>941</v>
      </c>
      <c r="G2668" t="s">
        <v>7136</v>
      </c>
      <c r="H2668" t="s">
        <v>942</v>
      </c>
      <c r="I2668" t="s">
        <v>210</v>
      </c>
      <c r="J2668" t="s">
        <v>7703</v>
      </c>
      <c r="K2668" t="s">
        <v>7684</v>
      </c>
      <c r="L2668" t="s">
        <v>7685</v>
      </c>
      <c r="N2668" t="str" cm="1">
        <f t="array" ref="N2668">IFERROR(LOOKUP(2,1/SEARCH($S$2:$S$65,G2668),$T$2:$T$65),"Misc")</f>
        <v>COTS</v>
      </c>
      <c r="O2668" t="str" cm="1">
        <f t="array" ref="O2668">IFERROR(LOOKUP(2,1/SEARCH($V$2:$V$65,G2668),$W$2:$W$65),"Misc")</f>
        <v>Fasteners</v>
      </c>
      <c r="P2668" t="str" cm="1">
        <f t="array" ref="P2668">IFERROR(LOOKUP(2,1/SEARCH($Y$2:$Y$65,G2668),$Z$2:$Z$65),"Not Defined")</f>
        <v>NUT</v>
      </c>
      <c r="Q2668" t="str" cm="1">
        <f t="array" ref="Q2668">IFERROR(LOOKUP(2,1/SEARCH($S$2:$S$65,H2668),$T$2:$T$65),"-")</f>
        <v>COTS</v>
      </c>
    </row>
    <row r="2669" spans="1:17" hidden="1" x14ac:dyDescent="0.25">
      <c r="A2669" t="s">
        <v>7676</v>
      </c>
      <c r="B2669" t="s">
        <v>6667</v>
      </c>
      <c r="C2669">
        <v>2</v>
      </c>
      <c r="D2669" t="s">
        <v>7633</v>
      </c>
      <c r="F2669" t="s">
        <v>4248</v>
      </c>
      <c r="G2669" t="s">
        <v>7437</v>
      </c>
      <c r="H2669" t="s">
        <v>4249</v>
      </c>
      <c r="I2669" t="s">
        <v>228</v>
      </c>
      <c r="J2669" t="s">
        <v>7703</v>
      </c>
      <c r="K2669" t="s">
        <v>7684</v>
      </c>
      <c r="L2669" t="s">
        <v>7693</v>
      </c>
      <c r="N2669" t="str" cm="1">
        <f t="array" ref="N2669">IFERROR(LOOKUP(2,1/SEARCH($S$2:$S$65,G2669),$T$2:$T$65),"Misc")</f>
        <v>COTS</v>
      </c>
      <c r="O2669" t="str" cm="1">
        <f t="array" ref="O2669">IFERROR(LOOKUP(2,1/SEARCH($V$2:$V$65,G2669),$W$2:$W$65),"Misc")</f>
        <v>Fasteners</v>
      </c>
      <c r="P2669" t="str" cm="1">
        <f t="array" ref="P2669">IFERROR(LOOKUP(2,1/SEARCH($Y$2:$Y$65,G2669),$Z$2:$Z$65),"Not Defined")</f>
        <v>PHS</v>
      </c>
      <c r="Q2669" t="str" cm="1">
        <f t="array" ref="Q2669">IFERROR(LOOKUP(2,1/SEARCH($S$2:$S$65,H2669),$T$2:$T$65),"-")</f>
        <v>COTS</v>
      </c>
    </row>
    <row r="2670" spans="1:17" hidden="1" x14ac:dyDescent="0.25">
      <c r="A2670" t="s">
        <v>7676</v>
      </c>
      <c r="B2670" t="s">
        <v>6668</v>
      </c>
      <c r="C2670">
        <v>2</v>
      </c>
      <c r="D2670" t="s">
        <v>7633</v>
      </c>
      <c r="F2670" t="s">
        <v>932</v>
      </c>
      <c r="G2670" t="s">
        <v>7133</v>
      </c>
      <c r="H2670" t="s">
        <v>933</v>
      </c>
      <c r="I2670" t="s">
        <v>210</v>
      </c>
      <c r="J2670" t="s">
        <v>7703</v>
      </c>
      <c r="K2670" t="s">
        <v>7684</v>
      </c>
      <c r="L2670" t="s">
        <v>7685</v>
      </c>
      <c r="N2670" t="str" cm="1">
        <f t="array" ref="N2670">IFERROR(LOOKUP(2,1/SEARCH($S$2:$S$65,G2670),$T$2:$T$65),"Misc")</f>
        <v>COTS</v>
      </c>
      <c r="O2670" t="str" cm="1">
        <f t="array" ref="O2670">IFERROR(LOOKUP(2,1/SEARCH($V$2:$V$65,G2670),$W$2:$W$65),"Misc")</f>
        <v>Fasteners</v>
      </c>
      <c r="P2670" t="str" cm="1">
        <f t="array" ref="P2670">IFERROR(LOOKUP(2,1/SEARCH($Y$2:$Y$65,G2670),$Z$2:$Z$65),"Not Defined")</f>
        <v>NUT</v>
      </c>
      <c r="Q2670" t="str" cm="1">
        <f t="array" ref="Q2670">IFERROR(LOOKUP(2,1/SEARCH($S$2:$S$65,H2670),$T$2:$T$65),"-")</f>
        <v>COTS</v>
      </c>
    </row>
    <row r="2671" spans="1:17" hidden="1" x14ac:dyDescent="0.25">
      <c r="A2671" t="s">
        <v>7676</v>
      </c>
      <c r="B2671" t="s">
        <v>6669</v>
      </c>
      <c r="C2671">
        <v>4</v>
      </c>
      <c r="D2671" t="s">
        <v>7633</v>
      </c>
      <c r="F2671" t="s">
        <v>2527</v>
      </c>
      <c r="G2671" t="s">
        <v>7291</v>
      </c>
      <c r="H2671" t="s">
        <v>2528</v>
      </c>
      <c r="I2671" t="s">
        <v>228</v>
      </c>
      <c r="J2671" t="s">
        <v>7703</v>
      </c>
      <c r="K2671" t="s">
        <v>7684</v>
      </c>
      <c r="L2671" t="s">
        <v>7691</v>
      </c>
      <c r="N2671" t="str" cm="1">
        <f t="array" ref="N2671">IFERROR(LOOKUP(2,1/SEARCH($S$2:$S$65,G2671),$T$2:$T$65),"Misc")</f>
        <v>COTS</v>
      </c>
      <c r="O2671" t="str" cm="1">
        <f t="array" ref="O2671">IFERROR(LOOKUP(2,1/SEARCH($V$2:$V$65,G2671),$W$2:$W$65),"Misc")</f>
        <v>Fasteners</v>
      </c>
      <c r="P2671" t="str" cm="1">
        <f t="array" ref="P2671">IFERROR(LOOKUP(2,1/SEARCH($Y$2:$Y$65,G2671),$Z$2:$Z$65),"Not Defined")</f>
        <v>FHS</v>
      </c>
      <c r="Q2671" t="str" cm="1">
        <f t="array" ref="Q2671">IFERROR(LOOKUP(2,1/SEARCH($S$2:$S$65,H2671),$T$2:$T$65),"-")</f>
        <v>COTS</v>
      </c>
    </row>
    <row r="2672" spans="1:17" hidden="1" x14ac:dyDescent="0.25">
      <c r="A2672" t="s">
        <v>7676</v>
      </c>
      <c r="B2672" t="s">
        <v>6670</v>
      </c>
      <c r="C2672">
        <v>4</v>
      </c>
      <c r="D2672" t="s">
        <v>7633</v>
      </c>
      <c r="F2672" t="s">
        <v>3046</v>
      </c>
      <c r="G2672" t="s">
        <v>7338</v>
      </c>
      <c r="H2672" t="s">
        <v>3047</v>
      </c>
      <c r="I2672" t="s">
        <v>299</v>
      </c>
      <c r="J2672" t="s">
        <v>7703</v>
      </c>
      <c r="K2672" t="s">
        <v>7684</v>
      </c>
      <c r="L2672" t="s">
        <v>7708</v>
      </c>
      <c r="N2672" t="str" cm="1">
        <f t="array" ref="N2672">IFERROR(LOOKUP(2,1/SEARCH($S$2:$S$65,G2672),$T$2:$T$65),"Misc")</f>
        <v>COTS</v>
      </c>
      <c r="O2672" t="str" cm="1">
        <f t="array" ref="O2672">IFERROR(LOOKUP(2,1/SEARCH($V$2:$V$65,G2672),$W$2:$W$65),"Misc")</f>
        <v>Fasteners</v>
      </c>
      <c r="P2672" t="str" cm="1">
        <f t="array" ref="P2672">IFERROR(LOOKUP(2,1/SEARCH($Y$2:$Y$65,G2672),$Z$2:$Z$65),"Not Defined")</f>
        <v>STANDOFF</v>
      </c>
      <c r="Q2672" t="str" cm="1">
        <f t="array" ref="Q2672">IFERROR(LOOKUP(2,1/SEARCH($S$2:$S$65,H2672),$T$2:$T$65),"-")</f>
        <v>COTS</v>
      </c>
    </row>
    <row r="2673" spans="1:17" hidden="1" x14ac:dyDescent="0.25">
      <c r="A2673" t="s">
        <v>7676</v>
      </c>
      <c r="B2673" t="s">
        <v>6671</v>
      </c>
      <c r="C2673">
        <v>1</v>
      </c>
      <c r="D2673" t="s">
        <v>7633</v>
      </c>
      <c r="E2673" t="s">
        <v>6673</v>
      </c>
      <c r="F2673" t="s">
        <v>6672</v>
      </c>
      <c r="G2673" t="s">
        <v>6674</v>
      </c>
      <c r="H2673" t="s">
        <v>6673</v>
      </c>
      <c r="J2673" t="s">
        <v>7815</v>
      </c>
      <c r="K2673" t="s">
        <v>7826</v>
      </c>
      <c r="L2673" t="s">
        <v>7826</v>
      </c>
      <c r="N2673" t="str" cm="1">
        <f t="array" ref="N2673">IFERROR(LOOKUP(2,1/SEARCH($S$2:$S$65,G2673),$T$2:$T$65),"Misc")</f>
        <v>OH ASSY</v>
      </c>
      <c r="O2673" t="str" cm="1">
        <f t="array" ref="O2673">IFERROR(LOOKUP(2,1/SEARCH($V$2:$V$65,G2673),$W$2:$W$65),"Misc")</f>
        <v>OH Part</v>
      </c>
      <c r="P2673" t="str" cm="1">
        <f t="array" ref="P2673">IFERROR(LOOKUP(2,1/SEARCH($Y$2:$Y$65,G2673),$Z$2:$Z$65),"Not Defined")</f>
        <v>OH Part</v>
      </c>
      <c r="Q2673" t="str" cm="1">
        <f t="array" ref="Q2673">IFERROR(LOOKUP(2,1/SEARCH($S$2:$S$65,H2673),$T$2:$T$65),"-")</f>
        <v>OH ASSY</v>
      </c>
    </row>
    <row r="2674" spans="1:17" hidden="1" x14ac:dyDescent="0.25">
      <c r="A2674" t="s">
        <v>7676</v>
      </c>
      <c r="B2674" t="s">
        <v>6675</v>
      </c>
      <c r="C2674">
        <v>1</v>
      </c>
      <c r="D2674" t="s">
        <v>7633</v>
      </c>
      <c r="E2674" t="s">
        <v>6673</v>
      </c>
      <c r="F2674" t="s">
        <v>6601</v>
      </c>
      <c r="G2674" t="s">
        <v>6677</v>
      </c>
      <c r="H2674" t="s">
        <v>6676</v>
      </c>
      <c r="I2674" t="s">
        <v>13</v>
      </c>
      <c r="J2674" t="s">
        <v>7682</v>
      </c>
      <c r="K2674" t="s">
        <v>7826</v>
      </c>
      <c r="L2674" t="s">
        <v>7826</v>
      </c>
      <c r="N2674" t="str" cm="1">
        <f t="array" ref="N2674">IFERROR(LOOKUP(2,1/SEARCH($S$2:$S$65,G2674),$T$2:$T$65),"Misc")</f>
        <v>OH P/N</v>
      </c>
      <c r="O2674" t="str" cm="1">
        <f t="array" ref="O2674">IFERROR(LOOKUP(2,1/SEARCH($V$2:$V$65,G2674),$W$2:$W$65),"Misc")</f>
        <v>OH Part</v>
      </c>
      <c r="P2674" t="str" cm="1">
        <f t="array" ref="P2674">IFERROR(LOOKUP(2,1/SEARCH($Y$2:$Y$65,G2674),$Z$2:$Z$65),"Not Defined")</f>
        <v>OH Part</v>
      </c>
      <c r="Q2674" t="str" cm="1">
        <f t="array" ref="Q2674">IFERROR(LOOKUP(2,1/SEARCH($S$2:$S$65,H2674),$T$2:$T$65),"-")</f>
        <v>ABSIS</v>
      </c>
    </row>
    <row r="2675" spans="1:17" hidden="1" x14ac:dyDescent="0.25">
      <c r="A2675" t="s">
        <v>7676</v>
      </c>
      <c r="B2675" t="s">
        <v>6678</v>
      </c>
      <c r="C2675">
        <v>4</v>
      </c>
      <c r="D2675" t="s">
        <v>7633</v>
      </c>
      <c r="E2675" t="s">
        <v>6673</v>
      </c>
      <c r="F2675" t="s">
        <v>583</v>
      </c>
      <c r="G2675" t="s">
        <v>7106</v>
      </c>
      <c r="H2675" t="s">
        <v>584</v>
      </c>
      <c r="I2675" t="s">
        <v>299</v>
      </c>
      <c r="J2675" t="s">
        <v>7703</v>
      </c>
      <c r="K2675" t="s">
        <v>7684</v>
      </c>
      <c r="L2675" t="s">
        <v>7708</v>
      </c>
      <c r="N2675" t="str" cm="1">
        <f t="array" ref="N2675">IFERROR(LOOKUP(2,1/SEARCH($S$2:$S$65,G2675),$T$2:$T$65),"Misc")</f>
        <v>COTS</v>
      </c>
      <c r="O2675" t="str" cm="1">
        <f t="array" ref="O2675">IFERROR(LOOKUP(2,1/SEARCH($V$2:$V$65,G2675),$W$2:$W$65),"Misc")</f>
        <v>Fasteners</v>
      </c>
      <c r="P2675" t="str" cm="1">
        <f t="array" ref="P2675">IFERROR(LOOKUP(2,1/SEARCH($Y$2:$Y$65,G2675),$Z$2:$Z$65),"Not Defined")</f>
        <v>STANDOFF</v>
      </c>
      <c r="Q2675" t="str" cm="1">
        <f t="array" ref="Q2675">IFERROR(LOOKUP(2,1/SEARCH($S$2:$S$65,H2675),$T$2:$T$65),"-")</f>
        <v>COTS</v>
      </c>
    </row>
    <row r="2676" spans="1:17" hidden="1" x14ac:dyDescent="0.25">
      <c r="A2676" t="s">
        <v>7676</v>
      </c>
      <c r="B2676" t="s">
        <v>6679</v>
      </c>
      <c r="C2676">
        <v>8</v>
      </c>
      <c r="D2676" t="s">
        <v>7633</v>
      </c>
      <c r="E2676" t="s">
        <v>6673</v>
      </c>
      <c r="F2676" t="s">
        <v>460</v>
      </c>
      <c r="G2676" t="s">
        <v>7090</v>
      </c>
      <c r="H2676" t="s">
        <v>461</v>
      </c>
      <c r="I2676" t="s">
        <v>224</v>
      </c>
      <c r="J2676" t="s">
        <v>7703</v>
      </c>
      <c r="K2676" t="s">
        <v>7684</v>
      </c>
      <c r="L2676" t="s">
        <v>7693</v>
      </c>
      <c r="N2676" t="str" cm="1">
        <f t="array" ref="N2676">IFERROR(LOOKUP(2,1/SEARCH($S$2:$S$65,G2676),$T$2:$T$65),"Misc")</f>
        <v>COTS</v>
      </c>
      <c r="O2676" t="str" cm="1">
        <f t="array" ref="O2676">IFERROR(LOOKUP(2,1/SEARCH($V$2:$V$65,G2676),$W$2:$W$65),"Misc")</f>
        <v>Fasteners</v>
      </c>
      <c r="P2676" t="str" cm="1">
        <f t="array" ref="P2676">IFERROR(LOOKUP(2,1/SEARCH($Y$2:$Y$65,G2676),$Z$2:$Z$65),"Not Defined")</f>
        <v>PHS</v>
      </c>
      <c r="Q2676" t="str" cm="1">
        <f t="array" ref="Q2676">IFERROR(LOOKUP(2,1/SEARCH($S$2:$S$65,H2676),$T$2:$T$65),"-")</f>
        <v>COTS</v>
      </c>
    </row>
    <row r="2677" spans="1:17" hidden="1" x14ac:dyDescent="0.25">
      <c r="A2677" t="s">
        <v>7676</v>
      </c>
      <c r="B2677" t="s">
        <v>6680</v>
      </c>
      <c r="C2677">
        <v>1</v>
      </c>
      <c r="D2677" t="s">
        <v>7633</v>
      </c>
      <c r="E2677" t="s">
        <v>7946</v>
      </c>
      <c r="F2677" t="s">
        <v>613</v>
      </c>
      <c r="G2677" t="s">
        <v>7110</v>
      </c>
      <c r="H2677" t="s">
        <v>614</v>
      </c>
      <c r="I2677" t="s">
        <v>255</v>
      </c>
      <c r="J2677" t="s">
        <v>7815</v>
      </c>
      <c r="K2677" t="s">
        <v>7717</v>
      </c>
      <c r="L2677" t="s">
        <v>7717</v>
      </c>
      <c r="N2677" t="str" cm="1">
        <f t="array" ref="N2677">IFERROR(LOOKUP(2,1/SEARCH($S$2:$S$65,G2677),$T$2:$T$65),"Misc")</f>
        <v>OH ASSY</v>
      </c>
      <c r="O2677" t="str" cm="1">
        <f t="array" ref="O2677">IFERROR(LOOKUP(2,1/SEARCH($V$2:$V$65,G2677),$W$2:$W$65),"Misc")</f>
        <v>ABSIS</v>
      </c>
      <c r="P2677" t="str" cm="1">
        <f t="array" ref="P2677">IFERROR(LOOKUP(2,1/SEARCH($Y$2:$Y$65,G2677),$Z$2:$Z$65),"Not Defined")</f>
        <v>ABSIS</v>
      </c>
      <c r="Q2677" t="str" cm="1">
        <f t="array" ref="Q2677">IFERROR(LOOKUP(2,1/SEARCH($S$2:$S$65,H2677),$T$2:$T$65),"-")</f>
        <v>OH ASSY</v>
      </c>
    </row>
    <row r="2678" spans="1:17" hidden="1" x14ac:dyDescent="0.25">
      <c r="A2678" t="s">
        <v>7676</v>
      </c>
      <c r="B2678" t="s">
        <v>6681</v>
      </c>
      <c r="C2678">
        <v>1</v>
      </c>
      <c r="D2678" t="s">
        <v>7633</v>
      </c>
      <c r="E2678" t="s">
        <v>7946</v>
      </c>
      <c r="F2678" t="s">
        <v>616</v>
      </c>
      <c r="G2678" t="s">
        <v>7111</v>
      </c>
      <c r="H2678" t="s">
        <v>617</v>
      </c>
      <c r="I2678" t="s">
        <v>255</v>
      </c>
      <c r="J2678" t="s">
        <v>7717</v>
      </c>
      <c r="K2678" t="s">
        <v>7717</v>
      </c>
      <c r="L2678" t="s">
        <v>7717</v>
      </c>
      <c r="N2678" t="str" cm="1">
        <f t="array" ref="N2678">IFERROR(LOOKUP(2,1/SEARCH($S$2:$S$65,G2678),$T$2:$T$65),"Misc")</f>
        <v>ABSIS</v>
      </c>
      <c r="O2678" t="str" cm="1">
        <f t="array" ref="O2678">IFERROR(LOOKUP(2,1/SEARCH($V$2:$V$65,G2678),$W$2:$W$65),"Misc")</f>
        <v>ABSIS</v>
      </c>
      <c r="P2678" t="str" cm="1">
        <f t="array" ref="P2678">IFERROR(LOOKUP(2,1/SEARCH($Y$2:$Y$65,G2678),$Z$2:$Z$65),"Not Defined")</f>
        <v>ABSIS</v>
      </c>
      <c r="Q2678" t="str" cm="1">
        <f t="array" ref="Q2678">IFERROR(LOOKUP(2,1/SEARCH($S$2:$S$65,H2678),$T$2:$T$65),"-")</f>
        <v>ABSIS</v>
      </c>
    </row>
    <row r="2679" spans="1:17" hidden="1" x14ac:dyDescent="0.25">
      <c r="A2679" t="s">
        <v>7676</v>
      </c>
      <c r="B2679" t="s">
        <v>6682</v>
      </c>
      <c r="C2679">
        <v>1</v>
      </c>
      <c r="D2679" t="s">
        <v>7633</v>
      </c>
      <c r="E2679" t="s">
        <v>7946</v>
      </c>
      <c r="F2679" t="s">
        <v>596</v>
      </c>
      <c r="G2679" t="s">
        <v>7108</v>
      </c>
      <c r="H2679" t="s">
        <v>597</v>
      </c>
      <c r="I2679" t="s">
        <v>255</v>
      </c>
      <c r="J2679" t="s">
        <v>7703</v>
      </c>
      <c r="K2679" t="s">
        <v>7713</v>
      </c>
      <c r="L2679" t="s">
        <v>7713</v>
      </c>
      <c r="N2679" t="str" cm="1">
        <f t="array" ref="N2679">IFERROR(LOOKUP(2,1/SEARCH($S$2:$S$65,G2679),$T$2:$T$65),"Misc")</f>
        <v>COTS</v>
      </c>
      <c r="O2679" t="str" cm="1">
        <f t="array" ref="O2679">IFERROR(LOOKUP(2,1/SEARCH($V$2:$V$65,G2679),$W$2:$W$65),"Misc")</f>
        <v>ARDUINO</v>
      </c>
      <c r="P2679" t="str" cm="1">
        <f t="array" ref="P2679">IFERROR(LOOKUP(2,1/SEARCH($Y$2:$Y$65,G2679),$Z$2:$Z$65),"Not Defined")</f>
        <v>ARDUINO</v>
      </c>
      <c r="Q2679" t="str" cm="1">
        <f t="array" ref="Q2679">IFERROR(LOOKUP(2,1/SEARCH($S$2:$S$65,H2679),$T$2:$T$65),"-")</f>
        <v>COTS</v>
      </c>
    </row>
    <row r="2680" spans="1:17" hidden="1" x14ac:dyDescent="0.25">
      <c r="A2680" t="s">
        <v>7676</v>
      </c>
      <c r="B2680" t="s">
        <v>6683</v>
      </c>
      <c r="C2680">
        <v>4</v>
      </c>
      <c r="D2680" t="s">
        <v>7633</v>
      </c>
      <c r="F2680" t="s">
        <v>460</v>
      </c>
      <c r="G2680" t="s">
        <v>7090</v>
      </c>
      <c r="H2680" t="s">
        <v>461</v>
      </c>
      <c r="I2680" t="s">
        <v>224</v>
      </c>
      <c r="J2680" t="s">
        <v>7703</v>
      </c>
      <c r="K2680" t="s">
        <v>7684</v>
      </c>
      <c r="L2680" t="s">
        <v>7693</v>
      </c>
      <c r="N2680" t="str" cm="1">
        <f t="array" ref="N2680">IFERROR(LOOKUP(2,1/SEARCH($S$2:$S$65,G2680),$T$2:$T$65),"Misc")</f>
        <v>COTS</v>
      </c>
      <c r="O2680" t="str" cm="1">
        <f t="array" ref="O2680">IFERROR(LOOKUP(2,1/SEARCH($V$2:$V$65,G2680),$W$2:$W$65),"Misc")</f>
        <v>Fasteners</v>
      </c>
      <c r="P2680" t="str" cm="1">
        <f t="array" ref="P2680">IFERROR(LOOKUP(2,1/SEARCH($Y$2:$Y$65,G2680),$Z$2:$Z$65),"Not Defined")</f>
        <v>PHS</v>
      </c>
      <c r="Q2680" t="str" cm="1">
        <f t="array" ref="Q2680">IFERROR(LOOKUP(2,1/SEARCH($S$2:$S$65,H2680),$T$2:$T$65),"-")</f>
        <v>COTS</v>
      </c>
    </row>
    <row r="2681" spans="1:17" hidden="1" x14ac:dyDescent="0.25">
      <c r="A2681" t="s">
        <v>7676</v>
      </c>
      <c r="B2681" t="s">
        <v>6684</v>
      </c>
      <c r="C2681">
        <v>1</v>
      </c>
      <c r="D2681" t="s">
        <v>7633</v>
      </c>
      <c r="F2681" t="s">
        <v>6685</v>
      </c>
      <c r="G2681" t="s">
        <v>7641</v>
      </c>
      <c r="H2681" t="s">
        <v>6686</v>
      </c>
      <c r="I2681" t="s">
        <v>255</v>
      </c>
      <c r="J2681" t="s">
        <v>7703</v>
      </c>
      <c r="K2681" t="s">
        <v>7677</v>
      </c>
      <c r="L2681" t="s">
        <v>7677</v>
      </c>
      <c r="N2681" t="str" cm="1">
        <f t="array" ref="N2681">IFERROR(LOOKUP(2,1/SEARCH($S$2:$S$65,G2681),$T$2:$T$65),"Misc")</f>
        <v>COTS</v>
      </c>
      <c r="O2681" t="str" cm="1">
        <f t="array" ref="O2681">IFERROR(LOOKUP(2,1/SEARCH($V$2:$V$65,G2681),$W$2:$W$65),"Misc")</f>
        <v>SWITCH</v>
      </c>
      <c r="P2681" t="str" cm="1">
        <f t="array" ref="P2681">IFERROR(LOOKUP(2,1/SEARCH($Y$2:$Y$65,G2681),$Z$2:$Z$65),"Not Defined")</f>
        <v>SWITCH</v>
      </c>
      <c r="Q2681" t="str" cm="1">
        <f t="array" ref="Q2681">IFERROR(LOOKUP(2,1/SEARCH($S$2:$S$65,H2681),$T$2:$T$65),"-")</f>
        <v>COTS</v>
      </c>
    </row>
    <row r="2682" spans="1:17" hidden="1" x14ac:dyDescent="0.25">
      <c r="A2682" t="s">
        <v>7676</v>
      </c>
      <c r="B2682" t="s">
        <v>6687</v>
      </c>
      <c r="C2682">
        <v>1</v>
      </c>
      <c r="D2682" t="s">
        <v>7633</v>
      </c>
      <c r="F2682" t="s">
        <v>1798</v>
      </c>
      <c r="G2682" t="s">
        <v>7642</v>
      </c>
      <c r="H2682" t="s">
        <v>6688</v>
      </c>
      <c r="I2682" t="s">
        <v>210</v>
      </c>
      <c r="J2682" t="s">
        <v>7703</v>
      </c>
      <c r="K2682" t="s">
        <v>7677</v>
      </c>
      <c r="L2682" t="s">
        <v>7685</v>
      </c>
      <c r="N2682" t="str" cm="1">
        <f t="array" ref="N2682">IFERROR(LOOKUP(2,1/SEARCH($S$2:$S$65,G2682),$T$2:$T$65),"Misc")</f>
        <v>COTS</v>
      </c>
      <c r="O2682" t="str" cm="1">
        <f t="array" ref="O2682">IFERROR(LOOKUP(2,1/SEARCH($V$2:$V$65,G2682),$W$2:$W$65),"Misc")</f>
        <v>SWITCH</v>
      </c>
      <c r="P2682" t="str" cm="1">
        <f t="array" ref="P2682">IFERROR(LOOKUP(2,1/SEARCH($Y$2:$Y$65,G2682),$Z$2:$Z$65),"Not Defined")</f>
        <v>NUT</v>
      </c>
      <c r="Q2682" t="str" cm="1">
        <f t="array" ref="Q2682">IFERROR(LOOKUP(2,1/SEARCH($S$2:$S$65,H2682),$T$2:$T$65),"-")</f>
        <v>COTS</v>
      </c>
    </row>
    <row r="2683" spans="1:17" hidden="1" x14ac:dyDescent="0.25">
      <c r="A2683" t="s">
        <v>7676</v>
      </c>
      <c r="B2683" t="s">
        <v>6689</v>
      </c>
      <c r="C2683">
        <v>2</v>
      </c>
      <c r="D2683" t="s">
        <v>7633</v>
      </c>
      <c r="F2683" t="s">
        <v>4844</v>
      </c>
      <c r="G2683" t="s">
        <v>7505</v>
      </c>
      <c r="H2683" t="s">
        <v>4845</v>
      </c>
      <c r="I2683" t="s">
        <v>224</v>
      </c>
      <c r="J2683" t="s">
        <v>7703</v>
      </c>
      <c r="K2683" t="s">
        <v>7677</v>
      </c>
      <c r="L2683" t="s">
        <v>7685</v>
      </c>
      <c r="N2683" t="str" cm="1">
        <f t="array" ref="N2683">IFERROR(LOOKUP(2,1/SEARCH($S$2:$S$65,G2683),$T$2:$T$65),"Misc")</f>
        <v>COTS</v>
      </c>
      <c r="O2683" t="str" cm="1">
        <f t="array" ref="O2683">IFERROR(LOOKUP(2,1/SEARCH($V$2:$V$65,G2683),$W$2:$W$65),"Misc")</f>
        <v>SWITCH</v>
      </c>
      <c r="P2683" t="str" cm="1">
        <f t="array" ref="P2683">IFERROR(LOOKUP(2,1/SEARCH($Y$2:$Y$65,G2683),$Z$2:$Z$65),"Not Defined")</f>
        <v>NUT</v>
      </c>
      <c r="Q2683" t="str" cm="1">
        <f t="array" ref="Q2683">IFERROR(LOOKUP(2,1/SEARCH($S$2:$S$65,H2683),$T$2:$T$65),"-")</f>
        <v>COTS</v>
      </c>
    </row>
    <row r="2684" spans="1:17" hidden="1" x14ac:dyDescent="0.25">
      <c r="A2684" t="s">
        <v>7676</v>
      </c>
      <c r="B2684" t="s">
        <v>6690</v>
      </c>
      <c r="C2684">
        <v>1</v>
      </c>
      <c r="D2684" t="s">
        <v>7633</v>
      </c>
      <c r="F2684" t="s">
        <v>2213</v>
      </c>
      <c r="G2684" t="s">
        <v>7262</v>
      </c>
      <c r="H2684" t="s">
        <v>2214</v>
      </c>
      <c r="I2684" t="s">
        <v>255</v>
      </c>
      <c r="J2684" t="s">
        <v>7703</v>
      </c>
      <c r="K2684" t="s">
        <v>7722</v>
      </c>
      <c r="L2684" t="s">
        <v>7722</v>
      </c>
      <c r="N2684" t="str" cm="1">
        <f t="array" ref="N2684">IFERROR(LOOKUP(2,1/SEARCH($S$2:$S$65,G2684),$T$2:$T$65),"Misc")</f>
        <v>COTS</v>
      </c>
      <c r="O2684" t="str" cm="1">
        <f t="array" ref="O2684">IFERROR(LOOKUP(2,1/SEARCH($V$2:$V$65,G2684),$W$2:$W$65),"Misc")</f>
        <v>POT</v>
      </c>
      <c r="P2684" t="str" cm="1">
        <f t="array" ref="P2684">IFERROR(LOOKUP(2,1/SEARCH($Y$2:$Y$65,G2684),$Z$2:$Z$65),"Not Defined")</f>
        <v>POT</v>
      </c>
      <c r="Q2684" t="str" cm="1">
        <f t="array" ref="Q2684">IFERROR(LOOKUP(2,1/SEARCH($S$2:$S$65,H2684),$T$2:$T$65),"-")</f>
        <v>COTS</v>
      </c>
    </row>
    <row r="2685" spans="1:17" hidden="1" x14ac:dyDescent="0.25">
      <c r="A2685" t="s">
        <v>7676</v>
      </c>
      <c r="B2685" t="s">
        <v>6691</v>
      </c>
      <c r="C2685">
        <v>1</v>
      </c>
      <c r="D2685" t="s">
        <v>7633</v>
      </c>
      <c r="F2685" t="s">
        <v>4848</v>
      </c>
      <c r="G2685" t="s">
        <v>7506</v>
      </c>
      <c r="H2685" t="s">
        <v>4849</v>
      </c>
      <c r="I2685" t="s">
        <v>210</v>
      </c>
      <c r="J2685" t="s">
        <v>7703</v>
      </c>
      <c r="K2685" t="s">
        <v>7684</v>
      </c>
      <c r="L2685" t="s">
        <v>7722</v>
      </c>
      <c r="N2685" t="str" cm="1">
        <f t="array" ref="N2685">IFERROR(LOOKUP(2,1/SEARCH($S$2:$S$65,G2685),$T$2:$T$65),"Misc")</f>
        <v>COTS</v>
      </c>
      <c r="O2685" t="str" cm="1">
        <f t="array" ref="O2685">IFERROR(LOOKUP(2,1/SEARCH($V$2:$V$65,G2685),$W$2:$W$65),"Misc")</f>
        <v>Fasteners</v>
      </c>
      <c r="P2685" t="str" cm="1">
        <f t="array" ref="P2685">IFERROR(LOOKUP(2,1/SEARCH($Y$2:$Y$65,G2685),$Z$2:$Z$65),"Not Defined")</f>
        <v>POT</v>
      </c>
      <c r="Q2685" t="str" cm="1">
        <f t="array" ref="Q2685">IFERROR(LOOKUP(2,1/SEARCH($S$2:$S$65,H2685),$T$2:$T$65),"-")</f>
        <v>COTS</v>
      </c>
    </row>
    <row r="2686" spans="1:17" hidden="1" x14ac:dyDescent="0.25">
      <c r="A2686" t="s">
        <v>7676</v>
      </c>
      <c r="B2686" t="s">
        <v>6692</v>
      </c>
      <c r="C2686">
        <v>1</v>
      </c>
      <c r="D2686" t="s">
        <v>7633</v>
      </c>
      <c r="F2686" t="s">
        <v>2229</v>
      </c>
      <c r="G2686" t="s">
        <v>7265</v>
      </c>
      <c r="H2686" t="s">
        <v>2230</v>
      </c>
      <c r="I2686" t="s">
        <v>224</v>
      </c>
      <c r="J2686" t="s">
        <v>7703</v>
      </c>
      <c r="K2686" t="s">
        <v>7722</v>
      </c>
      <c r="L2686" t="s">
        <v>7685</v>
      </c>
      <c r="N2686" t="str" cm="1">
        <f t="array" ref="N2686">IFERROR(LOOKUP(2,1/SEARCH($S$2:$S$65,G2686),$T$2:$T$65),"Misc")</f>
        <v>COTS</v>
      </c>
      <c r="O2686" t="str" cm="1">
        <f t="array" ref="O2686">IFERROR(LOOKUP(2,1/SEARCH($V$2:$V$65,G2686),$W$2:$W$65),"Misc")</f>
        <v>POT</v>
      </c>
      <c r="P2686" t="str" cm="1">
        <f t="array" ref="P2686">IFERROR(LOOKUP(2,1/SEARCH($Y$2:$Y$65,G2686),$Z$2:$Z$65),"Not Defined")</f>
        <v>NUT</v>
      </c>
      <c r="Q2686" t="str" cm="1">
        <f t="array" ref="Q2686">IFERROR(LOOKUP(2,1/SEARCH($S$2:$S$65,H2686),$T$2:$T$65),"-")</f>
        <v>COTS</v>
      </c>
    </row>
    <row r="2687" spans="1:17" hidden="1" x14ac:dyDescent="0.25">
      <c r="A2687" t="s">
        <v>7676</v>
      </c>
      <c r="B2687" s="27">
        <v>4.2</v>
      </c>
      <c r="C2687">
        <v>1</v>
      </c>
      <c r="D2687" t="s">
        <v>7643</v>
      </c>
      <c r="F2687" t="s">
        <v>6693</v>
      </c>
      <c r="G2687" t="s">
        <v>7643</v>
      </c>
      <c r="H2687" t="s">
        <v>6694</v>
      </c>
      <c r="J2687" t="s">
        <v>7742</v>
      </c>
      <c r="K2687" t="s">
        <v>7826</v>
      </c>
      <c r="L2687" t="s">
        <v>7826</v>
      </c>
      <c r="N2687" t="str" cm="1">
        <f t="array" ref="N2687">IFERROR(LOOKUP(2,1/SEARCH($S$2:$S$65,G2687),$T$2:$T$65),"Misc")</f>
        <v>OH ASSY</v>
      </c>
      <c r="O2687" t="str" cm="1">
        <f t="array" ref="O2687">IFERROR(LOOKUP(2,1/SEARCH($V$2:$V$65,G2687),$W$2:$W$65),"Misc")</f>
        <v>OH Part</v>
      </c>
      <c r="P2687" t="str" cm="1">
        <f t="array" ref="P2687">IFERROR(LOOKUP(2,1/SEARCH($Y$2:$Y$65,G2687),$Z$2:$Z$65),"Not Defined")</f>
        <v>OH Part</v>
      </c>
      <c r="Q2687" t="str" cm="1">
        <f t="array" ref="Q2687">IFERROR(LOOKUP(2,1/SEARCH($S$2:$S$65,H2687),$T$2:$T$65),"-")</f>
        <v>OH ASSY</v>
      </c>
    </row>
    <row r="2688" spans="1:17" hidden="1" x14ac:dyDescent="0.25">
      <c r="A2688" t="s">
        <v>7676</v>
      </c>
      <c r="B2688" t="s">
        <v>6695</v>
      </c>
      <c r="C2688">
        <v>1</v>
      </c>
      <c r="D2688" t="s">
        <v>7643</v>
      </c>
      <c r="F2688" t="s">
        <v>6696</v>
      </c>
      <c r="G2688" t="s">
        <v>6698</v>
      </c>
      <c r="H2688" t="s">
        <v>6697</v>
      </c>
      <c r="I2688" t="s">
        <v>255</v>
      </c>
      <c r="J2688" t="s">
        <v>7682</v>
      </c>
      <c r="K2688" t="s">
        <v>7826</v>
      </c>
      <c r="L2688" t="s">
        <v>7826</v>
      </c>
      <c r="N2688" t="str" cm="1">
        <f t="array" ref="N2688">IFERROR(LOOKUP(2,1/SEARCH($S$2:$S$65,G2688),$T$2:$T$65),"Misc")</f>
        <v>OH P/N</v>
      </c>
      <c r="O2688" t="str" cm="1">
        <f t="array" ref="O2688">IFERROR(LOOKUP(2,1/SEARCH($V$2:$V$65,G2688),$W$2:$W$65),"Misc")</f>
        <v>OH Part</v>
      </c>
      <c r="P2688" t="str" cm="1">
        <f t="array" ref="P2688">IFERROR(LOOKUP(2,1/SEARCH($Y$2:$Y$65,G2688),$Z$2:$Z$65),"Not Defined")</f>
        <v>OH Part</v>
      </c>
      <c r="Q2688" t="str" cm="1">
        <f t="array" ref="Q2688">IFERROR(LOOKUP(2,1/SEARCH($S$2:$S$65,H2688),$T$2:$T$65),"-")</f>
        <v>-</v>
      </c>
    </row>
    <row r="2689" spans="1:17" hidden="1" x14ac:dyDescent="0.25">
      <c r="A2689" t="s">
        <v>7676</v>
      </c>
      <c r="B2689" t="s">
        <v>6699</v>
      </c>
      <c r="C2689">
        <v>1</v>
      </c>
      <c r="D2689" t="s">
        <v>7643</v>
      </c>
      <c r="F2689" t="s">
        <v>6700</v>
      </c>
      <c r="G2689" t="s">
        <v>6702</v>
      </c>
      <c r="H2689" t="s">
        <v>6701</v>
      </c>
      <c r="I2689" t="s">
        <v>293</v>
      </c>
      <c r="J2689" t="s">
        <v>7682</v>
      </c>
      <c r="K2689" t="s">
        <v>7826</v>
      </c>
      <c r="L2689" t="s">
        <v>7826</v>
      </c>
      <c r="N2689" t="str" cm="1">
        <f t="array" ref="N2689">IFERROR(LOOKUP(2,1/SEARCH($S$2:$S$65,G2689),$T$2:$T$65),"Misc")</f>
        <v>OH P/N</v>
      </c>
      <c r="O2689" t="str" cm="1">
        <f t="array" ref="O2689">IFERROR(LOOKUP(2,1/SEARCH($V$2:$V$65,G2689),$W$2:$W$65),"Misc")</f>
        <v>OH Part</v>
      </c>
      <c r="P2689" t="str" cm="1">
        <f t="array" ref="P2689">IFERROR(LOOKUP(2,1/SEARCH($Y$2:$Y$65,G2689),$Z$2:$Z$65),"Not Defined")</f>
        <v>OH Part</v>
      </c>
      <c r="Q2689" t="str" cm="1">
        <f t="array" ref="Q2689">IFERROR(LOOKUP(2,1/SEARCH($S$2:$S$65,H2689),$T$2:$T$65),"-")</f>
        <v>-</v>
      </c>
    </row>
    <row r="2690" spans="1:17" hidden="1" x14ac:dyDescent="0.25">
      <c r="A2690" t="s">
        <v>7676</v>
      </c>
      <c r="B2690" t="s">
        <v>6703</v>
      </c>
      <c r="C2690">
        <v>1</v>
      </c>
      <c r="D2690" t="s">
        <v>7643</v>
      </c>
      <c r="F2690" t="s">
        <v>6704</v>
      </c>
      <c r="G2690" t="s">
        <v>6706</v>
      </c>
      <c r="H2690" t="s">
        <v>6705</v>
      </c>
      <c r="I2690" t="s">
        <v>293</v>
      </c>
      <c r="J2690" t="s">
        <v>7682</v>
      </c>
      <c r="K2690" t="s">
        <v>7826</v>
      </c>
      <c r="L2690" t="s">
        <v>7826</v>
      </c>
      <c r="N2690" t="str" cm="1">
        <f t="array" ref="N2690">IFERROR(LOOKUP(2,1/SEARCH($S$2:$S$65,G2690),$T$2:$T$65),"Misc")</f>
        <v>OH P/N</v>
      </c>
      <c r="O2690" t="str" cm="1">
        <f t="array" ref="O2690">IFERROR(LOOKUP(2,1/SEARCH($V$2:$V$65,G2690),$W$2:$W$65),"Misc")</f>
        <v>OH Part</v>
      </c>
      <c r="P2690" t="str" cm="1">
        <f t="array" ref="P2690">IFERROR(LOOKUP(2,1/SEARCH($Y$2:$Y$65,G2690),$Z$2:$Z$65),"Not Defined")</f>
        <v>OH Part</v>
      </c>
      <c r="Q2690" t="str" cm="1">
        <f t="array" ref="Q2690">IFERROR(LOOKUP(2,1/SEARCH($S$2:$S$65,H2690),$T$2:$T$65),"-")</f>
        <v>-</v>
      </c>
    </row>
    <row r="2691" spans="1:17" hidden="1" x14ac:dyDescent="0.25">
      <c r="A2691" t="s">
        <v>7676</v>
      </c>
      <c r="B2691" t="s">
        <v>6707</v>
      </c>
      <c r="C2691">
        <v>1</v>
      </c>
      <c r="D2691" t="s">
        <v>7643</v>
      </c>
      <c r="F2691" t="s">
        <v>6708</v>
      </c>
      <c r="G2691" t="s">
        <v>6710</v>
      </c>
      <c r="H2691" t="s">
        <v>6709</v>
      </c>
      <c r="I2691" t="s">
        <v>281</v>
      </c>
      <c r="J2691" t="s">
        <v>7682</v>
      </c>
      <c r="K2691" t="s">
        <v>7826</v>
      </c>
      <c r="L2691" t="s">
        <v>7826</v>
      </c>
      <c r="N2691" t="str" cm="1">
        <f t="array" ref="N2691">IFERROR(LOOKUP(2,1/SEARCH($S$2:$S$65,G2691),$T$2:$T$65),"Misc")</f>
        <v>OH P/N</v>
      </c>
      <c r="O2691" t="str" cm="1">
        <f t="array" ref="O2691">IFERROR(LOOKUP(2,1/SEARCH($V$2:$V$65,G2691),$W$2:$W$65),"Misc")</f>
        <v>OH Part</v>
      </c>
      <c r="P2691" t="str" cm="1">
        <f t="array" ref="P2691">IFERROR(LOOKUP(2,1/SEARCH($Y$2:$Y$65,G2691),$Z$2:$Z$65),"Not Defined")</f>
        <v>OH Part</v>
      </c>
      <c r="Q2691" t="str" cm="1">
        <f t="array" ref="Q2691">IFERROR(LOOKUP(2,1/SEARCH($S$2:$S$65,H2691),$T$2:$T$65),"-")</f>
        <v>-</v>
      </c>
    </row>
    <row r="2692" spans="1:17" hidden="1" x14ac:dyDescent="0.25">
      <c r="A2692" t="s">
        <v>7676</v>
      </c>
      <c r="B2692" t="s">
        <v>6711</v>
      </c>
      <c r="C2692">
        <v>5</v>
      </c>
      <c r="D2692" t="s">
        <v>7643</v>
      </c>
      <c r="F2692" t="s">
        <v>2213</v>
      </c>
      <c r="G2692" t="s">
        <v>7262</v>
      </c>
      <c r="H2692" t="s">
        <v>2214</v>
      </c>
      <c r="I2692" t="s">
        <v>255</v>
      </c>
      <c r="J2692" t="s">
        <v>7703</v>
      </c>
      <c r="K2692" t="s">
        <v>7722</v>
      </c>
      <c r="L2692" t="s">
        <v>7722</v>
      </c>
      <c r="N2692" t="str" cm="1">
        <f t="array" ref="N2692">IFERROR(LOOKUP(2,1/SEARCH($S$2:$S$65,G2692),$T$2:$T$65),"Misc")</f>
        <v>COTS</v>
      </c>
      <c r="O2692" t="str" cm="1">
        <f t="array" ref="O2692">IFERROR(LOOKUP(2,1/SEARCH($V$2:$V$65,G2692),$W$2:$W$65),"Misc")</f>
        <v>POT</v>
      </c>
      <c r="P2692" t="str" cm="1">
        <f t="array" ref="P2692">IFERROR(LOOKUP(2,1/SEARCH($Y$2:$Y$65,G2692),$Z$2:$Z$65),"Not Defined")</f>
        <v>POT</v>
      </c>
      <c r="Q2692" t="str" cm="1">
        <f t="array" ref="Q2692">IFERROR(LOOKUP(2,1/SEARCH($S$2:$S$65,H2692),$T$2:$T$65),"-")</f>
        <v>COTS</v>
      </c>
    </row>
    <row r="2693" spans="1:17" hidden="1" x14ac:dyDescent="0.25">
      <c r="A2693" t="s">
        <v>7676</v>
      </c>
      <c r="B2693" t="s">
        <v>6712</v>
      </c>
      <c r="C2693">
        <v>1</v>
      </c>
      <c r="D2693" t="s">
        <v>7643</v>
      </c>
      <c r="F2693" t="s">
        <v>6713</v>
      </c>
      <c r="G2693" t="s">
        <v>7644</v>
      </c>
      <c r="H2693" t="s">
        <v>6714</v>
      </c>
      <c r="I2693" t="s">
        <v>255</v>
      </c>
      <c r="J2693" t="s">
        <v>7703</v>
      </c>
      <c r="K2693" t="s">
        <v>7677</v>
      </c>
      <c r="L2693" t="s">
        <v>7677</v>
      </c>
      <c r="N2693" t="str" cm="1">
        <f t="array" ref="N2693">IFERROR(LOOKUP(2,1/SEARCH($S$2:$S$65,G2693),$T$2:$T$65),"Misc")</f>
        <v>COTS</v>
      </c>
      <c r="O2693" t="str" cm="1">
        <f t="array" ref="O2693">IFERROR(LOOKUP(2,1/SEARCH($V$2:$V$65,G2693),$W$2:$W$65),"Misc")</f>
        <v>SWITCH</v>
      </c>
      <c r="P2693" t="str" cm="1">
        <f t="array" ref="P2693">IFERROR(LOOKUP(2,1/SEARCH($Y$2:$Y$65,G2693),$Z$2:$Z$65),"Not Defined")</f>
        <v>SWITCH</v>
      </c>
      <c r="Q2693" t="str" cm="1">
        <f t="array" ref="Q2693">IFERROR(LOOKUP(2,1/SEARCH($S$2:$S$65,H2693),$T$2:$T$65),"-")</f>
        <v>COTS</v>
      </c>
    </row>
    <row r="2694" spans="1:17" hidden="1" x14ac:dyDescent="0.25">
      <c r="A2694" t="s">
        <v>7676</v>
      </c>
      <c r="B2694" t="s">
        <v>6715</v>
      </c>
      <c r="C2694">
        <v>1</v>
      </c>
      <c r="D2694" t="s">
        <v>7643</v>
      </c>
      <c r="E2694" t="s">
        <v>4760</v>
      </c>
      <c r="F2694" t="s">
        <v>4759</v>
      </c>
      <c r="G2694" t="s">
        <v>7490</v>
      </c>
      <c r="H2694" t="s">
        <v>4760</v>
      </c>
      <c r="J2694" t="s">
        <v>7744</v>
      </c>
      <c r="K2694" t="s">
        <v>7826</v>
      </c>
      <c r="L2694" t="s">
        <v>7826</v>
      </c>
      <c r="N2694" t="str" cm="1">
        <f t="array" ref="N2694">IFERROR(LOOKUP(2,1/SEARCH($S$2:$S$65,G2694),$T$2:$T$65),"Misc")</f>
        <v>OH Common</v>
      </c>
      <c r="O2694" t="str" cm="1">
        <f t="array" ref="O2694">IFERROR(LOOKUP(2,1/SEARCH($V$2:$V$65,G2694),$W$2:$W$65),"Misc")</f>
        <v>OH Part</v>
      </c>
      <c r="P2694" t="str" cm="1">
        <f t="array" ref="P2694">IFERROR(LOOKUP(2,1/SEARCH($Y$2:$Y$65,G2694),$Z$2:$Z$65),"Not Defined")</f>
        <v>OH Part</v>
      </c>
      <c r="Q2694" t="str" cm="1">
        <f t="array" ref="Q2694">IFERROR(LOOKUP(2,1/SEARCH($S$2:$S$65,H2694),$T$2:$T$65),"-")</f>
        <v>OH ASSY</v>
      </c>
    </row>
    <row r="2695" spans="1:17" hidden="1" x14ac:dyDescent="0.25">
      <c r="A2695" t="s">
        <v>7676</v>
      </c>
      <c r="B2695" t="s">
        <v>6716</v>
      </c>
      <c r="C2695">
        <v>1</v>
      </c>
      <c r="D2695" t="s">
        <v>7643</v>
      </c>
      <c r="E2695" t="s">
        <v>4760</v>
      </c>
      <c r="F2695" t="s">
        <v>1513</v>
      </c>
      <c r="G2695" t="s">
        <v>7215</v>
      </c>
      <c r="H2695" t="s">
        <v>1514</v>
      </c>
      <c r="I2695" t="s">
        <v>255</v>
      </c>
      <c r="J2695" t="s">
        <v>7703</v>
      </c>
      <c r="K2695" t="s">
        <v>7677</v>
      </c>
      <c r="L2695" t="s">
        <v>7677</v>
      </c>
      <c r="N2695" t="str" cm="1">
        <f t="array" ref="N2695">IFERROR(LOOKUP(2,1/SEARCH($S$2:$S$65,G2695),$T$2:$T$65),"Misc")</f>
        <v>COTS</v>
      </c>
      <c r="O2695" t="str" cm="1">
        <f t="array" ref="O2695">IFERROR(LOOKUP(2,1/SEARCH($V$2:$V$65,G2695),$W$2:$W$65),"Misc")</f>
        <v>SWITCH</v>
      </c>
      <c r="P2695" t="str" cm="1">
        <f t="array" ref="P2695">IFERROR(LOOKUP(2,1/SEARCH($Y$2:$Y$65,G2695),$Z$2:$Z$65),"Not Defined")</f>
        <v>SWITCH</v>
      </c>
      <c r="Q2695" t="str" cm="1">
        <f t="array" ref="Q2695">IFERROR(LOOKUP(2,1/SEARCH($S$2:$S$65,H2695),$T$2:$T$65),"-")</f>
        <v>COTS</v>
      </c>
    </row>
    <row r="2696" spans="1:17" hidden="1" x14ac:dyDescent="0.25">
      <c r="A2696" t="s">
        <v>7676</v>
      </c>
      <c r="B2696" t="s">
        <v>6717</v>
      </c>
      <c r="C2696">
        <v>1</v>
      </c>
      <c r="D2696" t="s">
        <v>7643</v>
      </c>
      <c r="E2696" t="s">
        <v>4760</v>
      </c>
      <c r="F2696" t="s">
        <v>4763</v>
      </c>
      <c r="G2696" t="s">
        <v>7491</v>
      </c>
      <c r="H2696" t="s">
        <v>4764</v>
      </c>
      <c r="I2696" t="s">
        <v>299</v>
      </c>
      <c r="J2696" t="s">
        <v>7744</v>
      </c>
      <c r="K2696" t="s">
        <v>7826</v>
      </c>
      <c r="L2696" t="s">
        <v>7826</v>
      </c>
      <c r="N2696" t="str" cm="1">
        <f t="array" ref="N2696">IFERROR(LOOKUP(2,1/SEARCH($S$2:$S$65,G2696),$T$2:$T$65),"Misc")</f>
        <v>OH Common</v>
      </c>
      <c r="O2696" t="str" cm="1">
        <f t="array" ref="O2696">IFERROR(LOOKUP(2,1/SEARCH($V$2:$V$65,G2696),$W$2:$W$65),"Misc")</f>
        <v>OH Part</v>
      </c>
      <c r="P2696" t="str" cm="1">
        <f t="array" ref="P2696">IFERROR(LOOKUP(2,1/SEARCH($Y$2:$Y$65,G2696),$Z$2:$Z$65),"Not Defined")</f>
        <v>OH Part</v>
      </c>
      <c r="Q2696" t="str" cm="1">
        <f t="array" ref="Q2696">IFERROR(LOOKUP(2,1/SEARCH($S$2:$S$65,H2696),$T$2:$T$65),"-")</f>
        <v>COTS</v>
      </c>
    </row>
    <row r="2697" spans="1:17" hidden="1" x14ac:dyDescent="0.25">
      <c r="A2697" t="s">
        <v>7676</v>
      </c>
      <c r="B2697" t="s">
        <v>6718</v>
      </c>
      <c r="C2697">
        <v>4</v>
      </c>
      <c r="D2697" t="s">
        <v>7643</v>
      </c>
      <c r="F2697" t="s">
        <v>519</v>
      </c>
      <c r="G2697" t="s">
        <v>7097</v>
      </c>
      <c r="H2697" t="s">
        <v>520</v>
      </c>
      <c r="I2697" t="s">
        <v>228</v>
      </c>
      <c r="J2697" t="s">
        <v>7703</v>
      </c>
      <c r="K2697" t="s">
        <v>7684</v>
      </c>
      <c r="L2697" t="s">
        <v>7693</v>
      </c>
      <c r="N2697" t="str" cm="1">
        <f t="array" ref="N2697">IFERROR(LOOKUP(2,1/SEARCH($S$2:$S$65,G2697),$T$2:$T$65),"Misc")</f>
        <v>COTS</v>
      </c>
      <c r="O2697" t="str" cm="1">
        <f t="array" ref="O2697">IFERROR(LOOKUP(2,1/SEARCH($V$2:$V$65,G2697),$W$2:$W$65),"Misc")</f>
        <v>Fasteners</v>
      </c>
      <c r="P2697" t="str" cm="1">
        <f t="array" ref="P2697">IFERROR(LOOKUP(2,1/SEARCH($Y$2:$Y$65,G2697),$Z$2:$Z$65),"Not Defined")</f>
        <v>PHS</v>
      </c>
      <c r="Q2697" t="str" cm="1">
        <f t="array" ref="Q2697">IFERROR(LOOKUP(2,1/SEARCH($S$2:$S$65,H2697),$T$2:$T$65),"-")</f>
        <v>COTS</v>
      </c>
    </row>
    <row r="2698" spans="1:17" hidden="1" x14ac:dyDescent="0.25">
      <c r="A2698" t="s">
        <v>7676</v>
      </c>
      <c r="B2698" t="s">
        <v>6719</v>
      </c>
      <c r="C2698">
        <v>1</v>
      </c>
      <c r="D2698" t="s">
        <v>7643</v>
      </c>
      <c r="F2698" t="s">
        <v>941</v>
      </c>
      <c r="G2698" t="s">
        <v>7136</v>
      </c>
      <c r="H2698" t="s">
        <v>942</v>
      </c>
      <c r="I2698" t="s">
        <v>210</v>
      </c>
      <c r="J2698" t="s">
        <v>7703</v>
      </c>
      <c r="K2698" t="s">
        <v>7684</v>
      </c>
      <c r="L2698" t="s">
        <v>7685</v>
      </c>
      <c r="N2698" t="str" cm="1">
        <f t="array" ref="N2698">IFERROR(LOOKUP(2,1/SEARCH($S$2:$S$65,G2698),$T$2:$T$65),"Misc")</f>
        <v>COTS</v>
      </c>
      <c r="O2698" t="str" cm="1">
        <f t="array" ref="O2698">IFERROR(LOOKUP(2,1/SEARCH($V$2:$V$65,G2698),$W$2:$W$65),"Misc")</f>
        <v>Fasteners</v>
      </c>
      <c r="P2698" t="str" cm="1">
        <f t="array" ref="P2698">IFERROR(LOOKUP(2,1/SEARCH($Y$2:$Y$65,G2698),$Z$2:$Z$65),"Not Defined")</f>
        <v>NUT</v>
      </c>
      <c r="Q2698" t="str" cm="1">
        <f t="array" ref="Q2698">IFERROR(LOOKUP(2,1/SEARCH($S$2:$S$65,H2698),$T$2:$T$65),"-")</f>
        <v>COTS</v>
      </c>
    </row>
    <row r="2699" spans="1:17" hidden="1" x14ac:dyDescent="0.25">
      <c r="A2699" t="s">
        <v>7676</v>
      </c>
      <c r="B2699" t="s">
        <v>6720</v>
      </c>
      <c r="C2699">
        <v>3</v>
      </c>
      <c r="D2699" t="s">
        <v>7643</v>
      </c>
      <c r="F2699" t="s">
        <v>577</v>
      </c>
      <c r="G2699" t="s">
        <v>7104</v>
      </c>
      <c r="H2699" t="s">
        <v>578</v>
      </c>
      <c r="I2699" t="s">
        <v>299</v>
      </c>
      <c r="J2699" t="s">
        <v>7703</v>
      </c>
      <c r="K2699" t="s">
        <v>7684</v>
      </c>
      <c r="L2699" t="s">
        <v>7708</v>
      </c>
      <c r="N2699" t="str" cm="1">
        <f t="array" ref="N2699">IFERROR(LOOKUP(2,1/SEARCH($S$2:$S$65,G2699),$T$2:$T$65),"Misc")</f>
        <v>COTS</v>
      </c>
      <c r="O2699" t="str" cm="1">
        <f t="array" ref="O2699">IFERROR(LOOKUP(2,1/SEARCH($V$2:$V$65,G2699),$W$2:$W$65),"Misc")</f>
        <v>Fasteners</v>
      </c>
      <c r="P2699" t="str" cm="1">
        <f t="array" ref="P2699">IFERROR(LOOKUP(2,1/SEARCH($Y$2:$Y$65,G2699),$Z$2:$Z$65),"Not Defined")</f>
        <v>STANDOFF</v>
      </c>
      <c r="Q2699" t="str" cm="1">
        <f t="array" ref="Q2699">IFERROR(LOOKUP(2,1/SEARCH($S$2:$S$65,H2699),$T$2:$T$65),"-")</f>
        <v>COTS</v>
      </c>
    </row>
    <row r="2700" spans="1:17" hidden="1" x14ac:dyDescent="0.25">
      <c r="A2700" t="s">
        <v>7676</v>
      </c>
      <c r="B2700" t="s">
        <v>6721</v>
      </c>
      <c r="C2700">
        <v>1</v>
      </c>
      <c r="D2700" t="s">
        <v>7643</v>
      </c>
      <c r="E2700" t="s">
        <v>6723</v>
      </c>
      <c r="F2700" t="s">
        <v>6722</v>
      </c>
      <c r="G2700" t="s">
        <v>6724</v>
      </c>
      <c r="H2700" t="s">
        <v>6723</v>
      </c>
      <c r="J2700" t="s">
        <v>7815</v>
      </c>
      <c r="K2700" t="s">
        <v>7826</v>
      </c>
      <c r="L2700" t="s">
        <v>7826</v>
      </c>
      <c r="N2700" t="str" cm="1">
        <f t="array" ref="N2700">IFERROR(LOOKUP(2,1/SEARCH($S$2:$S$65,G2700),$T$2:$T$65),"Misc")</f>
        <v>OH ASSY</v>
      </c>
      <c r="O2700" t="str" cm="1">
        <f t="array" ref="O2700">IFERROR(LOOKUP(2,1/SEARCH($V$2:$V$65,G2700),$W$2:$W$65),"Misc")</f>
        <v>OH Part</v>
      </c>
      <c r="P2700" t="str" cm="1">
        <f t="array" ref="P2700">IFERROR(LOOKUP(2,1/SEARCH($Y$2:$Y$65,G2700),$Z$2:$Z$65),"Not Defined")</f>
        <v>OH Part</v>
      </c>
      <c r="Q2700" t="str" cm="1">
        <f t="array" ref="Q2700">IFERROR(LOOKUP(2,1/SEARCH($S$2:$S$65,H2700),$T$2:$T$65),"-")</f>
        <v>OH ASSY</v>
      </c>
    </row>
    <row r="2701" spans="1:17" hidden="1" x14ac:dyDescent="0.25">
      <c r="A2701" t="s">
        <v>7676</v>
      </c>
      <c r="B2701" t="s">
        <v>6725</v>
      </c>
      <c r="C2701">
        <v>1</v>
      </c>
      <c r="D2701" t="s">
        <v>7643</v>
      </c>
      <c r="E2701" t="s">
        <v>6723</v>
      </c>
      <c r="F2701" t="s">
        <v>6726</v>
      </c>
      <c r="G2701" t="s">
        <v>6728</v>
      </c>
      <c r="H2701" t="s">
        <v>6727</v>
      </c>
      <c r="I2701" t="s">
        <v>13</v>
      </c>
      <c r="J2701" t="s">
        <v>7682</v>
      </c>
      <c r="K2701" t="s">
        <v>7826</v>
      </c>
      <c r="L2701" t="s">
        <v>7826</v>
      </c>
      <c r="N2701" t="str" cm="1">
        <f t="array" ref="N2701">IFERROR(LOOKUP(2,1/SEARCH($S$2:$S$65,G2701),$T$2:$T$65),"Misc")</f>
        <v>OH P/N</v>
      </c>
      <c r="O2701" t="str" cm="1">
        <f t="array" ref="O2701">IFERROR(LOOKUP(2,1/SEARCH($V$2:$V$65,G2701),$W$2:$W$65),"Misc")</f>
        <v>OH Part</v>
      </c>
      <c r="P2701" t="str" cm="1">
        <f t="array" ref="P2701">IFERROR(LOOKUP(2,1/SEARCH($Y$2:$Y$65,G2701),$Z$2:$Z$65),"Not Defined")</f>
        <v>OH Part</v>
      </c>
      <c r="Q2701" t="str" cm="1">
        <f t="array" ref="Q2701">IFERROR(LOOKUP(2,1/SEARCH($S$2:$S$65,H2701),$T$2:$T$65),"-")</f>
        <v>ABSIS</v>
      </c>
    </row>
    <row r="2702" spans="1:17" hidden="1" x14ac:dyDescent="0.25">
      <c r="A2702" t="s">
        <v>7676</v>
      </c>
      <c r="B2702" t="s">
        <v>6729</v>
      </c>
      <c r="C2702">
        <v>4</v>
      </c>
      <c r="D2702" t="s">
        <v>7643</v>
      </c>
      <c r="E2702" t="s">
        <v>6723</v>
      </c>
      <c r="F2702" t="s">
        <v>583</v>
      </c>
      <c r="G2702" t="s">
        <v>7106</v>
      </c>
      <c r="H2702" t="s">
        <v>584</v>
      </c>
      <c r="I2702" t="s">
        <v>299</v>
      </c>
      <c r="J2702" t="s">
        <v>7703</v>
      </c>
      <c r="K2702" t="s">
        <v>7684</v>
      </c>
      <c r="L2702" t="s">
        <v>7708</v>
      </c>
      <c r="N2702" t="str" cm="1">
        <f t="array" ref="N2702">IFERROR(LOOKUP(2,1/SEARCH($S$2:$S$65,G2702),$T$2:$T$65),"Misc")</f>
        <v>COTS</v>
      </c>
      <c r="O2702" t="str" cm="1">
        <f t="array" ref="O2702">IFERROR(LOOKUP(2,1/SEARCH($V$2:$V$65,G2702),$W$2:$W$65),"Misc")</f>
        <v>Fasteners</v>
      </c>
      <c r="P2702" t="str" cm="1">
        <f t="array" ref="P2702">IFERROR(LOOKUP(2,1/SEARCH($Y$2:$Y$65,G2702),$Z$2:$Z$65),"Not Defined")</f>
        <v>STANDOFF</v>
      </c>
      <c r="Q2702" t="str" cm="1">
        <f t="array" ref="Q2702">IFERROR(LOOKUP(2,1/SEARCH($S$2:$S$65,H2702),$T$2:$T$65),"-")</f>
        <v>COTS</v>
      </c>
    </row>
    <row r="2703" spans="1:17" hidden="1" x14ac:dyDescent="0.25">
      <c r="A2703" t="s">
        <v>7676</v>
      </c>
      <c r="B2703" t="s">
        <v>6730</v>
      </c>
      <c r="C2703">
        <v>8</v>
      </c>
      <c r="D2703" t="s">
        <v>7643</v>
      </c>
      <c r="E2703" t="s">
        <v>6723</v>
      </c>
      <c r="F2703" t="s">
        <v>460</v>
      </c>
      <c r="G2703" t="s">
        <v>7090</v>
      </c>
      <c r="H2703" t="s">
        <v>461</v>
      </c>
      <c r="I2703" t="s">
        <v>224</v>
      </c>
      <c r="J2703" t="s">
        <v>7703</v>
      </c>
      <c r="K2703" t="s">
        <v>7684</v>
      </c>
      <c r="L2703" t="s">
        <v>7693</v>
      </c>
      <c r="N2703" t="str" cm="1">
        <f t="array" ref="N2703">IFERROR(LOOKUP(2,1/SEARCH($S$2:$S$65,G2703),$T$2:$T$65),"Misc")</f>
        <v>COTS</v>
      </c>
      <c r="O2703" t="str" cm="1">
        <f t="array" ref="O2703">IFERROR(LOOKUP(2,1/SEARCH($V$2:$V$65,G2703),$W$2:$W$65),"Misc")</f>
        <v>Fasteners</v>
      </c>
      <c r="P2703" t="str" cm="1">
        <f t="array" ref="P2703">IFERROR(LOOKUP(2,1/SEARCH($Y$2:$Y$65,G2703),$Z$2:$Z$65),"Not Defined")</f>
        <v>PHS</v>
      </c>
      <c r="Q2703" t="str" cm="1">
        <f t="array" ref="Q2703">IFERROR(LOOKUP(2,1/SEARCH($S$2:$S$65,H2703),$T$2:$T$65),"-")</f>
        <v>COTS</v>
      </c>
    </row>
    <row r="2704" spans="1:17" hidden="1" x14ac:dyDescent="0.25">
      <c r="A2704" t="s">
        <v>7676</v>
      </c>
      <c r="B2704" t="s">
        <v>6731</v>
      </c>
      <c r="C2704">
        <v>1</v>
      </c>
      <c r="D2704" t="s">
        <v>7643</v>
      </c>
      <c r="E2704" t="s">
        <v>7947</v>
      </c>
      <c r="F2704" t="s">
        <v>613</v>
      </c>
      <c r="G2704" t="s">
        <v>7110</v>
      </c>
      <c r="H2704" t="s">
        <v>614</v>
      </c>
      <c r="I2704" t="s">
        <v>255</v>
      </c>
      <c r="J2704" t="s">
        <v>7815</v>
      </c>
      <c r="K2704" t="s">
        <v>7717</v>
      </c>
      <c r="L2704" t="s">
        <v>7717</v>
      </c>
      <c r="N2704" t="str" cm="1">
        <f t="array" ref="N2704">IFERROR(LOOKUP(2,1/SEARCH($S$2:$S$65,G2704),$T$2:$T$65),"Misc")</f>
        <v>OH ASSY</v>
      </c>
      <c r="O2704" t="str" cm="1">
        <f t="array" ref="O2704">IFERROR(LOOKUP(2,1/SEARCH($V$2:$V$65,G2704),$W$2:$W$65),"Misc")</f>
        <v>ABSIS</v>
      </c>
      <c r="P2704" t="str" cm="1">
        <f t="array" ref="P2704">IFERROR(LOOKUP(2,1/SEARCH($Y$2:$Y$65,G2704),$Z$2:$Z$65),"Not Defined")</f>
        <v>ABSIS</v>
      </c>
      <c r="Q2704" t="str" cm="1">
        <f t="array" ref="Q2704">IFERROR(LOOKUP(2,1/SEARCH($S$2:$S$65,H2704),$T$2:$T$65),"-")</f>
        <v>OH ASSY</v>
      </c>
    </row>
    <row r="2705" spans="1:17" hidden="1" x14ac:dyDescent="0.25">
      <c r="A2705" t="s">
        <v>7676</v>
      </c>
      <c r="B2705" t="s">
        <v>6732</v>
      </c>
      <c r="C2705">
        <v>1</v>
      </c>
      <c r="D2705" t="s">
        <v>7643</v>
      </c>
      <c r="E2705" t="s">
        <v>7947</v>
      </c>
      <c r="F2705" t="s">
        <v>616</v>
      </c>
      <c r="G2705" t="s">
        <v>7111</v>
      </c>
      <c r="H2705" t="s">
        <v>617</v>
      </c>
      <c r="I2705" t="s">
        <v>255</v>
      </c>
      <c r="J2705" t="s">
        <v>7717</v>
      </c>
      <c r="K2705" t="s">
        <v>7717</v>
      </c>
      <c r="L2705" t="s">
        <v>7717</v>
      </c>
      <c r="N2705" t="str" cm="1">
        <f t="array" ref="N2705">IFERROR(LOOKUP(2,1/SEARCH($S$2:$S$65,G2705),$T$2:$T$65),"Misc")</f>
        <v>ABSIS</v>
      </c>
      <c r="O2705" t="str" cm="1">
        <f t="array" ref="O2705">IFERROR(LOOKUP(2,1/SEARCH($V$2:$V$65,G2705),$W$2:$W$65),"Misc")</f>
        <v>ABSIS</v>
      </c>
      <c r="P2705" t="str" cm="1">
        <f t="array" ref="P2705">IFERROR(LOOKUP(2,1/SEARCH($Y$2:$Y$65,G2705),$Z$2:$Z$65),"Not Defined")</f>
        <v>ABSIS</v>
      </c>
      <c r="Q2705" t="str" cm="1">
        <f t="array" ref="Q2705">IFERROR(LOOKUP(2,1/SEARCH($S$2:$S$65,H2705),$T$2:$T$65),"-")</f>
        <v>ABSIS</v>
      </c>
    </row>
    <row r="2706" spans="1:17" hidden="1" x14ac:dyDescent="0.25">
      <c r="A2706" t="s">
        <v>7676</v>
      </c>
      <c r="B2706" t="s">
        <v>6733</v>
      </c>
      <c r="C2706">
        <v>1</v>
      </c>
      <c r="D2706" t="s">
        <v>7643</v>
      </c>
      <c r="E2706" t="s">
        <v>7947</v>
      </c>
      <c r="F2706" t="s">
        <v>596</v>
      </c>
      <c r="G2706" t="s">
        <v>7108</v>
      </c>
      <c r="H2706" t="s">
        <v>597</v>
      </c>
      <c r="I2706" t="s">
        <v>255</v>
      </c>
      <c r="J2706" t="s">
        <v>7703</v>
      </c>
      <c r="K2706" t="s">
        <v>7713</v>
      </c>
      <c r="L2706" t="s">
        <v>7713</v>
      </c>
      <c r="N2706" t="str" cm="1">
        <f t="array" ref="N2706">IFERROR(LOOKUP(2,1/SEARCH($S$2:$S$65,G2706),$T$2:$T$65),"Misc")</f>
        <v>COTS</v>
      </c>
      <c r="O2706" t="str" cm="1">
        <f t="array" ref="O2706">IFERROR(LOOKUP(2,1/SEARCH($V$2:$V$65,G2706),$W$2:$W$65),"Misc")</f>
        <v>ARDUINO</v>
      </c>
      <c r="P2706" t="str" cm="1">
        <f t="array" ref="P2706">IFERROR(LOOKUP(2,1/SEARCH($Y$2:$Y$65,G2706),$Z$2:$Z$65),"Not Defined")</f>
        <v>ARDUINO</v>
      </c>
      <c r="Q2706" t="str" cm="1">
        <f t="array" ref="Q2706">IFERROR(LOOKUP(2,1/SEARCH($S$2:$S$65,H2706),$T$2:$T$65),"-")</f>
        <v>COTS</v>
      </c>
    </row>
    <row r="2707" spans="1:17" hidden="1" x14ac:dyDescent="0.25">
      <c r="A2707" t="s">
        <v>7676</v>
      </c>
      <c r="B2707" t="s">
        <v>6734</v>
      </c>
      <c r="C2707">
        <v>3</v>
      </c>
      <c r="D2707" t="s">
        <v>7643</v>
      </c>
      <c r="F2707" t="s">
        <v>6735</v>
      </c>
      <c r="G2707" t="s">
        <v>7645</v>
      </c>
      <c r="H2707" t="s">
        <v>6736</v>
      </c>
      <c r="I2707" t="s">
        <v>228</v>
      </c>
      <c r="J2707" t="s">
        <v>7703</v>
      </c>
      <c r="K2707" t="s">
        <v>7684</v>
      </c>
      <c r="L2707" t="s">
        <v>7693</v>
      </c>
      <c r="N2707" t="str" cm="1">
        <f t="array" ref="N2707">IFERROR(LOOKUP(2,1/SEARCH($S$2:$S$65,G2707),$T$2:$T$65),"Misc")</f>
        <v>COTS</v>
      </c>
      <c r="O2707" t="str" cm="1">
        <f t="array" ref="O2707">IFERROR(LOOKUP(2,1/SEARCH($V$2:$V$65,G2707),$W$2:$W$65),"Misc")</f>
        <v>Fasteners</v>
      </c>
      <c r="P2707" t="str" cm="1">
        <f t="array" ref="P2707">IFERROR(LOOKUP(2,1/SEARCH($Y$2:$Y$65,G2707),$Z$2:$Z$65),"Not Defined")</f>
        <v>PHS</v>
      </c>
      <c r="Q2707" t="str" cm="1">
        <f t="array" ref="Q2707">IFERROR(LOOKUP(2,1/SEARCH($S$2:$S$65,H2707),$T$2:$T$65),"-")</f>
        <v>COTS</v>
      </c>
    </row>
    <row r="2708" spans="1:17" hidden="1" x14ac:dyDescent="0.25">
      <c r="A2708" t="s">
        <v>7676</v>
      </c>
      <c r="B2708" t="s">
        <v>6737</v>
      </c>
      <c r="C2708">
        <v>2</v>
      </c>
      <c r="D2708" t="s">
        <v>7643</v>
      </c>
      <c r="E2708" t="s">
        <v>7646</v>
      </c>
      <c r="F2708" t="s">
        <v>6738</v>
      </c>
      <c r="G2708" t="s">
        <v>7646</v>
      </c>
      <c r="H2708" t="s">
        <v>711</v>
      </c>
      <c r="J2708" t="s">
        <v>7744</v>
      </c>
      <c r="K2708" t="s">
        <v>7826</v>
      </c>
      <c r="L2708" t="s">
        <v>7826</v>
      </c>
      <c r="N2708" t="str" cm="1">
        <f t="array" ref="N2708">IFERROR(LOOKUP(2,1/SEARCH($S$2:$S$65,G2708),$T$2:$T$65),"Misc")</f>
        <v>OH Common</v>
      </c>
      <c r="O2708" t="str" cm="1">
        <f t="array" ref="O2708">IFERROR(LOOKUP(2,1/SEARCH($V$2:$V$65,G2708),$W$2:$W$65),"Misc")</f>
        <v>OH Part</v>
      </c>
      <c r="P2708" t="str" cm="1">
        <f t="array" ref="P2708">IFERROR(LOOKUP(2,1/SEARCH($Y$2:$Y$65,G2708),$Z$2:$Z$65),"Not Defined")</f>
        <v>OH Part</v>
      </c>
      <c r="Q2708" t="str" cm="1">
        <f t="array" ref="Q2708">IFERROR(LOOKUP(2,1/SEARCH($S$2:$S$65,H2708),$T$2:$T$65),"-")</f>
        <v>OH ASSY</v>
      </c>
    </row>
    <row r="2709" spans="1:17" hidden="1" x14ac:dyDescent="0.25">
      <c r="A2709" t="s">
        <v>7676</v>
      </c>
      <c r="B2709" t="s">
        <v>6739</v>
      </c>
      <c r="C2709">
        <v>1</v>
      </c>
      <c r="D2709" t="s">
        <v>7643</v>
      </c>
      <c r="E2709" t="s">
        <v>7646</v>
      </c>
      <c r="F2709" t="s">
        <v>6740</v>
      </c>
      <c r="G2709" t="s">
        <v>6741</v>
      </c>
      <c r="H2709" t="s">
        <v>714</v>
      </c>
      <c r="I2709" t="s">
        <v>358</v>
      </c>
      <c r="J2709" t="s">
        <v>7744</v>
      </c>
      <c r="K2709" t="s">
        <v>7826</v>
      </c>
      <c r="L2709" t="s">
        <v>7826</v>
      </c>
      <c r="N2709" t="str" cm="1">
        <f t="array" ref="N2709">IFERROR(LOOKUP(2,1/SEARCH($S$2:$S$65,G2709),$T$2:$T$65),"Misc")</f>
        <v>OH Common</v>
      </c>
      <c r="O2709" t="str" cm="1">
        <f t="array" ref="O2709">IFERROR(LOOKUP(2,1/SEARCH($V$2:$V$65,G2709),$W$2:$W$65),"Misc")</f>
        <v>OH Part</v>
      </c>
      <c r="P2709" t="str" cm="1">
        <f t="array" ref="P2709">IFERROR(LOOKUP(2,1/SEARCH($Y$2:$Y$65,G2709),$Z$2:$Z$65),"Not Defined")</f>
        <v>OH Part</v>
      </c>
      <c r="Q2709" t="str" cm="1">
        <f t="array" ref="Q2709">IFERROR(LOOKUP(2,1/SEARCH($S$2:$S$65,H2709),$T$2:$T$65),"-")</f>
        <v>-</v>
      </c>
    </row>
    <row r="2710" spans="1:17" hidden="1" x14ac:dyDescent="0.25">
      <c r="A2710" t="s">
        <v>7676</v>
      </c>
      <c r="B2710" t="s">
        <v>6742</v>
      </c>
      <c r="C2710">
        <v>2</v>
      </c>
      <c r="D2710" t="s">
        <v>7643</v>
      </c>
      <c r="E2710" t="s">
        <v>7646</v>
      </c>
      <c r="F2710" t="s">
        <v>1551</v>
      </c>
      <c r="G2710" t="s">
        <v>7225</v>
      </c>
      <c r="H2710" t="s">
        <v>1552</v>
      </c>
      <c r="I2710" t="s">
        <v>228</v>
      </c>
      <c r="J2710" t="s">
        <v>7703</v>
      </c>
      <c r="K2710" t="s">
        <v>7684</v>
      </c>
      <c r="L2710" t="s">
        <v>7721</v>
      </c>
      <c r="N2710" t="str" cm="1">
        <f t="array" ref="N2710">IFERROR(LOOKUP(2,1/SEARCH($S$2:$S$65,G2710),$T$2:$T$65),"Misc")</f>
        <v>COTS</v>
      </c>
      <c r="O2710" t="str" cm="1">
        <f t="array" ref="O2710">IFERROR(LOOKUP(2,1/SEARCH($V$2:$V$65,G2710),$W$2:$W$65),"Misc")</f>
        <v>Fasteners</v>
      </c>
      <c r="P2710" t="str" cm="1">
        <f t="array" ref="P2710">IFERROR(LOOKUP(2,1/SEARCH($Y$2:$Y$65,G2710),$Z$2:$Z$65),"Not Defined")</f>
        <v>SET SCREW</v>
      </c>
      <c r="Q2710" t="str" cm="1">
        <f t="array" ref="Q2710">IFERROR(LOOKUP(2,1/SEARCH($S$2:$S$65,H2710),$T$2:$T$65),"-")</f>
        <v>COTS</v>
      </c>
    </row>
    <row r="2711" spans="1:17" hidden="1" x14ac:dyDescent="0.25">
      <c r="A2711" t="s">
        <v>7676</v>
      </c>
      <c r="B2711" t="s">
        <v>6743</v>
      </c>
      <c r="C2711">
        <v>1</v>
      </c>
      <c r="D2711" t="s">
        <v>7643</v>
      </c>
      <c r="E2711" t="s">
        <v>7647</v>
      </c>
      <c r="F2711" t="s">
        <v>6744</v>
      </c>
      <c r="G2711" t="s">
        <v>7647</v>
      </c>
      <c r="H2711" t="s">
        <v>711</v>
      </c>
      <c r="J2711" t="s">
        <v>7744</v>
      </c>
      <c r="K2711" t="s">
        <v>7826</v>
      </c>
      <c r="L2711" t="s">
        <v>7826</v>
      </c>
      <c r="N2711" t="str" cm="1">
        <f t="array" ref="N2711">IFERROR(LOOKUP(2,1/SEARCH($S$2:$S$65,G2711),$T$2:$T$65),"Misc")</f>
        <v>OH Common</v>
      </c>
      <c r="O2711" t="str" cm="1">
        <f t="array" ref="O2711">IFERROR(LOOKUP(2,1/SEARCH($V$2:$V$65,G2711),$W$2:$W$65),"Misc")</f>
        <v>OH Part</v>
      </c>
      <c r="P2711" t="str" cm="1">
        <f t="array" ref="P2711">IFERROR(LOOKUP(2,1/SEARCH($Y$2:$Y$65,G2711),$Z$2:$Z$65),"Not Defined")</f>
        <v>OH Part</v>
      </c>
      <c r="Q2711" t="str" cm="1">
        <f t="array" ref="Q2711">IFERROR(LOOKUP(2,1/SEARCH($S$2:$S$65,H2711),$T$2:$T$65),"-")</f>
        <v>OH ASSY</v>
      </c>
    </row>
    <row r="2712" spans="1:17" hidden="1" x14ac:dyDescent="0.25">
      <c r="A2712" t="s">
        <v>7676</v>
      </c>
      <c r="B2712" t="s">
        <v>6745</v>
      </c>
      <c r="C2712">
        <v>1</v>
      </c>
      <c r="D2712" t="s">
        <v>7643</v>
      </c>
      <c r="E2712" t="s">
        <v>7647</v>
      </c>
      <c r="F2712" t="s">
        <v>6746</v>
      </c>
      <c r="G2712" t="s">
        <v>6747</v>
      </c>
      <c r="H2712" t="s">
        <v>714</v>
      </c>
      <c r="I2712" t="s">
        <v>358</v>
      </c>
      <c r="J2712" t="s">
        <v>7744</v>
      </c>
      <c r="K2712" t="s">
        <v>7826</v>
      </c>
      <c r="L2712" t="s">
        <v>7826</v>
      </c>
      <c r="N2712" t="str" cm="1">
        <f t="array" ref="N2712">IFERROR(LOOKUP(2,1/SEARCH($S$2:$S$65,G2712),$T$2:$T$65),"Misc")</f>
        <v>OH Common</v>
      </c>
      <c r="O2712" t="str" cm="1">
        <f t="array" ref="O2712">IFERROR(LOOKUP(2,1/SEARCH($V$2:$V$65,G2712),$W$2:$W$65),"Misc")</f>
        <v>OH Part</v>
      </c>
      <c r="P2712" t="str" cm="1">
        <f t="array" ref="P2712">IFERROR(LOOKUP(2,1/SEARCH($Y$2:$Y$65,G2712),$Z$2:$Z$65),"Not Defined")</f>
        <v>OH Part</v>
      </c>
      <c r="Q2712" t="str" cm="1">
        <f t="array" ref="Q2712">IFERROR(LOOKUP(2,1/SEARCH($S$2:$S$65,H2712),$T$2:$T$65),"-")</f>
        <v>-</v>
      </c>
    </row>
    <row r="2713" spans="1:17" hidden="1" x14ac:dyDescent="0.25">
      <c r="A2713" t="s">
        <v>7676</v>
      </c>
      <c r="B2713" t="s">
        <v>6748</v>
      </c>
      <c r="C2713">
        <v>2</v>
      </c>
      <c r="D2713" t="s">
        <v>7643</v>
      </c>
      <c r="E2713" t="s">
        <v>7647</v>
      </c>
      <c r="F2713" t="s">
        <v>1551</v>
      </c>
      <c r="G2713" t="s">
        <v>7225</v>
      </c>
      <c r="H2713" t="s">
        <v>1552</v>
      </c>
      <c r="I2713" t="s">
        <v>228</v>
      </c>
      <c r="J2713" t="s">
        <v>7703</v>
      </c>
      <c r="K2713" t="s">
        <v>7684</v>
      </c>
      <c r="L2713" t="s">
        <v>7721</v>
      </c>
      <c r="N2713" t="str" cm="1">
        <f t="array" ref="N2713">IFERROR(LOOKUP(2,1/SEARCH($S$2:$S$65,G2713),$T$2:$T$65),"Misc")</f>
        <v>COTS</v>
      </c>
      <c r="O2713" t="str" cm="1">
        <f t="array" ref="O2713">IFERROR(LOOKUP(2,1/SEARCH($V$2:$V$65,G2713),$W$2:$W$65),"Misc")</f>
        <v>Fasteners</v>
      </c>
      <c r="P2713" t="str" cm="1">
        <f t="array" ref="P2713">IFERROR(LOOKUP(2,1/SEARCH($Y$2:$Y$65,G2713),$Z$2:$Z$65),"Not Defined")</f>
        <v>SET SCREW</v>
      </c>
      <c r="Q2713" t="str" cm="1">
        <f t="array" ref="Q2713">IFERROR(LOOKUP(2,1/SEARCH($S$2:$S$65,H2713),$T$2:$T$65),"-")</f>
        <v>COTS</v>
      </c>
    </row>
    <row r="2714" spans="1:17" hidden="1" x14ac:dyDescent="0.25">
      <c r="A2714" t="s">
        <v>7676</v>
      </c>
      <c r="B2714" t="s">
        <v>6749</v>
      </c>
      <c r="C2714">
        <v>2</v>
      </c>
      <c r="D2714" t="s">
        <v>7643</v>
      </c>
      <c r="E2714" t="s">
        <v>7517</v>
      </c>
      <c r="F2714" t="s">
        <v>4969</v>
      </c>
      <c r="G2714" t="s">
        <v>7517</v>
      </c>
      <c r="H2714" t="s">
        <v>711</v>
      </c>
      <c r="J2714" t="s">
        <v>7744</v>
      </c>
      <c r="K2714" t="s">
        <v>7826</v>
      </c>
      <c r="L2714" t="s">
        <v>7826</v>
      </c>
      <c r="N2714" t="str" cm="1">
        <f t="array" ref="N2714">IFERROR(LOOKUP(2,1/SEARCH($S$2:$S$65,G2714),$T$2:$T$65),"Misc")</f>
        <v>OH Common</v>
      </c>
      <c r="O2714" t="str" cm="1">
        <f t="array" ref="O2714">IFERROR(LOOKUP(2,1/SEARCH($V$2:$V$65,G2714),$W$2:$W$65),"Misc")</f>
        <v>OH Part</v>
      </c>
      <c r="P2714" t="str" cm="1">
        <f t="array" ref="P2714">IFERROR(LOOKUP(2,1/SEARCH($Y$2:$Y$65,G2714),$Z$2:$Z$65),"Not Defined")</f>
        <v>OH Part</v>
      </c>
      <c r="Q2714" t="str" cm="1">
        <f t="array" ref="Q2714">IFERROR(LOOKUP(2,1/SEARCH($S$2:$S$65,H2714),$T$2:$T$65),"-")</f>
        <v>OH ASSY</v>
      </c>
    </row>
    <row r="2715" spans="1:17" hidden="1" x14ac:dyDescent="0.25">
      <c r="A2715" t="s">
        <v>7676</v>
      </c>
      <c r="B2715" t="s">
        <v>6750</v>
      </c>
      <c r="C2715">
        <v>1</v>
      </c>
      <c r="D2715" t="s">
        <v>7643</v>
      </c>
      <c r="E2715" t="s">
        <v>7517</v>
      </c>
      <c r="F2715" t="s">
        <v>4971</v>
      </c>
      <c r="G2715" t="s">
        <v>4972</v>
      </c>
      <c r="H2715" t="s">
        <v>714</v>
      </c>
      <c r="I2715" t="s">
        <v>358</v>
      </c>
      <c r="J2715" t="s">
        <v>7744</v>
      </c>
      <c r="K2715" t="s">
        <v>7826</v>
      </c>
      <c r="L2715" t="s">
        <v>7826</v>
      </c>
      <c r="N2715" t="str" cm="1">
        <f t="array" ref="N2715">IFERROR(LOOKUP(2,1/SEARCH($S$2:$S$65,G2715),$T$2:$T$65),"Misc")</f>
        <v>OH Common</v>
      </c>
      <c r="O2715" t="str" cm="1">
        <f t="array" ref="O2715">IFERROR(LOOKUP(2,1/SEARCH($V$2:$V$65,G2715),$W$2:$W$65),"Misc")</f>
        <v>OH Part</v>
      </c>
      <c r="P2715" t="str" cm="1">
        <f t="array" ref="P2715">IFERROR(LOOKUP(2,1/SEARCH($Y$2:$Y$65,G2715),$Z$2:$Z$65),"Not Defined")</f>
        <v>OH Part</v>
      </c>
      <c r="Q2715" t="str" cm="1">
        <f t="array" ref="Q2715">IFERROR(LOOKUP(2,1/SEARCH($S$2:$S$65,H2715),$T$2:$T$65),"-")</f>
        <v>-</v>
      </c>
    </row>
    <row r="2716" spans="1:17" hidden="1" x14ac:dyDescent="0.25">
      <c r="A2716" t="s">
        <v>7676</v>
      </c>
      <c r="B2716" t="s">
        <v>6751</v>
      </c>
      <c r="C2716">
        <v>1</v>
      </c>
      <c r="D2716" t="s">
        <v>7643</v>
      </c>
      <c r="E2716" t="s">
        <v>7517</v>
      </c>
      <c r="F2716" t="s">
        <v>2179</v>
      </c>
      <c r="G2716" t="s">
        <v>7259</v>
      </c>
      <c r="H2716" t="s">
        <v>1552</v>
      </c>
      <c r="I2716" t="s">
        <v>228</v>
      </c>
      <c r="J2716" t="s">
        <v>7703</v>
      </c>
      <c r="K2716" t="s">
        <v>7684</v>
      </c>
      <c r="L2716" t="s">
        <v>7721</v>
      </c>
      <c r="N2716" t="str" cm="1">
        <f t="array" ref="N2716">IFERROR(LOOKUP(2,1/SEARCH($S$2:$S$65,G2716),$T$2:$T$65),"Misc")</f>
        <v>COTS</v>
      </c>
      <c r="O2716" t="str" cm="1">
        <f t="array" ref="O2716">IFERROR(LOOKUP(2,1/SEARCH($V$2:$V$65,G2716),$W$2:$W$65),"Misc")</f>
        <v>Fasteners</v>
      </c>
      <c r="P2716" t="str" cm="1">
        <f t="array" ref="P2716">IFERROR(LOOKUP(2,1/SEARCH($Y$2:$Y$65,G2716),$Z$2:$Z$65),"Not Defined")</f>
        <v>SET SCREW</v>
      </c>
      <c r="Q2716" t="str" cm="1">
        <f t="array" ref="Q2716">IFERROR(LOOKUP(2,1/SEARCH($S$2:$S$65,H2716),$T$2:$T$65),"-")</f>
        <v>COTS</v>
      </c>
    </row>
    <row r="2717" spans="1:17" hidden="1" x14ac:dyDescent="0.25">
      <c r="A2717" t="s">
        <v>7676</v>
      </c>
      <c r="B2717" t="s">
        <v>6752</v>
      </c>
      <c r="C2717">
        <v>1</v>
      </c>
      <c r="D2717" t="s">
        <v>7643</v>
      </c>
      <c r="E2717" t="s">
        <v>7517</v>
      </c>
      <c r="F2717" t="s">
        <v>1551</v>
      </c>
      <c r="G2717" t="s">
        <v>7225</v>
      </c>
      <c r="H2717" t="s">
        <v>1552</v>
      </c>
      <c r="I2717" t="s">
        <v>228</v>
      </c>
      <c r="J2717" t="s">
        <v>7703</v>
      </c>
      <c r="K2717" t="s">
        <v>7684</v>
      </c>
      <c r="L2717" t="s">
        <v>7721</v>
      </c>
      <c r="N2717" t="str" cm="1">
        <f t="array" ref="N2717">IFERROR(LOOKUP(2,1/SEARCH($S$2:$S$65,G2717),$T$2:$T$65),"Misc")</f>
        <v>COTS</v>
      </c>
      <c r="O2717" t="str" cm="1">
        <f t="array" ref="O2717">IFERROR(LOOKUP(2,1/SEARCH($V$2:$V$65,G2717),$W$2:$W$65),"Misc")</f>
        <v>Fasteners</v>
      </c>
      <c r="P2717" t="str" cm="1">
        <f t="array" ref="P2717">IFERROR(LOOKUP(2,1/SEARCH($Y$2:$Y$65,G2717),$Z$2:$Z$65),"Not Defined")</f>
        <v>SET SCREW</v>
      </c>
      <c r="Q2717" t="str" cm="1">
        <f t="array" ref="Q2717">IFERROR(LOOKUP(2,1/SEARCH($S$2:$S$65,H2717),$T$2:$T$65),"-")</f>
        <v>COTS</v>
      </c>
    </row>
    <row r="2718" spans="1:17" hidden="1" x14ac:dyDescent="0.25">
      <c r="A2718" t="s">
        <v>7676</v>
      </c>
      <c r="B2718" t="s">
        <v>6753</v>
      </c>
      <c r="C2718">
        <v>5</v>
      </c>
      <c r="D2718" t="s">
        <v>7643</v>
      </c>
      <c r="F2718" t="s">
        <v>2229</v>
      </c>
      <c r="G2718" t="s">
        <v>7265</v>
      </c>
      <c r="H2718" t="s">
        <v>2230</v>
      </c>
      <c r="I2718" t="s">
        <v>224</v>
      </c>
      <c r="J2718" t="s">
        <v>7703</v>
      </c>
      <c r="K2718" t="s">
        <v>7722</v>
      </c>
      <c r="L2718" t="s">
        <v>7685</v>
      </c>
      <c r="N2718" t="str" cm="1">
        <f t="array" ref="N2718">IFERROR(LOOKUP(2,1/SEARCH($S$2:$S$65,G2718),$T$2:$T$65),"Misc")</f>
        <v>COTS</v>
      </c>
      <c r="O2718" t="str" cm="1">
        <f t="array" ref="O2718">IFERROR(LOOKUP(2,1/SEARCH($V$2:$V$65,G2718),$W$2:$W$65),"Misc")</f>
        <v>POT</v>
      </c>
      <c r="P2718" t="str" cm="1">
        <f t="array" ref="P2718">IFERROR(LOOKUP(2,1/SEARCH($Y$2:$Y$65,G2718),$Z$2:$Z$65),"Not Defined")</f>
        <v>NUT</v>
      </c>
      <c r="Q2718" t="str" cm="1">
        <f t="array" ref="Q2718">IFERROR(LOOKUP(2,1/SEARCH($S$2:$S$65,H2718),$T$2:$T$65),"-")</f>
        <v>COTS</v>
      </c>
    </row>
    <row r="2719" spans="1:17" hidden="1" x14ac:dyDescent="0.25">
      <c r="A2719" t="s">
        <v>7676</v>
      </c>
      <c r="B2719" t="s">
        <v>6754</v>
      </c>
      <c r="C2719">
        <v>1</v>
      </c>
      <c r="D2719" t="s">
        <v>7643</v>
      </c>
      <c r="F2719" t="s">
        <v>4540</v>
      </c>
      <c r="G2719" t="s">
        <v>7832</v>
      </c>
      <c r="H2719" t="s">
        <v>4541</v>
      </c>
      <c r="I2719" t="s">
        <v>210</v>
      </c>
      <c r="J2719" t="s">
        <v>7703</v>
      </c>
      <c r="K2719" t="s">
        <v>7677</v>
      </c>
      <c r="L2719" t="s">
        <v>7685</v>
      </c>
      <c r="N2719" t="str" cm="1">
        <f t="array" ref="N2719">IFERROR(LOOKUP(2,1/SEARCH($S$2:$S$65,G2719),$T$2:$T$65),"Misc")</f>
        <v>COTS</v>
      </c>
      <c r="O2719" t="str" cm="1">
        <f t="array" ref="O2719">IFERROR(LOOKUP(2,1/SEARCH($V$2:$V$65,G2719),$W$2:$W$65),"Misc")</f>
        <v>SWITCH</v>
      </c>
      <c r="P2719" t="str" cm="1">
        <f t="array" ref="P2719">IFERROR(LOOKUP(2,1/SEARCH($Y$2:$Y$65,G2719),$Z$2:$Z$65),"Not Defined")</f>
        <v>NUT</v>
      </c>
      <c r="Q2719" t="str" cm="1">
        <f t="array" ref="Q2719">IFERROR(LOOKUP(2,1/SEARCH($S$2:$S$65,H2719),$T$2:$T$65),"-")</f>
        <v>COTS</v>
      </c>
    </row>
    <row r="2720" spans="1:17" hidden="1" x14ac:dyDescent="0.25">
      <c r="A2720" t="s">
        <v>7676</v>
      </c>
      <c r="B2720" t="s">
        <v>6755</v>
      </c>
      <c r="C2720">
        <v>1</v>
      </c>
      <c r="D2720" t="s">
        <v>7643</v>
      </c>
      <c r="F2720" t="s">
        <v>4280</v>
      </c>
      <c r="G2720" t="s">
        <v>7444</v>
      </c>
      <c r="H2720" t="s">
        <v>4281</v>
      </c>
      <c r="I2720" t="s">
        <v>1265</v>
      </c>
      <c r="J2720" t="s">
        <v>7703</v>
      </c>
      <c r="K2720" t="s">
        <v>7719</v>
      </c>
      <c r="L2720" t="s">
        <v>7677</v>
      </c>
      <c r="N2720" t="str" cm="1">
        <f t="array" ref="N2720">IFERROR(LOOKUP(2,1/SEARCH($S$2:$S$65,G2720),$T$2:$T$65),"Misc")</f>
        <v>COTS</v>
      </c>
      <c r="O2720" t="str" cm="1">
        <f t="array" ref="O2720">IFERROR(LOOKUP(2,1/SEARCH($V$2:$V$65,G2720),$W$2:$W$65),"Misc")</f>
        <v>Misc</v>
      </c>
      <c r="P2720" t="str" cm="1">
        <f t="array" ref="P2720">IFERROR(LOOKUP(2,1/SEARCH($Y$2:$Y$65,G2720),$Z$2:$Z$65),"Not Defined")</f>
        <v>SWITCH</v>
      </c>
      <c r="Q2720" t="str" cm="1">
        <f t="array" ref="Q2720">IFERROR(LOOKUP(2,1/SEARCH($S$2:$S$65,H2720),$T$2:$T$65),"-")</f>
        <v>COTS</v>
      </c>
    </row>
    <row r="2721" spans="1:17" hidden="1" x14ac:dyDescent="0.25">
      <c r="A2721" t="s">
        <v>7676</v>
      </c>
      <c r="B2721" t="s">
        <v>6756</v>
      </c>
      <c r="C2721">
        <v>1</v>
      </c>
      <c r="D2721" t="s">
        <v>7643</v>
      </c>
      <c r="F2721" t="s">
        <v>2089</v>
      </c>
      <c r="G2721" t="s">
        <v>7250</v>
      </c>
      <c r="H2721" t="s">
        <v>2090</v>
      </c>
      <c r="I2721" t="s">
        <v>228</v>
      </c>
      <c r="J2721" t="s">
        <v>7703</v>
      </c>
      <c r="K2721" t="s">
        <v>7684</v>
      </c>
      <c r="L2721" t="s">
        <v>7677</v>
      </c>
      <c r="N2721" t="str" cm="1">
        <f t="array" ref="N2721">IFERROR(LOOKUP(2,1/SEARCH($S$2:$S$65,G2721),$T$2:$T$65),"Misc")</f>
        <v>COTS</v>
      </c>
      <c r="O2721" t="str" cm="1">
        <f t="array" ref="O2721">IFERROR(LOOKUP(2,1/SEARCH($V$2:$V$65,G2721),$W$2:$W$65),"Misc")</f>
        <v>Fasteners</v>
      </c>
      <c r="P2721" t="str" cm="1">
        <f t="array" ref="P2721">IFERROR(LOOKUP(2,1/SEARCH($Y$2:$Y$65,G2721),$Z$2:$Z$65),"Not Defined")</f>
        <v>SWITCH</v>
      </c>
      <c r="Q2721" t="str" cm="1">
        <f t="array" ref="Q2721">IFERROR(LOOKUP(2,1/SEARCH($S$2:$S$65,H2721),$T$2:$T$65),"-")</f>
        <v>COTS</v>
      </c>
    </row>
    <row r="2722" spans="1:17" hidden="1" x14ac:dyDescent="0.25">
      <c r="A2722" t="s">
        <v>7676</v>
      </c>
      <c r="B2722" t="s">
        <v>6757</v>
      </c>
      <c r="C2722">
        <v>1</v>
      </c>
      <c r="D2722" t="s">
        <v>7643</v>
      </c>
      <c r="F2722" t="s">
        <v>1528</v>
      </c>
      <c r="G2722" t="s">
        <v>7220</v>
      </c>
      <c r="H2722" t="s">
        <v>1529</v>
      </c>
      <c r="I2722" t="s">
        <v>228</v>
      </c>
      <c r="J2722" t="s">
        <v>7703</v>
      </c>
      <c r="K2722" t="s">
        <v>7677</v>
      </c>
      <c r="L2722" t="s">
        <v>7685</v>
      </c>
      <c r="N2722" t="str" cm="1">
        <f t="array" ref="N2722">IFERROR(LOOKUP(2,1/SEARCH($S$2:$S$65,G2722),$T$2:$T$65),"Misc")</f>
        <v>COTS</v>
      </c>
      <c r="O2722" t="str" cm="1">
        <f t="array" ref="O2722">IFERROR(LOOKUP(2,1/SEARCH($V$2:$V$65,G2722),$W$2:$W$65),"Misc")</f>
        <v>SWITCH</v>
      </c>
      <c r="P2722" t="str" cm="1">
        <f t="array" ref="P2722">IFERROR(LOOKUP(2,1/SEARCH($Y$2:$Y$65,G2722),$Z$2:$Z$65),"Not Defined")</f>
        <v>NUT</v>
      </c>
      <c r="Q2722" t="str" cm="1">
        <f t="array" ref="Q2722">IFERROR(LOOKUP(2,1/SEARCH($S$2:$S$65,H2722),$T$2:$T$65),"-")</f>
        <v>COTS</v>
      </c>
    </row>
    <row r="2723" spans="1:17" hidden="1" x14ac:dyDescent="0.25">
      <c r="A2723" t="s">
        <v>7676</v>
      </c>
      <c r="B2723" s="19">
        <v>4.21</v>
      </c>
      <c r="C2723">
        <v>1</v>
      </c>
      <c r="D2723" t="s">
        <v>7648</v>
      </c>
      <c r="F2723" t="s">
        <v>6758</v>
      </c>
      <c r="G2723" t="s">
        <v>7648</v>
      </c>
      <c r="H2723" t="s">
        <v>6759</v>
      </c>
      <c r="J2723" t="s">
        <v>7742</v>
      </c>
      <c r="K2723" t="s">
        <v>7826</v>
      </c>
      <c r="L2723" t="s">
        <v>7826</v>
      </c>
      <c r="N2723" t="str" cm="1">
        <f t="array" ref="N2723">IFERROR(LOOKUP(2,1/SEARCH($S$2:$S$65,G2723),$T$2:$T$65),"Misc")</f>
        <v>OH ASSY</v>
      </c>
      <c r="O2723" t="str" cm="1">
        <f t="array" ref="O2723">IFERROR(LOOKUP(2,1/SEARCH($V$2:$V$65,G2723),$W$2:$W$65),"Misc")</f>
        <v>OH Part</v>
      </c>
      <c r="P2723" t="str" cm="1">
        <f t="array" ref="P2723">IFERROR(LOOKUP(2,1/SEARCH($Y$2:$Y$65,G2723),$Z$2:$Z$65),"Not Defined")</f>
        <v>OH Part</v>
      </c>
      <c r="Q2723" t="str" cm="1">
        <f t="array" ref="Q2723">IFERROR(LOOKUP(2,1/SEARCH($S$2:$S$65,H2723),$T$2:$T$65),"-")</f>
        <v>OH ASSY</v>
      </c>
    </row>
    <row r="2724" spans="1:17" hidden="1" x14ac:dyDescent="0.25">
      <c r="A2724" t="s">
        <v>7676</v>
      </c>
      <c r="B2724" t="s">
        <v>6760</v>
      </c>
      <c r="C2724">
        <v>1</v>
      </c>
      <c r="D2724" t="s">
        <v>7648</v>
      </c>
      <c r="F2724" t="s">
        <v>6761</v>
      </c>
      <c r="G2724" t="s">
        <v>6763</v>
      </c>
      <c r="H2724" t="s">
        <v>6762</v>
      </c>
      <c r="I2724" t="s">
        <v>255</v>
      </c>
      <c r="J2724" t="s">
        <v>7682</v>
      </c>
      <c r="K2724" t="s">
        <v>7826</v>
      </c>
      <c r="L2724" t="s">
        <v>7826</v>
      </c>
      <c r="N2724" t="str" cm="1">
        <f t="array" ref="N2724">IFERROR(LOOKUP(2,1/SEARCH($S$2:$S$65,G2724),$T$2:$T$65),"Misc")</f>
        <v>OH P/N</v>
      </c>
      <c r="O2724" t="str" cm="1">
        <f t="array" ref="O2724">IFERROR(LOOKUP(2,1/SEARCH($V$2:$V$65,G2724),$W$2:$W$65),"Misc")</f>
        <v>OH Part</v>
      </c>
      <c r="P2724" t="str" cm="1">
        <f t="array" ref="P2724">IFERROR(LOOKUP(2,1/SEARCH($Y$2:$Y$65,G2724),$Z$2:$Z$65),"Not Defined")</f>
        <v>OH Part</v>
      </c>
      <c r="Q2724" t="str" cm="1">
        <f t="array" ref="Q2724">IFERROR(LOOKUP(2,1/SEARCH($S$2:$S$65,H2724),$T$2:$T$65),"-")</f>
        <v>-</v>
      </c>
    </row>
    <row r="2725" spans="1:17" hidden="1" x14ac:dyDescent="0.25">
      <c r="A2725" t="s">
        <v>7676</v>
      </c>
      <c r="B2725" t="s">
        <v>6764</v>
      </c>
      <c r="C2725">
        <v>1</v>
      </c>
      <c r="D2725" t="s">
        <v>7648</v>
      </c>
      <c r="F2725" t="s">
        <v>6765</v>
      </c>
      <c r="G2725" t="s">
        <v>6767</v>
      </c>
      <c r="H2725" t="s">
        <v>6766</v>
      </c>
      <c r="I2725" t="s">
        <v>293</v>
      </c>
      <c r="J2725" t="s">
        <v>7682</v>
      </c>
      <c r="K2725" t="s">
        <v>7826</v>
      </c>
      <c r="L2725" t="s">
        <v>7826</v>
      </c>
      <c r="N2725" t="str" cm="1">
        <f t="array" ref="N2725">IFERROR(LOOKUP(2,1/SEARCH($S$2:$S$65,G2725),$T$2:$T$65),"Misc")</f>
        <v>OH P/N</v>
      </c>
      <c r="O2725" t="str" cm="1">
        <f t="array" ref="O2725">IFERROR(LOOKUP(2,1/SEARCH($V$2:$V$65,G2725),$W$2:$W$65),"Misc")</f>
        <v>OH Part</v>
      </c>
      <c r="P2725" t="str" cm="1">
        <f t="array" ref="P2725">IFERROR(LOOKUP(2,1/SEARCH($Y$2:$Y$65,G2725),$Z$2:$Z$65),"Not Defined")</f>
        <v>OH Part</v>
      </c>
      <c r="Q2725" t="str" cm="1">
        <f t="array" ref="Q2725">IFERROR(LOOKUP(2,1/SEARCH($S$2:$S$65,H2725),$T$2:$T$65),"-")</f>
        <v>-</v>
      </c>
    </row>
    <row r="2726" spans="1:17" hidden="1" x14ac:dyDescent="0.25">
      <c r="A2726" t="s">
        <v>7676</v>
      </c>
      <c r="B2726" t="s">
        <v>6768</v>
      </c>
      <c r="C2726">
        <v>1</v>
      </c>
      <c r="D2726" t="s">
        <v>7648</v>
      </c>
      <c r="F2726" t="s">
        <v>6769</v>
      </c>
      <c r="G2726" t="s">
        <v>6771</v>
      </c>
      <c r="H2726" t="s">
        <v>6770</v>
      </c>
      <c r="I2726" t="s">
        <v>281</v>
      </c>
      <c r="J2726" t="s">
        <v>7682</v>
      </c>
      <c r="K2726" t="s">
        <v>7826</v>
      </c>
      <c r="L2726" t="s">
        <v>7826</v>
      </c>
      <c r="N2726" t="str" cm="1">
        <f t="array" ref="N2726">IFERROR(LOOKUP(2,1/SEARCH($S$2:$S$65,G2726),$T$2:$T$65),"Misc")</f>
        <v>OH P/N</v>
      </c>
      <c r="O2726" t="str" cm="1">
        <f t="array" ref="O2726">IFERROR(LOOKUP(2,1/SEARCH($V$2:$V$65,G2726),$W$2:$W$65),"Misc")</f>
        <v>OH Part</v>
      </c>
      <c r="P2726" t="str" cm="1">
        <f t="array" ref="P2726">IFERROR(LOOKUP(2,1/SEARCH($Y$2:$Y$65,G2726),$Z$2:$Z$65),"Not Defined")</f>
        <v>OH Part</v>
      </c>
      <c r="Q2726" t="str" cm="1">
        <f t="array" ref="Q2726">IFERROR(LOOKUP(2,1/SEARCH($S$2:$S$65,H2726),$T$2:$T$65),"-")</f>
        <v>-</v>
      </c>
    </row>
    <row r="2727" spans="1:17" hidden="1" x14ac:dyDescent="0.25">
      <c r="A2727" t="s">
        <v>7676</v>
      </c>
      <c r="B2727" t="s">
        <v>6772</v>
      </c>
      <c r="C2727">
        <v>1</v>
      </c>
      <c r="D2727" t="s">
        <v>7648</v>
      </c>
      <c r="F2727" t="s">
        <v>6773</v>
      </c>
      <c r="G2727" t="s">
        <v>6775</v>
      </c>
      <c r="H2727" t="s">
        <v>6774</v>
      </c>
      <c r="I2727" t="s">
        <v>293</v>
      </c>
      <c r="J2727" t="s">
        <v>7682</v>
      </c>
      <c r="K2727" t="s">
        <v>7826</v>
      </c>
      <c r="L2727" t="s">
        <v>7826</v>
      </c>
      <c r="N2727" t="str" cm="1">
        <f t="array" ref="N2727">IFERROR(LOOKUP(2,1/SEARCH($S$2:$S$65,G2727),$T$2:$T$65),"Misc")</f>
        <v>OH P/N</v>
      </c>
      <c r="O2727" t="str" cm="1">
        <f t="array" ref="O2727">IFERROR(LOOKUP(2,1/SEARCH($V$2:$V$65,G2727),$W$2:$W$65),"Misc")</f>
        <v>OH Part</v>
      </c>
      <c r="P2727" t="str" cm="1">
        <f t="array" ref="P2727">IFERROR(LOOKUP(2,1/SEARCH($Y$2:$Y$65,G2727),$Z$2:$Z$65),"Not Defined")</f>
        <v>OH Part</v>
      </c>
      <c r="Q2727" t="str" cm="1">
        <f t="array" ref="Q2727">IFERROR(LOOKUP(2,1/SEARCH($S$2:$S$65,H2727),$T$2:$T$65),"-")</f>
        <v>-</v>
      </c>
    </row>
    <row r="2728" spans="1:17" hidden="1" x14ac:dyDescent="0.25">
      <c r="A2728" t="s">
        <v>7676</v>
      </c>
      <c r="B2728" t="s">
        <v>6776</v>
      </c>
      <c r="C2728">
        <v>1</v>
      </c>
      <c r="D2728" t="s">
        <v>7648</v>
      </c>
      <c r="F2728" t="s">
        <v>6777</v>
      </c>
      <c r="G2728" t="s">
        <v>6779</v>
      </c>
      <c r="H2728" t="s">
        <v>6778</v>
      </c>
      <c r="I2728" t="s">
        <v>13</v>
      </c>
      <c r="J2728" t="s">
        <v>7682</v>
      </c>
      <c r="K2728" t="s">
        <v>7826</v>
      </c>
      <c r="L2728" t="s">
        <v>7826</v>
      </c>
      <c r="N2728" t="str" cm="1">
        <f t="array" ref="N2728">IFERROR(LOOKUP(2,1/SEARCH($S$2:$S$65,G2728),$T$2:$T$65),"Misc")</f>
        <v>OH P/N</v>
      </c>
      <c r="O2728" t="str" cm="1">
        <f t="array" ref="O2728">IFERROR(LOOKUP(2,1/SEARCH($V$2:$V$65,G2728),$W$2:$W$65),"Misc")</f>
        <v>OH Part</v>
      </c>
      <c r="P2728" t="str" cm="1">
        <f t="array" ref="P2728">IFERROR(LOOKUP(2,1/SEARCH($Y$2:$Y$65,G2728),$Z$2:$Z$65),"Not Defined")</f>
        <v>OH Part</v>
      </c>
      <c r="Q2728" t="str" cm="1">
        <f t="array" ref="Q2728">IFERROR(LOOKUP(2,1/SEARCH($S$2:$S$65,H2728),$T$2:$T$65),"-")</f>
        <v>ABSIS</v>
      </c>
    </row>
    <row r="2729" spans="1:17" hidden="1" x14ac:dyDescent="0.25">
      <c r="A2729" t="s">
        <v>7676</v>
      </c>
      <c r="B2729" t="s">
        <v>6780</v>
      </c>
      <c r="C2729">
        <v>2</v>
      </c>
      <c r="D2729" t="s">
        <v>7648</v>
      </c>
      <c r="F2729" t="s">
        <v>2527</v>
      </c>
      <c r="G2729" t="s">
        <v>7291</v>
      </c>
      <c r="H2729" t="s">
        <v>2528</v>
      </c>
      <c r="I2729" t="s">
        <v>228</v>
      </c>
      <c r="J2729" t="s">
        <v>7703</v>
      </c>
      <c r="K2729" t="s">
        <v>7684</v>
      </c>
      <c r="L2729" t="s">
        <v>7691</v>
      </c>
      <c r="N2729" t="str" cm="1">
        <f t="array" ref="N2729">IFERROR(LOOKUP(2,1/SEARCH($S$2:$S$65,G2729),$T$2:$T$65),"Misc")</f>
        <v>COTS</v>
      </c>
      <c r="O2729" t="str" cm="1">
        <f t="array" ref="O2729">IFERROR(LOOKUP(2,1/SEARCH($V$2:$V$65,G2729),$W$2:$W$65),"Misc")</f>
        <v>Fasteners</v>
      </c>
      <c r="P2729" t="str" cm="1">
        <f t="array" ref="P2729">IFERROR(LOOKUP(2,1/SEARCH($Y$2:$Y$65,G2729),$Z$2:$Z$65),"Not Defined")</f>
        <v>FHS</v>
      </c>
      <c r="Q2729" t="str" cm="1">
        <f t="array" ref="Q2729">IFERROR(LOOKUP(2,1/SEARCH($S$2:$S$65,H2729),$T$2:$T$65),"-")</f>
        <v>COTS</v>
      </c>
    </row>
    <row r="2730" spans="1:17" hidden="1" x14ac:dyDescent="0.25">
      <c r="A2730" t="s">
        <v>7676</v>
      </c>
      <c r="B2730" t="s">
        <v>6781</v>
      </c>
      <c r="C2730">
        <v>4</v>
      </c>
      <c r="D2730" t="s">
        <v>7648</v>
      </c>
      <c r="F2730" t="s">
        <v>580</v>
      </c>
      <c r="G2730" t="s">
        <v>7105</v>
      </c>
      <c r="H2730" t="s">
        <v>581</v>
      </c>
      <c r="I2730" t="s">
        <v>210</v>
      </c>
      <c r="J2730" t="s">
        <v>7703</v>
      </c>
      <c r="K2730" t="s">
        <v>7684</v>
      </c>
      <c r="L2730" t="s">
        <v>7691</v>
      </c>
      <c r="N2730" t="str" cm="1">
        <f t="array" ref="N2730">IFERROR(LOOKUP(2,1/SEARCH($S$2:$S$65,G2730),$T$2:$T$65),"Misc")</f>
        <v>COTS</v>
      </c>
      <c r="O2730" t="str" cm="1">
        <f t="array" ref="O2730">IFERROR(LOOKUP(2,1/SEARCH($V$2:$V$65,G2730),$W$2:$W$65),"Misc")</f>
        <v>Fasteners</v>
      </c>
      <c r="P2730" t="str" cm="1">
        <f t="array" ref="P2730">IFERROR(LOOKUP(2,1/SEARCH($Y$2:$Y$65,G2730),$Z$2:$Z$65),"Not Defined")</f>
        <v>FHS</v>
      </c>
      <c r="Q2730" t="str" cm="1">
        <f t="array" ref="Q2730">IFERROR(LOOKUP(2,1/SEARCH($S$2:$S$65,H2730),$T$2:$T$65),"-")</f>
        <v>COTS</v>
      </c>
    </row>
    <row r="2731" spans="1:17" hidden="1" x14ac:dyDescent="0.25">
      <c r="A2731" t="s">
        <v>7676</v>
      </c>
      <c r="B2731" t="s">
        <v>6782</v>
      </c>
      <c r="C2731">
        <v>4</v>
      </c>
      <c r="D2731" t="s">
        <v>7648</v>
      </c>
      <c r="F2731" t="s">
        <v>519</v>
      </c>
      <c r="G2731" t="s">
        <v>7097</v>
      </c>
      <c r="H2731" t="s">
        <v>520</v>
      </c>
      <c r="I2731" t="s">
        <v>228</v>
      </c>
      <c r="J2731" t="s">
        <v>7703</v>
      </c>
      <c r="K2731" t="s">
        <v>7684</v>
      </c>
      <c r="L2731" t="s">
        <v>7693</v>
      </c>
      <c r="N2731" t="str" cm="1">
        <f t="array" ref="N2731">IFERROR(LOOKUP(2,1/SEARCH($S$2:$S$65,G2731),$T$2:$T$65),"Misc")</f>
        <v>COTS</v>
      </c>
      <c r="O2731" t="str" cm="1">
        <f t="array" ref="O2731">IFERROR(LOOKUP(2,1/SEARCH($V$2:$V$65,G2731),$W$2:$W$65),"Misc")</f>
        <v>Fasteners</v>
      </c>
      <c r="P2731" t="str" cm="1">
        <f t="array" ref="P2731">IFERROR(LOOKUP(2,1/SEARCH($Y$2:$Y$65,G2731),$Z$2:$Z$65),"Not Defined")</f>
        <v>PHS</v>
      </c>
      <c r="Q2731" t="str" cm="1">
        <f t="array" ref="Q2731">IFERROR(LOOKUP(2,1/SEARCH($S$2:$S$65,H2731),$T$2:$T$65),"-")</f>
        <v>COTS</v>
      </c>
    </row>
    <row r="2732" spans="1:17" hidden="1" x14ac:dyDescent="0.25">
      <c r="A2732" t="s">
        <v>7676</v>
      </c>
      <c r="B2732" t="s">
        <v>6783</v>
      </c>
      <c r="C2732">
        <v>2</v>
      </c>
      <c r="D2732" t="s">
        <v>7648</v>
      </c>
      <c r="F2732" t="s">
        <v>941</v>
      </c>
      <c r="G2732" t="s">
        <v>7136</v>
      </c>
      <c r="H2732" t="s">
        <v>942</v>
      </c>
      <c r="I2732" t="s">
        <v>210</v>
      </c>
      <c r="J2732" t="s">
        <v>7703</v>
      </c>
      <c r="K2732" t="s">
        <v>7684</v>
      </c>
      <c r="L2732" t="s">
        <v>7685</v>
      </c>
      <c r="N2732" t="str" cm="1">
        <f t="array" ref="N2732">IFERROR(LOOKUP(2,1/SEARCH($S$2:$S$65,G2732),$T$2:$T$65),"Misc")</f>
        <v>COTS</v>
      </c>
      <c r="O2732" t="str" cm="1">
        <f t="array" ref="O2732">IFERROR(LOOKUP(2,1/SEARCH($V$2:$V$65,G2732),$W$2:$W$65),"Misc")</f>
        <v>Fasteners</v>
      </c>
      <c r="P2732" t="str" cm="1">
        <f t="array" ref="P2732">IFERROR(LOOKUP(2,1/SEARCH($Y$2:$Y$65,G2732),$Z$2:$Z$65),"Not Defined")</f>
        <v>NUT</v>
      </c>
      <c r="Q2732" t="str" cm="1">
        <f t="array" ref="Q2732">IFERROR(LOOKUP(2,1/SEARCH($S$2:$S$65,H2732),$T$2:$T$65),"-")</f>
        <v>COTS</v>
      </c>
    </row>
    <row r="2733" spans="1:17" hidden="1" x14ac:dyDescent="0.25">
      <c r="A2733" t="s">
        <v>7676</v>
      </c>
      <c r="B2733" t="s">
        <v>6784</v>
      </c>
      <c r="C2733">
        <v>1</v>
      </c>
      <c r="D2733" t="s">
        <v>7648</v>
      </c>
      <c r="E2733" t="s">
        <v>4770</v>
      </c>
      <c r="F2733" t="s">
        <v>4769</v>
      </c>
      <c r="G2733" t="s">
        <v>7492</v>
      </c>
      <c r="H2733" t="s">
        <v>4770</v>
      </c>
      <c r="J2733" t="s">
        <v>7744</v>
      </c>
      <c r="K2733" t="s">
        <v>7826</v>
      </c>
      <c r="L2733" t="s">
        <v>7826</v>
      </c>
      <c r="N2733" t="str" cm="1">
        <f t="array" ref="N2733">IFERROR(LOOKUP(2,1/SEARCH($S$2:$S$65,G2733),$T$2:$T$65),"Misc")</f>
        <v>OH Common</v>
      </c>
      <c r="O2733" t="str" cm="1">
        <f t="array" ref="O2733">IFERROR(LOOKUP(2,1/SEARCH($V$2:$V$65,G2733),$W$2:$W$65),"Misc")</f>
        <v>OH Part</v>
      </c>
      <c r="P2733" t="str" cm="1">
        <f t="array" ref="P2733">IFERROR(LOOKUP(2,1/SEARCH($Y$2:$Y$65,G2733),$Z$2:$Z$65),"Not Defined")</f>
        <v>OH Part</v>
      </c>
      <c r="Q2733" t="str" cm="1">
        <f t="array" ref="Q2733">IFERROR(LOOKUP(2,1/SEARCH($S$2:$S$65,H2733),$T$2:$T$65),"-")</f>
        <v>OH ASSY</v>
      </c>
    </row>
    <row r="2734" spans="1:17" hidden="1" x14ac:dyDescent="0.25">
      <c r="A2734" t="s">
        <v>7676</v>
      </c>
      <c r="B2734" t="s">
        <v>6785</v>
      </c>
      <c r="C2734">
        <v>1</v>
      </c>
      <c r="D2734" t="s">
        <v>7648</v>
      </c>
      <c r="E2734" t="s">
        <v>4770</v>
      </c>
      <c r="F2734" t="s">
        <v>4772</v>
      </c>
      <c r="G2734" t="s">
        <v>7493</v>
      </c>
      <c r="H2734" t="s">
        <v>4773</v>
      </c>
      <c r="I2734" t="s">
        <v>210</v>
      </c>
      <c r="J2734" t="s">
        <v>7703</v>
      </c>
      <c r="K2734" t="s">
        <v>7814</v>
      </c>
      <c r="L2734" t="s">
        <v>7702</v>
      </c>
      <c r="N2734" t="str" cm="1">
        <f t="array" ref="N2734">IFERROR(LOOKUP(2,1/SEARCH($S$2:$S$65,G2734),$T$2:$T$65),"Misc")</f>
        <v>COTS</v>
      </c>
      <c r="O2734" t="str" cm="1">
        <f t="array" ref="O2734">IFERROR(LOOKUP(2,1/SEARCH($V$2:$V$65,G2734),$W$2:$W$65),"Misc")</f>
        <v>Misc</v>
      </c>
      <c r="P2734" t="str" cm="1">
        <f t="array" ref="P2734">IFERROR(LOOKUP(2,1/SEARCH($Y$2:$Y$65,G2734),$Z$2:$Z$65),"Not Defined")</f>
        <v>MAGNET</v>
      </c>
      <c r="Q2734" t="str" cm="1">
        <f t="array" ref="Q2734">IFERROR(LOOKUP(2,1/SEARCH($S$2:$S$65,H2734),$T$2:$T$65),"-")</f>
        <v>COTS</v>
      </c>
    </row>
    <row r="2735" spans="1:17" hidden="1" x14ac:dyDescent="0.25">
      <c r="A2735" t="s">
        <v>7676</v>
      </c>
      <c r="B2735" t="s">
        <v>6786</v>
      </c>
      <c r="C2735">
        <v>1</v>
      </c>
      <c r="D2735" t="s">
        <v>7648</v>
      </c>
      <c r="E2735" t="s">
        <v>4770</v>
      </c>
      <c r="F2735" t="s">
        <v>4775</v>
      </c>
      <c r="G2735" t="s">
        <v>7494</v>
      </c>
      <c r="H2735" t="s">
        <v>4776</v>
      </c>
      <c r="I2735" t="s">
        <v>228</v>
      </c>
      <c r="J2735" t="s">
        <v>7703</v>
      </c>
      <c r="K2735" t="s">
        <v>7684</v>
      </c>
      <c r="L2735" t="s">
        <v>7739</v>
      </c>
      <c r="N2735" t="str" cm="1">
        <f t="array" ref="N2735">IFERROR(LOOKUP(2,1/SEARCH($S$2:$S$65,G2735),$T$2:$T$65),"Misc")</f>
        <v>COTS</v>
      </c>
      <c r="O2735" t="str" cm="1">
        <f t="array" ref="O2735">IFERROR(LOOKUP(2,1/SEARCH($V$2:$V$65,G2735),$W$2:$W$65),"Misc")</f>
        <v>Fasteners</v>
      </c>
      <c r="P2735" t="str" cm="1">
        <f t="array" ref="P2735">IFERROR(LOOKUP(2,1/SEARCH($Y$2:$Y$65,G2735),$Z$2:$Z$65),"Not Defined")</f>
        <v>BHCS</v>
      </c>
      <c r="Q2735" t="str" cm="1">
        <f t="array" ref="Q2735">IFERROR(LOOKUP(2,1/SEARCH($S$2:$S$65,H2735),$T$2:$T$65),"-")</f>
        <v>COTS</v>
      </c>
    </row>
    <row r="2736" spans="1:17" hidden="1" x14ac:dyDescent="0.25">
      <c r="A2736" t="s">
        <v>7676</v>
      </c>
      <c r="B2736" t="s">
        <v>6787</v>
      </c>
      <c r="C2736">
        <v>1</v>
      </c>
      <c r="D2736" t="s">
        <v>7648</v>
      </c>
      <c r="E2736" t="s">
        <v>4770</v>
      </c>
      <c r="F2736" t="s">
        <v>4778</v>
      </c>
      <c r="G2736" t="s">
        <v>7495</v>
      </c>
      <c r="H2736" t="s">
        <v>4779</v>
      </c>
      <c r="I2736" t="s">
        <v>210</v>
      </c>
      <c r="J2736" t="s">
        <v>7703</v>
      </c>
      <c r="K2736" t="s">
        <v>7684</v>
      </c>
      <c r="L2736" t="s">
        <v>7692</v>
      </c>
      <c r="N2736" t="str" cm="1">
        <f t="array" ref="N2736">IFERROR(LOOKUP(2,1/SEARCH($S$2:$S$65,G2736),$T$2:$T$65),"Misc")</f>
        <v>COTS</v>
      </c>
      <c r="O2736" t="str" cm="1">
        <f t="array" ref="O2736">IFERROR(LOOKUP(2,1/SEARCH($V$2:$V$65,G2736),$W$2:$W$65),"Misc")</f>
        <v>Fasteners</v>
      </c>
      <c r="P2736" t="str" cm="1">
        <f t="array" ref="P2736">IFERROR(LOOKUP(2,1/SEARCH($Y$2:$Y$65,G2736),$Z$2:$Z$65),"Not Defined")</f>
        <v>WASHER</v>
      </c>
      <c r="Q2736" t="str" cm="1">
        <f t="array" ref="Q2736">IFERROR(LOOKUP(2,1/SEARCH($S$2:$S$65,H2736),$T$2:$T$65),"-")</f>
        <v>COTS</v>
      </c>
    </row>
    <row r="2737" spans="1:17" hidden="1" x14ac:dyDescent="0.25">
      <c r="A2737" t="s">
        <v>7676</v>
      </c>
      <c r="B2737" t="s">
        <v>6788</v>
      </c>
      <c r="C2737">
        <v>1</v>
      </c>
      <c r="D2737" t="s">
        <v>7648</v>
      </c>
      <c r="E2737" t="s">
        <v>4770</v>
      </c>
      <c r="F2737" t="s">
        <v>4781</v>
      </c>
      <c r="G2737" t="s">
        <v>7496</v>
      </c>
      <c r="H2737" t="s">
        <v>4782</v>
      </c>
      <c r="I2737" t="s">
        <v>210</v>
      </c>
      <c r="J2737" t="s">
        <v>7744</v>
      </c>
      <c r="K2737" t="s">
        <v>7826</v>
      </c>
      <c r="L2737" t="s">
        <v>7826</v>
      </c>
      <c r="N2737" t="str" cm="1">
        <f t="array" ref="N2737">IFERROR(LOOKUP(2,1/SEARCH($S$2:$S$65,G2737),$T$2:$T$65),"Misc")</f>
        <v>OH Common</v>
      </c>
      <c r="O2737" t="str" cm="1">
        <f t="array" ref="O2737">IFERROR(LOOKUP(2,1/SEARCH($V$2:$V$65,G2737),$W$2:$W$65),"Misc")</f>
        <v>OH Part</v>
      </c>
      <c r="P2737" t="str" cm="1">
        <f t="array" ref="P2737">IFERROR(LOOKUP(2,1/SEARCH($Y$2:$Y$65,G2737),$Z$2:$Z$65),"Not Defined")</f>
        <v>OH Part</v>
      </c>
      <c r="Q2737" t="str" cm="1">
        <f t="array" ref="Q2737">IFERROR(LOOKUP(2,1/SEARCH($S$2:$S$65,H2737),$T$2:$T$65),"-")</f>
        <v>COTS</v>
      </c>
    </row>
    <row r="2738" spans="1:17" hidden="1" x14ac:dyDescent="0.25">
      <c r="A2738" t="s">
        <v>7676</v>
      </c>
      <c r="B2738" t="s">
        <v>6789</v>
      </c>
      <c r="C2738">
        <v>1</v>
      </c>
      <c r="D2738" t="s">
        <v>7648</v>
      </c>
      <c r="E2738" t="s">
        <v>4770</v>
      </c>
      <c r="F2738" t="s">
        <v>4784</v>
      </c>
      <c r="G2738" t="s">
        <v>7497</v>
      </c>
      <c r="H2738" t="s">
        <v>4785</v>
      </c>
      <c r="I2738" t="s">
        <v>210</v>
      </c>
      <c r="J2738" t="s">
        <v>7703</v>
      </c>
      <c r="K2738" t="s">
        <v>7684</v>
      </c>
      <c r="L2738" t="s">
        <v>7708</v>
      </c>
      <c r="N2738" t="str" cm="1">
        <f t="array" ref="N2738">IFERROR(LOOKUP(2,1/SEARCH($S$2:$S$65,G2738),$T$2:$T$65),"Misc")</f>
        <v>COTS</v>
      </c>
      <c r="O2738" t="str" cm="1">
        <f t="array" ref="O2738">IFERROR(LOOKUP(2,1/SEARCH($V$2:$V$65,G2738),$W$2:$W$65),"Misc")</f>
        <v>Fasteners</v>
      </c>
      <c r="P2738" t="str" cm="1">
        <f t="array" ref="P2738">IFERROR(LOOKUP(2,1/SEARCH($Y$2:$Y$65,G2738),$Z$2:$Z$65),"Not Defined")</f>
        <v>STANDOFF</v>
      </c>
      <c r="Q2738" t="str" cm="1">
        <f t="array" ref="Q2738">IFERROR(LOOKUP(2,1/SEARCH($S$2:$S$65,H2738),$T$2:$T$65),"-")</f>
        <v>COTS</v>
      </c>
    </row>
    <row r="2739" spans="1:17" hidden="1" x14ac:dyDescent="0.25">
      <c r="A2739" t="s">
        <v>7676</v>
      </c>
      <c r="B2739" t="s">
        <v>6790</v>
      </c>
      <c r="C2739">
        <v>1</v>
      </c>
      <c r="D2739" t="s">
        <v>7648</v>
      </c>
      <c r="E2739" t="s">
        <v>4770</v>
      </c>
      <c r="F2739" t="s">
        <v>4787</v>
      </c>
      <c r="G2739" t="s">
        <v>7498</v>
      </c>
      <c r="H2739" t="s">
        <v>4788</v>
      </c>
      <c r="J2739" t="s">
        <v>7703</v>
      </c>
      <c r="K2739" t="s">
        <v>7677</v>
      </c>
      <c r="L2739" t="s">
        <v>7677</v>
      </c>
      <c r="N2739" t="str" cm="1">
        <f t="array" ref="N2739">IFERROR(LOOKUP(2,1/SEARCH($S$2:$S$65,G2739),$T$2:$T$65),"Misc")</f>
        <v>COTS</v>
      </c>
      <c r="O2739" t="str" cm="1">
        <f t="array" ref="O2739">IFERROR(LOOKUP(2,1/SEARCH($V$2:$V$65,G2739),$W$2:$W$65),"Misc")</f>
        <v>SWITCH</v>
      </c>
      <c r="P2739" t="str" cm="1">
        <f t="array" ref="P2739">IFERROR(LOOKUP(2,1/SEARCH($Y$2:$Y$65,G2739),$Z$2:$Z$65),"Not Defined")</f>
        <v>SWITCH</v>
      </c>
      <c r="Q2739" t="str" cm="1">
        <f t="array" ref="Q2739">IFERROR(LOOKUP(2,1/SEARCH($S$2:$S$65,H2739),$T$2:$T$65),"-")</f>
        <v>COTS</v>
      </c>
    </row>
    <row r="2740" spans="1:17" hidden="1" x14ac:dyDescent="0.25">
      <c r="A2740" t="s">
        <v>7676</v>
      </c>
      <c r="B2740" t="s">
        <v>6791</v>
      </c>
      <c r="C2740">
        <v>1</v>
      </c>
      <c r="D2740" t="s">
        <v>7648</v>
      </c>
      <c r="F2740" t="s">
        <v>6792</v>
      </c>
      <c r="G2740" t="s">
        <v>7649</v>
      </c>
      <c r="H2740" t="s">
        <v>6793</v>
      </c>
      <c r="I2740" t="s">
        <v>255</v>
      </c>
      <c r="J2740" t="s">
        <v>7703</v>
      </c>
      <c r="K2740" t="s">
        <v>7677</v>
      </c>
      <c r="L2740" t="s">
        <v>7677</v>
      </c>
      <c r="N2740" t="str" cm="1">
        <f t="array" ref="N2740">IFERROR(LOOKUP(2,1/SEARCH($S$2:$S$65,G2740),$T$2:$T$65),"Misc")</f>
        <v>COTS</v>
      </c>
      <c r="O2740" t="str" cm="1">
        <f t="array" ref="O2740">IFERROR(LOOKUP(2,1/SEARCH($V$2:$V$65,G2740),$W$2:$W$65),"Misc")</f>
        <v>SWITCH</v>
      </c>
      <c r="P2740" t="str" cm="1">
        <f t="array" ref="P2740">IFERROR(LOOKUP(2,1/SEARCH($Y$2:$Y$65,G2740),$Z$2:$Z$65),"Not Defined")</f>
        <v>SWITCH</v>
      </c>
      <c r="Q2740" t="str" cm="1">
        <f t="array" ref="Q2740">IFERROR(LOOKUP(2,1/SEARCH($S$2:$S$65,H2740),$T$2:$T$65),"-")</f>
        <v>COTS</v>
      </c>
    </row>
    <row r="2741" spans="1:17" hidden="1" x14ac:dyDescent="0.25">
      <c r="A2741" t="s">
        <v>7676</v>
      </c>
      <c r="B2741" t="s">
        <v>6794</v>
      </c>
      <c r="C2741">
        <v>2</v>
      </c>
      <c r="D2741" t="s">
        <v>7648</v>
      </c>
      <c r="F2741" t="s">
        <v>577</v>
      </c>
      <c r="G2741" t="s">
        <v>7104</v>
      </c>
      <c r="H2741" t="s">
        <v>578</v>
      </c>
      <c r="I2741" t="s">
        <v>299</v>
      </c>
      <c r="J2741" t="s">
        <v>7703</v>
      </c>
      <c r="K2741" t="s">
        <v>7684</v>
      </c>
      <c r="L2741" t="s">
        <v>7708</v>
      </c>
      <c r="N2741" t="str" cm="1">
        <f t="array" ref="N2741">IFERROR(LOOKUP(2,1/SEARCH($S$2:$S$65,G2741),$T$2:$T$65),"Misc")</f>
        <v>COTS</v>
      </c>
      <c r="O2741" t="str" cm="1">
        <f t="array" ref="O2741">IFERROR(LOOKUP(2,1/SEARCH($V$2:$V$65,G2741),$W$2:$W$65),"Misc")</f>
        <v>Fasteners</v>
      </c>
      <c r="P2741" t="str" cm="1">
        <f t="array" ref="P2741">IFERROR(LOOKUP(2,1/SEARCH($Y$2:$Y$65,G2741),$Z$2:$Z$65),"Not Defined")</f>
        <v>STANDOFF</v>
      </c>
      <c r="Q2741" t="str" cm="1">
        <f t="array" ref="Q2741">IFERROR(LOOKUP(2,1/SEARCH($S$2:$S$65,H2741),$T$2:$T$65),"-")</f>
        <v>COTS</v>
      </c>
    </row>
    <row r="2742" spans="1:17" hidden="1" x14ac:dyDescent="0.25">
      <c r="A2742" t="s">
        <v>7676</v>
      </c>
      <c r="B2742" t="s">
        <v>6795</v>
      </c>
      <c r="C2742">
        <v>1</v>
      </c>
      <c r="D2742" t="s">
        <v>7648</v>
      </c>
      <c r="F2742" t="s">
        <v>3046</v>
      </c>
      <c r="G2742" t="s">
        <v>7338</v>
      </c>
      <c r="H2742" t="s">
        <v>3047</v>
      </c>
      <c r="I2742" t="s">
        <v>299</v>
      </c>
      <c r="J2742" t="s">
        <v>7703</v>
      </c>
      <c r="K2742" t="s">
        <v>7684</v>
      </c>
      <c r="L2742" t="s">
        <v>7708</v>
      </c>
      <c r="N2742" t="str" cm="1">
        <f t="array" ref="N2742">IFERROR(LOOKUP(2,1/SEARCH($S$2:$S$65,G2742),$T$2:$T$65),"Misc")</f>
        <v>COTS</v>
      </c>
      <c r="O2742" t="str" cm="1">
        <f t="array" ref="O2742">IFERROR(LOOKUP(2,1/SEARCH($V$2:$V$65,G2742),$W$2:$W$65),"Misc")</f>
        <v>Fasteners</v>
      </c>
      <c r="P2742" t="str" cm="1">
        <f t="array" ref="P2742">IFERROR(LOOKUP(2,1/SEARCH($Y$2:$Y$65,G2742),$Z$2:$Z$65),"Not Defined")</f>
        <v>STANDOFF</v>
      </c>
      <c r="Q2742" t="str" cm="1">
        <f t="array" ref="Q2742">IFERROR(LOOKUP(2,1/SEARCH($S$2:$S$65,H2742),$T$2:$T$65),"-")</f>
        <v>COTS</v>
      </c>
    </row>
    <row r="2743" spans="1:17" hidden="1" x14ac:dyDescent="0.25">
      <c r="A2743" t="s">
        <v>7676</v>
      </c>
      <c r="B2743" t="s">
        <v>6796</v>
      </c>
      <c r="C2743">
        <v>1</v>
      </c>
      <c r="D2743" t="s">
        <v>7648</v>
      </c>
      <c r="F2743" t="s">
        <v>5090</v>
      </c>
      <c r="G2743" t="s">
        <v>7525</v>
      </c>
      <c r="H2743" t="s">
        <v>5091</v>
      </c>
      <c r="I2743" t="s">
        <v>228</v>
      </c>
      <c r="J2743" t="s">
        <v>7703</v>
      </c>
      <c r="K2743" t="s">
        <v>7684</v>
      </c>
      <c r="L2743" t="s">
        <v>7691</v>
      </c>
      <c r="N2743" t="str" cm="1">
        <f t="array" ref="N2743">IFERROR(LOOKUP(2,1/SEARCH($S$2:$S$65,G2743),$T$2:$T$65),"Misc")</f>
        <v>COTS</v>
      </c>
      <c r="O2743" t="str" cm="1">
        <f t="array" ref="O2743">IFERROR(LOOKUP(2,1/SEARCH($V$2:$V$65,G2743),$W$2:$W$65),"Misc")</f>
        <v>Fasteners</v>
      </c>
      <c r="P2743" t="str" cm="1">
        <f t="array" ref="P2743">IFERROR(LOOKUP(2,1/SEARCH($Y$2:$Y$65,G2743),$Z$2:$Z$65),"Not Defined")</f>
        <v>FHS</v>
      </c>
      <c r="Q2743" t="str" cm="1">
        <f t="array" ref="Q2743">IFERROR(LOOKUP(2,1/SEARCH($S$2:$S$65,H2743),$T$2:$T$65),"-")</f>
        <v>COTS</v>
      </c>
    </row>
    <row r="2744" spans="1:17" hidden="1" x14ac:dyDescent="0.25">
      <c r="A2744" t="s">
        <v>7676</v>
      </c>
      <c r="B2744" t="s">
        <v>6797</v>
      </c>
      <c r="C2744">
        <v>2</v>
      </c>
      <c r="D2744" t="s">
        <v>7648</v>
      </c>
      <c r="F2744" t="s">
        <v>4867</v>
      </c>
      <c r="G2744" t="s">
        <v>7508</v>
      </c>
      <c r="H2744" t="s">
        <v>4868</v>
      </c>
      <c r="I2744" t="s">
        <v>299</v>
      </c>
      <c r="J2744" t="s">
        <v>7703</v>
      </c>
      <c r="K2744" t="s">
        <v>7684</v>
      </c>
      <c r="L2744" t="s">
        <v>7708</v>
      </c>
      <c r="N2744" t="str" cm="1">
        <f t="array" ref="N2744">IFERROR(LOOKUP(2,1/SEARCH($S$2:$S$65,G2744),$T$2:$T$65),"Misc")</f>
        <v>COTS</v>
      </c>
      <c r="O2744" t="str" cm="1">
        <f t="array" ref="O2744">IFERROR(LOOKUP(2,1/SEARCH($V$2:$V$65,G2744),$W$2:$W$65),"Misc")</f>
        <v>Fasteners</v>
      </c>
      <c r="P2744" t="str" cm="1">
        <f t="array" ref="P2744">IFERROR(LOOKUP(2,1/SEARCH($Y$2:$Y$65,G2744),$Z$2:$Z$65),"Not Defined")</f>
        <v>STANDOFF</v>
      </c>
      <c r="Q2744" t="str" cm="1">
        <f t="array" ref="Q2744">IFERROR(LOOKUP(2,1/SEARCH($S$2:$S$65,H2744),$T$2:$T$65),"-")</f>
        <v>COTS</v>
      </c>
    </row>
    <row r="2745" spans="1:17" hidden="1" x14ac:dyDescent="0.25">
      <c r="A2745" t="s">
        <v>7676</v>
      </c>
      <c r="B2745" t="s">
        <v>6798</v>
      </c>
      <c r="C2745">
        <v>1</v>
      </c>
      <c r="D2745" t="s">
        <v>7648</v>
      </c>
      <c r="F2745" t="s">
        <v>512</v>
      </c>
      <c r="G2745" t="s">
        <v>7096</v>
      </c>
      <c r="H2745" t="s">
        <v>513</v>
      </c>
      <c r="I2745" t="s">
        <v>299</v>
      </c>
      <c r="J2745" t="s">
        <v>7703</v>
      </c>
      <c r="K2745" t="s">
        <v>7684</v>
      </c>
      <c r="L2745" t="s">
        <v>7708</v>
      </c>
      <c r="N2745" t="str" cm="1">
        <f t="array" ref="N2745">IFERROR(LOOKUP(2,1/SEARCH($S$2:$S$65,G2745),$T$2:$T$65),"Misc")</f>
        <v>COTS</v>
      </c>
      <c r="O2745" t="str" cm="1">
        <f t="array" ref="O2745">IFERROR(LOOKUP(2,1/SEARCH($V$2:$V$65,G2745),$W$2:$W$65),"Misc")</f>
        <v>Fasteners</v>
      </c>
      <c r="P2745" t="str" cm="1">
        <f t="array" ref="P2745">IFERROR(LOOKUP(2,1/SEARCH($Y$2:$Y$65,G2745),$Z$2:$Z$65),"Not Defined")</f>
        <v>STANDOFF</v>
      </c>
      <c r="Q2745" t="str" cm="1">
        <f t="array" ref="Q2745">IFERROR(LOOKUP(2,1/SEARCH($S$2:$S$65,H2745),$T$2:$T$65),"-")</f>
        <v>COTS</v>
      </c>
    </row>
    <row r="2746" spans="1:17" hidden="1" x14ac:dyDescent="0.25">
      <c r="A2746" t="s">
        <v>7676</v>
      </c>
      <c r="B2746" t="s">
        <v>6799</v>
      </c>
      <c r="C2746">
        <v>2</v>
      </c>
      <c r="D2746" t="s">
        <v>7648</v>
      </c>
      <c r="F2746" t="s">
        <v>1541</v>
      </c>
      <c r="G2746" t="s">
        <v>7223</v>
      </c>
      <c r="H2746" t="s">
        <v>1542</v>
      </c>
      <c r="I2746" t="s">
        <v>210</v>
      </c>
      <c r="J2746" t="s">
        <v>7703</v>
      </c>
      <c r="K2746" t="s">
        <v>7684</v>
      </c>
      <c r="L2746" t="s">
        <v>7693</v>
      </c>
      <c r="N2746" t="str" cm="1">
        <f t="array" ref="N2746">IFERROR(LOOKUP(2,1/SEARCH($S$2:$S$65,G2746),$T$2:$T$65),"Misc")</f>
        <v>COTS</v>
      </c>
      <c r="O2746" t="str" cm="1">
        <f t="array" ref="O2746">IFERROR(LOOKUP(2,1/SEARCH($V$2:$V$65,G2746),$W$2:$W$65),"Misc")</f>
        <v>Fasteners</v>
      </c>
      <c r="P2746" t="str" cm="1">
        <f t="array" ref="P2746">IFERROR(LOOKUP(2,1/SEARCH($Y$2:$Y$65,G2746),$Z$2:$Z$65),"Not Defined")</f>
        <v>PHS</v>
      </c>
      <c r="Q2746" t="str" cm="1">
        <f t="array" ref="Q2746">IFERROR(LOOKUP(2,1/SEARCH($S$2:$S$65,H2746),$T$2:$T$65),"-")</f>
        <v>COTS</v>
      </c>
    </row>
    <row r="2747" spans="1:17" hidden="1" x14ac:dyDescent="0.25">
      <c r="A2747" t="s">
        <v>7676</v>
      </c>
      <c r="B2747" t="s">
        <v>6800</v>
      </c>
      <c r="C2747">
        <v>9</v>
      </c>
      <c r="D2747" t="s">
        <v>7648</v>
      </c>
      <c r="F2747" t="s">
        <v>460</v>
      </c>
      <c r="G2747" t="s">
        <v>7090</v>
      </c>
      <c r="H2747" t="s">
        <v>461</v>
      </c>
      <c r="I2747" t="s">
        <v>224</v>
      </c>
      <c r="J2747" t="s">
        <v>7703</v>
      </c>
      <c r="K2747" t="s">
        <v>7684</v>
      </c>
      <c r="L2747" t="s">
        <v>7693</v>
      </c>
      <c r="N2747" t="str" cm="1">
        <f t="array" ref="N2747">IFERROR(LOOKUP(2,1/SEARCH($S$2:$S$65,G2747),$T$2:$T$65),"Misc")</f>
        <v>COTS</v>
      </c>
      <c r="O2747" t="str" cm="1">
        <f t="array" ref="O2747">IFERROR(LOOKUP(2,1/SEARCH($V$2:$V$65,G2747),$W$2:$W$65),"Misc")</f>
        <v>Fasteners</v>
      </c>
      <c r="P2747" t="str" cm="1">
        <f t="array" ref="P2747">IFERROR(LOOKUP(2,1/SEARCH($Y$2:$Y$65,G2747),$Z$2:$Z$65),"Not Defined")</f>
        <v>PHS</v>
      </c>
      <c r="Q2747" t="str" cm="1">
        <f t="array" ref="Q2747">IFERROR(LOOKUP(2,1/SEARCH($S$2:$S$65,H2747),$T$2:$T$65),"-")</f>
        <v>COTS</v>
      </c>
    </row>
    <row r="2748" spans="1:17" hidden="1" x14ac:dyDescent="0.25">
      <c r="A2748" t="s">
        <v>7676</v>
      </c>
      <c r="B2748" t="s">
        <v>6801</v>
      </c>
      <c r="C2748">
        <v>4</v>
      </c>
      <c r="D2748" t="s">
        <v>7648</v>
      </c>
      <c r="F2748" t="s">
        <v>583</v>
      </c>
      <c r="G2748" t="s">
        <v>7106</v>
      </c>
      <c r="H2748" t="s">
        <v>584</v>
      </c>
      <c r="I2748" t="s">
        <v>299</v>
      </c>
      <c r="J2748" t="s">
        <v>7703</v>
      </c>
      <c r="K2748" t="s">
        <v>7684</v>
      </c>
      <c r="L2748" t="s">
        <v>7708</v>
      </c>
      <c r="N2748" t="str" cm="1">
        <f t="array" ref="N2748">IFERROR(LOOKUP(2,1/SEARCH($S$2:$S$65,G2748),$T$2:$T$65),"Misc")</f>
        <v>COTS</v>
      </c>
      <c r="O2748" t="str" cm="1">
        <f t="array" ref="O2748">IFERROR(LOOKUP(2,1/SEARCH($V$2:$V$65,G2748),$W$2:$W$65),"Misc")</f>
        <v>Fasteners</v>
      </c>
      <c r="P2748" t="str" cm="1">
        <f t="array" ref="P2748">IFERROR(LOOKUP(2,1/SEARCH($Y$2:$Y$65,G2748),$Z$2:$Z$65),"Not Defined")</f>
        <v>STANDOFF</v>
      </c>
      <c r="Q2748" t="str" cm="1">
        <f t="array" ref="Q2748">IFERROR(LOOKUP(2,1/SEARCH($S$2:$S$65,H2748),$T$2:$T$65),"-")</f>
        <v>COTS</v>
      </c>
    </row>
    <row r="2749" spans="1:17" hidden="1" x14ac:dyDescent="0.25">
      <c r="A2749" t="s">
        <v>7676</v>
      </c>
      <c r="B2749" t="s">
        <v>6802</v>
      </c>
      <c r="C2749">
        <v>1</v>
      </c>
      <c r="D2749" t="s">
        <v>7648</v>
      </c>
      <c r="F2749" t="s">
        <v>4791</v>
      </c>
      <c r="G2749" t="s">
        <v>7499</v>
      </c>
      <c r="H2749" t="s">
        <v>4792</v>
      </c>
      <c r="I2749" t="s">
        <v>255</v>
      </c>
      <c r="J2749" t="s">
        <v>7717</v>
      </c>
      <c r="K2749" t="s">
        <v>7717</v>
      </c>
      <c r="L2749" t="s">
        <v>7717</v>
      </c>
      <c r="N2749" t="str" cm="1">
        <f t="array" ref="N2749">IFERROR(LOOKUP(2,1/SEARCH($S$2:$S$65,G2749),$T$2:$T$65),"Misc")</f>
        <v>ABSIS</v>
      </c>
      <c r="O2749" t="str" cm="1">
        <f t="array" ref="O2749">IFERROR(LOOKUP(2,1/SEARCH($V$2:$V$65,G2749),$W$2:$W$65),"Misc")</f>
        <v>ABSIS</v>
      </c>
      <c r="P2749" t="str" cm="1">
        <f t="array" ref="P2749">IFERROR(LOOKUP(2,1/SEARCH($Y$2:$Y$65,G2749),$Z$2:$Z$65),"Not Defined")</f>
        <v>ABSIS</v>
      </c>
      <c r="Q2749" t="str" cm="1">
        <f t="array" ref="Q2749">IFERROR(LOOKUP(2,1/SEARCH($S$2:$S$65,H2749),$T$2:$T$65),"-")</f>
        <v>ABSIS</v>
      </c>
    </row>
    <row r="2750" spans="1:17" hidden="1" x14ac:dyDescent="0.25">
      <c r="A2750" t="s">
        <v>7676</v>
      </c>
      <c r="B2750" t="s">
        <v>6803</v>
      </c>
      <c r="C2750">
        <v>4</v>
      </c>
      <c r="D2750" t="s">
        <v>7648</v>
      </c>
      <c r="F2750" t="s">
        <v>4795</v>
      </c>
      <c r="G2750" t="s">
        <v>7500</v>
      </c>
      <c r="H2750" t="s">
        <v>4796</v>
      </c>
      <c r="I2750" t="s">
        <v>299</v>
      </c>
      <c r="J2750" t="s">
        <v>7703</v>
      </c>
      <c r="K2750" t="s">
        <v>7684</v>
      </c>
      <c r="L2750" t="s">
        <v>7708</v>
      </c>
      <c r="N2750" t="str" cm="1">
        <f t="array" ref="N2750">IFERROR(LOOKUP(2,1/SEARCH($S$2:$S$65,G2750),$T$2:$T$65),"Misc")</f>
        <v>COTS</v>
      </c>
      <c r="O2750" t="str" cm="1">
        <f t="array" ref="O2750">IFERROR(LOOKUP(2,1/SEARCH($V$2:$V$65,G2750),$W$2:$W$65),"Misc")</f>
        <v>Fasteners</v>
      </c>
      <c r="P2750" t="str" cm="1">
        <f t="array" ref="P2750">IFERROR(LOOKUP(2,1/SEARCH($Y$2:$Y$65,G2750),$Z$2:$Z$65),"Not Defined")</f>
        <v>STANDOFF</v>
      </c>
      <c r="Q2750" t="str" cm="1">
        <f t="array" ref="Q2750">IFERROR(LOOKUP(2,1/SEARCH($S$2:$S$65,H2750),$T$2:$T$65),"-")</f>
        <v>COTS</v>
      </c>
    </row>
    <row r="2751" spans="1:17" hidden="1" x14ac:dyDescent="0.25">
      <c r="A2751" t="s">
        <v>7676</v>
      </c>
      <c r="B2751" t="s">
        <v>6804</v>
      </c>
      <c r="C2751">
        <v>2</v>
      </c>
      <c r="D2751" t="s">
        <v>7648</v>
      </c>
      <c r="E2751" t="s">
        <v>7650</v>
      </c>
      <c r="F2751" t="s">
        <v>6805</v>
      </c>
      <c r="G2751" t="s">
        <v>7650</v>
      </c>
      <c r="H2751" t="s">
        <v>6806</v>
      </c>
      <c r="J2751" t="s">
        <v>7744</v>
      </c>
      <c r="K2751" t="s">
        <v>7826</v>
      </c>
      <c r="L2751" t="s">
        <v>7826</v>
      </c>
      <c r="N2751" t="str" cm="1">
        <f t="array" ref="N2751">IFERROR(LOOKUP(2,1/SEARCH($S$2:$S$65,G2751),$T$2:$T$65),"Misc")</f>
        <v>OH Common</v>
      </c>
      <c r="O2751" t="str" cm="1">
        <f t="array" ref="O2751">IFERROR(LOOKUP(2,1/SEARCH($V$2:$V$65,G2751),$W$2:$W$65),"Misc")</f>
        <v>OH Part</v>
      </c>
      <c r="P2751" t="str" cm="1">
        <f t="array" ref="P2751">IFERROR(LOOKUP(2,1/SEARCH($Y$2:$Y$65,G2751),$Z$2:$Z$65),"Not Defined")</f>
        <v>OH Part</v>
      </c>
      <c r="Q2751" t="str" cm="1">
        <f t="array" ref="Q2751">IFERROR(LOOKUP(2,1/SEARCH($S$2:$S$65,H2751),$T$2:$T$65),"-")</f>
        <v>OH ASSY</v>
      </c>
    </row>
    <row r="2752" spans="1:17" hidden="1" x14ac:dyDescent="0.25">
      <c r="A2752" t="s">
        <v>7676</v>
      </c>
      <c r="B2752" t="s">
        <v>6807</v>
      </c>
      <c r="C2752">
        <v>1</v>
      </c>
      <c r="D2752" t="s">
        <v>7648</v>
      </c>
      <c r="E2752" t="s">
        <v>7650</v>
      </c>
      <c r="F2752" t="s">
        <v>6808</v>
      </c>
      <c r="G2752" t="s">
        <v>6810</v>
      </c>
      <c r="H2752" t="s">
        <v>6809</v>
      </c>
      <c r="I2752" t="s">
        <v>358</v>
      </c>
      <c r="J2752" t="s">
        <v>7744</v>
      </c>
      <c r="K2752" t="s">
        <v>7826</v>
      </c>
      <c r="L2752" t="s">
        <v>7826</v>
      </c>
      <c r="N2752" t="str" cm="1">
        <f t="array" ref="N2752">IFERROR(LOOKUP(2,1/SEARCH($S$2:$S$65,G2752),$T$2:$T$65),"Misc")</f>
        <v>OH Common</v>
      </c>
      <c r="O2752" t="str" cm="1">
        <f t="array" ref="O2752">IFERROR(LOOKUP(2,1/SEARCH($V$2:$V$65,G2752),$W$2:$W$65),"Misc")</f>
        <v>OH Part</v>
      </c>
      <c r="P2752" t="str" cm="1">
        <f t="array" ref="P2752">IFERROR(LOOKUP(2,1/SEARCH($Y$2:$Y$65,G2752),$Z$2:$Z$65),"Not Defined")</f>
        <v>OH Part</v>
      </c>
      <c r="Q2752" t="str" cm="1">
        <f t="array" ref="Q2752">IFERROR(LOOKUP(2,1/SEARCH($S$2:$S$65,H2752),$T$2:$T$65),"-")</f>
        <v>-</v>
      </c>
    </row>
    <row r="2753" spans="1:17" hidden="1" x14ac:dyDescent="0.25">
      <c r="A2753" t="s">
        <v>7676</v>
      </c>
      <c r="B2753" t="s">
        <v>6811</v>
      </c>
      <c r="C2753">
        <v>2</v>
      </c>
      <c r="D2753" t="s">
        <v>7648</v>
      </c>
      <c r="E2753" t="s">
        <v>7650</v>
      </c>
      <c r="F2753" t="s">
        <v>6812</v>
      </c>
      <c r="G2753" t="s">
        <v>7651</v>
      </c>
      <c r="H2753" t="s">
        <v>6813</v>
      </c>
      <c r="I2753" t="s">
        <v>228</v>
      </c>
      <c r="J2753" t="s">
        <v>7703</v>
      </c>
      <c r="K2753" t="s">
        <v>7684</v>
      </c>
      <c r="L2753" t="s">
        <v>7721</v>
      </c>
      <c r="N2753" t="str" cm="1">
        <f t="array" ref="N2753">IFERROR(LOOKUP(2,1/SEARCH($S$2:$S$65,G2753),$T$2:$T$65),"Misc")</f>
        <v>COTS</v>
      </c>
      <c r="O2753" t="str" cm="1">
        <f t="array" ref="O2753">IFERROR(LOOKUP(2,1/SEARCH($V$2:$V$65,G2753),$W$2:$W$65),"Misc")</f>
        <v>Fasteners</v>
      </c>
      <c r="P2753" t="str" cm="1">
        <f t="array" ref="P2753">IFERROR(LOOKUP(2,1/SEARCH($Y$2:$Y$65,G2753),$Z$2:$Z$65),"Not Defined")</f>
        <v>SET SCREW</v>
      </c>
      <c r="Q2753" t="str" cm="1">
        <f t="array" ref="Q2753">IFERROR(LOOKUP(2,1/SEARCH($S$2:$S$65,H2753),$T$2:$T$65),"-")</f>
        <v>COTS</v>
      </c>
    </row>
    <row r="2754" spans="1:17" hidden="1" x14ac:dyDescent="0.25">
      <c r="A2754" t="s">
        <v>7676</v>
      </c>
      <c r="B2754" t="s">
        <v>6814</v>
      </c>
      <c r="C2754">
        <v>1</v>
      </c>
      <c r="D2754" t="s">
        <v>7648</v>
      </c>
      <c r="E2754" t="s">
        <v>7652</v>
      </c>
      <c r="F2754" t="s">
        <v>6815</v>
      </c>
      <c r="G2754" t="s">
        <v>7652</v>
      </c>
      <c r="H2754" t="s">
        <v>1778</v>
      </c>
      <c r="J2754" t="s">
        <v>7744</v>
      </c>
      <c r="K2754" t="s">
        <v>7826</v>
      </c>
      <c r="L2754" t="s">
        <v>7826</v>
      </c>
      <c r="N2754" t="str" cm="1">
        <f t="array" ref="N2754">IFERROR(LOOKUP(2,1/SEARCH($S$2:$S$65,G2754),$T$2:$T$65),"Misc")</f>
        <v>OH Common</v>
      </c>
      <c r="O2754" t="str" cm="1">
        <f t="array" ref="O2754">IFERROR(LOOKUP(2,1/SEARCH($V$2:$V$65,G2754),$W$2:$W$65),"Misc")</f>
        <v>OH Part</v>
      </c>
      <c r="P2754" t="str" cm="1">
        <f t="array" ref="P2754">IFERROR(LOOKUP(2,1/SEARCH($Y$2:$Y$65,G2754),$Z$2:$Z$65),"Not Defined")</f>
        <v>OH Part</v>
      </c>
      <c r="Q2754" t="str" cm="1">
        <f t="array" ref="Q2754">IFERROR(LOOKUP(2,1/SEARCH($S$2:$S$65,H2754),$T$2:$T$65),"-")</f>
        <v>OH ASSY</v>
      </c>
    </row>
    <row r="2755" spans="1:17" hidden="1" x14ac:dyDescent="0.25">
      <c r="A2755" t="s">
        <v>7676</v>
      </c>
      <c r="B2755" t="s">
        <v>6816</v>
      </c>
      <c r="C2755">
        <v>1</v>
      </c>
      <c r="D2755" t="s">
        <v>7648</v>
      </c>
      <c r="E2755" t="s">
        <v>7652</v>
      </c>
      <c r="F2755" t="s">
        <v>6817</v>
      </c>
      <c r="G2755" t="s">
        <v>6818</v>
      </c>
      <c r="H2755" t="s">
        <v>1781</v>
      </c>
      <c r="I2755" t="s">
        <v>358</v>
      </c>
      <c r="J2755" t="s">
        <v>7744</v>
      </c>
      <c r="K2755" t="s">
        <v>7826</v>
      </c>
      <c r="L2755" t="s">
        <v>7826</v>
      </c>
      <c r="N2755" t="str" cm="1">
        <f t="array" ref="N2755">IFERROR(LOOKUP(2,1/SEARCH($S$2:$S$65,G2755),$T$2:$T$65),"Misc")</f>
        <v>OH Common</v>
      </c>
      <c r="O2755" t="str" cm="1">
        <f t="array" ref="O2755">IFERROR(LOOKUP(2,1/SEARCH($V$2:$V$65,G2755),$W$2:$W$65),"Misc")</f>
        <v>OH Part</v>
      </c>
      <c r="P2755" t="str" cm="1">
        <f t="array" ref="P2755">IFERROR(LOOKUP(2,1/SEARCH($Y$2:$Y$65,G2755),$Z$2:$Z$65),"Not Defined")</f>
        <v>OH Part</v>
      </c>
      <c r="Q2755" t="str" cm="1">
        <f t="array" ref="Q2755">IFERROR(LOOKUP(2,1/SEARCH($S$2:$S$65,H2755),$T$2:$T$65),"-")</f>
        <v>-</v>
      </c>
    </row>
    <row r="2756" spans="1:17" hidden="1" x14ac:dyDescent="0.25">
      <c r="A2756" t="s">
        <v>7676</v>
      </c>
      <c r="B2756" t="s">
        <v>6819</v>
      </c>
      <c r="C2756">
        <v>2</v>
      </c>
      <c r="D2756" t="s">
        <v>7648</v>
      </c>
      <c r="E2756" t="s">
        <v>7652</v>
      </c>
      <c r="F2756" t="s">
        <v>430</v>
      </c>
      <c r="G2756" t="s">
        <v>7083</v>
      </c>
      <c r="H2756" t="s">
        <v>431</v>
      </c>
      <c r="I2756" t="s">
        <v>228</v>
      </c>
      <c r="J2756" t="s">
        <v>7703</v>
      </c>
      <c r="K2756" t="s">
        <v>7684</v>
      </c>
      <c r="L2756" t="s">
        <v>7721</v>
      </c>
      <c r="N2756" t="str" cm="1">
        <f t="array" ref="N2756">IFERROR(LOOKUP(2,1/SEARCH($S$2:$S$65,G2756),$T$2:$T$65),"Misc")</f>
        <v>COTS</v>
      </c>
      <c r="O2756" t="str" cm="1">
        <f t="array" ref="O2756">IFERROR(LOOKUP(2,1/SEARCH($V$2:$V$65,G2756),$W$2:$W$65),"Misc")</f>
        <v>Fasteners</v>
      </c>
      <c r="P2756" t="str" cm="1">
        <f t="array" ref="P2756">IFERROR(LOOKUP(2,1/SEARCH($Y$2:$Y$65,G2756),$Z$2:$Z$65),"Not Defined")</f>
        <v>SET SCREW</v>
      </c>
      <c r="Q2756" t="str" cm="1">
        <f t="array" ref="Q2756">IFERROR(LOOKUP(2,1/SEARCH($S$2:$S$65,H2756),$T$2:$T$65),"-")</f>
        <v>COTS</v>
      </c>
    </row>
    <row r="2757" spans="1:17" hidden="1" x14ac:dyDescent="0.25">
      <c r="A2757" t="s">
        <v>7676</v>
      </c>
      <c r="B2757" t="s">
        <v>6820</v>
      </c>
      <c r="C2757">
        <v>1</v>
      </c>
      <c r="D2757" t="s">
        <v>7648</v>
      </c>
      <c r="E2757" t="s">
        <v>7653</v>
      </c>
      <c r="F2757" t="s">
        <v>6821</v>
      </c>
      <c r="G2757" t="s">
        <v>7653</v>
      </c>
      <c r="H2757" t="s">
        <v>6822</v>
      </c>
      <c r="J2757" t="s">
        <v>7744</v>
      </c>
      <c r="K2757" t="s">
        <v>7826</v>
      </c>
      <c r="L2757" t="s">
        <v>7826</v>
      </c>
      <c r="N2757" t="str" cm="1">
        <f t="array" ref="N2757">IFERROR(LOOKUP(2,1/SEARCH($S$2:$S$65,G2757),$T$2:$T$65),"Misc")</f>
        <v>OH Common</v>
      </c>
      <c r="O2757" t="str" cm="1">
        <f t="array" ref="O2757">IFERROR(LOOKUP(2,1/SEARCH($V$2:$V$65,G2757),$W$2:$W$65),"Misc")</f>
        <v>OH Part</v>
      </c>
      <c r="P2757" t="str" cm="1">
        <f t="array" ref="P2757">IFERROR(LOOKUP(2,1/SEARCH($Y$2:$Y$65,G2757),$Z$2:$Z$65),"Not Defined")</f>
        <v>OH Part</v>
      </c>
      <c r="Q2757" t="str" cm="1">
        <f t="array" ref="Q2757">IFERROR(LOOKUP(2,1/SEARCH($S$2:$S$65,H2757),$T$2:$T$65),"-")</f>
        <v>OH ASSY</v>
      </c>
    </row>
    <row r="2758" spans="1:17" hidden="1" x14ac:dyDescent="0.25">
      <c r="A2758" t="s">
        <v>7676</v>
      </c>
      <c r="B2758" t="s">
        <v>6823</v>
      </c>
      <c r="C2758">
        <v>1</v>
      </c>
      <c r="D2758" t="s">
        <v>7648</v>
      </c>
      <c r="E2758" t="s">
        <v>7653</v>
      </c>
      <c r="F2758" t="s">
        <v>6824</v>
      </c>
      <c r="G2758" t="s">
        <v>6826</v>
      </c>
      <c r="H2758" t="s">
        <v>6825</v>
      </c>
      <c r="I2758" t="s">
        <v>13</v>
      </c>
      <c r="J2758" t="s">
        <v>7744</v>
      </c>
      <c r="K2758" t="s">
        <v>7826</v>
      </c>
      <c r="L2758" t="s">
        <v>7826</v>
      </c>
      <c r="N2758" t="str" cm="1">
        <f t="array" ref="N2758">IFERROR(LOOKUP(2,1/SEARCH($S$2:$S$65,G2758),$T$2:$T$65),"Misc")</f>
        <v>OH Common</v>
      </c>
      <c r="O2758" t="str" cm="1">
        <f t="array" ref="O2758">IFERROR(LOOKUP(2,1/SEARCH($V$2:$V$65,G2758),$W$2:$W$65),"Misc")</f>
        <v>OH Part</v>
      </c>
      <c r="P2758" t="str" cm="1">
        <f t="array" ref="P2758">IFERROR(LOOKUP(2,1/SEARCH($Y$2:$Y$65,G2758),$Z$2:$Z$65),"Not Defined")</f>
        <v>OH Part</v>
      </c>
      <c r="Q2758" t="str" cm="1">
        <f t="array" ref="Q2758">IFERROR(LOOKUP(2,1/SEARCH($S$2:$S$65,H2758),$T$2:$T$65),"-")</f>
        <v>-</v>
      </c>
    </row>
    <row r="2759" spans="1:17" hidden="1" x14ac:dyDescent="0.25">
      <c r="A2759" t="s">
        <v>7676</v>
      </c>
      <c r="B2759" t="s">
        <v>6827</v>
      </c>
      <c r="C2759">
        <v>1</v>
      </c>
      <c r="D2759" t="s">
        <v>7648</v>
      </c>
      <c r="E2759" t="s">
        <v>7653</v>
      </c>
      <c r="F2759" t="s">
        <v>265</v>
      </c>
      <c r="G2759" t="s">
        <v>7099</v>
      </c>
      <c r="H2759" t="s">
        <v>266</v>
      </c>
      <c r="I2759" t="s">
        <v>224</v>
      </c>
      <c r="J2759" t="s">
        <v>7703</v>
      </c>
      <c r="K2759" t="s">
        <v>7684</v>
      </c>
      <c r="L2759" t="s">
        <v>7687</v>
      </c>
      <c r="N2759" t="str" cm="1">
        <f t="array" ref="N2759">IFERROR(LOOKUP(2,1/SEARCH($S$2:$S$65,G2759),$T$2:$T$65),"Misc")</f>
        <v>COTS</v>
      </c>
      <c r="O2759" t="str" cm="1">
        <f t="array" ref="O2759">IFERROR(LOOKUP(2,1/SEARCH($V$2:$V$65,G2759),$W$2:$W$65),"Misc")</f>
        <v>Fasteners</v>
      </c>
      <c r="P2759" t="str" cm="1">
        <f t="array" ref="P2759">IFERROR(LOOKUP(2,1/SEARCH($Y$2:$Y$65,G2759),$Z$2:$Z$65),"Not Defined")</f>
        <v>INSERT</v>
      </c>
      <c r="Q2759" t="str" cm="1">
        <f t="array" ref="Q2759">IFERROR(LOOKUP(2,1/SEARCH($S$2:$S$65,H2759),$T$2:$T$65),"-")</f>
        <v>COTS</v>
      </c>
    </row>
    <row r="2760" spans="1:17" hidden="1" x14ac:dyDescent="0.25">
      <c r="A2760" t="s">
        <v>7676</v>
      </c>
      <c r="B2760" t="s">
        <v>6828</v>
      </c>
      <c r="C2760">
        <v>2</v>
      </c>
      <c r="D2760" t="s">
        <v>7648</v>
      </c>
      <c r="E2760" t="s">
        <v>7653</v>
      </c>
      <c r="F2760" t="s">
        <v>430</v>
      </c>
      <c r="G2760" t="s">
        <v>7083</v>
      </c>
      <c r="H2760" t="s">
        <v>431</v>
      </c>
      <c r="I2760" t="s">
        <v>228</v>
      </c>
      <c r="J2760" t="s">
        <v>7703</v>
      </c>
      <c r="K2760" t="s">
        <v>7684</v>
      </c>
      <c r="L2760" t="s">
        <v>7721</v>
      </c>
      <c r="N2760" t="str" cm="1">
        <f t="array" ref="N2760">IFERROR(LOOKUP(2,1/SEARCH($S$2:$S$65,G2760),$T$2:$T$65),"Misc")</f>
        <v>COTS</v>
      </c>
      <c r="O2760" t="str" cm="1">
        <f t="array" ref="O2760">IFERROR(LOOKUP(2,1/SEARCH($V$2:$V$65,G2760),$W$2:$W$65),"Misc")</f>
        <v>Fasteners</v>
      </c>
      <c r="P2760" t="str" cm="1">
        <f t="array" ref="P2760">IFERROR(LOOKUP(2,1/SEARCH($Y$2:$Y$65,G2760),$Z$2:$Z$65),"Not Defined")</f>
        <v>SET SCREW</v>
      </c>
      <c r="Q2760" t="str" cm="1">
        <f t="array" ref="Q2760">IFERROR(LOOKUP(2,1/SEARCH($S$2:$S$65,H2760),$T$2:$T$65),"-")</f>
        <v>COTS</v>
      </c>
    </row>
    <row r="2761" spans="1:17" hidden="1" x14ac:dyDescent="0.25">
      <c r="A2761" t="s">
        <v>7676</v>
      </c>
      <c r="B2761" t="s">
        <v>6829</v>
      </c>
      <c r="C2761">
        <v>1</v>
      </c>
      <c r="D2761" t="s">
        <v>7648</v>
      </c>
      <c r="E2761" t="s">
        <v>614</v>
      </c>
      <c r="F2761" t="s">
        <v>613</v>
      </c>
      <c r="G2761" t="s">
        <v>7110</v>
      </c>
      <c r="H2761" t="s">
        <v>614</v>
      </c>
      <c r="I2761" t="s">
        <v>255</v>
      </c>
      <c r="J2761" t="s">
        <v>7815</v>
      </c>
      <c r="K2761" t="s">
        <v>7717</v>
      </c>
      <c r="L2761" t="s">
        <v>7717</v>
      </c>
      <c r="N2761" t="str" cm="1">
        <f t="array" ref="N2761">IFERROR(LOOKUP(2,1/SEARCH($S$2:$S$65,G2761),$T$2:$T$65),"Misc")</f>
        <v>OH ASSY</v>
      </c>
      <c r="O2761" t="str" cm="1">
        <f t="array" ref="O2761">IFERROR(LOOKUP(2,1/SEARCH($V$2:$V$65,G2761),$W$2:$W$65),"Misc")</f>
        <v>ABSIS</v>
      </c>
      <c r="P2761" t="str" cm="1">
        <f t="array" ref="P2761">IFERROR(LOOKUP(2,1/SEARCH($Y$2:$Y$65,G2761),$Z$2:$Z$65),"Not Defined")</f>
        <v>ABSIS</v>
      </c>
      <c r="Q2761" t="str" cm="1">
        <f t="array" ref="Q2761">IFERROR(LOOKUP(2,1/SEARCH($S$2:$S$65,H2761),$T$2:$T$65),"-")</f>
        <v>OH ASSY</v>
      </c>
    </row>
    <row r="2762" spans="1:17" hidden="1" x14ac:dyDescent="0.25">
      <c r="A2762" t="s">
        <v>7676</v>
      </c>
      <c r="B2762" t="s">
        <v>6830</v>
      </c>
      <c r="C2762">
        <v>1</v>
      </c>
      <c r="D2762" t="s">
        <v>7648</v>
      </c>
      <c r="E2762" t="s">
        <v>614</v>
      </c>
      <c r="F2762" t="s">
        <v>616</v>
      </c>
      <c r="G2762" t="s">
        <v>7111</v>
      </c>
      <c r="H2762" t="s">
        <v>617</v>
      </c>
      <c r="I2762" t="s">
        <v>255</v>
      </c>
      <c r="J2762" t="s">
        <v>7717</v>
      </c>
      <c r="K2762" t="s">
        <v>7717</v>
      </c>
      <c r="L2762" t="s">
        <v>7717</v>
      </c>
      <c r="N2762" t="str" cm="1">
        <f t="array" ref="N2762">IFERROR(LOOKUP(2,1/SEARCH($S$2:$S$65,G2762),$T$2:$T$65),"Misc")</f>
        <v>ABSIS</v>
      </c>
      <c r="O2762" t="str" cm="1">
        <f t="array" ref="O2762">IFERROR(LOOKUP(2,1/SEARCH($V$2:$V$65,G2762),$W$2:$W$65),"Misc")</f>
        <v>ABSIS</v>
      </c>
      <c r="P2762" t="str" cm="1">
        <f t="array" ref="P2762">IFERROR(LOOKUP(2,1/SEARCH($Y$2:$Y$65,G2762),$Z$2:$Z$65),"Not Defined")</f>
        <v>ABSIS</v>
      </c>
      <c r="Q2762" t="str" cm="1">
        <f t="array" ref="Q2762">IFERROR(LOOKUP(2,1/SEARCH($S$2:$S$65,H2762),$T$2:$T$65),"-")</f>
        <v>ABSIS</v>
      </c>
    </row>
    <row r="2763" spans="1:17" hidden="1" x14ac:dyDescent="0.25">
      <c r="A2763" t="s">
        <v>7676</v>
      </c>
      <c r="B2763" t="s">
        <v>6831</v>
      </c>
      <c r="C2763">
        <v>1</v>
      </c>
      <c r="D2763" t="s">
        <v>7648</v>
      </c>
      <c r="E2763" t="s">
        <v>614</v>
      </c>
      <c r="F2763" t="s">
        <v>596</v>
      </c>
      <c r="G2763" t="s">
        <v>7108</v>
      </c>
      <c r="H2763" t="s">
        <v>597</v>
      </c>
      <c r="I2763" t="s">
        <v>255</v>
      </c>
      <c r="J2763" t="s">
        <v>7703</v>
      </c>
      <c r="K2763" t="s">
        <v>7713</v>
      </c>
      <c r="L2763" t="s">
        <v>7713</v>
      </c>
      <c r="N2763" t="str" cm="1">
        <f t="array" ref="N2763">IFERROR(LOOKUP(2,1/SEARCH($S$2:$S$65,G2763),$T$2:$T$65),"Misc")</f>
        <v>COTS</v>
      </c>
      <c r="O2763" t="str" cm="1">
        <f t="array" ref="O2763">IFERROR(LOOKUP(2,1/SEARCH($V$2:$V$65,G2763),$W$2:$W$65),"Misc")</f>
        <v>ARDUINO</v>
      </c>
      <c r="P2763" t="str" cm="1">
        <f t="array" ref="P2763">IFERROR(LOOKUP(2,1/SEARCH($Y$2:$Y$65,G2763),$Z$2:$Z$65),"Not Defined")</f>
        <v>ARDUINO</v>
      </c>
      <c r="Q2763" t="str" cm="1">
        <f t="array" ref="Q2763">IFERROR(LOOKUP(2,1/SEARCH($S$2:$S$65,H2763),$T$2:$T$65),"-")</f>
        <v>COTS</v>
      </c>
    </row>
    <row r="2764" spans="1:17" hidden="1" x14ac:dyDescent="0.25">
      <c r="A2764" t="s">
        <v>7676</v>
      </c>
      <c r="B2764" s="2" t="s">
        <v>6832</v>
      </c>
      <c r="C2764">
        <v>1</v>
      </c>
      <c r="D2764" t="s">
        <v>7648</v>
      </c>
      <c r="E2764" t="s">
        <v>6834</v>
      </c>
      <c r="F2764" t="s">
        <v>6833</v>
      </c>
      <c r="G2764" t="s">
        <v>7654</v>
      </c>
      <c r="H2764" t="s">
        <v>6834</v>
      </c>
      <c r="J2764" t="s">
        <v>7742</v>
      </c>
      <c r="K2764" t="s">
        <v>7826</v>
      </c>
      <c r="L2764" t="s">
        <v>7826</v>
      </c>
      <c r="N2764" t="str" cm="1">
        <f t="array" ref="N2764">IFERROR(LOOKUP(2,1/SEARCH($S$2:$S$65,G2764),$T$2:$T$65),"Misc")</f>
        <v>OH ASSY</v>
      </c>
      <c r="O2764" t="str" cm="1">
        <f t="array" ref="O2764">IFERROR(LOOKUP(2,1/SEARCH($V$2:$V$65,G2764),$W$2:$W$65),"Misc")</f>
        <v>OH Part</v>
      </c>
      <c r="P2764" t="str" cm="1">
        <f t="array" ref="P2764">IFERROR(LOOKUP(2,1/SEARCH($Y$2:$Y$65,G2764),$Z$2:$Z$65),"Not Defined")</f>
        <v>OH Part</v>
      </c>
      <c r="Q2764" t="str" cm="1">
        <f t="array" ref="Q2764">IFERROR(LOOKUP(2,1/SEARCH($S$2:$S$65,H2764),$T$2:$T$65),"-")</f>
        <v>OH ASSY</v>
      </c>
    </row>
    <row r="2765" spans="1:17" hidden="1" x14ac:dyDescent="0.25">
      <c r="A2765" t="s">
        <v>7676</v>
      </c>
      <c r="B2765" s="2" t="s">
        <v>6835</v>
      </c>
      <c r="C2765">
        <v>1</v>
      </c>
      <c r="D2765" t="s">
        <v>7648</v>
      </c>
      <c r="E2765" t="s">
        <v>7948</v>
      </c>
      <c r="F2765" t="s">
        <v>6836</v>
      </c>
      <c r="G2765" t="s">
        <v>6838</v>
      </c>
      <c r="H2765" t="s">
        <v>6837</v>
      </c>
      <c r="J2765" t="s">
        <v>7742</v>
      </c>
      <c r="K2765" t="s">
        <v>7826</v>
      </c>
      <c r="L2765" t="s">
        <v>7826</v>
      </c>
      <c r="N2765" t="str" cm="1">
        <f t="array" ref="N2765">IFERROR(LOOKUP(2,1/SEARCH($S$2:$S$65,G2765),$T$2:$T$65),"Misc")</f>
        <v>OH ASSY</v>
      </c>
      <c r="O2765" t="str" cm="1">
        <f t="array" ref="O2765">IFERROR(LOOKUP(2,1/SEARCH($V$2:$V$65,G2765),$W$2:$W$65),"Misc")</f>
        <v>OH Part</v>
      </c>
      <c r="P2765" t="str" cm="1">
        <f t="array" ref="P2765">IFERROR(LOOKUP(2,1/SEARCH($Y$2:$Y$65,G2765),$Z$2:$Z$65),"Not Defined")</f>
        <v>OH Part</v>
      </c>
      <c r="Q2765" t="str" cm="1">
        <f t="array" ref="Q2765">IFERROR(LOOKUP(2,1/SEARCH($S$2:$S$65,H2765),$T$2:$T$65),"-")</f>
        <v>OH ASSY</v>
      </c>
    </row>
    <row r="2766" spans="1:17" hidden="1" x14ac:dyDescent="0.25">
      <c r="A2766" t="s">
        <v>7676</v>
      </c>
      <c r="B2766" s="2" t="s">
        <v>6839</v>
      </c>
      <c r="C2766">
        <v>1</v>
      </c>
      <c r="D2766" t="s">
        <v>7648</v>
      </c>
      <c r="E2766" t="s">
        <v>7948</v>
      </c>
      <c r="F2766" t="s">
        <v>6840</v>
      </c>
      <c r="G2766" t="s">
        <v>6842</v>
      </c>
      <c r="H2766" t="s">
        <v>6841</v>
      </c>
      <c r="I2766" t="s">
        <v>13</v>
      </c>
      <c r="J2766" t="s">
        <v>7682</v>
      </c>
      <c r="K2766" t="s">
        <v>7826</v>
      </c>
      <c r="L2766" t="s">
        <v>7826</v>
      </c>
      <c r="N2766" t="str" cm="1">
        <f t="array" ref="N2766">IFERROR(LOOKUP(2,1/SEARCH($S$2:$S$65,G2766),$T$2:$T$65),"Misc")</f>
        <v>OH P/N</v>
      </c>
      <c r="O2766" t="str" cm="1">
        <f t="array" ref="O2766">IFERROR(LOOKUP(2,1/SEARCH($V$2:$V$65,G2766),$W$2:$W$65),"Misc")</f>
        <v>OH Part</v>
      </c>
      <c r="P2766" t="str" cm="1">
        <f t="array" ref="P2766">IFERROR(LOOKUP(2,1/SEARCH($Y$2:$Y$65,G2766),$Z$2:$Z$65),"Not Defined")</f>
        <v>OH Part</v>
      </c>
      <c r="Q2766" t="str" cm="1">
        <f t="array" ref="Q2766">IFERROR(LOOKUP(2,1/SEARCH($S$2:$S$65,H2766),$T$2:$T$65),"-")</f>
        <v>COTS</v>
      </c>
    </row>
    <row r="2767" spans="1:17" hidden="1" x14ac:dyDescent="0.25">
      <c r="A2767" t="s">
        <v>7676</v>
      </c>
      <c r="B2767" s="2" t="s">
        <v>6843</v>
      </c>
      <c r="C2767">
        <v>8</v>
      </c>
      <c r="D2767" t="s">
        <v>7648</v>
      </c>
      <c r="E2767" t="s">
        <v>7948</v>
      </c>
      <c r="F2767" t="s">
        <v>265</v>
      </c>
      <c r="G2767" t="s">
        <v>7099</v>
      </c>
      <c r="H2767" t="s">
        <v>266</v>
      </c>
      <c r="I2767" t="s">
        <v>224</v>
      </c>
      <c r="J2767" t="s">
        <v>7703</v>
      </c>
      <c r="K2767" t="s">
        <v>7684</v>
      </c>
      <c r="L2767" t="s">
        <v>7687</v>
      </c>
      <c r="N2767" t="str" cm="1">
        <f t="array" ref="N2767">IFERROR(LOOKUP(2,1/SEARCH($S$2:$S$65,G2767),$T$2:$T$65),"Misc")</f>
        <v>COTS</v>
      </c>
      <c r="O2767" t="str" cm="1">
        <f t="array" ref="O2767">IFERROR(LOOKUP(2,1/SEARCH($V$2:$V$65,G2767),$W$2:$W$65),"Misc")</f>
        <v>Fasteners</v>
      </c>
      <c r="P2767" t="str" cm="1">
        <f t="array" ref="P2767">IFERROR(LOOKUP(2,1/SEARCH($Y$2:$Y$65,G2767),$Z$2:$Z$65),"Not Defined")</f>
        <v>INSERT</v>
      </c>
      <c r="Q2767" t="str" cm="1">
        <f t="array" ref="Q2767">IFERROR(LOOKUP(2,1/SEARCH($S$2:$S$65,H2767),$T$2:$T$65),"-")</f>
        <v>COTS</v>
      </c>
    </row>
    <row r="2768" spans="1:17" hidden="1" x14ac:dyDescent="0.25">
      <c r="A2768" t="s">
        <v>7676</v>
      </c>
      <c r="B2768" s="2" t="s">
        <v>6844</v>
      </c>
      <c r="C2768">
        <v>1</v>
      </c>
      <c r="D2768" t="s">
        <v>7648</v>
      </c>
      <c r="E2768" t="s">
        <v>7948</v>
      </c>
      <c r="F2768" t="s">
        <v>439</v>
      </c>
      <c r="G2768" t="s">
        <v>7086</v>
      </c>
      <c r="H2768" t="s">
        <v>440</v>
      </c>
      <c r="I2768" t="s">
        <v>224</v>
      </c>
      <c r="J2768" t="s">
        <v>7703</v>
      </c>
      <c r="K2768" t="s">
        <v>7684</v>
      </c>
      <c r="L2768" t="s">
        <v>7687</v>
      </c>
      <c r="N2768" t="str" cm="1">
        <f t="array" ref="N2768">IFERROR(LOOKUP(2,1/SEARCH($S$2:$S$65,G2768),$T$2:$T$65),"Misc")</f>
        <v>COTS</v>
      </c>
      <c r="O2768" t="str" cm="1">
        <f t="array" ref="O2768">IFERROR(LOOKUP(2,1/SEARCH($V$2:$V$65,G2768),$W$2:$W$65),"Misc")</f>
        <v>Fasteners</v>
      </c>
      <c r="P2768" t="str" cm="1">
        <f t="array" ref="P2768">IFERROR(LOOKUP(2,1/SEARCH($Y$2:$Y$65,G2768),$Z$2:$Z$65),"Not Defined")</f>
        <v>INSERT</v>
      </c>
      <c r="Q2768" t="str" cm="1">
        <f t="array" ref="Q2768">IFERROR(LOOKUP(2,1/SEARCH($S$2:$S$65,H2768),$T$2:$T$65),"-")</f>
        <v>COTS</v>
      </c>
    </row>
    <row r="2769" spans="1:17" hidden="1" x14ac:dyDescent="0.25">
      <c r="A2769" t="s">
        <v>7676</v>
      </c>
      <c r="B2769" s="2" t="s">
        <v>6845</v>
      </c>
      <c r="C2769">
        <v>1</v>
      </c>
      <c r="D2769" t="s">
        <v>7648</v>
      </c>
      <c r="E2769" t="s">
        <v>7948</v>
      </c>
      <c r="F2769" t="s">
        <v>5053</v>
      </c>
      <c r="G2769" t="s">
        <v>7523</v>
      </c>
      <c r="H2769" t="s">
        <v>5054</v>
      </c>
      <c r="I2769" t="s">
        <v>929</v>
      </c>
      <c r="J2769" t="s">
        <v>7703</v>
      </c>
      <c r="K2769" t="s">
        <v>7683</v>
      </c>
      <c r="L2769" t="s">
        <v>7683</v>
      </c>
      <c r="N2769" t="str" cm="1">
        <f t="array" ref="N2769">IFERROR(LOOKUP(2,1/SEARCH($S$2:$S$65,G2769),$T$2:$T$65),"Misc")</f>
        <v>COTS</v>
      </c>
      <c r="O2769" t="str" cm="1">
        <f t="array" ref="O2769">IFERROR(LOOKUP(2,1/SEARCH($V$2:$V$65,G2769),$W$2:$W$65),"Misc")</f>
        <v>BEARING</v>
      </c>
      <c r="P2769" t="str" cm="1">
        <f t="array" ref="P2769">IFERROR(LOOKUP(2,1/SEARCH($Y$2:$Y$65,G2769),$Z$2:$Z$65),"Not Defined")</f>
        <v>BEARING</v>
      </c>
      <c r="Q2769" t="str" cm="1">
        <f t="array" ref="Q2769">IFERROR(LOOKUP(2,1/SEARCH($S$2:$S$65,H2769),$T$2:$T$65),"-")</f>
        <v>COTS</v>
      </c>
    </row>
    <row r="2770" spans="1:17" hidden="1" x14ac:dyDescent="0.25">
      <c r="A2770" t="s">
        <v>7676</v>
      </c>
      <c r="B2770" s="2" t="s">
        <v>6846</v>
      </c>
      <c r="C2770">
        <v>1</v>
      </c>
      <c r="D2770" t="s">
        <v>7648</v>
      </c>
      <c r="E2770" t="s">
        <v>7949</v>
      </c>
      <c r="F2770" t="s">
        <v>6847</v>
      </c>
      <c r="G2770" t="s">
        <v>6849</v>
      </c>
      <c r="H2770" t="s">
        <v>6848</v>
      </c>
      <c r="J2770" t="s">
        <v>7742</v>
      </c>
      <c r="K2770" t="s">
        <v>7826</v>
      </c>
      <c r="L2770" t="s">
        <v>7826</v>
      </c>
      <c r="N2770" t="str" cm="1">
        <f t="array" ref="N2770">IFERROR(LOOKUP(2,1/SEARCH($S$2:$S$65,G2770),$T$2:$T$65),"Misc")</f>
        <v>OH ASSY</v>
      </c>
      <c r="O2770" t="str" cm="1">
        <f t="array" ref="O2770">IFERROR(LOOKUP(2,1/SEARCH($V$2:$V$65,G2770),$W$2:$W$65),"Misc")</f>
        <v>OH Part</v>
      </c>
      <c r="P2770" t="str" cm="1">
        <f t="array" ref="P2770">IFERROR(LOOKUP(2,1/SEARCH($Y$2:$Y$65,G2770),$Z$2:$Z$65),"Not Defined")</f>
        <v>OH Part</v>
      </c>
      <c r="Q2770" t="str" cm="1">
        <f t="array" ref="Q2770">IFERROR(LOOKUP(2,1/SEARCH($S$2:$S$65,H2770),$T$2:$T$65),"-")</f>
        <v>OH ASSY</v>
      </c>
    </row>
    <row r="2771" spans="1:17" hidden="1" x14ac:dyDescent="0.25">
      <c r="A2771" t="s">
        <v>7676</v>
      </c>
      <c r="B2771" s="2" t="s">
        <v>6850</v>
      </c>
      <c r="C2771">
        <v>1</v>
      </c>
      <c r="D2771" t="s">
        <v>7648</v>
      </c>
      <c r="E2771" t="s">
        <v>7949</v>
      </c>
      <c r="F2771" t="s">
        <v>6851</v>
      </c>
      <c r="G2771" t="s">
        <v>6853</v>
      </c>
      <c r="H2771" t="s">
        <v>6852</v>
      </c>
      <c r="I2771" t="s">
        <v>13</v>
      </c>
      <c r="J2771" t="s">
        <v>7682</v>
      </c>
      <c r="K2771" t="s">
        <v>7826</v>
      </c>
      <c r="L2771" t="s">
        <v>7826</v>
      </c>
      <c r="N2771" t="str" cm="1">
        <f t="array" ref="N2771">IFERROR(LOOKUP(2,1/SEARCH($S$2:$S$65,G2771),$T$2:$T$65),"Misc")</f>
        <v>OH P/N</v>
      </c>
      <c r="O2771" t="str" cm="1">
        <f t="array" ref="O2771">IFERROR(LOOKUP(2,1/SEARCH($V$2:$V$65,G2771),$W$2:$W$65),"Misc")</f>
        <v>OH Part</v>
      </c>
      <c r="P2771" t="str" cm="1">
        <f t="array" ref="P2771">IFERROR(LOOKUP(2,1/SEARCH($Y$2:$Y$65,G2771),$Z$2:$Z$65),"Not Defined")</f>
        <v>OH Part</v>
      </c>
      <c r="Q2771" t="str" cm="1">
        <f t="array" ref="Q2771">IFERROR(LOOKUP(2,1/SEARCH($S$2:$S$65,H2771),$T$2:$T$65),"-")</f>
        <v>COTS</v>
      </c>
    </row>
    <row r="2772" spans="1:17" hidden="1" x14ac:dyDescent="0.25">
      <c r="A2772" t="s">
        <v>7676</v>
      </c>
      <c r="B2772" s="2" t="s">
        <v>6854</v>
      </c>
      <c r="C2772">
        <v>1</v>
      </c>
      <c r="D2772" t="s">
        <v>7648</v>
      </c>
      <c r="E2772" t="s">
        <v>7949</v>
      </c>
      <c r="F2772" t="s">
        <v>5053</v>
      </c>
      <c r="G2772" t="s">
        <v>7523</v>
      </c>
      <c r="H2772" t="s">
        <v>5054</v>
      </c>
      <c r="I2772" t="s">
        <v>929</v>
      </c>
      <c r="J2772" t="s">
        <v>7703</v>
      </c>
      <c r="K2772" t="s">
        <v>7683</v>
      </c>
      <c r="L2772" t="s">
        <v>7683</v>
      </c>
      <c r="N2772" t="str" cm="1">
        <f t="array" ref="N2772">IFERROR(LOOKUP(2,1/SEARCH($S$2:$S$65,G2772),$T$2:$T$65),"Misc")</f>
        <v>COTS</v>
      </c>
      <c r="O2772" t="str" cm="1">
        <f t="array" ref="O2772">IFERROR(LOOKUP(2,1/SEARCH($V$2:$V$65,G2772),$W$2:$W$65),"Misc")</f>
        <v>BEARING</v>
      </c>
      <c r="P2772" t="str" cm="1">
        <f t="array" ref="P2772">IFERROR(LOOKUP(2,1/SEARCH($Y$2:$Y$65,G2772),$Z$2:$Z$65),"Not Defined")</f>
        <v>BEARING</v>
      </c>
      <c r="Q2772" t="str" cm="1">
        <f t="array" ref="Q2772">IFERROR(LOOKUP(2,1/SEARCH($S$2:$S$65,H2772),$T$2:$T$65),"-")</f>
        <v>COTS</v>
      </c>
    </row>
    <row r="2773" spans="1:17" hidden="1" x14ac:dyDescent="0.25">
      <c r="A2773" t="s">
        <v>7676</v>
      </c>
      <c r="B2773" s="2" t="s">
        <v>6855</v>
      </c>
      <c r="C2773">
        <v>1</v>
      </c>
      <c r="D2773" t="s">
        <v>7648</v>
      </c>
      <c r="E2773" t="s">
        <v>7949</v>
      </c>
      <c r="F2773" t="s">
        <v>268</v>
      </c>
      <c r="G2773" t="s">
        <v>7061</v>
      </c>
      <c r="H2773" t="s">
        <v>269</v>
      </c>
      <c r="I2773" t="s">
        <v>224</v>
      </c>
      <c r="J2773" t="s">
        <v>7703</v>
      </c>
      <c r="K2773" t="s">
        <v>7684</v>
      </c>
      <c r="L2773" t="s">
        <v>7687</v>
      </c>
      <c r="N2773" t="str" cm="1">
        <f t="array" ref="N2773">IFERROR(LOOKUP(2,1/SEARCH($S$2:$S$65,G2773),$T$2:$T$65),"Misc")</f>
        <v>COTS</v>
      </c>
      <c r="O2773" t="str" cm="1">
        <f t="array" ref="O2773">IFERROR(LOOKUP(2,1/SEARCH($V$2:$V$65,G2773),$W$2:$W$65),"Misc")</f>
        <v>Fasteners</v>
      </c>
      <c r="P2773" t="str" cm="1">
        <f t="array" ref="P2773">IFERROR(LOOKUP(2,1/SEARCH($Y$2:$Y$65,G2773),$Z$2:$Z$65),"Not Defined")</f>
        <v>INSERT</v>
      </c>
      <c r="Q2773" t="str" cm="1">
        <f t="array" ref="Q2773">IFERROR(LOOKUP(2,1/SEARCH($S$2:$S$65,H2773),$T$2:$T$65),"-")</f>
        <v>COTS</v>
      </c>
    </row>
    <row r="2774" spans="1:17" hidden="1" x14ac:dyDescent="0.25">
      <c r="A2774" t="s">
        <v>7676</v>
      </c>
      <c r="B2774" s="2" t="s">
        <v>6856</v>
      </c>
      <c r="C2774">
        <v>1</v>
      </c>
      <c r="D2774" t="s">
        <v>7648</v>
      </c>
      <c r="E2774" t="s">
        <v>7950</v>
      </c>
      <c r="F2774" t="s">
        <v>6857</v>
      </c>
      <c r="G2774" t="s">
        <v>6859</v>
      </c>
      <c r="H2774" t="s">
        <v>6858</v>
      </c>
      <c r="J2774" t="s">
        <v>7742</v>
      </c>
      <c r="K2774" t="s">
        <v>7826</v>
      </c>
      <c r="L2774" t="s">
        <v>7826</v>
      </c>
      <c r="N2774" t="str" cm="1">
        <f t="array" ref="N2774">IFERROR(LOOKUP(2,1/SEARCH($S$2:$S$65,G2774),$T$2:$T$65),"Misc")</f>
        <v>OH ASSY</v>
      </c>
      <c r="O2774" t="str" cm="1">
        <f t="array" ref="O2774">IFERROR(LOOKUP(2,1/SEARCH($V$2:$V$65,G2774),$W$2:$W$65),"Misc")</f>
        <v>OH Part</v>
      </c>
      <c r="P2774" t="str" cm="1">
        <f t="array" ref="P2774">IFERROR(LOOKUP(2,1/SEARCH($Y$2:$Y$65,G2774),$Z$2:$Z$65),"Not Defined")</f>
        <v>OH Part</v>
      </c>
      <c r="Q2774" t="str" cm="1">
        <f t="array" ref="Q2774">IFERROR(LOOKUP(2,1/SEARCH($S$2:$S$65,H2774),$T$2:$T$65),"-")</f>
        <v>OH ASSY</v>
      </c>
    </row>
    <row r="2775" spans="1:17" hidden="1" x14ac:dyDescent="0.25">
      <c r="A2775" t="s">
        <v>7676</v>
      </c>
      <c r="B2775" s="2" t="s">
        <v>6860</v>
      </c>
      <c r="C2775">
        <v>1</v>
      </c>
      <c r="D2775" t="s">
        <v>7648</v>
      </c>
      <c r="E2775" t="s">
        <v>7950</v>
      </c>
      <c r="F2775" t="s">
        <v>6861</v>
      </c>
      <c r="G2775" t="s">
        <v>6863</v>
      </c>
      <c r="H2775" t="s">
        <v>6862</v>
      </c>
      <c r="I2775" t="s">
        <v>13</v>
      </c>
      <c r="J2775" t="s">
        <v>7682</v>
      </c>
      <c r="K2775" t="s">
        <v>7826</v>
      </c>
      <c r="L2775" t="s">
        <v>7826</v>
      </c>
      <c r="N2775" t="str" cm="1">
        <f t="array" ref="N2775">IFERROR(LOOKUP(2,1/SEARCH($S$2:$S$65,G2775),$T$2:$T$65),"Misc")</f>
        <v>OH P/N</v>
      </c>
      <c r="O2775" t="str" cm="1">
        <f t="array" ref="O2775">IFERROR(LOOKUP(2,1/SEARCH($V$2:$V$65,G2775),$W$2:$W$65),"Misc")</f>
        <v>OH Part</v>
      </c>
      <c r="P2775" t="str" cm="1">
        <f t="array" ref="P2775">IFERROR(LOOKUP(2,1/SEARCH($Y$2:$Y$65,G2775),$Z$2:$Z$65),"Not Defined")</f>
        <v>OH Part</v>
      </c>
      <c r="Q2775" t="str" cm="1">
        <f t="array" ref="Q2775">IFERROR(LOOKUP(2,1/SEARCH($S$2:$S$65,H2775),$T$2:$T$65),"-")</f>
        <v>COTS</v>
      </c>
    </row>
    <row r="2776" spans="1:17" hidden="1" x14ac:dyDescent="0.25">
      <c r="A2776" t="s">
        <v>7676</v>
      </c>
      <c r="B2776" s="2" t="s">
        <v>6864</v>
      </c>
      <c r="C2776">
        <v>2</v>
      </c>
      <c r="D2776" t="s">
        <v>7648</v>
      </c>
      <c r="E2776" t="s">
        <v>7950</v>
      </c>
      <c r="F2776" t="s">
        <v>265</v>
      </c>
      <c r="G2776" t="s">
        <v>7099</v>
      </c>
      <c r="H2776" t="s">
        <v>266</v>
      </c>
      <c r="I2776" t="s">
        <v>224</v>
      </c>
      <c r="J2776" t="s">
        <v>7703</v>
      </c>
      <c r="K2776" t="s">
        <v>7684</v>
      </c>
      <c r="L2776" t="s">
        <v>7687</v>
      </c>
      <c r="N2776" t="str" cm="1">
        <f t="array" ref="N2776">IFERROR(LOOKUP(2,1/SEARCH($S$2:$S$65,G2776),$T$2:$T$65),"Misc")</f>
        <v>COTS</v>
      </c>
      <c r="O2776" t="str" cm="1">
        <f t="array" ref="O2776">IFERROR(LOOKUP(2,1/SEARCH($V$2:$V$65,G2776),$W$2:$W$65),"Misc")</f>
        <v>Fasteners</v>
      </c>
      <c r="P2776" t="str" cm="1">
        <f t="array" ref="P2776">IFERROR(LOOKUP(2,1/SEARCH($Y$2:$Y$65,G2776),$Z$2:$Z$65),"Not Defined")</f>
        <v>INSERT</v>
      </c>
      <c r="Q2776" t="str" cm="1">
        <f t="array" ref="Q2776">IFERROR(LOOKUP(2,1/SEARCH($S$2:$S$65,H2776),$T$2:$T$65),"-")</f>
        <v>COTS</v>
      </c>
    </row>
    <row r="2777" spans="1:17" hidden="1" x14ac:dyDescent="0.25">
      <c r="A2777" t="s">
        <v>7676</v>
      </c>
      <c r="B2777" s="2" t="s">
        <v>6865</v>
      </c>
      <c r="C2777">
        <v>1</v>
      </c>
      <c r="D2777" t="s">
        <v>7648</v>
      </c>
      <c r="E2777" t="s">
        <v>7950</v>
      </c>
      <c r="F2777" t="s">
        <v>268</v>
      </c>
      <c r="G2777" t="s">
        <v>7061</v>
      </c>
      <c r="H2777" t="s">
        <v>269</v>
      </c>
      <c r="I2777" t="s">
        <v>224</v>
      </c>
      <c r="J2777" t="s">
        <v>7703</v>
      </c>
      <c r="K2777" t="s">
        <v>7684</v>
      </c>
      <c r="L2777" t="s">
        <v>7687</v>
      </c>
      <c r="N2777" t="str" cm="1">
        <f t="array" ref="N2777">IFERROR(LOOKUP(2,1/SEARCH($S$2:$S$65,G2777),$T$2:$T$65),"Misc")</f>
        <v>COTS</v>
      </c>
      <c r="O2777" t="str" cm="1">
        <f t="array" ref="O2777">IFERROR(LOOKUP(2,1/SEARCH($V$2:$V$65,G2777),$W$2:$W$65),"Misc")</f>
        <v>Fasteners</v>
      </c>
      <c r="P2777" t="str" cm="1">
        <f t="array" ref="P2777">IFERROR(LOOKUP(2,1/SEARCH($Y$2:$Y$65,G2777),$Z$2:$Z$65),"Not Defined")</f>
        <v>INSERT</v>
      </c>
      <c r="Q2777" t="str" cm="1">
        <f t="array" ref="Q2777">IFERROR(LOOKUP(2,1/SEARCH($S$2:$S$65,H2777),$T$2:$T$65),"-")</f>
        <v>COTS</v>
      </c>
    </row>
    <row r="2778" spans="1:17" hidden="1" x14ac:dyDescent="0.25">
      <c r="A2778" t="s">
        <v>7676</v>
      </c>
      <c r="B2778" s="2" t="s">
        <v>6866</v>
      </c>
      <c r="C2778">
        <v>1</v>
      </c>
      <c r="D2778" t="s">
        <v>7648</v>
      </c>
      <c r="E2778" t="s">
        <v>6834</v>
      </c>
      <c r="F2778" t="s">
        <v>6867</v>
      </c>
      <c r="G2778" t="s">
        <v>6869</v>
      </c>
      <c r="H2778" t="s">
        <v>6868</v>
      </c>
      <c r="I2778" t="s">
        <v>13</v>
      </c>
      <c r="J2778" t="s">
        <v>7682</v>
      </c>
      <c r="K2778" t="s">
        <v>7826</v>
      </c>
      <c r="L2778" t="s">
        <v>7826</v>
      </c>
      <c r="N2778" t="str" cm="1">
        <f t="array" ref="N2778">IFERROR(LOOKUP(2,1/SEARCH($S$2:$S$65,G2778),$T$2:$T$65),"Misc")</f>
        <v>OH P/N</v>
      </c>
      <c r="O2778" t="str" cm="1">
        <f t="array" ref="O2778">IFERROR(LOOKUP(2,1/SEARCH($V$2:$V$65,G2778),$W$2:$W$65),"Misc")</f>
        <v>OH Part</v>
      </c>
      <c r="P2778" t="str" cm="1">
        <f t="array" ref="P2778">IFERROR(LOOKUP(2,1/SEARCH($Y$2:$Y$65,G2778),$Z$2:$Z$65),"Not Defined")</f>
        <v>OH Part</v>
      </c>
      <c r="Q2778" t="str" cm="1">
        <f t="array" ref="Q2778">IFERROR(LOOKUP(2,1/SEARCH($S$2:$S$65,H2778),$T$2:$T$65),"-")</f>
        <v>-</v>
      </c>
    </row>
    <row r="2779" spans="1:17" hidden="1" x14ac:dyDescent="0.25">
      <c r="A2779" t="s">
        <v>7676</v>
      </c>
      <c r="B2779" s="2" t="s">
        <v>6870</v>
      </c>
      <c r="C2779">
        <v>2</v>
      </c>
      <c r="D2779" t="s">
        <v>7648</v>
      </c>
      <c r="E2779" t="s">
        <v>6834</v>
      </c>
      <c r="F2779">
        <v>615250</v>
      </c>
      <c r="G2779" t="s">
        <v>7655</v>
      </c>
      <c r="H2779" t="s">
        <v>6871</v>
      </c>
      <c r="I2779" t="s">
        <v>224</v>
      </c>
      <c r="J2779" t="s">
        <v>7703</v>
      </c>
      <c r="K2779" t="s">
        <v>7814</v>
      </c>
      <c r="L2779" t="s">
        <v>7720</v>
      </c>
      <c r="N2779" t="str" cm="1">
        <f t="array" ref="N2779">IFERROR(LOOKUP(2,1/SEARCH($S$2:$S$65,G2779),$T$2:$T$65),"Misc")</f>
        <v>COTS</v>
      </c>
      <c r="O2779" t="str" cm="1">
        <f t="array" ref="O2779">IFERROR(LOOKUP(2,1/SEARCH($V$2:$V$65,G2779),$W$2:$W$65),"Misc")</f>
        <v>Misc</v>
      </c>
      <c r="P2779" t="str" cm="1">
        <f t="array" ref="P2779">IFERROR(LOOKUP(2,1/SEARCH($Y$2:$Y$65,G2779),$Z$2:$Z$65),"Not Defined")</f>
        <v>PINION</v>
      </c>
      <c r="Q2779" t="str" cm="1">
        <f t="array" ref="Q2779">IFERROR(LOOKUP(2,1/SEARCH($S$2:$S$65,H2779),$T$2:$T$65),"-")</f>
        <v>COTS</v>
      </c>
    </row>
    <row r="2780" spans="1:17" hidden="1" x14ac:dyDescent="0.25">
      <c r="A2780" t="s">
        <v>7676</v>
      </c>
      <c r="B2780" s="2" t="s">
        <v>6872</v>
      </c>
      <c r="C2780">
        <v>1</v>
      </c>
      <c r="D2780" t="s">
        <v>7648</v>
      </c>
      <c r="E2780" t="s">
        <v>6834</v>
      </c>
      <c r="F2780" t="s">
        <v>6873</v>
      </c>
      <c r="G2780" t="s">
        <v>7656</v>
      </c>
      <c r="H2780" t="s">
        <v>6874</v>
      </c>
      <c r="I2780" t="s">
        <v>255</v>
      </c>
      <c r="J2780" t="s">
        <v>7703</v>
      </c>
      <c r="K2780" t="s">
        <v>7814</v>
      </c>
      <c r="L2780" t="s">
        <v>7834</v>
      </c>
      <c r="N2780" t="str" cm="1">
        <f t="array" ref="N2780">IFERROR(LOOKUP(2,1/SEARCH($S$2:$S$65,G2780),$T$2:$T$65),"Misc")</f>
        <v>Misc</v>
      </c>
      <c r="O2780" t="str" cm="1">
        <f t="array" ref="O2780">IFERROR(LOOKUP(2,1/SEARCH($V$2:$V$65,G2780),$W$2:$W$65),"Misc")</f>
        <v>Misc</v>
      </c>
      <c r="P2780" t="str" cm="1">
        <f t="array" ref="P2780">IFERROR(LOOKUP(2,1/SEARCH($Y$2:$Y$65,G2780),$Z$2:$Z$65),"Not Defined")</f>
        <v>Not Defined</v>
      </c>
      <c r="Q2780" t="str" cm="1">
        <f t="array" ref="Q2780">IFERROR(LOOKUP(2,1/SEARCH($S$2:$S$65,H2780),$T$2:$T$65),"-")</f>
        <v>-</v>
      </c>
    </row>
    <row r="2781" spans="1:17" hidden="1" x14ac:dyDescent="0.25">
      <c r="A2781" t="s">
        <v>7676</v>
      </c>
      <c r="B2781" s="2" t="s">
        <v>6875</v>
      </c>
      <c r="C2781">
        <v>1</v>
      </c>
      <c r="D2781" t="s">
        <v>7648</v>
      </c>
      <c r="E2781" t="s">
        <v>6834</v>
      </c>
      <c r="F2781" t="s">
        <v>6876</v>
      </c>
      <c r="G2781" t="s">
        <v>7657</v>
      </c>
      <c r="H2781" t="s">
        <v>6877</v>
      </c>
      <c r="I2781" t="s">
        <v>255</v>
      </c>
      <c r="J2781" t="s">
        <v>7703</v>
      </c>
      <c r="K2781" t="s">
        <v>7677</v>
      </c>
      <c r="L2781" t="s">
        <v>7677</v>
      </c>
      <c r="N2781" t="str" cm="1">
        <f t="array" ref="N2781">IFERROR(LOOKUP(2,1/SEARCH($S$2:$S$65,G2781),$T$2:$T$65),"Misc")</f>
        <v>COTS</v>
      </c>
      <c r="O2781" t="str" cm="1">
        <f t="array" ref="O2781">IFERROR(LOOKUP(2,1/SEARCH($V$2:$V$65,G2781),$W$2:$W$65),"Misc")</f>
        <v>SWITCH</v>
      </c>
      <c r="P2781" t="str" cm="1">
        <f t="array" ref="P2781">IFERROR(LOOKUP(2,1/SEARCH($Y$2:$Y$65,G2781),$Z$2:$Z$65),"Not Defined")</f>
        <v>SWITCH</v>
      </c>
      <c r="Q2781" t="str" cm="1">
        <f t="array" ref="Q2781">IFERROR(LOOKUP(2,1/SEARCH($S$2:$S$65,H2781),$T$2:$T$65),"-")</f>
        <v>COTS</v>
      </c>
    </row>
    <row r="2782" spans="1:17" hidden="1" x14ac:dyDescent="0.25">
      <c r="A2782" t="s">
        <v>7676</v>
      </c>
      <c r="B2782" s="2" t="s">
        <v>6878</v>
      </c>
      <c r="C2782">
        <v>1</v>
      </c>
      <c r="D2782" t="s">
        <v>7648</v>
      </c>
      <c r="E2782" t="s">
        <v>7951</v>
      </c>
      <c r="F2782" t="s">
        <v>6879</v>
      </c>
      <c r="G2782" t="s">
        <v>6881</v>
      </c>
      <c r="H2782" t="s">
        <v>6880</v>
      </c>
      <c r="J2782" t="s">
        <v>7742</v>
      </c>
      <c r="K2782" t="s">
        <v>7826</v>
      </c>
      <c r="L2782" t="s">
        <v>7826</v>
      </c>
      <c r="N2782" t="str" cm="1">
        <f t="array" ref="N2782">IFERROR(LOOKUP(2,1/SEARCH($S$2:$S$65,G2782),$T$2:$T$65),"Misc")</f>
        <v>OH ASSY</v>
      </c>
      <c r="O2782" t="str" cm="1">
        <f t="array" ref="O2782">IFERROR(LOOKUP(2,1/SEARCH($V$2:$V$65,G2782),$W$2:$W$65),"Misc")</f>
        <v>OH Part</v>
      </c>
      <c r="P2782" t="str" cm="1">
        <f t="array" ref="P2782">IFERROR(LOOKUP(2,1/SEARCH($Y$2:$Y$65,G2782),$Z$2:$Z$65),"Not Defined")</f>
        <v>OH Part</v>
      </c>
      <c r="Q2782" t="str" cm="1">
        <f t="array" ref="Q2782">IFERROR(LOOKUP(2,1/SEARCH($S$2:$S$65,H2782),$T$2:$T$65),"-")</f>
        <v>OH ASSY</v>
      </c>
    </row>
    <row r="2783" spans="1:17" hidden="1" x14ac:dyDescent="0.25">
      <c r="A2783" t="s">
        <v>7676</v>
      </c>
      <c r="B2783" s="2" t="s">
        <v>6882</v>
      </c>
      <c r="C2783">
        <v>1</v>
      </c>
      <c r="D2783" t="s">
        <v>7648</v>
      </c>
      <c r="E2783" t="s">
        <v>7951</v>
      </c>
      <c r="F2783" t="s">
        <v>6883</v>
      </c>
      <c r="G2783" t="s">
        <v>6885</v>
      </c>
      <c r="H2783" t="s">
        <v>6884</v>
      </c>
      <c r="I2783" t="s">
        <v>13</v>
      </c>
      <c r="J2783" t="s">
        <v>7682</v>
      </c>
      <c r="K2783" t="s">
        <v>7826</v>
      </c>
      <c r="L2783" t="s">
        <v>7826</v>
      </c>
      <c r="N2783" t="str" cm="1">
        <f t="array" ref="N2783">IFERROR(LOOKUP(2,1/SEARCH($S$2:$S$65,G2783),$T$2:$T$65),"Misc")</f>
        <v>OH P/N</v>
      </c>
      <c r="O2783" t="str" cm="1">
        <f t="array" ref="O2783">IFERROR(LOOKUP(2,1/SEARCH($V$2:$V$65,G2783),$W$2:$W$65),"Misc")</f>
        <v>OH Part</v>
      </c>
      <c r="P2783" t="str" cm="1">
        <f t="array" ref="P2783">IFERROR(LOOKUP(2,1/SEARCH($Y$2:$Y$65,G2783),$Z$2:$Z$65),"Not Defined")</f>
        <v>OH Part</v>
      </c>
      <c r="Q2783" t="str" cm="1">
        <f t="array" ref="Q2783">IFERROR(LOOKUP(2,1/SEARCH($S$2:$S$65,H2783),$T$2:$T$65),"-")</f>
        <v>-</v>
      </c>
    </row>
    <row r="2784" spans="1:17" hidden="1" x14ac:dyDescent="0.25">
      <c r="A2784" t="s">
        <v>7676</v>
      </c>
      <c r="B2784" s="2" t="s">
        <v>6886</v>
      </c>
      <c r="C2784">
        <v>1</v>
      </c>
      <c r="D2784" t="s">
        <v>7648</v>
      </c>
      <c r="E2784" t="s">
        <v>7951</v>
      </c>
      <c r="F2784" t="s">
        <v>265</v>
      </c>
      <c r="G2784" t="s">
        <v>7099</v>
      </c>
      <c r="H2784" t="s">
        <v>266</v>
      </c>
      <c r="I2784" t="s">
        <v>224</v>
      </c>
      <c r="J2784" t="s">
        <v>7703</v>
      </c>
      <c r="K2784" t="s">
        <v>7684</v>
      </c>
      <c r="L2784" t="s">
        <v>7687</v>
      </c>
      <c r="N2784" t="str" cm="1">
        <f t="array" ref="N2784">IFERROR(LOOKUP(2,1/SEARCH($S$2:$S$65,G2784),$T$2:$T$65),"Misc")</f>
        <v>COTS</v>
      </c>
      <c r="O2784" t="str" cm="1">
        <f t="array" ref="O2784">IFERROR(LOOKUP(2,1/SEARCH($V$2:$V$65,G2784),$W$2:$W$65),"Misc")</f>
        <v>Fasteners</v>
      </c>
      <c r="P2784" t="str" cm="1">
        <f t="array" ref="P2784">IFERROR(LOOKUP(2,1/SEARCH($Y$2:$Y$65,G2784),$Z$2:$Z$65),"Not Defined")</f>
        <v>INSERT</v>
      </c>
      <c r="Q2784" t="str" cm="1">
        <f t="array" ref="Q2784">IFERROR(LOOKUP(2,1/SEARCH($S$2:$S$65,H2784),$T$2:$T$65),"-")</f>
        <v>COTS</v>
      </c>
    </row>
    <row r="2785" spans="1:17" hidden="1" x14ac:dyDescent="0.25">
      <c r="A2785" t="s">
        <v>7676</v>
      </c>
      <c r="B2785" s="2" t="s">
        <v>6887</v>
      </c>
      <c r="C2785">
        <v>1</v>
      </c>
      <c r="D2785" t="s">
        <v>7648</v>
      </c>
      <c r="E2785" t="s">
        <v>6834</v>
      </c>
      <c r="F2785" t="s">
        <v>6888</v>
      </c>
      <c r="G2785" t="s">
        <v>7658</v>
      </c>
      <c r="H2785" t="s">
        <v>6889</v>
      </c>
      <c r="I2785" t="s">
        <v>224</v>
      </c>
      <c r="J2785" t="s">
        <v>7703</v>
      </c>
      <c r="K2785" t="s">
        <v>7684</v>
      </c>
      <c r="L2785" t="s">
        <v>7834</v>
      </c>
      <c r="N2785" t="str" cm="1">
        <f t="array" ref="N2785">IFERROR(LOOKUP(2,1/SEARCH($S$2:$S$65,G2785),$T$2:$T$65),"Misc")</f>
        <v>COTS</v>
      </c>
      <c r="O2785" t="str" cm="1">
        <f t="array" ref="O2785">IFERROR(LOOKUP(2,1/SEARCH($V$2:$V$65,G2785),$W$2:$W$65),"Misc")</f>
        <v>Fasteners</v>
      </c>
      <c r="P2785" t="str" cm="1">
        <f t="array" ref="P2785">IFERROR(LOOKUP(2,1/SEARCH($Y$2:$Y$65,G2785),$Z$2:$Z$65),"Not Defined")</f>
        <v>Not Defined</v>
      </c>
      <c r="Q2785" t="str" cm="1">
        <f t="array" ref="Q2785">IFERROR(LOOKUP(2,1/SEARCH($S$2:$S$65,H2785),$T$2:$T$65),"-")</f>
        <v>COTS</v>
      </c>
    </row>
    <row r="2786" spans="1:17" hidden="1" x14ac:dyDescent="0.25">
      <c r="A2786" t="s">
        <v>7676</v>
      </c>
      <c r="B2786" s="2" t="s">
        <v>6890</v>
      </c>
      <c r="C2786">
        <v>1</v>
      </c>
      <c r="D2786" t="s">
        <v>7648</v>
      </c>
      <c r="E2786" t="s">
        <v>6834</v>
      </c>
      <c r="F2786" t="s">
        <v>5814</v>
      </c>
      <c r="G2786" t="s">
        <v>7594</v>
      </c>
      <c r="H2786" t="s">
        <v>5815</v>
      </c>
      <c r="I2786" t="s">
        <v>228</v>
      </c>
      <c r="J2786" t="s">
        <v>7703</v>
      </c>
      <c r="K2786" t="s">
        <v>7684</v>
      </c>
      <c r="L2786" t="s">
        <v>7693</v>
      </c>
      <c r="N2786" t="str" cm="1">
        <f t="array" ref="N2786">IFERROR(LOOKUP(2,1/SEARCH($S$2:$S$65,G2786),$T$2:$T$65),"Misc")</f>
        <v>COTS</v>
      </c>
      <c r="O2786" t="str" cm="1">
        <f t="array" ref="O2786">IFERROR(LOOKUP(2,1/SEARCH($V$2:$V$65,G2786),$W$2:$W$65),"Misc")</f>
        <v>Fasteners</v>
      </c>
      <c r="P2786" t="str" cm="1">
        <f t="array" ref="P2786">IFERROR(LOOKUP(2,1/SEARCH($Y$2:$Y$65,G2786),$Z$2:$Z$65),"Not Defined")</f>
        <v>PHS</v>
      </c>
      <c r="Q2786" t="str" cm="1">
        <f t="array" ref="Q2786">IFERROR(LOOKUP(2,1/SEARCH($S$2:$S$65,H2786),$T$2:$T$65),"-")</f>
        <v>COTS</v>
      </c>
    </row>
    <row r="2787" spans="1:17" hidden="1" x14ac:dyDescent="0.25">
      <c r="A2787" t="s">
        <v>7676</v>
      </c>
      <c r="B2787" s="2" t="s">
        <v>6891</v>
      </c>
      <c r="C2787">
        <v>2</v>
      </c>
      <c r="D2787" t="s">
        <v>7648</v>
      </c>
      <c r="E2787" t="s">
        <v>6834</v>
      </c>
      <c r="F2787" t="s">
        <v>609</v>
      </c>
      <c r="G2787" t="s">
        <v>7109</v>
      </c>
      <c r="H2787" t="s">
        <v>610</v>
      </c>
      <c r="I2787" t="s">
        <v>228</v>
      </c>
      <c r="J2787" t="s">
        <v>7703</v>
      </c>
      <c r="K2787" t="s">
        <v>7684</v>
      </c>
      <c r="L2787" t="s">
        <v>7692</v>
      </c>
      <c r="N2787" t="str" cm="1">
        <f t="array" ref="N2787">IFERROR(LOOKUP(2,1/SEARCH($S$2:$S$65,G2787),$T$2:$T$65),"Misc")</f>
        <v>COTS</v>
      </c>
      <c r="O2787" t="str" cm="1">
        <f t="array" ref="O2787">IFERROR(LOOKUP(2,1/SEARCH($V$2:$V$65,G2787),$W$2:$W$65),"Misc")</f>
        <v>Fasteners</v>
      </c>
      <c r="P2787" t="str" cm="1">
        <f t="array" ref="P2787">IFERROR(LOOKUP(2,1/SEARCH($Y$2:$Y$65,G2787),$Z$2:$Z$65),"Not Defined")</f>
        <v>WASHER</v>
      </c>
      <c r="Q2787" t="str" cm="1">
        <f t="array" ref="Q2787">IFERROR(LOOKUP(2,1/SEARCH($S$2:$S$65,H2787),$T$2:$T$65),"-")</f>
        <v>COTS</v>
      </c>
    </row>
    <row r="2788" spans="1:17" hidden="1" x14ac:dyDescent="0.25">
      <c r="A2788" t="s">
        <v>7676</v>
      </c>
      <c r="B2788" s="2" t="s">
        <v>6892</v>
      </c>
      <c r="C2788">
        <v>1</v>
      </c>
      <c r="D2788" t="s">
        <v>7648</v>
      </c>
      <c r="E2788" t="s">
        <v>6834</v>
      </c>
      <c r="F2788" t="s">
        <v>6893</v>
      </c>
      <c r="G2788" t="s">
        <v>7659</v>
      </c>
      <c r="H2788" t="s">
        <v>6894</v>
      </c>
      <c r="I2788" t="s">
        <v>210</v>
      </c>
      <c r="J2788" t="s">
        <v>7703</v>
      </c>
      <c r="K2788" t="s">
        <v>7684</v>
      </c>
      <c r="L2788" t="s">
        <v>7685</v>
      </c>
      <c r="N2788" t="str" cm="1">
        <f t="array" ref="N2788">IFERROR(LOOKUP(2,1/SEARCH($S$2:$S$65,G2788),$T$2:$T$65),"Misc")</f>
        <v>COTS</v>
      </c>
      <c r="O2788" t="str" cm="1">
        <f t="array" ref="O2788">IFERROR(LOOKUP(2,1/SEARCH($V$2:$V$65,G2788),$W$2:$W$65),"Misc")</f>
        <v>Fasteners</v>
      </c>
      <c r="P2788" t="str" cm="1">
        <f t="array" ref="P2788">IFERROR(LOOKUP(2,1/SEARCH($Y$2:$Y$65,G2788),$Z$2:$Z$65),"Not Defined")</f>
        <v>NUT</v>
      </c>
      <c r="Q2788" t="str" cm="1">
        <f t="array" ref="Q2788">IFERROR(LOOKUP(2,1/SEARCH($S$2:$S$65,H2788),$T$2:$T$65),"-")</f>
        <v>COTS</v>
      </c>
    </row>
    <row r="2789" spans="1:17" hidden="1" x14ac:dyDescent="0.25">
      <c r="A2789" t="s">
        <v>7676</v>
      </c>
      <c r="B2789" s="2" t="s">
        <v>6895</v>
      </c>
      <c r="C2789">
        <v>1</v>
      </c>
      <c r="D2789" t="s">
        <v>7648</v>
      </c>
      <c r="E2789" t="s">
        <v>6834</v>
      </c>
      <c r="F2789" t="s">
        <v>6896</v>
      </c>
      <c r="G2789" t="s">
        <v>7660</v>
      </c>
      <c r="H2789" t="s">
        <v>6897</v>
      </c>
      <c r="I2789" t="s">
        <v>255</v>
      </c>
      <c r="J2789" t="s">
        <v>7703</v>
      </c>
      <c r="K2789" t="s">
        <v>7677</v>
      </c>
      <c r="L2789" t="s">
        <v>7677</v>
      </c>
      <c r="N2789" t="str" cm="1">
        <f t="array" ref="N2789">IFERROR(LOOKUP(2,1/SEARCH($S$2:$S$65,G2789),$T$2:$T$65),"Misc")</f>
        <v>COTS</v>
      </c>
      <c r="O2789" t="str" cm="1">
        <f t="array" ref="O2789">IFERROR(LOOKUP(2,1/SEARCH($V$2:$V$65,G2789),$W$2:$W$65),"Misc")</f>
        <v>SWITCH</v>
      </c>
      <c r="P2789" t="str" cm="1">
        <f t="array" ref="P2789">IFERROR(LOOKUP(2,1/SEARCH($Y$2:$Y$65,G2789),$Z$2:$Z$65),"Not Defined")</f>
        <v>SWITCH</v>
      </c>
      <c r="Q2789" t="str" cm="1">
        <f t="array" ref="Q2789">IFERROR(LOOKUP(2,1/SEARCH($S$2:$S$65,H2789),$T$2:$T$65),"-")</f>
        <v>COTS</v>
      </c>
    </row>
    <row r="2790" spans="1:17" hidden="1" x14ac:dyDescent="0.25">
      <c r="A2790" t="s">
        <v>7676</v>
      </c>
      <c r="B2790" s="2" t="s">
        <v>6898</v>
      </c>
      <c r="C2790">
        <v>1</v>
      </c>
      <c r="D2790" t="s">
        <v>7648</v>
      </c>
      <c r="E2790" t="s">
        <v>6834</v>
      </c>
      <c r="F2790" t="s">
        <v>5749</v>
      </c>
      <c r="G2790" t="s">
        <v>7586</v>
      </c>
      <c r="H2790" t="s">
        <v>5750</v>
      </c>
      <c r="I2790" t="s">
        <v>228</v>
      </c>
      <c r="J2790" t="s">
        <v>7703</v>
      </c>
      <c r="K2790" t="s">
        <v>7684</v>
      </c>
      <c r="L2790" t="s">
        <v>7693</v>
      </c>
      <c r="N2790" t="str" cm="1">
        <f t="array" ref="N2790">IFERROR(LOOKUP(2,1/SEARCH($S$2:$S$65,G2790),$T$2:$T$65),"Misc")</f>
        <v>COTS</v>
      </c>
      <c r="O2790" t="str" cm="1">
        <f t="array" ref="O2790">IFERROR(LOOKUP(2,1/SEARCH($V$2:$V$65,G2790),$W$2:$W$65),"Misc")</f>
        <v>Fasteners</v>
      </c>
      <c r="P2790" t="str" cm="1">
        <f t="array" ref="P2790">IFERROR(LOOKUP(2,1/SEARCH($Y$2:$Y$65,G2790),$Z$2:$Z$65),"Not Defined")</f>
        <v>PHS</v>
      </c>
      <c r="Q2790" t="str" cm="1">
        <f t="array" ref="Q2790">IFERROR(LOOKUP(2,1/SEARCH($S$2:$S$65,H2790),$T$2:$T$65),"-")</f>
        <v>COTS</v>
      </c>
    </row>
    <row r="2791" spans="1:17" hidden="1" x14ac:dyDescent="0.25">
      <c r="A2791" t="s">
        <v>7676</v>
      </c>
      <c r="B2791" s="2" t="s">
        <v>6899</v>
      </c>
      <c r="C2791">
        <v>3</v>
      </c>
      <c r="D2791" t="s">
        <v>7648</v>
      </c>
      <c r="E2791" t="s">
        <v>6834</v>
      </c>
      <c r="F2791" t="s">
        <v>1921</v>
      </c>
      <c r="G2791" t="s">
        <v>7246</v>
      </c>
      <c r="H2791" t="s">
        <v>1922</v>
      </c>
      <c r="I2791" t="s">
        <v>210</v>
      </c>
      <c r="J2791" t="s">
        <v>7703</v>
      </c>
      <c r="K2791" t="s">
        <v>7684</v>
      </c>
      <c r="L2791" t="s">
        <v>7691</v>
      </c>
      <c r="N2791" t="str" cm="1">
        <f t="array" ref="N2791">IFERROR(LOOKUP(2,1/SEARCH($S$2:$S$65,G2791),$T$2:$T$65),"Misc")</f>
        <v>COTS</v>
      </c>
      <c r="O2791" t="str" cm="1">
        <f t="array" ref="O2791">IFERROR(LOOKUP(2,1/SEARCH($V$2:$V$65,G2791),$W$2:$W$65),"Misc")</f>
        <v>Fasteners</v>
      </c>
      <c r="P2791" t="str" cm="1">
        <f t="array" ref="P2791">IFERROR(LOOKUP(2,1/SEARCH($Y$2:$Y$65,G2791),$Z$2:$Z$65),"Not Defined")</f>
        <v>FHS</v>
      </c>
      <c r="Q2791" t="str" cm="1">
        <f t="array" ref="Q2791">IFERROR(LOOKUP(2,1/SEARCH($S$2:$S$65,H2791),$T$2:$T$65),"-")</f>
        <v>COTS</v>
      </c>
    </row>
    <row r="2792" spans="1:17" hidden="1" x14ac:dyDescent="0.25">
      <c r="A2792" t="s">
        <v>7676</v>
      </c>
      <c r="B2792" s="2" t="s">
        <v>6900</v>
      </c>
      <c r="C2792">
        <v>4</v>
      </c>
      <c r="D2792" t="s">
        <v>7648</v>
      </c>
      <c r="E2792" t="s">
        <v>6834</v>
      </c>
      <c r="F2792" t="s">
        <v>580</v>
      </c>
      <c r="G2792" t="s">
        <v>7105</v>
      </c>
      <c r="H2792" t="s">
        <v>581</v>
      </c>
      <c r="I2792" t="s">
        <v>210</v>
      </c>
      <c r="J2792" t="s">
        <v>7703</v>
      </c>
      <c r="K2792" t="s">
        <v>7684</v>
      </c>
      <c r="L2792" t="s">
        <v>7691</v>
      </c>
      <c r="N2792" t="str" cm="1">
        <f t="array" ref="N2792">IFERROR(LOOKUP(2,1/SEARCH($S$2:$S$65,G2792),$T$2:$T$65),"Misc")</f>
        <v>COTS</v>
      </c>
      <c r="O2792" t="str" cm="1">
        <f t="array" ref="O2792">IFERROR(LOOKUP(2,1/SEARCH($V$2:$V$65,G2792),$W$2:$W$65),"Misc")</f>
        <v>Fasteners</v>
      </c>
      <c r="P2792" t="str" cm="1">
        <f t="array" ref="P2792">IFERROR(LOOKUP(2,1/SEARCH($Y$2:$Y$65,G2792),$Z$2:$Z$65),"Not Defined")</f>
        <v>FHS</v>
      </c>
      <c r="Q2792" t="str" cm="1">
        <f t="array" ref="Q2792">IFERROR(LOOKUP(2,1/SEARCH($S$2:$S$65,H2792),$T$2:$T$65),"-")</f>
        <v>COTS</v>
      </c>
    </row>
    <row r="2793" spans="1:17" hidden="1" x14ac:dyDescent="0.25">
      <c r="A2793" t="s">
        <v>7676</v>
      </c>
      <c r="B2793" s="2" t="s">
        <v>6901</v>
      </c>
      <c r="C2793">
        <v>2</v>
      </c>
      <c r="D2793" t="s">
        <v>7648</v>
      </c>
      <c r="E2793" t="s">
        <v>6834</v>
      </c>
      <c r="F2793" t="s">
        <v>3974</v>
      </c>
      <c r="G2793" t="s">
        <v>7426</v>
      </c>
      <c r="H2793" t="s">
        <v>3975</v>
      </c>
      <c r="I2793" t="s">
        <v>210</v>
      </c>
      <c r="J2793" t="s">
        <v>7703</v>
      </c>
      <c r="K2793" t="s">
        <v>7684</v>
      </c>
      <c r="L2793" t="s">
        <v>7691</v>
      </c>
      <c r="N2793" t="str" cm="1">
        <f t="array" ref="N2793">IFERROR(LOOKUP(2,1/SEARCH($S$2:$S$65,G2793),$T$2:$T$65),"Misc")</f>
        <v>COTS</v>
      </c>
      <c r="O2793" t="str" cm="1">
        <f t="array" ref="O2793">IFERROR(LOOKUP(2,1/SEARCH($V$2:$V$65,G2793),$W$2:$W$65),"Misc")</f>
        <v>Fasteners</v>
      </c>
      <c r="P2793" t="str" cm="1">
        <f t="array" ref="P2793">IFERROR(LOOKUP(2,1/SEARCH($Y$2:$Y$65,G2793),$Z$2:$Z$65),"Not Defined")</f>
        <v>FHS</v>
      </c>
      <c r="Q2793" t="str" cm="1">
        <f t="array" ref="Q2793">IFERROR(LOOKUP(2,1/SEARCH($S$2:$S$65,H2793),$T$2:$T$65),"-")</f>
        <v>COTS</v>
      </c>
    </row>
    <row r="2794" spans="1:17" hidden="1" x14ac:dyDescent="0.25">
      <c r="A2794" t="s">
        <v>7676</v>
      </c>
      <c r="B2794" s="2" t="s">
        <v>6902</v>
      </c>
      <c r="C2794">
        <v>1</v>
      </c>
      <c r="D2794" t="s">
        <v>7648</v>
      </c>
      <c r="E2794" t="s">
        <v>6834</v>
      </c>
      <c r="F2794" t="s">
        <v>6903</v>
      </c>
      <c r="G2794" t="s">
        <v>7661</v>
      </c>
      <c r="H2794" t="s">
        <v>6904</v>
      </c>
      <c r="I2794" t="s">
        <v>210</v>
      </c>
      <c r="J2794" t="s">
        <v>7703</v>
      </c>
      <c r="K2794" t="s">
        <v>7684</v>
      </c>
      <c r="L2794" t="s">
        <v>7692</v>
      </c>
      <c r="N2794" t="str" cm="1">
        <f t="array" ref="N2794">IFERROR(LOOKUP(2,1/SEARCH($S$2:$S$65,G2794),$T$2:$T$65),"Misc")</f>
        <v>COTS</v>
      </c>
      <c r="O2794" t="str" cm="1">
        <f t="array" ref="O2794">IFERROR(LOOKUP(2,1/SEARCH($V$2:$V$65,G2794),$W$2:$W$65),"Misc")</f>
        <v>Fasteners</v>
      </c>
      <c r="P2794" t="str" cm="1">
        <f t="array" ref="P2794">IFERROR(LOOKUP(2,1/SEARCH($Y$2:$Y$65,G2794),$Z$2:$Z$65),"Not Defined")</f>
        <v>WASHER</v>
      </c>
      <c r="Q2794" t="str" cm="1">
        <f t="array" ref="Q2794">IFERROR(LOOKUP(2,1/SEARCH($S$2:$S$65,H2794),$T$2:$T$65),"-")</f>
        <v>COTS</v>
      </c>
    </row>
    <row r="2795" spans="1:17" hidden="1" x14ac:dyDescent="0.25">
      <c r="A2795" t="s">
        <v>7676</v>
      </c>
      <c r="B2795" s="2" t="s">
        <v>6905</v>
      </c>
      <c r="C2795">
        <v>1</v>
      </c>
      <c r="D2795" t="s">
        <v>7648</v>
      </c>
      <c r="E2795" t="s">
        <v>6834</v>
      </c>
      <c r="F2795" t="s">
        <v>5843</v>
      </c>
      <c r="G2795" t="s">
        <v>7602</v>
      </c>
      <c r="H2795" t="s">
        <v>5844</v>
      </c>
      <c r="I2795" t="s">
        <v>228</v>
      </c>
      <c r="J2795" t="s">
        <v>7703</v>
      </c>
      <c r="K2795" t="s">
        <v>7684</v>
      </c>
      <c r="L2795" t="s">
        <v>7685</v>
      </c>
      <c r="N2795" t="str" cm="1">
        <f t="array" ref="N2795">IFERROR(LOOKUP(2,1/SEARCH($S$2:$S$65,G2795),$T$2:$T$65),"Misc")</f>
        <v>COTS</v>
      </c>
      <c r="O2795" t="str" cm="1">
        <f t="array" ref="O2795">IFERROR(LOOKUP(2,1/SEARCH($V$2:$V$65,G2795),$W$2:$W$65),"Misc")</f>
        <v>Fasteners</v>
      </c>
      <c r="P2795" t="str" cm="1">
        <f t="array" ref="P2795">IFERROR(LOOKUP(2,1/SEARCH($Y$2:$Y$65,G2795),$Z$2:$Z$65),"Not Defined")</f>
        <v>NUT</v>
      </c>
      <c r="Q2795" t="str" cm="1">
        <f t="array" ref="Q2795">IFERROR(LOOKUP(2,1/SEARCH($S$2:$S$65,H2795),$T$2:$T$65),"-")</f>
        <v>COTS</v>
      </c>
    </row>
    <row r="2796" spans="1:17" hidden="1" x14ac:dyDescent="0.25">
      <c r="A2796" t="s">
        <v>7676</v>
      </c>
      <c r="B2796" s="2" t="s">
        <v>6906</v>
      </c>
      <c r="C2796">
        <v>1</v>
      </c>
      <c r="D2796" t="s">
        <v>7648</v>
      </c>
      <c r="E2796" t="s">
        <v>6834</v>
      </c>
      <c r="F2796" t="s">
        <v>2204</v>
      </c>
      <c r="G2796" t="s">
        <v>7261</v>
      </c>
      <c r="H2796" t="s">
        <v>2205</v>
      </c>
      <c r="I2796" t="s">
        <v>228</v>
      </c>
      <c r="J2796" t="s">
        <v>7703</v>
      </c>
      <c r="K2796" t="s">
        <v>7684</v>
      </c>
      <c r="L2796" t="s">
        <v>7692</v>
      </c>
      <c r="N2796" t="str" cm="1">
        <f t="array" ref="N2796">IFERROR(LOOKUP(2,1/SEARCH($S$2:$S$65,G2796),$T$2:$T$65),"Misc")</f>
        <v>COTS</v>
      </c>
      <c r="O2796" t="str" cm="1">
        <f t="array" ref="O2796">IFERROR(LOOKUP(2,1/SEARCH($V$2:$V$65,G2796),$W$2:$W$65),"Misc")</f>
        <v>Fasteners</v>
      </c>
      <c r="P2796" t="str" cm="1">
        <f t="array" ref="P2796">IFERROR(LOOKUP(2,1/SEARCH($Y$2:$Y$65,G2796),$Z$2:$Z$65),"Not Defined")</f>
        <v>WASHER</v>
      </c>
      <c r="Q2796" t="str" cm="1">
        <f t="array" ref="Q2796">IFERROR(LOOKUP(2,1/SEARCH($S$2:$S$65,H2796),$T$2:$T$65),"-")</f>
        <v>COTS</v>
      </c>
    </row>
    <row r="2797" spans="1:17" hidden="1" x14ac:dyDescent="0.25">
      <c r="A2797" t="s">
        <v>7676</v>
      </c>
      <c r="B2797" s="2" t="s">
        <v>6907</v>
      </c>
      <c r="C2797">
        <v>1</v>
      </c>
      <c r="D2797" t="s">
        <v>7648</v>
      </c>
      <c r="E2797" t="s">
        <v>6834</v>
      </c>
      <c r="F2797" t="s">
        <v>5107</v>
      </c>
      <c r="G2797" t="s">
        <v>7529</v>
      </c>
      <c r="H2797" t="s">
        <v>5108</v>
      </c>
      <c r="I2797" t="s">
        <v>210</v>
      </c>
      <c r="J2797" t="s">
        <v>7703</v>
      </c>
      <c r="K2797" t="s">
        <v>7719</v>
      </c>
      <c r="L2797" t="s">
        <v>7688</v>
      </c>
      <c r="N2797" t="str" cm="1">
        <f t="array" ref="N2797">IFERROR(LOOKUP(2,1/SEARCH($S$2:$S$65,G2797),$T$2:$T$65),"Misc")</f>
        <v>COTS</v>
      </c>
      <c r="O2797" t="str" cm="1">
        <f t="array" ref="O2797">IFERROR(LOOKUP(2,1/SEARCH($V$2:$V$65,G2797),$W$2:$W$65),"Misc")</f>
        <v>Misc</v>
      </c>
      <c r="P2797" t="str" cm="1">
        <f t="array" ref="P2797">IFERROR(LOOKUP(2,1/SEARCH($Y$2:$Y$65,G2797),$Z$2:$Z$65),"Not Defined")</f>
        <v>SPRING</v>
      </c>
      <c r="Q2797" t="str" cm="1">
        <f t="array" ref="Q2797">IFERROR(LOOKUP(2,1/SEARCH($S$2:$S$65,H2797),$T$2:$T$65),"-")</f>
        <v>COTS</v>
      </c>
    </row>
    <row r="2798" spans="1:17" hidden="1" x14ac:dyDescent="0.25">
      <c r="A2798" t="s">
        <v>7676</v>
      </c>
      <c r="B2798" s="2" t="s">
        <v>6908</v>
      </c>
      <c r="C2798">
        <v>1</v>
      </c>
      <c r="D2798" t="s">
        <v>7648</v>
      </c>
      <c r="E2798" t="s">
        <v>6834</v>
      </c>
      <c r="F2798" t="s">
        <v>2586</v>
      </c>
      <c r="G2798" t="s">
        <v>7298</v>
      </c>
      <c r="H2798" t="s">
        <v>2587</v>
      </c>
      <c r="I2798" t="s">
        <v>210</v>
      </c>
      <c r="J2798" t="s">
        <v>7703</v>
      </c>
      <c r="K2798" t="s">
        <v>7684</v>
      </c>
      <c r="L2798" t="s">
        <v>7691</v>
      </c>
      <c r="N2798" t="str" cm="1">
        <f t="array" ref="N2798">IFERROR(LOOKUP(2,1/SEARCH($S$2:$S$65,G2798),$T$2:$T$65),"Misc")</f>
        <v>COTS</v>
      </c>
      <c r="O2798" t="str" cm="1">
        <f t="array" ref="O2798">IFERROR(LOOKUP(2,1/SEARCH($V$2:$V$65,G2798),$W$2:$W$65),"Misc")</f>
        <v>Fasteners</v>
      </c>
      <c r="P2798" t="str" cm="1">
        <f t="array" ref="P2798">IFERROR(LOOKUP(2,1/SEARCH($Y$2:$Y$65,G2798),$Z$2:$Z$65),"Not Defined")</f>
        <v>FHS</v>
      </c>
      <c r="Q2798" t="str" cm="1">
        <f t="array" ref="Q2798">IFERROR(LOOKUP(2,1/SEARCH($S$2:$S$65,H2798),$T$2:$T$65),"-")</f>
        <v>COTS</v>
      </c>
    </row>
    <row r="2799" spans="1:17" hidden="1" x14ac:dyDescent="0.25">
      <c r="A2799" t="s">
        <v>7676</v>
      </c>
      <c r="B2799" s="2" t="s">
        <v>6909</v>
      </c>
      <c r="C2799">
        <v>1</v>
      </c>
      <c r="D2799" t="s">
        <v>7648</v>
      </c>
      <c r="E2799" t="s">
        <v>6834</v>
      </c>
      <c r="F2799" t="s">
        <v>6910</v>
      </c>
      <c r="G2799" t="s">
        <v>7662</v>
      </c>
      <c r="H2799" t="s">
        <v>6911</v>
      </c>
      <c r="J2799" t="s">
        <v>7703</v>
      </c>
      <c r="K2799" t="s">
        <v>7719</v>
      </c>
      <c r="L2799" t="s">
        <v>7688</v>
      </c>
      <c r="N2799" t="str" cm="1">
        <f t="array" ref="N2799">IFERROR(LOOKUP(2,1/SEARCH($S$2:$S$65,G2799),$T$2:$T$65),"Misc")</f>
        <v>COTS</v>
      </c>
      <c r="O2799" t="str" cm="1">
        <f t="array" ref="O2799">IFERROR(LOOKUP(2,1/SEARCH($V$2:$V$65,G2799),$W$2:$W$65),"Misc")</f>
        <v>Misc</v>
      </c>
      <c r="P2799" t="str" cm="1">
        <f t="array" ref="P2799">IFERROR(LOOKUP(2,1/SEARCH($Y$2:$Y$65,G2799),$Z$2:$Z$65),"Not Defined")</f>
        <v>SPRING</v>
      </c>
      <c r="Q2799" t="str" cm="1">
        <f t="array" ref="Q2799">IFERROR(LOOKUP(2,1/SEARCH($S$2:$S$65,H2799),$T$2:$T$65),"-")</f>
        <v>COTS</v>
      </c>
    </row>
    <row r="2800" spans="1:17" hidden="1" x14ac:dyDescent="0.25">
      <c r="A2800" t="s">
        <v>7676</v>
      </c>
      <c r="B2800" t="s">
        <v>6912</v>
      </c>
      <c r="C2800">
        <v>2</v>
      </c>
      <c r="D2800" t="s">
        <v>7648</v>
      </c>
      <c r="F2800" t="s">
        <v>4280</v>
      </c>
      <c r="G2800" t="s">
        <v>7444</v>
      </c>
      <c r="H2800" t="s">
        <v>4281</v>
      </c>
      <c r="I2800" t="s">
        <v>1265</v>
      </c>
      <c r="J2800" t="s">
        <v>7703</v>
      </c>
      <c r="K2800" t="s">
        <v>7719</v>
      </c>
      <c r="L2800" t="s">
        <v>7677</v>
      </c>
      <c r="N2800" t="str" cm="1">
        <f t="array" ref="N2800">IFERROR(LOOKUP(2,1/SEARCH($S$2:$S$65,G2800),$T$2:$T$65),"Misc")</f>
        <v>COTS</v>
      </c>
      <c r="O2800" t="str" cm="1">
        <f t="array" ref="O2800">IFERROR(LOOKUP(2,1/SEARCH($V$2:$V$65,G2800),$W$2:$W$65),"Misc")</f>
        <v>Misc</v>
      </c>
      <c r="P2800" t="str" cm="1">
        <f t="array" ref="P2800">IFERROR(LOOKUP(2,1/SEARCH($Y$2:$Y$65,G2800),$Z$2:$Z$65),"Not Defined")</f>
        <v>SWITCH</v>
      </c>
      <c r="Q2800" t="str" cm="1">
        <f t="array" ref="Q2800">IFERROR(LOOKUP(2,1/SEARCH($S$2:$S$65,H2800),$T$2:$T$65),"-")</f>
        <v>COTS</v>
      </c>
    </row>
    <row r="2801" spans="1:17" hidden="1" x14ac:dyDescent="0.25">
      <c r="A2801" t="s">
        <v>7676</v>
      </c>
      <c r="B2801" t="s">
        <v>6913</v>
      </c>
      <c r="C2801">
        <v>2</v>
      </c>
      <c r="D2801" t="s">
        <v>7648</v>
      </c>
      <c r="E2801" t="s">
        <v>1511</v>
      </c>
      <c r="F2801" t="s">
        <v>1510</v>
      </c>
      <c r="G2801" t="s">
        <v>7214</v>
      </c>
      <c r="H2801" t="s">
        <v>1511</v>
      </c>
      <c r="J2801" t="s">
        <v>7744</v>
      </c>
      <c r="K2801" t="s">
        <v>7826</v>
      </c>
      <c r="L2801" t="s">
        <v>7826</v>
      </c>
      <c r="N2801" t="str" cm="1">
        <f t="array" ref="N2801">IFERROR(LOOKUP(2,1/SEARCH($S$2:$S$65,G2801),$T$2:$T$65),"Misc")</f>
        <v>OH Common</v>
      </c>
      <c r="O2801" t="str" cm="1">
        <f t="array" ref="O2801">IFERROR(LOOKUP(2,1/SEARCH($V$2:$V$65,G2801),$W$2:$W$65),"Misc")</f>
        <v>OH Part</v>
      </c>
      <c r="P2801" t="str" cm="1">
        <f t="array" ref="P2801">IFERROR(LOOKUP(2,1/SEARCH($Y$2:$Y$65,G2801),$Z$2:$Z$65),"Not Defined")</f>
        <v>OH Part</v>
      </c>
      <c r="Q2801" t="str" cm="1">
        <f t="array" ref="Q2801">IFERROR(LOOKUP(2,1/SEARCH($S$2:$S$65,H2801),$T$2:$T$65),"-")</f>
        <v>OH ASSY</v>
      </c>
    </row>
    <row r="2802" spans="1:17" hidden="1" x14ac:dyDescent="0.25">
      <c r="A2802" t="s">
        <v>7676</v>
      </c>
      <c r="B2802" t="s">
        <v>6914</v>
      </c>
      <c r="C2802">
        <v>1</v>
      </c>
      <c r="D2802" t="s">
        <v>7648</v>
      </c>
      <c r="E2802" t="s">
        <v>1511</v>
      </c>
      <c r="F2802" t="s">
        <v>1513</v>
      </c>
      <c r="G2802" t="s">
        <v>7215</v>
      </c>
      <c r="H2802" t="s">
        <v>1514</v>
      </c>
      <c r="I2802" t="s">
        <v>255</v>
      </c>
      <c r="J2802" t="s">
        <v>7703</v>
      </c>
      <c r="K2802" t="s">
        <v>7677</v>
      </c>
      <c r="L2802" t="s">
        <v>7677</v>
      </c>
      <c r="N2802" t="str" cm="1">
        <f t="array" ref="N2802">IFERROR(LOOKUP(2,1/SEARCH($S$2:$S$65,G2802),$T$2:$T$65),"Misc")</f>
        <v>COTS</v>
      </c>
      <c r="O2802" t="str" cm="1">
        <f t="array" ref="O2802">IFERROR(LOOKUP(2,1/SEARCH($V$2:$V$65,G2802),$W$2:$W$65),"Misc")</f>
        <v>SWITCH</v>
      </c>
      <c r="P2802" t="str" cm="1">
        <f t="array" ref="P2802">IFERROR(LOOKUP(2,1/SEARCH($Y$2:$Y$65,G2802),$Z$2:$Z$65),"Not Defined")</f>
        <v>SWITCH</v>
      </c>
      <c r="Q2802" t="str" cm="1">
        <f t="array" ref="Q2802">IFERROR(LOOKUP(2,1/SEARCH($S$2:$S$65,H2802),$T$2:$T$65),"-")</f>
        <v>COTS</v>
      </c>
    </row>
    <row r="2803" spans="1:17" hidden="1" x14ac:dyDescent="0.25">
      <c r="A2803" t="s">
        <v>7676</v>
      </c>
      <c r="B2803" t="s">
        <v>6915</v>
      </c>
      <c r="C2803">
        <v>1</v>
      </c>
      <c r="D2803" t="s">
        <v>7648</v>
      </c>
      <c r="E2803" t="s">
        <v>1511</v>
      </c>
      <c r="F2803" t="s">
        <v>1516</v>
      </c>
      <c r="G2803" t="s">
        <v>7216</v>
      </c>
      <c r="H2803" t="s">
        <v>1517</v>
      </c>
      <c r="I2803" t="s">
        <v>299</v>
      </c>
      <c r="J2803" t="s">
        <v>7744</v>
      </c>
      <c r="K2803" t="s">
        <v>7826</v>
      </c>
      <c r="L2803" t="s">
        <v>7826</v>
      </c>
      <c r="N2803" t="str" cm="1">
        <f t="array" ref="N2803">IFERROR(LOOKUP(2,1/SEARCH($S$2:$S$65,G2803),$T$2:$T$65),"Misc")</f>
        <v>OH Common</v>
      </c>
      <c r="O2803" t="str" cm="1">
        <f t="array" ref="O2803">IFERROR(LOOKUP(2,1/SEARCH($V$2:$V$65,G2803),$W$2:$W$65),"Misc")</f>
        <v>OH Part</v>
      </c>
      <c r="P2803" t="str" cm="1">
        <f t="array" ref="P2803">IFERROR(LOOKUP(2,1/SEARCH($Y$2:$Y$65,G2803),$Z$2:$Z$65),"Not Defined")</f>
        <v>OH Part</v>
      </c>
      <c r="Q2803" t="str" cm="1">
        <f t="array" ref="Q2803">IFERROR(LOOKUP(2,1/SEARCH($S$2:$S$65,H2803),$T$2:$T$65),"-")</f>
        <v>COTS</v>
      </c>
    </row>
    <row r="2804" spans="1:17" hidden="1" x14ac:dyDescent="0.25">
      <c r="A2804" t="s">
        <v>7676</v>
      </c>
      <c r="B2804" t="s">
        <v>6916</v>
      </c>
      <c r="C2804">
        <v>2</v>
      </c>
      <c r="D2804" t="s">
        <v>7648</v>
      </c>
      <c r="F2804" t="s">
        <v>2089</v>
      </c>
      <c r="G2804" t="s">
        <v>7250</v>
      </c>
      <c r="H2804" t="s">
        <v>2090</v>
      </c>
      <c r="I2804" t="s">
        <v>228</v>
      </c>
      <c r="J2804" t="s">
        <v>7703</v>
      </c>
      <c r="K2804" t="s">
        <v>7684</v>
      </c>
      <c r="L2804" t="s">
        <v>7677</v>
      </c>
      <c r="N2804" t="str" cm="1">
        <f t="array" ref="N2804">IFERROR(LOOKUP(2,1/SEARCH($S$2:$S$65,G2804),$T$2:$T$65),"Misc")</f>
        <v>COTS</v>
      </c>
      <c r="O2804" t="str" cm="1">
        <f t="array" ref="O2804">IFERROR(LOOKUP(2,1/SEARCH($V$2:$V$65,G2804),$W$2:$W$65),"Misc")</f>
        <v>Fasteners</v>
      </c>
      <c r="P2804" t="str" cm="1">
        <f t="array" ref="P2804">IFERROR(LOOKUP(2,1/SEARCH($Y$2:$Y$65,G2804),$Z$2:$Z$65),"Not Defined")</f>
        <v>SWITCH</v>
      </c>
      <c r="Q2804" t="str" cm="1">
        <f t="array" ref="Q2804">IFERROR(LOOKUP(2,1/SEARCH($S$2:$S$65,H2804),$T$2:$T$65),"-")</f>
        <v>COTS</v>
      </c>
    </row>
    <row r="2805" spans="1:17" hidden="1" x14ac:dyDescent="0.25">
      <c r="A2805" t="s">
        <v>7676</v>
      </c>
      <c r="B2805" t="s">
        <v>6917</v>
      </c>
      <c r="C2805">
        <v>2</v>
      </c>
      <c r="D2805" t="s">
        <v>7648</v>
      </c>
      <c r="F2805" t="s">
        <v>1528</v>
      </c>
      <c r="G2805" t="s">
        <v>7220</v>
      </c>
      <c r="H2805" t="s">
        <v>1529</v>
      </c>
      <c r="I2805" t="s">
        <v>228</v>
      </c>
      <c r="J2805" t="s">
        <v>7703</v>
      </c>
      <c r="K2805" t="s">
        <v>7677</v>
      </c>
      <c r="L2805" t="s">
        <v>7685</v>
      </c>
      <c r="N2805" t="str" cm="1">
        <f t="array" ref="N2805">IFERROR(LOOKUP(2,1/SEARCH($S$2:$S$65,G2805),$T$2:$T$65),"Misc")</f>
        <v>COTS</v>
      </c>
      <c r="O2805" t="str" cm="1">
        <f t="array" ref="O2805">IFERROR(LOOKUP(2,1/SEARCH($V$2:$V$65,G2805),$W$2:$W$65),"Misc")</f>
        <v>SWITCH</v>
      </c>
      <c r="P2805" t="str" cm="1">
        <f t="array" ref="P2805">IFERROR(LOOKUP(2,1/SEARCH($Y$2:$Y$65,G2805),$Z$2:$Z$65),"Not Defined")</f>
        <v>NUT</v>
      </c>
      <c r="Q2805" t="str" cm="1">
        <f t="array" ref="Q2805">IFERROR(LOOKUP(2,1/SEARCH($S$2:$S$65,H2805),$T$2:$T$65),"-")</f>
        <v>COTS</v>
      </c>
    </row>
    <row r="2806" spans="1:17" hidden="1" x14ac:dyDescent="0.25">
      <c r="A2806" t="s">
        <v>7676</v>
      </c>
      <c r="B2806" t="s">
        <v>6918</v>
      </c>
      <c r="C2806">
        <v>1</v>
      </c>
      <c r="D2806" t="s">
        <v>7648</v>
      </c>
      <c r="F2806" t="s">
        <v>701</v>
      </c>
      <c r="G2806" t="s">
        <v>7119</v>
      </c>
      <c r="H2806" t="s">
        <v>702</v>
      </c>
      <c r="I2806" t="s">
        <v>255</v>
      </c>
      <c r="J2806" t="s">
        <v>7703</v>
      </c>
      <c r="K2806" t="s">
        <v>7684</v>
      </c>
      <c r="L2806" t="s">
        <v>7685</v>
      </c>
      <c r="N2806" t="str" cm="1">
        <f t="array" ref="N2806">IFERROR(LOOKUP(2,1/SEARCH($S$2:$S$65,G2806),$T$2:$T$65),"Misc")</f>
        <v>COTS</v>
      </c>
      <c r="O2806" t="str" cm="1">
        <f t="array" ref="O2806">IFERROR(LOOKUP(2,1/SEARCH($V$2:$V$65,G2806),$W$2:$W$65),"Misc")</f>
        <v>Fasteners</v>
      </c>
      <c r="P2806" t="str" cm="1">
        <f t="array" ref="P2806">IFERROR(LOOKUP(2,1/SEARCH($Y$2:$Y$65,G2806),$Z$2:$Z$65),"Not Defined")</f>
        <v>NUT</v>
      </c>
      <c r="Q2806" t="str" cm="1">
        <f t="array" ref="Q2806">IFERROR(LOOKUP(2,1/SEARCH($S$2:$S$65,H2806),$T$2:$T$65),"-")</f>
        <v>COTS</v>
      </c>
    </row>
    <row r="2807" spans="1:17" hidden="1" x14ac:dyDescent="0.25">
      <c r="A2807" t="s">
        <v>7676</v>
      </c>
      <c r="B2807" t="s">
        <v>6919</v>
      </c>
      <c r="C2807">
        <v>1</v>
      </c>
      <c r="D2807" t="s">
        <v>7648</v>
      </c>
      <c r="F2807" t="s">
        <v>4540</v>
      </c>
      <c r="G2807" t="s">
        <v>7832</v>
      </c>
      <c r="H2807" t="s">
        <v>4541</v>
      </c>
      <c r="I2807" t="s">
        <v>210</v>
      </c>
      <c r="J2807" t="s">
        <v>7703</v>
      </c>
      <c r="K2807" t="s">
        <v>7677</v>
      </c>
      <c r="L2807" t="s">
        <v>7685</v>
      </c>
      <c r="N2807" t="str" cm="1">
        <f t="array" ref="N2807">IFERROR(LOOKUP(2,1/SEARCH($S$2:$S$65,G2807),$T$2:$T$65),"Misc")</f>
        <v>COTS</v>
      </c>
      <c r="O2807" t="str" cm="1">
        <f t="array" ref="O2807">IFERROR(LOOKUP(2,1/SEARCH($V$2:$V$65,G2807),$W$2:$W$65),"Misc")</f>
        <v>SWITCH</v>
      </c>
      <c r="P2807" t="str" cm="1">
        <f t="array" ref="P2807">IFERROR(LOOKUP(2,1/SEARCH($Y$2:$Y$65,G2807),$Z$2:$Z$65),"Not Defined")</f>
        <v>NUT</v>
      </c>
      <c r="Q2807" t="str" cm="1">
        <f t="array" ref="Q2807">IFERROR(LOOKUP(2,1/SEARCH($S$2:$S$65,H2807),$T$2:$T$65),"-")</f>
        <v>COTS</v>
      </c>
    </row>
    <row r="2808" spans="1:17" hidden="1" x14ac:dyDescent="0.25">
      <c r="A2808" t="s">
        <v>7676</v>
      </c>
      <c r="B2808" t="s">
        <v>6920</v>
      </c>
      <c r="C2808">
        <v>1</v>
      </c>
      <c r="D2808" t="s">
        <v>7648</v>
      </c>
      <c r="E2808" t="s">
        <v>6922</v>
      </c>
      <c r="F2808" t="s">
        <v>6921</v>
      </c>
      <c r="G2808" t="s">
        <v>6923</v>
      </c>
      <c r="H2808" t="s">
        <v>6922</v>
      </c>
      <c r="J2808" t="s">
        <v>7742</v>
      </c>
      <c r="K2808" t="s">
        <v>7826</v>
      </c>
      <c r="L2808" t="s">
        <v>7826</v>
      </c>
      <c r="N2808" t="str" cm="1">
        <f t="array" ref="N2808">IFERROR(LOOKUP(2,1/SEARCH($S$2:$S$65,G2808),$T$2:$T$65),"Misc")</f>
        <v>OH ASSY</v>
      </c>
      <c r="O2808" t="str" cm="1">
        <f t="array" ref="O2808">IFERROR(LOOKUP(2,1/SEARCH($V$2:$V$65,G2808),$W$2:$W$65),"Misc")</f>
        <v>OH Part</v>
      </c>
      <c r="P2808" t="str" cm="1">
        <f t="array" ref="P2808">IFERROR(LOOKUP(2,1/SEARCH($Y$2:$Y$65,G2808),$Z$2:$Z$65),"Not Defined")</f>
        <v>OH Part</v>
      </c>
      <c r="Q2808" t="str" cm="1">
        <f t="array" ref="Q2808">IFERROR(LOOKUP(2,1/SEARCH($S$2:$S$65,H2808),$T$2:$T$65),"-")</f>
        <v>OH ASSY</v>
      </c>
    </row>
    <row r="2809" spans="1:17" hidden="1" x14ac:dyDescent="0.25">
      <c r="A2809" t="s">
        <v>7676</v>
      </c>
      <c r="B2809" t="s">
        <v>6924</v>
      </c>
      <c r="C2809">
        <v>1</v>
      </c>
      <c r="D2809" t="s">
        <v>7648</v>
      </c>
      <c r="E2809" t="s">
        <v>6922</v>
      </c>
      <c r="F2809" t="s">
        <v>6925</v>
      </c>
      <c r="G2809" t="s">
        <v>7663</v>
      </c>
      <c r="H2809" t="s">
        <v>6926</v>
      </c>
      <c r="I2809" t="s">
        <v>255</v>
      </c>
      <c r="J2809" t="s">
        <v>7703</v>
      </c>
      <c r="K2809" t="s">
        <v>7722</v>
      </c>
      <c r="L2809" t="s">
        <v>7722</v>
      </c>
      <c r="N2809" t="str" cm="1">
        <f t="array" ref="N2809">IFERROR(LOOKUP(2,1/SEARCH($S$2:$S$65,G2809),$T$2:$T$65),"Misc")</f>
        <v>COTS</v>
      </c>
      <c r="O2809" t="str" cm="1">
        <f t="array" ref="O2809">IFERROR(LOOKUP(2,1/SEARCH($V$2:$V$65,G2809),$W$2:$W$65),"Misc")</f>
        <v>POT</v>
      </c>
      <c r="P2809" t="str" cm="1">
        <f t="array" ref="P2809">IFERROR(LOOKUP(2,1/SEARCH($Y$2:$Y$65,G2809),$Z$2:$Z$65),"Not Defined")</f>
        <v>POT</v>
      </c>
      <c r="Q2809" t="str" cm="1">
        <f t="array" ref="Q2809">IFERROR(LOOKUP(2,1/SEARCH($S$2:$S$65,H2809),$T$2:$T$65),"-")</f>
        <v>COTS</v>
      </c>
    </row>
    <row r="2810" spans="1:17" hidden="1" x14ac:dyDescent="0.25">
      <c r="A2810" t="s">
        <v>7676</v>
      </c>
      <c r="B2810" t="s">
        <v>6927</v>
      </c>
      <c r="C2810">
        <v>1</v>
      </c>
      <c r="D2810" t="s">
        <v>7648</v>
      </c>
      <c r="E2810" t="s">
        <v>6922</v>
      </c>
      <c r="F2810" t="s">
        <v>6928</v>
      </c>
      <c r="G2810" t="s">
        <v>6930</v>
      </c>
      <c r="H2810" t="s">
        <v>6929</v>
      </c>
      <c r="I2810" t="s">
        <v>13</v>
      </c>
      <c r="J2810" t="s">
        <v>7703</v>
      </c>
      <c r="K2810" t="s">
        <v>7826</v>
      </c>
      <c r="L2810" t="s">
        <v>7722</v>
      </c>
      <c r="N2810" t="str" cm="1">
        <f t="array" ref="N2810">IFERROR(LOOKUP(2,1/SEARCH($S$2:$S$65,G2810),$T$2:$T$65),"Misc")</f>
        <v>OH P/N</v>
      </c>
      <c r="O2810" t="str" cm="1">
        <f t="array" ref="O2810">IFERROR(LOOKUP(2,1/SEARCH($V$2:$V$65,G2810),$W$2:$W$65),"Misc")</f>
        <v>OH Part</v>
      </c>
      <c r="P2810" t="str" cm="1">
        <f t="array" ref="P2810">IFERROR(LOOKUP(2,1/SEARCH($Y$2:$Y$65,G2810),$Z$2:$Z$65),"Not Defined")</f>
        <v>POT</v>
      </c>
      <c r="Q2810" t="str" cm="1">
        <f t="array" ref="Q2810">IFERROR(LOOKUP(2,1/SEARCH($S$2:$S$65,H2810),$T$2:$T$65),"-")</f>
        <v>COTS</v>
      </c>
    </row>
    <row r="2811" spans="1:17" hidden="1" x14ac:dyDescent="0.25">
      <c r="A2811" t="s">
        <v>7676</v>
      </c>
      <c r="B2811" t="s">
        <v>6931</v>
      </c>
      <c r="C2811">
        <v>1</v>
      </c>
      <c r="D2811" t="s">
        <v>7648</v>
      </c>
      <c r="E2811" t="s">
        <v>6922</v>
      </c>
      <c r="F2811" t="s">
        <v>4373</v>
      </c>
      <c r="G2811" t="s">
        <v>7452</v>
      </c>
      <c r="H2811" t="s">
        <v>4374</v>
      </c>
      <c r="I2811" t="s">
        <v>210</v>
      </c>
      <c r="J2811" t="s">
        <v>7703</v>
      </c>
      <c r="K2811" t="s">
        <v>7722</v>
      </c>
      <c r="L2811" t="s">
        <v>7685</v>
      </c>
      <c r="N2811" t="str" cm="1">
        <f t="array" ref="N2811">IFERROR(LOOKUP(2,1/SEARCH($S$2:$S$65,G2811),$T$2:$T$65),"Misc")</f>
        <v>COTS</v>
      </c>
      <c r="O2811" t="str" cm="1">
        <f t="array" ref="O2811">IFERROR(LOOKUP(2,1/SEARCH($V$2:$V$65,G2811),$W$2:$W$65),"Misc")</f>
        <v>POT</v>
      </c>
      <c r="P2811" t="str" cm="1">
        <f t="array" ref="P2811">IFERROR(LOOKUP(2,1/SEARCH($Y$2:$Y$65,G2811),$Z$2:$Z$65),"Not Defined")</f>
        <v>NUT</v>
      </c>
      <c r="Q2811" t="str" cm="1">
        <f t="array" ref="Q2811">IFERROR(LOOKUP(2,1/SEARCH($S$2:$S$65,H2811),$T$2:$T$65),"-")</f>
        <v>COTS</v>
      </c>
    </row>
    <row r="2812" spans="1:17" hidden="1" x14ac:dyDescent="0.25">
      <c r="A2812" t="s">
        <v>7676</v>
      </c>
      <c r="B2812" t="s">
        <v>6932</v>
      </c>
      <c r="C2812">
        <v>2</v>
      </c>
      <c r="D2812" t="s">
        <v>7648</v>
      </c>
      <c r="E2812" t="s">
        <v>6922</v>
      </c>
      <c r="F2812" t="s">
        <v>268</v>
      </c>
      <c r="G2812" t="s">
        <v>7061</v>
      </c>
      <c r="H2812" t="s">
        <v>269</v>
      </c>
      <c r="I2812" t="s">
        <v>224</v>
      </c>
      <c r="J2812" t="s">
        <v>7703</v>
      </c>
      <c r="K2812" t="s">
        <v>7684</v>
      </c>
      <c r="L2812" t="s">
        <v>7687</v>
      </c>
      <c r="N2812" t="str" cm="1">
        <f t="array" ref="N2812">IFERROR(LOOKUP(2,1/SEARCH($S$2:$S$65,G2812),$T$2:$T$65),"Misc")</f>
        <v>COTS</v>
      </c>
      <c r="O2812" t="str" cm="1">
        <f t="array" ref="O2812">IFERROR(LOOKUP(2,1/SEARCH($V$2:$V$65,G2812),$W$2:$W$65),"Misc")</f>
        <v>Fasteners</v>
      </c>
      <c r="P2812" t="str" cm="1">
        <f t="array" ref="P2812">IFERROR(LOOKUP(2,1/SEARCH($Y$2:$Y$65,G2812),$Z$2:$Z$65),"Not Defined")</f>
        <v>INSERT</v>
      </c>
      <c r="Q2812" t="str" cm="1">
        <f t="array" ref="Q2812">IFERROR(LOOKUP(2,1/SEARCH($S$2:$S$65,H2812),$T$2:$T$65),"-")</f>
        <v>COTS</v>
      </c>
    </row>
    <row r="2813" spans="1:17" hidden="1" x14ac:dyDescent="0.25">
      <c r="A2813" t="s">
        <v>7676</v>
      </c>
      <c r="B2813" t="s">
        <v>6933</v>
      </c>
      <c r="C2813">
        <v>1</v>
      </c>
      <c r="D2813" t="s">
        <v>7648</v>
      </c>
      <c r="E2813" t="s">
        <v>6922</v>
      </c>
      <c r="F2813" t="s">
        <v>6934</v>
      </c>
      <c r="G2813" t="s">
        <v>6936</v>
      </c>
      <c r="H2813" t="s">
        <v>6935</v>
      </c>
      <c r="I2813" t="s">
        <v>13</v>
      </c>
      <c r="J2813" t="s">
        <v>7682</v>
      </c>
      <c r="K2813" t="s">
        <v>7826</v>
      </c>
      <c r="L2813" t="s">
        <v>7826</v>
      </c>
      <c r="N2813" t="str" cm="1">
        <f t="array" ref="N2813">IFERROR(LOOKUP(2,1/SEARCH($S$2:$S$65,G2813),$T$2:$T$65),"Misc")</f>
        <v>OH P/N</v>
      </c>
      <c r="O2813" t="str" cm="1">
        <f t="array" ref="O2813">IFERROR(LOOKUP(2,1/SEARCH($V$2:$V$65,G2813),$W$2:$W$65),"Misc")</f>
        <v>OH Part</v>
      </c>
      <c r="P2813" t="str" cm="1">
        <f t="array" ref="P2813">IFERROR(LOOKUP(2,1/SEARCH($Y$2:$Y$65,G2813),$Z$2:$Z$65),"Not Defined")</f>
        <v>OH Part</v>
      </c>
      <c r="Q2813" t="str" cm="1">
        <f t="array" ref="Q2813">IFERROR(LOOKUP(2,1/SEARCH($S$2:$S$65,H2813),$T$2:$T$65),"-")</f>
        <v>-</v>
      </c>
    </row>
    <row r="2814" spans="1:17" hidden="1" x14ac:dyDescent="0.25">
      <c r="A2814" t="s">
        <v>7676</v>
      </c>
      <c r="B2814" t="s">
        <v>6937</v>
      </c>
      <c r="C2814">
        <v>1</v>
      </c>
      <c r="D2814" t="s">
        <v>7648</v>
      </c>
      <c r="E2814" t="s">
        <v>6922</v>
      </c>
      <c r="F2814" t="s">
        <v>6938</v>
      </c>
      <c r="G2814" t="s">
        <v>6940</v>
      </c>
      <c r="H2814" t="s">
        <v>6939</v>
      </c>
      <c r="I2814" t="s">
        <v>13</v>
      </c>
      <c r="J2814" t="s">
        <v>7682</v>
      </c>
      <c r="K2814" t="s">
        <v>7826</v>
      </c>
      <c r="L2814" t="s">
        <v>7826</v>
      </c>
      <c r="N2814" t="str" cm="1">
        <f t="array" ref="N2814">IFERROR(LOOKUP(2,1/SEARCH($S$2:$S$65,G2814),$T$2:$T$65),"Misc")</f>
        <v>OH P/N</v>
      </c>
      <c r="O2814" t="str" cm="1">
        <f t="array" ref="O2814">IFERROR(LOOKUP(2,1/SEARCH($V$2:$V$65,G2814),$W$2:$W$65),"Misc")</f>
        <v>OH Part</v>
      </c>
      <c r="P2814" t="str" cm="1">
        <f t="array" ref="P2814">IFERROR(LOOKUP(2,1/SEARCH($Y$2:$Y$65,G2814),$Z$2:$Z$65),"Not Defined")</f>
        <v>OH Part</v>
      </c>
      <c r="Q2814" t="str" cm="1">
        <f t="array" ref="Q2814">IFERROR(LOOKUP(2,1/SEARCH($S$2:$S$65,H2814),$T$2:$T$65),"-")</f>
        <v>-</v>
      </c>
    </row>
    <row r="2815" spans="1:17" hidden="1" x14ac:dyDescent="0.25">
      <c r="A2815" t="s">
        <v>7676</v>
      </c>
      <c r="B2815" s="18">
        <v>4.22</v>
      </c>
      <c r="C2815">
        <v>6</v>
      </c>
      <c r="D2815" t="s">
        <v>7603</v>
      </c>
      <c r="F2815" t="s">
        <v>563</v>
      </c>
      <c r="G2815" t="s">
        <v>7100</v>
      </c>
      <c r="H2815" t="s">
        <v>564</v>
      </c>
      <c r="I2815" t="s">
        <v>228</v>
      </c>
      <c r="J2815" t="s">
        <v>7703</v>
      </c>
      <c r="K2815" t="s">
        <v>7684</v>
      </c>
      <c r="L2815" t="s">
        <v>7693</v>
      </c>
      <c r="N2815" t="str" cm="1">
        <f t="array" ref="N2815">IFERROR(LOOKUP(2,1/SEARCH($S$2:$S$65,G2815),$T$2:$T$65),"Misc")</f>
        <v>COTS</v>
      </c>
      <c r="O2815" t="str" cm="1">
        <f t="array" ref="O2815">IFERROR(LOOKUP(2,1/SEARCH($V$2:$V$65,G2815),$W$2:$W$65),"Misc")</f>
        <v>Fasteners</v>
      </c>
      <c r="P2815" t="str" cm="1">
        <f t="array" ref="P2815">IFERROR(LOOKUP(2,1/SEARCH($Y$2:$Y$65,G2815),$Z$2:$Z$65),"Not Defined")</f>
        <v>PHS</v>
      </c>
      <c r="Q2815" t="str" cm="1">
        <f t="array" ref="Q2815">IFERROR(LOOKUP(2,1/SEARCH($S$2:$S$65,H2815),$T$2:$T$65),"-")</f>
        <v>COTS</v>
      </c>
    </row>
    <row r="2816" spans="1:17" hidden="1" x14ac:dyDescent="0.25">
      <c r="A2816" t="s">
        <v>7676</v>
      </c>
      <c r="B2816" s="18">
        <v>4.2300000000000004</v>
      </c>
      <c r="C2816">
        <v>8</v>
      </c>
      <c r="D2816" t="s">
        <v>7603</v>
      </c>
      <c r="F2816" t="s">
        <v>4795</v>
      </c>
      <c r="G2816" t="s">
        <v>7500</v>
      </c>
      <c r="H2816" t="s">
        <v>4796</v>
      </c>
      <c r="I2816" t="s">
        <v>299</v>
      </c>
      <c r="J2816" t="s">
        <v>7703</v>
      </c>
      <c r="K2816" t="s">
        <v>7684</v>
      </c>
      <c r="L2816" t="s">
        <v>7708</v>
      </c>
      <c r="N2816" t="str" cm="1">
        <f t="array" ref="N2816">IFERROR(LOOKUP(2,1/SEARCH($S$2:$S$65,G2816),$T$2:$T$65),"Misc")</f>
        <v>COTS</v>
      </c>
      <c r="O2816" t="str" cm="1">
        <f t="array" ref="O2816">IFERROR(LOOKUP(2,1/SEARCH($V$2:$V$65,G2816),$W$2:$W$65),"Misc")</f>
        <v>Fasteners</v>
      </c>
      <c r="P2816" t="str" cm="1">
        <f t="array" ref="P2816">IFERROR(LOOKUP(2,1/SEARCH($Y$2:$Y$65,G2816),$Z$2:$Z$65),"Not Defined")</f>
        <v>STANDOFF</v>
      </c>
      <c r="Q2816" t="str" cm="1">
        <f t="array" ref="Q2816">IFERROR(LOOKUP(2,1/SEARCH($S$2:$S$65,H2816),$T$2:$T$65),"-")</f>
        <v>COTS</v>
      </c>
    </row>
    <row r="2817" spans="1:17" hidden="1" x14ac:dyDescent="0.25">
      <c r="A2817" t="s">
        <v>7676</v>
      </c>
      <c r="B2817" s="18">
        <v>4.24</v>
      </c>
      <c r="C2817">
        <v>8</v>
      </c>
      <c r="D2817" t="s">
        <v>7603</v>
      </c>
      <c r="F2817" t="s">
        <v>460</v>
      </c>
      <c r="G2817" t="s">
        <v>7090</v>
      </c>
      <c r="H2817" t="s">
        <v>461</v>
      </c>
      <c r="I2817" t="s">
        <v>224</v>
      </c>
      <c r="J2817" t="s">
        <v>7703</v>
      </c>
      <c r="K2817" t="s">
        <v>7684</v>
      </c>
      <c r="L2817" t="s">
        <v>7693</v>
      </c>
      <c r="N2817" t="str" cm="1">
        <f t="array" ref="N2817">IFERROR(LOOKUP(2,1/SEARCH($S$2:$S$65,G2817),$T$2:$T$65),"Misc")</f>
        <v>COTS</v>
      </c>
      <c r="O2817" t="str" cm="1">
        <f t="array" ref="O2817">IFERROR(LOOKUP(2,1/SEARCH($V$2:$V$65,G2817),$W$2:$W$65),"Misc")</f>
        <v>Fasteners</v>
      </c>
      <c r="P2817" t="str" cm="1">
        <f t="array" ref="P2817">IFERROR(LOOKUP(2,1/SEARCH($Y$2:$Y$65,G2817),$Z$2:$Z$65),"Not Defined")</f>
        <v>PHS</v>
      </c>
      <c r="Q2817" t="str" cm="1">
        <f t="array" ref="Q2817">IFERROR(LOOKUP(2,1/SEARCH($S$2:$S$65,H2817),$T$2:$T$65),"-")</f>
        <v>COTS</v>
      </c>
    </row>
    <row r="2818" spans="1:17" hidden="1" x14ac:dyDescent="0.25">
      <c r="A2818" t="s">
        <v>7676</v>
      </c>
      <c r="B2818" s="18">
        <v>4.25</v>
      </c>
      <c r="C2818">
        <v>6</v>
      </c>
      <c r="D2818" t="s">
        <v>7603</v>
      </c>
      <c r="F2818" t="s">
        <v>4214</v>
      </c>
      <c r="G2818" t="s">
        <v>7433</v>
      </c>
      <c r="H2818" t="s">
        <v>4215</v>
      </c>
      <c r="I2818" t="s">
        <v>228</v>
      </c>
      <c r="J2818" t="s">
        <v>7703</v>
      </c>
      <c r="K2818" t="s">
        <v>7684</v>
      </c>
      <c r="L2818" t="s">
        <v>7693</v>
      </c>
      <c r="N2818" t="str" cm="1">
        <f t="array" ref="N2818">IFERROR(LOOKUP(2,1/SEARCH($S$2:$S$65,G2818),$T$2:$T$65),"Misc")</f>
        <v>COTS</v>
      </c>
      <c r="O2818" t="str" cm="1">
        <f t="array" ref="O2818">IFERROR(LOOKUP(2,1/SEARCH($V$2:$V$65,G2818),$W$2:$W$65),"Misc")</f>
        <v>Fasteners</v>
      </c>
      <c r="P2818" t="str" cm="1">
        <f t="array" ref="P2818">IFERROR(LOOKUP(2,1/SEARCH($Y$2:$Y$65,G2818),$Z$2:$Z$65),"Not Defined")</f>
        <v>PHS</v>
      </c>
      <c r="Q2818" t="str" cm="1">
        <f t="array" ref="Q2818">IFERROR(LOOKUP(2,1/SEARCH($S$2:$S$65,H2818),$T$2:$T$65),"-")</f>
        <v>COTS</v>
      </c>
    </row>
    <row r="2819" spans="1:17" hidden="1" x14ac:dyDescent="0.25">
      <c r="A2819" t="s">
        <v>7676</v>
      </c>
      <c r="B2819" s="18">
        <v>4.26</v>
      </c>
      <c r="C2819">
        <v>3</v>
      </c>
      <c r="D2819" t="s">
        <v>7603</v>
      </c>
      <c r="F2819" t="s">
        <v>519</v>
      </c>
      <c r="G2819" t="s">
        <v>7097</v>
      </c>
      <c r="H2819" t="s">
        <v>520</v>
      </c>
      <c r="I2819" t="s">
        <v>228</v>
      </c>
      <c r="J2819" t="s">
        <v>7703</v>
      </c>
      <c r="K2819" t="s">
        <v>7684</v>
      </c>
      <c r="L2819" t="s">
        <v>7693</v>
      </c>
      <c r="N2819" t="str" cm="1">
        <f t="array" ref="N2819">IFERROR(LOOKUP(2,1/SEARCH($S$2:$S$65,G2819),$T$2:$T$65),"Misc")</f>
        <v>COTS</v>
      </c>
      <c r="O2819" t="str" cm="1">
        <f t="array" ref="O2819">IFERROR(LOOKUP(2,1/SEARCH($V$2:$V$65,G2819),$W$2:$W$65),"Misc")</f>
        <v>Fasteners</v>
      </c>
      <c r="P2819" t="str" cm="1">
        <f t="array" ref="P2819">IFERROR(LOOKUP(2,1/SEARCH($Y$2:$Y$65,G2819),$Z$2:$Z$65),"Not Defined")</f>
        <v>PHS</v>
      </c>
      <c r="Q2819" t="str" cm="1">
        <f t="array" ref="Q2819">IFERROR(LOOKUP(2,1/SEARCH($S$2:$S$65,H2819),$T$2:$T$65),"-")</f>
        <v>COTS</v>
      </c>
    </row>
    <row r="2820" spans="1:17" hidden="1" x14ac:dyDescent="0.25">
      <c r="A2820" t="s">
        <v>7676</v>
      </c>
      <c r="B2820" s="18">
        <v>4.2699999999999996</v>
      </c>
      <c r="C2820">
        <v>3</v>
      </c>
      <c r="D2820" t="s">
        <v>7603</v>
      </c>
      <c r="F2820" t="s">
        <v>1157</v>
      </c>
      <c r="G2820" t="s">
        <v>7195</v>
      </c>
      <c r="H2820" t="s">
        <v>1158</v>
      </c>
      <c r="I2820" t="s">
        <v>210</v>
      </c>
      <c r="J2820" t="s">
        <v>7703</v>
      </c>
      <c r="K2820" t="s">
        <v>7684</v>
      </c>
      <c r="L2820" t="s">
        <v>7691</v>
      </c>
      <c r="N2820" t="str" cm="1">
        <f t="array" ref="N2820">IFERROR(LOOKUP(2,1/SEARCH($S$2:$S$65,G2820),$T$2:$T$65),"Misc")</f>
        <v>COTS</v>
      </c>
      <c r="O2820" t="str" cm="1">
        <f t="array" ref="O2820">IFERROR(LOOKUP(2,1/SEARCH($V$2:$V$65,G2820),$W$2:$W$65),"Misc")</f>
        <v>Fasteners</v>
      </c>
      <c r="P2820" t="str" cm="1">
        <f t="array" ref="P2820">IFERROR(LOOKUP(2,1/SEARCH($Y$2:$Y$65,G2820),$Z$2:$Z$65),"Not Defined")</f>
        <v>FHS</v>
      </c>
      <c r="Q2820" t="str" cm="1">
        <f t="array" ref="Q2820">IFERROR(LOOKUP(2,1/SEARCH($S$2:$S$65,H2820),$T$2:$T$65),"-")</f>
        <v>COTS</v>
      </c>
    </row>
    <row r="2821" spans="1:17" hidden="1" x14ac:dyDescent="0.25">
      <c r="A2821" t="s">
        <v>7676</v>
      </c>
      <c r="B2821" s="18">
        <v>4.28</v>
      </c>
      <c r="C2821">
        <v>2</v>
      </c>
      <c r="D2821" t="s">
        <v>7603</v>
      </c>
      <c r="F2821" t="s">
        <v>580</v>
      </c>
      <c r="G2821" t="s">
        <v>7105</v>
      </c>
      <c r="H2821" t="s">
        <v>581</v>
      </c>
      <c r="I2821" t="s">
        <v>210</v>
      </c>
      <c r="J2821" t="s">
        <v>7703</v>
      </c>
      <c r="K2821" t="s">
        <v>7684</v>
      </c>
      <c r="L2821" t="s">
        <v>7691</v>
      </c>
      <c r="N2821" t="str" cm="1">
        <f t="array" ref="N2821">IFERROR(LOOKUP(2,1/SEARCH($S$2:$S$65,G2821),$T$2:$T$65),"Misc")</f>
        <v>COTS</v>
      </c>
      <c r="O2821" t="str" cm="1">
        <f t="array" ref="O2821">IFERROR(LOOKUP(2,1/SEARCH($V$2:$V$65,G2821),$W$2:$W$65),"Misc")</f>
        <v>Fasteners</v>
      </c>
      <c r="P2821" t="str" cm="1">
        <f t="array" ref="P2821">IFERROR(LOOKUP(2,1/SEARCH($Y$2:$Y$65,G2821),$Z$2:$Z$65),"Not Defined")</f>
        <v>FHS</v>
      </c>
      <c r="Q2821" t="str" cm="1">
        <f t="array" ref="Q2821">IFERROR(LOOKUP(2,1/SEARCH($S$2:$S$65,H2821),$T$2:$T$65),"-")</f>
        <v>COTS</v>
      </c>
    </row>
    <row r="2822" spans="1:17" hidden="1" x14ac:dyDescent="0.25">
      <c r="A2822" t="s">
        <v>7676</v>
      </c>
      <c r="B2822" s="18">
        <v>4.29</v>
      </c>
      <c r="C2822">
        <v>2</v>
      </c>
      <c r="D2822" t="s">
        <v>7603</v>
      </c>
      <c r="F2822" t="s">
        <v>3176</v>
      </c>
      <c r="G2822" t="s">
        <v>7342</v>
      </c>
      <c r="H2822" t="s">
        <v>3177</v>
      </c>
      <c r="I2822" t="s">
        <v>228</v>
      </c>
      <c r="J2822" t="s">
        <v>7703</v>
      </c>
      <c r="K2822" t="s">
        <v>7684</v>
      </c>
      <c r="L2822" t="s">
        <v>7691</v>
      </c>
      <c r="N2822" t="str" cm="1">
        <f t="array" ref="N2822">IFERROR(LOOKUP(2,1/SEARCH($S$2:$S$65,G2822),$T$2:$T$65),"Misc")</f>
        <v>COTS</v>
      </c>
      <c r="O2822" t="str" cm="1">
        <f t="array" ref="O2822">IFERROR(LOOKUP(2,1/SEARCH($V$2:$V$65,G2822),$W$2:$W$65),"Misc")</f>
        <v>Fasteners</v>
      </c>
      <c r="P2822" t="str" cm="1">
        <f t="array" ref="P2822">IFERROR(LOOKUP(2,1/SEARCH($Y$2:$Y$65,G2822),$Z$2:$Z$65),"Not Defined")</f>
        <v>FHS</v>
      </c>
      <c r="Q2822" t="str" cm="1">
        <f t="array" ref="Q2822">IFERROR(LOOKUP(2,1/SEARCH($S$2:$S$65,H2822),$T$2:$T$65),"-")</f>
        <v>COTS</v>
      </c>
    </row>
    <row r="2823" spans="1:17" hidden="1" x14ac:dyDescent="0.25">
      <c r="A2823" t="s">
        <v>7676</v>
      </c>
      <c r="B2823" s="28">
        <v>4.3</v>
      </c>
      <c r="C2823">
        <v>6</v>
      </c>
      <c r="D2823" t="s">
        <v>7603</v>
      </c>
      <c r="F2823" t="s">
        <v>226</v>
      </c>
      <c r="G2823" t="s">
        <v>7054</v>
      </c>
      <c r="H2823" t="s">
        <v>227</v>
      </c>
      <c r="I2823" t="s">
        <v>228</v>
      </c>
      <c r="J2823" t="s">
        <v>7703</v>
      </c>
      <c r="K2823" t="s">
        <v>7684</v>
      </c>
      <c r="L2823" t="s">
        <v>7685</v>
      </c>
      <c r="N2823" t="str" cm="1">
        <f t="array" ref="N2823">IFERROR(LOOKUP(2,1/SEARCH($S$2:$S$65,G2823),$T$2:$T$65),"Misc")</f>
        <v>COTS</v>
      </c>
      <c r="O2823" t="str" cm="1">
        <f t="array" ref="O2823">IFERROR(LOOKUP(2,1/SEARCH($V$2:$V$65,G2823),$W$2:$W$65),"Misc")</f>
        <v>Fasteners</v>
      </c>
      <c r="P2823" t="str" cm="1">
        <f t="array" ref="P2823">IFERROR(LOOKUP(2,1/SEARCH($Y$2:$Y$65,G2823),$Z$2:$Z$65),"Not Defined")</f>
        <v>NUT</v>
      </c>
      <c r="Q2823" t="str" cm="1">
        <f t="array" ref="Q2823">IFERROR(LOOKUP(2,1/SEARCH($S$2:$S$65,H2823),$T$2:$T$65),"-")</f>
        <v>COTS</v>
      </c>
    </row>
    <row r="2824" spans="1:17" hidden="1" x14ac:dyDescent="0.25">
      <c r="A2824" t="s">
        <v>7676</v>
      </c>
      <c r="B2824" s="18">
        <v>4.3099999999999996</v>
      </c>
      <c r="C2824">
        <v>1</v>
      </c>
      <c r="D2824" t="s">
        <v>7603</v>
      </c>
      <c r="F2824" t="s">
        <v>2213</v>
      </c>
      <c r="G2824" t="s">
        <v>7262</v>
      </c>
      <c r="H2824" t="s">
        <v>2214</v>
      </c>
      <c r="I2824" t="s">
        <v>255</v>
      </c>
      <c r="J2824" t="s">
        <v>7703</v>
      </c>
      <c r="K2824" t="s">
        <v>7722</v>
      </c>
      <c r="L2824" t="s">
        <v>7722</v>
      </c>
      <c r="N2824" t="str" cm="1">
        <f t="array" ref="N2824">IFERROR(LOOKUP(2,1/SEARCH($S$2:$S$65,G2824),$T$2:$T$65),"Misc")</f>
        <v>COTS</v>
      </c>
      <c r="O2824" t="str" cm="1">
        <f t="array" ref="O2824">IFERROR(LOOKUP(2,1/SEARCH($V$2:$V$65,G2824),$W$2:$W$65),"Misc")</f>
        <v>POT</v>
      </c>
      <c r="P2824" t="str" cm="1">
        <f t="array" ref="P2824">IFERROR(LOOKUP(2,1/SEARCH($Y$2:$Y$65,G2824),$Z$2:$Z$65),"Not Defined")</f>
        <v>POT</v>
      </c>
      <c r="Q2824" t="str" cm="1">
        <f t="array" ref="Q2824">IFERROR(LOOKUP(2,1/SEARCH($S$2:$S$65,H2824),$T$2:$T$65),"-")</f>
        <v>COTS</v>
      </c>
    </row>
    <row r="2825" spans="1:17" hidden="1" x14ac:dyDescent="0.25">
      <c r="A2825" t="s">
        <v>7676</v>
      </c>
      <c r="B2825" s="18">
        <v>4.32</v>
      </c>
      <c r="C2825">
        <v>1</v>
      </c>
      <c r="D2825" t="s">
        <v>7664</v>
      </c>
      <c r="F2825" t="s">
        <v>6941</v>
      </c>
      <c r="G2825" t="s">
        <v>7664</v>
      </c>
      <c r="H2825" t="s">
        <v>6942</v>
      </c>
      <c r="J2825" t="s">
        <v>7742</v>
      </c>
      <c r="K2825" t="s">
        <v>7826</v>
      </c>
      <c r="L2825" t="s">
        <v>7826</v>
      </c>
      <c r="N2825" t="str" cm="1">
        <f t="array" ref="N2825">IFERROR(LOOKUP(2,1/SEARCH($S$2:$S$65,G2825),$T$2:$T$65),"Misc")</f>
        <v>OH ASSY</v>
      </c>
      <c r="O2825" t="str" cm="1">
        <f t="array" ref="O2825">IFERROR(LOOKUP(2,1/SEARCH($V$2:$V$65,G2825),$W$2:$W$65),"Misc")</f>
        <v>OH Part</v>
      </c>
      <c r="P2825" t="str" cm="1">
        <f t="array" ref="P2825">IFERROR(LOOKUP(2,1/SEARCH($Y$2:$Y$65,G2825),$Z$2:$Z$65),"Not Defined")</f>
        <v>OH Part</v>
      </c>
      <c r="Q2825" t="str" cm="1">
        <f t="array" ref="Q2825">IFERROR(LOOKUP(2,1/SEARCH($S$2:$S$65,H2825),$T$2:$T$65),"-")</f>
        <v>OH ASSY</v>
      </c>
    </row>
    <row r="2826" spans="1:17" hidden="1" x14ac:dyDescent="0.25">
      <c r="A2826" t="s">
        <v>7676</v>
      </c>
      <c r="B2826" t="s">
        <v>6943</v>
      </c>
      <c r="C2826">
        <v>1</v>
      </c>
      <c r="D2826" t="s">
        <v>7664</v>
      </c>
      <c r="F2826" t="s">
        <v>6944</v>
      </c>
      <c r="G2826" t="s">
        <v>6946</v>
      </c>
      <c r="H2826" t="s">
        <v>6945</v>
      </c>
      <c r="I2826" t="s">
        <v>299</v>
      </c>
      <c r="J2826" t="s">
        <v>7682</v>
      </c>
      <c r="K2826" t="s">
        <v>7826</v>
      </c>
      <c r="L2826" t="s">
        <v>7826</v>
      </c>
      <c r="N2826" t="str" cm="1">
        <f t="array" ref="N2826">IFERROR(LOOKUP(2,1/SEARCH($S$2:$S$65,G2826),$T$2:$T$65),"Misc")</f>
        <v>OH P/N</v>
      </c>
      <c r="O2826" t="str" cm="1">
        <f t="array" ref="O2826">IFERROR(LOOKUP(2,1/SEARCH($V$2:$V$65,G2826),$W$2:$W$65),"Misc")</f>
        <v>OH Part</v>
      </c>
      <c r="P2826" t="str" cm="1">
        <f t="array" ref="P2826">IFERROR(LOOKUP(2,1/SEARCH($Y$2:$Y$65,G2826),$Z$2:$Z$65),"Not Defined")</f>
        <v>OH Part</v>
      </c>
      <c r="Q2826" t="str" cm="1">
        <f t="array" ref="Q2826">IFERROR(LOOKUP(2,1/SEARCH($S$2:$S$65,H2826),$T$2:$T$65),"-")</f>
        <v>-</v>
      </c>
    </row>
    <row r="2827" spans="1:17" hidden="1" x14ac:dyDescent="0.25">
      <c r="A2827" t="s">
        <v>7676</v>
      </c>
      <c r="B2827" s="2" t="s">
        <v>6947</v>
      </c>
      <c r="C2827">
        <v>1</v>
      </c>
      <c r="D2827" t="s">
        <v>7664</v>
      </c>
      <c r="E2827" t="s">
        <v>6949</v>
      </c>
      <c r="F2827" t="s">
        <v>6948</v>
      </c>
      <c r="G2827" t="s">
        <v>6950</v>
      </c>
      <c r="H2827" t="s">
        <v>6949</v>
      </c>
      <c r="J2827" t="s">
        <v>7742</v>
      </c>
      <c r="K2827" t="s">
        <v>7826</v>
      </c>
      <c r="L2827" t="s">
        <v>7826</v>
      </c>
      <c r="N2827" t="str" cm="1">
        <f t="array" ref="N2827">IFERROR(LOOKUP(2,1/SEARCH($S$2:$S$65,G2827),$T$2:$T$65),"Misc")</f>
        <v>OH ASSY</v>
      </c>
      <c r="O2827" t="str" cm="1">
        <f t="array" ref="O2827">IFERROR(LOOKUP(2,1/SEARCH($V$2:$V$65,G2827),$W$2:$W$65),"Misc")</f>
        <v>OH Part</v>
      </c>
      <c r="P2827" t="str" cm="1">
        <f t="array" ref="P2827">IFERROR(LOOKUP(2,1/SEARCH($Y$2:$Y$65,G2827),$Z$2:$Z$65),"Not Defined")</f>
        <v>OH Part</v>
      </c>
      <c r="Q2827" t="str" cm="1">
        <f t="array" ref="Q2827">IFERROR(LOOKUP(2,1/SEARCH($S$2:$S$65,H2827),$T$2:$T$65),"-")</f>
        <v>OH ASSY</v>
      </c>
    </row>
    <row r="2828" spans="1:17" hidden="1" x14ac:dyDescent="0.25">
      <c r="A2828" t="s">
        <v>7676</v>
      </c>
      <c r="B2828" s="2" t="s">
        <v>6951</v>
      </c>
      <c r="C2828">
        <v>1</v>
      </c>
      <c r="D2828" t="s">
        <v>7664</v>
      </c>
      <c r="E2828" t="s">
        <v>7952</v>
      </c>
      <c r="F2828" t="s">
        <v>6952</v>
      </c>
      <c r="G2828" t="s">
        <v>6954</v>
      </c>
      <c r="H2828" t="s">
        <v>6953</v>
      </c>
      <c r="J2828" t="s">
        <v>7682</v>
      </c>
      <c r="K2828" t="s">
        <v>7826</v>
      </c>
      <c r="L2828" t="s">
        <v>7826</v>
      </c>
      <c r="N2828" t="str" cm="1">
        <f t="array" ref="N2828">IFERROR(LOOKUP(2,1/SEARCH($S$2:$S$65,G2828),$T$2:$T$65),"Misc")</f>
        <v>OH P/N</v>
      </c>
      <c r="O2828" t="str" cm="1">
        <f t="array" ref="O2828">IFERROR(LOOKUP(2,1/SEARCH($V$2:$V$65,G2828),$W$2:$W$65),"Misc")</f>
        <v>OH Part</v>
      </c>
      <c r="P2828" t="str" cm="1">
        <f t="array" ref="P2828">IFERROR(LOOKUP(2,1/SEARCH($Y$2:$Y$65,G2828),$Z$2:$Z$65),"Not Defined")</f>
        <v>OH Part</v>
      </c>
      <c r="Q2828" t="str" cm="1">
        <f t="array" ref="Q2828">IFERROR(LOOKUP(2,1/SEARCH($S$2:$S$65,H2828),$T$2:$T$65),"-")</f>
        <v>-</v>
      </c>
    </row>
    <row r="2829" spans="1:17" hidden="1" x14ac:dyDescent="0.25">
      <c r="A2829" t="s">
        <v>7676</v>
      </c>
      <c r="B2829" s="2" t="s">
        <v>6955</v>
      </c>
      <c r="C2829">
        <v>2</v>
      </c>
      <c r="D2829" t="s">
        <v>7664</v>
      </c>
      <c r="E2829" t="s">
        <v>7952</v>
      </c>
      <c r="F2829" t="s">
        <v>4251</v>
      </c>
      <c r="G2829" t="s">
        <v>7438</v>
      </c>
      <c r="H2829" t="s">
        <v>4252</v>
      </c>
      <c r="I2829" t="s">
        <v>3477</v>
      </c>
      <c r="J2829" t="s">
        <v>7703</v>
      </c>
      <c r="K2829" t="s">
        <v>7683</v>
      </c>
      <c r="L2829" t="s">
        <v>7683</v>
      </c>
      <c r="N2829" t="str" cm="1">
        <f t="array" ref="N2829">IFERROR(LOOKUP(2,1/SEARCH($S$2:$S$65,G2829),$T$2:$T$65),"Misc")</f>
        <v>COTS</v>
      </c>
      <c r="O2829" t="str" cm="1">
        <f t="array" ref="O2829">IFERROR(LOOKUP(2,1/SEARCH($V$2:$V$65,G2829),$W$2:$W$65),"Misc")</f>
        <v>BEARING</v>
      </c>
      <c r="P2829" t="str" cm="1">
        <f t="array" ref="P2829">IFERROR(LOOKUP(2,1/SEARCH($Y$2:$Y$65,G2829),$Z$2:$Z$65),"Not Defined")</f>
        <v>BEARING</v>
      </c>
      <c r="Q2829" t="str" cm="1">
        <f t="array" ref="Q2829">IFERROR(LOOKUP(2,1/SEARCH($S$2:$S$65,H2829),$T$2:$T$65),"-")</f>
        <v>COTS</v>
      </c>
    </row>
    <row r="2830" spans="1:17" hidden="1" x14ac:dyDescent="0.25">
      <c r="A2830" t="s">
        <v>7676</v>
      </c>
      <c r="B2830" s="2" t="s">
        <v>6956</v>
      </c>
      <c r="C2830">
        <v>1</v>
      </c>
      <c r="D2830" t="s">
        <v>7664</v>
      </c>
      <c r="E2830" t="s">
        <v>7952</v>
      </c>
      <c r="F2830" t="s">
        <v>265</v>
      </c>
      <c r="G2830" t="s">
        <v>7099</v>
      </c>
      <c r="H2830" t="s">
        <v>266</v>
      </c>
      <c r="I2830" t="s">
        <v>224</v>
      </c>
      <c r="J2830" t="s">
        <v>7703</v>
      </c>
      <c r="K2830" t="s">
        <v>7684</v>
      </c>
      <c r="L2830" t="s">
        <v>7687</v>
      </c>
      <c r="N2830" t="str" cm="1">
        <f t="array" ref="N2830">IFERROR(LOOKUP(2,1/SEARCH($S$2:$S$65,G2830),$T$2:$T$65),"Misc")</f>
        <v>COTS</v>
      </c>
      <c r="O2830" t="str" cm="1">
        <f t="array" ref="O2830">IFERROR(LOOKUP(2,1/SEARCH($V$2:$V$65,G2830),$W$2:$W$65),"Misc")</f>
        <v>Fasteners</v>
      </c>
      <c r="P2830" t="str" cm="1">
        <f t="array" ref="P2830">IFERROR(LOOKUP(2,1/SEARCH($Y$2:$Y$65,G2830),$Z$2:$Z$65),"Not Defined")</f>
        <v>INSERT</v>
      </c>
      <c r="Q2830" t="str" cm="1">
        <f t="array" ref="Q2830">IFERROR(LOOKUP(2,1/SEARCH($S$2:$S$65,H2830),$T$2:$T$65),"-")</f>
        <v>COTS</v>
      </c>
    </row>
    <row r="2831" spans="1:17" hidden="1" x14ac:dyDescent="0.25">
      <c r="A2831" t="s">
        <v>7676</v>
      </c>
      <c r="B2831" s="2" t="s">
        <v>6957</v>
      </c>
      <c r="C2831">
        <v>1</v>
      </c>
      <c r="D2831" t="s">
        <v>7664</v>
      </c>
      <c r="E2831" t="s">
        <v>7952</v>
      </c>
      <c r="F2831" t="s">
        <v>6952</v>
      </c>
      <c r="G2831" t="s">
        <v>6958</v>
      </c>
      <c r="H2831" t="s">
        <v>6953</v>
      </c>
      <c r="I2831" t="s">
        <v>13</v>
      </c>
      <c r="J2831" t="s">
        <v>7682</v>
      </c>
      <c r="K2831" t="s">
        <v>7826</v>
      </c>
      <c r="L2831" t="s">
        <v>7826</v>
      </c>
      <c r="N2831" t="str" cm="1">
        <f t="array" ref="N2831">IFERROR(LOOKUP(2,1/SEARCH($S$2:$S$65,G2831),$T$2:$T$65),"Misc")</f>
        <v>OH P/N</v>
      </c>
      <c r="O2831" t="str" cm="1">
        <f t="array" ref="O2831">IFERROR(LOOKUP(2,1/SEARCH($V$2:$V$65,G2831),$W$2:$W$65),"Misc")</f>
        <v>OH Part</v>
      </c>
      <c r="P2831" t="str" cm="1">
        <f t="array" ref="P2831">IFERROR(LOOKUP(2,1/SEARCH($Y$2:$Y$65,G2831),$Z$2:$Z$65),"Not Defined")</f>
        <v>OH Part</v>
      </c>
      <c r="Q2831" t="str" cm="1">
        <f t="array" ref="Q2831">IFERROR(LOOKUP(2,1/SEARCH($S$2:$S$65,H2831),$T$2:$T$65),"-")</f>
        <v>-</v>
      </c>
    </row>
    <row r="2832" spans="1:17" hidden="1" x14ac:dyDescent="0.25">
      <c r="A2832" t="s">
        <v>7676</v>
      </c>
      <c r="B2832" s="2" t="s">
        <v>6959</v>
      </c>
      <c r="C2832">
        <v>2</v>
      </c>
      <c r="D2832" t="s">
        <v>7664</v>
      </c>
      <c r="E2832" t="s">
        <v>7952</v>
      </c>
      <c r="F2832" t="s">
        <v>439</v>
      </c>
      <c r="G2832" t="s">
        <v>7086</v>
      </c>
      <c r="H2832" t="s">
        <v>440</v>
      </c>
      <c r="I2832" t="s">
        <v>224</v>
      </c>
      <c r="J2832" t="s">
        <v>7703</v>
      </c>
      <c r="K2832" t="s">
        <v>7684</v>
      </c>
      <c r="L2832" t="s">
        <v>7687</v>
      </c>
      <c r="N2832" t="str" cm="1">
        <f t="array" ref="N2832">IFERROR(LOOKUP(2,1/SEARCH($S$2:$S$65,G2832),$T$2:$T$65),"Misc")</f>
        <v>COTS</v>
      </c>
      <c r="O2832" t="str" cm="1">
        <f t="array" ref="O2832">IFERROR(LOOKUP(2,1/SEARCH($V$2:$V$65,G2832),$W$2:$W$65),"Misc")</f>
        <v>Fasteners</v>
      </c>
      <c r="P2832" t="str" cm="1">
        <f t="array" ref="P2832">IFERROR(LOOKUP(2,1/SEARCH($Y$2:$Y$65,G2832),$Z$2:$Z$65),"Not Defined")</f>
        <v>INSERT</v>
      </c>
      <c r="Q2832" t="str" cm="1">
        <f t="array" ref="Q2832">IFERROR(LOOKUP(2,1/SEARCH($S$2:$S$65,H2832),$T$2:$T$65),"-")</f>
        <v>COTS</v>
      </c>
    </row>
    <row r="2833" spans="1:17" hidden="1" x14ac:dyDescent="0.25">
      <c r="A2833" t="s">
        <v>7676</v>
      </c>
      <c r="B2833" s="2" t="s">
        <v>6960</v>
      </c>
      <c r="C2833">
        <v>1</v>
      </c>
      <c r="D2833" t="s">
        <v>7664</v>
      </c>
      <c r="E2833" t="s">
        <v>6949</v>
      </c>
      <c r="F2833" t="s">
        <v>6961</v>
      </c>
      <c r="G2833" t="s">
        <v>6963</v>
      </c>
      <c r="H2833" t="s">
        <v>6962</v>
      </c>
      <c r="I2833" t="s">
        <v>13</v>
      </c>
      <c r="J2833" t="s">
        <v>7682</v>
      </c>
      <c r="K2833" t="s">
        <v>7826</v>
      </c>
      <c r="L2833" t="s">
        <v>7826</v>
      </c>
      <c r="N2833" t="str" cm="1">
        <f t="array" ref="N2833">IFERROR(LOOKUP(2,1/SEARCH($S$2:$S$65,G2833),$T$2:$T$65),"Misc")</f>
        <v>OH P/N</v>
      </c>
      <c r="O2833" t="str" cm="1">
        <f t="array" ref="O2833">IFERROR(LOOKUP(2,1/SEARCH($V$2:$V$65,G2833),$W$2:$W$65),"Misc")</f>
        <v>OH Part</v>
      </c>
      <c r="P2833" t="str" cm="1">
        <f t="array" ref="P2833">IFERROR(LOOKUP(2,1/SEARCH($Y$2:$Y$65,G2833),$Z$2:$Z$65),"Not Defined")</f>
        <v>OH Part</v>
      </c>
      <c r="Q2833" t="str" cm="1">
        <f t="array" ref="Q2833">IFERROR(LOOKUP(2,1/SEARCH($S$2:$S$65,H2833),$T$2:$T$65),"-")</f>
        <v>-</v>
      </c>
    </row>
    <row r="2834" spans="1:17" hidden="1" x14ac:dyDescent="0.25">
      <c r="A2834" t="s">
        <v>7676</v>
      </c>
      <c r="B2834" s="2" t="s">
        <v>6964</v>
      </c>
      <c r="C2834">
        <v>1</v>
      </c>
      <c r="D2834" t="s">
        <v>7664</v>
      </c>
      <c r="E2834" t="s">
        <v>6949</v>
      </c>
      <c r="F2834" t="s">
        <v>6735</v>
      </c>
      <c r="G2834" t="s">
        <v>7645</v>
      </c>
      <c r="H2834" t="s">
        <v>6736</v>
      </c>
      <c r="I2834" t="s">
        <v>228</v>
      </c>
      <c r="J2834" t="s">
        <v>7703</v>
      </c>
      <c r="K2834" t="s">
        <v>7684</v>
      </c>
      <c r="L2834" t="s">
        <v>7693</v>
      </c>
      <c r="N2834" t="str" cm="1">
        <f t="array" ref="N2834">IFERROR(LOOKUP(2,1/SEARCH($S$2:$S$65,G2834),$T$2:$T$65),"Misc")</f>
        <v>COTS</v>
      </c>
      <c r="O2834" t="str" cm="1">
        <f t="array" ref="O2834">IFERROR(LOOKUP(2,1/SEARCH($V$2:$V$65,G2834),$W$2:$W$65),"Misc")</f>
        <v>Fasteners</v>
      </c>
      <c r="P2834" t="str" cm="1">
        <f t="array" ref="P2834">IFERROR(LOOKUP(2,1/SEARCH($Y$2:$Y$65,G2834),$Z$2:$Z$65),"Not Defined")</f>
        <v>PHS</v>
      </c>
      <c r="Q2834" t="str" cm="1">
        <f t="array" ref="Q2834">IFERROR(LOOKUP(2,1/SEARCH($S$2:$S$65,H2834),$T$2:$T$65),"-")</f>
        <v>COTS</v>
      </c>
    </row>
    <row r="2835" spans="1:17" hidden="1" x14ac:dyDescent="0.25">
      <c r="A2835" t="s">
        <v>7676</v>
      </c>
      <c r="B2835" s="2" t="s">
        <v>6965</v>
      </c>
      <c r="C2835">
        <v>2</v>
      </c>
      <c r="D2835" t="s">
        <v>7664</v>
      </c>
      <c r="E2835" t="s">
        <v>6949</v>
      </c>
      <c r="F2835" t="s">
        <v>442</v>
      </c>
      <c r="G2835" t="s">
        <v>7087</v>
      </c>
      <c r="H2835" t="s">
        <v>443</v>
      </c>
      <c r="I2835" t="s">
        <v>228</v>
      </c>
      <c r="J2835" t="s">
        <v>7703</v>
      </c>
      <c r="K2835" t="s">
        <v>7684</v>
      </c>
      <c r="L2835" t="s">
        <v>7692</v>
      </c>
      <c r="N2835" t="str" cm="1">
        <f t="array" ref="N2835">IFERROR(LOOKUP(2,1/SEARCH($S$2:$S$65,G2835),$T$2:$T$65),"Misc")</f>
        <v>COTS</v>
      </c>
      <c r="O2835" t="str" cm="1">
        <f t="array" ref="O2835">IFERROR(LOOKUP(2,1/SEARCH($V$2:$V$65,G2835),$W$2:$W$65),"Misc")</f>
        <v>Fasteners</v>
      </c>
      <c r="P2835" t="str" cm="1">
        <f t="array" ref="P2835">IFERROR(LOOKUP(2,1/SEARCH($Y$2:$Y$65,G2835),$Z$2:$Z$65),"Not Defined")</f>
        <v>WASHER</v>
      </c>
      <c r="Q2835" t="str" cm="1">
        <f t="array" ref="Q2835">IFERROR(LOOKUP(2,1/SEARCH($S$2:$S$65,H2835),$T$2:$T$65),"-")</f>
        <v>COTS</v>
      </c>
    </row>
    <row r="2836" spans="1:17" hidden="1" x14ac:dyDescent="0.25">
      <c r="A2836" t="s">
        <v>7676</v>
      </c>
      <c r="B2836" s="2" t="s">
        <v>6966</v>
      </c>
      <c r="C2836">
        <v>2</v>
      </c>
      <c r="D2836" t="s">
        <v>7664</v>
      </c>
      <c r="E2836" t="s">
        <v>6949</v>
      </c>
      <c r="F2836" t="s">
        <v>5536</v>
      </c>
      <c r="G2836" t="s">
        <v>7569</v>
      </c>
      <c r="H2836" t="s">
        <v>5537</v>
      </c>
      <c r="I2836" t="s">
        <v>210</v>
      </c>
      <c r="J2836" t="s">
        <v>7703</v>
      </c>
      <c r="K2836" t="s">
        <v>7684</v>
      </c>
      <c r="L2836" t="s">
        <v>7700</v>
      </c>
      <c r="N2836" t="str" cm="1">
        <f t="array" ref="N2836">IFERROR(LOOKUP(2,1/SEARCH($S$2:$S$65,G2836),$T$2:$T$65),"Misc")</f>
        <v>COTS</v>
      </c>
      <c r="O2836" t="str" cm="1">
        <f t="array" ref="O2836">IFERROR(LOOKUP(2,1/SEARCH($V$2:$V$65,G2836),$W$2:$W$65),"Misc")</f>
        <v>Fasteners</v>
      </c>
      <c r="P2836" t="str" cm="1">
        <f t="array" ref="P2836">IFERROR(LOOKUP(2,1/SEARCH($Y$2:$Y$65,G2836),$Z$2:$Z$65),"Not Defined")</f>
        <v>SHCS</v>
      </c>
      <c r="Q2836" t="str" cm="1">
        <f t="array" ref="Q2836">IFERROR(LOOKUP(2,1/SEARCH($S$2:$S$65,H2836),$T$2:$T$65),"-")</f>
        <v>COTS</v>
      </c>
    </row>
    <row r="2837" spans="1:17" hidden="1" x14ac:dyDescent="0.25">
      <c r="A2837" t="s">
        <v>7676</v>
      </c>
      <c r="B2837" t="s">
        <v>6967</v>
      </c>
      <c r="C2837">
        <v>1</v>
      </c>
      <c r="D2837" t="s">
        <v>7664</v>
      </c>
      <c r="E2837" t="s">
        <v>6969</v>
      </c>
      <c r="F2837" t="s">
        <v>6968</v>
      </c>
      <c r="G2837" t="s">
        <v>6970</v>
      </c>
      <c r="H2837" t="s">
        <v>6969</v>
      </c>
      <c r="J2837" t="s">
        <v>7742</v>
      </c>
      <c r="K2837" t="s">
        <v>7826</v>
      </c>
      <c r="L2837" t="s">
        <v>7826</v>
      </c>
      <c r="N2837" t="str" cm="1">
        <f t="array" ref="N2837">IFERROR(LOOKUP(2,1/SEARCH($S$2:$S$65,G2837),$T$2:$T$65),"Misc")</f>
        <v>OH ASSY</v>
      </c>
      <c r="O2837" t="str" cm="1">
        <f t="array" ref="O2837">IFERROR(LOOKUP(2,1/SEARCH($V$2:$V$65,G2837),$W$2:$W$65),"Misc")</f>
        <v>OH Part</v>
      </c>
      <c r="P2837" t="str" cm="1">
        <f t="array" ref="P2837">IFERROR(LOOKUP(2,1/SEARCH($Y$2:$Y$65,G2837),$Z$2:$Z$65),"Not Defined")</f>
        <v>OH Part</v>
      </c>
      <c r="Q2837" t="str" cm="1">
        <f t="array" ref="Q2837">IFERROR(LOOKUP(2,1/SEARCH($S$2:$S$65,H2837),$T$2:$T$65),"-")</f>
        <v>OH ASSY</v>
      </c>
    </row>
    <row r="2838" spans="1:17" hidden="1" x14ac:dyDescent="0.25">
      <c r="A2838" t="s">
        <v>7676</v>
      </c>
      <c r="B2838" t="s">
        <v>6971</v>
      </c>
      <c r="C2838">
        <v>1</v>
      </c>
      <c r="D2838" t="s">
        <v>7664</v>
      </c>
      <c r="E2838" t="s">
        <v>6969</v>
      </c>
      <c r="F2838" t="s">
        <v>6972</v>
      </c>
      <c r="G2838" t="s">
        <v>6974</v>
      </c>
      <c r="H2838" t="s">
        <v>6973</v>
      </c>
      <c r="I2838" t="s">
        <v>13</v>
      </c>
      <c r="J2838" t="s">
        <v>7682</v>
      </c>
      <c r="K2838" t="s">
        <v>7826</v>
      </c>
      <c r="L2838" t="s">
        <v>7826</v>
      </c>
      <c r="N2838" t="str" cm="1">
        <f t="array" ref="N2838">IFERROR(LOOKUP(2,1/SEARCH($S$2:$S$65,G2838),$T$2:$T$65),"Misc")</f>
        <v>OH P/N</v>
      </c>
      <c r="O2838" t="str" cm="1">
        <f t="array" ref="O2838">IFERROR(LOOKUP(2,1/SEARCH($V$2:$V$65,G2838),$W$2:$W$65),"Misc")</f>
        <v>OH Part</v>
      </c>
      <c r="P2838" t="str" cm="1">
        <f t="array" ref="P2838">IFERROR(LOOKUP(2,1/SEARCH($Y$2:$Y$65,G2838),$Z$2:$Z$65),"Not Defined")</f>
        <v>OH Part</v>
      </c>
      <c r="Q2838" t="str" cm="1">
        <f t="array" ref="Q2838">IFERROR(LOOKUP(2,1/SEARCH($S$2:$S$65,H2838),$T$2:$T$65),"-")</f>
        <v>-</v>
      </c>
    </row>
    <row r="2839" spans="1:17" hidden="1" x14ac:dyDescent="0.25">
      <c r="A2839" t="s">
        <v>7676</v>
      </c>
      <c r="B2839" t="s">
        <v>6975</v>
      </c>
      <c r="C2839">
        <v>2</v>
      </c>
      <c r="D2839" t="s">
        <v>7664</v>
      </c>
      <c r="E2839" t="s">
        <v>6969</v>
      </c>
      <c r="F2839" t="s">
        <v>439</v>
      </c>
      <c r="G2839" t="s">
        <v>7086</v>
      </c>
      <c r="H2839" t="s">
        <v>440</v>
      </c>
      <c r="I2839" t="s">
        <v>224</v>
      </c>
      <c r="J2839" t="s">
        <v>7703</v>
      </c>
      <c r="K2839" t="s">
        <v>7684</v>
      </c>
      <c r="L2839" t="s">
        <v>7687</v>
      </c>
      <c r="N2839" t="str" cm="1">
        <f t="array" ref="N2839">IFERROR(LOOKUP(2,1/SEARCH($S$2:$S$65,G2839),$T$2:$T$65),"Misc")</f>
        <v>COTS</v>
      </c>
      <c r="O2839" t="str" cm="1">
        <f t="array" ref="O2839">IFERROR(LOOKUP(2,1/SEARCH($V$2:$V$65,G2839),$W$2:$W$65),"Misc")</f>
        <v>Fasteners</v>
      </c>
      <c r="P2839" t="str" cm="1">
        <f t="array" ref="P2839">IFERROR(LOOKUP(2,1/SEARCH($Y$2:$Y$65,G2839),$Z$2:$Z$65),"Not Defined")</f>
        <v>INSERT</v>
      </c>
      <c r="Q2839" t="str" cm="1">
        <f t="array" ref="Q2839">IFERROR(LOOKUP(2,1/SEARCH($S$2:$S$65,H2839),$T$2:$T$65),"-")</f>
        <v>COTS</v>
      </c>
    </row>
    <row r="2840" spans="1:17" hidden="1" x14ac:dyDescent="0.25">
      <c r="A2840" t="s">
        <v>7676</v>
      </c>
      <c r="B2840" t="s">
        <v>6976</v>
      </c>
      <c r="C2840">
        <v>1</v>
      </c>
      <c r="D2840" t="s">
        <v>7664</v>
      </c>
      <c r="E2840" t="s">
        <v>6969</v>
      </c>
      <c r="F2840" t="s">
        <v>4678</v>
      </c>
      <c r="G2840" t="s">
        <v>7480</v>
      </c>
      <c r="H2840" t="s">
        <v>4679</v>
      </c>
      <c r="I2840" t="s">
        <v>255</v>
      </c>
      <c r="J2840" t="s">
        <v>7703</v>
      </c>
      <c r="K2840" t="s">
        <v>7677</v>
      </c>
      <c r="L2840" t="s">
        <v>7677</v>
      </c>
      <c r="N2840" t="str" cm="1">
        <f t="array" ref="N2840">IFERROR(LOOKUP(2,1/SEARCH($S$2:$S$65,G2840),$T$2:$T$65),"Misc")</f>
        <v>COTS</v>
      </c>
      <c r="O2840" t="str" cm="1">
        <f t="array" ref="O2840">IFERROR(LOOKUP(2,1/SEARCH($V$2:$V$65,G2840),$W$2:$W$65),"Misc")</f>
        <v>SWITCH</v>
      </c>
      <c r="P2840" t="str" cm="1">
        <f t="array" ref="P2840">IFERROR(LOOKUP(2,1/SEARCH($Y$2:$Y$65,G2840),$Z$2:$Z$65),"Not Defined")</f>
        <v>SWITCH</v>
      </c>
      <c r="Q2840" t="str" cm="1">
        <f t="array" ref="Q2840">IFERROR(LOOKUP(2,1/SEARCH($S$2:$S$65,H2840),$T$2:$T$65),"-")</f>
        <v>COTS</v>
      </c>
    </row>
    <row r="2841" spans="1:17" hidden="1" x14ac:dyDescent="0.25">
      <c r="A2841" t="s">
        <v>7676</v>
      </c>
      <c r="B2841" t="s">
        <v>6977</v>
      </c>
      <c r="C2841">
        <v>2</v>
      </c>
      <c r="D2841" t="s">
        <v>7664</v>
      </c>
      <c r="E2841" t="s">
        <v>6969</v>
      </c>
      <c r="F2841" t="s">
        <v>4248</v>
      </c>
      <c r="G2841" t="s">
        <v>7437</v>
      </c>
      <c r="H2841" t="s">
        <v>4249</v>
      </c>
      <c r="I2841" t="s">
        <v>228</v>
      </c>
      <c r="J2841" t="s">
        <v>7703</v>
      </c>
      <c r="K2841" t="s">
        <v>7684</v>
      </c>
      <c r="L2841" t="s">
        <v>7693</v>
      </c>
      <c r="N2841" t="str" cm="1">
        <f t="array" ref="N2841">IFERROR(LOOKUP(2,1/SEARCH($S$2:$S$65,G2841),$T$2:$T$65),"Misc")</f>
        <v>COTS</v>
      </c>
      <c r="O2841" t="str" cm="1">
        <f t="array" ref="O2841">IFERROR(LOOKUP(2,1/SEARCH($V$2:$V$65,G2841),$W$2:$W$65),"Misc")</f>
        <v>Fasteners</v>
      </c>
      <c r="P2841" t="str" cm="1">
        <f t="array" ref="P2841">IFERROR(LOOKUP(2,1/SEARCH($Y$2:$Y$65,G2841),$Z$2:$Z$65),"Not Defined")</f>
        <v>PHS</v>
      </c>
      <c r="Q2841" t="str" cm="1">
        <f t="array" ref="Q2841">IFERROR(LOOKUP(2,1/SEARCH($S$2:$S$65,H2841),$T$2:$T$65),"-")</f>
        <v>COTS</v>
      </c>
    </row>
    <row r="2842" spans="1:17" hidden="1" x14ac:dyDescent="0.25">
      <c r="A2842" t="s">
        <v>7676</v>
      </c>
      <c r="B2842" t="s">
        <v>6978</v>
      </c>
      <c r="C2842">
        <v>1</v>
      </c>
      <c r="D2842" t="s">
        <v>7664</v>
      </c>
      <c r="E2842" t="s">
        <v>6969</v>
      </c>
      <c r="F2842" t="s">
        <v>6979</v>
      </c>
      <c r="G2842" t="s">
        <v>7665</v>
      </c>
      <c r="H2842" t="s">
        <v>6980</v>
      </c>
      <c r="I2842" t="s">
        <v>228</v>
      </c>
      <c r="J2842" t="s">
        <v>7703</v>
      </c>
      <c r="K2842" t="s">
        <v>7684</v>
      </c>
      <c r="L2842" t="s">
        <v>7692</v>
      </c>
      <c r="N2842" t="str" cm="1">
        <f t="array" ref="N2842">IFERROR(LOOKUP(2,1/SEARCH($S$2:$S$65,G2842),$T$2:$T$65),"Misc")</f>
        <v>COTS</v>
      </c>
      <c r="O2842" t="str" cm="1">
        <f t="array" ref="O2842">IFERROR(LOOKUP(2,1/SEARCH($V$2:$V$65,G2842),$W$2:$W$65),"Misc")</f>
        <v>Fasteners</v>
      </c>
      <c r="P2842" t="str" cm="1">
        <f t="array" ref="P2842">IFERROR(LOOKUP(2,1/SEARCH($Y$2:$Y$65,G2842),$Z$2:$Z$65),"Not Defined")</f>
        <v>WASHER</v>
      </c>
      <c r="Q2842" t="str" cm="1">
        <f t="array" ref="Q2842">IFERROR(LOOKUP(2,1/SEARCH($S$2:$S$65,H2842),$T$2:$T$65),"-")</f>
        <v>COTS</v>
      </c>
    </row>
    <row r="2843" spans="1:17" hidden="1" x14ac:dyDescent="0.25">
      <c r="A2843" t="s">
        <v>7676</v>
      </c>
      <c r="B2843" t="s">
        <v>6981</v>
      </c>
      <c r="C2843">
        <v>1</v>
      </c>
      <c r="D2843" t="s">
        <v>7664</v>
      </c>
      <c r="E2843" t="s">
        <v>6969</v>
      </c>
      <c r="F2843" t="s">
        <v>5843</v>
      </c>
      <c r="G2843" t="s">
        <v>7602</v>
      </c>
      <c r="H2843" t="s">
        <v>5844</v>
      </c>
      <c r="I2843" t="s">
        <v>228</v>
      </c>
      <c r="J2843" t="s">
        <v>7703</v>
      </c>
      <c r="K2843" t="s">
        <v>7684</v>
      </c>
      <c r="L2843" t="s">
        <v>7685</v>
      </c>
      <c r="N2843" t="str" cm="1">
        <f t="array" ref="N2843">IFERROR(LOOKUP(2,1/SEARCH($S$2:$S$65,G2843),$T$2:$T$65),"Misc")</f>
        <v>COTS</v>
      </c>
      <c r="O2843" t="str" cm="1">
        <f t="array" ref="O2843">IFERROR(LOOKUP(2,1/SEARCH($V$2:$V$65,G2843),$W$2:$W$65),"Misc")</f>
        <v>Fasteners</v>
      </c>
      <c r="P2843" t="str" cm="1">
        <f t="array" ref="P2843">IFERROR(LOOKUP(2,1/SEARCH($Y$2:$Y$65,G2843),$Z$2:$Z$65),"Not Defined")</f>
        <v>NUT</v>
      </c>
      <c r="Q2843" t="str" cm="1">
        <f t="array" ref="Q2843">IFERROR(LOOKUP(2,1/SEARCH($S$2:$S$65,H2843),$T$2:$T$65),"-")</f>
        <v>COTS</v>
      </c>
    </row>
    <row r="2844" spans="1:17" hidden="1" x14ac:dyDescent="0.25">
      <c r="A2844" t="s">
        <v>7676</v>
      </c>
      <c r="B2844" t="s">
        <v>6982</v>
      </c>
      <c r="C2844">
        <v>1</v>
      </c>
      <c r="D2844" t="s">
        <v>7664</v>
      </c>
      <c r="E2844" t="s">
        <v>6969</v>
      </c>
      <c r="F2844" t="s">
        <v>268</v>
      </c>
      <c r="G2844" t="s">
        <v>7061</v>
      </c>
      <c r="H2844" t="s">
        <v>269</v>
      </c>
      <c r="I2844" t="s">
        <v>224</v>
      </c>
      <c r="J2844" t="s">
        <v>7703</v>
      </c>
      <c r="K2844" t="s">
        <v>7684</v>
      </c>
      <c r="L2844" t="s">
        <v>7687</v>
      </c>
      <c r="N2844" t="str" cm="1">
        <f t="array" ref="N2844">IFERROR(LOOKUP(2,1/SEARCH($S$2:$S$65,G2844),$T$2:$T$65),"Misc")</f>
        <v>COTS</v>
      </c>
      <c r="O2844" t="str" cm="1">
        <f t="array" ref="O2844">IFERROR(LOOKUP(2,1/SEARCH($V$2:$V$65,G2844),$W$2:$W$65),"Misc")</f>
        <v>Fasteners</v>
      </c>
      <c r="P2844" t="str" cm="1">
        <f t="array" ref="P2844">IFERROR(LOOKUP(2,1/SEARCH($Y$2:$Y$65,G2844),$Z$2:$Z$65),"Not Defined")</f>
        <v>INSERT</v>
      </c>
      <c r="Q2844" t="str" cm="1">
        <f t="array" ref="Q2844">IFERROR(LOOKUP(2,1/SEARCH($S$2:$S$65,H2844),$T$2:$T$65),"-")</f>
        <v>COTS</v>
      </c>
    </row>
    <row r="2845" spans="1:17" hidden="1" x14ac:dyDescent="0.25">
      <c r="A2845" t="s">
        <v>7676</v>
      </c>
      <c r="B2845" t="s">
        <v>6983</v>
      </c>
      <c r="C2845">
        <v>1</v>
      </c>
      <c r="D2845" t="s">
        <v>7664</v>
      </c>
      <c r="E2845" t="s">
        <v>6985</v>
      </c>
      <c r="F2845" t="s">
        <v>6984</v>
      </c>
      <c r="G2845" t="s">
        <v>6986</v>
      </c>
      <c r="H2845" t="s">
        <v>6985</v>
      </c>
      <c r="J2845" t="s">
        <v>7742</v>
      </c>
      <c r="K2845" t="s">
        <v>7826</v>
      </c>
      <c r="L2845" t="s">
        <v>7826</v>
      </c>
      <c r="N2845" t="str" cm="1">
        <f t="array" ref="N2845">IFERROR(LOOKUP(2,1/SEARCH($S$2:$S$65,G2845),$T$2:$T$65),"Misc")</f>
        <v>OH ASSY</v>
      </c>
      <c r="O2845" t="str" cm="1">
        <f t="array" ref="O2845">IFERROR(LOOKUP(2,1/SEARCH($V$2:$V$65,G2845),$W$2:$W$65),"Misc")</f>
        <v>OH Part</v>
      </c>
      <c r="P2845" t="str" cm="1">
        <f t="array" ref="P2845">IFERROR(LOOKUP(2,1/SEARCH($Y$2:$Y$65,G2845),$Z$2:$Z$65),"Not Defined")</f>
        <v>OH Part</v>
      </c>
      <c r="Q2845" t="str" cm="1">
        <f t="array" ref="Q2845">IFERROR(LOOKUP(2,1/SEARCH($S$2:$S$65,H2845),$T$2:$T$65),"-")</f>
        <v>OH ASSY</v>
      </c>
    </row>
    <row r="2846" spans="1:17" hidden="1" x14ac:dyDescent="0.25">
      <c r="A2846" t="s">
        <v>7676</v>
      </c>
      <c r="B2846" t="s">
        <v>6987</v>
      </c>
      <c r="C2846">
        <v>1</v>
      </c>
      <c r="D2846" t="s">
        <v>7664</v>
      </c>
      <c r="E2846" t="s">
        <v>6985</v>
      </c>
      <c r="F2846" t="s">
        <v>6988</v>
      </c>
      <c r="G2846" t="s">
        <v>6990</v>
      </c>
      <c r="H2846" t="s">
        <v>6989</v>
      </c>
      <c r="I2846" t="s">
        <v>13</v>
      </c>
      <c r="J2846" t="s">
        <v>7682</v>
      </c>
      <c r="K2846" t="s">
        <v>7826</v>
      </c>
      <c r="L2846" t="s">
        <v>7826</v>
      </c>
      <c r="N2846" t="str" cm="1">
        <f t="array" ref="N2846">IFERROR(LOOKUP(2,1/SEARCH($S$2:$S$65,G2846),$T$2:$T$65),"Misc")</f>
        <v>OH P/N</v>
      </c>
      <c r="O2846" t="str" cm="1">
        <f t="array" ref="O2846">IFERROR(LOOKUP(2,1/SEARCH($V$2:$V$65,G2846),$W$2:$W$65),"Misc")</f>
        <v>OH Part</v>
      </c>
      <c r="P2846" t="str" cm="1">
        <f t="array" ref="P2846">IFERROR(LOOKUP(2,1/SEARCH($Y$2:$Y$65,G2846),$Z$2:$Z$65),"Not Defined")</f>
        <v>OH Part</v>
      </c>
      <c r="Q2846" t="str" cm="1">
        <f t="array" ref="Q2846">IFERROR(LOOKUP(2,1/SEARCH($S$2:$S$65,H2846),$T$2:$T$65),"-")</f>
        <v>-</v>
      </c>
    </row>
    <row r="2847" spans="1:17" hidden="1" x14ac:dyDescent="0.25">
      <c r="A2847" t="s">
        <v>7676</v>
      </c>
      <c r="B2847" t="s">
        <v>6991</v>
      </c>
      <c r="C2847">
        <v>1</v>
      </c>
      <c r="D2847" t="s">
        <v>7664</v>
      </c>
      <c r="E2847" t="s">
        <v>6985</v>
      </c>
      <c r="F2847" t="s">
        <v>6992</v>
      </c>
      <c r="G2847" t="s">
        <v>6994</v>
      </c>
      <c r="H2847" t="s">
        <v>6993</v>
      </c>
      <c r="I2847" t="s">
        <v>293</v>
      </c>
      <c r="J2847" t="s">
        <v>7682</v>
      </c>
      <c r="K2847" t="s">
        <v>7826</v>
      </c>
      <c r="L2847" t="s">
        <v>7826</v>
      </c>
      <c r="N2847" t="str" cm="1">
        <f t="array" ref="N2847">IFERROR(LOOKUP(2,1/SEARCH($S$2:$S$65,G2847),$T$2:$T$65),"Misc")</f>
        <v>OH P/N</v>
      </c>
      <c r="O2847" t="str" cm="1">
        <f t="array" ref="O2847">IFERROR(LOOKUP(2,1/SEARCH($V$2:$V$65,G2847),$W$2:$W$65),"Misc")</f>
        <v>OH Part</v>
      </c>
      <c r="P2847" t="str" cm="1">
        <f t="array" ref="P2847">IFERROR(LOOKUP(2,1/SEARCH($Y$2:$Y$65,G2847),$Z$2:$Z$65),"Not Defined")</f>
        <v>OH Part</v>
      </c>
      <c r="Q2847" t="str" cm="1">
        <f t="array" ref="Q2847">IFERROR(LOOKUP(2,1/SEARCH($S$2:$S$65,H2847),$T$2:$T$65),"-")</f>
        <v>-</v>
      </c>
    </row>
    <row r="2848" spans="1:17" hidden="1" x14ac:dyDescent="0.25">
      <c r="A2848" t="s">
        <v>7676</v>
      </c>
      <c r="B2848" t="s">
        <v>6995</v>
      </c>
      <c r="C2848">
        <v>1</v>
      </c>
      <c r="D2848" t="s">
        <v>7664</v>
      </c>
      <c r="E2848" t="s">
        <v>6985</v>
      </c>
      <c r="F2848" t="s">
        <v>6996</v>
      </c>
      <c r="G2848" t="s">
        <v>6998</v>
      </c>
      <c r="H2848" t="s">
        <v>6997</v>
      </c>
      <c r="I2848" t="s">
        <v>293</v>
      </c>
      <c r="J2848" t="s">
        <v>7682</v>
      </c>
      <c r="K2848" t="s">
        <v>7826</v>
      </c>
      <c r="L2848" t="s">
        <v>7826</v>
      </c>
      <c r="N2848" t="str" cm="1">
        <f t="array" ref="N2848">IFERROR(LOOKUP(2,1/SEARCH($S$2:$S$65,G2848),$T$2:$T$65),"Misc")</f>
        <v>OH P/N</v>
      </c>
      <c r="O2848" t="str" cm="1">
        <f t="array" ref="O2848">IFERROR(LOOKUP(2,1/SEARCH($V$2:$V$65,G2848),$W$2:$W$65),"Misc")</f>
        <v>OH Part</v>
      </c>
      <c r="P2848" t="str" cm="1">
        <f t="array" ref="P2848">IFERROR(LOOKUP(2,1/SEARCH($Y$2:$Y$65,G2848),$Z$2:$Z$65),"Not Defined")</f>
        <v>OH Part</v>
      </c>
      <c r="Q2848" t="str" cm="1">
        <f t="array" ref="Q2848">IFERROR(LOOKUP(2,1/SEARCH($S$2:$S$65,H2848),$T$2:$T$65),"-")</f>
        <v>-</v>
      </c>
    </row>
    <row r="2849" spans="1:17" hidden="1" x14ac:dyDescent="0.25">
      <c r="A2849" t="s">
        <v>7676</v>
      </c>
      <c r="B2849" t="s">
        <v>6999</v>
      </c>
      <c r="C2849">
        <v>1</v>
      </c>
      <c r="D2849" t="s">
        <v>7664</v>
      </c>
      <c r="E2849" t="s">
        <v>6985</v>
      </c>
      <c r="F2849" t="s">
        <v>7000</v>
      </c>
      <c r="G2849" t="s">
        <v>7002</v>
      </c>
      <c r="H2849" t="s">
        <v>7001</v>
      </c>
      <c r="I2849" t="s">
        <v>26</v>
      </c>
      <c r="J2849" t="s">
        <v>7682</v>
      </c>
      <c r="K2849" t="s">
        <v>7826</v>
      </c>
      <c r="L2849" t="s">
        <v>7826</v>
      </c>
      <c r="N2849" t="str" cm="1">
        <f t="array" ref="N2849">IFERROR(LOOKUP(2,1/SEARCH($S$2:$S$65,G2849),$T$2:$T$65),"Misc")</f>
        <v>OH P/N</v>
      </c>
      <c r="O2849" t="str" cm="1">
        <f t="array" ref="O2849">IFERROR(LOOKUP(2,1/SEARCH($V$2:$V$65,G2849),$W$2:$W$65),"Misc")</f>
        <v>OH Part</v>
      </c>
      <c r="P2849" t="str" cm="1">
        <f t="array" ref="P2849">IFERROR(LOOKUP(2,1/SEARCH($Y$2:$Y$65,G2849),$Z$2:$Z$65),"Not Defined")</f>
        <v>OH Part</v>
      </c>
      <c r="Q2849" t="str" cm="1">
        <f t="array" ref="Q2849">IFERROR(LOOKUP(2,1/SEARCH($S$2:$S$65,H2849),$T$2:$T$65),"-")</f>
        <v>-</v>
      </c>
    </row>
    <row r="2850" spans="1:17" hidden="1" x14ac:dyDescent="0.25">
      <c r="A2850" t="s">
        <v>7676</v>
      </c>
      <c r="B2850" t="s">
        <v>7003</v>
      </c>
      <c r="C2850">
        <v>1</v>
      </c>
      <c r="D2850" t="s">
        <v>7664</v>
      </c>
      <c r="E2850" t="s">
        <v>6985</v>
      </c>
      <c r="F2850" t="s">
        <v>6961</v>
      </c>
      <c r="G2850" t="s">
        <v>7005</v>
      </c>
      <c r="H2850" t="s">
        <v>7004</v>
      </c>
      <c r="I2850" t="s">
        <v>13</v>
      </c>
      <c r="J2850" t="s">
        <v>7682</v>
      </c>
      <c r="K2850" t="s">
        <v>7826</v>
      </c>
      <c r="L2850" t="s">
        <v>7826</v>
      </c>
      <c r="N2850" t="str" cm="1">
        <f t="array" ref="N2850">IFERROR(LOOKUP(2,1/SEARCH($S$2:$S$65,G2850),$T$2:$T$65),"Misc")</f>
        <v>OH P/N</v>
      </c>
      <c r="O2850" t="str" cm="1">
        <f t="array" ref="O2850">IFERROR(LOOKUP(2,1/SEARCH($V$2:$V$65,G2850),$W$2:$W$65),"Misc")</f>
        <v>OH Part</v>
      </c>
      <c r="P2850" t="str" cm="1">
        <f t="array" ref="P2850">IFERROR(LOOKUP(2,1/SEARCH($Y$2:$Y$65,G2850),$Z$2:$Z$65),"Not Defined")</f>
        <v>OH Part</v>
      </c>
      <c r="Q2850" t="str" cm="1">
        <f t="array" ref="Q2850">IFERROR(LOOKUP(2,1/SEARCH($S$2:$S$65,H2850),$T$2:$T$65),"-")</f>
        <v>-</v>
      </c>
    </row>
    <row r="2851" spans="1:17" hidden="1" x14ac:dyDescent="0.25">
      <c r="A2851" t="s">
        <v>7676</v>
      </c>
      <c r="B2851" t="s">
        <v>7006</v>
      </c>
      <c r="C2851">
        <v>2</v>
      </c>
      <c r="D2851" t="s">
        <v>7664</v>
      </c>
      <c r="E2851" t="s">
        <v>6985</v>
      </c>
      <c r="F2851" t="s">
        <v>7007</v>
      </c>
      <c r="G2851" t="s">
        <v>7666</v>
      </c>
      <c r="H2851" t="s">
        <v>7008</v>
      </c>
      <c r="I2851" t="s">
        <v>929</v>
      </c>
      <c r="J2851" t="s">
        <v>7703</v>
      </c>
      <c r="K2851" t="s">
        <v>7814</v>
      </c>
      <c r="L2851" t="s">
        <v>7718</v>
      </c>
      <c r="N2851" t="str" cm="1">
        <f t="array" ref="N2851">IFERROR(LOOKUP(2,1/SEARCH($S$2:$S$65,G2851),$T$2:$T$65),"Misc")</f>
        <v>COTS</v>
      </c>
      <c r="O2851" t="str" cm="1">
        <f t="array" ref="O2851">IFERROR(LOOKUP(2,1/SEARCH($V$2:$V$65,G2851),$W$2:$W$65),"Misc")</f>
        <v>Misc</v>
      </c>
      <c r="P2851" t="str" cm="1">
        <f t="array" ref="P2851">IFERROR(LOOKUP(2,1/SEARCH($Y$2:$Y$65,G2851),$Z$2:$Z$65),"Not Defined")</f>
        <v>LED</v>
      </c>
      <c r="Q2851" t="str" cm="1">
        <f t="array" ref="Q2851">IFERROR(LOOKUP(2,1/SEARCH($S$2:$S$65,H2851),$T$2:$T$65),"-")</f>
        <v>COTS</v>
      </c>
    </row>
    <row r="2852" spans="1:17" hidden="1" x14ac:dyDescent="0.25">
      <c r="A2852" s="4" t="s">
        <v>7676</v>
      </c>
      <c r="B2852" s="4" t="s">
        <v>7009</v>
      </c>
      <c r="C2852">
        <v>1</v>
      </c>
      <c r="D2852" t="s">
        <v>7664</v>
      </c>
      <c r="E2852" t="s">
        <v>6985</v>
      </c>
      <c r="F2852" t="s">
        <v>7010</v>
      </c>
      <c r="G2852" t="s">
        <v>7667</v>
      </c>
      <c r="H2852" t="s">
        <v>7011</v>
      </c>
      <c r="I2852" t="s">
        <v>929</v>
      </c>
      <c r="J2852" t="s">
        <v>7703</v>
      </c>
      <c r="K2852" t="s">
        <v>7814</v>
      </c>
      <c r="L2852" t="s">
        <v>7718</v>
      </c>
      <c r="N2852" t="str" cm="1">
        <f t="array" ref="N2852">IFERROR(LOOKUP(2,1/SEARCH($S$2:$S$65,G2852),$T$2:$T$65),"Misc")</f>
        <v>COTS</v>
      </c>
      <c r="O2852" t="str" cm="1">
        <f t="array" ref="O2852">IFERROR(LOOKUP(2,1/SEARCH($V$2:$V$65,G2852),$W$2:$W$65),"Misc")</f>
        <v>Misc</v>
      </c>
      <c r="P2852" t="str" cm="1">
        <f t="array" ref="P2852">IFERROR(LOOKUP(2,1/SEARCH($Y$2:$Y$65,G2852),$Z$2:$Z$65),"Not Defined")</f>
        <v>LED</v>
      </c>
      <c r="Q2852" t="str" cm="1">
        <f t="array" ref="Q2852">IFERROR(LOOKUP(2,1/SEARCH($S$2:$S$65,H2852),$T$2:$T$65),"-")</f>
        <v>COTS</v>
      </c>
    </row>
    <row r="2853" spans="1:17" hidden="1" x14ac:dyDescent="0.25">
      <c r="A2853" s="4" t="s">
        <v>7676</v>
      </c>
      <c r="B2853" s="4" t="s">
        <v>7012</v>
      </c>
      <c r="C2853">
        <v>1</v>
      </c>
      <c r="D2853" t="s">
        <v>7664</v>
      </c>
      <c r="E2853" t="s">
        <v>6985</v>
      </c>
      <c r="F2853" t="s">
        <v>7013</v>
      </c>
      <c r="G2853" t="s">
        <v>7668</v>
      </c>
      <c r="H2853" t="s">
        <v>7014</v>
      </c>
      <c r="I2853" t="s">
        <v>929</v>
      </c>
      <c r="J2853" t="s">
        <v>7703</v>
      </c>
      <c r="K2853" t="s">
        <v>7719</v>
      </c>
      <c r="L2853" t="s">
        <v>7718</v>
      </c>
      <c r="N2853" t="str" cm="1">
        <f t="array" ref="N2853">IFERROR(LOOKUP(2,1/SEARCH($S$2:$S$65,G2853),$T$2:$T$65),"Misc")</f>
        <v>COTS</v>
      </c>
      <c r="O2853" t="str" cm="1">
        <f t="array" ref="O2853">IFERROR(LOOKUP(2,1/SEARCH($V$2:$V$65,G2853),$W$2:$W$65),"Misc")</f>
        <v>Misc</v>
      </c>
      <c r="P2853" t="str" cm="1">
        <f t="array" ref="P2853">IFERROR(LOOKUP(2,1/SEARCH($Y$2:$Y$65,G2853),$Z$2:$Z$65),"Not Defined")</f>
        <v>LED</v>
      </c>
      <c r="Q2853" t="str" cm="1">
        <f t="array" ref="Q2853">IFERROR(LOOKUP(2,1/SEARCH($S$2:$S$65,H2853),$T$2:$T$65),"-")</f>
        <v>COTS</v>
      </c>
    </row>
    <row r="2854" spans="1:17" hidden="1" x14ac:dyDescent="0.25">
      <c r="A2854" t="s">
        <v>7676</v>
      </c>
      <c r="B2854" t="s">
        <v>7015</v>
      </c>
      <c r="C2854">
        <v>2</v>
      </c>
      <c r="D2854" t="s">
        <v>7664</v>
      </c>
      <c r="E2854" t="s">
        <v>6985</v>
      </c>
      <c r="F2854" t="s">
        <v>6314</v>
      </c>
      <c r="G2854" t="s">
        <v>7615</v>
      </c>
      <c r="H2854" t="s">
        <v>6315</v>
      </c>
      <c r="I2854" t="s">
        <v>255</v>
      </c>
      <c r="J2854" t="s">
        <v>7703</v>
      </c>
      <c r="K2854" t="s">
        <v>7814</v>
      </c>
      <c r="L2854" t="s">
        <v>7718</v>
      </c>
      <c r="N2854" t="str" cm="1">
        <f t="array" ref="N2854">IFERROR(LOOKUP(2,1/SEARCH($S$2:$S$65,G2854),$T$2:$T$65),"Misc")</f>
        <v>COTS</v>
      </c>
      <c r="O2854" t="str" cm="1">
        <f t="array" ref="O2854">IFERROR(LOOKUP(2,1/SEARCH($V$2:$V$65,G2854),$W$2:$W$65),"Misc")</f>
        <v>Misc</v>
      </c>
      <c r="P2854" t="str" cm="1">
        <f t="array" ref="P2854">IFERROR(LOOKUP(2,1/SEARCH($Y$2:$Y$65,G2854),$Z$2:$Z$65),"Not Defined")</f>
        <v>LED</v>
      </c>
      <c r="Q2854" t="str" cm="1">
        <f t="array" ref="Q2854">IFERROR(LOOKUP(2,1/SEARCH($S$2:$S$65,H2854),$T$2:$T$65),"-")</f>
        <v>COTS</v>
      </c>
    </row>
    <row r="2855" spans="1:17" hidden="1" x14ac:dyDescent="0.25">
      <c r="A2855" t="s">
        <v>7676</v>
      </c>
      <c r="B2855" t="s">
        <v>7016</v>
      </c>
      <c r="C2855">
        <v>1</v>
      </c>
      <c r="D2855" t="s">
        <v>7664</v>
      </c>
      <c r="E2855" t="s">
        <v>6985</v>
      </c>
      <c r="F2855" t="s">
        <v>5724</v>
      </c>
      <c r="G2855" t="s">
        <v>7582</v>
      </c>
      <c r="H2855" t="s">
        <v>5725</v>
      </c>
      <c r="J2855" t="s">
        <v>7703</v>
      </c>
      <c r="K2855" t="s">
        <v>7719</v>
      </c>
      <c r="L2855" t="s">
        <v>7688</v>
      </c>
      <c r="N2855" t="str" cm="1">
        <f t="array" ref="N2855">IFERROR(LOOKUP(2,1/SEARCH($S$2:$S$65,G2855),$T$2:$T$65),"Misc")</f>
        <v>COTS</v>
      </c>
      <c r="O2855" t="str" cm="1">
        <f t="array" ref="O2855">IFERROR(LOOKUP(2,1/SEARCH($V$2:$V$65,G2855),$W$2:$W$65),"Misc")</f>
        <v>Misc</v>
      </c>
      <c r="P2855" t="str" cm="1">
        <f t="array" ref="P2855">IFERROR(LOOKUP(2,1/SEARCH($Y$2:$Y$65,G2855),$Z$2:$Z$65),"Not Defined")</f>
        <v>SPRING</v>
      </c>
      <c r="Q2855" t="str" cm="1">
        <f t="array" ref="Q2855">IFERROR(LOOKUP(2,1/SEARCH($S$2:$S$65,H2855),$T$2:$T$65),"-")</f>
        <v>COTS</v>
      </c>
    </row>
    <row r="2856" spans="1:17" hidden="1" x14ac:dyDescent="0.25">
      <c r="A2856" t="s">
        <v>7676</v>
      </c>
      <c r="B2856" t="s">
        <v>7017</v>
      </c>
      <c r="C2856">
        <v>5</v>
      </c>
      <c r="D2856" t="s">
        <v>7664</v>
      </c>
      <c r="E2856" t="s">
        <v>6985</v>
      </c>
      <c r="F2856" t="s">
        <v>7018</v>
      </c>
      <c r="G2856" t="s">
        <v>7669</v>
      </c>
      <c r="H2856" t="s">
        <v>911</v>
      </c>
      <c r="I2856" t="s">
        <v>228</v>
      </c>
      <c r="J2856" t="s">
        <v>7703</v>
      </c>
      <c r="K2856" t="s">
        <v>7684</v>
      </c>
      <c r="L2856" t="s">
        <v>7693</v>
      </c>
      <c r="N2856" t="str" cm="1">
        <f t="array" ref="N2856">IFERROR(LOOKUP(2,1/SEARCH($S$2:$S$65,G2856),$T$2:$T$65),"Misc")</f>
        <v>COTS</v>
      </c>
      <c r="O2856" t="str" cm="1">
        <f t="array" ref="O2856">IFERROR(LOOKUP(2,1/SEARCH($V$2:$V$65,G2856),$W$2:$W$65),"Misc")</f>
        <v>Fasteners</v>
      </c>
      <c r="P2856" t="str" cm="1">
        <f t="array" ref="P2856">IFERROR(LOOKUP(2,1/SEARCH($Y$2:$Y$65,G2856),$Z$2:$Z$65),"Not Defined")</f>
        <v>PHS</v>
      </c>
      <c r="Q2856" t="str" cm="1">
        <f t="array" ref="Q2856">IFERROR(LOOKUP(2,1/SEARCH($S$2:$S$65,H2856),$T$2:$T$65),"-")</f>
        <v>COTS</v>
      </c>
    </row>
    <row r="2857" spans="1:17" hidden="1" x14ac:dyDescent="0.25">
      <c r="A2857" t="s">
        <v>7676</v>
      </c>
      <c r="B2857" t="s">
        <v>7019</v>
      </c>
      <c r="C2857">
        <v>2</v>
      </c>
      <c r="D2857" t="s">
        <v>7664</v>
      </c>
      <c r="E2857" t="s">
        <v>6985</v>
      </c>
      <c r="F2857" t="s">
        <v>2586</v>
      </c>
      <c r="G2857" t="s">
        <v>7298</v>
      </c>
      <c r="H2857" t="s">
        <v>2587</v>
      </c>
      <c r="I2857" t="s">
        <v>210</v>
      </c>
      <c r="J2857" t="s">
        <v>7703</v>
      </c>
      <c r="K2857" t="s">
        <v>7684</v>
      </c>
      <c r="L2857" t="s">
        <v>7691</v>
      </c>
      <c r="N2857" t="str" cm="1">
        <f t="array" ref="N2857">IFERROR(LOOKUP(2,1/SEARCH($S$2:$S$65,G2857),$T$2:$T$65),"Misc")</f>
        <v>COTS</v>
      </c>
      <c r="O2857" t="str" cm="1">
        <f t="array" ref="O2857">IFERROR(LOOKUP(2,1/SEARCH($V$2:$V$65,G2857),$W$2:$W$65),"Misc")</f>
        <v>Fasteners</v>
      </c>
      <c r="P2857" t="str" cm="1">
        <f t="array" ref="P2857">IFERROR(LOOKUP(2,1/SEARCH($Y$2:$Y$65,G2857),$Z$2:$Z$65),"Not Defined")</f>
        <v>FHS</v>
      </c>
      <c r="Q2857" t="str" cm="1">
        <f t="array" ref="Q2857">IFERROR(LOOKUP(2,1/SEARCH($S$2:$S$65,H2857),$T$2:$T$65),"-")</f>
        <v>COTS</v>
      </c>
    </row>
    <row r="2858" spans="1:17" hidden="1" x14ac:dyDescent="0.25">
      <c r="A2858" t="s">
        <v>7676</v>
      </c>
      <c r="B2858" t="s">
        <v>7020</v>
      </c>
      <c r="C2858">
        <v>1</v>
      </c>
      <c r="D2858" t="s">
        <v>7664</v>
      </c>
      <c r="E2858" t="s">
        <v>7022</v>
      </c>
      <c r="F2858" t="s">
        <v>7021</v>
      </c>
      <c r="G2858" t="s">
        <v>7023</v>
      </c>
      <c r="H2858" t="s">
        <v>7022</v>
      </c>
      <c r="J2858" t="s">
        <v>7742</v>
      </c>
      <c r="K2858" t="s">
        <v>7826</v>
      </c>
      <c r="L2858" t="s">
        <v>7826</v>
      </c>
      <c r="N2858" t="str" cm="1">
        <f t="array" ref="N2858">IFERROR(LOOKUP(2,1/SEARCH($S$2:$S$65,G2858),$T$2:$T$65),"Misc")</f>
        <v>OH ASSY</v>
      </c>
      <c r="O2858" t="str" cm="1">
        <f t="array" ref="O2858">IFERROR(LOOKUP(2,1/SEARCH($V$2:$V$65,G2858),$W$2:$W$65),"Misc")</f>
        <v>OH Part</v>
      </c>
      <c r="P2858" t="str" cm="1">
        <f t="array" ref="P2858">IFERROR(LOOKUP(2,1/SEARCH($Y$2:$Y$65,G2858),$Z$2:$Z$65),"Not Defined")</f>
        <v>OH Part</v>
      </c>
      <c r="Q2858" t="str" cm="1">
        <f t="array" ref="Q2858">IFERROR(LOOKUP(2,1/SEARCH($S$2:$S$65,H2858),$T$2:$T$65),"-")</f>
        <v>OH ASSY</v>
      </c>
    </row>
    <row r="2859" spans="1:17" hidden="1" x14ac:dyDescent="0.25">
      <c r="A2859" t="s">
        <v>7676</v>
      </c>
      <c r="B2859" t="s">
        <v>7024</v>
      </c>
      <c r="C2859">
        <v>1</v>
      </c>
      <c r="D2859" t="s">
        <v>7664</v>
      </c>
      <c r="E2859" t="s">
        <v>7022</v>
      </c>
      <c r="F2859" t="s">
        <v>7025</v>
      </c>
      <c r="G2859" t="s">
        <v>7027</v>
      </c>
      <c r="H2859" t="s">
        <v>7026</v>
      </c>
      <c r="I2859" t="s">
        <v>13</v>
      </c>
      <c r="J2859" t="s">
        <v>7682</v>
      </c>
      <c r="K2859" t="s">
        <v>7826</v>
      </c>
      <c r="L2859" t="s">
        <v>7826</v>
      </c>
      <c r="N2859" t="str" cm="1">
        <f t="array" ref="N2859">IFERROR(LOOKUP(2,1/SEARCH($S$2:$S$65,G2859),$T$2:$T$65),"Misc")</f>
        <v>OH P/N</v>
      </c>
      <c r="O2859" t="str" cm="1">
        <f t="array" ref="O2859">IFERROR(LOOKUP(2,1/SEARCH($V$2:$V$65,G2859),$W$2:$W$65),"Misc")</f>
        <v>OH Part</v>
      </c>
      <c r="P2859" t="str" cm="1">
        <f t="array" ref="P2859">IFERROR(LOOKUP(2,1/SEARCH($Y$2:$Y$65,G2859),$Z$2:$Z$65),"Not Defined")</f>
        <v>OH Part</v>
      </c>
      <c r="Q2859" t="str" cm="1">
        <f t="array" ref="Q2859">IFERROR(LOOKUP(2,1/SEARCH($S$2:$S$65,H2859),$T$2:$T$65),"-")</f>
        <v>-</v>
      </c>
    </row>
    <row r="2860" spans="1:17" hidden="1" x14ac:dyDescent="0.25">
      <c r="A2860" t="s">
        <v>7676</v>
      </c>
      <c r="B2860" t="s">
        <v>7028</v>
      </c>
      <c r="C2860">
        <v>1</v>
      </c>
      <c r="D2860" t="s">
        <v>7664</v>
      </c>
      <c r="E2860" t="s">
        <v>7022</v>
      </c>
      <c r="F2860" t="s">
        <v>6979</v>
      </c>
      <c r="G2860" t="s">
        <v>7665</v>
      </c>
      <c r="H2860" t="s">
        <v>6980</v>
      </c>
      <c r="I2860" t="s">
        <v>228</v>
      </c>
      <c r="J2860" t="s">
        <v>7703</v>
      </c>
      <c r="K2860" t="s">
        <v>7684</v>
      </c>
      <c r="L2860" t="s">
        <v>7692</v>
      </c>
      <c r="N2860" t="str" cm="1">
        <f t="array" ref="N2860">IFERROR(LOOKUP(2,1/SEARCH($S$2:$S$65,G2860),$T$2:$T$65),"Misc")</f>
        <v>COTS</v>
      </c>
      <c r="O2860" t="str" cm="1">
        <f t="array" ref="O2860">IFERROR(LOOKUP(2,1/SEARCH($V$2:$V$65,G2860),$W$2:$W$65),"Misc")</f>
        <v>Fasteners</v>
      </c>
      <c r="P2860" t="str" cm="1">
        <f t="array" ref="P2860">IFERROR(LOOKUP(2,1/SEARCH($Y$2:$Y$65,G2860),$Z$2:$Z$65),"Not Defined")</f>
        <v>WASHER</v>
      </c>
      <c r="Q2860" t="str" cm="1">
        <f t="array" ref="Q2860">IFERROR(LOOKUP(2,1/SEARCH($S$2:$S$65,H2860),$T$2:$T$65),"-")</f>
        <v>COTS</v>
      </c>
    </row>
    <row r="2861" spans="1:17" hidden="1" x14ac:dyDescent="0.25">
      <c r="A2861" t="s">
        <v>7676</v>
      </c>
      <c r="B2861" t="s">
        <v>7029</v>
      </c>
      <c r="C2861">
        <v>1</v>
      </c>
      <c r="D2861" t="s">
        <v>7664</v>
      </c>
      <c r="E2861" t="s">
        <v>7022</v>
      </c>
      <c r="F2861" t="s">
        <v>268</v>
      </c>
      <c r="G2861" t="s">
        <v>7061</v>
      </c>
      <c r="H2861" t="s">
        <v>269</v>
      </c>
      <c r="I2861" t="s">
        <v>224</v>
      </c>
      <c r="J2861" t="s">
        <v>7703</v>
      </c>
      <c r="K2861" t="s">
        <v>7684</v>
      </c>
      <c r="L2861" t="s">
        <v>7687</v>
      </c>
      <c r="N2861" t="str" cm="1">
        <f t="array" ref="N2861">IFERROR(LOOKUP(2,1/SEARCH($S$2:$S$65,G2861),$T$2:$T$65),"Misc")</f>
        <v>COTS</v>
      </c>
      <c r="O2861" t="str" cm="1">
        <f t="array" ref="O2861">IFERROR(LOOKUP(2,1/SEARCH($V$2:$V$65,G2861),$W$2:$W$65),"Misc")</f>
        <v>Fasteners</v>
      </c>
      <c r="P2861" t="str" cm="1">
        <f t="array" ref="P2861">IFERROR(LOOKUP(2,1/SEARCH($Y$2:$Y$65,G2861),$Z$2:$Z$65),"Not Defined")</f>
        <v>INSERT</v>
      </c>
      <c r="Q2861" t="str" cm="1">
        <f t="array" ref="Q2861">IFERROR(LOOKUP(2,1/SEARCH($S$2:$S$65,H2861),$T$2:$T$65),"-")</f>
        <v>COTS</v>
      </c>
    </row>
    <row r="2862" spans="1:17" hidden="1" x14ac:dyDescent="0.25">
      <c r="A2862" t="s">
        <v>7676</v>
      </c>
      <c r="B2862" t="s">
        <v>7030</v>
      </c>
      <c r="C2862">
        <v>2</v>
      </c>
      <c r="D2862" t="s">
        <v>7664</v>
      </c>
      <c r="E2862" t="s">
        <v>7022</v>
      </c>
      <c r="F2862" t="s">
        <v>5843</v>
      </c>
      <c r="G2862" t="s">
        <v>7602</v>
      </c>
      <c r="H2862" t="s">
        <v>5844</v>
      </c>
      <c r="I2862" t="s">
        <v>228</v>
      </c>
      <c r="J2862" t="s">
        <v>7703</v>
      </c>
      <c r="K2862" t="s">
        <v>7684</v>
      </c>
      <c r="L2862" t="s">
        <v>7685</v>
      </c>
      <c r="N2862" t="str" cm="1">
        <f t="array" ref="N2862">IFERROR(LOOKUP(2,1/SEARCH($S$2:$S$65,G2862),$T$2:$T$65),"Misc")</f>
        <v>COTS</v>
      </c>
      <c r="O2862" t="str" cm="1">
        <f t="array" ref="O2862">IFERROR(LOOKUP(2,1/SEARCH($V$2:$V$65,G2862),$W$2:$W$65),"Misc")</f>
        <v>Fasteners</v>
      </c>
      <c r="P2862" t="str" cm="1">
        <f t="array" ref="P2862">IFERROR(LOOKUP(2,1/SEARCH($Y$2:$Y$65,G2862),$Z$2:$Z$65),"Not Defined")</f>
        <v>NUT</v>
      </c>
      <c r="Q2862" t="str" cm="1">
        <f t="array" ref="Q2862">IFERROR(LOOKUP(2,1/SEARCH($S$2:$S$65,H2862),$T$2:$T$65),"-")</f>
        <v>COTS</v>
      </c>
    </row>
    <row r="2863" spans="1:17" hidden="1" x14ac:dyDescent="0.25">
      <c r="A2863" t="s">
        <v>7676</v>
      </c>
      <c r="B2863" t="s">
        <v>7031</v>
      </c>
      <c r="C2863">
        <v>5</v>
      </c>
      <c r="D2863" t="s">
        <v>7664</v>
      </c>
      <c r="E2863" t="s">
        <v>7022</v>
      </c>
      <c r="F2863" t="s">
        <v>907</v>
      </c>
      <c r="G2863" t="s">
        <v>7127</v>
      </c>
      <c r="H2863" t="s">
        <v>908</v>
      </c>
      <c r="J2863" t="s">
        <v>7703</v>
      </c>
      <c r="K2863" t="s">
        <v>7684</v>
      </c>
      <c r="L2863" t="s">
        <v>7685</v>
      </c>
      <c r="N2863" t="str" cm="1">
        <f t="array" ref="N2863">IFERROR(LOOKUP(2,1/SEARCH($S$2:$S$65,G2863),$T$2:$T$65),"Misc")</f>
        <v>COTS</v>
      </c>
      <c r="O2863" t="str" cm="1">
        <f t="array" ref="O2863">IFERROR(LOOKUP(2,1/SEARCH($V$2:$V$65,G2863),$W$2:$W$65),"Misc")</f>
        <v>Fasteners</v>
      </c>
      <c r="P2863" t="str" cm="1">
        <f t="array" ref="P2863">IFERROR(LOOKUP(2,1/SEARCH($Y$2:$Y$65,G2863),$Z$2:$Z$65),"Not Defined")</f>
        <v>NUT</v>
      </c>
      <c r="Q2863" t="str" cm="1">
        <f t="array" ref="Q2863">IFERROR(LOOKUP(2,1/SEARCH($S$2:$S$65,H2863),$T$2:$T$65),"-")</f>
        <v>COTS</v>
      </c>
    </row>
    <row r="2864" spans="1:17" hidden="1" x14ac:dyDescent="0.25">
      <c r="A2864" t="s">
        <v>7676</v>
      </c>
      <c r="B2864" s="19">
        <v>4.33</v>
      </c>
      <c r="C2864">
        <v>35</v>
      </c>
      <c r="D2864" t="s">
        <v>7603</v>
      </c>
      <c r="F2864" t="s">
        <v>5785</v>
      </c>
      <c r="G2864" t="s">
        <v>7590</v>
      </c>
      <c r="H2864" t="s">
        <v>5786</v>
      </c>
      <c r="J2864" t="s">
        <v>7744</v>
      </c>
      <c r="K2864" t="s">
        <v>7826</v>
      </c>
      <c r="L2864" t="s">
        <v>7826</v>
      </c>
      <c r="N2864" t="str" cm="1">
        <f t="array" ref="N2864">IFERROR(LOOKUP(2,1/SEARCH($S$2:$S$65,G2864),$T$2:$T$65),"Misc")</f>
        <v>OH Common</v>
      </c>
      <c r="O2864" t="str" cm="1">
        <f t="array" ref="O2864">IFERROR(LOOKUP(2,1/SEARCH($V$2:$V$65,G2864),$W$2:$W$65),"Misc")</f>
        <v>OH Part</v>
      </c>
      <c r="P2864" t="str" cm="1">
        <f t="array" ref="P2864">IFERROR(LOOKUP(2,1/SEARCH($Y$2:$Y$65,G2864),$Z$2:$Z$65),"Not Defined")</f>
        <v>OH Part</v>
      </c>
      <c r="Q2864" t="str" cm="1">
        <f t="array" ref="Q2864">IFERROR(LOOKUP(2,1/SEARCH($S$2:$S$65,H2864),$T$2:$T$65),"-")</f>
        <v>-</v>
      </c>
    </row>
    <row r="2865" spans="1:17" hidden="1" x14ac:dyDescent="0.25">
      <c r="A2865" t="s">
        <v>7676</v>
      </c>
      <c r="B2865" t="s">
        <v>7032</v>
      </c>
      <c r="C2865">
        <v>1</v>
      </c>
      <c r="D2865" t="s">
        <v>7603</v>
      </c>
      <c r="F2865" t="s">
        <v>5788</v>
      </c>
      <c r="G2865" t="s">
        <v>5790</v>
      </c>
      <c r="H2865" t="s">
        <v>5789</v>
      </c>
      <c r="I2865" t="s">
        <v>358</v>
      </c>
      <c r="J2865" t="s">
        <v>7744</v>
      </c>
      <c r="K2865" t="s">
        <v>7826</v>
      </c>
      <c r="L2865" t="s">
        <v>7826</v>
      </c>
      <c r="N2865" t="str" cm="1">
        <f t="array" ref="N2865">IFERROR(LOOKUP(2,1/SEARCH($S$2:$S$65,G2865),$T$2:$T$65),"Misc")</f>
        <v>OH Common</v>
      </c>
      <c r="O2865" t="str" cm="1">
        <f t="array" ref="O2865">IFERROR(LOOKUP(2,1/SEARCH($V$2:$V$65,G2865),$W$2:$W$65),"Misc")</f>
        <v>OH Part</v>
      </c>
      <c r="P2865" t="str" cm="1">
        <f t="array" ref="P2865">IFERROR(LOOKUP(2,1/SEARCH($Y$2:$Y$65,G2865),$Z$2:$Z$65),"Not Defined")</f>
        <v>OH Part</v>
      </c>
      <c r="Q2865" t="str" cm="1">
        <f t="array" ref="Q2865">IFERROR(LOOKUP(2,1/SEARCH($S$2:$S$65,H2865),$T$2:$T$65),"-")</f>
        <v>-</v>
      </c>
    </row>
    <row r="2866" spans="1:17" hidden="1" x14ac:dyDescent="0.25">
      <c r="A2866" t="s">
        <v>7676</v>
      </c>
      <c r="B2866" t="s">
        <v>7033</v>
      </c>
      <c r="C2866">
        <v>1</v>
      </c>
      <c r="D2866" t="s">
        <v>7603</v>
      </c>
      <c r="F2866" t="s">
        <v>3167</v>
      </c>
      <c r="G2866" t="s">
        <v>7341</v>
      </c>
      <c r="H2866" t="s">
        <v>3168</v>
      </c>
      <c r="I2866" t="s">
        <v>210</v>
      </c>
      <c r="J2866" t="s">
        <v>7703</v>
      </c>
      <c r="K2866" t="s">
        <v>7684</v>
      </c>
      <c r="L2866" t="s">
        <v>7691</v>
      </c>
      <c r="N2866" t="str" cm="1">
        <f t="array" ref="N2866">IFERROR(LOOKUP(2,1/SEARCH($S$2:$S$65,G2866),$T$2:$T$65),"Misc")</f>
        <v>COTS</v>
      </c>
      <c r="O2866" t="str" cm="1">
        <f t="array" ref="O2866">IFERROR(LOOKUP(2,1/SEARCH($V$2:$V$65,G2866),$W$2:$W$65),"Misc")</f>
        <v>Fasteners</v>
      </c>
      <c r="P2866" t="str" cm="1">
        <f t="array" ref="P2866">IFERROR(LOOKUP(2,1/SEARCH($Y$2:$Y$65,G2866),$Z$2:$Z$65),"Not Defined")</f>
        <v>FHS</v>
      </c>
      <c r="Q2866" t="str" cm="1">
        <f t="array" ref="Q2866">IFERROR(LOOKUP(2,1/SEARCH($S$2:$S$65,H2866),$T$2:$T$65),"-")</f>
        <v>COTS</v>
      </c>
    </row>
    <row r="2867" spans="1:17" hidden="1" x14ac:dyDescent="0.25">
      <c r="A2867" t="s">
        <v>7676</v>
      </c>
      <c r="B2867" s="19">
        <v>4.34</v>
      </c>
      <c r="C2867">
        <v>2</v>
      </c>
      <c r="D2867" t="s">
        <v>7603</v>
      </c>
      <c r="E2867" t="s">
        <v>614</v>
      </c>
      <c r="F2867" t="s">
        <v>613</v>
      </c>
      <c r="G2867" t="s">
        <v>7110</v>
      </c>
      <c r="H2867" t="s">
        <v>614</v>
      </c>
      <c r="I2867" t="s">
        <v>255</v>
      </c>
      <c r="J2867" t="s">
        <v>7815</v>
      </c>
      <c r="K2867" t="s">
        <v>7717</v>
      </c>
      <c r="L2867" t="s">
        <v>7717</v>
      </c>
      <c r="N2867" t="str" cm="1">
        <f t="array" ref="N2867">IFERROR(LOOKUP(2,1/SEARCH($S$2:$S$65,G2867),$T$2:$T$65),"Misc")</f>
        <v>OH ASSY</v>
      </c>
      <c r="O2867" t="str" cm="1">
        <f t="array" ref="O2867">IFERROR(LOOKUP(2,1/SEARCH($V$2:$V$65,G2867),$W$2:$W$65),"Misc")</f>
        <v>ABSIS</v>
      </c>
      <c r="P2867" t="str" cm="1">
        <f t="array" ref="P2867">IFERROR(LOOKUP(2,1/SEARCH($Y$2:$Y$65,G2867),$Z$2:$Z$65),"Not Defined")</f>
        <v>ABSIS</v>
      </c>
      <c r="Q2867" t="str" cm="1">
        <f t="array" ref="Q2867">IFERROR(LOOKUP(2,1/SEARCH($S$2:$S$65,H2867),$T$2:$T$65),"-")</f>
        <v>OH ASSY</v>
      </c>
    </row>
    <row r="2868" spans="1:17" hidden="1" x14ac:dyDescent="0.25">
      <c r="A2868" t="s">
        <v>7676</v>
      </c>
      <c r="B2868" t="s">
        <v>7034</v>
      </c>
      <c r="C2868">
        <v>1</v>
      </c>
      <c r="D2868" t="s">
        <v>7603</v>
      </c>
      <c r="E2868" t="s">
        <v>614</v>
      </c>
      <c r="F2868" t="s">
        <v>616</v>
      </c>
      <c r="G2868" t="s">
        <v>7111</v>
      </c>
      <c r="H2868" t="s">
        <v>617</v>
      </c>
      <c r="I2868" t="s">
        <v>255</v>
      </c>
      <c r="J2868" t="s">
        <v>7717</v>
      </c>
      <c r="K2868" t="s">
        <v>7717</v>
      </c>
      <c r="L2868" t="s">
        <v>7717</v>
      </c>
      <c r="N2868" t="str" cm="1">
        <f t="array" ref="N2868">IFERROR(LOOKUP(2,1/SEARCH($S$2:$S$65,G2868),$T$2:$T$65),"Misc")</f>
        <v>ABSIS</v>
      </c>
      <c r="O2868" t="str" cm="1">
        <f t="array" ref="O2868">IFERROR(LOOKUP(2,1/SEARCH($V$2:$V$65,G2868),$W$2:$W$65),"Misc")</f>
        <v>ABSIS</v>
      </c>
      <c r="P2868" t="str" cm="1">
        <f t="array" ref="P2868">IFERROR(LOOKUP(2,1/SEARCH($Y$2:$Y$65,G2868),$Z$2:$Z$65),"Not Defined")</f>
        <v>ABSIS</v>
      </c>
      <c r="Q2868" t="str" cm="1">
        <f t="array" ref="Q2868">IFERROR(LOOKUP(2,1/SEARCH($S$2:$S$65,H2868),$T$2:$T$65),"-")</f>
        <v>ABSIS</v>
      </c>
    </row>
    <row r="2869" spans="1:17" hidden="1" x14ac:dyDescent="0.25">
      <c r="A2869" t="s">
        <v>7676</v>
      </c>
      <c r="B2869" t="s">
        <v>7035</v>
      </c>
      <c r="C2869">
        <v>1</v>
      </c>
      <c r="D2869" t="s">
        <v>7603</v>
      </c>
      <c r="E2869" t="s">
        <v>614</v>
      </c>
      <c r="F2869" t="s">
        <v>596</v>
      </c>
      <c r="G2869" t="s">
        <v>7108</v>
      </c>
      <c r="H2869" t="s">
        <v>597</v>
      </c>
      <c r="I2869" t="s">
        <v>255</v>
      </c>
      <c r="J2869" t="s">
        <v>7703</v>
      </c>
      <c r="K2869" t="s">
        <v>7713</v>
      </c>
      <c r="L2869" t="s">
        <v>7713</v>
      </c>
      <c r="N2869" t="str" cm="1">
        <f t="array" ref="N2869">IFERROR(LOOKUP(2,1/SEARCH($S$2:$S$65,G2869),$T$2:$T$65),"Misc")</f>
        <v>COTS</v>
      </c>
      <c r="O2869" t="str" cm="1">
        <f t="array" ref="O2869">IFERROR(LOOKUP(2,1/SEARCH($V$2:$V$65,G2869),$W$2:$W$65),"Misc")</f>
        <v>ARDUINO</v>
      </c>
      <c r="P2869" t="str" cm="1">
        <f t="array" ref="P2869">IFERROR(LOOKUP(2,1/SEARCH($Y$2:$Y$65,G2869),$Z$2:$Z$65),"Not Defined")</f>
        <v>ARDUINO</v>
      </c>
      <c r="Q2869" t="str" cm="1">
        <f t="array" ref="Q2869">IFERROR(LOOKUP(2,1/SEARCH($S$2:$S$65,H2869),$T$2:$T$65),"-")</f>
        <v>COTS</v>
      </c>
    </row>
    <row r="2870" spans="1:17" hidden="1" x14ac:dyDescent="0.25">
      <c r="A2870" t="s">
        <v>7676</v>
      </c>
      <c r="B2870" s="19">
        <v>4.3499999999999996</v>
      </c>
      <c r="C2870">
        <v>1</v>
      </c>
      <c r="D2870" t="s">
        <v>7603</v>
      </c>
      <c r="E2870" t="s">
        <v>7037</v>
      </c>
      <c r="F2870" t="s">
        <v>7036</v>
      </c>
      <c r="G2870" t="s">
        <v>7670</v>
      </c>
      <c r="H2870" t="s">
        <v>7037</v>
      </c>
      <c r="J2870" t="s">
        <v>7744</v>
      </c>
      <c r="K2870" t="s">
        <v>7826</v>
      </c>
      <c r="L2870" t="s">
        <v>7826</v>
      </c>
      <c r="N2870" t="str" cm="1">
        <f t="array" ref="N2870">IFERROR(LOOKUP(2,1/SEARCH($S$2:$S$65,G2870),$T$2:$T$65),"Misc")</f>
        <v>OH Common</v>
      </c>
      <c r="O2870" t="str" cm="1">
        <f t="array" ref="O2870">IFERROR(LOOKUP(2,1/SEARCH($V$2:$V$65,G2870),$W$2:$W$65),"Misc")</f>
        <v>OH Part</v>
      </c>
      <c r="P2870" t="str" cm="1">
        <f t="array" ref="P2870">IFERROR(LOOKUP(2,1/SEARCH($Y$2:$Y$65,G2870),$Z$2:$Z$65),"Not Defined")</f>
        <v>OH Part</v>
      </c>
      <c r="Q2870" t="str" cm="1">
        <f t="array" ref="Q2870">IFERROR(LOOKUP(2,1/SEARCH($S$2:$S$65,H2870),$T$2:$T$65),"-")</f>
        <v>OH ASSY</v>
      </c>
    </row>
    <row r="2871" spans="1:17" hidden="1" x14ac:dyDescent="0.25">
      <c r="A2871" t="s">
        <v>7676</v>
      </c>
      <c r="B2871" t="s">
        <v>7038</v>
      </c>
      <c r="C2871">
        <v>1</v>
      </c>
      <c r="D2871" t="s">
        <v>7603</v>
      </c>
      <c r="E2871" t="s">
        <v>7037</v>
      </c>
      <c r="F2871" t="s">
        <v>1032</v>
      </c>
      <c r="G2871" t="s">
        <v>7163</v>
      </c>
      <c r="H2871" t="s">
        <v>1033</v>
      </c>
      <c r="I2871" t="s">
        <v>281</v>
      </c>
      <c r="J2871" t="s">
        <v>7744</v>
      </c>
      <c r="K2871" t="s">
        <v>7826</v>
      </c>
      <c r="L2871" t="s">
        <v>7826</v>
      </c>
      <c r="N2871" t="str" cm="1">
        <f t="array" ref="N2871">IFERROR(LOOKUP(2,1/SEARCH($S$2:$S$65,G2871),$T$2:$T$65),"Misc")</f>
        <v>OH Common</v>
      </c>
      <c r="O2871" t="str" cm="1">
        <f t="array" ref="O2871">IFERROR(LOOKUP(2,1/SEARCH($V$2:$V$65,G2871),$W$2:$W$65),"Misc")</f>
        <v>OH Part</v>
      </c>
      <c r="P2871" t="str" cm="1">
        <f t="array" ref="P2871">IFERROR(LOOKUP(2,1/SEARCH($Y$2:$Y$65,G2871),$Z$2:$Z$65),"Not Defined")</f>
        <v>OH Part</v>
      </c>
      <c r="Q2871" t="str" cm="1">
        <f t="array" ref="Q2871">IFERROR(LOOKUP(2,1/SEARCH($S$2:$S$65,H2871),$T$2:$T$65),"-")</f>
        <v>-</v>
      </c>
    </row>
    <row r="2872" spans="1:17" hidden="1" x14ac:dyDescent="0.25">
      <c r="A2872" t="s">
        <v>7676</v>
      </c>
      <c r="B2872" t="s">
        <v>7039</v>
      </c>
      <c r="C2872">
        <v>1</v>
      </c>
      <c r="D2872" t="s">
        <v>7603</v>
      </c>
      <c r="E2872" t="s">
        <v>7037</v>
      </c>
      <c r="F2872" t="s">
        <v>1035</v>
      </c>
      <c r="G2872" t="s">
        <v>7164</v>
      </c>
      <c r="H2872" t="s">
        <v>1036</v>
      </c>
      <c r="I2872" t="s">
        <v>255</v>
      </c>
      <c r="J2872" t="s">
        <v>7703</v>
      </c>
      <c r="K2872" t="s">
        <v>7818</v>
      </c>
      <c r="L2872" t="s">
        <v>7818</v>
      </c>
      <c r="N2872" t="str" cm="1">
        <f t="array" ref="N2872">IFERROR(LOOKUP(2,1/SEARCH($S$2:$S$65,G2872),$T$2:$T$65),"Misc")</f>
        <v>COTS</v>
      </c>
      <c r="O2872" t="str" cm="1">
        <f t="array" ref="O2872">IFERROR(LOOKUP(2,1/SEARCH($V$2:$V$65,G2872),$W$2:$W$65),"Misc")</f>
        <v>Connector</v>
      </c>
      <c r="P2872" t="str" cm="1">
        <f t="array" ref="P2872">IFERROR(LOOKUP(2,1/SEARCH($Y$2:$Y$65,G2872),$Z$2:$Z$65),"Not Defined")</f>
        <v>Connector</v>
      </c>
      <c r="Q2872" t="str" cm="1">
        <f t="array" ref="Q2872">IFERROR(LOOKUP(2,1/SEARCH($S$2:$S$65,H2872),$T$2:$T$65),"-")</f>
        <v>COTS</v>
      </c>
    </row>
    <row r="2873" spans="1:17" hidden="1" x14ac:dyDescent="0.25">
      <c r="A2873" t="s">
        <v>7676</v>
      </c>
      <c r="B2873" t="s">
        <v>7040</v>
      </c>
      <c r="C2873">
        <v>1</v>
      </c>
      <c r="D2873" t="s">
        <v>7603</v>
      </c>
      <c r="E2873" t="s">
        <v>7037</v>
      </c>
      <c r="F2873" t="s">
        <v>1038</v>
      </c>
      <c r="G2873" t="s">
        <v>7165</v>
      </c>
      <c r="H2873" t="s">
        <v>1039</v>
      </c>
      <c r="I2873" t="s">
        <v>255</v>
      </c>
      <c r="J2873" t="s">
        <v>7703</v>
      </c>
      <c r="K2873" t="s">
        <v>7818</v>
      </c>
      <c r="L2873" t="s">
        <v>7818</v>
      </c>
      <c r="N2873" t="str" cm="1">
        <f t="array" ref="N2873">IFERROR(LOOKUP(2,1/SEARCH($S$2:$S$65,G2873),$T$2:$T$65),"Misc")</f>
        <v>COTS</v>
      </c>
      <c r="O2873" t="str" cm="1">
        <f t="array" ref="O2873">IFERROR(LOOKUP(2,1/SEARCH($V$2:$V$65,G2873),$W$2:$W$65),"Misc")</f>
        <v>Connector</v>
      </c>
      <c r="P2873" t="str" cm="1">
        <f t="array" ref="P2873">IFERROR(LOOKUP(2,1/SEARCH($Y$2:$Y$65,G2873),$Z$2:$Z$65),"Not Defined")</f>
        <v>Connector</v>
      </c>
      <c r="Q2873" t="str" cm="1">
        <f t="array" ref="Q2873">IFERROR(LOOKUP(2,1/SEARCH($S$2:$S$65,H2873),$T$2:$T$65),"-")</f>
        <v>COTS</v>
      </c>
    </row>
    <row r="2874" spans="1:17" hidden="1" x14ac:dyDescent="0.25">
      <c r="A2874" t="s">
        <v>7676</v>
      </c>
      <c r="B2874" t="s">
        <v>7041</v>
      </c>
      <c r="C2874">
        <v>2</v>
      </c>
      <c r="D2874" t="s">
        <v>7603</v>
      </c>
      <c r="E2874" t="s">
        <v>7037</v>
      </c>
      <c r="F2874" t="s">
        <v>1041</v>
      </c>
      <c r="G2874" t="s">
        <v>7166</v>
      </c>
      <c r="H2874" t="s">
        <v>1042</v>
      </c>
      <c r="I2874" t="s">
        <v>255</v>
      </c>
      <c r="J2874" t="s">
        <v>7703</v>
      </c>
      <c r="K2874" t="s">
        <v>7818</v>
      </c>
      <c r="L2874" t="s">
        <v>7818</v>
      </c>
      <c r="N2874" t="str" cm="1">
        <f t="array" ref="N2874">IFERROR(LOOKUP(2,1/SEARCH($S$2:$S$65,G2874),$T$2:$T$65),"Misc")</f>
        <v>COTS</v>
      </c>
      <c r="O2874" t="str" cm="1">
        <f t="array" ref="O2874">IFERROR(LOOKUP(2,1/SEARCH($V$2:$V$65,G2874),$W$2:$W$65),"Misc")</f>
        <v>Connector</v>
      </c>
      <c r="P2874" t="str" cm="1">
        <f t="array" ref="P2874">IFERROR(LOOKUP(2,1/SEARCH($Y$2:$Y$65,G2874),$Z$2:$Z$65),"Not Defined")</f>
        <v>Connector</v>
      </c>
      <c r="Q2874" t="str" cm="1">
        <f t="array" ref="Q2874">IFERROR(LOOKUP(2,1/SEARCH($S$2:$S$65,H2874),$T$2:$T$65),"-")</f>
        <v>COTS</v>
      </c>
    </row>
    <row r="2875" spans="1:17" hidden="1" x14ac:dyDescent="0.25">
      <c r="A2875" t="s">
        <v>7676</v>
      </c>
      <c r="B2875" t="s">
        <v>7042</v>
      </c>
      <c r="C2875">
        <v>1</v>
      </c>
      <c r="D2875" t="s">
        <v>7603</v>
      </c>
      <c r="E2875" t="s">
        <v>7037</v>
      </c>
      <c r="F2875" t="s">
        <v>5807</v>
      </c>
      <c r="G2875" t="s">
        <v>7592</v>
      </c>
      <c r="H2875" t="s">
        <v>5808</v>
      </c>
      <c r="I2875" t="s">
        <v>255</v>
      </c>
      <c r="J2875" t="s">
        <v>7703</v>
      </c>
      <c r="K2875" t="s">
        <v>7814</v>
      </c>
      <c r="L2875" t="s">
        <v>7823</v>
      </c>
      <c r="N2875" t="str" cm="1">
        <f t="array" ref="N2875">IFERROR(LOOKUP(2,1/SEARCH($S$2:$S$65,G2875),$T$2:$T$65),"Misc")</f>
        <v>COTS</v>
      </c>
      <c r="O2875" t="str" cm="1">
        <f t="array" ref="O2875">IFERROR(LOOKUP(2,1/SEARCH($V$2:$V$65,G2875),$W$2:$W$65),"Misc")</f>
        <v>Misc</v>
      </c>
      <c r="P2875" t="str" cm="1">
        <f t="array" ref="P2875">IFERROR(LOOKUP(2,1/SEARCH($Y$2:$Y$65,G2875),$Z$2:$Z$65),"Not Defined")</f>
        <v>Cable</v>
      </c>
      <c r="Q2875" t="str" cm="1">
        <f t="array" ref="Q2875">IFERROR(LOOKUP(2,1/SEARCH($S$2:$S$65,H2875),$T$2:$T$65),"-")</f>
        <v>COTS</v>
      </c>
    </row>
    <row r="2876" spans="1:17" hidden="1" x14ac:dyDescent="0.25">
      <c r="A2876" t="s">
        <v>7676</v>
      </c>
      <c r="B2876" s="19">
        <v>4.3600000000000003</v>
      </c>
      <c r="C2876">
        <v>1</v>
      </c>
      <c r="D2876" t="s">
        <v>7603</v>
      </c>
      <c r="E2876" t="s">
        <v>7987</v>
      </c>
      <c r="F2876" t="s">
        <v>7988</v>
      </c>
      <c r="G2876" t="s">
        <v>7990</v>
      </c>
      <c r="H2876" t="s">
        <v>7987</v>
      </c>
      <c r="I2876" t="s">
        <v>255</v>
      </c>
      <c r="J2876" t="s">
        <v>7815</v>
      </c>
      <c r="K2876" t="s">
        <v>7717</v>
      </c>
      <c r="L2876" t="s">
        <v>7717</v>
      </c>
      <c r="N2876" t="str" cm="1">
        <f t="array" ref="N2876">IFERROR(LOOKUP(2,1/SEARCH($S$2:$S$65,G2876),$T$2:$T$65),"Misc")</f>
        <v>OH ASSY</v>
      </c>
      <c r="O2876" t="str" cm="1">
        <f t="array" ref="O2876">IFERROR(LOOKUP(2,1/SEARCH($V$2:$V$65,G2876),$W$2:$W$65),"Misc")</f>
        <v>ABSIS</v>
      </c>
      <c r="P2876" t="str" cm="1">
        <f t="array" ref="P2876">IFERROR(LOOKUP(2,1/SEARCH($Y$2:$Y$65,G2876),$Z$2:$Z$65),"Not Defined")</f>
        <v>ABSIS</v>
      </c>
      <c r="Q2876" t="str" cm="1">
        <f t="array" ref="Q2876">IFERROR(LOOKUP(2,1/SEARCH($S$2:$S$65,H2876),$T$2:$T$65),"-")</f>
        <v>OH ASSY</v>
      </c>
    </row>
    <row r="2877" spans="1:17" hidden="1" x14ac:dyDescent="0.25">
      <c r="A2877" t="s">
        <v>7676</v>
      </c>
      <c r="B2877" t="s">
        <v>7043</v>
      </c>
      <c r="C2877">
        <v>1</v>
      </c>
      <c r="D2877" t="s">
        <v>7603</v>
      </c>
      <c r="E2877" t="s">
        <v>7987</v>
      </c>
      <c r="F2877" t="s">
        <v>7989</v>
      </c>
      <c r="G2877" t="s">
        <v>7991</v>
      </c>
      <c r="H2877" t="s">
        <v>7992</v>
      </c>
      <c r="I2877" t="s">
        <v>255</v>
      </c>
      <c r="J2877" t="s">
        <v>7717</v>
      </c>
      <c r="K2877" t="s">
        <v>7717</v>
      </c>
      <c r="L2877" t="s">
        <v>7717</v>
      </c>
      <c r="N2877" t="str" cm="1">
        <f t="array" ref="N2877">IFERROR(LOOKUP(2,1/SEARCH($S$2:$S$65,G2877),$T$2:$T$65),"Misc")</f>
        <v>ABSIS</v>
      </c>
      <c r="O2877" t="str" cm="1">
        <f t="array" ref="O2877">IFERROR(LOOKUP(2,1/SEARCH($V$2:$V$65,G2877),$W$2:$W$65),"Misc")</f>
        <v>ABSIS</v>
      </c>
      <c r="P2877" t="str" cm="1">
        <f t="array" ref="P2877">IFERROR(LOOKUP(2,1/SEARCH($Y$2:$Y$65,G2877),$Z$2:$Z$65),"Not Defined")</f>
        <v>ABSIS</v>
      </c>
      <c r="Q2877" t="str" cm="1">
        <f t="array" ref="Q2877">IFERROR(LOOKUP(2,1/SEARCH($S$2:$S$65,H2877),$T$2:$T$65),"-")</f>
        <v>ABSIS</v>
      </c>
    </row>
    <row r="2878" spans="1:17" hidden="1" x14ac:dyDescent="0.25">
      <c r="A2878" t="s">
        <v>7676</v>
      </c>
      <c r="B2878" t="s">
        <v>7044</v>
      </c>
      <c r="C2878">
        <v>2</v>
      </c>
      <c r="D2878" t="s">
        <v>7603</v>
      </c>
      <c r="E2878" t="s">
        <v>589</v>
      </c>
      <c r="F2878" t="s">
        <v>592</v>
      </c>
      <c r="G2878" t="s">
        <v>594</v>
      </c>
      <c r="H2878" t="s">
        <v>593</v>
      </c>
      <c r="I2878" t="s">
        <v>255</v>
      </c>
      <c r="J2878" t="s">
        <v>7703</v>
      </c>
      <c r="K2878" t="s">
        <v>7698</v>
      </c>
      <c r="L2878" t="s">
        <v>7707</v>
      </c>
      <c r="N2878" t="str" cm="1">
        <f t="array" ref="N2878">IFERROR(LOOKUP(2,1/SEARCH($S$2:$S$65,G2878),$T$2:$T$65),"Misc")</f>
        <v>COTS</v>
      </c>
      <c r="O2878" t="str" cm="1">
        <f t="array" ref="O2878">IFERROR(LOOKUP(2,1/SEARCH($V$2:$V$65,G2878),$W$2:$W$65),"Misc")</f>
        <v>Pins</v>
      </c>
      <c r="P2878" t="str" cm="1">
        <f t="array" ref="P2878">IFERROR(LOOKUP(2,1/SEARCH($Y$2:$Y$65,G2878),$Z$2:$Z$65),"Not Defined")</f>
        <v>PIN</v>
      </c>
      <c r="Q2878" t="str" cm="1">
        <f t="array" ref="Q2878">IFERROR(LOOKUP(2,1/SEARCH($S$2:$S$65,H2878),$T$2:$T$65),"-")</f>
        <v>COTS</v>
      </c>
    </row>
    <row r="2879" spans="1:17" hidden="1" x14ac:dyDescent="0.25">
      <c r="A2879" t="s">
        <v>7676</v>
      </c>
      <c r="B2879" t="s">
        <v>7045</v>
      </c>
      <c r="C2879">
        <v>1</v>
      </c>
      <c r="D2879" t="s">
        <v>7603</v>
      </c>
      <c r="E2879" t="s">
        <v>589</v>
      </c>
      <c r="F2879" t="s">
        <v>596</v>
      </c>
      <c r="G2879" t="s">
        <v>7108</v>
      </c>
      <c r="H2879" t="s">
        <v>597</v>
      </c>
      <c r="I2879" t="s">
        <v>255</v>
      </c>
      <c r="J2879" t="s">
        <v>7703</v>
      </c>
      <c r="K2879" t="s">
        <v>7713</v>
      </c>
      <c r="L2879" t="s">
        <v>7713</v>
      </c>
      <c r="N2879" t="str" cm="1">
        <f t="array" ref="N2879">IFERROR(LOOKUP(2,1/SEARCH($S$2:$S$65,G2879),$T$2:$T$65),"Misc")</f>
        <v>COTS</v>
      </c>
      <c r="O2879" t="str" cm="1">
        <f t="array" ref="O2879">IFERROR(LOOKUP(2,1/SEARCH($V$2:$V$65,G2879),$W$2:$W$65),"Misc")</f>
        <v>ARDUINO</v>
      </c>
      <c r="P2879" t="str" cm="1">
        <f t="array" ref="P2879">IFERROR(LOOKUP(2,1/SEARCH($Y$2:$Y$65,G2879),$Z$2:$Z$65),"Not Defined")</f>
        <v>ARDUINO</v>
      </c>
      <c r="Q2879" t="str" cm="1">
        <f t="array" ref="Q2879">IFERROR(LOOKUP(2,1/SEARCH($S$2:$S$65,H2879),$T$2:$T$65),"-")</f>
        <v>COTS</v>
      </c>
    </row>
    <row r="2880" spans="1:17" hidden="1" x14ac:dyDescent="0.25">
      <c r="A2880" t="s">
        <v>7676</v>
      </c>
      <c r="B2880" s="18">
        <v>4.37</v>
      </c>
      <c r="C2880">
        <v>4</v>
      </c>
      <c r="D2880" t="s">
        <v>7603</v>
      </c>
      <c r="F2880" t="s">
        <v>5812</v>
      </c>
      <c r="G2880" t="s">
        <v>7593</v>
      </c>
      <c r="H2880" t="s">
        <v>5813</v>
      </c>
      <c r="I2880" t="s">
        <v>929</v>
      </c>
      <c r="J2880" t="s">
        <v>7703</v>
      </c>
      <c r="K2880" t="s">
        <v>7684</v>
      </c>
      <c r="L2880" t="s">
        <v>7696</v>
      </c>
      <c r="N2880" t="str" cm="1">
        <f t="array" ref="N2880">IFERROR(LOOKUP(2,1/SEARCH($S$2:$S$65,G2880),$T$2:$T$65),"Misc")</f>
        <v>COTS</v>
      </c>
      <c r="O2880" t="str" cm="1">
        <f t="array" ref="O2880">IFERROR(LOOKUP(2,1/SEARCH($V$2:$V$65,G2880),$W$2:$W$65),"Misc")</f>
        <v>Fasteners</v>
      </c>
      <c r="P2880" t="str" cm="1">
        <f t="array" ref="P2880">IFERROR(LOOKUP(2,1/SEARCH($Y$2:$Y$65,G2880),$Z$2:$Z$65),"Not Defined")</f>
        <v>SPACER</v>
      </c>
      <c r="Q2880" t="str" cm="1">
        <f t="array" ref="Q2880">IFERROR(LOOKUP(2,1/SEARCH($S$2:$S$65,H2880),$T$2:$T$65),"-")</f>
        <v>COTS</v>
      </c>
    </row>
    <row r="2881" spans="1:17" hidden="1" x14ac:dyDescent="0.25">
      <c r="A2881" t="s">
        <v>7676</v>
      </c>
      <c r="B2881" s="18">
        <v>4.38</v>
      </c>
      <c r="C2881">
        <v>2</v>
      </c>
      <c r="D2881" t="s">
        <v>7603</v>
      </c>
      <c r="F2881" t="s">
        <v>5814</v>
      </c>
      <c r="G2881" t="s">
        <v>7594</v>
      </c>
      <c r="H2881" t="s">
        <v>5815</v>
      </c>
      <c r="I2881" t="s">
        <v>228</v>
      </c>
      <c r="J2881" t="s">
        <v>7703</v>
      </c>
      <c r="K2881" t="s">
        <v>7684</v>
      </c>
      <c r="L2881" t="s">
        <v>7693</v>
      </c>
      <c r="N2881" t="str" cm="1">
        <f t="array" ref="N2881">IFERROR(LOOKUP(2,1/SEARCH($S$2:$S$65,G2881),$T$2:$T$65),"Misc")</f>
        <v>COTS</v>
      </c>
      <c r="O2881" t="str" cm="1">
        <f t="array" ref="O2881">IFERROR(LOOKUP(2,1/SEARCH($V$2:$V$65,G2881),$W$2:$W$65),"Misc")</f>
        <v>Fasteners</v>
      </c>
      <c r="P2881" t="str" cm="1">
        <f t="array" ref="P2881">IFERROR(LOOKUP(2,1/SEARCH($Y$2:$Y$65,G2881),$Z$2:$Z$65),"Not Defined")</f>
        <v>PHS</v>
      </c>
      <c r="Q2881" t="str" cm="1">
        <f t="array" ref="Q2881">IFERROR(LOOKUP(2,1/SEARCH($S$2:$S$65,H2881),$T$2:$T$65),"-")</f>
        <v>COTS</v>
      </c>
    </row>
    <row r="2882" spans="1:17" hidden="1" x14ac:dyDescent="0.25">
      <c r="A2882" t="s">
        <v>7676</v>
      </c>
      <c r="B2882" s="18">
        <v>4.3899999999999997</v>
      </c>
      <c r="C2882">
        <v>2</v>
      </c>
      <c r="D2882" t="s">
        <v>7603</v>
      </c>
      <c r="F2882" t="s">
        <v>464</v>
      </c>
      <c r="G2882" t="s">
        <v>7091</v>
      </c>
      <c r="H2882" t="s">
        <v>465</v>
      </c>
      <c r="I2882" t="s">
        <v>224</v>
      </c>
      <c r="J2882" t="s">
        <v>7703</v>
      </c>
      <c r="K2882" t="s">
        <v>7684</v>
      </c>
      <c r="L2882" t="s">
        <v>7685</v>
      </c>
      <c r="N2882" t="str" cm="1">
        <f t="array" ref="N2882">IFERROR(LOOKUP(2,1/SEARCH($S$2:$S$65,G2882),$T$2:$T$65),"Misc")</f>
        <v>COTS</v>
      </c>
      <c r="O2882" t="str" cm="1">
        <f t="array" ref="O2882">IFERROR(LOOKUP(2,1/SEARCH($V$2:$V$65,G2882),$W$2:$W$65),"Misc")</f>
        <v>Fasteners</v>
      </c>
      <c r="P2882" t="str" cm="1">
        <f t="array" ref="P2882">IFERROR(LOOKUP(2,1/SEARCH($Y$2:$Y$65,G2882),$Z$2:$Z$65),"Not Defined")</f>
        <v>NUT</v>
      </c>
      <c r="Q2882" t="str" cm="1">
        <f t="array" ref="Q2882">IFERROR(LOOKUP(2,1/SEARCH($S$2:$S$65,H2882),$T$2:$T$65),"-")</f>
        <v>COTS</v>
      </c>
    </row>
    <row r="2883" spans="1:17" hidden="1" x14ac:dyDescent="0.25">
      <c r="A2883" t="s">
        <v>7676</v>
      </c>
      <c r="B2883" s="28">
        <v>4.4000000000000004</v>
      </c>
      <c r="C2883">
        <v>4</v>
      </c>
      <c r="D2883" t="s">
        <v>7603</v>
      </c>
      <c r="F2883" t="s">
        <v>236</v>
      </c>
      <c r="G2883" t="s">
        <v>7057</v>
      </c>
      <c r="H2883" t="s">
        <v>237</v>
      </c>
      <c r="I2883" t="s">
        <v>210</v>
      </c>
      <c r="J2883" t="s">
        <v>7703</v>
      </c>
      <c r="K2883" t="s">
        <v>7684</v>
      </c>
      <c r="L2883" t="s">
        <v>7693</v>
      </c>
      <c r="N2883" t="str" cm="1">
        <f t="array" ref="N2883">IFERROR(LOOKUP(2,1/SEARCH($S$2:$S$65,G2883),$T$2:$T$65),"Misc")</f>
        <v>COTS</v>
      </c>
      <c r="O2883" t="str" cm="1">
        <f t="array" ref="O2883">IFERROR(LOOKUP(2,1/SEARCH($V$2:$V$65,G2883),$W$2:$W$65),"Misc")</f>
        <v>Fasteners</v>
      </c>
      <c r="P2883" t="str" cm="1">
        <f t="array" ref="P2883">IFERROR(LOOKUP(2,1/SEARCH($Y$2:$Y$65,G2883),$Z$2:$Z$65),"Not Defined")</f>
        <v>PHS</v>
      </c>
      <c r="Q2883" t="str" cm="1">
        <f t="array" ref="Q2883">IFERROR(LOOKUP(2,1/SEARCH($S$2:$S$65,H2883),$T$2:$T$65),"-")</f>
        <v>COTS</v>
      </c>
    </row>
    <row r="2884" spans="1:17" hidden="1" x14ac:dyDescent="0.25">
      <c r="A2884" t="s">
        <v>7676</v>
      </c>
      <c r="B2884" s="18">
        <v>4.41</v>
      </c>
      <c r="C2884">
        <v>2</v>
      </c>
      <c r="D2884" t="s">
        <v>7603</v>
      </c>
      <c r="F2884" t="s">
        <v>1077</v>
      </c>
      <c r="G2884" t="s">
        <v>7174</v>
      </c>
      <c r="H2884" t="s">
        <v>1078</v>
      </c>
      <c r="I2884" t="s">
        <v>255</v>
      </c>
      <c r="J2884" t="s">
        <v>7703</v>
      </c>
      <c r="K2884" t="s">
        <v>7814</v>
      </c>
      <c r="L2884" t="s">
        <v>7824</v>
      </c>
      <c r="N2884" t="str" cm="1">
        <f t="array" ref="N2884">IFERROR(LOOKUP(2,1/SEARCH($S$2:$S$65,G2884),$T$2:$T$65),"Misc")</f>
        <v>COTS</v>
      </c>
      <c r="O2884" t="str" cm="1">
        <f t="array" ref="O2884">IFERROR(LOOKUP(2,1/SEARCH($V$2:$V$65,G2884),$W$2:$W$65),"Misc")</f>
        <v>Misc</v>
      </c>
      <c r="P2884" t="str" cm="1">
        <f t="array" ref="P2884">IFERROR(LOOKUP(2,1/SEARCH($Y$2:$Y$65,G2884),$Z$2:$Z$65),"Not Defined")</f>
        <v>Hub</v>
      </c>
      <c r="Q2884" t="str" cm="1">
        <f t="array" ref="Q2884">IFERROR(LOOKUP(2,1/SEARCH($S$2:$S$65,H2884),$T$2:$T$65),"-")</f>
        <v>COTS</v>
      </c>
    </row>
    <row r="2885" spans="1:17" hidden="1" x14ac:dyDescent="0.25">
      <c r="A2885" t="s">
        <v>7676</v>
      </c>
      <c r="B2885" t="s">
        <v>7986</v>
      </c>
      <c r="C2885">
        <v>2</v>
      </c>
      <c r="D2885" t="s">
        <v>7612</v>
      </c>
      <c r="F2885" t="s">
        <v>2768</v>
      </c>
      <c r="G2885" t="s">
        <v>7314</v>
      </c>
      <c r="H2885" t="s">
        <v>2769</v>
      </c>
      <c r="I2885" t="s">
        <v>224</v>
      </c>
      <c r="J2885" t="s">
        <v>7703</v>
      </c>
      <c r="K2885" t="s">
        <v>7684</v>
      </c>
      <c r="L2885" t="s">
        <v>7687</v>
      </c>
      <c r="N2885" t="str" cm="1">
        <f t="array" ref="N2885">IFERROR(LOOKUP(2,1/SEARCH($S$2:$S$65,G2885),$T$2:$T$65),"Misc")</f>
        <v>COTS</v>
      </c>
      <c r="O2885" t="str" cm="1">
        <f t="array" ref="O2885">IFERROR(LOOKUP(2,1/SEARCH($V$2:$V$65,G2885),$W$2:$W$65),"Misc")</f>
        <v>Fasteners</v>
      </c>
      <c r="P2885" t="str" cm="1">
        <f t="array" ref="P2885">IFERROR(LOOKUP(2,1/SEARCH($Y$2:$Y$65,G2885),$Z$2:$Z$65),"Not Defined")</f>
        <v>INSERT</v>
      </c>
      <c r="Q2885" t="str" cm="1">
        <f t="array" ref="Q2885">IFERROR(LOOKUP(2,1/SEARCH($S$2:$S$65,H2885),$T$2:$T$65),"-")</f>
        <v>COTS</v>
      </c>
    </row>
  </sheetData>
  <sheetProtection sheet="1" objects="1" scenarios="1"/>
  <autoFilter ref="A1:Q2885" xr:uid="{00000000-0001-0000-0000-000000000000}">
    <filterColumn colId="0">
      <filters>
        <filter val="LEFT"/>
      </filters>
    </filterColumn>
    <filterColumn colId="4">
      <filters blank="1"/>
    </filterColumn>
  </autoFilter>
  <phoneticPr fontId="1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Master Parts List</vt:lpstr>
      <vt:lpstr>OH Parts</vt:lpstr>
      <vt:lpstr>PCBs</vt:lpstr>
      <vt:lpstr>COTS by Subassembly</vt:lpstr>
      <vt:lpstr>COTS by Console</vt:lpstr>
      <vt:lpstr>OPENHORNET BOM V39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Marrash</dc:creator>
  <cp:lastModifiedBy>Greg Granby</cp:lastModifiedBy>
  <dcterms:created xsi:type="dcterms:W3CDTF">2023-11-24T04:19:23Z</dcterms:created>
  <dcterms:modified xsi:type="dcterms:W3CDTF">2026-04-26T21:59:43Z</dcterms:modified>
</cp:coreProperties>
</file>